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Y:\Clienti\IL Sole24ore\Settimana fiscale\06-Check list - Indicatori allarme Adeguato Assetto\"/>
    </mc:Choice>
  </mc:AlternateContent>
  <xr:revisionPtr revIDLastSave="0" documentId="13_ncr:1_{E9ABA197-D02C-486E-8113-5D4D4CC824CB}" xr6:coauthVersionLast="47" xr6:coauthVersionMax="47" xr10:uidLastSave="{00000000-0000-0000-0000-000000000000}"/>
  <bookViews>
    <workbookView xWindow="-120" yWindow="-120" windowWidth="29040" windowHeight="15720" tabRatio="319" firstSheet="1" activeTab="1" xr2:uid="{00000000-000D-0000-FFFF-FFFF00000000}"/>
  </bookViews>
  <sheets>
    <sheet name="TabelleCompilate" sheetId="56" state="hidden" r:id="rId1"/>
    <sheet name="Score" sheetId="50" r:id="rId2"/>
    <sheet name="ATECO" sheetId="57" r:id="rId3"/>
  </sheets>
  <definedNames>
    <definedName name="a">Score!$E$52</definedName>
    <definedName name="aa">LEFT(Score!$F$5,2)*1</definedName>
    <definedName name="anscount" hidden="1">1</definedName>
    <definedName name="_xlnm.Print_Area" localSheetId="1">Score!$A$101:$P$101</definedName>
    <definedName name="ATE">ATECO[Cod]</definedName>
    <definedName name="BVCEE">OFFSET(BVCC,0,1)</definedName>
    <definedName name="cemcc">Score!$AB$43:$AF$68</definedName>
    <definedName name="crisi">"ragionevole presunzione di uno stato di crisi"</definedName>
    <definedName name="LEASING" hidden="1">{#N/A,#N/A,TRUE,"Attivo";#N/A,#N/A,TRUE,"Passivo";#N/A,#N/A,TRUE,"Conto Economico"}</definedName>
    <definedName name="RA">+MATCH(CF,RAZ,0)</definedName>
    <definedName name="rateco">Score!$K$8</definedName>
    <definedName name="SETT">Tabella139[Desc. Crisi]</definedName>
    <definedName name="TBA">IF(ta="Abbreviato Cee",1,IF(ta="CEE",2,3))</definedName>
    <definedName name="TitSc">"Analisi indicatori per "</definedName>
    <definedName name="wrn.Bilancio." hidden="1">{#N/A,#N/A,TRUE,"Attivo";#N/A,#N/A,TRUE,"Passivo";#N/A,#N/A,TRUE,"Conto Economico"}</definedName>
    <definedName name="wrn.Bracco." hidden="1">{"Bracco_Ce",#N/A,FALSE,"BRACCO_8";"Bracco_SP",#N/A,FALSE,"BRACCO_8";"Bracco_DF",#N/A,FALSE,"BRACCO_8";"Bracco_IB",#N/A,FALSE,"BRACCO_8"}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7" i="50" l="1"/>
  <c r="E63" i="50"/>
  <c r="F17" i="50" l="1"/>
  <c r="F107" i="50"/>
  <c r="E107" i="50"/>
  <c r="F71" i="50"/>
  <c r="E71" i="50"/>
  <c r="C63" i="50"/>
  <c r="E58" i="50"/>
  <c r="F58" i="50"/>
  <c r="F56" i="50"/>
  <c r="E56" i="50"/>
  <c r="H6" i="50"/>
  <c r="H5" i="50"/>
  <c r="H8" i="50"/>
  <c r="F18" i="50"/>
  <c r="F44" i="50"/>
  <c r="F94" i="50"/>
  <c r="E94" i="50"/>
  <c r="E10" i="50"/>
  <c r="E11" i="50" s="1"/>
  <c r="D10" i="50"/>
  <c r="D11" i="50" s="1"/>
  <c r="A76" i="50"/>
  <c r="A87" i="50"/>
  <c r="A88" i="50"/>
  <c r="A99" i="50"/>
  <c r="A100" i="50"/>
  <c r="A109" i="50"/>
  <c r="K8" i="50"/>
  <c r="M3" i="57"/>
  <c r="M4" i="57"/>
  <c r="M5" i="57"/>
  <c r="M6" i="57"/>
  <c r="M7" i="57"/>
  <c r="M8" i="57"/>
  <c r="M9" i="57"/>
  <c r="M10" i="57"/>
  <c r="M11" i="57"/>
  <c r="M12" i="57"/>
  <c r="M13" i="57"/>
  <c r="M14" i="57"/>
  <c r="M15" i="57"/>
  <c r="M16" i="57"/>
  <c r="M17" i="57"/>
  <c r="M18" i="57"/>
  <c r="M19" i="57"/>
  <c r="M20" i="57"/>
  <c r="M21" i="57"/>
  <c r="M22" i="57"/>
  <c r="M23" i="57"/>
  <c r="M24" i="57"/>
  <c r="M25" i="57"/>
  <c r="M26" i="57"/>
  <c r="M27" i="57"/>
  <c r="M28" i="57"/>
  <c r="M29" i="57"/>
  <c r="M30" i="57"/>
  <c r="M31" i="57"/>
  <c r="M32" i="57"/>
  <c r="M33" i="57"/>
  <c r="M34" i="57"/>
  <c r="M35" i="57"/>
  <c r="M36" i="57"/>
  <c r="M37" i="57"/>
  <c r="M38" i="57"/>
  <c r="M39" i="57"/>
  <c r="M40" i="57"/>
  <c r="M41" i="57"/>
  <c r="M42" i="57"/>
  <c r="M43" i="57"/>
  <c r="M44" i="57"/>
  <c r="M45" i="57"/>
  <c r="M46" i="57"/>
  <c r="M47" i="57"/>
  <c r="M48" i="57"/>
  <c r="M49" i="57"/>
  <c r="M50" i="57"/>
  <c r="M51" i="57"/>
  <c r="M52" i="57"/>
  <c r="M53" i="57"/>
  <c r="M54" i="57"/>
  <c r="M55" i="57"/>
  <c r="M56" i="57"/>
  <c r="M57" i="57"/>
  <c r="M58" i="57"/>
  <c r="M59" i="57"/>
  <c r="M60" i="57"/>
  <c r="M61" i="57"/>
  <c r="M62" i="57"/>
  <c r="M63" i="57"/>
  <c r="M64" i="57"/>
  <c r="M65" i="57"/>
  <c r="M66" i="57"/>
  <c r="M67" i="57"/>
  <c r="M68" i="57"/>
  <c r="M69" i="57"/>
  <c r="M70" i="57"/>
  <c r="M71" i="57"/>
  <c r="M72" i="57"/>
  <c r="M73" i="57"/>
  <c r="M74" i="57"/>
  <c r="M75" i="57"/>
  <c r="M76" i="57"/>
  <c r="M77" i="57"/>
  <c r="M78" i="57"/>
  <c r="M79" i="57"/>
  <c r="M80" i="57"/>
  <c r="M81" i="57"/>
  <c r="M82" i="57"/>
  <c r="M83" i="57"/>
  <c r="M84" i="57"/>
  <c r="M85" i="57"/>
  <c r="M86" i="57"/>
  <c r="M87" i="57"/>
  <c r="M88" i="57"/>
  <c r="M89" i="57"/>
  <c r="M90" i="57"/>
  <c r="M91" i="57"/>
  <c r="M92" i="57"/>
  <c r="M93" i="57"/>
  <c r="M94" i="57"/>
  <c r="M95" i="57"/>
  <c r="M96" i="57"/>
  <c r="M97" i="57"/>
  <c r="M98" i="57"/>
  <c r="M99" i="57"/>
  <c r="M100" i="57"/>
  <c r="M101" i="57"/>
  <c r="M102" i="57"/>
  <c r="M103" i="57"/>
  <c r="M104" i="57"/>
  <c r="M105" i="57"/>
  <c r="M106" i="57"/>
  <c r="M107" i="57"/>
  <c r="M108" i="57"/>
  <c r="M109" i="57"/>
  <c r="M110" i="57"/>
  <c r="M111" i="57"/>
  <c r="M112" i="57"/>
  <c r="M113" i="57"/>
  <c r="M114" i="57"/>
  <c r="M115" i="57"/>
  <c r="M116" i="57"/>
  <c r="M117" i="57"/>
  <c r="M118" i="57"/>
  <c r="M119" i="57"/>
  <c r="M120" i="57"/>
  <c r="M121" i="57"/>
  <c r="M122" i="57"/>
  <c r="M123" i="57"/>
  <c r="M124" i="57"/>
  <c r="M125" i="57"/>
  <c r="M126" i="57"/>
  <c r="M127" i="57"/>
  <c r="M128" i="57"/>
  <c r="M129" i="57"/>
  <c r="M130" i="57"/>
  <c r="M131" i="57"/>
  <c r="M132" i="57"/>
  <c r="M133" i="57"/>
  <c r="M134" i="57"/>
  <c r="M135" i="57"/>
  <c r="M136" i="57"/>
  <c r="M137" i="57"/>
  <c r="M138" i="57"/>
  <c r="M139" i="57"/>
  <c r="M140" i="57"/>
  <c r="M141" i="57"/>
  <c r="M142" i="57"/>
  <c r="M143" i="57"/>
  <c r="M144" i="57"/>
  <c r="M145" i="57"/>
  <c r="M146" i="57"/>
  <c r="M147" i="57"/>
  <c r="M148" i="57"/>
  <c r="M149" i="57"/>
  <c r="M150" i="57"/>
  <c r="M151" i="57"/>
  <c r="M152" i="57"/>
  <c r="M153" i="57"/>
  <c r="M154" i="57"/>
  <c r="M155" i="57"/>
  <c r="M156" i="57"/>
  <c r="M157" i="57"/>
  <c r="M158" i="57"/>
  <c r="M159" i="57"/>
  <c r="M160" i="57"/>
  <c r="M161" i="57"/>
  <c r="M162" i="57"/>
  <c r="M163" i="57"/>
  <c r="M164" i="57"/>
  <c r="M165" i="57"/>
  <c r="M166" i="57"/>
  <c r="M167" i="57"/>
  <c r="M168" i="57"/>
  <c r="M169" i="57"/>
  <c r="M170" i="57"/>
  <c r="M171" i="57"/>
  <c r="M172" i="57"/>
  <c r="M173" i="57"/>
  <c r="M174" i="57"/>
  <c r="M175" i="57"/>
  <c r="M176" i="57"/>
  <c r="M177" i="57"/>
  <c r="M178" i="57"/>
  <c r="M179" i="57"/>
  <c r="M180" i="57"/>
  <c r="M181" i="57"/>
  <c r="M182" i="57"/>
  <c r="M183" i="57"/>
  <c r="M184" i="57"/>
  <c r="M185" i="57"/>
  <c r="M186" i="57"/>
  <c r="M187" i="57"/>
  <c r="M188" i="57"/>
  <c r="M189" i="57"/>
  <c r="M190" i="57"/>
  <c r="M191" i="57"/>
  <c r="M192" i="57"/>
  <c r="M193" i="57"/>
  <c r="M194" i="57"/>
  <c r="M195" i="57"/>
  <c r="M196" i="57"/>
  <c r="M197" i="57"/>
  <c r="M198" i="57"/>
  <c r="M199" i="57"/>
  <c r="M200" i="57"/>
  <c r="M201" i="57"/>
  <c r="M202" i="57"/>
  <c r="M203" i="57"/>
  <c r="M204" i="57"/>
  <c r="M205" i="57"/>
  <c r="M206" i="57"/>
  <c r="M207" i="57"/>
  <c r="M208" i="57"/>
  <c r="M209" i="57"/>
  <c r="M210" i="57"/>
  <c r="M211" i="57"/>
  <c r="M212" i="57"/>
  <c r="M213" i="57"/>
  <c r="M214" i="57"/>
  <c r="M215" i="57"/>
  <c r="M216" i="57"/>
  <c r="M217" i="57"/>
  <c r="M218" i="57"/>
  <c r="M219" i="57"/>
  <c r="M220" i="57"/>
  <c r="M221" i="57"/>
  <c r="M222" i="57"/>
  <c r="M223" i="57"/>
  <c r="M224" i="57"/>
  <c r="M225" i="57"/>
  <c r="M226" i="57"/>
  <c r="M227" i="57"/>
  <c r="M228" i="57"/>
  <c r="M229" i="57"/>
  <c r="M230" i="57"/>
  <c r="M231" i="57"/>
  <c r="M232" i="57"/>
  <c r="M233" i="57"/>
  <c r="M234" i="57"/>
  <c r="M235" i="57"/>
  <c r="M236" i="57"/>
  <c r="M237" i="57"/>
  <c r="M238" i="57"/>
  <c r="M239" i="57"/>
  <c r="M240" i="57"/>
  <c r="M241" i="57"/>
  <c r="M242" i="57"/>
  <c r="M243" i="57"/>
  <c r="M244" i="57"/>
  <c r="M245" i="57"/>
  <c r="M246" i="57"/>
  <c r="M247" i="57"/>
  <c r="M248" i="57"/>
  <c r="M249" i="57"/>
  <c r="M250" i="57"/>
  <c r="M251" i="57"/>
  <c r="M252" i="57"/>
  <c r="M253" i="57"/>
  <c r="M254" i="57"/>
  <c r="M255" i="57"/>
  <c r="M256" i="57"/>
  <c r="M257" i="57"/>
  <c r="M258" i="57"/>
  <c r="M259" i="57"/>
  <c r="M260" i="57"/>
  <c r="M261" i="57"/>
  <c r="M262" i="57"/>
  <c r="M263" i="57"/>
  <c r="M264" i="57"/>
  <c r="M265" i="57"/>
  <c r="M266" i="57"/>
  <c r="M267" i="57"/>
  <c r="M268" i="57"/>
  <c r="M269" i="57"/>
  <c r="M270" i="57"/>
  <c r="M271" i="57"/>
  <c r="M272" i="57"/>
  <c r="M273" i="57"/>
  <c r="M274" i="57"/>
  <c r="M275" i="57"/>
  <c r="M276" i="57"/>
  <c r="M277" i="57"/>
  <c r="M278" i="57"/>
  <c r="M279" i="57"/>
  <c r="M280" i="57"/>
  <c r="M281" i="57"/>
  <c r="M282" i="57"/>
  <c r="M283" i="57"/>
  <c r="M284" i="57"/>
  <c r="M285" i="57"/>
  <c r="M286" i="57"/>
  <c r="M287" i="57"/>
  <c r="M288" i="57"/>
  <c r="M289" i="57"/>
  <c r="M290" i="57"/>
  <c r="M291" i="57"/>
  <c r="M292" i="57"/>
  <c r="M293" i="57"/>
  <c r="M294" i="57"/>
  <c r="M295" i="57"/>
  <c r="M296" i="57"/>
  <c r="M297" i="57"/>
  <c r="M298" i="57"/>
  <c r="M299" i="57"/>
  <c r="M300" i="57"/>
  <c r="M301" i="57"/>
  <c r="M302" i="57"/>
  <c r="M303" i="57"/>
  <c r="M304" i="57"/>
  <c r="M305" i="57"/>
  <c r="M306" i="57"/>
  <c r="M307" i="57"/>
  <c r="M308" i="57"/>
  <c r="M309" i="57"/>
  <c r="M310" i="57"/>
  <c r="M311" i="57"/>
  <c r="M312" i="57"/>
  <c r="M313" i="57"/>
  <c r="M314" i="57"/>
  <c r="M315" i="57"/>
  <c r="M316" i="57"/>
  <c r="M317" i="57"/>
  <c r="M318" i="57"/>
  <c r="M319" i="57"/>
  <c r="M320" i="57"/>
  <c r="M321" i="57"/>
  <c r="M322" i="57"/>
  <c r="M323" i="57"/>
  <c r="M324" i="57"/>
  <c r="M325" i="57"/>
  <c r="M326" i="57"/>
  <c r="M327" i="57"/>
  <c r="M328" i="57"/>
  <c r="M329" i="57"/>
  <c r="M330" i="57"/>
  <c r="M331" i="57"/>
  <c r="M332" i="57"/>
  <c r="M333" i="57"/>
  <c r="M334" i="57"/>
  <c r="M335" i="57"/>
  <c r="M336" i="57"/>
  <c r="M337" i="57"/>
  <c r="M338" i="57"/>
  <c r="M339" i="57"/>
  <c r="M340" i="57"/>
  <c r="M341" i="57"/>
  <c r="M342" i="57"/>
  <c r="M343" i="57"/>
  <c r="M344" i="57"/>
  <c r="M345" i="57"/>
  <c r="M346" i="57"/>
  <c r="M347" i="57"/>
  <c r="M348" i="57"/>
  <c r="M349" i="57"/>
  <c r="M350" i="57"/>
  <c r="M351" i="57"/>
  <c r="M352" i="57"/>
  <c r="M353" i="57"/>
  <c r="M354" i="57"/>
  <c r="M355" i="57"/>
  <c r="M356" i="57"/>
  <c r="M357" i="57"/>
  <c r="M358" i="57"/>
  <c r="M359" i="57"/>
  <c r="M360" i="57"/>
  <c r="M361" i="57"/>
  <c r="M362" i="57"/>
  <c r="M363" i="57"/>
  <c r="M364" i="57"/>
  <c r="M365" i="57"/>
  <c r="M366" i="57"/>
  <c r="M367" i="57"/>
  <c r="M368" i="57"/>
  <c r="M369" i="57"/>
  <c r="M370" i="57"/>
  <c r="M371" i="57"/>
  <c r="M372" i="57"/>
  <c r="M373" i="57"/>
  <c r="M374" i="57"/>
  <c r="M375" i="57"/>
  <c r="M376" i="57"/>
  <c r="M377" i="57"/>
  <c r="M378" i="57"/>
  <c r="M379" i="57"/>
  <c r="M380" i="57"/>
  <c r="M381" i="57"/>
  <c r="M382" i="57"/>
  <c r="M383" i="57"/>
  <c r="M384" i="57"/>
  <c r="M385" i="57"/>
  <c r="M386" i="57"/>
  <c r="M387" i="57"/>
  <c r="M388" i="57"/>
  <c r="M389" i="57"/>
  <c r="M390" i="57"/>
  <c r="M391" i="57"/>
  <c r="M392" i="57"/>
  <c r="M393" i="57"/>
  <c r="M394" i="57"/>
  <c r="M395" i="57"/>
  <c r="M396" i="57"/>
  <c r="M397" i="57"/>
  <c r="M398" i="57"/>
  <c r="M399" i="57"/>
  <c r="M400" i="57"/>
  <c r="M401" i="57"/>
  <c r="M402" i="57"/>
  <c r="M403" i="57"/>
  <c r="M404" i="57"/>
  <c r="M405" i="57"/>
  <c r="M406" i="57"/>
  <c r="M407" i="57"/>
  <c r="M408" i="57"/>
  <c r="M409" i="57"/>
  <c r="M410" i="57"/>
  <c r="M411" i="57"/>
  <c r="M412" i="57"/>
  <c r="M413" i="57"/>
  <c r="M414" i="57"/>
  <c r="M415" i="57"/>
  <c r="M416" i="57"/>
  <c r="M417" i="57"/>
  <c r="M418" i="57"/>
  <c r="M419" i="57"/>
  <c r="M420" i="57"/>
  <c r="M421" i="57"/>
  <c r="M422" i="57"/>
  <c r="M423" i="57"/>
  <c r="M424" i="57"/>
  <c r="M425" i="57"/>
  <c r="M426" i="57"/>
  <c r="M427" i="57"/>
  <c r="M428" i="57"/>
  <c r="M429" i="57"/>
  <c r="M430" i="57"/>
  <c r="M431" i="57"/>
  <c r="M432" i="57"/>
  <c r="M433" i="57"/>
  <c r="M434" i="57"/>
  <c r="M435" i="57"/>
  <c r="M436" i="57"/>
  <c r="M437" i="57"/>
  <c r="M438" i="57"/>
  <c r="M439" i="57"/>
  <c r="M440" i="57"/>
  <c r="M441" i="57"/>
  <c r="M442" i="57"/>
  <c r="M443" i="57"/>
  <c r="M444" i="57"/>
  <c r="M445" i="57"/>
  <c r="M446" i="57"/>
  <c r="M447" i="57"/>
  <c r="M448" i="57"/>
  <c r="M449" i="57"/>
  <c r="M450" i="57"/>
  <c r="M451" i="57"/>
  <c r="M452" i="57"/>
  <c r="M453" i="57"/>
  <c r="M454" i="57"/>
  <c r="M455" i="57"/>
  <c r="M456" i="57"/>
  <c r="M457" i="57"/>
  <c r="M458" i="57"/>
  <c r="M459" i="57"/>
  <c r="M460" i="57"/>
  <c r="M461" i="57"/>
  <c r="M462" i="57"/>
  <c r="M463" i="57"/>
  <c r="M464" i="57"/>
  <c r="M465" i="57"/>
  <c r="M466" i="57"/>
  <c r="M467" i="57"/>
  <c r="M468" i="57"/>
  <c r="M469" i="57"/>
  <c r="M470" i="57"/>
  <c r="M471" i="57"/>
  <c r="M472" i="57"/>
  <c r="M473" i="57"/>
  <c r="M474" i="57"/>
  <c r="M475" i="57"/>
  <c r="M476" i="57"/>
  <c r="M477" i="57"/>
  <c r="M478" i="57"/>
  <c r="M479" i="57"/>
  <c r="M480" i="57"/>
  <c r="M481" i="57"/>
  <c r="M482" i="57"/>
  <c r="M483" i="57"/>
  <c r="M484" i="57"/>
  <c r="M485" i="57"/>
  <c r="M486" i="57"/>
  <c r="M487" i="57"/>
  <c r="M488" i="57"/>
  <c r="M489" i="57"/>
  <c r="M490" i="57"/>
  <c r="M491" i="57"/>
  <c r="M492" i="57"/>
  <c r="M493" i="57"/>
  <c r="M494" i="57"/>
  <c r="M495" i="57"/>
  <c r="M496" i="57"/>
  <c r="M497" i="57"/>
  <c r="M498" i="57"/>
  <c r="M499" i="57"/>
  <c r="M500" i="57"/>
  <c r="M501" i="57"/>
  <c r="M502" i="57"/>
  <c r="M503" i="57"/>
  <c r="M504" i="57"/>
  <c r="M505" i="57"/>
  <c r="M506" i="57"/>
  <c r="M507" i="57"/>
  <c r="M508" i="57"/>
  <c r="M509" i="57"/>
  <c r="M510" i="57"/>
  <c r="M511" i="57"/>
  <c r="M512" i="57"/>
  <c r="M513" i="57"/>
  <c r="M514" i="57"/>
  <c r="M515" i="57"/>
  <c r="M516" i="57"/>
  <c r="M517" i="57"/>
  <c r="M518" i="57"/>
  <c r="M519" i="57"/>
  <c r="M520" i="57"/>
  <c r="M521" i="57"/>
  <c r="M522" i="57"/>
  <c r="M523" i="57"/>
  <c r="M524" i="57"/>
  <c r="M525" i="57"/>
  <c r="M526" i="57"/>
  <c r="M527" i="57"/>
  <c r="M528" i="57"/>
  <c r="M529" i="57"/>
  <c r="M530" i="57"/>
  <c r="M531" i="57"/>
  <c r="M532" i="57"/>
  <c r="M533" i="57"/>
  <c r="M534" i="57"/>
  <c r="M535" i="57"/>
  <c r="M536" i="57"/>
  <c r="M537" i="57"/>
  <c r="M538" i="57"/>
  <c r="M539" i="57"/>
  <c r="M540" i="57"/>
  <c r="M541" i="57"/>
  <c r="M542" i="57"/>
  <c r="M543" i="57"/>
  <c r="M544" i="57"/>
  <c r="M545" i="57"/>
  <c r="M546" i="57"/>
  <c r="M547" i="57"/>
  <c r="M548" i="57"/>
  <c r="M549" i="57"/>
  <c r="M550" i="57"/>
  <c r="M551" i="57"/>
  <c r="M552" i="57"/>
  <c r="M553" i="57"/>
  <c r="M554" i="57"/>
  <c r="M555" i="57"/>
  <c r="M556" i="57"/>
  <c r="M557" i="57"/>
  <c r="M558" i="57"/>
  <c r="M559" i="57"/>
  <c r="M560" i="57"/>
  <c r="M561" i="57"/>
  <c r="M562" i="57"/>
  <c r="M563" i="57"/>
  <c r="M564" i="57"/>
  <c r="M565" i="57"/>
  <c r="M566" i="57"/>
  <c r="M567" i="57"/>
  <c r="M568" i="57"/>
  <c r="M569" i="57"/>
  <c r="M570" i="57"/>
  <c r="M571" i="57"/>
  <c r="M572" i="57"/>
  <c r="M573" i="57"/>
  <c r="M574" i="57"/>
  <c r="M575" i="57"/>
  <c r="M576" i="57"/>
  <c r="M577" i="57"/>
  <c r="M578" i="57"/>
  <c r="M579" i="57"/>
  <c r="M580" i="57"/>
  <c r="M581" i="57"/>
  <c r="M582" i="57"/>
  <c r="M583" i="57"/>
  <c r="M584" i="57"/>
  <c r="M585" i="57"/>
  <c r="M586" i="57"/>
  <c r="M587" i="57"/>
  <c r="M588" i="57"/>
  <c r="M589" i="57"/>
  <c r="M590" i="57"/>
  <c r="M591" i="57"/>
  <c r="M592" i="57"/>
  <c r="M593" i="57"/>
  <c r="M594" i="57"/>
  <c r="M595" i="57"/>
  <c r="M596" i="57"/>
  <c r="M597" i="57"/>
  <c r="M598" i="57"/>
  <c r="M599" i="57"/>
  <c r="M600" i="57"/>
  <c r="M601" i="57"/>
  <c r="M602" i="57"/>
  <c r="M603" i="57"/>
  <c r="M604" i="57"/>
  <c r="M605" i="57"/>
  <c r="M606" i="57"/>
  <c r="M607" i="57"/>
  <c r="M608" i="57"/>
  <c r="M609" i="57"/>
  <c r="M610" i="57"/>
  <c r="M611" i="57"/>
  <c r="M612" i="57"/>
  <c r="M613" i="57"/>
  <c r="M614" i="57"/>
  <c r="M615" i="57"/>
  <c r="M616" i="57"/>
  <c r="M617" i="57"/>
  <c r="M618" i="57"/>
  <c r="M619" i="57"/>
  <c r="M620" i="57"/>
  <c r="M621" i="57"/>
  <c r="M622" i="57"/>
  <c r="M623" i="57"/>
  <c r="M624" i="57"/>
  <c r="M625" i="57"/>
  <c r="M626" i="57"/>
  <c r="M627" i="57"/>
  <c r="M628" i="57"/>
  <c r="M629" i="57"/>
  <c r="M630" i="57"/>
  <c r="M631" i="57"/>
  <c r="M632" i="57"/>
  <c r="M633" i="57"/>
  <c r="M634" i="57"/>
  <c r="M635" i="57"/>
  <c r="M636" i="57"/>
  <c r="M637" i="57"/>
  <c r="M638" i="57"/>
  <c r="M639" i="57"/>
  <c r="M640" i="57"/>
  <c r="M641" i="57"/>
  <c r="M642" i="57"/>
  <c r="M643" i="57"/>
  <c r="M644" i="57"/>
  <c r="M645" i="57"/>
  <c r="M646" i="57"/>
  <c r="M647" i="57"/>
  <c r="M648" i="57"/>
  <c r="M649" i="57"/>
  <c r="M650" i="57"/>
  <c r="M651" i="57"/>
  <c r="M652" i="57"/>
  <c r="M653" i="57"/>
  <c r="M654" i="57"/>
  <c r="M655" i="57"/>
  <c r="M656" i="57"/>
  <c r="M657" i="57"/>
  <c r="M658" i="57"/>
  <c r="M659" i="57"/>
  <c r="M660" i="57"/>
  <c r="M661" i="57"/>
  <c r="M662" i="57"/>
  <c r="M663" i="57"/>
  <c r="M664" i="57"/>
  <c r="M665" i="57"/>
  <c r="M666" i="57"/>
  <c r="M667" i="57"/>
  <c r="M668" i="57"/>
  <c r="M669" i="57"/>
  <c r="M670" i="57"/>
  <c r="M671" i="57"/>
  <c r="M672" i="57"/>
  <c r="M673" i="57"/>
  <c r="M674" i="57"/>
  <c r="M675" i="57"/>
  <c r="M676" i="57"/>
  <c r="M677" i="57"/>
  <c r="M678" i="57"/>
  <c r="M679" i="57"/>
  <c r="M680" i="57"/>
  <c r="M681" i="57"/>
  <c r="M682" i="57"/>
  <c r="M683" i="57"/>
  <c r="M684" i="57"/>
  <c r="M685" i="57"/>
  <c r="M686" i="57"/>
  <c r="M687" i="57"/>
  <c r="M688" i="57"/>
  <c r="M689" i="57"/>
  <c r="M690" i="57"/>
  <c r="M691" i="57"/>
  <c r="M692" i="57"/>
  <c r="M693" i="57"/>
  <c r="M694" i="57"/>
  <c r="M695" i="57"/>
  <c r="M696" i="57"/>
  <c r="M697" i="57"/>
  <c r="M698" i="57"/>
  <c r="M699" i="57"/>
  <c r="M700" i="57"/>
  <c r="M701" i="57"/>
  <c r="M702" i="57"/>
  <c r="M703" i="57"/>
  <c r="M704" i="57"/>
  <c r="M705" i="57"/>
  <c r="M706" i="57"/>
  <c r="M707" i="57"/>
  <c r="M708" i="57"/>
  <c r="M709" i="57"/>
  <c r="M710" i="57"/>
  <c r="M711" i="57"/>
  <c r="M712" i="57"/>
  <c r="M713" i="57"/>
  <c r="M714" i="57"/>
  <c r="M715" i="57"/>
  <c r="M716" i="57"/>
  <c r="M717" i="57"/>
  <c r="M718" i="57"/>
  <c r="M719" i="57"/>
  <c r="M720" i="57"/>
  <c r="M721" i="57"/>
  <c r="M722" i="57"/>
  <c r="M723" i="57"/>
  <c r="M724" i="57"/>
  <c r="M725" i="57"/>
  <c r="M726" i="57"/>
  <c r="M727" i="57"/>
  <c r="M728" i="57"/>
  <c r="M729" i="57"/>
  <c r="M730" i="57"/>
  <c r="M731" i="57"/>
  <c r="M732" i="57"/>
  <c r="M733" i="57"/>
  <c r="M734" i="57"/>
  <c r="M735" i="57"/>
  <c r="M736" i="57"/>
  <c r="M737" i="57"/>
  <c r="M738" i="57"/>
  <c r="M739" i="57"/>
  <c r="M740" i="57"/>
  <c r="M741" i="57"/>
  <c r="M742" i="57"/>
  <c r="M743" i="57"/>
  <c r="M744" i="57"/>
  <c r="M745" i="57"/>
  <c r="M746" i="57"/>
  <c r="M747" i="57"/>
  <c r="M748" i="57"/>
  <c r="M749" i="57"/>
  <c r="M750" i="57"/>
  <c r="M751" i="57"/>
  <c r="M752" i="57"/>
  <c r="M753" i="57"/>
  <c r="M754" i="57"/>
  <c r="M755" i="57"/>
  <c r="M756" i="57"/>
  <c r="M757" i="57"/>
  <c r="M758" i="57"/>
  <c r="M759" i="57"/>
  <c r="M760" i="57"/>
  <c r="M761" i="57"/>
  <c r="M762" i="57"/>
  <c r="M763" i="57"/>
  <c r="M764" i="57"/>
  <c r="M765" i="57"/>
  <c r="M766" i="57"/>
  <c r="M767" i="57"/>
  <c r="M768" i="57"/>
  <c r="M769" i="57"/>
  <c r="M770" i="57"/>
  <c r="M771" i="57"/>
  <c r="M772" i="57"/>
  <c r="M773" i="57"/>
  <c r="M774" i="57"/>
  <c r="M775" i="57"/>
  <c r="M776" i="57"/>
  <c r="M777" i="57"/>
  <c r="M778" i="57"/>
  <c r="M779" i="57"/>
  <c r="M780" i="57"/>
  <c r="M781" i="57"/>
  <c r="M782" i="57"/>
  <c r="M783" i="57"/>
  <c r="M784" i="57"/>
  <c r="M785" i="57"/>
  <c r="M786" i="57"/>
  <c r="M787" i="57"/>
  <c r="M788" i="57"/>
  <c r="M789" i="57"/>
  <c r="M790" i="57"/>
  <c r="M791" i="57"/>
  <c r="M792" i="57"/>
  <c r="M793" i="57"/>
  <c r="M794" i="57"/>
  <c r="M795" i="57"/>
  <c r="M796" i="57"/>
  <c r="M797" i="57"/>
  <c r="M798" i="57"/>
  <c r="M799" i="57"/>
  <c r="M800" i="57"/>
  <c r="M801" i="57"/>
  <c r="M802" i="57"/>
  <c r="M803" i="57"/>
  <c r="M804" i="57"/>
  <c r="M805" i="57"/>
  <c r="M806" i="57"/>
  <c r="M807" i="57"/>
  <c r="M808" i="57"/>
  <c r="M809" i="57"/>
  <c r="M810" i="57"/>
  <c r="M811" i="57"/>
  <c r="M812" i="57"/>
  <c r="M813" i="57"/>
  <c r="M814" i="57"/>
  <c r="M815" i="57"/>
  <c r="M816" i="57"/>
  <c r="M817" i="57"/>
  <c r="M818" i="57"/>
  <c r="M819" i="57"/>
  <c r="M820" i="57"/>
  <c r="M821" i="57"/>
  <c r="M822" i="57"/>
  <c r="M823" i="57"/>
  <c r="M824" i="57"/>
  <c r="M825" i="57"/>
  <c r="M826" i="57"/>
  <c r="M827" i="57"/>
  <c r="M828" i="57"/>
  <c r="M829" i="57"/>
  <c r="M830" i="57"/>
  <c r="M831" i="57"/>
  <c r="M832" i="57"/>
  <c r="M833" i="57"/>
  <c r="M834" i="57"/>
  <c r="M835" i="57"/>
  <c r="M836" i="57"/>
  <c r="M837" i="57"/>
  <c r="M838" i="57"/>
  <c r="M839" i="57"/>
  <c r="M840" i="57"/>
  <c r="M841" i="57"/>
  <c r="M842" i="57"/>
  <c r="M843" i="57"/>
  <c r="M844" i="57"/>
  <c r="M845" i="57"/>
  <c r="M846" i="57"/>
  <c r="M847" i="57"/>
  <c r="M848" i="57"/>
  <c r="M849" i="57"/>
  <c r="M850" i="57"/>
  <c r="M851" i="57"/>
  <c r="M852" i="57"/>
  <c r="M853" i="57"/>
  <c r="M854" i="57"/>
  <c r="M855" i="57"/>
  <c r="M856" i="57"/>
  <c r="M857" i="57"/>
  <c r="M858" i="57"/>
  <c r="M859" i="57"/>
  <c r="M860" i="57"/>
  <c r="M861" i="57"/>
  <c r="M862" i="57"/>
  <c r="M863" i="57"/>
  <c r="M864" i="57"/>
  <c r="M865" i="57"/>
  <c r="M866" i="57"/>
  <c r="M867" i="57"/>
  <c r="M868" i="57"/>
  <c r="M869" i="57"/>
  <c r="M870" i="57"/>
  <c r="M871" i="57"/>
  <c r="M872" i="57"/>
  <c r="M873" i="57"/>
  <c r="M874" i="57"/>
  <c r="M875" i="57"/>
  <c r="M876" i="57"/>
  <c r="M877" i="57"/>
  <c r="M878" i="57"/>
  <c r="M879" i="57"/>
  <c r="M880" i="57"/>
  <c r="M881" i="57"/>
  <c r="M882" i="57"/>
  <c r="M883" i="57"/>
  <c r="M884" i="57"/>
  <c r="M885" i="57"/>
  <c r="M886" i="57"/>
  <c r="M887" i="57"/>
  <c r="M888" i="57"/>
  <c r="M889" i="57"/>
  <c r="M890" i="57"/>
  <c r="M891" i="57"/>
  <c r="M892" i="57"/>
  <c r="M893" i="57"/>
  <c r="M894" i="57"/>
  <c r="M895" i="57"/>
  <c r="M896" i="57"/>
  <c r="M897" i="57"/>
  <c r="M898" i="57"/>
  <c r="M899" i="57"/>
  <c r="M900" i="57"/>
  <c r="M901" i="57"/>
  <c r="M902" i="57"/>
  <c r="M903" i="57"/>
  <c r="M904" i="57"/>
  <c r="M905" i="57"/>
  <c r="M906" i="57"/>
  <c r="M907" i="57"/>
  <c r="M908" i="57"/>
  <c r="M909" i="57"/>
  <c r="M910" i="57"/>
  <c r="M911" i="57"/>
  <c r="M912" i="57"/>
  <c r="M913" i="57"/>
  <c r="M914" i="57"/>
  <c r="M915" i="57"/>
  <c r="M916" i="57"/>
  <c r="M917" i="57"/>
  <c r="M918" i="57"/>
  <c r="M919" i="57"/>
  <c r="M920" i="57"/>
  <c r="M921" i="57"/>
  <c r="M922" i="57"/>
  <c r="M923" i="57"/>
  <c r="M924" i="57"/>
  <c r="M925" i="57"/>
  <c r="M926" i="57"/>
  <c r="M927" i="57"/>
  <c r="M928" i="57"/>
  <c r="M929" i="57"/>
  <c r="M930" i="57"/>
  <c r="M931" i="57"/>
  <c r="M932" i="57"/>
  <c r="M933" i="57"/>
  <c r="M934" i="57"/>
  <c r="M935" i="57"/>
  <c r="M936" i="57"/>
  <c r="M937" i="57"/>
  <c r="M938" i="57"/>
  <c r="M939" i="57"/>
  <c r="M940" i="57"/>
  <c r="M941" i="57"/>
  <c r="M942" i="57"/>
  <c r="M943" i="57"/>
  <c r="M944" i="57"/>
  <c r="M945" i="57"/>
  <c r="M946" i="57"/>
  <c r="M947" i="57"/>
  <c r="M948" i="57"/>
  <c r="M949" i="57"/>
  <c r="M950" i="57"/>
  <c r="M951" i="57"/>
  <c r="M952" i="57"/>
  <c r="M953" i="57"/>
  <c r="M954" i="57"/>
  <c r="M955" i="57"/>
  <c r="M956" i="57"/>
  <c r="M957" i="57"/>
  <c r="M958" i="57"/>
  <c r="M959" i="57"/>
  <c r="M960" i="57"/>
  <c r="M961" i="57"/>
  <c r="M962" i="57"/>
  <c r="M963" i="57"/>
  <c r="M964" i="57"/>
  <c r="M965" i="57"/>
  <c r="M966" i="57"/>
  <c r="M967" i="57"/>
  <c r="M968" i="57"/>
  <c r="M969" i="57"/>
  <c r="M970" i="57"/>
  <c r="M971" i="57"/>
  <c r="M972" i="57"/>
  <c r="M973" i="57"/>
  <c r="M974" i="57"/>
  <c r="M975" i="57"/>
  <c r="M976" i="57"/>
  <c r="M977" i="57"/>
  <c r="M978" i="57"/>
  <c r="M979" i="57"/>
  <c r="M980" i="57"/>
  <c r="M981" i="57"/>
  <c r="M982" i="57"/>
  <c r="M983" i="57"/>
  <c r="M984" i="57"/>
  <c r="M985" i="57"/>
  <c r="M986" i="57"/>
  <c r="M987" i="57"/>
  <c r="M988" i="57"/>
  <c r="M989" i="57"/>
  <c r="M990" i="57"/>
  <c r="M991" i="57"/>
  <c r="M992" i="57"/>
  <c r="M993" i="57"/>
  <c r="M994" i="57"/>
  <c r="M995" i="57"/>
  <c r="M996" i="57"/>
  <c r="M997" i="57"/>
  <c r="M998" i="57"/>
  <c r="M999" i="57"/>
  <c r="M1000" i="57"/>
  <c r="M1001" i="57"/>
  <c r="M1002" i="57"/>
  <c r="M1003" i="57"/>
  <c r="M1004" i="57"/>
  <c r="M1005" i="57"/>
  <c r="M1006" i="57"/>
  <c r="M1007" i="57"/>
  <c r="M1008" i="57"/>
  <c r="M1009" i="57"/>
  <c r="M1010" i="57"/>
  <c r="M1011" i="57"/>
  <c r="M1012" i="57"/>
  <c r="M1013" i="57"/>
  <c r="M1014" i="57"/>
  <c r="M1015" i="57"/>
  <c r="M1016" i="57"/>
  <c r="M1017" i="57"/>
  <c r="M1018" i="57"/>
  <c r="M1019" i="57"/>
  <c r="M1020" i="57"/>
  <c r="M1021" i="57"/>
  <c r="M1022" i="57"/>
  <c r="M1023" i="57"/>
  <c r="M1024" i="57"/>
  <c r="M1025" i="57"/>
  <c r="M1026" i="57"/>
  <c r="M1027" i="57"/>
  <c r="M1028" i="57"/>
  <c r="M1029" i="57"/>
  <c r="M1030" i="57"/>
  <c r="M1031" i="57"/>
  <c r="M1032" i="57"/>
  <c r="M1033" i="57"/>
  <c r="M1034" i="57"/>
  <c r="M1035" i="57"/>
  <c r="M1036" i="57"/>
  <c r="M1037" i="57"/>
  <c r="M1038" i="57"/>
  <c r="M1039" i="57"/>
  <c r="M1040" i="57"/>
  <c r="M1041" i="57"/>
  <c r="M1042" i="57"/>
  <c r="M1043" i="57"/>
  <c r="M1044" i="57"/>
  <c r="M1045" i="57"/>
  <c r="M1046" i="57"/>
  <c r="M1047" i="57"/>
  <c r="M1048" i="57"/>
  <c r="M1049" i="57"/>
  <c r="M1050" i="57"/>
  <c r="M1051" i="57"/>
  <c r="M1052" i="57"/>
  <c r="M1053" i="57"/>
  <c r="M1054" i="57"/>
  <c r="M1055" i="57"/>
  <c r="M1056" i="57"/>
  <c r="M1057" i="57"/>
  <c r="M1058" i="57"/>
  <c r="M1059" i="57"/>
  <c r="M1060" i="57"/>
  <c r="M1061" i="57"/>
  <c r="M1062" i="57"/>
  <c r="M1063" i="57"/>
  <c r="M1064" i="57"/>
  <c r="M1065" i="57"/>
  <c r="M1066" i="57"/>
  <c r="M1067" i="57"/>
  <c r="M1068" i="57"/>
  <c r="M1069" i="57"/>
  <c r="M1070" i="57"/>
  <c r="M1071" i="57"/>
  <c r="M1072" i="57"/>
  <c r="M1073" i="57"/>
  <c r="M1074" i="57"/>
  <c r="M1075" i="57"/>
  <c r="M1076" i="57"/>
  <c r="M1077" i="57"/>
  <c r="M1078" i="57"/>
  <c r="M1079" i="57"/>
  <c r="M1080" i="57"/>
  <c r="M1081" i="57"/>
  <c r="M1082" i="57"/>
  <c r="M1083" i="57"/>
  <c r="M1084" i="57"/>
  <c r="M1085" i="57"/>
  <c r="M1086" i="57"/>
  <c r="M1087" i="57"/>
  <c r="M1088" i="57"/>
  <c r="M1089" i="57"/>
  <c r="M1090" i="57"/>
  <c r="M1091" i="57"/>
  <c r="M1092" i="57"/>
  <c r="M1093" i="57"/>
  <c r="M1094" i="57"/>
  <c r="M1095" i="57"/>
  <c r="M1096" i="57"/>
  <c r="M1097" i="57"/>
  <c r="M1098" i="57"/>
  <c r="M1099" i="57"/>
  <c r="M1100" i="57"/>
  <c r="M1101" i="57"/>
  <c r="M1102" i="57"/>
  <c r="M1103" i="57"/>
  <c r="M1104" i="57"/>
  <c r="M1105" i="57"/>
  <c r="M1106" i="57"/>
  <c r="M1107" i="57"/>
  <c r="M1108" i="57"/>
  <c r="M1109" i="57"/>
  <c r="M1110" i="57"/>
  <c r="M1111" i="57"/>
  <c r="M1112" i="57"/>
  <c r="M1113" i="57"/>
  <c r="M1114" i="57"/>
  <c r="M1115" i="57"/>
  <c r="M1116" i="57"/>
  <c r="M1117" i="57"/>
  <c r="M1118" i="57"/>
  <c r="M1119" i="57"/>
  <c r="M1120" i="57"/>
  <c r="M1121" i="57"/>
  <c r="M1122" i="57"/>
  <c r="M1123" i="57"/>
  <c r="M1124" i="57"/>
  <c r="M1125" i="57"/>
  <c r="M1126" i="57"/>
  <c r="M1127" i="57"/>
  <c r="M1128" i="57"/>
  <c r="M1129" i="57"/>
  <c r="M1130" i="57"/>
  <c r="M1131" i="57"/>
  <c r="M1132" i="57"/>
  <c r="M1133" i="57"/>
  <c r="M1134" i="57"/>
  <c r="M1135" i="57"/>
  <c r="M1136" i="57"/>
  <c r="M1137" i="57"/>
  <c r="M1138" i="57"/>
  <c r="M1139" i="57"/>
  <c r="M1140" i="57"/>
  <c r="M1141" i="57"/>
  <c r="M1142" i="57"/>
  <c r="M1143" i="57"/>
  <c r="M1144" i="57"/>
  <c r="M1145" i="57"/>
  <c r="M1146" i="57"/>
  <c r="M1147" i="57"/>
  <c r="M1148" i="57"/>
  <c r="M1149" i="57"/>
  <c r="M1150" i="57"/>
  <c r="M1151" i="57"/>
  <c r="M1152" i="57"/>
  <c r="M1153" i="57"/>
  <c r="M1154" i="57"/>
  <c r="M1155" i="57"/>
  <c r="M1156" i="57"/>
  <c r="M1157" i="57"/>
  <c r="M1158" i="57"/>
  <c r="M1159" i="57"/>
  <c r="M1160" i="57"/>
  <c r="M1161" i="57"/>
  <c r="M1162" i="57"/>
  <c r="M1163" i="57"/>
  <c r="M1164" i="57"/>
  <c r="M1165" i="57"/>
  <c r="M1166" i="57"/>
  <c r="M1167" i="57"/>
  <c r="M1168" i="57"/>
  <c r="M1169" i="57"/>
  <c r="M1170" i="57"/>
  <c r="M1171" i="57"/>
  <c r="M1172" i="57"/>
  <c r="M1173" i="57"/>
  <c r="M1174" i="57"/>
  <c r="M1175" i="57"/>
  <c r="M1176" i="57"/>
  <c r="M1177" i="57"/>
  <c r="M1178" i="57"/>
  <c r="M1179" i="57"/>
  <c r="M1180" i="57"/>
  <c r="M1181" i="57"/>
  <c r="M1182" i="57"/>
  <c r="M1183" i="57"/>
  <c r="M1184" i="57"/>
  <c r="M2" i="57"/>
  <c r="F108" i="50"/>
  <c r="E108" i="50"/>
  <c r="F105" i="50"/>
  <c r="F109" i="50" s="1"/>
  <c r="E105" i="50"/>
  <c r="E109" i="50" s="1"/>
  <c r="C110" i="50"/>
  <c r="C109" i="50"/>
  <c r="F98" i="50"/>
  <c r="E98" i="50"/>
  <c r="F110" i="50" a="1"/>
  <c r="F110" i="50" s="1"/>
  <c r="E64" i="50" a="1"/>
  <c r="E64" i="50" s="1"/>
  <c r="E110" i="50" a="1"/>
  <c r="E110" i="50" s="1"/>
  <c r="F64" i="50" a="1"/>
  <c r="F64" i="50" s="1"/>
  <c r="F100" i="50" a="1"/>
  <c r="F100" i="50" s="1"/>
  <c r="F77" i="50" a="1"/>
  <c r="F77" i="50" s="1"/>
  <c r="E100" i="50" a="1"/>
  <c r="E100" i="50" s="1"/>
  <c r="F88" i="50" a="1"/>
  <c r="F88" i="50" s="1"/>
  <c r="E77" i="50" a="1"/>
  <c r="E77" i="50" s="1"/>
  <c r="E88" i="50" a="1"/>
  <c r="E88" i="50" s="1"/>
  <c r="I1287" i="57"/>
  <c r="H1287" i="57"/>
  <c r="G1287" i="57"/>
  <c r="F1287" i="57"/>
  <c r="E1287" i="57"/>
  <c r="D1287" i="57"/>
  <c r="N1184" i="57"/>
  <c r="I1286" i="57"/>
  <c r="H1286" i="57"/>
  <c r="G1286" i="57"/>
  <c r="F1286" i="57"/>
  <c r="E1286" i="57"/>
  <c r="D1286" i="57"/>
  <c r="I1285" i="57"/>
  <c r="H1285" i="57"/>
  <c r="G1285" i="57"/>
  <c r="F1285" i="57"/>
  <c r="E1285" i="57"/>
  <c r="D1285" i="57"/>
  <c r="I1284" i="57"/>
  <c r="H1284" i="57"/>
  <c r="G1284" i="57"/>
  <c r="F1284" i="57"/>
  <c r="E1284" i="57"/>
  <c r="D1284" i="57"/>
  <c r="N1183" i="57"/>
  <c r="I1283" i="57"/>
  <c r="H1283" i="57"/>
  <c r="G1283" i="57"/>
  <c r="F1283" i="57"/>
  <c r="E1283" i="57"/>
  <c r="D1283" i="57"/>
  <c r="N1182" i="57"/>
  <c r="I1282" i="57"/>
  <c r="H1282" i="57"/>
  <c r="G1282" i="57"/>
  <c r="F1282" i="57"/>
  <c r="E1282" i="57"/>
  <c r="D1282" i="57"/>
  <c r="I1281" i="57"/>
  <c r="H1281" i="57"/>
  <c r="G1281" i="57"/>
  <c r="F1281" i="57"/>
  <c r="E1281" i="57"/>
  <c r="D1281" i="57"/>
  <c r="N1181" i="57"/>
  <c r="I1280" i="57"/>
  <c r="H1280" i="57"/>
  <c r="G1280" i="57"/>
  <c r="F1280" i="57"/>
  <c r="E1280" i="57"/>
  <c r="D1280" i="57"/>
  <c r="I1279" i="57"/>
  <c r="H1279" i="57"/>
  <c r="G1279" i="57"/>
  <c r="F1279" i="57"/>
  <c r="E1279" i="57"/>
  <c r="D1279" i="57"/>
  <c r="I1278" i="57"/>
  <c r="H1278" i="57"/>
  <c r="G1278" i="57"/>
  <c r="F1278" i="57"/>
  <c r="E1278" i="57"/>
  <c r="D1278" i="57"/>
  <c r="N1180" i="57"/>
  <c r="I1277" i="57"/>
  <c r="H1277" i="57"/>
  <c r="G1277" i="57"/>
  <c r="F1277" i="57"/>
  <c r="E1277" i="57"/>
  <c r="D1277" i="57"/>
  <c r="N1179" i="57"/>
  <c r="I1276" i="57"/>
  <c r="H1276" i="57"/>
  <c r="G1276" i="57"/>
  <c r="F1276" i="57"/>
  <c r="E1276" i="57"/>
  <c r="D1276" i="57"/>
  <c r="N1178" i="57"/>
  <c r="I1275" i="57"/>
  <c r="H1275" i="57"/>
  <c r="G1275" i="57"/>
  <c r="F1275" i="57"/>
  <c r="E1275" i="57"/>
  <c r="D1275" i="57"/>
  <c r="N1177" i="57"/>
  <c r="I1274" i="57"/>
  <c r="H1274" i="57"/>
  <c r="G1274" i="57"/>
  <c r="F1274" i="57"/>
  <c r="E1274" i="57"/>
  <c r="D1274" i="57"/>
  <c r="N1176" i="57"/>
  <c r="I1273" i="57"/>
  <c r="H1273" i="57"/>
  <c r="G1273" i="57"/>
  <c r="F1273" i="57"/>
  <c r="E1273" i="57"/>
  <c r="D1273" i="57"/>
  <c r="N1175" i="57"/>
  <c r="I1272" i="57"/>
  <c r="H1272" i="57"/>
  <c r="G1272" i="57"/>
  <c r="F1272" i="57"/>
  <c r="E1272" i="57"/>
  <c r="D1272" i="57"/>
  <c r="N1174" i="57"/>
  <c r="I1271" i="57"/>
  <c r="H1271" i="57"/>
  <c r="G1271" i="57"/>
  <c r="F1271" i="57"/>
  <c r="E1271" i="57"/>
  <c r="D1271" i="57"/>
  <c r="N1173" i="57"/>
  <c r="I1270" i="57"/>
  <c r="H1270" i="57"/>
  <c r="G1270" i="57"/>
  <c r="F1270" i="57"/>
  <c r="E1270" i="57"/>
  <c r="D1270" i="57"/>
  <c r="N1172" i="57"/>
  <c r="I1269" i="57"/>
  <c r="H1269" i="57"/>
  <c r="G1269" i="57"/>
  <c r="F1269" i="57"/>
  <c r="E1269" i="57"/>
  <c r="D1269" i="57"/>
  <c r="N1171" i="57"/>
  <c r="I1268" i="57"/>
  <c r="H1268" i="57"/>
  <c r="G1268" i="57"/>
  <c r="F1268" i="57"/>
  <c r="E1268" i="57"/>
  <c r="D1268" i="57"/>
  <c r="N1170" i="57"/>
  <c r="I1267" i="57"/>
  <c r="H1267" i="57"/>
  <c r="G1267" i="57"/>
  <c r="F1267" i="57"/>
  <c r="E1267" i="57"/>
  <c r="D1267" i="57"/>
  <c r="N1169" i="57"/>
  <c r="I1266" i="57"/>
  <c r="H1266" i="57"/>
  <c r="G1266" i="57"/>
  <c r="F1266" i="57"/>
  <c r="E1266" i="57"/>
  <c r="D1266" i="57"/>
  <c r="N1168" i="57"/>
  <c r="I1265" i="57"/>
  <c r="H1265" i="57"/>
  <c r="G1265" i="57"/>
  <c r="F1265" i="57"/>
  <c r="E1265" i="57"/>
  <c r="D1265" i="57"/>
  <c r="N1167" i="57"/>
  <c r="I1264" i="57"/>
  <c r="H1264" i="57"/>
  <c r="G1264" i="57"/>
  <c r="F1264" i="57"/>
  <c r="E1264" i="57"/>
  <c r="D1264" i="57"/>
  <c r="I1263" i="57"/>
  <c r="H1263" i="57"/>
  <c r="G1263" i="57"/>
  <c r="F1263" i="57"/>
  <c r="E1263" i="57"/>
  <c r="D1263" i="57"/>
  <c r="N1166" i="57"/>
  <c r="I1262" i="57"/>
  <c r="H1262" i="57"/>
  <c r="G1262" i="57"/>
  <c r="F1262" i="57"/>
  <c r="E1262" i="57"/>
  <c r="D1262" i="57"/>
  <c r="N1165" i="57"/>
  <c r="I1261" i="57"/>
  <c r="H1261" i="57"/>
  <c r="G1261" i="57"/>
  <c r="F1261" i="57"/>
  <c r="E1261" i="57"/>
  <c r="D1261" i="57"/>
  <c r="N1164" i="57"/>
  <c r="I1260" i="57"/>
  <c r="H1260" i="57"/>
  <c r="G1260" i="57"/>
  <c r="F1260" i="57"/>
  <c r="E1260" i="57"/>
  <c r="D1260" i="57"/>
  <c r="N1163" i="57"/>
  <c r="I1259" i="57"/>
  <c r="H1259" i="57"/>
  <c r="G1259" i="57"/>
  <c r="F1259" i="57"/>
  <c r="E1259" i="57"/>
  <c r="D1259" i="57"/>
  <c r="N1162" i="57"/>
  <c r="I1258" i="57"/>
  <c r="H1258" i="57"/>
  <c r="G1258" i="57"/>
  <c r="F1258" i="57"/>
  <c r="E1258" i="57"/>
  <c r="D1258" i="57"/>
  <c r="N1161" i="57"/>
  <c r="I1257" i="57"/>
  <c r="H1257" i="57"/>
  <c r="G1257" i="57"/>
  <c r="F1257" i="57"/>
  <c r="E1257" i="57"/>
  <c r="D1257" i="57"/>
  <c r="N1160" i="57"/>
  <c r="I1256" i="57"/>
  <c r="H1256" i="57"/>
  <c r="G1256" i="57"/>
  <c r="F1256" i="57"/>
  <c r="E1256" i="57"/>
  <c r="D1256" i="57"/>
  <c r="N1159" i="57"/>
  <c r="I1255" i="57"/>
  <c r="H1255" i="57"/>
  <c r="G1255" i="57"/>
  <c r="F1255" i="57"/>
  <c r="E1255" i="57"/>
  <c r="D1255" i="57"/>
  <c r="N1158" i="57"/>
  <c r="I1254" i="57"/>
  <c r="H1254" i="57"/>
  <c r="G1254" i="57"/>
  <c r="F1254" i="57"/>
  <c r="E1254" i="57"/>
  <c r="D1254" i="57"/>
  <c r="N1157" i="57"/>
  <c r="I1253" i="57"/>
  <c r="H1253" i="57"/>
  <c r="G1253" i="57"/>
  <c r="F1253" i="57"/>
  <c r="E1253" i="57"/>
  <c r="D1253" i="57"/>
  <c r="N1156" i="57"/>
  <c r="I1252" i="57"/>
  <c r="H1252" i="57"/>
  <c r="G1252" i="57"/>
  <c r="F1252" i="57"/>
  <c r="E1252" i="57"/>
  <c r="D1252" i="57"/>
  <c r="N1155" i="57"/>
  <c r="I1251" i="57"/>
  <c r="H1251" i="57"/>
  <c r="G1251" i="57"/>
  <c r="F1251" i="57"/>
  <c r="E1251" i="57"/>
  <c r="D1251" i="57"/>
  <c r="N1154" i="57"/>
  <c r="I1250" i="57"/>
  <c r="H1250" i="57"/>
  <c r="G1250" i="57"/>
  <c r="F1250" i="57"/>
  <c r="E1250" i="57"/>
  <c r="D1250" i="57"/>
  <c r="N1153" i="57"/>
  <c r="I1249" i="57"/>
  <c r="H1249" i="57"/>
  <c r="G1249" i="57"/>
  <c r="F1249" i="57"/>
  <c r="E1249" i="57"/>
  <c r="D1249" i="57"/>
  <c r="N1152" i="57"/>
  <c r="I1248" i="57"/>
  <c r="H1248" i="57"/>
  <c r="G1248" i="57"/>
  <c r="F1248" i="57"/>
  <c r="E1248" i="57"/>
  <c r="D1248" i="57"/>
  <c r="I1247" i="57"/>
  <c r="H1247" i="57"/>
  <c r="G1247" i="57"/>
  <c r="F1247" i="57"/>
  <c r="E1247" i="57"/>
  <c r="D1247" i="57"/>
  <c r="N1151" i="57"/>
  <c r="I1246" i="57"/>
  <c r="H1246" i="57"/>
  <c r="G1246" i="57"/>
  <c r="F1246" i="57"/>
  <c r="E1246" i="57"/>
  <c r="D1246" i="57"/>
  <c r="N1150" i="57"/>
  <c r="I1245" i="57"/>
  <c r="H1245" i="57"/>
  <c r="G1245" i="57"/>
  <c r="F1245" i="57"/>
  <c r="E1245" i="57"/>
  <c r="D1245" i="57"/>
  <c r="N1149" i="57"/>
  <c r="I1244" i="57"/>
  <c r="H1244" i="57"/>
  <c r="G1244" i="57"/>
  <c r="F1244" i="57"/>
  <c r="E1244" i="57"/>
  <c r="D1244" i="57"/>
  <c r="N1148" i="57"/>
  <c r="I1243" i="57"/>
  <c r="H1243" i="57"/>
  <c r="G1243" i="57"/>
  <c r="F1243" i="57"/>
  <c r="E1243" i="57"/>
  <c r="D1243" i="57"/>
  <c r="N1147" i="57"/>
  <c r="I1242" i="57"/>
  <c r="H1242" i="57"/>
  <c r="G1242" i="57"/>
  <c r="F1242" i="57"/>
  <c r="E1242" i="57"/>
  <c r="D1242" i="57"/>
  <c r="N1146" i="57"/>
  <c r="I1241" i="57"/>
  <c r="H1241" i="57"/>
  <c r="G1241" i="57"/>
  <c r="F1241" i="57"/>
  <c r="E1241" i="57"/>
  <c r="D1241" i="57"/>
  <c r="N1145" i="57"/>
  <c r="I1240" i="57"/>
  <c r="H1240" i="57"/>
  <c r="G1240" i="57"/>
  <c r="F1240" i="57"/>
  <c r="E1240" i="57"/>
  <c r="D1240" i="57"/>
  <c r="N1144" i="57"/>
  <c r="I1239" i="57"/>
  <c r="H1239" i="57"/>
  <c r="G1239" i="57"/>
  <c r="F1239" i="57"/>
  <c r="E1239" i="57"/>
  <c r="D1239" i="57"/>
  <c r="N1143" i="57"/>
  <c r="I1238" i="57"/>
  <c r="H1238" i="57"/>
  <c r="G1238" i="57"/>
  <c r="F1238" i="57"/>
  <c r="E1238" i="57"/>
  <c r="D1238" i="57"/>
  <c r="N1142" i="57"/>
  <c r="I1237" i="57"/>
  <c r="H1237" i="57"/>
  <c r="G1237" i="57"/>
  <c r="F1237" i="57"/>
  <c r="E1237" i="57"/>
  <c r="D1237" i="57"/>
  <c r="N1141" i="57"/>
  <c r="I1236" i="57"/>
  <c r="H1236" i="57"/>
  <c r="G1236" i="57"/>
  <c r="F1236" i="57"/>
  <c r="E1236" i="57"/>
  <c r="D1236" i="57"/>
  <c r="N1140" i="57"/>
  <c r="I1235" i="57"/>
  <c r="H1235" i="57"/>
  <c r="G1235" i="57"/>
  <c r="F1235" i="57"/>
  <c r="E1235" i="57"/>
  <c r="D1235" i="57"/>
  <c r="N1139" i="57"/>
  <c r="I1234" i="57"/>
  <c r="H1234" i="57"/>
  <c r="G1234" i="57"/>
  <c r="F1234" i="57"/>
  <c r="E1234" i="57"/>
  <c r="D1234" i="57"/>
  <c r="I1233" i="57"/>
  <c r="H1233" i="57"/>
  <c r="G1233" i="57"/>
  <c r="F1233" i="57"/>
  <c r="E1233" i="57"/>
  <c r="D1233" i="57"/>
  <c r="I1232" i="57"/>
  <c r="H1232" i="57"/>
  <c r="G1232" i="57"/>
  <c r="F1232" i="57"/>
  <c r="E1232" i="57"/>
  <c r="D1232" i="57"/>
  <c r="N1138" i="57"/>
  <c r="I1231" i="57"/>
  <c r="H1231" i="57"/>
  <c r="G1231" i="57"/>
  <c r="F1231" i="57"/>
  <c r="E1231" i="57"/>
  <c r="D1231" i="57"/>
  <c r="N1137" i="57"/>
  <c r="I1230" i="57"/>
  <c r="H1230" i="57"/>
  <c r="G1230" i="57"/>
  <c r="F1230" i="57"/>
  <c r="E1230" i="57"/>
  <c r="D1230" i="57"/>
  <c r="N1136" i="57"/>
  <c r="I1229" i="57"/>
  <c r="H1229" i="57"/>
  <c r="G1229" i="57"/>
  <c r="F1229" i="57"/>
  <c r="E1229" i="57"/>
  <c r="D1229" i="57"/>
  <c r="N1135" i="57"/>
  <c r="I1228" i="57"/>
  <c r="H1228" i="57"/>
  <c r="G1228" i="57"/>
  <c r="F1228" i="57"/>
  <c r="E1228" i="57"/>
  <c r="D1228" i="57"/>
  <c r="N1134" i="57"/>
  <c r="I1227" i="57"/>
  <c r="H1227" i="57"/>
  <c r="G1227" i="57"/>
  <c r="F1227" i="57"/>
  <c r="E1227" i="57"/>
  <c r="D1227" i="57"/>
  <c r="N1133" i="57"/>
  <c r="I1226" i="57"/>
  <c r="H1226" i="57"/>
  <c r="G1226" i="57"/>
  <c r="F1226" i="57"/>
  <c r="E1226" i="57"/>
  <c r="D1226" i="57"/>
  <c r="N1132" i="57"/>
  <c r="I1225" i="57"/>
  <c r="H1225" i="57"/>
  <c r="G1225" i="57"/>
  <c r="F1225" i="57"/>
  <c r="E1225" i="57"/>
  <c r="D1225" i="57"/>
  <c r="N1131" i="57"/>
  <c r="I1224" i="57"/>
  <c r="H1224" i="57"/>
  <c r="G1224" i="57"/>
  <c r="F1224" i="57"/>
  <c r="E1224" i="57"/>
  <c r="D1224" i="57"/>
  <c r="N1130" i="57"/>
  <c r="I1223" i="57"/>
  <c r="H1223" i="57"/>
  <c r="G1223" i="57"/>
  <c r="F1223" i="57"/>
  <c r="E1223" i="57"/>
  <c r="D1223" i="57"/>
  <c r="N1129" i="57"/>
  <c r="I1222" i="57"/>
  <c r="H1222" i="57"/>
  <c r="G1222" i="57"/>
  <c r="F1222" i="57"/>
  <c r="E1222" i="57"/>
  <c r="D1222" i="57"/>
  <c r="N1128" i="57"/>
  <c r="I1221" i="57"/>
  <c r="H1221" i="57"/>
  <c r="G1221" i="57"/>
  <c r="F1221" i="57"/>
  <c r="E1221" i="57"/>
  <c r="D1221" i="57"/>
  <c r="N1127" i="57"/>
  <c r="I1220" i="57"/>
  <c r="H1220" i="57"/>
  <c r="G1220" i="57"/>
  <c r="F1220" i="57"/>
  <c r="E1220" i="57"/>
  <c r="D1220" i="57"/>
  <c r="N1126" i="57"/>
  <c r="I1219" i="57"/>
  <c r="H1219" i="57"/>
  <c r="G1219" i="57"/>
  <c r="F1219" i="57"/>
  <c r="E1219" i="57"/>
  <c r="D1219" i="57"/>
  <c r="N1125" i="57"/>
  <c r="I1218" i="57"/>
  <c r="H1218" i="57"/>
  <c r="G1218" i="57"/>
  <c r="F1218" i="57"/>
  <c r="E1218" i="57"/>
  <c r="D1218" i="57"/>
  <c r="N1124" i="57"/>
  <c r="I1217" i="57"/>
  <c r="H1217" i="57"/>
  <c r="G1217" i="57"/>
  <c r="F1217" i="57"/>
  <c r="E1217" i="57"/>
  <c r="D1217" i="57"/>
  <c r="I1216" i="57"/>
  <c r="H1216" i="57"/>
  <c r="G1216" i="57"/>
  <c r="F1216" i="57"/>
  <c r="E1216" i="57"/>
  <c r="D1216" i="57"/>
  <c r="N1123" i="57"/>
  <c r="I1215" i="57"/>
  <c r="H1215" i="57"/>
  <c r="G1215" i="57"/>
  <c r="F1215" i="57"/>
  <c r="E1215" i="57"/>
  <c r="D1215" i="57"/>
  <c r="N1122" i="57"/>
  <c r="I1214" i="57"/>
  <c r="H1214" i="57"/>
  <c r="G1214" i="57"/>
  <c r="F1214" i="57"/>
  <c r="E1214" i="57"/>
  <c r="D1214" i="57"/>
  <c r="N1121" i="57"/>
  <c r="I1213" i="57"/>
  <c r="H1213" i="57"/>
  <c r="G1213" i="57"/>
  <c r="F1213" i="57"/>
  <c r="E1213" i="57"/>
  <c r="D1213" i="57"/>
  <c r="I1212" i="57"/>
  <c r="H1212" i="57"/>
  <c r="G1212" i="57"/>
  <c r="F1212" i="57"/>
  <c r="E1212" i="57"/>
  <c r="D1212" i="57"/>
  <c r="N1120" i="57"/>
  <c r="I1211" i="57"/>
  <c r="H1211" i="57"/>
  <c r="G1211" i="57"/>
  <c r="F1211" i="57"/>
  <c r="E1211" i="57"/>
  <c r="D1211" i="57"/>
  <c r="N1119" i="57"/>
  <c r="I1210" i="57"/>
  <c r="H1210" i="57"/>
  <c r="G1210" i="57"/>
  <c r="F1210" i="57"/>
  <c r="E1210" i="57"/>
  <c r="D1210" i="57"/>
  <c r="N1118" i="57"/>
  <c r="I1209" i="57"/>
  <c r="H1209" i="57"/>
  <c r="G1209" i="57"/>
  <c r="F1209" i="57"/>
  <c r="E1209" i="57"/>
  <c r="D1209" i="57"/>
  <c r="N1117" i="57"/>
  <c r="I1208" i="57"/>
  <c r="H1208" i="57"/>
  <c r="G1208" i="57"/>
  <c r="F1208" i="57"/>
  <c r="E1208" i="57"/>
  <c r="D1208" i="57"/>
  <c r="I1207" i="57"/>
  <c r="H1207" i="57"/>
  <c r="G1207" i="57"/>
  <c r="F1207" i="57"/>
  <c r="E1207" i="57"/>
  <c r="D1207" i="57"/>
  <c r="N1116" i="57"/>
  <c r="I1206" i="57"/>
  <c r="H1206" i="57"/>
  <c r="G1206" i="57"/>
  <c r="F1206" i="57"/>
  <c r="E1206" i="57"/>
  <c r="D1206" i="57"/>
  <c r="N1115" i="57"/>
  <c r="I1205" i="57"/>
  <c r="H1205" i="57"/>
  <c r="G1205" i="57"/>
  <c r="F1205" i="57"/>
  <c r="E1205" i="57"/>
  <c r="D1205" i="57"/>
  <c r="N1114" i="57"/>
  <c r="I1204" i="57"/>
  <c r="H1204" i="57"/>
  <c r="G1204" i="57"/>
  <c r="F1204" i="57"/>
  <c r="E1204" i="57"/>
  <c r="D1204" i="57"/>
  <c r="N1113" i="57"/>
  <c r="I1203" i="57"/>
  <c r="H1203" i="57"/>
  <c r="G1203" i="57"/>
  <c r="F1203" i="57"/>
  <c r="E1203" i="57"/>
  <c r="D1203" i="57"/>
  <c r="N1112" i="57"/>
  <c r="I1202" i="57"/>
  <c r="H1202" i="57"/>
  <c r="G1202" i="57"/>
  <c r="F1202" i="57"/>
  <c r="E1202" i="57"/>
  <c r="D1202" i="57"/>
  <c r="N1111" i="57"/>
  <c r="I1201" i="57"/>
  <c r="H1201" i="57"/>
  <c r="G1201" i="57"/>
  <c r="F1201" i="57"/>
  <c r="E1201" i="57"/>
  <c r="D1201" i="57"/>
  <c r="N1110" i="57"/>
  <c r="I1200" i="57"/>
  <c r="H1200" i="57"/>
  <c r="G1200" i="57"/>
  <c r="F1200" i="57"/>
  <c r="E1200" i="57"/>
  <c r="D1200" i="57"/>
  <c r="N1109" i="57"/>
  <c r="I1199" i="57"/>
  <c r="H1199" i="57"/>
  <c r="G1199" i="57"/>
  <c r="F1199" i="57"/>
  <c r="E1199" i="57"/>
  <c r="D1199" i="57"/>
  <c r="N1108" i="57"/>
  <c r="I1198" i="57"/>
  <c r="H1198" i="57"/>
  <c r="G1198" i="57"/>
  <c r="F1198" i="57"/>
  <c r="E1198" i="57"/>
  <c r="D1198" i="57"/>
  <c r="I1197" i="57"/>
  <c r="H1197" i="57"/>
  <c r="G1197" i="57"/>
  <c r="F1197" i="57"/>
  <c r="E1197" i="57"/>
  <c r="D1197" i="57"/>
  <c r="I1196" i="57"/>
  <c r="H1196" i="57"/>
  <c r="G1196" i="57"/>
  <c r="F1196" i="57"/>
  <c r="E1196" i="57"/>
  <c r="D1196" i="57"/>
  <c r="N1107" i="57"/>
  <c r="I1195" i="57"/>
  <c r="H1195" i="57"/>
  <c r="G1195" i="57"/>
  <c r="F1195" i="57"/>
  <c r="E1195" i="57"/>
  <c r="D1195" i="57"/>
  <c r="N1106" i="57"/>
  <c r="I1194" i="57"/>
  <c r="H1194" i="57"/>
  <c r="G1194" i="57"/>
  <c r="F1194" i="57"/>
  <c r="E1194" i="57"/>
  <c r="D1194" i="57"/>
  <c r="N1105" i="57"/>
  <c r="I1193" i="57"/>
  <c r="H1193" i="57"/>
  <c r="G1193" i="57"/>
  <c r="F1193" i="57"/>
  <c r="E1193" i="57"/>
  <c r="D1193" i="57"/>
  <c r="I1192" i="57"/>
  <c r="H1192" i="57"/>
  <c r="G1192" i="57"/>
  <c r="F1192" i="57"/>
  <c r="E1192" i="57"/>
  <c r="D1192" i="57"/>
  <c r="N1104" i="57"/>
  <c r="I1191" i="57"/>
  <c r="H1191" i="57"/>
  <c r="G1191" i="57"/>
  <c r="F1191" i="57"/>
  <c r="E1191" i="57"/>
  <c r="D1191" i="57"/>
  <c r="N1103" i="57"/>
  <c r="I1190" i="57"/>
  <c r="H1190" i="57"/>
  <c r="G1190" i="57"/>
  <c r="F1190" i="57"/>
  <c r="E1190" i="57"/>
  <c r="D1190" i="57"/>
  <c r="N1102" i="57"/>
  <c r="I1189" i="57"/>
  <c r="H1189" i="57"/>
  <c r="G1189" i="57"/>
  <c r="F1189" i="57"/>
  <c r="E1189" i="57"/>
  <c r="D1189" i="57"/>
  <c r="N1101" i="57"/>
  <c r="I1188" i="57"/>
  <c r="H1188" i="57"/>
  <c r="G1188" i="57"/>
  <c r="F1188" i="57"/>
  <c r="E1188" i="57"/>
  <c r="D1188" i="57"/>
  <c r="I1187" i="57"/>
  <c r="H1187" i="57"/>
  <c r="G1187" i="57"/>
  <c r="F1187" i="57"/>
  <c r="E1187" i="57"/>
  <c r="D1187" i="57"/>
  <c r="N1100" i="57"/>
  <c r="I1186" i="57"/>
  <c r="H1186" i="57"/>
  <c r="G1186" i="57"/>
  <c r="F1186" i="57"/>
  <c r="E1186" i="57"/>
  <c r="D1186" i="57"/>
  <c r="N1099" i="57"/>
  <c r="I1185" i="57"/>
  <c r="H1185" i="57"/>
  <c r="G1185" i="57"/>
  <c r="F1185" i="57"/>
  <c r="E1185" i="57"/>
  <c r="D1185" i="57"/>
  <c r="N1098" i="57"/>
  <c r="I1184" i="57"/>
  <c r="H1184" i="57"/>
  <c r="G1184" i="57"/>
  <c r="F1184" i="57"/>
  <c r="E1184" i="57"/>
  <c r="D1184" i="57"/>
  <c r="N1097" i="57"/>
  <c r="I1183" i="57"/>
  <c r="H1183" i="57"/>
  <c r="G1183" i="57"/>
  <c r="F1183" i="57"/>
  <c r="E1183" i="57"/>
  <c r="D1183" i="57"/>
  <c r="N1096" i="57"/>
  <c r="I1182" i="57"/>
  <c r="H1182" i="57"/>
  <c r="G1182" i="57"/>
  <c r="F1182" i="57"/>
  <c r="E1182" i="57"/>
  <c r="D1182" i="57"/>
  <c r="N1095" i="57"/>
  <c r="I1181" i="57"/>
  <c r="H1181" i="57"/>
  <c r="G1181" i="57"/>
  <c r="F1181" i="57"/>
  <c r="E1181" i="57"/>
  <c r="D1181" i="57"/>
  <c r="N1094" i="57"/>
  <c r="I1180" i="57"/>
  <c r="H1180" i="57"/>
  <c r="G1180" i="57"/>
  <c r="F1180" i="57"/>
  <c r="E1180" i="57"/>
  <c r="D1180" i="57"/>
  <c r="N1093" i="57"/>
  <c r="I1179" i="57"/>
  <c r="H1179" i="57"/>
  <c r="G1179" i="57"/>
  <c r="F1179" i="57"/>
  <c r="E1179" i="57"/>
  <c r="D1179" i="57"/>
  <c r="N1092" i="57"/>
  <c r="I1178" i="57"/>
  <c r="H1178" i="57"/>
  <c r="G1178" i="57"/>
  <c r="F1178" i="57"/>
  <c r="E1178" i="57"/>
  <c r="D1178" i="57"/>
  <c r="N1091" i="57"/>
  <c r="I1177" i="57"/>
  <c r="H1177" i="57"/>
  <c r="G1177" i="57"/>
  <c r="F1177" i="57"/>
  <c r="E1177" i="57"/>
  <c r="D1177" i="57"/>
  <c r="N1090" i="57"/>
  <c r="I1176" i="57"/>
  <c r="H1176" i="57"/>
  <c r="G1176" i="57"/>
  <c r="F1176" i="57"/>
  <c r="E1176" i="57"/>
  <c r="D1176" i="57"/>
  <c r="N1089" i="57"/>
  <c r="I1175" i="57"/>
  <c r="H1175" i="57"/>
  <c r="G1175" i="57"/>
  <c r="F1175" i="57"/>
  <c r="E1175" i="57"/>
  <c r="D1175" i="57"/>
  <c r="N1088" i="57"/>
  <c r="I1174" i="57"/>
  <c r="H1174" i="57"/>
  <c r="G1174" i="57"/>
  <c r="F1174" i="57"/>
  <c r="E1174" i="57"/>
  <c r="D1174" i="57"/>
  <c r="N1087" i="57"/>
  <c r="I1173" i="57"/>
  <c r="H1173" i="57"/>
  <c r="G1173" i="57"/>
  <c r="F1173" i="57"/>
  <c r="E1173" i="57"/>
  <c r="D1173" i="57"/>
  <c r="N1086" i="57"/>
  <c r="I1172" i="57"/>
  <c r="H1172" i="57"/>
  <c r="G1172" i="57"/>
  <c r="F1172" i="57"/>
  <c r="E1172" i="57"/>
  <c r="D1172" i="57"/>
  <c r="N1085" i="57"/>
  <c r="I1171" i="57"/>
  <c r="H1171" i="57"/>
  <c r="G1171" i="57"/>
  <c r="F1171" i="57"/>
  <c r="E1171" i="57"/>
  <c r="D1171" i="57"/>
  <c r="N1084" i="57"/>
  <c r="I1170" i="57"/>
  <c r="H1170" i="57"/>
  <c r="G1170" i="57"/>
  <c r="F1170" i="57"/>
  <c r="E1170" i="57"/>
  <c r="D1170" i="57"/>
  <c r="N1083" i="57"/>
  <c r="I1169" i="57"/>
  <c r="H1169" i="57"/>
  <c r="G1169" i="57"/>
  <c r="F1169" i="57"/>
  <c r="E1169" i="57"/>
  <c r="D1169" i="57"/>
  <c r="N1082" i="57"/>
  <c r="I1168" i="57"/>
  <c r="H1168" i="57"/>
  <c r="G1168" i="57"/>
  <c r="F1168" i="57"/>
  <c r="E1168" i="57"/>
  <c r="D1168" i="57"/>
  <c r="N1081" i="57"/>
  <c r="I1167" i="57"/>
  <c r="H1167" i="57"/>
  <c r="G1167" i="57"/>
  <c r="F1167" i="57"/>
  <c r="E1167" i="57"/>
  <c r="D1167" i="57"/>
  <c r="N1080" i="57"/>
  <c r="I1166" i="57"/>
  <c r="H1166" i="57"/>
  <c r="G1166" i="57"/>
  <c r="F1166" i="57"/>
  <c r="E1166" i="57"/>
  <c r="D1166" i="57"/>
  <c r="I1165" i="57"/>
  <c r="H1165" i="57"/>
  <c r="G1165" i="57"/>
  <c r="F1165" i="57"/>
  <c r="E1165" i="57"/>
  <c r="D1165" i="57"/>
  <c r="I1164" i="57"/>
  <c r="H1164" i="57"/>
  <c r="G1164" i="57"/>
  <c r="F1164" i="57"/>
  <c r="E1164" i="57"/>
  <c r="D1164" i="57"/>
  <c r="N1079" i="57"/>
  <c r="I1163" i="57"/>
  <c r="H1163" i="57"/>
  <c r="G1163" i="57"/>
  <c r="F1163" i="57"/>
  <c r="E1163" i="57"/>
  <c r="D1163" i="57"/>
  <c r="N1078" i="57"/>
  <c r="I1162" i="57"/>
  <c r="H1162" i="57"/>
  <c r="G1162" i="57"/>
  <c r="F1162" i="57"/>
  <c r="E1162" i="57"/>
  <c r="D1162" i="57"/>
  <c r="N1077" i="57"/>
  <c r="I1161" i="57"/>
  <c r="H1161" i="57"/>
  <c r="G1161" i="57"/>
  <c r="F1161" i="57"/>
  <c r="E1161" i="57"/>
  <c r="D1161" i="57"/>
  <c r="N1076" i="57"/>
  <c r="I1160" i="57"/>
  <c r="H1160" i="57"/>
  <c r="G1160" i="57"/>
  <c r="F1160" i="57"/>
  <c r="E1160" i="57"/>
  <c r="D1160" i="57"/>
  <c r="N1075" i="57"/>
  <c r="I1159" i="57"/>
  <c r="H1159" i="57"/>
  <c r="G1159" i="57"/>
  <c r="F1159" i="57"/>
  <c r="E1159" i="57"/>
  <c r="D1159" i="57"/>
  <c r="N1074" i="57"/>
  <c r="I1158" i="57"/>
  <c r="H1158" i="57"/>
  <c r="G1158" i="57"/>
  <c r="F1158" i="57"/>
  <c r="E1158" i="57"/>
  <c r="D1158" i="57"/>
  <c r="N1073" i="57"/>
  <c r="I1157" i="57"/>
  <c r="H1157" i="57"/>
  <c r="G1157" i="57"/>
  <c r="F1157" i="57"/>
  <c r="E1157" i="57"/>
  <c r="D1157" i="57"/>
  <c r="N1072" i="57"/>
  <c r="I1156" i="57"/>
  <c r="H1156" i="57"/>
  <c r="G1156" i="57"/>
  <c r="F1156" i="57"/>
  <c r="E1156" i="57"/>
  <c r="D1156" i="57"/>
  <c r="N1071" i="57"/>
  <c r="I1155" i="57"/>
  <c r="H1155" i="57"/>
  <c r="G1155" i="57"/>
  <c r="F1155" i="57"/>
  <c r="E1155" i="57"/>
  <c r="D1155" i="57"/>
  <c r="N1070" i="57"/>
  <c r="I1154" i="57"/>
  <c r="H1154" i="57"/>
  <c r="G1154" i="57"/>
  <c r="F1154" i="57"/>
  <c r="E1154" i="57"/>
  <c r="D1154" i="57"/>
  <c r="N1069" i="57"/>
  <c r="I1153" i="57"/>
  <c r="H1153" i="57"/>
  <c r="G1153" i="57"/>
  <c r="F1153" i="57"/>
  <c r="E1153" i="57"/>
  <c r="D1153" i="57"/>
  <c r="N1068" i="57"/>
  <c r="I1152" i="57"/>
  <c r="H1152" i="57"/>
  <c r="G1152" i="57"/>
  <c r="F1152" i="57"/>
  <c r="E1152" i="57"/>
  <c r="D1152" i="57"/>
  <c r="N1067" i="57"/>
  <c r="I1151" i="57"/>
  <c r="H1151" i="57"/>
  <c r="G1151" i="57"/>
  <c r="F1151" i="57"/>
  <c r="E1151" i="57"/>
  <c r="D1151" i="57"/>
  <c r="N1066" i="57"/>
  <c r="I1150" i="57"/>
  <c r="H1150" i="57"/>
  <c r="G1150" i="57"/>
  <c r="F1150" i="57"/>
  <c r="E1150" i="57"/>
  <c r="D1150" i="57"/>
  <c r="N1065" i="57"/>
  <c r="I1149" i="57"/>
  <c r="H1149" i="57"/>
  <c r="G1149" i="57"/>
  <c r="F1149" i="57"/>
  <c r="E1149" i="57"/>
  <c r="D1149" i="57"/>
  <c r="N1064" i="57"/>
  <c r="I1148" i="57"/>
  <c r="H1148" i="57"/>
  <c r="G1148" i="57"/>
  <c r="F1148" i="57"/>
  <c r="E1148" i="57"/>
  <c r="D1148" i="57"/>
  <c r="N1063" i="57"/>
  <c r="I1147" i="57"/>
  <c r="H1147" i="57"/>
  <c r="G1147" i="57"/>
  <c r="F1147" i="57"/>
  <c r="E1147" i="57"/>
  <c r="D1147" i="57"/>
  <c r="N1062" i="57"/>
  <c r="I1146" i="57"/>
  <c r="H1146" i="57"/>
  <c r="G1146" i="57"/>
  <c r="F1146" i="57"/>
  <c r="E1146" i="57"/>
  <c r="D1146" i="57"/>
  <c r="N1061" i="57"/>
  <c r="I1145" i="57"/>
  <c r="H1145" i="57"/>
  <c r="G1145" i="57"/>
  <c r="F1145" i="57"/>
  <c r="E1145" i="57"/>
  <c r="D1145" i="57"/>
  <c r="N1060" i="57"/>
  <c r="I1144" i="57"/>
  <c r="H1144" i="57"/>
  <c r="G1144" i="57"/>
  <c r="F1144" i="57"/>
  <c r="E1144" i="57"/>
  <c r="D1144" i="57"/>
  <c r="I1143" i="57"/>
  <c r="H1143" i="57"/>
  <c r="G1143" i="57"/>
  <c r="F1143" i="57"/>
  <c r="E1143" i="57"/>
  <c r="D1143" i="57"/>
  <c r="I1142" i="57"/>
  <c r="H1142" i="57"/>
  <c r="G1142" i="57"/>
  <c r="F1142" i="57"/>
  <c r="E1142" i="57"/>
  <c r="D1142" i="57"/>
  <c r="N1059" i="57"/>
  <c r="I1141" i="57"/>
  <c r="H1141" i="57"/>
  <c r="G1141" i="57"/>
  <c r="F1141" i="57"/>
  <c r="E1141" i="57"/>
  <c r="D1141" i="57"/>
  <c r="N1058" i="57"/>
  <c r="I1140" i="57"/>
  <c r="H1140" i="57"/>
  <c r="G1140" i="57"/>
  <c r="F1140" i="57"/>
  <c r="E1140" i="57"/>
  <c r="D1140" i="57"/>
  <c r="N1057" i="57"/>
  <c r="I1139" i="57"/>
  <c r="H1139" i="57"/>
  <c r="G1139" i="57"/>
  <c r="F1139" i="57"/>
  <c r="E1139" i="57"/>
  <c r="D1139" i="57"/>
  <c r="N1056" i="57"/>
  <c r="I1138" i="57"/>
  <c r="H1138" i="57"/>
  <c r="G1138" i="57"/>
  <c r="F1138" i="57"/>
  <c r="E1138" i="57"/>
  <c r="D1138" i="57"/>
  <c r="N1055" i="57"/>
  <c r="I1137" i="57"/>
  <c r="H1137" i="57"/>
  <c r="G1137" i="57"/>
  <c r="F1137" i="57"/>
  <c r="E1137" i="57"/>
  <c r="D1137" i="57"/>
  <c r="N1054" i="57"/>
  <c r="I1136" i="57"/>
  <c r="H1136" i="57"/>
  <c r="G1136" i="57"/>
  <c r="F1136" i="57"/>
  <c r="E1136" i="57"/>
  <c r="D1136" i="57"/>
  <c r="N1053" i="57"/>
  <c r="I1135" i="57"/>
  <c r="H1135" i="57"/>
  <c r="G1135" i="57"/>
  <c r="F1135" i="57"/>
  <c r="E1135" i="57"/>
  <c r="D1135" i="57"/>
  <c r="N1052" i="57"/>
  <c r="I1134" i="57"/>
  <c r="H1134" i="57"/>
  <c r="G1134" i="57"/>
  <c r="F1134" i="57"/>
  <c r="E1134" i="57"/>
  <c r="D1134" i="57"/>
  <c r="N1051" i="57"/>
  <c r="I1133" i="57"/>
  <c r="H1133" i="57"/>
  <c r="G1133" i="57"/>
  <c r="F1133" i="57"/>
  <c r="E1133" i="57"/>
  <c r="D1133" i="57"/>
  <c r="N1050" i="57"/>
  <c r="I1132" i="57"/>
  <c r="H1132" i="57"/>
  <c r="G1132" i="57"/>
  <c r="F1132" i="57"/>
  <c r="E1132" i="57"/>
  <c r="D1132" i="57"/>
  <c r="N1049" i="57"/>
  <c r="I1131" i="57"/>
  <c r="H1131" i="57"/>
  <c r="G1131" i="57"/>
  <c r="F1131" i="57"/>
  <c r="E1131" i="57"/>
  <c r="D1131" i="57"/>
  <c r="N1048" i="57"/>
  <c r="I1130" i="57"/>
  <c r="H1130" i="57"/>
  <c r="G1130" i="57"/>
  <c r="F1130" i="57"/>
  <c r="E1130" i="57"/>
  <c r="D1130" i="57"/>
  <c r="N1047" i="57"/>
  <c r="I1129" i="57"/>
  <c r="H1129" i="57"/>
  <c r="G1129" i="57"/>
  <c r="F1129" i="57"/>
  <c r="E1129" i="57"/>
  <c r="D1129" i="57"/>
  <c r="N1046" i="57"/>
  <c r="I1128" i="57"/>
  <c r="H1128" i="57"/>
  <c r="G1128" i="57"/>
  <c r="F1128" i="57"/>
  <c r="E1128" i="57"/>
  <c r="D1128" i="57"/>
  <c r="N1045" i="57"/>
  <c r="I1127" i="57"/>
  <c r="H1127" i="57"/>
  <c r="G1127" i="57"/>
  <c r="F1127" i="57"/>
  <c r="E1127" i="57"/>
  <c r="D1127" i="57"/>
  <c r="N1044" i="57"/>
  <c r="I1126" i="57"/>
  <c r="H1126" i="57"/>
  <c r="G1126" i="57"/>
  <c r="F1126" i="57"/>
  <c r="E1126" i="57"/>
  <c r="D1126" i="57"/>
  <c r="N1043" i="57"/>
  <c r="I1125" i="57"/>
  <c r="H1125" i="57"/>
  <c r="G1125" i="57"/>
  <c r="F1125" i="57"/>
  <c r="E1125" i="57"/>
  <c r="D1125" i="57"/>
  <c r="N1042" i="57"/>
  <c r="I1124" i="57"/>
  <c r="H1124" i="57"/>
  <c r="G1124" i="57"/>
  <c r="F1124" i="57"/>
  <c r="E1124" i="57"/>
  <c r="D1124" i="57"/>
  <c r="N1041" i="57"/>
  <c r="I1123" i="57"/>
  <c r="H1123" i="57"/>
  <c r="G1123" i="57"/>
  <c r="F1123" i="57"/>
  <c r="E1123" i="57"/>
  <c r="D1123" i="57"/>
  <c r="N1040" i="57"/>
  <c r="I1122" i="57"/>
  <c r="H1122" i="57"/>
  <c r="G1122" i="57"/>
  <c r="F1122" i="57"/>
  <c r="E1122" i="57"/>
  <c r="D1122" i="57"/>
  <c r="N1039" i="57"/>
  <c r="I1121" i="57"/>
  <c r="H1121" i="57"/>
  <c r="G1121" i="57"/>
  <c r="F1121" i="57"/>
  <c r="E1121" i="57"/>
  <c r="D1121" i="57"/>
  <c r="N1038" i="57"/>
  <c r="I1120" i="57"/>
  <c r="H1120" i="57"/>
  <c r="G1120" i="57"/>
  <c r="F1120" i="57"/>
  <c r="E1120" i="57"/>
  <c r="D1120" i="57"/>
  <c r="I1119" i="57"/>
  <c r="H1119" i="57"/>
  <c r="G1119" i="57"/>
  <c r="F1119" i="57"/>
  <c r="E1119" i="57"/>
  <c r="D1119" i="57"/>
  <c r="I1118" i="57"/>
  <c r="H1118" i="57"/>
  <c r="G1118" i="57"/>
  <c r="F1118" i="57"/>
  <c r="E1118" i="57"/>
  <c r="D1118" i="57"/>
  <c r="N1037" i="57"/>
  <c r="I1117" i="57"/>
  <c r="H1117" i="57"/>
  <c r="G1117" i="57"/>
  <c r="F1117" i="57"/>
  <c r="E1117" i="57"/>
  <c r="D1117" i="57"/>
  <c r="N1036" i="57"/>
  <c r="I1116" i="57"/>
  <c r="H1116" i="57"/>
  <c r="G1116" i="57"/>
  <c r="F1116" i="57"/>
  <c r="E1116" i="57"/>
  <c r="D1116" i="57"/>
  <c r="N1035" i="57"/>
  <c r="I1115" i="57"/>
  <c r="H1115" i="57"/>
  <c r="G1115" i="57"/>
  <c r="F1115" i="57"/>
  <c r="E1115" i="57"/>
  <c r="D1115" i="57"/>
  <c r="N1034" i="57"/>
  <c r="I1114" i="57"/>
  <c r="H1114" i="57"/>
  <c r="G1114" i="57"/>
  <c r="F1114" i="57"/>
  <c r="E1114" i="57"/>
  <c r="D1114" i="57"/>
  <c r="N1033" i="57"/>
  <c r="I1113" i="57"/>
  <c r="H1113" i="57"/>
  <c r="G1113" i="57"/>
  <c r="F1113" i="57"/>
  <c r="E1113" i="57"/>
  <c r="D1113" i="57"/>
  <c r="N1032" i="57"/>
  <c r="I1112" i="57"/>
  <c r="H1112" i="57"/>
  <c r="G1112" i="57"/>
  <c r="F1112" i="57"/>
  <c r="E1112" i="57"/>
  <c r="D1112" i="57"/>
  <c r="N1031" i="57"/>
  <c r="I1111" i="57"/>
  <c r="H1111" i="57"/>
  <c r="G1111" i="57"/>
  <c r="F1111" i="57"/>
  <c r="E1111" i="57"/>
  <c r="D1111" i="57"/>
  <c r="N1030" i="57"/>
  <c r="I1110" i="57"/>
  <c r="H1110" i="57"/>
  <c r="G1110" i="57"/>
  <c r="F1110" i="57"/>
  <c r="E1110" i="57"/>
  <c r="D1110" i="57"/>
  <c r="N1029" i="57"/>
  <c r="I1109" i="57"/>
  <c r="H1109" i="57"/>
  <c r="G1109" i="57"/>
  <c r="F1109" i="57"/>
  <c r="E1109" i="57"/>
  <c r="D1109" i="57"/>
  <c r="N1028" i="57"/>
  <c r="I1108" i="57"/>
  <c r="H1108" i="57"/>
  <c r="G1108" i="57"/>
  <c r="F1108" i="57"/>
  <c r="E1108" i="57"/>
  <c r="D1108" i="57"/>
  <c r="N1027" i="57"/>
  <c r="I1107" i="57"/>
  <c r="H1107" i="57"/>
  <c r="G1107" i="57"/>
  <c r="F1107" i="57"/>
  <c r="E1107" i="57"/>
  <c r="D1107" i="57"/>
  <c r="N1026" i="57"/>
  <c r="I1106" i="57"/>
  <c r="H1106" i="57"/>
  <c r="G1106" i="57"/>
  <c r="F1106" i="57"/>
  <c r="E1106" i="57"/>
  <c r="D1106" i="57"/>
  <c r="N1025" i="57"/>
  <c r="I1105" i="57"/>
  <c r="H1105" i="57"/>
  <c r="G1105" i="57"/>
  <c r="F1105" i="57"/>
  <c r="E1105" i="57"/>
  <c r="D1105" i="57"/>
  <c r="N1024" i="57"/>
  <c r="I1104" i="57"/>
  <c r="H1104" i="57"/>
  <c r="G1104" i="57"/>
  <c r="F1104" i="57"/>
  <c r="E1104" i="57"/>
  <c r="D1104" i="57"/>
  <c r="N1023" i="57"/>
  <c r="I1103" i="57"/>
  <c r="H1103" i="57"/>
  <c r="G1103" i="57"/>
  <c r="F1103" i="57"/>
  <c r="E1103" i="57"/>
  <c r="D1103" i="57"/>
  <c r="N1022" i="57"/>
  <c r="I1102" i="57"/>
  <c r="H1102" i="57"/>
  <c r="G1102" i="57"/>
  <c r="F1102" i="57"/>
  <c r="E1102" i="57"/>
  <c r="D1102" i="57"/>
  <c r="I1101" i="57"/>
  <c r="H1101" i="57"/>
  <c r="G1101" i="57"/>
  <c r="F1101" i="57"/>
  <c r="E1101" i="57"/>
  <c r="D1101" i="57"/>
  <c r="N1021" i="57"/>
  <c r="I1100" i="57"/>
  <c r="H1100" i="57"/>
  <c r="G1100" i="57"/>
  <c r="F1100" i="57"/>
  <c r="E1100" i="57"/>
  <c r="D1100" i="57"/>
  <c r="N1020" i="57"/>
  <c r="I1099" i="57"/>
  <c r="H1099" i="57"/>
  <c r="G1099" i="57"/>
  <c r="F1099" i="57"/>
  <c r="E1099" i="57"/>
  <c r="D1099" i="57"/>
  <c r="N1019" i="57"/>
  <c r="I1098" i="57"/>
  <c r="H1098" i="57"/>
  <c r="G1098" i="57"/>
  <c r="F1098" i="57"/>
  <c r="E1098" i="57"/>
  <c r="D1098" i="57"/>
  <c r="N1018" i="57"/>
  <c r="I1097" i="57"/>
  <c r="H1097" i="57"/>
  <c r="G1097" i="57"/>
  <c r="F1097" i="57"/>
  <c r="E1097" i="57"/>
  <c r="D1097" i="57"/>
  <c r="N1017" i="57"/>
  <c r="I1096" i="57"/>
  <c r="H1096" i="57"/>
  <c r="G1096" i="57"/>
  <c r="F1096" i="57"/>
  <c r="E1096" i="57"/>
  <c r="D1096" i="57"/>
  <c r="N1016" i="57"/>
  <c r="I1095" i="57"/>
  <c r="H1095" i="57"/>
  <c r="G1095" i="57"/>
  <c r="F1095" i="57"/>
  <c r="E1095" i="57"/>
  <c r="D1095" i="57"/>
  <c r="N1015" i="57"/>
  <c r="I1094" i="57"/>
  <c r="H1094" i="57"/>
  <c r="G1094" i="57"/>
  <c r="F1094" i="57"/>
  <c r="E1094" i="57"/>
  <c r="D1094" i="57"/>
  <c r="N1014" i="57"/>
  <c r="I1093" i="57"/>
  <c r="H1093" i="57"/>
  <c r="G1093" i="57"/>
  <c r="F1093" i="57"/>
  <c r="E1093" i="57"/>
  <c r="D1093" i="57"/>
  <c r="I1092" i="57"/>
  <c r="H1092" i="57"/>
  <c r="G1092" i="57"/>
  <c r="F1092" i="57"/>
  <c r="E1092" i="57"/>
  <c r="D1092" i="57"/>
  <c r="N1013" i="57"/>
  <c r="I1091" i="57"/>
  <c r="H1091" i="57"/>
  <c r="G1091" i="57"/>
  <c r="F1091" i="57"/>
  <c r="E1091" i="57"/>
  <c r="D1091" i="57"/>
  <c r="N1012" i="57"/>
  <c r="I1090" i="57"/>
  <c r="H1090" i="57"/>
  <c r="G1090" i="57"/>
  <c r="F1090" i="57"/>
  <c r="E1090" i="57"/>
  <c r="D1090" i="57"/>
  <c r="N1011" i="57"/>
  <c r="I1089" i="57"/>
  <c r="H1089" i="57"/>
  <c r="G1089" i="57"/>
  <c r="F1089" i="57"/>
  <c r="E1089" i="57"/>
  <c r="D1089" i="57"/>
  <c r="I1088" i="57"/>
  <c r="H1088" i="57"/>
  <c r="G1088" i="57"/>
  <c r="F1088" i="57"/>
  <c r="E1088" i="57"/>
  <c r="D1088" i="57"/>
  <c r="N1010" i="57"/>
  <c r="I1087" i="57"/>
  <c r="H1087" i="57"/>
  <c r="G1087" i="57"/>
  <c r="F1087" i="57"/>
  <c r="E1087" i="57"/>
  <c r="D1087" i="57"/>
  <c r="N1009" i="57"/>
  <c r="I1086" i="57"/>
  <c r="H1086" i="57"/>
  <c r="G1086" i="57"/>
  <c r="F1086" i="57"/>
  <c r="E1086" i="57"/>
  <c r="D1086" i="57"/>
  <c r="N1008" i="57"/>
  <c r="I1085" i="57"/>
  <c r="H1085" i="57"/>
  <c r="G1085" i="57"/>
  <c r="F1085" i="57"/>
  <c r="E1085" i="57"/>
  <c r="D1085" i="57"/>
  <c r="N1007" i="57"/>
  <c r="I1084" i="57"/>
  <c r="H1084" i="57"/>
  <c r="G1084" i="57"/>
  <c r="F1084" i="57"/>
  <c r="E1084" i="57"/>
  <c r="D1084" i="57"/>
  <c r="N1006" i="57"/>
  <c r="I1083" i="57"/>
  <c r="H1083" i="57"/>
  <c r="G1083" i="57"/>
  <c r="F1083" i="57"/>
  <c r="E1083" i="57"/>
  <c r="D1083" i="57"/>
  <c r="I1082" i="57"/>
  <c r="H1082" i="57"/>
  <c r="G1082" i="57"/>
  <c r="F1082" i="57"/>
  <c r="E1082" i="57"/>
  <c r="D1082" i="57"/>
  <c r="N1005" i="57"/>
  <c r="I1081" i="57"/>
  <c r="H1081" i="57"/>
  <c r="G1081" i="57"/>
  <c r="F1081" i="57"/>
  <c r="E1081" i="57"/>
  <c r="D1081" i="57"/>
  <c r="N1004" i="57"/>
  <c r="I1080" i="57"/>
  <c r="H1080" i="57"/>
  <c r="G1080" i="57"/>
  <c r="F1080" i="57"/>
  <c r="E1080" i="57"/>
  <c r="D1080" i="57"/>
  <c r="N1003" i="57"/>
  <c r="I1079" i="57"/>
  <c r="H1079" i="57"/>
  <c r="G1079" i="57"/>
  <c r="F1079" i="57"/>
  <c r="E1079" i="57"/>
  <c r="D1079" i="57"/>
  <c r="I1078" i="57"/>
  <c r="H1078" i="57"/>
  <c r="G1078" i="57"/>
  <c r="F1078" i="57"/>
  <c r="E1078" i="57"/>
  <c r="D1078" i="57"/>
  <c r="N1002" i="57"/>
  <c r="I1077" i="57"/>
  <c r="H1077" i="57"/>
  <c r="G1077" i="57"/>
  <c r="F1077" i="57"/>
  <c r="E1077" i="57"/>
  <c r="D1077" i="57"/>
  <c r="N1001" i="57"/>
  <c r="I1076" i="57"/>
  <c r="H1076" i="57"/>
  <c r="G1076" i="57"/>
  <c r="F1076" i="57"/>
  <c r="E1076" i="57"/>
  <c r="D1076" i="57"/>
  <c r="N1000" i="57"/>
  <c r="I1075" i="57"/>
  <c r="H1075" i="57"/>
  <c r="G1075" i="57"/>
  <c r="F1075" i="57"/>
  <c r="E1075" i="57"/>
  <c r="D1075" i="57"/>
  <c r="N999" i="57"/>
  <c r="I1074" i="57"/>
  <c r="H1074" i="57"/>
  <c r="G1074" i="57"/>
  <c r="F1074" i="57"/>
  <c r="E1074" i="57"/>
  <c r="D1074" i="57"/>
  <c r="N998" i="57"/>
  <c r="I1073" i="57"/>
  <c r="H1073" i="57"/>
  <c r="G1073" i="57"/>
  <c r="F1073" i="57"/>
  <c r="E1073" i="57"/>
  <c r="D1073" i="57"/>
  <c r="N997" i="57"/>
  <c r="I1072" i="57"/>
  <c r="H1072" i="57"/>
  <c r="G1072" i="57"/>
  <c r="F1072" i="57"/>
  <c r="E1072" i="57"/>
  <c r="D1072" i="57"/>
  <c r="N996" i="57"/>
  <c r="I1071" i="57"/>
  <c r="H1071" i="57"/>
  <c r="G1071" i="57"/>
  <c r="F1071" i="57"/>
  <c r="E1071" i="57"/>
  <c r="D1071" i="57"/>
  <c r="N995" i="57"/>
  <c r="I1070" i="57"/>
  <c r="H1070" i="57"/>
  <c r="G1070" i="57"/>
  <c r="F1070" i="57"/>
  <c r="E1070" i="57"/>
  <c r="D1070" i="57"/>
  <c r="N994" i="57"/>
  <c r="I1069" i="57"/>
  <c r="H1069" i="57"/>
  <c r="G1069" i="57"/>
  <c r="F1069" i="57"/>
  <c r="E1069" i="57"/>
  <c r="D1069" i="57"/>
  <c r="N993" i="57"/>
  <c r="I1068" i="57"/>
  <c r="H1068" i="57"/>
  <c r="G1068" i="57"/>
  <c r="F1068" i="57"/>
  <c r="E1068" i="57"/>
  <c r="D1068" i="57"/>
  <c r="N992" i="57"/>
  <c r="I1067" i="57"/>
  <c r="H1067" i="57"/>
  <c r="G1067" i="57"/>
  <c r="F1067" i="57"/>
  <c r="E1067" i="57"/>
  <c r="D1067" i="57"/>
  <c r="N991" i="57"/>
  <c r="I1066" i="57"/>
  <c r="H1066" i="57"/>
  <c r="G1066" i="57"/>
  <c r="F1066" i="57"/>
  <c r="E1066" i="57"/>
  <c r="D1066" i="57"/>
  <c r="N990" i="57"/>
  <c r="I1065" i="57"/>
  <c r="H1065" i="57"/>
  <c r="G1065" i="57"/>
  <c r="F1065" i="57"/>
  <c r="E1065" i="57"/>
  <c r="D1065" i="57"/>
  <c r="N989" i="57"/>
  <c r="I1064" i="57"/>
  <c r="H1064" i="57"/>
  <c r="G1064" i="57"/>
  <c r="F1064" i="57"/>
  <c r="E1064" i="57"/>
  <c r="D1064" i="57"/>
  <c r="N988" i="57"/>
  <c r="I1063" i="57"/>
  <c r="H1063" i="57"/>
  <c r="G1063" i="57"/>
  <c r="F1063" i="57"/>
  <c r="E1063" i="57"/>
  <c r="D1063" i="57"/>
  <c r="N987" i="57"/>
  <c r="I1062" i="57"/>
  <c r="H1062" i="57"/>
  <c r="G1062" i="57"/>
  <c r="F1062" i="57"/>
  <c r="E1062" i="57"/>
  <c r="D1062" i="57"/>
  <c r="N986" i="57"/>
  <c r="I1061" i="57"/>
  <c r="H1061" i="57"/>
  <c r="G1061" i="57"/>
  <c r="F1061" i="57"/>
  <c r="E1061" i="57"/>
  <c r="D1061" i="57"/>
  <c r="N985" i="57"/>
  <c r="I1060" i="57"/>
  <c r="H1060" i="57"/>
  <c r="G1060" i="57"/>
  <c r="F1060" i="57"/>
  <c r="E1060" i="57"/>
  <c r="D1060" i="57"/>
  <c r="N984" i="57"/>
  <c r="I1059" i="57"/>
  <c r="H1059" i="57"/>
  <c r="G1059" i="57"/>
  <c r="F1059" i="57"/>
  <c r="E1059" i="57"/>
  <c r="D1059" i="57"/>
  <c r="N983" i="57"/>
  <c r="I1058" i="57"/>
  <c r="H1058" i="57"/>
  <c r="G1058" i="57"/>
  <c r="F1058" i="57"/>
  <c r="E1058" i="57"/>
  <c r="D1058" i="57"/>
  <c r="I1057" i="57"/>
  <c r="H1057" i="57"/>
  <c r="G1057" i="57"/>
  <c r="F1057" i="57"/>
  <c r="E1057" i="57"/>
  <c r="D1057" i="57"/>
  <c r="I1056" i="57"/>
  <c r="H1056" i="57"/>
  <c r="G1056" i="57"/>
  <c r="F1056" i="57"/>
  <c r="E1056" i="57"/>
  <c r="D1056" i="57"/>
  <c r="N982" i="57"/>
  <c r="I1055" i="57"/>
  <c r="H1055" i="57"/>
  <c r="G1055" i="57"/>
  <c r="F1055" i="57"/>
  <c r="E1055" i="57"/>
  <c r="D1055" i="57"/>
  <c r="I1054" i="57"/>
  <c r="H1054" i="57"/>
  <c r="G1054" i="57"/>
  <c r="F1054" i="57"/>
  <c r="E1054" i="57"/>
  <c r="D1054" i="57"/>
  <c r="N981" i="57"/>
  <c r="I1053" i="57"/>
  <c r="H1053" i="57"/>
  <c r="G1053" i="57"/>
  <c r="F1053" i="57"/>
  <c r="E1053" i="57"/>
  <c r="D1053" i="57"/>
  <c r="N980" i="57"/>
  <c r="I1052" i="57"/>
  <c r="H1052" i="57"/>
  <c r="G1052" i="57"/>
  <c r="F1052" i="57"/>
  <c r="E1052" i="57"/>
  <c r="D1052" i="57"/>
  <c r="N979" i="57"/>
  <c r="I1051" i="57"/>
  <c r="H1051" i="57"/>
  <c r="G1051" i="57"/>
  <c r="F1051" i="57"/>
  <c r="E1051" i="57"/>
  <c r="D1051" i="57"/>
  <c r="N978" i="57"/>
  <c r="I1050" i="57"/>
  <c r="H1050" i="57"/>
  <c r="G1050" i="57"/>
  <c r="F1050" i="57"/>
  <c r="E1050" i="57"/>
  <c r="D1050" i="57"/>
  <c r="N977" i="57"/>
  <c r="I1049" i="57"/>
  <c r="H1049" i="57"/>
  <c r="G1049" i="57"/>
  <c r="F1049" i="57"/>
  <c r="E1049" i="57"/>
  <c r="D1049" i="57"/>
  <c r="N976" i="57"/>
  <c r="I1048" i="57"/>
  <c r="H1048" i="57"/>
  <c r="G1048" i="57"/>
  <c r="F1048" i="57"/>
  <c r="E1048" i="57"/>
  <c r="D1048" i="57"/>
  <c r="N975" i="57"/>
  <c r="I1047" i="57"/>
  <c r="H1047" i="57"/>
  <c r="G1047" i="57"/>
  <c r="F1047" i="57"/>
  <c r="E1047" i="57"/>
  <c r="D1047" i="57"/>
  <c r="N974" i="57"/>
  <c r="I1046" i="57"/>
  <c r="H1046" i="57"/>
  <c r="G1046" i="57"/>
  <c r="F1046" i="57"/>
  <c r="E1046" i="57"/>
  <c r="D1046" i="57"/>
  <c r="N973" i="57"/>
  <c r="I1045" i="57"/>
  <c r="H1045" i="57"/>
  <c r="G1045" i="57"/>
  <c r="F1045" i="57"/>
  <c r="E1045" i="57"/>
  <c r="D1045" i="57"/>
  <c r="N972" i="57"/>
  <c r="I1044" i="57"/>
  <c r="H1044" i="57"/>
  <c r="G1044" i="57"/>
  <c r="F1044" i="57"/>
  <c r="E1044" i="57"/>
  <c r="D1044" i="57"/>
  <c r="N971" i="57"/>
  <c r="I1043" i="57"/>
  <c r="H1043" i="57"/>
  <c r="G1043" i="57"/>
  <c r="F1043" i="57"/>
  <c r="E1043" i="57"/>
  <c r="D1043" i="57"/>
  <c r="N970" i="57"/>
  <c r="I1042" i="57"/>
  <c r="H1042" i="57"/>
  <c r="G1042" i="57"/>
  <c r="F1042" i="57"/>
  <c r="E1042" i="57"/>
  <c r="D1042" i="57"/>
  <c r="N969" i="57"/>
  <c r="I1041" i="57"/>
  <c r="H1041" i="57"/>
  <c r="G1041" i="57"/>
  <c r="F1041" i="57"/>
  <c r="E1041" i="57"/>
  <c r="D1041" i="57"/>
  <c r="N968" i="57"/>
  <c r="I1040" i="57"/>
  <c r="H1040" i="57"/>
  <c r="G1040" i="57"/>
  <c r="F1040" i="57"/>
  <c r="E1040" i="57"/>
  <c r="D1040" i="57"/>
  <c r="N967" i="57"/>
  <c r="I1039" i="57"/>
  <c r="H1039" i="57"/>
  <c r="G1039" i="57"/>
  <c r="F1039" i="57"/>
  <c r="E1039" i="57"/>
  <c r="D1039" i="57"/>
  <c r="N966" i="57"/>
  <c r="I1038" i="57"/>
  <c r="H1038" i="57"/>
  <c r="G1038" i="57"/>
  <c r="F1038" i="57"/>
  <c r="E1038" i="57"/>
  <c r="D1038" i="57"/>
  <c r="N965" i="57"/>
  <c r="I1037" i="57"/>
  <c r="H1037" i="57"/>
  <c r="G1037" i="57"/>
  <c r="F1037" i="57"/>
  <c r="E1037" i="57"/>
  <c r="D1037" i="57"/>
  <c r="N964" i="57"/>
  <c r="I1036" i="57"/>
  <c r="H1036" i="57"/>
  <c r="G1036" i="57"/>
  <c r="F1036" i="57"/>
  <c r="E1036" i="57"/>
  <c r="D1036" i="57"/>
  <c r="N963" i="57"/>
  <c r="I1035" i="57"/>
  <c r="H1035" i="57"/>
  <c r="G1035" i="57"/>
  <c r="F1035" i="57"/>
  <c r="E1035" i="57"/>
  <c r="D1035" i="57"/>
  <c r="I1034" i="57"/>
  <c r="H1034" i="57"/>
  <c r="G1034" i="57"/>
  <c r="F1034" i="57"/>
  <c r="E1034" i="57"/>
  <c r="D1034" i="57"/>
  <c r="N962" i="57"/>
  <c r="I1033" i="57"/>
  <c r="H1033" i="57"/>
  <c r="G1033" i="57"/>
  <c r="F1033" i="57"/>
  <c r="E1033" i="57"/>
  <c r="D1033" i="57"/>
  <c r="N961" i="57"/>
  <c r="I1032" i="57"/>
  <c r="H1032" i="57"/>
  <c r="G1032" i="57"/>
  <c r="F1032" i="57"/>
  <c r="E1032" i="57"/>
  <c r="D1032" i="57"/>
  <c r="N960" i="57"/>
  <c r="I1031" i="57"/>
  <c r="H1031" i="57"/>
  <c r="G1031" i="57"/>
  <c r="F1031" i="57"/>
  <c r="E1031" i="57"/>
  <c r="D1031" i="57"/>
  <c r="N959" i="57"/>
  <c r="I1030" i="57"/>
  <c r="H1030" i="57"/>
  <c r="G1030" i="57"/>
  <c r="F1030" i="57"/>
  <c r="E1030" i="57"/>
  <c r="D1030" i="57"/>
  <c r="I1029" i="57"/>
  <c r="H1029" i="57"/>
  <c r="G1029" i="57"/>
  <c r="F1029" i="57"/>
  <c r="E1029" i="57"/>
  <c r="D1029" i="57"/>
  <c r="N958" i="57"/>
  <c r="I1028" i="57"/>
  <c r="H1028" i="57"/>
  <c r="G1028" i="57"/>
  <c r="F1028" i="57"/>
  <c r="E1028" i="57"/>
  <c r="D1028" i="57"/>
  <c r="N957" i="57"/>
  <c r="I1027" i="57"/>
  <c r="H1027" i="57"/>
  <c r="G1027" i="57"/>
  <c r="F1027" i="57"/>
  <c r="E1027" i="57"/>
  <c r="D1027" i="57"/>
  <c r="N956" i="57"/>
  <c r="I1026" i="57"/>
  <c r="H1026" i="57"/>
  <c r="G1026" i="57"/>
  <c r="F1026" i="57"/>
  <c r="E1026" i="57"/>
  <c r="D1026" i="57"/>
  <c r="N955" i="57"/>
  <c r="I1025" i="57"/>
  <c r="H1025" i="57"/>
  <c r="G1025" i="57"/>
  <c r="F1025" i="57"/>
  <c r="E1025" i="57"/>
  <c r="D1025" i="57"/>
  <c r="I1024" i="57"/>
  <c r="H1024" i="57"/>
  <c r="G1024" i="57"/>
  <c r="F1024" i="57"/>
  <c r="E1024" i="57"/>
  <c r="D1024" i="57"/>
  <c r="N954" i="57"/>
  <c r="I1023" i="57"/>
  <c r="H1023" i="57"/>
  <c r="G1023" i="57"/>
  <c r="F1023" i="57"/>
  <c r="E1023" i="57"/>
  <c r="D1023" i="57"/>
  <c r="N953" i="57"/>
  <c r="I1022" i="57"/>
  <c r="H1022" i="57"/>
  <c r="G1022" i="57"/>
  <c r="F1022" i="57"/>
  <c r="E1022" i="57"/>
  <c r="D1022" i="57"/>
  <c r="N952" i="57"/>
  <c r="I1021" i="57"/>
  <c r="H1021" i="57"/>
  <c r="G1021" i="57"/>
  <c r="F1021" i="57"/>
  <c r="E1021" i="57"/>
  <c r="D1021" i="57"/>
  <c r="N951" i="57"/>
  <c r="I1020" i="57"/>
  <c r="H1020" i="57"/>
  <c r="G1020" i="57"/>
  <c r="F1020" i="57"/>
  <c r="E1020" i="57"/>
  <c r="D1020" i="57"/>
  <c r="N950" i="57"/>
  <c r="I1019" i="57"/>
  <c r="H1019" i="57"/>
  <c r="G1019" i="57"/>
  <c r="F1019" i="57"/>
  <c r="E1019" i="57"/>
  <c r="D1019" i="57"/>
  <c r="N949" i="57"/>
  <c r="I1018" i="57"/>
  <c r="H1018" i="57"/>
  <c r="G1018" i="57"/>
  <c r="F1018" i="57"/>
  <c r="E1018" i="57"/>
  <c r="D1018" i="57"/>
  <c r="N948" i="57"/>
  <c r="I1017" i="57"/>
  <c r="H1017" i="57"/>
  <c r="G1017" i="57"/>
  <c r="F1017" i="57"/>
  <c r="E1017" i="57"/>
  <c r="D1017" i="57"/>
  <c r="N947" i="57"/>
  <c r="I1016" i="57"/>
  <c r="H1016" i="57"/>
  <c r="G1016" i="57"/>
  <c r="F1016" i="57"/>
  <c r="E1016" i="57"/>
  <c r="D1016" i="57"/>
  <c r="N946" i="57"/>
  <c r="I1015" i="57"/>
  <c r="H1015" i="57"/>
  <c r="G1015" i="57"/>
  <c r="F1015" i="57"/>
  <c r="E1015" i="57"/>
  <c r="D1015" i="57"/>
  <c r="I1014" i="57"/>
  <c r="H1014" i="57"/>
  <c r="G1014" i="57"/>
  <c r="F1014" i="57"/>
  <c r="E1014" i="57"/>
  <c r="D1014" i="57"/>
  <c r="N945" i="57"/>
  <c r="I1013" i="57"/>
  <c r="H1013" i="57"/>
  <c r="G1013" i="57"/>
  <c r="F1013" i="57"/>
  <c r="E1013" i="57"/>
  <c r="D1013" i="57"/>
  <c r="N944" i="57"/>
  <c r="I1012" i="57"/>
  <c r="H1012" i="57"/>
  <c r="G1012" i="57"/>
  <c r="F1012" i="57"/>
  <c r="E1012" i="57"/>
  <c r="D1012" i="57"/>
  <c r="N943" i="57"/>
  <c r="I1011" i="57"/>
  <c r="H1011" i="57"/>
  <c r="G1011" i="57"/>
  <c r="F1011" i="57"/>
  <c r="E1011" i="57"/>
  <c r="D1011" i="57"/>
  <c r="N942" i="57"/>
  <c r="I1010" i="57"/>
  <c r="H1010" i="57"/>
  <c r="G1010" i="57"/>
  <c r="F1010" i="57"/>
  <c r="E1010" i="57"/>
  <c r="D1010" i="57"/>
  <c r="I1009" i="57"/>
  <c r="H1009" i="57"/>
  <c r="G1009" i="57"/>
  <c r="F1009" i="57"/>
  <c r="E1009" i="57"/>
  <c r="D1009" i="57"/>
  <c r="N941" i="57"/>
  <c r="I1008" i="57"/>
  <c r="H1008" i="57"/>
  <c r="G1008" i="57"/>
  <c r="F1008" i="57"/>
  <c r="E1008" i="57"/>
  <c r="D1008" i="57"/>
  <c r="N940" i="57"/>
  <c r="I1007" i="57"/>
  <c r="H1007" i="57"/>
  <c r="G1007" i="57"/>
  <c r="F1007" i="57"/>
  <c r="E1007" i="57"/>
  <c r="D1007" i="57"/>
  <c r="N939" i="57"/>
  <c r="I1006" i="57"/>
  <c r="H1006" i="57"/>
  <c r="G1006" i="57"/>
  <c r="F1006" i="57"/>
  <c r="E1006" i="57"/>
  <c r="D1006" i="57"/>
  <c r="N938" i="57"/>
  <c r="I1005" i="57"/>
  <c r="H1005" i="57"/>
  <c r="G1005" i="57"/>
  <c r="F1005" i="57"/>
  <c r="E1005" i="57"/>
  <c r="D1005" i="57"/>
  <c r="N937" i="57"/>
  <c r="I1004" i="57"/>
  <c r="H1004" i="57"/>
  <c r="G1004" i="57"/>
  <c r="F1004" i="57"/>
  <c r="E1004" i="57"/>
  <c r="D1004" i="57"/>
  <c r="N936" i="57"/>
  <c r="I1003" i="57"/>
  <c r="H1003" i="57"/>
  <c r="G1003" i="57"/>
  <c r="F1003" i="57"/>
  <c r="E1003" i="57"/>
  <c r="D1003" i="57"/>
  <c r="N935" i="57"/>
  <c r="I1002" i="57"/>
  <c r="H1002" i="57"/>
  <c r="G1002" i="57"/>
  <c r="F1002" i="57"/>
  <c r="E1002" i="57"/>
  <c r="D1002" i="57"/>
  <c r="N934" i="57"/>
  <c r="I1001" i="57"/>
  <c r="H1001" i="57"/>
  <c r="G1001" i="57"/>
  <c r="F1001" i="57"/>
  <c r="E1001" i="57"/>
  <c r="D1001" i="57"/>
  <c r="N933" i="57"/>
  <c r="I1000" i="57"/>
  <c r="H1000" i="57"/>
  <c r="G1000" i="57"/>
  <c r="F1000" i="57"/>
  <c r="E1000" i="57"/>
  <c r="D1000" i="57"/>
  <c r="I999" i="57"/>
  <c r="H999" i="57"/>
  <c r="G999" i="57"/>
  <c r="F999" i="57"/>
  <c r="E999" i="57"/>
  <c r="D999" i="57"/>
  <c r="I998" i="57"/>
  <c r="H998" i="57"/>
  <c r="G998" i="57"/>
  <c r="F998" i="57"/>
  <c r="E998" i="57"/>
  <c r="D998" i="57"/>
  <c r="N932" i="57"/>
  <c r="I997" i="57"/>
  <c r="H997" i="57"/>
  <c r="G997" i="57"/>
  <c r="F997" i="57"/>
  <c r="E997" i="57"/>
  <c r="D997" i="57"/>
  <c r="N931" i="57"/>
  <c r="I996" i="57"/>
  <c r="H996" i="57"/>
  <c r="G996" i="57"/>
  <c r="F996" i="57"/>
  <c r="E996" i="57"/>
  <c r="D996" i="57"/>
  <c r="N930" i="57"/>
  <c r="I995" i="57"/>
  <c r="H995" i="57"/>
  <c r="G995" i="57"/>
  <c r="F995" i="57"/>
  <c r="E995" i="57"/>
  <c r="D995" i="57"/>
  <c r="N929" i="57"/>
  <c r="I994" i="57"/>
  <c r="H994" i="57"/>
  <c r="G994" i="57"/>
  <c r="F994" i="57"/>
  <c r="E994" i="57"/>
  <c r="D994" i="57"/>
  <c r="N928" i="57"/>
  <c r="I993" i="57"/>
  <c r="H993" i="57"/>
  <c r="G993" i="57"/>
  <c r="F993" i="57"/>
  <c r="E993" i="57"/>
  <c r="D993" i="57"/>
  <c r="N927" i="57"/>
  <c r="I992" i="57"/>
  <c r="H992" i="57"/>
  <c r="G992" i="57"/>
  <c r="F992" i="57"/>
  <c r="E992" i="57"/>
  <c r="D992" i="57"/>
  <c r="N926" i="57"/>
  <c r="I991" i="57"/>
  <c r="H991" i="57"/>
  <c r="G991" i="57"/>
  <c r="F991" i="57"/>
  <c r="E991" i="57"/>
  <c r="D991" i="57"/>
  <c r="I990" i="57"/>
  <c r="H990" i="57"/>
  <c r="G990" i="57"/>
  <c r="F990" i="57"/>
  <c r="E990" i="57"/>
  <c r="D990" i="57"/>
  <c r="N925" i="57"/>
  <c r="I989" i="57"/>
  <c r="H989" i="57"/>
  <c r="G989" i="57"/>
  <c r="F989" i="57"/>
  <c r="E989" i="57"/>
  <c r="D989" i="57"/>
  <c r="N924" i="57"/>
  <c r="I988" i="57"/>
  <c r="H988" i="57"/>
  <c r="G988" i="57"/>
  <c r="F988" i="57"/>
  <c r="E988" i="57"/>
  <c r="D988" i="57"/>
  <c r="N923" i="57"/>
  <c r="I987" i="57"/>
  <c r="H987" i="57"/>
  <c r="G987" i="57"/>
  <c r="F987" i="57"/>
  <c r="E987" i="57"/>
  <c r="D987" i="57"/>
  <c r="N922" i="57"/>
  <c r="I986" i="57"/>
  <c r="H986" i="57"/>
  <c r="G986" i="57"/>
  <c r="F986" i="57"/>
  <c r="E986" i="57"/>
  <c r="D986" i="57"/>
  <c r="N921" i="57"/>
  <c r="I985" i="57"/>
  <c r="H985" i="57"/>
  <c r="G985" i="57"/>
  <c r="F985" i="57"/>
  <c r="E985" i="57"/>
  <c r="D985" i="57"/>
  <c r="I984" i="57"/>
  <c r="H984" i="57"/>
  <c r="G984" i="57"/>
  <c r="F984" i="57"/>
  <c r="E984" i="57"/>
  <c r="D984" i="57"/>
  <c r="N920" i="57"/>
  <c r="I983" i="57"/>
  <c r="H983" i="57"/>
  <c r="G983" i="57"/>
  <c r="F983" i="57"/>
  <c r="E983" i="57"/>
  <c r="D983" i="57"/>
  <c r="N919" i="57"/>
  <c r="I982" i="57"/>
  <c r="H982" i="57"/>
  <c r="G982" i="57"/>
  <c r="F982" i="57"/>
  <c r="E982" i="57"/>
  <c r="D982" i="57"/>
  <c r="N918" i="57"/>
  <c r="I981" i="57"/>
  <c r="H981" i="57"/>
  <c r="G981" i="57"/>
  <c r="F981" i="57"/>
  <c r="E981" i="57"/>
  <c r="D981" i="57"/>
  <c r="N917" i="57"/>
  <c r="I980" i="57"/>
  <c r="H980" i="57"/>
  <c r="G980" i="57"/>
  <c r="F980" i="57"/>
  <c r="E980" i="57"/>
  <c r="D980" i="57"/>
  <c r="N916" i="57"/>
  <c r="I979" i="57"/>
  <c r="H979" i="57"/>
  <c r="G979" i="57"/>
  <c r="F979" i="57"/>
  <c r="E979" i="57"/>
  <c r="D979" i="57"/>
  <c r="N915" i="57"/>
  <c r="I978" i="57"/>
  <c r="H978" i="57"/>
  <c r="G978" i="57"/>
  <c r="F978" i="57"/>
  <c r="E978" i="57"/>
  <c r="D978" i="57"/>
  <c r="N914" i="57"/>
  <c r="I977" i="57"/>
  <c r="H977" i="57"/>
  <c r="G977" i="57"/>
  <c r="F977" i="57"/>
  <c r="E977" i="57"/>
  <c r="D977" i="57"/>
  <c r="I976" i="57"/>
  <c r="H976" i="57"/>
  <c r="G976" i="57"/>
  <c r="F976" i="57"/>
  <c r="E976" i="57"/>
  <c r="D976" i="57"/>
  <c r="N913" i="57"/>
  <c r="I975" i="57"/>
  <c r="H975" i="57"/>
  <c r="G975" i="57"/>
  <c r="F975" i="57"/>
  <c r="E975" i="57"/>
  <c r="D975" i="57"/>
  <c r="N912" i="57"/>
  <c r="I974" i="57"/>
  <c r="H974" i="57"/>
  <c r="G974" i="57"/>
  <c r="F974" i="57"/>
  <c r="E974" i="57"/>
  <c r="D974" i="57"/>
  <c r="I973" i="57"/>
  <c r="H973" i="57"/>
  <c r="G973" i="57"/>
  <c r="F973" i="57"/>
  <c r="E973" i="57"/>
  <c r="D973" i="57"/>
  <c r="N911" i="57"/>
  <c r="I972" i="57"/>
  <c r="H972" i="57"/>
  <c r="G972" i="57"/>
  <c r="F972" i="57"/>
  <c r="E972" i="57"/>
  <c r="D972" i="57"/>
  <c r="N910" i="57"/>
  <c r="I971" i="57"/>
  <c r="H971" i="57"/>
  <c r="G971" i="57"/>
  <c r="F971" i="57"/>
  <c r="E971" i="57"/>
  <c r="D971" i="57"/>
  <c r="N909" i="57"/>
  <c r="I970" i="57"/>
  <c r="H970" i="57"/>
  <c r="G970" i="57"/>
  <c r="F970" i="57"/>
  <c r="E970" i="57"/>
  <c r="D970" i="57"/>
  <c r="N908" i="57"/>
  <c r="I969" i="57"/>
  <c r="H969" i="57"/>
  <c r="G969" i="57"/>
  <c r="F969" i="57"/>
  <c r="E969" i="57"/>
  <c r="D969" i="57"/>
  <c r="N907" i="57"/>
  <c r="I968" i="57"/>
  <c r="H968" i="57"/>
  <c r="G968" i="57"/>
  <c r="F968" i="57"/>
  <c r="E968" i="57"/>
  <c r="D968" i="57"/>
  <c r="N906" i="57"/>
  <c r="I967" i="57"/>
  <c r="H967" i="57"/>
  <c r="G967" i="57"/>
  <c r="F967" i="57"/>
  <c r="E967" i="57"/>
  <c r="D967" i="57"/>
  <c r="N905" i="57"/>
  <c r="I966" i="57"/>
  <c r="H966" i="57"/>
  <c r="G966" i="57"/>
  <c r="F966" i="57"/>
  <c r="E966" i="57"/>
  <c r="D966" i="57"/>
  <c r="I965" i="57"/>
  <c r="H965" i="57"/>
  <c r="G965" i="57"/>
  <c r="F965" i="57"/>
  <c r="E965" i="57"/>
  <c r="D965" i="57"/>
  <c r="N904" i="57"/>
  <c r="I964" i="57"/>
  <c r="H964" i="57"/>
  <c r="G964" i="57"/>
  <c r="F964" i="57"/>
  <c r="E964" i="57"/>
  <c r="D964" i="57"/>
  <c r="N903" i="57"/>
  <c r="I963" i="57"/>
  <c r="H963" i="57"/>
  <c r="G963" i="57"/>
  <c r="F963" i="57"/>
  <c r="E963" i="57"/>
  <c r="D963" i="57"/>
  <c r="N902" i="57"/>
  <c r="I962" i="57"/>
  <c r="H962" i="57"/>
  <c r="G962" i="57"/>
  <c r="F962" i="57"/>
  <c r="E962" i="57"/>
  <c r="D962" i="57"/>
  <c r="N901" i="57"/>
  <c r="I961" i="57"/>
  <c r="H961" i="57"/>
  <c r="G961" i="57"/>
  <c r="F961" i="57"/>
  <c r="E961" i="57"/>
  <c r="D961" i="57"/>
  <c r="N900" i="57"/>
  <c r="I960" i="57"/>
  <c r="H960" i="57"/>
  <c r="G960" i="57"/>
  <c r="F960" i="57"/>
  <c r="E960" i="57"/>
  <c r="D960" i="57"/>
  <c r="N899" i="57"/>
  <c r="I959" i="57"/>
  <c r="H959" i="57"/>
  <c r="G959" i="57"/>
  <c r="F959" i="57"/>
  <c r="E959" i="57"/>
  <c r="D959" i="57"/>
  <c r="N898" i="57"/>
  <c r="I958" i="57"/>
  <c r="H958" i="57"/>
  <c r="G958" i="57"/>
  <c r="F958" i="57"/>
  <c r="E958" i="57"/>
  <c r="D958" i="57"/>
  <c r="N897" i="57"/>
  <c r="I957" i="57"/>
  <c r="H957" i="57"/>
  <c r="G957" i="57"/>
  <c r="F957" i="57"/>
  <c r="E957" i="57"/>
  <c r="D957" i="57"/>
  <c r="I956" i="57"/>
  <c r="H956" i="57"/>
  <c r="G956" i="57"/>
  <c r="F956" i="57"/>
  <c r="E956" i="57"/>
  <c r="D956" i="57"/>
  <c r="I955" i="57"/>
  <c r="H955" i="57"/>
  <c r="G955" i="57"/>
  <c r="F955" i="57"/>
  <c r="E955" i="57"/>
  <c r="D955" i="57"/>
  <c r="N896" i="57"/>
  <c r="I954" i="57"/>
  <c r="H954" i="57"/>
  <c r="G954" i="57"/>
  <c r="F954" i="57"/>
  <c r="E954" i="57"/>
  <c r="D954" i="57"/>
  <c r="N895" i="57"/>
  <c r="I953" i="57"/>
  <c r="H953" i="57"/>
  <c r="G953" i="57"/>
  <c r="F953" i="57"/>
  <c r="E953" i="57"/>
  <c r="D953" i="57"/>
  <c r="N894" i="57"/>
  <c r="I952" i="57"/>
  <c r="H952" i="57"/>
  <c r="G952" i="57"/>
  <c r="F952" i="57"/>
  <c r="E952" i="57"/>
  <c r="D952" i="57"/>
  <c r="N893" i="57"/>
  <c r="I951" i="57"/>
  <c r="H951" i="57"/>
  <c r="G951" i="57"/>
  <c r="F951" i="57"/>
  <c r="E951" i="57"/>
  <c r="D951" i="57"/>
  <c r="N892" i="57"/>
  <c r="I950" i="57"/>
  <c r="H950" i="57"/>
  <c r="G950" i="57"/>
  <c r="F950" i="57"/>
  <c r="E950" i="57"/>
  <c r="D950" i="57"/>
  <c r="N891" i="57"/>
  <c r="I949" i="57"/>
  <c r="H949" i="57"/>
  <c r="G949" i="57"/>
  <c r="F949" i="57"/>
  <c r="E949" i="57"/>
  <c r="D949" i="57"/>
  <c r="N890" i="57"/>
  <c r="I948" i="57"/>
  <c r="H948" i="57"/>
  <c r="G948" i="57"/>
  <c r="F948" i="57"/>
  <c r="E948" i="57"/>
  <c r="D948" i="57"/>
  <c r="N889" i="57"/>
  <c r="I947" i="57"/>
  <c r="H947" i="57"/>
  <c r="G947" i="57"/>
  <c r="F947" i="57"/>
  <c r="E947" i="57"/>
  <c r="D947" i="57"/>
  <c r="N888" i="57"/>
  <c r="I946" i="57"/>
  <c r="H946" i="57"/>
  <c r="G946" i="57"/>
  <c r="F946" i="57"/>
  <c r="E946" i="57"/>
  <c r="D946" i="57"/>
  <c r="N887" i="57"/>
  <c r="I945" i="57"/>
  <c r="H945" i="57"/>
  <c r="G945" i="57"/>
  <c r="F945" i="57"/>
  <c r="E945" i="57"/>
  <c r="D945" i="57"/>
  <c r="N886" i="57"/>
  <c r="I944" i="57"/>
  <c r="H944" i="57"/>
  <c r="G944" i="57"/>
  <c r="F944" i="57"/>
  <c r="E944" i="57"/>
  <c r="D944" i="57"/>
  <c r="I943" i="57"/>
  <c r="H943" i="57"/>
  <c r="G943" i="57"/>
  <c r="F943" i="57"/>
  <c r="E943" i="57"/>
  <c r="D943" i="57"/>
  <c r="N885" i="57"/>
  <c r="I942" i="57"/>
  <c r="H942" i="57"/>
  <c r="G942" i="57"/>
  <c r="F942" i="57"/>
  <c r="E942" i="57"/>
  <c r="D942" i="57"/>
  <c r="N884" i="57"/>
  <c r="I941" i="57"/>
  <c r="H941" i="57"/>
  <c r="G941" i="57"/>
  <c r="F941" i="57"/>
  <c r="E941" i="57"/>
  <c r="D941" i="57"/>
  <c r="N883" i="57"/>
  <c r="I940" i="57"/>
  <c r="H940" i="57"/>
  <c r="G940" i="57"/>
  <c r="F940" i="57"/>
  <c r="E940" i="57"/>
  <c r="D940" i="57"/>
  <c r="N882" i="57"/>
  <c r="I939" i="57"/>
  <c r="H939" i="57"/>
  <c r="G939" i="57"/>
  <c r="F939" i="57"/>
  <c r="E939" i="57"/>
  <c r="D939" i="57"/>
  <c r="N881" i="57"/>
  <c r="I938" i="57"/>
  <c r="H938" i="57"/>
  <c r="G938" i="57"/>
  <c r="F938" i="57"/>
  <c r="E938" i="57"/>
  <c r="D938" i="57"/>
  <c r="N880" i="57"/>
  <c r="I937" i="57"/>
  <c r="H937" i="57"/>
  <c r="G937" i="57"/>
  <c r="F937" i="57"/>
  <c r="E937" i="57"/>
  <c r="D937" i="57"/>
  <c r="N879" i="57"/>
  <c r="I936" i="57"/>
  <c r="H936" i="57"/>
  <c r="G936" i="57"/>
  <c r="F936" i="57"/>
  <c r="E936" i="57"/>
  <c r="D936" i="57"/>
  <c r="N878" i="57"/>
  <c r="I935" i="57"/>
  <c r="H935" i="57"/>
  <c r="G935" i="57"/>
  <c r="F935" i="57"/>
  <c r="E935" i="57"/>
  <c r="D935" i="57"/>
  <c r="N877" i="57"/>
  <c r="I934" i="57"/>
  <c r="H934" i="57"/>
  <c r="G934" i="57"/>
  <c r="F934" i="57"/>
  <c r="E934" i="57"/>
  <c r="D934" i="57"/>
  <c r="N876" i="57"/>
  <c r="I933" i="57"/>
  <c r="H933" i="57"/>
  <c r="G933" i="57"/>
  <c r="F933" i="57"/>
  <c r="E933" i="57"/>
  <c r="D933" i="57"/>
  <c r="I932" i="57"/>
  <c r="H932" i="57"/>
  <c r="G932" i="57"/>
  <c r="F932" i="57"/>
  <c r="E932" i="57"/>
  <c r="D932" i="57"/>
  <c r="I931" i="57"/>
  <c r="H931" i="57"/>
  <c r="G931" i="57"/>
  <c r="F931" i="57"/>
  <c r="E931" i="57"/>
  <c r="D931" i="57"/>
  <c r="N875" i="57"/>
  <c r="I930" i="57"/>
  <c r="H930" i="57"/>
  <c r="G930" i="57"/>
  <c r="F930" i="57"/>
  <c r="E930" i="57"/>
  <c r="D930" i="57"/>
  <c r="N874" i="57"/>
  <c r="I929" i="57"/>
  <c r="H929" i="57"/>
  <c r="G929" i="57"/>
  <c r="F929" i="57"/>
  <c r="E929" i="57"/>
  <c r="D929" i="57"/>
  <c r="I928" i="57"/>
  <c r="H928" i="57"/>
  <c r="G928" i="57"/>
  <c r="F928" i="57"/>
  <c r="E928" i="57"/>
  <c r="D928" i="57"/>
  <c r="N873" i="57"/>
  <c r="I927" i="57"/>
  <c r="H927" i="57"/>
  <c r="G927" i="57"/>
  <c r="F927" i="57"/>
  <c r="E927" i="57"/>
  <c r="D927" i="57"/>
  <c r="N872" i="57"/>
  <c r="I926" i="57"/>
  <c r="H926" i="57"/>
  <c r="G926" i="57"/>
  <c r="F926" i="57"/>
  <c r="E926" i="57"/>
  <c r="D926" i="57"/>
  <c r="N871" i="57"/>
  <c r="I925" i="57"/>
  <c r="H925" i="57"/>
  <c r="G925" i="57"/>
  <c r="F925" i="57"/>
  <c r="E925" i="57"/>
  <c r="D925" i="57"/>
  <c r="N870" i="57"/>
  <c r="I924" i="57"/>
  <c r="H924" i="57"/>
  <c r="G924" i="57"/>
  <c r="F924" i="57"/>
  <c r="E924" i="57"/>
  <c r="D924" i="57"/>
  <c r="N869" i="57"/>
  <c r="I923" i="57"/>
  <c r="H923" i="57"/>
  <c r="G923" i="57"/>
  <c r="F923" i="57"/>
  <c r="E923" i="57"/>
  <c r="D923" i="57"/>
  <c r="N868" i="57"/>
  <c r="I922" i="57"/>
  <c r="H922" i="57"/>
  <c r="G922" i="57"/>
  <c r="F922" i="57"/>
  <c r="E922" i="57"/>
  <c r="D922" i="57"/>
  <c r="N867" i="57"/>
  <c r="I921" i="57"/>
  <c r="H921" i="57"/>
  <c r="G921" i="57"/>
  <c r="F921" i="57"/>
  <c r="E921" i="57"/>
  <c r="D921" i="57"/>
  <c r="N866" i="57"/>
  <c r="I920" i="57"/>
  <c r="H920" i="57"/>
  <c r="G920" i="57"/>
  <c r="F920" i="57"/>
  <c r="E920" i="57"/>
  <c r="D920" i="57"/>
  <c r="N865" i="57"/>
  <c r="I919" i="57"/>
  <c r="H919" i="57"/>
  <c r="G919" i="57"/>
  <c r="F919" i="57"/>
  <c r="E919" i="57"/>
  <c r="D919" i="57"/>
  <c r="N864" i="57"/>
  <c r="I918" i="57"/>
  <c r="H918" i="57"/>
  <c r="G918" i="57"/>
  <c r="F918" i="57"/>
  <c r="E918" i="57"/>
  <c r="D918" i="57"/>
  <c r="N863" i="57"/>
  <c r="I917" i="57"/>
  <c r="H917" i="57"/>
  <c r="G917" i="57"/>
  <c r="F917" i="57"/>
  <c r="E917" i="57"/>
  <c r="D917" i="57"/>
  <c r="N862" i="57"/>
  <c r="I916" i="57"/>
  <c r="H916" i="57"/>
  <c r="G916" i="57"/>
  <c r="F916" i="57"/>
  <c r="E916" i="57"/>
  <c r="D916" i="57"/>
  <c r="N861" i="57"/>
  <c r="I915" i="57"/>
  <c r="H915" i="57"/>
  <c r="G915" i="57"/>
  <c r="F915" i="57"/>
  <c r="E915" i="57"/>
  <c r="D915" i="57"/>
  <c r="N860" i="57"/>
  <c r="I914" i="57"/>
  <c r="H914" i="57"/>
  <c r="G914" i="57"/>
  <c r="F914" i="57"/>
  <c r="E914" i="57"/>
  <c r="D914" i="57"/>
  <c r="N859" i="57"/>
  <c r="I913" i="57"/>
  <c r="H913" i="57"/>
  <c r="G913" i="57"/>
  <c r="F913" i="57"/>
  <c r="E913" i="57"/>
  <c r="D913" i="57"/>
  <c r="N858" i="57"/>
  <c r="I912" i="57"/>
  <c r="H912" i="57"/>
  <c r="G912" i="57"/>
  <c r="F912" i="57"/>
  <c r="E912" i="57"/>
  <c r="D912" i="57"/>
  <c r="N857" i="57"/>
  <c r="I911" i="57"/>
  <c r="H911" i="57"/>
  <c r="G911" i="57"/>
  <c r="F911" i="57"/>
  <c r="E911" i="57"/>
  <c r="D911" i="57"/>
  <c r="N856" i="57"/>
  <c r="I910" i="57"/>
  <c r="H910" i="57"/>
  <c r="G910" i="57"/>
  <c r="F910" i="57"/>
  <c r="E910" i="57"/>
  <c r="D910" i="57"/>
  <c r="N855" i="57"/>
  <c r="I909" i="57"/>
  <c r="H909" i="57"/>
  <c r="G909" i="57"/>
  <c r="F909" i="57"/>
  <c r="E909" i="57"/>
  <c r="D909" i="57"/>
  <c r="I908" i="57"/>
  <c r="H908" i="57"/>
  <c r="G908" i="57"/>
  <c r="F908" i="57"/>
  <c r="E908" i="57"/>
  <c r="D908" i="57"/>
  <c r="N854" i="57"/>
  <c r="I907" i="57"/>
  <c r="H907" i="57"/>
  <c r="G907" i="57"/>
  <c r="F907" i="57"/>
  <c r="E907" i="57"/>
  <c r="D907" i="57"/>
  <c r="N853" i="57"/>
  <c r="I906" i="57"/>
  <c r="H906" i="57"/>
  <c r="G906" i="57"/>
  <c r="F906" i="57"/>
  <c r="E906" i="57"/>
  <c r="D906" i="57"/>
  <c r="N852" i="57"/>
  <c r="I905" i="57"/>
  <c r="H905" i="57"/>
  <c r="G905" i="57"/>
  <c r="F905" i="57"/>
  <c r="E905" i="57"/>
  <c r="D905" i="57"/>
  <c r="N851" i="57"/>
  <c r="I904" i="57"/>
  <c r="H904" i="57"/>
  <c r="G904" i="57"/>
  <c r="F904" i="57"/>
  <c r="E904" i="57"/>
  <c r="D904" i="57"/>
  <c r="I903" i="57"/>
  <c r="H903" i="57"/>
  <c r="G903" i="57"/>
  <c r="F903" i="57"/>
  <c r="E903" i="57"/>
  <c r="D903" i="57"/>
  <c r="N850" i="57"/>
  <c r="I902" i="57"/>
  <c r="H902" i="57"/>
  <c r="G902" i="57"/>
  <c r="F902" i="57"/>
  <c r="E902" i="57"/>
  <c r="D902" i="57"/>
  <c r="N849" i="57"/>
  <c r="I901" i="57"/>
  <c r="H901" i="57"/>
  <c r="G901" i="57"/>
  <c r="F901" i="57"/>
  <c r="E901" i="57"/>
  <c r="D901" i="57"/>
  <c r="N848" i="57"/>
  <c r="I900" i="57"/>
  <c r="H900" i="57"/>
  <c r="G900" i="57"/>
  <c r="F900" i="57"/>
  <c r="E900" i="57"/>
  <c r="D900" i="57"/>
  <c r="N847" i="57"/>
  <c r="I899" i="57"/>
  <c r="H899" i="57"/>
  <c r="G899" i="57"/>
  <c r="F899" i="57"/>
  <c r="E899" i="57"/>
  <c r="D899" i="57"/>
  <c r="I898" i="57"/>
  <c r="H898" i="57"/>
  <c r="G898" i="57"/>
  <c r="F898" i="57"/>
  <c r="E898" i="57"/>
  <c r="D898" i="57"/>
  <c r="N846" i="57"/>
  <c r="I897" i="57"/>
  <c r="H897" i="57"/>
  <c r="G897" i="57"/>
  <c r="F897" i="57"/>
  <c r="E897" i="57"/>
  <c r="D897" i="57"/>
  <c r="N845" i="57"/>
  <c r="I896" i="57"/>
  <c r="H896" i="57"/>
  <c r="G896" i="57"/>
  <c r="F896" i="57"/>
  <c r="E896" i="57"/>
  <c r="D896" i="57"/>
  <c r="N844" i="57"/>
  <c r="I895" i="57"/>
  <c r="H895" i="57"/>
  <c r="G895" i="57"/>
  <c r="F895" i="57"/>
  <c r="E895" i="57"/>
  <c r="D895" i="57"/>
  <c r="N843" i="57"/>
  <c r="I894" i="57"/>
  <c r="H894" i="57"/>
  <c r="G894" i="57"/>
  <c r="F894" i="57"/>
  <c r="E894" i="57"/>
  <c r="D894" i="57"/>
  <c r="N842" i="57"/>
  <c r="I893" i="57"/>
  <c r="H893" i="57"/>
  <c r="G893" i="57"/>
  <c r="F893" i="57"/>
  <c r="E893" i="57"/>
  <c r="D893" i="57"/>
  <c r="N841" i="57"/>
  <c r="I892" i="57"/>
  <c r="H892" i="57"/>
  <c r="G892" i="57"/>
  <c r="F892" i="57"/>
  <c r="E892" i="57"/>
  <c r="D892" i="57"/>
  <c r="N840" i="57"/>
  <c r="I891" i="57"/>
  <c r="H891" i="57"/>
  <c r="G891" i="57"/>
  <c r="F891" i="57"/>
  <c r="E891" i="57"/>
  <c r="D891" i="57"/>
  <c r="N839" i="57"/>
  <c r="I890" i="57"/>
  <c r="H890" i="57"/>
  <c r="G890" i="57"/>
  <c r="F890" i="57"/>
  <c r="E890" i="57"/>
  <c r="D890" i="57"/>
  <c r="N838" i="57"/>
  <c r="I889" i="57"/>
  <c r="H889" i="57"/>
  <c r="G889" i="57"/>
  <c r="F889" i="57"/>
  <c r="E889" i="57"/>
  <c r="D889" i="57"/>
  <c r="N837" i="57"/>
  <c r="I888" i="57"/>
  <c r="H888" i="57"/>
  <c r="G888" i="57"/>
  <c r="F888" i="57"/>
  <c r="E888" i="57"/>
  <c r="D888" i="57"/>
  <c r="N836" i="57"/>
  <c r="I887" i="57"/>
  <c r="H887" i="57"/>
  <c r="G887" i="57"/>
  <c r="F887" i="57"/>
  <c r="E887" i="57"/>
  <c r="D887" i="57"/>
  <c r="I886" i="57"/>
  <c r="H886" i="57"/>
  <c r="G886" i="57"/>
  <c r="F886" i="57"/>
  <c r="E886" i="57"/>
  <c r="D886" i="57"/>
  <c r="I885" i="57"/>
  <c r="H885" i="57"/>
  <c r="G885" i="57"/>
  <c r="F885" i="57"/>
  <c r="E885" i="57"/>
  <c r="D885" i="57"/>
  <c r="N835" i="57"/>
  <c r="I884" i="57"/>
  <c r="H884" i="57"/>
  <c r="G884" i="57"/>
  <c r="F884" i="57"/>
  <c r="E884" i="57"/>
  <c r="D884" i="57"/>
  <c r="N834" i="57"/>
  <c r="I883" i="57"/>
  <c r="H883" i="57"/>
  <c r="G883" i="57"/>
  <c r="F883" i="57"/>
  <c r="E883" i="57"/>
  <c r="D883" i="57"/>
  <c r="N833" i="57"/>
  <c r="I882" i="57"/>
  <c r="H882" i="57"/>
  <c r="G882" i="57"/>
  <c r="F882" i="57"/>
  <c r="E882" i="57"/>
  <c r="D882" i="57"/>
  <c r="N832" i="57"/>
  <c r="I881" i="57"/>
  <c r="H881" i="57"/>
  <c r="G881" i="57"/>
  <c r="F881" i="57"/>
  <c r="E881" i="57"/>
  <c r="D881" i="57"/>
  <c r="N831" i="57"/>
  <c r="I880" i="57"/>
  <c r="H880" i="57"/>
  <c r="G880" i="57"/>
  <c r="F880" i="57"/>
  <c r="E880" i="57"/>
  <c r="D880" i="57"/>
  <c r="N830" i="57"/>
  <c r="I879" i="57"/>
  <c r="H879" i="57"/>
  <c r="G879" i="57"/>
  <c r="F879" i="57"/>
  <c r="E879" i="57"/>
  <c r="D879" i="57"/>
  <c r="N829" i="57"/>
  <c r="I878" i="57"/>
  <c r="H878" i="57"/>
  <c r="G878" i="57"/>
  <c r="F878" i="57"/>
  <c r="E878" i="57"/>
  <c r="D878" i="57"/>
  <c r="N828" i="57"/>
  <c r="I877" i="57"/>
  <c r="H877" i="57"/>
  <c r="G877" i="57"/>
  <c r="F877" i="57"/>
  <c r="E877" i="57"/>
  <c r="D877" i="57"/>
  <c r="N827" i="57"/>
  <c r="I876" i="57"/>
  <c r="H876" i="57"/>
  <c r="G876" i="57"/>
  <c r="F876" i="57"/>
  <c r="E876" i="57"/>
  <c r="D876" i="57"/>
  <c r="N826" i="57"/>
  <c r="I875" i="57"/>
  <c r="H875" i="57"/>
  <c r="G875" i="57"/>
  <c r="F875" i="57"/>
  <c r="E875" i="57"/>
  <c r="D875" i="57"/>
  <c r="N825" i="57"/>
  <c r="I874" i="57"/>
  <c r="H874" i="57"/>
  <c r="G874" i="57"/>
  <c r="F874" i="57"/>
  <c r="E874" i="57"/>
  <c r="D874" i="57"/>
  <c r="N824" i="57"/>
  <c r="I873" i="57"/>
  <c r="H873" i="57"/>
  <c r="G873" i="57"/>
  <c r="F873" i="57"/>
  <c r="E873" i="57"/>
  <c r="D873" i="57"/>
  <c r="N823" i="57"/>
  <c r="I872" i="57"/>
  <c r="H872" i="57"/>
  <c r="G872" i="57"/>
  <c r="F872" i="57"/>
  <c r="E872" i="57"/>
  <c r="D872" i="57"/>
  <c r="N822" i="57"/>
  <c r="I871" i="57"/>
  <c r="H871" i="57"/>
  <c r="G871" i="57"/>
  <c r="F871" i="57"/>
  <c r="E871" i="57"/>
  <c r="D871" i="57"/>
  <c r="N821" i="57"/>
  <c r="I870" i="57"/>
  <c r="H870" i="57"/>
  <c r="G870" i="57"/>
  <c r="F870" i="57"/>
  <c r="E870" i="57"/>
  <c r="D870" i="57"/>
  <c r="N820" i="57"/>
  <c r="I869" i="57"/>
  <c r="H869" i="57"/>
  <c r="G869" i="57"/>
  <c r="F869" i="57"/>
  <c r="E869" i="57"/>
  <c r="D869" i="57"/>
  <c r="N819" i="57"/>
  <c r="I868" i="57"/>
  <c r="H868" i="57"/>
  <c r="G868" i="57"/>
  <c r="F868" i="57"/>
  <c r="E868" i="57"/>
  <c r="D868" i="57"/>
  <c r="N818" i="57"/>
  <c r="I867" i="57"/>
  <c r="H867" i="57"/>
  <c r="G867" i="57"/>
  <c r="F867" i="57"/>
  <c r="E867" i="57"/>
  <c r="D867" i="57"/>
  <c r="N817" i="57"/>
  <c r="I866" i="57"/>
  <c r="H866" i="57"/>
  <c r="G866" i="57"/>
  <c r="F866" i="57"/>
  <c r="E866" i="57"/>
  <c r="D866" i="57"/>
  <c r="N816" i="57"/>
  <c r="I865" i="57"/>
  <c r="H865" i="57"/>
  <c r="G865" i="57"/>
  <c r="F865" i="57"/>
  <c r="E865" i="57"/>
  <c r="D865" i="57"/>
  <c r="N815" i="57"/>
  <c r="I864" i="57"/>
  <c r="H864" i="57"/>
  <c r="G864" i="57"/>
  <c r="F864" i="57"/>
  <c r="E864" i="57"/>
  <c r="D864" i="57"/>
  <c r="N814" i="57"/>
  <c r="I863" i="57"/>
  <c r="H863" i="57"/>
  <c r="G863" i="57"/>
  <c r="F863" i="57"/>
  <c r="E863" i="57"/>
  <c r="D863" i="57"/>
  <c r="N813" i="57"/>
  <c r="I862" i="57"/>
  <c r="H862" i="57"/>
  <c r="G862" i="57"/>
  <c r="F862" i="57"/>
  <c r="E862" i="57"/>
  <c r="D862" i="57"/>
  <c r="N812" i="57"/>
  <c r="I861" i="57"/>
  <c r="H861" i="57"/>
  <c r="G861" i="57"/>
  <c r="F861" i="57"/>
  <c r="E861" i="57"/>
  <c r="D861" i="57"/>
  <c r="N811" i="57"/>
  <c r="I860" i="57"/>
  <c r="H860" i="57"/>
  <c r="G860" i="57"/>
  <c r="F860" i="57"/>
  <c r="E860" i="57"/>
  <c r="D860" i="57"/>
  <c r="N810" i="57"/>
  <c r="I859" i="57"/>
  <c r="H859" i="57"/>
  <c r="G859" i="57"/>
  <c r="F859" i="57"/>
  <c r="E859" i="57"/>
  <c r="D859" i="57"/>
  <c r="N809" i="57"/>
  <c r="I858" i="57"/>
  <c r="H858" i="57"/>
  <c r="G858" i="57"/>
  <c r="F858" i="57"/>
  <c r="E858" i="57"/>
  <c r="D858" i="57"/>
  <c r="N808" i="57"/>
  <c r="I857" i="57"/>
  <c r="H857" i="57"/>
  <c r="G857" i="57"/>
  <c r="F857" i="57"/>
  <c r="E857" i="57"/>
  <c r="D857" i="57"/>
  <c r="N807" i="57"/>
  <c r="I856" i="57"/>
  <c r="H856" i="57"/>
  <c r="G856" i="57"/>
  <c r="F856" i="57"/>
  <c r="E856" i="57"/>
  <c r="D856" i="57"/>
  <c r="N806" i="57"/>
  <c r="I855" i="57"/>
  <c r="H855" i="57"/>
  <c r="G855" i="57"/>
  <c r="F855" i="57"/>
  <c r="E855" i="57"/>
  <c r="D855" i="57"/>
  <c r="N805" i="57"/>
  <c r="I854" i="57"/>
  <c r="H854" i="57"/>
  <c r="G854" i="57"/>
  <c r="F854" i="57"/>
  <c r="E854" i="57"/>
  <c r="D854" i="57"/>
  <c r="N804" i="57"/>
  <c r="I853" i="57"/>
  <c r="H853" i="57"/>
  <c r="G853" i="57"/>
  <c r="F853" i="57"/>
  <c r="E853" i="57"/>
  <c r="D853" i="57"/>
  <c r="N803" i="57"/>
  <c r="I852" i="57"/>
  <c r="H852" i="57"/>
  <c r="G852" i="57"/>
  <c r="F852" i="57"/>
  <c r="E852" i="57"/>
  <c r="D852" i="57"/>
  <c r="N802" i="57"/>
  <c r="I851" i="57"/>
  <c r="H851" i="57"/>
  <c r="G851" i="57"/>
  <c r="F851" i="57"/>
  <c r="E851" i="57"/>
  <c r="D851" i="57"/>
  <c r="N801" i="57"/>
  <c r="I850" i="57"/>
  <c r="H850" i="57"/>
  <c r="G850" i="57"/>
  <c r="F850" i="57"/>
  <c r="E850" i="57"/>
  <c r="D850" i="57"/>
  <c r="N800" i="57"/>
  <c r="I849" i="57"/>
  <c r="H849" i="57"/>
  <c r="G849" i="57"/>
  <c r="F849" i="57"/>
  <c r="E849" i="57"/>
  <c r="D849" i="57"/>
  <c r="N799" i="57"/>
  <c r="I848" i="57"/>
  <c r="H848" i="57"/>
  <c r="G848" i="57"/>
  <c r="F848" i="57"/>
  <c r="E848" i="57"/>
  <c r="D848" i="57"/>
  <c r="N798" i="57"/>
  <c r="I847" i="57"/>
  <c r="H847" i="57"/>
  <c r="G847" i="57"/>
  <c r="F847" i="57"/>
  <c r="E847" i="57"/>
  <c r="D847" i="57"/>
  <c r="N797" i="57"/>
  <c r="I846" i="57"/>
  <c r="H846" i="57"/>
  <c r="G846" i="57"/>
  <c r="F846" i="57"/>
  <c r="E846" i="57"/>
  <c r="D846" i="57"/>
  <c r="N796" i="57"/>
  <c r="I845" i="57"/>
  <c r="H845" i="57"/>
  <c r="G845" i="57"/>
  <c r="F845" i="57"/>
  <c r="E845" i="57"/>
  <c r="D845" i="57"/>
  <c r="N795" i="57"/>
  <c r="I844" i="57"/>
  <c r="H844" i="57"/>
  <c r="G844" i="57"/>
  <c r="F844" i="57"/>
  <c r="E844" i="57"/>
  <c r="D844" i="57"/>
  <c r="N794" i="57"/>
  <c r="I843" i="57"/>
  <c r="H843" i="57"/>
  <c r="G843" i="57"/>
  <c r="F843" i="57"/>
  <c r="E843" i="57"/>
  <c r="D843" i="57"/>
  <c r="N793" i="57"/>
  <c r="I842" i="57"/>
  <c r="H842" i="57"/>
  <c r="G842" i="57"/>
  <c r="F842" i="57"/>
  <c r="E842" i="57"/>
  <c r="D842" i="57"/>
  <c r="N792" i="57"/>
  <c r="I841" i="57"/>
  <c r="H841" i="57"/>
  <c r="G841" i="57"/>
  <c r="F841" i="57"/>
  <c r="E841" i="57"/>
  <c r="D841" i="57"/>
  <c r="N791" i="57"/>
  <c r="I840" i="57"/>
  <c r="H840" i="57"/>
  <c r="G840" i="57"/>
  <c r="F840" i="57"/>
  <c r="E840" i="57"/>
  <c r="D840" i="57"/>
  <c r="N790" i="57"/>
  <c r="I839" i="57"/>
  <c r="H839" i="57"/>
  <c r="G839" i="57"/>
  <c r="F839" i="57"/>
  <c r="E839" i="57"/>
  <c r="D839" i="57"/>
  <c r="N789" i="57"/>
  <c r="I838" i="57"/>
  <c r="H838" i="57"/>
  <c r="G838" i="57"/>
  <c r="F838" i="57"/>
  <c r="E838" i="57"/>
  <c r="D838" i="57"/>
  <c r="N788" i="57"/>
  <c r="I837" i="57"/>
  <c r="H837" i="57"/>
  <c r="G837" i="57"/>
  <c r="F837" i="57"/>
  <c r="E837" i="57"/>
  <c r="D837" i="57"/>
  <c r="N787" i="57"/>
  <c r="I836" i="57"/>
  <c r="H836" i="57"/>
  <c r="G836" i="57"/>
  <c r="F836" i="57"/>
  <c r="E836" i="57"/>
  <c r="D836" i="57"/>
  <c r="N786" i="57"/>
  <c r="I835" i="57"/>
  <c r="H835" i="57"/>
  <c r="G835" i="57"/>
  <c r="F835" i="57"/>
  <c r="E835" i="57"/>
  <c r="D835" i="57"/>
  <c r="N785" i="57"/>
  <c r="I834" i="57"/>
  <c r="H834" i="57"/>
  <c r="G834" i="57"/>
  <c r="F834" i="57"/>
  <c r="E834" i="57"/>
  <c r="D834" i="57"/>
  <c r="N784" i="57"/>
  <c r="I833" i="57"/>
  <c r="H833" i="57"/>
  <c r="G833" i="57"/>
  <c r="F833" i="57"/>
  <c r="E833" i="57"/>
  <c r="D833" i="57"/>
  <c r="N783" i="57"/>
  <c r="I832" i="57"/>
  <c r="H832" i="57"/>
  <c r="G832" i="57"/>
  <c r="F832" i="57"/>
  <c r="E832" i="57"/>
  <c r="D832" i="57"/>
  <c r="N782" i="57"/>
  <c r="I831" i="57"/>
  <c r="H831" i="57"/>
  <c r="G831" i="57"/>
  <c r="F831" i="57"/>
  <c r="E831" i="57"/>
  <c r="D831" i="57"/>
  <c r="N781" i="57"/>
  <c r="I830" i="57"/>
  <c r="H830" i="57"/>
  <c r="G830" i="57"/>
  <c r="F830" i="57"/>
  <c r="E830" i="57"/>
  <c r="D830" i="57"/>
  <c r="N780" i="57"/>
  <c r="I829" i="57"/>
  <c r="H829" i="57"/>
  <c r="G829" i="57"/>
  <c r="F829" i="57"/>
  <c r="E829" i="57"/>
  <c r="D829" i="57"/>
  <c r="N779" i="57"/>
  <c r="I828" i="57"/>
  <c r="H828" i="57"/>
  <c r="G828" i="57"/>
  <c r="F828" i="57"/>
  <c r="E828" i="57"/>
  <c r="D828" i="57"/>
  <c r="N778" i="57"/>
  <c r="I827" i="57"/>
  <c r="H827" i="57"/>
  <c r="G827" i="57"/>
  <c r="F827" i="57"/>
  <c r="E827" i="57"/>
  <c r="D827" i="57"/>
  <c r="N777" i="57"/>
  <c r="I826" i="57"/>
  <c r="H826" i="57"/>
  <c r="G826" i="57"/>
  <c r="F826" i="57"/>
  <c r="E826" i="57"/>
  <c r="D826" i="57"/>
  <c r="N776" i="57"/>
  <c r="I825" i="57"/>
  <c r="H825" i="57"/>
  <c r="G825" i="57"/>
  <c r="F825" i="57"/>
  <c r="E825" i="57"/>
  <c r="D825" i="57"/>
  <c r="N775" i="57"/>
  <c r="I824" i="57"/>
  <c r="H824" i="57"/>
  <c r="G824" i="57"/>
  <c r="F824" i="57"/>
  <c r="E824" i="57"/>
  <c r="D824" i="57"/>
  <c r="N774" i="57"/>
  <c r="I823" i="57"/>
  <c r="H823" i="57"/>
  <c r="G823" i="57"/>
  <c r="F823" i="57"/>
  <c r="E823" i="57"/>
  <c r="D823" i="57"/>
  <c r="N773" i="57"/>
  <c r="I822" i="57"/>
  <c r="H822" i="57"/>
  <c r="G822" i="57"/>
  <c r="F822" i="57"/>
  <c r="E822" i="57"/>
  <c r="D822" i="57"/>
  <c r="N772" i="57"/>
  <c r="I821" i="57"/>
  <c r="H821" i="57"/>
  <c r="G821" i="57"/>
  <c r="F821" i="57"/>
  <c r="E821" i="57"/>
  <c r="D821" i="57"/>
  <c r="N771" i="57"/>
  <c r="I820" i="57"/>
  <c r="H820" i="57"/>
  <c r="G820" i="57"/>
  <c r="F820" i="57"/>
  <c r="E820" i="57"/>
  <c r="D820" i="57"/>
  <c r="N770" i="57"/>
  <c r="I819" i="57"/>
  <c r="H819" i="57"/>
  <c r="G819" i="57"/>
  <c r="F819" i="57"/>
  <c r="E819" i="57"/>
  <c r="D819" i="57"/>
  <c r="N769" i="57"/>
  <c r="I818" i="57"/>
  <c r="H818" i="57"/>
  <c r="G818" i="57"/>
  <c r="F818" i="57"/>
  <c r="E818" i="57"/>
  <c r="D818" i="57"/>
  <c r="N768" i="57"/>
  <c r="I817" i="57"/>
  <c r="H817" i="57"/>
  <c r="G817" i="57"/>
  <c r="F817" i="57"/>
  <c r="E817" i="57"/>
  <c r="D817" i="57"/>
  <c r="N767" i="57"/>
  <c r="I816" i="57"/>
  <c r="H816" i="57"/>
  <c r="G816" i="57"/>
  <c r="F816" i="57"/>
  <c r="E816" i="57"/>
  <c r="D816" i="57"/>
  <c r="N766" i="57"/>
  <c r="I815" i="57"/>
  <c r="H815" i="57"/>
  <c r="G815" i="57"/>
  <c r="F815" i="57"/>
  <c r="E815" i="57"/>
  <c r="D815" i="57"/>
  <c r="N765" i="57"/>
  <c r="I814" i="57"/>
  <c r="H814" i="57"/>
  <c r="G814" i="57"/>
  <c r="F814" i="57"/>
  <c r="E814" i="57"/>
  <c r="D814" i="57"/>
  <c r="N764" i="57"/>
  <c r="I813" i="57"/>
  <c r="H813" i="57"/>
  <c r="G813" i="57"/>
  <c r="F813" i="57"/>
  <c r="E813" i="57"/>
  <c r="D813" i="57"/>
  <c r="N763" i="57"/>
  <c r="I812" i="57"/>
  <c r="H812" i="57"/>
  <c r="G812" i="57"/>
  <c r="F812" i="57"/>
  <c r="E812" i="57"/>
  <c r="D812" i="57"/>
  <c r="N762" i="57"/>
  <c r="I811" i="57"/>
  <c r="H811" i="57"/>
  <c r="G811" i="57"/>
  <c r="F811" i="57"/>
  <c r="E811" i="57"/>
  <c r="D811" i="57"/>
  <c r="N761" i="57"/>
  <c r="I810" i="57"/>
  <c r="H810" i="57"/>
  <c r="G810" i="57"/>
  <c r="F810" i="57"/>
  <c r="E810" i="57"/>
  <c r="D810" i="57"/>
  <c r="N760" i="57"/>
  <c r="I809" i="57"/>
  <c r="H809" i="57"/>
  <c r="G809" i="57"/>
  <c r="F809" i="57"/>
  <c r="E809" i="57"/>
  <c r="D809" i="57"/>
  <c r="N759" i="57"/>
  <c r="I808" i="57"/>
  <c r="H808" i="57"/>
  <c r="G808" i="57"/>
  <c r="F808" i="57"/>
  <c r="E808" i="57"/>
  <c r="D808" i="57"/>
  <c r="N758" i="57"/>
  <c r="I807" i="57"/>
  <c r="H807" i="57"/>
  <c r="G807" i="57"/>
  <c r="F807" i="57"/>
  <c r="E807" i="57"/>
  <c r="D807" i="57"/>
  <c r="N757" i="57"/>
  <c r="I806" i="57"/>
  <c r="H806" i="57"/>
  <c r="G806" i="57"/>
  <c r="F806" i="57"/>
  <c r="E806" i="57"/>
  <c r="D806" i="57"/>
  <c r="N756" i="57"/>
  <c r="I805" i="57"/>
  <c r="H805" i="57"/>
  <c r="G805" i="57"/>
  <c r="F805" i="57"/>
  <c r="E805" i="57"/>
  <c r="D805" i="57"/>
  <c r="N755" i="57"/>
  <c r="I804" i="57"/>
  <c r="H804" i="57"/>
  <c r="G804" i="57"/>
  <c r="F804" i="57"/>
  <c r="E804" i="57"/>
  <c r="D804" i="57"/>
  <c r="N754" i="57"/>
  <c r="I803" i="57"/>
  <c r="H803" i="57"/>
  <c r="G803" i="57"/>
  <c r="F803" i="57"/>
  <c r="E803" i="57"/>
  <c r="D803" i="57"/>
  <c r="N753" i="57"/>
  <c r="I802" i="57"/>
  <c r="H802" i="57"/>
  <c r="G802" i="57"/>
  <c r="F802" i="57"/>
  <c r="E802" i="57"/>
  <c r="D802" i="57"/>
  <c r="N752" i="57"/>
  <c r="I801" i="57"/>
  <c r="H801" i="57"/>
  <c r="G801" i="57"/>
  <c r="F801" i="57"/>
  <c r="E801" i="57"/>
  <c r="D801" i="57"/>
  <c r="N751" i="57"/>
  <c r="I800" i="57"/>
  <c r="H800" i="57"/>
  <c r="G800" i="57"/>
  <c r="F800" i="57"/>
  <c r="E800" i="57"/>
  <c r="D800" i="57"/>
  <c r="N750" i="57"/>
  <c r="I799" i="57"/>
  <c r="H799" i="57"/>
  <c r="G799" i="57"/>
  <c r="F799" i="57"/>
  <c r="E799" i="57"/>
  <c r="D799" i="57"/>
  <c r="N749" i="57"/>
  <c r="I798" i="57"/>
  <c r="H798" i="57"/>
  <c r="G798" i="57"/>
  <c r="F798" i="57"/>
  <c r="E798" i="57"/>
  <c r="D798" i="57"/>
  <c r="N748" i="57"/>
  <c r="I797" i="57"/>
  <c r="H797" i="57"/>
  <c r="G797" i="57"/>
  <c r="F797" i="57"/>
  <c r="E797" i="57"/>
  <c r="D797" i="57"/>
  <c r="N747" i="57"/>
  <c r="I796" i="57"/>
  <c r="H796" i="57"/>
  <c r="G796" i="57"/>
  <c r="F796" i="57"/>
  <c r="E796" i="57"/>
  <c r="D796" i="57"/>
  <c r="N746" i="57"/>
  <c r="I795" i="57"/>
  <c r="H795" i="57"/>
  <c r="G795" i="57"/>
  <c r="F795" i="57"/>
  <c r="E795" i="57"/>
  <c r="D795" i="57"/>
  <c r="N745" i="57"/>
  <c r="I794" i="57"/>
  <c r="H794" i="57"/>
  <c r="G794" i="57"/>
  <c r="F794" i="57"/>
  <c r="E794" i="57"/>
  <c r="D794" i="57"/>
  <c r="N744" i="57"/>
  <c r="I793" i="57"/>
  <c r="H793" i="57"/>
  <c r="G793" i="57"/>
  <c r="F793" i="57"/>
  <c r="E793" i="57"/>
  <c r="D793" i="57"/>
  <c r="N743" i="57"/>
  <c r="I792" i="57"/>
  <c r="H792" i="57"/>
  <c r="G792" i="57"/>
  <c r="F792" i="57"/>
  <c r="E792" i="57"/>
  <c r="D792" i="57"/>
  <c r="N742" i="57"/>
  <c r="I791" i="57"/>
  <c r="H791" i="57"/>
  <c r="G791" i="57"/>
  <c r="F791" i="57"/>
  <c r="E791" i="57"/>
  <c r="D791" i="57"/>
  <c r="N741" i="57"/>
  <c r="I790" i="57"/>
  <c r="H790" i="57"/>
  <c r="G790" i="57"/>
  <c r="F790" i="57"/>
  <c r="E790" i="57"/>
  <c r="D790" i="57"/>
  <c r="N740" i="57"/>
  <c r="I789" i="57"/>
  <c r="H789" i="57"/>
  <c r="G789" i="57"/>
  <c r="F789" i="57"/>
  <c r="E789" i="57"/>
  <c r="D789" i="57"/>
  <c r="N739" i="57"/>
  <c r="I788" i="57"/>
  <c r="H788" i="57"/>
  <c r="G788" i="57"/>
  <c r="F788" i="57"/>
  <c r="E788" i="57"/>
  <c r="D788" i="57"/>
  <c r="N738" i="57"/>
  <c r="I787" i="57"/>
  <c r="H787" i="57"/>
  <c r="G787" i="57"/>
  <c r="F787" i="57"/>
  <c r="E787" i="57"/>
  <c r="D787" i="57"/>
  <c r="N737" i="57"/>
  <c r="I786" i="57"/>
  <c r="H786" i="57"/>
  <c r="G786" i="57"/>
  <c r="F786" i="57"/>
  <c r="E786" i="57"/>
  <c r="D786" i="57"/>
  <c r="N736" i="57"/>
  <c r="I785" i="57"/>
  <c r="H785" i="57"/>
  <c r="G785" i="57"/>
  <c r="F785" i="57"/>
  <c r="E785" i="57"/>
  <c r="D785" i="57"/>
  <c r="N735" i="57"/>
  <c r="I784" i="57"/>
  <c r="H784" i="57"/>
  <c r="G784" i="57"/>
  <c r="F784" i="57"/>
  <c r="E784" i="57"/>
  <c r="D784" i="57"/>
  <c r="N734" i="57"/>
  <c r="I783" i="57"/>
  <c r="H783" i="57"/>
  <c r="G783" i="57"/>
  <c r="F783" i="57"/>
  <c r="E783" i="57"/>
  <c r="D783" i="57"/>
  <c r="I782" i="57"/>
  <c r="H782" i="57"/>
  <c r="G782" i="57"/>
  <c r="F782" i="57"/>
  <c r="E782" i="57"/>
  <c r="D782" i="57"/>
  <c r="N733" i="57"/>
  <c r="I781" i="57"/>
  <c r="H781" i="57"/>
  <c r="G781" i="57"/>
  <c r="F781" i="57"/>
  <c r="E781" i="57"/>
  <c r="D781" i="57"/>
  <c r="N732" i="57"/>
  <c r="I780" i="57"/>
  <c r="H780" i="57"/>
  <c r="G780" i="57"/>
  <c r="F780" i="57"/>
  <c r="E780" i="57"/>
  <c r="D780" i="57"/>
  <c r="N731" i="57"/>
  <c r="I779" i="57"/>
  <c r="H779" i="57"/>
  <c r="G779" i="57"/>
  <c r="F779" i="57"/>
  <c r="E779" i="57"/>
  <c r="D779" i="57"/>
  <c r="N730" i="57"/>
  <c r="I778" i="57"/>
  <c r="H778" i="57"/>
  <c r="G778" i="57"/>
  <c r="F778" i="57"/>
  <c r="E778" i="57"/>
  <c r="D778" i="57"/>
  <c r="N729" i="57"/>
  <c r="I777" i="57"/>
  <c r="H777" i="57"/>
  <c r="G777" i="57"/>
  <c r="F777" i="57"/>
  <c r="E777" i="57"/>
  <c r="D777" i="57"/>
  <c r="N728" i="57"/>
  <c r="I776" i="57"/>
  <c r="H776" i="57"/>
  <c r="G776" i="57"/>
  <c r="F776" i="57"/>
  <c r="E776" i="57"/>
  <c r="D776" i="57"/>
  <c r="N727" i="57"/>
  <c r="I775" i="57"/>
  <c r="H775" i="57"/>
  <c r="G775" i="57"/>
  <c r="F775" i="57"/>
  <c r="E775" i="57"/>
  <c r="D775" i="57"/>
  <c r="N726" i="57"/>
  <c r="I774" i="57"/>
  <c r="H774" i="57"/>
  <c r="G774" i="57"/>
  <c r="F774" i="57"/>
  <c r="E774" i="57"/>
  <c r="D774" i="57"/>
  <c r="N725" i="57"/>
  <c r="I773" i="57"/>
  <c r="H773" i="57"/>
  <c r="G773" i="57"/>
  <c r="F773" i="57"/>
  <c r="E773" i="57"/>
  <c r="D773" i="57"/>
  <c r="N724" i="57"/>
  <c r="I772" i="57"/>
  <c r="H772" i="57"/>
  <c r="G772" i="57"/>
  <c r="F772" i="57"/>
  <c r="E772" i="57"/>
  <c r="D772" i="57"/>
  <c r="N723" i="57"/>
  <c r="I771" i="57"/>
  <c r="H771" i="57"/>
  <c r="G771" i="57"/>
  <c r="F771" i="57"/>
  <c r="E771" i="57"/>
  <c r="D771" i="57"/>
  <c r="N722" i="57"/>
  <c r="I770" i="57"/>
  <c r="H770" i="57"/>
  <c r="G770" i="57"/>
  <c r="F770" i="57"/>
  <c r="E770" i="57"/>
  <c r="D770" i="57"/>
  <c r="N721" i="57"/>
  <c r="I769" i="57"/>
  <c r="H769" i="57"/>
  <c r="G769" i="57"/>
  <c r="F769" i="57"/>
  <c r="E769" i="57"/>
  <c r="D769" i="57"/>
  <c r="N720" i="57"/>
  <c r="I768" i="57"/>
  <c r="H768" i="57"/>
  <c r="G768" i="57"/>
  <c r="F768" i="57"/>
  <c r="E768" i="57"/>
  <c r="D768" i="57"/>
  <c r="N719" i="57"/>
  <c r="I767" i="57"/>
  <c r="H767" i="57"/>
  <c r="G767" i="57"/>
  <c r="F767" i="57"/>
  <c r="E767" i="57"/>
  <c r="D767" i="57"/>
  <c r="N718" i="57"/>
  <c r="I766" i="57"/>
  <c r="H766" i="57"/>
  <c r="G766" i="57"/>
  <c r="F766" i="57"/>
  <c r="E766" i="57"/>
  <c r="D766" i="57"/>
  <c r="N717" i="57"/>
  <c r="I765" i="57"/>
  <c r="H765" i="57"/>
  <c r="G765" i="57"/>
  <c r="F765" i="57"/>
  <c r="E765" i="57"/>
  <c r="D765" i="57"/>
  <c r="N716" i="57"/>
  <c r="I764" i="57"/>
  <c r="H764" i="57"/>
  <c r="G764" i="57"/>
  <c r="F764" i="57"/>
  <c r="E764" i="57"/>
  <c r="D764" i="57"/>
  <c r="N715" i="57"/>
  <c r="I763" i="57"/>
  <c r="H763" i="57"/>
  <c r="G763" i="57"/>
  <c r="F763" i="57"/>
  <c r="E763" i="57"/>
  <c r="D763" i="57"/>
  <c r="N714" i="57"/>
  <c r="I762" i="57"/>
  <c r="H762" i="57"/>
  <c r="G762" i="57"/>
  <c r="F762" i="57"/>
  <c r="E762" i="57"/>
  <c r="D762" i="57"/>
  <c r="N713" i="57"/>
  <c r="I761" i="57"/>
  <c r="H761" i="57"/>
  <c r="G761" i="57"/>
  <c r="F761" i="57"/>
  <c r="E761" i="57"/>
  <c r="D761" i="57"/>
  <c r="N712" i="57"/>
  <c r="I760" i="57"/>
  <c r="H760" i="57"/>
  <c r="G760" i="57"/>
  <c r="F760" i="57"/>
  <c r="E760" i="57"/>
  <c r="D760" i="57"/>
  <c r="N711" i="57"/>
  <c r="I759" i="57"/>
  <c r="H759" i="57"/>
  <c r="G759" i="57"/>
  <c r="F759" i="57"/>
  <c r="E759" i="57"/>
  <c r="D759" i="57"/>
  <c r="N710" i="57"/>
  <c r="I758" i="57"/>
  <c r="H758" i="57"/>
  <c r="G758" i="57"/>
  <c r="F758" i="57"/>
  <c r="E758" i="57"/>
  <c r="D758" i="57"/>
  <c r="N709" i="57"/>
  <c r="I757" i="57"/>
  <c r="H757" i="57"/>
  <c r="G757" i="57"/>
  <c r="F757" i="57"/>
  <c r="E757" i="57"/>
  <c r="D757" i="57"/>
  <c r="N708" i="57"/>
  <c r="I756" i="57"/>
  <c r="H756" i="57"/>
  <c r="G756" i="57"/>
  <c r="F756" i="57"/>
  <c r="E756" i="57"/>
  <c r="D756" i="57"/>
  <c r="N707" i="57"/>
  <c r="I755" i="57"/>
  <c r="H755" i="57"/>
  <c r="G755" i="57"/>
  <c r="F755" i="57"/>
  <c r="E755" i="57"/>
  <c r="D755" i="57"/>
  <c r="N706" i="57"/>
  <c r="I754" i="57"/>
  <c r="H754" i="57"/>
  <c r="G754" i="57"/>
  <c r="F754" i="57"/>
  <c r="E754" i="57"/>
  <c r="D754" i="57"/>
  <c r="N705" i="57"/>
  <c r="I753" i="57"/>
  <c r="H753" i="57"/>
  <c r="G753" i="57"/>
  <c r="F753" i="57"/>
  <c r="E753" i="57"/>
  <c r="D753" i="57"/>
  <c r="N704" i="57"/>
  <c r="I752" i="57"/>
  <c r="H752" i="57"/>
  <c r="G752" i="57"/>
  <c r="F752" i="57"/>
  <c r="E752" i="57"/>
  <c r="D752" i="57"/>
  <c r="N703" i="57"/>
  <c r="I751" i="57"/>
  <c r="H751" i="57"/>
  <c r="G751" i="57"/>
  <c r="F751" i="57"/>
  <c r="E751" i="57"/>
  <c r="D751" i="57"/>
  <c r="N702" i="57"/>
  <c r="I750" i="57"/>
  <c r="H750" i="57"/>
  <c r="G750" i="57"/>
  <c r="F750" i="57"/>
  <c r="E750" i="57"/>
  <c r="D750" i="57"/>
  <c r="N701" i="57"/>
  <c r="I749" i="57"/>
  <c r="H749" i="57"/>
  <c r="G749" i="57"/>
  <c r="F749" i="57"/>
  <c r="E749" i="57"/>
  <c r="D749" i="57"/>
  <c r="N700" i="57"/>
  <c r="I748" i="57"/>
  <c r="H748" i="57"/>
  <c r="G748" i="57"/>
  <c r="F748" i="57"/>
  <c r="E748" i="57"/>
  <c r="D748" i="57"/>
  <c r="N699" i="57"/>
  <c r="I747" i="57"/>
  <c r="H747" i="57"/>
  <c r="G747" i="57"/>
  <c r="F747" i="57"/>
  <c r="E747" i="57"/>
  <c r="D747" i="57"/>
  <c r="N698" i="57"/>
  <c r="I746" i="57"/>
  <c r="H746" i="57"/>
  <c r="G746" i="57"/>
  <c r="F746" i="57"/>
  <c r="E746" i="57"/>
  <c r="D746" i="57"/>
  <c r="N697" i="57"/>
  <c r="I745" i="57"/>
  <c r="H745" i="57"/>
  <c r="G745" i="57"/>
  <c r="F745" i="57"/>
  <c r="E745" i="57"/>
  <c r="D745" i="57"/>
  <c r="N696" i="57"/>
  <c r="I744" i="57"/>
  <c r="H744" i="57"/>
  <c r="G744" i="57"/>
  <c r="F744" i="57"/>
  <c r="E744" i="57"/>
  <c r="D744" i="57"/>
  <c r="N695" i="57"/>
  <c r="I743" i="57"/>
  <c r="H743" i="57"/>
  <c r="G743" i="57"/>
  <c r="F743" i="57"/>
  <c r="E743" i="57"/>
  <c r="D743" i="57"/>
  <c r="N694" i="57"/>
  <c r="I742" i="57"/>
  <c r="H742" i="57"/>
  <c r="G742" i="57"/>
  <c r="F742" i="57"/>
  <c r="E742" i="57"/>
  <c r="D742" i="57"/>
  <c r="N693" i="57"/>
  <c r="I741" i="57"/>
  <c r="H741" i="57"/>
  <c r="G741" i="57"/>
  <c r="F741" i="57"/>
  <c r="E741" i="57"/>
  <c r="D741" i="57"/>
  <c r="N692" i="57"/>
  <c r="I740" i="57"/>
  <c r="H740" i="57"/>
  <c r="G740" i="57"/>
  <c r="F740" i="57"/>
  <c r="E740" i="57"/>
  <c r="D740" i="57"/>
  <c r="N691" i="57"/>
  <c r="I739" i="57"/>
  <c r="H739" i="57"/>
  <c r="G739" i="57"/>
  <c r="F739" i="57"/>
  <c r="E739" i="57"/>
  <c r="D739" i="57"/>
  <c r="N690" i="57"/>
  <c r="I738" i="57"/>
  <c r="H738" i="57"/>
  <c r="G738" i="57"/>
  <c r="F738" i="57"/>
  <c r="E738" i="57"/>
  <c r="D738" i="57"/>
  <c r="N689" i="57"/>
  <c r="I737" i="57"/>
  <c r="H737" i="57"/>
  <c r="G737" i="57"/>
  <c r="F737" i="57"/>
  <c r="E737" i="57"/>
  <c r="D737" i="57"/>
  <c r="N688" i="57"/>
  <c r="I736" i="57"/>
  <c r="H736" i="57"/>
  <c r="G736" i="57"/>
  <c r="F736" i="57"/>
  <c r="E736" i="57"/>
  <c r="D736" i="57"/>
  <c r="N687" i="57"/>
  <c r="I735" i="57"/>
  <c r="H735" i="57"/>
  <c r="G735" i="57"/>
  <c r="F735" i="57"/>
  <c r="E735" i="57"/>
  <c r="D735" i="57"/>
  <c r="N686" i="57"/>
  <c r="I734" i="57"/>
  <c r="H734" i="57"/>
  <c r="G734" i="57"/>
  <c r="F734" i="57"/>
  <c r="E734" i="57"/>
  <c r="D734" i="57"/>
  <c r="N685" i="57"/>
  <c r="I733" i="57"/>
  <c r="H733" i="57"/>
  <c r="G733" i="57"/>
  <c r="F733" i="57"/>
  <c r="E733" i="57"/>
  <c r="D733" i="57"/>
  <c r="N684" i="57"/>
  <c r="I732" i="57"/>
  <c r="H732" i="57"/>
  <c r="G732" i="57"/>
  <c r="F732" i="57"/>
  <c r="E732" i="57"/>
  <c r="D732" i="57"/>
  <c r="N683" i="57"/>
  <c r="I731" i="57"/>
  <c r="H731" i="57"/>
  <c r="G731" i="57"/>
  <c r="F731" i="57"/>
  <c r="E731" i="57"/>
  <c r="D731" i="57"/>
  <c r="N682" i="57"/>
  <c r="I730" i="57"/>
  <c r="H730" i="57"/>
  <c r="G730" i="57"/>
  <c r="F730" i="57"/>
  <c r="E730" i="57"/>
  <c r="D730" i="57"/>
  <c r="N681" i="57"/>
  <c r="I729" i="57"/>
  <c r="H729" i="57"/>
  <c r="G729" i="57"/>
  <c r="F729" i="57"/>
  <c r="E729" i="57"/>
  <c r="D729" i="57"/>
  <c r="N680" i="57"/>
  <c r="I728" i="57"/>
  <c r="H728" i="57"/>
  <c r="G728" i="57"/>
  <c r="F728" i="57"/>
  <c r="E728" i="57"/>
  <c r="D728" i="57"/>
  <c r="N679" i="57"/>
  <c r="I727" i="57"/>
  <c r="H727" i="57"/>
  <c r="G727" i="57"/>
  <c r="F727" i="57"/>
  <c r="E727" i="57"/>
  <c r="D727" i="57"/>
  <c r="N678" i="57"/>
  <c r="I726" i="57"/>
  <c r="H726" i="57"/>
  <c r="G726" i="57"/>
  <c r="F726" i="57"/>
  <c r="E726" i="57"/>
  <c r="D726" i="57"/>
  <c r="N677" i="57"/>
  <c r="I725" i="57"/>
  <c r="H725" i="57"/>
  <c r="G725" i="57"/>
  <c r="F725" i="57"/>
  <c r="E725" i="57"/>
  <c r="D725" i="57"/>
  <c r="N676" i="57"/>
  <c r="I724" i="57"/>
  <c r="H724" i="57"/>
  <c r="G724" i="57"/>
  <c r="F724" i="57"/>
  <c r="E724" i="57"/>
  <c r="D724" i="57"/>
  <c r="N675" i="57"/>
  <c r="I723" i="57"/>
  <c r="H723" i="57"/>
  <c r="G723" i="57"/>
  <c r="F723" i="57"/>
  <c r="E723" i="57"/>
  <c r="D723" i="57"/>
  <c r="N674" i="57"/>
  <c r="I722" i="57"/>
  <c r="H722" i="57"/>
  <c r="G722" i="57"/>
  <c r="F722" i="57"/>
  <c r="E722" i="57"/>
  <c r="D722" i="57"/>
  <c r="N673" i="57"/>
  <c r="I721" i="57"/>
  <c r="H721" i="57"/>
  <c r="G721" i="57"/>
  <c r="F721" i="57"/>
  <c r="E721" i="57"/>
  <c r="D721" i="57"/>
  <c r="N672" i="57"/>
  <c r="I720" i="57"/>
  <c r="H720" i="57"/>
  <c r="G720" i="57"/>
  <c r="F720" i="57"/>
  <c r="E720" i="57"/>
  <c r="D720" i="57"/>
  <c r="N671" i="57"/>
  <c r="I719" i="57"/>
  <c r="H719" i="57"/>
  <c r="G719" i="57"/>
  <c r="F719" i="57"/>
  <c r="E719" i="57"/>
  <c r="D719" i="57"/>
  <c r="N670" i="57"/>
  <c r="I718" i="57"/>
  <c r="H718" i="57"/>
  <c r="G718" i="57"/>
  <c r="F718" i="57"/>
  <c r="E718" i="57"/>
  <c r="D718" i="57"/>
  <c r="N669" i="57"/>
  <c r="I717" i="57"/>
  <c r="H717" i="57"/>
  <c r="G717" i="57"/>
  <c r="F717" i="57"/>
  <c r="E717" i="57"/>
  <c r="D717" i="57"/>
  <c r="N668" i="57"/>
  <c r="I716" i="57"/>
  <c r="H716" i="57"/>
  <c r="G716" i="57"/>
  <c r="F716" i="57"/>
  <c r="E716" i="57"/>
  <c r="D716" i="57"/>
  <c r="N667" i="57"/>
  <c r="I715" i="57"/>
  <c r="H715" i="57"/>
  <c r="G715" i="57"/>
  <c r="F715" i="57"/>
  <c r="E715" i="57"/>
  <c r="D715" i="57"/>
  <c r="N666" i="57"/>
  <c r="I714" i="57"/>
  <c r="H714" i="57"/>
  <c r="G714" i="57"/>
  <c r="F714" i="57"/>
  <c r="E714" i="57"/>
  <c r="D714" i="57"/>
  <c r="N665" i="57"/>
  <c r="I713" i="57"/>
  <c r="H713" i="57"/>
  <c r="G713" i="57"/>
  <c r="F713" i="57"/>
  <c r="E713" i="57"/>
  <c r="D713" i="57"/>
  <c r="N664" i="57"/>
  <c r="I712" i="57"/>
  <c r="H712" i="57"/>
  <c r="G712" i="57"/>
  <c r="F712" i="57"/>
  <c r="E712" i="57"/>
  <c r="D712" i="57"/>
  <c r="N663" i="57"/>
  <c r="I711" i="57"/>
  <c r="H711" i="57"/>
  <c r="G711" i="57"/>
  <c r="F711" i="57"/>
  <c r="E711" i="57"/>
  <c r="D711" i="57"/>
  <c r="N662" i="57"/>
  <c r="I710" i="57"/>
  <c r="H710" i="57"/>
  <c r="G710" i="57"/>
  <c r="F710" i="57"/>
  <c r="E710" i="57"/>
  <c r="D710" i="57"/>
  <c r="N661" i="57"/>
  <c r="I709" i="57"/>
  <c r="H709" i="57"/>
  <c r="G709" i="57"/>
  <c r="F709" i="57"/>
  <c r="E709" i="57"/>
  <c r="D709" i="57"/>
  <c r="N660" i="57"/>
  <c r="I708" i="57"/>
  <c r="H708" i="57"/>
  <c r="G708" i="57"/>
  <c r="F708" i="57"/>
  <c r="E708" i="57"/>
  <c r="D708" i="57"/>
  <c r="N659" i="57"/>
  <c r="I707" i="57"/>
  <c r="H707" i="57"/>
  <c r="G707" i="57"/>
  <c r="F707" i="57"/>
  <c r="E707" i="57"/>
  <c r="D707" i="57"/>
  <c r="N658" i="57"/>
  <c r="I706" i="57"/>
  <c r="H706" i="57"/>
  <c r="G706" i="57"/>
  <c r="F706" i="57"/>
  <c r="E706" i="57"/>
  <c r="D706" i="57"/>
  <c r="N657" i="57"/>
  <c r="I705" i="57"/>
  <c r="H705" i="57"/>
  <c r="G705" i="57"/>
  <c r="F705" i="57"/>
  <c r="E705" i="57"/>
  <c r="D705" i="57"/>
  <c r="N656" i="57"/>
  <c r="I704" i="57"/>
  <c r="H704" i="57"/>
  <c r="G704" i="57"/>
  <c r="F704" i="57"/>
  <c r="E704" i="57"/>
  <c r="D704" i="57"/>
  <c r="N655" i="57"/>
  <c r="I703" i="57"/>
  <c r="H703" i="57"/>
  <c r="G703" i="57"/>
  <c r="F703" i="57"/>
  <c r="E703" i="57"/>
  <c r="D703" i="57"/>
  <c r="N654" i="57"/>
  <c r="I702" i="57"/>
  <c r="H702" i="57"/>
  <c r="G702" i="57"/>
  <c r="F702" i="57"/>
  <c r="E702" i="57"/>
  <c r="D702" i="57"/>
  <c r="N653" i="57"/>
  <c r="I701" i="57"/>
  <c r="H701" i="57"/>
  <c r="G701" i="57"/>
  <c r="F701" i="57"/>
  <c r="E701" i="57"/>
  <c r="D701" i="57"/>
  <c r="N652" i="57"/>
  <c r="I700" i="57"/>
  <c r="H700" i="57"/>
  <c r="G700" i="57"/>
  <c r="F700" i="57"/>
  <c r="E700" i="57"/>
  <c r="D700" i="57"/>
  <c r="N651" i="57"/>
  <c r="I699" i="57"/>
  <c r="H699" i="57"/>
  <c r="G699" i="57"/>
  <c r="F699" i="57"/>
  <c r="E699" i="57"/>
  <c r="D699" i="57"/>
  <c r="N650" i="57"/>
  <c r="I698" i="57"/>
  <c r="H698" i="57"/>
  <c r="G698" i="57"/>
  <c r="F698" i="57"/>
  <c r="E698" i="57"/>
  <c r="D698" i="57"/>
  <c r="N649" i="57"/>
  <c r="I697" i="57"/>
  <c r="H697" i="57"/>
  <c r="G697" i="57"/>
  <c r="F697" i="57"/>
  <c r="E697" i="57"/>
  <c r="D697" i="57"/>
  <c r="N648" i="57"/>
  <c r="I696" i="57"/>
  <c r="H696" i="57"/>
  <c r="G696" i="57"/>
  <c r="F696" i="57"/>
  <c r="E696" i="57"/>
  <c r="D696" i="57"/>
  <c r="N647" i="57"/>
  <c r="I695" i="57"/>
  <c r="H695" i="57"/>
  <c r="G695" i="57"/>
  <c r="F695" i="57"/>
  <c r="E695" i="57"/>
  <c r="D695" i="57"/>
  <c r="N646" i="57"/>
  <c r="I694" i="57"/>
  <c r="H694" i="57"/>
  <c r="G694" i="57"/>
  <c r="F694" i="57"/>
  <c r="E694" i="57"/>
  <c r="D694" i="57"/>
  <c r="N645" i="57"/>
  <c r="I693" i="57"/>
  <c r="H693" i="57"/>
  <c r="G693" i="57"/>
  <c r="F693" i="57"/>
  <c r="E693" i="57"/>
  <c r="D693" i="57"/>
  <c r="N644" i="57"/>
  <c r="I692" i="57"/>
  <c r="H692" i="57"/>
  <c r="G692" i="57"/>
  <c r="F692" i="57"/>
  <c r="E692" i="57"/>
  <c r="D692" i="57"/>
  <c r="N643" i="57"/>
  <c r="I691" i="57"/>
  <c r="H691" i="57"/>
  <c r="G691" i="57"/>
  <c r="F691" i="57"/>
  <c r="E691" i="57"/>
  <c r="D691" i="57"/>
  <c r="N642" i="57"/>
  <c r="I690" i="57"/>
  <c r="H690" i="57"/>
  <c r="G690" i="57"/>
  <c r="F690" i="57"/>
  <c r="E690" i="57"/>
  <c r="D690" i="57"/>
  <c r="N641" i="57"/>
  <c r="I689" i="57"/>
  <c r="H689" i="57"/>
  <c r="G689" i="57"/>
  <c r="F689" i="57"/>
  <c r="E689" i="57"/>
  <c r="D689" i="57"/>
  <c r="N640" i="57"/>
  <c r="I688" i="57"/>
  <c r="H688" i="57"/>
  <c r="G688" i="57"/>
  <c r="F688" i="57"/>
  <c r="E688" i="57"/>
  <c r="D688" i="57"/>
  <c r="N639" i="57"/>
  <c r="I687" i="57"/>
  <c r="H687" i="57"/>
  <c r="G687" i="57"/>
  <c r="F687" i="57"/>
  <c r="E687" i="57"/>
  <c r="D687" i="57"/>
  <c r="N638" i="57"/>
  <c r="I686" i="57"/>
  <c r="H686" i="57"/>
  <c r="G686" i="57"/>
  <c r="F686" i="57"/>
  <c r="E686" i="57"/>
  <c r="D686" i="57"/>
  <c r="N637" i="57"/>
  <c r="I685" i="57"/>
  <c r="H685" i="57"/>
  <c r="G685" i="57"/>
  <c r="F685" i="57"/>
  <c r="E685" i="57"/>
  <c r="D685" i="57"/>
  <c r="N636" i="57"/>
  <c r="I684" i="57"/>
  <c r="H684" i="57"/>
  <c r="G684" i="57"/>
  <c r="F684" i="57"/>
  <c r="E684" i="57"/>
  <c r="D684" i="57"/>
  <c r="N635" i="57"/>
  <c r="I683" i="57"/>
  <c r="H683" i="57"/>
  <c r="G683" i="57"/>
  <c r="F683" i="57"/>
  <c r="E683" i="57"/>
  <c r="D683" i="57"/>
  <c r="N634" i="57"/>
  <c r="I682" i="57"/>
  <c r="H682" i="57"/>
  <c r="G682" i="57"/>
  <c r="F682" i="57"/>
  <c r="E682" i="57"/>
  <c r="D682" i="57"/>
  <c r="N633" i="57"/>
  <c r="I681" i="57"/>
  <c r="H681" i="57"/>
  <c r="G681" i="57"/>
  <c r="F681" i="57"/>
  <c r="E681" i="57"/>
  <c r="D681" i="57"/>
  <c r="N632" i="57"/>
  <c r="I680" i="57"/>
  <c r="H680" i="57"/>
  <c r="G680" i="57"/>
  <c r="F680" i="57"/>
  <c r="E680" i="57"/>
  <c r="D680" i="57"/>
  <c r="N631" i="57"/>
  <c r="I679" i="57"/>
  <c r="H679" i="57"/>
  <c r="G679" i="57"/>
  <c r="F679" i="57"/>
  <c r="E679" i="57"/>
  <c r="D679" i="57"/>
  <c r="N630" i="57"/>
  <c r="I678" i="57"/>
  <c r="H678" i="57"/>
  <c r="G678" i="57"/>
  <c r="F678" i="57"/>
  <c r="E678" i="57"/>
  <c r="D678" i="57"/>
  <c r="N629" i="57"/>
  <c r="I677" i="57"/>
  <c r="H677" i="57"/>
  <c r="G677" i="57"/>
  <c r="F677" i="57"/>
  <c r="E677" i="57"/>
  <c r="D677" i="57"/>
  <c r="N628" i="57"/>
  <c r="I676" i="57"/>
  <c r="H676" i="57"/>
  <c r="G676" i="57"/>
  <c r="F676" i="57"/>
  <c r="E676" i="57"/>
  <c r="D676" i="57"/>
  <c r="N627" i="57"/>
  <c r="I675" i="57"/>
  <c r="H675" i="57"/>
  <c r="G675" i="57"/>
  <c r="F675" i="57"/>
  <c r="E675" i="57"/>
  <c r="D675" i="57"/>
  <c r="N626" i="57"/>
  <c r="I674" i="57"/>
  <c r="H674" i="57"/>
  <c r="G674" i="57"/>
  <c r="F674" i="57"/>
  <c r="E674" i="57"/>
  <c r="D674" i="57"/>
  <c r="N625" i="57"/>
  <c r="I673" i="57"/>
  <c r="H673" i="57"/>
  <c r="G673" i="57"/>
  <c r="F673" i="57"/>
  <c r="E673" i="57"/>
  <c r="D673" i="57"/>
  <c r="N624" i="57"/>
  <c r="I672" i="57"/>
  <c r="H672" i="57"/>
  <c r="G672" i="57"/>
  <c r="F672" i="57"/>
  <c r="E672" i="57"/>
  <c r="D672" i="57"/>
  <c r="N623" i="57"/>
  <c r="I671" i="57"/>
  <c r="H671" i="57"/>
  <c r="G671" i="57"/>
  <c r="F671" i="57"/>
  <c r="E671" i="57"/>
  <c r="D671" i="57"/>
  <c r="N622" i="57"/>
  <c r="I670" i="57"/>
  <c r="H670" i="57"/>
  <c r="G670" i="57"/>
  <c r="F670" i="57"/>
  <c r="E670" i="57"/>
  <c r="D670" i="57"/>
  <c r="N621" i="57"/>
  <c r="I669" i="57"/>
  <c r="H669" i="57"/>
  <c r="G669" i="57"/>
  <c r="F669" i="57"/>
  <c r="E669" i="57"/>
  <c r="D669" i="57"/>
  <c r="N620" i="57"/>
  <c r="I668" i="57"/>
  <c r="H668" i="57"/>
  <c r="G668" i="57"/>
  <c r="F668" i="57"/>
  <c r="E668" i="57"/>
  <c r="D668" i="57"/>
  <c r="N619" i="57"/>
  <c r="I667" i="57"/>
  <c r="H667" i="57"/>
  <c r="G667" i="57"/>
  <c r="F667" i="57"/>
  <c r="E667" i="57"/>
  <c r="D667" i="57"/>
  <c r="N618" i="57"/>
  <c r="I666" i="57"/>
  <c r="H666" i="57"/>
  <c r="G666" i="57"/>
  <c r="F666" i="57"/>
  <c r="E666" i="57"/>
  <c r="D666" i="57"/>
  <c r="N617" i="57"/>
  <c r="I665" i="57"/>
  <c r="H665" i="57"/>
  <c r="G665" i="57"/>
  <c r="F665" i="57"/>
  <c r="E665" i="57"/>
  <c r="D665" i="57"/>
  <c r="N616" i="57"/>
  <c r="I664" i="57"/>
  <c r="H664" i="57"/>
  <c r="G664" i="57"/>
  <c r="F664" i="57"/>
  <c r="E664" i="57"/>
  <c r="D664" i="57"/>
  <c r="N615" i="57"/>
  <c r="I663" i="57"/>
  <c r="H663" i="57"/>
  <c r="G663" i="57"/>
  <c r="F663" i="57"/>
  <c r="E663" i="57"/>
  <c r="D663" i="57"/>
  <c r="N614" i="57"/>
  <c r="I662" i="57"/>
  <c r="H662" i="57"/>
  <c r="G662" i="57"/>
  <c r="F662" i="57"/>
  <c r="E662" i="57"/>
  <c r="D662" i="57"/>
  <c r="N613" i="57"/>
  <c r="I661" i="57"/>
  <c r="H661" i="57"/>
  <c r="G661" i="57"/>
  <c r="F661" i="57"/>
  <c r="E661" i="57"/>
  <c r="D661" i="57"/>
  <c r="N612" i="57"/>
  <c r="I660" i="57"/>
  <c r="H660" i="57"/>
  <c r="G660" i="57"/>
  <c r="F660" i="57"/>
  <c r="E660" i="57"/>
  <c r="D660" i="57"/>
  <c r="N611" i="57"/>
  <c r="I659" i="57"/>
  <c r="H659" i="57"/>
  <c r="G659" i="57"/>
  <c r="F659" i="57"/>
  <c r="E659" i="57"/>
  <c r="D659" i="57"/>
  <c r="N610" i="57"/>
  <c r="I658" i="57"/>
  <c r="H658" i="57"/>
  <c r="G658" i="57"/>
  <c r="F658" i="57"/>
  <c r="E658" i="57"/>
  <c r="D658" i="57"/>
  <c r="N609" i="57"/>
  <c r="I657" i="57"/>
  <c r="H657" i="57"/>
  <c r="G657" i="57"/>
  <c r="F657" i="57"/>
  <c r="E657" i="57"/>
  <c r="D657" i="57"/>
  <c r="N608" i="57"/>
  <c r="I656" i="57"/>
  <c r="H656" i="57"/>
  <c r="G656" i="57"/>
  <c r="F656" i="57"/>
  <c r="E656" i="57"/>
  <c r="D656" i="57"/>
  <c r="N607" i="57"/>
  <c r="I655" i="57"/>
  <c r="H655" i="57"/>
  <c r="G655" i="57"/>
  <c r="F655" i="57"/>
  <c r="E655" i="57"/>
  <c r="D655" i="57"/>
  <c r="N606" i="57"/>
  <c r="I654" i="57"/>
  <c r="H654" i="57"/>
  <c r="G654" i="57"/>
  <c r="F654" i="57"/>
  <c r="E654" i="57"/>
  <c r="D654" i="57"/>
  <c r="N605" i="57"/>
  <c r="I653" i="57"/>
  <c r="H653" i="57"/>
  <c r="G653" i="57"/>
  <c r="F653" i="57"/>
  <c r="E653" i="57"/>
  <c r="D653" i="57"/>
  <c r="N604" i="57"/>
  <c r="I652" i="57"/>
  <c r="H652" i="57"/>
  <c r="G652" i="57"/>
  <c r="F652" i="57"/>
  <c r="E652" i="57"/>
  <c r="D652" i="57"/>
  <c r="N603" i="57"/>
  <c r="I651" i="57"/>
  <c r="H651" i="57"/>
  <c r="G651" i="57"/>
  <c r="F651" i="57"/>
  <c r="E651" i="57"/>
  <c r="D651" i="57"/>
  <c r="N602" i="57"/>
  <c r="I650" i="57"/>
  <c r="H650" i="57"/>
  <c r="G650" i="57"/>
  <c r="F650" i="57"/>
  <c r="E650" i="57"/>
  <c r="D650" i="57"/>
  <c r="N601" i="57"/>
  <c r="I649" i="57"/>
  <c r="H649" i="57"/>
  <c r="G649" i="57"/>
  <c r="F649" i="57"/>
  <c r="E649" i="57"/>
  <c r="D649" i="57"/>
  <c r="N600" i="57"/>
  <c r="I648" i="57"/>
  <c r="H648" i="57"/>
  <c r="G648" i="57"/>
  <c r="F648" i="57"/>
  <c r="E648" i="57"/>
  <c r="D648" i="57"/>
  <c r="N599" i="57"/>
  <c r="I647" i="57"/>
  <c r="H647" i="57"/>
  <c r="G647" i="57"/>
  <c r="F647" i="57"/>
  <c r="E647" i="57"/>
  <c r="D647" i="57"/>
  <c r="N598" i="57"/>
  <c r="I646" i="57"/>
  <c r="H646" i="57"/>
  <c r="G646" i="57"/>
  <c r="F646" i="57"/>
  <c r="E646" i="57"/>
  <c r="D646" i="57"/>
  <c r="N597" i="57"/>
  <c r="I645" i="57"/>
  <c r="H645" i="57"/>
  <c r="G645" i="57"/>
  <c r="F645" i="57"/>
  <c r="E645" i="57"/>
  <c r="D645" i="57"/>
  <c r="N596" i="57"/>
  <c r="I644" i="57"/>
  <c r="H644" i="57"/>
  <c r="G644" i="57"/>
  <c r="F644" i="57"/>
  <c r="E644" i="57"/>
  <c r="D644" i="57"/>
  <c r="N595" i="57"/>
  <c r="I643" i="57"/>
  <c r="H643" i="57"/>
  <c r="G643" i="57"/>
  <c r="F643" i="57"/>
  <c r="E643" i="57"/>
  <c r="D643" i="57"/>
  <c r="N594" i="57"/>
  <c r="I642" i="57"/>
  <c r="H642" i="57"/>
  <c r="G642" i="57"/>
  <c r="F642" i="57"/>
  <c r="E642" i="57"/>
  <c r="D642" i="57"/>
  <c r="N593" i="57"/>
  <c r="I641" i="57"/>
  <c r="H641" i="57"/>
  <c r="G641" i="57"/>
  <c r="F641" i="57"/>
  <c r="E641" i="57"/>
  <c r="D641" i="57"/>
  <c r="N592" i="57"/>
  <c r="I640" i="57"/>
  <c r="H640" i="57"/>
  <c r="G640" i="57"/>
  <c r="F640" i="57"/>
  <c r="E640" i="57"/>
  <c r="D640" i="57"/>
  <c r="N591" i="57"/>
  <c r="I639" i="57"/>
  <c r="H639" i="57"/>
  <c r="G639" i="57"/>
  <c r="F639" i="57"/>
  <c r="E639" i="57"/>
  <c r="D639" i="57"/>
  <c r="N590" i="57"/>
  <c r="I638" i="57"/>
  <c r="H638" i="57"/>
  <c r="G638" i="57"/>
  <c r="F638" i="57"/>
  <c r="E638" i="57"/>
  <c r="D638" i="57"/>
  <c r="N589" i="57"/>
  <c r="I637" i="57"/>
  <c r="H637" i="57"/>
  <c r="G637" i="57"/>
  <c r="F637" i="57"/>
  <c r="E637" i="57"/>
  <c r="D637" i="57"/>
  <c r="N588" i="57"/>
  <c r="I636" i="57"/>
  <c r="H636" i="57"/>
  <c r="G636" i="57"/>
  <c r="F636" i="57"/>
  <c r="E636" i="57"/>
  <c r="D636" i="57"/>
  <c r="N587" i="57"/>
  <c r="I635" i="57"/>
  <c r="H635" i="57"/>
  <c r="G635" i="57"/>
  <c r="F635" i="57"/>
  <c r="E635" i="57"/>
  <c r="D635" i="57"/>
  <c r="N586" i="57"/>
  <c r="I634" i="57"/>
  <c r="H634" i="57"/>
  <c r="G634" i="57"/>
  <c r="F634" i="57"/>
  <c r="E634" i="57"/>
  <c r="D634" i="57"/>
  <c r="N585" i="57"/>
  <c r="I633" i="57"/>
  <c r="H633" i="57"/>
  <c r="G633" i="57"/>
  <c r="F633" i="57"/>
  <c r="E633" i="57"/>
  <c r="D633" i="57"/>
  <c r="N584" i="57"/>
  <c r="I632" i="57"/>
  <c r="H632" i="57"/>
  <c r="G632" i="57"/>
  <c r="F632" i="57"/>
  <c r="E632" i="57"/>
  <c r="D632" i="57"/>
  <c r="N583" i="57"/>
  <c r="I631" i="57"/>
  <c r="H631" i="57"/>
  <c r="G631" i="57"/>
  <c r="F631" i="57"/>
  <c r="E631" i="57"/>
  <c r="D631" i="57"/>
  <c r="N582" i="57"/>
  <c r="I630" i="57"/>
  <c r="H630" i="57"/>
  <c r="G630" i="57"/>
  <c r="F630" i="57"/>
  <c r="E630" i="57"/>
  <c r="D630" i="57"/>
  <c r="N581" i="57"/>
  <c r="I629" i="57"/>
  <c r="H629" i="57"/>
  <c r="G629" i="57"/>
  <c r="F629" i="57"/>
  <c r="E629" i="57"/>
  <c r="D629" i="57"/>
  <c r="N580" i="57"/>
  <c r="I628" i="57"/>
  <c r="H628" i="57"/>
  <c r="G628" i="57"/>
  <c r="F628" i="57"/>
  <c r="E628" i="57"/>
  <c r="D628" i="57"/>
  <c r="N579" i="57"/>
  <c r="I627" i="57"/>
  <c r="H627" i="57"/>
  <c r="G627" i="57"/>
  <c r="F627" i="57"/>
  <c r="E627" i="57"/>
  <c r="D627" i="57"/>
  <c r="N578" i="57"/>
  <c r="I626" i="57"/>
  <c r="H626" i="57"/>
  <c r="G626" i="57"/>
  <c r="F626" i="57"/>
  <c r="E626" i="57"/>
  <c r="D626" i="57"/>
  <c r="N577" i="57"/>
  <c r="I625" i="57"/>
  <c r="H625" i="57"/>
  <c r="G625" i="57"/>
  <c r="F625" i="57"/>
  <c r="E625" i="57"/>
  <c r="D625" i="57"/>
  <c r="N576" i="57"/>
  <c r="I624" i="57"/>
  <c r="H624" i="57"/>
  <c r="G624" i="57"/>
  <c r="F624" i="57"/>
  <c r="E624" i="57"/>
  <c r="D624" i="57"/>
  <c r="N575" i="57"/>
  <c r="I623" i="57"/>
  <c r="H623" i="57"/>
  <c r="G623" i="57"/>
  <c r="F623" i="57"/>
  <c r="E623" i="57"/>
  <c r="D623" i="57"/>
  <c r="N574" i="57"/>
  <c r="I622" i="57"/>
  <c r="H622" i="57"/>
  <c r="G622" i="57"/>
  <c r="F622" i="57"/>
  <c r="E622" i="57"/>
  <c r="D622" i="57"/>
  <c r="N573" i="57"/>
  <c r="I621" i="57"/>
  <c r="H621" i="57"/>
  <c r="G621" i="57"/>
  <c r="F621" i="57"/>
  <c r="E621" i="57"/>
  <c r="D621" i="57"/>
  <c r="N572" i="57"/>
  <c r="I620" i="57"/>
  <c r="H620" i="57"/>
  <c r="G620" i="57"/>
  <c r="F620" i="57"/>
  <c r="E620" i="57"/>
  <c r="D620" i="57"/>
  <c r="N571" i="57"/>
  <c r="I619" i="57"/>
  <c r="H619" i="57"/>
  <c r="G619" i="57"/>
  <c r="F619" i="57"/>
  <c r="E619" i="57"/>
  <c r="D619" i="57"/>
  <c r="N570" i="57"/>
  <c r="I618" i="57"/>
  <c r="H618" i="57"/>
  <c r="G618" i="57"/>
  <c r="F618" i="57"/>
  <c r="E618" i="57"/>
  <c r="D618" i="57"/>
  <c r="N569" i="57"/>
  <c r="I617" i="57"/>
  <c r="H617" i="57"/>
  <c r="G617" i="57"/>
  <c r="F617" i="57"/>
  <c r="E617" i="57"/>
  <c r="D617" i="57"/>
  <c r="N568" i="57"/>
  <c r="I616" i="57"/>
  <c r="H616" i="57"/>
  <c r="G616" i="57"/>
  <c r="F616" i="57"/>
  <c r="E616" i="57"/>
  <c r="D616" i="57"/>
  <c r="N567" i="57"/>
  <c r="I615" i="57"/>
  <c r="H615" i="57"/>
  <c r="G615" i="57"/>
  <c r="F615" i="57"/>
  <c r="E615" i="57"/>
  <c r="D615" i="57"/>
  <c r="N566" i="57"/>
  <c r="I614" i="57"/>
  <c r="H614" i="57"/>
  <c r="G614" i="57"/>
  <c r="F614" i="57"/>
  <c r="E614" i="57"/>
  <c r="D614" i="57"/>
  <c r="N565" i="57"/>
  <c r="I613" i="57"/>
  <c r="H613" i="57"/>
  <c r="G613" i="57"/>
  <c r="F613" i="57"/>
  <c r="E613" i="57"/>
  <c r="D613" i="57"/>
  <c r="N564" i="57"/>
  <c r="I612" i="57"/>
  <c r="H612" i="57"/>
  <c r="G612" i="57"/>
  <c r="F612" i="57"/>
  <c r="E612" i="57"/>
  <c r="D612" i="57"/>
  <c r="I611" i="57"/>
  <c r="H611" i="57"/>
  <c r="G611" i="57"/>
  <c r="F611" i="57"/>
  <c r="E611" i="57"/>
  <c r="D611" i="57"/>
  <c r="N563" i="57"/>
  <c r="I610" i="57"/>
  <c r="H610" i="57"/>
  <c r="G610" i="57"/>
  <c r="F610" i="57"/>
  <c r="E610" i="57"/>
  <c r="D610" i="57"/>
  <c r="N562" i="57"/>
  <c r="I609" i="57"/>
  <c r="H609" i="57"/>
  <c r="G609" i="57"/>
  <c r="F609" i="57"/>
  <c r="E609" i="57"/>
  <c r="D609" i="57"/>
  <c r="N561" i="57"/>
  <c r="I608" i="57"/>
  <c r="H608" i="57"/>
  <c r="G608" i="57"/>
  <c r="F608" i="57"/>
  <c r="E608" i="57"/>
  <c r="D608" i="57"/>
  <c r="N560" i="57"/>
  <c r="I607" i="57"/>
  <c r="H607" i="57"/>
  <c r="G607" i="57"/>
  <c r="F607" i="57"/>
  <c r="E607" i="57"/>
  <c r="D607" i="57"/>
  <c r="N559" i="57"/>
  <c r="I606" i="57"/>
  <c r="H606" i="57"/>
  <c r="G606" i="57"/>
  <c r="F606" i="57"/>
  <c r="E606" i="57"/>
  <c r="D606" i="57"/>
  <c r="N558" i="57"/>
  <c r="I605" i="57"/>
  <c r="H605" i="57"/>
  <c r="G605" i="57"/>
  <c r="F605" i="57"/>
  <c r="E605" i="57"/>
  <c r="D605" i="57"/>
  <c r="N557" i="57"/>
  <c r="I604" i="57"/>
  <c r="H604" i="57"/>
  <c r="G604" i="57"/>
  <c r="F604" i="57"/>
  <c r="E604" i="57"/>
  <c r="D604" i="57"/>
  <c r="N556" i="57"/>
  <c r="I603" i="57"/>
  <c r="H603" i="57"/>
  <c r="G603" i="57"/>
  <c r="F603" i="57"/>
  <c r="E603" i="57"/>
  <c r="D603" i="57"/>
  <c r="N555" i="57"/>
  <c r="I602" i="57"/>
  <c r="H602" i="57"/>
  <c r="G602" i="57"/>
  <c r="F602" i="57"/>
  <c r="E602" i="57"/>
  <c r="D602" i="57"/>
  <c r="N554" i="57"/>
  <c r="I601" i="57"/>
  <c r="H601" i="57"/>
  <c r="G601" i="57"/>
  <c r="F601" i="57"/>
  <c r="E601" i="57"/>
  <c r="D601" i="57"/>
  <c r="N553" i="57"/>
  <c r="I600" i="57"/>
  <c r="H600" i="57"/>
  <c r="G600" i="57"/>
  <c r="F600" i="57"/>
  <c r="E600" i="57"/>
  <c r="D600" i="57"/>
  <c r="N552" i="57"/>
  <c r="I599" i="57"/>
  <c r="H599" i="57"/>
  <c r="G599" i="57"/>
  <c r="F599" i="57"/>
  <c r="E599" i="57"/>
  <c r="D599" i="57"/>
  <c r="N551" i="57"/>
  <c r="I598" i="57"/>
  <c r="H598" i="57"/>
  <c r="G598" i="57"/>
  <c r="F598" i="57"/>
  <c r="E598" i="57"/>
  <c r="D598" i="57"/>
  <c r="N550" i="57"/>
  <c r="I597" i="57"/>
  <c r="H597" i="57"/>
  <c r="G597" i="57"/>
  <c r="F597" i="57"/>
  <c r="E597" i="57"/>
  <c r="D597" i="57"/>
  <c r="N549" i="57"/>
  <c r="I596" i="57"/>
  <c r="H596" i="57"/>
  <c r="G596" i="57"/>
  <c r="F596" i="57"/>
  <c r="E596" i="57"/>
  <c r="D596" i="57"/>
  <c r="N548" i="57"/>
  <c r="I595" i="57"/>
  <c r="H595" i="57"/>
  <c r="G595" i="57"/>
  <c r="F595" i="57"/>
  <c r="E595" i="57"/>
  <c r="D595" i="57"/>
  <c r="N547" i="57"/>
  <c r="I594" i="57"/>
  <c r="H594" i="57"/>
  <c r="G594" i="57"/>
  <c r="F594" i="57"/>
  <c r="E594" i="57"/>
  <c r="D594" i="57"/>
  <c r="N546" i="57"/>
  <c r="I593" i="57"/>
  <c r="H593" i="57"/>
  <c r="G593" i="57"/>
  <c r="F593" i="57"/>
  <c r="E593" i="57"/>
  <c r="D593" i="57"/>
  <c r="I592" i="57"/>
  <c r="H592" i="57"/>
  <c r="G592" i="57"/>
  <c r="F592" i="57"/>
  <c r="E592" i="57"/>
  <c r="D592" i="57"/>
  <c r="I591" i="57"/>
  <c r="H591" i="57"/>
  <c r="G591" i="57"/>
  <c r="F591" i="57"/>
  <c r="E591" i="57"/>
  <c r="D591" i="57"/>
  <c r="N545" i="57"/>
  <c r="I590" i="57"/>
  <c r="H590" i="57"/>
  <c r="G590" i="57"/>
  <c r="F590" i="57"/>
  <c r="E590" i="57"/>
  <c r="D590" i="57"/>
  <c r="N544" i="57"/>
  <c r="I589" i="57"/>
  <c r="H589" i="57"/>
  <c r="G589" i="57"/>
  <c r="F589" i="57"/>
  <c r="E589" i="57"/>
  <c r="D589" i="57"/>
  <c r="N543" i="57"/>
  <c r="I588" i="57"/>
  <c r="H588" i="57"/>
  <c r="G588" i="57"/>
  <c r="F588" i="57"/>
  <c r="E588" i="57"/>
  <c r="D588" i="57"/>
  <c r="N542" i="57"/>
  <c r="I587" i="57"/>
  <c r="H587" i="57"/>
  <c r="G587" i="57"/>
  <c r="F587" i="57"/>
  <c r="E587" i="57"/>
  <c r="D587" i="57"/>
  <c r="N541" i="57"/>
  <c r="I586" i="57"/>
  <c r="H586" i="57"/>
  <c r="G586" i="57"/>
  <c r="F586" i="57"/>
  <c r="E586" i="57"/>
  <c r="D586" i="57"/>
  <c r="N540" i="57"/>
  <c r="I585" i="57"/>
  <c r="H585" i="57"/>
  <c r="G585" i="57"/>
  <c r="F585" i="57"/>
  <c r="E585" i="57"/>
  <c r="D585" i="57"/>
  <c r="N539" i="57"/>
  <c r="I584" i="57"/>
  <c r="H584" i="57"/>
  <c r="G584" i="57"/>
  <c r="F584" i="57"/>
  <c r="E584" i="57"/>
  <c r="D584" i="57"/>
  <c r="N538" i="57"/>
  <c r="I583" i="57"/>
  <c r="H583" i="57"/>
  <c r="G583" i="57"/>
  <c r="F583" i="57"/>
  <c r="E583" i="57"/>
  <c r="D583" i="57"/>
  <c r="N537" i="57"/>
  <c r="I582" i="57"/>
  <c r="H582" i="57"/>
  <c r="G582" i="57"/>
  <c r="F582" i="57"/>
  <c r="E582" i="57"/>
  <c r="D582" i="57"/>
  <c r="N536" i="57"/>
  <c r="I581" i="57"/>
  <c r="H581" i="57"/>
  <c r="G581" i="57"/>
  <c r="F581" i="57"/>
  <c r="E581" i="57"/>
  <c r="D581" i="57"/>
  <c r="N535" i="57"/>
  <c r="I580" i="57"/>
  <c r="H580" i="57"/>
  <c r="G580" i="57"/>
  <c r="F580" i="57"/>
  <c r="E580" i="57"/>
  <c r="D580" i="57"/>
  <c r="N534" i="57"/>
  <c r="I579" i="57"/>
  <c r="H579" i="57"/>
  <c r="G579" i="57"/>
  <c r="F579" i="57"/>
  <c r="E579" i="57"/>
  <c r="D579" i="57"/>
  <c r="N533" i="57"/>
  <c r="I578" i="57"/>
  <c r="H578" i="57"/>
  <c r="G578" i="57"/>
  <c r="F578" i="57"/>
  <c r="E578" i="57"/>
  <c r="D578" i="57"/>
  <c r="N532" i="57"/>
  <c r="I577" i="57"/>
  <c r="H577" i="57"/>
  <c r="G577" i="57"/>
  <c r="F577" i="57"/>
  <c r="E577" i="57"/>
  <c r="D577" i="57"/>
  <c r="N531" i="57"/>
  <c r="I576" i="57"/>
  <c r="H576" i="57"/>
  <c r="G576" i="57"/>
  <c r="F576" i="57"/>
  <c r="E576" i="57"/>
  <c r="D576" i="57"/>
  <c r="N530" i="57"/>
  <c r="I575" i="57"/>
  <c r="H575" i="57"/>
  <c r="G575" i="57"/>
  <c r="F575" i="57"/>
  <c r="E575" i="57"/>
  <c r="D575" i="57"/>
  <c r="N529" i="57"/>
  <c r="I574" i="57"/>
  <c r="H574" i="57"/>
  <c r="G574" i="57"/>
  <c r="F574" i="57"/>
  <c r="E574" i="57"/>
  <c r="D574" i="57"/>
  <c r="N528" i="57"/>
  <c r="I573" i="57"/>
  <c r="H573" i="57"/>
  <c r="G573" i="57"/>
  <c r="F573" i="57"/>
  <c r="E573" i="57"/>
  <c r="D573" i="57"/>
  <c r="N527" i="57"/>
  <c r="I572" i="57"/>
  <c r="H572" i="57"/>
  <c r="G572" i="57"/>
  <c r="F572" i="57"/>
  <c r="E572" i="57"/>
  <c r="D572" i="57"/>
  <c r="N526" i="57"/>
  <c r="I571" i="57"/>
  <c r="H571" i="57"/>
  <c r="G571" i="57"/>
  <c r="F571" i="57"/>
  <c r="E571" i="57"/>
  <c r="D571" i="57"/>
  <c r="N525" i="57"/>
  <c r="I570" i="57"/>
  <c r="H570" i="57"/>
  <c r="G570" i="57"/>
  <c r="F570" i="57"/>
  <c r="E570" i="57"/>
  <c r="D570" i="57"/>
  <c r="N524" i="57"/>
  <c r="I569" i="57"/>
  <c r="H569" i="57"/>
  <c r="G569" i="57"/>
  <c r="F569" i="57"/>
  <c r="E569" i="57"/>
  <c r="D569" i="57"/>
  <c r="N523" i="57"/>
  <c r="I568" i="57"/>
  <c r="H568" i="57"/>
  <c r="G568" i="57"/>
  <c r="F568" i="57"/>
  <c r="E568" i="57"/>
  <c r="D568" i="57"/>
  <c r="N522" i="57"/>
  <c r="I567" i="57"/>
  <c r="H567" i="57"/>
  <c r="G567" i="57"/>
  <c r="F567" i="57"/>
  <c r="E567" i="57"/>
  <c r="D567" i="57"/>
  <c r="N521" i="57"/>
  <c r="I566" i="57"/>
  <c r="H566" i="57"/>
  <c r="G566" i="57"/>
  <c r="F566" i="57"/>
  <c r="E566" i="57"/>
  <c r="D566" i="57"/>
  <c r="I565" i="57"/>
  <c r="H565" i="57"/>
  <c r="G565" i="57"/>
  <c r="F565" i="57"/>
  <c r="E565" i="57"/>
  <c r="D565" i="57"/>
  <c r="N520" i="57"/>
  <c r="I564" i="57"/>
  <c r="H564" i="57"/>
  <c r="G564" i="57"/>
  <c r="F564" i="57"/>
  <c r="E564" i="57"/>
  <c r="D564" i="57"/>
  <c r="N519" i="57"/>
  <c r="I563" i="57"/>
  <c r="H563" i="57"/>
  <c r="G563" i="57"/>
  <c r="F563" i="57"/>
  <c r="E563" i="57"/>
  <c r="D563" i="57"/>
  <c r="N518" i="57"/>
  <c r="I562" i="57"/>
  <c r="H562" i="57"/>
  <c r="G562" i="57"/>
  <c r="F562" i="57"/>
  <c r="E562" i="57"/>
  <c r="D562" i="57"/>
  <c r="N517" i="57"/>
  <c r="I561" i="57"/>
  <c r="H561" i="57"/>
  <c r="G561" i="57"/>
  <c r="F561" i="57"/>
  <c r="E561" i="57"/>
  <c r="D561" i="57"/>
  <c r="N516" i="57"/>
  <c r="I560" i="57"/>
  <c r="H560" i="57"/>
  <c r="G560" i="57"/>
  <c r="F560" i="57"/>
  <c r="E560" i="57"/>
  <c r="D560" i="57"/>
  <c r="N515" i="57"/>
  <c r="I559" i="57"/>
  <c r="H559" i="57"/>
  <c r="G559" i="57"/>
  <c r="F559" i="57"/>
  <c r="E559" i="57"/>
  <c r="D559" i="57"/>
  <c r="N514" i="57"/>
  <c r="I558" i="57"/>
  <c r="H558" i="57"/>
  <c r="G558" i="57"/>
  <c r="F558" i="57"/>
  <c r="E558" i="57"/>
  <c r="D558" i="57"/>
  <c r="N513" i="57"/>
  <c r="I557" i="57"/>
  <c r="H557" i="57"/>
  <c r="G557" i="57"/>
  <c r="F557" i="57"/>
  <c r="E557" i="57"/>
  <c r="D557" i="57"/>
  <c r="I556" i="57"/>
  <c r="H556" i="57"/>
  <c r="G556" i="57"/>
  <c r="F556" i="57"/>
  <c r="E556" i="57"/>
  <c r="D556" i="57"/>
  <c r="N512" i="57"/>
  <c r="I555" i="57"/>
  <c r="H555" i="57"/>
  <c r="G555" i="57"/>
  <c r="F555" i="57"/>
  <c r="E555" i="57"/>
  <c r="D555" i="57"/>
  <c r="N511" i="57"/>
  <c r="I554" i="57"/>
  <c r="H554" i="57"/>
  <c r="G554" i="57"/>
  <c r="F554" i="57"/>
  <c r="E554" i="57"/>
  <c r="D554" i="57"/>
  <c r="I553" i="57"/>
  <c r="H553" i="57"/>
  <c r="G553" i="57"/>
  <c r="F553" i="57"/>
  <c r="E553" i="57"/>
  <c r="D553" i="57"/>
  <c r="I552" i="57"/>
  <c r="H552" i="57"/>
  <c r="G552" i="57"/>
  <c r="F552" i="57"/>
  <c r="E552" i="57"/>
  <c r="D552" i="57"/>
  <c r="N510" i="57"/>
  <c r="I551" i="57"/>
  <c r="H551" i="57"/>
  <c r="G551" i="57"/>
  <c r="F551" i="57"/>
  <c r="E551" i="57"/>
  <c r="D551" i="57"/>
  <c r="N509" i="57"/>
  <c r="I550" i="57"/>
  <c r="H550" i="57"/>
  <c r="G550" i="57"/>
  <c r="F550" i="57"/>
  <c r="E550" i="57"/>
  <c r="D550" i="57"/>
  <c r="I549" i="57"/>
  <c r="H549" i="57"/>
  <c r="G549" i="57"/>
  <c r="F549" i="57"/>
  <c r="E549" i="57"/>
  <c r="D549" i="57"/>
  <c r="N508" i="57"/>
  <c r="I548" i="57"/>
  <c r="H548" i="57"/>
  <c r="G548" i="57"/>
  <c r="F548" i="57"/>
  <c r="E548" i="57"/>
  <c r="D548" i="57"/>
  <c r="N507" i="57"/>
  <c r="I547" i="57"/>
  <c r="H547" i="57"/>
  <c r="G547" i="57"/>
  <c r="F547" i="57"/>
  <c r="E547" i="57"/>
  <c r="D547" i="57"/>
  <c r="N506" i="57"/>
  <c r="I546" i="57"/>
  <c r="H546" i="57"/>
  <c r="G546" i="57"/>
  <c r="F546" i="57"/>
  <c r="E546" i="57"/>
  <c r="D546" i="57"/>
  <c r="N505" i="57"/>
  <c r="I545" i="57"/>
  <c r="H545" i="57"/>
  <c r="G545" i="57"/>
  <c r="F545" i="57"/>
  <c r="E545" i="57"/>
  <c r="D545" i="57"/>
  <c r="N504" i="57"/>
  <c r="I544" i="57"/>
  <c r="H544" i="57"/>
  <c r="G544" i="57"/>
  <c r="F544" i="57"/>
  <c r="E544" i="57"/>
  <c r="D544" i="57"/>
  <c r="N503" i="57"/>
  <c r="I543" i="57"/>
  <c r="H543" i="57"/>
  <c r="G543" i="57"/>
  <c r="F543" i="57"/>
  <c r="E543" i="57"/>
  <c r="D543" i="57"/>
  <c r="N502" i="57"/>
  <c r="I542" i="57"/>
  <c r="H542" i="57"/>
  <c r="G542" i="57"/>
  <c r="F542" i="57"/>
  <c r="E542" i="57"/>
  <c r="D542" i="57"/>
  <c r="N501" i="57"/>
  <c r="I541" i="57"/>
  <c r="H541" i="57"/>
  <c r="G541" i="57"/>
  <c r="F541" i="57"/>
  <c r="E541" i="57"/>
  <c r="D541" i="57"/>
  <c r="N500" i="57"/>
  <c r="I540" i="57"/>
  <c r="H540" i="57"/>
  <c r="G540" i="57"/>
  <c r="F540" i="57"/>
  <c r="E540" i="57"/>
  <c r="D540" i="57"/>
  <c r="N499" i="57"/>
  <c r="I539" i="57"/>
  <c r="H539" i="57"/>
  <c r="G539" i="57"/>
  <c r="F539" i="57"/>
  <c r="E539" i="57"/>
  <c r="D539" i="57"/>
  <c r="I538" i="57"/>
  <c r="H538" i="57"/>
  <c r="G538" i="57"/>
  <c r="F538" i="57"/>
  <c r="E538" i="57"/>
  <c r="D538" i="57"/>
  <c r="N498" i="57"/>
  <c r="I537" i="57"/>
  <c r="H537" i="57"/>
  <c r="G537" i="57"/>
  <c r="F537" i="57"/>
  <c r="E537" i="57"/>
  <c r="D537" i="57"/>
  <c r="I536" i="57"/>
  <c r="H536" i="57"/>
  <c r="G536" i="57"/>
  <c r="F536" i="57"/>
  <c r="E536" i="57"/>
  <c r="D536" i="57"/>
  <c r="N497" i="57"/>
  <c r="I535" i="57"/>
  <c r="H535" i="57"/>
  <c r="G535" i="57"/>
  <c r="F535" i="57"/>
  <c r="E535" i="57"/>
  <c r="D535" i="57"/>
  <c r="I534" i="57"/>
  <c r="H534" i="57"/>
  <c r="G534" i="57"/>
  <c r="F534" i="57"/>
  <c r="E534" i="57"/>
  <c r="D534" i="57"/>
  <c r="I533" i="57"/>
  <c r="H533" i="57"/>
  <c r="G533" i="57"/>
  <c r="F533" i="57"/>
  <c r="E533" i="57"/>
  <c r="D533" i="57"/>
  <c r="N496" i="57"/>
  <c r="I532" i="57"/>
  <c r="H532" i="57"/>
  <c r="G532" i="57"/>
  <c r="F532" i="57"/>
  <c r="E532" i="57"/>
  <c r="D532" i="57"/>
  <c r="N495" i="57"/>
  <c r="I531" i="57"/>
  <c r="H531" i="57"/>
  <c r="G531" i="57"/>
  <c r="F531" i="57"/>
  <c r="E531" i="57"/>
  <c r="D531" i="57"/>
  <c r="N494" i="57"/>
  <c r="I530" i="57"/>
  <c r="H530" i="57"/>
  <c r="G530" i="57"/>
  <c r="F530" i="57"/>
  <c r="E530" i="57"/>
  <c r="D530" i="57"/>
  <c r="N493" i="57"/>
  <c r="I529" i="57"/>
  <c r="H529" i="57"/>
  <c r="G529" i="57"/>
  <c r="F529" i="57"/>
  <c r="E529" i="57"/>
  <c r="D529" i="57"/>
  <c r="N492" i="57"/>
  <c r="I528" i="57"/>
  <c r="H528" i="57"/>
  <c r="G528" i="57"/>
  <c r="F528" i="57"/>
  <c r="E528" i="57"/>
  <c r="D528" i="57"/>
  <c r="N491" i="57"/>
  <c r="I527" i="57"/>
  <c r="H527" i="57"/>
  <c r="G527" i="57"/>
  <c r="F527" i="57"/>
  <c r="E527" i="57"/>
  <c r="D527" i="57"/>
  <c r="N490" i="57"/>
  <c r="I526" i="57"/>
  <c r="H526" i="57"/>
  <c r="G526" i="57"/>
  <c r="F526" i="57"/>
  <c r="E526" i="57"/>
  <c r="D526" i="57"/>
  <c r="N489" i="57"/>
  <c r="I525" i="57"/>
  <c r="H525" i="57"/>
  <c r="G525" i="57"/>
  <c r="F525" i="57"/>
  <c r="E525" i="57"/>
  <c r="D525" i="57"/>
  <c r="I524" i="57"/>
  <c r="H524" i="57"/>
  <c r="G524" i="57"/>
  <c r="F524" i="57"/>
  <c r="E524" i="57"/>
  <c r="D524" i="57"/>
  <c r="I523" i="57"/>
  <c r="H523" i="57"/>
  <c r="G523" i="57"/>
  <c r="F523" i="57"/>
  <c r="E523" i="57"/>
  <c r="D523" i="57"/>
  <c r="N488" i="57"/>
  <c r="I522" i="57"/>
  <c r="H522" i="57"/>
  <c r="G522" i="57"/>
  <c r="F522" i="57"/>
  <c r="E522" i="57"/>
  <c r="D522" i="57"/>
  <c r="N487" i="57"/>
  <c r="I521" i="57"/>
  <c r="H521" i="57"/>
  <c r="G521" i="57"/>
  <c r="F521" i="57"/>
  <c r="E521" i="57"/>
  <c r="D521" i="57"/>
  <c r="N486" i="57"/>
  <c r="I520" i="57"/>
  <c r="H520" i="57"/>
  <c r="G520" i="57"/>
  <c r="F520" i="57"/>
  <c r="E520" i="57"/>
  <c r="D520" i="57"/>
  <c r="N485" i="57"/>
  <c r="I519" i="57"/>
  <c r="H519" i="57"/>
  <c r="G519" i="57"/>
  <c r="F519" i="57"/>
  <c r="E519" i="57"/>
  <c r="D519" i="57"/>
  <c r="N484" i="57"/>
  <c r="I518" i="57"/>
  <c r="H518" i="57"/>
  <c r="G518" i="57"/>
  <c r="F518" i="57"/>
  <c r="E518" i="57"/>
  <c r="D518" i="57"/>
  <c r="N483" i="57"/>
  <c r="I517" i="57"/>
  <c r="H517" i="57"/>
  <c r="G517" i="57"/>
  <c r="F517" i="57"/>
  <c r="E517" i="57"/>
  <c r="D517" i="57"/>
  <c r="N482" i="57"/>
  <c r="I516" i="57"/>
  <c r="H516" i="57"/>
  <c r="G516" i="57"/>
  <c r="F516" i="57"/>
  <c r="E516" i="57"/>
  <c r="D516" i="57"/>
  <c r="N481" i="57"/>
  <c r="I515" i="57"/>
  <c r="H515" i="57"/>
  <c r="G515" i="57"/>
  <c r="F515" i="57"/>
  <c r="E515" i="57"/>
  <c r="D515" i="57"/>
  <c r="N480" i="57"/>
  <c r="I514" i="57"/>
  <c r="H514" i="57"/>
  <c r="G514" i="57"/>
  <c r="F514" i="57"/>
  <c r="E514" i="57"/>
  <c r="D514" i="57"/>
  <c r="N479" i="57"/>
  <c r="I513" i="57"/>
  <c r="H513" i="57"/>
  <c r="G513" i="57"/>
  <c r="F513" i="57"/>
  <c r="E513" i="57"/>
  <c r="D513" i="57"/>
  <c r="N478" i="57"/>
  <c r="I512" i="57"/>
  <c r="H512" i="57"/>
  <c r="G512" i="57"/>
  <c r="F512" i="57"/>
  <c r="E512" i="57"/>
  <c r="D512" i="57"/>
  <c r="N477" i="57"/>
  <c r="I511" i="57"/>
  <c r="H511" i="57"/>
  <c r="G511" i="57"/>
  <c r="F511" i="57"/>
  <c r="E511" i="57"/>
  <c r="D511" i="57"/>
  <c r="N476" i="57"/>
  <c r="I510" i="57"/>
  <c r="H510" i="57"/>
  <c r="G510" i="57"/>
  <c r="F510" i="57"/>
  <c r="E510" i="57"/>
  <c r="D510" i="57"/>
  <c r="N475" i="57"/>
  <c r="I509" i="57"/>
  <c r="H509" i="57"/>
  <c r="G509" i="57"/>
  <c r="F509" i="57"/>
  <c r="E509" i="57"/>
  <c r="D509" i="57"/>
  <c r="N474" i="57"/>
  <c r="I508" i="57"/>
  <c r="H508" i="57"/>
  <c r="G508" i="57"/>
  <c r="F508" i="57"/>
  <c r="E508" i="57"/>
  <c r="D508" i="57"/>
  <c r="N473" i="57"/>
  <c r="I507" i="57"/>
  <c r="H507" i="57"/>
  <c r="G507" i="57"/>
  <c r="F507" i="57"/>
  <c r="E507" i="57"/>
  <c r="D507" i="57"/>
  <c r="N472" i="57"/>
  <c r="I506" i="57"/>
  <c r="H506" i="57"/>
  <c r="G506" i="57"/>
  <c r="F506" i="57"/>
  <c r="E506" i="57"/>
  <c r="D506" i="57"/>
  <c r="N471" i="57"/>
  <c r="I505" i="57"/>
  <c r="H505" i="57"/>
  <c r="G505" i="57"/>
  <c r="F505" i="57"/>
  <c r="E505" i="57"/>
  <c r="D505" i="57"/>
  <c r="N470" i="57"/>
  <c r="I504" i="57"/>
  <c r="H504" i="57"/>
  <c r="G504" i="57"/>
  <c r="F504" i="57"/>
  <c r="E504" i="57"/>
  <c r="D504" i="57"/>
  <c r="N469" i="57"/>
  <c r="I503" i="57"/>
  <c r="H503" i="57"/>
  <c r="G503" i="57"/>
  <c r="F503" i="57"/>
  <c r="E503" i="57"/>
  <c r="D503" i="57"/>
  <c r="N468" i="57"/>
  <c r="I502" i="57"/>
  <c r="H502" i="57"/>
  <c r="G502" i="57"/>
  <c r="F502" i="57"/>
  <c r="E502" i="57"/>
  <c r="D502" i="57"/>
  <c r="N467" i="57"/>
  <c r="I501" i="57"/>
  <c r="H501" i="57"/>
  <c r="G501" i="57"/>
  <c r="F501" i="57"/>
  <c r="E501" i="57"/>
  <c r="D501" i="57"/>
  <c r="N466" i="57"/>
  <c r="I500" i="57"/>
  <c r="H500" i="57"/>
  <c r="G500" i="57"/>
  <c r="F500" i="57"/>
  <c r="E500" i="57"/>
  <c r="D500" i="57"/>
  <c r="N465" i="57"/>
  <c r="I499" i="57"/>
  <c r="H499" i="57"/>
  <c r="G499" i="57"/>
  <c r="F499" i="57"/>
  <c r="E499" i="57"/>
  <c r="D499" i="57"/>
  <c r="N464" i="57"/>
  <c r="I498" i="57"/>
  <c r="H498" i="57"/>
  <c r="G498" i="57"/>
  <c r="F498" i="57"/>
  <c r="E498" i="57"/>
  <c r="D498" i="57"/>
  <c r="N463" i="57"/>
  <c r="I497" i="57"/>
  <c r="H497" i="57"/>
  <c r="G497" i="57"/>
  <c r="F497" i="57"/>
  <c r="E497" i="57"/>
  <c r="D497" i="57"/>
  <c r="N462" i="57"/>
  <c r="I496" i="57"/>
  <c r="H496" i="57"/>
  <c r="G496" i="57"/>
  <c r="F496" i="57"/>
  <c r="E496" i="57"/>
  <c r="D496" i="57"/>
  <c r="N461" i="57"/>
  <c r="I495" i="57"/>
  <c r="H495" i="57"/>
  <c r="G495" i="57"/>
  <c r="F495" i="57"/>
  <c r="E495" i="57"/>
  <c r="D495" i="57"/>
  <c r="N460" i="57"/>
  <c r="I494" i="57"/>
  <c r="H494" i="57"/>
  <c r="G494" i="57"/>
  <c r="F494" i="57"/>
  <c r="E494" i="57"/>
  <c r="D494" i="57"/>
  <c r="N459" i="57"/>
  <c r="I493" i="57"/>
  <c r="H493" i="57"/>
  <c r="G493" i="57"/>
  <c r="F493" i="57"/>
  <c r="E493" i="57"/>
  <c r="D493" i="57"/>
  <c r="N458" i="57"/>
  <c r="I492" i="57"/>
  <c r="H492" i="57"/>
  <c r="G492" i="57"/>
  <c r="F492" i="57"/>
  <c r="E492" i="57"/>
  <c r="D492" i="57"/>
  <c r="N457" i="57"/>
  <c r="I491" i="57"/>
  <c r="H491" i="57"/>
  <c r="G491" i="57"/>
  <c r="F491" i="57"/>
  <c r="E491" i="57"/>
  <c r="D491" i="57"/>
  <c r="N456" i="57"/>
  <c r="I490" i="57"/>
  <c r="H490" i="57"/>
  <c r="G490" i="57"/>
  <c r="F490" i="57"/>
  <c r="E490" i="57"/>
  <c r="D490" i="57"/>
  <c r="N455" i="57"/>
  <c r="I489" i="57"/>
  <c r="H489" i="57"/>
  <c r="G489" i="57"/>
  <c r="F489" i="57"/>
  <c r="E489" i="57"/>
  <c r="D489" i="57"/>
  <c r="N454" i="57"/>
  <c r="I488" i="57"/>
  <c r="H488" i="57"/>
  <c r="G488" i="57"/>
  <c r="F488" i="57"/>
  <c r="E488" i="57"/>
  <c r="D488" i="57"/>
  <c r="N453" i="57"/>
  <c r="I487" i="57"/>
  <c r="H487" i="57"/>
  <c r="G487" i="57"/>
  <c r="F487" i="57"/>
  <c r="E487" i="57"/>
  <c r="D487" i="57"/>
  <c r="N452" i="57"/>
  <c r="I486" i="57"/>
  <c r="H486" i="57"/>
  <c r="G486" i="57"/>
  <c r="F486" i="57"/>
  <c r="E486" i="57"/>
  <c r="D486" i="57"/>
  <c r="N451" i="57"/>
  <c r="I485" i="57"/>
  <c r="H485" i="57"/>
  <c r="G485" i="57"/>
  <c r="F485" i="57"/>
  <c r="E485" i="57"/>
  <c r="D485" i="57"/>
  <c r="N450" i="57"/>
  <c r="I484" i="57"/>
  <c r="H484" i="57"/>
  <c r="G484" i="57"/>
  <c r="F484" i="57"/>
  <c r="E484" i="57"/>
  <c r="D484" i="57"/>
  <c r="N449" i="57"/>
  <c r="I483" i="57"/>
  <c r="H483" i="57"/>
  <c r="G483" i="57"/>
  <c r="F483" i="57"/>
  <c r="E483" i="57"/>
  <c r="D483" i="57"/>
  <c r="N448" i="57"/>
  <c r="I482" i="57"/>
  <c r="H482" i="57"/>
  <c r="G482" i="57"/>
  <c r="F482" i="57"/>
  <c r="E482" i="57"/>
  <c r="D482" i="57"/>
  <c r="N447" i="57"/>
  <c r="I481" i="57"/>
  <c r="H481" i="57"/>
  <c r="G481" i="57"/>
  <c r="F481" i="57"/>
  <c r="E481" i="57"/>
  <c r="D481" i="57"/>
  <c r="N446" i="57"/>
  <c r="I480" i="57"/>
  <c r="H480" i="57"/>
  <c r="G480" i="57"/>
  <c r="F480" i="57"/>
  <c r="E480" i="57"/>
  <c r="D480" i="57"/>
  <c r="N445" i="57"/>
  <c r="I479" i="57"/>
  <c r="H479" i="57"/>
  <c r="G479" i="57"/>
  <c r="F479" i="57"/>
  <c r="E479" i="57"/>
  <c r="D479" i="57"/>
  <c r="N444" i="57"/>
  <c r="I478" i="57"/>
  <c r="H478" i="57"/>
  <c r="G478" i="57"/>
  <c r="F478" i="57"/>
  <c r="E478" i="57"/>
  <c r="D478" i="57"/>
  <c r="N443" i="57"/>
  <c r="I477" i="57"/>
  <c r="H477" i="57"/>
  <c r="G477" i="57"/>
  <c r="F477" i="57"/>
  <c r="E477" i="57"/>
  <c r="D477" i="57"/>
  <c r="N442" i="57"/>
  <c r="I476" i="57"/>
  <c r="H476" i="57"/>
  <c r="G476" i="57"/>
  <c r="F476" i="57"/>
  <c r="E476" i="57"/>
  <c r="D476" i="57"/>
  <c r="N441" i="57"/>
  <c r="I475" i="57"/>
  <c r="H475" i="57"/>
  <c r="G475" i="57"/>
  <c r="F475" i="57"/>
  <c r="E475" i="57"/>
  <c r="D475" i="57"/>
  <c r="I474" i="57"/>
  <c r="H474" i="57"/>
  <c r="G474" i="57"/>
  <c r="F474" i="57"/>
  <c r="E474" i="57"/>
  <c r="D474" i="57"/>
  <c r="N440" i="57"/>
  <c r="I473" i="57"/>
  <c r="H473" i="57"/>
  <c r="G473" i="57"/>
  <c r="F473" i="57"/>
  <c r="E473" i="57"/>
  <c r="D473" i="57"/>
  <c r="N439" i="57"/>
  <c r="I472" i="57"/>
  <c r="H472" i="57"/>
  <c r="G472" i="57"/>
  <c r="F472" i="57"/>
  <c r="E472" i="57"/>
  <c r="D472" i="57"/>
  <c r="N438" i="57"/>
  <c r="I471" i="57"/>
  <c r="H471" i="57"/>
  <c r="G471" i="57"/>
  <c r="F471" i="57"/>
  <c r="E471" i="57"/>
  <c r="D471" i="57"/>
  <c r="N437" i="57"/>
  <c r="I470" i="57"/>
  <c r="H470" i="57"/>
  <c r="G470" i="57"/>
  <c r="F470" i="57"/>
  <c r="E470" i="57"/>
  <c r="D470" i="57"/>
  <c r="N436" i="57"/>
  <c r="I469" i="57"/>
  <c r="H469" i="57"/>
  <c r="G469" i="57"/>
  <c r="F469" i="57"/>
  <c r="E469" i="57"/>
  <c r="D469" i="57"/>
  <c r="N435" i="57"/>
  <c r="I468" i="57"/>
  <c r="H468" i="57"/>
  <c r="G468" i="57"/>
  <c r="F468" i="57"/>
  <c r="E468" i="57"/>
  <c r="D468" i="57"/>
  <c r="N434" i="57"/>
  <c r="I467" i="57"/>
  <c r="H467" i="57"/>
  <c r="G467" i="57"/>
  <c r="F467" i="57"/>
  <c r="E467" i="57"/>
  <c r="D467" i="57"/>
  <c r="N433" i="57"/>
  <c r="I466" i="57"/>
  <c r="H466" i="57"/>
  <c r="G466" i="57"/>
  <c r="F466" i="57"/>
  <c r="E466" i="57"/>
  <c r="D466" i="57"/>
  <c r="N432" i="57"/>
  <c r="I465" i="57"/>
  <c r="H465" i="57"/>
  <c r="G465" i="57"/>
  <c r="F465" i="57"/>
  <c r="E465" i="57"/>
  <c r="D465" i="57"/>
  <c r="N431" i="57"/>
  <c r="I464" i="57"/>
  <c r="H464" i="57"/>
  <c r="G464" i="57"/>
  <c r="F464" i="57"/>
  <c r="E464" i="57"/>
  <c r="D464" i="57"/>
  <c r="N430" i="57"/>
  <c r="I463" i="57"/>
  <c r="H463" i="57"/>
  <c r="G463" i="57"/>
  <c r="F463" i="57"/>
  <c r="E463" i="57"/>
  <c r="D463" i="57"/>
  <c r="N429" i="57"/>
  <c r="I462" i="57"/>
  <c r="H462" i="57"/>
  <c r="G462" i="57"/>
  <c r="F462" i="57"/>
  <c r="E462" i="57"/>
  <c r="D462" i="57"/>
  <c r="N428" i="57"/>
  <c r="I461" i="57"/>
  <c r="H461" i="57"/>
  <c r="G461" i="57"/>
  <c r="F461" i="57"/>
  <c r="E461" i="57"/>
  <c r="D461" i="57"/>
  <c r="N427" i="57"/>
  <c r="I460" i="57"/>
  <c r="H460" i="57"/>
  <c r="G460" i="57"/>
  <c r="F460" i="57"/>
  <c r="E460" i="57"/>
  <c r="D460" i="57"/>
  <c r="N426" i="57"/>
  <c r="I459" i="57"/>
  <c r="H459" i="57"/>
  <c r="G459" i="57"/>
  <c r="F459" i="57"/>
  <c r="E459" i="57"/>
  <c r="D459" i="57"/>
  <c r="N425" i="57"/>
  <c r="I458" i="57"/>
  <c r="H458" i="57"/>
  <c r="G458" i="57"/>
  <c r="F458" i="57"/>
  <c r="E458" i="57"/>
  <c r="D458" i="57"/>
  <c r="N424" i="57"/>
  <c r="I457" i="57"/>
  <c r="H457" i="57"/>
  <c r="G457" i="57"/>
  <c r="F457" i="57"/>
  <c r="E457" i="57"/>
  <c r="D457" i="57"/>
  <c r="N423" i="57"/>
  <c r="I456" i="57"/>
  <c r="H456" i="57"/>
  <c r="G456" i="57"/>
  <c r="F456" i="57"/>
  <c r="E456" i="57"/>
  <c r="D456" i="57"/>
  <c r="N422" i="57"/>
  <c r="I455" i="57"/>
  <c r="H455" i="57"/>
  <c r="G455" i="57"/>
  <c r="F455" i="57"/>
  <c r="E455" i="57"/>
  <c r="D455" i="57"/>
  <c r="N421" i="57"/>
  <c r="I454" i="57"/>
  <c r="H454" i="57"/>
  <c r="G454" i="57"/>
  <c r="F454" i="57"/>
  <c r="E454" i="57"/>
  <c r="D454" i="57"/>
  <c r="N420" i="57"/>
  <c r="I453" i="57"/>
  <c r="H453" i="57"/>
  <c r="G453" i="57"/>
  <c r="F453" i="57"/>
  <c r="E453" i="57"/>
  <c r="D453" i="57"/>
  <c r="N419" i="57"/>
  <c r="I452" i="57"/>
  <c r="H452" i="57"/>
  <c r="G452" i="57"/>
  <c r="F452" i="57"/>
  <c r="E452" i="57"/>
  <c r="D452" i="57"/>
  <c r="N418" i="57"/>
  <c r="I451" i="57"/>
  <c r="H451" i="57"/>
  <c r="G451" i="57"/>
  <c r="F451" i="57"/>
  <c r="E451" i="57"/>
  <c r="D451" i="57"/>
  <c r="N417" i="57"/>
  <c r="I450" i="57"/>
  <c r="H450" i="57"/>
  <c r="G450" i="57"/>
  <c r="F450" i="57"/>
  <c r="E450" i="57"/>
  <c r="D450" i="57"/>
  <c r="N416" i="57"/>
  <c r="I449" i="57"/>
  <c r="H449" i="57"/>
  <c r="G449" i="57"/>
  <c r="F449" i="57"/>
  <c r="E449" i="57"/>
  <c r="D449" i="57"/>
  <c r="N415" i="57"/>
  <c r="I448" i="57"/>
  <c r="H448" i="57"/>
  <c r="G448" i="57"/>
  <c r="F448" i="57"/>
  <c r="E448" i="57"/>
  <c r="D448" i="57"/>
  <c r="N414" i="57"/>
  <c r="I447" i="57"/>
  <c r="H447" i="57"/>
  <c r="G447" i="57"/>
  <c r="F447" i="57"/>
  <c r="E447" i="57"/>
  <c r="D447" i="57"/>
  <c r="I446" i="57"/>
  <c r="H446" i="57"/>
  <c r="G446" i="57"/>
  <c r="F446" i="57"/>
  <c r="E446" i="57"/>
  <c r="D446" i="57"/>
  <c r="N413" i="57"/>
  <c r="I445" i="57"/>
  <c r="H445" i="57"/>
  <c r="G445" i="57"/>
  <c r="F445" i="57"/>
  <c r="E445" i="57"/>
  <c r="D445" i="57"/>
  <c r="N412" i="57"/>
  <c r="I444" i="57"/>
  <c r="H444" i="57"/>
  <c r="G444" i="57"/>
  <c r="F444" i="57"/>
  <c r="E444" i="57"/>
  <c r="D444" i="57"/>
  <c r="N411" i="57"/>
  <c r="I443" i="57"/>
  <c r="H443" i="57"/>
  <c r="G443" i="57"/>
  <c r="F443" i="57"/>
  <c r="E443" i="57"/>
  <c r="D443" i="57"/>
  <c r="N410" i="57"/>
  <c r="I442" i="57"/>
  <c r="H442" i="57"/>
  <c r="G442" i="57"/>
  <c r="F442" i="57"/>
  <c r="E442" i="57"/>
  <c r="D442" i="57"/>
  <c r="N409" i="57"/>
  <c r="I441" i="57"/>
  <c r="H441" i="57"/>
  <c r="G441" i="57"/>
  <c r="F441" i="57"/>
  <c r="E441" i="57"/>
  <c r="D441" i="57"/>
  <c r="N408" i="57"/>
  <c r="I440" i="57"/>
  <c r="H440" i="57"/>
  <c r="G440" i="57"/>
  <c r="F440" i="57"/>
  <c r="E440" i="57"/>
  <c r="D440" i="57"/>
  <c r="N407" i="57"/>
  <c r="I439" i="57"/>
  <c r="H439" i="57"/>
  <c r="G439" i="57"/>
  <c r="F439" i="57"/>
  <c r="E439" i="57"/>
  <c r="D439" i="57"/>
  <c r="N406" i="57"/>
  <c r="I438" i="57"/>
  <c r="H438" i="57"/>
  <c r="G438" i="57"/>
  <c r="F438" i="57"/>
  <c r="E438" i="57"/>
  <c r="D438" i="57"/>
  <c r="N405" i="57"/>
  <c r="I437" i="57"/>
  <c r="H437" i="57"/>
  <c r="G437" i="57"/>
  <c r="F437" i="57"/>
  <c r="E437" i="57"/>
  <c r="D437" i="57"/>
  <c r="N404" i="57"/>
  <c r="I436" i="57"/>
  <c r="H436" i="57"/>
  <c r="G436" i="57"/>
  <c r="F436" i="57"/>
  <c r="E436" i="57"/>
  <c r="D436" i="57"/>
  <c r="N403" i="57"/>
  <c r="I435" i="57"/>
  <c r="H435" i="57"/>
  <c r="G435" i="57"/>
  <c r="F435" i="57"/>
  <c r="E435" i="57"/>
  <c r="D435" i="57"/>
  <c r="I434" i="57"/>
  <c r="H434" i="57"/>
  <c r="G434" i="57"/>
  <c r="F434" i="57"/>
  <c r="E434" i="57"/>
  <c r="D434" i="57"/>
  <c r="N402" i="57"/>
  <c r="I433" i="57"/>
  <c r="H433" i="57"/>
  <c r="G433" i="57"/>
  <c r="F433" i="57"/>
  <c r="E433" i="57"/>
  <c r="D433" i="57"/>
  <c r="N401" i="57"/>
  <c r="I432" i="57"/>
  <c r="H432" i="57"/>
  <c r="G432" i="57"/>
  <c r="F432" i="57"/>
  <c r="E432" i="57"/>
  <c r="D432" i="57"/>
  <c r="N400" i="57"/>
  <c r="I431" i="57"/>
  <c r="H431" i="57"/>
  <c r="G431" i="57"/>
  <c r="F431" i="57"/>
  <c r="E431" i="57"/>
  <c r="D431" i="57"/>
  <c r="N399" i="57"/>
  <c r="I430" i="57"/>
  <c r="H430" i="57"/>
  <c r="G430" i="57"/>
  <c r="F430" i="57"/>
  <c r="E430" i="57"/>
  <c r="D430" i="57"/>
  <c r="N398" i="57"/>
  <c r="I429" i="57"/>
  <c r="H429" i="57"/>
  <c r="G429" i="57"/>
  <c r="F429" i="57"/>
  <c r="E429" i="57"/>
  <c r="D429" i="57"/>
  <c r="N397" i="57"/>
  <c r="I428" i="57"/>
  <c r="H428" i="57"/>
  <c r="G428" i="57"/>
  <c r="F428" i="57"/>
  <c r="E428" i="57"/>
  <c r="D428" i="57"/>
  <c r="N396" i="57"/>
  <c r="I427" i="57"/>
  <c r="H427" i="57"/>
  <c r="G427" i="57"/>
  <c r="F427" i="57"/>
  <c r="E427" i="57"/>
  <c r="D427" i="57"/>
  <c r="N395" i="57"/>
  <c r="I426" i="57"/>
  <c r="H426" i="57"/>
  <c r="G426" i="57"/>
  <c r="F426" i="57"/>
  <c r="E426" i="57"/>
  <c r="D426" i="57"/>
  <c r="N394" i="57"/>
  <c r="I425" i="57"/>
  <c r="H425" i="57"/>
  <c r="G425" i="57"/>
  <c r="F425" i="57"/>
  <c r="E425" i="57"/>
  <c r="D425" i="57"/>
  <c r="N393" i="57"/>
  <c r="I424" i="57"/>
  <c r="H424" i="57"/>
  <c r="G424" i="57"/>
  <c r="F424" i="57"/>
  <c r="E424" i="57"/>
  <c r="D424" i="57"/>
  <c r="N392" i="57"/>
  <c r="I423" i="57"/>
  <c r="H423" i="57"/>
  <c r="G423" i="57"/>
  <c r="F423" i="57"/>
  <c r="E423" i="57"/>
  <c r="D423" i="57"/>
  <c r="N391" i="57"/>
  <c r="I422" i="57"/>
  <c r="H422" i="57"/>
  <c r="G422" i="57"/>
  <c r="F422" i="57"/>
  <c r="E422" i="57"/>
  <c r="D422" i="57"/>
  <c r="N390" i="57"/>
  <c r="I421" i="57"/>
  <c r="H421" i="57"/>
  <c r="G421" i="57"/>
  <c r="F421" i="57"/>
  <c r="E421" i="57"/>
  <c r="D421" i="57"/>
  <c r="N389" i="57"/>
  <c r="I420" i="57"/>
  <c r="H420" i="57"/>
  <c r="G420" i="57"/>
  <c r="F420" i="57"/>
  <c r="E420" i="57"/>
  <c r="D420" i="57"/>
  <c r="N388" i="57"/>
  <c r="I419" i="57"/>
  <c r="H419" i="57"/>
  <c r="G419" i="57"/>
  <c r="F419" i="57"/>
  <c r="E419" i="57"/>
  <c r="D419" i="57"/>
  <c r="N387" i="57"/>
  <c r="I418" i="57"/>
  <c r="H418" i="57"/>
  <c r="G418" i="57"/>
  <c r="F418" i="57"/>
  <c r="E418" i="57"/>
  <c r="D418" i="57"/>
  <c r="N386" i="57"/>
  <c r="I417" i="57"/>
  <c r="H417" i="57"/>
  <c r="G417" i="57"/>
  <c r="F417" i="57"/>
  <c r="E417" i="57"/>
  <c r="D417" i="57"/>
  <c r="I416" i="57"/>
  <c r="H416" i="57"/>
  <c r="G416" i="57"/>
  <c r="F416" i="57"/>
  <c r="E416" i="57"/>
  <c r="D416" i="57"/>
  <c r="N385" i="57"/>
  <c r="I415" i="57"/>
  <c r="H415" i="57"/>
  <c r="G415" i="57"/>
  <c r="F415" i="57"/>
  <c r="E415" i="57"/>
  <c r="D415" i="57"/>
  <c r="N384" i="57"/>
  <c r="I414" i="57"/>
  <c r="H414" i="57"/>
  <c r="G414" i="57"/>
  <c r="F414" i="57"/>
  <c r="E414" i="57"/>
  <c r="D414" i="57"/>
  <c r="N383" i="57"/>
  <c r="I413" i="57"/>
  <c r="H413" i="57"/>
  <c r="G413" i="57"/>
  <c r="F413" i="57"/>
  <c r="E413" i="57"/>
  <c r="D413" i="57"/>
  <c r="N382" i="57"/>
  <c r="I412" i="57"/>
  <c r="H412" i="57"/>
  <c r="G412" i="57"/>
  <c r="F412" i="57"/>
  <c r="E412" i="57"/>
  <c r="D412" i="57"/>
  <c r="N381" i="57"/>
  <c r="I411" i="57"/>
  <c r="H411" i="57"/>
  <c r="G411" i="57"/>
  <c r="F411" i="57"/>
  <c r="E411" i="57"/>
  <c r="D411" i="57"/>
  <c r="I410" i="57"/>
  <c r="H410" i="57"/>
  <c r="G410" i="57"/>
  <c r="F410" i="57"/>
  <c r="E410" i="57"/>
  <c r="D410" i="57"/>
  <c r="N380" i="57"/>
  <c r="I409" i="57"/>
  <c r="H409" i="57"/>
  <c r="G409" i="57"/>
  <c r="F409" i="57"/>
  <c r="E409" i="57"/>
  <c r="D409" i="57"/>
  <c r="N379" i="57"/>
  <c r="I408" i="57"/>
  <c r="H408" i="57"/>
  <c r="G408" i="57"/>
  <c r="F408" i="57"/>
  <c r="E408" i="57"/>
  <c r="D408" i="57"/>
  <c r="N378" i="57"/>
  <c r="I407" i="57"/>
  <c r="H407" i="57"/>
  <c r="G407" i="57"/>
  <c r="F407" i="57"/>
  <c r="E407" i="57"/>
  <c r="D407" i="57"/>
  <c r="N377" i="57"/>
  <c r="I406" i="57"/>
  <c r="H406" i="57"/>
  <c r="G406" i="57"/>
  <c r="F406" i="57"/>
  <c r="E406" i="57"/>
  <c r="D406" i="57"/>
  <c r="N376" i="57"/>
  <c r="I405" i="57"/>
  <c r="H405" i="57"/>
  <c r="G405" i="57"/>
  <c r="F405" i="57"/>
  <c r="E405" i="57"/>
  <c r="D405" i="57"/>
  <c r="N375" i="57"/>
  <c r="I404" i="57"/>
  <c r="H404" i="57"/>
  <c r="G404" i="57"/>
  <c r="F404" i="57"/>
  <c r="E404" i="57"/>
  <c r="D404" i="57"/>
  <c r="N374" i="57"/>
  <c r="I403" i="57"/>
  <c r="H403" i="57"/>
  <c r="G403" i="57"/>
  <c r="F403" i="57"/>
  <c r="E403" i="57"/>
  <c r="D403" i="57"/>
  <c r="N373" i="57"/>
  <c r="I402" i="57"/>
  <c r="H402" i="57"/>
  <c r="G402" i="57"/>
  <c r="F402" i="57"/>
  <c r="E402" i="57"/>
  <c r="D402" i="57"/>
  <c r="N372" i="57"/>
  <c r="I401" i="57"/>
  <c r="H401" i="57"/>
  <c r="G401" i="57"/>
  <c r="F401" i="57"/>
  <c r="E401" i="57"/>
  <c r="D401" i="57"/>
  <c r="N371" i="57"/>
  <c r="I400" i="57"/>
  <c r="H400" i="57"/>
  <c r="G400" i="57"/>
  <c r="F400" i="57"/>
  <c r="E400" i="57"/>
  <c r="D400" i="57"/>
  <c r="N370" i="57"/>
  <c r="I399" i="57"/>
  <c r="H399" i="57"/>
  <c r="G399" i="57"/>
  <c r="F399" i="57"/>
  <c r="E399" i="57"/>
  <c r="D399" i="57"/>
  <c r="N369" i="57"/>
  <c r="I398" i="57"/>
  <c r="H398" i="57"/>
  <c r="G398" i="57"/>
  <c r="F398" i="57"/>
  <c r="E398" i="57"/>
  <c r="D398" i="57"/>
  <c r="N368" i="57"/>
  <c r="I397" i="57"/>
  <c r="H397" i="57"/>
  <c r="G397" i="57"/>
  <c r="F397" i="57"/>
  <c r="E397" i="57"/>
  <c r="D397" i="57"/>
  <c r="N367" i="57"/>
  <c r="I396" i="57"/>
  <c r="H396" i="57"/>
  <c r="G396" i="57"/>
  <c r="F396" i="57"/>
  <c r="E396" i="57"/>
  <c r="D396" i="57"/>
  <c r="N366" i="57"/>
  <c r="I395" i="57"/>
  <c r="H395" i="57"/>
  <c r="G395" i="57"/>
  <c r="F395" i="57"/>
  <c r="E395" i="57"/>
  <c r="D395" i="57"/>
  <c r="N365" i="57"/>
  <c r="I394" i="57"/>
  <c r="H394" i="57"/>
  <c r="G394" i="57"/>
  <c r="F394" i="57"/>
  <c r="E394" i="57"/>
  <c r="D394" i="57"/>
  <c r="N364" i="57"/>
  <c r="I393" i="57"/>
  <c r="H393" i="57"/>
  <c r="G393" i="57"/>
  <c r="F393" i="57"/>
  <c r="E393" i="57"/>
  <c r="D393" i="57"/>
  <c r="N363" i="57"/>
  <c r="I392" i="57"/>
  <c r="H392" i="57"/>
  <c r="G392" i="57"/>
  <c r="F392" i="57"/>
  <c r="E392" i="57"/>
  <c r="D392" i="57"/>
  <c r="N362" i="57"/>
  <c r="I391" i="57"/>
  <c r="H391" i="57"/>
  <c r="G391" i="57"/>
  <c r="F391" i="57"/>
  <c r="E391" i="57"/>
  <c r="D391" i="57"/>
  <c r="N361" i="57"/>
  <c r="I390" i="57"/>
  <c r="H390" i="57"/>
  <c r="G390" i="57"/>
  <c r="F390" i="57"/>
  <c r="E390" i="57"/>
  <c r="D390" i="57"/>
  <c r="N360" i="57"/>
  <c r="I389" i="57"/>
  <c r="H389" i="57"/>
  <c r="G389" i="57"/>
  <c r="F389" i="57"/>
  <c r="E389" i="57"/>
  <c r="D389" i="57"/>
  <c r="N359" i="57"/>
  <c r="I388" i="57"/>
  <c r="H388" i="57"/>
  <c r="G388" i="57"/>
  <c r="F388" i="57"/>
  <c r="E388" i="57"/>
  <c r="D388" i="57"/>
  <c r="N358" i="57"/>
  <c r="I387" i="57"/>
  <c r="H387" i="57"/>
  <c r="G387" i="57"/>
  <c r="F387" i="57"/>
  <c r="E387" i="57"/>
  <c r="D387" i="57"/>
  <c r="N357" i="57"/>
  <c r="I386" i="57"/>
  <c r="H386" i="57"/>
  <c r="G386" i="57"/>
  <c r="F386" i="57"/>
  <c r="E386" i="57"/>
  <c r="D386" i="57"/>
  <c r="N356" i="57"/>
  <c r="I385" i="57"/>
  <c r="H385" i="57"/>
  <c r="G385" i="57"/>
  <c r="F385" i="57"/>
  <c r="E385" i="57"/>
  <c r="D385" i="57"/>
  <c r="N355" i="57"/>
  <c r="I384" i="57"/>
  <c r="H384" i="57"/>
  <c r="G384" i="57"/>
  <c r="F384" i="57"/>
  <c r="E384" i="57"/>
  <c r="D384" i="57"/>
  <c r="N354" i="57"/>
  <c r="I383" i="57"/>
  <c r="H383" i="57"/>
  <c r="G383" i="57"/>
  <c r="F383" i="57"/>
  <c r="E383" i="57"/>
  <c r="D383" i="57"/>
  <c r="N353" i="57"/>
  <c r="I382" i="57"/>
  <c r="H382" i="57"/>
  <c r="G382" i="57"/>
  <c r="F382" i="57"/>
  <c r="E382" i="57"/>
  <c r="D382" i="57"/>
  <c r="N352" i="57"/>
  <c r="I381" i="57"/>
  <c r="H381" i="57"/>
  <c r="G381" i="57"/>
  <c r="F381" i="57"/>
  <c r="E381" i="57"/>
  <c r="D381" i="57"/>
  <c r="N351" i="57"/>
  <c r="I380" i="57"/>
  <c r="H380" i="57"/>
  <c r="G380" i="57"/>
  <c r="F380" i="57"/>
  <c r="E380" i="57"/>
  <c r="D380" i="57"/>
  <c r="N350" i="57"/>
  <c r="I379" i="57"/>
  <c r="H379" i="57"/>
  <c r="G379" i="57"/>
  <c r="F379" i="57"/>
  <c r="E379" i="57"/>
  <c r="D379" i="57"/>
  <c r="N349" i="57"/>
  <c r="I378" i="57"/>
  <c r="H378" i="57"/>
  <c r="G378" i="57"/>
  <c r="F378" i="57"/>
  <c r="E378" i="57"/>
  <c r="D378" i="57"/>
  <c r="N348" i="57"/>
  <c r="I377" i="57"/>
  <c r="H377" i="57"/>
  <c r="G377" i="57"/>
  <c r="F377" i="57"/>
  <c r="E377" i="57"/>
  <c r="D377" i="57"/>
  <c r="N347" i="57"/>
  <c r="I376" i="57"/>
  <c r="H376" i="57"/>
  <c r="G376" i="57"/>
  <c r="F376" i="57"/>
  <c r="E376" i="57"/>
  <c r="D376" i="57"/>
  <c r="N346" i="57"/>
  <c r="I375" i="57"/>
  <c r="H375" i="57"/>
  <c r="G375" i="57"/>
  <c r="F375" i="57"/>
  <c r="E375" i="57"/>
  <c r="D375" i="57"/>
  <c r="N345" i="57"/>
  <c r="I374" i="57"/>
  <c r="H374" i="57"/>
  <c r="G374" i="57"/>
  <c r="F374" i="57"/>
  <c r="E374" i="57"/>
  <c r="D374" i="57"/>
  <c r="N344" i="57"/>
  <c r="I373" i="57"/>
  <c r="H373" i="57"/>
  <c r="G373" i="57"/>
  <c r="F373" i="57"/>
  <c r="E373" i="57"/>
  <c r="D373" i="57"/>
  <c r="N343" i="57"/>
  <c r="I372" i="57"/>
  <c r="H372" i="57"/>
  <c r="G372" i="57"/>
  <c r="F372" i="57"/>
  <c r="E372" i="57"/>
  <c r="D372" i="57"/>
  <c r="N342" i="57"/>
  <c r="I371" i="57"/>
  <c r="H371" i="57"/>
  <c r="G371" i="57"/>
  <c r="F371" i="57"/>
  <c r="E371" i="57"/>
  <c r="D371" i="57"/>
  <c r="N341" i="57"/>
  <c r="I370" i="57"/>
  <c r="H370" i="57"/>
  <c r="G370" i="57"/>
  <c r="F370" i="57"/>
  <c r="E370" i="57"/>
  <c r="D370" i="57"/>
  <c r="N340" i="57"/>
  <c r="I369" i="57"/>
  <c r="H369" i="57"/>
  <c r="G369" i="57"/>
  <c r="F369" i="57"/>
  <c r="E369" i="57"/>
  <c r="D369" i="57"/>
  <c r="N339" i="57"/>
  <c r="I368" i="57"/>
  <c r="H368" i="57"/>
  <c r="G368" i="57"/>
  <c r="F368" i="57"/>
  <c r="E368" i="57"/>
  <c r="D368" i="57"/>
  <c r="N338" i="57"/>
  <c r="I367" i="57"/>
  <c r="H367" i="57"/>
  <c r="G367" i="57"/>
  <c r="F367" i="57"/>
  <c r="E367" i="57"/>
  <c r="D367" i="57"/>
  <c r="N337" i="57"/>
  <c r="I366" i="57"/>
  <c r="H366" i="57"/>
  <c r="G366" i="57"/>
  <c r="F366" i="57"/>
  <c r="E366" i="57"/>
  <c r="D366" i="57"/>
  <c r="N336" i="57"/>
  <c r="I365" i="57"/>
  <c r="H365" i="57"/>
  <c r="G365" i="57"/>
  <c r="F365" i="57"/>
  <c r="E365" i="57"/>
  <c r="D365" i="57"/>
  <c r="N335" i="57"/>
  <c r="I364" i="57"/>
  <c r="H364" i="57"/>
  <c r="G364" i="57"/>
  <c r="F364" i="57"/>
  <c r="E364" i="57"/>
  <c r="D364" i="57"/>
  <c r="N334" i="57"/>
  <c r="I363" i="57"/>
  <c r="H363" i="57"/>
  <c r="G363" i="57"/>
  <c r="F363" i="57"/>
  <c r="E363" i="57"/>
  <c r="D363" i="57"/>
  <c r="I362" i="57"/>
  <c r="H362" i="57"/>
  <c r="G362" i="57"/>
  <c r="F362" i="57"/>
  <c r="E362" i="57"/>
  <c r="D362" i="57"/>
  <c r="N333" i="57"/>
  <c r="I361" i="57"/>
  <c r="H361" i="57"/>
  <c r="G361" i="57"/>
  <c r="F361" i="57"/>
  <c r="E361" i="57"/>
  <c r="D361" i="57"/>
  <c r="N332" i="57"/>
  <c r="I360" i="57"/>
  <c r="H360" i="57"/>
  <c r="G360" i="57"/>
  <c r="F360" i="57"/>
  <c r="E360" i="57"/>
  <c r="D360" i="57"/>
  <c r="N331" i="57"/>
  <c r="I359" i="57"/>
  <c r="H359" i="57"/>
  <c r="G359" i="57"/>
  <c r="F359" i="57"/>
  <c r="E359" i="57"/>
  <c r="D359" i="57"/>
  <c r="N330" i="57"/>
  <c r="I358" i="57"/>
  <c r="H358" i="57"/>
  <c r="G358" i="57"/>
  <c r="F358" i="57"/>
  <c r="E358" i="57"/>
  <c r="D358" i="57"/>
  <c r="N329" i="57"/>
  <c r="I357" i="57"/>
  <c r="H357" i="57"/>
  <c r="G357" i="57"/>
  <c r="F357" i="57"/>
  <c r="E357" i="57"/>
  <c r="D357" i="57"/>
  <c r="N328" i="57"/>
  <c r="I356" i="57"/>
  <c r="H356" i="57"/>
  <c r="G356" i="57"/>
  <c r="F356" i="57"/>
  <c r="E356" i="57"/>
  <c r="D356" i="57"/>
  <c r="N327" i="57"/>
  <c r="I355" i="57"/>
  <c r="H355" i="57"/>
  <c r="G355" i="57"/>
  <c r="F355" i="57"/>
  <c r="E355" i="57"/>
  <c r="D355" i="57"/>
  <c r="N326" i="57"/>
  <c r="I354" i="57"/>
  <c r="H354" i="57"/>
  <c r="G354" i="57"/>
  <c r="F354" i="57"/>
  <c r="E354" i="57"/>
  <c r="D354" i="57"/>
  <c r="N325" i="57"/>
  <c r="I353" i="57"/>
  <c r="H353" i="57"/>
  <c r="G353" i="57"/>
  <c r="F353" i="57"/>
  <c r="E353" i="57"/>
  <c r="D353" i="57"/>
  <c r="N324" i="57"/>
  <c r="I352" i="57"/>
  <c r="H352" i="57"/>
  <c r="G352" i="57"/>
  <c r="F352" i="57"/>
  <c r="E352" i="57"/>
  <c r="D352" i="57"/>
  <c r="N323" i="57"/>
  <c r="I351" i="57"/>
  <c r="H351" i="57"/>
  <c r="G351" i="57"/>
  <c r="F351" i="57"/>
  <c r="E351" i="57"/>
  <c r="D351" i="57"/>
  <c r="N322" i="57"/>
  <c r="I350" i="57"/>
  <c r="H350" i="57"/>
  <c r="G350" i="57"/>
  <c r="F350" i="57"/>
  <c r="E350" i="57"/>
  <c r="D350" i="57"/>
  <c r="N321" i="57"/>
  <c r="I349" i="57"/>
  <c r="H349" i="57"/>
  <c r="G349" i="57"/>
  <c r="F349" i="57"/>
  <c r="E349" i="57"/>
  <c r="D349" i="57"/>
  <c r="N320" i="57"/>
  <c r="I348" i="57"/>
  <c r="H348" i="57"/>
  <c r="G348" i="57"/>
  <c r="F348" i="57"/>
  <c r="E348" i="57"/>
  <c r="D348" i="57"/>
  <c r="N319" i="57"/>
  <c r="I347" i="57"/>
  <c r="H347" i="57"/>
  <c r="G347" i="57"/>
  <c r="F347" i="57"/>
  <c r="E347" i="57"/>
  <c r="D347" i="57"/>
  <c r="N318" i="57"/>
  <c r="I346" i="57"/>
  <c r="H346" i="57"/>
  <c r="G346" i="57"/>
  <c r="F346" i="57"/>
  <c r="E346" i="57"/>
  <c r="D346" i="57"/>
  <c r="I345" i="57"/>
  <c r="H345" i="57"/>
  <c r="G345" i="57"/>
  <c r="F345" i="57"/>
  <c r="E345" i="57"/>
  <c r="D345" i="57"/>
  <c r="N317" i="57"/>
  <c r="I344" i="57"/>
  <c r="H344" i="57"/>
  <c r="G344" i="57"/>
  <c r="F344" i="57"/>
  <c r="E344" i="57"/>
  <c r="D344" i="57"/>
  <c r="N316" i="57"/>
  <c r="I343" i="57"/>
  <c r="H343" i="57"/>
  <c r="G343" i="57"/>
  <c r="F343" i="57"/>
  <c r="E343" i="57"/>
  <c r="D343" i="57"/>
  <c r="N315" i="57"/>
  <c r="I342" i="57"/>
  <c r="H342" i="57"/>
  <c r="G342" i="57"/>
  <c r="F342" i="57"/>
  <c r="E342" i="57"/>
  <c r="D342" i="57"/>
  <c r="N314" i="57"/>
  <c r="I341" i="57"/>
  <c r="H341" i="57"/>
  <c r="G341" i="57"/>
  <c r="F341" i="57"/>
  <c r="E341" i="57"/>
  <c r="D341" i="57"/>
  <c r="N313" i="57"/>
  <c r="I340" i="57"/>
  <c r="H340" i="57"/>
  <c r="G340" i="57"/>
  <c r="F340" i="57"/>
  <c r="E340" i="57"/>
  <c r="D340" i="57"/>
  <c r="N312" i="57"/>
  <c r="I339" i="57"/>
  <c r="H339" i="57"/>
  <c r="G339" i="57"/>
  <c r="F339" i="57"/>
  <c r="E339" i="57"/>
  <c r="D339" i="57"/>
  <c r="N311" i="57"/>
  <c r="I338" i="57"/>
  <c r="H338" i="57"/>
  <c r="G338" i="57"/>
  <c r="F338" i="57"/>
  <c r="E338" i="57"/>
  <c r="D338" i="57"/>
  <c r="N310" i="57"/>
  <c r="I337" i="57"/>
  <c r="H337" i="57"/>
  <c r="G337" i="57"/>
  <c r="F337" i="57"/>
  <c r="E337" i="57"/>
  <c r="D337" i="57"/>
  <c r="N309" i="57"/>
  <c r="I336" i="57"/>
  <c r="H336" i="57"/>
  <c r="G336" i="57"/>
  <c r="F336" i="57"/>
  <c r="E336" i="57"/>
  <c r="D336" i="57"/>
  <c r="N308" i="57"/>
  <c r="I335" i="57"/>
  <c r="H335" i="57"/>
  <c r="G335" i="57"/>
  <c r="F335" i="57"/>
  <c r="E335" i="57"/>
  <c r="D335" i="57"/>
  <c r="N307" i="57"/>
  <c r="I334" i="57"/>
  <c r="H334" i="57"/>
  <c r="G334" i="57"/>
  <c r="F334" i="57"/>
  <c r="E334" i="57"/>
  <c r="D334" i="57"/>
  <c r="N306" i="57"/>
  <c r="I333" i="57"/>
  <c r="H333" i="57"/>
  <c r="G333" i="57"/>
  <c r="F333" i="57"/>
  <c r="E333" i="57"/>
  <c r="D333" i="57"/>
  <c r="N305" i="57"/>
  <c r="I332" i="57"/>
  <c r="H332" i="57"/>
  <c r="G332" i="57"/>
  <c r="F332" i="57"/>
  <c r="E332" i="57"/>
  <c r="D332" i="57"/>
  <c r="N304" i="57"/>
  <c r="I331" i="57"/>
  <c r="H331" i="57"/>
  <c r="G331" i="57"/>
  <c r="F331" i="57"/>
  <c r="E331" i="57"/>
  <c r="D331" i="57"/>
  <c r="N303" i="57"/>
  <c r="I330" i="57"/>
  <c r="H330" i="57"/>
  <c r="G330" i="57"/>
  <c r="F330" i="57"/>
  <c r="E330" i="57"/>
  <c r="D330" i="57"/>
  <c r="N302" i="57"/>
  <c r="I329" i="57"/>
  <c r="H329" i="57"/>
  <c r="G329" i="57"/>
  <c r="F329" i="57"/>
  <c r="E329" i="57"/>
  <c r="D329" i="57"/>
  <c r="N301" i="57"/>
  <c r="I328" i="57"/>
  <c r="H328" i="57"/>
  <c r="G328" i="57"/>
  <c r="F328" i="57"/>
  <c r="E328" i="57"/>
  <c r="D328" i="57"/>
  <c r="N300" i="57"/>
  <c r="I327" i="57"/>
  <c r="H327" i="57"/>
  <c r="G327" i="57"/>
  <c r="F327" i="57"/>
  <c r="E327" i="57"/>
  <c r="D327" i="57"/>
  <c r="N299" i="57"/>
  <c r="I326" i="57"/>
  <c r="H326" i="57"/>
  <c r="G326" i="57"/>
  <c r="F326" i="57"/>
  <c r="E326" i="57"/>
  <c r="D326" i="57"/>
  <c r="N298" i="57"/>
  <c r="I325" i="57"/>
  <c r="H325" i="57"/>
  <c r="G325" i="57"/>
  <c r="F325" i="57"/>
  <c r="E325" i="57"/>
  <c r="D325" i="57"/>
  <c r="I324" i="57"/>
  <c r="H324" i="57"/>
  <c r="G324" i="57"/>
  <c r="F324" i="57"/>
  <c r="E324" i="57"/>
  <c r="D324" i="57"/>
  <c r="N297" i="57"/>
  <c r="I323" i="57"/>
  <c r="H323" i="57"/>
  <c r="G323" i="57"/>
  <c r="F323" i="57"/>
  <c r="E323" i="57"/>
  <c r="D323" i="57"/>
  <c r="N296" i="57"/>
  <c r="I322" i="57"/>
  <c r="H322" i="57"/>
  <c r="G322" i="57"/>
  <c r="F322" i="57"/>
  <c r="E322" i="57"/>
  <c r="D322" i="57"/>
  <c r="N295" i="57"/>
  <c r="I321" i="57"/>
  <c r="H321" i="57"/>
  <c r="G321" i="57"/>
  <c r="F321" i="57"/>
  <c r="E321" i="57"/>
  <c r="D321" i="57"/>
  <c r="N294" i="57"/>
  <c r="I320" i="57"/>
  <c r="H320" i="57"/>
  <c r="G320" i="57"/>
  <c r="F320" i="57"/>
  <c r="E320" i="57"/>
  <c r="D320" i="57"/>
  <c r="N293" i="57"/>
  <c r="I319" i="57"/>
  <c r="H319" i="57"/>
  <c r="G319" i="57"/>
  <c r="F319" i="57"/>
  <c r="E319" i="57"/>
  <c r="D319" i="57"/>
  <c r="N292" i="57"/>
  <c r="I318" i="57"/>
  <c r="H318" i="57"/>
  <c r="G318" i="57"/>
  <c r="F318" i="57"/>
  <c r="E318" i="57"/>
  <c r="D318" i="57"/>
  <c r="N291" i="57"/>
  <c r="I317" i="57"/>
  <c r="H317" i="57"/>
  <c r="G317" i="57"/>
  <c r="F317" i="57"/>
  <c r="E317" i="57"/>
  <c r="D317" i="57"/>
  <c r="N290" i="57"/>
  <c r="I316" i="57"/>
  <c r="H316" i="57"/>
  <c r="G316" i="57"/>
  <c r="F316" i="57"/>
  <c r="E316" i="57"/>
  <c r="D316" i="57"/>
  <c r="N289" i="57"/>
  <c r="I315" i="57"/>
  <c r="H315" i="57"/>
  <c r="G315" i="57"/>
  <c r="F315" i="57"/>
  <c r="E315" i="57"/>
  <c r="D315" i="57"/>
  <c r="N288" i="57"/>
  <c r="I314" i="57"/>
  <c r="H314" i="57"/>
  <c r="G314" i="57"/>
  <c r="F314" i="57"/>
  <c r="E314" i="57"/>
  <c r="D314" i="57"/>
  <c r="N287" i="57"/>
  <c r="I313" i="57"/>
  <c r="H313" i="57"/>
  <c r="G313" i="57"/>
  <c r="F313" i="57"/>
  <c r="E313" i="57"/>
  <c r="D313" i="57"/>
  <c r="N286" i="57"/>
  <c r="I312" i="57"/>
  <c r="H312" i="57"/>
  <c r="G312" i="57"/>
  <c r="F312" i="57"/>
  <c r="E312" i="57"/>
  <c r="D312" i="57"/>
  <c r="N285" i="57"/>
  <c r="I311" i="57"/>
  <c r="H311" i="57"/>
  <c r="G311" i="57"/>
  <c r="F311" i="57"/>
  <c r="E311" i="57"/>
  <c r="D311" i="57"/>
  <c r="N284" i="57"/>
  <c r="I310" i="57"/>
  <c r="H310" i="57"/>
  <c r="G310" i="57"/>
  <c r="F310" i="57"/>
  <c r="E310" i="57"/>
  <c r="D310" i="57"/>
  <c r="N283" i="57"/>
  <c r="I309" i="57"/>
  <c r="H309" i="57"/>
  <c r="G309" i="57"/>
  <c r="F309" i="57"/>
  <c r="E309" i="57"/>
  <c r="D309" i="57"/>
  <c r="N282" i="57"/>
  <c r="I308" i="57"/>
  <c r="H308" i="57"/>
  <c r="G308" i="57"/>
  <c r="F308" i="57"/>
  <c r="E308" i="57"/>
  <c r="D308" i="57"/>
  <c r="N281" i="57"/>
  <c r="I307" i="57"/>
  <c r="H307" i="57"/>
  <c r="G307" i="57"/>
  <c r="F307" i="57"/>
  <c r="E307" i="57"/>
  <c r="D307" i="57"/>
  <c r="N280" i="57"/>
  <c r="I306" i="57"/>
  <c r="H306" i="57"/>
  <c r="G306" i="57"/>
  <c r="F306" i="57"/>
  <c r="E306" i="57"/>
  <c r="D306" i="57"/>
  <c r="N279" i="57"/>
  <c r="I305" i="57"/>
  <c r="H305" i="57"/>
  <c r="G305" i="57"/>
  <c r="F305" i="57"/>
  <c r="E305" i="57"/>
  <c r="D305" i="57"/>
  <c r="N278" i="57"/>
  <c r="I304" i="57"/>
  <c r="H304" i="57"/>
  <c r="G304" i="57"/>
  <c r="F304" i="57"/>
  <c r="E304" i="57"/>
  <c r="D304" i="57"/>
  <c r="N277" i="57"/>
  <c r="I303" i="57"/>
  <c r="H303" i="57"/>
  <c r="G303" i="57"/>
  <c r="F303" i="57"/>
  <c r="E303" i="57"/>
  <c r="D303" i="57"/>
  <c r="N276" i="57"/>
  <c r="I302" i="57"/>
  <c r="H302" i="57"/>
  <c r="G302" i="57"/>
  <c r="F302" i="57"/>
  <c r="E302" i="57"/>
  <c r="D302" i="57"/>
  <c r="N275" i="57"/>
  <c r="I301" i="57"/>
  <c r="H301" i="57"/>
  <c r="G301" i="57"/>
  <c r="F301" i="57"/>
  <c r="E301" i="57"/>
  <c r="D301" i="57"/>
  <c r="N274" i="57"/>
  <c r="I300" i="57"/>
  <c r="H300" i="57"/>
  <c r="G300" i="57"/>
  <c r="F300" i="57"/>
  <c r="E300" i="57"/>
  <c r="D300" i="57"/>
  <c r="N273" i="57"/>
  <c r="I299" i="57"/>
  <c r="H299" i="57"/>
  <c r="G299" i="57"/>
  <c r="F299" i="57"/>
  <c r="E299" i="57"/>
  <c r="D299" i="57"/>
  <c r="N272" i="57"/>
  <c r="I298" i="57"/>
  <c r="H298" i="57"/>
  <c r="G298" i="57"/>
  <c r="F298" i="57"/>
  <c r="E298" i="57"/>
  <c r="D298" i="57"/>
  <c r="N271" i="57"/>
  <c r="I297" i="57"/>
  <c r="H297" i="57"/>
  <c r="G297" i="57"/>
  <c r="F297" i="57"/>
  <c r="E297" i="57"/>
  <c r="D297" i="57"/>
  <c r="I296" i="57"/>
  <c r="H296" i="57"/>
  <c r="G296" i="57"/>
  <c r="F296" i="57"/>
  <c r="E296" i="57"/>
  <c r="D296" i="57"/>
  <c r="N270" i="57"/>
  <c r="I295" i="57"/>
  <c r="H295" i="57"/>
  <c r="G295" i="57"/>
  <c r="F295" i="57"/>
  <c r="E295" i="57"/>
  <c r="D295" i="57"/>
  <c r="N269" i="57"/>
  <c r="I294" i="57"/>
  <c r="H294" i="57"/>
  <c r="G294" i="57"/>
  <c r="F294" i="57"/>
  <c r="E294" i="57"/>
  <c r="D294" i="57"/>
  <c r="N268" i="57"/>
  <c r="I293" i="57"/>
  <c r="H293" i="57"/>
  <c r="G293" i="57"/>
  <c r="F293" i="57"/>
  <c r="E293" i="57"/>
  <c r="D293" i="57"/>
  <c r="N267" i="57"/>
  <c r="I292" i="57"/>
  <c r="H292" i="57"/>
  <c r="G292" i="57"/>
  <c r="F292" i="57"/>
  <c r="E292" i="57"/>
  <c r="D292" i="57"/>
  <c r="N266" i="57"/>
  <c r="I291" i="57"/>
  <c r="H291" i="57"/>
  <c r="G291" i="57"/>
  <c r="F291" i="57"/>
  <c r="E291" i="57"/>
  <c r="D291" i="57"/>
  <c r="N265" i="57"/>
  <c r="I290" i="57"/>
  <c r="H290" i="57"/>
  <c r="G290" i="57"/>
  <c r="F290" i="57"/>
  <c r="E290" i="57"/>
  <c r="D290" i="57"/>
  <c r="N264" i="57"/>
  <c r="I289" i="57"/>
  <c r="H289" i="57"/>
  <c r="G289" i="57"/>
  <c r="F289" i="57"/>
  <c r="E289" i="57"/>
  <c r="D289" i="57"/>
  <c r="N263" i="57"/>
  <c r="I288" i="57"/>
  <c r="H288" i="57"/>
  <c r="G288" i="57"/>
  <c r="F288" i="57"/>
  <c r="E288" i="57"/>
  <c r="D288" i="57"/>
  <c r="N262" i="57"/>
  <c r="I287" i="57"/>
  <c r="H287" i="57"/>
  <c r="G287" i="57"/>
  <c r="F287" i="57"/>
  <c r="E287" i="57"/>
  <c r="D287" i="57"/>
  <c r="N261" i="57"/>
  <c r="I286" i="57"/>
  <c r="H286" i="57"/>
  <c r="G286" i="57"/>
  <c r="F286" i="57"/>
  <c r="E286" i="57"/>
  <c r="D286" i="57"/>
  <c r="N260" i="57"/>
  <c r="I285" i="57"/>
  <c r="H285" i="57"/>
  <c r="G285" i="57"/>
  <c r="F285" i="57"/>
  <c r="E285" i="57"/>
  <c r="D285" i="57"/>
  <c r="N259" i="57"/>
  <c r="I284" i="57"/>
  <c r="H284" i="57"/>
  <c r="G284" i="57"/>
  <c r="F284" i="57"/>
  <c r="E284" i="57"/>
  <c r="D284" i="57"/>
  <c r="N258" i="57"/>
  <c r="I283" i="57"/>
  <c r="H283" i="57"/>
  <c r="G283" i="57"/>
  <c r="F283" i="57"/>
  <c r="E283" i="57"/>
  <c r="D283" i="57"/>
  <c r="N257" i="57"/>
  <c r="I282" i="57"/>
  <c r="H282" i="57"/>
  <c r="G282" i="57"/>
  <c r="F282" i="57"/>
  <c r="E282" i="57"/>
  <c r="D282" i="57"/>
  <c r="N256" i="57"/>
  <c r="I281" i="57"/>
  <c r="H281" i="57"/>
  <c r="G281" i="57"/>
  <c r="F281" i="57"/>
  <c r="E281" i="57"/>
  <c r="D281" i="57"/>
  <c r="N255" i="57"/>
  <c r="I280" i="57"/>
  <c r="H280" i="57"/>
  <c r="G280" i="57"/>
  <c r="F280" i="57"/>
  <c r="E280" i="57"/>
  <c r="D280" i="57"/>
  <c r="N254" i="57"/>
  <c r="I279" i="57"/>
  <c r="H279" i="57"/>
  <c r="G279" i="57"/>
  <c r="F279" i="57"/>
  <c r="E279" i="57"/>
  <c r="D279" i="57"/>
  <c r="N253" i="57"/>
  <c r="I278" i="57"/>
  <c r="H278" i="57"/>
  <c r="G278" i="57"/>
  <c r="F278" i="57"/>
  <c r="E278" i="57"/>
  <c r="D278" i="57"/>
  <c r="I277" i="57"/>
  <c r="H277" i="57"/>
  <c r="G277" i="57"/>
  <c r="F277" i="57"/>
  <c r="E277" i="57"/>
  <c r="D277" i="57"/>
  <c r="N252" i="57"/>
  <c r="I276" i="57"/>
  <c r="H276" i="57"/>
  <c r="G276" i="57"/>
  <c r="F276" i="57"/>
  <c r="E276" i="57"/>
  <c r="D276" i="57"/>
  <c r="N251" i="57"/>
  <c r="I275" i="57"/>
  <c r="H275" i="57"/>
  <c r="G275" i="57"/>
  <c r="F275" i="57"/>
  <c r="E275" i="57"/>
  <c r="D275" i="57"/>
  <c r="N250" i="57"/>
  <c r="I274" i="57"/>
  <c r="H274" i="57"/>
  <c r="G274" i="57"/>
  <c r="F274" i="57"/>
  <c r="E274" i="57"/>
  <c r="D274" i="57"/>
  <c r="N249" i="57"/>
  <c r="I273" i="57"/>
  <c r="H273" i="57"/>
  <c r="G273" i="57"/>
  <c r="F273" i="57"/>
  <c r="E273" i="57"/>
  <c r="D273" i="57"/>
  <c r="N248" i="57"/>
  <c r="I272" i="57"/>
  <c r="H272" i="57"/>
  <c r="G272" i="57"/>
  <c r="F272" i="57"/>
  <c r="E272" i="57"/>
  <c r="D272" i="57"/>
  <c r="N247" i="57"/>
  <c r="I271" i="57"/>
  <c r="H271" i="57"/>
  <c r="G271" i="57"/>
  <c r="F271" i="57"/>
  <c r="E271" i="57"/>
  <c r="D271" i="57"/>
  <c r="N246" i="57"/>
  <c r="I270" i="57"/>
  <c r="H270" i="57"/>
  <c r="G270" i="57"/>
  <c r="F270" i="57"/>
  <c r="E270" i="57"/>
  <c r="D270" i="57"/>
  <c r="N245" i="57"/>
  <c r="I269" i="57"/>
  <c r="H269" i="57"/>
  <c r="G269" i="57"/>
  <c r="F269" i="57"/>
  <c r="E269" i="57"/>
  <c r="D269" i="57"/>
  <c r="N244" i="57"/>
  <c r="I268" i="57"/>
  <c r="H268" i="57"/>
  <c r="G268" i="57"/>
  <c r="F268" i="57"/>
  <c r="E268" i="57"/>
  <c r="D268" i="57"/>
  <c r="N243" i="57"/>
  <c r="I267" i="57"/>
  <c r="H267" i="57"/>
  <c r="G267" i="57"/>
  <c r="F267" i="57"/>
  <c r="E267" i="57"/>
  <c r="D267" i="57"/>
  <c r="N242" i="57"/>
  <c r="I266" i="57"/>
  <c r="H266" i="57"/>
  <c r="G266" i="57"/>
  <c r="F266" i="57"/>
  <c r="E266" i="57"/>
  <c r="D266" i="57"/>
  <c r="N241" i="57"/>
  <c r="I265" i="57"/>
  <c r="H265" i="57"/>
  <c r="G265" i="57"/>
  <c r="F265" i="57"/>
  <c r="E265" i="57"/>
  <c r="D265" i="57"/>
  <c r="N240" i="57"/>
  <c r="I264" i="57"/>
  <c r="H264" i="57"/>
  <c r="G264" i="57"/>
  <c r="F264" i="57"/>
  <c r="E264" i="57"/>
  <c r="D264" i="57"/>
  <c r="N239" i="57"/>
  <c r="I263" i="57"/>
  <c r="H263" i="57"/>
  <c r="G263" i="57"/>
  <c r="F263" i="57"/>
  <c r="E263" i="57"/>
  <c r="D263" i="57"/>
  <c r="N238" i="57"/>
  <c r="I262" i="57"/>
  <c r="H262" i="57"/>
  <c r="G262" i="57"/>
  <c r="F262" i="57"/>
  <c r="E262" i="57"/>
  <c r="D262" i="57"/>
  <c r="N237" i="57"/>
  <c r="I261" i="57"/>
  <c r="H261" i="57"/>
  <c r="G261" i="57"/>
  <c r="F261" i="57"/>
  <c r="E261" i="57"/>
  <c r="D261" i="57"/>
  <c r="N236" i="57"/>
  <c r="I260" i="57"/>
  <c r="H260" i="57"/>
  <c r="G260" i="57"/>
  <c r="F260" i="57"/>
  <c r="E260" i="57"/>
  <c r="D260" i="57"/>
  <c r="N235" i="57"/>
  <c r="I259" i="57"/>
  <c r="H259" i="57"/>
  <c r="G259" i="57"/>
  <c r="F259" i="57"/>
  <c r="E259" i="57"/>
  <c r="D259" i="57"/>
  <c r="N234" i="57"/>
  <c r="I258" i="57"/>
  <c r="H258" i="57"/>
  <c r="G258" i="57"/>
  <c r="F258" i="57"/>
  <c r="E258" i="57"/>
  <c r="D258" i="57"/>
  <c r="N233" i="57"/>
  <c r="I257" i="57"/>
  <c r="H257" i="57"/>
  <c r="G257" i="57"/>
  <c r="F257" i="57"/>
  <c r="E257" i="57"/>
  <c r="D257" i="57"/>
  <c r="N232" i="57"/>
  <c r="I256" i="57"/>
  <c r="H256" i="57"/>
  <c r="G256" i="57"/>
  <c r="F256" i="57"/>
  <c r="E256" i="57"/>
  <c r="D256" i="57"/>
  <c r="N231" i="57"/>
  <c r="I255" i="57"/>
  <c r="H255" i="57"/>
  <c r="G255" i="57"/>
  <c r="F255" i="57"/>
  <c r="E255" i="57"/>
  <c r="D255" i="57"/>
  <c r="N230" i="57"/>
  <c r="I254" i="57"/>
  <c r="H254" i="57"/>
  <c r="G254" i="57"/>
  <c r="F254" i="57"/>
  <c r="E254" i="57"/>
  <c r="D254" i="57"/>
  <c r="N229" i="57"/>
  <c r="I253" i="57"/>
  <c r="H253" i="57"/>
  <c r="G253" i="57"/>
  <c r="F253" i="57"/>
  <c r="E253" i="57"/>
  <c r="D253" i="57"/>
  <c r="N228" i="57"/>
  <c r="I252" i="57"/>
  <c r="H252" i="57"/>
  <c r="G252" i="57"/>
  <c r="F252" i="57"/>
  <c r="E252" i="57"/>
  <c r="D252" i="57"/>
  <c r="N227" i="57"/>
  <c r="I251" i="57"/>
  <c r="H251" i="57"/>
  <c r="G251" i="57"/>
  <c r="F251" i="57"/>
  <c r="E251" i="57"/>
  <c r="D251" i="57"/>
  <c r="N226" i="57"/>
  <c r="I250" i="57"/>
  <c r="H250" i="57"/>
  <c r="G250" i="57"/>
  <c r="F250" i="57"/>
  <c r="E250" i="57"/>
  <c r="D250" i="57"/>
  <c r="N225" i="57"/>
  <c r="I249" i="57"/>
  <c r="H249" i="57"/>
  <c r="G249" i="57"/>
  <c r="F249" i="57"/>
  <c r="E249" i="57"/>
  <c r="D249" i="57"/>
  <c r="N224" i="57"/>
  <c r="I248" i="57"/>
  <c r="H248" i="57"/>
  <c r="G248" i="57"/>
  <c r="F248" i="57"/>
  <c r="E248" i="57"/>
  <c r="D248" i="57"/>
  <c r="I247" i="57"/>
  <c r="H247" i="57"/>
  <c r="G247" i="57"/>
  <c r="F247" i="57"/>
  <c r="E247" i="57"/>
  <c r="D247" i="57"/>
  <c r="N223" i="57"/>
  <c r="I246" i="57"/>
  <c r="H246" i="57"/>
  <c r="G246" i="57"/>
  <c r="F246" i="57"/>
  <c r="E246" i="57"/>
  <c r="D246" i="57"/>
  <c r="N222" i="57"/>
  <c r="I245" i="57"/>
  <c r="H245" i="57"/>
  <c r="G245" i="57"/>
  <c r="F245" i="57"/>
  <c r="E245" i="57"/>
  <c r="D245" i="57"/>
  <c r="N221" i="57"/>
  <c r="I244" i="57"/>
  <c r="H244" i="57"/>
  <c r="G244" i="57"/>
  <c r="F244" i="57"/>
  <c r="E244" i="57"/>
  <c r="D244" i="57"/>
  <c r="N220" i="57"/>
  <c r="I243" i="57"/>
  <c r="H243" i="57"/>
  <c r="G243" i="57"/>
  <c r="F243" i="57"/>
  <c r="E243" i="57"/>
  <c r="D243" i="57"/>
  <c r="N219" i="57"/>
  <c r="I242" i="57"/>
  <c r="H242" i="57"/>
  <c r="G242" i="57"/>
  <c r="F242" i="57"/>
  <c r="E242" i="57"/>
  <c r="D242" i="57"/>
  <c r="N218" i="57"/>
  <c r="I241" i="57"/>
  <c r="H241" i="57"/>
  <c r="G241" i="57"/>
  <c r="F241" i="57"/>
  <c r="E241" i="57"/>
  <c r="D241" i="57"/>
  <c r="N217" i="57"/>
  <c r="I240" i="57"/>
  <c r="H240" i="57"/>
  <c r="G240" i="57"/>
  <c r="F240" i="57"/>
  <c r="E240" i="57"/>
  <c r="D240" i="57"/>
  <c r="N216" i="57"/>
  <c r="I239" i="57"/>
  <c r="H239" i="57"/>
  <c r="G239" i="57"/>
  <c r="F239" i="57"/>
  <c r="E239" i="57"/>
  <c r="D239" i="57"/>
  <c r="N215" i="57"/>
  <c r="I238" i="57"/>
  <c r="H238" i="57"/>
  <c r="G238" i="57"/>
  <c r="F238" i="57"/>
  <c r="E238" i="57"/>
  <c r="D238" i="57"/>
  <c r="N214" i="57"/>
  <c r="I237" i="57"/>
  <c r="H237" i="57"/>
  <c r="G237" i="57"/>
  <c r="F237" i="57"/>
  <c r="E237" i="57"/>
  <c r="D237" i="57"/>
  <c r="N213" i="57"/>
  <c r="I236" i="57"/>
  <c r="H236" i="57"/>
  <c r="G236" i="57"/>
  <c r="F236" i="57"/>
  <c r="E236" i="57"/>
  <c r="D236" i="57"/>
  <c r="N212" i="57"/>
  <c r="I235" i="57"/>
  <c r="H235" i="57"/>
  <c r="G235" i="57"/>
  <c r="F235" i="57"/>
  <c r="E235" i="57"/>
  <c r="D235" i="57"/>
  <c r="I234" i="57"/>
  <c r="H234" i="57"/>
  <c r="G234" i="57"/>
  <c r="F234" i="57"/>
  <c r="E234" i="57"/>
  <c r="D234" i="57"/>
  <c r="N211" i="57"/>
  <c r="I233" i="57"/>
  <c r="H233" i="57"/>
  <c r="G233" i="57"/>
  <c r="F233" i="57"/>
  <c r="E233" i="57"/>
  <c r="D233" i="57"/>
  <c r="N210" i="57"/>
  <c r="I232" i="57"/>
  <c r="H232" i="57"/>
  <c r="G232" i="57"/>
  <c r="F232" i="57"/>
  <c r="E232" i="57"/>
  <c r="D232" i="57"/>
  <c r="N209" i="57"/>
  <c r="I231" i="57"/>
  <c r="H231" i="57"/>
  <c r="G231" i="57"/>
  <c r="F231" i="57"/>
  <c r="E231" i="57"/>
  <c r="D231" i="57"/>
  <c r="I230" i="57"/>
  <c r="H230" i="57"/>
  <c r="G230" i="57"/>
  <c r="F230" i="57"/>
  <c r="E230" i="57"/>
  <c r="D230" i="57"/>
  <c r="N208" i="57"/>
  <c r="I229" i="57"/>
  <c r="H229" i="57"/>
  <c r="G229" i="57"/>
  <c r="F229" i="57"/>
  <c r="E229" i="57"/>
  <c r="D229" i="57"/>
  <c r="N207" i="57"/>
  <c r="I228" i="57"/>
  <c r="H228" i="57"/>
  <c r="G228" i="57"/>
  <c r="F228" i="57"/>
  <c r="E228" i="57"/>
  <c r="D228" i="57"/>
  <c r="N206" i="57"/>
  <c r="I227" i="57"/>
  <c r="H227" i="57"/>
  <c r="G227" i="57"/>
  <c r="F227" i="57"/>
  <c r="E227" i="57"/>
  <c r="D227" i="57"/>
  <c r="N205" i="57"/>
  <c r="I226" i="57"/>
  <c r="H226" i="57"/>
  <c r="G226" i="57"/>
  <c r="F226" i="57"/>
  <c r="E226" i="57"/>
  <c r="D226" i="57"/>
  <c r="N204" i="57"/>
  <c r="I225" i="57"/>
  <c r="H225" i="57"/>
  <c r="G225" i="57"/>
  <c r="F225" i="57"/>
  <c r="E225" i="57"/>
  <c r="D225" i="57"/>
  <c r="N203" i="57"/>
  <c r="I224" i="57"/>
  <c r="H224" i="57"/>
  <c r="G224" i="57"/>
  <c r="F224" i="57"/>
  <c r="E224" i="57"/>
  <c r="D224" i="57"/>
  <c r="N202" i="57"/>
  <c r="I223" i="57"/>
  <c r="H223" i="57"/>
  <c r="G223" i="57"/>
  <c r="F223" i="57"/>
  <c r="E223" i="57"/>
  <c r="D223" i="57"/>
  <c r="N201" i="57"/>
  <c r="I222" i="57"/>
  <c r="H222" i="57"/>
  <c r="G222" i="57"/>
  <c r="F222" i="57"/>
  <c r="E222" i="57"/>
  <c r="D222" i="57"/>
  <c r="N200" i="57"/>
  <c r="I221" i="57"/>
  <c r="H221" i="57"/>
  <c r="G221" i="57"/>
  <c r="F221" i="57"/>
  <c r="E221" i="57"/>
  <c r="D221" i="57"/>
  <c r="N199" i="57"/>
  <c r="I220" i="57"/>
  <c r="H220" i="57"/>
  <c r="G220" i="57"/>
  <c r="F220" i="57"/>
  <c r="E220" i="57"/>
  <c r="D220" i="57"/>
  <c r="N198" i="57"/>
  <c r="I219" i="57"/>
  <c r="H219" i="57"/>
  <c r="G219" i="57"/>
  <c r="F219" i="57"/>
  <c r="E219" i="57"/>
  <c r="D219" i="57"/>
  <c r="N197" i="57"/>
  <c r="I218" i="57"/>
  <c r="H218" i="57"/>
  <c r="G218" i="57"/>
  <c r="F218" i="57"/>
  <c r="E218" i="57"/>
  <c r="D218" i="57"/>
  <c r="N196" i="57"/>
  <c r="I217" i="57"/>
  <c r="H217" i="57"/>
  <c r="G217" i="57"/>
  <c r="F217" i="57"/>
  <c r="E217" i="57"/>
  <c r="D217" i="57"/>
  <c r="N195" i="57"/>
  <c r="I216" i="57"/>
  <c r="H216" i="57"/>
  <c r="G216" i="57"/>
  <c r="F216" i="57"/>
  <c r="E216" i="57"/>
  <c r="D216" i="57"/>
  <c r="N194" i="57"/>
  <c r="I215" i="57"/>
  <c r="H215" i="57"/>
  <c r="G215" i="57"/>
  <c r="F215" i="57"/>
  <c r="E215" i="57"/>
  <c r="D215" i="57"/>
  <c r="N193" i="57"/>
  <c r="I214" i="57"/>
  <c r="H214" i="57"/>
  <c r="G214" i="57"/>
  <c r="F214" i="57"/>
  <c r="E214" i="57"/>
  <c r="D214" i="57"/>
  <c r="N192" i="57"/>
  <c r="I213" i="57"/>
  <c r="H213" i="57"/>
  <c r="G213" i="57"/>
  <c r="F213" i="57"/>
  <c r="E213" i="57"/>
  <c r="D213" i="57"/>
  <c r="N191" i="57"/>
  <c r="I212" i="57"/>
  <c r="H212" i="57"/>
  <c r="G212" i="57"/>
  <c r="F212" i="57"/>
  <c r="E212" i="57"/>
  <c r="D212" i="57"/>
  <c r="N190" i="57"/>
  <c r="I211" i="57"/>
  <c r="H211" i="57"/>
  <c r="G211" i="57"/>
  <c r="F211" i="57"/>
  <c r="E211" i="57"/>
  <c r="D211" i="57"/>
  <c r="N189" i="57"/>
  <c r="I210" i="57"/>
  <c r="H210" i="57"/>
  <c r="G210" i="57"/>
  <c r="F210" i="57"/>
  <c r="E210" i="57"/>
  <c r="D210" i="57"/>
  <c r="N188" i="57"/>
  <c r="I209" i="57"/>
  <c r="H209" i="57"/>
  <c r="G209" i="57"/>
  <c r="F209" i="57"/>
  <c r="E209" i="57"/>
  <c r="D209" i="57"/>
  <c r="N187" i="57"/>
  <c r="I208" i="57"/>
  <c r="H208" i="57"/>
  <c r="G208" i="57"/>
  <c r="F208" i="57"/>
  <c r="E208" i="57"/>
  <c r="D208" i="57"/>
  <c r="N186" i="57"/>
  <c r="I207" i="57"/>
  <c r="H207" i="57"/>
  <c r="G207" i="57"/>
  <c r="F207" i="57"/>
  <c r="E207" i="57"/>
  <c r="D207" i="57"/>
  <c r="N185" i="57"/>
  <c r="I206" i="57"/>
  <c r="H206" i="57"/>
  <c r="G206" i="57"/>
  <c r="F206" i="57"/>
  <c r="E206" i="57"/>
  <c r="D206" i="57"/>
  <c r="N184" i="57"/>
  <c r="I205" i="57"/>
  <c r="H205" i="57"/>
  <c r="G205" i="57"/>
  <c r="F205" i="57"/>
  <c r="E205" i="57"/>
  <c r="D205" i="57"/>
  <c r="N183" i="57"/>
  <c r="I204" i="57"/>
  <c r="H204" i="57"/>
  <c r="G204" i="57"/>
  <c r="F204" i="57"/>
  <c r="E204" i="57"/>
  <c r="D204" i="57"/>
  <c r="N182" i="57"/>
  <c r="I203" i="57"/>
  <c r="H203" i="57"/>
  <c r="G203" i="57"/>
  <c r="F203" i="57"/>
  <c r="E203" i="57"/>
  <c r="D203" i="57"/>
  <c r="I202" i="57"/>
  <c r="H202" i="57"/>
  <c r="G202" i="57"/>
  <c r="F202" i="57"/>
  <c r="E202" i="57"/>
  <c r="D202" i="57"/>
  <c r="N181" i="57"/>
  <c r="I201" i="57"/>
  <c r="H201" i="57"/>
  <c r="G201" i="57"/>
  <c r="F201" i="57"/>
  <c r="E201" i="57"/>
  <c r="D201" i="57"/>
  <c r="N180" i="57"/>
  <c r="I200" i="57"/>
  <c r="H200" i="57"/>
  <c r="G200" i="57"/>
  <c r="F200" i="57"/>
  <c r="E200" i="57"/>
  <c r="D200" i="57"/>
  <c r="N179" i="57"/>
  <c r="I199" i="57"/>
  <c r="H199" i="57"/>
  <c r="G199" i="57"/>
  <c r="F199" i="57"/>
  <c r="E199" i="57"/>
  <c r="D199" i="57"/>
  <c r="N178" i="57"/>
  <c r="I198" i="57"/>
  <c r="H198" i="57"/>
  <c r="G198" i="57"/>
  <c r="F198" i="57"/>
  <c r="E198" i="57"/>
  <c r="D198" i="57"/>
  <c r="N177" i="57"/>
  <c r="I197" i="57"/>
  <c r="H197" i="57"/>
  <c r="G197" i="57"/>
  <c r="F197" i="57"/>
  <c r="E197" i="57"/>
  <c r="D197" i="57"/>
  <c r="N176" i="57"/>
  <c r="I196" i="57"/>
  <c r="H196" i="57"/>
  <c r="G196" i="57"/>
  <c r="F196" i="57"/>
  <c r="E196" i="57"/>
  <c r="D196" i="57"/>
  <c r="N175" i="57"/>
  <c r="I195" i="57"/>
  <c r="H195" i="57"/>
  <c r="G195" i="57"/>
  <c r="F195" i="57"/>
  <c r="E195" i="57"/>
  <c r="D195" i="57"/>
  <c r="I194" i="57"/>
  <c r="H194" i="57"/>
  <c r="G194" i="57"/>
  <c r="F194" i="57"/>
  <c r="E194" i="57"/>
  <c r="D194" i="57"/>
  <c r="N174" i="57"/>
  <c r="I193" i="57"/>
  <c r="H193" i="57"/>
  <c r="G193" i="57"/>
  <c r="F193" i="57"/>
  <c r="E193" i="57"/>
  <c r="D193" i="57"/>
  <c r="N173" i="57"/>
  <c r="I192" i="57"/>
  <c r="H192" i="57"/>
  <c r="G192" i="57"/>
  <c r="F192" i="57"/>
  <c r="E192" i="57"/>
  <c r="D192" i="57"/>
  <c r="N172" i="57"/>
  <c r="I191" i="57"/>
  <c r="H191" i="57"/>
  <c r="G191" i="57"/>
  <c r="F191" i="57"/>
  <c r="E191" i="57"/>
  <c r="D191" i="57"/>
  <c r="N171" i="57"/>
  <c r="I190" i="57"/>
  <c r="H190" i="57"/>
  <c r="G190" i="57"/>
  <c r="F190" i="57"/>
  <c r="E190" i="57"/>
  <c r="D190" i="57"/>
  <c r="N170" i="57"/>
  <c r="I189" i="57"/>
  <c r="H189" i="57"/>
  <c r="G189" i="57"/>
  <c r="F189" i="57"/>
  <c r="E189" i="57"/>
  <c r="D189" i="57"/>
  <c r="I188" i="57"/>
  <c r="H188" i="57"/>
  <c r="G188" i="57"/>
  <c r="F188" i="57"/>
  <c r="E188" i="57"/>
  <c r="D188" i="57"/>
  <c r="N169" i="57"/>
  <c r="I187" i="57"/>
  <c r="H187" i="57"/>
  <c r="G187" i="57"/>
  <c r="F187" i="57"/>
  <c r="E187" i="57"/>
  <c r="D187" i="57"/>
  <c r="N168" i="57"/>
  <c r="I186" i="57"/>
  <c r="H186" i="57"/>
  <c r="G186" i="57"/>
  <c r="F186" i="57"/>
  <c r="E186" i="57"/>
  <c r="D186" i="57"/>
  <c r="N167" i="57"/>
  <c r="I185" i="57"/>
  <c r="H185" i="57"/>
  <c r="G185" i="57"/>
  <c r="F185" i="57"/>
  <c r="E185" i="57"/>
  <c r="D185" i="57"/>
  <c r="N166" i="57"/>
  <c r="I184" i="57"/>
  <c r="H184" i="57"/>
  <c r="G184" i="57"/>
  <c r="F184" i="57"/>
  <c r="E184" i="57"/>
  <c r="D184" i="57"/>
  <c r="N165" i="57"/>
  <c r="I183" i="57"/>
  <c r="H183" i="57"/>
  <c r="G183" i="57"/>
  <c r="F183" i="57"/>
  <c r="E183" i="57"/>
  <c r="D183" i="57"/>
  <c r="N164" i="57"/>
  <c r="I182" i="57"/>
  <c r="H182" i="57"/>
  <c r="G182" i="57"/>
  <c r="F182" i="57"/>
  <c r="E182" i="57"/>
  <c r="D182" i="57"/>
  <c r="N163" i="57"/>
  <c r="I181" i="57"/>
  <c r="H181" i="57"/>
  <c r="G181" i="57"/>
  <c r="F181" i="57"/>
  <c r="E181" i="57"/>
  <c r="D181" i="57"/>
  <c r="N162" i="57"/>
  <c r="I180" i="57"/>
  <c r="H180" i="57"/>
  <c r="G180" i="57"/>
  <c r="F180" i="57"/>
  <c r="E180" i="57"/>
  <c r="D180" i="57"/>
  <c r="I179" i="57"/>
  <c r="H179" i="57"/>
  <c r="G179" i="57"/>
  <c r="F179" i="57"/>
  <c r="E179" i="57"/>
  <c r="D179" i="57"/>
  <c r="N161" i="57"/>
  <c r="I178" i="57"/>
  <c r="H178" i="57"/>
  <c r="G178" i="57"/>
  <c r="F178" i="57"/>
  <c r="E178" i="57"/>
  <c r="D178" i="57"/>
  <c r="N160" i="57"/>
  <c r="I177" i="57"/>
  <c r="H177" i="57"/>
  <c r="G177" i="57"/>
  <c r="F177" i="57"/>
  <c r="E177" i="57"/>
  <c r="D177" i="57"/>
  <c r="N159" i="57"/>
  <c r="I176" i="57"/>
  <c r="H176" i="57"/>
  <c r="G176" i="57"/>
  <c r="F176" i="57"/>
  <c r="E176" i="57"/>
  <c r="D176" i="57"/>
  <c r="N158" i="57"/>
  <c r="I175" i="57"/>
  <c r="H175" i="57"/>
  <c r="G175" i="57"/>
  <c r="F175" i="57"/>
  <c r="E175" i="57"/>
  <c r="D175" i="57"/>
  <c r="N157" i="57"/>
  <c r="I174" i="57"/>
  <c r="H174" i="57"/>
  <c r="G174" i="57"/>
  <c r="F174" i="57"/>
  <c r="E174" i="57"/>
  <c r="D174" i="57"/>
  <c r="N156" i="57"/>
  <c r="I173" i="57"/>
  <c r="H173" i="57"/>
  <c r="G173" i="57"/>
  <c r="F173" i="57"/>
  <c r="E173" i="57"/>
  <c r="D173" i="57"/>
  <c r="N155" i="57"/>
  <c r="I172" i="57"/>
  <c r="H172" i="57"/>
  <c r="G172" i="57"/>
  <c r="F172" i="57"/>
  <c r="E172" i="57"/>
  <c r="D172" i="57"/>
  <c r="N154" i="57"/>
  <c r="I171" i="57"/>
  <c r="H171" i="57"/>
  <c r="G171" i="57"/>
  <c r="F171" i="57"/>
  <c r="E171" i="57"/>
  <c r="D171" i="57"/>
  <c r="N153" i="57"/>
  <c r="I170" i="57"/>
  <c r="H170" i="57"/>
  <c r="G170" i="57"/>
  <c r="F170" i="57"/>
  <c r="E170" i="57"/>
  <c r="D170" i="57"/>
  <c r="N152" i="57"/>
  <c r="I169" i="57"/>
  <c r="H169" i="57"/>
  <c r="G169" i="57"/>
  <c r="F169" i="57"/>
  <c r="E169" i="57"/>
  <c r="D169" i="57"/>
  <c r="N151" i="57"/>
  <c r="I168" i="57"/>
  <c r="H168" i="57"/>
  <c r="G168" i="57"/>
  <c r="F168" i="57"/>
  <c r="E168" i="57"/>
  <c r="D168" i="57"/>
  <c r="N150" i="57"/>
  <c r="I167" i="57"/>
  <c r="H167" i="57"/>
  <c r="G167" i="57"/>
  <c r="F167" i="57"/>
  <c r="E167" i="57"/>
  <c r="D167" i="57"/>
  <c r="I166" i="57"/>
  <c r="H166" i="57"/>
  <c r="G166" i="57"/>
  <c r="F166" i="57"/>
  <c r="E166" i="57"/>
  <c r="D166" i="57"/>
  <c r="N149" i="57"/>
  <c r="I165" i="57"/>
  <c r="H165" i="57"/>
  <c r="G165" i="57"/>
  <c r="F165" i="57"/>
  <c r="E165" i="57"/>
  <c r="D165" i="57"/>
  <c r="N148" i="57"/>
  <c r="I164" i="57"/>
  <c r="H164" i="57"/>
  <c r="G164" i="57"/>
  <c r="F164" i="57"/>
  <c r="E164" i="57"/>
  <c r="D164" i="57"/>
  <c r="N147" i="57"/>
  <c r="I163" i="57"/>
  <c r="H163" i="57"/>
  <c r="G163" i="57"/>
  <c r="F163" i="57"/>
  <c r="E163" i="57"/>
  <c r="D163" i="57"/>
  <c r="N146" i="57"/>
  <c r="I162" i="57"/>
  <c r="H162" i="57"/>
  <c r="G162" i="57"/>
  <c r="F162" i="57"/>
  <c r="E162" i="57"/>
  <c r="D162" i="57"/>
  <c r="N145" i="57"/>
  <c r="I161" i="57"/>
  <c r="H161" i="57"/>
  <c r="G161" i="57"/>
  <c r="F161" i="57"/>
  <c r="E161" i="57"/>
  <c r="D161" i="57"/>
  <c r="I160" i="57"/>
  <c r="H160" i="57"/>
  <c r="G160" i="57"/>
  <c r="F160" i="57"/>
  <c r="E160" i="57"/>
  <c r="D160" i="57"/>
  <c r="N144" i="57"/>
  <c r="I159" i="57"/>
  <c r="H159" i="57"/>
  <c r="G159" i="57"/>
  <c r="F159" i="57"/>
  <c r="E159" i="57"/>
  <c r="D159" i="57"/>
  <c r="N143" i="57"/>
  <c r="I158" i="57"/>
  <c r="H158" i="57"/>
  <c r="G158" i="57"/>
  <c r="F158" i="57"/>
  <c r="E158" i="57"/>
  <c r="D158" i="57"/>
  <c r="N142" i="57"/>
  <c r="I157" i="57"/>
  <c r="H157" i="57"/>
  <c r="G157" i="57"/>
  <c r="F157" i="57"/>
  <c r="E157" i="57"/>
  <c r="D157" i="57"/>
  <c r="N141" i="57"/>
  <c r="I156" i="57"/>
  <c r="H156" i="57"/>
  <c r="G156" i="57"/>
  <c r="F156" i="57"/>
  <c r="E156" i="57"/>
  <c r="D156" i="57"/>
  <c r="N140" i="57"/>
  <c r="I155" i="57"/>
  <c r="H155" i="57"/>
  <c r="G155" i="57"/>
  <c r="F155" i="57"/>
  <c r="E155" i="57"/>
  <c r="D155" i="57"/>
  <c r="N139" i="57"/>
  <c r="I154" i="57"/>
  <c r="H154" i="57"/>
  <c r="G154" i="57"/>
  <c r="F154" i="57"/>
  <c r="E154" i="57"/>
  <c r="D154" i="57"/>
  <c r="N138" i="57"/>
  <c r="I153" i="57"/>
  <c r="H153" i="57"/>
  <c r="G153" i="57"/>
  <c r="F153" i="57"/>
  <c r="E153" i="57"/>
  <c r="D153" i="57"/>
  <c r="N137" i="57"/>
  <c r="I152" i="57"/>
  <c r="H152" i="57"/>
  <c r="G152" i="57"/>
  <c r="F152" i="57"/>
  <c r="E152" i="57"/>
  <c r="D152" i="57"/>
  <c r="N136" i="57"/>
  <c r="I151" i="57"/>
  <c r="H151" i="57"/>
  <c r="G151" i="57"/>
  <c r="F151" i="57"/>
  <c r="E151" i="57"/>
  <c r="D151" i="57"/>
  <c r="N135" i="57"/>
  <c r="I150" i="57"/>
  <c r="H150" i="57"/>
  <c r="G150" i="57"/>
  <c r="F150" i="57"/>
  <c r="E150" i="57"/>
  <c r="D150" i="57"/>
  <c r="N134" i="57"/>
  <c r="I149" i="57"/>
  <c r="H149" i="57"/>
  <c r="G149" i="57"/>
  <c r="F149" i="57"/>
  <c r="E149" i="57"/>
  <c r="D149" i="57"/>
  <c r="I148" i="57"/>
  <c r="H148" i="57"/>
  <c r="G148" i="57"/>
  <c r="F148" i="57"/>
  <c r="E148" i="57"/>
  <c r="D148" i="57"/>
  <c r="N133" i="57"/>
  <c r="I147" i="57"/>
  <c r="H147" i="57"/>
  <c r="G147" i="57"/>
  <c r="F147" i="57"/>
  <c r="E147" i="57"/>
  <c r="D147" i="57"/>
  <c r="N132" i="57"/>
  <c r="I146" i="57"/>
  <c r="H146" i="57"/>
  <c r="G146" i="57"/>
  <c r="F146" i="57"/>
  <c r="E146" i="57"/>
  <c r="D146" i="57"/>
  <c r="N131" i="57"/>
  <c r="I145" i="57"/>
  <c r="H145" i="57"/>
  <c r="G145" i="57"/>
  <c r="F145" i="57"/>
  <c r="E145" i="57"/>
  <c r="D145" i="57"/>
  <c r="N130" i="57"/>
  <c r="I144" i="57"/>
  <c r="H144" i="57"/>
  <c r="G144" i="57"/>
  <c r="F144" i="57"/>
  <c r="E144" i="57"/>
  <c r="D144" i="57"/>
  <c r="N129" i="57"/>
  <c r="I143" i="57"/>
  <c r="H143" i="57"/>
  <c r="G143" i="57"/>
  <c r="F143" i="57"/>
  <c r="E143" i="57"/>
  <c r="D143" i="57"/>
  <c r="N128" i="57"/>
  <c r="I142" i="57"/>
  <c r="H142" i="57"/>
  <c r="G142" i="57"/>
  <c r="F142" i="57"/>
  <c r="E142" i="57"/>
  <c r="D142" i="57"/>
  <c r="N127" i="57"/>
  <c r="I141" i="57"/>
  <c r="H141" i="57"/>
  <c r="G141" i="57"/>
  <c r="F141" i="57"/>
  <c r="E141" i="57"/>
  <c r="D141" i="57"/>
  <c r="N126" i="57"/>
  <c r="I140" i="57"/>
  <c r="H140" i="57"/>
  <c r="G140" i="57"/>
  <c r="F140" i="57"/>
  <c r="E140" i="57"/>
  <c r="D140" i="57"/>
  <c r="N125" i="57"/>
  <c r="I139" i="57"/>
  <c r="H139" i="57"/>
  <c r="G139" i="57"/>
  <c r="F139" i="57"/>
  <c r="E139" i="57"/>
  <c r="D139" i="57"/>
  <c r="N124" i="57"/>
  <c r="I138" i="57"/>
  <c r="H138" i="57"/>
  <c r="G138" i="57"/>
  <c r="F138" i="57"/>
  <c r="E138" i="57"/>
  <c r="D138" i="57"/>
  <c r="N123" i="57"/>
  <c r="I137" i="57"/>
  <c r="H137" i="57"/>
  <c r="G137" i="57"/>
  <c r="F137" i="57"/>
  <c r="E137" i="57"/>
  <c r="D137" i="57"/>
  <c r="N122" i="57"/>
  <c r="I136" i="57"/>
  <c r="H136" i="57"/>
  <c r="G136" i="57"/>
  <c r="F136" i="57"/>
  <c r="E136" i="57"/>
  <c r="D136" i="57"/>
  <c r="N121" i="57"/>
  <c r="I135" i="57"/>
  <c r="H135" i="57"/>
  <c r="G135" i="57"/>
  <c r="F135" i="57"/>
  <c r="E135" i="57"/>
  <c r="D135" i="57"/>
  <c r="N120" i="57"/>
  <c r="I134" i="57"/>
  <c r="H134" i="57"/>
  <c r="G134" i="57"/>
  <c r="F134" i="57"/>
  <c r="E134" i="57"/>
  <c r="D134" i="57"/>
  <c r="I133" i="57"/>
  <c r="H133" i="57"/>
  <c r="G133" i="57"/>
  <c r="F133" i="57"/>
  <c r="E133" i="57"/>
  <c r="D133" i="57"/>
  <c r="N119" i="57"/>
  <c r="I132" i="57"/>
  <c r="H132" i="57"/>
  <c r="G132" i="57"/>
  <c r="F132" i="57"/>
  <c r="E132" i="57"/>
  <c r="D132" i="57"/>
  <c r="I131" i="57"/>
  <c r="H131" i="57"/>
  <c r="G131" i="57"/>
  <c r="F131" i="57"/>
  <c r="E131" i="57"/>
  <c r="D131" i="57"/>
  <c r="N118" i="57"/>
  <c r="I130" i="57"/>
  <c r="H130" i="57"/>
  <c r="G130" i="57"/>
  <c r="F130" i="57"/>
  <c r="E130" i="57"/>
  <c r="D130" i="57"/>
  <c r="N117" i="57"/>
  <c r="I129" i="57"/>
  <c r="H129" i="57"/>
  <c r="G129" i="57"/>
  <c r="F129" i="57"/>
  <c r="E129" i="57"/>
  <c r="D129" i="57"/>
  <c r="N116" i="57"/>
  <c r="I128" i="57"/>
  <c r="H128" i="57"/>
  <c r="G128" i="57"/>
  <c r="F128" i="57"/>
  <c r="E128" i="57"/>
  <c r="D128" i="57"/>
  <c r="N115" i="57"/>
  <c r="I127" i="57"/>
  <c r="H127" i="57"/>
  <c r="G127" i="57"/>
  <c r="F127" i="57"/>
  <c r="E127" i="57"/>
  <c r="D127" i="57"/>
  <c r="N114" i="57"/>
  <c r="I126" i="57"/>
  <c r="H126" i="57"/>
  <c r="G126" i="57"/>
  <c r="F126" i="57"/>
  <c r="E126" i="57"/>
  <c r="D126" i="57"/>
  <c r="N113" i="57"/>
  <c r="I125" i="57"/>
  <c r="H125" i="57"/>
  <c r="G125" i="57"/>
  <c r="F125" i="57"/>
  <c r="E125" i="57"/>
  <c r="D125" i="57"/>
  <c r="N112" i="57"/>
  <c r="I124" i="57"/>
  <c r="H124" i="57"/>
  <c r="G124" i="57"/>
  <c r="F124" i="57"/>
  <c r="E124" i="57"/>
  <c r="D124" i="57"/>
  <c r="N111" i="57"/>
  <c r="I123" i="57"/>
  <c r="H123" i="57"/>
  <c r="G123" i="57"/>
  <c r="F123" i="57"/>
  <c r="E123" i="57"/>
  <c r="D123" i="57"/>
  <c r="I122" i="57"/>
  <c r="H122" i="57"/>
  <c r="G122" i="57"/>
  <c r="F122" i="57"/>
  <c r="E122" i="57"/>
  <c r="D122" i="57"/>
  <c r="N110" i="57"/>
  <c r="I121" i="57"/>
  <c r="H121" i="57"/>
  <c r="G121" i="57"/>
  <c r="F121" i="57"/>
  <c r="E121" i="57"/>
  <c r="D121" i="57"/>
  <c r="N109" i="57"/>
  <c r="I120" i="57"/>
  <c r="H120" i="57"/>
  <c r="G120" i="57"/>
  <c r="F120" i="57"/>
  <c r="E120" i="57"/>
  <c r="D120" i="57"/>
  <c r="N108" i="57"/>
  <c r="I119" i="57"/>
  <c r="H119" i="57"/>
  <c r="G119" i="57"/>
  <c r="F119" i="57"/>
  <c r="E119" i="57"/>
  <c r="D119" i="57"/>
  <c r="N107" i="57"/>
  <c r="I118" i="57"/>
  <c r="H118" i="57"/>
  <c r="G118" i="57"/>
  <c r="F118" i="57"/>
  <c r="E118" i="57"/>
  <c r="D118" i="57"/>
  <c r="N106" i="57"/>
  <c r="I117" i="57"/>
  <c r="H117" i="57"/>
  <c r="G117" i="57"/>
  <c r="F117" i="57"/>
  <c r="E117" i="57"/>
  <c r="D117" i="57"/>
  <c r="N105" i="57"/>
  <c r="I116" i="57"/>
  <c r="H116" i="57"/>
  <c r="G116" i="57"/>
  <c r="F116" i="57"/>
  <c r="E116" i="57"/>
  <c r="D116" i="57"/>
  <c r="N104" i="57"/>
  <c r="I115" i="57"/>
  <c r="H115" i="57"/>
  <c r="G115" i="57"/>
  <c r="F115" i="57"/>
  <c r="E115" i="57"/>
  <c r="D115" i="57"/>
  <c r="N103" i="57"/>
  <c r="I114" i="57"/>
  <c r="H114" i="57"/>
  <c r="G114" i="57"/>
  <c r="F114" i="57"/>
  <c r="E114" i="57"/>
  <c r="D114" i="57"/>
  <c r="N102" i="57"/>
  <c r="I113" i="57"/>
  <c r="H113" i="57"/>
  <c r="G113" i="57"/>
  <c r="F113" i="57"/>
  <c r="E113" i="57"/>
  <c r="D113" i="57"/>
  <c r="N101" i="57"/>
  <c r="I112" i="57"/>
  <c r="H112" i="57"/>
  <c r="G112" i="57"/>
  <c r="F112" i="57"/>
  <c r="E112" i="57"/>
  <c r="D112" i="57"/>
  <c r="N100" i="57"/>
  <c r="I111" i="57"/>
  <c r="H111" i="57"/>
  <c r="G111" i="57"/>
  <c r="F111" i="57"/>
  <c r="E111" i="57"/>
  <c r="D111" i="57"/>
  <c r="N99" i="57"/>
  <c r="I110" i="57"/>
  <c r="H110" i="57"/>
  <c r="G110" i="57"/>
  <c r="F110" i="57"/>
  <c r="E110" i="57"/>
  <c r="D110" i="57"/>
  <c r="N98" i="57"/>
  <c r="I109" i="57"/>
  <c r="H109" i="57"/>
  <c r="G109" i="57"/>
  <c r="F109" i="57"/>
  <c r="E109" i="57"/>
  <c r="D109" i="57"/>
  <c r="N97" i="57"/>
  <c r="I108" i="57"/>
  <c r="H108" i="57"/>
  <c r="G108" i="57"/>
  <c r="F108" i="57"/>
  <c r="E108" i="57"/>
  <c r="D108" i="57"/>
  <c r="N96" i="57"/>
  <c r="I107" i="57"/>
  <c r="H107" i="57"/>
  <c r="G107" i="57"/>
  <c r="F107" i="57"/>
  <c r="E107" i="57"/>
  <c r="D107" i="57"/>
  <c r="N95" i="57"/>
  <c r="I106" i="57"/>
  <c r="H106" i="57"/>
  <c r="G106" i="57"/>
  <c r="F106" i="57"/>
  <c r="E106" i="57"/>
  <c r="D106" i="57"/>
  <c r="N94" i="57"/>
  <c r="I105" i="57"/>
  <c r="H105" i="57"/>
  <c r="G105" i="57"/>
  <c r="F105" i="57"/>
  <c r="E105" i="57"/>
  <c r="D105" i="57"/>
  <c r="N93" i="57"/>
  <c r="I104" i="57"/>
  <c r="H104" i="57"/>
  <c r="G104" i="57"/>
  <c r="F104" i="57"/>
  <c r="E104" i="57"/>
  <c r="D104" i="57"/>
  <c r="N92" i="57"/>
  <c r="I103" i="57"/>
  <c r="H103" i="57"/>
  <c r="G103" i="57"/>
  <c r="F103" i="57"/>
  <c r="E103" i="57"/>
  <c r="D103" i="57"/>
  <c r="N91" i="57"/>
  <c r="I102" i="57"/>
  <c r="H102" i="57"/>
  <c r="G102" i="57"/>
  <c r="F102" i="57"/>
  <c r="E102" i="57"/>
  <c r="D102" i="57"/>
  <c r="N90" i="57"/>
  <c r="I101" i="57"/>
  <c r="H101" i="57"/>
  <c r="G101" i="57"/>
  <c r="F101" i="57"/>
  <c r="E101" i="57"/>
  <c r="D101" i="57"/>
  <c r="N89" i="57"/>
  <c r="I100" i="57"/>
  <c r="H100" i="57"/>
  <c r="G100" i="57"/>
  <c r="F100" i="57"/>
  <c r="E100" i="57"/>
  <c r="D100" i="57"/>
  <c r="N88" i="57"/>
  <c r="I99" i="57"/>
  <c r="H99" i="57"/>
  <c r="G99" i="57"/>
  <c r="F99" i="57"/>
  <c r="E99" i="57"/>
  <c r="D99" i="57"/>
  <c r="N87" i="57"/>
  <c r="I98" i="57"/>
  <c r="H98" i="57"/>
  <c r="G98" i="57"/>
  <c r="F98" i="57"/>
  <c r="E98" i="57"/>
  <c r="D98" i="57"/>
  <c r="N86" i="57"/>
  <c r="I97" i="57"/>
  <c r="H97" i="57"/>
  <c r="G97" i="57"/>
  <c r="F97" i="57"/>
  <c r="E97" i="57"/>
  <c r="D97" i="57"/>
  <c r="N85" i="57"/>
  <c r="I96" i="57"/>
  <c r="H96" i="57"/>
  <c r="G96" i="57"/>
  <c r="F96" i="57"/>
  <c r="E96" i="57"/>
  <c r="D96" i="57"/>
  <c r="N84" i="57"/>
  <c r="I95" i="57"/>
  <c r="H95" i="57"/>
  <c r="G95" i="57"/>
  <c r="F95" i="57"/>
  <c r="E95" i="57"/>
  <c r="D95" i="57"/>
  <c r="N83" i="57"/>
  <c r="I94" i="57"/>
  <c r="H94" i="57"/>
  <c r="G94" i="57"/>
  <c r="F94" i="57"/>
  <c r="E94" i="57"/>
  <c r="D94" i="57"/>
  <c r="N82" i="57"/>
  <c r="I93" i="57"/>
  <c r="H93" i="57"/>
  <c r="G93" i="57"/>
  <c r="F93" i="57"/>
  <c r="E93" i="57"/>
  <c r="D93" i="57"/>
  <c r="N81" i="57"/>
  <c r="I92" i="57"/>
  <c r="H92" i="57"/>
  <c r="G92" i="57"/>
  <c r="F92" i="57"/>
  <c r="E92" i="57"/>
  <c r="D92" i="57"/>
  <c r="N80" i="57"/>
  <c r="I91" i="57"/>
  <c r="H91" i="57"/>
  <c r="G91" i="57"/>
  <c r="F91" i="57"/>
  <c r="E91" i="57"/>
  <c r="D91" i="57"/>
  <c r="N79" i="57"/>
  <c r="I90" i="57"/>
  <c r="H90" i="57"/>
  <c r="G90" i="57"/>
  <c r="F90" i="57"/>
  <c r="E90" i="57"/>
  <c r="D90" i="57"/>
  <c r="N78" i="57"/>
  <c r="I89" i="57"/>
  <c r="H89" i="57"/>
  <c r="G89" i="57"/>
  <c r="F89" i="57"/>
  <c r="E89" i="57"/>
  <c r="D89" i="57"/>
  <c r="N77" i="57"/>
  <c r="I88" i="57"/>
  <c r="H88" i="57"/>
  <c r="G88" i="57"/>
  <c r="F88" i="57"/>
  <c r="E88" i="57"/>
  <c r="D88" i="57"/>
  <c r="N76" i="57"/>
  <c r="I87" i="57"/>
  <c r="H87" i="57"/>
  <c r="G87" i="57"/>
  <c r="F87" i="57"/>
  <c r="E87" i="57"/>
  <c r="D87" i="57"/>
  <c r="N75" i="57"/>
  <c r="I86" i="57"/>
  <c r="H86" i="57"/>
  <c r="G86" i="57"/>
  <c r="F86" i="57"/>
  <c r="E86" i="57"/>
  <c r="D86" i="57"/>
  <c r="N74" i="57"/>
  <c r="I85" i="57"/>
  <c r="H85" i="57"/>
  <c r="G85" i="57"/>
  <c r="F85" i="57"/>
  <c r="E85" i="57"/>
  <c r="D85" i="57"/>
  <c r="N73" i="57"/>
  <c r="I84" i="57"/>
  <c r="H84" i="57"/>
  <c r="G84" i="57"/>
  <c r="F84" i="57"/>
  <c r="E84" i="57"/>
  <c r="D84" i="57"/>
  <c r="N72" i="57"/>
  <c r="I83" i="57"/>
  <c r="H83" i="57"/>
  <c r="G83" i="57"/>
  <c r="F83" i="57"/>
  <c r="E83" i="57"/>
  <c r="D83" i="57"/>
  <c r="I82" i="57"/>
  <c r="H82" i="57"/>
  <c r="G82" i="57"/>
  <c r="F82" i="57"/>
  <c r="E82" i="57"/>
  <c r="D82" i="57"/>
  <c r="I81" i="57"/>
  <c r="H81" i="57"/>
  <c r="G81" i="57"/>
  <c r="F81" i="57"/>
  <c r="E81" i="57"/>
  <c r="D81" i="57"/>
  <c r="N71" i="57"/>
  <c r="I80" i="57"/>
  <c r="H80" i="57"/>
  <c r="G80" i="57"/>
  <c r="F80" i="57"/>
  <c r="E80" i="57"/>
  <c r="D80" i="57"/>
  <c r="N70" i="57"/>
  <c r="I79" i="57"/>
  <c r="H79" i="57"/>
  <c r="G79" i="57"/>
  <c r="F79" i="57"/>
  <c r="E79" i="57"/>
  <c r="D79" i="57"/>
  <c r="N69" i="57"/>
  <c r="I78" i="57"/>
  <c r="H78" i="57"/>
  <c r="G78" i="57"/>
  <c r="F78" i="57"/>
  <c r="E78" i="57"/>
  <c r="D78" i="57"/>
  <c r="I77" i="57"/>
  <c r="H77" i="57"/>
  <c r="G77" i="57"/>
  <c r="F77" i="57"/>
  <c r="E77" i="57"/>
  <c r="D77" i="57"/>
  <c r="N68" i="57"/>
  <c r="I76" i="57"/>
  <c r="H76" i="57"/>
  <c r="G76" i="57"/>
  <c r="F76" i="57"/>
  <c r="E76" i="57"/>
  <c r="D76" i="57"/>
  <c r="N67" i="57"/>
  <c r="I75" i="57"/>
  <c r="H75" i="57"/>
  <c r="G75" i="57"/>
  <c r="F75" i="57"/>
  <c r="E75" i="57"/>
  <c r="D75" i="57"/>
  <c r="N66" i="57"/>
  <c r="I74" i="57"/>
  <c r="H74" i="57"/>
  <c r="G74" i="57"/>
  <c r="F74" i="57"/>
  <c r="E74" i="57"/>
  <c r="D74" i="57"/>
  <c r="N65" i="57"/>
  <c r="I73" i="57"/>
  <c r="H73" i="57"/>
  <c r="G73" i="57"/>
  <c r="F73" i="57"/>
  <c r="E73" i="57"/>
  <c r="D73" i="57"/>
  <c r="N64" i="57"/>
  <c r="I72" i="57"/>
  <c r="H72" i="57"/>
  <c r="G72" i="57"/>
  <c r="F72" i="57"/>
  <c r="E72" i="57"/>
  <c r="D72" i="57"/>
  <c r="N63" i="57"/>
  <c r="I71" i="57"/>
  <c r="H71" i="57"/>
  <c r="G71" i="57"/>
  <c r="F71" i="57"/>
  <c r="E71" i="57"/>
  <c r="D71" i="57"/>
  <c r="N62" i="57"/>
  <c r="I70" i="57"/>
  <c r="H70" i="57"/>
  <c r="G70" i="57"/>
  <c r="F70" i="57"/>
  <c r="E70" i="57"/>
  <c r="D70" i="57"/>
  <c r="I69" i="57"/>
  <c r="H69" i="57"/>
  <c r="G69" i="57"/>
  <c r="F69" i="57"/>
  <c r="E69" i="57"/>
  <c r="D69" i="57"/>
  <c r="N61" i="57"/>
  <c r="I68" i="57"/>
  <c r="H68" i="57"/>
  <c r="G68" i="57"/>
  <c r="F68" i="57"/>
  <c r="E68" i="57"/>
  <c r="D68" i="57"/>
  <c r="N60" i="57"/>
  <c r="I67" i="57"/>
  <c r="H67" i="57"/>
  <c r="G67" i="57"/>
  <c r="F67" i="57"/>
  <c r="E67" i="57"/>
  <c r="D67" i="57"/>
  <c r="N59" i="57"/>
  <c r="I66" i="57"/>
  <c r="H66" i="57"/>
  <c r="G66" i="57"/>
  <c r="F66" i="57"/>
  <c r="E66" i="57"/>
  <c r="D66" i="57"/>
  <c r="I65" i="57"/>
  <c r="H65" i="57"/>
  <c r="G65" i="57"/>
  <c r="F65" i="57"/>
  <c r="E65" i="57"/>
  <c r="D65" i="57"/>
  <c r="N58" i="57"/>
  <c r="I64" i="57"/>
  <c r="H64" i="57"/>
  <c r="G64" i="57"/>
  <c r="F64" i="57"/>
  <c r="E64" i="57"/>
  <c r="D64" i="57"/>
  <c r="N57" i="57"/>
  <c r="I63" i="57"/>
  <c r="H63" i="57"/>
  <c r="G63" i="57"/>
  <c r="F63" i="57"/>
  <c r="E63" i="57"/>
  <c r="D63" i="57"/>
  <c r="I62" i="57"/>
  <c r="H62" i="57"/>
  <c r="G62" i="57"/>
  <c r="F62" i="57"/>
  <c r="E62" i="57"/>
  <c r="D62" i="57"/>
  <c r="N56" i="57"/>
  <c r="I61" i="57"/>
  <c r="H61" i="57"/>
  <c r="G61" i="57"/>
  <c r="F61" i="57"/>
  <c r="E61" i="57"/>
  <c r="D61" i="57"/>
  <c r="N55" i="57"/>
  <c r="I60" i="57"/>
  <c r="H60" i="57"/>
  <c r="G60" i="57"/>
  <c r="F60" i="57"/>
  <c r="E60" i="57"/>
  <c r="D60" i="57"/>
  <c r="I59" i="57"/>
  <c r="H59" i="57"/>
  <c r="G59" i="57"/>
  <c r="F59" i="57"/>
  <c r="E59" i="57"/>
  <c r="D59" i="57"/>
  <c r="I58" i="57"/>
  <c r="H58" i="57"/>
  <c r="G58" i="57"/>
  <c r="F58" i="57"/>
  <c r="E58" i="57"/>
  <c r="D58" i="57"/>
  <c r="N54" i="57"/>
  <c r="I57" i="57"/>
  <c r="H57" i="57"/>
  <c r="G57" i="57"/>
  <c r="F57" i="57"/>
  <c r="E57" i="57"/>
  <c r="D57" i="57"/>
  <c r="N53" i="57"/>
  <c r="I56" i="57"/>
  <c r="H56" i="57"/>
  <c r="G56" i="57"/>
  <c r="F56" i="57"/>
  <c r="E56" i="57"/>
  <c r="D56" i="57"/>
  <c r="N52" i="57"/>
  <c r="I55" i="57"/>
  <c r="H55" i="57"/>
  <c r="G55" i="57"/>
  <c r="F55" i="57"/>
  <c r="E55" i="57"/>
  <c r="D55" i="57"/>
  <c r="N51" i="57"/>
  <c r="I54" i="57"/>
  <c r="H54" i="57"/>
  <c r="G54" i="57"/>
  <c r="F54" i="57"/>
  <c r="E54" i="57"/>
  <c r="D54" i="57"/>
  <c r="I53" i="57"/>
  <c r="H53" i="57"/>
  <c r="G53" i="57"/>
  <c r="F53" i="57"/>
  <c r="E53" i="57"/>
  <c r="D53" i="57"/>
  <c r="N50" i="57"/>
  <c r="I52" i="57"/>
  <c r="H52" i="57"/>
  <c r="G52" i="57"/>
  <c r="F52" i="57"/>
  <c r="E52" i="57"/>
  <c r="D52" i="57"/>
  <c r="N49" i="57"/>
  <c r="I51" i="57"/>
  <c r="H51" i="57"/>
  <c r="G51" i="57"/>
  <c r="F51" i="57"/>
  <c r="E51" i="57"/>
  <c r="D51" i="57"/>
  <c r="N48" i="57"/>
  <c r="I50" i="57"/>
  <c r="H50" i="57"/>
  <c r="G50" i="57"/>
  <c r="F50" i="57"/>
  <c r="E50" i="57"/>
  <c r="D50" i="57"/>
  <c r="N47" i="57"/>
  <c r="I49" i="57"/>
  <c r="H49" i="57"/>
  <c r="G49" i="57"/>
  <c r="F49" i="57"/>
  <c r="E49" i="57"/>
  <c r="D49" i="57"/>
  <c r="I48" i="57"/>
  <c r="H48" i="57"/>
  <c r="G48" i="57"/>
  <c r="F48" i="57"/>
  <c r="E48" i="57"/>
  <c r="D48" i="57"/>
  <c r="N46" i="57"/>
  <c r="I47" i="57"/>
  <c r="H47" i="57"/>
  <c r="G47" i="57"/>
  <c r="F47" i="57"/>
  <c r="E47" i="57"/>
  <c r="D47" i="57"/>
  <c r="N45" i="57"/>
  <c r="I46" i="57"/>
  <c r="H46" i="57"/>
  <c r="G46" i="57"/>
  <c r="F46" i="57"/>
  <c r="E46" i="57"/>
  <c r="D46" i="57"/>
  <c r="N44" i="57"/>
  <c r="I45" i="57"/>
  <c r="H45" i="57"/>
  <c r="G45" i="57"/>
  <c r="F45" i="57"/>
  <c r="E45" i="57"/>
  <c r="D45" i="57"/>
  <c r="N43" i="57"/>
  <c r="I44" i="57"/>
  <c r="H44" i="57"/>
  <c r="G44" i="57"/>
  <c r="F44" i="57"/>
  <c r="E44" i="57"/>
  <c r="D44" i="57"/>
  <c r="N42" i="57"/>
  <c r="I43" i="57"/>
  <c r="H43" i="57"/>
  <c r="G43" i="57"/>
  <c r="F43" i="57"/>
  <c r="E43" i="57"/>
  <c r="D43" i="57"/>
  <c r="N41" i="57"/>
  <c r="I42" i="57"/>
  <c r="H42" i="57"/>
  <c r="G42" i="57"/>
  <c r="F42" i="57"/>
  <c r="E42" i="57"/>
  <c r="D42" i="57"/>
  <c r="N40" i="57"/>
  <c r="I41" i="57"/>
  <c r="H41" i="57"/>
  <c r="G41" i="57"/>
  <c r="F41" i="57"/>
  <c r="E41" i="57"/>
  <c r="D41" i="57"/>
  <c r="N39" i="57"/>
  <c r="I40" i="57"/>
  <c r="H40" i="57"/>
  <c r="G40" i="57"/>
  <c r="F40" i="57"/>
  <c r="E40" i="57"/>
  <c r="D40" i="57"/>
  <c r="N38" i="57"/>
  <c r="I39" i="57"/>
  <c r="H39" i="57"/>
  <c r="G39" i="57"/>
  <c r="F39" i="57"/>
  <c r="E39" i="57"/>
  <c r="D39" i="57"/>
  <c r="N37" i="57"/>
  <c r="I38" i="57"/>
  <c r="H38" i="57"/>
  <c r="G38" i="57"/>
  <c r="F38" i="57"/>
  <c r="E38" i="57"/>
  <c r="D38" i="57"/>
  <c r="N36" i="57"/>
  <c r="I37" i="57"/>
  <c r="H37" i="57"/>
  <c r="G37" i="57"/>
  <c r="F37" i="57"/>
  <c r="E37" i="57"/>
  <c r="D37" i="57"/>
  <c r="N35" i="57"/>
  <c r="I36" i="57"/>
  <c r="H36" i="57"/>
  <c r="G36" i="57"/>
  <c r="F36" i="57"/>
  <c r="E36" i="57"/>
  <c r="D36" i="57"/>
  <c r="N34" i="57"/>
  <c r="I35" i="57"/>
  <c r="H35" i="57"/>
  <c r="G35" i="57"/>
  <c r="F35" i="57"/>
  <c r="E35" i="57"/>
  <c r="D35" i="57"/>
  <c r="N33" i="57"/>
  <c r="I34" i="57"/>
  <c r="H34" i="57"/>
  <c r="G34" i="57"/>
  <c r="F34" i="57"/>
  <c r="E34" i="57"/>
  <c r="D34" i="57"/>
  <c r="N32" i="57"/>
  <c r="I33" i="57"/>
  <c r="H33" i="57"/>
  <c r="G33" i="57"/>
  <c r="F33" i="57"/>
  <c r="E33" i="57"/>
  <c r="D33" i="57"/>
  <c r="N31" i="57"/>
  <c r="I32" i="57"/>
  <c r="H32" i="57"/>
  <c r="G32" i="57"/>
  <c r="F32" i="57"/>
  <c r="E32" i="57"/>
  <c r="D32" i="57"/>
  <c r="N30" i="57"/>
  <c r="I31" i="57"/>
  <c r="H31" i="57"/>
  <c r="G31" i="57"/>
  <c r="F31" i="57"/>
  <c r="E31" i="57"/>
  <c r="D31" i="57"/>
  <c r="N29" i="57"/>
  <c r="I30" i="57"/>
  <c r="H30" i="57"/>
  <c r="G30" i="57"/>
  <c r="F30" i="57"/>
  <c r="E30" i="57"/>
  <c r="D30" i="57"/>
  <c r="N28" i="57"/>
  <c r="I29" i="57"/>
  <c r="H29" i="57"/>
  <c r="G29" i="57"/>
  <c r="F29" i="57"/>
  <c r="E29" i="57"/>
  <c r="D29" i="57"/>
  <c r="N27" i="57"/>
  <c r="I28" i="57"/>
  <c r="H28" i="57"/>
  <c r="G28" i="57"/>
  <c r="F28" i="57"/>
  <c r="E28" i="57"/>
  <c r="D28" i="57"/>
  <c r="N26" i="57"/>
  <c r="I27" i="57"/>
  <c r="H27" i="57"/>
  <c r="G27" i="57"/>
  <c r="F27" i="57"/>
  <c r="E27" i="57"/>
  <c r="D27" i="57"/>
  <c r="N25" i="57"/>
  <c r="I26" i="57"/>
  <c r="H26" i="57"/>
  <c r="G26" i="57"/>
  <c r="F26" i="57"/>
  <c r="E26" i="57"/>
  <c r="D26" i="57"/>
  <c r="N24" i="57"/>
  <c r="I25" i="57"/>
  <c r="H25" i="57"/>
  <c r="G25" i="57"/>
  <c r="F25" i="57"/>
  <c r="E25" i="57"/>
  <c r="D25" i="57"/>
  <c r="N23" i="57"/>
  <c r="I24" i="57"/>
  <c r="H24" i="57"/>
  <c r="G24" i="57"/>
  <c r="F24" i="57"/>
  <c r="E24" i="57"/>
  <c r="D24" i="57"/>
  <c r="N22" i="57"/>
  <c r="I23" i="57"/>
  <c r="H23" i="57"/>
  <c r="G23" i="57"/>
  <c r="F23" i="57"/>
  <c r="E23" i="57"/>
  <c r="D23" i="57"/>
  <c r="N21" i="57"/>
  <c r="I22" i="57"/>
  <c r="H22" i="57"/>
  <c r="G22" i="57"/>
  <c r="F22" i="57"/>
  <c r="E22" i="57"/>
  <c r="D22" i="57"/>
  <c r="N20" i="57"/>
  <c r="I21" i="57"/>
  <c r="H21" i="57"/>
  <c r="G21" i="57"/>
  <c r="F21" i="57"/>
  <c r="E21" i="57"/>
  <c r="D21" i="57"/>
  <c r="N19" i="57"/>
  <c r="I20" i="57"/>
  <c r="H20" i="57"/>
  <c r="G20" i="57"/>
  <c r="F20" i="57"/>
  <c r="E20" i="57"/>
  <c r="D20" i="57"/>
  <c r="N18" i="57"/>
  <c r="I19" i="57"/>
  <c r="H19" i="57"/>
  <c r="G19" i="57"/>
  <c r="F19" i="57"/>
  <c r="E19" i="57"/>
  <c r="D19" i="57"/>
  <c r="N17" i="57"/>
  <c r="I18" i="57"/>
  <c r="H18" i="57"/>
  <c r="G18" i="57"/>
  <c r="F18" i="57"/>
  <c r="E18" i="57"/>
  <c r="D18" i="57"/>
  <c r="N16" i="57"/>
  <c r="I17" i="57"/>
  <c r="H17" i="57"/>
  <c r="G17" i="57"/>
  <c r="F17" i="57"/>
  <c r="E17" i="57"/>
  <c r="D17" i="57"/>
  <c r="N15" i="57"/>
  <c r="I16" i="57"/>
  <c r="H16" i="57"/>
  <c r="G16" i="57"/>
  <c r="F16" i="57"/>
  <c r="E16" i="57"/>
  <c r="D16" i="57"/>
  <c r="N14" i="57"/>
  <c r="I15" i="57"/>
  <c r="H15" i="57"/>
  <c r="G15" i="57"/>
  <c r="F15" i="57"/>
  <c r="E15" i="57"/>
  <c r="D15" i="57"/>
  <c r="N13" i="57"/>
  <c r="I14" i="57"/>
  <c r="H14" i="57"/>
  <c r="G14" i="57"/>
  <c r="F14" i="57"/>
  <c r="E14" i="57"/>
  <c r="D14" i="57"/>
  <c r="N12" i="57"/>
  <c r="I13" i="57"/>
  <c r="H13" i="57"/>
  <c r="G13" i="57"/>
  <c r="F13" i="57"/>
  <c r="E13" i="57"/>
  <c r="D13" i="57"/>
  <c r="N11" i="57"/>
  <c r="I12" i="57"/>
  <c r="H12" i="57"/>
  <c r="G12" i="57"/>
  <c r="F12" i="57"/>
  <c r="E12" i="57"/>
  <c r="D12" i="57"/>
  <c r="N10" i="57"/>
  <c r="I11" i="57"/>
  <c r="H11" i="57"/>
  <c r="G11" i="57"/>
  <c r="F11" i="57"/>
  <c r="E11" i="57"/>
  <c r="D11" i="57"/>
  <c r="N9" i="57"/>
  <c r="I10" i="57"/>
  <c r="H10" i="57"/>
  <c r="G10" i="57"/>
  <c r="F10" i="57"/>
  <c r="E10" i="57"/>
  <c r="D10" i="57"/>
  <c r="N8" i="57"/>
  <c r="I9" i="57"/>
  <c r="H9" i="57"/>
  <c r="G9" i="57"/>
  <c r="F9" i="57"/>
  <c r="E9" i="57"/>
  <c r="D9" i="57"/>
  <c r="N7" i="57"/>
  <c r="I8" i="57"/>
  <c r="H8" i="57"/>
  <c r="G8" i="57"/>
  <c r="F8" i="57"/>
  <c r="E8" i="57"/>
  <c r="D8" i="57"/>
  <c r="N6" i="57"/>
  <c r="I7" i="57"/>
  <c r="H7" i="57"/>
  <c r="G7" i="57"/>
  <c r="F7" i="57"/>
  <c r="E7" i="57"/>
  <c r="D7" i="57"/>
  <c r="N5" i="57"/>
  <c r="I6" i="57"/>
  <c r="H6" i="57"/>
  <c r="G6" i="57"/>
  <c r="F6" i="57"/>
  <c r="E6" i="57"/>
  <c r="D6" i="57"/>
  <c r="N4" i="57"/>
  <c r="I5" i="57"/>
  <c r="H5" i="57"/>
  <c r="G5" i="57"/>
  <c r="F5" i="57"/>
  <c r="E5" i="57"/>
  <c r="D5" i="57"/>
  <c r="N3" i="57"/>
  <c r="I4" i="57"/>
  <c r="H4" i="57"/>
  <c r="G4" i="57"/>
  <c r="F4" i="57"/>
  <c r="E4" i="57"/>
  <c r="D4" i="57"/>
  <c r="I3" i="57"/>
  <c r="H3" i="57"/>
  <c r="G3" i="57"/>
  <c r="F3" i="57"/>
  <c r="E3" i="57"/>
  <c r="D3" i="57"/>
  <c r="I2" i="57"/>
  <c r="H2" i="57"/>
  <c r="G2" i="57"/>
  <c r="F2" i="57"/>
  <c r="E2" i="57"/>
  <c r="D2" i="57"/>
  <c r="C100" i="50"/>
  <c r="C99" i="50"/>
  <c r="C88" i="50"/>
  <c r="C87" i="50"/>
  <c r="F86" i="50"/>
  <c r="F87" i="50" s="1"/>
  <c r="E86" i="50"/>
  <c r="F82" i="50"/>
  <c r="E82" i="50"/>
  <c r="C77" i="50"/>
  <c r="C76" i="50"/>
  <c r="F75" i="50"/>
  <c r="E75" i="50"/>
  <c r="E76" i="50" s="1"/>
  <c r="C64" i="50"/>
  <c r="F62" i="50"/>
  <c r="E62" i="50"/>
  <c r="F63" i="50"/>
  <c r="C47" i="50"/>
  <c r="Z43" i="50"/>
  <c r="Y43" i="50"/>
  <c r="F36" i="50"/>
  <c r="F39" i="50" s="1"/>
  <c r="F29" i="50"/>
  <c r="F25" i="50"/>
  <c r="D6" i="50"/>
  <c r="L103" i="56"/>
  <c r="J103" i="56"/>
  <c r="I103" i="56"/>
  <c r="F103" i="56"/>
  <c r="L102" i="56"/>
  <c r="J102" i="56"/>
  <c r="I102" i="56"/>
  <c r="F102" i="56"/>
  <c r="L101" i="56"/>
  <c r="J101" i="56"/>
  <c r="I101" i="56"/>
  <c r="F101" i="56"/>
  <c r="L100" i="56"/>
  <c r="J100" i="56"/>
  <c r="I100" i="56"/>
  <c r="F100" i="56"/>
  <c r="L99" i="56"/>
  <c r="J99" i="56"/>
  <c r="I99" i="56"/>
  <c r="F99" i="56"/>
  <c r="L98" i="56"/>
  <c r="J98" i="56"/>
  <c r="I98" i="56"/>
  <c r="F98" i="56"/>
  <c r="L97" i="56"/>
  <c r="J97" i="56"/>
  <c r="I97" i="56"/>
  <c r="F97" i="56"/>
  <c r="L96" i="56"/>
  <c r="J96" i="56"/>
  <c r="I96" i="56"/>
  <c r="F96" i="56"/>
  <c r="L95" i="56"/>
  <c r="J95" i="56"/>
  <c r="I95" i="56"/>
  <c r="F95" i="56"/>
  <c r="L94" i="56"/>
  <c r="J94" i="56"/>
  <c r="I94" i="56"/>
  <c r="F94" i="56"/>
  <c r="L93" i="56"/>
  <c r="J93" i="56"/>
  <c r="I93" i="56"/>
  <c r="F93" i="56"/>
  <c r="L92" i="56"/>
  <c r="J92" i="56"/>
  <c r="I92" i="56"/>
  <c r="F92" i="56"/>
  <c r="L91" i="56"/>
  <c r="J91" i="56"/>
  <c r="I91" i="56"/>
  <c r="F91" i="56"/>
  <c r="L90" i="56"/>
  <c r="J90" i="56"/>
  <c r="I90" i="56"/>
  <c r="F90" i="56"/>
  <c r="L89" i="56"/>
  <c r="J89" i="56"/>
  <c r="I89" i="56"/>
  <c r="F89" i="56"/>
  <c r="L88" i="56"/>
  <c r="J88" i="56"/>
  <c r="I88" i="56"/>
  <c r="F88" i="56"/>
  <c r="L87" i="56"/>
  <c r="J87" i="56"/>
  <c r="I87" i="56"/>
  <c r="F87" i="56"/>
  <c r="L86" i="56"/>
  <c r="J86" i="56"/>
  <c r="I86" i="56"/>
  <c r="F86" i="56"/>
  <c r="L85" i="56"/>
  <c r="J85" i="56"/>
  <c r="I85" i="56"/>
  <c r="F85" i="56"/>
  <c r="L84" i="56"/>
  <c r="J84" i="56"/>
  <c r="I84" i="56"/>
  <c r="F84" i="56"/>
  <c r="L83" i="56"/>
  <c r="J83" i="56"/>
  <c r="I83" i="56"/>
  <c r="F83" i="56"/>
  <c r="L82" i="56"/>
  <c r="J82" i="56"/>
  <c r="I82" i="56"/>
  <c r="F82" i="56"/>
  <c r="L81" i="56"/>
  <c r="J81" i="56"/>
  <c r="I81" i="56"/>
  <c r="F81" i="56"/>
  <c r="L80" i="56"/>
  <c r="J80" i="56"/>
  <c r="I80" i="56"/>
  <c r="F80" i="56"/>
  <c r="L79" i="56"/>
  <c r="J79" i="56"/>
  <c r="I79" i="56"/>
  <c r="F79" i="56"/>
  <c r="L78" i="56"/>
  <c r="J78" i="56"/>
  <c r="I78" i="56"/>
  <c r="F78" i="56"/>
  <c r="L77" i="56"/>
  <c r="J77" i="56"/>
  <c r="I77" i="56"/>
  <c r="F77" i="56"/>
  <c r="L76" i="56"/>
  <c r="J76" i="56"/>
  <c r="I76" i="56"/>
  <c r="F76" i="56"/>
  <c r="L75" i="56"/>
  <c r="J75" i="56"/>
  <c r="I75" i="56"/>
  <c r="F75" i="56"/>
  <c r="L74" i="56"/>
  <c r="J74" i="56"/>
  <c r="I74" i="56"/>
  <c r="F74" i="56"/>
  <c r="L73" i="56"/>
  <c r="J73" i="56"/>
  <c r="I73" i="56"/>
  <c r="F73" i="56"/>
  <c r="L72" i="56"/>
  <c r="J72" i="56"/>
  <c r="I72" i="56"/>
  <c r="F72" i="56"/>
  <c r="L71" i="56"/>
  <c r="J71" i="56"/>
  <c r="I71" i="56"/>
  <c r="F71" i="56"/>
  <c r="L70" i="56"/>
  <c r="J70" i="56"/>
  <c r="I70" i="56"/>
  <c r="F70" i="56"/>
  <c r="L69" i="56"/>
  <c r="J69" i="56"/>
  <c r="I69" i="56"/>
  <c r="F69" i="56"/>
  <c r="L68" i="56"/>
  <c r="J68" i="56"/>
  <c r="I68" i="56"/>
  <c r="F68" i="56"/>
  <c r="L67" i="56"/>
  <c r="J67" i="56"/>
  <c r="I67" i="56"/>
  <c r="F67" i="56"/>
  <c r="L66" i="56"/>
  <c r="J66" i="56"/>
  <c r="I66" i="56"/>
  <c r="F66" i="56"/>
  <c r="L65" i="56"/>
  <c r="J65" i="56"/>
  <c r="I65" i="56"/>
  <c r="F65" i="56"/>
  <c r="L64" i="56"/>
  <c r="J64" i="56"/>
  <c r="I64" i="56"/>
  <c r="F64" i="56"/>
  <c r="L63" i="56"/>
  <c r="J63" i="56"/>
  <c r="I63" i="56"/>
  <c r="F63" i="56"/>
  <c r="L62" i="56"/>
  <c r="J62" i="56"/>
  <c r="I62" i="56"/>
  <c r="F62" i="56"/>
  <c r="L61" i="56"/>
  <c r="J61" i="56"/>
  <c r="I61" i="56"/>
  <c r="F61" i="56"/>
  <c r="L60" i="56"/>
  <c r="J60" i="56"/>
  <c r="I60" i="56"/>
  <c r="F60" i="56"/>
  <c r="L59" i="56"/>
  <c r="J59" i="56"/>
  <c r="I59" i="56"/>
  <c r="F59" i="56"/>
  <c r="L58" i="56"/>
  <c r="J58" i="56"/>
  <c r="I58" i="56"/>
  <c r="F58" i="56"/>
  <c r="L57" i="56"/>
  <c r="J57" i="56"/>
  <c r="I57" i="56"/>
  <c r="F57" i="56"/>
  <c r="L56" i="56"/>
  <c r="J56" i="56"/>
  <c r="I56" i="56"/>
  <c r="F56" i="56"/>
  <c r="L55" i="56"/>
  <c r="J55" i="56"/>
  <c r="I55" i="56"/>
  <c r="F55" i="56"/>
  <c r="L54" i="56"/>
  <c r="J54" i="56"/>
  <c r="I54" i="56"/>
  <c r="F54" i="56"/>
  <c r="L53" i="56"/>
  <c r="J53" i="56"/>
  <c r="I53" i="56"/>
  <c r="F53" i="56"/>
  <c r="L52" i="56"/>
  <c r="J52" i="56"/>
  <c r="I52" i="56"/>
  <c r="F52" i="56"/>
  <c r="L51" i="56"/>
  <c r="J51" i="56"/>
  <c r="I51" i="56"/>
  <c r="F51" i="56"/>
  <c r="L50" i="56"/>
  <c r="J50" i="56"/>
  <c r="I50" i="56"/>
  <c r="F50" i="56"/>
  <c r="L49" i="56"/>
  <c r="J49" i="56"/>
  <c r="I49" i="56"/>
  <c r="F49" i="56"/>
  <c r="L48" i="56"/>
  <c r="J48" i="56"/>
  <c r="I48" i="56"/>
  <c r="F48" i="56"/>
  <c r="L47" i="56"/>
  <c r="J47" i="56"/>
  <c r="I47" i="56"/>
  <c r="F47" i="56"/>
  <c r="L46" i="56"/>
  <c r="J46" i="56"/>
  <c r="I46" i="56"/>
  <c r="F46" i="56"/>
  <c r="L45" i="56"/>
  <c r="J45" i="56"/>
  <c r="I45" i="56"/>
  <c r="F45" i="56"/>
  <c r="D45" i="56"/>
  <c r="C45" i="56"/>
  <c r="L44" i="56"/>
  <c r="J44" i="56"/>
  <c r="I44" i="56"/>
  <c r="F44" i="56"/>
  <c r="D44" i="56"/>
  <c r="C44" i="56"/>
  <c r="L43" i="56"/>
  <c r="J43" i="56"/>
  <c r="I43" i="56"/>
  <c r="F43" i="56"/>
  <c r="D43" i="56"/>
  <c r="C43" i="56"/>
  <c r="L42" i="56"/>
  <c r="J42" i="56"/>
  <c r="I42" i="56"/>
  <c r="F42" i="56"/>
  <c r="D42" i="56"/>
  <c r="C42" i="56"/>
  <c r="L41" i="56"/>
  <c r="J41" i="56"/>
  <c r="I41" i="56"/>
  <c r="F41" i="56"/>
  <c r="D41" i="56"/>
  <c r="C41" i="56"/>
  <c r="L40" i="56"/>
  <c r="J40" i="56"/>
  <c r="I40" i="56"/>
  <c r="F40" i="56"/>
  <c r="D40" i="56"/>
  <c r="C40" i="56"/>
  <c r="L39" i="56"/>
  <c r="J39" i="56"/>
  <c r="I39" i="56"/>
  <c r="F39" i="56"/>
  <c r="D39" i="56"/>
  <c r="C39" i="56"/>
  <c r="L38" i="56"/>
  <c r="J38" i="56"/>
  <c r="I38" i="56"/>
  <c r="F38" i="56"/>
  <c r="D38" i="56"/>
  <c r="C38" i="56"/>
  <c r="L37" i="56"/>
  <c r="J37" i="56"/>
  <c r="I37" i="56"/>
  <c r="F37" i="56"/>
  <c r="D37" i="56"/>
  <c r="C37" i="56"/>
  <c r="L36" i="56"/>
  <c r="J36" i="56"/>
  <c r="I36" i="56"/>
  <c r="F36" i="56"/>
  <c r="D36" i="56"/>
  <c r="C36" i="56"/>
  <c r="L35" i="56"/>
  <c r="J35" i="56"/>
  <c r="I35" i="56"/>
  <c r="F35" i="56"/>
  <c r="D35" i="56"/>
  <c r="C35" i="56"/>
  <c r="L34" i="56"/>
  <c r="J34" i="56"/>
  <c r="I34" i="56"/>
  <c r="F34" i="56"/>
  <c r="D34" i="56"/>
  <c r="C34" i="56"/>
  <c r="L33" i="56"/>
  <c r="J33" i="56"/>
  <c r="I33" i="56"/>
  <c r="F33" i="56"/>
  <c r="D33" i="56"/>
  <c r="C33" i="56"/>
  <c r="L32" i="56"/>
  <c r="J32" i="56"/>
  <c r="I32" i="56"/>
  <c r="F32" i="56"/>
  <c r="D32" i="56"/>
  <c r="C32" i="56"/>
  <c r="L31" i="56"/>
  <c r="J31" i="56"/>
  <c r="I31" i="56"/>
  <c r="F31" i="56"/>
  <c r="D31" i="56"/>
  <c r="C31" i="56"/>
  <c r="L30" i="56"/>
  <c r="J30" i="56"/>
  <c r="I30" i="56"/>
  <c r="F30" i="56"/>
  <c r="D30" i="56"/>
  <c r="C30" i="56"/>
  <c r="L29" i="56"/>
  <c r="J29" i="56"/>
  <c r="I29" i="56"/>
  <c r="F29" i="56"/>
  <c r="D29" i="56"/>
  <c r="C29" i="56"/>
  <c r="L28" i="56"/>
  <c r="J28" i="56"/>
  <c r="I28" i="56"/>
  <c r="F28" i="56"/>
  <c r="D28" i="56"/>
  <c r="C28" i="56"/>
  <c r="L27" i="56"/>
  <c r="J27" i="56"/>
  <c r="I27" i="56"/>
  <c r="F27" i="56"/>
  <c r="D27" i="56"/>
  <c r="C27" i="56"/>
  <c r="L26" i="56"/>
  <c r="J26" i="56"/>
  <c r="I26" i="56"/>
  <c r="F26" i="56"/>
  <c r="D26" i="56"/>
  <c r="C26" i="56"/>
  <c r="L25" i="56"/>
  <c r="J25" i="56"/>
  <c r="I25" i="56"/>
  <c r="F25" i="56"/>
  <c r="D25" i="56"/>
  <c r="C25" i="56"/>
  <c r="L24" i="56"/>
  <c r="J24" i="56"/>
  <c r="I24" i="56"/>
  <c r="F24" i="56"/>
  <c r="D24" i="56"/>
  <c r="C24" i="56"/>
  <c r="L23" i="56"/>
  <c r="J23" i="56"/>
  <c r="I23" i="56"/>
  <c r="F23" i="56"/>
  <c r="D23" i="56"/>
  <c r="C23" i="56"/>
  <c r="L22" i="56"/>
  <c r="J22" i="56"/>
  <c r="I22" i="56"/>
  <c r="F22" i="56"/>
  <c r="D22" i="56"/>
  <c r="C22" i="56"/>
  <c r="L21" i="56"/>
  <c r="J21" i="56"/>
  <c r="I21" i="56"/>
  <c r="F21" i="56"/>
  <c r="D21" i="56"/>
  <c r="C21" i="56"/>
  <c r="L20" i="56"/>
  <c r="J20" i="56"/>
  <c r="I20" i="56"/>
  <c r="F20" i="56"/>
  <c r="D20" i="56"/>
  <c r="C20" i="56"/>
  <c r="L19" i="56"/>
  <c r="J19" i="56"/>
  <c r="I19" i="56"/>
  <c r="F19" i="56"/>
  <c r="D19" i="56"/>
  <c r="C19" i="56"/>
  <c r="L18" i="56"/>
  <c r="J18" i="56"/>
  <c r="I18" i="56"/>
  <c r="F18" i="56"/>
  <c r="D18" i="56"/>
  <c r="C18" i="56"/>
  <c r="L17" i="56"/>
  <c r="J17" i="56"/>
  <c r="I17" i="56"/>
  <c r="F17" i="56"/>
  <c r="D17" i="56"/>
  <c r="C17" i="56"/>
  <c r="L16" i="56"/>
  <c r="J16" i="56"/>
  <c r="I16" i="56"/>
  <c r="F16" i="56"/>
  <c r="D16" i="56"/>
  <c r="C16" i="56"/>
  <c r="L15" i="56"/>
  <c r="J15" i="56"/>
  <c r="I15" i="56"/>
  <c r="F15" i="56"/>
  <c r="D15" i="56"/>
  <c r="C15" i="56"/>
  <c r="L14" i="56"/>
  <c r="J14" i="56"/>
  <c r="I14" i="56"/>
  <c r="F14" i="56"/>
  <c r="D14" i="56"/>
  <c r="C14" i="56"/>
  <c r="L13" i="56"/>
  <c r="J13" i="56"/>
  <c r="I13" i="56"/>
  <c r="F13" i="56"/>
  <c r="D13" i="56"/>
  <c r="C13" i="56"/>
  <c r="L12" i="56"/>
  <c r="J12" i="56"/>
  <c r="I12" i="56"/>
  <c r="F12" i="56"/>
  <c r="D12" i="56"/>
  <c r="C12" i="56"/>
  <c r="L11" i="56"/>
  <c r="J11" i="56"/>
  <c r="I11" i="56"/>
  <c r="F11" i="56"/>
  <c r="D11" i="56"/>
  <c r="C11" i="56"/>
  <c r="L10" i="56"/>
  <c r="J10" i="56"/>
  <c r="I10" i="56"/>
  <c r="F10" i="56"/>
  <c r="D10" i="56"/>
  <c r="C10" i="56"/>
  <c r="L9" i="56"/>
  <c r="J9" i="56"/>
  <c r="I9" i="56"/>
  <c r="F9" i="56"/>
  <c r="D9" i="56"/>
  <c r="C9" i="56"/>
  <c r="L8" i="56"/>
  <c r="J8" i="56"/>
  <c r="I8" i="56"/>
  <c r="F8" i="56"/>
  <c r="D8" i="56"/>
  <c r="C8" i="56"/>
  <c r="L7" i="56"/>
  <c r="J7" i="56"/>
  <c r="I7" i="56"/>
  <c r="F7" i="56"/>
  <c r="D7" i="56"/>
  <c r="C7" i="56"/>
  <c r="L6" i="56"/>
  <c r="J6" i="56"/>
  <c r="I6" i="56"/>
  <c r="F6" i="56"/>
  <c r="D6" i="56"/>
  <c r="C6" i="56"/>
  <c r="L5" i="56"/>
  <c r="J5" i="56"/>
  <c r="I5" i="56"/>
  <c r="F5" i="56"/>
  <c r="D5" i="56"/>
  <c r="C5" i="56"/>
  <c r="F4" i="56"/>
  <c r="D4" i="56"/>
  <c r="C4" i="56"/>
  <c r="F76" i="50"/>
  <c r="N2" i="57"/>
  <c r="Y64" i="50"/>
  <c r="Z51" i="50"/>
  <c r="Y48" i="50"/>
  <c r="Y52" i="50"/>
  <c r="Y55" i="50"/>
  <c r="Y61" i="50"/>
  <c r="Z48" i="50"/>
  <c r="Z52" i="50"/>
  <c r="Z55" i="50"/>
  <c r="Z61" i="50"/>
  <c r="Z54" i="50"/>
  <c r="Y53" i="50"/>
  <c r="Y45" i="50"/>
  <c r="Z53" i="50"/>
  <c r="Z46" i="50"/>
  <c r="Y50" i="50"/>
  <c r="Y63" i="50"/>
  <c r="Y66" i="50"/>
  <c r="Z66" i="50"/>
  <c r="Z47" i="50"/>
  <c r="Y46" i="50"/>
  <c r="Z45" i="50"/>
  <c r="C17" i="50"/>
  <c r="Z50" i="50"/>
  <c r="Z63" i="50"/>
  <c r="Y47" i="50"/>
  <c r="Y51" i="50"/>
  <c r="Y54" i="50"/>
  <c r="Z59" i="50"/>
  <c r="Z57" i="50"/>
  <c r="Y57" i="50"/>
  <c r="Y59" i="50"/>
  <c r="Z60" i="50"/>
  <c r="Z49" i="50"/>
  <c r="Z64" i="50"/>
  <c r="Z58" i="50"/>
  <c r="Z44" i="50"/>
  <c r="Z56" i="50"/>
  <c r="Y65" i="50"/>
  <c r="Y58" i="50"/>
  <c r="Y56" i="50"/>
  <c r="Y44" i="50"/>
  <c r="Z65" i="50"/>
  <c r="Y49" i="50"/>
  <c r="Y60" i="50"/>
  <c r="Y62" i="50"/>
  <c r="Z62" i="50"/>
  <c r="G110" i="50" l="1"/>
  <c r="J109" i="50"/>
  <c r="I109" i="50"/>
  <c r="E87" i="50"/>
  <c r="J87" i="50"/>
  <c r="I87" i="50"/>
  <c r="G88" i="50"/>
  <c r="J76" i="50"/>
  <c r="I76" i="50"/>
  <c r="G77" i="50"/>
  <c r="G64" i="50"/>
  <c r="J63" i="50"/>
  <c r="I63" i="50"/>
  <c r="F45" i="50"/>
  <c r="C51" i="50" s="1"/>
  <c r="F30" i="50"/>
  <c r="E12" i="50"/>
  <c r="E13" i="50" s="1"/>
  <c r="F95" i="50" s="1"/>
  <c r="F99" i="50" s="1"/>
  <c r="H109" i="50"/>
  <c r="H63" i="50"/>
  <c r="H76" i="50"/>
  <c r="H99" i="50"/>
  <c r="H87" i="50"/>
  <c r="D12" i="50"/>
  <c r="D13" i="50" s="1"/>
  <c r="E95" i="50" s="1"/>
  <c r="E99" i="50" s="1"/>
  <c r="K64" i="50"/>
  <c r="J99" i="50" l="1"/>
  <c r="I99" i="50"/>
  <c r="G100" i="50"/>
  <c r="G112" i="50" s="1"/>
  <c r="C114" i="5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<sst xmlns="http://schemas.openxmlformats.org/spreadsheetml/2006/main" count="4084" uniqueCount="2860">
  <si>
    <t>I</t>
  </si>
  <si>
    <t>D</t>
  </si>
  <si>
    <t>M</t>
  </si>
  <si>
    <t>E</t>
  </si>
  <si>
    <t>Voce</t>
  </si>
  <si>
    <t>SETTORE</t>
  </si>
  <si>
    <t>A</t>
  </si>
  <si>
    <t>B</t>
  </si>
  <si>
    <t>C</t>
  </si>
  <si>
    <t>F</t>
  </si>
  <si>
    <t>G</t>
  </si>
  <si>
    <t>H</t>
  </si>
  <si>
    <t>CODICE</t>
  </si>
  <si>
    <t>DESCRIZIONE</t>
  </si>
  <si>
    <t>SP01</t>
  </si>
  <si>
    <t>Crediti verso soci per versamenti ancora dovuti</t>
  </si>
  <si>
    <t>SP02</t>
  </si>
  <si>
    <t>Totale immobilizzazioni immateriali</t>
  </si>
  <si>
    <t>SP03</t>
  </si>
  <si>
    <t>Totale immobilizzazioni materiali</t>
  </si>
  <si>
    <t>SP04</t>
  </si>
  <si>
    <t>Totale immobilizzazioni finanziarie</t>
  </si>
  <si>
    <t>SP05</t>
  </si>
  <si>
    <t>Totale Immobilizzazioni</t>
  </si>
  <si>
    <t>SP06</t>
  </si>
  <si>
    <t>Totale rimanenze</t>
  </si>
  <si>
    <t>SP07</t>
  </si>
  <si>
    <t>Crediti esigibili entro l'esercizio successivo</t>
  </si>
  <si>
    <t>SP08</t>
  </si>
  <si>
    <t>Crediti esigibili oltre l'esercizio successivo</t>
  </si>
  <si>
    <t>SP09</t>
  </si>
  <si>
    <t>Totale Crediti</t>
  </si>
  <si>
    <t>SP10</t>
  </si>
  <si>
    <t>Attività finanziarie che non costituiscono immobilizzazioni</t>
  </si>
  <si>
    <t>SP11</t>
  </si>
  <si>
    <t>Disponibilità liquide</t>
  </si>
  <si>
    <t>SP12</t>
  </si>
  <si>
    <t>Totale attivo circolante</t>
  </si>
  <si>
    <t>SP13</t>
  </si>
  <si>
    <t>Totale ratei e risconti</t>
  </si>
  <si>
    <t>SP14</t>
  </si>
  <si>
    <t>Totale Attivo</t>
  </si>
  <si>
    <t>SP15</t>
  </si>
  <si>
    <t>Patrimonio netto</t>
  </si>
  <si>
    <t>SP16</t>
  </si>
  <si>
    <t>Di cui Utile (Perdita) di esercizio</t>
  </si>
  <si>
    <t>SP17</t>
  </si>
  <si>
    <t>Totale fondi per rischi e oneri</t>
  </si>
  <si>
    <t>SP18</t>
  </si>
  <si>
    <t>SP19</t>
  </si>
  <si>
    <t>Debiti esigibili entro l'esercizio successivo</t>
  </si>
  <si>
    <t>SP20</t>
  </si>
  <si>
    <t>Debiti esigibili oltre l'esercizio successivo</t>
  </si>
  <si>
    <t>SP21</t>
  </si>
  <si>
    <t>Totale debiti</t>
  </si>
  <si>
    <t>SP22</t>
  </si>
  <si>
    <t>SP23</t>
  </si>
  <si>
    <t>Totale Passivo</t>
  </si>
  <si>
    <t>Trattamento di fine rapporto di lavoro sub.</t>
  </si>
  <si>
    <t>ATECO</t>
  </si>
  <si>
    <t>NOME AZIENDA</t>
  </si>
  <si>
    <t>ESERCIZI ANALISI</t>
  </si>
  <si>
    <t>Stato patrimoniale</t>
  </si>
  <si>
    <t xml:space="preserve">   Attivo</t>
  </si>
  <si>
    <t xml:space="preserve">      A) Crediti verso soci per versamenti ancora dovuti</t>
  </si>
  <si>
    <t xml:space="preserve">      B) Immobilizzazioni</t>
  </si>
  <si>
    <t xml:space="preserve">         I - Immobilizzazioni immateriali</t>
  </si>
  <si>
    <t xml:space="preserve">         II - Immobilizzazioni materiali</t>
  </si>
  <si>
    <t xml:space="preserve">         III - Immobilizzazioni finanziarie</t>
  </si>
  <si>
    <t xml:space="preserve">         Totale immobilizzazioni (B)</t>
  </si>
  <si>
    <t xml:space="preserve">      C) Attivo circolante</t>
  </si>
  <si>
    <t xml:space="preserve">         I - Rimanenze</t>
  </si>
  <si>
    <t xml:space="preserve">         Immobilizzazioni materiali destinate alla vendita</t>
  </si>
  <si>
    <t xml:space="preserve">         II - Crediti</t>
  </si>
  <si>
    <t xml:space="preserve">            esigibili entro l'esercizio successivo</t>
  </si>
  <si>
    <t xml:space="preserve">            esigibili oltre l'esercizio successivo</t>
  </si>
  <si>
    <t xml:space="preserve">            imposte anticipate</t>
  </si>
  <si>
    <t xml:space="preserve">            Totale crediti</t>
  </si>
  <si>
    <t xml:space="preserve">         III - Attività finanziarie che non costituiscono immobilizzazioni</t>
  </si>
  <si>
    <t xml:space="preserve">         IV - Disponibilità liquide</t>
  </si>
  <si>
    <t xml:space="preserve">         Totale attivo circolante (C)</t>
  </si>
  <si>
    <t xml:space="preserve">      D) Ratei e risconti</t>
  </si>
  <si>
    <t xml:space="preserve">      Totale attivo</t>
  </si>
  <si>
    <t xml:space="preserve">   Passivo</t>
  </si>
  <si>
    <t xml:space="preserve">      A) Patrimonio netto</t>
  </si>
  <si>
    <t xml:space="preserve">         I - Capitale</t>
  </si>
  <si>
    <t xml:space="preserve">         II - Riserva da soprapprezzo delle azioni</t>
  </si>
  <si>
    <t xml:space="preserve">         III - Riserve di rivalutazione</t>
  </si>
  <si>
    <t xml:space="preserve">         IV - Riserva legale</t>
  </si>
  <si>
    <t xml:space="preserve">         V - Riserve statutarie</t>
  </si>
  <si>
    <t xml:space="preserve">         VI - Altre riserve</t>
  </si>
  <si>
    <t xml:space="preserve">         VII - Riserva per operazioni di copertura dei flussi finanziari attesi</t>
  </si>
  <si>
    <t xml:space="preserve">         VIII - Utili (perdite) portati a nuovo</t>
  </si>
  <si>
    <t xml:space="preserve">         IX - Utile (perdita) dell'esercizio</t>
  </si>
  <si>
    <t xml:space="preserve">         Perdita ripianata nell'esercizio</t>
  </si>
  <si>
    <t xml:space="preserve">         X - Riserva negativa per azioni proprie in portafoglio</t>
  </si>
  <si>
    <t xml:space="preserve">         Totale patrimonio netto</t>
  </si>
  <si>
    <t xml:space="preserve">      B) Fondi per rischi e oneri</t>
  </si>
  <si>
    <t xml:space="preserve">      C) Trattamento di fine rapporto di lavoro subordinato</t>
  </si>
  <si>
    <t xml:space="preserve">      D) Debiti</t>
  </si>
  <si>
    <t xml:space="preserve">         esigibili entro l'esercizio successivo</t>
  </si>
  <si>
    <t xml:space="preserve">         esigibili oltre l'esercizio successivo</t>
  </si>
  <si>
    <t xml:space="preserve">         Totale debiti</t>
  </si>
  <si>
    <t xml:space="preserve">      E) Ratei e risconti</t>
  </si>
  <si>
    <t xml:space="preserve">      Totale passivo</t>
  </si>
  <si>
    <t>Conto economico abbreviato</t>
  </si>
  <si>
    <t>Conto economico</t>
  </si>
  <si>
    <t xml:space="preserve">   A) Valore della produzione</t>
  </si>
  <si>
    <t xml:space="preserve">      1) ricavi delle vendite e delle prestazioni</t>
  </si>
  <si>
    <t xml:space="preserve">      2), 3) variazioni delle rimanenze di prodotti in corso di lavorazione, semilavorati e finiti e dei lavori in corso su ordinazione</t>
  </si>
  <si>
    <t xml:space="preserve">         2), 3) variazioni delle rimanenze di prodotti in corso di lavorazione, semilavorati e finiti e dei lavori in corso su ordinazione</t>
  </si>
  <si>
    <t xml:space="preserve">         2) variazioni delle rimanenze di prodotti in corso di lavorazione, semilavorati e finiti</t>
  </si>
  <si>
    <t xml:space="preserve">         3) variazioni dei lavori in corso su ordinazione</t>
  </si>
  <si>
    <t xml:space="preserve">      4) incrementi di immobilizzazioni per lavori interni</t>
  </si>
  <si>
    <t xml:space="preserve">      5) altri ricavi e proventi</t>
  </si>
  <si>
    <t xml:space="preserve">         contributi in conto esercizio</t>
  </si>
  <si>
    <t xml:space="preserve">         altri</t>
  </si>
  <si>
    <t xml:space="preserve">         Totale altri ricavi e proventi</t>
  </si>
  <si>
    <t xml:space="preserve">      Totale valore della produzione</t>
  </si>
  <si>
    <t xml:space="preserve">   B) Costi della produzione</t>
  </si>
  <si>
    <t xml:space="preserve">      6) per materie prime, sussidiarie, di consumo e di merci</t>
  </si>
  <si>
    <t xml:space="preserve">      7) per servizi</t>
  </si>
  <si>
    <t xml:space="preserve">      8) per godimento di beni di terzi</t>
  </si>
  <si>
    <t xml:space="preserve">      9) per il personale</t>
  </si>
  <si>
    <t xml:space="preserve">         a) salari e stipendi</t>
  </si>
  <si>
    <t xml:space="preserve">         b) oneri sociali</t>
  </si>
  <si>
    <t xml:space="preserve">         c), d), e) trattamento di fine rapporto, trattamento di quiescenza, altri costi del personale</t>
  </si>
  <si>
    <t xml:space="preserve">            c), d), e) trattamento di fine rapporto, trattamento di quiescenza, altri costi del personale</t>
  </si>
  <si>
    <t xml:space="preserve">            c) trattamento di fine rapporto</t>
  </si>
  <si>
    <t xml:space="preserve">            d) trattamento di quiescenza e simili</t>
  </si>
  <si>
    <t xml:space="preserve">            e) altri costi</t>
  </si>
  <si>
    <t xml:space="preserve">         Totale costi per il personale</t>
  </si>
  <si>
    <t xml:space="preserve">      10) ammortamenti e svalutazioni</t>
  </si>
  <si>
    <t xml:space="preserve">         a), b), c) ammortamento delle immobilizzazioni immateriali e materiali, altre svalutazioni delle immobilizzazioni</t>
  </si>
  <si>
    <t xml:space="preserve">            a), b), c) ammortamento delle immobilizzazioni immateriali e materiali, altre svalutazioni delle immobilizzazioni</t>
  </si>
  <si>
    <t xml:space="preserve">            a) ammortamento delle immobilizzazioni immateriali</t>
  </si>
  <si>
    <t xml:space="preserve">            b) ammortamento delle immobilizzazioni materiali</t>
  </si>
  <si>
    <t xml:space="preserve">            c) altre svalutazioni delle immobilizzazioni</t>
  </si>
  <si>
    <t xml:space="preserve">         d) svalutazioni dei crediti compresi nell'attivo circolante e delle disponibilità liquide</t>
  </si>
  <si>
    <t xml:space="preserve">         Totale ammortamenti e svalutazioni</t>
  </si>
  <si>
    <t xml:space="preserve">      11) variazioni delle rimanenze di materie prime, sussidiarie, di consumo e merci</t>
  </si>
  <si>
    <t xml:space="preserve">      12) accantonamenti per rischi</t>
  </si>
  <si>
    <t xml:space="preserve">      13) altri accantonamenti</t>
  </si>
  <si>
    <t xml:space="preserve">      14) oneri diversi di gestione</t>
  </si>
  <si>
    <t xml:space="preserve">      Totale costi della produzione</t>
  </si>
  <si>
    <t xml:space="preserve">   Differenza tra valore e costi della produzione (A - B)</t>
  </si>
  <si>
    <t xml:space="preserve">   C) Proventi e oneri finanziari</t>
  </si>
  <si>
    <t xml:space="preserve">      15) proventi da partecipazioni</t>
  </si>
  <si>
    <t xml:space="preserve">         da imprese controllate</t>
  </si>
  <si>
    <t xml:space="preserve">         da imprese collegate</t>
  </si>
  <si>
    <t xml:space="preserve">         da imprese controllanti</t>
  </si>
  <si>
    <t xml:space="preserve">         da imprese sottoposte al controllo delle controllanti</t>
  </si>
  <si>
    <t xml:space="preserve">         Totale proventi da partecipazioni</t>
  </si>
  <si>
    <t xml:space="preserve">      16) altri proventi finanziari</t>
  </si>
  <si>
    <t xml:space="preserve">         a) da crediti iscritti nelle immobilizzazioni</t>
  </si>
  <si>
    <t xml:space="preserve">            da imprese controllate</t>
  </si>
  <si>
    <t xml:space="preserve">            da imprese collegate</t>
  </si>
  <si>
    <t xml:space="preserve">            da imprese controllanti</t>
  </si>
  <si>
    <t xml:space="preserve">            da imprese sottoposte al controllo delle controllanti</t>
  </si>
  <si>
    <t xml:space="preserve">            altri</t>
  </si>
  <si>
    <t xml:space="preserve">            Totale proventi finanziari da crediti iscritti nelle immobilizzazioni</t>
  </si>
  <si>
    <t xml:space="preserve">         b), c) da titoli iscritti nelle immobilizzazioni che non costituiscono partecipazioni e da titoli iscritti nell'attivo circolante che non costituiscono partecipazioni</t>
  </si>
  <si>
    <t xml:space="preserve">            b), c) da titoli iscritti nelle immobilizzazioni che non costituiscono partecipazioni e da titoli iscritti nell'attivo circolante che non costituiscono partecipazioni</t>
  </si>
  <si>
    <t xml:space="preserve">            b) da titoli iscritti nelle immobilizzazioni che non costituiscono partecipazioni</t>
  </si>
  <si>
    <t xml:space="preserve">            c) da titoli iscritti nell'attivo circolante che non costituiscono partecipazioni</t>
  </si>
  <si>
    <t xml:space="preserve">         d) proventi diversi dai precedenti</t>
  </si>
  <si>
    <t xml:space="preserve">            Totale proventi diversi dai precedenti</t>
  </si>
  <si>
    <t xml:space="preserve">         Totale altri proventi finanziari</t>
  </si>
  <si>
    <t xml:space="preserve">      17) interessi e altri oneri finanziari</t>
  </si>
  <si>
    <t xml:space="preserve">         verso imprese controllate</t>
  </si>
  <si>
    <t xml:space="preserve">         verso imprese collegate</t>
  </si>
  <si>
    <t xml:space="preserve">         verso imprese controllanti</t>
  </si>
  <si>
    <t xml:space="preserve">         verso imprese sottoposte al controllo delle controllanti</t>
  </si>
  <si>
    <t xml:space="preserve">         Totale interessi e altri oneri finanziari</t>
  </si>
  <si>
    <t xml:space="preserve">      17-bis) utili e perdite su cambi</t>
  </si>
  <si>
    <t xml:space="preserve">      Totale proventi e oneri finanziari (15 + 16 - 17 + - 17-bis)</t>
  </si>
  <si>
    <t xml:space="preserve">   D) Rettifiche di valore di attività e passività finanziarie</t>
  </si>
  <si>
    <t xml:space="preserve">      18) rivalutazioni</t>
  </si>
  <si>
    <t xml:space="preserve">         a) di partecipazioni</t>
  </si>
  <si>
    <t xml:space="preserve">         b) di immobilizzazioni finanziarie che non costituiscono partecipazioni</t>
  </si>
  <si>
    <t xml:space="preserve">         c) di titoli iscritti all'attivo circolante che non costituiscono partecipazioni</t>
  </si>
  <si>
    <t xml:space="preserve">         d) di strumenti finanziari derivati</t>
  </si>
  <si>
    <t xml:space="preserve">         di attività finanziarie per la gestione accentrata della tesoreria</t>
  </si>
  <si>
    <t xml:space="preserve">         Totale rivalutazioni</t>
  </si>
  <si>
    <t xml:space="preserve">      19) svalutazioni</t>
  </si>
  <si>
    <t xml:space="preserve">         c) di titoli iscritti nell'attivo circolante che non costituiscono partecipazioni</t>
  </si>
  <si>
    <t xml:space="preserve">         Totale svalutazioni</t>
  </si>
  <si>
    <t xml:space="preserve">      Totale delle rettifiche di valore di attività e passività finanziarie (18 - 19)</t>
  </si>
  <si>
    <t xml:space="preserve">   Risultato prima delle imposte (A - B + - C + - D)</t>
  </si>
  <si>
    <t xml:space="preserve">   20) Imposte sul reddito dell'esercizio, correnti, differite e anticipate</t>
  </si>
  <si>
    <t xml:space="preserve">      imposte correnti</t>
  </si>
  <si>
    <t xml:space="preserve">      imposte relative a esercizi precedenti</t>
  </si>
  <si>
    <t xml:space="preserve">      imposte differite e anticipate</t>
  </si>
  <si>
    <t xml:space="preserve">      proventi (oneri) da adesione al regime di consolidato fiscale / trasparenza fiscale</t>
  </si>
  <si>
    <t xml:space="preserve">      Totale delle imposte sul reddito dell'esercizio, correnti, differite e anticipate</t>
  </si>
  <si>
    <t xml:space="preserve">   21) Utile (perdita) dell'esercizio</t>
  </si>
  <si>
    <t>Indice</t>
  </si>
  <si>
    <t>AnnoCorr</t>
  </si>
  <si>
    <t>AnnoPrec</t>
  </si>
  <si>
    <t>Alfa S.r.l.</t>
  </si>
  <si>
    <t>Cod. Crisi</t>
  </si>
  <si>
    <t>Desc. Crisi</t>
  </si>
  <si>
    <t>OF/Ric</t>
  </si>
  <si>
    <t>PN/Tot.Deb</t>
  </si>
  <si>
    <t>AC/PB</t>
  </si>
  <si>
    <t>CashFlow/Att</t>
  </si>
  <si>
    <t>Deb.Trib./Att</t>
  </si>
  <si>
    <t>A) Agricoltura silvicoltura e pesca</t>
  </si>
  <si>
    <t>B) Estrazione; C) Manifattura; D) Produzione energia/gas</t>
  </si>
  <si>
    <t>E) Fornitura acqua reti fognarie rifiuti; D) Trasmissione energia/gas</t>
  </si>
  <si>
    <t>F41) Costruzione di edifici</t>
  </si>
  <si>
    <t>F42) Ingegneria civile; F43) Costruzioni specializzate</t>
  </si>
  <si>
    <t>G45) Commercio autoveicoli; G46) Comm. Ingrosso; D) Distr. Energia/gas</t>
  </si>
  <si>
    <t>G47) Commercio dettaglio; I56) Bar e ristoranti</t>
  </si>
  <si>
    <t>H) Trasporto e magazzinaggio; I55) Hotel</t>
  </si>
  <si>
    <t>JMN) Servizi alle imprese</t>
  </si>
  <si>
    <t>PQRS) Servizi alle persone</t>
  </si>
  <si>
    <t>COD. CRISI</t>
  </si>
  <si>
    <t>descr</t>
  </si>
  <si>
    <t>Soglia1</t>
  </si>
  <si>
    <t>Soglia2</t>
  </si>
  <si>
    <t>Soglia3</t>
  </si>
  <si>
    <t>Soglia4</t>
  </si>
  <si>
    <t>Soglia5</t>
  </si>
  <si>
    <t>AGRICOLTURA, SILVICOLTURA E PESCA</t>
  </si>
  <si>
    <t>01</t>
  </si>
  <si>
    <t>COLTIVAZIONI AGRICOLE E PRODUZIONE DI PRODOTTI ANIMALI, CACCIA E SERVIZI CONNESSI</t>
  </si>
  <si>
    <t>01.11.10</t>
  </si>
  <si>
    <t>Coltivazione di cereali (escluso il riso)</t>
  </si>
  <si>
    <t>01.11.20</t>
  </si>
  <si>
    <t>Coltivazione di semi oleosi</t>
  </si>
  <si>
    <t>01.11.30</t>
  </si>
  <si>
    <t>Coltivazione di legumi da granella</t>
  </si>
  <si>
    <t>01.11.40</t>
  </si>
  <si>
    <t>Coltivazioni miste di cereali, legumi da granella e semi oleosi</t>
  </si>
  <si>
    <t>01.12.00</t>
  </si>
  <si>
    <t>Coltivazione di riso</t>
  </si>
  <si>
    <t>01.13.10</t>
  </si>
  <si>
    <t>Coltivazione di ortaggi (inclusi i meloni) in foglia, a fusto, a frutto, in radici, bulbi e tuberi in piena aria (escluse barbabietola da zucchero e patate)</t>
  </si>
  <si>
    <t>01.13.20</t>
  </si>
  <si>
    <t>Coltivazione di ortaggi (inclusi i meloni) in foglia, a fusto, a frutto, in radici, bulbi e tuberi in colture protette (escluse barbabietola da zucchero e patate)</t>
  </si>
  <si>
    <t>01.13.30</t>
  </si>
  <si>
    <t>Coltivazione di barbabietola da zucchero</t>
  </si>
  <si>
    <t>01.13.40</t>
  </si>
  <si>
    <t>Coltivazione di patate</t>
  </si>
  <si>
    <t>01.14.00</t>
  </si>
  <si>
    <t>Coltivazione di canna da zucchero</t>
  </si>
  <si>
    <t>01.15.00</t>
  </si>
  <si>
    <t>Coltivazione di tabacco</t>
  </si>
  <si>
    <t>01.16.00</t>
  </si>
  <si>
    <t>Coltivazione di piante per la preparazione di fibre tessili</t>
  </si>
  <si>
    <t>01.19.10</t>
  </si>
  <si>
    <t>Coltivazione di fiori in piena aria</t>
  </si>
  <si>
    <t>01.19.20</t>
  </si>
  <si>
    <t>Coltivazione di fiori in colture protette</t>
  </si>
  <si>
    <t>01.19.90</t>
  </si>
  <si>
    <t>Coltivazione di piante da foraggio e di altre colture non permanenti</t>
  </si>
  <si>
    <t>01.21.00</t>
  </si>
  <si>
    <t>Coltivazione di uva</t>
  </si>
  <si>
    <t>01.22.00</t>
  </si>
  <si>
    <t>Coltivazione di frutta di origine tropicale e subtropicale</t>
  </si>
  <si>
    <t>01.23.00</t>
  </si>
  <si>
    <t>Coltivazione di agrumi</t>
  </si>
  <si>
    <t>01.24.00</t>
  </si>
  <si>
    <t>Coltivazione di pomacee e frutta a nocciolo</t>
  </si>
  <si>
    <t>01.25.00</t>
  </si>
  <si>
    <t>Coltivazione di altri alberi da frutta, frutti di bosco e frutta in guscio</t>
  </si>
  <si>
    <t>01.26.00</t>
  </si>
  <si>
    <t>Coltivazione di frutti oleosi</t>
  </si>
  <si>
    <t>01.27.00</t>
  </si>
  <si>
    <t>Coltivazione di piante per la produzione di bevande</t>
  </si>
  <si>
    <t>01.28.00</t>
  </si>
  <si>
    <t>Coltivazione di spezie, piante aromatiche e farmaceutiche</t>
  </si>
  <si>
    <t>01.29.00</t>
  </si>
  <si>
    <t>Coltivazione di altre colture permanenti (inclusi alberi di Natale)</t>
  </si>
  <si>
    <t>01.30.00</t>
  </si>
  <si>
    <t>Riproduzione delle piante</t>
  </si>
  <si>
    <t>01.41.00</t>
  </si>
  <si>
    <t>Allevamento di bovini e bufale da latte, produzione di latte crudo</t>
  </si>
  <si>
    <t>01.42.00</t>
  </si>
  <si>
    <t>Allevamento di bovini e bufalini da carne</t>
  </si>
  <si>
    <t>01.43.00</t>
  </si>
  <si>
    <t>Allevamento di cavalli e altri equini</t>
  </si>
  <si>
    <t>01.44.00</t>
  </si>
  <si>
    <t>Allevamento di cammelli e camelidi</t>
  </si>
  <si>
    <t>01.45.00</t>
  </si>
  <si>
    <t>Allevamento di ovini e caprini</t>
  </si>
  <si>
    <t>01.46.00</t>
  </si>
  <si>
    <t>Allevamento di suini</t>
  </si>
  <si>
    <t>01.47.00</t>
  </si>
  <si>
    <t>Allevamento di pollame</t>
  </si>
  <si>
    <t>01.49.10</t>
  </si>
  <si>
    <t>Allevamento di conigli</t>
  </si>
  <si>
    <t>01.49.20</t>
  </si>
  <si>
    <t>Allevamento di animali da pelliccia</t>
  </si>
  <si>
    <t>01.49.30</t>
  </si>
  <si>
    <t>Apicoltura</t>
  </si>
  <si>
    <t>01.49.40</t>
  </si>
  <si>
    <t>Bachicoltura</t>
  </si>
  <si>
    <t>01.49.90</t>
  </si>
  <si>
    <t>Allevamento di altri animali nca</t>
  </si>
  <si>
    <t>01.50.00</t>
  </si>
  <si>
    <t>Coltivazioni agricole associate all'allevamento di animali: attività mista</t>
  </si>
  <si>
    <t>01.61.00</t>
  </si>
  <si>
    <t>Attività di supporto alla produzione vegetale</t>
  </si>
  <si>
    <t>01.62.01</t>
  </si>
  <si>
    <t>Attività dei maniscalchi</t>
  </si>
  <si>
    <t>01.62.09</t>
  </si>
  <si>
    <t>Altre attività di supporto alla produzione animale (esclusi i servizi veterinari)</t>
  </si>
  <si>
    <t>01.63.00</t>
  </si>
  <si>
    <t>Attività che seguono la raccolta</t>
  </si>
  <si>
    <t>01.64.01</t>
  </si>
  <si>
    <t>Pulitura e cernita di semi e granaglie</t>
  </si>
  <si>
    <t>01.64.09</t>
  </si>
  <si>
    <t>Altre lavorazioni delle sementi per la semina</t>
  </si>
  <si>
    <t>01.70.00</t>
  </si>
  <si>
    <t>Caccia, cattura di animali e servizi connessi</t>
  </si>
  <si>
    <t>02</t>
  </si>
  <si>
    <t>SILVICOLTURA ED UTILIZZO DI AREE FORESTALI</t>
  </si>
  <si>
    <t>02.10.00</t>
  </si>
  <si>
    <t>Silvicoltura e altre attività forestali</t>
  </si>
  <si>
    <t>02.20.00</t>
  </si>
  <si>
    <t>Utilizzo di aree forestali</t>
  </si>
  <si>
    <t>02.30.00</t>
  </si>
  <si>
    <t>Raccolta di prodotti selvatici non legnosi</t>
  </si>
  <si>
    <t>02.40.00</t>
  </si>
  <si>
    <t>Servizi di supporto per la silvicoltura</t>
  </si>
  <si>
    <t>03</t>
  </si>
  <si>
    <t>PESCA E ACQUACOLTURA</t>
  </si>
  <si>
    <t>03.11.00</t>
  </si>
  <si>
    <t>Pesca in acque marine e lagunari e servizi connessi</t>
  </si>
  <si>
    <t>03.12.00</t>
  </si>
  <si>
    <t>Pesca in acque dolci e servizi connessi</t>
  </si>
  <si>
    <t>03.21.00</t>
  </si>
  <si>
    <t>Acquacoltura in acqua di mare, salmastra o lagunare e servizi connessi</t>
  </si>
  <si>
    <t>03.22.00</t>
  </si>
  <si>
    <t>Acquacoltura in acque dolci e servizi connessi</t>
  </si>
  <si>
    <t>ESTRAZIONE DI MINERALI DA CAVE E MINIERE</t>
  </si>
  <si>
    <t>05</t>
  </si>
  <si>
    <t>ESTRAZIONE DI CARBONE (ESCLUSA TORBA)</t>
  </si>
  <si>
    <t>05.10.00</t>
  </si>
  <si>
    <t>Estrazione di antracite e litantrace</t>
  </si>
  <si>
    <t>05.20.00</t>
  </si>
  <si>
    <t>Estrazione di lignite</t>
  </si>
  <si>
    <t>06</t>
  </si>
  <si>
    <t>ESTRAZIONE DI PETROLIO GREGGIO E DI GAS NATURALE</t>
  </si>
  <si>
    <t>06.10.00</t>
  </si>
  <si>
    <t>Estrazione di petrolio greggio</t>
  </si>
  <si>
    <t>06.20.00</t>
  </si>
  <si>
    <t>Estrazione di gas naturale</t>
  </si>
  <si>
    <t>07</t>
  </si>
  <si>
    <t>ESTRAZIONE DI MINERALI METALLIFERI</t>
  </si>
  <si>
    <t>07.10.00</t>
  </si>
  <si>
    <t>Estrazione di minerali metalliferi ferrosi</t>
  </si>
  <si>
    <t>07.21.00</t>
  </si>
  <si>
    <t>Estrazione di minerali di uranio e di torio</t>
  </si>
  <si>
    <t>07.29.00</t>
  </si>
  <si>
    <t>Estrazione di altri minerali metalliferi non ferrosi</t>
  </si>
  <si>
    <t>08</t>
  </si>
  <si>
    <t>ALTRE ATTIVITÀ DI ESTRAZIONE DI MINERALI DA CAVE E MINIERE</t>
  </si>
  <si>
    <t>08.11.00</t>
  </si>
  <si>
    <t>Estrazione di pietre ornamentali e da costruzione, calcare, pietra da gesso, creta e ardesia</t>
  </si>
  <si>
    <t>08.12.00</t>
  </si>
  <si>
    <t>Estrazione di ghiaia, sabbia; estrazione di argille e caolino</t>
  </si>
  <si>
    <t>08.91.00</t>
  </si>
  <si>
    <t>Estrazione di minerali per l'industria chimica e per la produzione di fertilizzanti</t>
  </si>
  <si>
    <t>08.92.00</t>
  </si>
  <si>
    <t>Estrazione di torba</t>
  </si>
  <si>
    <t>08.93.00</t>
  </si>
  <si>
    <t>Estrazione di sale</t>
  </si>
  <si>
    <t>08.99.01</t>
  </si>
  <si>
    <t>Estrazione di asfalto e bitume naturale</t>
  </si>
  <si>
    <t>08.99.09</t>
  </si>
  <si>
    <t>Estrazione di pomice e di altri minerali nca</t>
  </si>
  <si>
    <t>09</t>
  </si>
  <si>
    <t>ATTIVITÀ DEI SERVIZI DI SUPPORTO ALL'ESTRAZIONE</t>
  </si>
  <si>
    <t>09.10.00</t>
  </si>
  <si>
    <t>Attività di supporto all'estrazione di petrolio e di gas naturale</t>
  </si>
  <si>
    <t>09.90.01</t>
  </si>
  <si>
    <t>Attività di supporto all'estrazione di pietre ornamentali, da costruzione, da gesso, di anidrite, per calce e cementi, di dolomite, di ardesia, di ghiaia e sabbia, di argilla, di caolino, di pomice</t>
  </si>
  <si>
    <t>09.90.09</t>
  </si>
  <si>
    <t>Attività di supporto all'estrazione di altri minerali nca</t>
  </si>
  <si>
    <t>ATTIVITÀ MANIFATTURIERE</t>
  </si>
  <si>
    <t>10</t>
  </si>
  <si>
    <t>INDUSTRIE ALIMENTARI</t>
  </si>
  <si>
    <t>10.11.00</t>
  </si>
  <si>
    <t>Produzione di carne non di volatili e di prodotti della macellazione (attività dei mattatoi)</t>
  </si>
  <si>
    <t>10.12.00</t>
  </si>
  <si>
    <t>Produzione di carne di volatili e prodotti della loro macellazione (attività dei mattatoi)</t>
  </si>
  <si>
    <t>10.13.00</t>
  </si>
  <si>
    <t>Produzione di prodotti a base di carne (inclusa la carne di volatili)</t>
  </si>
  <si>
    <t>10.20.00</t>
  </si>
  <si>
    <t>Lavorazione e conservazione di pesce, crostacei e molluschi mediante surgelamento, salatura eccetera</t>
  </si>
  <si>
    <t>10.31.00</t>
  </si>
  <si>
    <t>Lavorazione e conservazione delle patate</t>
  </si>
  <si>
    <t>10.32.00</t>
  </si>
  <si>
    <t>Produzione di succhi di frutta e di ortaggi</t>
  </si>
  <si>
    <t>10.39.00</t>
  </si>
  <si>
    <t>Lavorazione e conservazione di frutta e di ortaggi (esclusi i succhi di frutta e di ortaggi)</t>
  </si>
  <si>
    <t>10.41.10</t>
  </si>
  <si>
    <t>Produzione di olio di oliva da olive prevalentemente non di produzione propria</t>
  </si>
  <si>
    <t>10.41.20</t>
  </si>
  <si>
    <t>Produzione di olio raffinato o grezzo da semi oleosi o frutti oleosi prevalentemente non di produzione propria</t>
  </si>
  <si>
    <t>10.41.30</t>
  </si>
  <si>
    <t>Produzione di oli e grassi animali grezzi o raffinati</t>
  </si>
  <si>
    <t>10.42.00</t>
  </si>
  <si>
    <t>Produzione di margarina e di grassi commestibili simili</t>
  </si>
  <si>
    <t>10.51.10</t>
  </si>
  <si>
    <t>Trattamento igienico del latte</t>
  </si>
  <si>
    <t>10.51.20</t>
  </si>
  <si>
    <t>Produzione dei derivati del latte</t>
  </si>
  <si>
    <t>10.52.00</t>
  </si>
  <si>
    <t>Produzione di gelati senza vendita diretta al pubblico</t>
  </si>
  <si>
    <t>10.61.10</t>
  </si>
  <si>
    <t>Molitura del frumento</t>
  </si>
  <si>
    <t>10.61.20</t>
  </si>
  <si>
    <t>Molitura di altri cereali</t>
  </si>
  <si>
    <t>10.61.30</t>
  </si>
  <si>
    <t>Lavorazione del riso</t>
  </si>
  <si>
    <t>10.61.40</t>
  </si>
  <si>
    <t>Altre lavorazioni di semi e granaglie</t>
  </si>
  <si>
    <t>10.62.00</t>
  </si>
  <si>
    <t>Produzione di amidi e di prodotti amidacei (inclusa produzione di olio di mais)</t>
  </si>
  <si>
    <t>10.71.10</t>
  </si>
  <si>
    <t>Produzione di prodotti di panetteria freschi</t>
  </si>
  <si>
    <t>10.71.20</t>
  </si>
  <si>
    <t>Produzione di pasticceria fresca</t>
  </si>
  <si>
    <t>10.72.00</t>
  </si>
  <si>
    <t>Produzione di fette biscottate, biscotti; prodotti di pasticceria conservati</t>
  </si>
  <si>
    <t>10.73.00</t>
  </si>
  <si>
    <t>Produzione di paste alimentari, di cuscus e di prodotti farinacei simili</t>
  </si>
  <si>
    <t>10.81.00</t>
  </si>
  <si>
    <t>Produzione di zucchero</t>
  </si>
  <si>
    <t>10.82.00</t>
  </si>
  <si>
    <t>Produzione di cacao in polvere, cioccolato, caramelle e confetterie</t>
  </si>
  <si>
    <t>10.83.01</t>
  </si>
  <si>
    <t>Lavorazione del caffè</t>
  </si>
  <si>
    <t>10.83.02</t>
  </si>
  <si>
    <t>Lavorazione del tè e di altri preparati per infusi</t>
  </si>
  <si>
    <t>10.84.00</t>
  </si>
  <si>
    <t>Produzione di condimenti e spezie</t>
  </si>
  <si>
    <t>10.85.01</t>
  </si>
  <si>
    <t>Produzione di piatti pronti a base di carne e pollame</t>
  </si>
  <si>
    <t>10.85.02</t>
  </si>
  <si>
    <t>Produzione di piatti pronti a base di pesce, inclusi fish and chips</t>
  </si>
  <si>
    <t>10.85.03</t>
  </si>
  <si>
    <t>Produzione di piatti pronti a base di ortaggi</t>
  </si>
  <si>
    <t>10.85.04</t>
  </si>
  <si>
    <t>Produzione di pizza confezionata</t>
  </si>
  <si>
    <t>10.85.05</t>
  </si>
  <si>
    <t>Produzione di piatti pronti a base di pasta</t>
  </si>
  <si>
    <t>10.85.09</t>
  </si>
  <si>
    <t>Produzione di pasti e piatti pronti di altri prodotti alimentari</t>
  </si>
  <si>
    <t>10.86.00</t>
  </si>
  <si>
    <t>Produzione di preparati omogeneizzati e di alimenti dietetici</t>
  </si>
  <si>
    <t>10.89.01</t>
  </si>
  <si>
    <t>Produzione di estratti e succhi di carne</t>
  </si>
  <si>
    <t>10.89.09</t>
  </si>
  <si>
    <t>Produzione di altri prodotti alimentari nca</t>
  </si>
  <si>
    <t>10.91.00</t>
  </si>
  <si>
    <t>Produzione di mangimi per l'alimentazione degli animali da allevamento</t>
  </si>
  <si>
    <t>10.92.00</t>
  </si>
  <si>
    <t>Produzione di prodotti per l'alimentazione degli animali da compagnia</t>
  </si>
  <si>
    <t>11</t>
  </si>
  <si>
    <t>INDUSTRIA DELLE BEVANDE</t>
  </si>
  <si>
    <t>11.01.00</t>
  </si>
  <si>
    <t>Distillazione, rettifica e miscelatura degli alcolici</t>
  </si>
  <si>
    <t>11.02.10</t>
  </si>
  <si>
    <t>Produzione di vini da tavola e v.q.p.r.d.</t>
  </si>
  <si>
    <t>11.02.20</t>
  </si>
  <si>
    <t>Produzione di vino spumante e altri vini speciali</t>
  </si>
  <si>
    <t>11.03.00</t>
  </si>
  <si>
    <t>Produzione di sidro e di altri vini a base di frutta</t>
  </si>
  <si>
    <t>11.04.00</t>
  </si>
  <si>
    <t>Produzione di altre bevande fermentate non distillate</t>
  </si>
  <si>
    <t>11.05.00</t>
  </si>
  <si>
    <t>Produzione di birra</t>
  </si>
  <si>
    <t>11.06.00</t>
  </si>
  <si>
    <t>Produzione di malto</t>
  </si>
  <si>
    <t>11.07.00</t>
  </si>
  <si>
    <t>Industria delle bibite analcoliche, delle acque minerali e di altre acque in bottiglia</t>
  </si>
  <si>
    <t>12</t>
  </si>
  <si>
    <t>INDUSTRIA DEL TABACCO</t>
  </si>
  <si>
    <t>12.00.00</t>
  </si>
  <si>
    <t>Industria del tabacco</t>
  </si>
  <si>
    <t>13</t>
  </si>
  <si>
    <t>INDUSTRIE TESSILI</t>
  </si>
  <si>
    <t>13.10.00</t>
  </si>
  <si>
    <t>Preparazione e filatura di fibre tessili</t>
  </si>
  <si>
    <t>13.20.00</t>
  </si>
  <si>
    <t>Tessitura</t>
  </si>
  <si>
    <t>13.30.00</t>
  </si>
  <si>
    <t>Finissaggio dei tessili, degli articoli di vestiario e attività similari</t>
  </si>
  <si>
    <t>13.91.00</t>
  </si>
  <si>
    <t>Fabbricazione di tessuti a maglia</t>
  </si>
  <si>
    <t>13.92.10</t>
  </si>
  <si>
    <t>Confezionamento di biancheria da letto, da tavola e per l'arredamento</t>
  </si>
  <si>
    <t>13.92.20</t>
  </si>
  <si>
    <t>Fabbricazione di articoli in materie tessili nca</t>
  </si>
  <si>
    <t>13.93.00</t>
  </si>
  <si>
    <t>Fabbricazione di tappeti e moquette</t>
  </si>
  <si>
    <t>13.94.00</t>
  </si>
  <si>
    <t>Fabbricazione di spago, corde, funi e reti</t>
  </si>
  <si>
    <t>13.95.00</t>
  </si>
  <si>
    <t>Fabbricazione di tessuti non tessuti e di articoli in tali materie (esclusi gli articoli di abbigliamento)</t>
  </si>
  <si>
    <t>13.96.10</t>
  </si>
  <si>
    <t>Fabbricazione di nastri, etichette e passamanerie di fibre tessili</t>
  </si>
  <si>
    <t>13.96.20</t>
  </si>
  <si>
    <t>Fabbricazione di altri articoli tessili tecnici ed industriali</t>
  </si>
  <si>
    <t>13.99.10</t>
  </si>
  <si>
    <t>Fabbricazione di ricami</t>
  </si>
  <si>
    <t>13.99.20</t>
  </si>
  <si>
    <t>Fabbricazione di tulle, pizzi e merletti</t>
  </si>
  <si>
    <t>13.99.90</t>
  </si>
  <si>
    <t>Fabbricazione di feltro e articoli tessili diversi</t>
  </si>
  <si>
    <t>14</t>
  </si>
  <si>
    <t>CONFEZIONE DI ARTICOLI DI ABBIGLIAMENTO; CONFEZIONE DI ARTICOLI IN PELLE E PELLICCIA</t>
  </si>
  <si>
    <t>14.11.00</t>
  </si>
  <si>
    <t>Confezione di abbigliamento in pelle e similpelle</t>
  </si>
  <si>
    <t>14.12.00</t>
  </si>
  <si>
    <t>Confezione di camici, divise ed altri indumenti da lavoro</t>
  </si>
  <si>
    <t>14.13.10</t>
  </si>
  <si>
    <t>Confezione in serie di abbigliamento esterno</t>
  </si>
  <si>
    <t>14.13.20</t>
  </si>
  <si>
    <t>Sartoria e confezione su misura di abbigliamento esterno</t>
  </si>
  <si>
    <t>14.14.00</t>
  </si>
  <si>
    <t>Confezione di camicie, T-shirt, corsetteria e altra biancheria intima</t>
  </si>
  <si>
    <t>14.19.10</t>
  </si>
  <si>
    <t>Confezioni varie e accessori per l'abbigliamento</t>
  </si>
  <si>
    <t>14.19.21</t>
  </si>
  <si>
    <t>Fabbricazione di calzature realizzate in materiale tessile senza suole applicate</t>
  </si>
  <si>
    <t>14.19.29</t>
  </si>
  <si>
    <t>Confezioni di abbigliamento sportivo o di altri indumenti particolari</t>
  </si>
  <si>
    <t>14.20.00</t>
  </si>
  <si>
    <t>Confezione di articoli in pelliccia</t>
  </si>
  <si>
    <t>14.31.00</t>
  </si>
  <si>
    <t>Fabbricazione di articoli di calzetteria in maglia</t>
  </si>
  <si>
    <t>14.39.00</t>
  </si>
  <si>
    <t>Fabbricazione di pullover, cardigan ed altri articoli simili a maglia</t>
  </si>
  <si>
    <t>15</t>
  </si>
  <si>
    <t>FABBRICAZIONE DI ARTICOLI IN PELLE E SIMILI</t>
  </si>
  <si>
    <t>15.11.00</t>
  </si>
  <si>
    <t>Preparazione e concia del cuoio e pelle; preparazione e tintura di pellicce</t>
  </si>
  <si>
    <t>15.12.01</t>
  </si>
  <si>
    <t>Fabbricazione di frustini e scudisci per equitazione</t>
  </si>
  <si>
    <t>15.12.09</t>
  </si>
  <si>
    <t>Fabbricazione di altri articoli da viaggio, borse e simili, pelletteria e selleria</t>
  </si>
  <si>
    <t>15.20.10</t>
  </si>
  <si>
    <t>Fabbricazione di calzature</t>
  </si>
  <si>
    <t>15.20.20</t>
  </si>
  <si>
    <t>Fabbricazione di parti in cuoio per calzature</t>
  </si>
  <si>
    <t>16</t>
  </si>
  <si>
    <t>INDUSTRIA DEL LEGNO E DEI PRODOTTI IN LEGNO E SUGHERO (ESCLUSI I MOBILI); FABBRICAZIONE DI ARTICOLI IN PAGLIA E MATERIALI DA INTRECCIO</t>
  </si>
  <si>
    <t>16.10.00</t>
  </si>
  <si>
    <t>Taglio e piallatura del legno</t>
  </si>
  <si>
    <t>16.21.00</t>
  </si>
  <si>
    <t>Fabbricazione di fogli da impiallacciatura e di pannelli a base di legno</t>
  </si>
  <si>
    <t>16.22.00</t>
  </si>
  <si>
    <t>Fabbricazione di pavimenti in parquet assemblato</t>
  </si>
  <si>
    <t>16.23.10</t>
  </si>
  <si>
    <t>Fabbricazione di porte e finestre in legno (escluse porte blindate)</t>
  </si>
  <si>
    <t>16.23.20</t>
  </si>
  <si>
    <t>Fabbricazione di altri elementi in legno e di falegnameria per l'edilizia</t>
  </si>
  <si>
    <t>16.24.00</t>
  </si>
  <si>
    <t>Fabbricazione di imballaggi in legno</t>
  </si>
  <si>
    <t>16.29.11</t>
  </si>
  <si>
    <t>Fabbricazione di parti in legno per calzature</t>
  </si>
  <si>
    <t>16.29.12</t>
  </si>
  <si>
    <t>Fabbricazione di manici di ombrelli, bastoni e simili</t>
  </si>
  <si>
    <t>16.29.19</t>
  </si>
  <si>
    <t>Fabbricazione di altri prodotti vari in legno (esclusi i mobili)</t>
  </si>
  <si>
    <t>16.29.20</t>
  </si>
  <si>
    <t>Fabbricazione dei prodotti della lavorazione del sughero</t>
  </si>
  <si>
    <t>16.29.30</t>
  </si>
  <si>
    <t>Fabbricazione di articoli in paglia e materiali da intreccio</t>
  </si>
  <si>
    <t>16.29.40</t>
  </si>
  <si>
    <t>Laboratori di corniciai</t>
  </si>
  <si>
    <t>17</t>
  </si>
  <si>
    <t>FABBRICAZIONE DI CARTA E DI PRODOTTI DI CARTA</t>
  </si>
  <si>
    <t>17.11.00</t>
  </si>
  <si>
    <t>Fabbricazione di pasta-carta</t>
  </si>
  <si>
    <t>17.12.00</t>
  </si>
  <si>
    <t>Fabbricazione di carta e cartone</t>
  </si>
  <si>
    <t>17.21.00</t>
  </si>
  <si>
    <t>Fabbricazione di carta e cartone ondulato e di imballaggi di carta e cartone (esclusi quelli in carta pressata)</t>
  </si>
  <si>
    <t>17.22.00</t>
  </si>
  <si>
    <t>Fabbricazione di prodotti igienico-sanitari e per uso domestico in carta e ovatta di cellulosa</t>
  </si>
  <si>
    <t>17.23.01</t>
  </si>
  <si>
    <t>Fabbricazione di prodotti cartotecnici scolastici e commerciali quando l'attività di stampa non è la principale caratteristica</t>
  </si>
  <si>
    <t>17.23.09</t>
  </si>
  <si>
    <t>Fabbricazione di altri prodotti cartotecnici</t>
  </si>
  <si>
    <t>17.24.00</t>
  </si>
  <si>
    <t>Fabbricazione di carta da parati</t>
  </si>
  <si>
    <t>17.29.00</t>
  </si>
  <si>
    <t>Fabbricazione di altri articoli di carta e cartone</t>
  </si>
  <si>
    <t>18</t>
  </si>
  <si>
    <t>STAMPA E RIPRODUZIONE DI SUPPORTI REGISTRATI</t>
  </si>
  <si>
    <t>18.11.00</t>
  </si>
  <si>
    <t>Stampa di giornali</t>
  </si>
  <si>
    <t>18.12.00</t>
  </si>
  <si>
    <t>Altra stampa</t>
  </si>
  <si>
    <t>18.13.00</t>
  </si>
  <si>
    <t>Lavorazioni preliminari alla stampa e ai media</t>
  </si>
  <si>
    <t>18.14.00</t>
  </si>
  <si>
    <t>Legatoria e servizi connessi</t>
  </si>
  <si>
    <t>18.20.00</t>
  </si>
  <si>
    <t>Riproduzione di supporti registrati</t>
  </si>
  <si>
    <t>19</t>
  </si>
  <si>
    <t>FABBRICAZIONE DI COKE E PRODOTTI DERIVANTI DALLA RAFFINAZIONE DEL PETROLIO</t>
  </si>
  <si>
    <t>19.10.01</t>
  </si>
  <si>
    <t>Fabbricazione di pece e coke di pece</t>
  </si>
  <si>
    <t>19.10.09</t>
  </si>
  <si>
    <t>Fabbricazione di altri prodotti di cokeria</t>
  </si>
  <si>
    <t>19.20.10</t>
  </si>
  <si>
    <t>Raffinerie di petrolio</t>
  </si>
  <si>
    <t>19.20.20</t>
  </si>
  <si>
    <t>Preparazione o miscelazione di derivati del petrolio (esclusa la petrolchimica)</t>
  </si>
  <si>
    <t>19.20.30</t>
  </si>
  <si>
    <t>Miscelazione di gas petroliferi liquefatti (GPL) e loro imbottigliamento</t>
  </si>
  <si>
    <t>19.20.40</t>
  </si>
  <si>
    <t>Fabbricazione di emulsioni di bitume, di catrame e di leganti per uso stradale</t>
  </si>
  <si>
    <t>19.20.90</t>
  </si>
  <si>
    <t>Fabbricazione di altri prodotti petroliferi raffinati</t>
  </si>
  <si>
    <t>20</t>
  </si>
  <si>
    <t>FABBRICAZIONE DI PRODOTTI CHIMICI</t>
  </si>
  <si>
    <t>20.11.00</t>
  </si>
  <si>
    <t>Fabbricazione di gas industriali</t>
  </si>
  <si>
    <t>20.12.00</t>
  </si>
  <si>
    <t>Fabbricazione di coloranti e pigmenti</t>
  </si>
  <si>
    <t>20.13.01</t>
  </si>
  <si>
    <t>Fabbricazione di uranio e torio arricchito</t>
  </si>
  <si>
    <t>20.13.09</t>
  </si>
  <si>
    <t>Fabbricazione di altri prodotti chimici di base inorganici</t>
  </si>
  <si>
    <t>20.14.01</t>
  </si>
  <si>
    <t>Fabbricazione di alcol etilico da materiali fermentati</t>
  </si>
  <si>
    <t>20.14.09</t>
  </si>
  <si>
    <t>Fabbricazione di altri prodotti chimici di base organici nca</t>
  </si>
  <si>
    <t>20.15.00</t>
  </si>
  <si>
    <t>Fabbricazione di fertilizzanti e composti azotati (esclusa la fabbricazione di compost)</t>
  </si>
  <si>
    <t>20.16.00</t>
  </si>
  <si>
    <t>Fabbricazione di materie plastiche in forme primarie</t>
  </si>
  <si>
    <t>20.17.00</t>
  </si>
  <si>
    <t>Fabbricazione di gomma sintetica in forme primarie</t>
  </si>
  <si>
    <t>20.20.00</t>
  </si>
  <si>
    <t>Fabbricazione di agrofarmaci e di altri prodotti chimici per l'agricoltura (esclusi i concimi)</t>
  </si>
  <si>
    <t>20.30.00</t>
  </si>
  <si>
    <t>Fabbricazione di pitture, vernici e smalti, inchiostri da stampa e adesivi sintetici (mastici)</t>
  </si>
  <si>
    <t>20.41.10</t>
  </si>
  <si>
    <t>Fabbricazione di saponi, detergenti e di agenti organici tensioattivi (esclusi i prodotti per toletta)</t>
  </si>
  <si>
    <t>20.41.20</t>
  </si>
  <si>
    <t>Fabbricazione di specialità chimiche per uso domestico e per manutenzione</t>
  </si>
  <si>
    <t>20.42.00</t>
  </si>
  <si>
    <t>Fabbricazione di prodotti per toletta: profumi, cosmetici, saponi e simili</t>
  </si>
  <si>
    <t>20.51.01</t>
  </si>
  <si>
    <t>Fabbricazione di fiammiferi</t>
  </si>
  <si>
    <t>20.51.02</t>
  </si>
  <si>
    <t>Fabbricazione di articoli esplosivi</t>
  </si>
  <si>
    <t>20.52.00</t>
  </si>
  <si>
    <t>Fabbricazione di colle</t>
  </si>
  <si>
    <t>20.53.00</t>
  </si>
  <si>
    <t>Fabbricazione di oli essenziali</t>
  </si>
  <si>
    <t>20.59.10</t>
  </si>
  <si>
    <t>Fabbricazione di prodotti chimici per uso fotografico</t>
  </si>
  <si>
    <t>20.59.20</t>
  </si>
  <si>
    <t>Fabbricazione di prodotti chimici organici ottenuti da prodotti di base derivati da processi di fermentazione o da materie prime vegetali</t>
  </si>
  <si>
    <t>20.59.30</t>
  </si>
  <si>
    <t>Trattamento chimico degli acidi grassi</t>
  </si>
  <si>
    <t>20.59.40</t>
  </si>
  <si>
    <t>Fabbricazione di prodotti chimici vari per uso industriale (inclusi i preparati antidetonanti e antigelo)</t>
  </si>
  <si>
    <t>20.59.50</t>
  </si>
  <si>
    <t>Fabbricazione di prodotti chimici impiegati per ufficio e per il consumo non industriale</t>
  </si>
  <si>
    <t>20.59.60</t>
  </si>
  <si>
    <t>Fabbricazione di prodotti ausiliari per le industrie tessili e del cuoio</t>
  </si>
  <si>
    <t>20.59.70</t>
  </si>
  <si>
    <t>Fabbricazione di prodotti elettrochimici (esclusa produzione di cloro, soda e potassa) ed elettrotermici</t>
  </si>
  <si>
    <t>20.59.90</t>
  </si>
  <si>
    <t>Fabbricazione di altri prodotti chimici nca</t>
  </si>
  <si>
    <t>20.60.00</t>
  </si>
  <si>
    <t>Fabbricazione di fibre sintetiche e artificiali</t>
  </si>
  <si>
    <t>21</t>
  </si>
  <si>
    <t>FABBRICAZIONE DI PRODOTTI FARMACEUTICI DI BASE E DI PREPARATI FARMACEUTICI</t>
  </si>
  <si>
    <t>21.10.00</t>
  </si>
  <si>
    <t>Fabbricazione di prodotti farmaceutici di base</t>
  </si>
  <si>
    <t>21.20.01</t>
  </si>
  <si>
    <t>Fabbricazione di sostanze diagnostiche radioattive in vivo</t>
  </si>
  <si>
    <t>21.20.09</t>
  </si>
  <si>
    <t>Fabbricazione di medicinali ed altri preparati farmaceutici</t>
  </si>
  <si>
    <t>22</t>
  </si>
  <si>
    <t>FABBRICAZIONE DI ARTICOLI IN GOMMA E MATERIE PLASTICHE</t>
  </si>
  <si>
    <t>22.11.10</t>
  </si>
  <si>
    <t>Fabbricazione di pneumatici e di camere d'aria</t>
  </si>
  <si>
    <t>22.11.20</t>
  </si>
  <si>
    <t>Rigenerazione e ricostruzione di pneumatici</t>
  </si>
  <si>
    <t>22.19.01</t>
  </si>
  <si>
    <t>Fabbricazione di suole di gomma e altre parti in gomma per calzature</t>
  </si>
  <si>
    <t>22.19.09</t>
  </si>
  <si>
    <t>Fabbricazione di altri prodotti in gomma nca</t>
  </si>
  <si>
    <t>22.21.00</t>
  </si>
  <si>
    <t>Fabbricazione di lastre, fogli, tubi e profilati in materie plastiche</t>
  </si>
  <si>
    <t>22.22.00</t>
  </si>
  <si>
    <t>Fabbricazione di imballaggi in materie plastiche</t>
  </si>
  <si>
    <t>22.23.01</t>
  </si>
  <si>
    <t>Fabbricazione di rivestimenti elastici per pavimenti (vinile, linoleum eccetera)</t>
  </si>
  <si>
    <t>22.23.02</t>
  </si>
  <si>
    <t>Fabbricazione di porte, finestre, intelaiature eccetera in plastica per l'edilizia</t>
  </si>
  <si>
    <t>22.23.09</t>
  </si>
  <si>
    <t>Fabbricazione di altri articoli in plastica per l'edilizia</t>
  </si>
  <si>
    <t>22.29.01</t>
  </si>
  <si>
    <t>Fabbricazione di parti in plastica per calzature</t>
  </si>
  <si>
    <t>22.29.02</t>
  </si>
  <si>
    <t>Fabbricazione di oggetti per l'ufficio e la scuola in plastica</t>
  </si>
  <si>
    <t>22.29.09</t>
  </si>
  <si>
    <t>Fabbricazione di altri articoli in materie plastiche nca</t>
  </si>
  <si>
    <t>23</t>
  </si>
  <si>
    <t>FABBRICAZIONE DI ALTRI PRODOTTI DELLA LAVORAZIONE DI MINERALI NON METALLIFERI</t>
  </si>
  <si>
    <t>23.11.00</t>
  </si>
  <si>
    <t>Fabbricazione di vetro piano</t>
  </si>
  <si>
    <t>23.12.00</t>
  </si>
  <si>
    <t>Lavorazione e trasformazione del vetro piano</t>
  </si>
  <si>
    <t>23.13.00</t>
  </si>
  <si>
    <t>Fabbricazione di vetro cavo</t>
  </si>
  <si>
    <t>23.14.00</t>
  </si>
  <si>
    <t>Fabbricazione di fibre di vetro</t>
  </si>
  <si>
    <t>23.19.10</t>
  </si>
  <si>
    <t>Fabbricazione di vetrerie per laboratori, per uso igienico, per farmacia</t>
  </si>
  <si>
    <t>23.19.20</t>
  </si>
  <si>
    <t>Lavorazione di vetro a mano e a soffio artistico</t>
  </si>
  <si>
    <t>23.19.90</t>
  </si>
  <si>
    <t>Fabbricazione di altri prodotti in vetro (inclusa la vetreria tecnica)</t>
  </si>
  <si>
    <t>23.20.00</t>
  </si>
  <si>
    <t>Fabbricazione di prodotti refrattari</t>
  </si>
  <si>
    <t>23.31.00</t>
  </si>
  <si>
    <t>Fabbricazione di piastrelle in ceramica per pavimenti e rivestimenti</t>
  </si>
  <si>
    <t>23.32.00</t>
  </si>
  <si>
    <t>Fabbricazione di mattoni, tegole ed altri prodotti per l'edilizia in terracotta</t>
  </si>
  <si>
    <t>23.41.00</t>
  </si>
  <si>
    <t>Fabbricazione di prodotti in ceramica per usi domestici e ornamentali</t>
  </si>
  <si>
    <t>23.42.00</t>
  </si>
  <si>
    <t>Fabbricazione di articoli sanitari in ceramica</t>
  </si>
  <si>
    <t>23.43.00</t>
  </si>
  <si>
    <t>Fabbricazione di isolatori e di pezzi isolanti in ceramica</t>
  </si>
  <si>
    <t>23.44.00</t>
  </si>
  <si>
    <t>Fabbricazione di altri prodotti in ceramica per uso tecnico e industriale</t>
  </si>
  <si>
    <t>23.49.00</t>
  </si>
  <si>
    <t>Fabbricazione di altri prodotti in ceramica</t>
  </si>
  <si>
    <t>23.51.00</t>
  </si>
  <si>
    <t>Produzione di cemento</t>
  </si>
  <si>
    <t>23.52.10</t>
  </si>
  <si>
    <t>Produzione di calce</t>
  </si>
  <si>
    <t>23.52.20</t>
  </si>
  <si>
    <t>Produzione di gesso</t>
  </si>
  <si>
    <t>23.61.00</t>
  </si>
  <si>
    <t>Fabbricazione di prodotti in calcestruzzo per l'edilizia</t>
  </si>
  <si>
    <t>23.62.00</t>
  </si>
  <si>
    <t>Fabbricazione di prodotti in gesso per l'edilizia</t>
  </si>
  <si>
    <t>23.63.00</t>
  </si>
  <si>
    <t>Produzione di calcestruzzo pronto per l'uso</t>
  </si>
  <si>
    <t>23.64.00</t>
  </si>
  <si>
    <t>Produzione di malta</t>
  </si>
  <si>
    <t>23.65.00</t>
  </si>
  <si>
    <t>Fabbricazione di prodotti in fibrocemento</t>
  </si>
  <si>
    <t>23.69.00</t>
  </si>
  <si>
    <t>Fabbricazione di altri prodotti in calcestruzzo, gesso e cemento</t>
  </si>
  <si>
    <t>23.70.10</t>
  </si>
  <si>
    <t>Segagione e lavorazione delle pietre e del marmo</t>
  </si>
  <si>
    <t>23.70.20</t>
  </si>
  <si>
    <t>Lavorazione artistica del marmo e di altre pietre affini, lavori in mosaico</t>
  </si>
  <si>
    <t>23.70.30</t>
  </si>
  <si>
    <t>Frantumazione di pietre e minerali vari non in connessione con l'estrazione</t>
  </si>
  <si>
    <t>23.91.00</t>
  </si>
  <si>
    <t>Produzione di prodotti abrasivi</t>
  </si>
  <si>
    <t>23.99.00</t>
  </si>
  <si>
    <t>Fabbricazione di altri prodotti in minerali non metalliferi nca</t>
  </si>
  <si>
    <t>24</t>
  </si>
  <si>
    <t>METALLURGIA</t>
  </si>
  <si>
    <t>24.10.00</t>
  </si>
  <si>
    <t>Siderurgia - Fabbricazione di ferro, acciaio e ferroleghe</t>
  </si>
  <si>
    <t>24.20.10</t>
  </si>
  <si>
    <t>Fabbricazione di tubi e condotti senza saldatura</t>
  </si>
  <si>
    <t>24.20.20</t>
  </si>
  <si>
    <t>Fabbricazione di tubi e condotti saldati e simili</t>
  </si>
  <si>
    <t>24.31.00</t>
  </si>
  <si>
    <t>Stiratura a freddo di barre</t>
  </si>
  <si>
    <t>24.32.00</t>
  </si>
  <si>
    <t>Laminazione a freddo di nastri</t>
  </si>
  <si>
    <t>24.33.01</t>
  </si>
  <si>
    <t>Fabbricazione di pannelli stratificati in acciaio</t>
  </si>
  <si>
    <t>24.33.02</t>
  </si>
  <si>
    <t>Profilatura mediante formatura o piegatura a freddo</t>
  </si>
  <si>
    <t>24.34.00</t>
  </si>
  <si>
    <t>Trafilatura a freddo</t>
  </si>
  <si>
    <t>24.41.00</t>
  </si>
  <si>
    <t>Produzione di metalli preziosi e semilavorati</t>
  </si>
  <si>
    <t>24.42.00</t>
  </si>
  <si>
    <t>Produzione di alluminio e semilavorati</t>
  </si>
  <si>
    <t>24.43.00</t>
  </si>
  <si>
    <t>Produzione di piombo, zinco e stagno e semilavorati</t>
  </si>
  <si>
    <t>24.44.00</t>
  </si>
  <si>
    <t>Produzione di rame e semilavorati</t>
  </si>
  <si>
    <t>24.45.00</t>
  </si>
  <si>
    <t>Produzione di altri metalli non ferrosi e semilavorati</t>
  </si>
  <si>
    <t>24.46.00</t>
  </si>
  <si>
    <t>Trattamento dei combustibili nucleari (escluso l'arricchimento di uranio e torio)</t>
  </si>
  <si>
    <t>24.51.00</t>
  </si>
  <si>
    <t>Fusione di ghisa e produzione di tubi e raccordi in ghisa</t>
  </si>
  <si>
    <t>24.52.00</t>
  </si>
  <si>
    <t>Fusione di acciaio</t>
  </si>
  <si>
    <t>24.53.00</t>
  </si>
  <si>
    <t>Fusione di metalli leggeri</t>
  </si>
  <si>
    <t>24.54.00</t>
  </si>
  <si>
    <t>Fusione di altri metalli non ferrosi</t>
  </si>
  <si>
    <t>25</t>
  </si>
  <si>
    <t>FABBRICAZIONE DI PRODOTTI IN METALLO (ESCLUSI MACCHINARI E ATTREZZATURE)</t>
  </si>
  <si>
    <t>25.11.00</t>
  </si>
  <si>
    <t>Fabbricazione di strutture metalliche e parti assemblate di strutture</t>
  </si>
  <si>
    <t>25.12.10</t>
  </si>
  <si>
    <t>Fabbricazione di porte, finestre e loro telai, imposte e cancelli metallici</t>
  </si>
  <si>
    <t>25.12.20</t>
  </si>
  <si>
    <t>Fabbricazione di strutture metalliche per tende da sole, tende alla veneziana e simili</t>
  </si>
  <si>
    <t>25.21.00</t>
  </si>
  <si>
    <t>Fabbricazione di radiatori e contenitori in metallo per caldaie per il riscaldamento centrale</t>
  </si>
  <si>
    <t>25.29.00</t>
  </si>
  <si>
    <t>Fabbricazione di cisterne, serbatoi e contenitori in metallo per impieghi di stoccaggio o di produzione</t>
  </si>
  <si>
    <t>25.30.00</t>
  </si>
  <si>
    <t>Fabbricazione di generatori di vapore (esclusi i contenitori in metallo per caldaie per il riscaldamento centrale ad acqua calda)</t>
  </si>
  <si>
    <t>25.40.00</t>
  </si>
  <si>
    <t>Fabbricazione di armi e munizioni</t>
  </si>
  <si>
    <t>25.50.00</t>
  </si>
  <si>
    <t>Fucinatura, imbutitura, stampaggio e profilatura dei metalli; metallurgia delle polveri</t>
  </si>
  <si>
    <t>25.61.00</t>
  </si>
  <si>
    <t>Trattamento e rivestimento dei metalli</t>
  </si>
  <si>
    <t>25.62.00</t>
  </si>
  <si>
    <t>Lavori di meccanica generale</t>
  </si>
  <si>
    <t>25.71.00</t>
  </si>
  <si>
    <t>Fabbricazione di articoli di coltelleria, posateria ed armi bianche</t>
  </si>
  <si>
    <t>25.72.00</t>
  </si>
  <si>
    <t>Fabbricazione di serrature e cerniere e ferramenta simili</t>
  </si>
  <si>
    <t>25.73.11</t>
  </si>
  <si>
    <t>Fabbricazione di utensileria ad azionamento manuale</t>
  </si>
  <si>
    <t>25.73.12</t>
  </si>
  <si>
    <t>Fabbricazione di parti intercambiabili per macchine utensili</t>
  </si>
  <si>
    <t>25.73.20</t>
  </si>
  <si>
    <t>Fabbricazione di stampi, portastampi, sagome, forme per macchine</t>
  </si>
  <si>
    <t>25.91.00</t>
  </si>
  <si>
    <t>Fabbricazione di bidoni in acciaio e contenitori analoghi per il trasporto e l'imballaggio</t>
  </si>
  <si>
    <t>25.92.00</t>
  </si>
  <si>
    <t>Fabbricazione di imballaggi leggeri in metallo</t>
  </si>
  <si>
    <t>25.93.10</t>
  </si>
  <si>
    <t>Fabbricazione di prodotti fabbricati con fili metallici</t>
  </si>
  <si>
    <t>25.93.20</t>
  </si>
  <si>
    <t>Fabbricazione di molle</t>
  </si>
  <si>
    <t>25.93.30</t>
  </si>
  <si>
    <t>Fabbricazione di catene fucinate senza saldatura e stampate</t>
  </si>
  <si>
    <t>25.94.00</t>
  </si>
  <si>
    <t>Fabbricazione di articoli di bulloneria</t>
  </si>
  <si>
    <t>25.99.11</t>
  </si>
  <si>
    <t>Fabbricazione di caraffe e bottiglie isolate in metallo</t>
  </si>
  <si>
    <t>25.99.19</t>
  </si>
  <si>
    <t>Fabbricazione di stoviglie, pentolame, vasellame, attrezzi da cucina e altri accessori casalinghi non elettrici, articoli metallici per l'arredamento di stanze da bagno</t>
  </si>
  <si>
    <t>25.99.20</t>
  </si>
  <si>
    <t>Fabbricazione di casseforti, forzieri e porte metalliche blindate</t>
  </si>
  <si>
    <t>25.99.30</t>
  </si>
  <si>
    <t>Fabbricazione di oggetti in ferro, in rame ed altri metalli</t>
  </si>
  <si>
    <t>25.99.91</t>
  </si>
  <si>
    <t>Fabbricazione di magneti metallici permanenti</t>
  </si>
  <si>
    <t>25.99.99</t>
  </si>
  <si>
    <t>Fabbricazione di altri articoli metallici e minuteria metallica nca</t>
  </si>
  <si>
    <t>26</t>
  </si>
  <si>
    <t>FABBRICAZIONE DI COMPUTER E PRODOTTI DI ELETTRONICA E OTTICA; APPARECCHI ELETTROMEDICALI, APPARECCHI DI MISURAZIONE E DI OROLOGI</t>
  </si>
  <si>
    <t>26.11.01</t>
  </si>
  <si>
    <t>Fabbricazione di diodi, transistor e relativi congegni elettronici</t>
  </si>
  <si>
    <t>26.11.09</t>
  </si>
  <si>
    <t>Fabbricazione di altri componenti elettronici</t>
  </si>
  <si>
    <t>26.12.00</t>
  </si>
  <si>
    <t>Fabbricazione di schede elettroniche assemblate</t>
  </si>
  <si>
    <t>26.20.00</t>
  </si>
  <si>
    <t>Fabbricazione di computer e unità periferiche</t>
  </si>
  <si>
    <t>26.30.10</t>
  </si>
  <si>
    <t>Fabbricazione di apparecchi trasmittenti radiotelevisivi (incluse le telecamere)</t>
  </si>
  <si>
    <t>26.30.21</t>
  </si>
  <si>
    <t>Fabbricazione di sistemi antifurto e antincendio</t>
  </si>
  <si>
    <t>26.30.29</t>
  </si>
  <si>
    <t>Fabbricazione di altri apparecchi elettrici ed elettronici per telecomunicazioni</t>
  </si>
  <si>
    <t>26.40.01</t>
  </si>
  <si>
    <t>Fabbricazione di apparecchi per la riproduzione e registrazione del suono e delle immagini</t>
  </si>
  <si>
    <t>26.40.02</t>
  </si>
  <si>
    <t>Fabbricazione di console per videogiochi (esclusi i giochi elettronici)</t>
  </si>
  <si>
    <t>26.51.10</t>
  </si>
  <si>
    <t>Fabbricazione di strumenti per navigazione, idrologia, geofisica e meteorologia</t>
  </si>
  <si>
    <t>26.51.21</t>
  </si>
  <si>
    <t>Fabbricazione di rilevatori di fiamma e combustione, di mine, di movimento, generatori d'impulso e metal detector</t>
  </si>
  <si>
    <t>26.51.29</t>
  </si>
  <si>
    <t>Fabbricazione di altri apparecchi di misura e regolazione, strumenti da disegno, di contatori di elettricità, gas, acqua ed altri liquidi, di bilance analitiche di precisione (incluse parti staccate ed accessori)</t>
  </si>
  <si>
    <t>26.52.00</t>
  </si>
  <si>
    <t>Fabbricazione di orologi</t>
  </si>
  <si>
    <t>26.60.01</t>
  </si>
  <si>
    <t>Fabbricazione di apparecchiature di irradiazione per alimenti e latte</t>
  </si>
  <si>
    <t>26.60.02</t>
  </si>
  <si>
    <t>Fabbricazione di apparecchi elettromedicali (incluse parti staccate e accessori)</t>
  </si>
  <si>
    <t>26.60.09</t>
  </si>
  <si>
    <t>Fabbricazione di altri strumenti per irradiazione ed altre apparecchiature elettroterapeutiche</t>
  </si>
  <si>
    <t>26.70.11</t>
  </si>
  <si>
    <t>Fabbricazione di elementi ottici e strumenti ottici di precisione</t>
  </si>
  <si>
    <t>26.70.12</t>
  </si>
  <si>
    <t>Fabbricazione di attrezzature ottiche di misurazione e controllo</t>
  </si>
  <si>
    <t>26.70.20</t>
  </si>
  <si>
    <t>Fabbricazione di apparecchiature fotografiche e cinematografiche</t>
  </si>
  <si>
    <t>26.80.00</t>
  </si>
  <si>
    <t>Fabbricazione di supporti magnetici ed ottici</t>
  </si>
  <si>
    <t>27</t>
  </si>
  <si>
    <t>FABBRICAZIONE DI APPARECCHIATURE ELETTRICHE ED APPARECCHIATURE PER USO DOMESTICO NON ELETTRICHE</t>
  </si>
  <si>
    <t>27.11.00</t>
  </si>
  <si>
    <t>Fabbricazione di motori, generatori e trasformatori elettrici</t>
  </si>
  <si>
    <t>27.12.00</t>
  </si>
  <si>
    <t>Fabbricazione di apparecchiature per le reti di distribuzione e il controllo dell'elettricità</t>
  </si>
  <si>
    <t>27.20.00</t>
  </si>
  <si>
    <t>Fabbricazione di batterie di pile ed accumulatori elettrici</t>
  </si>
  <si>
    <t>27.31.01</t>
  </si>
  <si>
    <t>Fabbricazione di cavi a fibra ottica per la trasmissione di dati o di immagini</t>
  </si>
  <si>
    <t>27.31.02</t>
  </si>
  <si>
    <t>Fabbricazione di fibre ottiche</t>
  </si>
  <si>
    <t>27.32.00</t>
  </si>
  <si>
    <t>Fabbricazione di altri fili e cavi elettrici ed elettronici</t>
  </si>
  <si>
    <t>27.33.01</t>
  </si>
  <si>
    <t>Fabbricazione di apparecchiature in plastica non conduttiva</t>
  </si>
  <si>
    <t>27.33.09</t>
  </si>
  <si>
    <t>Fabbricazione di altre attrezzature per cablaggio</t>
  </si>
  <si>
    <t>27.40.01</t>
  </si>
  <si>
    <t>Fabbricazione di apparecchiature di illuminazione e segnalazione per mezzi di trasporto</t>
  </si>
  <si>
    <t>27.40.09</t>
  </si>
  <si>
    <t>Fabbricazione di altre apparecchiature per illuminazione</t>
  </si>
  <si>
    <t>27.51.00</t>
  </si>
  <si>
    <t>Fabbricazione di elettrodomestici</t>
  </si>
  <si>
    <t>27.52.00</t>
  </si>
  <si>
    <t>Fabbricazione di apparecchi per uso domestico non elettrici</t>
  </si>
  <si>
    <t>27.90.01</t>
  </si>
  <si>
    <t>Fabbricazione di apparecchiature elettriche per saldature e brasature</t>
  </si>
  <si>
    <t>27.90.02</t>
  </si>
  <si>
    <t>Fabbricazione di insegne elettriche e apparecchiature elettriche di segnalazione</t>
  </si>
  <si>
    <t>27.90.03</t>
  </si>
  <si>
    <t>Fabbricazione di capacitori elettrici, resistenze, condensatori e simili, acceleratori</t>
  </si>
  <si>
    <t>27.90.09</t>
  </si>
  <si>
    <t>Fabbricazione di altre apparecchiature elettriche nca</t>
  </si>
  <si>
    <t>28</t>
  </si>
  <si>
    <t>FABBRICAZIONE DI MACCHINARI ED APPARECCHIATURE NCA</t>
  </si>
  <si>
    <t>28.11.11</t>
  </si>
  <si>
    <t>Fabbricazione di motori a combustione interna (esclusi i motori destinati ai mezzi di trasporto su strada e ad aeromobili)</t>
  </si>
  <si>
    <t>28.11.12</t>
  </si>
  <si>
    <t>Fabbricazione di pistoni, fasce elastiche, carburatori e parti simili di motori a combustione interna</t>
  </si>
  <si>
    <t>28.11.20</t>
  </si>
  <si>
    <t>Fabbricazione di turbine e turboalternatori (incluse parti e accessori)</t>
  </si>
  <si>
    <t>28.12.00</t>
  </si>
  <si>
    <t>Fabbricazione di apparecchiature fluidodinamiche</t>
  </si>
  <si>
    <t>28.13.00</t>
  </si>
  <si>
    <t>Fabbricazione di altre pompe e compressori</t>
  </si>
  <si>
    <t>28.14.00</t>
  </si>
  <si>
    <t>Fabbricazione di altri rubinetti e valvole</t>
  </si>
  <si>
    <t>28.15.10</t>
  </si>
  <si>
    <t>Fabbricazione di organi di trasmissione (esclusi quelli idraulici e quelli per autoveicoli, aeromobili e motocicli)</t>
  </si>
  <si>
    <t>28.15.20</t>
  </si>
  <si>
    <t>Fabbricazione di cuscinetti a sfere</t>
  </si>
  <si>
    <t>28.21.10</t>
  </si>
  <si>
    <t>Fabbricazione di forni, fornaci e bruciatori</t>
  </si>
  <si>
    <t>28.21.21</t>
  </si>
  <si>
    <t>Fabbricazione di caldaie per riscaldamento</t>
  </si>
  <si>
    <t>28.21.29</t>
  </si>
  <si>
    <t>Fabbricazione di altri sistemi per riscaldamento</t>
  </si>
  <si>
    <t>28.22.01</t>
  </si>
  <si>
    <t>Fabbricazione di ascensori, montacarichi e scale mobili</t>
  </si>
  <si>
    <t>28.22.02</t>
  </si>
  <si>
    <t>Fabbricazione di gru, argani, verricelli a mano e a motore, carrelli trasbordatori, carrelli elevatori e piattaforme girevoli</t>
  </si>
  <si>
    <t>28.22.03</t>
  </si>
  <si>
    <t>Fabbricazione di carriole</t>
  </si>
  <si>
    <t>28.22.09</t>
  </si>
  <si>
    <t>Fabbricazione di altre macchine e apparecchi di sollevamento e movimentazione</t>
  </si>
  <si>
    <t>28.23.01</t>
  </si>
  <si>
    <t>Fabbricazione di cartucce toner</t>
  </si>
  <si>
    <t>28.23.09</t>
  </si>
  <si>
    <t>Fabbricazione di macchine ed altre attrezzature per ufficio (esclusi computer e periferiche)</t>
  </si>
  <si>
    <t>28.24.00</t>
  </si>
  <si>
    <t>Fabbricazione di utensili portatili a motore</t>
  </si>
  <si>
    <t>28.25.00</t>
  </si>
  <si>
    <t>Fabbricazione di attrezzature di uso non domestico per la refrigerazione e la ventilazione; fabbricazione di condizionatori domestici fissi</t>
  </si>
  <si>
    <t>28.29.10</t>
  </si>
  <si>
    <t>Fabbricazione di bilance e di macchine automatiche per la vendita e la distribuzione (incluse parti staccate e accessori)</t>
  </si>
  <si>
    <t>28.29.20</t>
  </si>
  <si>
    <t>Fabbricazione di macchine e apparecchi per le industrie chimiche, petrolchimiche e petrolifere (incluse parti e accessori)</t>
  </si>
  <si>
    <t>28.29.30</t>
  </si>
  <si>
    <t>Fabbricazione di macchine automatiche per la dosatura, la confezione e per l'imballaggio (incluse parti e accessori)</t>
  </si>
  <si>
    <t>28.29.91</t>
  </si>
  <si>
    <t>Fabbricazione di apparecchi per depurare e filtrare liquidi e gas per uso non domestico</t>
  </si>
  <si>
    <t>28.29.92</t>
  </si>
  <si>
    <t>Fabbricazione di macchine per la pulizia (incluse le lavastoviglie) per uso non domestico</t>
  </si>
  <si>
    <t>28.29.93</t>
  </si>
  <si>
    <t>Fabbricazione di livelle, metri doppi a nastro e utensili simili, strumenti di precisione per meccanica (esclusi quelli ottici)</t>
  </si>
  <si>
    <t>28.29.99</t>
  </si>
  <si>
    <t>Fabbricazione di altro materiale meccanico e di altre macchine di impiego generale nca</t>
  </si>
  <si>
    <t>28.30.10</t>
  </si>
  <si>
    <t>Fabbricazione di trattori agricoli</t>
  </si>
  <si>
    <t>28.30.90</t>
  </si>
  <si>
    <t>Fabbricazione di altre macchine per l'agricoltura, la silvicoltura e la zootecnia</t>
  </si>
  <si>
    <t>28.41.00</t>
  </si>
  <si>
    <t>Fabbricazione di macchine utensili per la formatura dei metalli (incluse parti e accessori ed escluse le parti intercambiabili)</t>
  </si>
  <si>
    <t>28.49.01</t>
  </si>
  <si>
    <t>Fabbricazione di macchine per la galvanostegia</t>
  </si>
  <si>
    <t>28.49.09</t>
  </si>
  <si>
    <t>Fabbricazione di altre macchine utensili (incluse parti e accessori) nca</t>
  </si>
  <si>
    <t>28.91.00</t>
  </si>
  <si>
    <t>Fabbricazione di macchine per la metallurgia (incluse parti e accessori)</t>
  </si>
  <si>
    <t>28.92.01</t>
  </si>
  <si>
    <t>Fabbricazione di macchine per il trasporto a cassone ribaltabile per impiego specifico in miniere, cave e cantieri</t>
  </si>
  <si>
    <t>28.92.09</t>
  </si>
  <si>
    <t>Fabbricazione di altre macchine da miniera, cava e cantiere (incluse parti e accessori)</t>
  </si>
  <si>
    <t>28.93.00</t>
  </si>
  <si>
    <t>Fabbricazione di macchine per l'industria alimentare, delle bevande e del tabacco (incluse parti e accessori)</t>
  </si>
  <si>
    <t>28.94.10</t>
  </si>
  <si>
    <t>Fabbricazione di macchine tessili, di macchine e di impianti per il trattamento ausiliario dei tessili, di macchine per cucire e per maglieria (incluse parti e accessori)</t>
  </si>
  <si>
    <t>28.94.20</t>
  </si>
  <si>
    <t>Fabbricazione di macchine e apparecchi per l'industria delle pelli, del cuoio e delle calzature (incluse parti e accessori)</t>
  </si>
  <si>
    <t>28.94.30</t>
  </si>
  <si>
    <t>Fabbricazione di apparecchiature e di macchine per lavanderie e stirerie (incluse parti e accessori)</t>
  </si>
  <si>
    <t>28.95.00</t>
  </si>
  <si>
    <t>Fabbricazione di macchine per l'industria della carta e del cartone (incluse parti e accessori)</t>
  </si>
  <si>
    <t>28.96.00</t>
  </si>
  <si>
    <t>Fabbricazione di macchine per l'industria delle materie plastiche e della gomma (incluse parti e accessori)</t>
  </si>
  <si>
    <t>28.99.10</t>
  </si>
  <si>
    <t>Fabbricazione di macchine per la stampa e la legatoria (incluse parti e accessori)</t>
  </si>
  <si>
    <t>28.99.20</t>
  </si>
  <si>
    <t>Fabbricazione di robot industriali per usi molteplici (incluse parti e accessori)</t>
  </si>
  <si>
    <t>28.99.30</t>
  </si>
  <si>
    <t>Fabbricazione di apparecchi per istituti di bellezza e centri di benessere</t>
  </si>
  <si>
    <t>28.99.91</t>
  </si>
  <si>
    <t>Fabbricazione di apparecchiature per il lancio di aeromobili, catapulte per portaerei e apparecchiature simili</t>
  </si>
  <si>
    <t>28.99.92</t>
  </si>
  <si>
    <t>Fabbricazione di giostre, altalene ed altre attrezzature per parchi di divertimento</t>
  </si>
  <si>
    <t>28.99.93</t>
  </si>
  <si>
    <t>Fabbricazione di apparecchiature per l'allineamento e il bilanciamento delle ruote; altre apparecchiature per il bilanciamento</t>
  </si>
  <si>
    <t>28.99.99</t>
  </si>
  <si>
    <t>Fabbricazione di altre macchine ed attrezzature per impieghi speciali nca (incluse parti e accessori)</t>
  </si>
  <si>
    <t>29</t>
  </si>
  <si>
    <t>FABBRICAZIONE DI AUTOVEICOLI, RIMORCHI E SEMIRIMORCHI</t>
  </si>
  <si>
    <t>29.10.00</t>
  </si>
  <si>
    <t>Fabbricazione di autoveicoli</t>
  </si>
  <si>
    <t>29.20.00</t>
  </si>
  <si>
    <t>Fabbricazione di carrozzerie per autoveicoli, rimorchi e semirimorchi</t>
  </si>
  <si>
    <t>29.31.00</t>
  </si>
  <si>
    <t>Fabbricazione di apparecchiature elettriche ed elettroniche per autoveicoli e loro motori</t>
  </si>
  <si>
    <t>29.32.01</t>
  </si>
  <si>
    <t>Fabbricazione di sedili per autoveicoli</t>
  </si>
  <si>
    <t>29.32.09</t>
  </si>
  <si>
    <t>Fabbricazione di altre parti ed accessori per autoveicoli e loro motori nca</t>
  </si>
  <si>
    <t>30</t>
  </si>
  <si>
    <t>FABBRICAZIONE DI ALTRI MEZZI DI TRASPORTO</t>
  </si>
  <si>
    <t>30.11.01</t>
  </si>
  <si>
    <t>Fabbricazione di sedili per navi</t>
  </si>
  <si>
    <t>30.11.02</t>
  </si>
  <si>
    <t>Cantieri navali per costruzioni metalliche e non metalliche (esclusi i sedili per navi)</t>
  </si>
  <si>
    <t>30.12.00</t>
  </si>
  <si>
    <t>Costruzione di imbarcazioni da diporto e sportive</t>
  </si>
  <si>
    <t>30.20.01</t>
  </si>
  <si>
    <t>Fabbricazione di sedili per tram, filovie e metropolitane</t>
  </si>
  <si>
    <t>30.20.02</t>
  </si>
  <si>
    <t>Costruzione di altro materiale rotabile ferroviario, tranviario, filoviario, per metropolitane e per miniere</t>
  </si>
  <si>
    <t>30.30.01</t>
  </si>
  <si>
    <t>Fabbricazione di sedili per aeromobili</t>
  </si>
  <si>
    <t>30.30.02</t>
  </si>
  <si>
    <t>Fabbricazione di missili balistici</t>
  </si>
  <si>
    <t>30.30.09</t>
  </si>
  <si>
    <t>Fabbricazione di aeromobili, di veicoli spaziali e dei relativi dispositivi nca</t>
  </si>
  <si>
    <t>30.40.00</t>
  </si>
  <si>
    <t>Fabbricazione di veicoli militari da combattimento</t>
  </si>
  <si>
    <t>30.91.11</t>
  </si>
  <si>
    <t>Fabbricazione di motori per motocicli</t>
  </si>
  <si>
    <t>30.91.12</t>
  </si>
  <si>
    <t>Fabbricazione di motocicli</t>
  </si>
  <si>
    <t>30.91.20</t>
  </si>
  <si>
    <t>Fabbricazione di accessori e pezzi staccati per motocicli e ciclomotori</t>
  </si>
  <si>
    <t>30.92.10</t>
  </si>
  <si>
    <t>Fabbricazione e montaggio di biciclette</t>
  </si>
  <si>
    <t>30.92.20</t>
  </si>
  <si>
    <t>Fabbricazione di parti ed accessori per biciclette</t>
  </si>
  <si>
    <t>30.92.30</t>
  </si>
  <si>
    <t>Fabbricazione di veicoli per invalidi (incluse parti e accessori)</t>
  </si>
  <si>
    <t>30.92.40</t>
  </si>
  <si>
    <t>Fabbricazione di carrozzine e passeggini per neonati</t>
  </si>
  <si>
    <t>30.99.00</t>
  </si>
  <si>
    <t>Fabbricazione di veicoli a trazione manuale o animale</t>
  </si>
  <si>
    <t>31</t>
  </si>
  <si>
    <t>FABBRICAZIONE DI MOBILI</t>
  </si>
  <si>
    <t>31.01.10</t>
  </si>
  <si>
    <t>Fabbricazione di sedie e poltrone per ufficio e negozi</t>
  </si>
  <si>
    <t>31.01.21</t>
  </si>
  <si>
    <t>Fabbricazione di altri mobili metallici per ufficio e negozi</t>
  </si>
  <si>
    <t>31.01.22</t>
  </si>
  <si>
    <t>Fabbricazione di altri mobili non metallici per ufficio e negozi</t>
  </si>
  <si>
    <t>31.02.00</t>
  </si>
  <si>
    <t>Fabbricazione di mobili per cucina</t>
  </si>
  <si>
    <t>31.03.00</t>
  </si>
  <si>
    <t>Fabbricazione di materassi</t>
  </si>
  <si>
    <t>31.09.10</t>
  </si>
  <si>
    <t>Fabbricazione di mobili per arredo domestico</t>
  </si>
  <si>
    <t>31.09.20</t>
  </si>
  <si>
    <t>Fabbricazione di sedie e sedili (esclusi quelli per aeromobili, autoveicoli, navi, treni, ufficio e negozi)</t>
  </si>
  <si>
    <t>31.09.30</t>
  </si>
  <si>
    <t>Fabbricazione di poltrone e divani</t>
  </si>
  <si>
    <t>31.09.40</t>
  </si>
  <si>
    <t>Fabbricazione di parti e accessori di mobili</t>
  </si>
  <si>
    <t>31.09.50</t>
  </si>
  <si>
    <t>Finitura di mobili</t>
  </si>
  <si>
    <t>31.09.90</t>
  </si>
  <si>
    <t>Fabbricazione di altri mobili (inclusi quelli per arredo esterno)</t>
  </si>
  <si>
    <t>32</t>
  </si>
  <si>
    <t>ALTRE INDUSTRIE MANIFATTURIERE</t>
  </si>
  <si>
    <t>32.11.00</t>
  </si>
  <si>
    <t>Coniazione di monete</t>
  </si>
  <si>
    <t>32.12.10</t>
  </si>
  <si>
    <t>Fabbricazione di oggetti di gioielleria ed oreficeria in metalli preziosi o rivestiti di metalli preziosi</t>
  </si>
  <si>
    <t>32.12.20</t>
  </si>
  <si>
    <t>Lavorazione di pietre preziose e semipreziose per gioielleria e per uso industriale</t>
  </si>
  <si>
    <t>32.13.01</t>
  </si>
  <si>
    <t>Fabbricazione di cinturini metallici per orologi (esclusi quelli in metalli preziosi)</t>
  </si>
  <si>
    <t>32.13.09</t>
  </si>
  <si>
    <t>Fabbricazione di bigiotteria e articoli simili nca</t>
  </si>
  <si>
    <t>32.20.00</t>
  </si>
  <si>
    <t>Fabbricazione di strumenti musicali (incluse parti e accessori)</t>
  </si>
  <si>
    <t>32.30.00</t>
  </si>
  <si>
    <t>Fabbricazione di articoli sportivi</t>
  </si>
  <si>
    <t>32.40.10</t>
  </si>
  <si>
    <t>Fabbricazione di giochi (inclusi i giochi elettronici)</t>
  </si>
  <si>
    <t>32.40.20</t>
  </si>
  <si>
    <t>Fabbricazione di giocattoli (inclusi i tricicli e gli strumenti musicali giocattolo)</t>
  </si>
  <si>
    <t>32.50.11</t>
  </si>
  <si>
    <t>Fabbricazione di materiale medico-chirurgico e veterinario</t>
  </si>
  <si>
    <t>32.50.12</t>
  </si>
  <si>
    <t>Fabbricazione di apparecchi e strumenti per odontoiatria e di apparecchi medicali (incluse parti staccate e accessori)</t>
  </si>
  <si>
    <t>32.50.13</t>
  </si>
  <si>
    <t>Fabbricazione di mobili per uso medico, chirurgico, odontoiatrico e veterinario</t>
  </si>
  <si>
    <t>32.50.14</t>
  </si>
  <si>
    <t>Fabbricazione di centrifughe per laboratori</t>
  </si>
  <si>
    <t>32.50.20</t>
  </si>
  <si>
    <t>Fabbricazione di protesi dentarie (inclusa riparazione)</t>
  </si>
  <si>
    <t>32.50.30</t>
  </si>
  <si>
    <t>Fabbricazione di protesi ortopediche, altre protesi ed ausili (inclusa riparazione)</t>
  </si>
  <si>
    <t>32.50.40</t>
  </si>
  <si>
    <t>Fabbricazione di lenti oftalmiche</t>
  </si>
  <si>
    <t>32.50.50</t>
  </si>
  <si>
    <t>Fabbricazione di armature per occhiali di qualsiasi tipo; montatura in serie di occhiali comuni</t>
  </si>
  <si>
    <t>32.91.00</t>
  </si>
  <si>
    <t>Fabbricazione di scope e spazzole</t>
  </si>
  <si>
    <t>32.99.11</t>
  </si>
  <si>
    <t>Fabbricazione di articoli di vestiario ignifughi e protettivi di sicurezza</t>
  </si>
  <si>
    <t>32.99.12</t>
  </si>
  <si>
    <t>Fabbricazione di articoli in plastica per la sicurezza personale</t>
  </si>
  <si>
    <t>32.99.13</t>
  </si>
  <si>
    <t>Fabbricazione di articoli in metallo per la sicurezza personale</t>
  </si>
  <si>
    <t>32.99.14</t>
  </si>
  <si>
    <t>Fabbricazione di maschere antigas</t>
  </si>
  <si>
    <t>32.99.19</t>
  </si>
  <si>
    <t>Fabbricazione di altre attrezzature ed altri articoli protettivi di sicurezza</t>
  </si>
  <si>
    <t>32.99.20</t>
  </si>
  <si>
    <t>Fabbricazione di ombrelli, bottoni, chiusure lampo, parrucche e affini</t>
  </si>
  <si>
    <t>32.99.30</t>
  </si>
  <si>
    <t>Fabbricazione di oggetti di cancelleria</t>
  </si>
  <si>
    <t>32.99.40</t>
  </si>
  <si>
    <t>Fabbricazione di casse funebri</t>
  </si>
  <si>
    <t>32.99.90</t>
  </si>
  <si>
    <t>Fabbricazione di altri articoli nca</t>
  </si>
  <si>
    <t>33</t>
  </si>
  <si>
    <t>RIPARAZIONE, MANUTENZIONE ED INSTALLAZIONE DI MACCHINE ED APPARECCHIATURE</t>
  </si>
  <si>
    <t>33.11.01</t>
  </si>
  <si>
    <t>Riparazione e manutenzione di stampi, portastampi, sagome, forme per macchine</t>
  </si>
  <si>
    <t>33.11.02</t>
  </si>
  <si>
    <t>Riparazione e manutenzione di utensileria ad azionamento manuale</t>
  </si>
  <si>
    <t>33.11.03</t>
  </si>
  <si>
    <t>Riparazione e manutenzione di armi, sistemi d'arma e munizioni</t>
  </si>
  <si>
    <t>33.11.04</t>
  </si>
  <si>
    <t>Riparazione e manutenzione di casseforti, forzieri, porte metalliche blindate</t>
  </si>
  <si>
    <t>33.11.05</t>
  </si>
  <si>
    <t>Riparazione e manutenzione di armi bianche</t>
  </si>
  <si>
    <t>33.11.06</t>
  </si>
  <si>
    <t>Riparazione e manutenzione di container</t>
  </si>
  <si>
    <t>33.11.07</t>
  </si>
  <si>
    <t>Riparazione e manutenzione di carrelli per la spesa</t>
  </si>
  <si>
    <t>33.11.09</t>
  </si>
  <si>
    <t>Riparazione e manutenzione di altri prodotti in metallo</t>
  </si>
  <si>
    <t>33.12.10</t>
  </si>
  <si>
    <t>Riparazione e manutenzione di macchine di impiego generale</t>
  </si>
  <si>
    <t>33.12.20</t>
  </si>
  <si>
    <t>Riparazione e manutenzione di forni, fornaci e bruciatori</t>
  </si>
  <si>
    <t>33.12.30</t>
  </si>
  <si>
    <t>Riparazione e manutenzione di macchine e apparecchi di sollevamento e movimentazione (esclusi ascensori)</t>
  </si>
  <si>
    <t>33.12.40</t>
  </si>
  <si>
    <t>Riparazione e manutenzione di attrezzature di uso non domestico per la refrigerazione e la ventilazione</t>
  </si>
  <si>
    <t>33.12.51</t>
  </si>
  <si>
    <t>Riparazione e manutenzione di macchine ed attrezzature per ufficio (esclusi computer, periferiche, fax)</t>
  </si>
  <si>
    <t>33.12.52</t>
  </si>
  <si>
    <t>Riparazione e manutenzione di bilance e macchine automatiche per la vendita e la distribuzione</t>
  </si>
  <si>
    <t>33.12.53</t>
  </si>
  <si>
    <t>Riparazione e manutenzione di macchine per le industrie chimiche, petrolchimiche e petrolifere</t>
  </si>
  <si>
    <t>33.12.54</t>
  </si>
  <si>
    <t>Riparazione e manutenzione di macchine per la dosatura, la confezione e l'imballaggio</t>
  </si>
  <si>
    <t>33.12.55</t>
  </si>
  <si>
    <t>Riparazione e manutenzione di estintori (inclusa la ricarica)</t>
  </si>
  <si>
    <t>33.12.59</t>
  </si>
  <si>
    <t>Riparazione e manutenzione di altre macchine di impiego generale nca</t>
  </si>
  <si>
    <t>33.12.60</t>
  </si>
  <si>
    <t>Riparazione e manutenzione di trattori agricoli</t>
  </si>
  <si>
    <t>33.12.70</t>
  </si>
  <si>
    <t>Riparazione e manutenzione di altre macchine per l'agricoltura, la silvicoltura e la zootecnia</t>
  </si>
  <si>
    <t>33.12.91</t>
  </si>
  <si>
    <t>Riparazione e manutenzione di parti intercambiabili per macchine utensili</t>
  </si>
  <si>
    <t>33.12.92</t>
  </si>
  <si>
    <t>Riparazione e manutenzione di giostre, altalene, padiglioni da tiro al bersaglio ed altre attrezzature per parchi di divertimento</t>
  </si>
  <si>
    <t>33.12.99</t>
  </si>
  <si>
    <t>Riparazione e manutenzione di altre macchine per impieghi speciali nca (incluse le macchine utensili)</t>
  </si>
  <si>
    <t>33.13.01</t>
  </si>
  <si>
    <t>Riparazione e manutenzione di apparecchiature ottiche, fotografiche e cinematografiche (escluse videocamere)</t>
  </si>
  <si>
    <t>33.13.02</t>
  </si>
  <si>
    <t>33.13.03</t>
  </si>
  <si>
    <t>Riparazione e manutenzione di apparecchi elettromedicali, di materiale medico-chirurgico e veterinario, di apparecchi e strumenti per odontoiatria</t>
  </si>
  <si>
    <t>33.13.04</t>
  </si>
  <si>
    <t>Riparazione e manutenzione di apparati di distillazione per laboratori, di centrifughe per laboratori e di macchinari per pulizia ad ultrasuoni per laboratori</t>
  </si>
  <si>
    <t>33.13.09</t>
  </si>
  <si>
    <t>Riparazione e manutenzione di altre apparecchiature elettroniche (escluse quelle per le telecomunicazioni ed i computer)</t>
  </si>
  <si>
    <t>33.14.00</t>
  </si>
  <si>
    <t>Riparazione e manutenzione di apparecchiature elettriche (esclusi gli elettrodomestici)</t>
  </si>
  <si>
    <t>33.14.01</t>
  </si>
  <si>
    <t>33.14.09</t>
  </si>
  <si>
    <t>33.15.00</t>
  </si>
  <si>
    <t>Riparazione e manutenzione di navi commerciali e imbarcazioni da diporto (esclusi i loro motori)</t>
  </si>
  <si>
    <t>33.16.00</t>
  </si>
  <si>
    <t>Riparazione e manutenzione di aeromobili e di veicoli spaziali</t>
  </si>
  <si>
    <t>33.17.00</t>
  </si>
  <si>
    <t>Riparazione e manutenzione di materiale rotabile ferroviario, tranviario, filoviario e per metropolitane (esclusi i loro motori)</t>
  </si>
  <si>
    <t>33.19.01</t>
  </si>
  <si>
    <t>Riparazioni di pallets e contenitori in legno per trasporto</t>
  </si>
  <si>
    <t>33.19.02</t>
  </si>
  <si>
    <t>Riparazione di prodotti in gomma</t>
  </si>
  <si>
    <t>33.19.03</t>
  </si>
  <si>
    <t>Riparazione di articoli in vetro</t>
  </si>
  <si>
    <t>33.19.04</t>
  </si>
  <si>
    <t>Riparazioni di altri prodotti in legno nca</t>
  </si>
  <si>
    <t>33.19.09</t>
  </si>
  <si>
    <t>Riparazione di altre apparecchiature nca</t>
  </si>
  <si>
    <t>33.20.01</t>
  </si>
  <si>
    <t>Installazione di motori, generatori e trasformatori elettrici; di apparecchiature per la distribuzione e il controllo dell'elettricità (esclusa l'installazione all'interno degli edifici)</t>
  </si>
  <si>
    <t>33.20.02</t>
  </si>
  <si>
    <t>Installazione di apparecchi elettrici ed elettronici per telecomunicazioni, di apparecchi trasmittenti radiotelevisivi, di impianti di apparecchiature elettriche ed elettroniche (esclusa l'installazione all'interno degli edifici)</t>
  </si>
  <si>
    <t>33.20.03</t>
  </si>
  <si>
    <t>Installazione di strumenti ed apparecchi di misurazione, controllo, prova, navigazione e simili (incluse le apparecchiature di controllo dei processi industriali)</t>
  </si>
  <si>
    <t>33.20.04</t>
  </si>
  <si>
    <t>Installazione di cisterne, serbatoi e contenitori in metallo</t>
  </si>
  <si>
    <t>33.20.05</t>
  </si>
  <si>
    <t>Installazione di generatori di vapore (escluse le caldaie per il riscaldamento centrale ad acqua calda)</t>
  </si>
  <si>
    <t>33.20.06</t>
  </si>
  <si>
    <t>Installazione di macchine per ufficio, di mainframe e computer simili</t>
  </si>
  <si>
    <t>33.20.07</t>
  </si>
  <si>
    <t>Installazione di apparecchi medicali, di apparecchi e strumenti per odontoiatria</t>
  </si>
  <si>
    <t>33.20.08</t>
  </si>
  <si>
    <t>Installazione di apparecchi elettromedicali</t>
  </si>
  <si>
    <t>33.20.09</t>
  </si>
  <si>
    <t>Installazione di altre macchine ed apparecchiature industriali</t>
  </si>
  <si>
    <t>FORNITURA DI ENERGIA ELETTRICA, GAS, VAPORE E ARIA CONDIZIONATA</t>
  </si>
  <si>
    <t>35</t>
  </si>
  <si>
    <t>35.11.00</t>
  </si>
  <si>
    <t>Produzione di energia elettrica</t>
  </si>
  <si>
    <t>35.12.00</t>
  </si>
  <si>
    <t>Trasmissione di energia elettrica</t>
  </si>
  <si>
    <t>35.13.00</t>
  </si>
  <si>
    <t>Distribuzione di energia elettrica</t>
  </si>
  <si>
    <t>35.14.00</t>
  </si>
  <si>
    <t>Commercio di energia elettrica</t>
  </si>
  <si>
    <t>35.21.00</t>
  </si>
  <si>
    <t>Produzione di gas</t>
  </si>
  <si>
    <t>35.22.00</t>
  </si>
  <si>
    <t>Distribuzione di combustibili gassosi mediante condotte</t>
  </si>
  <si>
    <t>35.23.00</t>
  </si>
  <si>
    <t>Commercio di gas distribuito mediante condotte</t>
  </si>
  <si>
    <t>35.30.00</t>
  </si>
  <si>
    <t>Fornitura di vapore e aria condizionata</t>
  </si>
  <si>
    <t>FORNITURA DI ACQUA; RETI FOGNARIE, ATTIVITÀ DI GESTIONE DEI RIFIUTI E RISANAMENTO</t>
  </si>
  <si>
    <t>36</t>
  </si>
  <si>
    <t>RACCOLTA, TRATTAMENTO E FORNITURA DI ACQUA</t>
  </si>
  <si>
    <t>36.00.00</t>
  </si>
  <si>
    <t>Raccolta, trattamento e fornitura di acqua</t>
  </si>
  <si>
    <t>37</t>
  </si>
  <si>
    <t>GESTIONE DELLE RETI FOGNARIE</t>
  </si>
  <si>
    <t>37.00.00</t>
  </si>
  <si>
    <t>Raccolta e depurazione delle acque di scarico</t>
  </si>
  <si>
    <t>38</t>
  </si>
  <si>
    <t>ATTIVITÀ DI RACCOLTA, TRATTAMENTO E SMALTIMENTO DEI RIFIUTI; RECUPERO DEI MATERIALI</t>
  </si>
  <si>
    <t>38.11.00</t>
  </si>
  <si>
    <t>Raccolta di rifiuti solidi non pericolosi</t>
  </si>
  <si>
    <t>38.12.00</t>
  </si>
  <si>
    <t>Raccolta di rifiuti pericolosi solidi e non solidi</t>
  </si>
  <si>
    <t>38.21.01</t>
  </si>
  <si>
    <t>Produzione di compost</t>
  </si>
  <si>
    <t>38.21.09</t>
  </si>
  <si>
    <t>Trattamento e smaltimento di altri rifiuti non pericolosi</t>
  </si>
  <si>
    <t>38.22.00</t>
  </si>
  <si>
    <t>Trattamento e smaltimento di rifiuti pericolosi</t>
  </si>
  <si>
    <t>38.31.10</t>
  </si>
  <si>
    <t>Demolizione di carcasse</t>
  </si>
  <si>
    <t>38.31.20</t>
  </si>
  <si>
    <t>Cantieri di demolizione navali</t>
  </si>
  <si>
    <t>38.32.10</t>
  </si>
  <si>
    <t>Recupero e preparazione per il riciclaggio di cascami e rottami metallici</t>
  </si>
  <si>
    <t>38.32.20</t>
  </si>
  <si>
    <t>Recupero e preparazione per il riciclaggio di materiale plastico per produzione di materie prime plastiche, resine sintetiche</t>
  </si>
  <si>
    <t>38.32.30</t>
  </si>
  <si>
    <t>Recupero e preparazione per il riciclaggio dei rifiuti solidi urbani, industriali e biomasse</t>
  </si>
  <si>
    <t>39</t>
  </si>
  <si>
    <t>ATTIVITÀ DI RISANAMENTO E ALTRI SERVIZI DI GESTIONE DEI RIFIUTI</t>
  </si>
  <si>
    <t>39.00.01</t>
  </si>
  <si>
    <t>Attività di rimozione di strutture ed elementi in amianto specializzata per l'edilizia</t>
  </si>
  <si>
    <t>39.00.09</t>
  </si>
  <si>
    <t>Altre attività di risanamento e altri servizi di gestione dei rifiuti</t>
  </si>
  <si>
    <t>COSTRUZIONI</t>
  </si>
  <si>
    <t>41</t>
  </si>
  <si>
    <t>COSTRUZIONE DI EDIFICI</t>
  </si>
  <si>
    <t>41.10.00</t>
  </si>
  <si>
    <t>Sviluppo di progetti immobiliari senza costruzione</t>
  </si>
  <si>
    <t>41.20.00</t>
  </si>
  <si>
    <t>Costruzione di edifici residenziali e non residenziali</t>
  </si>
  <si>
    <t>42</t>
  </si>
  <si>
    <t>INGEGNERIA CIVILE</t>
  </si>
  <si>
    <t>42.11.00</t>
  </si>
  <si>
    <t>Costruzione di strade, autostrade e piste aeroportuali</t>
  </si>
  <si>
    <t>42.12.00</t>
  </si>
  <si>
    <t>Costruzione di linee ferroviarie e metropolitane</t>
  </si>
  <si>
    <t>42.13.00</t>
  </si>
  <si>
    <t>Costruzione di ponti e gallerie</t>
  </si>
  <si>
    <t>42.21.00</t>
  </si>
  <si>
    <t>Costruzione di opere di pubblica utilità per il trasporto di fluidi</t>
  </si>
  <si>
    <t>42.22.00</t>
  </si>
  <si>
    <t>Costruzione di opere di pubblica utilità per l'energia elettrica e le telecomunicazioni</t>
  </si>
  <si>
    <t>42.91.00</t>
  </si>
  <si>
    <t>Costruzione di opere idrauliche</t>
  </si>
  <si>
    <t>42.99.01</t>
  </si>
  <si>
    <t>Lottizzazione dei terreni connessa con l'urbanizzazione</t>
  </si>
  <si>
    <t>42.99.09</t>
  </si>
  <si>
    <t>Altre attività di costruzione di altre opere di ingegneria civile nca</t>
  </si>
  <si>
    <t>43</t>
  </si>
  <si>
    <t>LAVORI DI COSTRUZIONE SPECIALIZZATI</t>
  </si>
  <si>
    <t>43.11.00</t>
  </si>
  <si>
    <t>Demolizione</t>
  </si>
  <si>
    <t>43.12.00</t>
  </si>
  <si>
    <t>Preparazione del cantiere edile e sistemazione del terreno</t>
  </si>
  <si>
    <t>43.13.00</t>
  </si>
  <si>
    <t>Trivellazioni e perforazioni</t>
  </si>
  <si>
    <t>43.21.01</t>
  </si>
  <si>
    <t>Installazione di impianti elettrici in edifici o in altre opere di costruzione (inclusa manutenzione e riparazione)</t>
  </si>
  <si>
    <t>43.21.02</t>
  </si>
  <si>
    <t>Installazione di impianti elettronici (inclusa manutenzione e riparazione)</t>
  </si>
  <si>
    <t>43.21.03</t>
  </si>
  <si>
    <t>Installazione impianti di illuminazione stradale e dispositivi elettrici di segnalazione, illuminazione delle piste degli aeroporti (inclusa manutenzione e riparazione)</t>
  </si>
  <si>
    <t>43.22.01</t>
  </si>
  <si>
    <t>Installazione di impianti idraulici, di riscaldamento e di condizionamento dell'aria (inclusa manutenzione e riparazione) in edifici o in altre opere di costruzione</t>
  </si>
  <si>
    <t>43.22.02</t>
  </si>
  <si>
    <t>Installazione di impianti per la distribuzione del gas (inclusa manutenzione e riparazione)</t>
  </si>
  <si>
    <t>43.22.03</t>
  </si>
  <si>
    <t>Installazione di impianti di spegnimento antincendio (inclusi quelli integrati e la manutenzione e riparazione)</t>
  </si>
  <si>
    <t>43.22.04</t>
  </si>
  <si>
    <t>Installazione di impianti di depurazione per piscine (inclusa manutenzione e riparazione)</t>
  </si>
  <si>
    <t>43.22.05</t>
  </si>
  <si>
    <t>Installazione di impianti di irrigazione per giardini (inclusa manutenzione e riparazione)</t>
  </si>
  <si>
    <t>43.29.01</t>
  </si>
  <si>
    <t>Installazione, riparazione e manutenzione di ascensori e scale mobili</t>
  </si>
  <si>
    <t>43.29.02</t>
  </si>
  <si>
    <t>Lavori di isolamento termico, acustico o antivibrazioni</t>
  </si>
  <si>
    <t>43.29.09</t>
  </si>
  <si>
    <t>Altri lavori di costruzione e installazione nca</t>
  </si>
  <si>
    <t>43.31.00</t>
  </si>
  <si>
    <t>Intonacatura e stuccatura</t>
  </si>
  <si>
    <t>43.32.01</t>
  </si>
  <si>
    <t>Posa in opera di casseforti, forzieri, porte blindate</t>
  </si>
  <si>
    <t>43.32.02</t>
  </si>
  <si>
    <t>Posa in opera di infissi, arredi, controsoffitti, pareti mobili e simili</t>
  </si>
  <si>
    <t>43.33.00</t>
  </si>
  <si>
    <t>Rivestimento di pavimenti e di muri</t>
  </si>
  <si>
    <t>43.34.00</t>
  </si>
  <si>
    <t>Tinteggiatura e posa in opera di vetri</t>
  </si>
  <si>
    <t>43.39.01</t>
  </si>
  <si>
    <t>Attività non specializzate di lavori edili (muratori)</t>
  </si>
  <si>
    <t>43.39.09</t>
  </si>
  <si>
    <t>Altri lavori di completamento e di finitura degli edifici nca</t>
  </si>
  <si>
    <t>43.91.00</t>
  </si>
  <si>
    <t>Realizzazione di coperture</t>
  </si>
  <si>
    <t>43.99.01</t>
  </si>
  <si>
    <t>Pulizia a vapore, sabbiatura e attività simili per pareti esterne di edifici</t>
  </si>
  <si>
    <t>43.99.02</t>
  </si>
  <si>
    <t>Noleggio di gru ed altre attrezzature con operatore per la costruzione o la demolizione</t>
  </si>
  <si>
    <t>43.99.09</t>
  </si>
  <si>
    <t>Altre attività di lavori specializzati di costruzione nca</t>
  </si>
  <si>
    <t>COMMERCIO ALL'INGROSSO E AL DETTAGLIO; RIPARAZIONE DI AUTOVEICOLI E MOTOCICLI</t>
  </si>
  <si>
    <t>45</t>
  </si>
  <si>
    <t>COMMERCIO ALL'INGROSSO E AL DETTAGLIO E RIPARAZIONE DI AUTOVEICOLI E MOTOCICLI</t>
  </si>
  <si>
    <t>45.11.01</t>
  </si>
  <si>
    <t>Commercio all'ingrosso e al dettaglio di autovetture e di autoveicoli leggeri</t>
  </si>
  <si>
    <t>45.11.02</t>
  </si>
  <si>
    <t>Intermediari del commercio di autovetture e di autoveicoli leggeri (incluse le agenzie di compravendita)</t>
  </si>
  <si>
    <t>45.19.01</t>
  </si>
  <si>
    <t>Commercio all'ingrosso e al dettaglio di altri autoveicoli</t>
  </si>
  <si>
    <t>45.19.02</t>
  </si>
  <si>
    <t>Intermediari del commercio di altri autoveicoli (incluse le agenzie di compravendita)</t>
  </si>
  <si>
    <t>45.20.10</t>
  </si>
  <si>
    <t>Riparazioni meccaniche di autoveicoli</t>
  </si>
  <si>
    <t>45.20.20</t>
  </si>
  <si>
    <t>Riparazione di carrozzerie di autoveicoli</t>
  </si>
  <si>
    <t>45.20.30</t>
  </si>
  <si>
    <t>Riparazione di impianti elettrici e di alimentazione per autoveicoli</t>
  </si>
  <si>
    <t>45.20.40</t>
  </si>
  <si>
    <t>Riparazione e sostituzione di pneumatici per autoveicoli</t>
  </si>
  <si>
    <t>45.20.91</t>
  </si>
  <si>
    <t>Lavaggio auto</t>
  </si>
  <si>
    <t>45.20.99</t>
  </si>
  <si>
    <t>Altre attività di manutenzione e di riparazione di autoveicoli</t>
  </si>
  <si>
    <t>45.31.01</t>
  </si>
  <si>
    <t>Commercio all'ingrosso di parti e accessori di autoveicoli</t>
  </si>
  <si>
    <t>45.31.02</t>
  </si>
  <si>
    <t>Intermediari del commercio di parti ed accessori di autoveicoli</t>
  </si>
  <si>
    <t>45.32.00</t>
  </si>
  <si>
    <t>Commercio al dettaglio di parti e accessori di autoveicoli</t>
  </si>
  <si>
    <t>45.40.11</t>
  </si>
  <si>
    <t>Commercio all'ingrosso e al dettaglio di motocicli e ciclomotori</t>
  </si>
  <si>
    <t>45.40.12</t>
  </si>
  <si>
    <t>Intermediari del commercio di motocicli e ciclomotori</t>
  </si>
  <si>
    <t>45.40.21</t>
  </si>
  <si>
    <t>Commercio all'ingrosso e al dettaglio di parti e accessori per motocicli e ciclomotori</t>
  </si>
  <si>
    <t>45.40.22</t>
  </si>
  <si>
    <t>Intermediari del commercio di parti ed accessori di motocicli e ciclomotori</t>
  </si>
  <si>
    <t>45.40.30</t>
  </si>
  <si>
    <t>Manutenzione e riparazione di motocicli e ciclomotori (inclusi i pneumatici)</t>
  </si>
  <si>
    <t>46</t>
  </si>
  <si>
    <t>COMMERCIO ALL'INGROSSO (ESCLUSO QUELLO DI AUTOVEICOLI E DI MOTOCICLI)</t>
  </si>
  <si>
    <t>46.11.01</t>
  </si>
  <si>
    <t>Agenti e rappresentanti di materie prime agricole</t>
  </si>
  <si>
    <t>46.11.02</t>
  </si>
  <si>
    <t>Agenti e rappresentanti di fiori e piante</t>
  </si>
  <si>
    <t>46.11.03</t>
  </si>
  <si>
    <t>Agenti e rappresentanti di animali vivi</t>
  </si>
  <si>
    <t>46.11.04</t>
  </si>
  <si>
    <t>Agenti e rappresentanti di fibre tessili gregge e semilavorate; pelli grezze</t>
  </si>
  <si>
    <t>46.11.05</t>
  </si>
  <si>
    <t>Procacciatori d'affari di materie prime agricole, animali vivi, materie prime e semilavorati tessili; pelli grezze</t>
  </si>
  <si>
    <t>46.11.06</t>
  </si>
  <si>
    <t>Mediatori in materie prime agricole, materie prime e semilavorati tessili; pelli grezze</t>
  </si>
  <si>
    <t>46.11.07</t>
  </si>
  <si>
    <t>Mediatori in animali vivi</t>
  </si>
  <si>
    <t>46.12.01</t>
  </si>
  <si>
    <t>Agenti e rappresentanti di carburanti, gpl, gas in bombole e simili; lubrificanti</t>
  </si>
  <si>
    <t>46.12.02</t>
  </si>
  <si>
    <t>Agenti e rappresentanti di combustibili solidi</t>
  </si>
  <si>
    <t>46.12.03</t>
  </si>
  <si>
    <t>Agenti e rappresentanti di minerali, metalli e prodotti semilavorati</t>
  </si>
  <si>
    <t>46.12.04</t>
  </si>
  <si>
    <t>Agenti e rappresentanti di prodotti chimici per l'industria</t>
  </si>
  <si>
    <t>46.12.05</t>
  </si>
  <si>
    <t>Agenti e rappresentanti di prodotti chimici per l'agricoltura (inclusi i fertilizzanti)</t>
  </si>
  <si>
    <t>46.12.06</t>
  </si>
  <si>
    <t>Procacciatori d'affari di combustibili, minerali, metalli e prodotti chimici</t>
  </si>
  <si>
    <t>46.12.07</t>
  </si>
  <si>
    <t>Mediatori in combustibili, minerali, metalli e prodotti chimici</t>
  </si>
  <si>
    <t>46.13.01</t>
  </si>
  <si>
    <t>Agenti e rappresentanti di legname, semilavorati in legno e legno artificiale</t>
  </si>
  <si>
    <t>46.13.02</t>
  </si>
  <si>
    <t>Agenti e rappresentanti di materiale da costruzione (inclusi gli infissi e gli articoli igienico-sanitari); vetro piano</t>
  </si>
  <si>
    <t>46.13.03</t>
  </si>
  <si>
    <t>Agenti e rappresentanti di apparecchi ed accessori per riscaldamento e condizionamento e altri prodotti similari</t>
  </si>
  <si>
    <t>46.13.04</t>
  </si>
  <si>
    <t>Procacciatori d'affari di legname e materiali da costruzione</t>
  </si>
  <si>
    <t>46.13.05</t>
  </si>
  <si>
    <t>Mediatori in legname e materiali da costruzione</t>
  </si>
  <si>
    <t>46.14.01</t>
  </si>
  <si>
    <t>Agenti e rappresentanti di macchine, attrezzature ed impianti per l'industria ed il commercio; materiale e apparecchi elettrici ed elettronici per uso non domestico</t>
  </si>
  <si>
    <t>46.14.02</t>
  </si>
  <si>
    <t>Agenti e rappresentanti di macchine per costruzioni edili e stradali</t>
  </si>
  <si>
    <t>46.14.03</t>
  </si>
  <si>
    <t>Agenti e rappresentanti di macchine, attrezzature per ufficio, attrezzature per le telecomunicazioni, computer e loro periferiche</t>
  </si>
  <si>
    <t>46.14.04</t>
  </si>
  <si>
    <t>Agenti e rappresentanti di macchine ed attrezzature per uso agricolo (inclusi i trattori)</t>
  </si>
  <si>
    <t>46.14.05</t>
  </si>
  <si>
    <t>Agenti e rappresentanti di navi, aeromobili e altri veicoli (esclusi autoveicoli, motocicli, ciclomotori e biciclette)</t>
  </si>
  <si>
    <t>46.14.06</t>
  </si>
  <si>
    <t>Procacciatori d'affari di macchinari, impianti industriali, navi e aeromobili, macchine agricole, macchine per ufficio, attrezzature per le telecomunicazioni, computer e loro periferiche</t>
  </si>
  <si>
    <t>46.14.07</t>
  </si>
  <si>
    <t>Mediatori in macchinari, impianti industriali, navi e aeromobili, macchine agricole, macchine per ufficio, attrezzature per le telecomunicazioni, computer e loro periferiche</t>
  </si>
  <si>
    <t>46.15.01</t>
  </si>
  <si>
    <t>Agenti e rappresentanti di mobili in legno, metallo e materie plastiche</t>
  </si>
  <si>
    <t>46.15.02</t>
  </si>
  <si>
    <t>Agenti e rappresentanti di articoli di ferramenta e di bricolage</t>
  </si>
  <si>
    <t>46.15.03</t>
  </si>
  <si>
    <t>Agenti e rappresentanti di articoli casalinghi, porcellane, articoli in vetro eccetera</t>
  </si>
  <si>
    <t>46.15.04</t>
  </si>
  <si>
    <t>Agenti e rappresentanti di vernici, carte da parati, stucchi e cornici decorativi</t>
  </si>
  <si>
    <t>46.15.05</t>
  </si>
  <si>
    <t>Agenti e rappresentanti di mobili e oggetti di arredamento per la casa in canna, vimini, giunco, sughero, paglia; scope, spazzole, cesti e simili</t>
  </si>
  <si>
    <t>46.15.06</t>
  </si>
  <si>
    <t>Procacciatori d'affari di mobili, articoli per la casa e ferramenta</t>
  </si>
  <si>
    <t>46.15.07</t>
  </si>
  <si>
    <t>Mediatori in mobili, articoli per la casa e ferramenta</t>
  </si>
  <si>
    <t>46.16.01</t>
  </si>
  <si>
    <t>Agenti e rappresentanti di vestiario ed accessori di abbigliamento</t>
  </si>
  <si>
    <t>46.16.02</t>
  </si>
  <si>
    <t>Agenti e rappresentanti di pellicce</t>
  </si>
  <si>
    <t>46.16.03</t>
  </si>
  <si>
    <t>Agenti e rappresentanti di tessuti per abbigliamento ed arredamento (incluse merceria e passamaneria)</t>
  </si>
  <si>
    <t>46.16.04</t>
  </si>
  <si>
    <t>Agenti e rappresentanti di camicie, biancheria e maglieria intima</t>
  </si>
  <si>
    <t>46.16.05</t>
  </si>
  <si>
    <t>Agenti e rappresentanti di calzature ed accessori</t>
  </si>
  <si>
    <t>46.16.06</t>
  </si>
  <si>
    <t>Agenti e rappresentanti di pelletteria, valige ed articoli da viaggio</t>
  </si>
  <si>
    <t>46.16.07</t>
  </si>
  <si>
    <t>Agenti e rappresentanti di articoli tessili per la casa, tappeti, stuoie e materassi</t>
  </si>
  <si>
    <t>46.16.08</t>
  </si>
  <si>
    <t>Procacciatori d'affari di prodotti tessili, abbigliamento, pellicce, calzature e articoli in pelle</t>
  </si>
  <si>
    <t>46.16.09</t>
  </si>
  <si>
    <t>Mediatori in prodotti tessili, abbigliamento, pellicce, calzature e articoli in pelle</t>
  </si>
  <si>
    <t>46.17.01</t>
  </si>
  <si>
    <t>Agenti e rappresentanti di prodotti ortofrutticoli freschi, congelati e surgelati</t>
  </si>
  <si>
    <t>46.17.02</t>
  </si>
  <si>
    <t>Agenti e rappresentanti di carni fresche, congelate, surgelate, conservate e secche; salumi</t>
  </si>
  <si>
    <t>46.17.03</t>
  </si>
  <si>
    <t>Agenti e rappresentanti di latte, burro e formaggi</t>
  </si>
  <si>
    <t>46.17.04</t>
  </si>
  <si>
    <t>Agenti e rappresentanti di oli e grassi alimentari: olio d'oliva e di semi, margarina ed altri prodotti similari</t>
  </si>
  <si>
    <t>46.17.05</t>
  </si>
  <si>
    <t>Agenti e rappresentanti di bevande e prodotti similari</t>
  </si>
  <si>
    <t>46.17.06</t>
  </si>
  <si>
    <t>Agenti e rappresentanti di prodotti ittici freschi, congelati, surgelati e conservati e secchi</t>
  </si>
  <si>
    <t>46.17.07</t>
  </si>
  <si>
    <t>Agenti e rappresentanti di altri prodotti alimentari (incluse le uova e gli alimenti per gli animali domestici); tabacco</t>
  </si>
  <si>
    <t>46.17.08</t>
  </si>
  <si>
    <t>Procacciatori d'affari di prodotti alimentari, bevande e tabacco</t>
  </si>
  <si>
    <t>46.17.09</t>
  </si>
  <si>
    <t>Mediatori in prodotti alimentari, bevande e tabacco</t>
  </si>
  <si>
    <t>46.18.11</t>
  </si>
  <si>
    <t>Agenti e rappresentanti di carta e cartone (esclusi gli imballaggi); articoli di cartoleria e cancelleria</t>
  </si>
  <si>
    <t>46.18.12</t>
  </si>
  <si>
    <t>Agenti e rappresentanti di libri e altre pubblicazioni (incluso i relativi abbonamenti)</t>
  </si>
  <si>
    <t>46.18.13</t>
  </si>
  <si>
    <t>Procacciatori d'affari di prodotti di carta, cancelleria, libri</t>
  </si>
  <si>
    <t>46.18.14</t>
  </si>
  <si>
    <t>Mediatori in prodotti di carta, cancelleria, libri</t>
  </si>
  <si>
    <t>46.18.21</t>
  </si>
  <si>
    <t>Agenti e rappresentanti di elettronica di consumo audio e video, materiale elettrico per uso domestico</t>
  </si>
  <si>
    <t>46.18.22</t>
  </si>
  <si>
    <t>Agenti e rappresentanti di apparecchi elettrodomestici</t>
  </si>
  <si>
    <t>46.18.23</t>
  </si>
  <si>
    <t>Procacciatori d'affari di elettronica di consumo audio e video, materiale elettrico per uso domestico, elettrodomestici</t>
  </si>
  <si>
    <t>46.18.24</t>
  </si>
  <si>
    <t>Mediatori in elettronica di consumo audio e video, materiale elettrico per uso domestico, elettrodomestici</t>
  </si>
  <si>
    <t>46.18.31</t>
  </si>
  <si>
    <t>Agenti e rappresentanti di prodotti farmaceutici; prodotti di erboristeria per uso medico</t>
  </si>
  <si>
    <t>46.18.32</t>
  </si>
  <si>
    <t>Agenti e rappresentanti di prodotti sanitari ed apparecchi medicali, chirurgici e ortopedici; apparecchi per centri di estetica</t>
  </si>
  <si>
    <t>46.18.33</t>
  </si>
  <si>
    <t>Agenti e rappresentanti di prodotti di profumeria e di cosmetica (inclusi articoli per parrucchieri); prodotti di erboristeria per uso cosmetico</t>
  </si>
  <si>
    <t>46.18.34</t>
  </si>
  <si>
    <t>Procacciatori d'affari di prodotti farmaceutici e di cosmetici</t>
  </si>
  <si>
    <t>46.18.35</t>
  </si>
  <si>
    <t>Mediatori in prodotti farmaceutici e cosmetici</t>
  </si>
  <si>
    <t>46.18.91</t>
  </si>
  <si>
    <t>Agenti e rappresentanti di attrezzature sportive; biciclette</t>
  </si>
  <si>
    <t>46.18.92</t>
  </si>
  <si>
    <t>Agenti e rappresentanti di orologi, oggetti e semilavorati per gioielleria e oreficeria</t>
  </si>
  <si>
    <t>46.18.93</t>
  </si>
  <si>
    <t>Agenti e rappresentanti di articoli fotografici, ottici e prodotti simili; strumenti scientifici e per laboratori di analisi</t>
  </si>
  <si>
    <t>46.18.94</t>
  </si>
  <si>
    <t>Agenti e rappresentanti di saponi, detersivi, candele e prodotti simili</t>
  </si>
  <si>
    <t>46.18.95</t>
  </si>
  <si>
    <t>Agenti e rappresentanti di giocattoli</t>
  </si>
  <si>
    <t>46.18.96</t>
  </si>
  <si>
    <t>Agenti e rappresentanti di chincaglieria e bigiotteria</t>
  </si>
  <si>
    <t>46.18.97</t>
  </si>
  <si>
    <t>Agenti e rappresentanti di altri prodotti non alimentari nca (inclusi gli imballaggi e gli articoli antinfortunistici, antincendio e pubblicitari)</t>
  </si>
  <si>
    <t>46.18.98</t>
  </si>
  <si>
    <t>Procacciatori d'affari di attrezzature sportive, biciclette e altri prodotti nca</t>
  </si>
  <si>
    <t>46.18.99</t>
  </si>
  <si>
    <t>Mediatori in attrezzature sportive, biciclette e altri prodotti nca</t>
  </si>
  <si>
    <t>46.19.01</t>
  </si>
  <si>
    <t>Agenti e rappresentanti di vari prodotti senza prevalenza di alcuno</t>
  </si>
  <si>
    <t>46.19.02</t>
  </si>
  <si>
    <t>Procacciatori d'affari di vari prodotti senza prevalenza di alcuno</t>
  </si>
  <si>
    <t>46.19.03</t>
  </si>
  <si>
    <t>Mediatori in vari prodotti senza prevalenza di alcuno</t>
  </si>
  <si>
    <t>46.19.04</t>
  </si>
  <si>
    <t>Gruppi di acquisto; mandatari agli acquisti; buyer</t>
  </si>
  <si>
    <t>46.21.10</t>
  </si>
  <si>
    <t>Commercio all'ingrosso di cereali e legumi secchi</t>
  </si>
  <si>
    <t>46.21.21</t>
  </si>
  <si>
    <t>Commercio all'ingrosso di tabacco grezzo</t>
  </si>
  <si>
    <t>46.21.22</t>
  </si>
  <si>
    <t>Commercio all'ingrosso di sementi e alimenti per il bestiame (mangimi), piante officinali, semi oleosi, patate da semina</t>
  </si>
  <si>
    <t>46.22.00</t>
  </si>
  <si>
    <t>Commercio all'ingrosso di fiori e piante</t>
  </si>
  <si>
    <t>46.23.00</t>
  </si>
  <si>
    <t>Commercio all'ingrosso di animali vivi</t>
  </si>
  <si>
    <t>46.24.10</t>
  </si>
  <si>
    <t>Commercio all'ingrosso di cuoio e pelli gregge e lavorate (escluse le pelli per pellicceria)</t>
  </si>
  <si>
    <t>46.24.20</t>
  </si>
  <si>
    <t>Commercio all'ingrosso di pelli gregge e lavorate per pellicceria</t>
  </si>
  <si>
    <t>46.31.10</t>
  </si>
  <si>
    <t>Commercio all'ingrosso di frutta e ortaggi freschi</t>
  </si>
  <si>
    <t>46.31.20</t>
  </si>
  <si>
    <t>Commercio all'ingrosso di frutta e ortaggi conservati</t>
  </si>
  <si>
    <t>46.32.10</t>
  </si>
  <si>
    <t>Commercio all'ingrosso di carne fresca, congelata e surgelata</t>
  </si>
  <si>
    <t>46.32.20</t>
  </si>
  <si>
    <t>Commercio all'ingrosso di prodotti di salumeria</t>
  </si>
  <si>
    <t>46.33.10</t>
  </si>
  <si>
    <t>Commercio all'ingrosso di prodotti lattiero-caseari e di uova</t>
  </si>
  <si>
    <t>46.33.20</t>
  </si>
  <si>
    <t>Commercio all'ingrosso di oli e grassi alimentari di origine vegetale o animale</t>
  </si>
  <si>
    <t>46.34.10</t>
  </si>
  <si>
    <t>Commercio all'ingrosso di bevande alcoliche</t>
  </si>
  <si>
    <t>46.34.20</t>
  </si>
  <si>
    <t>Commercio all'ingrosso di bevande non alcoliche</t>
  </si>
  <si>
    <t>46.35.00</t>
  </si>
  <si>
    <t>Commercio all'ingrosso di prodotti del tabacco</t>
  </si>
  <si>
    <t>46.36.00</t>
  </si>
  <si>
    <t>Commercio all'ingrosso di zucchero, cioccolato, dolciumi e prodotti da forno</t>
  </si>
  <si>
    <t>46.37.01</t>
  </si>
  <si>
    <t>Commercio all'ingrosso di caffè</t>
  </si>
  <si>
    <t>46.37.02</t>
  </si>
  <si>
    <t>Commercio all'ingrosso di tè, cacao e spezie</t>
  </si>
  <si>
    <t>46.38.10</t>
  </si>
  <si>
    <t>Commercio all'ingrosso di prodotti della pesca freschi</t>
  </si>
  <si>
    <t>46.38.20</t>
  </si>
  <si>
    <t>Commercio all'ingrosso di prodotti della pesca congelati, surgelati, conservati, secchi</t>
  </si>
  <si>
    <t>46.38.30</t>
  </si>
  <si>
    <t>Commercio all'ingrosso di pasti e piatti pronti</t>
  </si>
  <si>
    <t>46.38.90</t>
  </si>
  <si>
    <t>Commercio all'ingrosso di altri prodotti alimentari</t>
  </si>
  <si>
    <t>46.39.10</t>
  </si>
  <si>
    <t>Commercio all'ingrosso non specializzato di prodotti surgelati</t>
  </si>
  <si>
    <t>46.39.20</t>
  </si>
  <si>
    <t>Commercio all'ingrosso non specializzato di altri prodotti alimentari, bevande e tabacco</t>
  </si>
  <si>
    <t>46.41.10</t>
  </si>
  <si>
    <t>Commercio all'ingrosso di tessuti</t>
  </si>
  <si>
    <t>46.41.20</t>
  </si>
  <si>
    <t>Commercio all'ingrosso di articoli di merceria, filati e passamaneria</t>
  </si>
  <si>
    <t>46.41.90</t>
  </si>
  <si>
    <t>Commercio all'ingrosso di altri articoli tessili</t>
  </si>
  <si>
    <t>46.42.10</t>
  </si>
  <si>
    <t>Commercio all'ingrosso di abbigliamento e accessori</t>
  </si>
  <si>
    <t>46.42.20</t>
  </si>
  <si>
    <t>Commercio all'ingrosso di articoli in pelliccia</t>
  </si>
  <si>
    <t>46.42.30</t>
  </si>
  <si>
    <t>Commercio all'ingrosso di camicie, biancheria intima, maglieria e simili</t>
  </si>
  <si>
    <t>46.42.40</t>
  </si>
  <si>
    <t>Commercio all'ingrosso di calzature e accessori</t>
  </si>
  <si>
    <t>46.43.10</t>
  </si>
  <si>
    <t>Commercio all'ingrosso di elettrodomestici, di elettronica di consumo audio e video</t>
  </si>
  <si>
    <t>46.43.20</t>
  </si>
  <si>
    <t>Commercio all'ingrosso di supporti registrati, audio, video (Cd, Dvd e altri supporti)</t>
  </si>
  <si>
    <t>46.43.30</t>
  </si>
  <si>
    <t>Commercio all'ingrosso di articoli per fotografia, cinematografia e ottica</t>
  </si>
  <si>
    <t>46.44.10</t>
  </si>
  <si>
    <t>Commercio all'ingrosso di vetreria e cristalleria</t>
  </si>
  <si>
    <t>46.44.20</t>
  </si>
  <si>
    <t>Commercio all'ingrosso di ceramiche e porcellana</t>
  </si>
  <si>
    <t>46.44.30</t>
  </si>
  <si>
    <t>Commercio all'ingrosso di saponi, detersivi e altri prodotti per la pulizia</t>
  </si>
  <si>
    <t>46.44.40</t>
  </si>
  <si>
    <t>Commercio all'ingrosso di coltelleria, posateria e pentolame</t>
  </si>
  <si>
    <t>46.45.00</t>
  </si>
  <si>
    <t>Commercio all'ingrosso di profumi e cosmetici</t>
  </si>
  <si>
    <t>46.46.10</t>
  </si>
  <si>
    <t>Commercio all'ingrosso di medicinali</t>
  </si>
  <si>
    <t>46.46.20</t>
  </si>
  <si>
    <t>Commercio all'ingrosso di prodotti botanici per uso farmaceutico</t>
  </si>
  <si>
    <t>46.46.30</t>
  </si>
  <si>
    <t>Commercio all'ingrosso di articoli medicali ed ortopedici</t>
  </si>
  <si>
    <t>46.47.10</t>
  </si>
  <si>
    <t>Commercio all'ingrosso di mobili di qualsiasi materiale</t>
  </si>
  <si>
    <t>46.47.20</t>
  </si>
  <si>
    <t>Commercio all'ingrosso di tappeti</t>
  </si>
  <si>
    <t>46.47.30</t>
  </si>
  <si>
    <t>Commercio all'ingrosso di articoli per l'illuminazione; materiale elettrico vario per uso domestico</t>
  </si>
  <si>
    <t>46.48.00</t>
  </si>
  <si>
    <t>Commercio all'ingrosso di orologi e di gioielleria</t>
  </si>
  <si>
    <t>46.49.10</t>
  </si>
  <si>
    <t>Commercio all'ingrosso di carta, cartone e articoli di cartoleria</t>
  </si>
  <si>
    <t>46.49.20</t>
  </si>
  <si>
    <t>Commercio all'ingrosso di libri, riviste e giornali</t>
  </si>
  <si>
    <t>46.49.30</t>
  </si>
  <si>
    <t>Commercio all'ingrosso di giochi e giocattoli</t>
  </si>
  <si>
    <t>46.49.40</t>
  </si>
  <si>
    <t>Commercio all'ingrosso di articoli sportivi (incluse le biciclette)</t>
  </si>
  <si>
    <t>46.49.50</t>
  </si>
  <si>
    <t>Commercio all'ingrosso di articoli in pelle; articoli da viaggio in qualsiasi materiale</t>
  </si>
  <si>
    <t>46.49.90</t>
  </si>
  <si>
    <t>Commercio all'ingrosso di vari prodotti di consumo non alimentare nca</t>
  </si>
  <si>
    <t>46.51.00</t>
  </si>
  <si>
    <t>Commercio all'ingrosso di computer, apparecchiature informatiche periferiche e di software</t>
  </si>
  <si>
    <t>46.52.01</t>
  </si>
  <si>
    <t>Commercio all'ingrosso di apparecchi e materiali telefonici</t>
  </si>
  <si>
    <t>46.52.02</t>
  </si>
  <si>
    <t>Commercio all'ingrosso di nastri non registrati</t>
  </si>
  <si>
    <t>46.52.09</t>
  </si>
  <si>
    <t>Commercio all'ingrosso di altre apparecchiature elettroniche per telecomunicazioni e di altri componenti elettronici</t>
  </si>
  <si>
    <t>46.61.00</t>
  </si>
  <si>
    <t>Commercio all'ingrosso di macchine, accessori e utensili agricoli, inclusi i trattori</t>
  </si>
  <si>
    <t>46.62.00</t>
  </si>
  <si>
    <t>Commercio all'ingrosso di macchine utensili (incluse le relative parti intercambiabili)</t>
  </si>
  <si>
    <t>46.63.00</t>
  </si>
  <si>
    <t>Commercio all'ingrosso di macchine per le miniere, l'edilizia e l'ingegneria civile</t>
  </si>
  <si>
    <t>46.64.00</t>
  </si>
  <si>
    <t>Commercio all'ingrosso di macchine per l'industria tessile, di macchine per cucire e per maglieria</t>
  </si>
  <si>
    <t>46.65.00</t>
  </si>
  <si>
    <t>Commercio all'ingrosso di mobili per ufficio e negozi</t>
  </si>
  <si>
    <t>46.66.00</t>
  </si>
  <si>
    <t>Commercio all'ingrosso di altre macchine e attrezzature per ufficio</t>
  </si>
  <si>
    <t>46.69.11</t>
  </si>
  <si>
    <t>Commercio all'ingrosso di imbarcazioni da diporto</t>
  </si>
  <si>
    <t>46.69.19</t>
  </si>
  <si>
    <t>Commercio all'ingrosso di altri mezzi ed attrezzature di trasporto</t>
  </si>
  <si>
    <t>46.69.20</t>
  </si>
  <si>
    <t>Commercio all'ingrosso di materiale elettrico per impianti di uso industriale</t>
  </si>
  <si>
    <t>46.69.30</t>
  </si>
  <si>
    <t>Commercio all'ingrosso di apparecchiature per parrucchieri, palestre, solarium e centri estetici</t>
  </si>
  <si>
    <t>46.69.91</t>
  </si>
  <si>
    <t>Commercio all'ingrosso di strumenti e attrezzature di misurazione per uso scientifico</t>
  </si>
  <si>
    <t>46.69.92</t>
  </si>
  <si>
    <t>Commercio all'ingrosso di strumenti e attrezzature di misurazione per uso non scientifico</t>
  </si>
  <si>
    <t>46.69.93</t>
  </si>
  <si>
    <t>Commercio all'ingrosso di giochi per luna-park e videogiochi per pubblici esercizi</t>
  </si>
  <si>
    <t>46.69.94</t>
  </si>
  <si>
    <t>Commercio all'ingrosso di articoli antincendio e antinfortunistici</t>
  </si>
  <si>
    <t>46.69.99</t>
  </si>
  <si>
    <t>Commercio all'ingrosso di altre macchine ed attrezzature per l'industria, il commercio e la navigazione nca</t>
  </si>
  <si>
    <t>46.71.00</t>
  </si>
  <si>
    <t>Commercio all'ingrosso di prodotti petroliferi e lubrificanti per autotrazione, di combustibili per riscaldamento</t>
  </si>
  <si>
    <t>46.72.10</t>
  </si>
  <si>
    <t>Commercio all'ingrosso di minerali metalliferi, di metalli ferrosi e prodotti semilavorati</t>
  </si>
  <si>
    <t>46.72.20</t>
  </si>
  <si>
    <t>Commercio all'ingrosso di metalli non ferrosi e prodotti semilavorati</t>
  </si>
  <si>
    <t>46.73.10</t>
  </si>
  <si>
    <t>Commercio all'ingrosso di legname, semilavorati in legno e legno artificiale</t>
  </si>
  <si>
    <t>46.73.21</t>
  </si>
  <si>
    <t>Commercio all'ingrosso di moquette e linoleum</t>
  </si>
  <si>
    <t>46.73.22</t>
  </si>
  <si>
    <t>Commercio all'ingrosso di altri materiali per rivestimenti (inclusi gli apparecchi igienico-sanitari)</t>
  </si>
  <si>
    <t>46.73.23</t>
  </si>
  <si>
    <t>Commercio all'ingrosso di infissi</t>
  </si>
  <si>
    <t>46.73.29</t>
  </si>
  <si>
    <t>Commercio all'ingrosso di altri materiali da costruzione</t>
  </si>
  <si>
    <t>46.73.30</t>
  </si>
  <si>
    <t>Commercio all'ingrosso di vetro piano</t>
  </si>
  <si>
    <t>46.73.40</t>
  </si>
  <si>
    <t>Commercio all'ingrosso di carta da parati, colori e vernici</t>
  </si>
  <si>
    <t>46.74.10</t>
  </si>
  <si>
    <t>Commercio all'ingrosso di articoli in ferro e in altri metalli (ferramenta)</t>
  </si>
  <si>
    <t>46.74.20</t>
  </si>
  <si>
    <t>Commercio all'ingrosso di apparecchi e accessori per impianti idraulici, di riscaldamento e di condizionamento</t>
  </si>
  <si>
    <t>46.75.01</t>
  </si>
  <si>
    <t>Commercio all'ingrosso di fertilizzanti e di altri prodotti chimici per l'agricoltura</t>
  </si>
  <si>
    <t>46.75.02</t>
  </si>
  <si>
    <t>Commercio all'ingrosso di prodotti chimici per l'industria</t>
  </si>
  <si>
    <t>46.76.10</t>
  </si>
  <si>
    <t>Commercio all'ingrosso di fibre tessili gregge e semilavorate</t>
  </si>
  <si>
    <t>46.76.20</t>
  </si>
  <si>
    <t>Commercio all'ingrosso di gomma greggia, materie plastiche in forme primarie e semilavorati</t>
  </si>
  <si>
    <t>46.76.30</t>
  </si>
  <si>
    <t>Commercio all'ingrosso di imballaggi</t>
  </si>
  <si>
    <t>46.76.90</t>
  </si>
  <si>
    <t>Commercio all'ingrosso di altri prodotti intermedi nca</t>
  </si>
  <si>
    <t>46.77.10</t>
  </si>
  <si>
    <t>Commercio all'ingrosso di rottami e sottoprodotti della lavorazione industriale metallici</t>
  </si>
  <si>
    <t>46.77.20</t>
  </si>
  <si>
    <t>Commercio all'ingrosso di altri materiali di recupero non metallici (vetro, carta, cartoni eccetera); sottoprodotti non metallici della lavorazione industriale (cascami)</t>
  </si>
  <si>
    <t>46.90.00</t>
  </si>
  <si>
    <t>Commercio all'ingrosso non specializzato</t>
  </si>
  <si>
    <t>47</t>
  </si>
  <si>
    <t>COMMERCIO AL DETTAGLIO (ESCLUSO QUELLO DI AUTOVEICOLI E DI MOTOCICLI)</t>
  </si>
  <si>
    <t>47.11.10</t>
  </si>
  <si>
    <t>Ipermercati</t>
  </si>
  <si>
    <t>47.11.20</t>
  </si>
  <si>
    <t>Supermercati</t>
  </si>
  <si>
    <t>47.11.30</t>
  </si>
  <si>
    <t>Discount di alimentari</t>
  </si>
  <si>
    <t>47.11.40</t>
  </si>
  <si>
    <t>Minimercati ed altri esercizi non specializzati di alimentari vari</t>
  </si>
  <si>
    <t>47.11.50</t>
  </si>
  <si>
    <t>Commercio al dettaglio di prodotti surgelati</t>
  </si>
  <si>
    <t>47.19.10</t>
  </si>
  <si>
    <t>Grandi magazzini</t>
  </si>
  <si>
    <t>47.19.20</t>
  </si>
  <si>
    <t>Commercio al dettaglio in esercizi non specializzati di computer, periferiche, attrezzature per le telecomunicazioni, elettronica di consumo audio e video, elettrodomestici</t>
  </si>
  <si>
    <t>47.19.90</t>
  </si>
  <si>
    <t>Empori ed altri negozi non specializzati di vari prodotti non alimentari</t>
  </si>
  <si>
    <t>47.21.01</t>
  </si>
  <si>
    <t>Commercio al dettaglio di frutta e verdura fresca</t>
  </si>
  <si>
    <t>47.21.02</t>
  </si>
  <si>
    <t>Commercio al dettaglio di frutta e verdura preparata e conservata</t>
  </si>
  <si>
    <t>47.22.00</t>
  </si>
  <si>
    <t>Commercio al dettaglio di carni e di prodotti a base di carne</t>
  </si>
  <si>
    <t>47.23.00</t>
  </si>
  <si>
    <t>Commercio al dettaglio di pesci, crostacei e molluschi</t>
  </si>
  <si>
    <t>47.24.10</t>
  </si>
  <si>
    <t>Commercio al dettaglio di pane</t>
  </si>
  <si>
    <t>47.24.20</t>
  </si>
  <si>
    <t>Commercio al dettaglio di torte, dolciumi, confetteria</t>
  </si>
  <si>
    <t>47.25.00</t>
  </si>
  <si>
    <t>Commercio al dettaglio di bevande</t>
  </si>
  <si>
    <t>47.26.00</t>
  </si>
  <si>
    <t>Commercio al dettaglio di generi di monopolio (tabaccherie)</t>
  </si>
  <si>
    <t>47.29.10</t>
  </si>
  <si>
    <t>Commercio al dettaglio di latte e di prodotti lattiero-caseari</t>
  </si>
  <si>
    <t>47.29.20</t>
  </si>
  <si>
    <t>Commercio al dettaglio di caffè torrefatto</t>
  </si>
  <si>
    <t>47.29.30</t>
  </si>
  <si>
    <t>Commercio al dettaglio di prodotti macrobiotici e dietetici</t>
  </si>
  <si>
    <t>47.29.90</t>
  </si>
  <si>
    <t>Commercio al dettaglio di altri prodotti alimentari in esercizi specializzati nca</t>
  </si>
  <si>
    <t>47.30.00</t>
  </si>
  <si>
    <t>Commercio al dettaglio di carburante per autotrazione</t>
  </si>
  <si>
    <t>47.41.00</t>
  </si>
  <si>
    <t>Commercio al dettaglio di computer, unità periferiche, software e attrezzature per ufficio in esercizi specializzati</t>
  </si>
  <si>
    <t>47.42.00</t>
  </si>
  <si>
    <t>Commercio al dettaglio di apparecchiature per le telecomunicazioni e la telefonia in esercizi specializzati</t>
  </si>
  <si>
    <t>47.43.00</t>
  </si>
  <si>
    <t>Commercio al dettaglio di apparecchi audio e video in esercizi specializzati</t>
  </si>
  <si>
    <t>47.51.10</t>
  </si>
  <si>
    <t>Commercio al dettaglio di tessuti per l'abbigliamento, l'arredamento e di biancheria per la casa</t>
  </si>
  <si>
    <t>47.51.20</t>
  </si>
  <si>
    <t>Commercio al dettaglio di filati per maglieria e merceria</t>
  </si>
  <si>
    <t>47.52.10</t>
  </si>
  <si>
    <t>Commercio al dettaglio di ferramenta, vernici, vetro piano e materiale elettrico e termoidraulico</t>
  </si>
  <si>
    <t>47.52.20</t>
  </si>
  <si>
    <t>Commercio al dettaglio di articoli igienico-sanitari</t>
  </si>
  <si>
    <t>47.52.30</t>
  </si>
  <si>
    <t>Commercio al dettaglio di materiali da costruzione, ceramiche e piastrelle</t>
  </si>
  <si>
    <t>47.52.40</t>
  </si>
  <si>
    <t>Commercio al dettaglio di macchine, attrezzature e prodotti per l'agricoltura; macchine e attrezzature per il giardinaggio</t>
  </si>
  <si>
    <t>47.53.11</t>
  </si>
  <si>
    <t>Commercio al dettaglio di tende e tendine</t>
  </si>
  <si>
    <t>47.53.12</t>
  </si>
  <si>
    <t>Commercio al dettaglio di tappeti</t>
  </si>
  <si>
    <t>47.53.20</t>
  </si>
  <si>
    <t>Commercio al dettaglio di carta da parati e rivestimenti per pavimenti (moquette e linoleum)</t>
  </si>
  <si>
    <t>47.54.00</t>
  </si>
  <si>
    <t>Commercio al dettaglio di elettrodomestici in esercizi specializzati</t>
  </si>
  <si>
    <t>47.59.10</t>
  </si>
  <si>
    <t>Commercio al dettaglio di mobili per la casa</t>
  </si>
  <si>
    <t>47.59.20</t>
  </si>
  <si>
    <t>Commercio al dettaglio di utensili per la casa, di cristallerie e vasellame</t>
  </si>
  <si>
    <t>47.59.30</t>
  </si>
  <si>
    <t>Commercio al dettaglio di articoli per l'illuminazione</t>
  </si>
  <si>
    <t>47.59.40</t>
  </si>
  <si>
    <t>Commercio al dettaglio di macchine per cucire e per maglieria per uso domestico</t>
  </si>
  <si>
    <t>47.59.50</t>
  </si>
  <si>
    <t>Commercio al dettaglio di sistemi di sicurezza</t>
  </si>
  <si>
    <t>47.59.60</t>
  </si>
  <si>
    <t>Commercio al dettaglio di strumenti musicali e spartiti</t>
  </si>
  <si>
    <t>47.59.91</t>
  </si>
  <si>
    <t>Commercio al dettaglio di articoli in legno, sughero, vimini e articoli in plastica per uso domestico</t>
  </si>
  <si>
    <t>47.59.99</t>
  </si>
  <si>
    <t>Commercio al dettaglio di altri articoli per uso domestico nca</t>
  </si>
  <si>
    <t>47.61.00</t>
  </si>
  <si>
    <t>Commercio al dettaglio di libri nuovi in esercizi specializzati</t>
  </si>
  <si>
    <t>47.62.10</t>
  </si>
  <si>
    <t>Commercio al dettaglio di giornali, riviste e periodici</t>
  </si>
  <si>
    <t>47.62.20</t>
  </si>
  <si>
    <t>Commercio al dettaglio di articoli di cartoleria e forniture per ufficio</t>
  </si>
  <si>
    <t>47.63.00</t>
  </si>
  <si>
    <t>Commercio al dettaglio di registrazioni musicali e video in esercizi specializzati</t>
  </si>
  <si>
    <t>47.64.10</t>
  </si>
  <si>
    <t>Commercio al dettaglio di articoli sportivi, biciclette e articoli per il tempo libero</t>
  </si>
  <si>
    <t>47.64.20</t>
  </si>
  <si>
    <t>Commercio al dettaglio di natanti e accessori</t>
  </si>
  <si>
    <t>47.65.00</t>
  </si>
  <si>
    <t>Commercio al dettaglio di giochi e giocattoli (inclusi quelli elettronici)</t>
  </si>
  <si>
    <t>47.71.10</t>
  </si>
  <si>
    <t>Commercio al dettaglio di confezioni per adulti</t>
  </si>
  <si>
    <t>47.71.20</t>
  </si>
  <si>
    <t>Commercio al dettaglio di confezioni per bambini e neonati</t>
  </si>
  <si>
    <t>47.71.30</t>
  </si>
  <si>
    <t>Commercio al dettaglio di biancheria personale, maglieria, camicie</t>
  </si>
  <si>
    <t>47.71.40</t>
  </si>
  <si>
    <t>Commercio al dettaglio di pellicce e di abbigliamento in pelle</t>
  </si>
  <si>
    <t>47.71.50</t>
  </si>
  <si>
    <t>Commercio al dettaglio di cappelli, ombrelli, guanti e cravatte</t>
  </si>
  <si>
    <t>47.72.10</t>
  </si>
  <si>
    <t>Commercio al dettaglio di calzature e accessori</t>
  </si>
  <si>
    <t>47.72.20</t>
  </si>
  <si>
    <t>Commercio al dettaglio di articoli di pelletteria e da viaggio</t>
  </si>
  <si>
    <t>47.73.10</t>
  </si>
  <si>
    <t>Farmacie</t>
  </si>
  <si>
    <t>47.73.20</t>
  </si>
  <si>
    <t>Commercio al dettaglio in altri esercizi specializzati di medicinali non soggetti a prescrizione medica</t>
  </si>
  <si>
    <t>47.74.00</t>
  </si>
  <si>
    <t>Commercio al dettaglio di articoli medicali e ortopedici in esercizi specializzati</t>
  </si>
  <si>
    <t>47.75.10</t>
  </si>
  <si>
    <t>Commercio al dettaglio di articoli di profumeria, prodotti per toletta e per l'igiene personale</t>
  </si>
  <si>
    <t>47.75.20</t>
  </si>
  <si>
    <t>Erboristerie</t>
  </si>
  <si>
    <t>47.76.10</t>
  </si>
  <si>
    <t>Commercio al dettaglio di fiori e piante</t>
  </si>
  <si>
    <t>47.76.20</t>
  </si>
  <si>
    <t>Commercio al dettaglio di piccoli animali domestici</t>
  </si>
  <si>
    <t>47.77.00</t>
  </si>
  <si>
    <t>Commercio al dettaglio di orologi, articoli di gioielleria e argenteria</t>
  </si>
  <si>
    <t>47.78.10</t>
  </si>
  <si>
    <t>Commercio al dettaglio di mobili per ufficio</t>
  </si>
  <si>
    <t>47.78.20</t>
  </si>
  <si>
    <t>Commercio al dettaglio di materiale per ottica e fotografia</t>
  </si>
  <si>
    <t>47.78.31</t>
  </si>
  <si>
    <t>Commercio al dettaglio di oggetti d'arte (incluse le gallerie d'arte)</t>
  </si>
  <si>
    <t>47.78.32</t>
  </si>
  <si>
    <t>Commercio al dettaglio di oggetti d'artigianato</t>
  </si>
  <si>
    <t>47.78.33</t>
  </si>
  <si>
    <t>Commercio al dettaglio di arredi sacri ed articoli religiosi</t>
  </si>
  <si>
    <t>47.78.34</t>
  </si>
  <si>
    <t>Commercio al dettaglio di articoli da regalo e per fumatori</t>
  </si>
  <si>
    <t>47.78.35</t>
  </si>
  <si>
    <t>Commercio al dettaglio di bomboniere</t>
  </si>
  <si>
    <t>47.78.36</t>
  </si>
  <si>
    <t>Commercio al dettaglio di chincaglieria e bigiotteria (inclusi gli oggetti ricordo e gli articoli di promozione pubblicitaria)</t>
  </si>
  <si>
    <t>47.78.37</t>
  </si>
  <si>
    <t>Commercio al dettaglio di articoli per le belle arti</t>
  </si>
  <si>
    <t>47.78.40</t>
  </si>
  <si>
    <t>Commercio al dettaglio di combustibile per uso domestico e per riscaldamento</t>
  </si>
  <si>
    <t>47.78.50</t>
  </si>
  <si>
    <t>Commercio al dettaglio di armi e munizioni, articoli militari</t>
  </si>
  <si>
    <t>47.78.60</t>
  </si>
  <si>
    <t>Commercio al dettaglio di saponi, detersivi, prodotti per la lucidatura e affini</t>
  </si>
  <si>
    <t>47.78.91</t>
  </si>
  <si>
    <t>Commercio al dettaglio di filatelia, numismatica e articoli da collezionismo</t>
  </si>
  <si>
    <t>47.78.92</t>
  </si>
  <si>
    <t>Commercio al dettaglio di spaghi, cordami, tele e sacchi di juta e prodotti per l'imballaggio (esclusi quelli in carta e cartone)</t>
  </si>
  <si>
    <t>47.78.93</t>
  </si>
  <si>
    <t>Commercio al dettaglio di articoli funerari e cimiteriali</t>
  </si>
  <si>
    <t>47.78.94</t>
  </si>
  <si>
    <t>Commercio al dettaglio di articoli per adulti (sexy shop)</t>
  </si>
  <si>
    <t>47.78.99</t>
  </si>
  <si>
    <t>Commercio al dettaglio di altri prodotti non alimentari nca</t>
  </si>
  <si>
    <t>47.79.10</t>
  </si>
  <si>
    <t>Commercio al dettaglio di libri di seconda mano</t>
  </si>
  <si>
    <t>47.79.20</t>
  </si>
  <si>
    <t>Commercio al dettaglio di mobili usati e oggetti di antiquariato</t>
  </si>
  <si>
    <t>47.79.30</t>
  </si>
  <si>
    <t>Commercio al dettaglio di indumenti e altri oggetti usati</t>
  </si>
  <si>
    <t>47.79.40</t>
  </si>
  <si>
    <t>Case d'asta al dettaglio (escluse aste via internet)</t>
  </si>
  <si>
    <t>47.81.01</t>
  </si>
  <si>
    <t>Commercio al dettaglio ambulante di prodotti ortofrutticoli</t>
  </si>
  <si>
    <t>47.81.02</t>
  </si>
  <si>
    <t>Commercio al dettaglio ambulante di prodotti ittici</t>
  </si>
  <si>
    <t>47.81.03</t>
  </si>
  <si>
    <t>Commercio al dettaglio ambulante di carne</t>
  </si>
  <si>
    <t>47.81.09</t>
  </si>
  <si>
    <t>Commercio al dettaglio ambulante di altri prodotti alimentari e bevande nca</t>
  </si>
  <si>
    <t>47.82.01</t>
  </si>
  <si>
    <t>Commercio al dettaglio ambulante di tessuti, articoli tessili per la casa, articoli di abbigliamento</t>
  </si>
  <si>
    <t>47.82.02</t>
  </si>
  <si>
    <t>Commercio al dettaglio ambulante di calzature e pelletterie</t>
  </si>
  <si>
    <t>47.89.01</t>
  </si>
  <si>
    <t>Commercio al dettaglio ambulante di fiori, piante, bulbi, semi e fertilizzanti</t>
  </si>
  <si>
    <t>47.89.02</t>
  </si>
  <si>
    <t>Commercio al dettaglio ambulante di macchine, attrezzature e prodotti per l'agricoltura; attrezzature per il giardinaggio</t>
  </si>
  <si>
    <t>47.89.03</t>
  </si>
  <si>
    <t>Commercio al dettaglio ambulante di profumi e cosmetici; saponi, detersivi ed altri detergenti per qualsiasi uso</t>
  </si>
  <si>
    <t>47.89.04</t>
  </si>
  <si>
    <t>Commercio al dettaglio ambulante di chincaglieria e bigiotteria</t>
  </si>
  <si>
    <t>47.89.05</t>
  </si>
  <si>
    <t>Commercio al dettaglio ambulante di arredamenti per giardino; mobili; tappeti e stuoie; articoli casalinghi; elettrodomestici; materiale elettrico</t>
  </si>
  <si>
    <t>47.89.09</t>
  </si>
  <si>
    <t>Commercio al dettaglio ambulante di altri prodotti nca</t>
  </si>
  <si>
    <t>47.91.10</t>
  </si>
  <si>
    <t>Commercio al dettaglio di qualsiasi tipo di prodotto effettuato via internet</t>
  </si>
  <si>
    <t>47.91.20</t>
  </si>
  <si>
    <t>Commercio al dettaglio di qualsiasi tipo di prodotto effettuato per televisione</t>
  </si>
  <si>
    <t>47.91.30</t>
  </si>
  <si>
    <t>Commercio al dettaglio di qualsiasi tipo di prodotto per corrispondenza, radio, telefono</t>
  </si>
  <si>
    <t>47.99.10</t>
  </si>
  <si>
    <t>Commercio al dettaglio di prodotti vari, mediante l'intervento di un dimostratore o di un incaricato alla vendita (porta a porta)</t>
  </si>
  <si>
    <t>47.99.20</t>
  </si>
  <si>
    <t>Commercio effettuato per mezzo di distributori automatici</t>
  </si>
  <si>
    <t>TRASPORTO E MAGAZZINAGGIO</t>
  </si>
  <si>
    <t>49</t>
  </si>
  <si>
    <t>TRASPORTO TERRESTRE E TRASPORTO MEDIANTE CONDOTTE</t>
  </si>
  <si>
    <t>49.10.00</t>
  </si>
  <si>
    <t>Trasporto ferroviario di passeggeri (interurbano)</t>
  </si>
  <si>
    <t>49.20.00</t>
  </si>
  <si>
    <t>Trasporto ferroviario di merci</t>
  </si>
  <si>
    <t>49.31.00</t>
  </si>
  <si>
    <t>Trasporto terrestre di passeggeri in aree urbane e suburbane</t>
  </si>
  <si>
    <t>49.32.10</t>
  </si>
  <si>
    <t>Trasporto con taxi</t>
  </si>
  <si>
    <t>49.32.20</t>
  </si>
  <si>
    <t>Trasporto mediante noleggio di autovetture da rimessa con conducente</t>
  </si>
  <si>
    <t>49.39.01</t>
  </si>
  <si>
    <t>Gestioni di funicolari, ski-lift e seggiovie se non facenti parte dei sistemi di transito urbano o suburbano</t>
  </si>
  <si>
    <t>49.39.09</t>
  </si>
  <si>
    <t>Altre attività di trasporti terrestri di passeggeri nca</t>
  </si>
  <si>
    <t>49.41.00</t>
  </si>
  <si>
    <t>Trasporto di merci su strada</t>
  </si>
  <si>
    <t>49.42.00</t>
  </si>
  <si>
    <t>Servizi di trasloco</t>
  </si>
  <si>
    <t>49.50.10</t>
  </si>
  <si>
    <t>Trasporto mediante condotte di gas</t>
  </si>
  <si>
    <t>49.50.20</t>
  </si>
  <si>
    <t>Trasporto mediante condotte di liquidi</t>
  </si>
  <si>
    <t>50</t>
  </si>
  <si>
    <t>TRASPORTO MARITTIMO E PER VIE D'ACQUA</t>
  </si>
  <si>
    <t>50.10.00</t>
  </si>
  <si>
    <t>Trasporto marittimo e costiero di passeggeri</t>
  </si>
  <si>
    <t>50.20.00</t>
  </si>
  <si>
    <t>Trasporto marittimo e costiero di merci</t>
  </si>
  <si>
    <t>50.30.00</t>
  </si>
  <si>
    <t>Trasporto di passeggeri per vie d'acqua interne (inclusi i trasporti lagunari)</t>
  </si>
  <si>
    <t>50.40.00</t>
  </si>
  <si>
    <t>Trasporto di merci per vie d'acqua interne</t>
  </si>
  <si>
    <t>51</t>
  </si>
  <si>
    <t>TRASPORTO AEREO</t>
  </si>
  <si>
    <t>51.10.10</t>
  </si>
  <si>
    <t>Trasporto aereo di linea di passeggeri</t>
  </si>
  <si>
    <t>51.10.20</t>
  </si>
  <si>
    <t>Trasporto aereo non di linea di passeggeri; voli charter</t>
  </si>
  <si>
    <t>51.21.00</t>
  </si>
  <si>
    <t>Trasporto aereo di merci</t>
  </si>
  <si>
    <t>51.22.00</t>
  </si>
  <si>
    <t>Trasporto spaziale</t>
  </si>
  <si>
    <t>52</t>
  </si>
  <si>
    <t>MAGAZZINAGGIO E ATTIVITÀ DI SUPPORTO AI TRASPORTI</t>
  </si>
  <si>
    <t>52.10.10</t>
  </si>
  <si>
    <t>Magazzini di custodia e deposito per conto terzi</t>
  </si>
  <si>
    <t>52.10.20</t>
  </si>
  <si>
    <t>Magazzini frigoriferi per conto terzi</t>
  </si>
  <si>
    <t>52.21.10</t>
  </si>
  <si>
    <t>Gestione di infrastrutture ferroviarie</t>
  </si>
  <si>
    <t>52.21.20</t>
  </si>
  <si>
    <t>Gestione di strade, ponti, gallerie</t>
  </si>
  <si>
    <t>52.21.30</t>
  </si>
  <si>
    <t>Gestione di stazioni per autobus</t>
  </si>
  <si>
    <t>52.21.40</t>
  </si>
  <si>
    <t>Gestione di centri di movimentazione merci (interporti)</t>
  </si>
  <si>
    <t>52.21.50</t>
  </si>
  <si>
    <t>Gestione di parcheggi e autorimesse</t>
  </si>
  <si>
    <t>52.21.60</t>
  </si>
  <si>
    <t>Attività di traino e soccorso stradale</t>
  </si>
  <si>
    <t>52.21.90</t>
  </si>
  <si>
    <t>Altre attività connesse ai trasporti terrestri nca</t>
  </si>
  <si>
    <t>52.22.01</t>
  </si>
  <si>
    <t>Liquefazione e rigassificazione di gas a scopo di trasporto marittimo e per vie d'acqua effettuata al di fuori del sito di estrazione</t>
  </si>
  <si>
    <t>52.22.09</t>
  </si>
  <si>
    <t>Altre attività dei servizi connessi al trasporto marittimo e per vie d'acqua</t>
  </si>
  <si>
    <t>52.23.00</t>
  </si>
  <si>
    <t>Attività dei servizi connessi al trasporto aereo</t>
  </si>
  <si>
    <t>52.24.10</t>
  </si>
  <si>
    <t>Movimento merci relativo a trasporti aerei</t>
  </si>
  <si>
    <t>52.24.20</t>
  </si>
  <si>
    <t>Movimento merci relativo a trasporti marittimi e fluviali</t>
  </si>
  <si>
    <t>52.24.30</t>
  </si>
  <si>
    <t>Movimento merci relativo a trasporti ferroviari</t>
  </si>
  <si>
    <t>52.24.40</t>
  </si>
  <si>
    <t>Movimento merci relativo ad altri trasporti terrestri</t>
  </si>
  <si>
    <t>52.29.10</t>
  </si>
  <si>
    <t>Spedizionieri e agenzie di operazioni doganali</t>
  </si>
  <si>
    <t>52.29.21</t>
  </si>
  <si>
    <t>Intermediari dei trasporti</t>
  </si>
  <si>
    <t>52.29.22</t>
  </si>
  <si>
    <t>Servizi logistici relativi alla distribuzione delle merci</t>
  </si>
  <si>
    <t>53</t>
  </si>
  <si>
    <t>SERVIZI POSTALI E ATTIVITÀ DI CORRIERE</t>
  </si>
  <si>
    <t>53.10.00</t>
  </si>
  <si>
    <t>Attività postali con obbligo di servizio universale</t>
  </si>
  <si>
    <t>53.20.00</t>
  </si>
  <si>
    <t>Altre attività postali e di corriere senza obbligo di servizio universale</t>
  </si>
  <si>
    <t>ATTIVITÀ DEI SERVIZI DI ALLOGGIO E DI RISTORAZIONE</t>
  </si>
  <si>
    <t>55</t>
  </si>
  <si>
    <t>ALLOGGIO</t>
  </si>
  <si>
    <t>55.10.00</t>
  </si>
  <si>
    <t>Alberghi</t>
  </si>
  <si>
    <t>55.20.10</t>
  </si>
  <si>
    <t>Villaggi turistici</t>
  </si>
  <si>
    <t>55.20.20</t>
  </si>
  <si>
    <t>Ostelli della gioventù</t>
  </si>
  <si>
    <t>55.20.30</t>
  </si>
  <si>
    <t>Rifugi di montagna</t>
  </si>
  <si>
    <t>55.20.40</t>
  </si>
  <si>
    <t>Colonie marine e montane</t>
  </si>
  <si>
    <t>55.20.51</t>
  </si>
  <si>
    <t>Affittacamere per brevi soggiorni, case ed appartamenti per vacanze, bed and breakfast, residence</t>
  </si>
  <si>
    <t>55.20.52</t>
  </si>
  <si>
    <t>Attività di alloggio connesse alle aziende agricole</t>
  </si>
  <si>
    <t>55.30.00</t>
  </si>
  <si>
    <t>Aree di campeggio e aree attrezzate per camper e roulotte</t>
  </si>
  <si>
    <t>55.90.10</t>
  </si>
  <si>
    <t>Gestione di vagoni letto</t>
  </si>
  <si>
    <t>55.90.20</t>
  </si>
  <si>
    <t>Alloggi per studenti e lavoratori con servizi accessori di tipo alberghiero</t>
  </si>
  <si>
    <t>56</t>
  </si>
  <si>
    <t>ATTIVITÀ DEI SERVIZI DI RISTORAZIONE</t>
  </si>
  <si>
    <t>56.10.11</t>
  </si>
  <si>
    <t>Ristorazione con somministrazione</t>
  </si>
  <si>
    <t>56.10.12</t>
  </si>
  <si>
    <t>Attività di ristorazione connesse alle aziende agricole</t>
  </si>
  <si>
    <t>56.10.20</t>
  </si>
  <si>
    <t>Ristorazione senza somministrazione con preparazione di cibi da asporto</t>
  </si>
  <si>
    <t>56.10.30</t>
  </si>
  <si>
    <t>Gelaterie e pasticcerie</t>
  </si>
  <si>
    <t>56.10.41</t>
  </si>
  <si>
    <t>Gelaterie e pasticcerie ambulanti</t>
  </si>
  <si>
    <t>56.10.42</t>
  </si>
  <si>
    <t>Ristorazione ambulante</t>
  </si>
  <si>
    <t>56.10.50</t>
  </si>
  <si>
    <t>Ristorazione su treni e navi</t>
  </si>
  <si>
    <t>56.21.00</t>
  </si>
  <si>
    <t>Catering per eventi, banqueting</t>
  </si>
  <si>
    <t>56.29.10</t>
  </si>
  <si>
    <t>Mense</t>
  </si>
  <si>
    <t>56.29.20</t>
  </si>
  <si>
    <t>Catering continuativo su base contrattuale</t>
  </si>
  <si>
    <t>56.30.00</t>
  </si>
  <si>
    <t>Bar e altri esercizi simili senza cucina</t>
  </si>
  <si>
    <t>J</t>
  </si>
  <si>
    <t>SERVIZI DI INFORMAZIONE E COMUNICAZIONE</t>
  </si>
  <si>
    <t>58</t>
  </si>
  <si>
    <t>ATTIVITÀ EDITORIALI</t>
  </si>
  <si>
    <t>58.11.00</t>
  </si>
  <si>
    <t>Edizione di libri</t>
  </si>
  <si>
    <t>58.12.01</t>
  </si>
  <si>
    <t>Pubblicazione di elenchi</t>
  </si>
  <si>
    <t>58.12.02</t>
  </si>
  <si>
    <t>Pubblicazione di mailing list</t>
  </si>
  <si>
    <t>58.13.00</t>
  </si>
  <si>
    <t>Edizione di quotidiani</t>
  </si>
  <si>
    <t>58.14.00</t>
  </si>
  <si>
    <t>Edizione di riviste e periodici</t>
  </si>
  <si>
    <t>58.19.00</t>
  </si>
  <si>
    <t>Altre attività editoriali</t>
  </si>
  <si>
    <t>58.21.00</t>
  </si>
  <si>
    <t>Edizione di giochi per computer</t>
  </si>
  <si>
    <t>58.29.00</t>
  </si>
  <si>
    <t>Edizione di altri software a pacchetto (esclusi giochi per computer)</t>
  </si>
  <si>
    <t>59</t>
  </si>
  <si>
    <t>ATTIVITÀ DI PRODUZIONE CINEMATOGRAFICA, DI VIDEO E DI PROGRAMMI TELEVISIVI, DI REGISTRAZIONI MUSICALI E SONORE</t>
  </si>
  <si>
    <t>59.11.00</t>
  </si>
  <si>
    <t>Attività di produzione cinematografica, di video e di programmi televisivi</t>
  </si>
  <si>
    <t>59.12.00</t>
  </si>
  <si>
    <t>Attività di post-produzione cinematografica, di video e di programmi televisivi</t>
  </si>
  <si>
    <t>59.13.00</t>
  </si>
  <si>
    <t>Attività di distribuzione cinematografica, di video e di programmi televisivi</t>
  </si>
  <si>
    <t>59.14.00</t>
  </si>
  <si>
    <t>Attività di proiezione cinematografica</t>
  </si>
  <si>
    <t>59.20.10</t>
  </si>
  <si>
    <t>Edizione di registrazioni sonore</t>
  </si>
  <si>
    <t>59.20.20</t>
  </si>
  <si>
    <t>Edizione di musica stampata</t>
  </si>
  <si>
    <t>59.20.30</t>
  </si>
  <si>
    <t>Studi di registrazione sonora</t>
  </si>
  <si>
    <t>60</t>
  </si>
  <si>
    <t>ATTIVITÀ DI PROGRAMMAZIONE E TRASMISSIONE</t>
  </si>
  <si>
    <t>60.10.00</t>
  </si>
  <si>
    <t>Trasmissioni radiofoniche</t>
  </si>
  <si>
    <t>60.20.00</t>
  </si>
  <si>
    <t>Programmazione e trasmissioni televisive</t>
  </si>
  <si>
    <t>61</t>
  </si>
  <si>
    <t>TELECOMUNICAZIONI</t>
  </si>
  <si>
    <t>61.10.00</t>
  </si>
  <si>
    <t>Telecomunicazioni fisse</t>
  </si>
  <si>
    <t>61.20.00</t>
  </si>
  <si>
    <t>Telecomunicazioni mobili</t>
  </si>
  <si>
    <t>61.30.00</t>
  </si>
  <si>
    <t>Telecomunicazioni satellitari</t>
  </si>
  <si>
    <t>61.90.10</t>
  </si>
  <si>
    <t>Erogazione di servizi di accesso ad internet (ISP)</t>
  </si>
  <si>
    <t>61.90.20</t>
  </si>
  <si>
    <t>Posto telefonico pubblico ed Internet Point</t>
  </si>
  <si>
    <t>61.90.91</t>
  </si>
  <si>
    <t>Intermediazione in servizi di telecomunicazione e trasmissione dati</t>
  </si>
  <si>
    <t>61.90.99</t>
  </si>
  <si>
    <t>Altre attività connesse alle telecomunicazioni nca</t>
  </si>
  <si>
    <t>62</t>
  </si>
  <si>
    <t>PRODUZIONE DI SOFTWARE, CONSULENZA INFORMATICA E ATTIVITÀ CONNESSE</t>
  </si>
  <si>
    <t>62.01.00</t>
  </si>
  <si>
    <t>Produzione di software non connesso all'edizione</t>
  </si>
  <si>
    <t>62.02.00</t>
  </si>
  <si>
    <t>Consulenza nel settore delle tecnologie dell'informatica</t>
  </si>
  <si>
    <t>62.03.00</t>
  </si>
  <si>
    <t>Gestione di strutture e apparecchiature informatiche hardware - housing (esclusa la riparazione)</t>
  </si>
  <si>
    <t>62.09.01</t>
  </si>
  <si>
    <t>Configurazione di personal computer</t>
  </si>
  <si>
    <t>62.09.09</t>
  </si>
  <si>
    <t>Altre attività dei servizi connessi alle tecnologie dell'informatica nca</t>
  </si>
  <si>
    <t>63</t>
  </si>
  <si>
    <t>ATTIVITÀ DEI SERVIZI D'INFORMAZIONE E ALTRI SERVIZI INFORMATICI</t>
  </si>
  <si>
    <t>63.11.11</t>
  </si>
  <si>
    <t>Elaborazione elettronica di dati contabili (esclusi i Centri di assistenza fiscale - Caf)</t>
  </si>
  <si>
    <t>63.11.19</t>
  </si>
  <si>
    <t>Altre elaborazioni elettroniche di dati</t>
  </si>
  <si>
    <t>63.11.20</t>
  </si>
  <si>
    <t>Gestione database (attività delle banche dati)</t>
  </si>
  <si>
    <t>63.11.30</t>
  </si>
  <si>
    <t>Hosting e fornitura di servizi applicativi (ASP)</t>
  </si>
  <si>
    <t>63.12.00</t>
  </si>
  <si>
    <t>Portali web</t>
  </si>
  <si>
    <t>63.91.00</t>
  </si>
  <si>
    <t>Attività delle agenzie di stampa</t>
  </si>
  <si>
    <t>63.99.00</t>
  </si>
  <si>
    <t>Altre attività dei servizi di informazione nca</t>
  </si>
  <si>
    <t>ATTIVITÀ PROFESSIONALI, SCIENTIFICHE E TECNICHE</t>
  </si>
  <si>
    <t>69</t>
  </si>
  <si>
    <t>ATTIVITÀ LEGALI E CONTABILITÀ</t>
  </si>
  <si>
    <t>69.10.10</t>
  </si>
  <si>
    <t>Attività degli studi legali</t>
  </si>
  <si>
    <t>69.10.20</t>
  </si>
  <si>
    <t>Attività degli studi notarili</t>
  </si>
  <si>
    <t>69.20.11</t>
  </si>
  <si>
    <t>Servizi forniti da dottori commercialisti</t>
  </si>
  <si>
    <t>69.20.12</t>
  </si>
  <si>
    <t>Servizi forniti da ragionieri e periti commerciali</t>
  </si>
  <si>
    <t>69.20.13</t>
  </si>
  <si>
    <t>Servizi forniti da revisori contabili, periti, consulenti ed altri soggetti che svolgono attività in materia di amministrazione, contabilità e tributi</t>
  </si>
  <si>
    <t>69.20.14</t>
  </si>
  <si>
    <t>Attività svolta dai Centri di assistenza fiscale (Caf)</t>
  </si>
  <si>
    <t>69.20.15</t>
  </si>
  <si>
    <t>Gestione ed amministrazione del personale per conto terzi</t>
  </si>
  <si>
    <t>69.20.20</t>
  </si>
  <si>
    <t>Attività delle società di revisione e certificazione di bilanci</t>
  </si>
  <si>
    <t>69.20.30</t>
  </si>
  <si>
    <t>Attività dei consulenti del lavoro</t>
  </si>
  <si>
    <t>70</t>
  </si>
  <si>
    <t xml:space="preserve">ATTIVITÀ DI DIREZIONE AZIENDALE E DI CONSULENZA GESTIONALE </t>
  </si>
  <si>
    <t>70.10.00</t>
  </si>
  <si>
    <t>Attività delle holding impegnate nelle attività gestionali (holding operative)</t>
  </si>
  <si>
    <t>70.21.00</t>
  </si>
  <si>
    <t>Pubbliche relazioni e comunicazione</t>
  </si>
  <si>
    <t>70.22.01</t>
  </si>
  <si>
    <t>Attività di consulenza per la gestione della logistica aziendale</t>
  </si>
  <si>
    <t>70.22.09</t>
  </si>
  <si>
    <t>Altre attività di consulenza imprenditoriale e altra consulenza amministrativo-gestionale e pianificazione aziendale</t>
  </si>
  <si>
    <t>71</t>
  </si>
  <si>
    <t>ATTIVITÀ DEGLI STUDI DI ARCHITETTURA E D'INGEGNERIA; COLLAUDI ED ANALISI TECNICHE</t>
  </si>
  <si>
    <t>71.11.00</t>
  </si>
  <si>
    <t>Attività degli studi di architettura</t>
  </si>
  <si>
    <t>71.12.10</t>
  </si>
  <si>
    <t>Attività degli studi di ingegneria</t>
  </si>
  <si>
    <t>71.12.20</t>
  </si>
  <si>
    <t>Servizi di progettazione di ingegneria integrata</t>
  </si>
  <si>
    <t>71.12.30</t>
  </si>
  <si>
    <t>Attività tecniche svolte da geometri</t>
  </si>
  <si>
    <t>71.12.40</t>
  </si>
  <si>
    <t>Attività di cartografia e aerofotogrammetria</t>
  </si>
  <si>
    <t>71.12.50</t>
  </si>
  <si>
    <t>Attività di studio geologico e di prospezione geognostica e mineraria</t>
  </si>
  <si>
    <t>71.20.10</t>
  </si>
  <si>
    <t>Collaudi e analisi tecniche di prodotti</t>
  </si>
  <si>
    <t>71.20.21</t>
  </si>
  <si>
    <t>Controllo di qualità e certificazione di prodotti, processi e sistemi</t>
  </si>
  <si>
    <t>71.20.22</t>
  </si>
  <si>
    <t>Attività per la tutela di beni di produzione controllata</t>
  </si>
  <si>
    <t>72</t>
  </si>
  <si>
    <t>RICERCA SCIENTIFICA E SVILUPPO</t>
  </si>
  <si>
    <t>72.11.00</t>
  </si>
  <si>
    <t>Ricerca e sviluppo sperimentale nel campo delle biotecnologie</t>
  </si>
  <si>
    <t>72.19.01</t>
  </si>
  <si>
    <t>Ricerca e sviluppo sperimentale nel campo della geologia</t>
  </si>
  <si>
    <t>72.19.09</t>
  </si>
  <si>
    <t>Ricerca e sviluppo sperimentale nel campo delle altre scienze naturali e dell'ingegneria</t>
  </si>
  <si>
    <t>72.20.00</t>
  </si>
  <si>
    <t>Ricerca e sviluppo sperimentale nel campo delle scienze sociali e umanistiche</t>
  </si>
  <si>
    <t>73</t>
  </si>
  <si>
    <t>PUBBLICITÀ E RICERCHE DI MERCATO</t>
  </si>
  <si>
    <t>73.11.01</t>
  </si>
  <si>
    <t>Ideazione di campagne pubblicitarie</t>
  </si>
  <si>
    <t>73.11.02</t>
  </si>
  <si>
    <t>Conduzione di campagne di marketing e altri servizi pubblicitari</t>
  </si>
  <si>
    <t>73.12.00</t>
  </si>
  <si>
    <t>Attività delle concessionarie e degli altri intermediari di servizi pubblicitari</t>
  </si>
  <si>
    <t>73.20.00</t>
  </si>
  <si>
    <t>Ricerche di mercato e sondaggi di opinione</t>
  </si>
  <si>
    <t>74</t>
  </si>
  <si>
    <t>ALTRE ATTIVITÀ PROFESSIONALI, SCIENTIFICHE E TECNICHE</t>
  </si>
  <si>
    <t>74.10.10</t>
  </si>
  <si>
    <t>Attività di design di moda e design industriale</t>
  </si>
  <si>
    <t>74.10.21</t>
  </si>
  <si>
    <t>Attività dei disegnatori grafici di pagine web</t>
  </si>
  <si>
    <t>74.10.29</t>
  </si>
  <si>
    <t>Altre attività dei disegnatori grafici</t>
  </si>
  <si>
    <t>74.10.30</t>
  </si>
  <si>
    <t>Attività dei disegnatori tecnici</t>
  </si>
  <si>
    <t>74.10.90</t>
  </si>
  <si>
    <t>Altre attività di design</t>
  </si>
  <si>
    <t>74.20.11</t>
  </si>
  <si>
    <t>Attività di fotoreporter</t>
  </si>
  <si>
    <t>74.20.12</t>
  </si>
  <si>
    <t>Attività di riprese aeree nel campo della fotografia</t>
  </si>
  <si>
    <t>74.20.19</t>
  </si>
  <si>
    <t>Altre attività di riprese fotografiche</t>
  </si>
  <si>
    <t>74.20.20</t>
  </si>
  <si>
    <t>Laboratori fotografici per lo sviluppo e la stampa</t>
  </si>
  <si>
    <t>74.30.00</t>
  </si>
  <si>
    <t>Traduzione e interpretariato</t>
  </si>
  <si>
    <t>74.90.11</t>
  </si>
  <si>
    <t>Consulenza agraria fornita da agronomi</t>
  </si>
  <si>
    <t>74.90.12</t>
  </si>
  <si>
    <t>Consulenza agraria fornita da agrotecnici e periti agrari</t>
  </si>
  <si>
    <t>74.90.21</t>
  </si>
  <si>
    <t>Consulenza sulla sicurezza ed igiene dei posti di lavoro</t>
  </si>
  <si>
    <t>74.90.29</t>
  </si>
  <si>
    <t>Altra attività di consulenza in materia di sicurezza</t>
  </si>
  <si>
    <t>74.90.91</t>
  </si>
  <si>
    <t>Attività tecniche svolte da periti industriali</t>
  </si>
  <si>
    <t>74.90.92</t>
  </si>
  <si>
    <t>Attività riguardanti le previsioni meteorologiche</t>
  </si>
  <si>
    <t>74.90.93</t>
  </si>
  <si>
    <t>Altre attività di consulenza tecnica nca</t>
  </si>
  <si>
    <t>74.90.94</t>
  </si>
  <si>
    <t>Agenzie ed agenti o procuratori per lo spettacolo e lo sport</t>
  </si>
  <si>
    <t>74.90.99</t>
  </si>
  <si>
    <t>Altre attività professionali nca</t>
  </si>
  <si>
    <t>75</t>
  </si>
  <si>
    <t>SERVIZI VETERINARI</t>
  </si>
  <si>
    <t>75.00.00</t>
  </si>
  <si>
    <t>Servizi veterinari</t>
  </si>
  <si>
    <t>N</t>
  </si>
  <si>
    <t>NOLEGGIO, AGENZIE DI VIAGGIO, SERVIZI DI SUPPORTO ALLE IMPRESE</t>
  </si>
  <si>
    <t>77</t>
  </si>
  <si>
    <t>ATTIVITÀ DI NOLEGGIO E LEASING OPERATIVO</t>
  </si>
  <si>
    <t>77.11.00</t>
  </si>
  <si>
    <t>Noleggio di autovetture ed autoveicoli leggeri</t>
  </si>
  <si>
    <t>77.12.00</t>
  </si>
  <si>
    <t>Noleggio di autocarri e di altri veicoli pesanti</t>
  </si>
  <si>
    <t>77.21.01</t>
  </si>
  <si>
    <t>Noleggio di biciclette</t>
  </si>
  <si>
    <t>77.21.02</t>
  </si>
  <si>
    <t>Noleggio senza equipaggio di imbarcazioni da diporto (inclusi i pedalò)</t>
  </si>
  <si>
    <t>77.21.09</t>
  </si>
  <si>
    <t>Noleggio di altre attrezzature sportive e ricreative</t>
  </si>
  <si>
    <t>77.22.00</t>
  </si>
  <si>
    <t>Noleggio di videocassette, Cd, Dvd e dischi contenenti audiovisivi o videogame</t>
  </si>
  <si>
    <t>77.29.10</t>
  </si>
  <si>
    <t>Noleggio di biancheria da tavola, da letto, da bagno e di articoli di vestiario</t>
  </si>
  <si>
    <t>77.29.90</t>
  </si>
  <si>
    <t>Noleggio di altri beni per uso personale e domestico nca (escluse le attrezzature sportive e ricreative)</t>
  </si>
  <si>
    <t>77.31.00</t>
  </si>
  <si>
    <t>Noleggio di macchine e attrezzature agricole</t>
  </si>
  <si>
    <t>77.32.00</t>
  </si>
  <si>
    <t>Noleggio di macchine e attrezzature per lavori edili e di genio civile</t>
  </si>
  <si>
    <t>77.33.00</t>
  </si>
  <si>
    <t>Noleggio di macchine e attrezzature per ufficio (inclusi i computer)</t>
  </si>
  <si>
    <t>77.34.00</t>
  </si>
  <si>
    <t>Noleggio di mezzi di trasporto marittimo e fluviale</t>
  </si>
  <si>
    <t>77.35.00</t>
  </si>
  <si>
    <t>Noleggio di mezzi di trasporto aereo</t>
  </si>
  <si>
    <t>77.39.10</t>
  </si>
  <si>
    <t>Noleggio di altri mezzi di trasporto terrestri</t>
  </si>
  <si>
    <t>77.39.91</t>
  </si>
  <si>
    <t>Noleggio di container adibiti ad alloggi o ad uffici</t>
  </si>
  <si>
    <t>77.39.92</t>
  </si>
  <si>
    <t>Noleggio di container per diverse modalità di trasporto</t>
  </si>
  <si>
    <t>77.39.93</t>
  </si>
  <si>
    <t>Noleggio senza operatore di attrezzature di sollevamento e movimentazione merci: carrelli elevatori, pallet eccetera</t>
  </si>
  <si>
    <t>77.39.94</t>
  </si>
  <si>
    <t>Noleggio di strutture ed attrezzature per manifestazioni e spettacoli: impianti luce ed audio senza operatore, palchi, stand ed addobbi luminosi</t>
  </si>
  <si>
    <t>77.39.99</t>
  </si>
  <si>
    <t>Noleggio senza operatore di altre macchine ed attrezzature nca</t>
  </si>
  <si>
    <t>77.40.00</t>
  </si>
  <si>
    <t>Concessione dei diritti di sfruttamento di proprietà intellettuale e prodotti simili (escluse le opere protette dal copyright)</t>
  </si>
  <si>
    <t>78</t>
  </si>
  <si>
    <t xml:space="preserve">ATTIVITÀ DI RICERCA, SELEZIONE, FORNITURA DI PERSONALE </t>
  </si>
  <si>
    <t>78.10.00</t>
  </si>
  <si>
    <t>Servizi di ricerca, selezione, collocamento e supporto per il ricollocamento di personale</t>
  </si>
  <si>
    <t>78.20.00</t>
  </si>
  <si>
    <t>Attività delle agenzie di fornitura di lavoro temporaneo (interinale)</t>
  </si>
  <si>
    <t>78.30.00</t>
  </si>
  <si>
    <t>Altre attività di fornitura e gestione di risorse umane (staff leasing)</t>
  </si>
  <si>
    <t>79</t>
  </si>
  <si>
    <t>ATTIVITÀ DEI SERVIZI DELLE AGENZIE DI VIAGGIO, DEI TOUR OPERATOR E SERVIZI DI PRENOTAZIONE E ATTIVITÀ CONNESSE</t>
  </si>
  <si>
    <t>79.11.00</t>
  </si>
  <si>
    <t>Attività delle agenzie di viaggio</t>
  </si>
  <si>
    <t>79.12.00</t>
  </si>
  <si>
    <t>Attività dei tour operator</t>
  </si>
  <si>
    <t>79.90.11</t>
  </si>
  <si>
    <t>Servizi di biglietteria per eventi teatrali, sportivi ed altri eventi ricreativi e d'intrattenimento</t>
  </si>
  <si>
    <t>79.90.19</t>
  </si>
  <si>
    <t>Altri servizi di prenotazione e altre attività di assistenza turistica non svolte dalle agenzie di viaggio nca</t>
  </si>
  <si>
    <t>79.90.20</t>
  </si>
  <si>
    <t>Attività delle guide e degli accompagnatori turistici</t>
  </si>
  <si>
    <t>80</t>
  </si>
  <si>
    <t>SERVIZI DI VIGILANZA E INVESTIGAZIONE</t>
  </si>
  <si>
    <t>80.10.00</t>
  </si>
  <si>
    <t>Servizi di vigilanza privata</t>
  </si>
  <si>
    <t>80.20.00</t>
  </si>
  <si>
    <t>Servizi connessi ai sistemi di vigilanza</t>
  </si>
  <si>
    <t>80.30.00</t>
  </si>
  <si>
    <t>Servizi di investigazione privata</t>
  </si>
  <si>
    <t>81</t>
  </si>
  <si>
    <t>ATTIVITÀ DI SERVIZI PER EDIFICI E PAESAGGIO</t>
  </si>
  <si>
    <t>81.10.00</t>
  </si>
  <si>
    <t>Servizi integrati di gestione agli edifici</t>
  </si>
  <si>
    <t>81.21.00</t>
  </si>
  <si>
    <t>Pulizia generale (non specializzata) di edifici</t>
  </si>
  <si>
    <t>81.22.01</t>
  </si>
  <si>
    <t>Attività di sterilizzazione di attrezzature medico sanitarie</t>
  </si>
  <si>
    <t>81.22.02</t>
  </si>
  <si>
    <t>Altre attività di pulizia specializzata di edifici e di impianti e macchinari industriali</t>
  </si>
  <si>
    <t>81.29.10</t>
  </si>
  <si>
    <t>Servizi di disinfestazione</t>
  </si>
  <si>
    <t>81.29.91</t>
  </si>
  <si>
    <t>Pulizia e lavaggio di aree pubbliche, rimozione di neve e ghiaccio</t>
  </si>
  <si>
    <t>81.29.99</t>
  </si>
  <si>
    <t>Altre attività di pulizia nca</t>
  </si>
  <si>
    <t>81.30.00</t>
  </si>
  <si>
    <t>Cura e manutenzione del paesaggio (inclusi parchi, giardini e aiuole)</t>
  </si>
  <si>
    <t>82</t>
  </si>
  <si>
    <t>ATTIVITÀ DI SUPPORTO PER LE FUNZIONI D'UFFICIO E ALTRI SERVIZI DI SUPPORTO ALLE IMPRESE</t>
  </si>
  <si>
    <t>82.11.01</t>
  </si>
  <si>
    <t>Servizi integrati di supporto per le funzioni d'ufficio</t>
  </si>
  <si>
    <t>82.11.02</t>
  </si>
  <si>
    <t>Gestione di uffici temporanei, uffici residence</t>
  </si>
  <si>
    <t>82.19.01</t>
  </si>
  <si>
    <t>Spedizione di materiale propagandistico, compilazione e gestione di indirizzi</t>
  </si>
  <si>
    <t>82.19.09</t>
  </si>
  <si>
    <t>Servizi di fotocopiatura, preparazione di documenti e altre attività di supporto specializzate per le funzioni d'ufficio</t>
  </si>
  <si>
    <t>82.20.00</t>
  </si>
  <si>
    <t>Attività dei call center</t>
  </si>
  <si>
    <t>82.30.00</t>
  </si>
  <si>
    <t>Organizzazione di convegni e fiere</t>
  </si>
  <si>
    <t>82.91.10</t>
  </si>
  <si>
    <t>Attività di agenzie di recupero crediti</t>
  </si>
  <si>
    <t>82.91.20</t>
  </si>
  <si>
    <t>Agenzie di informazioni commerciali</t>
  </si>
  <si>
    <t>82.92.10</t>
  </si>
  <si>
    <t>Imballaggio e confezionamento di generi alimentari</t>
  </si>
  <si>
    <t>82.92.20</t>
  </si>
  <si>
    <t>Imballaggio e confezionamento di generi non alimentari</t>
  </si>
  <si>
    <t>82.99.10</t>
  </si>
  <si>
    <t>Imprese di gestione esattoriale</t>
  </si>
  <si>
    <t>82.99.20</t>
  </si>
  <si>
    <t>Agenzie di distribuzione di libri, giornali e riviste</t>
  </si>
  <si>
    <t>82.99.30</t>
  </si>
  <si>
    <t>Servizi di gestione di pubblici mercati e pese pubbliche</t>
  </si>
  <si>
    <t>82.99.40</t>
  </si>
  <si>
    <t>Richiesta certificati e disbrigo pratiche</t>
  </si>
  <si>
    <t>82.99.91</t>
  </si>
  <si>
    <t>Servizi di stenotipia</t>
  </si>
  <si>
    <t>82.99.99</t>
  </si>
  <si>
    <t>Altri servizi di sostegno alle imprese nca</t>
  </si>
  <si>
    <t>O</t>
  </si>
  <si>
    <t>AMMINISTRAZIONE PUBBLICA E DIFESA; ASSICURAZIONE SOCIALE OBBLIGATORIA</t>
  </si>
  <si>
    <t>84</t>
  </si>
  <si>
    <t>84.11.10</t>
  </si>
  <si>
    <t>Attività degli organi legislativi ed esecutivi, centrali e locali; amministrazione finanziaria; amministrazioni regionali, provinciali e comunali</t>
  </si>
  <si>
    <t>84.11.20</t>
  </si>
  <si>
    <t>Attività di pianificazione generale e servizi statistici generali</t>
  </si>
  <si>
    <t>84.12.10</t>
  </si>
  <si>
    <t>Regolamentazione dell'attività degli organismi preposti alla sanità</t>
  </si>
  <si>
    <t>84.12.20</t>
  </si>
  <si>
    <t>Regolamentazione dell'attività degli organismi preposti all'istruzione</t>
  </si>
  <si>
    <t>84.12.30</t>
  </si>
  <si>
    <t>Regolamentazione dell'attività degli organismi preposti alla gestione di progetti per l'edilizia abitativa e l'assetto del territorio e per la tutela dell'ambiente</t>
  </si>
  <si>
    <t>84.12.40</t>
  </si>
  <si>
    <t>Regolamentazione dell'attività degli organismi preposti ai servizi ricreativi, culturali e sociali vari</t>
  </si>
  <si>
    <t>84.13.10</t>
  </si>
  <si>
    <t>Regolamentazione degli affari concernenti i combustibili e l'energia</t>
  </si>
  <si>
    <t>84.13.20</t>
  </si>
  <si>
    <t>Regolamentazione degli affari e servizi concernenti l'agricoltura, silvicoltura, caccia e pesca</t>
  </si>
  <si>
    <t>84.13.30</t>
  </si>
  <si>
    <t>Regolamentazione degli affari e dei servizi concernenti le industrie estrattive e le risorse minerarie (eccetto i combustibili) le industrie manifatturiere, le costruzioni e le opere pubbliche ad eccezione delle strade e opere per la navigazione</t>
  </si>
  <si>
    <t>84.13.40</t>
  </si>
  <si>
    <t>Regolamentazione degli affari e servizi concernenti la costruzione di strade</t>
  </si>
  <si>
    <t>84.13.50</t>
  </si>
  <si>
    <t>Regolamentazione degli affari e servizi concernenti la costruzione di opere per la navigazione interna e marittima</t>
  </si>
  <si>
    <t>84.13.60</t>
  </si>
  <si>
    <t>Regolamentazione degli affari e servizi concernenti i trasporti e le comunicazioni</t>
  </si>
  <si>
    <t>84.13.70</t>
  </si>
  <si>
    <t>Regolamentazione degli affari e servizi concernenti il commercio interno</t>
  </si>
  <si>
    <t>84.13.80</t>
  </si>
  <si>
    <t>Regolamentazione degli affari e servizi concernenti il turismo</t>
  </si>
  <si>
    <t>84.13.90</t>
  </si>
  <si>
    <t>Regolamentazione di altri affari e servizi economici</t>
  </si>
  <si>
    <t>84.21.00</t>
  </si>
  <si>
    <t>Affari esteri</t>
  </si>
  <si>
    <t>84.22.00</t>
  </si>
  <si>
    <t>Difesa nazionale</t>
  </si>
  <si>
    <t>84.23.00</t>
  </si>
  <si>
    <t>Giustizia ed attività giudiziarie</t>
  </si>
  <si>
    <t>84.24.00</t>
  </si>
  <si>
    <t>Ordine pubblico e sicurezza nazionale</t>
  </si>
  <si>
    <t>84.25.10</t>
  </si>
  <si>
    <t>Attività dei vigili del fuoco</t>
  </si>
  <si>
    <t>84.25.20</t>
  </si>
  <si>
    <t>Attività di protezione civile</t>
  </si>
  <si>
    <t>84.30.00</t>
  </si>
  <si>
    <t>Assicurazione sociale obbligatoria</t>
  </si>
  <si>
    <t>P</t>
  </si>
  <si>
    <t>ISTRUZIONE</t>
  </si>
  <si>
    <t>85</t>
  </si>
  <si>
    <t>85.10.00</t>
  </si>
  <si>
    <t>Istruzione di grado preparatorio: scuole dell'infanzia, scuole speciali collegate a quelle primarie</t>
  </si>
  <si>
    <t>85.20.00</t>
  </si>
  <si>
    <t>Istruzione primaria: scuole elementari</t>
  </si>
  <si>
    <t>85.31.10</t>
  </si>
  <si>
    <t>Istruzione secondaria di primo grado: scuole medie</t>
  </si>
  <si>
    <t>85.31.20</t>
  </si>
  <si>
    <t>Istruzione secondaria di secondo grado di formazione generale: licei</t>
  </si>
  <si>
    <t>85.32.01</t>
  </si>
  <si>
    <t>Scuole di vela e navigazione che rilasciano brevetti o patenti commerciali</t>
  </si>
  <si>
    <t>85.32.02</t>
  </si>
  <si>
    <t>Scuole di volo che rilasciano brevetti o patenti commerciali</t>
  </si>
  <si>
    <t>85.32.03</t>
  </si>
  <si>
    <t>Scuole di guida professionale per autisti, ad esempio di autocarri, di autobus e di pullman</t>
  </si>
  <si>
    <t>85.32.09</t>
  </si>
  <si>
    <t>Altra istruzione secondaria di secondo grado di formazione tecnica, professionale e artistica</t>
  </si>
  <si>
    <t>85.41.00</t>
  </si>
  <si>
    <t>Istruzione e formazione tecnica superiore (IFTS)</t>
  </si>
  <si>
    <t>85.42.00</t>
  </si>
  <si>
    <t>Istruzione universitaria e post-universitaria; accademie e conservatori</t>
  </si>
  <si>
    <t>85.51.00</t>
  </si>
  <si>
    <t>Corsi sportivi e ricreativi</t>
  </si>
  <si>
    <t>85.52.01</t>
  </si>
  <si>
    <t>Corsi di danza</t>
  </si>
  <si>
    <t>85.52.09</t>
  </si>
  <si>
    <t>Altra formazione culturale</t>
  </si>
  <si>
    <t>85.53.00</t>
  </si>
  <si>
    <t>Autoscuole, scuole di pilotaggio e nautiche</t>
  </si>
  <si>
    <t>85.59.10</t>
  </si>
  <si>
    <t>Università popolare</t>
  </si>
  <si>
    <t>85.59.20</t>
  </si>
  <si>
    <t>Corsi di formazione e corsi di aggiornamento professionale</t>
  </si>
  <si>
    <t>85.59.30</t>
  </si>
  <si>
    <t>Scuole e corsi di lingua</t>
  </si>
  <si>
    <t>85.59.90</t>
  </si>
  <si>
    <t>Altri servizi di istruzione nca</t>
  </si>
  <si>
    <t>85.60.01</t>
  </si>
  <si>
    <t>Consulenza scolastica e servizi di orientamento scolastico</t>
  </si>
  <si>
    <t>85.60.09</t>
  </si>
  <si>
    <t>Altre attività di supporto all'istruzione</t>
  </si>
  <si>
    <t>Q</t>
  </si>
  <si>
    <t>SANITA' E ASSISTENZA SOCIALE</t>
  </si>
  <si>
    <t>86</t>
  </si>
  <si>
    <t>ASSISTENZA SANITARIA</t>
  </si>
  <si>
    <t>86.10.10</t>
  </si>
  <si>
    <t>Ospedali e case di cura generici</t>
  </si>
  <si>
    <t>86.10.20</t>
  </si>
  <si>
    <t>Ospedali e case di cura specialistici</t>
  </si>
  <si>
    <t>86.10.30</t>
  </si>
  <si>
    <t>Istituti, cliniche e policlinici universitari</t>
  </si>
  <si>
    <t>86.10.40</t>
  </si>
  <si>
    <t>Ospedali e case di cura per lunga degenza</t>
  </si>
  <si>
    <t>86.21.00</t>
  </si>
  <si>
    <t>Servizi degli studi medici di medicina generale</t>
  </si>
  <si>
    <t>86.22.01</t>
  </si>
  <si>
    <t>Prestazioni sanitarie svolte da chirurghi</t>
  </si>
  <si>
    <t>86.22.02</t>
  </si>
  <si>
    <t>Ambulatori e poliambulatori del Servizio Sanitario Nazionale</t>
  </si>
  <si>
    <t>86.22.03</t>
  </si>
  <si>
    <t>Attività dei centri di radioterapia</t>
  </si>
  <si>
    <t>86.22.04</t>
  </si>
  <si>
    <t>Attività dei centri di dialisi</t>
  </si>
  <si>
    <t>86.22.05</t>
  </si>
  <si>
    <t>Studi di omeopatia e di agopuntura</t>
  </si>
  <si>
    <t>86.22.06</t>
  </si>
  <si>
    <t>Centri di medicina estetica</t>
  </si>
  <si>
    <t>86.22.09</t>
  </si>
  <si>
    <t>Altri studi medici specialistici e poliambulatori</t>
  </si>
  <si>
    <t>86.23.00</t>
  </si>
  <si>
    <t>Attività degli studi odontoiatrici</t>
  </si>
  <si>
    <t>86.90.11</t>
  </si>
  <si>
    <t>Laboratori radiografici</t>
  </si>
  <si>
    <t>86.90.12</t>
  </si>
  <si>
    <t>Laboratori di analisi cliniche</t>
  </si>
  <si>
    <t>86.90.13</t>
  </si>
  <si>
    <t>Laboratori di igiene e profilassi</t>
  </si>
  <si>
    <t>86.90.21</t>
  </si>
  <si>
    <t>Fisioterapia</t>
  </si>
  <si>
    <t>86.90.29</t>
  </si>
  <si>
    <t>Altre attività paramediche indipendenti nca</t>
  </si>
  <si>
    <t>86.90.30</t>
  </si>
  <si>
    <t>Attività svolta da psicologi</t>
  </si>
  <si>
    <t>86.90.41</t>
  </si>
  <si>
    <t>Attività degli ambulatori tricologici</t>
  </si>
  <si>
    <t>86.90.42</t>
  </si>
  <si>
    <t>Servizi di ambulanza, delle banche del sangue e altri servizi sanitari nca</t>
  </si>
  <si>
    <t>87</t>
  </si>
  <si>
    <t>SERVIZI DI ASSISTENZA SOCIALE RESIDENZIALE</t>
  </si>
  <si>
    <t>87.10.00</t>
  </si>
  <si>
    <t>Strutture di assistenza infermieristica residenziale per anziani</t>
  </si>
  <si>
    <t>87.20.00</t>
  </si>
  <si>
    <t>Strutture di assistenza residenziale per persone affette da ritardi mentali, disturbi mentali o che abusano di sostanze stupefacenti</t>
  </si>
  <si>
    <t>87.30.00</t>
  </si>
  <si>
    <t>Strutture di assistenza residenziale per anziani e disabili</t>
  </si>
  <si>
    <t>87.90.00</t>
  </si>
  <si>
    <t>Altre strutture di assistenza sociale residenziale</t>
  </si>
  <si>
    <t>88</t>
  </si>
  <si>
    <t>ASSISTENZA SOCIALE NON RESIDENZIALE</t>
  </si>
  <si>
    <t>88.10.00</t>
  </si>
  <si>
    <t>Assistenza sociale non residenziale per anziani e disabili</t>
  </si>
  <si>
    <t>88.91.00</t>
  </si>
  <si>
    <t>Servizi di asili nido; assistenza diurna per minori disabili</t>
  </si>
  <si>
    <t>88.99.00</t>
  </si>
  <si>
    <t>Altre attività di assistenza sociale non residenziale nca</t>
  </si>
  <si>
    <t>R</t>
  </si>
  <si>
    <t>ATTIVITÀ ARTISTICHE, SPORTIVE, DI INTRATTENIMENTO E DIVERTIMENTO</t>
  </si>
  <si>
    <t>90</t>
  </si>
  <si>
    <t>ATTIVITÀ CREATIVE, ARTISTICHE E DI INTRATTENIMENTO</t>
  </si>
  <si>
    <t>90.01.01</t>
  </si>
  <si>
    <t>Attività nel campo della recitazione</t>
  </si>
  <si>
    <t>90.01.09</t>
  </si>
  <si>
    <t>Altre rappresentazioni artistiche</t>
  </si>
  <si>
    <t>90.02.01</t>
  </si>
  <si>
    <t>Noleggio con operatore di strutture ed attrezzature per manifestazioni e spettacoli</t>
  </si>
  <si>
    <t>90.02.02</t>
  </si>
  <si>
    <t>Attività nel campo della regia</t>
  </si>
  <si>
    <t>90.02.09</t>
  </si>
  <si>
    <t>Altre attività di supporto alle rappresentazioni artistiche</t>
  </si>
  <si>
    <t>90.03.01</t>
  </si>
  <si>
    <t>Attività dei giornalisti indipendenti</t>
  </si>
  <si>
    <t>90.03.02</t>
  </si>
  <si>
    <t>Attività di conservazione e restauro di opere d'arte</t>
  </si>
  <si>
    <t>90.03.09</t>
  </si>
  <si>
    <t>Altre creazioni artistiche e letterarie</t>
  </si>
  <si>
    <t>90.04.00</t>
  </si>
  <si>
    <t>Gestione di teatri, sale da concerto e altre strutture artistiche</t>
  </si>
  <si>
    <t>91</t>
  </si>
  <si>
    <t>ATTIVITÀ DI BIBLIOTECHE, ARCHIVI, MUSEI ED ALTRE ATTIVITÀ CULTURALI</t>
  </si>
  <si>
    <t>91.01.00</t>
  </si>
  <si>
    <t>Attività di biblioteche ed archivi</t>
  </si>
  <si>
    <t>91.02.00</t>
  </si>
  <si>
    <t>Attività di musei</t>
  </si>
  <si>
    <t>91.03.00</t>
  </si>
  <si>
    <t>Gestione di luoghi e monumenti storici e attrazioni simili</t>
  </si>
  <si>
    <t>91.04.00</t>
  </si>
  <si>
    <t>Attività degli orti botanici, dei giardini zoologici e delle riserve naturali</t>
  </si>
  <si>
    <t>92</t>
  </si>
  <si>
    <t>ATTIVITÀ RIGUARDANTI LE LOTTERIE, LE SCOMMESSE, LE CASE DA GIOCO</t>
  </si>
  <si>
    <t>92.00.01</t>
  </si>
  <si>
    <t>Ricevitorie del Lotto, SuperEnalotto, Totocalcio eccetera</t>
  </si>
  <si>
    <t>92.00.02</t>
  </si>
  <si>
    <t>Gestione di apparecchi che consentono vincite in denaro funzionanti a moneta o a gettone</t>
  </si>
  <si>
    <t>92.00.09</t>
  </si>
  <si>
    <t>Altre attività connesse con le lotterie e le scommesse</t>
  </si>
  <si>
    <t>93</t>
  </si>
  <si>
    <t>ATTIVITÀ SPORTIVE, DI INTRATTENIMENTO E DI DIVERTIMENTO</t>
  </si>
  <si>
    <t>93.11.10</t>
  </si>
  <si>
    <t>Gestione di stadi</t>
  </si>
  <si>
    <t>93.11.20</t>
  </si>
  <si>
    <t>Gestione di piscine</t>
  </si>
  <si>
    <t>93.11.30</t>
  </si>
  <si>
    <t>Gestione di impianti sportivi polivalenti</t>
  </si>
  <si>
    <t>93.11.90</t>
  </si>
  <si>
    <t>Gestione di altri impianti sportivi nca</t>
  </si>
  <si>
    <t>93.12.00</t>
  </si>
  <si>
    <t>Attività di club sportivi</t>
  </si>
  <si>
    <t>93.13.00</t>
  </si>
  <si>
    <t>Gestione di palestre</t>
  </si>
  <si>
    <t>93.19.10</t>
  </si>
  <si>
    <t>Enti e organizzazioni sportive, promozione di eventi sportivi</t>
  </si>
  <si>
    <t>93.19.91</t>
  </si>
  <si>
    <t>Ricarica di bombole per attività subacquee</t>
  </si>
  <si>
    <t>93.19.92</t>
  </si>
  <si>
    <t>Attività delle guide alpine</t>
  </si>
  <si>
    <t>93.19.99</t>
  </si>
  <si>
    <t>Altre attività sportive nca</t>
  </si>
  <si>
    <t>93.21.00</t>
  </si>
  <si>
    <t>Parchi di divertimento e parchi tematici</t>
  </si>
  <si>
    <t>93.29.10</t>
  </si>
  <si>
    <t>Discoteche, sale da ballo night-club e simili</t>
  </si>
  <si>
    <t>93.29.20</t>
  </si>
  <si>
    <t>Gestione di stabilimenti balneari: marittimi, lacuali e fluviali</t>
  </si>
  <si>
    <t>93.29.30</t>
  </si>
  <si>
    <t>Sale giochi e biliardi</t>
  </si>
  <si>
    <t>93.29.90</t>
  </si>
  <si>
    <t>Altre attività di intrattenimento e di divertimento nca</t>
  </si>
  <si>
    <t>S</t>
  </si>
  <si>
    <t>ALTRE ATTIVITÀ DI SERVIZI</t>
  </si>
  <si>
    <t>94</t>
  </si>
  <si>
    <t>ATTIVITÀ DI ORGANIZZAZIONI ASSOCIATIVE</t>
  </si>
  <si>
    <t>94.11.00</t>
  </si>
  <si>
    <t>Attività di organizzazione di datori di lavoro, federazioni di industria, commercio, artigianato e servizi, associazioni, unioni, federazioni fra istituzioni</t>
  </si>
  <si>
    <t>94.12.10</t>
  </si>
  <si>
    <t>Attività di federazioni e consigli di ordini e collegi professionali</t>
  </si>
  <si>
    <t>94.12.20</t>
  </si>
  <si>
    <t>Attività di associazioni professionali</t>
  </si>
  <si>
    <t>94.20.00</t>
  </si>
  <si>
    <t>Attività dei sindacati di lavoratori dipendenti</t>
  </si>
  <si>
    <t>94.91.00</t>
  </si>
  <si>
    <t>Attività delle organizzazioni religiose nell'esercizio del culto</t>
  </si>
  <si>
    <t>94.92.00</t>
  </si>
  <si>
    <t>Attività dei partiti e delle associazioni politiche</t>
  </si>
  <si>
    <t>94.99.10</t>
  </si>
  <si>
    <t>Attività di organizzazioni per la tutela degli interessi e dei diritti dei cittadini</t>
  </si>
  <si>
    <t>94.99.20</t>
  </si>
  <si>
    <t>Attività di organizzazioni che perseguono fini culturali, ricreativi e la coltivazione di hobby</t>
  </si>
  <si>
    <t>94.99.30</t>
  </si>
  <si>
    <t>Attività di organizzazioni patriottiche e associazioni combattentistiche</t>
  </si>
  <si>
    <t>94.99.40</t>
  </si>
  <si>
    <t>Attività di organizzazioni per la cooperazione e la solidarietà internazionale</t>
  </si>
  <si>
    <t>94.99.50</t>
  </si>
  <si>
    <t>Attività di organizzazioni per la filantropia</t>
  </si>
  <si>
    <t>94.99.60</t>
  </si>
  <si>
    <t>Attività di organizzazioni per la promozione e la difesa degli animali e dell'ambiente</t>
  </si>
  <si>
    <t>94.99.90</t>
  </si>
  <si>
    <t>Attività di altre organizzazioni associative nca</t>
  </si>
  <si>
    <t>95</t>
  </si>
  <si>
    <t>RIPARAZIONE DI COMPUTER E DI BENI PER USO PERSONALE E PER LA CASA</t>
  </si>
  <si>
    <t>95.11.00</t>
  </si>
  <si>
    <t>Riparazione e manutenzione di computer e periferiche</t>
  </si>
  <si>
    <t>95.12.01</t>
  </si>
  <si>
    <t>Riparazione e manutenzione di telefoni fissi, cordless e cellulari</t>
  </si>
  <si>
    <t>95.12.09</t>
  </si>
  <si>
    <t>Riparazione e manutenzione di altre apparecchiature per le comunicazioni</t>
  </si>
  <si>
    <t>95.21.00</t>
  </si>
  <si>
    <t>Riparazione di prodotti elettronici di consumo audio e video</t>
  </si>
  <si>
    <t>95.22.01</t>
  </si>
  <si>
    <t>Riparazione di elettrodomestici e di articoli per la casa</t>
  </si>
  <si>
    <t>95.22.02</t>
  </si>
  <si>
    <t>Riparazione di articoli per il giardinaggio</t>
  </si>
  <si>
    <t>95.23.00</t>
  </si>
  <si>
    <t>Riparazione di calzature e articoli da viaggio in pelle, cuoio o in altri materiali simili</t>
  </si>
  <si>
    <t>95.24.01</t>
  </si>
  <si>
    <t>Riparazione di mobili e di oggetti di arredamento</t>
  </si>
  <si>
    <t>95.24.02</t>
  </si>
  <si>
    <t>Laboratori di tappezzeria</t>
  </si>
  <si>
    <t>95.25.00</t>
  </si>
  <si>
    <t>Riparazione di orologi e di gioielli</t>
  </si>
  <si>
    <t>95.29.01</t>
  </si>
  <si>
    <t>Riparazione di strumenti musicali</t>
  </si>
  <si>
    <t>95.29.02</t>
  </si>
  <si>
    <t>Riparazione di articoli sportivi (escluse le armi sportive) e attrezzature da campeggio (incluse le biciclette)</t>
  </si>
  <si>
    <t>95.29.03</t>
  </si>
  <si>
    <t>Modifica e riparazione di articoli di vestiario non effettuate dalle sartorie</t>
  </si>
  <si>
    <t>95.29.04</t>
  </si>
  <si>
    <t>Servizi di riparazioni rapide, duplicazione chiavi, affilatura coltelli, stampa immediata su articoli tessili, incisioni rapide su metallo non prezioso</t>
  </si>
  <si>
    <t>95.29.09</t>
  </si>
  <si>
    <t>Riparazione di altri beni di consumo per uso personale e per la casa nca</t>
  </si>
  <si>
    <t>96</t>
  </si>
  <si>
    <t>ALTRE ATTIVITÀ DI SERVIZI PER LA PERSONA</t>
  </si>
  <si>
    <t>96.01.10</t>
  </si>
  <si>
    <t>Attività delle lavanderie industriali</t>
  </si>
  <si>
    <t>96.01.20</t>
  </si>
  <si>
    <t>Altre lavanderie, tintorie</t>
  </si>
  <si>
    <t>96.02.01</t>
  </si>
  <si>
    <t>Servizi dei saloni di barbiere e parrucchiere</t>
  </si>
  <si>
    <t>96.02.02</t>
  </si>
  <si>
    <t>Servizi degli istituti di bellezza</t>
  </si>
  <si>
    <t>96.02.03</t>
  </si>
  <si>
    <t>Servizi di manicure e pedicure</t>
  </si>
  <si>
    <t>96.03.00</t>
  </si>
  <si>
    <t>Servizi di pompe funebri e attività connesse</t>
  </si>
  <si>
    <t>96.04.10</t>
  </si>
  <si>
    <t>Servizi di centri per il benessere fisico (esclusi gli stabilimenti termali)</t>
  </si>
  <si>
    <t>96.04.20</t>
  </si>
  <si>
    <t>Stabilimenti termali</t>
  </si>
  <si>
    <t>96.09.01</t>
  </si>
  <si>
    <t>Attività di sgombero di cantine, solai e garage</t>
  </si>
  <si>
    <t>96.09.02</t>
  </si>
  <si>
    <t>Attività di tatuaggio e piercing</t>
  </si>
  <si>
    <t>96.09.03</t>
  </si>
  <si>
    <t>Agenzie matrimoniali e d'incontro</t>
  </si>
  <si>
    <t>96.09.04</t>
  </si>
  <si>
    <t>Servizi di cura degli animali da compagnia (esclusi i servizi veterinari)</t>
  </si>
  <si>
    <t>96.09.05</t>
  </si>
  <si>
    <t>Organizzazione di feste e cerimonie</t>
  </si>
  <si>
    <t>96.09.09</t>
  </si>
  <si>
    <t>Altre attività di servizi per la persona nca</t>
  </si>
  <si>
    <t>T</t>
  </si>
  <si>
    <t>ATTIVITÀ DI FAMIGLIE E CONVIVENZE COME DATORI DI LAVORO PER PERSONALE DOMESTICO; PRODUZIONE DI BENI E SERVIZI INDIFFERENZIATI PER USO PROPRIO DA PARTE DI FAMIGLIE E CONVIVENZE</t>
  </si>
  <si>
    <t>97</t>
  </si>
  <si>
    <t>ATTIVITÀ DI FAMIGLIE E CONVIVENZE COME DATORI DI LAVORO PER PERSONALE DOMESTICO</t>
  </si>
  <si>
    <t>97.00.00</t>
  </si>
  <si>
    <t>Attività di famiglie e convivenze come datori di lavoro per personale domestico</t>
  </si>
  <si>
    <t>98</t>
  </si>
  <si>
    <t xml:space="preserve">PRODUZIONE DI BENI E SERVIZI INDIFFERENZIATI PER USO PROPRIO DA PARTE DI FAMIGLIE E CONVIVENZE </t>
  </si>
  <si>
    <t>98.10.00</t>
  </si>
  <si>
    <t>Produzione di beni indifferenziati per uso proprio da parte di famiglie e convivenze</t>
  </si>
  <si>
    <t>98.20.00</t>
  </si>
  <si>
    <t>Produzione di servizi indifferenziati per uso proprio da parte di famiglie e convivenze</t>
  </si>
  <si>
    <t>U</t>
  </si>
  <si>
    <t>ORGANIZZAZIONI ED ORGANISMI EXTRATERRITORIALI</t>
  </si>
  <si>
    <t>99</t>
  </si>
  <si>
    <t>99.00.00</t>
  </si>
  <si>
    <t>Organizzazioni ed organismi extraterritoriali</t>
  </si>
  <si>
    <t>Tipologia società</t>
  </si>
  <si>
    <t>Limite Capitale</t>
  </si>
  <si>
    <t>Calcolo DSCR a sei mesi</t>
  </si>
  <si>
    <t>Calcolo Numeratore</t>
  </si>
  <si>
    <t>Giacenze iniziali cassa</t>
  </si>
  <si>
    <t>Entrate previste nei 6 mesi</t>
  </si>
  <si>
    <t>Totale Numeratore</t>
  </si>
  <si>
    <t>Totale Numeratore (Entrate)</t>
  </si>
  <si>
    <t>(Uscite previste esclusi i rimborsi debiti)</t>
  </si>
  <si>
    <t>Rate finanziamenti previste (quota capitale)</t>
  </si>
  <si>
    <t>Rateazioni imposte</t>
  </si>
  <si>
    <t>1° Approccio</t>
  </si>
  <si>
    <t>2° Approccio</t>
  </si>
  <si>
    <t>Altre entrate</t>
  </si>
  <si>
    <t>Calcolo Denominatore</t>
  </si>
  <si>
    <t>Totale Denominatore (Uscite finanziarie)</t>
  </si>
  <si>
    <t>Flusso finanziario della gestione reddituale (A)</t>
  </si>
  <si>
    <t>b) Disponibilità liquide iniziali</t>
  </si>
  <si>
    <t>Flusso per la gestione degli investimenti e disinv</t>
  </si>
  <si>
    <t>a) Flussi operativi al servizio del debito</t>
  </si>
  <si>
    <t>- Componenti da escludere e) e f)</t>
  </si>
  <si>
    <t>d) Pagamenti previsti, capitali ed interessi deb. Finanziari</t>
  </si>
  <si>
    <t>e) debito fiscale o contributivo (+ sanzioni e int.) a sei mesi</t>
  </si>
  <si>
    <t>f) debito verso fornitori non fisiologico</t>
  </si>
  <si>
    <t>linee di credito in scadenza prossimi 6 mesi (no rinnovo)</t>
  </si>
  <si>
    <t>Totale Denominatore</t>
  </si>
  <si>
    <t>DSCR risultante 1° Approccio</t>
  </si>
  <si>
    <t>DSCR risultante 2° Approccio</t>
  </si>
  <si>
    <t>Scelta approccio</t>
  </si>
  <si>
    <t>Interessi e altri oneri finanziari  (c17 art 2425)</t>
  </si>
  <si>
    <t>Ricavi netti (A1 art. 2425)</t>
  </si>
  <si>
    <t>PATRIMONIO NETTO</t>
  </si>
  <si>
    <t>Lavori in corso (A5 art. 2423)</t>
  </si>
  <si>
    <t>Patrimonio netto (A SP Passivo)</t>
  </si>
  <si>
    <t>- Crediti verso soci (A SP Attivo)</t>
  </si>
  <si>
    <t>- Dividendi deliberati sull'utile di esercizio</t>
  </si>
  <si>
    <t>Debiti (D Passivo)</t>
  </si>
  <si>
    <t>Ratei e risconti passivi (E Passivo)</t>
  </si>
  <si>
    <t>Attivo circolante (C Attivo entro esercizio)</t>
  </si>
  <si>
    <t>Ratei e risconti attivi (D Attivo)</t>
  </si>
  <si>
    <t>Debiti (D Passivo entro esercizio)</t>
  </si>
  <si>
    <t>Calcolo Numeratore: Oneri finanziari</t>
  </si>
  <si>
    <t xml:space="preserve">Calcolo Denominatore: Ricavi </t>
  </si>
  <si>
    <t>Calcolo Numeratore: Patrimonio Netto</t>
  </si>
  <si>
    <t>Calcolo Denominatore: Debiti</t>
  </si>
  <si>
    <t>Calcolo Numeratore: Attività a breve</t>
  </si>
  <si>
    <t>Calcolo Denominatore: Passività a breve</t>
  </si>
  <si>
    <t>Calcolo Numeratore: Cash flow</t>
  </si>
  <si>
    <t>Utile (perdita) d'esercizio</t>
  </si>
  <si>
    <t>Costi non monetari (Amm., Acc., Sval.)</t>
  </si>
  <si>
    <t>- Ricavi non monetari (Rival., Imposte Anticipate.)</t>
  </si>
  <si>
    <t>Calcolo Denominatore: Attivo</t>
  </si>
  <si>
    <t>Totale Attivo Stato Patrimoniale</t>
  </si>
  <si>
    <t>Calcolo Numeratore: Debiti Tributari e Previdenziali</t>
  </si>
  <si>
    <t>Debiti tributari (D12 Passivo)</t>
  </si>
  <si>
    <t>Debiti previdenziali (D13 Passivo)</t>
  </si>
  <si>
    <t>Cod</t>
  </si>
  <si>
    <t>Descr</t>
  </si>
  <si>
    <t>Settore</t>
  </si>
  <si>
    <t>SETTORE (IN BASE ATECO)</t>
  </si>
  <si>
    <t>Totale indicatori sopra soglia</t>
  </si>
  <si>
    <t>SETTORE (INSER. MANUALE)</t>
  </si>
  <si>
    <t>S.r.l.</t>
  </si>
  <si>
    <t>Periodo n-1</t>
  </si>
  <si>
    <t>Periodo n</t>
  </si>
  <si>
    <t>Inizio esercizio se diverso da 1/1</t>
  </si>
  <si>
    <t>Giorni</t>
  </si>
  <si>
    <t>Consulta Ateco</t>
  </si>
  <si>
    <t>Durata esercizio</t>
  </si>
  <si>
    <t xml:space="preserve">Inizio esercizio </t>
  </si>
  <si>
    <t>Totale non rapportato ad anno</t>
  </si>
  <si>
    <t>VALORI DA BILANCIO</t>
  </si>
  <si>
    <t>DATI AZIENDA</t>
  </si>
  <si>
    <t>CALCOLO INDICATORI</t>
  </si>
  <si>
    <t>INDICI SETTORIALI</t>
  </si>
  <si>
    <t>c) Linee di credito utilizzabili a 6 mesi</t>
  </si>
  <si>
    <r>
      <rPr>
        <b/>
        <sz val="8"/>
        <color rgb="FFFF0000"/>
        <rFont val="Verdana"/>
        <family val="2"/>
      </rPr>
      <t>1)</t>
    </r>
    <r>
      <rPr>
        <b/>
        <sz val="8"/>
        <color theme="1"/>
        <rFont val="Verdana"/>
        <family val="2"/>
      </rPr>
      <t xml:space="preserve"> SOSTENIBILITÀ ONERI FINANZIARI</t>
    </r>
  </si>
  <si>
    <r>
      <rPr>
        <b/>
        <sz val="8"/>
        <color rgb="FFFF0000"/>
        <rFont val="Verdana"/>
        <family val="2"/>
      </rPr>
      <t>2)</t>
    </r>
    <r>
      <rPr>
        <b/>
        <sz val="8"/>
        <color theme="1"/>
        <rFont val="Verdana"/>
        <family val="2"/>
      </rPr>
      <t xml:space="preserve"> ADEGUATEZZA PATRIMONIALE</t>
    </r>
  </si>
  <si>
    <r>
      <rPr>
        <b/>
        <sz val="8"/>
        <color rgb="FFFF0000"/>
        <rFont val="Verdana"/>
        <family val="2"/>
      </rPr>
      <t>3)</t>
    </r>
    <r>
      <rPr>
        <b/>
        <sz val="8"/>
        <color theme="1"/>
        <rFont val="Verdana"/>
        <family val="2"/>
      </rPr>
      <t xml:space="preserve"> EQUILIBRIO FINANZIARIO</t>
    </r>
  </si>
  <si>
    <r>
      <rPr>
        <b/>
        <sz val="8"/>
        <color rgb="FFFF0000"/>
        <rFont val="Verdana"/>
        <family val="2"/>
      </rPr>
      <t>4)</t>
    </r>
    <r>
      <rPr>
        <b/>
        <sz val="8"/>
        <color theme="1"/>
        <rFont val="Verdana"/>
        <family val="2"/>
      </rPr>
      <t xml:space="preserve"> REDDITIVITÀ</t>
    </r>
  </si>
  <si>
    <r>
      <rPr>
        <b/>
        <sz val="8"/>
        <color rgb="FFFF0000"/>
        <rFont val="Verdana"/>
        <family val="2"/>
      </rPr>
      <t>5)</t>
    </r>
    <r>
      <rPr>
        <b/>
        <sz val="8"/>
        <color theme="1"/>
        <rFont val="Verdana"/>
        <family val="2"/>
      </rPr>
      <t xml:space="preserve"> ALTRI INDICI DI INDEBITAMENTO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</si>
</sst>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43" formatCode="_-* #,##0.00_-;\-* #,##0.00_-;_-* &quot;-&quot;??_-;_-@_-"/>
    <numFmt numFmtId="164" formatCode="_-* #,##0.00\ _€_-;\-* #,##0.00\ _€_-;_-* &quot;-&quot;??\ _€_-;_-@_-"/>
    <numFmt numFmtId="165" formatCode="_-&quot;€&quot;\ * #,##0.00_-;\-&quot;€&quot;\ * #,##0.00_-;_-&quot;€&quot;\ * &quot;-&quot;??_-;_-@_-"/>
    <numFmt numFmtId="166" formatCode="#,##0;[Red]\(#,##0\)"/>
    <numFmt numFmtId="167" formatCode="#,##0_ ;[Red]\-#,##0\ "/>
    <numFmt numFmtId="168" formatCode="_-* #,##0.00_-;\-* #,##0.00_-;_-* &quot;-&quot;_-;_-@_-"/>
    <numFmt numFmtId="169" formatCode="_-&quot;L.&quot;\ * #,##0.00_-;\-&quot;L.&quot;\ * #,##0.00_-;_-&quot;L.&quot;\ * &quot;-&quot;??_-;_-@_-"/>
    <numFmt numFmtId="170" formatCode="_(* #,##0.00_);_(* \(#,##0.00\);_(* &quot;-&quot;??_);_(@_)"/>
    <numFmt numFmtId="171" formatCode="_-&quot;€&quot;\ * #,##0_-;\-&quot;€&quot;\ * #,##0_-;_-&quot;€&quot;\ * &quot;-&quot;??_-;_-@_-"/>
    <numFmt numFmtId="172" formatCode="0.0_ ;[Red]\-0.0\ "/>
    <numFmt numFmtId="173" formatCode="_-[$€-2]\ * #,##0.00_-;\-[$€-2]\ * #,##0.00_-;_-[$€-2]\ * &quot;-&quot;??_-"/>
    <numFmt numFmtId="174" formatCode="_-[$€]\ * #,##0.00_-;\-[$€]\ * #,##0.00_-;_-[$€]\ * &quot;-&quot;??_-;_-@_-"/>
    <numFmt numFmtId="175" formatCode="#,##0.0_);\(#,##0.0\)"/>
    <numFmt numFmtId="176" formatCode="#,##0.00_ ;\-#,##0.00\ "/>
    <numFmt numFmtId="177" formatCode="d/m/yyyy"/>
    <numFmt numFmtId="178" formatCode="&quot;L.&quot;\ #,##0;[Red]\-&quot;L.&quot;\ #,##0"/>
    <numFmt numFmtId="179" formatCode="_-* #,##0.00_-;\-* #,##0.00_-;_-* \-??_-;_-@_-"/>
    <numFmt numFmtId="180" formatCode="_-* #,##0_-;\-* #,##0_-;_-* \-_-;_-@_-"/>
    <numFmt numFmtId="181" formatCode="_-* #,##0_-;\-* #,##0_-;_-* &quot;-&quot;??_-;_-@_-"/>
    <numFmt numFmtId="182" formatCode="#,##0.000"/>
    <numFmt numFmtId="183" formatCode="0.000"/>
  </numFmts>
  <fonts count="108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sz val="10"/>
      <name val="Tahoma"/>
      <family val="2"/>
    </font>
    <font>
      <sz val="10"/>
      <name val="Arial Narrow"/>
      <family val="2"/>
    </font>
    <font>
      <sz val="10"/>
      <name val="Times New Roman"/>
      <family val="1"/>
    </font>
    <font>
      <sz val="8"/>
      <name val="Verdana"/>
      <family val="2"/>
    </font>
    <font>
      <sz val="10"/>
      <color indexed="8"/>
      <name val="MS Sans Serif"/>
      <family val="2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10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4.05"/>
      <color indexed="8"/>
      <name val="Times New Roman"/>
      <family val="1"/>
    </font>
    <font>
      <sz val="8"/>
      <color indexed="18"/>
      <name val="Times New Roman"/>
      <family val="1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9C6500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  <charset val="161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mbria"/>
      <family val="1"/>
      <scheme val="maj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9"/>
      <name val="Helvetica-Narrow"/>
      <family val="2"/>
    </font>
    <font>
      <sz val="8"/>
      <color indexed="0"/>
      <name val="Arial"/>
      <family val="2"/>
    </font>
    <font>
      <b/>
      <sz val="8"/>
      <name val="Courier New"/>
      <family val="3"/>
    </font>
    <font>
      <sz val="10"/>
      <name val="MS Sans Serif"/>
      <family val="2"/>
    </font>
    <font>
      <sz val="10"/>
      <name val="Comic Sans MS"/>
      <family val="4"/>
    </font>
    <font>
      <u/>
      <sz val="8"/>
      <color theme="10"/>
      <name val="Arial"/>
      <family val="2"/>
    </font>
    <font>
      <sz val="10"/>
      <name val="Garamond"/>
      <family val="1"/>
    </font>
    <font>
      <sz val="11"/>
      <color theme="1"/>
      <name val="Tw Cen MT"/>
      <family val="2"/>
    </font>
    <font>
      <b/>
      <sz val="12"/>
      <name val="Tw Cen MT"/>
      <family val="2"/>
    </font>
    <font>
      <sz val="10"/>
      <color theme="1"/>
      <name val="Tw Cen MT"/>
      <family val="2"/>
    </font>
    <font>
      <sz val="10"/>
      <name val="Tw Cen MT"/>
      <family val="2"/>
    </font>
    <font>
      <b/>
      <sz val="9"/>
      <color theme="1"/>
      <name val="Tahoma"/>
      <family val="2"/>
    </font>
    <font>
      <i/>
      <u/>
      <sz val="12"/>
      <color rgb="FF7030A0"/>
      <name val="Tahoma"/>
      <family val="2"/>
    </font>
    <font>
      <sz val="12"/>
      <color theme="1"/>
      <name val="Calibri"/>
      <family val="2"/>
      <scheme val="minor"/>
    </font>
    <font>
      <sz val="10"/>
      <color rgb="FFC00000"/>
      <name val="Tw Cen MT"/>
      <family val="2"/>
    </font>
    <font>
      <b/>
      <sz val="10"/>
      <color rgb="FFC00000"/>
      <name val="Tw Cen MT"/>
      <family val="2"/>
    </font>
    <font>
      <i/>
      <sz val="10"/>
      <color theme="4"/>
      <name val="Tw Cen MT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9"/>
      <color theme="1" tint="0.34998626667073579"/>
      <name val="Arial"/>
      <family val="2"/>
    </font>
    <font>
      <sz val="10"/>
      <color theme="1" tint="0.34998626667073579"/>
      <name val="Arial"/>
      <family val="2"/>
    </font>
    <font>
      <sz val="9"/>
      <color theme="1" tint="0.34998626667073579"/>
      <name val="Arial"/>
      <family val="2"/>
    </font>
    <font>
      <sz val="8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8"/>
      <color rgb="FF000000"/>
      <name val="Segoe UI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i/>
      <sz val="8"/>
      <color theme="1"/>
      <name val="Verdana"/>
      <family val="2"/>
    </font>
    <font>
      <sz val="8"/>
      <color theme="1"/>
      <name val="Verdana"/>
      <family val="2"/>
    </font>
    <font>
      <b/>
      <i/>
      <sz val="8"/>
      <color theme="1"/>
      <name val="Verdana"/>
      <family val="2"/>
    </font>
    <font>
      <b/>
      <sz val="8"/>
      <color theme="1"/>
      <name val="Verdana"/>
      <family val="2"/>
    </font>
    <font>
      <u/>
      <sz val="8"/>
      <color theme="10"/>
      <name val="Verdana"/>
      <family val="2"/>
    </font>
    <font>
      <i/>
      <sz val="8"/>
      <name val="Verdana"/>
      <family val="2"/>
    </font>
    <font>
      <sz val="8"/>
      <color theme="0"/>
      <name val="Verdana"/>
      <family val="2"/>
    </font>
    <font>
      <b/>
      <sz val="8"/>
      <name val="Verdana"/>
      <family val="2"/>
    </font>
    <font>
      <b/>
      <sz val="8"/>
      <color rgb="FFFF0000"/>
      <name val="Verdana"/>
      <family val="2"/>
    </font>
    <font>
      <b/>
      <sz val="8"/>
      <color theme="4"/>
      <name val="Verdana"/>
      <family val="2"/>
    </font>
    <font>
      <sz val="8"/>
      <color theme="4"/>
      <name val="Verdana"/>
      <family val="2"/>
    </font>
    <font>
      <b/>
      <sz val="8"/>
      <color rgb="FF00B050"/>
      <name val="Verdana"/>
      <family val="2"/>
    </font>
    <font>
      <sz val="12"/>
      <name val="Georgia"/>
      <family val="1"/>
    </font>
    <font>
      <sz val="18"/>
      <name val="Georgia"/>
      <family val="1"/>
    </font>
    <font>
      <sz val="20"/>
      <color theme="1"/>
      <name val="Verdana"/>
      <family val="2"/>
    </font>
    <font>
      <b/>
      <sz val="20"/>
      <color rgb="FF00B050"/>
      <name val="Verdana"/>
      <family val="2"/>
    </font>
    <font>
      <b/>
      <sz val="11"/>
      <color rgb="FFF9BE2B"/>
      <name val="Verdana"/>
      <family val="2"/>
    </font>
    <font>
      <b/>
      <sz val="11"/>
      <color theme="0"/>
      <name val="Verdana"/>
      <family val="2"/>
    </font>
  </fonts>
  <fills count="6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/>
      <diagonal/>
    </border>
    <border>
      <left/>
      <right/>
      <top/>
      <bottom style="double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dashed">
        <color indexed="64"/>
      </right>
      <top/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109">
    <xf numFmtId="0" fontId="0" fillId="0" borderId="0"/>
    <xf numFmtId="173" fontId="4" fillId="0" borderId="0"/>
    <xf numFmtId="173" fontId="5" fillId="3" borderId="0" applyNumberFormat="0" applyBorder="0" applyAlignment="0" applyProtection="0"/>
    <xf numFmtId="173" fontId="5" fillId="4" borderId="0" applyNumberFormat="0" applyBorder="0" applyAlignment="0" applyProtection="0"/>
    <xf numFmtId="173" fontId="5" fillId="5" borderId="0" applyNumberFormat="0" applyBorder="0" applyAlignment="0" applyProtection="0"/>
    <xf numFmtId="173" fontId="5" fillId="6" borderId="0" applyNumberFormat="0" applyBorder="0" applyAlignment="0" applyProtection="0"/>
    <xf numFmtId="173" fontId="5" fillId="7" borderId="0" applyNumberFormat="0" applyBorder="0" applyAlignment="0" applyProtection="0"/>
    <xf numFmtId="173" fontId="5" fillId="8" borderId="0" applyNumberFormat="0" applyBorder="0" applyAlignment="0" applyProtection="0"/>
    <xf numFmtId="173" fontId="5" fillId="9" borderId="0" applyNumberFormat="0" applyBorder="0" applyAlignment="0" applyProtection="0"/>
    <xf numFmtId="173" fontId="5" fillId="3" borderId="0" applyNumberFormat="0" applyBorder="0" applyAlignment="0" applyProtection="0"/>
    <xf numFmtId="173" fontId="5" fillId="10" borderId="0" applyNumberFormat="0" applyBorder="0" applyAlignment="0" applyProtection="0"/>
    <xf numFmtId="173" fontId="5" fillId="4" borderId="0" applyNumberFormat="0" applyBorder="0" applyAlignment="0" applyProtection="0"/>
    <xf numFmtId="173" fontId="5" fillId="11" borderId="0" applyNumberFormat="0" applyBorder="0" applyAlignment="0" applyProtection="0"/>
    <xf numFmtId="173" fontId="5" fillId="5" borderId="0" applyNumberFormat="0" applyBorder="0" applyAlignment="0" applyProtection="0"/>
    <xf numFmtId="173" fontId="5" fillId="8" borderId="0" applyNumberFormat="0" applyBorder="0" applyAlignment="0" applyProtection="0"/>
    <xf numFmtId="173" fontId="5" fillId="6" borderId="0" applyNumberFormat="0" applyBorder="0" applyAlignment="0" applyProtection="0"/>
    <xf numFmtId="173" fontId="5" fillId="7" borderId="0" applyNumberFormat="0" applyBorder="0" applyAlignment="0" applyProtection="0"/>
    <xf numFmtId="173" fontId="5" fillId="11" borderId="0" applyNumberFormat="0" applyBorder="0" applyAlignment="0" applyProtection="0"/>
    <xf numFmtId="173" fontId="5" fillId="8" borderId="0" applyNumberFormat="0" applyBorder="0" applyAlignment="0" applyProtection="0"/>
    <xf numFmtId="173" fontId="5" fillId="9" borderId="0" applyNumberFormat="0" applyBorder="0" applyAlignment="0" applyProtection="0"/>
    <xf numFmtId="173" fontId="5" fillId="10" borderId="0" applyNumberFormat="0" applyBorder="0" applyAlignment="0" applyProtection="0"/>
    <xf numFmtId="173" fontId="5" fillId="12" borderId="0" applyNumberFormat="0" applyBorder="0" applyAlignment="0" applyProtection="0"/>
    <xf numFmtId="173" fontId="5" fillId="6" borderId="0" applyNumberFormat="0" applyBorder="0" applyAlignment="0" applyProtection="0"/>
    <xf numFmtId="173" fontId="5" fillId="9" borderId="0" applyNumberFormat="0" applyBorder="0" applyAlignment="0" applyProtection="0"/>
    <xf numFmtId="173" fontId="5" fillId="13" borderId="0" applyNumberFormat="0" applyBorder="0" applyAlignment="0" applyProtection="0"/>
    <xf numFmtId="173" fontId="5" fillId="7" borderId="0" applyNumberFormat="0" applyBorder="0" applyAlignment="0" applyProtection="0"/>
    <xf numFmtId="173" fontId="5" fillId="9" borderId="0" applyNumberFormat="0" applyBorder="0" applyAlignment="0" applyProtection="0"/>
    <xf numFmtId="173" fontId="5" fillId="10" borderId="0" applyNumberFormat="0" applyBorder="0" applyAlignment="0" applyProtection="0"/>
    <xf numFmtId="173" fontId="5" fillId="14" borderId="0" applyNumberFormat="0" applyBorder="0" applyAlignment="0" applyProtection="0"/>
    <xf numFmtId="173" fontId="5" fillId="12" borderId="0" applyNumberFormat="0" applyBorder="0" applyAlignment="0" applyProtection="0"/>
    <xf numFmtId="173" fontId="5" fillId="4" borderId="0" applyNumberFormat="0" applyBorder="0" applyAlignment="0" applyProtection="0"/>
    <xf numFmtId="173" fontId="5" fillId="6" borderId="0" applyNumberFormat="0" applyBorder="0" applyAlignment="0" applyProtection="0"/>
    <xf numFmtId="173" fontId="5" fillId="7" borderId="0" applyNumberFormat="0" applyBorder="0" applyAlignment="0" applyProtection="0"/>
    <xf numFmtId="173" fontId="5" fillId="9" borderId="0" applyNumberFormat="0" applyBorder="0" applyAlignment="0" applyProtection="0"/>
    <xf numFmtId="173" fontId="5" fillId="11" borderId="0" applyNumberFormat="0" applyBorder="0" applyAlignment="0" applyProtection="0"/>
    <xf numFmtId="173" fontId="5" fillId="13" borderId="0" applyNumberFormat="0" applyBorder="0" applyAlignment="0" applyProtection="0"/>
    <xf numFmtId="173" fontId="18" fillId="15" borderId="0" applyNumberFormat="0" applyBorder="0" applyAlignment="0" applyProtection="0"/>
    <xf numFmtId="173" fontId="18" fillId="10" borderId="0" applyNumberFormat="0" applyBorder="0" applyAlignment="0" applyProtection="0"/>
    <xf numFmtId="173" fontId="18" fillId="12" borderId="0" applyNumberFormat="0" applyBorder="0" applyAlignment="0" applyProtection="0"/>
    <xf numFmtId="173" fontId="18" fillId="16" borderId="0" applyNumberFormat="0" applyBorder="0" applyAlignment="0" applyProtection="0"/>
    <xf numFmtId="173" fontId="18" fillId="17" borderId="0" applyNumberFormat="0" applyBorder="0" applyAlignment="0" applyProtection="0"/>
    <xf numFmtId="173" fontId="18" fillId="18" borderId="0" applyNumberFormat="0" applyBorder="0" applyAlignment="0" applyProtection="0"/>
    <xf numFmtId="173" fontId="18" fillId="7" borderId="0" applyNumberFormat="0" applyBorder="0" applyAlignment="0" applyProtection="0"/>
    <xf numFmtId="173" fontId="18" fillId="15" borderId="0" applyNumberFormat="0" applyBorder="0" applyAlignment="0" applyProtection="0"/>
    <xf numFmtId="173" fontId="18" fillId="19" borderId="0" applyNumberFormat="0" applyBorder="0" applyAlignment="0" applyProtection="0"/>
    <xf numFmtId="173" fontId="18" fillId="10" borderId="0" applyNumberFormat="0" applyBorder="0" applyAlignment="0" applyProtection="0"/>
    <xf numFmtId="173" fontId="18" fillId="13" borderId="0" applyNumberFormat="0" applyBorder="0" applyAlignment="0" applyProtection="0"/>
    <xf numFmtId="173" fontId="18" fillId="12" borderId="0" applyNumberFormat="0" applyBorder="0" applyAlignment="0" applyProtection="0"/>
    <xf numFmtId="173" fontId="18" fillId="4" borderId="0" applyNumberFormat="0" applyBorder="0" applyAlignment="0" applyProtection="0"/>
    <xf numFmtId="173" fontId="18" fillId="16" borderId="0" applyNumberFormat="0" applyBorder="0" applyAlignment="0" applyProtection="0"/>
    <xf numFmtId="173" fontId="18" fillId="7" borderId="0" applyNumberFormat="0" applyBorder="0" applyAlignment="0" applyProtection="0"/>
    <xf numFmtId="173" fontId="18" fillId="17" borderId="0" applyNumberFormat="0" applyBorder="0" applyAlignment="0" applyProtection="0"/>
    <xf numFmtId="173" fontId="18" fillId="10" borderId="0" applyNumberFormat="0" applyBorder="0" applyAlignment="0" applyProtection="0"/>
    <xf numFmtId="173" fontId="18" fillId="18" borderId="0" applyNumberFormat="0" applyBorder="0" applyAlignment="0" applyProtection="0"/>
    <xf numFmtId="173" fontId="18" fillId="20" borderId="0" applyNumberFormat="0" applyBorder="0" applyAlignment="0" applyProtection="0"/>
    <xf numFmtId="173" fontId="18" fillId="21" borderId="0" applyNumberFormat="0" applyBorder="0" applyAlignment="0" applyProtection="0"/>
    <xf numFmtId="173" fontId="18" fillId="22" borderId="0" applyNumberFormat="0" applyBorder="0" applyAlignment="0" applyProtection="0"/>
    <xf numFmtId="173" fontId="18" fillId="16" borderId="0" applyNumberFormat="0" applyBorder="0" applyAlignment="0" applyProtection="0"/>
    <xf numFmtId="173" fontId="18" fillId="17" borderId="0" applyNumberFormat="0" applyBorder="0" applyAlignment="0" applyProtection="0"/>
    <xf numFmtId="173" fontId="18" fillId="19" borderId="0" applyNumberFormat="0" applyBorder="0" applyAlignment="0" applyProtection="0"/>
    <xf numFmtId="173" fontId="29" fillId="4" borderId="0" applyNumberFormat="0" applyBorder="0" applyAlignment="0" applyProtection="0"/>
    <xf numFmtId="173" fontId="19" fillId="24" borderId="1" applyNumberFormat="0" applyAlignment="0" applyProtection="0"/>
    <xf numFmtId="173" fontId="33" fillId="23" borderId="1" applyNumberFormat="0" applyAlignment="0" applyProtection="0"/>
    <xf numFmtId="173" fontId="33" fillId="23" borderId="1" applyNumberFormat="0" applyAlignment="0" applyProtection="0"/>
    <xf numFmtId="173" fontId="20" fillId="0" borderId="3" applyNumberFormat="0" applyFill="0" applyAlignment="0" applyProtection="0"/>
    <xf numFmtId="173" fontId="34" fillId="0" borderId="2" applyNumberFormat="0" applyFill="0" applyAlignment="0" applyProtection="0"/>
    <xf numFmtId="173" fontId="21" fillId="25" borderId="4" applyNumberFormat="0" applyAlignment="0" applyProtection="0"/>
    <xf numFmtId="173" fontId="21" fillId="25" borderId="4" applyNumberFormat="0" applyAlignment="0" applyProtection="0"/>
    <xf numFmtId="173" fontId="8" fillId="0" borderId="0" applyNumberFormat="0" applyFill="0" applyBorder="0" applyAlignment="0" applyProtection="0">
      <alignment vertical="top"/>
      <protection locked="0"/>
    </xf>
    <xf numFmtId="173" fontId="8" fillId="0" borderId="0" applyNumberFormat="0" applyFill="0" applyBorder="0" applyAlignment="0" applyProtection="0">
      <alignment vertical="top"/>
      <protection locked="0"/>
    </xf>
    <xf numFmtId="173" fontId="9" fillId="0" borderId="0" applyNumberFormat="0" applyFill="0" applyBorder="0" applyAlignment="0" applyProtection="0">
      <alignment vertical="top"/>
      <protection locked="0"/>
    </xf>
    <xf numFmtId="173" fontId="8" fillId="0" borderId="0" applyNumberFormat="0" applyFill="0" applyBorder="0" applyAlignment="0" applyProtection="0">
      <alignment vertical="top"/>
      <protection locked="0"/>
    </xf>
    <xf numFmtId="173" fontId="18" fillId="26" borderId="0" applyNumberFormat="0" applyBorder="0" applyAlignment="0" applyProtection="0"/>
    <xf numFmtId="173" fontId="18" fillId="20" borderId="0" applyNumberFormat="0" applyBorder="0" applyAlignment="0" applyProtection="0"/>
    <xf numFmtId="173" fontId="18" fillId="19" borderId="0" applyNumberFormat="0" applyBorder="0" applyAlignment="0" applyProtection="0"/>
    <xf numFmtId="173" fontId="18" fillId="21" borderId="0" applyNumberFormat="0" applyBorder="0" applyAlignment="0" applyProtection="0"/>
    <xf numFmtId="173" fontId="18" fillId="13" borderId="0" applyNumberFormat="0" applyBorder="0" applyAlignment="0" applyProtection="0"/>
    <xf numFmtId="173" fontId="18" fillId="22" borderId="0" applyNumberFormat="0" applyBorder="0" applyAlignment="0" applyProtection="0"/>
    <xf numFmtId="173" fontId="18" fillId="27" borderId="0" applyNumberFormat="0" applyBorder="0" applyAlignment="0" applyProtection="0"/>
    <xf numFmtId="173" fontId="18" fillId="16" borderId="0" applyNumberFormat="0" applyBorder="0" applyAlignment="0" applyProtection="0"/>
    <xf numFmtId="173" fontId="18" fillId="17" borderId="0" applyNumberFormat="0" applyBorder="0" applyAlignment="0" applyProtection="0"/>
    <xf numFmtId="173" fontId="18" fillId="21" borderId="0" applyNumberFormat="0" applyBorder="0" applyAlignment="0" applyProtection="0"/>
    <xf numFmtId="173" fontId="18" fillId="19" borderId="0" applyNumberFormat="0" applyBorder="0" applyAlignment="0" applyProtection="0"/>
    <xf numFmtId="17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3" fontId="12" fillId="0" borderId="0" applyFont="0" applyFill="0" applyBorder="0" applyAlignment="0" applyProtection="0"/>
    <xf numFmtId="165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8" fontId="11" fillId="0" borderId="0" applyFont="0" applyFill="0" applyBorder="0" applyAlignment="0" applyProtection="0"/>
    <xf numFmtId="173" fontId="24" fillId="0" borderId="0" applyNumberFormat="0" applyFill="0" applyBorder="0" applyAlignment="0" applyProtection="0"/>
    <xf numFmtId="173" fontId="30" fillId="5" borderId="0" applyNumberFormat="0" applyBorder="0" applyAlignment="0" applyProtection="0"/>
    <xf numFmtId="173" fontId="36" fillId="0" borderId="5" applyNumberFormat="0" applyFill="0" applyAlignment="0" applyProtection="0"/>
    <xf numFmtId="173" fontId="37" fillId="0" borderId="6" applyNumberFormat="0" applyFill="0" applyAlignment="0" applyProtection="0"/>
    <xf numFmtId="173" fontId="38" fillId="0" borderId="7" applyNumberFormat="0" applyFill="0" applyAlignment="0" applyProtection="0"/>
    <xf numFmtId="173" fontId="38" fillId="0" borderId="0" applyNumberFormat="0" applyFill="0" applyBorder="0" applyAlignment="0" applyProtection="0"/>
    <xf numFmtId="173" fontId="22" fillId="14" borderId="1" applyNumberFormat="0" applyAlignment="0" applyProtection="0"/>
    <xf numFmtId="173" fontId="22" fillId="8" borderId="1" applyNumberFormat="0" applyAlignment="0" applyProtection="0"/>
    <xf numFmtId="173" fontId="34" fillId="0" borderId="2" applyNumberFormat="0" applyFill="0" applyAlignment="0" applyProtection="0"/>
    <xf numFmtId="43" fontId="5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3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5" fillId="14" borderId="0" applyNumberFormat="0" applyBorder="0" applyAlignment="0" applyProtection="0"/>
    <xf numFmtId="173" fontId="39" fillId="2" borderId="0" applyNumberFormat="0" applyBorder="0" applyAlignment="0" applyProtection="0"/>
    <xf numFmtId="171" fontId="39" fillId="2" borderId="0" applyNumberFormat="0" applyBorder="0" applyAlignment="0" applyProtection="0"/>
    <xf numFmtId="173" fontId="15" fillId="14" borderId="0" applyNumberFormat="0" applyBorder="0" applyAlignment="0" applyProtection="0"/>
    <xf numFmtId="173" fontId="15" fillId="14" borderId="0" applyNumberFormat="0" applyBorder="0" applyAlignment="0" applyProtection="0"/>
    <xf numFmtId="173" fontId="16" fillId="14" borderId="0" applyNumberFormat="0" applyBorder="0" applyAlignment="0" applyProtection="0"/>
    <xf numFmtId="173" fontId="15" fillId="14" borderId="0" applyNumberFormat="0" applyBorder="0" applyAlignment="0" applyProtection="0"/>
    <xf numFmtId="173" fontId="7" fillId="0" borderId="0">
      <alignment vertical="top"/>
    </xf>
    <xf numFmtId="173" fontId="6" fillId="0" borderId="0"/>
    <xf numFmtId="173" fontId="10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0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40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0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7" fillId="0" borderId="0">
      <alignment vertical="top"/>
    </xf>
    <xf numFmtId="173" fontId="6" fillId="0" borderId="0"/>
    <xf numFmtId="173" fontId="6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7" fillId="0" borderId="0"/>
    <xf numFmtId="173" fontId="7" fillId="0" borderId="0"/>
    <xf numFmtId="173" fontId="6" fillId="0" borderId="0"/>
    <xf numFmtId="173" fontId="12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0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7" fillId="0" borderId="0">
      <alignment vertical="top"/>
    </xf>
    <xf numFmtId="173" fontId="6" fillId="0" borderId="0"/>
    <xf numFmtId="173" fontId="12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7" fillId="0" borderId="0">
      <alignment vertical="top"/>
    </xf>
    <xf numFmtId="173" fontId="14" fillId="0" borderId="0"/>
    <xf numFmtId="172" fontId="6" fillId="0" borderId="0"/>
    <xf numFmtId="172" fontId="6" fillId="0" borderId="0"/>
    <xf numFmtId="173" fontId="5" fillId="0" borderId="0"/>
    <xf numFmtId="173" fontId="7" fillId="0" borderId="0">
      <alignment vertical="top"/>
    </xf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3" fillId="0" borderId="0"/>
    <xf numFmtId="173" fontId="13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1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4" fillId="0" borderId="0"/>
    <xf numFmtId="173" fontId="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0" fillId="0" borderId="0"/>
    <xf numFmtId="173" fontId="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7" fillId="0" borderId="0">
      <alignment vertical="top"/>
    </xf>
    <xf numFmtId="173" fontId="12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5" fillId="11" borderId="8" applyNumberFormat="0" applyFont="0" applyAlignment="0" applyProtection="0"/>
    <xf numFmtId="173" fontId="5" fillId="11" borderId="8" applyNumberFormat="0" applyFont="0" applyAlignment="0" applyProtection="0"/>
    <xf numFmtId="173" fontId="5" fillId="11" borderId="8" applyNumberFormat="0" applyFont="0" applyAlignment="0" applyProtection="0"/>
    <xf numFmtId="173" fontId="5" fillId="11" borderId="8" applyNumberFormat="0" applyFont="0" applyAlignment="0" applyProtection="0"/>
    <xf numFmtId="173" fontId="5" fillId="11" borderId="8" applyNumberFormat="0" applyFont="0" applyAlignment="0" applyProtection="0"/>
    <xf numFmtId="173" fontId="5" fillId="11" borderId="8" applyNumberFormat="0" applyFont="0" applyAlignment="0" applyProtection="0"/>
    <xf numFmtId="173" fontId="5" fillId="11" borderId="8" applyNumberFormat="0" applyFont="0" applyAlignment="0" applyProtection="0"/>
    <xf numFmtId="173" fontId="6" fillId="11" borderId="8" applyNumberFormat="0" applyFont="0" applyAlignment="0" applyProtection="0"/>
    <xf numFmtId="173" fontId="5" fillId="11" borderId="8" applyNumberFormat="0" applyFont="0" applyAlignment="0" applyProtection="0"/>
    <xf numFmtId="173" fontId="23" fillId="24" borderId="9" applyNumberFormat="0" applyAlignment="0" applyProtection="0"/>
    <xf numFmtId="173" fontId="23" fillId="23" borderId="9" applyNumberFormat="0" applyAlignment="0" applyProtection="0"/>
    <xf numFmtId="9" fontId="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ill="0" applyBorder="0" applyAlignment="0" applyProtection="0"/>
    <xf numFmtId="9" fontId="7" fillId="0" borderId="0" applyFont="0" applyFill="0" applyBorder="0" applyAlignment="0" applyProtection="0">
      <alignment vertical="top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3" fontId="20" fillId="0" borderId="0" applyNumberFormat="0" applyFill="0" applyBorder="0" applyAlignment="0" applyProtection="0"/>
    <xf numFmtId="173" fontId="24" fillId="0" borderId="0" applyNumberFormat="0" applyFill="0" applyBorder="0" applyAlignment="0" applyProtection="0"/>
    <xf numFmtId="173" fontId="35" fillId="0" borderId="0" applyNumberFormat="0" applyFill="0" applyBorder="0" applyAlignment="0" applyProtection="0"/>
    <xf numFmtId="173" fontId="25" fillId="0" borderId="10" applyNumberFormat="0" applyFill="0" applyAlignment="0" applyProtection="0"/>
    <xf numFmtId="173" fontId="36" fillId="0" borderId="5" applyNumberFormat="0" applyFill="0" applyAlignment="0" applyProtection="0"/>
    <xf numFmtId="173" fontId="26" fillId="0" borderId="11" applyNumberFormat="0" applyFill="0" applyAlignment="0" applyProtection="0"/>
    <xf numFmtId="173" fontId="37" fillId="0" borderId="6" applyNumberFormat="0" applyFill="0" applyAlignment="0" applyProtection="0"/>
    <xf numFmtId="173" fontId="27" fillId="0" borderId="12" applyNumberFormat="0" applyFill="0" applyAlignment="0" applyProtection="0"/>
    <xf numFmtId="173" fontId="38" fillId="0" borderId="7" applyNumberFormat="0" applyFill="0" applyAlignment="0" applyProtection="0"/>
    <xf numFmtId="173" fontId="27" fillId="0" borderId="0" applyNumberFormat="0" applyFill="0" applyBorder="0" applyAlignment="0" applyProtection="0"/>
    <xf numFmtId="173" fontId="38" fillId="0" borderId="0" applyNumberFormat="0" applyFill="0" applyBorder="0" applyAlignment="0" applyProtection="0"/>
    <xf numFmtId="173" fontId="28" fillId="0" borderId="0" applyNumberFormat="0" applyFill="0" applyBorder="0" applyAlignment="0" applyProtection="0"/>
    <xf numFmtId="173" fontId="35" fillId="0" borderId="0" applyNumberFormat="0" applyFill="0" applyBorder="0" applyAlignment="0" applyProtection="0"/>
    <xf numFmtId="173" fontId="17" fillId="0" borderId="13" applyNumberFormat="0" applyFill="0" applyAlignment="0" applyProtection="0"/>
    <xf numFmtId="173" fontId="17" fillId="0" borderId="14" applyNumberFormat="0" applyFill="0" applyAlignment="0" applyProtection="0"/>
    <xf numFmtId="173" fontId="17" fillId="0" borderId="13" applyNumberFormat="0" applyFill="0" applyAlignment="0" applyProtection="0"/>
    <xf numFmtId="173" fontId="29" fillId="6" borderId="0" applyNumberFormat="0" applyBorder="0" applyAlignment="0" applyProtection="0"/>
    <xf numFmtId="173" fontId="29" fillId="4" borderId="0" applyNumberFormat="0" applyBorder="0" applyAlignment="0" applyProtection="0"/>
    <xf numFmtId="173" fontId="30" fillId="7" borderId="0" applyNumberFormat="0" applyBorder="0" applyAlignment="0" applyProtection="0"/>
    <xf numFmtId="173" fontId="30" fillId="5" borderId="0" applyNumberFormat="0" applyBorder="0" applyAlignment="0" applyProtection="0"/>
    <xf numFmtId="17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3" fontId="20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10" fillId="0" borderId="0"/>
    <xf numFmtId="43" fontId="4" fillId="0" borderId="0" applyFont="0" applyFill="0" applyBorder="0" applyAlignment="0" applyProtection="0"/>
    <xf numFmtId="0" fontId="6" fillId="0" borderId="0"/>
    <xf numFmtId="0" fontId="10" fillId="0" borderId="0"/>
    <xf numFmtId="0" fontId="29" fillId="4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9" fontId="7" fillId="0" borderId="0" applyFont="0" applyFill="0" applyBorder="0" applyAlignment="0" applyProtection="0">
      <alignment vertical="top"/>
    </xf>
    <xf numFmtId="165" fontId="6" fillId="0" borderId="0" applyFont="0" applyFill="0" applyBorder="0" applyAlignment="0" applyProtection="0"/>
    <xf numFmtId="0" fontId="4" fillId="0" borderId="0"/>
    <xf numFmtId="0" fontId="6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3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3" borderId="0" applyNumberFormat="0" applyBorder="0" applyAlignment="0" applyProtection="0"/>
    <xf numFmtId="0" fontId="5" fillId="9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5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9" borderId="0" applyNumberFormat="0" applyBorder="0" applyAlignment="0" applyProtection="0"/>
    <xf numFmtId="0" fontId="18" fillId="10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4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0" borderId="0" applyNumberFormat="0" applyBorder="0" applyAlignment="0" applyProtection="0"/>
    <xf numFmtId="0" fontId="18" fillId="18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9" borderId="0" applyNumberFormat="0" applyBorder="0" applyAlignment="0" applyProtection="0"/>
    <xf numFmtId="0" fontId="29" fillId="4" borderId="0" applyNumberFormat="0" applyBorder="0" applyAlignment="0" applyProtection="0"/>
    <xf numFmtId="0" fontId="33" fillId="23" borderId="1" applyNumberFormat="0" applyAlignment="0" applyProtection="0"/>
    <xf numFmtId="0" fontId="19" fillId="24" borderId="1" applyNumberFormat="0" applyAlignment="0" applyProtection="0"/>
    <xf numFmtId="0" fontId="33" fillId="23" borderId="1" applyNumberFormat="0" applyAlignment="0" applyProtection="0"/>
    <xf numFmtId="0" fontId="33" fillId="23" borderId="1" applyNumberFormat="0" applyAlignment="0" applyProtection="0"/>
    <xf numFmtId="0" fontId="34" fillId="0" borderId="2" applyNumberFormat="0" applyFill="0" applyAlignment="0" applyProtection="0"/>
    <xf numFmtId="0" fontId="20" fillId="0" borderId="3" applyNumberFormat="0" applyFill="0" applyAlignment="0" applyProtection="0"/>
    <xf numFmtId="0" fontId="34" fillId="0" borderId="2" applyNumberFormat="0" applyFill="0" applyAlignment="0" applyProtection="0"/>
    <xf numFmtId="0" fontId="21" fillId="25" borderId="4" applyNumberFormat="0" applyAlignment="0" applyProtection="0"/>
    <xf numFmtId="0" fontId="21" fillId="25" borderId="4" applyNumberFormat="0" applyAlignment="0" applyProtection="0"/>
    <xf numFmtId="0" fontId="21" fillId="25" borderId="4" applyNumberFormat="0" applyAlignment="0" applyProtection="0"/>
    <xf numFmtId="43" fontId="6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3" fontId="6" fillId="0" borderId="0" applyFont="0" applyFill="0" applyBorder="0" applyAlignment="0" applyProtection="0"/>
    <xf numFmtId="0" fontId="18" fillId="20" borderId="0" applyNumberFormat="0" applyBorder="0" applyAlignment="0" applyProtection="0"/>
    <xf numFmtId="0" fontId="18" fillId="26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13" borderId="0" applyNumberFormat="0" applyBorder="0" applyAlignment="0" applyProtection="0"/>
    <xf numFmtId="0" fontId="18" fillId="22" borderId="0" applyNumberFormat="0" applyBorder="0" applyAlignment="0" applyProtection="0"/>
    <xf numFmtId="0" fontId="18" fillId="16" borderId="0" applyNumberFormat="0" applyBorder="0" applyAlignment="0" applyProtection="0"/>
    <xf numFmtId="0" fontId="18" fillId="27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9" borderId="0" applyNumberFormat="0" applyBorder="0" applyAlignment="0" applyProtection="0"/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173" fontId="5" fillId="11" borderId="8" applyNumberFormat="0" applyFont="0" applyAlignment="0" applyProtection="0"/>
    <xf numFmtId="173" fontId="5" fillId="11" borderId="8" applyNumberFormat="0" applyFont="0" applyAlignment="0" applyProtection="0"/>
    <xf numFmtId="173" fontId="5" fillId="11" borderId="8" applyNumberFormat="0" applyFont="0" applyAlignment="0" applyProtection="0"/>
    <xf numFmtId="173" fontId="5" fillId="11" borderId="8" applyNumberFormat="0" applyFont="0" applyAlignment="0" applyProtection="0"/>
    <xf numFmtId="173" fontId="5" fillId="11" borderId="8" applyNumberFormat="0" applyFont="0" applyAlignment="0" applyProtection="0"/>
    <xf numFmtId="173" fontId="5" fillId="11" borderId="8" applyNumberFormat="0" applyFont="0" applyAlignment="0" applyProtection="0"/>
    <xf numFmtId="0" fontId="6" fillId="0" borderId="0" applyFont="0" applyFill="0" applyBorder="0" applyAlignment="0" applyProtection="0"/>
    <xf numFmtId="0" fontId="10" fillId="0" borderId="0"/>
    <xf numFmtId="0" fontId="24" fillId="0" borderId="0" applyNumberFormat="0" applyFill="0" applyBorder="0" applyAlignment="0" applyProtection="0"/>
    <xf numFmtId="0" fontId="30" fillId="5" borderId="0" applyNumberFormat="0" applyBorder="0" applyAlignment="0" applyProtection="0"/>
    <xf numFmtId="0" fontId="36" fillId="0" borderId="5" applyNumberFormat="0" applyFill="0" applyAlignment="0" applyProtection="0"/>
    <xf numFmtId="0" fontId="37" fillId="0" borderId="6" applyNumberFormat="0" applyFill="0" applyAlignment="0" applyProtection="0"/>
    <xf numFmtId="0" fontId="38" fillId="0" borderId="7" applyNumberFormat="0" applyFill="0" applyAlignment="0" applyProtection="0"/>
    <xf numFmtId="0" fontId="38" fillId="0" borderId="0" applyNumberFormat="0" applyFill="0" applyBorder="0" applyAlignment="0" applyProtection="0"/>
    <xf numFmtId="0" fontId="22" fillId="8" borderId="1" applyNumberFormat="0" applyAlignment="0" applyProtection="0"/>
    <xf numFmtId="0" fontId="22" fillId="14" borderId="1" applyNumberFormat="0" applyAlignment="0" applyProtection="0"/>
    <xf numFmtId="0" fontId="22" fillId="8" borderId="1" applyNumberFormat="0" applyAlignment="0" applyProtection="0"/>
    <xf numFmtId="0" fontId="34" fillId="0" borderId="2" applyNumberFormat="0" applyFill="0" applyAlignment="0" applyProtection="0"/>
    <xf numFmtId="43" fontId="6" fillId="0" borderId="0" applyFont="0" applyFill="0" applyBorder="0" applyAlignment="0" applyProtection="0"/>
    <xf numFmtId="0" fontId="6" fillId="11" borderId="8" applyNumberFormat="0" applyFon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7" fillId="0" borderId="14" applyNumberFormat="0" applyFill="0" applyAlignment="0" applyProtection="0"/>
    <xf numFmtId="173" fontId="17" fillId="0" borderId="13" applyNumberFormat="0" applyFill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171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6" fillId="14" borderId="0" applyNumberFormat="0" applyBorder="0" applyAlignment="0" applyProtection="0"/>
    <xf numFmtId="0" fontId="15" fillId="14" borderId="0" applyNumberFormat="0" applyBorder="0" applyAlignment="0" applyProtection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1" borderId="8" applyNumberFormat="0" applyFont="0" applyAlignment="0" applyProtection="0"/>
    <xf numFmtId="0" fontId="5" fillId="11" borderId="8" applyNumberFormat="0" applyFont="0" applyAlignment="0" applyProtection="0"/>
    <xf numFmtId="0" fontId="5" fillId="11" borderId="8" applyNumberFormat="0" applyFont="0" applyAlignment="0" applyProtection="0"/>
    <xf numFmtId="0" fontId="5" fillId="11" borderId="8" applyNumberFormat="0" applyFont="0" applyAlignment="0" applyProtection="0"/>
    <xf numFmtId="0" fontId="5" fillId="11" borderId="8" applyNumberFormat="0" applyFont="0" applyAlignment="0" applyProtection="0"/>
    <xf numFmtId="0" fontId="5" fillId="11" borderId="8" applyNumberFormat="0" applyFont="0" applyAlignment="0" applyProtection="0"/>
    <xf numFmtId="0" fontId="5" fillId="11" borderId="8" applyNumberFormat="0" applyFont="0" applyAlignment="0" applyProtection="0"/>
    <xf numFmtId="0" fontId="6" fillId="11" borderId="8" applyNumberFormat="0" applyFont="0" applyAlignment="0" applyProtection="0"/>
    <xf numFmtId="0" fontId="5" fillId="11" borderId="8" applyNumberFormat="0" applyFont="0" applyAlignment="0" applyProtection="0"/>
    <xf numFmtId="0" fontId="23" fillId="23" borderId="9" applyNumberFormat="0" applyAlignment="0" applyProtection="0"/>
    <xf numFmtId="0" fontId="23" fillId="24" borderId="9" applyNumberFormat="0" applyAlignment="0" applyProtection="0"/>
    <xf numFmtId="0" fontId="23" fillId="23" borderId="9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5" applyNumberFormat="0" applyFill="0" applyAlignment="0" applyProtection="0"/>
    <xf numFmtId="0" fontId="25" fillId="0" borderId="10" applyNumberFormat="0" applyFill="0" applyAlignment="0" applyProtection="0"/>
    <xf numFmtId="0" fontId="36" fillId="0" borderId="5" applyNumberFormat="0" applyFill="0" applyAlignment="0" applyProtection="0"/>
    <xf numFmtId="0" fontId="37" fillId="0" borderId="6" applyNumberFormat="0" applyFill="0" applyAlignment="0" applyProtection="0"/>
    <xf numFmtId="0" fontId="26" fillId="0" borderId="11" applyNumberFormat="0" applyFill="0" applyAlignment="0" applyProtection="0"/>
    <xf numFmtId="0" fontId="37" fillId="0" borderId="6" applyNumberFormat="0" applyFill="0" applyAlignment="0" applyProtection="0"/>
    <xf numFmtId="0" fontId="38" fillId="0" borderId="7" applyNumberFormat="0" applyFill="0" applyAlignment="0" applyProtection="0"/>
    <xf numFmtId="0" fontId="27" fillId="0" borderId="12" applyNumberFormat="0" applyFill="0" applyAlignment="0" applyProtection="0"/>
    <xf numFmtId="0" fontId="38" fillId="0" borderId="7" applyNumberFormat="0" applyFill="0" applyAlignment="0" applyProtection="0"/>
    <xf numFmtId="0" fontId="3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7" fillId="0" borderId="13" applyNumberFormat="0" applyFill="0" applyAlignment="0" applyProtection="0"/>
    <xf numFmtId="0" fontId="17" fillId="0" borderId="13" applyNumberFormat="0" applyFill="0" applyAlignment="0" applyProtection="0"/>
    <xf numFmtId="0" fontId="17" fillId="0" borderId="14" applyNumberFormat="0" applyFill="0" applyAlignment="0" applyProtection="0"/>
    <xf numFmtId="0" fontId="17" fillId="0" borderId="13" applyNumberFormat="0" applyFill="0" applyAlignment="0" applyProtection="0"/>
    <xf numFmtId="0" fontId="29" fillId="6" borderId="0" applyNumberFormat="0" applyBorder="0" applyAlignment="0" applyProtection="0"/>
    <xf numFmtId="0" fontId="29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7" borderId="0" applyNumberFormat="0" applyBorder="0" applyAlignment="0" applyProtection="0"/>
    <xf numFmtId="0" fontId="30" fillId="5" borderId="0" applyNumberFormat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73" fontId="5" fillId="0" borderId="0"/>
    <xf numFmtId="173" fontId="15" fillId="14" borderId="0" applyNumberFormat="0" applyBorder="0" applyAlignment="0" applyProtection="0"/>
    <xf numFmtId="173" fontId="16" fillId="14" borderId="0" applyNumberFormat="0" applyBorder="0" applyAlignment="0" applyProtection="0"/>
    <xf numFmtId="173" fontId="15" fillId="14" borderId="0" applyNumberFormat="0" applyBorder="0" applyAlignment="0" applyProtection="0"/>
    <xf numFmtId="43" fontId="6" fillId="0" borderId="0" applyFont="0" applyFill="0" applyBorder="0" applyAlignment="0" applyProtection="0"/>
    <xf numFmtId="0" fontId="10" fillId="0" borderId="0"/>
    <xf numFmtId="0" fontId="10" fillId="0" borderId="0"/>
    <xf numFmtId="43" fontId="5" fillId="0" borderId="0" applyFont="0" applyFill="0" applyBorder="0" applyAlignment="0" applyProtection="0"/>
    <xf numFmtId="0" fontId="6" fillId="11" borderId="8" applyNumberFormat="0" applyFont="0" applyAlignment="0" applyProtection="0"/>
    <xf numFmtId="0" fontId="6" fillId="11" borderId="8" applyNumberFormat="0" applyFont="0" applyAlignment="0" applyProtection="0"/>
    <xf numFmtId="173" fontId="18" fillId="19" borderId="0" applyNumberFormat="0" applyBorder="0" applyAlignment="0" applyProtection="0"/>
    <xf numFmtId="173" fontId="18" fillId="21" borderId="0" applyNumberFormat="0" applyBorder="0" applyAlignment="0" applyProtection="0"/>
    <xf numFmtId="173" fontId="18" fillId="17" borderId="0" applyNumberFormat="0" applyBorder="0" applyAlignment="0" applyProtection="0"/>
    <xf numFmtId="173" fontId="18" fillId="16" borderId="0" applyNumberFormat="0" applyBorder="0" applyAlignment="0" applyProtection="0"/>
    <xf numFmtId="173" fontId="18" fillId="27" borderId="0" applyNumberFormat="0" applyBorder="0" applyAlignment="0" applyProtection="0"/>
    <xf numFmtId="173" fontId="18" fillId="22" borderId="0" applyNumberFormat="0" applyBorder="0" applyAlignment="0" applyProtection="0"/>
    <xf numFmtId="173" fontId="18" fillId="13" borderId="0" applyNumberFormat="0" applyBorder="0" applyAlignment="0" applyProtection="0"/>
    <xf numFmtId="173" fontId="18" fillId="21" borderId="0" applyNumberFormat="0" applyBorder="0" applyAlignment="0" applyProtection="0"/>
    <xf numFmtId="173" fontId="18" fillId="19" borderId="0" applyNumberFormat="0" applyBorder="0" applyAlignment="0" applyProtection="0"/>
    <xf numFmtId="173" fontId="18" fillId="20" borderId="0" applyNumberFormat="0" applyBorder="0" applyAlignment="0" applyProtection="0"/>
    <xf numFmtId="173" fontId="18" fillId="26" borderId="0" applyNumberFormat="0" applyBorder="0" applyAlignment="0" applyProtection="0"/>
    <xf numFmtId="173" fontId="18" fillId="18" borderId="0" applyNumberFormat="0" applyBorder="0" applyAlignment="0" applyProtection="0"/>
    <xf numFmtId="173" fontId="18" fillId="10" borderId="0" applyNumberFormat="0" applyBorder="0" applyAlignment="0" applyProtection="0"/>
    <xf numFmtId="173" fontId="18" fillId="17" borderId="0" applyNumberFormat="0" applyBorder="0" applyAlignment="0" applyProtection="0"/>
    <xf numFmtId="173" fontId="18" fillId="7" borderId="0" applyNumberFormat="0" applyBorder="0" applyAlignment="0" applyProtection="0"/>
    <xf numFmtId="173" fontId="18" fillId="16" borderId="0" applyNumberFormat="0" applyBorder="0" applyAlignment="0" applyProtection="0"/>
    <xf numFmtId="173" fontId="18" fillId="4" borderId="0" applyNumberFormat="0" applyBorder="0" applyAlignment="0" applyProtection="0"/>
    <xf numFmtId="173" fontId="18" fillId="12" borderId="0" applyNumberFormat="0" applyBorder="0" applyAlignment="0" applyProtection="0"/>
    <xf numFmtId="173" fontId="18" fillId="13" borderId="0" applyNumberFormat="0" applyBorder="0" applyAlignment="0" applyProtection="0"/>
    <xf numFmtId="173" fontId="18" fillId="10" borderId="0" applyNumberFormat="0" applyBorder="0" applyAlignment="0" applyProtection="0"/>
    <xf numFmtId="173" fontId="18" fillId="19" borderId="0" applyNumberFormat="0" applyBorder="0" applyAlignment="0" applyProtection="0"/>
    <xf numFmtId="173" fontId="18" fillId="15" borderId="0" applyNumberFormat="0" applyBorder="0" applyAlignment="0" applyProtection="0"/>
    <xf numFmtId="173" fontId="18" fillId="7" borderId="0" applyNumberFormat="0" applyBorder="0" applyAlignment="0" applyProtection="0"/>
    <xf numFmtId="173" fontId="5" fillId="13" borderId="0" applyNumberFormat="0" applyBorder="0" applyAlignment="0" applyProtection="0"/>
    <xf numFmtId="173" fontId="5" fillId="11" borderId="0" applyNumberFormat="0" applyBorder="0" applyAlignment="0" applyProtection="0"/>
    <xf numFmtId="173" fontId="5" fillId="9" borderId="0" applyNumberFormat="0" applyBorder="0" applyAlignment="0" applyProtection="0"/>
    <xf numFmtId="173" fontId="5" fillId="7" borderId="0" applyNumberFormat="0" applyBorder="0" applyAlignment="0" applyProtection="0"/>
    <xf numFmtId="173" fontId="5" fillId="6" borderId="0" applyNumberFormat="0" applyBorder="0" applyAlignment="0" applyProtection="0"/>
    <xf numFmtId="173" fontId="5" fillId="4" borderId="0" applyNumberFormat="0" applyBorder="0" applyAlignment="0" applyProtection="0"/>
    <xf numFmtId="173" fontId="5" fillId="12" borderId="0" applyNumberFormat="0" applyBorder="0" applyAlignment="0" applyProtection="0"/>
    <xf numFmtId="173" fontId="5" fillId="14" borderId="0" applyNumberFormat="0" applyBorder="0" applyAlignment="0" applyProtection="0"/>
    <xf numFmtId="173" fontId="5" fillId="10" borderId="0" applyNumberFormat="0" applyBorder="0" applyAlignment="0" applyProtection="0"/>
    <xf numFmtId="173" fontId="5" fillId="9" borderId="0" applyNumberFormat="0" applyBorder="0" applyAlignment="0" applyProtection="0"/>
    <xf numFmtId="173" fontId="5" fillId="7" borderId="0" applyNumberFormat="0" applyBorder="0" applyAlignment="0" applyProtection="0"/>
    <xf numFmtId="173" fontId="5" fillId="8" borderId="0" applyNumberFormat="0" applyBorder="0" applyAlignment="0" applyProtection="0"/>
    <xf numFmtId="173" fontId="5" fillId="11" borderId="0" applyNumberFormat="0" applyBorder="0" applyAlignment="0" applyProtection="0"/>
    <xf numFmtId="165" fontId="6" fillId="0" borderId="0" applyFont="0" applyFill="0" applyBorder="0" applyAlignment="0" applyProtection="0"/>
    <xf numFmtId="173" fontId="5" fillId="7" borderId="0" applyNumberFormat="0" applyBorder="0" applyAlignment="0" applyProtection="0"/>
    <xf numFmtId="173" fontId="5" fillId="6" borderId="0" applyNumberFormat="0" applyBorder="0" applyAlignment="0" applyProtection="0"/>
    <xf numFmtId="173" fontId="5" fillId="8" borderId="0" applyNumberFormat="0" applyBorder="0" applyAlignment="0" applyProtection="0"/>
    <xf numFmtId="173" fontId="5" fillId="5" borderId="0" applyNumberFormat="0" applyBorder="0" applyAlignment="0" applyProtection="0"/>
    <xf numFmtId="165" fontId="6" fillId="0" borderId="0" applyFont="0" applyFill="0" applyBorder="0" applyAlignment="0" applyProtection="0"/>
    <xf numFmtId="173" fontId="5" fillId="11" borderId="0" applyNumberFormat="0" applyBorder="0" applyAlignment="0" applyProtection="0"/>
    <xf numFmtId="173" fontId="5" fillId="4" borderId="0" applyNumberFormat="0" applyBorder="0" applyAlignment="0" applyProtection="0"/>
    <xf numFmtId="173" fontId="5" fillId="10" borderId="0" applyNumberFormat="0" applyBorder="0" applyAlignment="0" applyProtection="0"/>
    <xf numFmtId="173" fontId="5" fillId="3" borderId="0" applyNumberFormat="0" applyBorder="0" applyAlignment="0" applyProtection="0"/>
    <xf numFmtId="173" fontId="5" fillId="9" borderId="0" applyNumberFormat="0" applyBorder="0" applyAlignment="0" applyProtection="0"/>
    <xf numFmtId="173" fontId="12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41" fillId="0" borderId="0"/>
    <xf numFmtId="164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173" fontId="5" fillId="3" borderId="0" applyNumberFormat="0" applyBorder="0" applyAlignment="0" applyProtection="0"/>
    <xf numFmtId="173" fontId="5" fillId="4" borderId="0" applyNumberFormat="0" applyBorder="0" applyAlignment="0" applyProtection="0"/>
    <xf numFmtId="173" fontId="5" fillId="5" borderId="0" applyNumberFormat="0" applyBorder="0" applyAlignment="0" applyProtection="0"/>
    <xf numFmtId="173" fontId="5" fillId="6" borderId="0" applyNumberFormat="0" applyBorder="0" applyAlignment="0" applyProtection="0"/>
    <xf numFmtId="173" fontId="5" fillId="7" borderId="0" applyNumberFormat="0" applyBorder="0" applyAlignment="0" applyProtection="0"/>
    <xf numFmtId="173" fontId="5" fillId="8" borderId="0" applyNumberFormat="0" applyBorder="0" applyAlignment="0" applyProtection="0"/>
    <xf numFmtId="173" fontId="5" fillId="9" borderId="0" applyNumberFormat="0" applyBorder="0" applyAlignment="0" applyProtection="0"/>
    <xf numFmtId="173" fontId="5" fillId="10" borderId="0" applyNumberFormat="0" applyBorder="0" applyAlignment="0" applyProtection="0"/>
    <xf numFmtId="173" fontId="5" fillId="12" borderId="0" applyNumberFormat="0" applyBorder="0" applyAlignment="0" applyProtection="0"/>
    <xf numFmtId="173" fontId="5" fillId="6" borderId="0" applyNumberFormat="0" applyBorder="0" applyAlignment="0" applyProtection="0"/>
    <xf numFmtId="173" fontId="5" fillId="9" borderId="0" applyNumberFormat="0" applyBorder="0" applyAlignment="0" applyProtection="0"/>
    <xf numFmtId="173" fontId="5" fillId="13" borderId="0" applyNumberFormat="0" applyBorder="0" applyAlignment="0" applyProtection="0"/>
    <xf numFmtId="173" fontId="18" fillId="15" borderId="0" applyNumberFormat="0" applyBorder="0" applyAlignment="0" applyProtection="0"/>
    <xf numFmtId="173" fontId="18" fillId="10" borderId="0" applyNumberFormat="0" applyBorder="0" applyAlignment="0" applyProtection="0"/>
    <xf numFmtId="173" fontId="18" fillId="12" borderId="0" applyNumberFormat="0" applyBorder="0" applyAlignment="0" applyProtection="0"/>
    <xf numFmtId="173" fontId="18" fillId="16" borderId="0" applyNumberFormat="0" applyBorder="0" applyAlignment="0" applyProtection="0"/>
    <xf numFmtId="173" fontId="18" fillId="17" borderId="0" applyNumberFormat="0" applyBorder="0" applyAlignment="0" applyProtection="0"/>
    <xf numFmtId="173" fontId="18" fillId="18" borderId="0" applyNumberFormat="0" applyBorder="0" applyAlignment="0" applyProtection="0"/>
    <xf numFmtId="173" fontId="18" fillId="20" borderId="0" applyNumberFormat="0" applyBorder="0" applyAlignment="0" applyProtection="0"/>
    <xf numFmtId="173" fontId="18" fillId="21" borderId="0" applyNumberFormat="0" applyBorder="0" applyAlignment="0" applyProtection="0"/>
    <xf numFmtId="173" fontId="18" fillId="22" borderId="0" applyNumberFormat="0" applyBorder="0" applyAlignment="0" applyProtection="0"/>
    <xf numFmtId="173" fontId="18" fillId="16" borderId="0" applyNumberFormat="0" applyBorder="0" applyAlignment="0" applyProtection="0"/>
    <xf numFmtId="173" fontId="18" fillId="17" borderId="0" applyNumberFormat="0" applyBorder="0" applyAlignment="0" applyProtection="0"/>
    <xf numFmtId="173" fontId="18" fillId="19" borderId="0" applyNumberFormat="0" applyBorder="0" applyAlignment="0" applyProtection="0"/>
    <xf numFmtId="173" fontId="29" fillId="4" borderId="0" applyNumberFormat="0" applyBorder="0" applyAlignment="0" applyProtection="0"/>
    <xf numFmtId="173" fontId="19" fillId="24" borderId="1" applyNumberFormat="0" applyAlignment="0" applyProtection="0"/>
    <xf numFmtId="173" fontId="33" fillId="23" borderId="1" applyNumberFormat="0" applyAlignment="0" applyProtection="0"/>
    <xf numFmtId="173" fontId="33" fillId="23" borderId="1" applyNumberFormat="0" applyAlignment="0" applyProtection="0"/>
    <xf numFmtId="173" fontId="20" fillId="0" borderId="3" applyNumberFormat="0" applyFill="0" applyAlignment="0" applyProtection="0"/>
    <xf numFmtId="173" fontId="34" fillId="0" borderId="2" applyNumberFormat="0" applyFill="0" applyAlignment="0" applyProtection="0"/>
    <xf numFmtId="173" fontId="21" fillId="25" borderId="4" applyNumberFormat="0" applyAlignment="0" applyProtection="0"/>
    <xf numFmtId="173" fontId="21" fillId="25" borderId="4" applyNumberFormat="0" applyAlignment="0" applyProtection="0"/>
    <xf numFmtId="173" fontId="8" fillId="0" borderId="0" applyNumberFormat="0" applyFill="0" applyBorder="0" applyAlignment="0" applyProtection="0">
      <alignment vertical="top"/>
      <protection locked="0"/>
    </xf>
    <xf numFmtId="173" fontId="8" fillId="0" borderId="0" applyNumberFormat="0" applyFill="0" applyBorder="0" applyAlignment="0" applyProtection="0">
      <alignment vertical="top"/>
      <protection locked="0"/>
    </xf>
    <xf numFmtId="173" fontId="9" fillId="0" borderId="0" applyNumberFormat="0" applyFill="0" applyBorder="0" applyAlignment="0" applyProtection="0">
      <alignment vertical="top"/>
      <protection locked="0"/>
    </xf>
    <xf numFmtId="173" fontId="8" fillId="0" borderId="0" applyNumberFormat="0" applyFill="0" applyBorder="0" applyAlignment="0" applyProtection="0">
      <alignment vertical="top"/>
      <protection locked="0"/>
    </xf>
    <xf numFmtId="173" fontId="42" fillId="0" borderId="0" applyNumberFormat="0" applyFill="0" applyBorder="0" applyAlignment="0" applyProtection="0"/>
    <xf numFmtId="173" fontId="42" fillId="0" borderId="0" applyNumberFormat="0" applyFill="0" applyBorder="0" applyAlignment="0" applyProtection="0"/>
    <xf numFmtId="17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3" fontId="24" fillId="0" borderId="0" applyNumberFormat="0" applyFill="0" applyBorder="0" applyAlignment="0" applyProtection="0"/>
    <xf numFmtId="173" fontId="30" fillId="5" borderId="0" applyNumberFormat="0" applyBorder="0" applyAlignment="0" applyProtection="0"/>
    <xf numFmtId="173" fontId="36" fillId="0" borderId="5" applyNumberFormat="0" applyFill="0" applyAlignment="0" applyProtection="0"/>
    <xf numFmtId="173" fontId="37" fillId="0" borderId="6" applyNumberFormat="0" applyFill="0" applyAlignment="0" applyProtection="0"/>
    <xf numFmtId="173" fontId="38" fillId="0" borderId="7" applyNumberFormat="0" applyFill="0" applyAlignment="0" applyProtection="0"/>
    <xf numFmtId="173" fontId="38" fillId="0" borderId="0" applyNumberFormat="0" applyFill="0" applyBorder="0" applyAlignment="0" applyProtection="0"/>
    <xf numFmtId="173" fontId="22" fillId="14" borderId="1" applyNumberFormat="0" applyAlignment="0" applyProtection="0"/>
    <xf numFmtId="173" fontId="22" fillId="8" borderId="1" applyNumberFormat="0" applyAlignment="0" applyProtection="0"/>
    <xf numFmtId="173" fontId="34" fillId="0" borderId="2" applyNumberFormat="0" applyFill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173" fontId="15" fillId="14" borderId="0" applyNumberFormat="0" applyBorder="0" applyAlignment="0" applyProtection="0"/>
    <xf numFmtId="171" fontId="39" fillId="2" borderId="0" applyNumberFormat="0" applyBorder="0" applyAlignment="0" applyProtection="0"/>
    <xf numFmtId="173" fontId="39" fillId="2" borderId="0" applyNumberFormat="0" applyBorder="0" applyAlignment="0" applyProtection="0"/>
    <xf numFmtId="173" fontId="6" fillId="0" borderId="0"/>
    <xf numFmtId="173" fontId="10" fillId="0" borderId="0"/>
    <xf numFmtId="173" fontId="7" fillId="0" borderId="0">
      <alignment vertical="top"/>
    </xf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0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40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0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173" fontId="6" fillId="0" borderId="0"/>
    <xf numFmtId="173" fontId="6" fillId="0" borderId="0"/>
    <xf numFmtId="0" fontId="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4" fillId="0" borderId="0"/>
    <xf numFmtId="173" fontId="4" fillId="0" borderId="0"/>
    <xf numFmtId="173" fontId="6" fillId="0" borderId="0"/>
    <xf numFmtId="173" fontId="6" fillId="0" borderId="0"/>
    <xf numFmtId="173" fontId="6" fillId="0" borderId="0"/>
    <xf numFmtId="173" fontId="7" fillId="0" borderId="0">
      <alignment vertical="top"/>
    </xf>
    <xf numFmtId="173" fontId="6" fillId="0" borderId="0"/>
    <xf numFmtId="173" fontId="6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7" fillId="0" borderId="0"/>
    <xf numFmtId="173" fontId="7" fillId="0" borderId="0"/>
    <xf numFmtId="173" fontId="12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0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2" fillId="0" borderId="0"/>
    <xf numFmtId="173" fontId="7" fillId="0" borderId="0">
      <alignment vertical="top"/>
    </xf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7" fillId="0" borderId="0">
      <alignment vertical="top"/>
    </xf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3" fillId="0" borderId="0"/>
    <xf numFmtId="173" fontId="13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4" fillId="0" borderId="0"/>
    <xf numFmtId="173" fontId="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7" fillId="0" borderId="0"/>
    <xf numFmtId="173" fontId="10" fillId="0" borderId="0"/>
    <xf numFmtId="173" fontId="10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2" fillId="0" borderId="0"/>
    <xf numFmtId="173" fontId="6" fillId="0" borderId="0"/>
    <xf numFmtId="173" fontId="7" fillId="0" borderId="0">
      <alignment vertical="top"/>
    </xf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11" borderId="8" applyNumberFormat="0" applyFont="0" applyAlignment="0" applyProtection="0"/>
    <xf numFmtId="173" fontId="5" fillId="11" borderId="8" applyNumberFormat="0" applyFont="0" applyAlignment="0" applyProtection="0"/>
    <xf numFmtId="173" fontId="23" fillId="24" borderId="9" applyNumberFormat="0" applyAlignment="0" applyProtection="0"/>
    <xf numFmtId="173" fontId="23" fillId="23" borderId="9" applyNumberFormat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173" fontId="20" fillId="0" borderId="0" applyNumberFormat="0" applyFill="0" applyBorder="0" applyAlignment="0" applyProtection="0"/>
    <xf numFmtId="173" fontId="24" fillId="0" borderId="0" applyNumberFormat="0" applyFill="0" applyBorder="0" applyAlignment="0" applyProtection="0"/>
    <xf numFmtId="173" fontId="35" fillId="0" borderId="0" applyNumberFormat="0" applyFill="0" applyBorder="0" applyAlignment="0" applyProtection="0"/>
    <xf numFmtId="173" fontId="25" fillId="0" borderId="10" applyNumberFormat="0" applyFill="0" applyAlignment="0" applyProtection="0"/>
    <xf numFmtId="173" fontId="36" fillId="0" borderId="5" applyNumberFormat="0" applyFill="0" applyAlignment="0" applyProtection="0"/>
    <xf numFmtId="173" fontId="26" fillId="0" borderId="11" applyNumberFormat="0" applyFill="0" applyAlignment="0" applyProtection="0"/>
    <xf numFmtId="173" fontId="37" fillId="0" borderId="6" applyNumberFormat="0" applyFill="0" applyAlignment="0" applyProtection="0"/>
    <xf numFmtId="173" fontId="27" fillId="0" borderId="12" applyNumberFormat="0" applyFill="0" applyAlignment="0" applyProtection="0"/>
    <xf numFmtId="173" fontId="38" fillId="0" borderId="7" applyNumberFormat="0" applyFill="0" applyAlignment="0" applyProtection="0"/>
    <xf numFmtId="173" fontId="27" fillId="0" borderId="0" applyNumberFormat="0" applyFill="0" applyBorder="0" applyAlignment="0" applyProtection="0"/>
    <xf numFmtId="173" fontId="38" fillId="0" borderId="0" applyNumberFormat="0" applyFill="0" applyBorder="0" applyAlignment="0" applyProtection="0"/>
    <xf numFmtId="173" fontId="28" fillId="0" borderId="0" applyNumberFormat="0" applyFill="0" applyBorder="0" applyAlignment="0" applyProtection="0"/>
    <xf numFmtId="173" fontId="35" fillId="0" borderId="0" applyNumberFormat="0" applyFill="0" applyBorder="0" applyAlignment="0" applyProtection="0"/>
    <xf numFmtId="173" fontId="17" fillId="0" borderId="13" applyNumberFormat="0" applyFill="0" applyAlignment="0" applyProtection="0"/>
    <xf numFmtId="173" fontId="29" fillId="6" borderId="0" applyNumberFormat="0" applyBorder="0" applyAlignment="0" applyProtection="0"/>
    <xf numFmtId="173" fontId="29" fillId="4" borderId="0" applyNumberFormat="0" applyBorder="0" applyAlignment="0" applyProtection="0"/>
    <xf numFmtId="173" fontId="30" fillId="7" borderId="0" applyNumberFormat="0" applyBorder="0" applyAlignment="0" applyProtection="0"/>
    <xf numFmtId="173" fontId="30" fillId="5" borderId="0" applyNumberFormat="0" applyBorder="0" applyAlignment="0" applyProtection="0"/>
    <xf numFmtId="173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20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73" fontId="4" fillId="0" borderId="0"/>
    <xf numFmtId="173" fontId="4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4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3" fontId="19" fillId="24" borderId="16" applyNumberFormat="0" applyAlignment="0" applyProtection="0"/>
    <xf numFmtId="173" fontId="33" fillId="23" borderId="16" applyNumberFormat="0" applyAlignment="0" applyProtection="0"/>
    <xf numFmtId="173" fontId="33" fillId="23" borderId="16" applyNumberFormat="0" applyAlignment="0" applyProtection="0"/>
    <xf numFmtId="173" fontId="22" fillId="14" borderId="16" applyNumberFormat="0" applyAlignment="0" applyProtection="0"/>
    <xf numFmtId="173" fontId="22" fillId="8" borderId="16" applyNumberFormat="0" applyAlignment="0" applyProtection="0"/>
    <xf numFmtId="173" fontId="5" fillId="11" borderId="17" applyNumberFormat="0" applyFont="0" applyAlignment="0" applyProtection="0"/>
    <xf numFmtId="173" fontId="5" fillId="11" borderId="17" applyNumberFormat="0" applyFont="0" applyAlignment="0" applyProtection="0"/>
    <xf numFmtId="173" fontId="5" fillId="11" borderId="17" applyNumberFormat="0" applyFont="0" applyAlignment="0" applyProtection="0"/>
    <xf numFmtId="173" fontId="5" fillId="11" borderId="17" applyNumberFormat="0" applyFont="0" applyAlignment="0" applyProtection="0"/>
    <xf numFmtId="173" fontId="5" fillId="11" borderId="17" applyNumberFormat="0" applyFont="0" applyAlignment="0" applyProtection="0"/>
    <xf numFmtId="173" fontId="5" fillId="11" borderId="17" applyNumberFormat="0" applyFont="0" applyAlignment="0" applyProtection="0"/>
    <xf numFmtId="173" fontId="6" fillId="11" borderId="17" applyNumberFormat="0" applyFont="0" applyAlignment="0" applyProtection="0"/>
    <xf numFmtId="173" fontId="5" fillId="11" borderId="17" applyNumberFormat="0" applyFont="0" applyAlignment="0" applyProtection="0"/>
    <xf numFmtId="173" fontId="23" fillId="24" borderId="18" applyNumberFormat="0" applyAlignment="0" applyProtection="0"/>
    <xf numFmtId="173" fontId="23" fillId="23" borderId="18" applyNumberFormat="0" applyAlignment="0" applyProtection="0"/>
    <xf numFmtId="173" fontId="17" fillId="0" borderId="19" applyNumberFormat="0" applyFill="0" applyAlignment="0" applyProtection="0"/>
    <xf numFmtId="173" fontId="17" fillId="0" borderId="20" applyNumberFormat="0" applyFill="0" applyAlignment="0" applyProtection="0"/>
    <xf numFmtId="173" fontId="17" fillId="0" borderId="19" applyNumberFormat="0" applyFill="0" applyAlignment="0" applyProtection="0"/>
    <xf numFmtId="0" fontId="33" fillId="23" borderId="16" applyNumberFormat="0" applyAlignment="0" applyProtection="0"/>
    <xf numFmtId="0" fontId="19" fillId="24" borderId="16" applyNumberFormat="0" applyAlignment="0" applyProtection="0"/>
    <xf numFmtId="0" fontId="33" fillId="23" borderId="16" applyNumberFormat="0" applyAlignment="0" applyProtection="0"/>
    <xf numFmtId="0" fontId="33" fillId="23" borderId="16" applyNumberFormat="0" applyAlignment="0" applyProtection="0"/>
    <xf numFmtId="173" fontId="5" fillId="11" borderId="17" applyNumberFormat="0" applyFont="0" applyAlignment="0" applyProtection="0"/>
    <xf numFmtId="173" fontId="5" fillId="11" borderId="17" applyNumberFormat="0" applyFont="0" applyAlignment="0" applyProtection="0"/>
    <xf numFmtId="173" fontId="5" fillId="11" borderId="17" applyNumberFormat="0" applyFont="0" applyAlignment="0" applyProtection="0"/>
    <xf numFmtId="173" fontId="5" fillId="11" borderId="17" applyNumberFormat="0" applyFont="0" applyAlignment="0" applyProtection="0"/>
    <xf numFmtId="173" fontId="5" fillId="11" borderId="17" applyNumberFormat="0" applyFont="0" applyAlignment="0" applyProtection="0"/>
    <xf numFmtId="173" fontId="5" fillId="11" borderId="17" applyNumberFormat="0" applyFont="0" applyAlignment="0" applyProtection="0"/>
    <xf numFmtId="0" fontId="22" fillId="8" borderId="16" applyNumberFormat="0" applyAlignment="0" applyProtection="0"/>
    <xf numFmtId="0" fontId="22" fillId="14" borderId="16" applyNumberFormat="0" applyAlignment="0" applyProtection="0"/>
    <xf numFmtId="0" fontId="22" fillId="8" borderId="16" applyNumberFormat="0" applyAlignment="0" applyProtection="0"/>
    <xf numFmtId="0" fontId="6" fillId="11" borderId="17" applyNumberFormat="0" applyFont="0" applyAlignment="0" applyProtection="0"/>
    <xf numFmtId="173" fontId="17" fillId="0" borderId="20" applyNumberFormat="0" applyFill="0" applyAlignment="0" applyProtection="0"/>
    <xf numFmtId="173" fontId="17" fillId="0" borderId="19" applyNumberFormat="0" applyFill="0" applyAlignment="0" applyProtection="0"/>
    <xf numFmtId="0" fontId="6" fillId="11" borderId="17" applyNumberFormat="0" applyFont="0" applyAlignment="0" applyProtection="0"/>
    <xf numFmtId="0" fontId="5" fillId="11" borderId="17" applyNumberFormat="0" applyFont="0" applyAlignment="0" applyProtection="0"/>
    <xf numFmtId="0" fontId="5" fillId="11" borderId="17" applyNumberFormat="0" applyFont="0" applyAlignment="0" applyProtection="0"/>
    <xf numFmtId="0" fontId="5" fillId="11" borderId="17" applyNumberFormat="0" applyFont="0" applyAlignment="0" applyProtection="0"/>
    <xf numFmtId="0" fontId="5" fillId="11" borderId="17" applyNumberFormat="0" applyFont="0" applyAlignment="0" applyProtection="0"/>
    <xf numFmtId="0" fontId="5" fillId="11" borderId="17" applyNumberFormat="0" applyFont="0" applyAlignment="0" applyProtection="0"/>
    <xf numFmtId="0" fontId="5" fillId="11" borderId="17" applyNumberFormat="0" applyFont="0" applyAlignment="0" applyProtection="0"/>
    <xf numFmtId="0" fontId="6" fillId="11" borderId="17" applyNumberFormat="0" applyFont="0" applyAlignment="0" applyProtection="0"/>
    <xf numFmtId="0" fontId="5" fillId="11" borderId="17" applyNumberFormat="0" applyFont="0" applyAlignment="0" applyProtection="0"/>
    <xf numFmtId="0" fontId="23" fillId="23" borderId="18" applyNumberFormat="0" applyAlignment="0" applyProtection="0"/>
    <xf numFmtId="0" fontId="23" fillId="24" borderId="18" applyNumberFormat="0" applyAlignment="0" applyProtection="0"/>
    <xf numFmtId="0" fontId="23" fillId="23" borderId="18" applyNumberFormat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20" applyNumberFormat="0" applyFill="0" applyAlignment="0" applyProtection="0"/>
    <xf numFmtId="0" fontId="17" fillId="0" borderId="19" applyNumberFormat="0" applyFill="0" applyAlignment="0" applyProtection="0"/>
    <xf numFmtId="0" fontId="6" fillId="11" borderId="17" applyNumberFormat="0" applyFont="0" applyAlignment="0" applyProtection="0"/>
    <xf numFmtId="0" fontId="6" fillId="11" borderId="17" applyNumberFormat="0" applyFont="0" applyAlignment="0" applyProtection="0"/>
    <xf numFmtId="173" fontId="19" fillId="24" borderId="16" applyNumberFormat="0" applyAlignment="0" applyProtection="0"/>
    <xf numFmtId="173" fontId="33" fillId="23" borderId="16" applyNumberFormat="0" applyAlignment="0" applyProtection="0"/>
    <xf numFmtId="173" fontId="33" fillId="23" borderId="16" applyNumberFormat="0" applyAlignment="0" applyProtection="0"/>
    <xf numFmtId="173" fontId="22" fillId="14" borderId="16" applyNumberFormat="0" applyAlignment="0" applyProtection="0"/>
    <xf numFmtId="173" fontId="22" fillId="8" borderId="16" applyNumberFormat="0" applyAlignment="0" applyProtection="0"/>
    <xf numFmtId="173" fontId="6" fillId="11" borderId="17" applyNumberFormat="0" applyFont="0" applyAlignment="0" applyProtection="0"/>
    <xf numFmtId="173" fontId="5" fillId="11" borderId="17" applyNumberFormat="0" applyFont="0" applyAlignment="0" applyProtection="0"/>
    <xf numFmtId="173" fontId="23" fillId="24" borderId="18" applyNumberFormat="0" applyAlignment="0" applyProtection="0"/>
    <xf numFmtId="173" fontId="23" fillId="23" borderId="18" applyNumberFormat="0" applyAlignment="0" applyProtection="0"/>
    <xf numFmtId="173" fontId="17" fillId="0" borderId="19" applyNumberFormat="0" applyFill="0" applyAlignment="0" applyProtection="0"/>
    <xf numFmtId="0" fontId="33" fillId="23" borderId="26" applyNumberFormat="0" applyAlignment="0" applyProtection="0"/>
    <xf numFmtId="0" fontId="5" fillId="11" borderId="27" applyNumberFormat="0" applyFont="0" applyAlignment="0" applyProtection="0"/>
    <xf numFmtId="0" fontId="17" fillId="0" borderId="29" applyNumberFormat="0" applyFill="0" applyAlignment="0" applyProtection="0"/>
    <xf numFmtId="0" fontId="22" fillId="8" borderId="26" applyNumberFormat="0" applyAlignment="0" applyProtection="0"/>
    <xf numFmtId="173" fontId="23" fillId="24" borderId="28" applyNumberFormat="0" applyAlignment="0" applyProtection="0"/>
    <xf numFmtId="173" fontId="5" fillId="11" borderId="27" applyNumberFormat="0" applyFont="0" applyAlignment="0" applyProtection="0"/>
    <xf numFmtId="173" fontId="19" fillId="24" borderId="21" applyNumberFormat="0" applyAlignment="0" applyProtection="0"/>
    <xf numFmtId="173" fontId="33" fillId="23" borderId="21" applyNumberFormat="0" applyAlignment="0" applyProtection="0"/>
    <xf numFmtId="173" fontId="33" fillId="23" borderId="21" applyNumberFormat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0" fillId="0" borderId="0" applyFont="0" applyFill="0" applyBorder="0" applyAlignment="0" applyProtection="0"/>
    <xf numFmtId="173" fontId="22" fillId="14" borderId="21" applyNumberFormat="0" applyAlignment="0" applyProtection="0"/>
    <xf numFmtId="173" fontId="22" fillId="8" borderId="21" applyNumberFormat="0" applyAlignment="0" applyProtection="0"/>
    <xf numFmtId="43" fontId="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11" borderId="27" applyNumberFormat="0" applyFont="0" applyAlignment="0" applyProtection="0"/>
    <xf numFmtId="173" fontId="5" fillId="11" borderId="27" applyNumberFormat="0" applyFont="0" applyAlignment="0" applyProtection="0"/>
    <xf numFmtId="173" fontId="3" fillId="0" borderId="0"/>
    <xf numFmtId="0" fontId="5" fillId="11" borderId="27" applyNumberFormat="0" applyFont="0" applyAlignment="0" applyProtection="0"/>
    <xf numFmtId="0" fontId="23" fillId="23" borderId="28" applyNumberFormat="0" applyAlignment="0" applyProtection="0"/>
    <xf numFmtId="0" fontId="17" fillId="0" borderId="29" applyNumberFormat="0" applyFill="0" applyAlignment="0" applyProtection="0"/>
    <xf numFmtId="173" fontId="5" fillId="11" borderId="27" applyNumberFormat="0" applyFont="0" applyAlignment="0" applyProtection="0"/>
    <xf numFmtId="173" fontId="22" fillId="8" borderId="26" applyNumberFormat="0" applyAlignment="0" applyProtection="0"/>
    <xf numFmtId="173" fontId="5" fillId="11" borderId="27" applyNumberFormat="0" applyFont="0" applyAlignment="0" applyProtection="0"/>
    <xf numFmtId="0" fontId="5" fillId="11" borderId="27" applyNumberFormat="0" applyFont="0" applyAlignment="0" applyProtection="0"/>
    <xf numFmtId="0" fontId="17" fillId="0" borderId="29" applyNumberFormat="0" applyFill="0" applyAlignment="0" applyProtection="0"/>
    <xf numFmtId="173" fontId="5" fillId="11" borderId="22" applyNumberFormat="0" applyFont="0" applyAlignment="0" applyProtection="0"/>
    <xf numFmtId="173" fontId="5" fillId="11" borderId="22" applyNumberFormat="0" applyFont="0" applyAlignment="0" applyProtection="0"/>
    <xf numFmtId="173" fontId="5" fillId="11" borderId="22" applyNumberFormat="0" applyFont="0" applyAlignment="0" applyProtection="0"/>
    <xf numFmtId="173" fontId="5" fillId="11" borderId="22" applyNumberFormat="0" applyFont="0" applyAlignment="0" applyProtection="0"/>
    <xf numFmtId="173" fontId="5" fillId="11" borderId="22" applyNumberFormat="0" applyFont="0" applyAlignment="0" applyProtection="0"/>
    <xf numFmtId="173" fontId="5" fillId="11" borderId="22" applyNumberFormat="0" applyFont="0" applyAlignment="0" applyProtection="0"/>
    <xf numFmtId="173" fontId="6" fillId="11" borderId="22" applyNumberFormat="0" applyFont="0" applyAlignment="0" applyProtection="0"/>
    <xf numFmtId="173" fontId="5" fillId="11" borderId="22" applyNumberFormat="0" applyFont="0" applyAlignment="0" applyProtection="0"/>
    <xf numFmtId="173" fontId="23" fillId="24" borderId="23" applyNumberFormat="0" applyAlignment="0" applyProtection="0"/>
    <xf numFmtId="173" fontId="23" fillId="23" borderId="23" applyNumberFormat="0" applyAlignment="0" applyProtection="0"/>
    <xf numFmtId="173" fontId="23" fillId="24" borderId="28" applyNumberFormat="0" applyAlignment="0" applyProtection="0"/>
    <xf numFmtId="173" fontId="22" fillId="8" borderId="26" applyNumberFormat="0" applyAlignment="0" applyProtection="0"/>
    <xf numFmtId="0" fontId="33" fillId="23" borderId="26" applyNumberFormat="0" applyAlignment="0" applyProtection="0"/>
    <xf numFmtId="0" fontId="22" fillId="14" borderId="26" applyNumberFormat="0" applyAlignment="0" applyProtection="0"/>
    <xf numFmtId="0" fontId="5" fillId="11" borderId="27" applyNumberFormat="0" applyFont="0" applyAlignment="0" applyProtection="0"/>
    <xf numFmtId="0" fontId="6" fillId="11" borderId="27" applyNumberFormat="0" applyFont="0" applyAlignment="0" applyProtection="0"/>
    <xf numFmtId="173" fontId="17" fillId="0" borderId="24" applyNumberFormat="0" applyFill="0" applyAlignment="0" applyProtection="0"/>
    <xf numFmtId="173" fontId="17" fillId="0" borderId="25" applyNumberFormat="0" applyFill="0" applyAlignment="0" applyProtection="0"/>
    <xf numFmtId="173" fontId="17" fillId="0" borderId="24" applyNumberFormat="0" applyFill="0" applyAlignment="0" applyProtection="0"/>
    <xf numFmtId="165" fontId="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22" fillId="14" borderId="26" applyNumberFormat="0" applyAlignment="0" applyProtection="0"/>
    <xf numFmtId="0" fontId="17" fillId="0" borderId="30" applyNumberFormat="0" applyFill="0" applyAlignment="0" applyProtection="0"/>
    <xf numFmtId="43" fontId="4" fillId="0" borderId="0" applyFont="0" applyFill="0" applyBorder="0" applyAlignment="0" applyProtection="0"/>
    <xf numFmtId="173" fontId="5" fillId="11" borderId="27" applyNumberFormat="0" applyFont="0" applyAlignment="0" applyProtection="0"/>
    <xf numFmtId="173" fontId="6" fillId="11" borderId="27" applyNumberFormat="0" applyFont="0" applyAlignment="0" applyProtection="0"/>
    <xf numFmtId="0" fontId="17" fillId="0" borderId="29" applyNumberFormat="0" applyFill="0" applyAlignment="0" applyProtection="0"/>
    <xf numFmtId="165" fontId="6" fillId="0" borderId="0" applyFont="0" applyFill="0" applyBorder="0" applyAlignment="0" applyProtection="0"/>
    <xf numFmtId="173" fontId="17" fillId="0" borderId="29" applyNumberFormat="0" applyFill="0" applyAlignment="0" applyProtection="0"/>
    <xf numFmtId="0" fontId="5" fillId="11" borderId="27" applyNumberFormat="0" applyFont="0" applyAlignment="0" applyProtection="0"/>
    <xf numFmtId="0" fontId="6" fillId="11" borderId="27" applyNumberFormat="0" applyFont="0" applyAlignment="0" applyProtection="0"/>
    <xf numFmtId="173" fontId="33" fillId="23" borderId="26" applyNumberFormat="0" applyAlignment="0" applyProtection="0"/>
    <xf numFmtId="0" fontId="17" fillId="0" borderId="29" applyNumberFormat="0" applyFill="0" applyAlignment="0" applyProtection="0"/>
    <xf numFmtId="0" fontId="5" fillId="11" borderId="27" applyNumberFormat="0" applyFont="0" applyAlignment="0" applyProtection="0"/>
    <xf numFmtId="173" fontId="19" fillId="24" borderId="26" applyNumberFormat="0" applyAlignment="0" applyProtection="0"/>
    <xf numFmtId="0" fontId="5" fillId="11" borderId="27" applyNumberFormat="0" applyFont="0" applyAlignment="0" applyProtection="0"/>
    <xf numFmtId="173" fontId="5" fillId="11" borderId="27" applyNumberFormat="0" applyFont="0" applyAlignment="0" applyProtection="0"/>
    <xf numFmtId="0" fontId="33" fillId="23" borderId="26" applyNumberFormat="0" applyAlignment="0" applyProtection="0"/>
    <xf numFmtId="173" fontId="5" fillId="11" borderId="27" applyNumberFormat="0" applyFont="0" applyAlignment="0" applyProtection="0"/>
    <xf numFmtId="173" fontId="33" fillId="23" borderId="26" applyNumberFormat="0" applyAlignment="0" applyProtection="0"/>
    <xf numFmtId="0" fontId="33" fillId="23" borderId="21" applyNumberFormat="0" applyAlignment="0" applyProtection="0"/>
    <xf numFmtId="0" fontId="19" fillId="24" borderId="21" applyNumberFormat="0" applyAlignment="0" applyProtection="0"/>
    <xf numFmtId="0" fontId="33" fillId="23" borderId="21" applyNumberFormat="0" applyAlignment="0" applyProtection="0"/>
    <xf numFmtId="0" fontId="33" fillId="23" borderId="2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33" fillId="23" borderId="26" applyNumberFormat="0" applyAlignment="0" applyProtection="0"/>
    <xf numFmtId="173" fontId="5" fillId="11" borderId="22" applyNumberFormat="0" applyFont="0" applyAlignment="0" applyProtection="0"/>
    <xf numFmtId="173" fontId="5" fillId="11" borderId="22" applyNumberFormat="0" applyFont="0" applyAlignment="0" applyProtection="0"/>
    <xf numFmtId="173" fontId="5" fillId="11" borderId="22" applyNumberFormat="0" applyFont="0" applyAlignment="0" applyProtection="0"/>
    <xf numFmtId="173" fontId="5" fillId="11" borderId="22" applyNumberFormat="0" applyFont="0" applyAlignment="0" applyProtection="0"/>
    <xf numFmtId="173" fontId="5" fillId="11" borderId="22" applyNumberFormat="0" applyFont="0" applyAlignment="0" applyProtection="0"/>
    <xf numFmtId="173" fontId="5" fillId="11" borderId="22" applyNumberFormat="0" applyFont="0" applyAlignment="0" applyProtection="0"/>
    <xf numFmtId="0" fontId="22" fillId="8" borderId="21" applyNumberFormat="0" applyAlignment="0" applyProtection="0"/>
    <xf numFmtId="0" fontId="22" fillId="14" borderId="21" applyNumberFormat="0" applyAlignment="0" applyProtection="0"/>
    <xf numFmtId="0" fontId="22" fillId="8" borderId="21" applyNumberFormat="0" applyAlignment="0" applyProtection="0"/>
    <xf numFmtId="43" fontId="6" fillId="0" borderId="0" applyFont="0" applyFill="0" applyBorder="0" applyAlignment="0" applyProtection="0"/>
    <xf numFmtId="0" fontId="6" fillId="11" borderId="22" applyNumberFormat="0" applyFon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7" fillId="0" borderId="25" applyNumberFormat="0" applyFill="0" applyAlignment="0" applyProtection="0"/>
    <xf numFmtId="173" fontId="17" fillId="0" borderId="24" applyNumberFormat="0" applyFill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3" fillId="23" borderId="26" applyNumberFormat="0" applyAlignment="0" applyProtection="0"/>
    <xf numFmtId="0" fontId="5" fillId="11" borderId="27" applyNumberFormat="0" applyFont="0" applyAlignment="0" applyProtection="0"/>
    <xf numFmtId="0" fontId="19" fillId="24" borderId="26" applyNumberFormat="0" applyAlignment="0" applyProtection="0"/>
    <xf numFmtId="0" fontId="19" fillId="24" borderId="26" applyNumberFormat="0" applyAlignment="0" applyProtection="0"/>
    <xf numFmtId="173" fontId="22" fillId="8" borderId="26" applyNumberFormat="0" applyAlignment="0" applyProtection="0"/>
    <xf numFmtId="173" fontId="17" fillId="0" borderId="29" applyNumberFormat="0" applyFill="0" applyAlignment="0" applyProtection="0"/>
    <xf numFmtId="43" fontId="4" fillId="0" borderId="0" applyFont="0" applyFill="0" applyBorder="0" applyAlignment="0" applyProtection="0"/>
    <xf numFmtId="0" fontId="5" fillId="11" borderId="27" applyNumberFormat="0" applyFont="0" applyAlignment="0" applyProtection="0"/>
    <xf numFmtId="0" fontId="6" fillId="11" borderId="22" applyNumberFormat="0" applyFont="0" applyAlignment="0" applyProtection="0"/>
    <xf numFmtId="0" fontId="5" fillId="11" borderId="22" applyNumberFormat="0" applyFont="0" applyAlignment="0" applyProtection="0"/>
    <xf numFmtId="0" fontId="5" fillId="11" borderId="22" applyNumberFormat="0" applyFont="0" applyAlignment="0" applyProtection="0"/>
    <xf numFmtId="0" fontId="5" fillId="11" borderId="22" applyNumberFormat="0" applyFont="0" applyAlignment="0" applyProtection="0"/>
    <xf numFmtId="0" fontId="5" fillId="11" borderId="22" applyNumberFormat="0" applyFont="0" applyAlignment="0" applyProtection="0"/>
    <xf numFmtId="0" fontId="5" fillId="11" borderId="22" applyNumberFormat="0" applyFont="0" applyAlignment="0" applyProtection="0"/>
    <xf numFmtId="0" fontId="5" fillId="11" borderId="22" applyNumberFormat="0" applyFont="0" applyAlignment="0" applyProtection="0"/>
    <xf numFmtId="0" fontId="6" fillId="11" borderId="22" applyNumberFormat="0" applyFont="0" applyAlignment="0" applyProtection="0"/>
    <xf numFmtId="0" fontId="5" fillId="11" borderId="22" applyNumberFormat="0" applyFont="0" applyAlignment="0" applyProtection="0"/>
    <xf numFmtId="0" fontId="23" fillId="23" borderId="23" applyNumberFormat="0" applyAlignment="0" applyProtection="0"/>
    <xf numFmtId="0" fontId="23" fillId="24" borderId="23" applyNumberFormat="0" applyAlignment="0" applyProtection="0"/>
    <xf numFmtId="0" fontId="23" fillId="23" borderId="23" applyNumberFormat="0" applyAlignment="0" applyProtection="0"/>
    <xf numFmtId="43" fontId="4" fillId="0" borderId="0" applyFont="0" applyFill="0" applyBorder="0" applyAlignment="0" applyProtection="0"/>
    <xf numFmtId="173" fontId="17" fillId="0" borderId="29" applyNumberFormat="0" applyFill="0" applyAlignment="0" applyProtection="0"/>
    <xf numFmtId="43" fontId="4" fillId="0" borderId="0" applyFont="0" applyFill="0" applyBorder="0" applyAlignment="0" applyProtection="0"/>
    <xf numFmtId="173" fontId="5" fillId="11" borderId="27" applyNumberFormat="0" applyFont="0" applyAlignment="0" applyProtection="0"/>
    <xf numFmtId="0" fontId="5" fillId="11" borderId="27" applyNumberFormat="0" applyFont="0" applyAlignment="0" applyProtection="0"/>
    <xf numFmtId="173" fontId="5" fillId="11" borderId="27" applyNumberFormat="0" applyFont="0" applyAlignment="0" applyProtection="0"/>
    <xf numFmtId="173" fontId="17" fillId="0" borderId="30" applyNumberFormat="0" applyFill="0" applyAlignment="0" applyProtection="0"/>
    <xf numFmtId="0" fontId="23" fillId="23" borderId="28" applyNumberFormat="0" applyAlignment="0" applyProtection="0"/>
    <xf numFmtId="173" fontId="33" fillId="23" borderId="26" applyNumberFormat="0" applyAlignment="0" applyProtection="0"/>
    <xf numFmtId="0" fontId="17" fillId="0" borderId="24" applyNumberFormat="0" applyFill="0" applyAlignment="0" applyProtection="0"/>
    <xf numFmtId="0" fontId="17" fillId="0" borderId="24" applyNumberFormat="0" applyFill="0" applyAlignment="0" applyProtection="0"/>
    <xf numFmtId="0" fontId="17" fillId="0" borderId="25" applyNumberFormat="0" applyFill="0" applyAlignment="0" applyProtection="0"/>
    <xf numFmtId="0" fontId="17" fillId="0" borderId="24" applyNumberFormat="0" applyFill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11" borderId="22" applyNumberFormat="0" applyFont="0" applyAlignment="0" applyProtection="0"/>
    <xf numFmtId="0" fontId="6" fillId="11" borderId="22" applyNumberFormat="0" applyFont="0" applyAlignment="0" applyProtection="0"/>
    <xf numFmtId="173" fontId="19" fillId="24" borderId="26" applyNumberFormat="0" applyAlignment="0" applyProtection="0"/>
    <xf numFmtId="173" fontId="22" fillId="14" borderId="26" applyNumberFormat="0" applyAlignment="0" applyProtection="0"/>
    <xf numFmtId="0" fontId="23" fillId="23" borderId="28" applyNumberFormat="0" applyAlignment="0" applyProtection="0"/>
    <xf numFmtId="0" fontId="23" fillId="24" borderId="28" applyNumberFormat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73" fontId="33" fillId="23" borderId="26" applyNumberFormat="0" applyAlignment="0" applyProtection="0"/>
    <xf numFmtId="0" fontId="6" fillId="11" borderId="27" applyNumberFormat="0" applyFont="0" applyAlignment="0" applyProtection="0"/>
    <xf numFmtId="173" fontId="5" fillId="11" borderId="27" applyNumberFormat="0" applyFont="0" applyAlignment="0" applyProtection="0"/>
    <xf numFmtId="173" fontId="17" fillId="0" borderId="30" applyNumberFormat="0" applyFill="0" applyAlignment="0" applyProtection="0"/>
    <xf numFmtId="173" fontId="19" fillId="24" borderId="21" applyNumberFormat="0" applyAlignment="0" applyProtection="0"/>
    <xf numFmtId="173" fontId="33" fillId="23" borderId="21" applyNumberFormat="0" applyAlignment="0" applyProtection="0"/>
    <xf numFmtId="173" fontId="33" fillId="23" borderId="21" applyNumberFormat="0" applyAlignment="0" applyProtection="0"/>
    <xf numFmtId="165" fontId="6" fillId="0" borderId="0" applyFont="0" applyFill="0" applyBorder="0" applyAlignment="0" applyProtection="0"/>
    <xf numFmtId="173" fontId="22" fillId="14" borderId="21" applyNumberFormat="0" applyAlignment="0" applyProtection="0"/>
    <xf numFmtId="173" fontId="22" fillId="8" borderId="21" applyNumberFormat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173" fontId="5" fillId="11" borderId="27" applyNumberFormat="0" applyFont="0" applyAlignment="0" applyProtection="0"/>
    <xf numFmtId="173" fontId="3" fillId="0" borderId="0"/>
    <xf numFmtId="0" fontId="5" fillId="11" borderId="27" applyNumberFormat="0" applyFont="0" applyAlignment="0" applyProtection="0"/>
    <xf numFmtId="173" fontId="23" fillId="23" borderId="28" applyNumberFormat="0" applyAlignment="0" applyProtection="0"/>
    <xf numFmtId="0" fontId="22" fillId="8" borderId="26" applyNumberFormat="0" applyAlignment="0" applyProtection="0"/>
    <xf numFmtId="0" fontId="33" fillId="23" borderId="26" applyNumberFormat="0" applyAlignment="0" applyProtection="0"/>
    <xf numFmtId="173" fontId="5" fillId="11" borderId="27" applyNumberFormat="0" applyFont="0" applyAlignment="0" applyProtection="0"/>
    <xf numFmtId="173" fontId="23" fillId="24" borderId="28" applyNumberFormat="0" applyAlignment="0" applyProtection="0"/>
    <xf numFmtId="173" fontId="17" fillId="0" borderId="30" applyNumberFormat="0" applyFill="0" applyAlignment="0" applyProtection="0"/>
    <xf numFmtId="0" fontId="6" fillId="11" borderId="27" applyNumberFormat="0" applyFont="0" applyAlignment="0" applyProtection="0"/>
    <xf numFmtId="0" fontId="23" fillId="23" borderId="28" applyNumberFormat="0" applyAlignment="0" applyProtection="0"/>
    <xf numFmtId="173" fontId="6" fillId="11" borderId="22" applyNumberFormat="0" applyFont="0" applyAlignment="0" applyProtection="0"/>
    <xf numFmtId="173" fontId="5" fillId="11" borderId="22" applyNumberFormat="0" applyFont="0" applyAlignment="0" applyProtection="0"/>
    <xf numFmtId="173" fontId="23" fillId="24" borderId="23" applyNumberFormat="0" applyAlignment="0" applyProtection="0"/>
    <xf numFmtId="173" fontId="23" fillId="23" borderId="23" applyNumberFormat="0" applyAlignment="0" applyProtection="0"/>
    <xf numFmtId="173" fontId="19" fillId="24" borderId="26" applyNumberFormat="0" applyAlignment="0" applyProtection="0"/>
    <xf numFmtId="173" fontId="6" fillId="11" borderId="27" applyNumberFormat="0" applyFont="0" applyAlignment="0" applyProtection="0"/>
    <xf numFmtId="173" fontId="5" fillId="11" borderId="27" applyNumberFormat="0" applyFont="0" applyAlignment="0" applyProtection="0"/>
    <xf numFmtId="0" fontId="5" fillId="11" borderId="27" applyNumberFormat="0" applyFont="0" applyAlignment="0" applyProtection="0"/>
    <xf numFmtId="0" fontId="17" fillId="0" borderId="30" applyNumberFormat="0" applyFill="0" applyAlignment="0" applyProtection="0"/>
    <xf numFmtId="173" fontId="6" fillId="11" borderId="27" applyNumberFormat="0" applyFont="0" applyAlignment="0" applyProtection="0"/>
    <xf numFmtId="173" fontId="17" fillId="0" borderId="24" applyNumberFormat="0" applyFill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22" fillId="14" borderId="26" applyNumberFormat="0" applyAlignment="0" applyProtection="0"/>
    <xf numFmtId="43" fontId="4" fillId="0" borderId="0" applyFont="0" applyFill="0" applyBorder="0" applyAlignment="0" applyProtection="0"/>
    <xf numFmtId="173" fontId="5" fillId="11" borderId="27" applyNumberFormat="0" applyFont="0" applyAlignment="0" applyProtection="0"/>
    <xf numFmtId="43" fontId="4" fillId="0" borderId="0" applyFont="0" applyFill="0" applyBorder="0" applyAlignment="0" applyProtection="0"/>
    <xf numFmtId="173" fontId="33" fillId="23" borderId="26" applyNumberFormat="0" applyAlignment="0" applyProtection="0"/>
    <xf numFmtId="43" fontId="4" fillId="0" borderId="0" applyFont="0" applyFill="0" applyBorder="0" applyAlignment="0" applyProtection="0"/>
    <xf numFmtId="173" fontId="5" fillId="11" borderId="27" applyNumberFormat="0" applyFont="0" applyAlignment="0" applyProtection="0"/>
    <xf numFmtId="43" fontId="4" fillId="0" borderId="0" applyFont="0" applyFill="0" applyBorder="0" applyAlignment="0" applyProtection="0"/>
    <xf numFmtId="173" fontId="5" fillId="11" borderId="27" applyNumberFormat="0" applyFont="0" applyAlignment="0" applyProtection="0"/>
    <xf numFmtId="43" fontId="4" fillId="0" borderId="0" applyFont="0" applyFill="0" applyBorder="0" applyAlignment="0" applyProtection="0"/>
    <xf numFmtId="173" fontId="23" fillId="23" borderId="28" applyNumberFormat="0" applyAlignment="0" applyProtection="0"/>
    <xf numFmtId="43" fontId="4" fillId="0" borderId="0" applyFont="0" applyFill="0" applyBorder="0" applyAlignment="0" applyProtection="0"/>
    <xf numFmtId="173" fontId="17" fillId="0" borderId="29" applyNumberFormat="0" applyFill="0" applyAlignment="0" applyProtection="0"/>
    <xf numFmtId="43" fontId="4" fillId="0" borderId="0" applyFont="0" applyFill="0" applyBorder="0" applyAlignment="0" applyProtection="0"/>
    <xf numFmtId="173" fontId="5" fillId="11" borderId="27" applyNumberFormat="0" applyFont="0" applyAlignment="0" applyProtection="0"/>
    <xf numFmtId="43" fontId="4" fillId="0" borderId="0" applyFont="0" applyFill="0" applyBorder="0" applyAlignment="0" applyProtection="0"/>
    <xf numFmtId="0" fontId="33" fillId="23" borderId="26" applyNumberFormat="0" applyAlignment="0" applyProtection="0"/>
    <xf numFmtId="43" fontId="4" fillId="0" borderId="0" applyFont="0" applyFill="0" applyBorder="0" applyAlignment="0" applyProtection="0"/>
    <xf numFmtId="0" fontId="6" fillId="11" borderId="27" applyNumberFormat="0" applyFont="0" applyAlignment="0" applyProtection="0"/>
    <xf numFmtId="43" fontId="4" fillId="0" borderId="0" applyFont="0" applyFill="0" applyBorder="0" applyAlignment="0" applyProtection="0"/>
    <xf numFmtId="173" fontId="5" fillId="11" borderId="27" applyNumberFormat="0" applyFont="0" applyAlignment="0" applyProtection="0"/>
    <xf numFmtId="43" fontId="4" fillId="0" borderId="0" applyFont="0" applyFill="0" applyBorder="0" applyAlignment="0" applyProtection="0"/>
    <xf numFmtId="0" fontId="5" fillId="11" borderId="27" applyNumberFormat="0" applyFont="0" applyAlignment="0" applyProtection="0"/>
    <xf numFmtId="0" fontId="5" fillId="11" borderId="27" applyNumberFormat="0" applyFont="0" applyAlignment="0" applyProtection="0"/>
    <xf numFmtId="43" fontId="4" fillId="0" borderId="0" applyFont="0" applyFill="0" applyBorder="0" applyAlignment="0" applyProtection="0"/>
    <xf numFmtId="173" fontId="17" fillId="0" borderId="29" applyNumberFormat="0" applyFill="0" applyAlignment="0" applyProtection="0"/>
    <xf numFmtId="43" fontId="4" fillId="0" borderId="0" applyFont="0" applyFill="0" applyBorder="0" applyAlignment="0" applyProtection="0"/>
    <xf numFmtId="0" fontId="6" fillId="11" borderId="27" applyNumberFormat="0" applyFont="0" applyAlignment="0" applyProtection="0"/>
    <xf numFmtId="43" fontId="4" fillId="0" borderId="0" applyFont="0" applyFill="0" applyBorder="0" applyAlignment="0" applyProtection="0"/>
    <xf numFmtId="0" fontId="23" fillId="24" borderId="28" applyNumberFormat="0" applyAlignment="0" applyProtection="0"/>
    <xf numFmtId="43" fontId="4" fillId="0" borderId="0" applyFont="0" applyFill="0" applyBorder="0" applyAlignment="0" applyProtection="0"/>
    <xf numFmtId="0" fontId="17" fillId="0" borderId="29" applyNumberFormat="0" applyFill="0" applyAlignment="0" applyProtection="0"/>
    <xf numFmtId="43" fontId="4" fillId="0" borderId="0" applyFont="0" applyFill="0" applyBorder="0" applyAlignment="0" applyProtection="0"/>
    <xf numFmtId="0" fontId="6" fillId="11" borderId="27" applyNumberFormat="0" applyFont="0" applyAlignment="0" applyProtection="0"/>
    <xf numFmtId="43" fontId="4" fillId="0" borderId="0" applyFont="0" applyFill="0" applyBorder="0" applyAlignment="0" applyProtection="0"/>
    <xf numFmtId="173" fontId="33" fillId="23" borderId="26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33" fillId="23" borderId="26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22" fillId="14" borderId="26" applyNumberFormat="0" applyAlignment="0" applyProtection="0"/>
    <xf numFmtId="43" fontId="4" fillId="0" borderId="0" applyFont="0" applyFill="0" applyBorder="0" applyAlignment="0" applyProtection="0"/>
    <xf numFmtId="173" fontId="22" fillId="8" borderId="26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23" fillId="24" borderId="23" applyNumberFormat="0" applyAlignment="0" applyProtection="0"/>
    <xf numFmtId="173" fontId="23" fillId="23" borderId="23" applyNumberFormat="0" applyAlignment="0" applyProtection="0"/>
    <xf numFmtId="173" fontId="17" fillId="0" borderId="24" applyNumberFormat="0" applyFill="0" applyAlignment="0" applyProtection="0"/>
    <xf numFmtId="173" fontId="17" fillId="0" borderId="25" applyNumberFormat="0" applyFill="0" applyAlignment="0" applyProtection="0"/>
    <xf numFmtId="173" fontId="17" fillId="0" borderId="24" applyNumberFormat="0" applyFill="0" applyAlignment="0" applyProtection="0"/>
    <xf numFmtId="173" fontId="17" fillId="0" borderId="25" applyNumberFormat="0" applyFill="0" applyAlignment="0" applyProtection="0"/>
    <xf numFmtId="173" fontId="17" fillId="0" borderId="24" applyNumberFormat="0" applyFill="0" applyAlignment="0" applyProtection="0"/>
    <xf numFmtId="0" fontId="23" fillId="23" borderId="23" applyNumberFormat="0" applyAlignment="0" applyProtection="0"/>
    <xf numFmtId="0" fontId="23" fillId="24" borderId="23" applyNumberFormat="0" applyAlignment="0" applyProtection="0"/>
    <xf numFmtId="0" fontId="23" fillId="23" borderId="23" applyNumberFormat="0" applyAlignment="0" applyProtection="0"/>
    <xf numFmtId="0" fontId="17" fillId="0" borderId="24" applyNumberFormat="0" applyFill="0" applyAlignment="0" applyProtection="0"/>
    <xf numFmtId="0" fontId="17" fillId="0" borderId="24" applyNumberFormat="0" applyFill="0" applyAlignment="0" applyProtection="0"/>
    <xf numFmtId="0" fontId="17" fillId="0" borderId="25" applyNumberFormat="0" applyFill="0" applyAlignment="0" applyProtection="0"/>
    <xf numFmtId="0" fontId="17" fillId="0" borderId="24" applyNumberFormat="0" applyFill="0" applyAlignment="0" applyProtection="0"/>
    <xf numFmtId="173" fontId="23" fillId="24" borderId="23" applyNumberFormat="0" applyAlignment="0" applyProtection="0"/>
    <xf numFmtId="173" fontId="23" fillId="23" borderId="23" applyNumberFormat="0" applyAlignment="0" applyProtection="0"/>
    <xf numFmtId="173" fontId="17" fillId="0" borderId="24" applyNumberFormat="0" applyFill="0" applyAlignment="0" applyProtection="0"/>
    <xf numFmtId="173" fontId="17" fillId="0" borderId="29" applyNumberFormat="0" applyFill="0" applyAlignment="0" applyProtection="0"/>
    <xf numFmtId="173" fontId="23" fillId="23" borderId="28" applyNumberFormat="0" applyAlignment="0" applyProtection="0"/>
    <xf numFmtId="173" fontId="6" fillId="11" borderId="27" applyNumberFormat="0" applyFont="0" applyAlignment="0" applyProtection="0"/>
    <xf numFmtId="173" fontId="5" fillId="11" borderId="27" applyNumberFormat="0" applyFont="0" applyAlignment="0" applyProtection="0"/>
    <xf numFmtId="173" fontId="5" fillId="11" borderId="27" applyNumberFormat="0" applyFont="0" applyAlignment="0" applyProtection="0"/>
    <xf numFmtId="173" fontId="19" fillId="24" borderId="26" applyNumberFormat="0" applyAlignment="0" applyProtection="0"/>
    <xf numFmtId="0" fontId="6" fillId="11" borderId="27" applyNumberFormat="0" applyFont="0" applyAlignment="0" applyProtection="0"/>
    <xf numFmtId="0" fontId="6" fillId="11" borderId="27" applyNumberFormat="0" applyFont="0" applyAlignment="0" applyProtection="0"/>
    <xf numFmtId="173" fontId="17" fillId="0" borderId="29" applyNumberFormat="0" applyFill="0" applyAlignment="0" applyProtection="0"/>
    <xf numFmtId="173" fontId="17" fillId="0" borderId="30" applyNumberFormat="0" applyFill="0" applyAlignment="0" applyProtection="0"/>
    <xf numFmtId="0" fontId="6" fillId="11" borderId="27" applyNumberFormat="0" applyFont="0" applyAlignment="0" applyProtection="0"/>
    <xf numFmtId="0" fontId="22" fillId="8" borderId="26" applyNumberFormat="0" applyAlignment="0" applyProtection="0"/>
    <xf numFmtId="0" fontId="22" fillId="14" borderId="26" applyNumberFormat="0" applyAlignment="0" applyProtection="0"/>
    <xf numFmtId="0" fontId="22" fillId="8" borderId="26" applyNumberFormat="0" applyAlignment="0" applyProtection="0"/>
    <xf numFmtId="173" fontId="5" fillId="11" borderId="27" applyNumberFormat="0" applyFont="0" applyAlignment="0" applyProtection="0"/>
    <xf numFmtId="173" fontId="5" fillId="11" borderId="27" applyNumberFormat="0" applyFont="0" applyAlignment="0" applyProtection="0"/>
    <xf numFmtId="173" fontId="5" fillId="11" borderId="27" applyNumberFormat="0" applyFont="0" applyAlignment="0" applyProtection="0"/>
    <xf numFmtId="173" fontId="5" fillId="11" borderId="27" applyNumberFormat="0" applyFont="0" applyAlignment="0" applyProtection="0"/>
    <xf numFmtId="173" fontId="5" fillId="11" borderId="27" applyNumberFormat="0" applyFont="0" applyAlignment="0" applyProtection="0"/>
    <xf numFmtId="173" fontId="5" fillId="11" borderId="27" applyNumberFormat="0" applyFont="0" applyAlignment="0" applyProtection="0"/>
    <xf numFmtId="43" fontId="4" fillId="0" borderId="0" applyFont="0" applyFill="0" applyBorder="0" applyAlignment="0" applyProtection="0"/>
    <xf numFmtId="173" fontId="5" fillId="11" borderId="27" applyNumberFormat="0" applyFont="0" applyAlignment="0" applyProtection="0"/>
    <xf numFmtId="173" fontId="23" fillId="24" borderId="28" applyNumberFormat="0" applyAlignment="0" applyProtection="0"/>
    <xf numFmtId="173" fontId="23" fillId="23" borderId="28" applyNumberFormat="0" applyAlignment="0" applyProtection="0"/>
    <xf numFmtId="173" fontId="17" fillId="0" borderId="29" applyNumberFormat="0" applyFill="0" applyAlignment="0" applyProtection="0"/>
    <xf numFmtId="43" fontId="4" fillId="0" borderId="0" applyFont="0" applyFill="0" applyBorder="0" applyAlignment="0" applyProtection="0"/>
    <xf numFmtId="0" fontId="44" fillId="0" borderId="33" applyNumberFormat="0" applyFont="0" applyFill="0" applyAlignment="0" applyProtection="0">
      <alignment horizontal="center" vertical="center"/>
      <protection hidden="1"/>
    </xf>
    <xf numFmtId="0" fontId="45" fillId="0" borderId="0" applyNumberFormat="0" applyFill="0" applyBorder="0" applyAlignment="0" applyProtection="0"/>
    <xf numFmtId="0" fontId="46" fillId="0" borderId="35" applyNumberFormat="0" applyFill="0" applyAlignment="0" applyProtection="0"/>
    <xf numFmtId="0" fontId="47" fillId="0" borderId="36" applyNumberFormat="0" applyFill="0" applyAlignment="0" applyProtection="0"/>
    <xf numFmtId="0" fontId="48" fillId="0" borderId="37" applyNumberFormat="0" applyFill="0" applyAlignment="0" applyProtection="0"/>
    <xf numFmtId="0" fontId="48" fillId="0" borderId="0" applyNumberFormat="0" applyFill="0" applyBorder="0" applyAlignment="0" applyProtection="0"/>
    <xf numFmtId="0" fontId="49" fillId="30" borderId="0" applyNumberFormat="0" applyBorder="0" applyAlignment="0" applyProtection="0"/>
    <xf numFmtId="0" fontId="50" fillId="31" borderId="0" applyNumberFormat="0" applyBorder="0" applyAlignment="0" applyProtection="0"/>
    <xf numFmtId="0" fontId="39" fillId="2" borderId="0" applyNumberFormat="0" applyBorder="0" applyAlignment="0" applyProtection="0"/>
    <xf numFmtId="0" fontId="51" fillId="32" borderId="38" applyNumberFormat="0" applyAlignment="0" applyProtection="0"/>
    <xf numFmtId="0" fontId="52" fillId="33" borderId="39" applyNumberFormat="0" applyAlignment="0" applyProtection="0"/>
    <xf numFmtId="0" fontId="53" fillId="33" borderId="38" applyNumberFormat="0" applyAlignment="0" applyProtection="0"/>
    <xf numFmtId="0" fontId="54" fillId="0" borderId="40" applyNumberFormat="0" applyFill="0" applyAlignment="0" applyProtection="0"/>
    <xf numFmtId="0" fontId="55" fillId="34" borderId="41" applyNumberFormat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43" applyNumberFormat="0" applyFill="0" applyAlignment="0" applyProtection="0"/>
    <xf numFmtId="0" fontId="59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59" fillId="39" borderId="0" applyNumberFormat="0" applyBorder="0" applyAlignment="0" applyProtection="0"/>
    <xf numFmtId="0" fontId="59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59" fillId="43" borderId="0" applyNumberFormat="0" applyBorder="0" applyAlignment="0" applyProtection="0"/>
    <xf numFmtId="0" fontId="59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59" fillId="47" borderId="0" applyNumberFormat="0" applyBorder="0" applyAlignment="0" applyProtection="0"/>
    <xf numFmtId="0" fontId="59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59" fillId="51" borderId="0" applyNumberFormat="0" applyBorder="0" applyAlignment="0" applyProtection="0"/>
    <xf numFmtId="0" fontId="59" fillId="52" borderId="0" applyNumberFormat="0" applyBorder="0" applyAlignment="0" applyProtection="0"/>
    <xf numFmtId="0" fontId="2" fillId="53" borderId="0" applyNumberFormat="0" applyBorder="0" applyAlignment="0" applyProtection="0"/>
    <xf numFmtId="0" fontId="2" fillId="54" borderId="0" applyNumberFormat="0" applyBorder="0" applyAlignment="0" applyProtection="0"/>
    <xf numFmtId="0" fontId="59" fillId="55" borderId="0" applyNumberFormat="0" applyBorder="0" applyAlignment="0" applyProtection="0"/>
    <xf numFmtId="0" fontId="59" fillId="56" borderId="0" applyNumberFormat="0" applyBorder="0" applyAlignment="0" applyProtection="0"/>
    <xf numFmtId="0" fontId="2" fillId="57" borderId="0" applyNumberFormat="0" applyBorder="0" applyAlignment="0" applyProtection="0"/>
    <xf numFmtId="0" fontId="2" fillId="58" borderId="0" applyNumberFormat="0" applyBorder="0" applyAlignment="0" applyProtection="0"/>
    <xf numFmtId="0" fontId="59" fillId="59" borderId="0" applyNumberFormat="0" applyBorder="0" applyAlignment="0" applyProtection="0"/>
    <xf numFmtId="0" fontId="19" fillId="24" borderId="44" applyNumberFormat="0" applyAlignment="0" applyProtection="0"/>
    <xf numFmtId="0" fontId="5" fillId="11" borderId="45" applyNumberFormat="0" applyFont="0" applyAlignment="0" applyProtection="0"/>
    <xf numFmtId="0" fontId="19" fillId="24" borderId="44" applyNumberFormat="0" applyAlignment="0" applyProtection="0"/>
    <xf numFmtId="0" fontId="33" fillId="23" borderId="44" applyNumberFormat="0" applyAlignment="0" applyProtection="0"/>
    <xf numFmtId="173" fontId="19" fillId="24" borderId="44" applyNumberFormat="0" applyAlignment="0" applyProtection="0"/>
    <xf numFmtId="173" fontId="5" fillId="11" borderId="45" applyNumberFormat="0" applyFont="0" applyAlignment="0" applyProtection="0"/>
    <xf numFmtId="0" fontId="17" fillId="0" borderId="47" applyNumberFormat="0" applyFill="0" applyAlignment="0" applyProtection="0"/>
    <xf numFmtId="0" fontId="17" fillId="0" borderId="48" applyNumberFormat="0" applyFill="0" applyAlignment="0" applyProtection="0"/>
    <xf numFmtId="0" fontId="5" fillId="11" borderId="45" applyNumberFormat="0" applyFont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3" fontId="5" fillId="11" borderId="45" applyNumberFormat="0" applyFont="0" applyAlignment="0" applyProtection="0"/>
    <xf numFmtId="165" fontId="10" fillId="0" borderId="0" applyFont="0" applyFill="0" applyBorder="0" applyAlignment="0" applyProtection="0"/>
    <xf numFmtId="0" fontId="33" fillId="23" borderId="44" applyNumberFormat="0" applyAlignment="0" applyProtection="0"/>
    <xf numFmtId="0" fontId="6" fillId="11" borderId="45" applyNumberFormat="0" applyFont="0" applyAlignment="0" applyProtection="0"/>
    <xf numFmtId="43" fontId="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3" fillId="0" borderId="0" applyFont="0" applyFill="0" applyBorder="0" applyAlignment="0" applyProtection="0"/>
    <xf numFmtId="173" fontId="33" fillId="23" borderId="44" applyNumberFormat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11" borderId="45" applyNumberFormat="0" applyFont="0" applyAlignment="0" applyProtection="0"/>
    <xf numFmtId="175" fontId="60" fillId="0" borderId="0"/>
    <xf numFmtId="173" fontId="23" fillId="24" borderId="46" applyNumberFormat="0" applyAlignment="0" applyProtection="0"/>
    <xf numFmtId="173" fontId="2" fillId="0" borderId="0"/>
    <xf numFmtId="173" fontId="5" fillId="11" borderId="45" applyNumberFormat="0" applyFont="0" applyAlignment="0" applyProtection="0"/>
    <xf numFmtId="0" fontId="33" fillId="23" borderId="44" applyNumberFormat="0" applyAlignment="0" applyProtection="0"/>
    <xf numFmtId="173" fontId="23" fillId="24" borderId="46" applyNumberFormat="0" applyAlignment="0" applyProtection="0"/>
    <xf numFmtId="0" fontId="6" fillId="11" borderId="45" applyNumberFormat="0" applyFont="0" applyAlignment="0" applyProtection="0"/>
    <xf numFmtId="0" fontId="6" fillId="11" borderId="45" applyNumberFormat="0" applyFont="0" applyAlignment="0" applyProtection="0"/>
    <xf numFmtId="41" fontId="66" fillId="0" borderId="0" applyFont="0" applyFill="0" applyBorder="0" applyAlignment="0" applyProtection="0"/>
    <xf numFmtId="173" fontId="19" fillId="24" borderId="44" applyNumberFormat="0" applyAlignment="0" applyProtection="0"/>
    <xf numFmtId="0" fontId="6" fillId="11" borderId="45" applyNumberFormat="0" applyFont="0" applyAlignment="0" applyProtection="0"/>
    <xf numFmtId="0" fontId="5" fillId="11" borderId="45" applyNumberFormat="0" applyFont="0" applyAlignment="0" applyProtection="0"/>
    <xf numFmtId="0" fontId="17" fillId="0" borderId="47" applyNumberFormat="0" applyFill="0" applyAlignment="0" applyProtection="0"/>
    <xf numFmtId="173" fontId="23" fillId="23" borderId="46" applyNumberFormat="0" applyAlignment="0" applyProtection="0"/>
    <xf numFmtId="0" fontId="6" fillId="11" borderId="45" applyNumberFormat="0" applyFont="0" applyAlignment="0" applyProtection="0"/>
    <xf numFmtId="173" fontId="5" fillId="11" borderId="45" applyNumberFormat="0" applyFont="0" applyAlignment="0" applyProtection="0"/>
    <xf numFmtId="173" fontId="5" fillId="11" borderId="45" applyNumberFormat="0" applyFont="0" applyAlignment="0" applyProtection="0"/>
    <xf numFmtId="0" fontId="5" fillId="11" borderId="45" applyNumberFormat="0" applyFont="0" applyAlignment="0" applyProtection="0"/>
    <xf numFmtId="0" fontId="6" fillId="11" borderId="45" applyNumberFormat="0" applyFont="0" applyAlignment="0" applyProtection="0"/>
    <xf numFmtId="0" fontId="6" fillId="11" borderId="45" applyNumberFormat="0" applyFont="0" applyAlignment="0" applyProtection="0"/>
    <xf numFmtId="173" fontId="19" fillId="24" borderId="44" applyNumberFormat="0" applyAlignment="0" applyProtection="0"/>
    <xf numFmtId="173" fontId="23" fillId="24" borderId="46" applyNumberFormat="0" applyAlignment="0" applyProtection="0"/>
    <xf numFmtId="173" fontId="17" fillId="0" borderId="48" applyNumberFormat="0" applyFill="0" applyAlignment="0" applyProtection="0"/>
    <xf numFmtId="173" fontId="5" fillId="11" borderId="45" applyNumberFormat="0" applyFont="0" applyAlignment="0" applyProtection="0"/>
    <xf numFmtId="173" fontId="6" fillId="11" borderId="45" applyNumberFormat="0" applyFont="0" applyAlignment="0" applyProtection="0"/>
    <xf numFmtId="173" fontId="5" fillId="11" borderId="45" applyNumberFormat="0" applyFont="0" applyAlignment="0" applyProtection="0"/>
    <xf numFmtId="0" fontId="4" fillId="0" borderId="0"/>
    <xf numFmtId="173" fontId="5" fillId="11" borderId="45" applyNumberFormat="0" applyFont="0" applyAlignment="0" applyProtection="0"/>
    <xf numFmtId="165" fontId="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3" fillId="23" borderId="44" applyNumberFormat="0" applyAlignment="0" applyProtection="0"/>
    <xf numFmtId="173" fontId="17" fillId="0" borderId="48" applyNumberFormat="0" applyFill="0" applyAlignment="0" applyProtection="0"/>
    <xf numFmtId="173" fontId="23" fillId="23" borderId="46" applyNumberFormat="0" applyAlignment="0" applyProtection="0"/>
    <xf numFmtId="165" fontId="6" fillId="0" borderId="0" applyFont="0" applyFill="0" applyBorder="0" applyAlignment="0" applyProtection="0"/>
    <xf numFmtId="0" fontId="5" fillId="11" borderId="45" applyNumberFormat="0" applyFont="0" applyAlignment="0" applyProtection="0"/>
    <xf numFmtId="173" fontId="23" fillId="23" borderId="46" applyNumberFormat="0" applyAlignment="0" applyProtection="0"/>
    <xf numFmtId="0" fontId="5" fillId="11" borderId="45" applyNumberFormat="0" applyFont="0" applyAlignment="0" applyProtection="0"/>
    <xf numFmtId="173" fontId="22" fillId="14" borderId="44" applyNumberFormat="0" applyAlignment="0" applyProtection="0"/>
    <xf numFmtId="0" fontId="22" fillId="14" borderId="44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11" borderId="45" applyNumberFormat="0" applyFont="0" applyAlignment="0" applyProtection="0"/>
    <xf numFmtId="173" fontId="5" fillId="11" borderId="45" applyNumberFormat="0" applyFont="0" applyAlignment="0" applyProtection="0"/>
    <xf numFmtId="173" fontId="5" fillId="11" borderId="45" applyNumberFormat="0" applyFont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11" borderId="45" applyNumberFormat="0" applyFont="0" applyAlignment="0" applyProtection="0"/>
    <xf numFmtId="173" fontId="23" fillId="24" borderId="46" applyNumberFormat="0" applyAlignment="0" applyProtection="0"/>
    <xf numFmtId="0" fontId="22" fillId="8" borderId="44" applyNumberFormat="0" applyAlignment="0" applyProtection="0"/>
    <xf numFmtId="43" fontId="2" fillId="0" borderId="0" applyFont="0" applyFill="0" applyBorder="0" applyAlignment="0" applyProtection="0"/>
    <xf numFmtId="0" fontId="17" fillId="0" borderId="47" applyNumberFormat="0" applyFill="0" applyAlignment="0" applyProtection="0"/>
    <xf numFmtId="173" fontId="17" fillId="0" borderId="47" applyNumberFormat="0" applyFill="0" applyAlignment="0" applyProtection="0"/>
    <xf numFmtId="0" fontId="19" fillId="24" borderId="44" applyNumberFormat="0" applyAlignment="0" applyProtection="0"/>
    <xf numFmtId="0" fontId="19" fillId="24" borderId="44" applyNumberFormat="0" applyAlignment="0" applyProtection="0"/>
    <xf numFmtId="173" fontId="22" fillId="8" borderId="44" applyNumberFormat="0" applyAlignment="0" applyProtection="0"/>
    <xf numFmtId="173" fontId="17" fillId="0" borderId="47" applyNumberFormat="0" applyFill="0" applyAlignment="0" applyProtection="0"/>
    <xf numFmtId="173" fontId="5" fillId="11" borderId="45" applyNumberFormat="0" applyFont="0" applyAlignment="0" applyProtection="0"/>
    <xf numFmtId="173" fontId="5" fillId="11" borderId="45" applyNumberFormat="0" applyFont="0" applyAlignment="0" applyProtection="0"/>
    <xf numFmtId="173" fontId="23" fillId="24" borderId="46" applyNumberFormat="0" applyAlignment="0" applyProtection="0"/>
    <xf numFmtId="173" fontId="19" fillId="24" borderId="44" applyNumberFormat="0" applyAlignment="0" applyProtection="0"/>
    <xf numFmtId="173" fontId="22" fillId="14" borderId="44" applyNumberFormat="0" applyAlignment="0" applyProtection="0"/>
    <xf numFmtId="173" fontId="6" fillId="11" borderId="45" applyNumberFormat="0" applyFont="0" applyAlignment="0" applyProtection="0"/>
    <xf numFmtId="0" fontId="23" fillId="23" borderId="46" applyNumberFormat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3" fontId="17" fillId="0" borderId="47" applyNumberFormat="0" applyFill="0" applyAlignment="0" applyProtection="0"/>
    <xf numFmtId="43" fontId="6" fillId="0" borderId="0" applyFont="0" applyFill="0" applyBorder="0" applyAlignment="0" applyProtection="0"/>
    <xf numFmtId="0" fontId="23" fillId="23" borderId="46" applyNumberFormat="0" applyAlignment="0" applyProtection="0"/>
    <xf numFmtId="43" fontId="5" fillId="0" borderId="0" applyFont="0" applyFill="0" applyBorder="0" applyAlignment="0" applyProtection="0"/>
    <xf numFmtId="0" fontId="23" fillId="23" borderId="46" applyNumberFormat="0" applyAlignment="0" applyProtection="0"/>
    <xf numFmtId="0" fontId="5" fillId="11" borderId="45" applyNumberFormat="0" applyFont="0" applyAlignment="0" applyProtection="0"/>
    <xf numFmtId="173" fontId="5" fillId="11" borderId="45" applyNumberFormat="0" applyFont="0" applyAlignment="0" applyProtection="0"/>
    <xf numFmtId="173" fontId="23" fillId="23" borderId="46" applyNumberFormat="0" applyAlignment="0" applyProtection="0"/>
    <xf numFmtId="0" fontId="6" fillId="11" borderId="45" applyNumberFormat="0" applyFont="0" applyAlignment="0" applyProtection="0"/>
    <xf numFmtId="0" fontId="5" fillId="11" borderId="45" applyNumberFormat="0" applyFont="0" applyAlignment="0" applyProtection="0"/>
    <xf numFmtId="165" fontId="6" fillId="0" borderId="0" applyFont="0" applyFill="0" applyBorder="0" applyAlignment="0" applyProtection="0"/>
    <xf numFmtId="173" fontId="5" fillId="11" borderId="45" applyNumberFormat="0" applyFont="0" applyAlignment="0" applyProtection="0"/>
    <xf numFmtId="173" fontId="17" fillId="0" borderId="47" applyNumberFormat="0" applyFill="0" applyAlignment="0" applyProtection="0"/>
    <xf numFmtId="165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73" fontId="5" fillId="11" borderId="45" applyNumberFormat="0" applyFont="0" applyAlignment="0" applyProtection="0"/>
    <xf numFmtId="173" fontId="33" fillId="23" borderId="44" applyNumberFormat="0" applyAlignment="0" applyProtection="0"/>
    <xf numFmtId="165" fontId="6" fillId="0" borderId="0" applyFont="0" applyFill="0" applyBorder="0" applyAlignment="0" applyProtection="0"/>
    <xf numFmtId="173" fontId="33" fillId="23" borderId="44" applyNumberFormat="0" applyAlignment="0" applyProtection="0"/>
    <xf numFmtId="0" fontId="22" fillId="14" borderId="44" applyNumberFormat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173" fontId="2" fillId="0" borderId="0"/>
    <xf numFmtId="173" fontId="33" fillId="23" borderId="44" applyNumberFormat="0" applyAlignment="0" applyProtection="0"/>
    <xf numFmtId="173" fontId="19" fillId="24" borderId="44" applyNumberFormat="0" applyAlignment="0" applyProtection="0"/>
    <xf numFmtId="173" fontId="23" fillId="23" borderId="46" applyNumberFormat="0" applyAlignment="0" applyProtection="0"/>
    <xf numFmtId="0" fontId="5" fillId="11" borderId="45" applyNumberFormat="0" applyFont="0" applyAlignment="0" applyProtection="0"/>
    <xf numFmtId="0" fontId="22" fillId="8" borderId="44" applyNumberFormat="0" applyAlignment="0" applyProtection="0"/>
    <xf numFmtId="0" fontId="23" fillId="23" borderId="46" applyNumberFormat="0" applyAlignment="0" applyProtection="0"/>
    <xf numFmtId="0" fontId="17" fillId="0" borderId="47" applyNumberFormat="0" applyFill="0" applyAlignment="0" applyProtection="0"/>
    <xf numFmtId="173" fontId="22" fillId="14" borderId="44" applyNumberFormat="0" applyAlignment="0" applyProtection="0"/>
    <xf numFmtId="173" fontId="5" fillId="11" borderId="45" applyNumberFormat="0" applyFont="0" applyAlignment="0" applyProtection="0"/>
    <xf numFmtId="0" fontId="5" fillId="11" borderId="45" applyNumberFormat="0" applyFont="0" applyAlignment="0" applyProtection="0"/>
    <xf numFmtId="173" fontId="33" fillId="23" borderId="44" applyNumberFormat="0" applyAlignment="0" applyProtection="0"/>
    <xf numFmtId="0" fontId="17" fillId="0" borderId="48" applyNumberFormat="0" applyFill="0" applyAlignment="0" applyProtection="0"/>
    <xf numFmtId="0" fontId="17" fillId="0" borderId="47" applyNumberFormat="0" applyFill="0" applyAlignment="0" applyProtection="0"/>
    <xf numFmtId="173" fontId="33" fillId="23" borderId="44" applyNumberFormat="0" applyAlignment="0" applyProtection="0"/>
    <xf numFmtId="173" fontId="19" fillId="24" borderId="44" applyNumberFormat="0" applyAlignment="0" applyProtection="0"/>
    <xf numFmtId="173" fontId="5" fillId="11" borderId="45" applyNumberFormat="0" applyFont="0" applyAlignment="0" applyProtection="0"/>
    <xf numFmtId="9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17" fillId="0" borderId="48" applyNumberFormat="0" applyFill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2" fillId="8" borderId="44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5" fillId="11" borderId="45" applyNumberFormat="0" applyFon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3" fillId="23" borderId="46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17" fillId="0" borderId="47" applyNumberFormat="0" applyFill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7" fillId="0" borderId="48" applyNumberFormat="0" applyFill="0" applyAlignment="0" applyProtection="0"/>
    <xf numFmtId="173" fontId="17" fillId="0" borderId="47" applyNumberFormat="0" applyFill="0" applyAlignment="0" applyProtection="0"/>
    <xf numFmtId="173" fontId="22" fillId="14" borderId="44" applyNumberFormat="0" applyAlignment="0" applyProtection="0"/>
    <xf numFmtId="173" fontId="17" fillId="0" borderId="47" applyNumberFormat="0" applyFill="0" applyAlignment="0" applyProtection="0"/>
    <xf numFmtId="173" fontId="33" fillId="23" borderId="44" applyNumberFormat="0" applyAlignment="0" applyProtection="0"/>
    <xf numFmtId="0" fontId="23" fillId="24" borderId="46" applyNumberFormat="0" applyAlignment="0" applyProtection="0"/>
    <xf numFmtId="173" fontId="17" fillId="0" borderId="47" applyNumberFormat="0" applyFill="0" applyAlignment="0" applyProtection="0"/>
    <xf numFmtId="173" fontId="5" fillId="11" borderId="45" applyNumberFormat="0" applyFont="0" applyAlignment="0" applyProtection="0"/>
    <xf numFmtId="173" fontId="19" fillId="24" borderId="26" applyNumberFormat="0" applyAlignment="0" applyProtection="0"/>
    <xf numFmtId="173" fontId="33" fillId="23" borderId="26" applyNumberFormat="0" applyAlignment="0" applyProtection="0"/>
    <xf numFmtId="173" fontId="33" fillId="23" borderId="26" applyNumberFormat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0" fillId="0" borderId="0" applyFont="0" applyFill="0" applyBorder="0" applyAlignment="0" applyProtection="0"/>
    <xf numFmtId="173" fontId="22" fillId="14" borderId="26" applyNumberFormat="0" applyAlignment="0" applyProtection="0"/>
    <xf numFmtId="173" fontId="22" fillId="8" borderId="26" applyNumberFormat="0" applyAlignment="0" applyProtection="0"/>
    <xf numFmtId="43" fontId="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6" fillId="0" borderId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11" borderId="45" applyNumberFormat="0" applyFont="0" applyAlignment="0" applyProtection="0"/>
    <xf numFmtId="43" fontId="4" fillId="0" borderId="0" applyFont="0" applyFill="0" applyBorder="0" applyAlignment="0" applyProtection="0"/>
    <xf numFmtId="173" fontId="2" fillId="0" borderId="0"/>
    <xf numFmtId="0" fontId="33" fillId="23" borderId="44" applyNumberFormat="0" applyAlignment="0" applyProtection="0"/>
    <xf numFmtId="173" fontId="5" fillId="11" borderId="27" applyNumberFormat="0" applyFont="0" applyAlignment="0" applyProtection="0"/>
    <xf numFmtId="173" fontId="5" fillId="11" borderId="27" applyNumberFormat="0" applyFont="0" applyAlignment="0" applyProtection="0"/>
    <xf numFmtId="173" fontId="5" fillId="11" borderId="27" applyNumberFormat="0" applyFont="0" applyAlignment="0" applyProtection="0"/>
    <xf numFmtId="173" fontId="5" fillId="11" borderId="27" applyNumberFormat="0" applyFont="0" applyAlignment="0" applyProtection="0"/>
    <xf numFmtId="173" fontId="5" fillId="11" borderId="27" applyNumberFormat="0" applyFont="0" applyAlignment="0" applyProtection="0"/>
    <xf numFmtId="173" fontId="5" fillId="11" borderId="27" applyNumberFormat="0" applyFont="0" applyAlignment="0" applyProtection="0"/>
    <xf numFmtId="173" fontId="6" fillId="11" borderId="27" applyNumberFormat="0" applyFont="0" applyAlignment="0" applyProtection="0"/>
    <xf numFmtId="173" fontId="5" fillId="11" borderId="27" applyNumberFormat="0" applyFont="0" applyAlignment="0" applyProtection="0"/>
    <xf numFmtId="173" fontId="23" fillId="24" borderId="28" applyNumberFormat="0" applyAlignment="0" applyProtection="0"/>
    <xf numFmtId="173" fontId="23" fillId="23" borderId="28" applyNumberFormat="0" applyAlignment="0" applyProtection="0"/>
    <xf numFmtId="173" fontId="5" fillId="11" borderId="45" applyNumberFormat="0" applyFont="0" applyAlignment="0" applyProtection="0"/>
    <xf numFmtId="173" fontId="17" fillId="0" borderId="29" applyNumberFormat="0" applyFill="0" applyAlignment="0" applyProtection="0"/>
    <xf numFmtId="173" fontId="17" fillId="0" borderId="30" applyNumberFormat="0" applyFill="0" applyAlignment="0" applyProtection="0"/>
    <xf numFmtId="173" fontId="17" fillId="0" borderId="29" applyNumberFormat="0" applyFill="0" applyAlignment="0" applyProtection="0"/>
    <xf numFmtId="165" fontId="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6" fillId="0" borderId="0" applyFont="0" applyFill="0" applyBorder="0" applyAlignment="0" applyProtection="0"/>
    <xf numFmtId="173" fontId="5" fillId="11" borderId="45" applyNumberFormat="0" applyFont="0" applyAlignment="0" applyProtection="0"/>
    <xf numFmtId="0" fontId="17" fillId="0" borderId="47" applyNumberFormat="0" applyFill="0" applyAlignment="0" applyProtection="0"/>
    <xf numFmtId="0" fontId="17" fillId="0" borderId="47" applyNumberFormat="0" applyFill="0" applyAlignment="0" applyProtection="0"/>
    <xf numFmtId="0" fontId="33" fillId="23" borderId="26" applyNumberFormat="0" applyAlignment="0" applyProtection="0"/>
    <xf numFmtId="0" fontId="19" fillId="24" borderId="26" applyNumberFormat="0" applyAlignment="0" applyProtection="0"/>
    <xf numFmtId="0" fontId="33" fillId="23" borderId="26" applyNumberFormat="0" applyAlignment="0" applyProtection="0"/>
    <xf numFmtId="0" fontId="33" fillId="23" borderId="26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5" fillId="11" borderId="27" applyNumberFormat="0" applyFont="0" applyAlignment="0" applyProtection="0"/>
    <xf numFmtId="173" fontId="5" fillId="11" borderId="27" applyNumberFormat="0" applyFont="0" applyAlignment="0" applyProtection="0"/>
    <xf numFmtId="173" fontId="5" fillId="11" borderId="27" applyNumberFormat="0" applyFont="0" applyAlignment="0" applyProtection="0"/>
    <xf numFmtId="173" fontId="5" fillId="11" borderId="27" applyNumberFormat="0" applyFont="0" applyAlignment="0" applyProtection="0"/>
    <xf numFmtId="173" fontId="5" fillId="11" borderId="27" applyNumberFormat="0" applyFont="0" applyAlignment="0" applyProtection="0"/>
    <xf numFmtId="173" fontId="5" fillId="11" borderId="27" applyNumberFormat="0" applyFont="0" applyAlignment="0" applyProtection="0"/>
    <xf numFmtId="0" fontId="22" fillId="8" borderId="26" applyNumberFormat="0" applyAlignment="0" applyProtection="0"/>
    <xf numFmtId="0" fontId="22" fillId="14" borderId="26" applyNumberFormat="0" applyAlignment="0" applyProtection="0"/>
    <xf numFmtId="0" fontId="22" fillId="8" borderId="26" applyNumberFormat="0" applyAlignment="0" applyProtection="0"/>
    <xf numFmtId="43" fontId="6" fillId="0" borderId="0" applyFont="0" applyFill="0" applyBorder="0" applyAlignment="0" applyProtection="0"/>
    <xf numFmtId="0" fontId="6" fillId="11" borderId="27" applyNumberFormat="0" applyFon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7" fillId="0" borderId="30" applyNumberFormat="0" applyFill="0" applyAlignment="0" applyProtection="0"/>
    <xf numFmtId="173" fontId="17" fillId="0" borderId="29" applyNumberFormat="0" applyFill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3" fillId="24" borderId="46" applyNumberFormat="0" applyAlignment="0" applyProtection="0"/>
    <xf numFmtId="43" fontId="4" fillId="0" borderId="0" applyFont="0" applyFill="0" applyBorder="0" applyAlignment="0" applyProtection="0"/>
    <xf numFmtId="0" fontId="6" fillId="11" borderId="27" applyNumberFormat="0" applyFont="0" applyAlignment="0" applyProtection="0"/>
    <xf numFmtId="0" fontId="5" fillId="11" borderId="27" applyNumberFormat="0" applyFont="0" applyAlignment="0" applyProtection="0"/>
    <xf numFmtId="0" fontId="5" fillId="11" borderId="27" applyNumberFormat="0" applyFont="0" applyAlignment="0" applyProtection="0"/>
    <xf numFmtId="0" fontId="5" fillId="11" borderId="27" applyNumberFormat="0" applyFont="0" applyAlignment="0" applyProtection="0"/>
    <xf numFmtId="0" fontId="5" fillId="11" borderId="27" applyNumberFormat="0" applyFont="0" applyAlignment="0" applyProtection="0"/>
    <xf numFmtId="0" fontId="5" fillId="11" borderId="27" applyNumberFormat="0" applyFont="0" applyAlignment="0" applyProtection="0"/>
    <xf numFmtId="0" fontId="5" fillId="11" borderId="27" applyNumberFormat="0" applyFont="0" applyAlignment="0" applyProtection="0"/>
    <xf numFmtId="0" fontId="6" fillId="11" borderId="27" applyNumberFormat="0" applyFont="0" applyAlignment="0" applyProtection="0"/>
    <xf numFmtId="0" fontId="5" fillId="11" borderId="27" applyNumberFormat="0" applyFont="0" applyAlignment="0" applyProtection="0"/>
    <xf numFmtId="0" fontId="23" fillId="23" borderId="28" applyNumberFormat="0" applyAlignment="0" applyProtection="0"/>
    <xf numFmtId="0" fontId="23" fillId="24" borderId="28" applyNumberFormat="0" applyAlignment="0" applyProtection="0"/>
    <xf numFmtId="0" fontId="23" fillId="23" borderId="28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7" fillId="0" borderId="29" applyNumberFormat="0" applyFill="0" applyAlignment="0" applyProtection="0"/>
    <xf numFmtId="0" fontId="17" fillId="0" borderId="29" applyNumberFormat="0" applyFill="0" applyAlignment="0" applyProtection="0"/>
    <xf numFmtId="0" fontId="17" fillId="0" borderId="30" applyNumberFormat="0" applyFill="0" applyAlignment="0" applyProtection="0"/>
    <xf numFmtId="0" fontId="17" fillId="0" borderId="29" applyNumberFormat="0" applyFill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11" borderId="27" applyNumberFormat="0" applyFont="0" applyAlignment="0" applyProtection="0"/>
    <xf numFmtId="0" fontId="6" fillId="11" borderId="27" applyNumberFormat="0" applyFont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73" fontId="5" fillId="11" borderId="45" applyNumberFormat="0" applyFont="0" applyAlignment="0" applyProtection="0"/>
    <xf numFmtId="173" fontId="19" fillId="24" borderId="26" applyNumberFormat="0" applyAlignment="0" applyProtection="0"/>
    <xf numFmtId="173" fontId="33" fillId="23" borderId="26" applyNumberFormat="0" applyAlignment="0" applyProtection="0"/>
    <xf numFmtId="173" fontId="33" fillId="23" borderId="26" applyNumberFormat="0" applyAlignment="0" applyProtection="0"/>
    <xf numFmtId="165" fontId="6" fillId="0" borderId="0" applyFont="0" applyFill="0" applyBorder="0" applyAlignment="0" applyProtection="0"/>
    <xf numFmtId="173" fontId="22" fillId="14" borderId="26" applyNumberFormat="0" applyAlignment="0" applyProtection="0"/>
    <xf numFmtId="173" fontId="22" fillId="8" borderId="26" applyNumberFormat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173" fontId="2" fillId="0" borderId="0"/>
    <xf numFmtId="173" fontId="6" fillId="11" borderId="27" applyNumberFormat="0" applyFont="0" applyAlignment="0" applyProtection="0"/>
    <xf numFmtId="173" fontId="5" fillId="11" borderId="27" applyNumberFormat="0" applyFont="0" applyAlignment="0" applyProtection="0"/>
    <xf numFmtId="173" fontId="23" fillId="24" borderId="28" applyNumberFormat="0" applyAlignment="0" applyProtection="0"/>
    <xf numFmtId="173" fontId="23" fillId="23" borderId="28" applyNumberFormat="0" applyAlignment="0" applyProtection="0"/>
    <xf numFmtId="173" fontId="17" fillId="0" borderId="47" applyNumberFormat="0" applyFill="0" applyAlignment="0" applyProtection="0"/>
    <xf numFmtId="173" fontId="17" fillId="0" borderId="29" applyNumberFormat="0" applyFill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5" fillId="11" borderId="45" applyNumberFormat="0" applyFon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3" fillId="24" borderId="46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11" borderId="45" applyNumberFormat="0" applyFon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23" fillId="24" borderId="28" applyNumberFormat="0" applyAlignment="0" applyProtection="0"/>
    <xf numFmtId="173" fontId="23" fillId="23" borderId="28" applyNumberFormat="0" applyAlignment="0" applyProtection="0"/>
    <xf numFmtId="173" fontId="17" fillId="0" borderId="29" applyNumberFormat="0" applyFill="0" applyAlignment="0" applyProtection="0"/>
    <xf numFmtId="173" fontId="17" fillId="0" borderId="30" applyNumberFormat="0" applyFill="0" applyAlignment="0" applyProtection="0"/>
    <xf numFmtId="173" fontId="17" fillId="0" borderId="29" applyNumberFormat="0" applyFill="0" applyAlignment="0" applyProtection="0"/>
    <xf numFmtId="173" fontId="17" fillId="0" borderId="30" applyNumberFormat="0" applyFill="0" applyAlignment="0" applyProtection="0"/>
    <xf numFmtId="173" fontId="17" fillId="0" borderId="29" applyNumberFormat="0" applyFill="0" applyAlignment="0" applyProtection="0"/>
    <xf numFmtId="0" fontId="23" fillId="23" borderId="28" applyNumberFormat="0" applyAlignment="0" applyProtection="0"/>
    <xf numFmtId="0" fontId="23" fillId="24" borderId="28" applyNumberFormat="0" applyAlignment="0" applyProtection="0"/>
    <xf numFmtId="0" fontId="23" fillId="23" borderId="28" applyNumberFormat="0" applyAlignment="0" applyProtection="0"/>
    <xf numFmtId="0" fontId="17" fillId="0" borderId="29" applyNumberFormat="0" applyFill="0" applyAlignment="0" applyProtection="0"/>
    <xf numFmtId="0" fontId="17" fillId="0" borderId="29" applyNumberFormat="0" applyFill="0" applyAlignment="0" applyProtection="0"/>
    <xf numFmtId="0" fontId="17" fillId="0" borderId="30" applyNumberFormat="0" applyFill="0" applyAlignment="0" applyProtection="0"/>
    <xf numFmtId="0" fontId="17" fillId="0" borderId="29" applyNumberFormat="0" applyFill="0" applyAlignment="0" applyProtection="0"/>
    <xf numFmtId="173" fontId="23" fillId="24" borderId="28" applyNumberFormat="0" applyAlignment="0" applyProtection="0"/>
    <xf numFmtId="173" fontId="23" fillId="23" borderId="28" applyNumberFormat="0" applyAlignment="0" applyProtection="0"/>
    <xf numFmtId="173" fontId="17" fillId="0" borderId="29" applyNumberFormat="0" applyFill="0" applyAlignment="0" applyProtection="0"/>
    <xf numFmtId="0" fontId="17" fillId="0" borderId="47" applyNumberFormat="0" applyFill="0" applyAlignment="0" applyProtection="0"/>
    <xf numFmtId="173" fontId="33" fillId="23" borderId="44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1" fillId="0" borderId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1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5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49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57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4" fillId="58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62" fillId="1" borderId="32" applyNumberFormat="0" applyBorder="0" applyProtection="0">
      <alignment horizontal="center"/>
    </xf>
    <xf numFmtId="38" fontId="63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>
      <alignment vertical="top"/>
    </xf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7" fontId="6" fillId="0" borderId="0"/>
    <xf numFmtId="177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0" fontId="4" fillId="35" borderId="42" applyNumberFormat="0" applyFont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7" fillId="0" borderId="0" applyFont="0" applyFill="0" applyBorder="0" applyAlignment="0" applyProtection="0">
      <alignment vertical="top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8" fontId="63" fillId="0" borderId="0" applyFont="0" applyFill="0" applyBorder="0" applyAlignment="0" applyProtection="0"/>
    <xf numFmtId="165" fontId="6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2" fillId="0" borderId="0"/>
    <xf numFmtId="0" fontId="2" fillId="0" borderId="0"/>
    <xf numFmtId="43" fontId="4" fillId="0" borderId="0" applyFont="0" applyFill="0" applyBorder="0" applyAlignment="0" applyProtection="0"/>
    <xf numFmtId="0" fontId="64" fillId="0" borderId="0"/>
    <xf numFmtId="43" fontId="2" fillId="0" borderId="0" applyFont="0" applyFill="0" applyBorder="0" applyAlignment="0" applyProtection="0"/>
    <xf numFmtId="173" fontId="4" fillId="0" borderId="0"/>
    <xf numFmtId="173" fontId="10" fillId="0" borderId="0"/>
    <xf numFmtId="173" fontId="4" fillId="0" borderId="0"/>
    <xf numFmtId="0" fontId="61" fillId="0" borderId="0"/>
    <xf numFmtId="0" fontId="64" fillId="0" borderId="0"/>
    <xf numFmtId="9" fontId="2" fillId="0" borderId="0" applyFont="0" applyFill="0" applyBorder="0" applyAlignment="0" applyProtection="0"/>
    <xf numFmtId="173" fontId="33" fillId="23" borderId="44" applyNumberFormat="0" applyAlignment="0" applyProtection="0"/>
    <xf numFmtId="173" fontId="33" fillId="23" borderId="44" applyNumberFormat="0" applyAlignment="0" applyProtection="0"/>
    <xf numFmtId="173" fontId="22" fillId="8" borderId="44" applyNumberFormat="0" applyAlignment="0" applyProtection="0"/>
    <xf numFmtId="0" fontId="65" fillId="0" borderId="0" applyNumberFormat="0" applyFill="0" applyBorder="0" applyAlignment="0" applyProtection="0"/>
    <xf numFmtId="0" fontId="5" fillId="11" borderId="45" applyNumberFormat="0" applyFont="0" applyAlignment="0" applyProtection="0"/>
    <xf numFmtId="179" fontId="6" fillId="0" borderId="0" applyFill="0" applyBorder="0" applyAlignment="0" applyProtection="0"/>
    <xf numFmtId="43" fontId="4" fillId="0" borderId="0" applyFont="0" applyFill="0" applyBorder="0" applyAlignment="0" applyProtection="0"/>
    <xf numFmtId="0" fontId="17" fillId="0" borderId="47" applyNumberFormat="0" applyFill="0" applyAlignment="0" applyProtection="0"/>
    <xf numFmtId="0" fontId="33" fillId="23" borderId="44" applyNumberFormat="0" applyAlignment="0" applyProtection="0"/>
    <xf numFmtId="0" fontId="2" fillId="35" borderId="42" applyNumberFormat="0" applyFont="0" applyAlignment="0" applyProtection="0"/>
    <xf numFmtId="0" fontId="6" fillId="11" borderId="45" applyNumberFormat="0" applyFont="0" applyAlignment="0" applyProtection="0"/>
    <xf numFmtId="0" fontId="5" fillId="11" borderId="45" applyNumberFormat="0" applyFont="0" applyAlignment="0" applyProtection="0"/>
    <xf numFmtId="173" fontId="17" fillId="0" borderId="47" applyNumberFormat="0" applyFill="0" applyAlignment="0" applyProtection="0"/>
    <xf numFmtId="0" fontId="61" fillId="0" borderId="0"/>
    <xf numFmtId="173" fontId="22" fillId="8" borderId="44" applyNumberFormat="0" applyAlignment="0" applyProtection="0"/>
    <xf numFmtId="173" fontId="5" fillId="11" borderId="45" applyNumberFormat="0" applyFont="0" applyAlignment="0" applyProtection="0"/>
    <xf numFmtId="173" fontId="33" fillId="23" borderId="44" applyNumberFormat="0" applyAlignment="0" applyProtection="0"/>
    <xf numFmtId="173" fontId="5" fillId="11" borderId="45" applyNumberFormat="0" applyFont="0" applyAlignment="0" applyProtection="0"/>
    <xf numFmtId="0" fontId="33" fillId="23" borderId="44" applyNumberFormat="0" applyAlignment="0" applyProtection="0"/>
    <xf numFmtId="0" fontId="5" fillId="11" borderId="45" applyNumberFormat="0" applyFont="0" applyAlignment="0" applyProtection="0"/>
    <xf numFmtId="173" fontId="5" fillId="11" borderId="45" applyNumberFormat="0" applyFont="0" applyAlignment="0" applyProtection="0"/>
    <xf numFmtId="0" fontId="22" fillId="8" borderId="44" applyNumberFormat="0" applyAlignment="0" applyProtection="0"/>
    <xf numFmtId="0" fontId="6" fillId="11" borderId="45" applyNumberFormat="0" applyFont="0" applyAlignment="0" applyProtection="0"/>
    <xf numFmtId="173" fontId="5" fillId="11" borderId="45" applyNumberFormat="0" applyFont="0" applyAlignment="0" applyProtection="0"/>
    <xf numFmtId="173" fontId="23" fillId="24" borderId="46" applyNumberFormat="0" applyAlignment="0" applyProtection="0"/>
    <xf numFmtId="0" fontId="23" fillId="23" borderId="46" applyNumberFormat="0" applyAlignment="0" applyProtection="0"/>
    <xf numFmtId="0" fontId="6" fillId="11" borderId="45" applyNumberFormat="0" applyFont="0" applyAlignment="0" applyProtection="0"/>
    <xf numFmtId="173" fontId="17" fillId="0" borderId="48" applyNumberFormat="0" applyFill="0" applyAlignment="0" applyProtection="0"/>
    <xf numFmtId="173" fontId="22" fillId="14" borderId="44" applyNumberFormat="0" applyAlignment="0" applyProtection="0"/>
    <xf numFmtId="173" fontId="6" fillId="11" borderId="45" applyNumberFormat="0" applyFont="0" applyAlignment="0" applyProtection="0"/>
    <xf numFmtId="0" fontId="33" fillId="23" borderId="44" applyNumberFormat="0" applyAlignment="0" applyProtection="0"/>
    <xf numFmtId="173" fontId="5" fillId="11" borderId="45" applyNumberFormat="0" applyFont="0" applyAlignment="0" applyProtection="0"/>
    <xf numFmtId="173" fontId="33" fillId="23" borderId="44" applyNumberFormat="0" applyAlignment="0" applyProtection="0"/>
    <xf numFmtId="173" fontId="6" fillId="11" borderId="45" applyNumberFormat="0" applyFont="0" applyAlignment="0" applyProtection="0"/>
    <xf numFmtId="0" fontId="5" fillId="11" borderId="45" applyNumberFormat="0" applyFont="0" applyAlignment="0" applyProtection="0"/>
    <xf numFmtId="173" fontId="22" fillId="14" borderId="44" applyNumberFormat="0" applyAlignment="0" applyProtection="0"/>
    <xf numFmtId="0" fontId="6" fillId="11" borderId="45" applyNumberFormat="0" applyFont="0" applyAlignment="0" applyProtection="0"/>
    <xf numFmtId="0" fontId="17" fillId="0" borderId="47" applyNumberFormat="0" applyFill="0" applyAlignment="0" applyProtection="0"/>
    <xf numFmtId="0" fontId="33" fillId="23" borderId="44" applyNumberFormat="0" applyAlignment="0" applyProtection="0"/>
    <xf numFmtId="173" fontId="33" fillId="23" borderId="44" applyNumberFormat="0" applyAlignment="0" applyProtection="0"/>
    <xf numFmtId="0" fontId="5" fillId="11" borderId="45" applyNumberFormat="0" applyFont="0" applyAlignment="0" applyProtection="0"/>
    <xf numFmtId="173" fontId="5" fillId="11" borderId="45" applyNumberFormat="0" applyFont="0" applyAlignment="0" applyProtection="0"/>
    <xf numFmtId="0" fontId="23" fillId="23" borderId="46" applyNumberFormat="0" applyAlignment="0" applyProtection="0"/>
    <xf numFmtId="173" fontId="5" fillId="11" borderId="45" applyNumberFormat="0" applyFont="0" applyAlignment="0" applyProtection="0"/>
    <xf numFmtId="173" fontId="5" fillId="11" borderId="45" applyNumberFormat="0" applyFont="0" applyAlignment="0" applyProtection="0"/>
    <xf numFmtId="173" fontId="5" fillId="11" borderId="45" applyNumberFormat="0" applyFont="0" applyAlignment="0" applyProtection="0"/>
    <xf numFmtId="173" fontId="5" fillId="11" borderId="45" applyNumberFormat="0" applyFont="0" applyAlignment="0" applyProtection="0"/>
    <xf numFmtId="0" fontId="23" fillId="23" borderId="46" applyNumberFormat="0" applyAlignment="0" applyProtection="0"/>
    <xf numFmtId="173" fontId="17" fillId="0" borderId="48" applyNumberFormat="0" applyFill="0" applyAlignment="0" applyProtection="0"/>
    <xf numFmtId="0" fontId="23" fillId="24" borderId="46" applyNumberFormat="0" applyAlignment="0" applyProtection="0"/>
    <xf numFmtId="173" fontId="5" fillId="11" borderId="45" applyNumberFormat="0" applyFont="0" applyAlignment="0" applyProtection="0"/>
    <xf numFmtId="173" fontId="5" fillId="11" borderId="45" applyNumberFormat="0" applyFont="0" applyAlignment="0" applyProtection="0"/>
    <xf numFmtId="0" fontId="5" fillId="11" borderId="45" applyNumberFormat="0" applyFont="0" applyAlignment="0" applyProtection="0"/>
    <xf numFmtId="173" fontId="22" fillId="8" borderId="44" applyNumberFormat="0" applyAlignment="0" applyProtection="0"/>
    <xf numFmtId="0" fontId="5" fillId="11" borderId="45" applyNumberFormat="0" applyFont="0" applyAlignment="0" applyProtection="0"/>
    <xf numFmtId="0" fontId="2" fillId="0" borderId="0"/>
    <xf numFmtId="173" fontId="23" fillId="23" borderId="46" applyNumberFormat="0" applyAlignment="0" applyProtection="0"/>
    <xf numFmtId="173" fontId="5" fillId="11" borderId="45" applyNumberFormat="0" applyFont="0" applyAlignment="0" applyProtection="0"/>
    <xf numFmtId="173" fontId="33" fillId="23" borderId="44" applyNumberFormat="0" applyAlignment="0" applyProtection="0"/>
    <xf numFmtId="0" fontId="23" fillId="23" borderId="46" applyNumberFormat="0" applyAlignment="0" applyProtection="0"/>
    <xf numFmtId="173" fontId="5" fillId="11" borderId="45" applyNumberFormat="0" applyFont="0" applyAlignment="0" applyProtection="0"/>
    <xf numFmtId="0" fontId="17" fillId="0" borderId="48" applyNumberFormat="0" applyFill="0" applyAlignment="0" applyProtection="0"/>
    <xf numFmtId="0" fontId="5" fillId="11" borderId="45" applyNumberFormat="0" applyFont="0" applyAlignment="0" applyProtection="0"/>
    <xf numFmtId="0" fontId="5" fillId="11" borderId="45" applyNumberFormat="0" applyFont="0" applyAlignment="0" applyProtection="0"/>
    <xf numFmtId="0" fontId="6" fillId="11" borderId="45" applyNumberFormat="0" applyFont="0" applyAlignment="0" applyProtection="0"/>
    <xf numFmtId="43" fontId="4" fillId="0" borderId="0" applyFont="0" applyFill="0" applyBorder="0" applyAlignment="0" applyProtection="0"/>
    <xf numFmtId="0" fontId="62" fillId="1" borderId="49" applyNumberFormat="0" applyBorder="0" applyProtection="0">
      <alignment horizontal="center"/>
    </xf>
    <xf numFmtId="0" fontId="33" fillId="23" borderId="44" applyNumberFormat="0" applyAlignment="0" applyProtection="0"/>
    <xf numFmtId="0" fontId="22" fillId="14" borderId="44" applyNumberFormat="0" applyAlignment="0" applyProtection="0"/>
    <xf numFmtId="173" fontId="22" fillId="8" borderId="44" applyNumberFormat="0" applyAlignment="0" applyProtection="0"/>
    <xf numFmtId="173" fontId="19" fillId="24" borderId="44" applyNumberFormat="0" applyAlignment="0" applyProtection="0"/>
    <xf numFmtId="9" fontId="4" fillId="0" borderId="0" applyFont="0" applyFill="0" applyBorder="0" applyAlignment="0" applyProtection="0"/>
    <xf numFmtId="0" fontId="5" fillId="11" borderId="45" applyNumberFormat="0" applyFont="0" applyAlignment="0" applyProtection="0"/>
    <xf numFmtId="0" fontId="5" fillId="11" borderId="45" applyNumberFormat="0" applyFont="0" applyAlignment="0" applyProtection="0"/>
    <xf numFmtId="173" fontId="33" fillId="23" borderId="44" applyNumberFormat="0" applyAlignment="0" applyProtection="0"/>
    <xf numFmtId="0" fontId="5" fillId="11" borderId="45" applyNumberFormat="0" applyFont="0" applyAlignment="0" applyProtection="0"/>
    <xf numFmtId="0" fontId="5" fillId="11" borderId="45" applyNumberFormat="0" applyFont="0" applyAlignment="0" applyProtection="0"/>
    <xf numFmtId="173" fontId="23" fillId="24" borderId="46" applyNumberFormat="0" applyAlignment="0" applyProtection="0"/>
    <xf numFmtId="173" fontId="6" fillId="11" borderId="45" applyNumberFormat="0" applyFont="0" applyAlignment="0" applyProtection="0"/>
    <xf numFmtId="0" fontId="5" fillId="11" borderId="45" applyNumberFormat="0" applyFont="0" applyAlignment="0" applyProtection="0"/>
    <xf numFmtId="173" fontId="6" fillId="11" borderId="45" applyNumberFormat="0" applyFont="0" applyAlignment="0" applyProtection="0"/>
    <xf numFmtId="173" fontId="23" fillId="23" borderId="46" applyNumberFormat="0" applyAlignment="0" applyProtection="0"/>
    <xf numFmtId="173" fontId="5" fillId="11" borderId="45" applyNumberFormat="0" applyFont="0" applyAlignment="0" applyProtection="0"/>
    <xf numFmtId="173" fontId="17" fillId="0" borderId="48" applyNumberFormat="0" applyFill="0" applyAlignment="0" applyProtection="0"/>
    <xf numFmtId="0" fontId="5" fillId="11" borderId="45" applyNumberFormat="0" applyFont="0" applyAlignment="0" applyProtection="0"/>
    <xf numFmtId="173" fontId="5" fillId="11" borderId="45" applyNumberFormat="0" applyFont="0" applyAlignment="0" applyProtection="0"/>
    <xf numFmtId="0" fontId="22" fillId="8" borderId="44" applyNumberFormat="0" applyAlignment="0" applyProtection="0"/>
    <xf numFmtId="173" fontId="5" fillId="11" borderId="45" applyNumberFormat="0" applyFont="0" applyAlignment="0" applyProtection="0"/>
    <xf numFmtId="173" fontId="5" fillId="11" borderId="45" applyNumberFormat="0" applyFont="0" applyAlignment="0" applyProtection="0"/>
    <xf numFmtId="173" fontId="5" fillId="11" borderId="45" applyNumberFormat="0" applyFont="0" applyAlignment="0" applyProtection="0"/>
    <xf numFmtId="173" fontId="5" fillId="11" borderId="45" applyNumberFormat="0" applyFont="0" applyAlignment="0" applyProtection="0"/>
    <xf numFmtId="173" fontId="5" fillId="11" borderId="45" applyNumberFormat="0" applyFont="0" applyAlignment="0" applyProtection="0"/>
    <xf numFmtId="173" fontId="5" fillId="11" borderId="45" applyNumberFormat="0" applyFont="0" applyAlignment="0" applyProtection="0"/>
    <xf numFmtId="173" fontId="5" fillId="11" borderId="45" applyNumberFormat="0" applyFont="0" applyAlignment="0" applyProtection="0"/>
    <xf numFmtId="0" fontId="22" fillId="8" borderId="44" applyNumberFormat="0" applyAlignment="0" applyProtection="0"/>
    <xf numFmtId="0" fontId="22" fillId="14" borderId="44" applyNumberFormat="0" applyAlignment="0" applyProtection="0"/>
    <xf numFmtId="0" fontId="22" fillId="8" borderId="44" applyNumberFormat="0" applyAlignment="0" applyProtection="0"/>
    <xf numFmtId="0" fontId="6" fillId="11" borderId="45" applyNumberFormat="0" applyFont="0" applyAlignment="0" applyProtection="0"/>
    <xf numFmtId="173" fontId="17" fillId="0" borderId="48" applyNumberFormat="0" applyFill="0" applyAlignment="0" applyProtection="0"/>
    <xf numFmtId="173" fontId="17" fillId="0" borderId="47" applyNumberFormat="0" applyFill="0" applyAlignment="0" applyProtection="0"/>
    <xf numFmtId="0" fontId="6" fillId="11" borderId="45" applyNumberFormat="0" applyFont="0" applyAlignment="0" applyProtection="0"/>
    <xf numFmtId="0" fontId="6" fillId="11" borderId="45" applyNumberFormat="0" applyFont="0" applyAlignment="0" applyProtection="0"/>
    <xf numFmtId="173" fontId="19" fillId="24" borderId="44" applyNumberFormat="0" applyAlignment="0" applyProtection="0"/>
    <xf numFmtId="173" fontId="5" fillId="11" borderId="45" applyNumberFormat="0" applyFont="0" applyAlignment="0" applyProtection="0"/>
    <xf numFmtId="173" fontId="5" fillId="11" borderId="45" applyNumberFormat="0" applyFont="0" applyAlignment="0" applyProtection="0"/>
    <xf numFmtId="173" fontId="6" fillId="11" borderId="45" applyNumberFormat="0" applyFont="0" applyAlignment="0" applyProtection="0"/>
    <xf numFmtId="173" fontId="23" fillId="23" borderId="46" applyNumberFormat="0" applyAlignment="0" applyProtection="0"/>
    <xf numFmtId="173" fontId="17" fillId="0" borderId="47" applyNumberFormat="0" applyFill="0" applyAlignment="0" applyProtection="0"/>
    <xf numFmtId="173" fontId="17" fillId="0" borderId="47" applyNumberFormat="0" applyFill="0" applyAlignment="0" applyProtection="0"/>
    <xf numFmtId="173" fontId="23" fillId="23" borderId="46" applyNumberFormat="0" applyAlignment="0" applyProtection="0"/>
    <xf numFmtId="173" fontId="23" fillId="24" borderId="46" applyNumberFormat="0" applyAlignment="0" applyProtection="0"/>
    <xf numFmtId="0" fontId="17" fillId="0" borderId="47" applyNumberFormat="0" applyFill="0" applyAlignment="0" applyProtection="0"/>
    <xf numFmtId="0" fontId="17" fillId="0" borderId="48" applyNumberFormat="0" applyFill="0" applyAlignment="0" applyProtection="0"/>
    <xf numFmtId="0" fontId="17" fillId="0" borderId="47" applyNumberFormat="0" applyFill="0" applyAlignment="0" applyProtection="0"/>
    <xf numFmtId="0" fontId="17" fillId="0" borderId="47" applyNumberFormat="0" applyFill="0" applyAlignment="0" applyProtection="0"/>
    <xf numFmtId="0" fontId="23" fillId="23" borderId="46" applyNumberFormat="0" applyAlignment="0" applyProtection="0"/>
    <xf numFmtId="0" fontId="23" fillId="24" borderId="46" applyNumberFormat="0" applyAlignment="0" applyProtection="0"/>
    <xf numFmtId="173" fontId="17" fillId="0" borderId="47" applyNumberFormat="0" applyFill="0" applyAlignment="0" applyProtection="0"/>
    <xf numFmtId="173" fontId="17" fillId="0" borderId="48" applyNumberFormat="0" applyFill="0" applyAlignment="0" applyProtection="0"/>
    <xf numFmtId="173" fontId="17" fillId="0" borderId="47" applyNumberFormat="0" applyFill="0" applyAlignment="0" applyProtection="0"/>
    <xf numFmtId="173" fontId="17" fillId="0" borderId="47" applyNumberFormat="0" applyFill="0" applyAlignment="0" applyProtection="0"/>
    <xf numFmtId="0" fontId="22" fillId="8" borderId="44" applyNumberFormat="0" applyAlignment="0" applyProtection="0"/>
    <xf numFmtId="0" fontId="6" fillId="11" borderId="45" applyNumberFormat="0" applyFont="0" applyAlignment="0" applyProtection="0"/>
    <xf numFmtId="0" fontId="17" fillId="0" borderId="47" applyNumberFormat="0" applyFill="0" applyAlignment="0" applyProtection="0"/>
    <xf numFmtId="173" fontId="17" fillId="0" borderId="47" applyNumberFormat="0" applyFill="0" applyAlignment="0" applyProtection="0"/>
    <xf numFmtId="0" fontId="6" fillId="11" borderId="45" applyNumberFormat="0" applyFont="0" applyAlignment="0" applyProtection="0"/>
    <xf numFmtId="173" fontId="22" fillId="8" borderId="44" applyNumberFormat="0" applyAlignment="0" applyProtection="0"/>
    <xf numFmtId="173" fontId="5" fillId="11" borderId="45" applyNumberFormat="0" applyFont="0" applyAlignment="0" applyProtection="0"/>
    <xf numFmtId="173" fontId="5" fillId="11" borderId="45" applyNumberFormat="0" applyFont="0" applyAlignment="0" applyProtection="0"/>
    <xf numFmtId="173" fontId="22" fillId="8" borderId="44" applyNumberFormat="0" applyAlignment="0" applyProtection="0"/>
    <xf numFmtId="173" fontId="5" fillId="11" borderId="45" applyNumberFormat="0" applyFont="0" applyAlignment="0" applyProtection="0"/>
    <xf numFmtId="0" fontId="17" fillId="0" borderId="47" applyNumberFormat="0" applyFill="0" applyAlignment="0" applyProtection="0"/>
    <xf numFmtId="173" fontId="6" fillId="11" borderId="45" applyNumberFormat="0" applyFont="0" applyAlignment="0" applyProtection="0"/>
    <xf numFmtId="173" fontId="33" fillId="23" borderId="44" applyNumberFormat="0" applyAlignment="0" applyProtection="0"/>
    <xf numFmtId="173" fontId="23" fillId="24" borderId="46" applyNumberFormat="0" applyAlignment="0" applyProtection="0"/>
    <xf numFmtId="173" fontId="17" fillId="0" borderId="47" applyNumberFormat="0" applyFill="0" applyAlignment="0" applyProtection="0"/>
    <xf numFmtId="173" fontId="23" fillId="24" borderId="46" applyNumberFormat="0" applyAlignment="0" applyProtection="0"/>
    <xf numFmtId="173" fontId="5" fillId="11" borderId="45" applyNumberFormat="0" applyFont="0" applyAlignment="0" applyProtection="0"/>
    <xf numFmtId="173" fontId="5" fillId="11" borderId="45" applyNumberFormat="0" applyFont="0" applyAlignment="0" applyProtection="0"/>
    <xf numFmtId="0" fontId="33" fillId="23" borderId="44" applyNumberFormat="0" applyAlignment="0" applyProtection="0"/>
    <xf numFmtId="173" fontId="5" fillId="11" borderId="45" applyNumberFormat="0" applyFont="0" applyAlignment="0" applyProtection="0"/>
    <xf numFmtId="173" fontId="5" fillId="11" borderId="45" applyNumberFormat="0" applyFont="0" applyAlignment="0" applyProtection="0"/>
    <xf numFmtId="173" fontId="22" fillId="14" borderId="44" applyNumberFormat="0" applyAlignment="0" applyProtection="0"/>
    <xf numFmtId="173" fontId="17" fillId="0" borderId="48" applyNumberFormat="0" applyFill="0" applyAlignment="0" applyProtection="0"/>
    <xf numFmtId="43" fontId="4" fillId="0" borderId="0" applyFont="0" applyFill="0" applyBorder="0" applyAlignment="0" applyProtection="0"/>
    <xf numFmtId="173" fontId="23" fillId="23" borderId="46" applyNumberFormat="0" applyAlignment="0" applyProtection="0"/>
    <xf numFmtId="173" fontId="17" fillId="0" borderId="48" applyNumberFormat="0" applyFill="0" applyAlignment="0" applyProtection="0"/>
    <xf numFmtId="173" fontId="22" fillId="14" borderId="44" applyNumberFormat="0" applyAlignment="0" applyProtection="0"/>
    <xf numFmtId="173" fontId="22" fillId="8" borderId="44" applyNumberFormat="0" applyAlignment="0" applyProtection="0"/>
    <xf numFmtId="0" fontId="6" fillId="11" borderId="45" applyNumberFormat="0" applyFont="0" applyAlignment="0" applyProtection="0"/>
    <xf numFmtId="0" fontId="33" fillId="23" borderId="44" applyNumberFormat="0" applyAlignment="0" applyProtection="0"/>
    <xf numFmtId="173" fontId="17" fillId="0" borderId="47" applyNumberFormat="0" applyFill="0" applyAlignment="0" applyProtection="0"/>
    <xf numFmtId="173" fontId="17" fillId="0" borderId="47" applyNumberFormat="0" applyFill="0" applyAlignment="0" applyProtection="0"/>
    <xf numFmtId="0" fontId="65" fillId="0" borderId="0" applyNumberFormat="0" applyFill="0" applyBorder="0" applyAlignment="0" applyProtection="0"/>
    <xf numFmtId="0" fontId="6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80" fontId="6" fillId="0" borderId="0" applyFill="0" applyBorder="0" applyAlignment="0" applyProtection="0"/>
    <xf numFmtId="0" fontId="78" fillId="0" borderId="0"/>
    <xf numFmtId="0" fontId="42" fillId="0" borderId="0" applyNumberFormat="0" applyFill="0" applyBorder="0" applyAlignment="0" applyProtection="0"/>
  </cellStyleXfs>
  <cellXfs count="166">
    <xf numFmtId="0" fontId="0" fillId="0" borderId="0" xfId="0"/>
    <xf numFmtId="0" fontId="67" fillId="0" borderId="0" xfId="0" applyFont="1" applyProtection="1">
      <protection hidden="1"/>
    </xf>
    <xf numFmtId="0" fontId="43" fillId="61" borderId="0" xfId="0" applyFont="1" applyFill="1"/>
    <xf numFmtId="0" fontId="0" fillId="61" borderId="0" xfId="0" applyFill="1"/>
    <xf numFmtId="4" fontId="71" fillId="0" borderId="0" xfId="1417" applyNumberFormat="1" applyFont="1"/>
    <xf numFmtId="0" fontId="73" fillId="61" borderId="0" xfId="0" applyFont="1" applyFill="1"/>
    <xf numFmtId="0" fontId="68" fillId="0" borderId="34" xfId="0" applyFont="1" applyBorder="1" applyAlignment="1">
      <alignment horizontal="center" vertical="center"/>
    </xf>
    <xf numFmtId="14" fontId="68" fillId="0" borderId="34" xfId="0" applyNumberFormat="1" applyFont="1" applyBorder="1" applyAlignment="1">
      <alignment horizontal="center" vertical="center"/>
    </xf>
    <xf numFmtId="0" fontId="72" fillId="61" borderId="0" xfId="0" applyFont="1" applyFill="1" applyAlignment="1">
      <alignment horizontal="center"/>
    </xf>
    <xf numFmtId="0" fontId="70" fillId="28" borderId="52" xfId="0" applyFont="1" applyFill="1" applyBorder="1" applyAlignment="1">
      <alignment horizontal="center" vertical="top"/>
    </xf>
    <xf numFmtId="0" fontId="70" fillId="28" borderId="52" xfId="0" applyFont="1" applyFill="1" applyBorder="1" applyAlignment="1">
      <alignment vertical="top"/>
    </xf>
    <xf numFmtId="0" fontId="70" fillId="61" borderId="0" xfId="0" applyFont="1" applyFill="1" applyAlignment="1">
      <alignment vertical="top"/>
    </xf>
    <xf numFmtId="0" fontId="70" fillId="61" borderId="52" xfId="0" applyFont="1" applyFill="1" applyBorder="1" applyAlignment="1">
      <alignment horizontal="center" vertical="top"/>
    </xf>
    <xf numFmtId="0" fontId="70" fillId="61" borderId="52" xfId="0" applyFont="1" applyFill="1" applyBorder="1" applyAlignment="1">
      <alignment vertical="top"/>
    </xf>
    <xf numFmtId="0" fontId="74" fillId="29" borderId="52" xfId="0" applyFont="1" applyFill="1" applyBorder="1" applyAlignment="1">
      <alignment horizontal="center" vertical="top"/>
    </xf>
    <xf numFmtId="0" fontId="74" fillId="29" borderId="52" xfId="0" applyFont="1" applyFill="1" applyBorder="1" applyAlignment="1">
      <alignment vertical="top"/>
    </xf>
    <xf numFmtId="0" fontId="74" fillId="28" borderId="52" xfId="0" applyFont="1" applyFill="1" applyBorder="1" applyAlignment="1">
      <alignment horizontal="center" vertical="top"/>
    </xf>
    <xf numFmtId="0" fontId="74" fillId="28" borderId="52" xfId="0" applyFont="1" applyFill="1" applyBorder="1" applyAlignment="1">
      <alignment vertical="top"/>
    </xf>
    <xf numFmtId="0" fontId="75" fillId="62" borderId="52" xfId="0" applyFont="1" applyFill="1" applyBorder="1" applyAlignment="1">
      <alignment horizontal="center" vertical="top"/>
    </xf>
    <xf numFmtId="0" fontId="75" fillId="62" borderId="52" xfId="0" applyFont="1" applyFill="1" applyBorder="1" applyAlignment="1">
      <alignment vertical="top"/>
    </xf>
    <xf numFmtId="0" fontId="76" fillId="61" borderId="52" xfId="0" applyFont="1" applyFill="1" applyBorder="1" applyAlignment="1">
      <alignment horizontal="center" vertical="top"/>
    </xf>
    <xf numFmtId="0" fontId="76" fillId="61" borderId="52" xfId="0" applyFont="1" applyFill="1" applyBorder="1" applyAlignment="1">
      <alignment vertical="top"/>
    </xf>
    <xf numFmtId="0" fontId="69" fillId="61" borderId="0" xfId="0" applyFont="1" applyFill="1"/>
    <xf numFmtId="4" fontId="69" fillId="61" borderId="0" xfId="0" applyNumberFormat="1" applyFont="1" applyFill="1"/>
    <xf numFmtId="3" fontId="70" fillId="28" borderId="52" xfId="0" applyNumberFormat="1" applyFont="1" applyFill="1" applyBorder="1" applyAlignment="1" applyProtection="1">
      <alignment horizontal="right" vertical="center"/>
      <protection locked="0"/>
    </xf>
    <xf numFmtId="3" fontId="70" fillId="61" borderId="52" xfId="0" applyNumberFormat="1" applyFont="1" applyFill="1" applyBorder="1" applyAlignment="1" applyProtection="1">
      <alignment horizontal="right" vertical="center"/>
      <protection locked="0"/>
    </xf>
    <xf numFmtId="3" fontId="74" fillId="29" borderId="52" xfId="0" applyNumberFormat="1" applyFont="1" applyFill="1" applyBorder="1" applyAlignment="1">
      <alignment horizontal="right" vertical="center"/>
    </xf>
    <xf numFmtId="3" fontId="74" fillId="28" borderId="52" xfId="0" applyNumberFormat="1" applyFont="1" applyFill="1" applyBorder="1" applyAlignment="1">
      <alignment horizontal="right" vertical="center"/>
    </xf>
    <xf numFmtId="3" fontId="75" fillId="62" borderId="52" xfId="0" applyNumberFormat="1" applyFont="1" applyFill="1" applyBorder="1" applyAlignment="1">
      <alignment horizontal="right" vertical="center"/>
    </xf>
    <xf numFmtId="3" fontId="76" fillId="61" borderId="52" xfId="0" applyNumberFormat="1" applyFont="1" applyFill="1" applyBorder="1" applyAlignment="1">
      <alignment horizontal="right" vertical="center"/>
    </xf>
    <xf numFmtId="0" fontId="79" fillId="61" borderId="0" xfId="4107" applyFont="1" applyFill="1"/>
    <xf numFmtId="0" fontId="78" fillId="61" borderId="0" xfId="4107" applyFill="1" applyProtection="1">
      <protection locked="0"/>
    </xf>
    <xf numFmtId="0" fontId="78" fillId="61" borderId="54" xfId="4107" applyFill="1" applyBorder="1" applyProtection="1">
      <protection locked="0"/>
    </xf>
    <xf numFmtId="0" fontId="80" fillId="61" borderId="53" xfId="4107" applyFont="1" applyFill="1" applyBorder="1"/>
    <xf numFmtId="0" fontId="81" fillId="61" borderId="0" xfId="4107" applyFont="1" applyFill="1" applyProtection="1">
      <protection locked="0"/>
    </xf>
    <xf numFmtId="0" fontId="81" fillId="61" borderId="54" xfId="4107" applyFont="1" applyFill="1" applyBorder="1" applyProtection="1">
      <protection locked="0"/>
    </xf>
    <xf numFmtId="0" fontId="82" fillId="61" borderId="53" xfId="4107" applyFont="1" applyFill="1" applyBorder="1"/>
    <xf numFmtId="3" fontId="82" fillId="61" borderId="0" xfId="4107" applyNumberFormat="1" applyFont="1" applyFill="1" applyProtection="1">
      <protection locked="0"/>
    </xf>
    <xf numFmtId="3" fontId="82" fillId="61" borderId="54" xfId="4107" applyNumberFormat="1" applyFont="1" applyFill="1" applyBorder="1" applyProtection="1">
      <protection locked="0"/>
    </xf>
    <xf numFmtId="0" fontId="82" fillId="61" borderId="55" xfId="4107" applyFont="1" applyFill="1" applyBorder="1"/>
    <xf numFmtId="3" fontId="82" fillId="61" borderId="56" xfId="4107" applyNumberFormat="1" applyFont="1" applyFill="1" applyBorder="1" applyProtection="1">
      <protection locked="0"/>
    </xf>
    <xf numFmtId="3" fontId="82" fillId="61" borderId="57" xfId="4107" applyNumberFormat="1" applyFont="1" applyFill="1" applyBorder="1" applyProtection="1">
      <protection locked="0"/>
    </xf>
    <xf numFmtId="3" fontId="0" fillId="0" borderId="0" xfId="0" applyNumberFormat="1"/>
    <xf numFmtId="0" fontId="70" fillId="61" borderId="0" xfId="0" applyFont="1" applyFill="1" applyAlignment="1">
      <alignment horizontal="center" vertical="top"/>
    </xf>
    <xf numFmtId="0" fontId="70" fillId="61" borderId="0" xfId="0" applyFont="1" applyFill="1" applyAlignment="1">
      <alignment horizontal="left" vertical="top"/>
    </xf>
    <xf numFmtId="4" fontId="70" fillId="61" borderId="0" xfId="0" applyNumberFormat="1" applyFont="1" applyFill="1" applyAlignment="1" applyProtection="1">
      <alignment horizontal="right" vertical="center"/>
      <protection locked="0"/>
    </xf>
    <xf numFmtId="0" fontId="84" fillId="0" borderId="31" xfId="0" applyFont="1" applyBorder="1" applyAlignment="1">
      <alignment vertical="top" wrapText="1"/>
    </xf>
    <xf numFmtId="0" fontId="84" fillId="0" borderId="58" xfId="0" applyFont="1" applyBorder="1" applyAlignment="1">
      <alignment horizontal="center" vertical="top" wrapText="1"/>
    </xf>
    <xf numFmtId="0" fontId="84" fillId="0" borderId="15" xfId="0" applyFont="1" applyBorder="1" applyAlignment="1">
      <alignment horizontal="center" vertical="top" wrapText="1"/>
    </xf>
    <xf numFmtId="0" fontId="0" fillId="0" borderId="15" xfId="0" applyBorder="1"/>
    <xf numFmtId="0" fontId="0" fillId="0" borderId="0" xfId="0" applyAlignment="1">
      <alignment horizontal="center"/>
    </xf>
    <xf numFmtId="49" fontId="85" fillId="0" borderId="50" xfId="0" applyNumberFormat="1" applyFont="1" applyBorder="1" applyAlignment="1">
      <alignment vertical="top" wrapText="1"/>
    </xf>
    <xf numFmtId="0" fontId="85" fillId="0" borderId="59" xfId="0" applyFont="1" applyBorder="1" applyAlignment="1">
      <alignment vertical="top" wrapText="1"/>
    </xf>
    <xf numFmtId="10" fontId="0" fillId="0" borderId="0" xfId="397" applyNumberFormat="1" applyFont="1" applyFill="1"/>
    <xf numFmtId="0" fontId="0" fillId="0" borderId="0" xfId="0" applyAlignment="1">
      <alignment horizontal="center" wrapText="1"/>
    </xf>
    <xf numFmtId="10" fontId="0" fillId="0" borderId="0" xfId="397" applyNumberFormat="1" applyFont="1" applyFill="1" applyAlignment="1">
      <alignment horizontal="center"/>
    </xf>
    <xf numFmtId="49" fontId="77" fillId="0" borderId="50" xfId="0" applyNumberFormat="1" applyFont="1" applyBorder="1" applyAlignment="1">
      <alignment vertical="top" wrapText="1"/>
    </xf>
    <xf numFmtId="0" fontId="77" fillId="0" borderId="59" xfId="0" applyFont="1" applyBorder="1" applyAlignment="1">
      <alignment vertical="top" wrapText="1"/>
    </xf>
    <xf numFmtId="49" fontId="6" fillId="0" borderId="50" xfId="0" applyNumberFormat="1" applyFont="1" applyBorder="1" applyAlignment="1">
      <alignment vertical="top" wrapText="1"/>
    </xf>
    <xf numFmtId="0" fontId="6" fillId="0" borderId="59" xfId="0" applyFont="1" applyBorder="1" applyAlignment="1">
      <alignment vertical="top" wrapText="1"/>
    </xf>
    <xf numFmtId="49" fontId="86" fillId="0" borderId="50" xfId="0" applyNumberFormat="1" applyFont="1" applyBorder="1" applyAlignment="1">
      <alignment vertical="top" wrapText="1"/>
    </xf>
    <xf numFmtId="0" fontId="0" fillId="0" borderId="59" xfId="0" applyBorder="1" applyAlignment="1">
      <alignment vertical="top" wrapText="1"/>
    </xf>
    <xf numFmtId="0" fontId="88" fillId="61" borderId="0" xfId="0" applyFont="1" applyFill="1"/>
    <xf numFmtId="0" fontId="89" fillId="61" borderId="0" xfId="0" applyFont="1" applyFill="1"/>
    <xf numFmtId="0" fontId="90" fillId="61" borderId="0" xfId="0" applyFont="1" applyFill="1" applyAlignment="1">
      <alignment horizontal="left"/>
    </xf>
    <xf numFmtId="0" fontId="91" fillId="61" borderId="0" xfId="0" applyFont="1" applyFill="1"/>
    <xf numFmtId="0" fontId="91" fillId="61" borderId="0" xfId="0" applyFont="1" applyFill="1" applyAlignment="1">
      <alignment horizontal="center"/>
    </xf>
    <xf numFmtId="0" fontId="92" fillId="61" borderId="0" xfId="0" applyFont="1" applyFill="1"/>
    <xf numFmtId="0" fontId="91" fillId="0" borderId="0" xfId="0" applyFont="1" applyProtection="1">
      <protection hidden="1"/>
    </xf>
    <xf numFmtId="0" fontId="93" fillId="0" borderId="64" xfId="0" applyFont="1" applyBorder="1" applyAlignment="1" applyProtection="1">
      <alignment vertical="center"/>
      <protection hidden="1"/>
    </xf>
    <xf numFmtId="0" fontId="93" fillId="0" borderId="0" xfId="0" applyFont="1" applyAlignment="1" applyProtection="1">
      <alignment vertical="center"/>
      <protection hidden="1"/>
    </xf>
    <xf numFmtId="0" fontId="93" fillId="0" borderId="0" xfId="0" applyFont="1" applyAlignment="1" applyProtection="1">
      <alignment horizontal="center" vertical="center"/>
      <protection hidden="1"/>
    </xf>
    <xf numFmtId="0" fontId="93" fillId="0" borderId="67" xfId="0" applyFont="1" applyBorder="1" applyAlignment="1" applyProtection="1">
      <alignment horizontal="center" vertical="center"/>
      <protection hidden="1"/>
    </xf>
    <xf numFmtId="0" fontId="93" fillId="0" borderId="68" xfId="0" applyFont="1" applyBorder="1" applyAlignment="1" applyProtection="1">
      <alignment horizontal="center" vertical="center"/>
      <protection hidden="1"/>
    </xf>
    <xf numFmtId="0" fontId="93" fillId="61" borderId="0" xfId="0" applyFont="1" applyFill="1"/>
    <xf numFmtId="0" fontId="91" fillId="0" borderId="0" xfId="0" applyFont="1" applyAlignment="1" applyProtection="1">
      <alignment horizontal="center" vertical="center"/>
      <protection hidden="1"/>
    </xf>
    <xf numFmtId="0" fontId="93" fillId="0" borderId="0" xfId="0" applyFont="1" applyProtection="1">
      <protection hidden="1"/>
    </xf>
    <xf numFmtId="43" fontId="91" fillId="0" borderId="0" xfId="1417" applyFont="1" applyProtection="1">
      <protection hidden="1"/>
    </xf>
    <xf numFmtId="0" fontId="94" fillId="29" borderId="0" xfId="4108" applyFont="1" applyFill="1" applyAlignment="1">
      <alignment horizontal="center"/>
    </xf>
    <xf numFmtId="0" fontId="93" fillId="0" borderId="0" xfId="0" applyFont="1" applyAlignment="1" applyProtection="1">
      <alignment horizontal="left" vertical="center"/>
      <protection hidden="1"/>
    </xf>
    <xf numFmtId="0" fontId="93" fillId="61" borderId="0" xfId="0" applyFont="1" applyFill="1" applyAlignment="1">
      <alignment vertical="center"/>
    </xf>
    <xf numFmtId="14" fontId="13" fillId="0" borderId="0" xfId="0" applyNumberFormat="1" applyFont="1" applyAlignment="1" applyProtection="1">
      <alignment horizontal="left" vertical="center"/>
      <protection hidden="1"/>
    </xf>
    <xf numFmtId="14" fontId="13" fillId="0" borderId="0" xfId="0" applyNumberFormat="1" applyFont="1" applyAlignment="1" applyProtection="1">
      <alignment horizontal="center" vertical="center"/>
      <protection hidden="1"/>
    </xf>
    <xf numFmtId="0" fontId="92" fillId="61" borderId="0" xfId="0" applyFont="1" applyFill="1" applyAlignment="1">
      <alignment vertical="center"/>
    </xf>
    <xf numFmtId="181" fontId="95" fillId="0" borderId="0" xfId="1417" applyNumberFormat="1" applyFont="1" applyFill="1" applyBorder="1" applyAlignment="1" applyProtection="1">
      <alignment horizontal="center" vertical="center"/>
      <protection hidden="1"/>
    </xf>
    <xf numFmtId="9" fontId="95" fillId="0" borderId="0" xfId="1418" applyFont="1" applyFill="1" applyBorder="1" applyAlignment="1" applyProtection="1">
      <alignment horizontal="center" vertical="center"/>
      <protection hidden="1"/>
    </xf>
    <xf numFmtId="0" fontId="96" fillId="61" borderId="0" xfId="0" applyFont="1" applyFill="1"/>
    <xf numFmtId="14" fontId="97" fillId="0" borderId="0" xfId="0" applyNumberFormat="1" applyFont="1" applyAlignment="1" applyProtection="1">
      <alignment horizontal="left" vertical="center"/>
      <protection hidden="1"/>
    </xf>
    <xf numFmtId="0" fontId="13" fillId="61" borderId="0" xfId="0" applyFont="1" applyFill="1" applyAlignment="1">
      <alignment vertical="top"/>
    </xf>
    <xf numFmtId="0" fontId="91" fillId="0" borderId="0" xfId="0" applyFont="1"/>
    <xf numFmtId="14" fontId="97" fillId="0" borderId="34" xfId="0" applyNumberFormat="1" applyFont="1" applyBorder="1" applyAlignment="1">
      <alignment horizontal="center" vertical="center"/>
    </xf>
    <xf numFmtId="0" fontId="98" fillId="61" borderId="0" xfId="0" applyFont="1" applyFill="1" applyAlignment="1">
      <alignment vertical="center"/>
    </xf>
    <xf numFmtId="0" fontId="91" fillId="61" borderId="0" xfId="0" applyFont="1" applyFill="1" applyAlignment="1">
      <alignment vertical="center"/>
    </xf>
    <xf numFmtId="0" fontId="91" fillId="61" borderId="0" xfId="0" applyFont="1" applyFill="1" applyAlignment="1">
      <alignment horizontal="center" vertical="center"/>
    </xf>
    <xf numFmtId="0" fontId="99" fillId="61" borderId="0" xfId="0" applyFont="1" applyFill="1" applyAlignment="1">
      <alignment horizontal="left" indent="1"/>
    </xf>
    <xf numFmtId="0" fontId="92" fillId="61" borderId="0" xfId="0" applyFont="1" applyFill="1" applyAlignment="1">
      <alignment horizontal="left" indent="3"/>
    </xf>
    <xf numFmtId="0" fontId="91" fillId="61" borderId="0" xfId="0" applyFont="1" applyFill="1" applyAlignment="1">
      <alignment horizontal="left" indent="5"/>
    </xf>
    <xf numFmtId="0" fontId="92" fillId="61" borderId="15" xfId="0" applyFont="1" applyFill="1" applyBorder="1" applyAlignment="1">
      <alignment horizontal="left" indent="3"/>
    </xf>
    <xf numFmtId="0" fontId="91" fillId="61" borderId="15" xfId="0" applyFont="1" applyFill="1" applyBorder="1"/>
    <xf numFmtId="3" fontId="93" fillId="0" borderId="62" xfId="1417" applyNumberFormat="1" applyFont="1" applyFill="1" applyBorder="1"/>
    <xf numFmtId="3" fontId="93" fillId="0" borderId="0" xfId="1417" applyNumberFormat="1" applyFont="1" applyFill="1" applyBorder="1"/>
    <xf numFmtId="0" fontId="99" fillId="61" borderId="0" xfId="0" applyFont="1" applyFill="1"/>
    <xf numFmtId="0" fontId="100" fillId="61" borderId="0" xfId="0" applyFont="1" applyFill="1"/>
    <xf numFmtId="3" fontId="91" fillId="61" borderId="0" xfId="0" applyNumberFormat="1" applyFont="1" applyFill="1"/>
    <xf numFmtId="0" fontId="91" fillId="61" borderId="0" xfId="0" applyFont="1" applyFill="1" applyAlignment="1">
      <alignment horizontal="left" indent="6"/>
    </xf>
    <xf numFmtId="0" fontId="91" fillId="61" borderId="0" xfId="0" quotePrefix="1" applyFont="1" applyFill="1" applyAlignment="1">
      <alignment horizontal="left" indent="6"/>
    </xf>
    <xf numFmtId="4" fontId="93" fillId="0" borderId="0" xfId="1417" applyNumberFormat="1" applyFont="1" applyFill="1" applyBorder="1"/>
    <xf numFmtId="0" fontId="98" fillId="61" borderId="0" xfId="0" applyFont="1" applyFill="1"/>
    <xf numFmtId="0" fontId="101" fillId="61" borderId="0" xfId="0" applyFont="1" applyFill="1"/>
    <xf numFmtId="0" fontId="91" fillId="61" borderId="0" xfId="0" quotePrefix="1" applyFont="1" applyFill="1" applyAlignment="1">
      <alignment horizontal="left" indent="5"/>
    </xf>
    <xf numFmtId="0" fontId="93" fillId="61" borderId="15" xfId="0" applyFont="1" applyFill="1" applyBorder="1"/>
    <xf numFmtId="3" fontId="93" fillId="61" borderId="15" xfId="0" applyNumberFormat="1" applyFont="1" applyFill="1" applyBorder="1"/>
    <xf numFmtId="3" fontId="91" fillId="0" borderId="0" xfId="0" applyNumberFormat="1" applyFont="1"/>
    <xf numFmtId="0" fontId="102" fillId="61" borderId="0" xfId="0" applyFont="1" applyFill="1" applyAlignment="1">
      <alignment vertical="center"/>
    </xf>
    <xf numFmtId="0" fontId="102" fillId="61" borderId="0" xfId="0" applyFont="1" applyFill="1" applyAlignment="1">
      <alignment horizontal="left" vertical="center" indent="2"/>
    </xf>
    <xf numFmtId="0" fontId="104" fillId="61" borderId="0" xfId="0" applyFont="1" applyFill="1" applyAlignment="1">
      <alignment horizontal="center"/>
    </xf>
    <xf numFmtId="0" fontId="104" fillId="61" borderId="0" xfId="0" applyFont="1" applyFill="1"/>
    <xf numFmtId="4" fontId="91" fillId="60" borderId="60" xfId="0" applyNumberFormat="1" applyFont="1" applyFill="1" applyBorder="1" applyProtection="1">
      <protection locked="0"/>
    </xf>
    <xf numFmtId="3" fontId="91" fillId="0" borderId="61" xfId="0" applyNumberFormat="1" applyFont="1" applyBorder="1"/>
    <xf numFmtId="3" fontId="91" fillId="60" borderId="60" xfId="0" applyNumberFormat="1" applyFont="1" applyFill="1" applyBorder="1" applyProtection="1">
      <protection locked="0"/>
    </xf>
    <xf numFmtId="3" fontId="91" fillId="60" borderId="63" xfId="0" applyNumberFormat="1" applyFont="1" applyFill="1" applyBorder="1" applyProtection="1">
      <protection locked="0"/>
    </xf>
    <xf numFmtId="182" fontId="99" fillId="61" borderId="0" xfId="0" applyNumberFormat="1" applyFont="1" applyFill="1"/>
    <xf numFmtId="0" fontId="93" fillId="61" borderId="0" xfId="0" applyFont="1" applyFill="1" applyAlignment="1">
      <alignment horizontal="left" indent="5"/>
    </xf>
    <xf numFmtId="3" fontId="93" fillId="61" borderId="0" xfId="0" applyNumberFormat="1" applyFont="1" applyFill="1"/>
    <xf numFmtId="0" fontId="106" fillId="61" borderId="0" xfId="0" applyFont="1" applyFill="1"/>
    <xf numFmtId="14" fontId="93" fillId="61" borderId="0" xfId="0" applyNumberFormat="1" applyFont="1" applyFill="1"/>
    <xf numFmtId="0" fontId="91" fillId="60" borderId="0" xfId="0" applyFont="1" applyFill="1" applyProtection="1">
      <protection locked="0"/>
    </xf>
    <xf numFmtId="43" fontId="91" fillId="60" borderId="60" xfId="1417" applyFont="1" applyFill="1" applyBorder="1" applyProtection="1">
      <protection locked="0"/>
    </xf>
    <xf numFmtId="4" fontId="93" fillId="61" borderId="15" xfId="0" applyNumberFormat="1" applyFont="1" applyFill="1" applyBorder="1"/>
    <xf numFmtId="0" fontId="93" fillId="61" borderId="49" xfId="0" applyFont="1" applyFill="1" applyBorder="1"/>
    <xf numFmtId="0" fontId="91" fillId="61" borderId="69" xfId="0" applyFont="1" applyFill="1" applyBorder="1"/>
    <xf numFmtId="10" fontId="93" fillId="61" borderId="69" xfId="1418" applyNumberFormat="1" applyFont="1" applyFill="1" applyBorder="1"/>
    <xf numFmtId="10" fontId="93" fillId="61" borderId="70" xfId="1418" applyNumberFormat="1" applyFont="1" applyFill="1" applyBorder="1"/>
    <xf numFmtId="0" fontId="90" fillId="0" borderId="71" xfId="0" applyFont="1" applyBorder="1"/>
    <xf numFmtId="0" fontId="90" fillId="0" borderId="15" xfId="0" applyFont="1" applyBorder="1"/>
    <xf numFmtId="10" fontId="90" fillId="0" borderId="15" xfId="1418" applyNumberFormat="1" applyFont="1" applyFill="1" applyBorder="1"/>
    <xf numFmtId="10" fontId="90" fillId="0" borderId="31" xfId="1418" applyNumberFormat="1" applyFont="1" applyFill="1" applyBorder="1"/>
    <xf numFmtId="0" fontId="90" fillId="61" borderId="71" xfId="0" applyFont="1" applyFill="1" applyBorder="1"/>
    <xf numFmtId="9" fontId="93" fillId="61" borderId="69" xfId="1418" applyFont="1" applyFill="1" applyBorder="1"/>
    <xf numFmtId="9" fontId="93" fillId="61" borderId="70" xfId="1418" applyFont="1" applyFill="1" applyBorder="1"/>
    <xf numFmtId="10" fontId="91" fillId="0" borderId="15" xfId="1418" applyNumberFormat="1" applyFont="1" applyFill="1" applyBorder="1"/>
    <xf numFmtId="10" fontId="91" fillId="0" borderId="31" xfId="1418" applyNumberFormat="1" applyFont="1" applyFill="1" applyBorder="1"/>
    <xf numFmtId="0" fontId="91" fillId="61" borderId="71" xfId="0" applyFont="1" applyFill="1" applyBorder="1"/>
    <xf numFmtId="4" fontId="91" fillId="0" borderId="60" xfId="0" applyNumberFormat="1" applyFont="1" applyBorder="1"/>
    <xf numFmtId="14" fontId="13" fillId="60" borderId="65" xfId="0" applyNumberFormat="1" applyFont="1" applyFill="1" applyBorder="1" applyAlignment="1" applyProtection="1">
      <alignment horizontal="center" vertical="center"/>
      <protection locked="0" hidden="1"/>
    </xf>
    <xf numFmtId="14" fontId="13" fillId="60" borderId="51" xfId="0" applyNumberFormat="1" applyFont="1" applyFill="1" applyBorder="1" applyAlignment="1" applyProtection="1">
      <alignment horizontal="center" vertical="center"/>
      <protection locked="0" hidden="1"/>
    </xf>
    <xf numFmtId="183" fontId="99" fillId="61" borderId="0" xfId="0" applyNumberFormat="1" applyFont="1" applyFill="1"/>
    <xf numFmtId="10" fontId="91" fillId="61" borderId="0" xfId="0" applyNumberFormat="1" applyFont="1" applyFill="1"/>
    <xf numFmtId="14" fontId="91" fillId="0" borderId="0" xfId="0" applyNumberFormat="1" applyFont="1"/>
    <xf numFmtId="0" fontId="103" fillId="61" borderId="0" xfId="0" applyFont="1" applyFill="1" applyAlignment="1">
      <alignment horizontal="left" vertical="center"/>
    </xf>
    <xf numFmtId="0" fontId="105" fillId="61" borderId="0" xfId="0" applyFont="1" applyFill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left" vertical="center"/>
      <protection hidden="1"/>
    </xf>
    <xf numFmtId="14" fontId="13" fillId="0" borderId="67" xfId="0" applyNumberFormat="1" applyFont="1" applyBorder="1" applyAlignment="1" applyProtection="1">
      <alignment horizontal="left" vertical="center"/>
      <protection hidden="1"/>
    </xf>
    <xf numFmtId="14" fontId="13" fillId="0" borderId="68" xfId="0" applyNumberFormat="1" applyFont="1" applyBorder="1" applyAlignment="1" applyProtection="1">
      <alignment horizontal="left" vertical="center"/>
      <protection hidden="1"/>
    </xf>
    <xf numFmtId="14" fontId="13" fillId="60" borderId="66" xfId="0" applyNumberFormat="1" applyFont="1" applyFill="1" applyBorder="1" applyAlignment="1" applyProtection="1">
      <alignment horizontal="left" vertical="center"/>
      <protection locked="0" hidden="1"/>
    </xf>
    <xf numFmtId="14" fontId="13" fillId="60" borderId="67" xfId="0" applyNumberFormat="1" applyFont="1" applyFill="1" applyBorder="1" applyAlignment="1" applyProtection="1">
      <alignment horizontal="left" vertical="center"/>
      <protection locked="0" hidden="1"/>
    </xf>
    <xf numFmtId="14" fontId="13" fillId="60" borderId="68" xfId="0" applyNumberFormat="1" applyFont="1" applyFill="1" applyBorder="1" applyAlignment="1" applyProtection="1">
      <alignment horizontal="left" vertical="center"/>
      <protection locked="0" hidden="1"/>
    </xf>
    <xf numFmtId="0" fontId="93" fillId="60" borderId="66" xfId="0" applyFont="1" applyFill="1" applyBorder="1" applyAlignment="1" applyProtection="1">
      <alignment horizontal="center" vertical="center"/>
      <protection locked="0" hidden="1"/>
    </xf>
    <xf numFmtId="0" fontId="93" fillId="60" borderId="67" xfId="0" applyFont="1" applyFill="1" applyBorder="1" applyAlignment="1" applyProtection="1">
      <alignment horizontal="center" vertical="center"/>
      <protection locked="0" hidden="1"/>
    </xf>
    <xf numFmtId="0" fontId="93" fillId="60" borderId="68" xfId="0" applyFont="1" applyFill="1" applyBorder="1" applyAlignment="1" applyProtection="1">
      <alignment horizontal="center" vertical="center"/>
      <protection locked="0" hidden="1"/>
    </xf>
    <xf numFmtId="2" fontId="13" fillId="0" borderId="66" xfId="0" applyNumberFormat="1" applyFont="1" applyBorder="1" applyAlignment="1" applyProtection="1">
      <alignment horizontal="left" vertical="center" shrinkToFit="1"/>
      <protection hidden="1"/>
    </xf>
    <xf numFmtId="2" fontId="13" fillId="0" borderId="67" xfId="0" applyNumberFormat="1" applyFont="1" applyBorder="1" applyAlignment="1" applyProtection="1">
      <alignment horizontal="left" vertical="center" shrinkToFit="1"/>
      <protection hidden="1"/>
    </xf>
    <xf numFmtId="2" fontId="13" fillId="0" borderId="68" xfId="0" applyNumberFormat="1" applyFont="1" applyBorder="1" applyAlignment="1" applyProtection="1">
      <alignment horizontal="left" vertical="center" shrinkToFit="1"/>
      <protection hidden="1"/>
    </xf>
    <xf numFmtId="0" fontId="13" fillId="60" borderId="66" xfId="0" applyFont="1" applyFill="1" applyBorder="1" applyAlignment="1" applyProtection="1">
      <alignment horizontal="center" vertical="center"/>
      <protection locked="0" hidden="1"/>
    </xf>
    <xf numFmtId="0" fontId="13" fillId="60" borderId="68" xfId="0" applyFont="1" applyFill="1" applyBorder="1" applyAlignment="1" applyProtection="1">
      <alignment horizontal="center" vertical="center"/>
      <protection locked="0" hidden="1"/>
    </xf>
    <xf numFmtId="0" fontId="107" fillId="0" borderId="0" xfId="0" applyFont="1" applyAlignment="1">
      <alignment horizontal="center"/>
    </xf>
  </cellXfs>
  <cellStyles count="4109">
    <cellStyle name="20% - Accent1" xfId="2" xr:uid="{00000000-0005-0000-0000-000000000000}"/>
    <cellStyle name="20% - Accent1 2" xfId="498" xr:uid="{00000000-0005-0000-0000-000001000000}"/>
    <cellStyle name="20% - Accent1 3" xfId="952" xr:uid="{00000000-0005-0000-0000-000002000000}"/>
    <cellStyle name="20% - Accent2" xfId="3" xr:uid="{00000000-0005-0000-0000-000003000000}"/>
    <cellStyle name="20% - Accent2 2" xfId="499" xr:uid="{00000000-0005-0000-0000-000004000000}"/>
    <cellStyle name="20% - Accent2 3" xfId="953" xr:uid="{00000000-0005-0000-0000-000005000000}"/>
    <cellStyle name="20% - Accent3" xfId="4" xr:uid="{00000000-0005-0000-0000-000006000000}"/>
    <cellStyle name="20% - Accent3 2" xfId="500" xr:uid="{00000000-0005-0000-0000-000007000000}"/>
    <cellStyle name="20% - Accent3 3" xfId="954" xr:uid="{00000000-0005-0000-0000-000008000000}"/>
    <cellStyle name="20% - Accent4" xfId="5" xr:uid="{00000000-0005-0000-0000-000009000000}"/>
    <cellStyle name="20% - Accent4 2" xfId="501" xr:uid="{00000000-0005-0000-0000-00000A000000}"/>
    <cellStyle name="20% - Accent4 3" xfId="955" xr:uid="{00000000-0005-0000-0000-00000B000000}"/>
    <cellStyle name="20% - Accent5" xfId="6" xr:uid="{00000000-0005-0000-0000-00000C000000}"/>
    <cellStyle name="20% - Accent5 2" xfId="502" xr:uid="{00000000-0005-0000-0000-00000D000000}"/>
    <cellStyle name="20% - Accent5 3" xfId="956" xr:uid="{00000000-0005-0000-0000-00000E000000}"/>
    <cellStyle name="20% - Accent6" xfId="7" xr:uid="{00000000-0005-0000-0000-00000F000000}"/>
    <cellStyle name="20% - Accent6 2" xfId="503" xr:uid="{00000000-0005-0000-0000-000010000000}"/>
    <cellStyle name="20% - Accent6 3" xfId="957" xr:uid="{00000000-0005-0000-0000-000011000000}"/>
    <cellStyle name="20% - Colore 1" xfId="1952" builtinId="30" customBuiltin="1"/>
    <cellStyle name="20% - Colore 1 10" xfId="2677" xr:uid="{00000000-0005-0000-0000-000013000000}"/>
    <cellStyle name="20% - Colore 1 10 2" xfId="2678" xr:uid="{00000000-0005-0000-0000-000014000000}"/>
    <cellStyle name="20% - Colore 1 10 2 2" xfId="2679" xr:uid="{00000000-0005-0000-0000-000015000000}"/>
    <cellStyle name="20% - Colore 1 10 3" xfId="2680" xr:uid="{00000000-0005-0000-0000-000016000000}"/>
    <cellStyle name="20% - Colore 1 10 3 2" xfId="2681" xr:uid="{00000000-0005-0000-0000-000017000000}"/>
    <cellStyle name="20% - Colore 1 10 4" xfId="2682" xr:uid="{00000000-0005-0000-0000-000018000000}"/>
    <cellStyle name="20% - Colore 1 10 5" xfId="2683" xr:uid="{00000000-0005-0000-0000-000019000000}"/>
    <cellStyle name="20% - Colore 1 11" xfId="2684" xr:uid="{00000000-0005-0000-0000-00001A000000}"/>
    <cellStyle name="20% - Colore 1 11 2" xfId="2685" xr:uid="{00000000-0005-0000-0000-00001B000000}"/>
    <cellStyle name="20% - Colore 1 11 2 2" xfId="2686" xr:uid="{00000000-0005-0000-0000-00001C000000}"/>
    <cellStyle name="20% - Colore 1 11 3" xfId="2687" xr:uid="{00000000-0005-0000-0000-00001D000000}"/>
    <cellStyle name="20% - Colore 1 11 3 2" xfId="2688" xr:uid="{00000000-0005-0000-0000-00001E000000}"/>
    <cellStyle name="20% - Colore 1 11 4" xfId="2689" xr:uid="{00000000-0005-0000-0000-00001F000000}"/>
    <cellStyle name="20% - Colore 1 11 5" xfId="2690" xr:uid="{00000000-0005-0000-0000-000020000000}"/>
    <cellStyle name="20% - Colore 1 12" xfId="2691" xr:uid="{00000000-0005-0000-0000-000021000000}"/>
    <cellStyle name="20% - Colore 1 12 2" xfId="2692" xr:uid="{00000000-0005-0000-0000-000022000000}"/>
    <cellStyle name="20% - Colore 1 12 2 2" xfId="2693" xr:uid="{00000000-0005-0000-0000-000023000000}"/>
    <cellStyle name="20% - Colore 1 12 3" xfId="2694" xr:uid="{00000000-0005-0000-0000-000024000000}"/>
    <cellStyle name="20% - Colore 1 12 3 2" xfId="2695" xr:uid="{00000000-0005-0000-0000-000025000000}"/>
    <cellStyle name="20% - Colore 1 12 4" xfId="2696" xr:uid="{00000000-0005-0000-0000-000026000000}"/>
    <cellStyle name="20% - Colore 1 12 5" xfId="2697" xr:uid="{00000000-0005-0000-0000-000027000000}"/>
    <cellStyle name="20% - Colore 1 2" xfId="8" xr:uid="{00000000-0005-0000-0000-000028000000}"/>
    <cellStyle name="20% - Colore 1 2 2" xfId="505" xr:uid="{00000000-0005-0000-0000-000029000000}"/>
    <cellStyle name="20% - Colore 1 2 3" xfId="943" xr:uid="{00000000-0005-0000-0000-00002A000000}"/>
    <cellStyle name="20% - Colore 1 3" xfId="9" xr:uid="{00000000-0005-0000-0000-00002B000000}"/>
    <cellStyle name="20% - Colore 1 3 2" xfId="506" xr:uid="{00000000-0005-0000-0000-00002C000000}"/>
    <cellStyle name="20% - Colore 1 3 2 2" xfId="2698" xr:uid="{00000000-0005-0000-0000-00002D000000}"/>
    <cellStyle name="20% - Colore 1 3 3" xfId="942" xr:uid="{00000000-0005-0000-0000-00002E000000}"/>
    <cellStyle name="20% - Colore 1 3 3 2" xfId="2699" xr:uid="{00000000-0005-0000-0000-00002F000000}"/>
    <cellStyle name="20% - Colore 1 3 4" xfId="2700" xr:uid="{00000000-0005-0000-0000-000030000000}"/>
    <cellStyle name="20% - Colore 1 3 5" xfId="2701" xr:uid="{00000000-0005-0000-0000-000031000000}"/>
    <cellStyle name="20% - Colore 1 4" xfId="504" xr:uid="{00000000-0005-0000-0000-000032000000}"/>
    <cellStyle name="20% - Colore 1 4 2" xfId="2702" xr:uid="{00000000-0005-0000-0000-000033000000}"/>
    <cellStyle name="20% - Colore 1 4 2 2" xfId="2703" xr:uid="{00000000-0005-0000-0000-000034000000}"/>
    <cellStyle name="20% - Colore 1 4 3" xfId="2704" xr:uid="{00000000-0005-0000-0000-000035000000}"/>
    <cellStyle name="20% - Colore 1 4 3 2" xfId="2705" xr:uid="{00000000-0005-0000-0000-000036000000}"/>
    <cellStyle name="20% - Colore 1 4 4" xfId="2706" xr:uid="{00000000-0005-0000-0000-000037000000}"/>
    <cellStyle name="20% - Colore 1 4 5" xfId="2707" xr:uid="{00000000-0005-0000-0000-000038000000}"/>
    <cellStyle name="20% - Colore 1 5" xfId="2708" xr:uid="{00000000-0005-0000-0000-000039000000}"/>
    <cellStyle name="20% - Colore 1 5 2" xfId="2709" xr:uid="{00000000-0005-0000-0000-00003A000000}"/>
    <cellStyle name="20% - Colore 1 5 2 2" xfId="2710" xr:uid="{00000000-0005-0000-0000-00003B000000}"/>
    <cellStyle name="20% - Colore 1 5 3" xfId="2711" xr:uid="{00000000-0005-0000-0000-00003C000000}"/>
    <cellStyle name="20% - Colore 1 5 3 2" xfId="2712" xr:uid="{00000000-0005-0000-0000-00003D000000}"/>
    <cellStyle name="20% - Colore 1 5 4" xfId="2713" xr:uid="{00000000-0005-0000-0000-00003E000000}"/>
    <cellStyle name="20% - Colore 1 5 5" xfId="2714" xr:uid="{00000000-0005-0000-0000-00003F000000}"/>
    <cellStyle name="20% - Colore 1 6" xfId="2715" xr:uid="{00000000-0005-0000-0000-000040000000}"/>
    <cellStyle name="20% - Colore 1 6 2" xfId="2716" xr:uid="{00000000-0005-0000-0000-000041000000}"/>
    <cellStyle name="20% - Colore 1 6 2 2" xfId="2717" xr:uid="{00000000-0005-0000-0000-000042000000}"/>
    <cellStyle name="20% - Colore 1 6 3" xfId="2718" xr:uid="{00000000-0005-0000-0000-000043000000}"/>
    <cellStyle name="20% - Colore 1 6 3 2" xfId="2719" xr:uid="{00000000-0005-0000-0000-000044000000}"/>
    <cellStyle name="20% - Colore 1 6 4" xfId="2720" xr:uid="{00000000-0005-0000-0000-000045000000}"/>
    <cellStyle name="20% - Colore 1 6 5" xfId="2721" xr:uid="{00000000-0005-0000-0000-000046000000}"/>
    <cellStyle name="20% - Colore 1 7" xfId="2722" xr:uid="{00000000-0005-0000-0000-000047000000}"/>
    <cellStyle name="20% - Colore 1 7 2" xfId="2723" xr:uid="{00000000-0005-0000-0000-000048000000}"/>
    <cellStyle name="20% - Colore 1 7 2 2" xfId="2724" xr:uid="{00000000-0005-0000-0000-000049000000}"/>
    <cellStyle name="20% - Colore 1 7 3" xfId="2725" xr:uid="{00000000-0005-0000-0000-00004A000000}"/>
    <cellStyle name="20% - Colore 1 7 3 2" xfId="2726" xr:uid="{00000000-0005-0000-0000-00004B000000}"/>
    <cellStyle name="20% - Colore 1 7 4" xfId="2727" xr:uid="{00000000-0005-0000-0000-00004C000000}"/>
    <cellStyle name="20% - Colore 1 7 5" xfId="2728" xr:uid="{00000000-0005-0000-0000-00004D000000}"/>
    <cellStyle name="20% - Colore 1 8" xfId="2729" xr:uid="{00000000-0005-0000-0000-00004E000000}"/>
    <cellStyle name="20% - Colore 1 8 2" xfId="2730" xr:uid="{00000000-0005-0000-0000-00004F000000}"/>
    <cellStyle name="20% - Colore 1 8 2 2" xfId="2731" xr:uid="{00000000-0005-0000-0000-000050000000}"/>
    <cellStyle name="20% - Colore 1 8 3" xfId="2732" xr:uid="{00000000-0005-0000-0000-000051000000}"/>
    <cellStyle name="20% - Colore 1 8 3 2" xfId="2733" xr:uid="{00000000-0005-0000-0000-000052000000}"/>
    <cellStyle name="20% - Colore 1 8 4" xfId="2734" xr:uid="{00000000-0005-0000-0000-000053000000}"/>
    <cellStyle name="20% - Colore 1 8 5" xfId="2735" xr:uid="{00000000-0005-0000-0000-000054000000}"/>
    <cellStyle name="20% - Colore 1 9" xfId="2736" xr:uid="{00000000-0005-0000-0000-000055000000}"/>
    <cellStyle name="20% - Colore 1 9 2" xfId="2737" xr:uid="{00000000-0005-0000-0000-000056000000}"/>
    <cellStyle name="20% - Colore 1 9 2 2" xfId="2738" xr:uid="{00000000-0005-0000-0000-000057000000}"/>
    <cellStyle name="20% - Colore 1 9 3" xfId="2739" xr:uid="{00000000-0005-0000-0000-000058000000}"/>
    <cellStyle name="20% - Colore 1 9 3 2" xfId="2740" xr:uid="{00000000-0005-0000-0000-000059000000}"/>
    <cellStyle name="20% - Colore 1 9 4" xfId="2741" xr:uid="{00000000-0005-0000-0000-00005A000000}"/>
    <cellStyle name="20% - Colore 1 9 5" xfId="2742" xr:uid="{00000000-0005-0000-0000-00005B000000}"/>
    <cellStyle name="20% - Colore 2" xfId="1956" builtinId="34" customBuiltin="1"/>
    <cellStyle name="20% - Colore 2 10" xfId="2743" xr:uid="{00000000-0005-0000-0000-00005D000000}"/>
    <cellStyle name="20% - Colore 2 10 2" xfId="2744" xr:uid="{00000000-0005-0000-0000-00005E000000}"/>
    <cellStyle name="20% - Colore 2 10 2 2" xfId="2745" xr:uid="{00000000-0005-0000-0000-00005F000000}"/>
    <cellStyle name="20% - Colore 2 10 3" xfId="2746" xr:uid="{00000000-0005-0000-0000-000060000000}"/>
    <cellStyle name="20% - Colore 2 10 3 2" xfId="2747" xr:uid="{00000000-0005-0000-0000-000061000000}"/>
    <cellStyle name="20% - Colore 2 10 4" xfId="2748" xr:uid="{00000000-0005-0000-0000-000062000000}"/>
    <cellStyle name="20% - Colore 2 10 5" xfId="2749" xr:uid="{00000000-0005-0000-0000-000063000000}"/>
    <cellStyle name="20% - Colore 2 11" xfId="2750" xr:uid="{00000000-0005-0000-0000-000064000000}"/>
    <cellStyle name="20% - Colore 2 11 2" xfId="2751" xr:uid="{00000000-0005-0000-0000-000065000000}"/>
    <cellStyle name="20% - Colore 2 11 2 2" xfId="2752" xr:uid="{00000000-0005-0000-0000-000066000000}"/>
    <cellStyle name="20% - Colore 2 11 3" xfId="2753" xr:uid="{00000000-0005-0000-0000-000067000000}"/>
    <cellStyle name="20% - Colore 2 11 3 2" xfId="2754" xr:uid="{00000000-0005-0000-0000-000068000000}"/>
    <cellStyle name="20% - Colore 2 11 4" xfId="2755" xr:uid="{00000000-0005-0000-0000-000069000000}"/>
    <cellStyle name="20% - Colore 2 11 5" xfId="2756" xr:uid="{00000000-0005-0000-0000-00006A000000}"/>
    <cellStyle name="20% - Colore 2 12" xfId="2757" xr:uid="{00000000-0005-0000-0000-00006B000000}"/>
    <cellStyle name="20% - Colore 2 12 2" xfId="2758" xr:uid="{00000000-0005-0000-0000-00006C000000}"/>
    <cellStyle name="20% - Colore 2 12 2 2" xfId="2759" xr:uid="{00000000-0005-0000-0000-00006D000000}"/>
    <cellStyle name="20% - Colore 2 12 3" xfId="2760" xr:uid="{00000000-0005-0000-0000-00006E000000}"/>
    <cellStyle name="20% - Colore 2 12 3 2" xfId="2761" xr:uid="{00000000-0005-0000-0000-00006F000000}"/>
    <cellStyle name="20% - Colore 2 12 4" xfId="2762" xr:uid="{00000000-0005-0000-0000-000070000000}"/>
    <cellStyle name="20% - Colore 2 12 5" xfId="2763" xr:uid="{00000000-0005-0000-0000-000071000000}"/>
    <cellStyle name="20% - Colore 2 2" xfId="10" xr:uid="{00000000-0005-0000-0000-000072000000}"/>
    <cellStyle name="20% - Colore 2 2 2" xfId="508" xr:uid="{00000000-0005-0000-0000-000073000000}"/>
    <cellStyle name="20% - Colore 2 2 3" xfId="941" xr:uid="{00000000-0005-0000-0000-000074000000}"/>
    <cellStyle name="20% - Colore 2 3" xfId="11" xr:uid="{00000000-0005-0000-0000-000075000000}"/>
    <cellStyle name="20% - Colore 2 3 2" xfId="509" xr:uid="{00000000-0005-0000-0000-000076000000}"/>
    <cellStyle name="20% - Colore 2 3 2 2" xfId="2764" xr:uid="{00000000-0005-0000-0000-000077000000}"/>
    <cellStyle name="20% - Colore 2 3 3" xfId="940" xr:uid="{00000000-0005-0000-0000-000078000000}"/>
    <cellStyle name="20% - Colore 2 3 3 2" xfId="2765" xr:uid="{00000000-0005-0000-0000-000079000000}"/>
    <cellStyle name="20% - Colore 2 3 4" xfId="2766" xr:uid="{00000000-0005-0000-0000-00007A000000}"/>
    <cellStyle name="20% - Colore 2 3 5" xfId="2767" xr:uid="{00000000-0005-0000-0000-00007B000000}"/>
    <cellStyle name="20% - Colore 2 4" xfId="507" xr:uid="{00000000-0005-0000-0000-00007C000000}"/>
    <cellStyle name="20% - Colore 2 4 2" xfId="2768" xr:uid="{00000000-0005-0000-0000-00007D000000}"/>
    <cellStyle name="20% - Colore 2 4 2 2" xfId="2769" xr:uid="{00000000-0005-0000-0000-00007E000000}"/>
    <cellStyle name="20% - Colore 2 4 3" xfId="2770" xr:uid="{00000000-0005-0000-0000-00007F000000}"/>
    <cellStyle name="20% - Colore 2 4 3 2" xfId="2771" xr:uid="{00000000-0005-0000-0000-000080000000}"/>
    <cellStyle name="20% - Colore 2 4 4" xfId="2772" xr:uid="{00000000-0005-0000-0000-000081000000}"/>
    <cellStyle name="20% - Colore 2 4 5" xfId="2773" xr:uid="{00000000-0005-0000-0000-000082000000}"/>
    <cellStyle name="20% - Colore 2 5" xfId="2774" xr:uid="{00000000-0005-0000-0000-000083000000}"/>
    <cellStyle name="20% - Colore 2 5 2" xfId="2775" xr:uid="{00000000-0005-0000-0000-000084000000}"/>
    <cellStyle name="20% - Colore 2 5 2 2" xfId="2776" xr:uid="{00000000-0005-0000-0000-000085000000}"/>
    <cellStyle name="20% - Colore 2 5 3" xfId="2777" xr:uid="{00000000-0005-0000-0000-000086000000}"/>
    <cellStyle name="20% - Colore 2 5 3 2" xfId="2778" xr:uid="{00000000-0005-0000-0000-000087000000}"/>
    <cellStyle name="20% - Colore 2 5 4" xfId="2779" xr:uid="{00000000-0005-0000-0000-000088000000}"/>
    <cellStyle name="20% - Colore 2 5 5" xfId="2780" xr:uid="{00000000-0005-0000-0000-000089000000}"/>
    <cellStyle name="20% - Colore 2 6" xfId="2781" xr:uid="{00000000-0005-0000-0000-00008A000000}"/>
    <cellStyle name="20% - Colore 2 6 2" xfId="2782" xr:uid="{00000000-0005-0000-0000-00008B000000}"/>
    <cellStyle name="20% - Colore 2 6 2 2" xfId="2783" xr:uid="{00000000-0005-0000-0000-00008C000000}"/>
    <cellStyle name="20% - Colore 2 6 3" xfId="2784" xr:uid="{00000000-0005-0000-0000-00008D000000}"/>
    <cellStyle name="20% - Colore 2 6 3 2" xfId="2785" xr:uid="{00000000-0005-0000-0000-00008E000000}"/>
    <cellStyle name="20% - Colore 2 6 4" xfId="2786" xr:uid="{00000000-0005-0000-0000-00008F000000}"/>
    <cellStyle name="20% - Colore 2 6 5" xfId="2787" xr:uid="{00000000-0005-0000-0000-000090000000}"/>
    <cellStyle name="20% - Colore 2 7" xfId="2788" xr:uid="{00000000-0005-0000-0000-000091000000}"/>
    <cellStyle name="20% - Colore 2 7 2" xfId="2789" xr:uid="{00000000-0005-0000-0000-000092000000}"/>
    <cellStyle name="20% - Colore 2 7 2 2" xfId="2790" xr:uid="{00000000-0005-0000-0000-000093000000}"/>
    <cellStyle name="20% - Colore 2 7 3" xfId="2791" xr:uid="{00000000-0005-0000-0000-000094000000}"/>
    <cellStyle name="20% - Colore 2 7 3 2" xfId="2792" xr:uid="{00000000-0005-0000-0000-000095000000}"/>
    <cellStyle name="20% - Colore 2 7 4" xfId="2793" xr:uid="{00000000-0005-0000-0000-000096000000}"/>
    <cellStyle name="20% - Colore 2 7 5" xfId="2794" xr:uid="{00000000-0005-0000-0000-000097000000}"/>
    <cellStyle name="20% - Colore 2 8" xfId="2795" xr:uid="{00000000-0005-0000-0000-000098000000}"/>
    <cellStyle name="20% - Colore 2 8 2" xfId="2796" xr:uid="{00000000-0005-0000-0000-000099000000}"/>
    <cellStyle name="20% - Colore 2 8 2 2" xfId="2797" xr:uid="{00000000-0005-0000-0000-00009A000000}"/>
    <cellStyle name="20% - Colore 2 8 3" xfId="2798" xr:uid="{00000000-0005-0000-0000-00009B000000}"/>
    <cellStyle name="20% - Colore 2 8 3 2" xfId="2799" xr:uid="{00000000-0005-0000-0000-00009C000000}"/>
    <cellStyle name="20% - Colore 2 8 4" xfId="2800" xr:uid="{00000000-0005-0000-0000-00009D000000}"/>
    <cellStyle name="20% - Colore 2 8 5" xfId="2801" xr:uid="{00000000-0005-0000-0000-00009E000000}"/>
    <cellStyle name="20% - Colore 2 9" xfId="2802" xr:uid="{00000000-0005-0000-0000-00009F000000}"/>
    <cellStyle name="20% - Colore 2 9 2" xfId="2803" xr:uid="{00000000-0005-0000-0000-0000A0000000}"/>
    <cellStyle name="20% - Colore 2 9 2 2" xfId="2804" xr:uid="{00000000-0005-0000-0000-0000A1000000}"/>
    <cellStyle name="20% - Colore 2 9 3" xfId="2805" xr:uid="{00000000-0005-0000-0000-0000A2000000}"/>
    <cellStyle name="20% - Colore 2 9 3 2" xfId="2806" xr:uid="{00000000-0005-0000-0000-0000A3000000}"/>
    <cellStyle name="20% - Colore 2 9 4" xfId="2807" xr:uid="{00000000-0005-0000-0000-0000A4000000}"/>
    <cellStyle name="20% - Colore 2 9 5" xfId="2808" xr:uid="{00000000-0005-0000-0000-0000A5000000}"/>
    <cellStyle name="20% - Colore 3" xfId="1960" builtinId="38" customBuiltin="1"/>
    <cellStyle name="20% - Colore 3 10" xfId="2809" xr:uid="{00000000-0005-0000-0000-0000A7000000}"/>
    <cellStyle name="20% - Colore 3 10 2" xfId="2810" xr:uid="{00000000-0005-0000-0000-0000A8000000}"/>
    <cellStyle name="20% - Colore 3 10 2 2" xfId="2811" xr:uid="{00000000-0005-0000-0000-0000A9000000}"/>
    <cellStyle name="20% - Colore 3 10 3" xfId="2812" xr:uid="{00000000-0005-0000-0000-0000AA000000}"/>
    <cellStyle name="20% - Colore 3 10 3 2" xfId="2813" xr:uid="{00000000-0005-0000-0000-0000AB000000}"/>
    <cellStyle name="20% - Colore 3 10 4" xfId="2814" xr:uid="{00000000-0005-0000-0000-0000AC000000}"/>
    <cellStyle name="20% - Colore 3 10 5" xfId="2815" xr:uid="{00000000-0005-0000-0000-0000AD000000}"/>
    <cellStyle name="20% - Colore 3 11" xfId="2816" xr:uid="{00000000-0005-0000-0000-0000AE000000}"/>
    <cellStyle name="20% - Colore 3 11 2" xfId="2817" xr:uid="{00000000-0005-0000-0000-0000AF000000}"/>
    <cellStyle name="20% - Colore 3 11 2 2" xfId="2818" xr:uid="{00000000-0005-0000-0000-0000B0000000}"/>
    <cellStyle name="20% - Colore 3 11 3" xfId="2819" xr:uid="{00000000-0005-0000-0000-0000B1000000}"/>
    <cellStyle name="20% - Colore 3 11 3 2" xfId="2820" xr:uid="{00000000-0005-0000-0000-0000B2000000}"/>
    <cellStyle name="20% - Colore 3 11 4" xfId="2821" xr:uid="{00000000-0005-0000-0000-0000B3000000}"/>
    <cellStyle name="20% - Colore 3 11 5" xfId="2822" xr:uid="{00000000-0005-0000-0000-0000B4000000}"/>
    <cellStyle name="20% - Colore 3 12" xfId="2823" xr:uid="{00000000-0005-0000-0000-0000B5000000}"/>
    <cellStyle name="20% - Colore 3 12 2" xfId="2824" xr:uid="{00000000-0005-0000-0000-0000B6000000}"/>
    <cellStyle name="20% - Colore 3 12 2 2" xfId="2825" xr:uid="{00000000-0005-0000-0000-0000B7000000}"/>
    <cellStyle name="20% - Colore 3 12 3" xfId="2826" xr:uid="{00000000-0005-0000-0000-0000B8000000}"/>
    <cellStyle name="20% - Colore 3 12 3 2" xfId="2827" xr:uid="{00000000-0005-0000-0000-0000B9000000}"/>
    <cellStyle name="20% - Colore 3 12 4" xfId="2828" xr:uid="{00000000-0005-0000-0000-0000BA000000}"/>
    <cellStyle name="20% - Colore 3 12 5" xfId="2829" xr:uid="{00000000-0005-0000-0000-0000BB000000}"/>
    <cellStyle name="20% - Colore 3 2" xfId="12" xr:uid="{00000000-0005-0000-0000-0000BC000000}"/>
    <cellStyle name="20% - Colore 3 2 2" xfId="511" xr:uid="{00000000-0005-0000-0000-0000BD000000}"/>
    <cellStyle name="20% - Colore 3 2 3" xfId="939" xr:uid="{00000000-0005-0000-0000-0000BE000000}"/>
    <cellStyle name="20% - Colore 3 3" xfId="13" xr:uid="{00000000-0005-0000-0000-0000BF000000}"/>
    <cellStyle name="20% - Colore 3 3 2" xfId="512" xr:uid="{00000000-0005-0000-0000-0000C0000000}"/>
    <cellStyle name="20% - Colore 3 3 2 2" xfId="2830" xr:uid="{00000000-0005-0000-0000-0000C1000000}"/>
    <cellStyle name="20% - Colore 3 3 3" xfId="937" xr:uid="{00000000-0005-0000-0000-0000C2000000}"/>
    <cellStyle name="20% - Colore 3 3 3 2" xfId="2831" xr:uid="{00000000-0005-0000-0000-0000C3000000}"/>
    <cellStyle name="20% - Colore 3 3 4" xfId="2832" xr:uid="{00000000-0005-0000-0000-0000C4000000}"/>
    <cellStyle name="20% - Colore 3 3 5" xfId="2833" xr:uid="{00000000-0005-0000-0000-0000C5000000}"/>
    <cellStyle name="20% - Colore 3 4" xfId="510" xr:uid="{00000000-0005-0000-0000-0000C6000000}"/>
    <cellStyle name="20% - Colore 3 4 2" xfId="2834" xr:uid="{00000000-0005-0000-0000-0000C7000000}"/>
    <cellStyle name="20% - Colore 3 4 2 2" xfId="2835" xr:uid="{00000000-0005-0000-0000-0000C8000000}"/>
    <cellStyle name="20% - Colore 3 4 3" xfId="2836" xr:uid="{00000000-0005-0000-0000-0000C9000000}"/>
    <cellStyle name="20% - Colore 3 4 3 2" xfId="2837" xr:uid="{00000000-0005-0000-0000-0000CA000000}"/>
    <cellStyle name="20% - Colore 3 4 4" xfId="2838" xr:uid="{00000000-0005-0000-0000-0000CB000000}"/>
    <cellStyle name="20% - Colore 3 4 5" xfId="2839" xr:uid="{00000000-0005-0000-0000-0000CC000000}"/>
    <cellStyle name="20% - Colore 3 5" xfId="2840" xr:uid="{00000000-0005-0000-0000-0000CD000000}"/>
    <cellStyle name="20% - Colore 3 5 2" xfId="2841" xr:uid="{00000000-0005-0000-0000-0000CE000000}"/>
    <cellStyle name="20% - Colore 3 5 2 2" xfId="2842" xr:uid="{00000000-0005-0000-0000-0000CF000000}"/>
    <cellStyle name="20% - Colore 3 5 3" xfId="2843" xr:uid="{00000000-0005-0000-0000-0000D0000000}"/>
    <cellStyle name="20% - Colore 3 5 3 2" xfId="2844" xr:uid="{00000000-0005-0000-0000-0000D1000000}"/>
    <cellStyle name="20% - Colore 3 5 4" xfId="2845" xr:uid="{00000000-0005-0000-0000-0000D2000000}"/>
    <cellStyle name="20% - Colore 3 5 5" xfId="2846" xr:uid="{00000000-0005-0000-0000-0000D3000000}"/>
    <cellStyle name="20% - Colore 3 6" xfId="2847" xr:uid="{00000000-0005-0000-0000-0000D4000000}"/>
    <cellStyle name="20% - Colore 3 6 2" xfId="2848" xr:uid="{00000000-0005-0000-0000-0000D5000000}"/>
    <cellStyle name="20% - Colore 3 6 2 2" xfId="2849" xr:uid="{00000000-0005-0000-0000-0000D6000000}"/>
    <cellStyle name="20% - Colore 3 6 3" xfId="2850" xr:uid="{00000000-0005-0000-0000-0000D7000000}"/>
    <cellStyle name="20% - Colore 3 6 3 2" xfId="2851" xr:uid="{00000000-0005-0000-0000-0000D8000000}"/>
    <cellStyle name="20% - Colore 3 6 4" xfId="2852" xr:uid="{00000000-0005-0000-0000-0000D9000000}"/>
    <cellStyle name="20% - Colore 3 6 5" xfId="2853" xr:uid="{00000000-0005-0000-0000-0000DA000000}"/>
    <cellStyle name="20% - Colore 3 7" xfId="2854" xr:uid="{00000000-0005-0000-0000-0000DB000000}"/>
    <cellStyle name="20% - Colore 3 7 2" xfId="2855" xr:uid="{00000000-0005-0000-0000-0000DC000000}"/>
    <cellStyle name="20% - Colore 3 7 2 2" xfId="2856" xr:uid="{00000000-0005-0000-0000-0000DD000000}"/>
    <cellStyle name="20% - Colore 3 7 3" xfId="2857" xr:uid="{00000000-0005-0000-0000-0000DE000000}"/>
    <cellStyle name="20% - Colore 3 7 3 2" xfId="2858" xr:uid="{00000000-0005-0000-0000-0000DF000000}"/>
    <cellStyle name="20% - Colore 3 7 4" xfId="2859" xr:uid="{00000000-0005-0000-0000-0000E0000000}"/>
    <cellStyle name="20% - Colore 3 7 5" xfId="2860" xr:uid="{00000000-0005-0000-0000-0000E1000000}"/>
    <cellStyle name="20% - Colore 3 8" xfId="2861" xr:uid="{00000000-0005-0000-0000-0000E2000000}"/>
    <cellStyle name="20% - Colore 3 8 2" xfId="2862" xr:uid="{00000000-0005-0000-0000-0000E3000000}"/>
    <cellStyle name="20% - Colore 3 8 2 2" xfId="2863" xr:uid="{00000000-0005-0000-0000-0000E4000000}"/>
    <cellStyle name="20% - Colore 3 8 3" xfId="2864" xr:uid="{00000000-0005-0000-0000-0000E5000000}"/>
    <cellStyle name="20% - Colore 3 8 3 2" xfId="2865" xr:uid="{00000000-0005-0000-0000-0000E6000000}"/>
    <cellStyle name="20% - Colore 3 8 4" xfId="2866" xr:uid="{00000000-0005-0000-0000-0000E7000000}"/>
    <cellStyle name="20% - Colore 3 8 5" xfId="2867" xr:uid="{00000000-0005-0000-0000-0000E8000000}"/>
    <cellStyle name="20% - Colore 3 9" xfId="2868" xr:uid="{00000000-0005-0000-0000-0000E9000000}"/>
    <cellStyle name="20% - Colore 3 9 2" xfId="2869" xr:uid="{00000000-0005-0000-0000-0000EA000000}"/>
    <cellStyle name="20% - Colore 3 9 2 2" xfId="2870" xr:uid="{00000000-0005-0000-0000-0000EB000000}"/>
    <cellStyle name="20% - Colore 3 9 3" xfId="2871" xr:uid="{00000000-0005-0000-0000-0000EC000000}"/>
    <cellStyle name="20% - Colore 3 9 3 2" xfId="2872" xr:uid="{00000000-0005-0000-0000-0000ED000000}"/>
    <cellStyle name="20% - Colore 3 9 4" xfId="2873" xr:uid="{00000000-0005-0000-0000-0000EE000000}"/>
    <cellStyle name="20% - Colore 3 9 5" xfId="2874" xr:uid="{00000000-0005-0000-0000-0000EF000000}"/>
    <cellStyle name="20% - Colore 4" xfId="1964" builtinId="42" customBuiltin="1"/>
    <cellStyle name="20% - Colore 4 10" xfId="2875" xr:uid="{00000000-0005-0000-0000-0000F1000000}"/>
    <cellStyle name="20% - Colore 4 10 2" xfId="2876" xr:uid="{00000000-0005-0000-0000-0000F2000000}"/>
    <cellStyle name="20% - Colore 4 10 2 2" xfId="2877" xr:uid="{00000000-0005-0000-0000-0000F3000000}"/>
    <cellStyle name="20% - Colore 4 10 3" xfId="2878" xr:uid="{00000000-0005-0000-0000-0000F4000000}"/>
    <cellStyle name="20% - Colore 4 10 3 2" xfId="2879" xr:uid="{00000000-0005-0000-0000-0000F5000000}"/>
    <cellStyle name="20% - Colore 4 10 4" xfId="2880" xr:uid="{00000000-0005-0000-0000-0000F6000000}"/>
    <cellStyle name="20% - Colore 4 10 5" xfId="2881" xr:uid="{00000000-0005-0000-0000-0000F7000000}"/>
    <cellStyle name="20% - Colore 4 11" xfId="2882" xr:uid="{00000000-0005-0000-0000-0000F8000000}"/>
    <cellStyle name="20% - Colore 4 11 2" xfId="2883" xr:uid="{00000000-0005-0000-0000-0000F9000000}"/>
    <cellStyle name="20% - Colore 4 11 2 2" xfId="2884" xr:uid="{00000000-0005-0000-0000-0000FA000000}"/>
    <cellStyle name="20% - Colore 4 11 3" xfId="2885" xr:uid="{00000000-0005-0000-0000-0000FB000000}"/>
    <cellStyle name="20% - Colore 4 11 3 2" xfId="2886" xr:uid="{00000000-0005-0000-0000-0000FC000000}"/>
    <cellStyle name="20% - Colore 4 11 4" xfId="2887" xr:uid="{00000000-0005-0000-0000-0000FD000000}"/>
    <cellStyle name="20% - Colore 4 11 5" xfId="2888" xr:uid="{00000000-0005-0000-0000-0000FE000000}"/>
    <cellStyle name="20% - Colore 4 12" xfId="2889" xr:uid="{00000000-0005-0000-0000-0000FF000000}"/>
    <cellStyle name="20% - Colore 4 12 2" xfId="2890" xr:uid="{00000000-0005-0000-0000-000000010000}"/>
    <cellStyle name="20% - Colore 4 12 2 2" xfId="2891" xr:uid="{00000000-0005-0000-0000-000001010000}"/>
    <cellStyle name="20% - Colore 4 12 3" xfId="2892" xr:uid="{00000000-0005-0000-0000-000002010000}"/>
    <cellStyle name="20% - Colore 4 12 3 2" xfId="2893" xr:uid="{00000000-0005-0000-0000-000003010000}"/>
    <cellStyle name="20% - Colore 4 12 4" xfId="2894" xr:uid="{00000000-0005-0000-0000-000004010000}"/>
    <cellStyle name="20% - Colore 4 12 5" xfId="2895" xr:uid="{00000000-0005-0000-0000-000005010000}"/>
    <cellStyle name="20% - Colore 4 2" xfId="14" xr:uid="{00000000-0005-0000-0000-000006010000}"/>
    <cellStyle name="20% - Colore 4 2 2" xfId="514" xr:uid="{00000000-0005-0000-0000-000007010000}"/>
    <cellStyle name="20% - Colore 4 2 3" xfId="936" xr:uid="{00000000-0005-0000-0000-000008010000}"/>
    <cellStyle name="20% - Colore 4 3" xfId="15" xr:uid="{00000000-0005-0000-0000-000009010000}"/>
    <cellStyle name="20% - Colore 4 3 2" xfId="515" xr:uid="{00000000-0005-0000-0000-00000A010000}"/>
    <cellStyle name="20% - Colore 4 3 2 2" xfId="2896" xr:uid="{00000000-0005-0000-0000-00000B010000}"/>
    <cellStyle name="20% - Colore 4 3 3" xfId="935" xr:uid="{00000000-0005-0000-0000-00000C010000}"/>
    <cellStyle name="20% - Colore 4 3 3 2" xfId="2897" xr:uid="{00000000-0005-0000-0000-00000D010000}"/>
    <cellStyle name="20% - Colore 4 3 4" xfId="2898" xr:uid="{00000000-0005-0000-0000-00000E010000}"/>
    <cellStyle name="20% - Colore 4 3 5" xfId="2899" xr:uid="{00000000-0005-0000-0000-00000F010000}"/>
    <cellStyle name="20% - Colore 4 4" xfId="513" xr:uid="{00000000-0005-0000-0000-000010010000}"/>
    <cellStyle name="20% - Colore 4 4 2" xfId="2900" xr:uid="{00000000-0005-0000-0000-000011010000}"/>
    <cellStyle name="20% - Colore 4 4 2 2" xfId="2901" xr:uid="{00000000-0005-0000-0000-000012010000}"/>
    <cellStyle name="20% - Colore 4 4 3" xfId="2902" xr:uid="{00000000-0005-0000-0000-000013010000}"/>
    <cellStyle name="20% - Colore 4 4 3 2" xfId="2903" xr:uid="{00000000-0005-0000-0000-000014010000}"/>
    <cellStyle name="20% - Colore 4 4 4" xfId="2904" xr:uid="{00000000-0005-0000-0000-000015010000}"/>
    <cellStyle name="20% - Colore 4 4 5" xfId="2905" xr:uid="{00000000-0005-0000-0000-000016010000}"/>
    <cellStyle name="20% - Colore 4 5" xfId="2906" xr:uid="{00000000-0005-0000-0000-000017010000}"/>
    <cellStyle name="20% - Colore 4 5 2" xfId="2907" xr:uid="{00000000-0005-0000-0000-000018010000}"/>
    <cellStyle name="20% - Colore 4 5 2 2" xfId="2908" xr:uid="{00000000-0005-0000-0000-000019010000}"/>
    <cellStyle name="20% - Colore 4 5 3" xfId="2909" xr:uid="{00000000-0005-0000-0000-00001A010000}"/>
    <cellStyle name="20% - Colore 4 5 3 2" xfId="2910" xr:uid="{00000000-0005-0000-0000-00001B010000}"/>
    <cellStyle name="20% - Colore 4 5 4" xfId="2911" xr:uid="{00000000-0005-0000-0000-00001C010000}"/>
    <cellStyle name="20% - Colore 4 5 5" xfId="2912" xr:uid="{00000000-0005-0000-0000-00001D010000}"/>
    <cellStyle name="20% - Colore 4 6" xfId="2913" xr:uid="{00000000-0005-0000-0000-00001E010000}"/>
    <cellStyle name="20% - Colore 4 6 2" xfId="2914" xr:uid="{00000000-0005-0000-0000-00001F010000}"/>
    <cellStyle name="20% - Colore 4 6 2 2" xfId="2915" xr:uid="{00000000-0005-0000-0000-000020010000}"/>
    <cellStyle name="20% - Colore 4 6 3" xfId="2916" xr:uid="{00000000-0005-0000-0000-000021010000}"/>
    <cellStyle name="20% - Colore 4 6 3 2" xfId="2917" xr:uid="{00000000-0005-0000-0000-000022010000}"/>
    <cellStyle name="20% - Colore 4 6 4" xfId="2918" xr:uid="{00000000-0005-0000-0000-000023010000}"/>
    <cellStyle name="20% - Colore 4 6 5" xfId="2919" xr:uid="{00000000-0005-0000-0000-000024010000}"/>
    <cellStyle name="20% - Colore 4 7" xfId="2920" xr:uid="{00000000-0005-0000-0000-000025010000}"/>
    <cellStyle name="20% - Colore 4 7 2" xfId="2921" xr:uid="{00000000-0005-0000-0000-000026010000}"/>
    <cellStyle name="20% - Colore 4 7 2 2" xfId="2922" xr:uid="{00000000-0005-0000-0000-000027010000}"/>
    <cellStyle name="20% - Colore 4 7 3" xfId="2923" xr:uid="{00000000-0005-0000-0000-000028010000}"/>
    <cellStyle name="20% - Colore 4 7 3 2" xfId="2924" xr:uid="{00000000-0005-0000-0000-000029010000}"/>
    <cellStyle name="20% - Colore 4 7 4" xfId="2925" xr:uid="{00000000-0005-0000-0000-00002A010000}"/>
    <cellStyle name="20% - Colore 4 7 5" xfId="2926" xr:uid="{00000000-0005-0000-0000-00002B010000}"/>
    <cellStyle name="20% - Colore 4 8" xfId="2927" xr:uid="{00000000-0005-0000-0000-00002C010000}"/>
    <cellStyle name="20% - Colore 4 8 2" xfId="2928" xr:uid="{00000000-0005-0000-0000-00002D010000}"/>
    <cellStyle name="20% - Colore 4 8 2 2" xfId="2929" xr:uid="{00000000-0005-0000-0000-00002E010000}"/>
    <cellStyle name="20% - Colore 4 8 3" xfId="2930" xr:uid="{00000000-0005-0000-0000-00002F010000}"/>
    <cellStyle name="20% - Colore 4 8 3 2" xfId="2931" xr:uid="{00000000-0005-0000-0000-000030010000}"/>
    <cellStyle name="20% - Colore 4 8 4" xfId="2932" xr:uid="{00000000-0005-0000-0000-000031010000}"/>
    <cellStyle name="20% - Colore 4 8 5" xfId="2933" xr:uid="{00000000-0005-0000-0000-000032010000}"/>
    <cellStyle name="20% - Colore 4 9" xfId="2934" xr:uid="{00000000-0005-0000-0000-000033010000}"/>
    <cellStyle name="20% - Colore 4 9 2" xfId="2935" xr:uid="{00000000-0005-0000-0000-000034010000}"/>
    <cellStyle name="20% - Colore 4 9 2 2" xfId="2936" xr:uid="{00000000-0005-0000-0000-000035010000}"/>
    <cellStyle name="20% - Colore 4 9 3" xfId="2937" xr:uid="{00000000-0005-0000-0000-000036010000}"/>
    <cellStyle name="20% - Colore 4 9 3 2" xfId="2938" xr:uid="{00000000-0005-0000-0000-000037010000}"/>
    <cellStyle name="20% - Colore 4 9 4" xfId="2939" xr:uid="{00000000-0005-0000-0000-000038010000}"/>
    <cellStyle name="20% - Colore 4 9 5" xfId="2940" xr:uid="{00000000-0005-0000-0000-000039010000}"/>
    <cellStyle name="20% - Colore 5" xfId="1968" builtinId="46" customBuiltin="1"/>
    <cellStyle name="20% - Colore 5 10" xfId="2941" xr:uid="{00000000-0005-0000-0000-00003B010000}"/>
    <cellStyle name="20% - Colore 5 10 2" xfId="2942" xr:uid="{00000000-0005-0000-0000-00003C010000}"/>
    <cellStyle name="20% - Colore 5 10 2 2" xfId="2943" xr:uid="{00000000-0005-0000-0000-00003D010000}"/>
    <cellStyle name="20% - Colore 5 10 3" xfId="2944" xr:uid="{00000000-0005-0000-0000-00003E010000}"/>
    <cellStyle name="20% - Colore 5 10 3 2" xfId="2945" xr:uid="{00000000-0005-0000-0000-00003F010000}"/>
    <cellStyle name="20% - Colore 5 10 4" xfId="2946" xr:uid="{00000000-0005-0000-0000-000040010000}"/>
    <cellStyle name="20% - Colore 5 10 5" xfId="2947" xr:uid="{00000000-0005-0000-0000-000041010000}"/>
    <cellStyle name="20% - Colore 5 11" xfId="2948" xr:uid="{00000000-0005-0000-0000-000042010000}"/>
    <cellStyle name="20% - Colore 5 11 2" xfId="2949" xr:uid="{00000000-0005-0000-0000-000043010000}"/>
    <cellStyle name="20% - Colore 5 11 2 2" xfId="2950" xr:uid="{00000000-0005-0000-0000-000044010000}"/>
    <cellStyle name="20% - Colore 5 11 3" xfId="2951" xr:uid="{00000000-0005-0000-0000-000045010000}"/>
    <cellStyle name="20% - Colore 5 11 3 2" xfId="2952" xr:uid="{00000000-0005-0000-0000-000046010000}"/>
    <cellStyle name="20% - Colore 5 11 4" xfId="2953" xr:uid="{00000000-0005-0000-0000-000047010000}"/>
    <cellStyle name="20% - Colore 5 11 5" xfId="2954" xr:uid="{00000000-0005-0000-0000-000048010000}"/>
    <cellStyle name="20% - Colore 5 12" xfId="2955" xr:uid="{00000000-0005-0000-0000-000049010000}"/>
    <cellStyle name="20% - Colore 5 12 2" xfId="2956" xr:uid="{00000000-0005-0000-0000-00004A010000}"/>
    <cellStyle name="20% - Colore 5 12 2 2" xfId="2957" xr:uid="{00000000-0005-0000-0000-00004B010000}"/>
    <cellStyle name="20% - Colore 5 12 3" xfId="2958" xr:uid="{00000000-0005-0000-0000-00004C010000}"/>
    <cellStyle name="20% - Colore 5 12 3 2" xfId="2959" xr:uid="{00000000-0005-0000-0000-00004D010000}"/>
    <cellStyle name="20% - Colore 5 12 4" xfId="2960" xr:uid="{00000000-0005-0000-0000-00004E010000}"/>
    <cellStyle name="20% - Colore 5 12 5" xfId="2961" xr:uid="{00000000-0005-0000-0000-00004F010000}"/>
    <cellStyle name="20% - Colore 5 2" xfId="16" xr:uid="{00000000-0005-0000-0000-000050010000}"/>
    <cellStyle name="20% - Colore 5 2 2" xfId="517" xr:uid="{00000000-0005-0000-0000-000051010000}"/>
    <cellStyle name="20% - Colore 5 2 3" xfId="934" xr:uid="{00000000-0005-0000-0000-000052010000}"/>
    <cellStyle name="20% - Colore 5 3" xfId="516" xr:uid="{00000000-0005-0000-0000-000053010000}"/>
    <cellStyle name="20% - Colore 5 3 2" xfId="2962" xr:uid="{00000000-0005-0000-0000-000054010000}"/>
    <cellStyle name="20% - Colore 5 3 2 2" xfId="2963" xr:uid="{00000000-0005-0000-0000-000055010000}"/>
    <cellStyle name="20% - Colore 5 3 3" xfId="2964" xr:uid="{00000000-0005-0000-0000-000056010000}"/>
    <cellStyle name="20% - Colore 5 3 3 2" xfId="2965" xr:uid="{00000000-0005-0000-0000-000057010000}"/>
    <cellStyle name="20% - Colore 5 3 4" xfId="2966" xr:uid="{00000000-0005-0000-0000-000058010000}"/>
    <cellStyle name="20% - Colore 5 3 5" xfId="2967" xr:uid="{00000000-0005-0000-0000-000059010000}"/>
    <cellStyle name="20% - Colore 5 4" xfId="2968" xr:uid="{00000000-0005-0000-0000-00005A010000}"/>
    <cellStyle name="20% - Colore 5 4 2" xfId="2969" xr:uid="{00000000-0005-0000-0000-00005B010000}"/>
    <cellStyle name="20% - Colore 5 4 2 2" xfId="2970" xr:uid="{00000000-0005-0000-0000-00005C010000}"/>
    <cellStyle name="20% - Colore 5 4 3" xfId="2971" xr:uid="{00000000-0005-0000-0000-00005D010000}"/>
    <cellStyle name="20% - Colore 5 4 3 2" xfId="2972" xr:uid="{00000000-0005-0000-0000-00005E010000}"/>
    <cellStyle name="20% - Colore 5 4 4" xfId="2973" xr:uid="{00000000-0005-0000-0000-00005F010000}"/>
    <cellStyle name="20% - Colore 5 4 5" xfId="2974" xr:uid="{00000000-0005-0000-0000-000060010000}"/>
    <cellStyle name="20% - Colore 5 5" xfId="2975" xr:uid="{00000000-0005-0000-0000-000061010000}"/>
    <cellStyle name="20% - Colore 5 5 2" xfId="2976" xr:uid="{00000000-0005-0000-0000-000062010000}"/>
    <cellStyle name="20% - Colore 5 5 2 2" xfId="2977" xr:uid="{00000000-0005-0000-0000-000063010000}"/>
    <cellStyle name="20% - Colore 5 5 3" xfId="2978" xr:uid="{00000000-0005-0000-0000-000064010000}"/>
    <cellStyle name="20% - Colore 5 5 3 2" xfId="2979" xr:uid="{00000000-0005-0000-0000-000065010000}"/>
    <cellStyle name="20% - Colore 5 5 4" xfId="2980" xr:uid="{00000000-0005-0000-0000-000066010000}"/>
    <cellStyle name="20% - Colore 5 5 5" xfId="2981" xr:uid="{00000000-0005-0000-0000-000067010000}"/>
    <cellStyle name="20% - Colore 5 6" xfId="2982" xr:uid="{00000000-0005-0000-0000-000068010000}"/>
    <cellStyle name="20% - Colore 5 6 2" xfId="2983" xr:uid="{00000000-0005-0000-0000-000069010000}"/>
    <cellStyle name="20% - Colore 5 6 2 2" xfId="2984" xr:uid="{00000000-0005-0000-0000-00006A010000}"/>
    <cellStyle name="20% - Colore 5 6 3" xfId="2985" xr:uid="{00000000-0005-0000-0000-00006B010000}"/>
    <cellStyle name="20% - Colore 5 6 3 2" xfId="2986" xr:uid="{00000000-0005-0000-0000-00006C010000}"/>
    <cellStyle name="20% - Colore 5 6 4" xfId="2987" xr:uid="{00000000-0005-0000-0000-00006D010000}"/>
    <cellStyle name="20% - Colore 5 6 5" xfId="2988" xr:uid="{00000000-0005-0000-0000-00006E010000}"/>
    <cellStyle name="20% - Colore 5 7" xfId="2989" xr:uid="{00000000-0005-0000-0000-00006F010000}"/>
    <cellStyle name="20% - Colore 5 7 2" xfId="2990" xr:uid="{00000000-0005-0000-0000-000070010000}"/>
    <cellStyle name="20% - Colore 5 7 2 2" xfId="2991" xr:uid="{00000000-0005-0000-0000-000071010000}"/>
    <cellStyle name="20% - Colore 5 7 3" xfId="2992" xr:uid="{00000000-0005-0000-0000-000072010000}"/>
    <cellStyle name="20% - Colore 5 7 3 2" xfId="2993" xr:uid="{00000000-0005-0000-0000-000073010000}"/>
    <cellStyle name="20% - Colore 5 7 4" xfId="2994" xr:uid="{00000000-0005-0000-0000-000074010000}"/>
    <cellStyle name="20% - Colore 5 7 5" xfId="2995" xr:uid="{00000000-0005-0000-0000-000075010000}"/>
    <cellStyle name="20% - Colore 5 8" xfId="2996" xr:uid="{00000000-0005-0000-0000-000076010000}"/>
    <cellStyle name="20% - Colore 5 8 2" xfId="2997" xr:uid="{00000000-0005-0000-0000-000077010000}"/>
    <cellStyle name="20% - Colore 5 8 2 2" xfId="2998" xr:uid="{00000000-0005-0000-0000-000078010000}"/>
    <cellStyle name="20% - Colore 5 8 3" xfId="2999" xr:uid="{00000000-0005-0000-0000-000079010000}"/>
    <cellStyle name="20% - Colore 5 8 3 2" xfId="3000" xr:uid="{00000000-0005-0000-0000-00007A010000}"/>
    <cellStyle name="20% - Colore 5 8 4" xfId="3001" xr:uid="{00000000-0005-0000-0000-00007B010000}"/>
    <cellStyle name="20% - Colore 5 8 5" xfId="3002" xr:uid="{00000000-0005-0000-0000-00007C010000}"/>
    <cellStyle name="20% - Colore 5 9" xfId="3003" xr:uid="{00000000-0005-0000-0000-00007D010000}"/>
    <cellStyle name="20% - Colore 5 9 2" xfId="3004" xr:uid="{00000000-0005-0000-0000-00007E010000}"/>
    <cellStyle name="20% - Colore 5 9 2 2" xfId="3005" xr:uid="{00000000-0005-0000-0000-00007F010000}"/>
    <cellStyle name="20% - Colore 5 9 3" xfId="3006" xr:uid="{00000000-0005-0000-0000-000080010000}"/>
    <cellStyle name="20% - Colore 5 9 3 2" xfId="3007" xr:uid="{00000000-0005-0000-0000-000081010000}"/>
    <cellStyle name="20% - Colore 5 9 4" xfId="3008" xr:uid="{00000000-0005-0000-0000-000082010000}"/>
    <cellStyle name="20% - Colore 5 9 5" xfId="3009" xr:uid="{00000000-0005-0000-0000-000083010000}"/>
    <cellStyle name="20% - Colore 6" xfId="1972" builtinId="50" customBuiltin="1"/>
    <cellStyle name="20% - Colore 6 10" xfId="3010" xr:uid="{00000000-0005-0000-0000-000085010000}"/>
    <cellStyle name="20% - Colore 6 10 2" xfId="3011" xr:uid="{00000000-0005-0000-0000-000086010000}"/>
    <cellStyle name="20% - Colore 6 10 2 2" xfId="3012" xr:uid="{00000000-0005-0000-0000-000087010000}"/>
    <cellStyle name="20% - Colore 6 10 3" xfId="3013" xr:uid="{00000000-0005-0000-0000-000088010000}"/>
    <cellStyle name="20% - Colore 6 10 3 2" xfId="3014" xr:uid="{00000000-0005-0000-0000-000089010000}"/>
    <cellStyle name="20% - Colore 6 10 4" xfId="3015" xr:uid="{00000000-0005-0000-0000-00008A010000}"/>
    <cellStyle name="20% - Colore 6 10 5" xfId="3016" xr:uid="{00000000-0005-0000-0000-00008B010000}"/>
    <cellStyle name="20% - Colore 6 11" xfId="3017" xr:uid="{00000000-0005-0000-0000-00008C010000}"/>
    <cellStyle name="20% - Colore 6 11 2" xfId="3018" xr:uid="{00000000-0005-0000-0000-00008D010000}"/>
    <cellStyle name="20% - Colore 6 11 2 2" xfId="3019" xr:uid="{00000000-0005-0000-0000-00008E010000}"/>
    <cellStyle name="20% - Colore 6 11 3" xfId="3020" xr:uid="{00000000-0005-0000-0000-00008F010000}"/>
    <cellStyle name="20% - Colore 6 11 3 2" xfId="3021" xr:uid="{00000000-0005-0000-0000-000090010000}"/>
    <cellStyle name="20% - Colore 6 11 4" xfId="3022" xr:uid="{00000000-0005-0000-0000-000091010000}"/>
    <cellStyle name="20% - Colore 6 11 5" xfId="3023" xr:uid="{00000000-0005-0000-0000-000092010000}"/>
    <cellStyle name="20% - Colore 6 12" xfId="3024" xr:uid="{00000000-0005-0000-0000-000093010000}"/>
    <cellStyle name="20% - Colore 6 12 2" xfId="3025" xr:uid="{00000000-0005-0000-0000-000094010000}"/>
    <cellStyle name="20% - Colore 6 12 2 2" xfId="3026" xr:uid="{00000000-0005-0000-0000-000095010000}"/>
    <cellStyle name="20% - Colore 6 12 3" xfId="3027" xr:uid="{00000000-0005-0000-0000-000096010000}"/>
    <cellStyle name="20% - Colore 6 12 3 2" xfId="3028" xr:uid="{00000000-0005-0000-0000-000097010000}"/>
    <cellStyle name="20% - Colore 6 12 4" xfId="3029" xr:uid="{00000000-0005-0000-0000-000098010000}"/>
    <cellStyle name="20% - Colore 6 12 5" xfId="3030" xr:uid="{00000000-0005-0000-0000-000099010000}"/>
    <cellStyle name="20% - Colore 6 2" xfId="17" xr:uid="{00000000-0005-0000-0000-00009A010000}"/>
    <cellStyle name="20% - Colore 6 2 2" xfId="519" xr:uid="{00000000-0005-0000-0000-00009B010000}"/>
    <cellStyle name="20% - Colore 6 2 3" xfId="932" xr:uid="{00000000-0005-0000-0000-00009C010000}"/>
    <cellStyle name="20% - Colore 6 3" xfId="18" xr:uid="{00000000-0005-0000-0000-00009D010000}"/>
    <cellStyle name="20% - Colore 6 3 2" xfId="520" xr:uid="{00000000-0005-0000-0000-00009E010000}"/>
    <cellStyle name="20% - Colore 6 3 2 2" xfId="3031" xr:uid="{00000000-0005-0000-0000-00009F010000}"/>
    <cellStyle name="20% - Colore 6 3 3" xfId="931" xr:uid="{00000000-0005-0000-0000-0000A0010000}"/>
    <cellStyle name="20% - Colore 6 3 3 2" xfId="3032" xr:uid="{00000000-0005-0000-0000-0000A1010000}"/>
    <cellStyle name="20% - Colore 6 3 4" xfId="3033" xr:uid="{00000000-0005-0000-0000-0000A2010000}"/>
    <cellStyle name="20% - Colore 6 3 5" xfId="3034" xr:uid="{00000000-0005-0000-0000-0000A3010000}"/>
    <cellStyle name="20% - Colore 6 4" xfId="518" xr:uid="{00000000-0005-0000-0000-0000A4010000}"/>
    <cellStyle name="20% - Colore 6 4 2" xfId="3035" xr:uid="{00000000-0005-0000-0000-0000A5010000}"/>
    <cellStyle name="20% - Colore 6 4 2 2" xfId="3036" xr:uid="{00000000-0005-0000-0000-0000A6010000}"/>
    <cellStyle name="20% - Colore 6 4 3" xfId="3037" xr:uid="{00000000-0005-0000-0000-0000A7010000}"/>
    <cellStyle name="20% - Colore 6 4 3 2" xfId="3038" xr:uid="{00000000-0005-0000-0000-0000A8010000}"/>
    <cellStyle name="20% - Colore 6 4 4" xfId="3039" xr:uid="{00000000-0005-0000-0000-0000A9010000}"/>
    <cellStyle name="20% - Colore 6 4 5" xfId="3040" xr:uid="{00000000-0005-0000-0000-0000AA010000}"/>
    <cellStyle name="20% - Colore 6 5" xfId="3041" xr:uid="{00000000-0005-0000-0000-0000AB010000}"/>
    <cellStyle name="20% - Colore 6 5 2" xfId="3042" xr:uid="{00000000-0005-0000-0000-0000AC010000}"/>
    <cellStyle name="20% - Colore 6 5 2 2" xfId="3043" xr:uid="{00000000-0005-0000-0000-0000AD010000}"/>
    <cellStyle name="20% - Colore 6 5 3" xfId="3044" xr:uid="{00000000-0005-0000-0000-0000AE010000}"/>
    <cellStyle name="20% - Colore 6 5 3 2" xfId="3045" xr:uid="{00000000-0005-0000-0000-0000AF010000}"/>
    <cellStyle name="20% - Colore 6 5 4" xfId="3046" xr:uid="{00000000-0005-0000-0000-0000B0010000}"/>
    <cellStyle name="20% - Colore 6 5 5" xfId="3047" xr:uid="{00000000-0005-0000-0000-0000B1010000}"/>
    <cellStyle name="20% - Colore 6 6" xfId="3048" xr:uid="{00000000-0005-0000-0000-0000B2010000}"/>
    <cellStyle name="20% - Colore 6 6 2" xfId="3049" xr:uid="{00000000-0005-0000-0000-0000B3010000}"/>
    <cellStyle name="20% - Colore 6 6 2 2" xfId="3050" xr:uid="{00000000-0005-0000-0000-0000B4010000}"/>
    <cellStyle name="20% - Colore 6 6 3" xfId="3051" xr:uid="{00000000-0005-0000-0000-0000B5010000}"/>
    <cellStyle name="20% - Colore 6 6 3 2" xfId="3052" xr:uid="{00000000-0005-0000-0000-0000B6010000}"/>
    <cellStyle name="20% - Colore 6 6 4" xfId="3053" xr:uid="{00000000-0005-0000-0000-0000B7010000}"/>
    <cellStyle name="20% - Colore 6 6 5" xfId="3054" xr:uid="{00000000-0005-0000-0000-0000B8010000}"/>
    <cellStyle name="20% - Colore 6 7" xfId="3055" xr:uid="{00000000-0005-0000-0000-0000B9010000}"/>
    <cellStyle name="20% - Colore 6 7 2" xfId="3056" xr:uid="{00000000-0005-0000-0000-0000BA010000}"/>
    <cellStyle name="20% - Colore 6 7 2 2" xfId="3057" xr:uid="{00000000-0005-0000-0000-0000BB010000}"/>
    <cellStyle name="20% - Colore 6 7 3" xfId="3058" xr:uid="{00000000-0005-0000-0000-0000BC010000}"/>
    <cellStyle name="20% - Colore 6 7 3 2" xfId="3059" xr:uid="{00000000-0005-0000-0000-0000BD010000}"/>
    <cellStyle name="20% - Colore 6 7 4" xfId="3060" xr:uid="{00000000-0005-0000-0000-0000BE010000}"/>
    <cellStyle name="20% - Colore 6 7 5" xfId="3061" xr:uid="{00000000-0005-0000-0000-0000BF010000}"/>
    <cellStyle name="20% - Colore 6 8" xfId="3062" xr:uid="{00000000-0005-0000-0000-0000C0010000}"/>
    <cellStyle name="20% - Colore 6 8 2" xfId="3063" xr:uid="{00000000-0005-0000-0000-0000C1010000}"/>
    <cellStyle name="20% - Colore 6 8 2 2" xfId="3064" xr:uid="{00000000-0005-0000-0000-0000C2010000}"/>
    <cellStyle name="20% - Colore 6 8 3" xfId="3065" xr:uid="{00000000-0005-0000-0000-0000C3010000}"/>
    <cellStyle name="20% - Colore 6 8 3 2" xfId="3066" xr:uid="{00000000-0005-0000-0000-0000C4010000}"/>
    <cellStyle name="20% - Colore 6 8 4" xfId="3067" xr:uid="{00000000-0005-0000-0000-0000C5010000}"/>
    <cellStyle name="20% - Colore 6 8 5" xfId="3068" xr:uid="{00000000-0005-0000-0000-0000C6010000}"/>
    <cellStyle name="20% - Colore 6 9" xfId="3069" xr:uid="{00000000-0005-0000-0000-0000C7010000}"/>
    <cellStyle name="20% - Colore 6 9 2" xfId="3070" xr:uid="{00000000-0005-0000-0000-0000C8010000}"/>
    <cellStyle name="20% - Colore 6 9 2 2" xfId="3071" xr:uid="{00000000-0005-0000-0000-0000C9010000}"/>
    <cellStyle name="20% - Colore 6 9 3" xfId="3072" xr:uid="{00000000-0005-0000-0000-0000CA010000}"/>
    <cellStyle name="20% - Colore 6 9 3 2" xfId="3073" xr:uid="{00000000-0005-0000-0000-0000CB010000}"/>
    <cellStyle name="20% - Colore 6 9 4" xfId="3074" xr:uid="{00000000-0005-0000-0000-0000CC010000}"/>
    <cellStyle name="20% - Colore 6 9 5" xfId="3075" xr:uid="{00000000-0005-0000-0000-0000CD010000}"/>
    <cellStyle name="40% - Accent1" xfId="19" xr:uid="{00000000-0005-0000-0000-0000CE010000}"/>
    <cellStyle name="40% - Accent1 2" xfId="521" xr:uid="{00000000-0005-0000-0000-0000CF010000}"/>
    <cellStyle name="40% - Accent1 3" xfId="958" xr:uid="{00000000-0005-0000-0000-0000D0010000}"/>
    <cellStyle name="40% - Accent2" xfId="20" xr:uid="{00000000-0005-0000-0000-0000D1010000}"/>
    <cellStyle name="40% - Accent2 2" xfId="522" xr:uid="{00000000-0005-0000-0000-0000D2010000}"/>
    <cellStyle name="40% - Accent2 3" xfId="959" xr:uid="{00000000-0005-0000-0000-0000D3010000}"/>
    <cellStyle name="40% - Accent3" xfId="21" xr:uid="{00000000-0005-0000-0000-0000D4010000}"/>
    <cellStyle name="40% - Accent3 2" xfId="523" xr:uid="{00000000-0005-0000-0000-0000D5010000}"/>
    <cellStyle name="40% - Accent3 3" xfId="960" xr:uid="{00000000-0005-0000-0000-0000D6010000}"/>
    <cellStyle name="40% - Accent4" xfId="22" xr:uid="{00000000-0005-0000-0000-0000D7010000}"/>
    <cellStyle name="40% - Accent4 2" xfId="524" xr:uid="{00000000-0005-0000-0000-0000D8010000}"/>
    <cellStyle name="40% - Accent4 3" xfId="961" xr:uid="{00000000-0005-0000-0000-0000D9010000}"/>
    <cellStyle name="40% - Accent5" xfId="23" xr:uid="{00000000-0005-0000-0000-0000DA010000}"/>
    <cellStyle name="40% - Accent5 2" xfId="525" xr:uid="{00000000-0005-0000-0000-0000DB010000}"/>
    <cellStyle name="40% - Accent5 3" xfId="962" xr:uid="{00000000-0005-0000-0000-0000DC010000}"/>
    <cellStyle name="40% - Accent6" xfId="24" xr:uid="{00000000-0005-0000-0000-0000DD010000}"/>
    <cellStyle name="40% - Accent6 2" xfId="526" xr:uid="{00000000-0005-0000-0000-0000DE010000}"/>
    <cellStyle name="40% - Accent6 3" xfId="963" xr:uid="{00000000-0005-0000-0000-0000DF010000}"/>
    <cellStyle name="40% - Colore 1" xfId="1953" builtinId="31" customBuiltin="1"/>
    <cellStyle name="40% - Colore 1 10" xfId="3076" xr:uid="{00000000-0005-0000-0000-0000E1010000}"/>
    <cellStyle name="40% - Colore 1 10 2" xfId="3077" xr:uid="{00000000-0005-0000-0000-0000E2010000}"/>
    <cellStyle name="40% - Colore 1 10 2 2" xfId="3078" xr:uid="{00000000-0005-0000-0000-0000E3010000}"/>
    <cellStyle name="40% - Colore 1 10 3" xfId="3079" xr:uid="{00000000-0005-0000-0000-0000E4010000}"/>
    <cellStyle name="40% - Colore 1 10 3 2" xfId="3080" xr:uid="{00000000-0005-0000-0000-0000E5010000}"/>
    <cellStyle name="40% - Colore 1 10 4" xfId="3081" xr:uid="{00000000-0005-0000-0000-0000E6010000}"/>
    <cellStyle name="40% - Colore 1 10 5" xfId="3082" xr:uid="{00000000-0005-0000-0000-0000E7010000}"/>
    <cellStyle name="40% - Colore 1 11" xfId="3083" xr:uid="{00000000-0005-0000-0000-0000E8010000}"/>
    <cellStyle name="40% - Colore 1 11 2" xfId="3084" xr:uid="{00000000-0005-0000-0000-0000E9010000}"/>
    <cellStyle name="40% - Colore 1 11 2 2" xfId="3085" xr:uid="{00000000-0005-0000-0000-0000EA010000}"/>
    <cellStyle name="40% - Colore 1 11 3" xfId="3086" xr:uid="{00000000-0005-0000-0000-0000EB010000}"/>
    <cellStyle name="40% - Colore 1 11 3 2" xfId="3087" xr:uid="{00000000-0005-0000-0000-0000EC010000}"/>
    <cellStyle name="40% - Colore 1 11 4" xfId="3088" xr:uid="{00000000-0005-0000-0000-0000ED010000}"/>
    <cellStyle name="40% - Colore 1 11 5" xfId="3089" xr:uid="{00000000-0005-0000-0000-0000EE010000}"/>
    <cellStyle name="40% - Colore 1 12" xfId="3090" xr:uid="{00000000-0005-0000-0000-0000EF010000}"/>
    <cellStyle name="40% - Colore 1 12 2" xfId="3091" xr:uid="{00000000-0005-0000-0000-0000F0010000}"/>
    <cellStyle name="40% - Colore 1 12 2 2" xfId="3092" xr:uid="{00000000-0005-0000-0000-0000F1010000}"/>
    <cellStyle name="40% - Colore 1 12 3" xfId="3093" xr:uid="{00000000-0005-0000-0000-0000F2010000}"/>
    <cellStyle name="40% - Colore 1 12 3 2" xfId="3094" xr:uid="{00000000-0005-0000-0000-0000F3010000}"/>
    <cellStyle name="40% - Colore 1 12 4" xfId="3095" xr:uid="{00000000-0005-0000-0000-0000F4010000}"/>
    <cellStyle name="40% - Colore 1 12 5" xfId="3096" xr:uid="{00000000-0005-0000-0000-0000F5010000}"/>
    <cellStyle name="40% - Colore 1 2" xfId="25" xr:uid="{00000000-0005-0000-0000-0000F6010000}"/>
    <cellStyle name="40% - Colore 1 2 2" xfId="528" xr:uid="{00000000-0005-0000-0000-0000F7010000}"/>
    <cellStyle name="40% - Colore 1 2 3" xfId="930" xr:uid="{00000000-0005-0000-0000-0000F8010000}"/>
    <cellStyle name="40% - Colore 1 3" xfId="26" xr:uid="{00000000-0005-0000-0000-0000F9010000}"/>
    <cellStyle name="40% - Colore 1 3 2" xfId="529" xr:uid="{00000000-0005-0000-0000-0000FA010000}"/>
    <cellStyle name="40% - Colore 1 3 2 2" xfId="3097" xr:uid="{00000000-0005-0000-0000-0000FB010000}"/>
    <cellStyle name="40% - Colore 1 3 3" xfId="929" xr:uid="{00000000-0005-0000-0000-0000FC010000}"/>
    <cellStyle name="40% - Colore 1 3 3 2" xfId="3098" xr:uid="{00000000-0005-0000-0000-0000FD010000}"/>
    <cellStyle name="40% - Colore 1 3 4" xfId="3099" xr:uid="{00000000-0005-0000-0000-0000FE010000}"/>
    <cellStyle name="40% - Colore 1 3 5" xfId="3100" xr:uid="{00000000-0005-0000-0000-0000FF010000}"/>
    <cellStyle name="40% - Colore 1 4" xfId="527" xr:uid="{00000000-0005-0000-0000-000000020000}"/>
    <cellStyle name="40% - Colore 1 4 2" xfId="3101" xr:uid="{00000000-0005-0000-0000-000001020000}"/>
    <cellStyle name="40% - Colore 1 4 2 2" xfId="3102" xr:uid="{00000000-0005-0000-0000-000002020000}"/>
    <cellStyle name="40% - Colore 1 4 3" xfId="3103" xr:uid="{00000000-0005-0000-0000-000003020000}"/>
    <cellStyle name="40% - Colore 1 4 3 2" xfId="3104" xr:uid="{00000000-0005-0000-0000-000004020000}"/>
    <cellStyle name="40% - Colore 1 4 4" xfId="3105" xr:uid="{00000000-0005-0000-0000-000005020000}"/>
    <cellStyle name="40% - Colore 1 4 5" xfId="3106" xr:uid="{00000000-0005-0000-0000-000006020000}"/>
    <cellStyle name="40% - Colore 1 5" xfId="3107" xr:uid="{00000000-0005-0000-0000-000007020000}"/>
    <cellStyle name="40% - Colore 1 5 2" xfId="3108" xr:uid="{00000000-0005-0000-0000-000008020000}"/>
    <cellStyle name="40% - Colore 1 5 2 2" xfId="3109" xr:uid="{00000000-0005-0000-0000-000009020000}"/>
    <cellStyle name="40% - Colore 1 5 3" xfId="3110" xr:uid="{00000000-0005-0000-0000-00000A020000}"/>
    <cellStyle name="40% - Colore 1 5 3 2" xfId="3111" xr:uid="{00000000-0005-0000-0000-00000B020000}"/>
    <cellStyle name="40% - Colore 1 5 4" xfId="3112" xr:uid="{00000000-0005-0000-0000-00000C020000}"/>
    <cellStyle name="40% - Colore 1 5 5" xfId="3113" xr:uid="{00000000-0005-0000-0000-00000D020000}"/>
    <cellStyle name="40% - Colore 1 6" xfId="3114" xr:uid="{00000000-0005-0000-0000-00000E020000}"/>
    <cellStyle name="40% - Colore 1 6 2" xfId="3115" xr:uid="{00000000-0005-0000-0000-00000F020000}"/>
    <cellStyle name="40% - Colore 1 6 2 2" xfId="3116" xr:uid="{00000000-0005-0000-0000-000010020000}"/>
    <cellStyle name="40% - Colore 1 6 3" xfId="3117" xr:uid="{00000000-0005-0000-0000-000011020000}"/>
    <cellStyle name="40% - Colore 1 6 3 2" xfId="3118" xr:uid="{00000000-0005-0000-0000-000012020000}"/>
    <cellStyle name="40% - Colore 1 6 4" xfId="3119" xr:uid="{00000000-0005-0000-0000-000013020000}"/>
    <cellStyle name="40% - Colore 1 6 5" xfId="3120" xr:uid="{00000000-0005-0000-0000-000014020000}"/>
    <cellStyle name="40% - Colore 1 7" xfId="3121" xr:uid="{00000000-0005-0000-0000-000015020000}"/>
    <cellStyle name="40% - Colore 1 7 2" xfId="3122" xr:uid="{00000000-0005-0000-0000-000016020000}"/>
    <cellStyle name="40% - Colore 1 7 2 2" xfId="3123" xr:uid="{00000000-0005-0000-0000-000017020000}"/>
    <cellStyle name="40% - Colore 1 7 3" xfId="3124" xr:uid="{00000000-0005-0000-0000-000018020000}"/>
    <cellStyle name="40% - Colore 1 7 3 2" xfId="3125" xr:uid="{00000000-0005-0000-0000-000019020000}"/>
    <cellStyle name="40% - Colore 1 7 4" xfId="3126" xr:uid="{00000000-0005-0000-0000-00001A020000}"/>
    <cellStyle name="40% - Colore 1 7 5" xfId="3127" xr:uid="{00000000-0005-0000-0000-00001B020000}"/>
    <cellStyle name="40% - Colore 1 8" xfId="3128" xr:uid="{00000000-0005-0000-0000-00001C020000}"/>
    <cellStyle name="40% - Colore 1 8 2" xfId="3129" xr:uid="{00000000-0005-0000-0000-00001D020000}"/>
    <cellStyle name="40% - Colore 1 8 2 2" xfId="3130" xr:uid="{00000000-0005-0000-0000-00001E020000}"/>
    <cellStyle name="40% - Colore 1 8 3" xfId="3131" xr:uid="{00000000-0005-0000-0000-00001F020000}"/>
    <cellStyle name="40% - Colore 1 8 3 2" xfId="3132" xr:uid="{00000000-0005-0000-0000-000020020000}"/>
    <cellStyle name="40% - Colore 1 8 4" xfId="3133" xr:uid="{00000000-0005-0000-0000-000021020000}"/>
    <cellStyle name="40% - Colore 1 8 5" xfId="3134" xr:uid="{00000000-0005-0000-0000-000022020000}"/>
    <cellStyle name="40% - Colore 1 9" xfId="3135" xr:uid="{00000000-0005-0000-0000-000023020000}"/>
    <cellStyle name="40% - Colore 1 9 2" xfId="3136" xr:uid="{00000000-0005-0000-0000-000024020000}"/>
    <cellStyle name="40% - Colore 1 9 2 2" xfId="3137" xr:uid="{00000000-0005-0000-0000-000025020000}"/>
    <cellStyle name="40% - Colore 1 9 3" xfId="3138" xr:uid="{00000000-0005-0000-0000-000026020000}"/>
    <cellStyle name="40% - Colore 1 9 3 2" xfId="3139" xr:uid="{00000000-0005-0000-0000-000027020000}"/>
    <cellStyle name="40% - Colore 1 9 4" xfId="3140" xr:uid="{00000000-0005-0000-0000-000028020000}"/>
    <cellStyle name="40% - Colore 1 9 5" xfId="3141" xr:uid="{00000000-0005-0000-0000-000029020000}"/>
    <cellStyle name="40% - Colore 2" xfId="1957" builtinId="35" customBuiltin="1"/>
    <cellStyle name="40% - Colore 2 10" xfId="3142" xr:uid="{00000000-0005-0000-0000-00002B020000}"/>
    <cellStyle name="40% - Colore 2 10 2" xfId="3143" xr:uid="{00000000-0005-0000-0000-00002C020000}"/>
    <cellStyle name="40% - Colore 2 10 2 2" xfId="3144" xr:uid="{00000000-0005-0000-0000-00002D020000}"/>
    <cellStyle name="40% - Colore 2 10 3" xfId="3145" xr:uid="{00000000-0005-0000-0000-00002E020000}"/>
    <cellStyle name="40% - Colore 2 10 3 2" xfId="3146" xr:uid="{00000000-0005-0000-0000-00002F020000}"/>
    <cellStyle name="40% - Colore 2 10 4" xfId="3147" xr:uid="{00000000-0005-0000-0000-000030020000}"/>
    <cellStyle name="40% - Colore 2 10 5" xfId="3148" xr:uid="{00000000-0005-0000-0000-000031020000}"/>
    <cellStyle name="40% - Colore 2 11" xfId="3149" xr:uid="{00000000-0005-0000-0000-000032020000}"/>
    <cellStyle name="40% - Colore 2 11 2" xfId="3150" xr:uid="{00000000-0005-0000-0000-000033020000}"/>
    <cellStyle name="40% - Colore 2 11 2 2" xfId="3151" xr:uid="{00000000-0005-0000-0000-000034020000}"/>
    <cellStyle name="40% - Colore 2 11 3" xfId="3152" xr:uid="{00000000-0005-0000-0000-000035020000}"/>
    <cellStyle name="40% - Colore 2 11 3 2" xfId="3153" xr:uid="{00000000-0005-0000-0000-000036020000}"/>
    <cellStyle name="40% - Colore 2 11 4" xfId="3154" xr:uid="{00000000-0005-0000-0000-000037020000}"/>
    <cellStyle name="40% - Colore 2 11 5" xfId="3155" xr:uid="{00000000-0005-0000-0000-000038020000}"/>
    <cellStyle name="40% - Colore 2 12" xfId="3156" xr:uid="{00000000-0005-0000-0000-000039020000}"/>
    <cellStyle name="40% - Colore 2 12 2" xfId="3157" xr:uid="{00000000-0005-0000-0000-00003A020000}"/>
    <cellStyle name="40% - Colore 2 12 2 2" xfId="3158" xr:uid="{00000000-0005-0000-0000-00003B020000}"/>
    <cellStyle name="40% - Colore 2 12 3" xfId="3159" xr:uid="{00000000-0005-0000-0000-00003C020000}"/>
    <cellStyle name="40% - Colore 2 12 3 2" xfId="3160" xr:uid="{00000000-0005-0000-0000-00003D020000}"/>
    <cellStyle name="40% - Colore 2 12 4" xfId="3161" xr:uid="{00000000-0005-0000-0000-00003E020000}"/>
    <cellStyle name="40% - Colore 2 12 5" xfId="3162" xr:uid="{00000000-0005-0000-0000-00003F020000}"/>
    <cellStyle name="40% - Colore 2 2" xfId="27" xr:uid="{00000000-0005-0000-0000-000040020000}"/>
    <cellStyle name="40% - Colore 2 2 2" xfId="531" xr:uid="{00000000-0005-0000-0000-000041020000}"/>
    <cellStyle name="40% - Colore 2 2 3" xfId="928" xr:uid="{00000000-0005-0000-0000-000042020000}"/>
    <cellStyle name="40% - Colore 2 3" xfId="530" xr:uid="{00000000-0005-0000-0000-000043020000}"/>
    <cellStyle name="40% - Colore 2 3 2" xfId="3163" xr:uid="{00000000-0005-0000-0000-000044020000}"/>
    <cellStyle name="40% - Colore 2 3 2 2" xfId="3164" xr:uid="{00000000-0005-0000-0000-000045020000}"/>
    <cellStyle name="40% - Colore 2 3 3" xfId="3165" xr:uid="{00000000-0005-0000-0000-000046020000}"/>
    <cellStyle name="40% - Colore 2 3 3 2" xfId="3166" xr:uid="{00000000-0005-0000-0000-000047020000}"/>
    <cellStyle name="40% - Colore 2 3 4" xfId="3167" xr:uid="{00000000-0005-0000-0000-000048020000}"/>
    <cellStyle name="40% - Colore 2 3 5" xfId="3168" xr:uid="{00000000-0005-0000-0000-000049020000}"/>
    <cellStyle name="40% - Colore 2 4" xfId="3169" xr:uid="{00000000-0005-0000-0000-00004A020000}"/>
    <cellStyle name="40% - Colore 2 4 2" xfId="3170" xr:uid="{00000000-0005-0000-0000-00004B020000}"/>
    <cellStyle name="40% - Colore 2 4 2 2" xfId="3171" xr:uid="{00000000-0005-0000-0000-00004C020000}"/>
    <cellStyle name="40% - Colore 2 4 3" xfId="3172" xr:uid="{00000000-0005-0000-0000-00004D020000}"/>
    <cellStyle name="40% - Colore 2 4 3 2" xfId="3173" xr:uid="{00000000-0005-0000-0000-00004E020000}"/>
    <cellStyle name="40% - Colore 2 4 4" xfId="3174" xr:uid="{00000000-0005-0000-0000-00004F020000}"/>
    <cellStyle name="40% - Colore 2 4 5" xfId="3175" xr:uid="{00000000-0005-0000-0000-000050020000}"/>
    <cellStyle name="40% - Colore 2 5" xfId="3176" xr:uid="{00000000-0005-0000-0000-000051020000}"/>
    <cellStyle name="40% - Colore 2 5 2" xfId="3177" xr:uid="{00000000-0005-0000-0000-000052020000}"/>
    <cellStyle name="40% - Colore 2 5 2 2" xfId="3178" xr:uid="{00000000-0005-0000-0000-000053020000}"/>
    <cellStyle name="40% - Colore 2 5 3" xfId="3179" xr:uid="{00000000-0005-0000-0000-000054020000}"/>
    <cellStyle name="40% - Colore 2 5 3 2" xfId="3180" xr:uid="{00000000-0005-0000-0000-000055020000}"/>
    <cellStyle name="40% - Colore 2 5 4" xfId="3181" xr:uid="{00000000-0005-0000-0000-000056020000}"/>
    <cellStyle name="40% - Colore 2 5 5" xfId="3182" xr:uid="{00000000-0005-0000-0000-000057020000}"/>
    <cellStyle name="40% - Colore 2 6" xfId="3183" xr:uid="{00000000-0005-0000-0000-000058020000}"/>
    <cellStyle name="40% - Colore 2 6 2" xfId="3184" xr:uid="{00000000-0005-0000-0000-000059020000}"/>
    <cellStyle name="40% - Colore 2 6 2 2" xfId="3185" xr:uid="{00000000-0005-0000-0000-00005A020000}"/>
    <cellStyle name="40% - Colore 2 6 3" xfId="3186" xr:uid="{00000000-0005-0000-0000-00005B020000}"/>
    <cellStyle name="40% - Colore 2 6 3 2" xfId="3187" xr:uid="{00000000-0005-0000-0000-00005C020000}"/>
    <cellStyle name="40% - Colore 2 6 4" xfId="3188" xr:uid="{00000000-0005-0000-0000-00005D020000}"/>
    <cellStyle name="40% - Colore 2 6 5" xfId="3189" xr:uid="{00000000-0005-0000-0000-00005E020000}"/>
    <cellStyle name="40% - Colore 2 7" xfId="3190" xr:uid="{00000000-0005-0000-0000-00005F020000}"/>
    <cellStyle name="40% - Colore 2 7 2" xfId="3191" xr:uid="{00000000-0005-0000-0000-000060020000}"/>
    <cellStyle name="40% - Colore 2 7 2 2" xfId="3192" xr:uid="{00000000-0005-0000-0000-000061020000}"/>
    <cellStyle name="40% - Colore 2 7 3" xfId="3193" xr:uid="{00000000-0005-0000-0000-000062020000}"/>
    <cellStyle name="40% - Colore 2 7 3 2" xfId="3194" xr:uid="{00000000-0005-0000-0000-000063020000}"/>
    <cellStyle name="40% - Colore 2 7 4" xfId="3195" xr:uid="{00000000-0005-0000-0000-000064020000}"/>
    <cellStyle name="40% - Colore 2 7 5" xfId="3196" xr:uid="{00000000-0005-0000-0000-000065020000}"/>
    <cellStyle name="40% - Colore 2 8" xfId="3197" xr:uid="{00000000-0005-0000-0000-000066020000}"/>
    <cellStyle name="40% - Colore 2 8 2" xfId="3198" xr:uid="{00000000-0005-0000-0000-000067020000}"/>
    <cellStyle name="40% - Colore 2 8 2 2" xfId="3199" xr:uid="{00000000-0005-0000-0000-000068020000}"/>
    <cellStyle name="40% - Colore 2 8 3" xfId="3200" xr:uid="{00000000-0005-0000-0000-000069020000}"/>
    <cellStyle name="40% - Colore 2 8 3 2" xfId="3201" xr:uid="{00000000-0005-0000-0000-00006A020000}"/>
    <cellStyle name="40% - Colore 2 8 4" xfId="3202" xr:uid="{00000000-0005-0000-0000-00006B020000}"/>
    <cellStyle name="40% - Colore 2 8 5" xfId="3203" xr:uid="{00000000-0005-0000-0000-00006C020000}"/>
    <cellStyle name="40% - Colore 2 9" xfId="3204" xr:uid="{00000000-0005-0000-0000-00006D020000}"/>
    <cellStyle name="40% - Colore 2 9 2" xfId="3205" xr:uid="{00000000-0005-0000-0000-00006E020000}"/>
    <cellStyle name="40% - Colore 2 9 2 2" xfId="3206" xr:uid="{00000000-0005-0000-0000-00006F020000}"/>
    <cellStyle name="40% - Colore 2 9 3" xfId="3207" xr:uid="{00000000-0005-0000-0000-000070020000}"/>
    <cellStyle name="40% - Colore 2 9 3 2" xfId="3208" xr:uid="{00000000-0005-0000-0000-000071020000}"/>
    <cellStyle name="40% - Colore 2 9 4" xfId="3209" xr:uid="{00000000-0005-0000-0000-000072020000}"/>
    <cellStyle name="40% - Colore 2 9 5" xfId="3210" xr:uid="{00000000-0005-0000-0000-000073020000}"/>
    <cellStyle name="40% - Colore 3" xfId="1961" builtinId="39" customBuiltin="1"/>
    <cellStyle name="40% - Colore 3 10" xfId="3211" xr:uid="{00000000-0005-0000-0000-000075020000}"/>
    <cellStyle name="40% - Colore 3 10 2" xfId="3212" xr:uid="{00000000-0005-0000-0000-000076020000}"/>
    <cellStyle name="40% - Colore 3 10 2 2" xfId="3213" xr:uid="{00000000-0005-0000-0000-000077020000}"/>
    <cellStyle name="40% - Colore 3 10 3" xfId="3214" xr:uid="{00000000-0005-0000-0000-000078020000}"/>
    <cellStyle name="40% - Colore 3 10 3 2" xfId="3215" xr:uid="{00000000-0005-0000-0000-000079020000}"/>
    <cellStyle name="40% - Colore 3 10 4" xfId="3216" xr:uid="{00000000-0005-0000-0000-00007A020000}"/>
    <cellStyle name="40% - Colore 3 10 5" xfId="3217" xr:uid="{00000000-0005-0000-0000-00007B020000}"/>
    <cellStyle name="40% - Colore 3 11" xfId="3218" xr:uid="{00000000-0005-0000-0000-00007C020000}"/>
    <cellStyle name="40% - Colore 3 11 2" xfId="3219" xr:uid="{00000000-0005-0000-0000-00007D020000}"/>
    <cellStyle name="40% - Colore 3 11 2 2" xfId="3220" xr:uid="{00000000-0005-0000-0000-00007E020000}"/>
    <cellStyle name="40% - Colore 3 11 3" xfId="3221" xr:uid="{00000000-0005-0000-0000-00007F020000}"/>
    <cellStyle name="40% - Colore 3 11 3 2" xfId="3222" xr:uid="{00000000-0005-0000-0000-000080020000}"/>
    <cellStyle name="40% - Colore 3 11 4" xfId="3223" xr:uid="{00000000-0005-0000-0000-000081020000}"/>
    <cellStyle name="40% - Colore 3 11 5" xfId="3224" xr:uid="{00000000-0005-0000-0000-000082020000}"/>
    <cellStyle name="40% - Colore 3 12" xfId="3225" xr:uid="{00000000-0005-0000-0000-000083020000}"/>
    <cellStyle name="40% - Colore 3 12 2" xfId="3226" xr:uid="{00000000-0005-0000-0000-000084020000}"/>
    <cellStyle name="40% - Colore 3 12 2 2" xfId="3227" xr:uid="{00000000-0005-0000-0000-000085020000}"/>
    <cellStyle name="40% - Colore 3 12 3" xfId="3228" xr:uid="{00000000-0005-0000-0000-000086020000}"/>
    <cellStyle name="40% - Colore 3 12 3 2" xfId="3229" xr:uid="{00000000-0005-0000-0000-000087020000}"/>
    <cellStyle name="40% - Colore 3 12 4" xfId="3230" xr:uid="{00000000-0005-0000-0000-000088020000}"/>
    <cellStyle name="40% - Colore 3 12 5" xfId="3231" xr:uid="{00000000-0005-0000-0000-000089020000}"/>
    <cellStyle name="40% - Colore 3 2" xfId="28" xr:uid="{00000000-0005-0000-0000-00008A020000}"/>
    <cellStyle name="40% - Colore 3 2 2" xfId="533" xr:uid="{00000000-0005-0000-0000-00008B020000}"/>
    <cellStyle name="40% - Colore 3 2 3" xfId="927" xr:uid="{00000000-0005-0000-0000-00008C020000}"/>
    <cellStyle name="40% - Colore 3 3" xfId="29" xr:uid="{00000000-0005-0000-0000-00008D020000}"/>
    <cellStyle name="40% - Colore 3 3 2" xfId="534" xr:uid="{00000000-0005-0000-0000-00008E020000}"/>
    <cellStyle name="40% - Colore 3 3 2 2" xfId="3232" xr:uid="{00000000-0005-0000-0000-00008F020000}"/>
    <cellStyle name="40% - Colore 3 3 3" xfId="926" xr:uid="{00000000-0005-0000-0000-000090020000}"/>
    <cellStyle name="40% - Colore 3 3 3 2" xfId="3233" xr:uid="{00000000-0005-0000-0000-000091020000}"/>
    <cellStyle name="40% - Colore 3 3 4" xfId="3234" xr:uid="{00000000-0005-0000-0000-000092020000}"/>
    <cellStyle name="40% - Colore 3 3 5" xfId="3235" xr:uid="{00000000-0005-0000-0000-000093020000}"/>
    <cellStyle name="40% - Colore 3 4" xfId="532" xr:uid="{00000000-0005-0000-0000-000094020000}"/>
    <cellStyle name="40% - Colore 3 4 2" xfId="3236" xr:uid="{00000000-0005-0000-0000-000095020000}"/>
    <cellStyle name="40% - Colore 3 4 2 2" xfId="3237" xr:uid="{00000000-0005-0000-0000-000096020000}"/>
    <cellStyle name="40% - Colore 3 4 3" xfId="3238" xr:uid="{00000000-0005-0000-0000-000097020000}"/>
    <cellStyle name="40% - Colore 3 4 3 2" xfId="3239" xr:uid="{00000000-0005-0000-0000-000098020000}"/>
    <cellStyle name="40% - Colore 3 4 4" xfId="3240" xr:uid="{00000000-0005-0000-0000-000099020000}"/>
    <cellStyle name="40% - Colore 3 4 5" xfId="3241" xr:uid="{00000000-0005-0000-0000-00009A020000}"/>
    <cellStyle name="40% - Colore 3 5" xfId="3242" xr:uid="{00000000-0005-0000-0000-00009B020000}"/>
    <cellStyle name="40% - Colore 3 5 2" xfId="3243" xr:uid="{00000000-0005-0000-0000-00009C020000}"/>
    <cellStyle name="40% - Colore 3 5 2 2" xfId="3244" xr:uid="{00000000-0005-0000-0000-00009D020000}"/>
    <cellStyle name="40% - Colore 3 5 3" xfId="3245" xr:uid="{00000000-0005-0000-0000-00009E020000}"/>
    <cellStyle name="40% - Colore 3 5 3 2" xfId="3246" xr:uid="{00000000-0005-0000-0000-00009F020000}"/>
    <cellStyle name="40% - Colore 3 5 4" xfId="3247" xr:uid="{00000000-0005-0000-0000-0000A0020000}"/>
    <cellStyle name="40% - Colore 3 5 5" xfId="3248" xr:uid="{00000000-0005-0000-0000-0000A1020000}"/>
    <cellStyle name="40% - Colore 3 6" xfId="3249" xr:uid="{00000000-0005-0000-0000-0000A2020000}"/>
    <cellStyle name="40% - Colore 3 6 2" xfId="3250" xr:uid="{00000000-0005-0000-0000-0000A3020000}"/>
    <cellStyle name="40% - Colore 3 6 2 2" xfId="3251" xr:uid="{00000000-0005-0000-0000-0000A4020000}"/>
    <cellStyle name="40% - Colore 3 6 3" xfId="3252" xr:uid="{00000000-0005-0000-0000-0000A5020000}"/>
    <cellStyle name="40% - Colore 3 6 3 2" xfId="3253" xr:uid="{00000000-0005-0000-0000-0000A6020000}"/>
    <cellStyle name="40% - Colore 3 6 4" xfId="3254" xr:uid="{00000000-0005-0000-0000-0000A7020000}"/>
    <cellStyle name="40% - Colore 3 6 5" xfId="3255" xr:uid="{00000000-0005-0000-0000-0000A8020000}"/>
    <cellStyle name="40% - Colore 3 7" xfId="3256" xr:uid="{00000000-0005-0000-0000-0000A9020000}"/>
    <cellStyle name="40% - Colore 3 7 2" xfId="3257" xr:uid="{00000000-0005-0000-0000-0000AA020000}"/>
    <cellStyle name="40% - Colore 3 7 2 2" xfId="3258" xr:uid="{00000000-0005-0000-0000-0000AB020000}"/>
    <cellStyle name="40% - Colore 3 7 3" xfId="3259" xr:uid="{00000000-0005-0000-0000-0000AC020000}"/>
    <cellStyle name="40% - Colore 3 7 3 2" xfId="3260" xr:uid="{00000000-0005-0000-0000-0000AD020000}"/>
    <cellStyle name="40% - Colore 3 7 4" xfId="3261" xr:uid="{00000000-0005-0000-0000-0000AE020000}"/>
    <cellStyle name="40% - Colore 3 7 5" xfId="3262" xr:uid="{00000000-0005-0000-0000-0000AF020000}"/>
    <cellStyle name="40% - Colore 3 8" xfId="3263" xr:uid="{00000000-0005-0000-0000-0000B0020000}"/>
    <cellStyle name="40% - Colore 3 8 2" xfId="3264" xr:uid="{00000000-0005-0000-0000-0000B1020000}"/>
    <cellStyle name="40% - Colore 3 8 2 2" xfId="3265" xr:uid="{00000000-0005-0000-0000-0000B2020000}"/>
    <cellStyle name="40% - Colore 3 8 3" xfId="3266" xr:uid="{00000000-0005-0000-0000-0000B3020000}"/>
    <cellStyle name="40% - Colore 3 8 3 2" xfId="3267" xr:uid="{00000000-0005-0000-0000-0000B4020000}"/>
    <cellStyle name="40% - Colore 3 8 4" xfId="3268" xr:uid="{00000000-0005-0000-0000-0000B5020000}"/>
    <cellStyle name="40% - Colore 3 8 5" xfId="3269" xr:uid="{00000000-0005-0000-0000-0000B6020000}"/>
    <cellStyle name="40% - Colore 3 9" xfId="3270" xr:uid="{00000000-0005-0000-0000-0000B7020000}"/>
    <cellStyle name="40% - Colore 3 9 2" xfId="3271" xr:uid="{00000000-0005-0000-0000-0000B8020000}"/>
    <cellStyle name="40% - Colore 3 9 2 2" xfId="3272" xr:uid="{00000000-0005-0000-0000-0000B9020000}"/>
    <cellStyle name="40% - Colore 3 9 3" xfId="3273" xr:uid="{00000000-0005-0000-0000-0000BA020000}"/>
    <cellStyle name="40% - Colore 3 9 3 2" xfId="3274" xr:uid="{00000000-0005-0000-0000-0000BB020000}"/>
    <cellStyle name="40% - Colore 3 9 4" xfId="3275" xr:uid="{00000000-0005-0000-0000-0000BC020000}"/>
    <cellStyle name="40% - Colore 3 9 5" xfId="3276" xr:uid="{00000000-0005-0000-0000-0000BD020000}"/>
    <cellStyle name="40% - Colore 4" xfId="1965" builtinId="43" customBuiltin="1"/>
    <cellStyle name="40% - Colore 4 10" xfId="3277" xr:uid="{00000000-0005-0000-0000-0000BF020000}"/>
    <cellStyle name="40% - Colore 4 10 2" xfId="3278" xr:uid="{00000000-0005-0000-0000-0000C0020000}"/>
    <cellStyle name="40% - Colore 4 10 2 2" xfId="3279" xr:uid="{00000000-0005-0000-0000-0000C1020000}"/>
    <cellStyle name="40% - Colore 4 10 3" xfId="3280" xr:uid="{00000000-0005-0000-0000-0000C2020000}"/>
    <cellStyle name="40% - Colore 4 10 3 2" xfId="3281" xr:uid="{00000000-0005-0000-0000-0000C3020000}"/>
    <cellStyle name="40% - Colore 4 10 4" xfId="3282" xr:uid="{00000000-0005-0000-0000-0000C4020000}"/>
    <cellStyle name="40% - Colore 4 10 5" xfId="3283" xr:uid="{00000000-0005-0000-0000-0000C5020000}"/>
    <cellStyle name="40% - Colore 4 11" xfId="3284" xr:uid="{00000000-0005-0000-0000-0000C6020000}"/>
    <cellStyle name="40% - Colore 4 11 2" xfId="3285" xr:uid="{00000000-0005-0000-0000-0000C7020000}"/>
    <cellStyle name="40% - Colore 4 11 2 2" xfId="3286" xr:uid="{00000000-0005-0000-0000-0000C8020000}"/>
    <cellStyle name="40% - Colore 4 11 3" xfId="3287" xr:uid="{00000000-0005-0000-0000-0000C9020000}"/>
    <cellStyle name="40% - Colore 4 11 3 2" xfId="3288" xr:uid="{00000000-0005-0000-0000-0000CA020000}"/>
    <cellStyle name="40% - Colore 4 11 4" xfId="3289" xr:uid="{00000000-0005-0000-0000-0000CB020000}"/>
    <cellStyle name="40% - Colore 4 11 5" xfId="3290" xr:uid="{00000000-0005-0000-0000-0000CC020000}"/>
    <cellStyle name="40% - Colore 4 12" xfId="3291" xr:uid="{00000000-0005-0000-0000-0000CD020000}"/>
    <cellStyle name="40% - Colore 4 12 2" xfId="3292" xr:uid="{00000000-0005-0000-0000-0000CE020000}"/>
    <cellStyle name="40% - Colore 4 12 2 2" xfId="3293" xr:uid="{00000000-0005-0000-0000-0000CF020000}"/>
    <cellStyle name="40% - Colore 4 12 3" xfId="3294" xr:uid="{00000000-0005-0000-0000-0000D0020000}"/>
    <cellStyle name="40% - Colore 4 12 3 2" xfId="3295" xr:uid="{00000000-0005-0000-0000-0000D1020000}"/>
    <cellStyle name="40% - Colore 4 12 4" xfId="3296" xr:uid="{00000000-0005-0000-0000-0000D2020000}"/>
    <cellStyle name="40% - Colore 4 12 5" xfId="3297" xr:uid="{00000000-0005-0000-0000-0000D3020000}"/>
    <cellStyle name="40% - Colore 4 2" xfId="30" xr:uid="{00000000-0005-0000-0000-0000D4020000}"/>
    <cellStyle name="40% - Colore 4 2 2" xfId="536" xr:uid="{00000000-0005-0000-0000-0000D5020000}"/>
    <cellStyle name="40% - Colore 4 2 3" xfId="925" xr:uid="{00000000-0005-0000-0000-0000D6020000}"/>
    <cellStyle name="40% - Colore 4 3" xfId="31" xr:uid="{00000000-0005-0000-0000-0000D7020000}"/>
    <cellStyle name="40% - Colore 4 3 2" xfId="537" xr:uid="{00000000-0005-0000-0000-0000D8020000}"/>
    <cellStyle name="40% - Colore 4 3 2 2" xfId="3298" xr:uid="{00000000-0005-0000-0000-0000D9020000}"/>
    <cellStyle name="40% - Colore 4 3 3" xfId="924" xr:uid="{00000000-0005-0000-0000-0000DA020000}"/>
    <cellStyle name="40% - Colore 4 3 3 2" xfId="3299" xr:uid="{00000000-0005-0000-0000-0000DB020000}"/>
    <cellStyle name="40% - Colore 4 3 4" xfId="3300" xr:uid="{00000000-0005-0000-0000-0000DC020000}"/>
    <cellStyle name="40% - Colore 4 3 5" xfId="3301" xr:uid="{00000000-0005-0000-0000-0000DD020000}"/>
    <cellStyle name="40% - Colore 4 4" xfId="535" xr:uid="{00000000-0005-0000-0000-0000DE020000}"/>
    <cellStyle name="40% - Colore 4 4 2" xfId="3302" xr:uid="{00000000-0005-0000-0000-0000DF020000}"/>
    <cellStyle name="40% - Colore 4 4 2 2" xfId="3303" xr:uid="{00000000-0005-0000-0000-0000E0020000}"/>
    <cellStyle name="40% - Colore 4 4 3" xfId="3304" xr:uid="{00000000-0005-0000-0000-0000E1020000}"/>
    <cellStyle name="40% - Colore 4 4 3 2" xfId="3305" xr:uid="{00000000-0005-0000-0000-0000E2020000}"/>
    <cellStyle name="40% - Colore 4 4 4" xfId="3306" xr:uid="{00000000-0005-0000-0000-0000E3020000}"/>
    <cellStyle name="40% - Colore 4 4 5" xfId="3307" xr:uid="{00000000-0005-0000-0000-0000E4020000}"/>
    <cellStyle name="40% - Colore 4 5" xfId="3308" xr:uid="{00000000-0005-0000-0000-0000E5020000}"/>
    <cellStyle name="40% - Colore 4 5 2" xfId="3309" xr:uid="{00000000-0005-0000-0000-0000E6020000}"/>
    <cellStyle name="40% - Colore 4 5 2 2" xfId="3310" xr:uid="{00000000-0005-0000-0000-0000E7020000}"/>
    <cellStyle name="40% - Colore 4 5 3" xfId="3311" xr:uid="{00000000-0005-0000-0000-0000E8020000}"/>
    <cellStyle name="40% - Colore 4 5 3 2" xfId="3312" xr:uid="{00000000-0005-0000-0000-0000E9020000}"/>
    <cellStyle name="40% - Colore 4 5 4" xfId="3313" xr:uid="{00000000-0005-0000-0000-0000EA020000}"/>
    <cellStyle name="40% - Colore 4 5 5" xfId="3314" xr:uid="{00000000-0005-0000-0000-0000EB020000}"/>
    <cellStyle name="40% - Colore 4 6" xfId="3315" xr:uid="{00000000-0005-0000-0000-0000EC020000}"/>
    <cellStyle name="40% - Colore 4 6 2" xfId="3316" xr:uid="{00000000-0005-0000-0000-0000ED020000}"/>
    <cellStyle name="40% - Colore 4 6 2 2" xfId="3317" xr:uid="{00000000-0005-0000-0000-0000EE020000}"/>
    <cellStyle name="40% - Colore 4 6 3" xfId="3318" xr:uid="{00000000-0005-0000-0000-0000EF020000}"/>
    <cellStyle name="40% - Colore 4 6 3 2" xfId="3319" xr:uid="{00000000-0005-0000-0000-0000F0020000}"/>
    <cellStyle name="40% - Colore 4 6 4" xfId="3320" xr:uid="{00000000-0005-0000-0000-0000F1020000}"/>
    <cellStyle name="40% - Colore 4 6 5" xfId="3321" xr:uid="{00000000-0005-0000-0000-0000F2020000}"/>
    <cellStyle name="40% - Colore 4 7" xfId="3322" xr:uid="{00000000-0005-0000-0000-0000F3020000}"/>
    <cellStyle name="40% - Colore 4 7 2" xfId="3323" xr:uid="{00000000-0005-0000-0000-0000F4020000}"/>
    <cellStyle name="40% - Colore 4 7 2 2" xfId="3324" xr:uid="{00000000-0005-0000-0000-0000F5020000}"/>
    <cellStyle name="40% - Colore 4 7 3" xfId="3325" xr:uid="{00000000-0005-0000-0000-0000F6020000}"/>
    <cellStyle name="40% - Colore 4 7 3 2" xfId="3326" xr:uid="{00000000-0005-0000-0000-0000F7020000}"/>
    <cellStyle name="40% - Colore 4 7 4" xfId="3327" xr:uid="{00000000-0005-0000-0000-0000F8020000}"/>
    <cellStyle name="40% - Colore 4 7 5" xfId="3328" xr:uid="{00000000-0005-0000-0000-0000F9020000}"/>
    <cellStyle name="40% - Colore 4 8" xfId="3329" xr:uid="{00000000-0005-0000-0000-0000FA020000}"/>
    <cellStyle name="40% - Colore 4 8 2" xfId="3330" xr:uid="{00000000-0005-0000-0000-0000FB020000}"/>
    <cellStyle name="40% - Colore 4 8 2 2" xfId="3331" xr:uid="{00000000-0005-0000-0000-0000FC020000}"/>
    <cellStyle name="40% - Colore 4 8 3" xfId="3332" xr:uid="{00000000-0005-0000-0000-0000FD020000}"/>
    <cellStyle name="40% - Colore 4 8 3 2" xfId="3333" xr:uid="{00000000-0005-0000-0000-0000FE020000}"/>
    <cellStyle name="40% - Colore 4 8 4" xfId="3334" xr:uid="{00000000-0005-0000-0000-0000FF020000}"/>
    <cellStyle name="40% - Colore 4 8 5" xfId="3335" xr:uid="{00000000-0005-0000-0000-000000030000}"/>
    <cellStyle name="40% - Colore 4 9" xfId="3336" xr:uid="{00000000-0005-0000-0000-000001030000}"/>
    <cellStyle name="40% - Colore 4 9 2" xfId="3337" xr:uid="{00000000-0005-0000-0000-000002030000}"/>
    <cellStyle name="40% - Colore 4 9 2 2" xfId="3338" xr:uid="{00000000-0005-0000-0000-000003030000}"/>
    <cellStyle name="40% - Colore 4 9 3" xfId="3339" xr:uid="{00000000-0005-0000-0000-000004030000}"/>
    <cellStyle name="40% - Colore 4 9 3 2" xfId="3340" xr:uid="{00000000-0005-0000-0000-000005030000}"/>
    <cellStyle name="40% - Colore 4 9 4" xfId="3341" xr:uid="{00000000-0005-0000-0000-000006030000}"/>
    <cellStyle name="40% - Colore 4 9 5" xfId="3342" xr:uid="{00000000-0005-0000-0000-000007030000}"/>
    <cellStyle name="40% - Colore 5" xfId="1969" builtinId="47" customBuiltin="1"/>
    <cellStyle name="40% - Colore 5 10" xfId="3343" xr:uid="{00000000-0005-0000-0000-000009030000}"/>
    <cellStyle name="40% - Colore 5 10 2" xfId="3344" xr:uid="{00000000-0005-0000-0000-00000A030000}"/>
    <cellStyle name="40% - Colore 5 10 2 2" xfId="3345" xr:uid="{00000000-0005-0000-0000-00000B030000}"/>
    <cellStyle name="40% - Colore 5 10 3" xfId="3346" xr:uid="{00000000-0005-0000-0000-00000C030000}"/>
    <cellStyle name="40% - Colore 5 10 3 2" xfId="3347" xr:uid="{00000000-0005-0000-0000-00000D030000}"/>
    <cellStyle name="40% - Colore 5 10 4" xfId="3348" xr:uid="{00000000-0005-0000-0000-00000E030000}"/>
    <cellStyle name="40% - Colore 5 10 5" xfId="3349" xr:uid="{00000000-0005-0000-0000-00000F030000}"/>
    <cellStyle name="40% - Colore 5 11" xfId="3350" xr:uid="{00000000-0005-0000-0000-000010030000}"/>
    <cellStyle name="40% - Colore 5 11 2" xfId="3351" xr:uid="{00000000-0005-0000-0000-000011030000}"/>
    <cellStyle name="40% - Colore 5 11 2 2" xfId="3352" xr:uid="{00000000-0005-0000-0000-000012030000}"/>
    <cellStyle name="40% - Colore 5 11 3" xfId="3353" xr:uid="{00000000-0005-0000-0000-000013030000}"/>
    <cellStyle name="40% - Colore 5 11 3 2" xfId="3354" xr:uid="{00000000-0005-0000-0000-000014030000}"/>
    <cellStyle name="40% - Colore 5 11 4" xfId="3355" xr:uid="{00000000-0005-0000-0000-000015030000}"/>
    <cellStyle name="40% - Colore 5 11 5" xfId="3356" xr:uid="{00000000-0005-0000-0000-000016030000}"/>
    <cellStyle name="40% - Colore 5 12" xfId="3357" xr:uid="{00000000-0005-0000-0000-000017030000}"/>
    <cellStyle name="40% - Colore 5 12 2" xfId="3358" xr:uid="{00000000-0005-0000-0000-000018030000}"/>
    <cellStyle name="40% - Colore 5 12 2 2" xfId="3359" xr:uid="{00000000-0005-0000-0000-000019030000}"/>
    <cellStyle name="40% - Colore 5 12 3" xfId="3360" xr:uid="{00000000-0005-0000-0000-00001A030000}"/>
    <cellStyle name="40% - Colore 5 12 3 2" xfId="3361" xr:uid="{00000000-0005-0000-0000-00001B030000}"/>
    <cellStyle name="40% - Colore 5 12 4" xfId="3362" xr:uid="{00000000-0005-0000-0000-00001C030000}"/>
    <cellStyle name="40% - Colore 5 12 5" xfId="3363" xr:uid="{00000000-0005-0000-0000-00001D030000}"/>
    <cellStyle name="40% - Colore 5 2" xfId="32" xr:uid="{00000000-0005-0000-0000-00001E030000}"/>
    <cellStyle name="40% - Colore 5 2 2" xfId="539" xr:uid="{00000000-0005-0000-0000-00001F030000}"/>
    <cellStyle name="40% - Colore 5 2 3" xfId="923" xr:uid="{00000000-0005-0000-0000-000020030000}"/>
    <cellStyle name="40% - Colore 5 3" xfId="33" xr:uid="{00000000-0005-0000-0000-000021030000}"/>
    <cellStyle name="40% - Colore 5 3 2" xfId="540" xr:uid="{00000000-0005-0000-0000-000022030000}"/>
    <cellStyle name="40% - Colore 5 3 2 2" xfId="3364" xr:uid="{00000000-0005-0000-0000-000023030000}"/>
    <cellStyle name="40% - Colore 5 3 3" xfId="922" xr:uid="{00000000-0005-0000-0000-000024030000}"/>
    <cellStyle name="40% - Colore 5 3 3 2" xfId="3365" xr:uid="{00000000-0005-0000-0000-000025030000}"/>
    <cellStyle name="40% - Colore 5 3 4" xfId="3366" xr:uid="{00000000-0005-0000-0000-000026030000}"/>
    <cellStyle name="40% - Colore 5 3 5" xfId="3367" xr:uid="{00000000-0005-0000-0000-000027030000}"/>
    <cellStyle name="40% - Colore 5 4" xfId="538" xr:uid="{00000000-0005-0000-0000-000028030000}"/>
    <cellStyle name="40% - Colore 5 4 2" xfId="3368" xr:uid="{00000000-0005-0000-0000-000029030000}"/>
    <cellStyle name="40% - Colore 5 4 2 2" xfId="3369" xr:uid="{00000000-0005-0000-0000-00002A030000}"/>
    <cellStyle name="40% - Colore 5 4 3" xfId="3370" xr:uid="{00000000-0005-0000-0000-00002B030000}"/>
    <cellStyle name="40% - Colore 5 4 3 2" xfId="3371" xr:uid="{00000000-0005-0000-0000-00002C030000}"/>
    <cellStyle name="40% - Colore 5 4 4" xfId="3372" xr:uid="{00000000-0005-0000-0000-00002D030000}"/>
    <cellStyle name="40% - Colore 5 4 5" xfId="3373" xr:uid="{00000000-0005-0000-0000-00002E030000}"/>
    <cellStyle name="40% - Colore 5 5" xfId="3374" xr:uid="{00000000-0005-0000-0000-00002F030000}"/>
    <cellStyle name="40% - Colore 5 5 2" xfId="3375" xr:uid="{00000000-0005-0000-0000-000030030000}"/>
    <cellStyle name="40% - Colore 5 5 2 2" xfId="3376" xr:uid="{00000000-0005-0000-0000-000031030000}"/>
    <cellStyle name="40% - Colore 5 5 3" xfId="3377" xr:uid="{00000000-0005-0000-0000-000032030000}"/>
    <cellStyle name="40% - Colore 5 5 3 2" xfId="3378" xr:uid="{00000000-0005-0000-0000-000033030000}"/>
    <cellStyle name="40% - Colore 5 5 4" xfId="3379" xr:uid="{00000000-0005-0000-0000-000034030000}"/>
    <cellStyle name="40% - Colore 5 5 5" xfId="3380" xr:uid="{00000000-0005-0000-0000-000035030000}"/>
    <cellStyle name="40% - Colore 5 6" xfId="3381" xr:uid="{00000000-0005-0000-0000-000036030000}"/>
    <cellStyle name="40% - Colore 5 6 2" xfId="3382" xr:uid="{00000000-0005-0000-0000-000037030000}"/>
    <cellStyle name="40% - Colore 5 6 2 2" xfId="3383" xr:uid="{00000000-0005-0000-0000-000038030000}"/>
    <cellStyle name="40% - Colore 5 6 3" xfId="3384" xr:uid="{00000000-0005-0000-0000-000039030000}"/>
    <cellStyle name="40% - Colore 5 6 3 2" xfId="3385" xr:uid="{00000000-0005-0000-0000-00003A030000}"/>
    <cellStyle name="40% - Colore 5 6 4" xfId="3386" xr:uid="{00000000-0005-0000-0000-00003B030000}"/>
    <cellStyle name="40% - Colore 5 6 5" xfId="3387" xr:uid="{00000000-0005-0000-0000-00003C030000}"/>
    <cellStyle name="40% - Colore 5 7" xfId="3388" xr:uid="{00000000-0005-0000-0000-00003D030000}"/>
    <cellStyle name="40% - Colore 5 7 2" xfId="3389" xr:uid="{00000000-0005-0000-0000-00003E030000}"/>
    <cellStyle name="40% - Colore 5 7 2 2" xfId="3390" xr:uid="{00000000-0005-0000-0000-00003F030000}"/>
    <cellStyle name="40% - Colore 5 7 3" xfId="3391" xr:uid="{00000000-0005-0000-0000-000040030000}"/>
    <cellStyle name="40% - Colore 5 7 3 2" xfId="3392" xr:uid="{00000000-0005-0000-0000-000041030000}"/>
    <cellStyle name="40% - Colore 5 7 4" xfId="3393" xr:uid="{00000000-0005-0000-0000-000042030000}"/>
    <cellStyle name="40% - Colore 5 7 5" xfId="3394" xr:uid="{00000000-0005-0000-0000-000043030000}"/>
    <cellStyle name="40% - Colore 5 8" xfId="3395" xr:uid="{00000000-0005-0000-0000-000044030000}"/>
    <cellStyle name="40% - Colore 5 8 2" xfId="3396" xr:uid="{00000000-0005-0000-0000-000045030000}"/>
    <cellStyle name="40% - Colore 5 8 2 2" xfId="3397" xr:uid="{00000000-0005-0000-0000-000046030000}"/>
    <cellStyle name="40% - Colore 5 8 3" xfId="3398" xr:uid="{00000000-0005-0000-0000-000047030000}"/>
    <cellStyle name="40% - Colore 5 8 3 2" xfId="3399" xr:uid="{00000000-0005-0000-0000-000048030000}"/>
    <cellStyle name="40% - Colore 5 8 4" xfId="3400" xr:uid="{00000000-0005-0000-0000-000049030000}"/>
    <cellStyle name="40% - Colore 5 8 5" xfId="3401" xr:uid="{00000000-0005-0000-0000-00004A030000}"/>
    <cellStyle name="40% - Colore 5 9" xfId="3402" xr:uid="{00000000-0005-0000-0000-00004B030000}"/>
    <cellStyle name="40% - Colore 5 9 2" xfId="3403" xr:uid="{00000000-0005-0000-0000-00004C030000}"/>
    <cellStyle name="40% - Colore 5 9 2 2" xfId="3404" xr:uid="{00000000-0005-0000-0000-00004D030000}"/>
    <cellStyle name="40% - Colore 5 9 3" xfId="3405" xr:uid="{00000000-0005-0000-0000-00004E030000}"/>
    <cellStyle name="40% - Colore 5 9 3 2" xfId="3406" xr:uid="{00000000-0005-0000-0000-00004F030000}"/>
    <cellStyle name="40% - Colore 5 9 4" xfId="3407" xr:uid="{00000000-0005-0000-0000-000050030000}"/>
    <cellStyle name="40% - Colore 5 9 5" xfId="3408" xr:uid="{00000000-0005-0000-0000-000051030000}"/>
    <cellStyle name="40% - Colore 6" xfId="1973" builtinId="51" customBuiltin="1"/>
    <cellStyle name="40% - Colore 6 10" xfId="3409" xr:uid="{00000000-0005-0000-0000-000053030000}"/>
    <cellStyle name="40% - Colore 6 10 2" xfId="3410" xr:uid="{00000000-0005-0000-0000-000054030000}"/>
    <cellStyle name="40% - Colore 6 10 2 2" xfId="3411" xr:uid="{00000000-0005-0000-0000-000055030000}"/>
    <cellStyle name="40% - Colore 6 10 3" xfId="3412" xr:uid="{00000000-0005-0000-0000-000056030000}"/>
    <cellStyle name="40% - Colore 6 10 3 2" xfId="3413" xr:uid="{00000000-0005-0000-0000-000057030000}"/>
    <cellStyle name="40% - Colore 6 10 4" xfId="3414" xr:uid="{00000000-0005-0000-0000-000058030000}"/>
    <cellStyle name="40% - Colore 6 10 5" xfId="3415" xr:uid="{00000000-0005-0000-0000-000059030000}"/>
    <cellStyle name="40% - Colore 6 11" xfId="3416" xr:uid="{00000000-0005-0000-0000-00005A030000}"/>
    <cellStyle name="40% - Colore 6 11 2" xfId="3417" xr:uid="{00000000-0005-0000-0000-00005B030000}"/>
    <cellStyle name="40% - Colore 6 11 2 2" xfId="3418" xr:uid="{00000000-0005-0000-0000-00005C030000}"/>
    <cellStyle name="40% - Colore 6 11 3" xfId="3419" xr:uid="{00000000-0005-0000-0000-00005D030000}"/>
    <cellStyle name="40% - Colore 6 11 3 2" xfId="3420" xr:uid="{00000000-0005-0000-0000-00005E030000}"/>
    <cellStyle name="40% - Colore 6 11 4" xfId="3421" xr:uid="{00000000-0005-0000-0000-00005F030000}"/>
    <cellStyle name="40% - Colore 6 11 5" xfId="3422" xr:uid="{00000000-0005-0000-0000-000060030000}"/>
    <cellStyle name="40% - Colore 6 12" xfId="3423" xr:uid="{00000000-0005-0000-0000-000061030000}"/>
    <cellStyle name="40% - Colore 6 12 2" xfId="3424" xr:uid="{00000000-0005-0000-0000-000062030000}"/>
    <cellStyle name="40% - Colore 6 12 2 2" xfId="3425" xr:uid="{00000000-0005-0000-0000-000063030000}"/>
    <cellStyle name="40% - Colore 6 12 3" xfId="3426" xr:uid="{00000000-0005-0000-0000-000064030000}"/>
    <cellStyle name="40% - Colore 6 12 3 2" xfId="3427" xr:uid="{00000000-0005-0000-0000-000065030000}"/>
    <cellStyle name="40% - Colore 6 12 4" xfId="3428" xr:uid="{00000000-0005-0000-0000-000066030000}"/>
    <cellStyle name="40% - Colore 6 12 5" xfId="3429" xr:uid="{00000000-0005-0000-0000-000067030000}"/>
    <cellStyle name="40% - Colore 6 2" xfId="34" xr:uid="{00000000-0005-0000-0000-000068030000}"/>
    <cellStyle name="40% - Colore 6 2 2" xfId="542" xr:uid="{00000000-0005-0000-0000-000069030000}"/>
    <cellStyle name="40% - Colore 6 2 3" xfId="921" xr:uid="{00000000-0005-0000-0000-00006A030000}"/>
    <cellStyle name="40% - Colore 6 3" xfId="35" xr:uid="{00000000-0005-0000-0000-00006B030000}"/>
    <cellStyle name="40% - Colore 6 3 2" xfId="543" xr:uid="{00000000-0005-0000-0000-00006C030000}"/>
    <cellStyle name="40% - Colore 6 3 2 2" xfId="3430" xr:uid="{00000000-0005-0000-0000-00006D030000}"/>
    <cellStyle name="40% - Colore 6 3 3" xfId="920" xr:uid="{00000000-0005-0000-0000-00006E030000}"/>
    <cellStyle name="40% - Colore 6 3 3 2" xfId="3431" xr:uid="{00000000-0005-0000-0000-00006F030000}"/>
    <cellStyle name="40% - Colore 6 3 4" xfId="3432" xr:uid="{00000000-0005-0000-0000-000070030000}"/>
    <cellStyle name="40% - Colore 6 3 5" xfId="3433" xr:uid="{00000000-0005-0000-0000-000071030000}"/>
    <cellStyle name="40% - Colore 6 4" xfId="541" xr:uid="{00000000-0005-0000-0000-000072030000}"/>
    <cellStyle name="40% - Colore 6 4 2" xfId="3434" xr:uid="{00000000-0005-0000-0000-000073030000}"/>
    <cellStyle name="40% - Colore 6 4 2 2" xfId="3435" xr:uid="{00000000-0005-0000-0000-000074030000}"/>
    <cellStyle name="40% - Colore 6 4 3" xfId="3436" xr:uid="{00000000-0005-0000-0000-000075030000}"/>
    <cellStyle name="40% - Colore 6 4 3 2" xfId="3437" xr:uid="{00000000-0005-0000-0000-000076030000}"/>
    <cellStyle name="40% - Colore 6 4 4" xfId="3438" xr:uid="{00000000-0005-0000-0000-000077030000}"/>
    <cellStyle name="40% - Colore 6 4 5" xfId="3439" xr:uid="{00000000-0005-0000-0000-000078030000}"/>
    <cellStyle name="40% - Colore 6 5" xfId="3440" xr:uid="{00000000-0005-0000-0000-000079030000}"/>
    <cellStyle name="40% - Colore 6 5 2" xfId="3441" xr:uid="{00000000-0005-0000-0000-00007A030000}"/>
    <cellStyle name="40% - Colore 6 5 2 2" xfId="3442" xr:uid="{00000000-0005-0000-0000-00007B030000}"/>
    <cellStyle name="40% - Colore 6 5 3" xfId="3443" xr:uid="{00000000-0005-0000-0000-00007C030000}"/>
    <cellStyle name="40% - Colore 6 5 3 2" xfId="3444" xr:uid="{00000000-0005-0000-0000-00007D030000}"/>
    <cellStyle name="40% - Colore 6 5 4" xfId="3445" xr:uid="{00000000-0005-0000-0000-00007E030000}"/>
    <cellStyle name="40% - Colore 6 5 5" xfId="3446" xr:uid="{00000000-0005-0000-0000-00007F030000}"/>
    <cellStyle name="40% - Colore 6 6" xfId="3447" xr:uid="{00000000-0005-0000-0000-000080030000}"/>
    <cellStyle name="40% - Colore 6 6 2" xfId="3448" xr:uid="{00000000-0005-0000-0000-000081030000}"/>
    <cellStyle name="40% - Colore 6 6 2 2" xfId="3449" xr:uid="{00000000-0005-0000-0000-000082030000}"/>
    <cellStyle name="40% - Colore 6 6 3" xfId="3450" xr:uid="{00000000-0005-0000-0000-000083030000}"/>
    <cellStyle name="40% - Colore 6 6 3 2" xfId="3451" xr:uid="{00000000-0005-0000-0000-000084030000}"/>
    <cellStyle name="40% - Colore 6 6 4" xfId="3452" xr:uid="{00000000-0005-0000-0000-000085030000}"/>
    <cellStyle name="40% - Colore 6 6 5" xfId="3453" xr:uid="{00000000-0005-0000-0000-000086030000}"/>
    <cellStyle name="40% - Colore 6 7" xfId="3454" xr:uid="{00000000-0005-0000-0000-000087030000}"/>
    <cellStyle name="40% - Colore 6 7 2" xfId="3455" xr:uid="{00000000-0005-0000-0000-000088030000}"/>
    <cellStyle name="40% - Colore 6 7 2 2" xfId="3456" xr:uid="{00000000-0005-0000-0000-000089030000}"/>
    <cellStyle name="40% - Colore 6 7 3" xfId="3457" xr:uid="{00000000-0005-0000-0000-00008A030000}"/>
    <cellStyle name="40% - Colore 6 7 3 2" xfId="3458" xr:uid="{00000000-0005-0000-0000-00008B030000}"/>
    <cellStyle name="40% - Colore 6 7 4" xfId="3459" xr:uid="{00000000-0005-0000-0000-00008C030000}"/>
    <cellStyle name="40% - Colore 6 7 5" xfId="3460" xr:uid="{00000000-0005-0000-0000-00008D030000}"/>
    <cellStyle name="40% - Colore 6 8" xfId="3461" xr:uid="{00000000-0005-0000-0000-00008E030000}"/>
    <cellStyle name="40% - Colore 6 8 2" xfId="3462" xr:uid="{00000000-0005-0000-0000-00008F030000}"/>
    <cellStyle name="40% - Colore 6 8 2 2" xfId="3463" xr:uid="{00000000-0005-0000-0000-000090030000}"/>
    <cellStyle name="40% - Colore 6 8 3" xfId="3464" xr:uid="{00000000-0005-0000-0000-000091030000}"/>
    <cellStyle name="40% - Colore 6 8 3 2" xfId="3465" xr:uid="{00000000-0005-0000-0000-000092030000}"/>
    <cellStyle name="40% - Colore 6 8 4" xfId="3466" xr:uid="{00000000-0005-0000-0000-000093030000}"/>
    <cellStyle name="40% - Colore 6 8 5" xfId="3467" xr:uid="{00000000-0005-0000-0000-000094030000}"/>
    <cellStyle name="40% - Colore 6 9" xfId="3468" xr:uid="{00000000-0005-0000-0000-000095030000}"/>
    <cellStyle name="40% - Colore 6 9 2" xfId="3469" xr:uid="{00000000-0005-0000-0000-000096030000}"/>
    <cellStyle name="40% - Colore 6 9 2 2" xfId="3470" xr:uid="{00000000-0005-0000-0000-000097030000}"/>
    <cellStyle name="40% - Colore 6 9 3" xfId="3471" xr:uid="{00000000-0005-0000-0000-000098030000}"/>
    <cellStyle name="40% - Colore 6 9 3 2" xfId="3472" xr:uid="{00000000-0005-0000-0000-000099030000}"/>
    <cellStyle name="40% - Colore 6 9 4" xfId="3473" xr:uid="{00000000-0005-0000-0000-00009A030000}"/>
    <cellStyle name="40% - Colore 6 9 5" xfId="3474" xr:uid="{00000000-0005-0000-0000-00009B030000}"/>
    <cellStyle name="60% - Accent1" xfId="36" xr:uid="{00000000-0005-0000-0000-00009C030000}"/>
    <cellStyle name="60% - Accent1 2" xfId="544" xr:uid="{00000000-0005-0000-0000-00009D030000}"/>
    <cellStyle name="60% - Accent1 3" xfId="964" xr:uid="{00000000-0005-0000-0000-00009E030000}"/>
    <cellStyle name="60% - Accent2" xfId="37" xr:uid="{00000000-0005-0000-0000-00009F030000}"/>
    <cellStyle name="60% - Accent2 2" xfId="545" xr:uid="{00000000-0005-0000-0000-0000A0030000}"/>
    <cellStyle name="60% - Accent2 3" xfId="965" xr:uid="{00000000-0005-0000-0000-0000A1030000}"/>
    <cellStyle name="60% - Accent3" xfId="38" xr:uid="{00000000-0005-0000-0000-0000A2030000}"/>
    <cellStyle name="60% - Accent3 2" xfId="546" xr:uid="{00000000-0005-0000-0000-0000A3030000}"/>
    <cellStyle name="60% - Accent3 3" xfId="966" xr:uid="{00000000-0005-0000-0000-0000A4030000}"/>
    <cellStyle name="60% - Accent4" xfId="39" xr:uid="{00000000-0005-0000-0000-0000A5030000}"/>
    <cellStyle name="60% - Accent4 2" xfId="547" xr:uid="{00000000-0005-0000-0000-0000A6030000}"/>
    <cellStyle name="60% - Accent4 3" xfId="967" xr:uid="{00000000-0005-0000-0000-0000A7030000}"/>
    <cellStyle name="60% - Accent5" xfId="40" xr:uid="{00000000-0005-0000-0000-0000A8030000}"/>
    <cellStyle name="60% - Accent5 2" xfId="548" xr:uid="{00000000-0005-0000-0000-0000A9030000}"/>
    <cellStyle name="60% - Accent5 3" xfId="968" xr:uid="{00000000-0005-0000-0000-0000AA030000}"/>
    <cellStyle name="60% - Accent6" xfId="41" xr:uid="{00000000-0005-0000-0000-0000AB030000}"/>
    <cellStyle name="60% - Accent6 2" xfId="549" xr:uid="{00000000-0005-0000-0000-0000AC030000}"/>
    <cellStyle name="60% - Accent6 3" xfId="969" xr:uid="{00000000-0005-0000-0000-0000AD030000}"/>
    <cellStyle name="60% - Colore 1" xfId="1954" builtinId="32" customBuiltin="1"/>
    <cellStyle name="60% - Colore 1 2" xfId="42" xr:uid="{00000000-0005-0000-0000-0000AF030000}"/>
    <cellStyle name="60% - Colore 1 2 2" xfId="551" xr:uid="{00000000-0005-0000-0000-0000B0030000}"/>
    <cellStyle name="60% - Colore 1 2 3" xfId="919" xr:uid="{00000000-0005-0000-0000-0000B1030000}"/>
    <cellStyle name="60% - Colore 1 3" xfId="43" xr:uid="{00000000-0005-0000-0000-0000B2030000}"/>
    <cellStyle name="60% - Colore 1 3 2" xfId="552" xr:uid="{00000000-0005-0000-0000-0000B3030000}"/>
    <cellStyle name="60% - Colore 1 3 3" xfId="918" xr:uid="{00000000-0005-0000-0000-0000B4030000}"/>
    <cellStyle name="60% - Colore 1 4" xfId="550" xr:uid="{00000000-0005-0000-0000-0000B5030000}"/>
    <cellStyle name="60% - Colore 2" xfId="1958" builtinId="36" customBuiltin="1"/>
    <cellStyle name="60% - Colore 2 2" xfId="44" xr:uid="{00000000-0005-0000-0000-0000B7030000}"/>
    <cellStyle name="60% - Colore 2 2 2" xfId="554" xr:uid="{00000000-0005-0000-0000-0000B8030000}"/>
    <cellStyle name="60% - Colore 2 2 3" xfId="917" xr:uid="{00000000-0005-0000-0000-0000B9030000}"/>
    <cellStyle name="60% - Colore 2 3" xfId="45" xr:uid="{00000000-0005-0000-0000-0000BA030000}"/>
    <cellStyle name="60% - Colore 2 3 2" xfId="555" xr:uid="{00000000-0005-0000-0000-0000BB030000}"/>
    <cellStyle name="60% - Colore 2 3 3" xfId="916" xr:uid="{00000000-0005-0000-0000-0000BC030000}"/>
    <cellStyle name="60% - Colore 2 4" xfId="553" xr:uid="{00000000-0005-0000-0000-0000BD030000}"/>
    <cellStyle name="60% - Colore 3" xfId="1962" builtinId="40" customBuiltin="1"/>
    <cellStyle name="60% - Colore 3 2" xfId="46" xr:uid="{00000000-0005-0000-0000-0000BF030000}"/>
    <cellStyle name="60% - Colore 3 2 2" xfId="557" xr:uid="{00000000-0005-0000-0000-0000C0030000}"/>
    <cellStyle name="60% - Colore 3 2 3" xfId="915" xr:uid="{00000000-0005-0000-0000-0000C1030000}"/>
    <cellStyle name="60% - Colore 3 3" xfId="47" xr:uid="{00000000-0005-0000-0000-0000C2030000}"/>
    <cellStyle name="60% - Colore 3 3 2" xfId="558" xr:uid="{00000000-0005-0000-0000-0000C3030000}"/>
    <cellStyle name="60% - Colore 3 3 3" xfId="914" xr:uid="{00000000-0005-0000-0000-0000C4030000}"/>
    <cellStyle name="60% - Colore 3 4" xfId="556" xr:uid="{00000000-0005-0000-0000-0000C5030000}"/>
    <cellStyle name="60% - Colore 4" xfId="1966" builtinId="44" customBuiltin="1"/>
    <cellStyle name="60% - Colore 4 2" xfId="48" xr:uid="{00000000-0005-0000-0000-0000C7030000}"/>
    <cellStyle name="60% - Colore 4 2 2" xfId="560" xr:uid="{00000000-0005-0000-0000-0000C8030000}"/>
    <cellStyle name="60% - Colore 4 2 3" xfId="913" xr:uid="{00000000-0005-0000-0000-0000C9030000}"/>
    <cellStyle name="60% - Colore 4 3" xfId="49" xr:uid="{00000000-0005-0000-0000-0000CA030000}"/>
    <cellStyle name="60% - Colore 4 3 2" xfId="561" xr:uid="{00000000-0005-0000-0000-0000CB030000}"/>
    <cellStyle name="60% - Colore 4 3 3" xfId="912" xr:uid="{00000000-0005-0000-0000-0000CC030000}"/>
    <cellStyle name="60% - Colore 4 4" xfId="559" xr:uid="{00000000-0005-0000-0000-0000CD030000}"/>
    <cellStyle name="60% - Colore 5" xfId="1970" builtinId="48" customBuiltin="1"/>
    <cellStyle name="60% - Colore 5 2" xfId="50" xr:uid="{00000000-0005-0000-0000-0000CF030000}"/>
    <cellStyle name="60% - Colore 5 2 2" xfId="563" xr:uid="{00000000-0005-0000-0000-0000D0030000}"/>
    <cellStyle name="60% - Colore 5 2 3" xfId="911" xr:uid="{00000000-0005-0000-0000-0000D1030000}"/>
    <cellStyle name="60% - Colore 5 3" xfId="51" xr:uid="{00000000-0005-0000-0000-0000D2030000}"/>
    <cellStyle name="60% - Colore 5 3 2" xfId="564" xr:uid="{00000000-0005-0000-0000-0000D3030000}"/>
    <cellStyle name="60% - Colore 5 3 3" xfId="910" xr:uid="{00000000-0005-0000-0000-0000D4030000}"/>
    <cellStyle name="60% - Colore 5 4" xfId="562" xr:uid="{00000000-0005-0000-0000-0000D5030000}"/>
    <cellStyle name="60% - Colore 6" xfId="1974" builtinId="52" customBuiltin="1"/>
    <cellStyle name="60% - Colore 6 2" xfId="52" xr:uid="{00000000-0005-0000-0000-0000D7030000}"/>
    <cellStyle name="60% - Colore 6 2 2" xfId="566" xr:uid="{00000000-0005-0000-0000-0000D8030000}"/>
    <cellStyle name="60% - Colore 6 2 3" xfId="909" xr:uid="{00000000-0005-0000-0000-0000D9030000}"/>
    <cellStyle name="60% - Colore 6 3" xfId="53" xr:uid="{00000000-0005-0000-0000-0000DA030000}"/>
    <cellStyle name="60% - Colore 6 3 2" xfId="567" xr:uid="{00000000-0005-0000-0000-0000DB030000}"/>
    <cellStyle name="60% - Colore 6 3 3" xfId="908" xr:uid="{00000000-0005-0000-0000-0000DC030000}"/>
    <cellStyle name="60% - Colore 6 4" xfId="565" xr:uid="{00000000-0005-0000-0000-0000DD030000}"/>
    <cellStyle name="Accent1" xfId="54" xr:uid="{00000000-0005-0000-0000-0000DE030000}"/>
    <cellStyle name="Accent1 2" xfId="568" xr:uid="{00000000-0005-0000-0000-0000DF030000}"/>
    <cellStyle name="Accent1 3" xfId="970" xr:uid="{00000000-0005-0000-0000-0000E0030000}"/>
    <cellStyle name="Accent2" xfId="55" xr:uid="{00000000-0005-0000-0000-0000E1030000}"/>
    <cellStyle name="Accent2 2" xfId="569" xr:uid="{00000000-0005-0000-0000-0000E2030000}"/>
    <cellStyle name="Accent2 3" xfId="971" xr:uid="{00000000-0005-0000-0000-0000E3030000}"/>
    <cellStyle name="Accent3" xfId="56" xr:uid="{00000000-0005-0000-0000-0000E4030000}"/>
    <cellStyle name="Accent3 2" xfId="570" xr:uid="{00000000-0005-0000-0000-0000E5030000}"/>
    <cellStyle name="Accent3 3" xfId="972" xr:uid="{00000000-0005-0000-0000-0000E6030000}"/>
    <cellStyle name="Accent4" xfId="57" xr:uid="{00000000-0005-0000-0000-0000E7030000}"/>
    <cellStyle name="Accent4 2" xfId="571" xr:uid="{00000000-0005-0000-0000-0000E8030000}"/>
    <cellStyle name="Accent4 3" xfId="973" xr:uid="{00000000-0005-0000-0000-0000E9030000}"/>
    <cellStyle name="Accent5" xfId="58" xr:uid="{00000000-0005-0000-0000-0000EA030000}"/>
    <cellStyle name="Accent5 2" xfId="572" xr:uid="{00000000-0005-0000-0000-0000EB030000}"/>
    <cellStyle name="Accent5 3" xfId="974" xr:uid="{00000000-0005-0000-0000-0000EC030000}"/>
    <cellStyle name="Accent6" xfId="59" xr:uid="{00000000-0005-0000-0000-0000ED030000}"/>
    <cellStyle name="Accent6 2" xfId="573" xr:uid="{00000000-0005-0000-0000-0000EE030000}"/>
    <cellStyle name="Accent6 3" xfId="975" xr:uid="{00000000-0005-0000-0000-0000EF030000}"/>
    <cellStyle name="Bad" xfId="60" xr:uid="{00000000-0005-0000-0000-0000F0030000}"/>
    <cellStyle name="Bad 2" xfId="574" xr:uid="{00000000-0005-0000-0000-0000F1030000}"/>
    <cellStyle name="Bad 3" xfId="976" xr:uid="{00000000-0005-0000-0000-0000F2030000}"/>
    <cellStyle name="Calcolo" xfId="1945" builtinId="22" customBuiltin="1"/>
    <cellStyle name="Calcolo 2" xfId="61" xr:uid="{00000000-0005-0000-0000-0000F4030000}"/>
    <cellStyle name="Calcolo 2 2" xfId="576" xr:uid="{00000000-0005-0000-0000-0000F5030000}"/>
    <cellStyle name="Calcolo 2 2 2" xfId="1438" xr:uid="{00000000-0005-0000-0000-0000F6030000}"/>
    <cellStyle name="Calcolo 2 2 2 2" xfId="1658" xr:uid="{00000000-0005-0000-0000-0000F7030000}"/>
    <cellStyle name="Calcolo 2 2 2 2 2" xfId="2133" xr:uid="{00000000-0005-0000-0000-0000F8030000}"/>
    <cellStyle name="Calcolo 2 2 2 3" xfId="1975" xr:uid="{00000000-0005-0000-0000-0000F9030000}"/>
    <cellStyle name="Calcolo 2 2 3" xfId="1620" xr:uid="{00000000-0005-0000-0000-0000FA030000}"/>
    <cellStyle name="Calcolo 2 2 3 2" xfId="2439" xr:uid="{00000000-0005-0000-0000-0000FB030000}"/>
    <cellStyle name="Calcolo 2 2 3 3" xfId="1977" xr:uid="{00000000-0005-0000-0000-0000FC030000}"/>
    <cellStyle name="Calcolo 2 2 4" xfId="1659" xr:uid="{00000000-0005-0000-0000-0000FD030000}"/>
    <cellStyle name="Calcolo 2 2 4 2" xfId="2132" xr:uid="{00000000-0005-0000-0000-0000FE030000}"/>
    <cellStyle name="Calcolo 2 3" xfId="977" xr:uid="{00000000-0005-0000-0000-0000FF030000}"/>
    <cellStyle name="Calcolo 2 3 2" xfId="1471" xr:uid="{00000000-0005-0000-0000-000000040000}"/>
    <cellStyle name="Calcolo 2 3 2 2" xfId="1613" xr:uid="{00000000-0005-0000-0000-000001040000}"/>
    <cellStyle name="Calcolo 2 3 2 2 2" xfId="2172" xr:uid="{00000000-0005-0000-0000-000002040000}"/>
    <cellStyle name="Calcolo 2 3 2 3" xfId="2069" xr:uid="{00000000-0005-0000-0000-000003040000}"/>
    <cellStyle name="Calcolo 2 3 3" xfId="1707" xr:uid="{00000000-0005-0000-0000-000004040000}"/>
    <cellStyle name="Calcolo 2 3 3 2" xfId="2505" xr:uid="{00000000-0005-0000-0000-000005040000}"/>
    <cellStyle name="Calcolo 2 3 3 3" xfId="2139" xr:uid="{00000000-0005-0000-0000-000006040000}"/>
    <cellStyle name="Calcolo 2 3 4" xfId="1913" xr:uid="{00000000-0005-0000-0000-000007040000}"/>
    <cellStyle name="Calcolo 2 3 4 2" xfId="4049" xr:uid="{00000000-0005-0000-0000-000008040000}"/>
    <cellStyle name="Calcolo 2 4" xfId="1419" xr:uid="{00000000-0005-0000-0000-000009040000}"/>
    <cellStyle name="Calcolo 2 4 2" xfId="1732" xr:uid="{00000000-0005-0000-0000-00000A040000}"/>
    <cellStyle name="Calcolo 2 4 2 2" xfId="2080" xr:uid="{00000000-0005-0000-0000-00000B040000}"/>
    <cellStyle name="Calcolo 2 4 3" xfId="4017" xr:uid="{00000000-0005-0000-0000-00000C040000}"/>
    <cellStyle name="Calcolo 2 5" xfId="1487" xr:uid="{00000000-0005-0000-0000-00000D040000}"/>
    <cellStyle name="Calcolo 2 5 2" xfId="2332" xr:uid="{00000000-0005-0000-0000-00000E040000}"/>
    <cellStyle name="Calcolo 2 5 3" xfId="2185" xr:uid="{00000000-0005-0000-0000-00000F040000}"/>
    <cellStyle name="Calcolo 2 6" xfId="1695" xr:uid="{00000000-0005-0000-0000-000010040000}"/>
    <cellStyle name="Calcolo 2 6 2" xfId="1979" xr:uid="{00000000-0005-0000-0000-000011040000}"/>
    <cellStyle name="Calcolo 3" xfId="62" xr:uid="{00000000-0005-0000-0000-000012040000}"/>
    <cellStyle name="Calcolo 3 2" xfId="577" xr:uid="{00000000-0005-0000-0000-000013040000}"/>
    <cellStyle name="Calcolo 3 2 2" xfId="1439" xr:uid="{00000000-0005-0000-0000-000014040000}"/>
    <cellStyle name="Calcolo 3 2 2 2" xfId="1616" xr:uid="{00000000-0005-0000-0000-000015040000}"/>
    <cellStyle name="Calcolo 3 2 2 2 2" xfId="4014" xr:uid="{00000000-0005-0000-0000-000016040000}"/>
    <cellStyle name="Calcolo 3 2 2 3" xfId="3955" xr:uid="{00000000-0005-0000-0000-000017040000}"/>
    <cellStyle name="Calcolo 3 2 3" xfId="1621" xr:uid="{00000000-0005-0000-0000-000018040000}"/>
    <cellStyle name="Calcolo 3 2 3 2" xfId="2440" xr:uid="{00000000-0005-0000-0000-000019040000}"/>
    <cellStyle name="Calcolo 3 2 3 3" xfId="2095" xr:uid="{00000000-0005-0000-0000-00001A040000}"/>
    <cellStyle name="Calcolo 3 2 4" xfId="1481" xr:uid="{00000000-0005-0000-0000-00001B040000}"/>
    <cellStyle name="Calcolo 3 2 4 2" xfId="2412" xr:uid="{00000000-0005-0000-0000-00001C040000}"/>
    <cellStyle name="Calcolo 3 3" xfId="978" xr:uid="{00000000-0005-0000-0000-00001D040000}"/>
    <cellStyle name="Calcolo 3 3 2" xfId="1472" xr:uid="{00000000-0005-0000-0000-00001E040000}"/>
    <cellStyle name="Calcolo 3 3 2 2" xfId="1861" xr:uid="{00000000-0005-0000-0000-00001F040000}"/>
    <cellStyle name="Calcolo 3 3 2 2 2" xfId="2013" xr:uid="{00000000-0005-0000-0000-000020040000}"/>
    <cellStyle name="Calcolo 3 3 2 3" xfId="2171" xr:uid="{00000000-0005-0000-0000-000021040000}"/>
    <cellStyle name="Calcolo 3 3 3" xfId="1708" xr:uid="{00000000-0005-0000-0000-000022040000}"/>
    <cellStyle name="Calcolo 3 3 3 2" xfId="2506" xr:uid="{00000000-0005-0000-0000-000023040000}"/>
    <cellStyle name="Calcolo 3 3 3 3" xfId="4080" xr:uid="{00000000-0005-0000-0000-000024040000}"/>
    <cellStyle name="Calcolo 3 3 4" xfId="1610" xr:uid="{00000000-0005-0000-0000-000025040000}"/>
    <cellStyle name="Calcolo 3 3 4 2" xfId="4021" xr:uid="{00000000-0005-0000-0000-000026040000}"/>
    <cellStyle name="Calcolo 3 4" xfId="1420" xr:uid="{00000000-0005-0000-0000-000027040000}"/>
    <cellStyle name="Calcolo 3 4 2" xfId="1830" xr:uid="{00000000-0005-0000-0000-000028040000}"/>
    <cellStyle name="Calcolo 3 4 2 2" xfId="2184" xr:uid="{00000000-0005-0000-0000-000029040000}"/>
    <cellStyle name="Calcolo 3 4 3" xfId="2328" xr:uid="{00000000-0005-0000-0000-00002A040000}"/>
    <cellStyle name="Calcolo 3 5" xfId="1488" xr:uid="{00000000-0005-0000-0000-00002B040000}"/>
    <cellStyle name="Calcolo 3 5 2" xfId="2333" xr:uid="{00000000-0005-0000-0000-00002C040000}"/>
    <cellStyle name="Calcolo 3 5 3" xfId="2181" xr:uid="{00000000-0005-0000-0000-00002D040000}"/>
    <cellStyle name="Calcolo 3 6" xfId="1865" xr:uid="{00000000-0005-0000-0000-00002E040000}"/>
    <cellStyle name="Calcolo 3 6 2" xfId="3979" xr:uid="{00000000-0005-0000-0000-00002F040000}"/>
    <cellStyle name="Calcolo 4" xfId="575" xr:uid="{00000000-0005-0000-0000-000030040000}"/>
    <cellStyle name="Calcolo 4 2" xfId="1437" xr:uid="{00000000-0005-0000-0000-000031040000}"/>
    <cellStyle name="Calcolo 4 2 2" xfId="1587" xr:uid="{00000000-0005-0000-0000-000032040000}"/>
    <cellStyle name="Calcolo 4 2 2 2" xfId="3965" xr:uid="{00000000-0005-0000-0000-000033040000}"/>
    <cellStyle name="Calcolo 4 2 3" xfId="4086" xr:uid="{00000000-0005-0000-0000-000034040000}"/>
    <cellStyle name="Calcolo 4 3" xfId="1619" xr:uid="{00000000-0005-0000-0000-000035040000}"/>
    <cellStyle name="Calcolo 4 3 2" xfId="2438" xr:uid="{00000000-0005-0000-0000-000036040000}"/>
    <cellStyle name="Calcolo 4 3 3" xfId="3977" xr:uid="{00000000-0005-0000-0000-000037040000}"/>
    <cellStyle name="Calcolo 4 4" xfId="1656" xr:uid="{00000000-0005-0000-0000-000038040000}"/>
    <cellStyle name="Calcolo 4 4 2" xfId="3985" xr:uid="{00000000-0005-0000-0000-000039040000}"/>
    <cellStyle name="Calculation" xfId="63" xr:uid="{00000000-0005-0000-0000-00003A040000}"/>
    <cellStyle name="Calculation 2" xfId="578" xr:uid="{00000000-0005-0000-0000-00003B040000}"/>
    <cellStyle name="Calculation 2 2" xfId="1440" xr:uid="{00000000-0005-0000-0000-00003C040000}"/>
    <cellStyle name="Calculation 2 2 2" xfId="1842" xr:uid="{00000000-0005-0000-0000-00003D040000}"/>
    <cellStyle name="Calculation 2 2 2 2" xfId="1978" xr:uid="{00000000-0005-0000-0000-00003E040000}"/>
    <cellStyle name="Calculation 2 2 3" xfId="1994" xr:uid="{00000000-0005-0000-0000-00003F040000}"/>
    <cellStyle name="Calculation 2 3" xfId="1622" xr:uid="{00000000-0005-0000-0000-000040040000}"/>
    <cellStyle name="Calculation 2 3 2" xfId="2441" xr:uid="{00000000-0005-0000-0000-000041040000}"/>
    <cellStyle name="Calculation 2 3 3" xfId="4097" xr:uid="{00000000-0005-0000-0000-000042040000}"/>
    <cellStyle name="Calculation 2 4" xfId="1722" xr:uid="{00000000-0005-0000-0000-000043040000}"/>
    <cellStyle name="Calculation 2 4 2" xfId="2064" xr:uid="{00000000-0005-0000-0000-000044040000}"/>
    <cellStyle name="Calculation 3" xfId="979" xr:uid="{00000000-0005-0000-0000-000045040000}"/>
    <cellStyle name="Calculation 3 2" xfId="1473" xr:uid="{00000000-0005-0000-0000-000046040000}"/>
    <cellStyle name="Calculation 3 2 2" xfId="1684" xr:uid="{00000000-0005-0000-0000-000047040000}"/>
    <cellStyle name="Calculation 3 2 2 2" xfId="3948" xr:uid="{00000000-0005-0000-0000-000048040000}"/>
    <cellStyle name="Calculation 3 2 3" xfId="4005" xr:uid="{00000000-0005-0000-0000-000049040000}"/>
    <cellStyle name="Calculation 3 3" xfId="1709" xr:uid="{00000000-0005-0000-0000-00004A040000}"/>
    <cellStyle name="Calculation 3 3 2" xfId="2507" xr:uid="{00000000-0005-0000-0000-00004B040000}"/>
    <cellStyle name="Calculation 3 3 3" xfId="3947" xr:uid="{00000000-0005-0000-0000-00004C040000}"/>
    <cellStyle name="Calculation 3 4" xfId="1703" xr:uid="{00000000-0005-0000-0000-00004D040000}"/>
    <cellStyle name="Calculation 3 4 2" xfId="2162" xr:uid="{00000000-0005-0000-0000-00004E040000}"/>
    <cellStyle name="Calculation 4" xfId="1421" xr:uid="{00000000-0005-0000-0000-00004F040000}"/>
    <cellStyle name="Calculation 4 2" xfId="1618" xr:uid="{00000000-0005-0000-0000-000050040000}"/>
    <cellStyle name="Calculation 4 2 2" xfId="2164" xr:uid="{00000000-0005-0000-0000-000051040000}"/>
    <cellStyle name="Calculation 4 3" xfId="3963" xr:uid="{00000000-0005-0000-0000-000052040000}"/>
    <cellStyle name="Calculation 5" xfId="1489" xr:uid="{00000000-0005-0000-0000-000053040000}"/>
    <cellStyle name="Calculation 5 2" xfId="2334" xr:uid="{00000000-0005-0000-0000-000054040000}"/>
    <cellStyle name="Calculation 5 3" xfId="2673" xr:uid="{00000000-0005-0000-0000-000055040000}"/>
    <cellStyle name="Calculation 6" xfId="1625" xr:uid="{00000000-0005-0000-0000-000056040000}"/>
    <cellStyle name="Calculation 6 2" xfId="3986" xr:uid="{00000000-0005-0000-0000-000057040000}"/>
    <cellStyle name="Cella collegata" xfId="1946" builtinId="24" customBuiltin="1"/>
    <cellStyle name="Cella collegata 2" xfId="64" xr:uid="{00000000-0005-0000-0000-000059040000}"/>
    <cellStyle name="Cella collegata 2 2" xfId="580" xr:uid="{00000000-0005-0000-0000-00005A040000}"/>
    <cellStyle name="Cella collegata 2 3" xfId="980" xr:uid="{00000000-0005-0000-0000-00005B040000}"/>
    <cellStyle name="Cella collegata 3" xfId="65" xr:uid="{00000000-0005-0000-0000-00005C040000}"/>
    <cellStyle name="Cella collegata 3 2" xfId="581" xr:uid="{00000000-0005-0000-0000-00005D040000}"/>
    <cellStyle name="Cella collegata 3 3" xfId="981" xr:uid="{00000000-0005-0000-0000-00005E040000}"/>
    <cellStyle name="Cella collegata 4" xfId="579" xr:uid="{00000000-0005-0000-0000-00005F040000}"/>
    <cellStyle name="Cella da controllare" xfId="1947" builtinId="23" customBuiltin="1"/>
    <cellStyle name="Cella da controllare 2" xfId="66" xr:uid="{00000000-0005-0000-0000-000061040000}"/>
    <cellStyle name="Cella da controllare 2 2" xfId="583" xr:uid="{00000000-0005-0000-0000-000062040000}"/>
    <cellStyle name="Cella da controllare 2 3" xfId="982" xr:uid="{00000000-0005-0000-0000-000063040000}"/>
    <cellStyle name="Cella da controllare 3" xfId="582" xr:uid="{00000000-0005-0000-0000-000064040000}"/>
    <cellStyle name="Check Cell" xfId="67" xr:uid="{00000000-0005-0000-0000-000065040000}"/>
    <cellStyle name="Check Cell 2" xfId="584" xr:uid="{00000000-0005-0000-0000-000066040000}"/>
    <cellStyle name="Check Cell 3" xfId="983" xr:uid="{00000000-0005-0000-0000-000067040000}"/>
    <cellStyle name="Collegamento ipertestuale" xfId="4108" builtinId="8"/>
    <cellStyle name="Collegamento ipertestuale 2" xfId="68" xr:uid="{00000000-0005-0000-0000-000069040000}"/>
    <cellStyle name="Collegamento ipertestuale 2 2" xfId="69" xr:uid="{00000000-0005-0000-0000-00006A040000}"/>
    <cellStyle name="Collegamento ipertestuale 2 2 2" xfId="478" xr:uid="{00000000-0005-0000-0000-00006B040000}"/>
    <cellStyle name="Collegamento ipertestuale 2 2 3" xfId="984" xr:uid="{00000000-0005-0000-0000-00006C040000}"/>
    <cellStyle name="Collegamento ipertestuale 2 2_COSTO DIPENDENTE" xfId="479" xr:uid="{00000000-0005-0000-0000-00006D040000}"/>
    <cellStyle name="Collegamento ipertestuale 2 3" xfId="480" xr:uid="{00000000-0005-0000-0000-00006E040000}"/>
    <cellStyle name="Collegamento ipertestuale 2 4" xfId="985" xr:uid="{00000000-0005-0000-0000-00006F040000}"/>
    <cellStyle name="Collegamento ipertestuale 2 5" xfId="4100" xr:uid="{00000000-0005-0000-0000-000070040000}"/>
    <cellStyle name="Collegamento ipertestuale 2_BusinessplanProvaVer03" xfId="3475" xr:uid="{00000000-0005-0000-0000-000071040000}"/>
    <cellStyle name="Collegamento ipertestuale 3" xfId="70" xr:uid="{00000000-0005-0000-0000-000072040000}"/>
    <cellStyle name="Collegamento ipertestuale 3 2" xfId="586" xr:uid="{00000000-0005-0000-0000-000073040000}"/>
    <cellStyle name="Collegamento ipertestuale 3 3" xfId="986" xr:uid="{00000000-0005-0000-0000-000074040000}"/>
    <cellStyle name="Collegamento ipertestuale 4" xfId="71" xr:uid="{00000000-0005-0000-0000-000075040000}"/>
    <cellStyle name="Collegamento ipertestuale 4 2" xfId="481" xr:uid="{00000000-0005-0000-0000-000076040000}"/>
    <cellStyle name="Collegamento ipertestuale 4 3" xfId="987" xr:uid="{00000000-0005-0000-0000-000077040000}"/>
    <cellStyle name="Collegamento ipertestuale 4_COSTO DIPENDENTE" xfId="482" xr:uid="{00000000-0005-0000-0000-000078040000}"/>
    <cellStyle name="Collegamento ipertestuale 5" xfId="988" xr:uid="{00000000-0005-0000-0000-000079040000}"/>
    <cellStyle name="Collegamento ipertestuale 6" xfId="989" xr:uid="{00000000-0005-0000-0000-00007A040000}"/>
    <cellStyle name="Collegamento ipertestuale 7" xfId="3950" xr:uid="{00000000-0005-0000-0000-00007B040000}"/>
    <cellStyle name="Colore 1" xfId="1951" builtinId="29" customBuiltin="1"/>
    <cellStyle name="Colore 1 2" xfId="72" xr:uid="{00000000-0005-0000-0000-00007D040000}"/>
    <cellStyle name="Colore 1 2 2" xfId="589" xr:uid="{00000000-0005-0000-0000-00007E040000}"/>
    <cellStyle name="Colore 1 2 3" xfId="907" xr:uid="{00000000-0005-0000-0000-00007F040000}"/>
    <cellStyle name="Colore 1 3" xfId="73" xr:uid="{00000000-0005-0000-0000-000080040000}"/>
    <cellStyle name="Colore 1 3 2" xfId="590" xr:uid="{00000000-0005-0000-0000-000081040000}"/>
    <cellStyle name="Colore 1 3 3" xfId="906" xr:uid="{00000000-0005-0000-0000-000082040000}"/>
    <cellStyle name="Colore 1 4" xfId="588" xr:uid="{00000000-0005-0000-0000-000083040000}"/>
    <cellStyle name="Colore 2" xfId="1955" builtinId="33" customBuiltin="1"/>
    <cellStyle name="Colore 2 2" xfId="74" xr:uid="{00000000-0005-0000-0000-000085040000}"/>
    <cellStyle name="Colore 2 2 2" xfId="592" xr:uid="{00000000-0005-0000-0000-000086040000}"/>
    <cellStyle name="Colore 2 2 3" xfId="905" xr:uid="{00000000-0005-0000-0000-000087040000}"/>
    <cellStyle name="Colore 2 3" xfId="75" xr:uid="{00000000-0005-0000-0000-000088040000}"/>
    <cellStyle name="Colore 2 3 2" xfId="593" xr:uid="{00000000-0005-0000-0000-000089040000}"/>
    <cellStyle name="Colore 2 3 3" xfId="904" xr:uid="{00000000-0005-0000-0000-00008A040000}"/>
    <cellStyle name="Colore 2 4" xfId="591" xr:uid="{00000000-0005-0000-0000-00008B040000}"/>
    <cellStyle name="Colore 3" xfId="1959" builtinId="37" customBuiltin="1"/>
    <cellStyle name="Colore 3 2" xfId="76" xr:uid="{00000000-0005-0000-0000-00008D040000}"/>
    <cellStyle name="Colore 3 2 2" xfId="595" xr:uid="{00000000-0005-0000-0000-00008E040000}"/>
    <cellStyle name="Colore 3 2 3" xfId="903" xr:uid="{00000000-0005-0000-0000-00008F040000}"/>
    <cellStyle name="Colore 3 3" xfId="77" xr:uid="{00000000-0005-0000-0000-000090040000}"/>
    <cellStyle name="Colore 3 3 2" xfId="596" xr:uid="{00000000-0005-0000-0000-000091040000}"/>
    <cellStyle name="Colore 3 3 3" xfId="902" xr:uid="{00000000-0005-0000-0000-000092040000}"/>
    <cellStyle name="Colore 3 4" xfId="594" xr:uid="{00000000-0005-0000-0000-000093040000}"/>
    <cellStyle name="Colore 4" xfId="1963" builtinId="41" customBuiltin="1"/>
    <cellStyle name="Colore 4 2" xfId="78" xr:uid="{00000000-0005-0000-0000-000095040000}"/>
    <cellStyle name="Colore 4 2 2" xfId="598" xr:uid="{00000000-0005-0000-0000-000096040000}"/>
    <cellStyle name="Colore 4 2 3" xfId="901" xr:uid="{00000000-0005-0000-0000-000097040000}"/>
    <cellStyle name="Colore 4 3" xfId="79" xr:uid="{00000000-0005-0000-0000-000098040000}"/>
    <cellStyle name="Colore 4 3 2" xfId="599" xr:uid="{00000000-0005-0000-0000-000099040000}"/>
    <cellStyle name="Colore 4 3 3" xfId="900" xr:uid="{00000000-0005-0000-0000-00009A040000}"/>
    <cellStyle name="Colore 4 4" xfId="597" xr:uid="{00000000-0005-0000-0000-00009B040000}"/>
    <cellStyle name="Colore 5" xfId="1967" builtinId="45" customBuiltin="1"/>
    <cellStyle name="Colore 5 2" xfId="80" xr:uid="{00000000-0005-0000-0000-00009D040000}"/>
    <cellStyle name="Colore 5 2 2" xfId="601" xr:uid="{00000000-0005-0000-0000-00009E040000}"/>
    <cellStyle name="Colore 5 2 3" xfId="899" xr:uid="{00000000-0005-0000-0000-00009F040000}"/>
    <cellStyle name="Colore 5 3" xfId="600" xr:uid="{00000000-0005-0000-0000-0000A0040000}"/>
    <cellStyle name="Colore 6" xfId="1971" builtinId="49" customBuiltin="1"/>
    <cellStyle name="Colore 6 2" xfId="81" xr:uid="{00000000-0005-0000-0000-0000A2040000}"/>
    <cellStyle name="Colore 6 2 2" xfId="603" xr:uid="{00000000-0005-0000-0000-0000A3040000}"/>
    <cellStyle name="Colore 6 2 3" xfId="898" xr:uid="{00000000-0005-0000-0000-0000A4040000}"/>
    <cellStyle name="Colore 6 3" xfId="82" xr:uid="{00000000-0005-0000-0000-0000A5040000}"/>
    <cellStyle name="Colore 6 3 2" xfId="604" xr:uid="{00000000-0005-0000-0000-0000A6040000}"/>
    <cellStyle name="Colore 6 3 3" xfId="897" xr:uid="{00000000-0005-0000-0000-0000A7040000}"/>
    <cellStyle name="Colore 6 4" xfId="602" xr:uid="{00000000-0005-0000-0000-0000A8040000}"/>
    <cellStyle name="Euro" xfId="83" xr:uid="{00000000-0005-0000-0000-0000A9040000}"/>
    <cellStyle name="Euro 10" xfId="84" xr:uid="{00000000-0005-0000-0000-0000AA040000}"/>
    <cellStyle name="Euro 11" xfId="85" xr:uid="{00000000-0005-0000-0000-0000AB040000}"/>
    <cellStyle name="Euro 12" xfId="86" xr:uid="{00000000-0005-0000-0000-0000AC040000}"/>
    <cellStyle name="Euro 12 2" xfId="1490" xr:uid="{00000000-0005-0000-0000-0000AD040000}"/>
    <cellStyle name="Euro 12 2 2" xfId="2335" xr:uid="{00000000-0005-0000-0000-0000AE040000}"/>
    <cellStyle name="Euro 12 3" xfId="1984" xr:uid="{00000000-0005-0000-0000-0000AF040000}"/>
    <cellStyle name="Euro 13" xfId="87" xr:uid="{00000000-0005-0000-0000-0000B0040000}"/>
    <cellStyle name="Euro 13 2" xfId="1491" xr:uid="{00000000-0005-0000-0000-0000B1040000}"/>
    <cellStyle name="Euro 13 2 2" xfId="2336" xr:uid="{00000000-0005-0000-0000-0000B2040000}"/>
    <cellStyle name="Euro 13 3" xfId="1985" xr:uid="{00000000-0005-0000-0000-0000B3040000}"/>
    <cellStyle name="Euro 14" xfId="88" xr:uid="{00000000-0005-0000-0000-0000B4040000}"/>
    <cellStyle name="Euro 14 2" xfId="89" xr:uid="{00000000-0005-0000-0000-0000B5040000}"/>
    <cellStyle name="Euro 14 2 2" xfId="611" xr:uid="{00000000-0005-0000-0000-0000B6040000}"/>
    <cellStyle name="Euro 14 2 3" xfId="990" xr:uid="{00000000-0005-0000-0000-0000B7040000}"/>
    <cellStyle name="Euro 14 3" xfId="90" xr:uid="{00000000-0005-0000-0000-0000B8040000}"/>
    <cellStyle name="Euro 14 4" xfId="991" xr:uid="{00000000-0005-0000-0000-0000B9040000}"/>
    <cellStyle name="Euro 14 4 2" xfId="1710" xr:uid="{00000000-0005-0000-0000-0000BA040000}"/>
    <cellStyle name="Euro 14 4 2 2" xfId="2508" xr:uid="{00000000-0005-0000-0000-0000BB040000}"/>
    <cellStyle name="Euro 14 4 3" xfId="2163" xr:uid="{00000000-0005-0000-0000-0000BC040000}"/>
    <cellStyle name="Euro 14 5" xfId="1492" xr:uid="{00000000-0005-0000-0000-0000BD040000}"/>
    <cellStyle name="Euro 14 5 2" xfId="2337" xr:uid="{00000000-0005-0000-0000-0000BE040000}"/>
    <cellStyle name="Euro 14 6" xfId="1986" xr:uid="{00000000-0005-0000-0000-0000BF040000}"/>
    <cellStyle name="Euro 14_TotCespiti" xfId="463" xr:uid="{00000000-0005-0000-0000-0000C0040000}"/>
    <cellStyle name="Euro 15" xfId="91" xr:uid="{00000000-0005-0000-0000-0000C1040000}"/>
    <cellStyle name="Euro 15 2" xfId="1493" xr:uid="{00000000-0005-0000-0000-0000C2040000}"/>
    <cellStyle name="Euro 15 2 2" xfId="2338" xr:uid="{00000000-0005-0000-0000-0000C3040000}"/>
    <cellStyle name="Euro 15 3" xfId="1987" xr:uid="{00000000-0005-0000-0000-0000C4040000}"/>
    <cellStyle name="Euro 16" xfId="92" xr:uid="{00000000-0005-0000-0000-0000C5040000}"/>
    <cellStyle name="Euro 16 2" xfId="1494" xr:uid="{00000000-0005-0000-0000-0000C6040000}"/>
    <cellStyle name="Euro 16 2 2" xfId="2339" xr:uid="{00000000-0005-0000-0000-0000C7040000}"/>
    <cellStyle name="Euro 16 3" xfId="1988" xr:uid="{00000000-0005-0000-0000-0000C8040000}"/>
    <cellStyle name="Euro 17" xfId="93" xr:uid="{00000000-0005-0000-0000-0000C9040000}"/>
    <cellStyle name="Euro 17 2" xfId="1495" xr:uid="{00000000-0005-0000-0000-0000CA040000}"/>
    <cellStyle name="Euro 17 2 2" xfId="2340" xr:uid="{00000000-0005-0000-0000-0000CB040000}"/>
    <cellStyle name="Euro 17 3" xfId="1989" xr:uid="{00000000-0005-0000-0000-0000CC040000}"/>
    <cellStyle name="Euro 18" xfId="94" xr:uid="{00000000-0005-0000-0000-0000CD040000}"/>
    <cellStyle name="Euro 18 2" xfId="1496" xr:uid="{00000000-0005-0000-0000-0000CE040000}"/>
    <cellStyle name="Euro 18 2 2" xfId="2341" xr:uid="{00000000-0005-0000-0000-0000CF040000}"/>
    <cellStyle name="Euro 18 3" xfId="1990" xr:uid="{00000000-0005-0000-0000-0000D0040000}"/>
    <cellStyle name="Euro 19" xfId="95" xr:uid="{00000000-0005-0000-0000-0000D1040000}"/>
    <cellStyle name="Euro 2" xfId="96" xr:uid="{00000000-0005-0000-0000-0000D2040000}"/>
    <cellStyle name="Euro 2 2" xfId="1497" xr:uid="{00000000-0005-0000-0000-0000D3040000}"/>
    <cellStyle name="Euro 2 2 2" xfId="2342" xr:uid="{00000000-0005-0000-0000-0000D4040000}"/>
    <cellStyle name="Euro 2 3" xfId="1991" xr:uid="{00000000-0005-0000-0000-0000D5040000}"/>
    <cellStyle name="Euro 20" xfId="464" xr:uid="{00000000-0005-0000-0000-0000D6040000}"/>
    <cellStyle name="Euro 20 2" xfId="945" xr:uid="{00000000-0005-0000-0000-0000D7040000}"/>
    <cellStyle name="Euro 20 3" xfId="992" xr:uid="{00000000-0005-0000-0000-0000D8040000}"/>
    <cellStyle name="Euro 21" xfId="465" xr:uid="{00000000-0005-0000-0000-0000D9040000}"/>
    <cellStyle name="Euro 21 2" xfId="946" xr:uid="{00000000-0005-0000-0000-0000DA040000}"/>
    <cellStyle name="Euro 21 3" xfId="993" xr:uid="{00000000-0005-0000-0000-0000DB040000}"/>
    <cellStyle name="Euro 22" xfId="944" xr:uid="{00000000-0005-0000-0000-0000DC040000}"/>
    <cellStyle name="Euro 23" xfId="994" xr:uid="{00000000-0005-0000-0000-0000DD040000}"/>
    <cellStyle name="Euro 3" xfId="97" xr:uid="{00000000-0005-0000-0000-0000DE040000}"/>
    <cellStyle name="Euro 4" xfId="98" xr:uid="{00000000-0005-0000-0000-0000DF040000}"/>
    <cellStyle name="Euro 5" xfId="99" xr:uid="{00000000-0005-0000-0000-0000E0040000}"/>
    <cellStyle name="Euro 6" xfId="100" xr:uid="{00000000-0005-0000-0000-0000E1040000}"/>
    <cellStyle name="Euro 6 2" xfId="1498" xr:uid="{00000000-0005-0000-0000-0000E2040000}"/>
    <cellStyle name="Euro 6 2 2" xfId="2343" xr:uid="{00000000-0005-0000-0000-0000E3040000}"/>
    <cellStyle name="Euro 6 3" xfId="1993" xr:uid="{00000000-0005-0000-0000-0000E4040000}"/>
    <cellStyle name="Euro 7" xfId="101" xr:uid="{00000000-0005-0000-0000-0000E5040000}"/>
    <cellStyle name="Euro 8" xfId="102" xr:uid="{00000000-0005-0000-0000-0000E6040000}"/>
    <cellStyle name="Euro 9" xfId="103" xr:uid="{00000000-0005-0000-0000-0000E7040000}"/>
    <cellStyle name="Euro_aa1" xfId="104" xr:uid="{00000000-0005-0000-0000-0000E8040000}"/>
    <cellStyle name="Explanatory Text" xfId="105" xr:uid="{00000000-0005-0000-0000-0000E9040000}"/>
    <cellStyle name="Explanatory Text 2" xfId="613" xr:uid="{00000000-0005-0000-0000-0000EA040000}"/>
    <cellStyle name="Explanatory Text 3" xfId="995" xr:uid="{00000000-0005-0000-0000-0000EB040000}"/>
    <cellStyle name="Good" xfId="106" xr:uid="{00000000-0005-0000-0000-0000EC040000}"/>
    <cellStyle name="Good 2" xfId="614" xr:uid="{00000000-0005-0000-0000-0000ED040000}"/>
    <cellStyle name="Good 3" xfId="996" xr:uid="{00000000-0005-0000-0000-0000EE040000}"/>
    <cellStyle name="Heading 1" xfId="107" xr:uid="{00000000-0005-0000-0000-0000EF040000}"/>
    <cellStyle name="Heading 1 2" xfId="615" xr:uid="{00000000-0005-0000-0000-0000F0040000}"/>
    <cellStyle name="Heading 1 3" xfId="997" xr:uid="{00000000-0005-0000-0000-0000F1040000}"/>
    <cellStyle name="Heading 2" xfId="108" xr:uid="{00000000-0005-0000-0000-0000F2040000}"/>
    <cellStyle name="Heading 2 2" xfId="616" xr:uid="{00000000-0005-0000-0000-0000F3040000}"/>
    <cellStyle name="Heading 2 3" xfId="998" xr:uid="{00000000-0005-0000-0000-0000F4040000}"/>
    <cellStyle name="Heading 3" xfId="109" xr:uid="{00000000-0005-0000-0000-0000F5040000}"/>
    <cellStyle name="Heading 3 2" xfId="617" xr:uid="{00000000-0005-0000-0000-0000F6040000}"/>
    <cellStyle name="Heading 3 3" xfId="999" xr:uid="{00000000-0005-0000-0000-0000F7040000}"/>
    <cellStyle name="Heading 4" xfId="110" xr:uid="{00000000-0005-0000-0000-0000F8040000}"/>
    <cellStyle name="Heading 4 2" xfId="618" xr:uid="{00000000-0005-0000-0000-0000F9040000}"/>
    <cellStyle name="Heading 4 3" xfId="1000" xr:uid="{00000000-0005-0000-0000-0000FA040000}"/>
    <cellStyle name="Input" xfId="1943" builtinId="20" customBuiltin="1"/>
    <cellStyle name="Input 2" xfId="111" xr:uid="{00000000-0005-0000-0000-0000FC040000}"/>
    <cellStyle name="Input 2 2" xfId="620" xr:uid="{00000000-0005-0000-0000-0000FD040000}"/>
    <cellStyle name="Input 2 2 2" xfId="1448" xr:uid="{00000000-0005-0000-0000-0000FE040000}"/>
    <cellStyle name="Input 2 2 2 2" xfId="1588" xr:uid="{00000000-0005-0000-0000-0000FF040000}"/>
    <cellStyle name="Input 2 2 2 2 2" xfId="2165" xr:uid="{00000000-0005-0000-0000-000000050000}"/>
    <cellStyle name="Input 2 2 2 3" xfId="4015" xr:uid="{00000000-0005-0000-0000-000001050000}"/>
    <cellStyle name="Input 2 2 3" xfId="1633" xr:uid="{00000000-0005-0000-0000-000002050000}"/>
    <cellStyle name="Input 2 2 3 2" xfId="2451" xr:uid="{00000000-0005-0000-0000-000003050000}"/>
    <cellStyle name="Input 2 2 3 3" xfId="2103" xr:uid="{00000000-0005-0000-0000-000004050000}"/>
    <cellStyle name="Input 2 2 4" xfId="1920" xr:uid="{00000000-0005-0000-0000-000005050000}"/>
    <cellStyle name="Input 2 2 4 2" xfId="4042" xr:uid="{00000000-0005-0000-0000-000006050000}"/>
    <cellStyle name="Input 2 3" xfId="1001" xr:uid="{00000000-0005-0000-0000-000007050000}"/>
    <cellStyle name="Input 2 3 2" xfId="1474" xr:uid="{00000000-0005-0000-0000-000008050000}"/>
    <cellStyle name="Input 2 3 2 2" xfId="1696" xr:uid="{00000000-0005-0000-0000-000009050000}"/>
    <cellStyle name="Input 2 3 2 2 2" xfId="3982" xr:uid="{00000000-0005-0000-0000-00000A050000}"/>
    <cellStyle name="Input 2 3 2 3" xfId="4089" xr:uid="{00000000-0005-0000-0000-00000B050000}"/>
    <cellStyle name="Input 2 3 3" xfId="1711" xr:uid="{00000000-0005-0000-0000-00000C050000}"/>
    <cellStyle name="Input 2 3 3 2" xfId="2509" xr:uid="{00000000-0005-0000-0000-00000D050000}"/>
    <cellStyle name="Input 2 3 3 3" xfId="2178" xr:uid="{00000000-0005-0000-0000-00000E050000}"/>
    <cellStyle name="Input 2 3 4" xfId="1600" xr:uid="{00000000-0005-0000-0000-00000F050000}"/>
    <cellStyle name="Input 2 3 4 2" xfId="4094" xr:uid="{00000000-0005-0000-0000-000010050000}"/>
    <cellStyle name="Input 2 4" xfId="1422" xr:uid="{00000000-0005-0000-0000-000011050000}"/>
    <cellStyle name="Input 2 4 2" xfId="1826" xr:uid="{00000000-0005-0000-0000-000012050000}"/>
    <cellStyle name="Input 2 4 2 2" xfId="3975" xr:uid="{00000000-0005-0000-0000-000013050000}"/>
    <cellStyle name="Input 2 4 3" xfId="2140" xr:uid="{00000000-0005-0000-0000-000014050000}"/>
    <cellStyle name="Input 2 5" xfId="1499" xr:uid="{00000000-0005-0000-0000-000015050000}"/>
    <cellStyle name="Input 2 5 2" xfId="2344" xr:uid="{00000000-0005-0000-0000-000016050000}"/>
    <cellStyle name="Input 2 5 3" xfId="2102" xr:uid="{00000000-0005-0000-0000-000017050000}"/>
    <cellStyle name="Input 2 6" xfId="1879" xr:uid="{00000000-0005-0000-0000-000018050000}"/>
    <cellStyle name="Input 2 6 2" xfId="2326" xr:uid="{00000000-0005-0000-0000-000019050000}"/>
    <cellStyle name="Input 3" xfId="112" xr:uid="{00000000-0005-0000-0000-00001A050000}"/>
    <cellStyle name="Input 3 2" xfId="621" xr:uid="{00000000-0005-0000-0000-00001B050000}"/>
    <cellStyle name="Input 3 2 2" xfId="1449" xr:uid="{00000000-0005-0000-0000-00001C050000}"/>
    <cellStyle name="Input 3 2 2 2" xfId="1484" xr:uid="{00000000-0005-0000-0000-00001D050000}"/>
    <cellStyle name="Input 3 2 2 2 2" xfId="3968" xr:uid="{00000000-0005-0000-0000-00001E050000}"/>
    <cellStyle name="Input 3 2 2 3" xfId="2283" xr:uid="{00000000-0005-0000-0000-00001F050000}"/>
    <cellStyle name="Input 3 2 3" xfId="1634" xr:uid="{00000000-0005-0000-0000-000020050000}"/>
    <cellStyle name="Input 3 2 3 2" xfId="2452" xr:uid="{00000000-0005-0000-0000-000021050000}"/>
    <cellStyle name="Input 3 2 3 3" xfId="2175" xr:uid="{00000000-0005-0000-0000-000022050000}"/>
    <cellStyle name="Input 3 2 4" xfId="1919" xr:uid="{00000000-0005-0000-0000-000023050000}"/>
    <cellStyle name="Input 3 2 4 2" xfId="4043" xr:uid="{00000000-0005-0000-0000-000024050000}"/>
    <cellStyle name="Input 3 3" xfId="1002" xr:uid="{00000000-0005-0000-0000-000025050000}"/>
    <cellStyle name="Input 3 3 2" xfId="1475" xr:uid="{00000000-0005-0000-0000-000026050000}"/>
    <cellStyle name="Input 3 3 2 2" xfId="1571" xr:uid="{00000000-0005-0000-0000-000027050000}"/>
    <cellStyle name="Input 3 3 2 2 2" xfId="3949" xr:uid="{00000000-0005-0000-0000-000028050000}"/>
    <cellStyle name="Input 3 3 2 3" xfId="4000" xr:uid="{00000000-0005-0000-0000-000029050000}"/>
    <cellStyle name="Input 3 3 3" xfId="1712" xr:uid="{00000000-0005-0000-0000-00002A050000}"/>
    <cellStyle name="Input 3 3 3 2" xfId="2510" xr:uid="{00000000-0005-0000-0000-00002B050000}"/>
    <cellStyle name="Input 3 3 3 3" xfId="4095" xr:uid="{00000000-0005-0000-0000-00002C050000}"/>
    <cellStyle name="Input 3 3 4" xfId="1660" xr:uid="{00000000-0005-0000-0000-00002D050000}"/>
    <cellStyle name="Input 3 3 4 2" xfId="3961" xr:uid="{00000000-0005-0000-0000-00002E050000}"/>
    <cellStyle name="Input 3 4" xfId="1423" xr:uid="{00000000-0005-0000-0000-00002F050000}"/>
    <cellStyle name="Input 3 4 2" xfId="1586" xr:uid="{00000000-0005-0000-0000-000030050000}"/>
    <cellStyle name="Input 3 4 2 2" xfId="4073" xr:uid="{00000000-0005-0000-0000-000031050000}"/>
    <cellStyle name="Input 3 4 3" xfId="4016" xr:uid="{00000000-0005-0000-0000-000032050000}"/>
    <cellStyle name="Input 3 5" xfId="1500" xr:uid="{00000000-0005-0000-0000-000033050000}"/>
    <cellStyle name="Input 3 5 2" xfId="2345" xr:uid="{00000000-0005-0000-0000-000034050000}"/>
    <cellStyle name="Input 3 5 3" xfId="4076" xr:uid="{00000000-0005-0000-0000-000035050000}"/>
    <cellStyle name="Input 3 6" xfId="1881" xr:uid="{00000000-0005-0000-0000-000036050000}"/>
    <cellStyle name="Input 3 6 2" xfId="2134" xr:uid="{00000000-0005-0000-0000-000037050000}"/>
    <cellStyle name="Input 4" xfId="619" xr:uid="{00000000-0005-0000-0000-000038050000}"/>
    <cellStyle name="Input 4 2" xfId="1447" xr:uid="{00000000-0005-0000-0000-000039050000}"/>
    <cellStyle name="Input 4 2 2" xfId="1721" xr:uid="{00000000-0005-0000-0000-00003A050000}"/>
    <cellStyle name="Input 4 2 2 2" xfId="4033" xr:uid="{00000000-0005-0000-0000-00003B050000}"/>
    <cellStyle name="Input 4 2 3" xfId="4068" xr:uid="{00000000-0005-0000-0000-00003C050000}"/>
    <cellStyle name="Input 4 3" xfId="1632" xr:uid="{00000000-0005-0000-0000-00003D050000}"/>
    <cellStyle name="Input 4 3 2" xfId="2450" xr:uid="{00000000-0005-0000-0000-00003E050000}"/>
    <cellStyle name="Input 4 3 3" xfId="2128" xr:uid="{00000000-0005-0000-0000-00003F050000}"/>
    <cellStyle name="Input 4 4" xfId="1921" xr:uid="{00000000-0005-0000-0000-000040050000}"/>
    <cellStyle name="Input 4 4 2" xfId="4041" xr:uid="{00000000-0005-0000-0000-000041050000}"/>
    <cellStyle name="INTESTAZIONE" xfId="3476" xr:uid="{00000000-0005-0000-0000-000042050000}"/>
    <cellStyle name="INTESTAZIONE 2" xfId="4013" xr:uid="{00000000-0005-0000-0000-000043050000}"/>
    <cellStyle name="Linked Cell" xfId="113" xr:uid="{00000000-0005-0000-0000-000044050000}"/>
    <cellStyle name="Linked Cell 2" xfId="622" xr:uid="{00000000-0005-0000-0000-000045050000}"/>
    <cellStyle name="Linked Cell 3" xfId="1003" xr:uid="{00000000-0005-0000-0000-000046050000}"/>
    <cellStyle name="Migliaia" xfId="1417" builtinId="3"/>
    <cellStyle name="Migliaia (0)_1995" xfId="3477" xr:uid="{00000000-0005-0000-0000-000048050000}"/>
    <cellStyle name="Migliaia [0] 10" xfId="115" xr:uid="{00000000-0005-0000-0000-000049050000}"/>
    <cellStyle name="Migliaia [0] 11" xfId="116" xr:uid="{00000000-0005-0000-0000-00004A050000}"/>
    <cellStyle name="Migliaia [0] 12" xfId="117" xr:uid="{00000000-0005-0000-0000-00004B050000}"/>
    <cellStyle name="Migliaia [0] 13" xfId="118" xr:uid="{00000000-0005-0000-0000-00004C050000}"/>
    <cellStyle name="Migliaia [0] 14" xfId="119" xr:uid="{00000000-0005-0000-0000-00004D050000}"/>
    <cellStyle name="Migliaia [0] 14 2" xfId="1502" xr:uid="{00000000-0005-0000-0000-00004E050000}"/>
    <cellStyle name="Migliaia [0] 14 2 2" xfId="2347" xr:uid="{00000000-0005-0000-0000-00004F050000}"/>
    <cellStyle name="Migliaia [0] 14 3" xfId="1997" xr:uid="{00000000-0005-0000-0000-000050050000}"/>
    <cellStyle name="Migliaia [0] 15" xfId="120" xr:uid="{00000000-0005-0000-0000-000051050000}"/>
    <cellStyle name="Migliaia [0] 15 2" xfId="121" xr:uid="{00000000-0005-0000-0000-000052050000}"/>
    <cellStyle name="Migliaia [0] 15 2 2" xfId="1504" xr:uid="{00000000-0005-0000-0000-000053050000}"/>
    <cellStyle name="Migliaia [0] 15 2 2 2" xfId="2349" xr:uid="{00000000-0005-0000-0000-000054050000}"/>
    <cellStyle name="Migliaia [0] 15 2 3" xfId="1999" xr:uid="{00000000-0005-0000-0000-000055050000}"/>
    <cellStyle name="Migliaia [0] 15 3" xfId="122" xr:uid="{00000000-0005-0000-0000-000056050000}"/>
    <cellStyle name="Migliaia [0] 15 3 2" xfId="1505" xr:uid="{00000000-0005-0000-0000-000057050000}"/>
    <cellStyle name="Migliaia [0] 15 3 2 2" xfId="2350" xr:uid="{00000000-0005-0000-0000-000058050000}"/>
    <cellStyle name="Migliaia [0] 15 3 3" xfId="2000" xr:uid="{00000000-0005-0000-0000-000059050000}"/>
    <cellStyle name="Migliaia [0] 15 4" xfId="123" xr:uid="{00000000-0005-0000-0000-00005A050000}"/>
    <cellStyle name="Migliaia [0] 15 4 2" xfId="1506" xr:uid="{00000000-0005-0000-0000-00005B050000}"/>
    <cellStyle name="Migliaia [0] 15 4 2 2" xfId="2351" xr:uid="{00000000-0005-0000-0000-00005C050000}"/>
    <cellStyle name="Migliaia [0] 15 4 3" xfId="2001" xr:uid="{00000000-0005-0000-0000-00005D050000}"/>
    <cellStyle name="Migliaia [0] 15 5" xfId="124" xr:uid="{00000000-0005-0000-0000-00005E050000}"/>
    <cellStyle name="Migliaia [0] 15 5 2" xfId="1507" xr:uid="{00000000-0005-0000-0000-00005F050000}"/>
    <cellStyle name="Migliaia [0] 15 5 2 2" xfId="2352" xr:uid="{00000000-0005-0000-0000-000060050000}"/>
    <cellStyle name="Migliaia [0] 15 5 3" xfId="2002" xr:uid="{00000000-0005-0000-0000-000061050000}"/>
    <cellStyle name="Migliaia [0] 15 6" xfId="125" xr:uid="{00000000-0005-0000-0000-000062050000}"/>
    <cellStyle name="Migliaia [0] 15 6 2" xfId="1508" xr:uid="{00000000-0005-0000-0000-000063050000}"/>
    <cellStyle name="Migliaia [0] 15 6 2 2" xfId="2353" xr:uid="{00000000-0005-0000-0000-000064050000}"/>
    <cellStyle name="Migliaia [0] 15 6 3" xfId="2003" xr:uid="{00000000-0005-0000-0000-000065050000}"/>
    <cellStyle name="Migliaia [0] 15 7" xfId="1503" xr:uid="{00000000-0005-0000-0000-000066050000}"/>
    <cellStyle name="Migliaia [0] 15 7 2" xfId="2348" xr:uid="{00000000-0005-0000-0000-000067050000}"/>
    <cellStyle name="Migliaia [0] 15 8" xfId="1998" xr:uid="{00000000-0005-0000-0000-000068050000}"/>
    <cellStyle name="Migliaia [0] 16" xfId="126" xr:uid="{00000000-0005-0000-0000-000069050000}"/>
    <cellStyle name="Migliaia [0] 16 2" xfId="127" xr:uid="{00000000-0005-0000-0000-00006A050000}"/>
    <cellStyle name="Migliaia [0] 16 2 2" xfId="1510" xr:uid="{00000000-0005-0000-0000-00006B050000}"/>
    <cellStyle name="Migliaia [0] 16 2 2 2" xfId="2355" xr:uid="{00000000-0005-0000-0000-00006C050000}"/>
    <cellStyle name="Migliaia [0] 16 2 3" xfId="2005" xr:uid="{00000000-0005-0000-0000-00006D050000}"/>
    <cellStyle name="Migliaia [0] 16 3" xfId="1509" xr:uid="{00000000-0005-0000-0000-00006E050000}"/>
    <cellStyle name="Migliaia [0] 16 3 2" xfId="2354" xr:uid="{00000000-0005-0000-0000-00006F050000}"/>
    <cellStyle name="Migliaia [0] 16 4" xfId="2004" xr:uid="{00000000-0005-0000-0000-000070050000}"/>
    <cellStyle name="Migliaia [0] 17" xfId="948" xr:uid="{00000000-0005-0000-0000-000071050000}"/>
    <cellStyle name="Migliaia [0] 17 2" xfId="1702" xr:uid="{00000000-0005-0000-0000-000072050000}"/>
    <cellStyle name="Migliaia [0] 17 2 2" xfId="3478" xr:uid="{00000000-0005-0000-0000-000073050000}"/>
    <cellStyle name="Migliaia [0] 17 2 2 2" xfId="3479" xr:uid="{00000000-0005-0000-0000-000074050000}"/>
    <cellStyle name="Migliaia [0] 17 2 3" xfId="3480" xr:uid="{00000000-0005-0000-0000-000075050000}"/>
    <cellStyle name="Migliaia [0] 17 2 3 2" xfId="3481" xr:uid="{00000000-0005-0000-0000-000076050000}"/>
    <cellStyle name="Migliaia [0] 17 2 4" xfId="3482" xr:uid="{00000000-0005-0000-0000-000077050000}"/>
    <cellStyle name="Migliaia [0] 17 2 5" xfId="3483" xr:uid="{00000000-0005-0000-0000-000078050000}"/>
    <cellStyle name="Migliaia [0] 17 2 6" xfId="2503" xr:uid="{00000000-0005-0000-0000-000079050000}"/>
    <cellStyle name="Migliaia [0] 17 3" xfId="3484" xr:uid="{00000000-0005-0000-0000-00007A050000}"/>
    <cellStyle name="Migliaia [0] 17 3 2" xfId="3485" xr:uid="{00000000-0005-0000-0000-00007B050000}"/>
    <cellStyle name="Migliaia [0] 17 3 2 2" xfId="3486" xr:uid="{00000000-0005-0000-0000-00007C050000}"/>
    <cellStyle name="Migliaia [0] 17 3 3" xfId="3487" xr:uid="{00000000-0005-0000-0000-00007D050000}"/>
    <cellStyle name="Migliaia [0] 17 3 3 2" xfId="3488" xr:uid="{00000000-0005-0000-0000-00007E050000}"/>
    <cellStyle name="Migliaia [0] 17 3 4" xfId="3489" xr:uid="{00000000-0005-0000-0000-00007F050000}"/>
    <cellStyle name="Migliaia [0] 17 3 5" xfId="3490" xr:uid="{00000000-0005-0000-0000-000080050000}"/>
    <cellStyle name="Migliaia [0] 17 4" xfId="3491" xr:uid="{00000000-0005-0000-0000-000081050000}"/>
    <cellStyle name="Migliaia [0] 17 5" xfId="3492" xr:uid="{00000000-0005-0000-0000-000082050000}"/>
    <cellStyle name="Migliaia [0] 17 6" xfId="2160" xr:uid="{00000000-0005-0000-0000-000083050000}"/>
    <cellStyle name="Migliaia [0] 18" xfId="3493" xr:uid="{00000000-0005-0000-0000-000084050000}"/>
    <cellStyle name="Migliaia [0] 19" xfId="3494" xr:uid="{00000000-0005-0000-0000-000085050000}"/>
    <cellStyle name="Migliaia [0] 19 2" xfId="3495" xr:uid="{00000000-0005-0000-0000-000086050000}"/>
    <cellStyle name="Migliaia [0] 19 2 2" xfId="3496" xr:uid="{00000000-0005-0000-0000-000087050000}"/>
    <cellStyle name="Migliaia [0] 19 3" xfId="3497" xr:uid="{00000000-0005-0000-0000-000088050000}"/>
    <cellStyle name="Migliaia [0] 19 3 2" xfId="3498" xr:uid="{00000000-0005-0000-0000-000089050000}"/>
    <cellStyle name="Migliaia [0] 19 4" xfId="3499" xr:uid="{00000000-0005-0000-0000-00008A050000}"/>
    <cellStyle name="Migliaia [0] 19 5" xfId="3500" xr:uid="{00000000-0005-0000-0000-00008B050000}"/>
    <cellStyle name="Migliaia [0] 2" xfId="128" xr:uid="{00000000-0005-0000-0000-00008C050000}"/>
    <cellStyle name="Migliaia [0] 2 2" xfId="129" xr:uid="{00000000-0005-0000-0000-00008D050000}"/>
    <cellStyle name="Migliaia [0] 2 2 2" xfId="1512" xr:uid="{00000000-0005-0000-0000-00008E050000}"/>
    <cellStyle name="Migliaia [0] 2 2 2 2" xfId="2357" xr:uid="{00000000-0005-0000-0000-00008F050000}"/>
    <cellStyle name="Migliaia [0] 2 2 3" xfId="2007" xr:uid="{00000000-0005-0000-0000-000090050000}"/>
    <cellStyle name="Migliaia [0] 2 3" xfId="130" xr:uid="{00000000-0005-0000-0000-000091050000}"/>
    <cellStyle name="Migliaia [0] 2 3 2" xfId="1513" xr:uid="{00000000-0005-0000-0000-000092050000}"/>
    <cellStyle name="Migliaia [0] 2 3 2 2" xfId="2358" xr:uid="{00000000-0005-0000-0000-000093050000}"/>
    <cellStyle name="Migliaia [0] 2 3 3" xfId="2008" xr:uid="{00000000-0005-0000-0000-000094050000}"/>
    <cellStyle name="Migliaia [0] 2 4" xfId="131" xr:uid="{00000000-0005-0000-0000-000095050000}"/>
    <cellStyle name="Migliaia [0] 2 4 2" xfId="1514" xr:uid="{00000000-0005-0000-0000-000096050000}"/>
    <cellStyle name="Migliaia [0] 2 4 2 2" xfId="2359" xr:uid="{00000000-0005-0000-0000-000097050000}"/>
    <cellStyle name="Migliaia [0] 2 4 3" xfId="2009" xr:uid="{00000000-0005-0000-0000-000098050000}"/>
    <cellStyle name="Migliaia [0] 2 5" xfId="132" xr:uid="{00000000-0005-0000-0000-000099050000}"/>
    <cellStyle name="Migliaia [0] 2 5 2" xfId="1515" xr:uid="{00000000-0005-0000-0000-00009A050000}"/>
    <cellStyle name="Migliaia [0] 2 5 2 2" xfId="2360" xr:uid="{00000000-0005-0000-0000-00009B050000}"/>
    <cellStyle name="Migliaia [0] 2 5 3" xfId="2010" xr:uid="{00000000-0005-0000-0000-00009C050000}"/>
    <cellStyle name="Migliaia [0] 2 6" xfId="133" xr:uid="{00000000-0005-0000-0000-00009D050000}"/>
    <cellStyle name="Migliaia [0] 2 6 2" xfId="1516" xr:uid="{00000000-0005-0000-0000-00009E050000}"/>
    <cellStyle name="Migliaia [0] 2 6 2 2" xfId="2361" xr:uid="{00000000-0005-0000-0000-00009F050000}"/>
    <cellStyle name="Migliaia [0] 2 6 3" xfId="2011" xr:uid="{00000000-0005-0000-0000-0000A0050000}"/>
    <cellStyle name="Migliaia [0] 2 7" xfId="1511" xr:uid="{00000000-0005-0000-0000-0000A1050000}"/>
    <cellStyle name="Migliaia [0] 2 7 2" xfId="2356" xr:uid="{00000000-0005-0000-0000-0000A2050000}"/>
    <cellStyle name="Migliaia [0] 2 8" xfId="2006" xr:uid="{00000000-0005-0000-0000-0000A3050000}"/>
    <cellStyle name="Migliaia [0] 20" xfId="3501" xr:uid="{00000000-0005-0000-0000-0000A4050000}"/>
    <cellStyle name="Migliaia [0] 20 2" xfId="3502" xr:uid="{00000000-0005-0000-0000-0000A5050000}"/>
    <cellStyle name="Migliaia [0] 20 2 2" xfId="3503" xr:uid="{00000000-0005-0000-0000-0000A6050000}"/>
    <cellStyle name="Migliaia [0] 20 3" xfId="3504" xr:uid="{00000000-0005-0000-0000-0000A7050000}"/>
    <cellStyle name="Migliaia [0] 20 3 2" xfId="3505" xr:uid="{00000000-0005-0000-0000-0000A8050000}"/>
    <cellStyle name="Migliaia [0] 20 4" xfId="3506" xr:uid="{00000000-0005-0000-0000-0000A9050000}"/>
    <cellStyle name="Migliaia [0] 20 5" xfId="3507" xr:uid="{00000000-0005-0000-0000-0000AA050000}"/>
    <cellStyle name="Migliaia [0] 21" xfId="3508" xr:uid="{00000000-0005-0000-0000-0000AB050000}"/>
    <cellStyle name="Migliaia [0] 21 2" xfId="3509" xr:uid="{00000000-0005-0000-0000-0000AC050000}"/>
    <cellStyle name="Migliaia [0] 21 2 2" xfId="3510" xr:uid="{00000000-0005-0000-0000-0000AD050000}"/>
    <cellStyle name="Migliaia [0] 21 3" xfId="3511" xr:uid="{00000000-0005-0000-0000-0000AE050000}"/>
    <cellStyle name="Migliaia [0] 21 3 2" xfId="3512" xr:uid="{00000000-0005-0000-0000-0000AF050000}"/>
    <cellStyle name="Migliaia [0] 21 4" xfId="3513" xr:uid="{00000000-0005-0000-0000-0000B0050000}"/>
    <cellStyle name="Migliaia [0] 21 5" xfId="3514" xr:uid="{00000000-0005-0000-0000-0000B1050000}"/>
    <cellStyle name="Migliaia [0] 22" xfId="3515" xr:uid="{00000000-0005-0000-0000-0000B2050000}"/>
    <cellStyle name="Migliaia [0] 22 2" xfId="3516" xr:uid="{00000000-0005-0000-0000-0000B3050000}"/>
    <cellStyle name="Migliaia [0] 22 2 2" xfId="3517" xr:uid="{00000000-0005-0000-0000-0000B4050000}"/>
    <cellStyle name="Migliaia [0] 22 3" xfId="3518" xr:uid="{00000000-0005-0000-0000-0000B5050000}"/>
    <cellStyle name="Migliaia [0] 22 3 2" xfId="3519" xr:uid="{00000000-0005-0000-0000-0000B6050000}"/>
    <cellStyle name="Migliaia [0] 22 4" xfId="3520" xr:uid="{00000000-0005-0000-0000-0000B7050000}"/>
    <cellStyle name="Migliaia [0] 22 5" xfId="3521" xr:uid="{00000000-0005-0000-0000-0000B8050000}"/>
    <cellStyle name="Migliaia [0] 23" xfId="3522" xr:uid="{00000000-0005-0000-0000-0000B9050000}"/>
    <cellStyle name="Migliaia [0] 23 2" xfId="3523" xr:uid="{00000000-0005-0000-0000-0000BA050000}"/>
    <cellStyle name="Migliaia [0] 23 2 2" xfId="3524" xr:uid="{00000000-0005-0000-0000-0000BB050000}"/>
    <cellStyle name="Migliaia [0] 23 3" xfId="3525" xr:uid="{00000000-0005-0000-0000-0000BC050000}"/>
    <cellStyle name="Migliaia [0] 23 3 2" xfId="3526" xr:uid="{00000000-0005-0000-0000-0000BD050000}"/>
    <cellStyle name="Migliaia [0] 23 4" xfId="3527" xr:uid="{00000000-0005-0000-0000-0000BE050000}"/>
    <cellStyle name="Migliaia [0] 23 5" xfId="3528" xr:uid="{00000000-0005-0000-0000-0000BF050000}"/>
    <cellStyle name="Migliaia [0] 24" xfId="3529" xr:uid="{00000000-0005-0000-0000-0000C0050000}"/>
    <cellStyle name="Migliaia [0] 24 2" xfId="3530" xr:uid="{00000000-0005-0000-0000-0000C1050000}"/>
    <cellStyle name="Migliaia [0] 24 2 2" xfId="3531" xr:uid="{00000000-0005-0000-0000-0000C2050000}"/>
    <cellStyle name="Migliaia [0] 24 3" xfId="3532" xr:uid="{00000000-0005-0000-0000-0000C3050000}"/>
    <cellStyle name="Migliaia [0] 24 3 2" xfId="3533" xr:uid="{00000000-0005-0000-0000-0000C4050000}"/>
    <cellStyle name="Migliaia [0] 24 4" xfId="3534" xr:uid="{00000000-0005-0000-0000-0000C5050000}"/>
    <cellStyle name="Migliaia [0] 24 5" xfId="3535" xr:uid="{00000000-0005-0000-0000-0000C6050000}"/>
    <cellStyle name="Migliaia [0] 25" xfId="3536" xr:uid="{00000000-0005-0000-0000-0000C7050000}"/>
    <cellStyle name="Migliaia [0] 25 2" xfId="3537" xr:uid="{00000000-0005-0000-0000-0000C8050000}"/>
    <cellStyle name="Migliaia [0] 25 2 2" xfId="3538" xr:uid="{00000000-0005-0000-0000-0000C9050000}"/>
    <cellStyle name="Migliaia [0] 25 3" xfId="3539" xr:uid="{00000000-0005-0000-0000-0000CA050000}"/>
    <cellStyle name="Migliaia [0] 25 3 2" xfId="3540" xr:uid="{00000000-0005-0000-0000-0000CB050000}"/>
    <cellStyle name="Migliaia [0] 25 4" xfId="3541" xr:uid="{00000000-0005-0000-0000-0000CC050000}"/>
    <cellStyle name="Migliaia [0] 25 5" xfId="3542" xr:uid="{00000000-0005-0000-0000-0000CD050000}"/>
    <cellStyle name="Migliaia [0] 26" xfId="3543" xr:uid="{00000000-0005-0000-0000-0000CE050000}"/>
    <cellStyle name="Migliaia [0] 26 2" xfId="3544" xr:uid="{00000000-0005-0000-0000-0000CF050000}"/>
    <cellStyle name="Migliaia [0] 26 2 2" xfId="3545" xr:uid="{00000000-0005-0000-0000-0000D0050000}"/>
    <cellStyle name="Migliaia [0] 26 3" xfId="3546" xr:uid="{00000000-0005-0000-0000-0000D1050000}"/>
    <cellStyle name="Migliaia [0] 26 3 2" xfId="3547" xr:uid="{00000000-0005-0000-0000-0000D2050000}"/>
    <cellStyle name="Migliaia [0] 26 4" xfId="3548" xr:uid="{00000000-0005-0000-0000-0000D3050000}"/>
    <cellStyle name="Migliaia [0] 26 5" xfId="3549" xr:uid="{00000000-0005-0000-0000-0000D4050000}"/>
    <cellStyle name="Migliaia [0] 27" xfId="3550" xr:uid="{00000000-0005-0000-0000-0000D5050000}"/>
    <cellStyle name="Migliaia [0] 27 2" xfId="3551" xr:uid="{00000000-0005-0000-0000-0000D6050000}"/>
    <cellStyle name="Migliaia [0] 27 2 2" xfId="3552" xr:uid="{00000000-0005-0000-0000-0000D7050000}"/>
    <cellStyle name="Migliaia [0] 27 3" xfId="3553" xr:uid="{00000000-0005-0000-0000-0000D8050000}"/>
    <cellStyle name="Migliaia [0] 27 3 2" xfId="3554" xr:uid="{00000000-0005-0000-0000-0000D9050000}"/>
    <cellStyle name="Migliaia [0] 27 4" xfId="3555" xr:uid="{00000000-0005-0000-0000-0000DA050000}"/>
    <cellStyle name="Migliaia [0] 27 5" xfId="3556" xr:uid="{00000000-0005-0000-0000-0000DB050000}"/>
    <cellStyle name="Migliaia [0] 28" xfId="4106" xr:uid="{00000000-0005-0000-0000-0000DC050000}"/>
    <cellStyle name="Migliaia [0] 3" xfId="134" xr:uid="{00000000-0005-0000-0000-0000DD050000}"/>
    <cellStyle name="Migliaia [0] 3 2" xfId="1517" xr:uid="{00000000-0005-0000-0000-0000DE050000}"/>
    <cellStyle name="Migliaia [0] 3 2 2" xfId="2362" xr:uid="{00000000-0005-0000-0000-0000DF050000}"/>
    <cellStyle name="Migliaia [0] 3 3" xfId="2012" xr:uid="{00000000-0005-0000-0000-0000E0050000}"/>
    <cellStyle name="Migliaia [0] 3 4" xfId="2068" xr:uid="{00000000-0005-0000-0000-0000E1050000}"/>
    <cellStyle name="Migliaia [0] 4" xfId="135" xr:uid="{00000000-0005-0000-0000-0000E2050000}"/>
    <cellStyle name="Migliaia [0] 5" xfId="136" xr:uid="{00000000-0005-0000-0000-0000E3050000}"/>
    <cellStyle name="Migliaia [0] 6" xfId="137" xr:uid="{00000000-0005-0000-0000-0000E4050000}"/>
    <cellStyle name="Migliaia [0] 7" xfId="138" xr:uid="{00000000-0005-0000-0000-0000E5050000}"/>
    <cellStyle name="Migliaia [0] 8" xfId="139" xr:uid="{00000000-0005-0000-0000-0000E6050000}"/>
    <cellStyle name="Migliaia [0] 9" xfId="140" xr:uid="{00000000-0005-0000-0000-0000E7050000}"/>
    <cellStyle name="Migliaia 10" xfId="141" xr:uid="{00000000-0005-0000-0000-0000E8050000}"/>
    <cellStyle name="Migliaia 10 2" xfId="1518" xr:uid="{00000000-0005-0000-0000-0000E9050000}"/>
    <cellStyle name="Migliaia 10 2 2" xfId="3557" xr:uid="{00000000-0005-0000-0000-0000EA050000}"/>
    <cellStyle name="Migliaia 10 2 2 2" xfId="3558" xr:uid="{00000000-0005-0000-0000-0000EB050000}"/>
    <cellStyle name="Migliaia 10 2 3" xfId="3559" xr:uid="{00000000-0005-0000-0000-0000EC050000}"/>
    <cellStyle name="Migliaia 10 2 3 2" xfId="3560" xr:uid="{00000000-0005-0000-0000-0000ED050000}"/>
    <cellStyle name="Migliaia 10 2 4" xfId="3561" xr:uid="{00000000-0005-0000-0000-0000EE050000}"/>
    <cellStyle name="Migliaia 10 2 5" xfId="3562" xr:uid="{00000000-0005-0000-0000-0000EF050000}"/>
    <cellStyle name="Migliaia 10 2 6" xfId="3938" xr:uid="{00000000-0005-0000-0000-0000F0050000}"/>
    <cellStyle name="Migliaia 10 2 7" xfId="2363" xr:uid="{00000000-0005-0000-0000-0000F1050000}"/>
    <cellStyle name="Migliaia 10 3" xfId="2014" xr:uid="{00000000-0005-0000-0000-0000F2050000}"/>
    <cellStyle name="Migliaia 100" xfId="1230" xr:uid="{00000000-0005-0000-0000-0000F3050000}"/>
    <cellStyle name="Migliaia 100 2" xfId="1742" xr:uid="{00000000-0005-0000-0000-0000F4050000}"/>
    <cellStyle name="Migliaia 100 2 2" xfId="2525" xr:uid="{00000000-0005-0000-0000-0000F5050000}"/>
    <cellStyle name="Migliaia 100 3" xfId="2191" xr:uid="{00000000-0005-0000-0000-0000F6050000}"/>
    <cellStyle name="Migliaia 101" xfId="1231" xr:uid="{00000000-0005-0000-0000-0000F7050000}"/>
    <cellStyle name="Migliaia 101 2" xfId="1743" xr:uid="{00000000-0005-0000-0000-0000F8050000}"/>
    <cellStyle name="Migliaia 101 2 2" xfId="2526" xr:uid="{00000000-0005-0000-0000-0000F9050000}"/>
    <cellStyle name="Migliaia 101 3" xfId="2192" xr:uid="{00000000-0005-0000-0000-0000FA050000}"/>
    <cellStyle name="Migliaia 102" xfId="1232" xr:uid="{00000000-0005-0000-0000-0000FB050000}"/>
    <cellStyle name="Migliaia 102 2" xfId="1744" xr:uid="{00000000-0005-0000-0000-0000FC050000}"/>
    <cellStyle name="Migliaia 102 2 2" xfId="2527" xr:uid="{00000000-0005-0000-0000-0000FD050000}"/>
    <cellStyle name="Migliaia 102 3" xfId="2193" xr:uid="{00000000-0005-0000-0000-0000FE050000}"/>
    <cellStyle name="Migliaia 103" xfId="1233" xr:uid="{00000000-0005-0000-0000-0000FF050000}"/>
    <cellStyle name="Migliaia 103 2" xfId="1745" xr:uid="{00000000-0005-0000-0000-000000060000}"/>
    <cellStyle name="Migliaia 103 2 2" xfId="2528" xr:uid="{00000000-0005-0000-0000-000001060000}"/>
    <cellStyle name="Migliaia 103 3" xfId="2194" xr:uid="{00000000-0005-0000-0000-000002060000}"/>
    <cellStyle name="Migliaia 104" xfId="1300" xr:uid="{00000000-0005-0000-0000-000003060000}"/>
    <cellStyle name="Migliaia 104 2" xfId="1810" xr:uid="{00000000-0005-0000-0000-000004060000}"/>
    <cellStyle name="Migliaia 104 2 2" xfId="2593" xr:uid="{00000000-0005-0000-0000-000005060000}"/>
    <cellStyle name="Migliaia 104 3" xfId="3934" xr:uid="{00000000-0005-0000-0000-000006060000}"/>
    <cellStyle name="Migliaia 104 4" xfId="2259" xr:uid="{00000000-0005-0000-0000-000007060000}"/>
    <cellStyle name="Migliaia 105" xfId="1302" xr:uid="{00000000-0005-0000-0000-000008060000}"/>
    <cellStyle name="Migliaia 105 2" xfId="1811" xr:uid="{00000000-0005-0000-0000-000009060000}"/>
    <cellStyle name="Migliaia 105 2 2" xfId="2594" xr:uid="{00000000-0005-0000-0000-00000A060000}"/>
    <cellStyle name="Migliaia 105 3" xfId="2260" xr:uid="{00000000-0005-0000-0000-00000B060000}"/>
    <cellStyle name="Migliaia 106" xfId="1304" xr:uid="{00000000-0005-0000-0000-00000C060000}"/>
    <cellStyle name="Migliaia 106 2" xfId="1812" xr:uid="{00000000-0005-0000-0000-00000D060000}"/>
    <cellStyle name="Migliaia 106 2 2" xfId="2595" xr:uid="{00000000-0005-0000-0000-00000E060000}"/>
    <cellStyle name="Migliaia 106 3" xfId="2261" xr:uid="{00000000-0005-0000-0000-00000F060000}"/>
    <cellStyle name="Migliaia 107" xfId="1306" xr:uid="{00000000-0005-0000-0000-000010060000}"/>
    <cellStyle name="Migliaia 107 2" xfId="1813" xr:uid="{00000000-0005-0000-0000-000011060000}"/>
    <cellStyle name="Migliaia 107 2 2" xfId="2596" xr:uid="{00000000-0005-0000-0000-000012060000}"/>
    <cellStyle name="Migliaia 107 3" xfId="2262" xr:uid="{00000000-0005-0000-0000-000013060000}"/>
    <cellStyle name="Migliaia 108" xfId="1308" xr:uid="{00000000-0005-0000-0000-000014060000}"/>
    <cellStyle name="Migliaia 108 2" xfId="1814" xr:uid="{00000000-0005-0000-0000-000015060000}"/>
    <cellStyle name="Migliaia 108 2 2" xfId="2597" xr:uid="{00000000-0005-0000-0000-000016060000}"/>
    <cellStyle name="Migliaia 108 3" xfId="2263" xr:uid="{00000000-0005-0000-0000-000017060000}"/>
    <cellStyle name="Migliaia 109" xfId="1310" xr:uid="{00000000-0005-0000-0000-000018060000}"/>
    <cellStyle name="Migliaia 109 2" xfId="1815" xr:uid="{00000000-0005-0000-0000-000019060000}"/>
    <cellStyle name="Migliaia 109 2 2" xfId="2598" xr:uid="{00000000-0005-0000-0000-00001A060000}"/>
    <cellStyle name="Migliaia 109 3" xfId="2264" xr:uid="{00000000-0005-0000-0000-00001B060000}"/>
    <cellStyle name="Migliaia 11" xfId="142" xr:uid="{00000000-0005-0000-0000-00001C060000}"/>
    <cellStyle name="Migliaia 11 2" xfId="1519" xr:uid="{00000000-0005-0000-0000-00001D060000}"/>
    <cellStyle name="Migliaia 11 2 2" xfId="2364" xr:uid="{00000000-0005-0000-0000-00001E060000}"/>
    <cellStyle name="Migliaia 11 3" xfId="3563" xr:uid="{00000000-0005-0000-0000-00001F060000}"/>
    <cellStyle name="Migliaia 11 4" xfId="2015" xr:uid="{00000000-0005-0000-0000-000020060000}"/>
    <cellStyle name="Migliaia 110" xfId="1312" xr:uid="{00000000-0005-0000-0000-000021060000}"/>
    <cellStyle name="Migliaia 110 2" xfId="1816" xr:uid="{00000000-0005-0000-0000-000022060000}"/>
    <cellStyle name="Migliaia 110 2 2" xfId="2599" xr:uid="{00000000-0005-0000-0000-000023060000}"/>
    <cellStyle name="Migliaia 110 3" xfId="2266" xr:uid="{00000000-0005-0000-0000-000024060000}"/>
    <cellStyle name="Migliaia 111" xfId="1314" xr:uid="{00000000-0005-0000-0000-000025060000}"/>
    <cellStyle name="Migliaia 111 2" xfId="1817" xr:uid="{00000000-0005-0000-0000-000026060000}"/>
    <cellStyle name="Migliaia 111 2 2" xfId="2600" xr:uid="{00000000-0005-0000-0000-000027060000}"/>
    <cellStyle name="Migliaia 111 3" xfId="2267" xr:uid="{00000000-0005-0000-0000-000028060000}"/>
    <cellStyle name="Migliaia 112" xfId="1316" xr:uid="{00000000-0005-0000-0000-000029060000}"/>
    <cellStyle name="Migliaia 112 2" xfId="1818" xr:uid="{00000000-0005-0000-0000-00002A060000}"/>
    <cellStyle name="Migliaia 112 2 2" xfId="2601" xr:uid="{00000000-0005-0000-0000-00002B060000}"/>
    <cellStyle name="Migliaia 112 3" xfId="2268" xr:uid="{00000000-0005-0000-0000-00002C060000}"/>
    <cellStyle name="Migliaia 113" xfId="1318" xr:uid="{00000000-0005-0000-0000-00002D060000}"/>
    <cellStyle name="Migliaia 113 2" xfId="1819" xr:uid="{00000000-0005-0000-0000-00002E060000}"/>
    <cellStyle name="Migliaia 113 2 2" xfId="2602" xr:uid="{00000000-0005-0000-0000-00002F060000}"/>
    <cellStyle name="Migliaia 113 3" xfId="2269" xr:uid="{00000000-0005-0000-0000-000030060000}"/>
    <cellStyle name="Migliaia 114" xfId="1320" xr:uid="{00000000-0005-0000-0000-000031060000}"/>
    <cellStyle name="Migliaia 114 2" xfId="1820" xr:uid="{00000000-0005-0000-0000-000032060000}"/>
    <cellStyle name="Migliaia 114 2 2" xfId="2603" xr:uid="{00000000-0005-0000-0000-000033060000}"/>
    <cellStyle name="Migliaia 114 3" xfId="2270" xr:uid="{00000000-0005-0000-0000-000034060000}"/>
    <cellStyle name="Migliaia 115" xfId="1322" xr:uid="{00000000-0005-0000-0000-000035060000}"/>
    <cellStyle name="Migliaia 115 2" xfId="1821" xr:uid="{00000000-0005-0000-0000-000036060000}"/>
    <cellStyle name="Migliaia 115 2 2" xfId="2604" xr:uid="{00000000-0005-0000-0000-000037060000}"/>
    <cellStyle name="Migliaia 115 3" xfId="2271" xr:uid="{00000000-0005-0000-0000-000038060000}"/>
    <cellStyle name="Migliaia 116" xfId="1324" xr:uid="{00000000-0005-0000-0000-000039060000}"/>
    <cellStyle name="Migliaia 116 2" xfId="1822" xr:uid="{00000000-0005-0000-0000-00003A060000}"/>
    <cellStyle name="Migliaia 116 2 2" xfId="2605" xr:uid="{00000000-0005-0000-0000-00003B060000}"/>
    <cellStyle name="Migliaia 116 3" xfId="2273" xr:uid="{00000000-0005-0000-0000-00003C060000}"/>
    <cellStyle name="Migliaia 117" xfId="1326" xr:uid="{00000000-0005-0000-0000-00003D060000}"/>
    <cellStyle name="Migliaia 117 2" xfId="1823" xr:uid="{00000000-0005-0000-0000-00003E060000}"/>
    <cellStyle name="Migliaia 117 2 2" xfId="2606" xr:uid="{00000000-0005-0000-0000-00003F060000}"/>
    <cellStyle name="Migliaia 117 3" xfId="2274" xr:uid="{00000000-0005-0000-0000-000040060000}"/>
    <cellStyle name="Migliaia 118" xfId="1328" xr:uid="{00000000-0005-0000-0000-000041060000}"/>
    <cellStyle name="Migliaia 118 2" xfId="1824" xr:uid="{00000000-0005-0000-0000-000042060000}"/>
    <cellStyle name="Migliaia 118 2 2" xfId="2607" xr:uid="{00000000-0005-0000-0000-000043060000}"/>
    <cellStyle name="Migliaia 118 3" xfId="2275" xr:uid="{00000000-0005-0000-0000-000044060000}"/>
    <cellStyle name="Migliaia 119" xfId="1330" xr:uid="{00000000-0005-0000-0000-000045060000}"/>
    <cellStyle name="Migliaia 119 2" xfId="1825" xr:uid="{00000000-0005-0000-0000-000046060000}"/>
    <cellStyle name="Migliaia 119 2 2" xfId="2608" xr:uid="{00000000-0005-0000-0000-000047060000}"/>
    <cellStyle name="Migliaia 119 3" xfId="2276" xr:uid="{00000000-0005-0000-0000-000048060000}"/>
    <cellStyle name="Migliaia 12" xfId="143" xr:uid="{00000000-0005-0000-0000-000049060000}"/>
    <cellStyle name="Migliaia 12 2" xfId="1520" xr:uid="{00000000-0005-0000-0000-00004A060000}"/>
    <cellStyle name="Migliaia 12 2 2" xfId="2365" xr:uid="{00000000-0005-0000-0000-00004B060000}"/>
    <cellStyle name="Migliaia 12 3" xfId="2016" xr:uid="{00000000-0005-0000-0000-00004C060000}"/>
    <cellStyle name="Migliaia 120" xfId="1332" xr:uid="{00000000-0005-0000-0000-00004D060000}"/>
    <cellStyle name="Migliaia 120 2" xfId="1827" xr:uid="{00000000-0005-0000-0000-00004E060000}"/>
    <cellStyle name="Migliaia 120 2 2" xfId="2609" xr:uid="{00000000-0005-0000-0000-00004F060000}"/>
    <cellStyle name="Migliaia 120 3" xfId="2277" xr:uid="{00000000-0005-0000-0000-000050060000}"/>
    <cellStyle name="Migliaia 121" xfId="1334" xr:uid="{00000000-0005-0000-0000-000051060000}"/>
    <cellStyle name="Migliaia 121 2" xfId="1829" xr:uid="{00000000-0005-0000-0000-000052060000}"/>
    <cellStyle name="Migliaia 121 2 2" xfId="2610" xr:uid="{00000000-0005-0000-0000-000053060000}"/>
    <cellStyle name="Migliaia 121 3" xfId="2278" xr:uid="{00000000-0005-0000-0000-000054060000}"/>
    <cellStyle name="Migliaia 122" xfId="1336" xr:uid="{00000000-0005-0000-0000-000055060000}"/>
    <cellStyle name="Migliaia 122 2" xfId="1831" xr:uid="{00000000-0005-0000-0000-000056060000}"/>
    <cellStyle name="Migliaia 122 2 2" xfId="2611" xr:uid="{00000000-0005-0000-0000-000057060000}"/>
    <cellStyle name="Migliaia 122 3" xfId="2279" xr:uid="{00000000-0005-0000-0000-000058060000}"/>
    <cellStyle name="Migliaia 123" xfId="1338" xr:uid="{00000000-0005-0000-0000-000059060000}"/>
    <cellStyle name="Migliaia 123 2" xfId="1833" xr:uid="{00000000-0005-0000-0000-00005A060000}"/>
    <cellStyle name="Migliaia 123 2 2" xfId="2612" xr:uid="{00000000-0005-0000-0000-00005B060000}"/>
    <cellStyle name="Migliaia 123 3" xfId="2280" xr:uid="{00000000-0005-0000-0000-00005C060000}"/>
    <cellStyle name="Migliaia 124" xfId="1340" xr:uid="{00000000-0005-0000-0000-00005D060000}"/>
    <cellStyle name="Migliaia 124 2" xfId="1835" xr:uid="{00000000-0005-0000-0000-00005E060000}"/>
    <cellStyle name="Migliaia 124 2 2" xfId="2613" xr:uid="{00000000-0005-0000-0000-00005F060000}"/>
    <cellStyle name="Migliaia 124 3" xfId="2281" xr:uid="{00000000-0005-0000-0000-000060060000}"/>
    <cellStyle name="Migliaia 125" xfId="1342" xr:uid="{00000000-0005-0000-0000-000061060000}"/>
    <cellStyle name="Migliaia 125 2" xfId="1837" xr:uid="{00000000-0005-0000-0000-000062060000}"/>
    <cellStyle name="Migliaia 125 2 2" xfId="2614" xr:uid="{00000000-0005-0000-0000-000063060000}"/>
    <cellStyle name="Migliaia 125 3" xfId="2282" xr:uid="{00000000-0005-0000-0000-000064060000}"/>
    <cellStyle name="Migliaia 126" xfId="1344" xr:uid="{00000000-0005-0000-0000-000065060000}"/>
    <cellStyle name="Migliaia 126 2" xfId="1839" xr:uid="{00000000-0005-0000-0000-000066060000}"/>
    <cellStyle name="Migliaia 126 2 2" xfId="2615" xr:uid="{00000000-0005-0000-0000-000067060000}"/>
    <cellStyle name="Migliaia 126 3" xfId="2284" xr:uid="{00000000-0005-0000-0000-000068060000}"/>
    <cellStyle name="Migliaia 127" xfId="1346" xr:uid="{00000000-0005-0000-0000-000069060000}"/>
    <cellStyle name="Migliaia 127 2" xfId="1841" xr:uid="{00000000-0005-0000-0000-00006A060000}"/>
    <cellStyle name="Migliaia 127 2 2" xfId="2616" xr:uid="{00000000-0005-0000-0000-00006B060000}"/>
    <cellStyle name="Migliaia 127 3" xfId="2285" xr:uid="{00000000-0005-0000-0000-00006C060000}"/>
    <cellStyle name="Migliaia 128" xfId="1348" xr:uid="{00000000-0005-0000-0000-00006D060000}"/>
    <cellStyle name="Migliaia 128 2" xfId="1843" xr:uid="{00000000-0005-0000-0000-00006E060000}"/>
    <cellStyle name="Migliaia 128 2 2" xfId="2617" xr:uid="{00000000-0005-0000-0000-00006F060000}"/>
    <cellStyle name="Migliaia 128 3" xfId="2287" xr:uid="{00000000-0005-0000-0000-000070060000}"/>
    <cellStyle name="Migliaia 129" xfId="1350" xr:uid="{00000000-0005-0000-0000-000071060000}"/>
    <cellStyle name="Migliaia 129 2" xfId="1845" xr:uid="{00000000-0005-0000-0000-000072060000}"/>
    <cellStyle name="Migliaia 129 2 2" xfId="2618" xr:uid="{00000000-0005-0000-0000-000073060000}"/>
    <cellStyle name="Migliaia 129 3" xfId="2288" xr:uid="{00000000-0005-0000-0000-000074060000}"/>
    <cellStyle name="Migliaia 13" xfId="144" xr:uid="{00000000-0005-0000-0000-000075060000}"/>
    <cellStyle name="Migliaia 13 2" xfId="1521" xr:uid="{00000000-0005-0000-0000-000076060000}"/>
    <cellStyle name="Migliaia 13 2 2" xfId="2366" xr:uid="{00000000-0005-0000-0000-000077060000}"/>
    <cellStyle name="Migliaia 13 3" xfId="2017" xr:uid="{00000000-0005-0000-0000-000078060000}"/>
    <cellStyle name="Migliaia 130" xfId="1352" xr:uid="{00000000-0005-0000-0000-000079060000}"/>
    <cellStyle name="Migliaia 130 2" xfId="1847" xr:uid="{00000000-0005-0000-0000-00007A060000}"/>
    <cellStyle name="Migliaia 130 2 2" xfId="2620" xr:uid="{00000000-0005-0000-0000-00007B060000}"/>
    <cellStyle name="Migliaia 130 3" xfId="2290" xr:uid="{00000000-0005-0000-0000-00007C060000}"/>
    <cellStyle name="Migliaia 131" xfId="1355" xr:uid="{00000000-0005-0000-0000-00007D060000}"/>
    <cellStyle name="Migliaia 131 2" xfId="1850" xr:uid="{00000000-0005-0000-0000-00007E060000}"/>
    <cellStyle name="Migliaia 131 2 2" xfId="2621" xr:uid="{00000000-0005-0000-0000-00007F060000}"/>
    <cellStyle name="Migliaia 131 3" xfId="2291" xr:uid="{00000000-0005-0000-0000-000080060000}"/>
    <cellStyle name="Migliaia 132" xfId="1357" xr:uid="{00000000-0005-0000-0000-000081060000}"/>
    <cellStyle name="Migliaia 132 2" xfId="1852" xr:uid="{00000000-0005-0000-0000-000082060000}"/>
    <cellStyle name="Migliaia 132 2 2" xfId="2622" xr:uid="{00000000-0005-0000-0000-000083060000}"/>
    <cellStyle name="Migliaia 132 3" xfId="2292" xr:uid="{00000000-0005-0000-0000-000084060000}"/>
    <cellStyle name="Migliaia 133" xfId="1359" xr:uid="{00000000-0005-0000-0000-000085060000}"/>
    <cellStyle name="Migliaia 133 2" xfId="1854" xr:uid="{00000000-0005-0000-0000-000086060000}"/>
    <cellStyle name="Migliaia 133 2 2" xfId="2623" xr:uid="{00000000-0005-0000-0000-000087060000}"/>
    <cellStyle name="Migliaia 133 3" xfId="2293" xr:uid="{00000000-0005-0000-0000-000088060000}"/>
    <cellStyle name="Migliaia 134" xfId="1361" xr:uid="{00000000-0005-0000-0000-000089060000}"/>
    <cellStyle name="Migliaia 134 2" xfId="1856" xr:uid="{00000000-0005-0000-0000-00008A060000}"/>
    <cellStyle name="Migliaia 134 2 2" xfId="2624" xr:uid="{00000000-0005-0000-0000-00008B060000}"/>
    <cellStyle name="Migliaia 134 3" xfId="2294" xr:uid="{00000000-0005-0000-0000-00008C060000}"/>
    <cellStyle name="Migliaia 135" xfId="1363" xr:uid="{00000000-0005-0000-0000-00008D060000}"/>
    <cellStyle name="Migliaia 135 2" xfId="1858" xr:uid="{00000000-0005-0000-0000-00008E060000}"/>
    <cellStyle name="Migliaia 135 2 2" xfId="2625" xr:uid="{00000000-0005-0000-0000-00008F060000}"/>
    <cellStyle name="Migliaia 135 3" xfId="2295" xr:uid="{00000000-0005-0000-0000-000090060000}"/>
    <cellStyle name="Migliaia 136" xfId="1365" xr:uid="{00000000-0005-0000-0000-000091060000}"/>
    <cellStyle name="Migliaia 136 2" xfId="1860" xr:uid="{00000000-0005-0000-0000-000092060000}"/>
    <cellStyle name="Migliaia 136 2 2" xfId="2626" xr:uid="{00000000-0005-0000-0000-000093060000}"/>
    <cellStyle name="Migliaia 136 3" xfId="2296" xr:uid="{00000000-0005-0000-0000-000094060000}"/>
    <cellStyle name="Migliaia 137" xfId="1367" xr:uid="{00000000-0005-0000-0000-000095060000}"/>
    <cellStyle name="Migliaia 137 2" xfId="1862" xr:uid="{00000000-0005-0000-0000-000096060000}"/>
    <cellStyle name="Migliaia 137 2 2" xfId="2628" xr:uid="{00000000-0005-0000-0000-000097060000}"/>
    <cellStyle name="Migliaia 137 3" xfId="2297" xr:uid="{00000000-0005-0000-0000-000098060000}"/>
    <cellStyle name="Migliaia 138" xfId="1369" xr:uid="{00000000-0005-0000-0000-000099060000}"/>
    <cellStyle name="Migliaia 138 2" xfId="1863" xr:uid="{00000000-0005-0000-0000-00009A060000}"/>
    <cellStyle name="Migliaia 138 2 2" xfId="2629" xr:uid="{00000000-0005-0000-0000-00009B060000}"/>
    <cellStyle name="Migliaia 138 3" xfId="2298" xr:uid="{00000000-0005-0000-0000-00009C060000}"/>
    <cellStyle name="Migliaia 139" xfId="1371" xr:uid="{00000000-0005-0000-0000-00009D060000}"/>
    <cellStyle name="Migliaia 139 2" xfId="1864" xr:uid="{00000000-0005-0000-0000-00009E060000}"/>
    <cellStyle name="Migliaia 139 2 2" xfId="2630" xr:uid="{00000000-0005-0000-0000-00009F060000}"/>
    <cellStyle name="Migliaia 139 3" xfId="2299" xr:uid="{00000000-0005-0000-0000-0000A0060000}"/>
    <cellStyle name="Migliaia 14" xfId="145" xr:uid="{00000000-0005-0000-0000-0000A1060000}"/>
    <cellStyle name="Migliaia 14 2" xfId="1522" xr:uid="{00000000-0005-0000-0000-0000A2060000}"/>
    <cellStyle name="Migliaia 14 2 2" xfId="2367" xr:uid="{00000000-0005-0000-0000-0000A3060000}"/>
    <cellStyle name="Migliaia 14 3" xfId="2018" xr:uid="{00000000-0005-0000-0000-0000A4060000}"/>
    <cellStyle name="Migliaia 140" xfId="1373" xr:uid="{00000000-0005-0000-0000-0000A5060000}"/>
    <cellStyle name="Migliaia 140 2" xfId="1866" xr:uid="{00000000-0005-0000-0000-0000A6060000}"/>
    <cellStyle name="Migliaia 140 2 2" xfId="2632" xr:uid="{00000000-0005-0000-0000-0000A7060000}"/>
    <cellStyle name="Migliaia 140 3" xfId="2300" xr:uid="{00000000-0005-0000-0000-0000A8060000}"/>
    <cellStyle name="Migliaia 141" xfId="1375" xr:uid="{00000000-0005-0000-0000-0000A9060000}"/>
    <cellStyle name="Migliaia 141 2" xfId="1867" xr:uid="{00000000-0005-0000-0000-0000AA060000}"/>
    <cellStyle name="Migliaia 141 2 2" xfId="2633" xr:uid="{00000000-0005-0000-0000-0000AB060000}"/>
    <cellStyle name="Migliaia 141 3" xfId="2301" xr:uid="{00000000-0005-0000-0000-0000AC060000}"/>
    <cellStyle name="Migliaia 142" xfId="1377" xr:uid="{00000000-0005-0000-0000-0000AD060000}"/>
    <cellStyle name="Migliaia 142 2" xfId="1868" xr:uid="{00000000-0005-0000-0000-0000AE060000}"/>
    <cellStyle name="Migliaia 142 2 2" xfId="2634" xr:uid="{00000000-0005-0000-0000-0000AF060000}"/>
    <cellStyle name="Migliaia 142 3" xfId="2302" xr:uid="{00000000-0005-0000-0000-0000B0060000}"/>
    <cellStyle name="Migliaia 143" xfId="1379" xr:uid="{00000000-0005-0000-0000-0000B1060000}"/>
    <cellStyle name="Migliaia 143 2" xfId="1869" xr:uid="{00000000-0005-0000-0000-0000B2060000}"/>
    <cellStyle name="Migliaia 143 2 2" xfId="2635" xr:uid="{00000000-0005-0000-0000-0000B3060000}"/>
    <cellStyle name="Migliaia 143 3" xfId="2303" xr:uid="{00000000-0005-0000-0000-0000B4060000}"/>
    <cellStyle name="Migliaia 144" xfId="1381" xr:uid="{00000000-0005-0000-0000-0000B5060000}"/>
    <cellStyle name="Migliaia 144 2" xfId="1870" xr:uid="{00000000-0005-0000-0000-0000B6060000}"/>
    <cellStyle name="Migliaia 144 2 2" xfId="2636" xr:uid="{00000000-0005-0000-0000-0000B7060000}"/>
    <cellStyle name="Migliaia 144 3" xfId="2304" xr:uid="{00000000-0005-0000-0000-0000B8060000}"/>
    <cellStyle name="Migliaia 145" xfId="1383" xr:uid="{00000000-0005-0000-0000-0000B9060000}"/>
    <cellStyle name="Migliaia 145 2" xfId="1871" xr:uid="{00000000-0005-0000-0000-0000BA060000}"/>
    <cellStyle name="Migliaia 145 2 2" xfId="2637" xr:uid="{00000000-0005-0000-0000-0000BB060000}"/>
    <cellStyle name="Migliaia 145 3" xfId="2305" xr:uid="{00000000-0005-0000-0000-0000BC060000}"/>
    <cellStyle name="Migliaia 146" xfId="1385" xr:uid="{00000000-0005-0000-0000-0000BD060000}"/>
    <cellStyle name="Migliaia 146 2" xfId="1872" xr:uid="{00000000-0005-0000-0000-0000BE060000}"/>
    <cellStyle name="Migliaia 146 2 2" xfId="2638" xr:uid="{00000000-0005-0000-0000-0000BF060000}"/>
    <cellStyle name="Migliaia 146 3" xfId="2306" xr:uid="{00000000-0005-0000-0000-0000C0060000}"/>
    <cellStyle name="Migliaia 147" xfId="1387" xr:uid="{00000000-0005-0000-0000-0000C1060000}"/>
    <cellStyle name="Migliaia 147 2" xfId="1873" xr:uid="{00000000-0005-0000-0000-0000C2060000}"/>
    <cellStyle name="Migliaia 147 2 2" xfId="2639" xr:uid="{00000000-0005-0000-0000-0000C3060000}"/>
    <cellStyle name="Migliaia 147 3" xfId="2307" xr:uid="{00000000-0005-0000-0000-0000C4060000}"/>
    <cellStyle name="Migliaia 148" xfId="1389" xr:uid="{00000000-0005-0000-0000-0000C5060000}"/>
    <cellStyle name="Migliaia 148 2" xfId="1874" xr:uid="{00000000-0005-0000-0000-0000C6060000}"/>
    <cellStyle name="Migliaia 148 2 2" xfId="2640" xr:uid="{00000000-0005-0000-0000-0000C7060000}"/>
    <cellStyle name="Migliaia 148 3" xfId="2308" xr:uid="{00000000-0005-0000-0000-0000C8060000}"/>
    <cellStyle name="Migliaia 149" xfId="1391" xr:uid="{00000000-0005-0000-0000-0000C9060000}"/>
    <cellStyle name="Migliaia 149 2" xfId="1875" xr:uid="{00000000-0005-0000-0000-0000CA060000}"/>
    <cellStyle name="Migliaia 149 2 2" xfId="2641" xr:uid="{00000000-0005-0000-0000-0000CB060000}"/>
    <cellStyle name="Migliaia 149 3" xfId="2309" xr:uid="{00000000-0005-0000-0000-0000CC060000}"/>
    <cellStyle name="Migliaia 15" xfId="146" xr:uid="{00000000-0005-0000-0000-0000CD060000}"/>
    <cellStyle name="Migliaia 15 2" xfId="1523" xr:uid="{00000000-0005-0000-0000-0000CE060000}"/>
    <cellStyle name="Migliaia 15 2 2" xfId="2368" xr:uid="{00000000-0005-0000-0000-0000CF060000}"/>
    <cellStyle name="Migliaia 15 3" xfId="2019" xr:uid="{00000000-0005-0000-0000-0000D0060000}"/>
    <cellStyle name="Migliaia 150" xfId="1393" xr:uid="{00000000-0005-0000-0000-0000D1060000}"/>
    <cellStyle name="Migliaia 150 2" xfId="1876" xr:uid="{00000000-0005-0000-0000-0000D2060000}"/>
    <cellStyle name="Migliaia 150 2 2" xfId="2642" xr:uid="{00000000-0005-0000-0000-0000D3060000}"/>
    <cellStyle name="Migliaia 150 3" xfId="2310" xr:uid="{00000000-0005-0000-0000-0000D4060000}"/>
    <cellStyle name="Migliaia 151" xfId="1395" xr:uid="{00000000-0005-0000-0000-0000D5060000}"/>
    <cellStyle name="Migliaia 151 2" xfId="1877" xr:uid="{00000000-0005-0000-0000-0000D6060000}"/>
    <cellStyle name="Migliaia 151 2 2" xfId="2643" xr:uid="{00000000-0005-0000-0000-0000D7060000}"/>
    <cellStyle name="Migliaia 151 3" xfId="2312" xr:uid="{00000000-0005-0000-0000-0000D8060000}"/>
    <cellStyle name="Migliaia 152" xfId="1397" xr:uid="{00000000-0005-0000-0000-0000D9060000}"/>
    <cellStyle name="Migliaia 152 2" xfId="1878" xr:uid="{00000000-0005-0000-0000-0000DA060000}"/>
    <cellStyle name="Migliaia 152 2 2" xfId="2644" xr:uid="{00000000-0005-0000-0000-0000DB060000}"/>
    <cellStyle name="Migliaia 152 3" xfId="2313" xr:uid="{00000000-0005-0000-0000-0000DC060000}"/>
    <cellStyle name="Migliaia 153" xfId="1399" xr:uid="{00000000-0005-0000-0000-0000DD060000}"/>
    <cellStyle name="Migliaia 153 2" xfId="1880" xr:uid="{00000000-0005-0000-0000-0000DE060000}"/>
    <cellStyle name="Migliaia 153 2 2" xfId="2645" xr:uid="{00000000-0005-0000-0000-0000DF060000}"/>
    <cellStyle name="Migliaia 153 3" xfId="2314" xr:uid="{00000000-0005-0000-0000-0000E0060000}"/>
    <cellStyle name="Migliaia 154" xfId="1401" xr:uid="{00000000-0005-0000-0000-0000E1060000}"/>
    <cellStyle name="Migliaia 154 2" xfId="1882" xr:uid="{00000000-0005-0000-0000-0000E2060000}"/>
    <cellStyle name="Migliaia 154 2 2" xfId="2646" xr:uid="{00000000-0005-0000-0000-0000E3060000}"/>
    <cellStyle name="Migliaia 154 3" xfId="2315" xr:uid="{00000000-0005-0000-0000-0000E4060000}"/>
    <cellStyle name="Migliaia 155" xfId="1403" xr:uid="{00000000-0005-0000-0000-0000E5060000}"/>
    <cellStyle name="Migliaia 155 2" xfId="1883" xr:uid="{00000000-0005-0000-0000-0000E6060000}"/>
    <cellStyle name="Migliaia 155 2 2" xfId="2647" xr:uid="{00000000-0005-0000-0000-0000E7060000}"/>
    <cellStyle name="Migliaia 155 3" xfId="2316" xr:uid="{00000000-0005-0000-0000-0000E8060000}"/>
    <cellStyle name="Migliaia 156" xfId="1405" xr:uid="{00000000-0005-0000-0000-0000E9060000}"/>
    <cellStyle name="Migliaia 156 2" xfId="1884" xr:uid="{00000000-0005-0000-0000-0000EA060000}"/>
    <cellStyle name="Migliaia 156 2 2" xfId="2648" xr:uid="{00000000-0005-0000-0000-0000EB060000}"/>
    <cellStyle name="Migliaia 156 3" xfId="2317" xr:uid="{00000000-0005-0000-0000-0000EC060000}"/>
    <cellStyle name="Migliaia 157" xfId="1407" xr:uid="{00000000-0005-0000-0000-0000ED060000}"/>
    <cellStyle name="Migliaia 157 2" xfId="1885" xr:uid="{00000000-0005-0000-0000-0000EE060000}"/>
    <cellStyle name="Migliaia 157 2 2" xfId="2649" xr:uid="{00000000-0005-0000-0000-0000EF060000}"/>
    <cellStyle name="Migliaia 157 3" xfId="2318" xr:uid="{00000000-0005-0000-0000-0000F0060000}"/>
    <cellStyle name="Migliaia 158" xfId="114" xr:uid="{00000000-0005-0000-0000-0000F1060000}"/>
    <cellStyle name="Migliaia 158 2" xfId="1501" xr:uid="{00000000-0005-0000-0000-0000F2060000}"/>
    <cellStyle name="Migliaia 158 2 2" xfId="2346" xr:uid="{00000000-0005-0000-0000-0000F3060000}"/>
    <cellStyle name="Migliaia 158 3" xfId="1996" xr:uid="{00000000-0005-0000-0000-0000F4060000}"/>
    <cellStyle name="Migliaia 159" xfId="1411" xr:uid="{00000000-0005-0000-0000-0000F5060000}"/>
    <cellStyle name="Migliaia 159 2" xfId="1886" xr:uid="{00000000-0005-0000-0000-0000F6060000}"/>
    <cellStyle name="Migliaia 159 2 2" xfId="2650" xr:uid="{00000000-0005-0000-0000-0000F7060000}"/>
    <cellStyle name="Migliaia 159 3" xfId="2319" xr:uid="{00000000-0005-0000-0000-0000F8060000}"/>
    <cellStyle name="Migliaia 16" xfId="147" xr:uid="{00000000-0005-0000-0000-0000F9060000}"/>
    <cellStyle name="Migliaia 16 2" xfId="1524" xr:uid="{00000000-0005-0000-0000-0000FA060000}"/>
    <cellStyle name="Migliaia 16 2 2" xfId="2369" xr:uid="{00000000-0005-0000-0000-0000FB060000}"/>
    <cellStyle name="Migliaia 16 3" xfId="2020" xr:uid="{00000000-0005-0000-0000-0000FC060000}"/>
    <cellStyle name="Migliaia 160" xfId="1415" xr:uid="{00000000-0005-0000-0000-0000FD060000}"/>
    <cellStyle name="Migliaia 160 2" xfId="1889" xr:uid="{00000000-0005-0000-0000-0000FE060000}"/>
    <cellStyle name="Migliaia 160 2 2" xfId="2653" xr:uid="{00000000-0005-0000-0000-0000FF060000}"/>
    <cellStyle name="Migliaia 160 3" xfId="2322" xr:uid="{00000000-0005-0000-0000-000000070000}"/>
    <cellStyle name="Migliaia 161" xfId="1412" xr:uid="{00000000-0005-0000-0000-000001070000}"/>
    <cellStyle name="Migliaia 161 2" xfId="1887" xr:uid="{00000000-0005-0000-0000-000002070000}"/>
    <cellStyle name="Migliaia 161 2 2" xfId="2651" xr:uid="{00000000-0005-0000-0000-000003070000}"/>
    <cellStyle name="Migliaia 161 3" xfId="2320" xr:uid="{00000000-0005-0000-0000-000004070000}"/>
    <cellStyle name="Migliaia 162" xfId="1414" xr:uid="{00000000-0005-0000-0000-000005070000}"/>
    <cellStyle name="Migliaia 162 2" xfId="1888" xr:uid="{00000000-0005-0000-0000-000006070000}"/>
    <cellStyle name="Migliaia 162 2 2" xfId="2652" xr:uid="{00000000-0005-0000-0000-000007070000}"/>
    <cellStyle name="Migliaia 162 3" xfId="2321" xr:uid="{00000000-0005-0000-0000-000008070000}"/>
    <cellStyle name="Migliaia 163" xfId="1890" xr:uid="{00000000-0005-0000-0000-000009070000}"/>
    <cellStyle name="Migliaia 163 2" xfId="2654" xr:uid="{00000000-0005-0000-0000-00000A070000}"/>
    <cellStyle name="Migliaia 164" xfId="1928" xr:uid="{00000000-0005-0000-0000-00000B070000}"/>
    <cellStyle name="Migliaia 164 2" xfId="2674" xr:uid="{00000000-0005-0000-0000-00000C070000}"/>
    <cellStyle name="Migliaia 165" xfId="1678" xr:uid="{00000000-0005-0000-0000-00000D070000}"/>
    <cellStyle name="Migliaia 165 2" xfId="2489" xr:uid="{00000000-0005-0000-0000-00000E070000}"/>
    <cellStyle name="Migliaia 166" xfId="1933" xr:uid="{00000000-0005-0000-0000-00000F070000}"/>
    <cellStyle name="Migliaia 166 2" xfId="2675" xr:uid="{00000000-0005-0000-0000-000010070000}"/>
    <cellStyle name="Migliaia 167" xfId="1662" xr:uid="{00000000-0005-0000-0000-000011070000}"/>
    <cellStyle name="Migliaia 167 2" xfId="2475" xr:uid="{00000000-0005-0000-0000-000012070000}"/>
    <cellStyle name="Migliaia 168" xfId="1676" xr:uid="{00000000-0005-0000-0000-000013070000}"/>
    <cellStyle name="Migliaia 168 2" xfId="2488" xr:uid="{00000000-0005-0000-0000-000014070000}"/>
    <cellStyle name="Migliaia 169" xfId="2323" xr:uid="{00000000-0005-0000-0000-000015070000}"/>
    <cellStyle name="Migliaia 17" xfId="148" xr:uid="{00000000-0005-0000-0000-000016070000}"/>
    <cellStyle name="Migliaia 17 2" xfId="1525" xr:uid="{00000000-0005-0000-0000-000017070000}"/>
    <cellStyle name="Migliaia 17 2 2" xfId="2370" xr:uid="{00000000-0005-0000-0000-000018070000}"/>
    <cellStyle name="Migliaia 17 3" xfId="2021" xr:uid="{00000000-0005-0000-0000-000019070000}"/>
    <cellStyle name="Migliaia 170" xfId="3953" xr:uid="{00000000-0005-0000-0000-00001A070000}"/>
    <cellStyle name="Migliaia 171" xfId="2410" xr:uid="{00000000-0005-0000-0000-00001B070000}"/>
    <cellStyle name="Migliaia 172" xfId="4091" xr:uid="{00000000-0005-0000-0000-00001C070000}"/>
    <cellStyle name="Migliaia 173" xfId="4012" xr:uid="{00000000-0005-0000-0000-00001D070000}"/>
    <cellStyle name="Migliaia 174" xfId="2129" xr:uid="{00000000-0005-0000-0000-00001E070000}"/>
    <cellStyle name="Migliaia 175" xfId="4103" xr:uid="{00000000-0005-0000-0000-00001F070000}"/>
    <cellStyle name="Migliaia 176" xfId="4105" xr:uid="{00000000-0005-0000-0000-000020070000}"/>
    <cellStyle name="Migliaia 18" xfId="149" xr:uid="{00000000-0005-0000-0000-000021070000}"/>
    <cellStyle name="Migliaia 18 2" xfId="1526" xr:uid="{00000000-0005-0000-0000-000022070000}"/>
    <cellStyle name="Migliaia 18 2 2" xfId="2371" xr:uid="{00000000-0005-0000-0000-000023070000}"/>
    <cellStyle name="Migliaia 18 3" xfId="2022" xr:uid="{00000000-0005-0000-0000-000024070000}"/>
    <cellStyle name="Migliaia 19" xfId="150" xr:uid="{00000000-0005-0000-0000-000025070000}"/>
    <cellStyle name="Migliaia 19 2" xfId="1527" xr:uid="{00000000-0005-0000-0000-000026070000}"/>
    <cellStyle name="Migliaia 19 2 2" xfId="2372" xr:uid="{00000000-0005-0000-0000-000027070000}"/>
    <cellStyle name="Migliaia 19 3" xfId="2023" xr:uid="{00000000-0005-0000-0000-000028070000}"/>
    <cellStyle name="Migliaia 2" xfId="151" xr:uid="{00000000-0005-0000-0000-000029070000}"/>
    <cellStyle name="Migliaia 2 2" xfId="152" xr:uid="{00000000-0005-0000-0000-00002A070000}"/>
    <cellStyle name="Migliaia 2 2 2" xfId="153" xr:uid="{00000000-0005-0000-0000-00002B070000}"/>
    <cellStyle name="Migliaia 2 2 2 2" xfId="1530" xr:uid="{00000000-0005-0000-0000-00002C070000}"/>
    <cellStyle name="Migliaia 2 2 2 2 2" xfId="2375" xr:uid="{00000000-0005-0000-0000-00002D070000}"/>
    <cellStyle name="Migliaia 2 2 2 3" xfId="2026" xr:uid="{00000000-0005-0000-0000-00002E070000}"/>
    <cellStyle name="Migliaia 2 2 3" xfId="154" xr:uid="{00000000-0005-0000-0000-00002F070000}"/>
    <cellStyle name="Migliaia 2 2 3 2" xfId="625" xr:uid="{00000000-0005-0000-0000-000030070000}"/>
    <cellStyle name="Migliaia 2 2 3 2 2" xfId="1637" xr:uid="{00000000-0005-0000-0000-000031070000}"/>
    <cellStyle name="Migliaia 2 2 3 2 2 2" xfId="2455" xr:uid="{00000000-0005-0000-0000-000032070000}"/>
    <cellStyle name="Migliaia 2 2 3 2 3" xfId="2110" xr:uid="{00000000-0005-0000-0000-000033070000}"/>
    <cellStyle name="Migliaia 2 2 3 3" xfId="1531" xr:uid="{00000000-0005-0000-0000-000034070000}"/>
    <cellStyle name="Migliaia 2 2 3 3 2" xfId="2376" xr:uid="{00000000-0005-0000-0000-000035070000}"/>
    <cellStyle name="Migliaia 2 2 3 4" xfId="2027" xr:uid="{00000000-0005-0000-0000-000036070000}"/>
    <cellStyle name="Migliaia 2 2 4" xfId="155" xr:uid="{00000000-0005-0000-0000-000037070000}"/>
    <cellStyle name="Migliaia 2 2 4 2" xfId="626" xr:uid="{00000000-0005-0000-0000-000038070000}"/>
    <cellStyle name="Migliaia 2 2 4 2 2" xfId="1638" xr:uid="{00000000-0005-0000-0000-000039070000}"/>
    <cellStyle name="Migliaia 2 2 4 2 2 2" xfId="2456" xr:uid="{00000000-0005-0000-0000-00003A070000}"/>
    <cellStyle name="Migliaia 2 2 4 2 3" xfId="2111" xr:uid="{00000000-0005-0000-0000-00003B070000}"/>
    <cellStyle name="Migliaia 2 2 4 3" xfId="1532" xr:uid="{00000000-0005-0000-0000-00003C070000}"/>
    <cellStyle name="Migliaia 2 2 4 3 2" xfId="2377" xr:uid="{00000000-0005-0000-0000-00003D070000}"/>
    <cellStyle name="Migliaia 2 2 4 4" xfId="2028" xr:uid="{00000000-0005-0000-0000-00003E070000}"/>
    <cellStyle name="Migliaia 2 2 5" xfId="156" xr:uid="{00000000-0005-0000-0000-00003F070000}"/>
    <cellStyle name="Migliaia 2 2 5 2" xfId="627" xr:uid="{00000000-0005-0000-0000-000040070000}"/>
    <cellStyle name="Migliaia 2 2 5 2 2" xfId="1639" xr:uid="{00000000-0005-0000-0000-000041070000}"/>
    <cellStyle name="Migliaia 2 2 5 2 2 2" xfId="2457" xr:uid="{00000000-0005-0000-0000-000042070000}"/>
    <cellStyle name="Migliaia 2 2 5 2 3" xfId="2112" xr:uid="{00000000-0005-0000-0000-000043070000}"/>
    <cellStyle name="Migliaia 2 2 5 3" xfId="1533" xr:uid="{00000000-0005-0000-0000-000044070000}"/>
    <cellStyle name="Migliaia 2 2 5 3 2" xfId="2378" xr:uid="{00000000-0005-0000-0000-000045070000}"/>
    <cellStyle name="Migliaia 2 2 5 4" xfId="2029" xr:uid="{00000000-0005-0000-0000-000046070000}"/>
    <cellStyle name="Migliaia 2 2 6" xfId="157" xr:uid="{00000000-0005-0000-0000-000047070000}"/>
    <cellStyle name="Migliaia 2 2 6 2" xfId="628" xr:uid="{00000000-0005-0000-0000-000048070000}"/>
    <cellStyle name="Migliaia 2 2 6 2 2" xfId="1640" xr:uid="{00000000-0005-0000-0000-000049070000}"/>
    <cellStyle name="Migliaia 2 2 6 2 2 2" xfId="2458" xr:uid="{00000000-0005-0000-0000-00004A070000}"/>
    <cellStyle name="Migliaia 2 2 6 2 3" xfId="2113" xr:uid="{00000000-0005-0000-0000-00004B070000}"/>
    <cellStyle name="Migliaia 2 2 6 3" xfId="1534" xr:uid="{00000000-0005-0000-0000-00004C070000}"/>
    <cellStyle name="Migliaia 2 2 6 3 2" xfId="2379" xr:uid="{00000000-0005-0000-0000-00004D070000}"/>
    <cellStyle name="Migliaia 2 2 6 4" xfId="2030" xr:uid="{00000000-0005-0000-0000-00004E070000}"/>
    <cellStyle name="Migliaia 2 2 7" xfId="1529" xr:uid="{00000000-0005-0000-0000-00004F070000}"/>
    <cellStyle name="Migliaia 2 2 7 2" xfId="2374" xr:uid="{00000000-0005-0000-0000-000050070000}"/>
    <cellStyle name="Migliaia 2 2 8" xfId="2025" xr:uid="{00000000-0005-0000-0000-000051070000}"/>
    <cellStyle name="Migliaia 2 3" xfId="158" xr:uid="{00000000-0005-0000-0000-000052070000}"/>
    <cellStyle name="Migliaia 2 3 2" xfId="1535" xr:uid="{00000000-0005-0000-0000-000053070000}"/>
    <cellStyle name="Migliaia 2 3 2 2" xfId="2380" xr:uid="{00000000-0005-0000-0000-000054070000}"/>
    <cellStyle name="Migliaia 2 3 3" xfId="2031" xr:uid="{00000000-0005-0000-0000-000055070000}"/>
    <cellStyle name="Migliaia 2 4" xfId="159" xr:uid="{00000000-0005-0000-0000-000056070000}"/>
    <cellStyle name="Migliaia 2 4 2" xfId="1536" xr:uid="{00000000-0005-0000-0000-000057070000}"/>
    <cellStyle name="Migliaia 2 4 2 2" xfId="2381" xr:uid="{00000000-0005-0000-0000-000058070000}"/>
    <cellStyle name="Migliaia 2 4 3" xfId="2032" xr:uid="{00000000-0005-0000-0000-000059070000}"/>
    <cellStyle name="Migliaia 2 5" xfId="160" xr:uid="{00000000-0005-0000-0000-00005A070000}"/>
    <cellStyle name="Migliaia 2 5 2" xfId="1537" xr:uid="{00000000-0005-0000-0000-00005B070000}"/>
    <cellStyle name="Migliaia 2 5 2 2" xfId="2382" xr:uid="{00000000-0005-0000-0000-00005C070000}"/>
    <cellStyle name="Migliaia 2 5 3" xfId="2033" xr:uid="{00000000-0005-0000-0000-00005D070000}"/>
    <cellStyle name="Migliaia 2 6" xfId="161" xr:uid="{00000000-0005-0000-0000-00005E070000}"/>
    <cellStyle name="Migliaia 2 6 2" xfId="1538" xr:uid="{00000000-0005-0000-0000-00005F070000}"/>
    <cellStyle name="Migliaia 2 6 2 2" xfId="2383" xr:uid="{00000000-0005-0000-0000-000060070000}"/>
    <cellStyle name="Migliaia 2 6 3" xfId="2034" xr:uid="{00000000-0005-0000-0000-000061070000}"/>
    <cellStyle name="Migliaia 2 7" xfId="162" xr:uid="{00000000-0005-0000-0000-000062070000}"/>
    <cellStyle name="Migliaia 2 7 2" xfId="1539" xr:uid="{00000000-0005-0000-0000-000063070000}"/>
    <cellStyle name="Migliaia 2 7 2 2" xfId="2384" xr:uid="{00000000-0005-0000-0000-000064070000}"/>
    <cellStyle name="Migliaia 2 7 3" xfId="2035" xr:uid="{00000000-0005-0000-0000-000065070000}"/>
    <cellStyle name="Migliaia 2 8" xfId="1528" xr:uid="{00000000-0005-0000-0000-000066070000}"/>
    <cellStyle name="Migliaia 2 8 2" xfId="2373" xr:uid="{00000000-0005-0000-0000-000067070000}"/>
    <cellStyle name="Migliaia 2 9" xfId="2024" xr:uid="{00000000-0005-0000-0000-000068070000}"/>
    <cellStyle name="Migliaia 20" xfId="163" xr:uid="{00000000-0005-0000-0000-000069070000}"/>
    <cellStyle name="Migliaia 20 2" xfId="1540" xr:uid="{00000000-0005-0000-0000-00006A070000}"/>
    <cellStyle name="Migliaia 20 2 2" xfId="2385" xr:uid="{00000000-0005-0000-0000-00006B070000}"/>
    <cellStyle name="Migliaia 20 3" xfId="2036" xr:uid="{00000000-0005-0000-0000-00006C070000}"/>
    <cellStyle name="Migliaia 21" xfId="164" xr:uid="{00000000-0005-0000-0000-00006D070000}"/>
    <cellStyle name="Migliaia 21 2" xfId="1541" xr:uid="{00000000-0005-0000-0000-00006E070000}"/>
    <cellStyle name="Migliaia 21 2 2" xfId="2386" xr:uid="{00000000-0005-0000-0000-00006F070000}"/>
    <cellStyle name="Migliaia 21 3" xfId="2037" xr:uid="{00000000-0005-0000-0000-000070070000}"/>
    <cellStyle name="Migliaia 22" xfId="466" xr:uid="{00000000-0005-0000-0000-000071070000}"/>
    <cellStyle name="Migliaia 22 2" xfId="1597" xr:uid="{00000000-0005-0000-0000-000072070000}"/>
    <cellStyle name="Migliaia 22 2 2" xfId="2430" xr:uid="{00000000-0005-0000-0000-000073070000}"/>
    <cellStyle name="Migliaia 22 3" xfId="2091" xr:uid="{00000000-0005-0000-0000-000074070000}"/>
    <cellStyle name="Migliaia 23" xfId="467" xr:uid="{00000000-0005-0000-0000-000075070000}"/>
    <cellStyle name="Migliaia 23 2" xfId="1598" xr:uid="{00000000-0005-0000-0000-000076070000}"/>
    <cellStyle name="Migliaia 23 2 2" xfId="2431" xr:uid="{00000000-0005-0000-0000-000077070000}"/>
    <cellStyle name="Migliaia 23 3" xfId="2092" xr:uid="{00000000-0005-0000-0000-000078070000}"/>
    <cellStyle name="Migliaia 24" xfId="468" xr:uid="{00000000-0005-0000-0000-000079070000}"/>
    <cellStyle name="Migliaia 24 2" xfId="1599" xr:uid="{00000000-0005-0000-0000-00007A070000}"/>
    <cellStyle name="Migliaia 24 2 2" xfId="2432" xr:uid="{00000000-0005-0000-0000-00007B070000}"/>
    <cellStyle name="Migliaia 24 3" xfId="2093" xr:uid="{00000000-0005-0000-0000-00007C070000}"/>
    <cellStyle name="Migliaia 25" xfId="474" xr:uid="{00000000-0005-0000-0000-00007D070000}"/>
    <cellStyle name="Migliaia 25 2" xfId="1004" xr:uid="{00000000-0005-0000-0000-00007E070000}"/>
    <cellStyle name="Migliaia 25 2 2" xfId="1713" xr:uid="{00000000-0005-0000-0000-00007F070000}"/>
    <cellStyle name="Migliaia 25 2 2 2" xfId="2511" xr:uid="{00000000-0005-0000-0000-000080070000}"/>
    <cellStyle name="Migliaia 25 2 3" xfId="2166" xr:uid="{00000000-0005-0000-0000-000081070000}"/>
    <cellStyle name="Migliaia 25 3" xfId="1602" xr:uid="{00000000-0005-0000-0000-000082070000}"/>
    <cellStyle name="Migliaia 25 3 2" xfId="2433" xr:uid="{00000000-0005-0000-0000-000083070000}"/>
    <cellStyle name="Migliaia 25 4" xfId="3564" xr:uid="{00000000-0005-0000-0000-000084070000}"/>
    <cellStyle name="Migliaia 25 5" xfId="2094" xr:uid="{00000000-0005-0000-0000-000085070000}"/>
    <cellStyle name="Migliaia 26" xfId="623" xr:uid="{00000000-0005-0000-0000-000086070000}"/>
    <cellStyle name="Migliaia 26 2" xfId="1635" xr:uid="{00000000-0005-0000-0000-000087070000}"/>
    <cellStyle name="Migliaia 26 2 2" xfId="2453" xr:uid="{00000000-0005-0000-0000-000088070000}"/>
    <cellStyle name="Migliaia 26 3" xfId="2109" xr:uid="{00000000-0005-0000-0000-000089070000}"/>
    <cellStyle name="Migliaia 27" xfId="587" xr:uid="{00000000-0005-0000-0000-00008A070000}"/>
    <cellStyle name="Migliaia 27 2" xfId="1624" xr:uid="{00000000-0005-0000-0000-00008B070000}"/>
    <cellStyle name="Migliaia 27 2 2" xfId="2443" xr:uid="{00000000-0005-0000-0000-00008C070000}"/>
    <cellStyle name="Migliaia 27 3" xfId="2105" xr:uid="{00000000-0005-0000-0000-00008D070000}"/>
    <cellStyle name="Migliaia 28" xfId="891" xr:uid="{00000000-0005-0000-0000-00008E070000}"/>
    <cellStyle name="Migliaia 28 2" xfId="1691" xr:uid="{00000000-0005-0000-0000-00008F070000}"/>
    <cellStyle name="Migliaia 28 2 2" xfId="2496" xr:uid="{00000000-0005-0000-0000-000090070000}"/>
    <cellStyle name="Migliaia 28 3" xfId="2146" xr:uid="{00000000-0005-0000-0000-000091070000}"/>
    <cellStyle name="Migliaia 29" xfId="585" xr:uid="{00000000-0005-0000-0000-000092070000}"/>
    <cellStyle name="Migliaia 29 2" xfId="1623" xr:uid="{00000000-0005-0000-0000-000093070000}"/>
    <cellStyle name="Migliaia 29 2 2" xfId="2442" xr:uid="{00000000-0005-0000-0000-000094070000}"/>
    <cellStyle name="Migliaia 29 3" xfId="2104" xr:uid="{00000000-0005-0000-0000-000095070000}"/>
    <cellStyle name="Migliaia 3" xfId="165" xr:uid="{00000000-0005-0000-0000-000096070000}"/>
    <cellStyle name="Migliaia 3 10" xfId="2038" xr:uid="{00000000-0005-0000-0000-000097070000}"/>
    <cellStyle name="Migliaia 3 2" xfId="166" xr:uid="{00000000-0005-0000-0000-000098070000}"/>
    <cellStyle name="Migliaia 3 2 2" xfId="632" xr:uid="{00000000-0005-0000-0000-000099070000}"/>
    <cellStyle name="Migliaia 3 2 2 2" xfId="1644" xr:uid="{00000000-0005-0000-0000-00009A070000}"/>
    <cellStyle name="Migliaia 3 2 2 2 2" xfId="2462" xr:uid="{00000000-0005-0000-0000-00009B070000}"/>
    <cellStyle name="Migliaia 3 2 2 3" xfId="2115" xr:uid="{00000000-0005-0000-0000-00009C070000}"/>
    <cellStyle name="Migliaia 3 2 3" xfId="1543" xr:uid="{00000000-0005-0000-0000-00009D070000}"/>
    <cellStyle name="Migliaia 3 2 3 2" xfId="2388" xr:uid="{00000000-0005-0000-0000-00009E070000}"/>
    <cellStyle name="Migliaia 3 2 4" xfId="2039" xr:uid="{00000000-0005-0000-0000-00009F070000}"/>
    <cellStyle name="Migliaia 3 3" xfId="167" xr:uid="{00000000-0005-0000-0000-0000A0070000}"/>
    <cellStyle name="Migliaia 3 3 2" xfId="1544" xr:uid="{00000000-0005-0000-0000-0000A1070000}"/>
    <cellStyle name="Migliaia 3 3 2 2" xfId="2389" xr:uid="{00000000-0005-0000-0000-0000A2070000}"/>
    <cellStyle name="Migliaia 3 3 3" xfId="2040" xr:uid="{00000000-0005-0000-0000-0000A3070000}"/>
    <cellStyle name="Migliaia 3 4" xfId="168" xr:uid="{00000000-0005-0000-0000-0000A4070000}"/>
    <cellStyle name="Migliaia 3 4 2" xfId="633" xr:uid="{00000000-0005-0000-0000-0000A5070000}"/>
    <cellStyle name="Migliaia 3 4 2 2" xfId="1645" xr:uid="{00000000-0005-0000-0000-0000A6070000}"/>
    <cellStyle name="Migliaia 3 4 2 2 2" xfId="2463" xr:uid="{00000000-0005-0000-0000-0000A7070000}"/>
    <cellStyle name="Migliaia 3 4 2 3" xfId="2116" xr:uid="{00000000-0005-0000-0000-0000A8070000}"/>
    <cellStyle name="Migliaia 3 4 3" xfId="1545" xr:uid="{00000000-0005-0000-0000-0000A9070000}"/>
    <cellStyle name="Migliaia 3 4 3 2" xfId="2390" xr:uid="{00000000-0005-0000-0000-0000AA070000}"/>
    <cellStyle name="Migliaia 3 4 4" xfId="2041" xr:uid="{00000000-0005-0000-0000-0000AB070000}"/>
    <cellStyle name="Migliaia 3 5" xfId="169" xr:uid="{00000000-0005-0000-0000-0000AC070000}"/>
    <cellStyle name="Migliaia 3 5 2" xfId="634" xr:uid="{00000000-0005-0000-0000-0000AD070000}"/>
    <cellStyle name="Migliaia 3 5 2 2" xfId="1646" xr:uid="{00000000-0005-0000-0000-0000AE070000}"/>
    <cellStyle name="Migliaia 3 5 2 2 2" xfId="2464" xr:uid="{00000000-0005-0000-0000-0000AF070000}"/>
    <cellStyle name="Migliaia 3 5 2 3" xfId="2117" xr:uid="{00000000-0005-0000-0000-0000B0070000}"/>
    <cellStyle name="Migliaia 3 5 3" xfId="1546" xr:uid="{00000000-0005-0000-0000-0000B1070000}"/>
    <cellStyle name="Migliaia 3 5 3 2" xfId="2391" xr:uid="{00000000-0005-0000-0000-0000B2070000}"/>
    <cellStyle name="Migliaia 3 5 4" xfId="2042" xr:uid="{00000000-0005-0000-0000-0000B3070000}"/>
    <cellStyle name="Migliaia 3 6" xfId="170" xr:uid="{00000000-0005-0000-0000-0000B4070000}"/>
    <cellStyle name="Migliaia 3 6 2" xfId="635" xr:uid="{00000000-0005-0000-0000-0000B5070000}"/>
    <cellStyle name="Migliaia 3 6 2 2" xfId="1647" xr:uid="{00000000-0005-0000-0000-0000B6070000}"/>
    <cellStyle name="Migliaia 3 6 2 2 2" xfId="2465" xr:uid="{00000000-0005-0000-0000-0000B7070000}"/>
    <cellStyle name="Migliaia 3 6 2 3" xfId="2118" xr:uid="{00000000-0005-0000-0000-0000B8070000}"/>
    <cellStyle name="Migliaia 3 6 3" xfId="1547" xr:uid="{00000000-0005-0000-0000-0000B9070000}"/>
    <cellStyle name="Migliaia 3 6 3 2" xfId="2392" xr:uid="{00000000-0005-0000-0000-0000BA070000}"/>
    <cellStyle name="Migliaia 3 6 4" xfId="2043" xr:uid="{00000000-0005-0000-0000-0000BB070000}"/>
    <cellStyle name="Migliaia 3 7" xfId="171" xr:uid="{00000000-0005-0000-0000-0000BC070000}"/>
    <cellStyle name="Migliaia 3 7 2" xfId="636" xr:uid="{00000000-0005-0000-0000-0000BD070000}"/>
    <cellStyle name="Migliaia 3 7 2 2" xfId="1648" xr:uid="{00000000-0005-0000-0000-0000BE070000}"/>
    <cellStyle name="Migliaia 3 7 2 2 2" xfId="2466" xr:uid="{00000000-0005-0000-0000-0000BF070000}"/>
    <cellStyle name="Migliaia 3 7 2 3" xfId="2119" xr:uid="{00000000-0005-0000-0000-0000C0070000}"/>
    <cellStyle name="Migliaia 3 7 3" xfId="1548" xr:uid="{00000000-0005-0000-0000-0000C1070000}"/>
    <cellStyle name="Migliaia 3 7 3 2" xfId="2393" xr:uid="{00000000-0005-0000-0000-0000C2070000}"/>
    <cellStyle name="Migliaia 3 7 4" xfId="2044" xr:uid="{00000000-0005-0000-0000-0000C3070000}"/>
    <cellStyle name="Migliaia 3 8" xfId="631" xr:uid="{00000000-0005-0000-0000-0000C4070000}"/>
    <cellStyle name="Migliaia 3 8 2" xfId="1643" xr:uid="{00000000-0005-0000-0000-0000C5070000}"/>
    <cellStyle name="Migliaia 3 8 2 2" xfId="2461" xr:uid="{00000000-0005-0000-0000-0000C6070000}"/>
    <cellStyle name="Migliaia 3 8 3" xfId="2114" xr:uid="{00000000-0005-0000-0000-0000C7070000}"/>
    <cellStyle name="Migliaia 3 9" xfId="1542" xr:uid="{00000000-0005-0000-0000-0000C8070000}"/>
    <cellStyle name="Migliaia 3 9 2" xfId="2387" xr:uid="{00000000-0005-0000-0000-0000C9070000}"/>
    <cellStyle name="Migliaia 30" xfId="894" xr:uid="{00000000-0005-0000-0000-0000CA070000}"/>
    <cellStyle name="Migliaia 30 2" xfId="1692" xr:uid="{00000000-0005-0000-0000-0000CB070000}"/>
    <cellStyle name="Migliaia 30 2 2" xfId="2497" xr:uid="{00000000-0005-0000-0000-0000CC070000}"/>
    <cellStyle name="Migliaia 30 3" xfId="2148" xr:uid="{00000000-0005-0000-0000-0000CD070000}"/>
    <cellStyle name="Migliaia 31" xfId="947" xr:uid="{00000000-0005-0000-0000-0000CE070000}"/>
    <cellStyle name="Migliaia 31 2" xfId="1701" xr:uid="{00000000-0005-0000-0000-0000CF070000}"/>
    <cellStyle name="Migliaia 31 2 2" xfId="2502" xr:uid="{00000000-0005-0000-0000-0000D0070000}"/>
    <cellStyle name="Migliaia 31 3" xfId="2159" xr:uid="{00000000-0005-0000-0000-0000D1070000}"/>
    <cellStyle name="Migliaia 32" xfId="950" xr:uid="{00000000-0005-0000-0000-0000D2070000}"/>
    <cellStyle name="Migliaia 33" xfId="1005" xr:uid="{00000000-0005-0000-0000-0000D3070000}"/>
    <cellStyle name="Migliaia 33 2" xfId="1714" xr:uid="{00000000-0005-0000-0000-0000D4070000}"/>
    <cellStyle name="Migliaia 33 2 2" xfId="2512" xr:uid="{00000000-0005-0000-0000-0000D5070000}"/>
    <cellStyle name="Migliaia 33 3" xfId="2167" xr:uid="{00000000-0005-0000-0000-0000D6070000}"/>
    <cellStyle name="Migliaia 34" xfId="1006" xr:uid="{00000000-0005-0000-0000-0000D7070000}"/>
    <cellStyle name="Migliaia 34 2" xfId="1715" xr:uid="{00000000-0005-0000-0000-0000D8070000}"/>
    <cellStyle name="Migliaia 34 2 2" xfId="2513" xr:uid="{00000000-0005-0000-0000-0000D9070000}"/>
    <cellStyle name="Migliaia 34 3" xfId="2168" xr:uid="{00000000-0005-0000-0000-0000DA070000}"/>
    <cellStyle name="Migliaia 35" xfId="1234" xr:uid="{00000000-0005-0000-0000-0000DB070000}"/>
    <cellStyle name="Migliaia 35 2" xfId="1746" xr:uid="{00000000-0005-0000-0000-0000DC070000}"/>
    <cellStyle name="Migliaia 35 2 2" xfId="2529" xr:uid="{00000000-0005-0000-0000-0000DD070000}"/>
    <cellStyle name="Migliaia 35 3" xfId="2195" xr:uid="{00000000-0005-0000-0000-0000DE070000}"/>
    <cellStyle name="Migliaia 36" xfId="1235" xr:uid="{00000000-0005-0000-0000-0000DF070000}"/>
    <cellStyle name="Migliaia 36 2" xfId="1747" xr:uid="{00000000-0005-0000-0000-0000E0070000}"/>
    <cellStyle name="Migliaia 36 2 2" xfId="2530" xr:uid="{00000000-0005-0000-0000-0000E1070000}"/>
    <cellStyle name="Migliaia 36 3" xfId="2196" xr:uid="{00000000-0005-0000-0000-0000E2070000}"/>
    <cellStyle name="Migliaia 37" xfId="1236" xr:uid="{00000000-0005-0000-0000-0000E3070000}"/>
    <cellStyle name="Migliaia 37 2" xfId="1748" xr:uid="{00000000-0005-0000-0000-0000E4070000}"/>
    <cellStyle name="Migliaia 37 2 2" xfId="2531" xr:uid="{00000000-0005-0000-0000-0000E5070000}"/>
    <cellStyle name="Migliaia 37 3" xfId="2197" xr:uid="{00000000-0005-0000-0000-0000E6070000}"/>
    <cellStyle name="Migliaia 38" xfId="1237" xr:uid="{00000000-0005-0000-0000-0000E7070000}"/>
    <cellStyle name="Migliaia 38 2" xfId="1749" xr:uid="{00000000-0005-0000-0000-0000E8070000}"/>
    <cellStyle name="Migliaia 38 2 2" xfId="2532" xr:uid="{00000000-0005-0000-0000-0000E9070000}"/>
    <cellStyle name="Migliaia 38 3" xfId="2198" xr:uid="{00000000-0005-0000-0000-0000EA070000}"/>
    <cellStyle name="Migliaia 39" xfId="1238" xr:uid="{00000000-0005-0000-0000-0000EB070000}"/>
    <cellStyle name="Migliaia 39 2" xfId="1750" xr:uid="{00000000-0005-0000-0000-0000EC070000}"/>
    <cellStyle name="Migliaia 39 2 2" xfId="2533" xr:uid="{00000000-0005-0000-0000-0000ED070000}"/>
    <cellStyle name="Migliaia 39 3" xfId="2199" xr:uid="{00000000-0005-0000-0000-0000EE070000}"/>
    <cellStyle name="Migliaia 4" xfId="172" xr:uid="{00000000-0005-0000-0000-0000EF070000}"/>
    <cellStyle name="Migliaia 4 2" xfId="637" xr:uid="{00000000-0005-0000-0000-0000F0070000}"/>
    <cellStyle name="Migliaia 4 2 2" xfId="1649" xr:uid="{00000000-0005-0000-0000-0000F1070000}"/>
    <cellStyle name="Migliaia 4 2 2 2" xfId="2467" xr:uid="{00000000-0005-0000-0000-0000F2070000}"/>
    <cellStyle name="Migliaia 4 2 3" xfId="2120" xr:uid="{00000000-0005-0000-0000-0000F3070000}"/>
    <cellStyle name="Migliaia 4 3" xfId="1549" xr:uid="{00000000-0005-0000-0000-0000F4070000}"/>
    <cellStyle name="Migliaia 4 3 2" xfId="2394" xr:uid="{00000000-0005-0000-0000-0000F5070000}"/>
    <cellStyle name="Migliaia 4 4" xfId="2045" xr:uid="{00000000-0005-0000-0000-0000F6070000}"/>
    <cellStyle name="Migliaia 4 5" xfId="2265" xr:uid="{00000000-0005-0000-0000-0000F7070000}"/>
    <cellStyle name="Migliaia 40" xfId="1239" xr:uid="{00000000-0005-0000-0000-0000F8070000}"/>
    <cellStyle name="Migliaia 40 2" xfId="1751" xr:uid="{00000000-0005-0000-0000-0000F9070000}"/>
    <cellStyle name="Migliaia 40 2 2" xfId="2534" xr:uid="{00000000-0005-0000-0000-0000FA070000}"/>
    <cellStyle name="Migliaia 40 3" xfId="2200" xr:uid="{00000000-0005-0000-0000-0000FB070000}"/>
    <cellStyle name="Migliaia 41" xfId="1240" xr:uid="{00000000-0005-0000-0000-0000FC070000}"/>
    <cellStyle name="Migliaia 41 2" xfId="1752" xr:uid="{00000000-0005-0000-0000-0000FD070000}"/>
    <cellStyle name="Migliaia 41 2 2" xfId="3940" xr:uid="{00000000-0005-0000-0000-0000FE070000}"/>
    <cellStyle name="Migliaia 41 2 3" xfId="2535" xr:uid="{00000000-0005-0000-0000-0000FF070000}"/>
    <cellStyle name="Migliaia 41 3" xfId="2201" xr:uid="{00000000-0005-0000-0000-000000080000}"/>
    <cellStyle name="Migliaia 42" xfId="1241" xr:uid="{00000000-0005-0000-0000-000001080000}"/>
    <cellStyle name="Migliaia 42 2" xfId="1753" xr:uid="{00000000-0005-0000-0000-000002080000}"/>
    <cellStyle name="Migliaia 42 2 2" xfId="2536" xr:uid="{00000000-0005-0000-0000-000003080000}"/>
    <cellStyle name="Migliaia 42 3" xfId="2202" xr:uid="{00000000-0005-0000-0000-000004080000}"/>
    <cellStyle name="Migliaia 42 4" xfId="3952" xr:uid="{00000000-0005-0000-0000-000005080000}"/>
    <cellStyle name="Migliaia 43" xfId="1242" xr:uid="{00000000-0005-0000-0000-000006080000}"/>
    <cellStyle name="Migliaia 43 2" xfId="1754" xr:uid="{00000000-0005-0000-0000-000007080000}"/>
    <cellStyle name="Migliaia 43 2 2" xfId="2537" xr:uid="{00000000-0005-0000-0000-000008080000}"/>
    <cellStyle name="Migliaia 43 3" xfId="2203" xr:uid="{00000000-0005-0000-0000-000009080000}"/>
    <cellStyle name="Migliaia 44" xfId="1243" xr:uid="{00000000-0005-0000-0000-00000A080000}"/>
    <cellStyle name="Migliaia 44 2" xfId="1755" xr:uid="{00000000-0005-0000-0000-00000B080000}"/>
    <cellStyle name="Migliaia 44 2 2" xfId="2538" xr:uid="{00000000-0005-0000-0000-00000C080000}"/>
    <cellStyle name="Migliaia 44 3" xfId="2204" xr:uid="{00000000-0005-0000-0000-00000D080000}"/>
    <cellStyle name="Migliaia 45" xfId="1244" xr:uid="{00000000-0005-0000-0000-00000E080000}"/>
    <cellStyle name="Migliaia 45 2" xfId="1756" xr:uid="{00000000-0005-0000-0000-00000F080000}"/>
    <cellStyle name="Migliaia 45 2 2" xfId="2539" xr:uid="{00000000-0005-0000-0000-000010080000}"/>
    <cellStyle name="Migliaia 45 3" xfId="2205" xr:uid="{00000000-0005-0000-0000-000011080000}"/>
    <cellStyle name="Migliaia 46" xfId="1245" xr:uid="{00000000-0005-0000-0000-000012080000}"/>
    <cellStyle name="Migliaia 46 2" xfId="1757" xr:uid="{00000000-0005-0000-0000-000013080000}"/>
    <cellStyle name="Migliaia 46 2 2" xfId="2540" xr:uid="{00000000-0005-0000-0000-000014080000}"/>
    <cellStyle name="Migliaia 46 3" xfId="2206" xr:uid="{00000000-0005-0000-0000-000015080000}"/>
    <cellStyle name="Migliaia 47" xfId="1246" xr:uid="{00000000-0005-0000-0000-000016080000}"/>
    <cellStyle name="Migliaia 47 2" xfId="1758" xr:uid="{00000000-0005-0000-0000-000017080000}"/>
    <cellStyle name="Migliaia 47 2 2" xfId="2541" xr:uid="{00000000-0005-0000-0000-000018080000}"/>
    <cellStyle name="Migliaia 47 3" xfId="2207" xr:uid="{00000000-0005-0000-0000-000019080000}"/>
    <cellStyle name="Migliaia 48" xfId="1247" xr:uid="{00000000-0005-0000-0000-00001A080000}"/>
    <cellStyle name="Migliaia 48 2" xfId="1759" xr:uid="{00000000-0005-0000-0000-00001B080000}"/>
    <cellStyle name="Migliaia 48 2 2" xfId="2542" xr:uid="{00000000-0005-0000-0000-00001C080000}"/>
    <cellStyle name="Migliaia 48 3" xfId="2208" xr:uid="{00000000-0005-0000-0000-00001D080000}"/>
    <cellStyle name="Migliaia 49" xfId="1248" xr:uid="{00000000-0005-0000-0000-00001E080000}"/>
    <cellStyle name="Migliaia 49 2" xfId="1760" xr:uid="{00000000-0005-0000-0000-00001F080000}"/>
    <cellStyle name="Migliaia 49 2 2" xfId="2543" xr:uid="{00000000-0005-0000-0000-000020080000}"/>
    <cellStyle name="Migliaia 49 3" xfId="2209" xr:uid="{00000000-0005-0000-0000-000021080000}"/>
    <cellStyle name="Migliaia 5" xfId="173" xr:uid="{00000000-0005-0000-0000-000022080000}"/>
    <cellStyle name="Migliaia 5 2" xfId="174" xr:uid="{00000000-0005-0000-0000-000023080000}"/>
    <cellStyle name="Migliaia 5 2 2" xfId="1551" xr:uid="{00000000-0005-0000-0000-000024080000}"/>
    <cellStyle name="Migliaia 5 2 2 2" xfId="2396" xr:uid="{00000000-0005-0000-0000-000025080000}"/>
    <cellStyle name="Migliaia 5 2 3" xfId="2047" xr:uid="{00000000-0005-0000-0000-000026080000}"/>
    <cellStyle name="Migliaia 5 3" xfId="175" xr:uid="{00000000-0005-0000-0000-000027080000}"/>
    <cellStyle name="Migliaia 5 3 2" xfId="1552" xr:uid="{00000000-0005-0000-0000-000028080000}"/>
    <cellStyle name="Migliaia 5 3 2 2" xfId="2397" xr:uid="{00000000-0005-0000-0000-000029080000}"/>
    <cellStyle name="Migliaia 5 3 3" xfId="2048" xr:uid="{00000000-0005-0000-0000-00002A080000}"/>
    <cellStyle name="Migliaia 5 4" xfId="176" xr:uid="{00000000-0005-0000-0000-00002B080000}"/>
    <cellStyle name="Migliaia 5 4 2" xfId="1553" xr:uid="{00000000-0005-0000-0000-00002C080000}"/>
    <cellStyle name="Migliaia 5 4 2 2" xfId="2398" xr:uid="{00000000-0005-0000-0000-00002D080000}"/>
    <cellStyle name="Migliaia 5 4 3" xfId="2049" xr:uid="{00000000-0005-0000-0000-00002E080000}"/>
    <cellStyle name="Migliaia 5 5" xfId="177" xr:uid="{00000000-0005-0000-0000-00002F080000}"/>
    <cellStyle name="Migliaia 5 5 2" xfId="1554" xr:uid="{00000000-0005-0000-0000-000030080000}"/>
    <cellStyle name="Migliaia 5 5 2 2" xfId="2399" xr:uid="{00000000-0005-0000-0000-000031080000}"/>
    <cellStyle name="Migliaia 5 5 3" xfId="2050" xr:uid="{00000000-0005-0000-0000-000032080000}"/>
    <cellStyle name="Migliaia 5 6" xfId="178" xr:uid="{00000000-0005-0000-0000-000033080000}"/>
    <cellStyle name="Migliaia 5 6 2" xfId="1555" xr:uid="{00000000-0005-0000-0000-000034080000}"/>
    <cellStyle name="Migliaia 5 6 2 2" xfId="2400" xr:uid="{00000000-0005-0000-0000-000035080000}"/>
    <cellStyle name="Migliaia 5 6 3" xfId="2051" xr:uid="{00000000-0005-0000-0000-000036080000}"/>
    <cellStyle name="Migliaia 5 7" xfId="179" xr:uid="{00000000-0005-0000-0000-000037080000}"/>
    <cellStyle name="Migliaia 5 7 2" xfId="1556" xr:uid="{00000000-0005-0000-0000-000038080000}"/>
    <cellStyle name="Migliaia 5 7 2 2" xfId="2401" xr:uid="{00000000-0005-0000-0000-000039080000}"/>
    <cellStyle name="Migliaia 5 7 3" xfId="2052" xr:uid="{00000000-0005-0000-0000-00003A080000}"/>
    <cellStyle name="Migliaia 5 8" xfId="1550" xr:uid="{00000000-0005-0000-0000-00003B080000}"/>
    <cellStyle name="Migliaia 5 8 2" xfId="2395" xr:uid="{00000000-0005-0000-0000-00003C080000}"/>
    <cellStyle name="Migliaia 5 9" xfId="2046" xr:uid="{00000000-0005-0000-0000-00003D080000}"/>
    <cellStyle name="Migliaia 50" xfId="1249" xr:uid="{00000000-0005-0000-0000-00003E080000}"/>
    <cellStyle name="Migliaia 50 2" xfId="1761" xr:uid="{00000000-0005-0000-0000-00003F080000}"/>
    <cellStyle name="Migliaia 50 2 2" xfId="2544" xr:uid="{00000000-0005-0000-0000-000040080000}"/>
    <cellStyle name="Migliaia 50 3" xfId="2210" xr:uid="{00000000-0005-0000-0000-000041080000}"/>
    <cellStyle name="Migliaia 51" xfId="1250" xr:uid="{00000000-0005-0000-0000-000042080000}"/>
    <cellStyle name="Migliaia 51 2" xfId="1762" xr:uid="{00000000-0005-0000-0000-000043080000}"/>
    <cellStyle name="Migliaia 51 2 2" xfId="2545" xr:uid="{00000000-0005-0000-0000-000044080000}"/>
    <cellStyle name="Migliaia 51 3" xfId="2211" xr:uid="{00000000-0005-0000-0000-000045080000}"/>
    <cellStyle name="Migliaia 52" xfId="1251" xr:uid="{00000000-0005-0000-0000-000046080000}"/>
    <cellStyle name="Migliaia 52 2" xfId="1763" xr:uid="{00000000-0005-0000-0000-000047080000}"/>
    <cellStyle name="Migliaia 52 2 2" xfId="2546" xr:uid="{00000000-0005-0000-0000-000048080000}"/>
    <cellStyle name="Migliaia 52 3" xfId="2212" xr:uid="{00000000-0005-0000-0000-000049080000}"/>
    <cellStyle name="Migliaia 53" xfId="1252" xr:uid="{00000000-0005-0000-0000-00004A080000}"/>
    <cellStyle name="Migliaia 53 2" xfId="1764" xr:uid="{00000000-0005-0000-0000-00004B080000}"/>
    <cellStyle name="Migliaia 53 2 2" xfId="2547" xr:uid="{00000000-0005-0000-0000-00004C080000}"/>
    <cellStyle name="Migliaia 53 3" xfId="2213" xr:uid="{00000000-0005-0000-0000-00004D080000}"/>
    <cellStyle name="Migliaia 54" xfId="1253" xr:uid="{00000000-0005-0000-0000-00004E080000}"/>
    <cellStyle name="Migliaia 54 2" xfId="1765" xr:uid="{00000000-0005-0000-0000-00004F080000}"/>
    <cellStyle name="Migliaia 54 2 2" xfId="2548" xr:uid="{00000000-0005-0000-0000-000050080000}"/>
    <cellStyle name="Migliaia 54 3" xfId="2214" xr:uid="{00000000-0005-0000-0000-000051080000}"/>
    <cellStyle name="Migliaia 55" xfId="1254" xr:uid="{00000000-0005-0000-0000-000052080000}"/>
    <cellStyle name="Migliaia 55 2" xfId="1766" xr:uid="{00000000-0005-0000-0000-000053080000}"/>
    <cellStyle name="Migliaia 55 2 2" xfId="2549" xr:uid="{00000000-0005-0000-0000-000054080000}"/>
    <cellStyle name="Migliaia 55 3" xfId="2215" xr:uid="{00000000-0005-0000-0000-000055080000}"/>
    <cellStyle name="Migliaia 56" xfId="1255" xr:uid="{00000000-0005-0000-0000-000056080000}"/>
    <cellStyle name="Migliaia 56 2" xfId="1767" xr:uid="{00000000-0005-0000-0000-000057080000}"/>
    <cellStyle name="Migliaia 56 2 2" xfId="2550" xr:uid="{00000000-0005-0000-0000-000058080000}"/>
    <cellStyle name="Migliaia 56 3" xfId="2216" xr:uid="{00000000-0005-0000-0000-000059080000}"/>
    <cellStyle name="Migliaia 57" xfId="1256" xr:uid="{00000000-0005-0000-0000-00005A080000}"/>
    <cellStyle name="Migliaia 57 2" xfId="1768" xr:uid="{00000000-0005-0000-0000-00005B080000}"/>
    <cellStyle name="Migliaia 57 2 2" xfId="2551" xr:uid="{00000000-0005-0000-0000-00005C080000}"/>
    <cellStyle name="Migliaia 57 3" xfId="2217" xr:uid="{00000000-0005-0000-0000-00005D080000}"/>
    <cellStyle name="Migliaia 58" xfId="1257" xr:uid="{00000000-0005-0000-0000-00005E080000}"/>
    <cellStyle name="Migliaia 58 2" xfId="1769" xr:uid="{00000000-0005-0000-0000-00005F080000}"/>
    <cellStyle name="Migliaia 58 2 2" xfId="2552" xr:uid="{00000000-0005-0000-0000-000060080000}"/>
    <cellStyle name="Migliaia 58 3" xfId="2218" xr:uid="{00000000-0005-0000-0000-000061080000}"/>
    <cellStyle name="Migliaia 59" xfId="1258" xr:uid="{00000000-0005-0000-0000-000062080000}"/>
    <cellStyle name="Migliaia 59 2" xfId="1770" xr:uid="{00000000-0005-0000-0000-000063080000}"/>
    <cellStyle name="Migliaia 59 2 2" xfId="2553" xr:uid="{00000000-0005-0000-0000-000064080000}"/>
    <cellStyle name="Migliaia 59 3" xfId="2219" xr:uid="{00000000-0005-0000-0000-000065080000}"/>
    <cellStyle name="Migliaia 6" xfId="180" xr:uid="{00000000-0005-0000-0000-000066080000}"/>
    <cellStyle name="Migliaia 6 2" xfId="639" xr:uid="{00000000-0005-0000-0000-000067080000}"/>
    <cellStyle name="Migliaia 6 2 2" xfId="1651" xr:uid="{00000000-0005-0000-0000-000068080000}"/>
    <cellStyle name="Migliaia 6 2 2 2" xfId="2469" xr:uid="{00000000-0005-0000-0000-000069080000}"/>
    <cellStyle name="Migliaia 6 2 3" xfId="3565" xr:uid="{00000000-0005-0000-0000-00006A080000}"/>
    <cellStyle name="Migliaia 6 2 4" xfId="2122" xr:uid="{00000000-0005-0000-0000-00006B080000}"/>
    <cellStyle name="Migliaia 6 3" xfId="1557" xr:uid="{00000000-0005-0000-0000-00006C080000}"/>
    <cellStyle name="Migliaia 6 3 2" xfId="2402" xr:uid="{00000000-0005-0000-0000-00006D080000}"/>
    <cellStyle name="Migliaia 6 4" xfId="2053" xr:uid="{00000000-0005-0000-0000-00006E080000}"/>
    <cellStyle name="Migliaia 60" xfId="1259" xr:uid="{00000000-0005-0000-0000-00006F080000}"/>
    <cellStyle name="Migliaia 60 2" xfId="1771" xr:uid="{00000000-0005-0000-0000-000070080000}"/>
    <cellStyle name="Migliaia 60 2 2" xfId="2554" xr:uid="{00000000-0005-0000-0000-000071080000}"/>
    <cellStyle name="Migliaia 60 3" xfId="2220" xr:uid="{00000000-0005-0000-0000-000072080000}"/>
    <cellStyle name="Migliaia 61" xfId="1260" xr:uid="{00000000-0005-0000-0000-000073080000}"/>
    <cellStyle name="Migliaia 61 2" xfId="1772" xr:uid="{00000000-0005-0000-0000-000074080000}"/>
    <cellStyle name="Migliaia 61 2 2" xfId="2555" xr:uid="{00000000-0005-0000-0000-000075080000}"/>
    <cellStyle name="Migliaia 61 3" xfId="2221" xr:uid="{00000000-0005-0000-0000-000076080000}"/>
    <cellStyle name="Migliaia 62" xfId="1261" xr:uid="{00000000-0005-0000-0000-000077080000}"/>
    <cellStyle name="Migliaia 62 2" xfId="1773" xr:uid="{00000000-0005-0000-0000-000078080000}"/>
    <cellStyle name="Migliaia 62 2 2" xfId="2556" xr:uid="{00000000-0005-0000-0000-000079080000}"/>
    <cellStyle name="Migliaia 62 3" xfId="2222" xr:uid="{00000000-0005-0000-0000-00007A080000}"/>
    <cellStyle name="Migliaia 63" xfId="1262" xr:uid="{00000000-0005-0000-0000-00007B080000}"/>
    <cellStyle name="Migliaia 63 2" xfId="1774" xr:uid="{00000000-0005-0000-0000-00007C080000}"/>
    <cellStyle name="Migliaia 63 2 2" xfId="2557" xr:uid="{00000000-0005-0000-0000-00007D080000}"/>
    <cellStyle name="Migliaia 63 3" xfId="2223" xr:uid="{00000000-0005-0000-0000-00007E080000}"/>
    <cellStyle name="Migliaia 64" xfId="1263" xr:uid="{00000000-0005-0000-0000-00007F080000}"/>
    <cellStyle name="Migliaia 64 2" xfId="1775" xr:uid="{00000000-0005-0000-0000-000080080000}"/>
    <cellStyle name="Migliaia 64 2 2" xfId="2558" xr:uid="{00000000-0005-0000-0000-000081080000}"/>
    <cellStyle name="Migliaia 64 3" xfId="2224" xr:uid="{00000000-0005-0000-0000-000082080000}"/>
    <cellStyle name="Migliaia 65" xfId="1264" xr:uid="{00000000-0005-0000-0000-000083080000}"/>
    <cellStyle name="Migliaia 65 2" xfId="1776" xr:uid="{00000000-0005-0000-0000-000084080000}"/>
    <cellStyle name="Migliaia 65 2 2" xfId="2559" xr:uid="{00000000-0005-0000-0000-000085080000}"/>
    <cellStyle name="Migliaia 65 3" xfId="2225" xr:uid="{00000000-0005-0000-0000-000086080000}"/>
    <cellStyle name="Migliaia 66" xfId="1265" xr:uid="{00000000-0005-0000-0000-000087080000}"/>
    <cellStyle name="Migliaia 66 2" xfId="1777" xr:uid="{00000000-0005-0000-0000-000088080000}"/>
    <cellStyle name="Migliaia 66 2 2" xfId="2560" xr:uid="{00000000-0005-0000-0000-000089080000}"/>
    <cellStyle name="Migliaia 66 3" xfId="2226" xr:uid="{00000000-0005-0000-0000-00008A080000}"/>
    <cellStyle name="Migliaia 67" xfId="1266" xr:uid="{00000000-0005-0000-0000-00008B080000}"/>
    <cellStyle name="Migliaia 67 2" xfId="1778" xr:uid="{00000000-0005-0000-0000-00008C080000}"/>
    <cellStyle name="Migliaia 67 2 2" xfId="2561" xr:uid="{00000000-0005-0000-0000-00008D080000}"/>
    <cellStyle name="Migliaia 67 3" xfId="2227" xr:uid="{00000000-0005-0000-0000-00008E080000}"/>
    <cellStyle name="Migliaia 68" xfId="1267" xr:uid="{00000000-0005-0000-0000-00008F080000}"/>
    <cellStyle name="Migliaia 68 2" xfId="1779" xr:uid="{00000000-0005-0000-0000-000090080000}"/>
    <cellStyle name="Migliaia 68 2 2" xfId="2562" xr:uid="{00000000-0005-0000-0000-000091080000}"/>
    <cellStyle name="Migliaia 68 3" xfId="2228" xr:uid="{00000000-0005-0000-0000-000092080000}"/>
    <cellStyle name="Migliaia 69" xfId="1268" xr:uid="{00000000-0005-0000-0000-000093080000}"/>
    <cellStyle name="Migliaia 69 2" xfId="1780" xr:uid="{00000000-0005-0000-0000-000094080000}"/>
    <cellStyle name="Migliaia 69 2 2" xfId="2563" xr:uid="{00000000-0005-0000-0000-000095080000}"/>
    <cellStyle name="Migliaia 69 3" xfId="2229" xr:uid="{00000000-0005-0000-0000-000096080000}"/>
    <cellStyle name="Migliaia 7" xfId="181" xr:uid="{00000000-0005-0000-0000-000097080000}"/>
    <cellStyle name="Migliaia 7 2" xfId="182" xr:uid="{00000000-0005-0000-0000-000098080000}"/>
    <cellStyle name="Migliaia 7 2 2" xfId="641" xr:uid="{00000000-0005-0000-0000-000099080000}"/>
    <cellStyle name="Migliaia 7 2 2 2" xfId="1653" xr:uid="{00000000-0005-0000-0000-00009A080000}"/>
    <cellStyle name="Migliaia 7 2 2 2 2" xfId="2471" xr:uid="{00000000-0005-0000-0000-00009B080000}"/>
    <cellStyle name="Migliaia 7 2 2 3" xfId="2124" xr:uid="{00000000-0005-0000-0000-00009C080000}"/>
    <cellStyle name="Migliaia 7 2 3" xfId="1559" xr:uid="{00000000-0005-0000-0000-00009D080000}"/>
    <cellStyle name="Migliaia 7 2 3 2" xfId="3566" xr:uid="{00000000-0005-0000-0000-00009E080000}"/>
    <cellStyle name="Migliaia 7 2 3 2 2" xfId="3567" xr:uid="{00000000-0005-0000-0000-00009F080000}"/>
    <cellStyle name="Migliaia 7 2 3 3" xfId="3568" xr:uid="{00000000-0005-0000-0000-0000A0080000}"/>
    <cellStyle name="Migliaia 7 2 3 3 2" xfId="3569" xr:uid="{00000000-0005-0000-0000-0000A1080000}"/>
    <cellStyle name="Migliaia 7 2 3 4" xfId="3570" xr:uid="{00000000-0005-0000-0000-0000A2080000}"/>
    <cellStyle name="Migliaia 7 2 3 5" xfId="3571" xr:uid="{00000000-0005-0000-0000-0000A3080000}"/>
    <cellStyle name="Migliaia 7 2 3 6" xfId="2404" xr:uid="{00000000-0005-0000-0000-0000A4080000}"/>
    <cellStyle name="Migliaia 7 2 4" xfId="3572" xr:uid="{00000000-0005-0000-0000-0000A5080000}"/>
    <cellStyle name="Migliaia 7 2 5" xfId="2055" xr:uid="{00000000-0005-0000-0000-0000A6080000}"/>
    <cellStyle name="Migliaia 7 3" xfId="640" xr:uid="{00000000-0005-0000-0000-0000A7080000}"/>
    <cellStyle name="Migliaia 7 3 2" xfId="1652" xr:uid="{00000000-0005-0000-0000-0000A8080000}"/>
    <cellStyle name="Migliaia 7 3 2 2" xfId="2470" xr:uid="{00000000-0005-0000-0000-0000A9080000}"/>
    <cellStyle name="Migliaia 7 3 3" xfId="2123" xr:uid="{00000000-0005-0000-0000-0000AA080000}"/>
    <cellStyle name="Migliaia 7 4" xfId="1558" xr:uid="{00000000-0005-0000-0000-0000AB080000}"/>
    <cellStyle name="Migliaia 7 4 2" xfId="2403" xr:uid="{00000000-0005-0000-0000-0000AC080000}"/>
    <cellStyle name="Migliaia 7 5" xfId="2054" xr:uid="{00000000-0005-0000-0000-0000AD080000}"/>
    <cellStyle name="Migliaia 70" xfId="1269" xr:uid="{00000000-0005-0000-0000-0000AE080000}"/>
    <cellStyle name="Migliaia 70 2" xfId="1781" xr:uid="{00000000-0005-0000-0000-0000AF080000}"/>
    <cellStyle name="Migliaia 70 2 2" xfId="2564" xr:uid="{00000000-0005-0000-0000-0000B0080000}"/>
    <cellStyle name="Migliaia 70 3" xfId="2230" xr:uid="{00000000-0005-0000-0000-0000B1080000}"/>
    <cellStyle name="Migliaia 71" xfId="1270" xr:uid="{00000000-0005-0000-0000-0000B2080000}"/>
    <cellStyle name="Migliaia 71 2" xfId="1782" xr:uid="{00000000-0005-0000-0000-0000B3080000}"/>
    <cellStyle name="Migliaia 71 2 2" xfId="2565" xr:uid="{00000000-0005-0000-0000-0000B4080000}"/>
    <cellStyle name="Migliaia 71 3" xfId="2231" xr:uid="{00000000-0005-0000-0000-0000B5080000}"/>
    <cellStyle name="Migliaia 72" xfId="1271" xr:uid="{00000000-0005-0000-0000-0000B6080000}"/>
    <cellStyle name="Migliaia 72 2" xfId="1783" xr:uid="{00000000-0005-0000-0000-0000B7080000}"/>
    <cellStyle name="Migliaia 72 2 2" xfId="2566" xr:uid="{00000000-0005-0000-0000-0000B8080000}"/>
    <cellStyle name="Migliaia 72 3" xfId="2232" xr:uid="{00000000-0005-0000-0000-0000B9080000}"/>
    <cellStyle name="Migliaia 73" xfId="1272" xr:uid="{00000000-0005-0000-0000-0000BA080000}"/>
    <cellStyle name="Migliaia 73 2" xfId="1784" xr:uid="{00000000-0005-0000-0000-0000BB080000}"/>
    <cellStyle name="Migliaia 73 2 2" xfId="2567" xr:uid="{00000000-0005-0000-0000-0000BC080000}"/>
    <cellStyle name="Migliaia 73 3" xfId="2233" xr:uid="{00000000-0005-0000-0000-0000BD080000}"/>
    <cellStyle name="Migliaia 74" xfId="1273" xr:uid="{00000000-0005-0000-0000-0000BE080000}"/>
    <cellStyle name="Migliaia 74 2" xfId="1785" xr:uid="{00000000-0005-0000-0000-0000BF080000}"/>
    <cellStyle name="Migliaia 74 2 2" xfId="2568" xr:uid="{00000000-0005-0000-0000-0000C0080000}"/>
    <cellStyle name="Migliaia 74 3" xfId="2234" xr:uid="{00000000-0005-0000-0000-0000C1080000}"/>
    <cellStyle name="Migliaia 75" xfId="1274" xr:uid="{00000000-0005-0000-0000-0000C2080000}"/>
    <cellStyle name="Migliaia 75 2" xfId="1786" xr:uid="{00000000-0005-0000-0000-0000C3080000}"/>
    <cellStyle name="Migliaia 75 2 2" xfId="2569" xr:uid="{00000000-0005-0000-0000-0000C4080000}"/>
    <cellStyle name="Migliaia 75 3" xfId="2235" xr:uid="{00000000-0005-0000-0000-0000C5080000}"/>
    <cellStyle name="Migliaia 76" xfId="1275" xr:uid="{00000000-0005-0000-0000-0000C6080000}"/>
    <cellStyle name="Migliaia 76 2" xfId="1787" xr:uid="{00000000-0005-0000-0000-0000C7080000}"/>
    <cellStyle name="Migliaia 76 2 2" xfId="2570" xr:uid="{00000000-0005-0000-0000-0000C8080000}"/>
    <cellStyle name="Migliaia 76 3" xfId="2236" xr:uid="{00000000-0005-0000-0000-0000C9080000}"/>
    <cellStyle name="Migliaia 77" xfId="1229" xr:uid="{00000000-0005-0000-0000-0000CA080000}"/>
    <cellStyle name="Migliaia 77 2" xfId="1741" xr:uid="{00000000-0005-0000-0000-0000CB080000}"/>
    <cellStyle name="Migliaia 77 2 2" xfId="2524" xr:uid="{00000000-0005-0000-0000-0000CC080000}"/>
    <cellStyle name="Migliaia 77 3" xfId="2190" xr:uid="{00000000-0005-0000-0000-0000CD080000}"/>
    <cellStyle name="Migliaia 78" xfId="1276" xr:uid="{00000000-0005-0000-0000-0000CE080000}"/>
    <cellStyle name="Migliaia 78 2" xfId="1788" xr:uid="{00000000-0005-0000-0000-0000CF080000}"/>
    <cellStyle name="Migliaia 78 2 2" xfId="2571" xr:uid="{00000000-0005-0000-0000-0000D0080000}"/>
    <cellStyle name="Migliaia 78 3" xfId="2237" xr:uid="{00000000-0005-0000-0000-0000D1080000}"/>
    <cellStyle name="Migliaia 79" xfId="1277" xr:uid="{00000000-0005-0000-0000-0000D2080000}"/>
    <cellStyle name="Migliaia 79 2" xfId="1789" xr:uid="{00000000-0005-0000-0000-0000D3080000}"/>
    <cellStyle name="Migliaia 79 2 2" xfId="2572" xr:uid="{00000000-0005-0000-0000-0000D4080000}"/>
    <cellStyle name="Migliaia 79 3" xfId="2238" xr:uid="{00000000-0005-0000-0000-0000D5080000}"/>
    <cellStyle name="Migliaia 8" xfId="183" xr:uid="{00000000-0005-0000-0000-0000D6080000}"/>
    <cellStyle name="Migliaia 8 2" xfId="184" xr:uid="{00000000-0005-0000-0000-0000D7080000}"/>
    <cellStyle name="Migliaia 8 2 2" xfId="1561" xr:uid="{00000000-0005-0000-0000-0000D8080000}"/>
    <cellStyle name="Migliaia 8 2 2 2" xfId="2406" xr:uid="{00000000-0005-0000-0000-0000D9080000}"/>
    <cellStyle name="Migliaia 8 2 3" xfId="2056" xr:uid="{00000000-0005-0000-0000-0000DA080000}"/>
    <cellStyle name="Migliaia 8 3" xfId="642" xr:uid="{00000000-0005-0000-0000-0000DB080000}"/>
    <cellStyle name="Migliaia 8 3 2" xfId="1654" xr:uid="{00000000-0005-0000-0000-0000DC080000}"/>
    <cellStyle name="Migliaia 8 3 2 2" xfId="3573" xr:uid="{00000000-0005-0000-0000-0000DD080000}"/>
    <cellStyle name="Migliaia 8 3 2 3" xfId="2472" xr:uid="{00000000-0005-0000-0000-0000DE080000}"/>
    <cellStyle name="Migliaia 8 3 3" xfId="3574" xr:uid="{00000000-0005-0000-0000-0000DF080000}"/>
    <cellStyle name="Migliaia 8 3 3 2" xfId="3575" xr:uid="{00000000-0005-0000-0000-0000E0080000}"/>
    <cellStyle name="Migliaia 8 3 4" xfId="3576" xr:uid="{00000000-0005-0000-0000-0000E1080000}"/>
    <cellStyle name="Migliaia 8 3 5" xfId="3577" xr:uid="{00000000-0005-0000-0000-0000E2080000}"/>
    <cellStyle name="Migliaia 8 4" xfId="1560" xr:uid="{00000000-0005-0000-0000-0000E3080000}"/>
    <cellStyle name="Migliaia 8 4 2" xfId="2405" xr:uid="{00000000-0005-0000-0000-0000E4080000}"/>
    <cellStyle name="Migliaia 8_Cruscotto1new" xfId="3935" xr:uid="{00000000-0005-0000-0000-0000E5080000}"/>
    <cellStyle name="Migliaia 80" xfId="1278" xr:uid="{00000000-0005-0000-0000-0000E6080000}"/>
    <cellStyle name="Migliaia 80 2" xfId="1790" xr:uid="{00000000-0005-0000-0000-0000E7080000}"/>
    <cellStyle name="Migliaia 80 2 2" xfId="2573" xr:uid="{00000000-0005-0000-0000-0000E8080000}"/>
    <cellStyle name="Migliaia 80 3" xfId="2239" xr:uid="{00000000-0005-0000-0000-0000E9080000}"/>
    <cellStyle name="Migliaia 81" xfId="1279" xr:uid="{00000000-0005-0000-0000-0000EA080000}"/>
    <cellStyle name="Migliaia 81 2" xfId="1791" xr:uid="{00000000-0005-0000-0000-0000EB080000}"/>
    <cellStyle name="Migliaia 81 2 2" xfId="2574" xr:uid="{00000000-0005-0000-0000-0000EC080000}"/>
    <cellStyle name="Migliaia 81 3" xfId="2240" xr:uid="{00000000-0005-0000-0000-0000ED080000}"/>
    <cellStyle name="Migliaia 82" xfId="1280" xr:uid="{00000000-0005-0000-0000-0000EE080000}"/>
    <cellStyle name="Migliaia 82 2" xfId="1792" xr:uid="{00000000-0005-0000-0000-0000EF080000}"/>
    <cellStyle name="Migliaia 82 2 2" xfId="2575" xr:uid="{00000000-0005-0000-0000-0000F0080000}"/>
    <cellStyle name="Migliaia 82 3" xfId="2241" xr:uid="{00000000-0005-0000-0000-0000F1080000}"/>
    <cellStyle name="Migliaia 83" xfId="1281" xr:uid="{00000000-0005-0000-0000-0000F2080000}"/>
    <cellStyle name="Migliaia 83 2" xfId="1793" xr:uid="{00000000-0005-0000-0000-0000F3080000}"/>
    <cellStyle name="Migliaia 83 2 2" xfId="2576" xr:uid="{00000000-0005-0000-0000-0000F4080000}"/>
    <cellStyle name="Migliaia 83 3" xfId="2242" xr:uid="{00000000-0005-0000-0000-0000F5080000}"/>
    <cellStyle name="Migliaia 84" xfId="1282" xr:uid="{00000000-0005-0000-0000-0000F6080000}"/>
    <cellStyle name="Migliaia 84 2" xfId="1794" xr:uid="{00000000-0005-0000-0000-0000F7080000}"/>
    <cellStyle name="Migliaia 84 2 2" xfId="2577" xr:uid="{00000000-0005-0000-0000-0000F8080000}"/>
    <cellStyle name="Migliaia 84 3" xfId="2243" xr:uid="{00000000-0005-0000-0000-0000F9080000}"/>
    <cellStyle name="Migliaia 85" xfId="1283" xr:uid="{00000000-0005-0000-0000-0000FA080000}"/>
    <cellStyle name="Migliaia 85 2" xfId="1795" xr:uid="{00000000-0005-0000-0000-0000FB080000}"/>
    <cellStyle name="Migliaia 85 2 2" xfId="2578" xr:uid="{00000000-0005-0000-0000-0000FC080000}"/>
    <cellStyle name="Migliaia 85 3" xfId="2244" xr:uid="{00000000-0005-0000-0000-0000FD080000}"/>
    <cellStyle name="Migliaia 86" xfId="1284" xr:uid="{00000000-0005-0000-0000-0000FE080000}"/>
    <cellStyle name="Migliaia 86 2" xfId="1796" xr:uid="{00000000-0005-0000-0000-0000FF080000}"/>
    <cellStyle name="Migliaia 86 2 2" xfId="2579" xr:uid="{00000000-0005-0000-0000-000000090000}"/>
    <cellStyle name="Migliaia 86 3" xfId="2245" xr:uid="{00000000-0005-0000-0000-000001090000}"/>
    <cellStyle name="Migliaia 87" xfId="1285" xr:uid="{00000000-0005-0000-0000-000002090000}"/>
    <cellStyle name="Migliaia 87 2" xfId="1797" xr:uid="{00000000-0005-0000-0000-000003090000}"/>
    <cellStyle name="Migliaia 87 2 2" xfId="2580" xr:uid="{00000000-0005-0000-0000-000004090000}"/>
    <cellStyle name="Migliaia 87 3" xfId="2246" xr:uid="{00000000-0005-0000-0000-000005090000}"/>
    <cellStyle name="Migliaia 88" xfId="1286" xr:uid="{00000000-0005-0000-0000-000006090000}"/>
    <cellStyle name="Migliaia 88 2" xfId="1798" xr:uid="{00000000-0005-0000-0000-000007090000}"/>
    <cellStyle name="Migliaia 88 2 2" xfId="2581" xr:uid="{00000000-0005-0000-0000-000008090000}"/>
    <cellStyle name="Migliaia 88 3" xfId="2247" xr:uid="{00000000-0005-0000-0000-000009090000}"/>
    <cellStyle name="Migliaia 89" xfId="1287" xr:uid="{00000000-0005-0000-0000-00000A090000}"/>
    <cellStyle name="Migliaia 89 2" xfId="1799" xr:uid="{00000000-0005-0000-0000-00000B090000}"/>
    <cellStyle name="Migliaia 89 2 2" xfId="2582" xr:uid="{00000000-0005-0000-0000-00000C090000}"/>
    <cellStyle name="Migliaia 89 3" xfId="2248" xr:uid="{00000000-0005-0000-0000-00000D090000}"/>
    <cellStyle name="Migliaia 9" xfId="185" xr:uid="{00000000-0005-0000-0000-00000E090000}"/>
    <cellStyle name="Migliaia 9 2" xfId="186" xr:uid="{00000000-0005-0000-0000-00000F090000}"/>
    <cellStyle name="Migliaia 9 2 2" xfId="643" xr:uid="{00000000-0005-0000-0000-000010090000}"/>
    <cellStyle name="Migliaia 9 2 2 2" xfId="1655" xr:uid="{00000000-0005-0000-0000-000011090000}"/>
    <cellStyle name="Migliaia 9 2 2 2 2" xfId="2473" xr:uid="{00000000-0005-0000-0000-000012090000}"/>
    <cellStyle name="Migliaia 9 2 2 3" xfId="2125" xr:uid="{00000000-0005-0000-0000-000013090000}"/>
    <cellStyle name="Migliaia 9 2 3" xfId="1563" xr:uid="{00000000-0005-0000-0000-000014090000}"/>
    <cellStyle name="Migliaia 9 2 3 2" xfId="2408" xr:uid="{00000000-0005-0000-0000-000015090000}"/>
    <cellStyle name="Migliaia 9 2 4" xfId="2058" xr:uid="{00000000-0005-0000-0000-000016090000}"/>
    <cellStyle name="Migliaia 9 3" xfId="1007" xr:uid="{00000000-0005-0000-0000-000017090000}"/>
    <cellStyle name="Migliaia 9 3 2" xfId="1716" xr:uid="{00000000-0005-0000-0000-000018090000}"/>
    <cellStyle name="Migliaia 9 3 2 2" xfId="2514" xr:uid="{00000000-0005-0000-0000-000019090000}"/>
    <cellStyle name="Migliaia 9 3 3" xfId="2169" xr:uid="{00000000-0005-0000-0000-00001A090000}"/>
    <cellStyle name="Migliaia 9 4" xfId="1562" xr:uid="{00000000-0005-0000-0000-00001B090000}"/>
    <cellStyle name="Migliaia 9 4 2" xfId="2407" xr:uid="{00000000-0005-0000-0000-00001C090000}"/>
    <cellStyle name="Migliaia 9 5" xfId="2057" xr:uid="{00000000-0005-0000-0000-00001D090000}"/>
    <cellStyle name="Migliaia 90" xfId="1288" xr:uid="{00000000-0005-0000-0000-00001E090000}"/>
    <cellStyle name="Migliaia 90 2" xfId="1800" xr:uid="{00000000-0005-0000-0000-00001F090000}"/>
    <cellStyle name="Migliaia 90 2 2" xfId="2583" xr:uid="{00000000-0005-0000-0000-000020090000}"/>
    <cellStyle name="Migliaia 90 3" xfId="2249" xr:uid="{00000000-0005-0000-0000-000021090000}"/>
    <cellStyle name="Migliaia 91" xfId="1289" xr:uid="{00000000-0005-0000-0000-000022090000}"/>
    <cellStyle name="Migliaia 91 2" xfId="1801" xr:uid="{00000000-0005-0000-0000-000023090000}"/>
    <cellStyle name="Migliaia 91 2 2" xfId="2584" xr:uid="{00000000-0005-0000-0000-000024090000}"/>
    <cellStyle name="Migliaia 91 3" xfId="2250" xr:uid="{00000000-0005-0000-0000-000025090000}"/>
    <cellStyle name="Migliaia 92" xfId="1290" xr:uid="{00000000-0005-0000-0000-000026090000}"/>
    <cellStyle name="Migliaia 92 2" xfId="1802" xr:uid="{00000000-0005-0000-0000-000027090000}"/>
    <cellStyle name="Migliaia 92 2 2" xfId="2585" xr:uid="{00000000-0005-0000-0000-000028090000}"/>
    <cellStyle name="Migliaia 92 3" xfId="2251" xr:uid="{00000000-0005-0000-0000-000029090000}"/>
    <cellStyle name="Migliaia 93" xfId="1291" xr:uid="{00000000-0005-0000-0000-00002A090000}"/>
    <cellStyle name="Migliaia 93 2" xfId="1803" xr:uid="{00000000-0005-0000-0000-00002B090000}"/>
    <cellStyle name="Migliaia 93 2 2" xfId="2586" xr:uid="{00000000-0005-0000-0000-00002C090000}"/>
    <cellStyle name="Migliaia 93 3" xfId="2252" xr:uid="{00000000-0005-0000-0000-00002D090000}"/>
    <cellStyle name="Migliaia 94" xfId="1292" xr:uid="{00000000-0005-0000-0000-00002E090000}"/>
    <cellStyle name="Migliaia 94 2" xfId="1804" xr:uid="{00000000-0005-0000-0000-00002F090000}"/>
    <cellStyle name="Migliaia 94 2 2" xfId="2587" xr:uid="{00000000-0005-0000-0000-000030090000}"/>
    <cellStyle name="Migliaia 94 3" xfId="2253" xr:uid="{00000000-0005-0000-0000-000031090000}"/>
    <cellStyle name="Migliaia 95" xfId="1293" xr:uid="{00000000-0005-0000-0000-000032090000}"/>
    <cellStyle name="Migliaia 95 2" xfId="1805" xr:uid="{00000000-0005-0000-0000-000033090000}"/>
    <cellStyle name="Migliaia 95 2 2" xfId="2588" xr:uid="{00000000-0005-0000-0000-000034090000}"/>
    <cellStyle name="Migliaia 95 3" xfId="2254" xr:uid="{00000000-0005-0000-0000-000035090000}"/>
    <cellStyle name="Migliaia 96" xfId="1294" xr:uid="{00000000-0005-0000-0000-000036090000}"/>
    <cellStyle name="Migliaia 96 2" xfId="1806" xr:uid="{00000000-0005-0000-0000-000037090000}"/>
    <cellStyle name="Migliaia 96 2 2" xfId="2589" xr:uid="{00000000-0005-0000-0000-000038090000}"/>
    <cellStyle name="Migliaia 96 3" xfId="2255" xr:uid="{00000000-0005-0000-0000-000039090000}"/>
    <cellStyle name="Migliaia 97" xfId="1295" xr:uid="{00000000-0005-0000-0000-00003A090000}"/>
    <cellStyle name="Migliaia 97 2" xfId="1807" xr:uid="{00000000-0005-0000-0000-00003B090000}"/>
    <cellStyle name="Migliaia 97 2 2" xfId="2590" xr:uid="{00000000-0005-0000-0000-00003C090000}"/>
    <cellStyle name="Migliaia 97 3" xfId="2256" xr:uid="{00000000-0005-0000-0000-00003D090000}"/>
    <cellStyle name="Migliaia 98" xfId="1296" xr:uid="{00000000-0005-0000-0000-00003E090000}"/>
    <cellStyle name="Migliaia 98 2" xfId="1808" xr:uid="{00000000-0005-0000-0000-00003F090000}"/>
    <cellStyle name="Migliaia 98 2 2" xfId="2591" xr:uid="{00000000-0005-0000-0000-000040090000}"/>
    <cellStyle name="Migliaia 98 3" xfId="2257" xr:uid="{00000000-0005-0000-0000-000041090000}"/>
    <cellStyle name="Migliaia 99" xfId="1297" xr:uid="{00000000-0005-0000-0000-000042090000}"/>
    <cellStyle name="Migliaia 99 2" xfId="1809" xr:uid="{00000000-0005-0000-0000-000043090000}"/>
    <cellStyle name="Migliaia 99 2 2" xfId="2592" xr:uid="{00000000-0005-0000-0000-000044090000}"/>
    <cellStyle name="Migliaia 99 3" xfId="2258" xr:uid="{00000000-0005-0000-0000-000045090000}"/>
    <cellStyle name="Neutral" xfId="187" xr:uid="{00000000-0005-0000-0000-000046090000}"/>
    <cellStyle name="Neutral 2" xfId="644" xr:uid="{00000000-0005-0000-0000-000047090000}"/>
    <cellStyle name="Neutral 3" xfId="1008" xr:uid="{00000000-0005-0000-0000-000048090000}"/>
    <cellStyle name="Neutrale" xfId="1942" builtinId="28" customBuiltin="1"/>
    <cellStyle name="Neutrale 2" xfId="188" xr:uid="{00000000-0005-0000-0000-00004A090000}"/>
    <cellStyle name="Neutrale 2 2" xfId="189" xr:uid="{00000000-0005-0000-0000-00004B090000}"/>
    <cellStyle name="Neutrale 2 2 2" xfId="647" xr:uid="{00000000-0005-0000-0000-00004C090000}"/>
    <cellStyle name="Neutrale 2 2 3" xfId="1009" xr:uid="{00000000-0005-0000-0000-00004D090000}"/>
    <cellStyle name="Neutrale 2 3" xfId="190" xr:uid="{00000000-0005-0000-0000-00004E090000}"/>
    <cellStyle name="Neutrale 2 3 2" xfId="648" xr:uid="{00000000-0005-0000-0000-00004F090000}"/>
    <cellStyle name="Neutrale 2 3 3" xfId="890" xr:uid="{00000000-0005-0000-0000-000050090000}"/>
    <cellStyle name="Neutrale 2 4" xfId="646" xr:uid="{00000000-0005-0000-0000-000051090000}"/>
    <cellStyle name="Neutrale 2 5" xfId="1010" xr:uid="{00000000-0005-0000-0000-000052090000}"/>
    <cellStyle name="Neutrale 2_Budget revisionato" xfId="191" xr:uid="{00000000-0005-0000-0000-000053090000}"/>
    <cellStyle name="Neutrale 3" xfId="192" xr:uid="{00000000-0005-0000-0000-000054090000}"/>
    <cellStyle name="Neutrale 3 2" xfId="649" xr:uid="{00000000-0005-0000-0000-000055090000}"/>
    <cellStyle name="Neutrale 3 3" xfId="889" xr:uid="{00000000-0005-0000-0000-000056090000}"/>
    <cellStyle name="Neutrale 4" xfId="193" xr:uid="{00000000-0005-0000-0000-000057090000}"/>
    <cellStyle name="Neutrale 4 2" xfId="650" xr:uid="{00000000-0005-0000-0000-000058090000}"/>
    <cellStyle name="Neutrale 4 3" xfId="888" xr:uid="{00000000-0005-0000-0000-000059090000}"/>
    <cellStyle name="Neutrale 5" xfId="645" xr:uid="{00000000-0005-0000-0000-00005A090000}"/>
    <cellStyle name="Normal_Assume" xfId="2060" xr:uid="{00000000-0005-0000-0000-00005B090000}"/>
    <cellStyle name="Normale" xfId="0" builtinId="0"/>
    <cellStyle name="Normale 10" xfId="194" xr:uid="{00000000-0005-0000-0000-00005D090000}"/>
    <cellStyle name="Normale 10 2" xfId="195" xr:uid="{00000000-0005-0000-0000-00005E090000}"/>
    <cellStyle name="Normale 10 2 2" xfId="651" xr:uid="{00000000-0005-0000-0000-00005F090000}"/>
    <cellStyle name="Normale 10 2 3" xfId="1011" xr:uid="{00000000-0005-0000-0000-000060090000}"/>
    <cellStyle name="Normale 10 3" xfId="196" xr:uid="{00000000-0005-0000-0000-000061090000}"/>
    <cellStyle name="Normale 10 3 2" xfId="652" xr:uid="{00000000-0005-0000-0000-000062090000}"/>
    <cellStyle name="Normale 10 3 2 2" xfId="3942" xr:uid="{00000000-0005-0000-0000-000063090000}"/>
    <cellStyle name="Normale 10 3 3" xfId="1012" xr:uid="{00000000-0005-0000-0000-000064090000}"/>
    <cellStyle name="Normale 10 4" xfId="483" xr:uid="{00000000-0005-0000-0000-000065090000}"/>
    <cellStyle name="Normale 10 5" xfId="1013" xr:uid="{00000000-0005-0000-0000-000066090000}"/>
    <cellStyle name="Normale 10_BusinessplanProvaVer03" xfId="3578" xr:uid="{00000000-0005-0000-0000-000067090000}"/>
    <cellStyle name="Normale 100" xfId="197" xr:uid="{00000000-0005-0000-0000-000068090000}"/>
    <cellStyle name="Normale 100 2" xfId="653" xr:uid="{00000000-0005-0000-0000-000069090000}"/>
    <cellStyle name="Normale 100 3" xfId="1014" xr:uid="{00000000-0005-0000-0000-00006A090000}"/>
    <cellStyle name="Normale 101" xfId="198" xr:uid="{00000000-0005-0000-0000-00006B090000}"/>
    <cellStyle name="Normale 101 2" xfId="654" xr:uid="{00000000-0005-0000-0000-00006C090000}"/>
    <cellStyle name="Normale 101 3" xfId="1015" xr:uid="{00000000-0005-0000-0000-00006D090000}"/>
    <cellStyle name="Normale 102" xfId="199" xr:uid="{00000000-0005-0000-0000-00006E090000}"/>
    <cellStyle name="Normale 102 2" xfId="655" xr:uid="{00000000-0005-0000-0000-00006F090000}"/>
    <cellStyle name="Normale 102 3" xfId="1016" xr:uid="{00000000-0005-0000-0000-000070090000}"/>
    <cellStyle name="Normale 103" xfId="200" xr:uid="{00000000-0005-0000-0000-000071090000}"/>
    <cellStyle name="Normale 103 2" xfId="656" xr:uid="{00000000-0005-0000-0000-000072090000}"/>
    <cellStyle name="Normale 103 3" xfId="1017" xr:uid="{00000000-0005-0000-0000-000073090000}"/>
    <cellStyle name="Normale 104" xfId="201" xr:uid="{00000000-0005-0000-0000-000074090000}"/>
    <cellStyle name="Normale 104 2" xfId="657" xr:uid="{00000000-0005-0000-0000-000075090000}"/>
    <cellStyle name="Normale 104 3" xfId="1018" xr:uid="{00000000-0005-0000-0000-000076090000}"/>
    <cellStyle name="Normale 105" xfId="202" xr:uid="{00000000-0005-0000-0000-000077090000}"/>
    <cellStyle name="Normale 105 2" xfId="658" xr:uid="{00000000-0005-0000-0000-000078090000}"/>
    <cellStyle name="Normale 105 3" xfId="1019" xr:uid="{00000000-0005-0000-0000-000079090000}"/>
    <cellStyle name="Normale 106" xfId="203" xr:uid="{00000000-0005-0000-0000-00007A090000}"/>
    <cellStyle name="Normale 106 2" xfId="659" xr:uid="{00000000-0005-0000-0000-00007B090000}"/>
    <cellStyle name="Normale 106 3" xfId="1020" xr:uid="{00000000-0005-0000-0000-00007C090000}"/>
    <cellStyle name="Normale 107" xfId="204" xr:uid="{00000000-0005-0000-0000-00007D090000}"/>
    <cellStyle name="Normale 107 2" xfId="660" xr:uid="{00000000-0005-0000-0000-00007E090000}"/>
    <cellStyle name="Normale 107 3" xfId="1021" xr:uid="{00000000-0005-0000-0000-00007F090000}"/>
    <cellStyle name="Normale 108" xfId="205" xr:uid="{00000000-0005-0000-0000-000080090000}"/>
    <cellStyle name="Normale 108 2" xfId="661" xr:uid="{00000000-0005-0000-0000-000081090000}"/>
    <cellStyle name="Normale 108 3" xfId="1022" xr:uid="{00000000-0005-0000-0000-000082090000}"/>
    <cellStyle name="Normale 109" xfId="206" xr:uid="{00000000-0005-0000-0000-000083090000}"/>
    <cellStyle name="Normale 109 2" xfId="662" xr:uid="{00000000-0005-0000-0000-000084090000}"/>
    <cellStyle name="Normale 109 3" xfId="1023" xr:uid="{00000000-0005-0000-0000-000085090000}"/>
    <cellStyle name="Normale 11" xfId="207" xr:uid="{00000000-0005-0000-0000-000086090000}"/>
    <cellStyle name="Normale 11 2" xfId="208" xr:uid="{00000000-0005-0000-0000-000087090000}"/>
    <cellStyle name="Normale 11 2 2" xfId="664" xr:uid="{00000000-0005-0000-0000-000088090000}"/>
    <cellStyle name="Normale 11 2 3" xfId="1024" xr:uid="{00000000-0005-0000-0000-000089090000}"/>
    <cellStyle name="Normale 11 3" xfId="663" xr:uid="{00000000-0005-0000-0000-00008A090000}"/>
    <cellStyle name="Normale 11 4" xfId="1025" xr:uid="{00000000-0005-0000-0000-00008B090000}"/>
    <cellStyle name="Normale 11_TotCespiti" xfId="469" xr:uid="{00000000-0005-0000-0000-00008C090000}"/>
    <cellStyle name="Normale 110" xfId="209" xr:uid="{00000000-0005-0000-0000-00008D090000}"/>
    <cellStyle name="Normale 110 2" xfId="665" xr:uid="{00000000-0005-0000-0000-00008E090000}"/>
    <cellStyle name="Normale 110 3" xfId="1026" xr:uid="{00000000-0005-0000-0000-00008F090000}"/>
    <cellStyle name="Normale 111" xfId="210" xr:uid="{00000000-0005-0000-0000-000090090000}"/>
    <cellStyle name="Normale 111 2" xfId="666" xr:uid="{00000000-0005-0000-0000-000091090000}"/>
    <cellStyle name="Normale 111 3" xfId="1027" xr:uid="{00000000-0005-0000-0000-000092090000}"/>
    <cellStyle name="Normale 112" xfId="211" xr:uid="{00000000-0005-0000-0000-000093090000}"/>
    <cellStyle name="Normale 112 2" xfId="667" xr:uid="{00000000-0005-0000-0000-000094090000}"/>
    <cellStyle name="Normale 112 3" xfId="1028" xr:uid="{00000000-0005-0000-0000-000095090000}"/>
    <cellStyle name="Normale 113" xfId="212" xr:uid="{00000000-0005-0000-0000-000096090000}"/>
    <cellStyle name="Normale 113 2" xfId="668" xr:uid="{00000000-0005-0000-0000-000097090000}"/>
    <cellStyle name="Normale 113 3" xfId="1029" xr:uid="{00000000-0005-0000-0000-000098090000}"/>
    <cellStyle name="Normale 114" xfId="213" xr:uid="{00000000-0005-0000-0000-000099090000}"/>
    <cellStyle name="Normale 114 2" xfId="669" xr:uid="{00000000-0005-0000-0000-00009A090000}"/>
    <cellStyle name="Normale 114 3" xfId="1030" xr:uid="{00000000-0005-0000-0000-00009B090000}"/>
    <cellStyle name="Normale 115" xfId="214" xr:uid="{00000000-0005-0000-0000-00009C090000}"/>
    <cellStyle name="Normale 115 2" xfId="670" xr:uid="{00000000-0005-0000-0000-00009D090000}"/>
    <cellStyle name="Normale 115 3" xfId="1031" xr:uid="{00000000-0005-0000-0000-00009E090000}"/>
    <cellStyle name="Normale 116" xfId="215" xr:uid="{00000000-0005-0000-0000-00009F090000}"/>
    <cellStyle name="Normale 116 2" xfId="671" xr:uid="{00000000-0005-0000-0000-0000A0090000}"/>
    <cellStyle name="Normale 116 3" xfId="1032" xr:uid="{00000000-0005-0000-0000-0000A1090000}"/>
    <cellStyle name="Normale 117" xfId="216" xr:uid="{00000000-0005-0000-0000-0000A2090000}"/>
    <cellStyle name="Normale 117 2" xfId="672" xr:uid="{00000000-0005-0000-0000-0000A3090000}"/>
    <cellStyle name="Normale 117 3" xfId="1033" xr:uid="{00000000-0005-0000-0000-0000A4090000}"/>
    <cellStyle name="Normale 118" xfId="217" xr:uid="{00000000-0005-0000-0000-0000A5090000}"/>
    <cellStyle name="Normale 118 2" xfId="673" xr:uid="{00000000-0005-0000-0000-0000A6090000}"/>
    <cellStyle name="Normale 118 3" xfId="1034" xr:uid="{00000000-0005-0000-0000-0000A7090000}"/>
    <cellStyle name="Normale 119" xfId="218" xr:uid="{00000000-0005-0000-0000-0000A8090000}"/>
    <cellStyle name="Normale 119 2" xfId="674" xr:uid="{00000000-0005-0000-0000-0000A9090000}"/>
    <cellStyle name="Normale 119 3" xfId="1035" xr:uid="{00000000-0005-0000-0000-0000AA090000}"/>
    <cellStyle name="Normale 12" xfId="219" xr:uid="{00000000-0005-0000-0000-0000AB090000}"/>
    <cellStyle name="Normale 12 2" xfId="220" xr:uid="{00000000-0005-0000-0000-0000AC090000}"/>
    <cellStyle name="Normale 12 2 2" xfId="676" xr:uid="{00000000-0005-0000-0000-0000AD090000}"/>
    <cellStyle name="Normale 12 2 3" xfId="1036" xr:uid="{00000000-0005-0000-0000-0000AE090000}"/>
    <cellStyle name="Normale 12 2 3 2" xfId="1718" xr:uid="{00000000-0005-0000-0000-0000AF090000}"/>
    <cellStyle name="Normale 12 2 3 2 2" xfId="2515" xr:uid="{00000000-0005-0000-0000-0000B0090000}"/>
    <cellStyle name="Normale 12 2 3 3" xfId="2170" xr:uid="{00000000-0005-0000-0000-0000B1090000}"/>
    <cellStyle name="Normale 12 2 4" xfId="1566" xr:uid="{00000000-0005-0000-0000-0000B2090000}"/>
    <cellStyle name="Normale 12 2 4 2" xfId="2411" xr:uid="{00000000-0005-0000-0000-0000B3090000}"/>
    <cellStyle name="Normale 12 2 5" xfId="2062" xr:uid="{00000000-0005-0000-0000-0000B4090000}"/>
    <cellStyle name="Normale 12 3" xfId="675" xr:uid="{00000000-0005-0000-0000-0000B5090000}"/>
    <cellStyle name="Normale 12 4" xfId="1037" xr:uid="{00000000-0005-0000-0000-0000B6090000}"/>
    <cellStyle name="Normale 12_TotCespiti" xfId="470" xr:uid="{00000000-0005-0000-0000-0000B7090000}"/>
    <cellStyle name="Normale 120" xfId="221" xr:uid="{00000000-0005-0000-0000-0000B8090000}"/>
    <cellStyle name="Normale 120 2" xfId="677" xr:uid="{00000000-0005-0000-0000-0000B9090000}"/>
    <cellStyle name="Normale 120 3" xfId="1038" xr:uid="{00000000-0005-0000-0000-0000BA090000}"/>
    <cellStyle name="Normale 121" xfId="222" xr:uid="{00000000-0005-0000-0000-0000BB090000}"/>
    <cellStyle name="Normale 121 2" xfId="678" xr:uid="{00000000-0005-0000-0000-0000BC090000}"/>
    <cellStyle name="Normale 121 3" xfId="1039" xr:uid="{00000000-0005-0000-0000-0000BD090000}"/>
    <cellStyle name="Normale 122" xfId="223" xr:uid="{00000000-0005-0000-0000-0000BE090000}"/>
    <cellStyle name="Normale 122 2" xfId="679" xr:uid="{00000000-0005-0000-0000-0000BF090000}"/>
    <cellStyle name="Normale 122 3" xfId="1040" xr:uid="{00000000-0005-0000-0000-0000C0090000}"/>
    <cellStyle name="Normale 123" xfId="224" xr:uid="{00000000-0005-0000-0000-0000C1090000}"/>
    <cellStyle name="Normale 123 2" xfId="680" xr:uid="{00000000-0005-0000-0000-0000C2090000}"/>
    <cellStyle name="Normale 123 3" xfId="1041" xr:uid="{00000000-0005-0000-0000-0000C3090000}"/>
    <cellStyle name="Normale 124" xfId="225" xr:uid="{00000000-0005-0000-0000-0000C4090000}"/>
    <cellStyle name="Normale 124 2" xfId="681" xr:uid="{00000000-0005-0000-0000-0000C5090000}"/>
    <cellStyle name="Normale 124 3" xfId="1042" xr:uid="{00000000-0005-0000-0000-0000C6090000}"/>
    <cellStyle name="Normale 125" xfId="226" xr:uid="{00000000-0005-0000-0000-0000C7090000}"/>
    <cellStyle name="Normale 125 2" xfId="682" xr:uid="{00000000-0005-0000-0000-0000C8090000}"/>
    <cellStyle name="Normale 125 3" xfId="1043" xr:uid="{00000000-0005-0000-0000-0000C9090000}"/>
    <cellStyle name="Normale 126" xfId="227" xr:uid="{00000000-0005-0000-0000-0000CA090000}"/>
    <cellStyle name="Normale 126 2" xfId="683" xr:uid="{00000000-0005-0000-0000-0000CB090000}"/>
    <cellStyle name="Normale 126 3" xfId="1044" xr:uid="{00000000-0005-0000-0000-0000CC090000}"/>
    <cellStyle name="Normale 127" xfId="228" xr:uid="{00000000-0005-0000-0000-0000CD090000}"/>
    <cellStyle name="Normale 127 2" xfId="684" xr:uid="{00000000-0005-0000-0000-0000CE090000}"/>
    <cellStyle name="Normale 127 3" xfId="1045" xr:uid="{00000000-0005-0000-0000-0000CF090000}"/>
    <cellStyle name="Normale 128" xfId="229" xr:uid="{00000000-0005-0000-0000-0000D0090000}"/>
    <cellStyle name="Normale 128 2" xfId="685" xr:uid="{00000000-0005-0000-0000-0000D1090000}"/>
    <cellStyle name="Normale 128 3" xfId="1046" xr:uid="{00000000-0005-0000-0000-0000D2090000}"/>
    <cellStyle name="Normale 129" xfId="230" xr:uid="{00000000-0005-0000-0000-0000D3090000}"/>
    <cellStyle name="Normale 129 2" xfId="686" xr:uid="{00000000-0005-0000-0000-0000D4090000}"/>
    <cellStyle name="Normale 129 3" xfId="1047" xr:uid="{00000000-0005-0000-0000-0000D5090000}"/>
    <cellStyle name="Normale 13" xfId="231" xr:uid="{00000000-0005-0000-0000-0000D6090000}"/>
    <cellStyle name="Normale 13 2" xfId="687" xr:uid="{00000000-0005-0000-0000-0000D7090000}"/>
    <cellStyle name="Normale 13 3" xfId="1048" xr:uid="{00000000-0005-0000-0000-0000D8090000}"/>
    <cellStyle name="Normale 13_Cruscotto1" xfId="3579" xr:uid="{00000000-0005-0000-0000-0000D9090000}"/>
    <cellStyle name="Normale 130" xfId="232" xr:uid="{00000000-0005-0000-0000-0000DA090000}"/>
    <cellStyle name="Normale 130 2" xfId="688" xr:uid="{00000000-0005-0000-0000-0000DB090000}"/>
    <cellStyle name="Normale 130 3" xfId="1049" xr:uid="{00000000-0005-0000-0000-0000DC090000}"/>
    <cellStyle name="Normale 131" xfId="233" xr:uid="{00000000-0005-0000-0000-0000DD090000}"/>
    <cellStyle name="Normale 131 2" xfId="689" xr:uid="{00000000-0005-0000-0000-0000DE090000}"/>
    <cellStyle name="Normale 131 3" xfId="1050" xr:uid="{00000000-0005-0000-0000-0000DF090000}"/>
    <cellStyle name="Normale 132" xfId="234" xr:uid="{00000000-0005-0000-0000-0000E0090000}"/>
    <cellStyle name="Normale 132 2" xfId="690" xr:uid="{00000000-0005-0000-0000-0000E1090000}"/>
    <cellStyle name="Normale 132 3" xfId="1051" xr:uid="{00000000-0005-0000-0000-0000E2090000}"/>
    <cellStyle name="Normale 133" xfId="235" xr:uid="{00000000-0005-0000-0000-0000E3090000}"/>
    <cellStyle name="Normale 133 2" xfId="691" xr:uid="{00000000-0005-0000-0000-0000E4090000}"/>
    <cellStyle name="Normale 133 3" xfId="1052" xr:uid="{00000000-0005-0000-0000-0000E5090000}"/>
    <cellStyle name="Normale 134" xfId="236" xr:uid="{00000000-0005-0000-0000-0000E6090000}"/>
    <cellStyle name="Normale 134 2" xfId="692" xr:uid="{00000000-0005-0000-0000-0000E7090000}"/>
    <cellStyle name="Normale 134 3" xfId="1053" xr:uid="{00000000-0005-0000-0000-0000E8090000}"/>
    <cellStyle name="Normale 135" xfId="237" xr:uid="{00000000-0005-0000-0000-0000E9090000}"/>
    <cellStyle name="Normale 135 2" xfId="693" xr:uid="{00000000-0005-0000-0000-0000EA090000}"/>
    <cellStyle name="Normale 135 3" xfId="1054" xr:uid="{00000000-0005-0000-0000-0000EB090000}"/>
    <cellStyle name="Normale 136" xfId="238" xr:uid="{00000000-0005-0000-0000-0000EC090000}"/>
    <cellStyle name="Normale 136 2" xfId="694" xr:uid="{00000000-0005-0000-0000-0000ED090000}"/>
    <cellStyle name="Normale 136 3" xfId="1055" xr:uid="{00000000-0005-0000-0000-0000EE090000}"/>
    <cellStyle name="Normale 137" xfId="239" xr:uid="{00000000-0005-0000-0000-0000EF090000}"/>
    <cellStyle name="Normale 137 2" xfId="695" xr:uid="{00000000-0005-0000-0000-0000F0090000}"/>
    <cellStyle name="Normale 137 3" xfId="1056" xr:uid="{00000000-0005-0000-0000-0000F1090000}"/>
    <cellStyle name="Normale 138" xfId="240" xr:uid="{00000000-0005-0000-0000-0000F2090000}"/>
    <cellStyle name="Normale 138 2" xfId="696" xr:uid="{00000000-0005-0000-0000-0000F3090000}"/>
    <cellStyle name="Normale 138 3" xfId="1057" xr:uid="{00000000-0005-0000-0000-0000F4090000}"/>
    <cellStyle name="Normale 139" xfId="241" xr:uid="{00000000-0005-0000-0000-0000F5090000}"/>
    <cellStyle name="Normale 139 2" xfId="697" xr:uid="{00000000-0005-0000-0000-0000F6090000}"/>
    <cellStyle name="Normale 139 3" xfId="1058" xr:uid="{00000000-0005-0000-0000-0000F7090000}"/>
    <cellStyle name="Normale 14" xfId="242" xr:uid="{00000000-0005-0000-0000-0000F8090000}"/>
    <cellStyle name="Normale 14 2" xfId="698" xr:uid="{00000000-0005-0000-0000-0000F9090000}"/>
    <cellStyle name="Normale 14 3" xfId="1059" xr:uid="{00000000-0005-0000-0000-0000FA090000}"/>
    <cellStyle name="Normale 140" xfId="243" xr:uid="{00000000-0005-0000-0000-0000FB090000}"/>
    <cellStyle name="Normale 140 2" xfId="699" xr:uid="{00000000-0005-0000-0000-0000FC090000}"/>
    <cellStyle name="Normale 140 3" xfId="1060" xr:uid="{00000000-0005-0000-0000-0000FD090000}"/>
    <cellStyle name="Normale 141" xfId="244" xr:uid="{00000000-0005-0000-0000-0000FE090000}"/>
    <cellStyle name="Normale 141 2" xfId="700" xr:uid="{00000000-0005-0000-0000-0000FF090000}"/>
    <cellStyle name="Normale 141 3" xfId="1061" xr:uid="{00000000-0005-0000-0000-0000000A0000}"/>
    <cellStyle name="Normale 142" xfId="245" xr:uid="{00000000-0005-0000-0000-0000010A0000}"/>
    <cellStyle name="Normale 142 2" xfId="701" xr:uid="{00000000-0005-0000-0000-0000020A0000}"/>
    <cellStyle name="Normale 142 3" xfId="1062" xr:uid="{00000000-0005-0000-0000-0000030A0000}"/>
    <cellStyle name="Normale 143" xfId="246" xr:uid="{00000000-0005-0000-0000-0000040A0000}"/>
    <cellStyle name="Normale 143 2" xfId="702" xr:uid="{00000000-0005-0000-0000-0000050A0000}"/>
    <cellStyle name="Normale 143 3" xfId="1063" xr:uid="{00000000-0005-0000-0000-0000060A0000}"/>
    <cellStyle name="Normale 144" xfId="475" xr:uid="{00000000-0005-0000-0000-0000070A0000}"/>
    <cellStyle name="Normale 144 2" xfId="1064" xr:uid="{00000000-0005-0000-0000-0000080A0000}"/>
    <cellStyle name="Normale 144 2 2" xfId="3580" xr:uid="{00000000-0005-0000-0000-0000090A0000}"/>
    <cellStyle name="Normale 144 2 2 2" xfId="3581" xr:uid="{00000000-0005-0000-0000-00000A0A0000}"/>
    <cellStyle name="Normale 144 2 3" xfId="3582" xr:uid="{00000000-0005-0000-0000-00000B0A0000}"/>
    <cellStyle name="Normale 144 2 3 2" xfId="3583" xr:uid="{00000000-0005-0000-0000-00000C0A0000}"/>
    <cellStyle name="Normale 144 2 4" xfId="3584" xr:uid="{00000000-0005-0000-0000-00000D0A0000}"/>
    <cellStyle name="Normale 144 2 5" xfId="3585" xr:uid="{00000000-0005-0000-0000-00000E0A0000}"/>
    <cellStyle name="Normale 144 3" xfId="3586" xr:uid="{00000000-0005-0000-0000-00000F0A0000}"/>
    <cellStyle name="Normale 144 3 2" xfId="3587" xr:uid="{00000000-0005-0000-0000-0000100A0000}"/>
    <cellStyle name="Normale 144 3 2 2" xfId="3588" xr:uid="{00000000-0005-0000-0000-0000110A0000}"/>
    <cellStyle name="Normale 144 3 3" xfId="3589" xr:uid="{00000000-0005-0000-0000-0000120A0000}"/>
    <cellStyle name="Normale 144 3 3 2" xfId="3590" xr:uid="{00000000-0005-0000-0000-0000130A0000}"/>
    <cellStyle name="Normale 144 3 4" xfId="3591" xr:uid="{00000000-0005-0000-0000-0000140A0000}"/>
    <cellStyle name="Normale 144 3 5" xfId="3592" xr:uid="{00000000-0005-0000-0000-0000150A0000}"/>
    <cellStyle name="Normale 144 4" xfId="3593" xr:uid="{00000000-0005-0000-0000-0000160A0000}"/>
    <cellStyle name="Normale 144 5" xfId="3594" xr:uid="{00000000-0005-0000-0000-0000170A0000}"/>
    <cellStyle name="Normale 145" xfId="247" xr:uid="{00000000-0005-0000-0000-0000180A0000}"/>
    <cellStyle name="Normale 145 2" xfId="703" xr:uid="{00000000-0005-0000-0000-0000190A0000}"/>
    <cellStyle name="Normale 145 3" xfId="1065" xr:uid="{00000000-0005-0000-0000-00001A0A0000}"/>
    <cellStyle name="Normale 146" xfId="248" xr:uid="{00000000-0005-0000-0000-00001B0A0000}"/>
    <cellStyle name="Normale 146 2" xfId="704" xr:uid="{00000000-0005-0000-0000-00001C0A0000}"/>
    <cellStyle name="Normale 146 3" xfId="1066" xr:uid="{00000000-0005-0000-0000-00001D0A0000}"/>
    <cellStyle name="Normale 147" xfId="496" xr:uid="{00000000-0005-0000-0000-00001E0A0000}"/>
    <cellStyle name="Normale 147 2" xfId="1067" xr:uid="{00000000-0005-0000-0000-00001F0A0000}"/>
    <cellStyle name="Normale 147 2 2" xfId="3595" xr:uid="{00000000-0005-0000-0000-0000200A0000}"/>
    <cellStyle name="Normale 147 2 2 2" xfId="3596" xr:uid="{00000000-0005-0000-0000-0000210A0000}"/>
    <cellStyle name="Normale 147 2 3" xfId="3597" xr:uid="{00000000-0005-0000-0000-0000220A0000}"/>
    <cellStyle name="Normale 147 2 3 2" xfId="3598" xr:uid="{00000000-0005-0000-0000-0000230A0000}"/>
    <cellStyle name="Normale 147 2 4" xfId="3599" xr:uid="{00000000-0005-0000-0000-0000240A0000}"/>
    <cellStyle name="Normale 147 2 5" xfId="3600" xr:uid="{00000000-0005-0000-0000-0000250A0000}"/>
    <cellStyle name="Normale 147 3" xfId="3601" xr:uid="{00000000-0005-0000-0000-0000260A0000}"/>
    <cellStyle name="Normale 147 3 2" xfId="3602" xr:uid="{00000000-0005-0000-0000-0000270A0000}"/>
    <cellStyle name="Normale 147 3 2 2" xfId="3603" xr:uid="{00000000-0005-0000-0000-0000280A0000}"/>
    <cellStyle name="Normale 147 3 3" xfId="3604" xr:uid="{00000000-0005-0000-0000-0000290A0000}"/>
    <cellStyle name="Normale 147 3 3 2" xfId="3605" xr:uid="{00000000-0005-0000-0000-00002A0A0000}"/>
    <cellStyle name="Normale 147 3 4" xfId="3606" xr:uid="{00000000-0005-0000-0000-00002B0A0000}"/>
    <cellStyle name="Normale 147 3 5" xfId="3607" xr:uid="{00000000-0005-0000-0000-00002C0A0000}"/>
    <cellStyle name="Normale 147 4" xfId="2676" xr:uid="{00000000-0005-0000-0000-00002D0A0000}"/>
    <cellStyle name="Normale 147 5" xfId="3608" xr:uid="{00000000-0005-0000-0000-00002E0A0000}"/>
    <cellStyle name="Normale 147 6" xfId="3609" xr:uid="{00000000-0005-0000-0000-00002F0A0000}"/>
    <cellStyle name="Normale 148" xfId="497" xr:uid="{00000000-0005-0000-0000-0000300A0000}"/>
    <cellStyle name="Normale 148 2" xfId="3610" xr:uid="{00000000-0005-0000-0000-0000310A0000}"/>
    <cellStyle name="Normale 148 2 2" xfId="3611" xr:uid="{00000000-0005-0000-0000-0000320A0000}"/>
    <cellStyle name="Normale 148 2 2 2" xfId="3612" xr:uid="{00000000-0005-0000-0000-0000330A0000}"/>
    <cellStyle name="Normale 148 2 3" xfId="3613" xr:uid="{00000000-0005-0000-0000-0000340A0000}"/>
    <cellStyle name="Normale 148 2 3 2" xfId="3614" xr:uid="{00000000-0005-0000-0000-0000350A0000}"/>
    <cellStyle name="Normale 148 2 4" xfId="3615" xr:uid="{00000000-0005-0000-0000-0000360A0000}"/>
    <cellStyle name="Normale 148 2 5" xfId="3616" xr:uid="{00000000-0005-0000-0000-0000370A0000}"/>
    <cellStyle name="Normale 148 3" xfId="3617" xr:uid="{00000000-0005-0000-0000-0000380A0000}"/>
    <cellStyle name="Normale 148 3 2" xfId="3618" xr:uid="{00000000-0005-0000-0000-0000390A0000}"/>
    <cellStyle name="Normale 148 3 2 2" xfId="3619" xr:uid="{00000000-0005-0000-0000-00003A0A0000}"/>
    <cellStyle name="Normale 148 3 3" xfId="3620" xr:uid="{00000000-0005-0000-0000-00003B0A0000}"/>
    <cellStyle name="Normale 148 3 3 2" xfId="3621" xr:uid="{00000000-0005-0000-0000-00003C0A0000}"/>
    <cellStyle name="Normale 148 3 4" xfId="3622" xr:uid="{00000000-0005-0000-0000-00003D0A0000}"/>
    <cellStyle name="Normale 148 3 5" xfId="3623" xr:uid="{00000000-0005-0000-0000-00003E0A0000}"/>
    <cellStyle name="Normale 148 4" xfId="3624" xr:uid="{00000000-0005-0000-0000-00003F0A0000}"/>
    <cellStyle name="Normale 148 5" xfId="3625" xr:uid="{00000000-0005-0000-0000-0000400A0000}"/>
    <cellStyle name="Normale 149" xfId="249" xr:uid="{00000000-0005-0000-0000-0000410A0000}"/>
    <cellStyle name="Normale 149 2" xfId="705" xr:uid="{00000000-0005-0000-0000-0000420A0000}"/>
    <cellStyle name="Normale 149 3" xfId="1068" xr:uid="{00000000-0005-0000-0000-0000430A0000}"/>
    <cellStyle name="Normale 15" xfId="250" xr:uid="{00000000-0005-0000-0000-0000440A0000}"/>
    <cellStyle name="Normale 15 2" xfId="706" xr:uid="{00000000-0005-0000-0000-0000450A0000}"/>
    <cellStyle name="Normale 15 2 2" xfId="3626" xr:uid="{00000000-0005-0000-0000-0000460A0000}"/>
    <cellStyle name="Normale 15 2 2 2" xfId="3627" xr:uid="{00000000-0005-0000-0000-0000470A0000}"/>
    <cellStyle name="Normale 15 2 3" xfId="3628" xr:uid="{00000000-0005-0000-0000-0000480A0000}"/>
    <cellStyle name="Normale 15 2 4" xfId="3629" xr:uid="{00000000-0005-0000-0000-0000490A0000}"/>
    <cellStyle name="Normale 15 3" xfId="1069" xr:uid="{00000000-0005-0000-0000-00004A0A0000}"/>
    <cellStyle name="Normale 150" xfId="251" xr:uid="{00000000-0005-0000-0000-00004B0A0000}"/>
    <cellStyle name="Normale 150 2" xfId="707" xr:uid="{00000000-0005-0000-0000-00004C0A0000}"/>
    <cellStyle name="Normale 150 3" xfId="1070" xr:uid="{00000000-0005-0000-0000-00004D0A0000}"/>
    <cellStyle name="Normale 151" xfId="252" xr:uid="{00000000-0005-0000-0000-00004E0A0000}"/>
    <cellStyle name="Normale 151 2" xfId="708" xr:uid="{00000000-0005-0000-0000-00004F0A0000}"/>
    <cellStyle name="Normale 151 3" xfId="1071" xr:uid="{00000000-0005-0000-0000-0000500A0000}"/>
    <cellStyle name="Normale 152" xfId="253" xr:uid="{00000000-0005-0000-0000-0000510A0000}"/>
    <cellStyle name="Normale 152 2" xfId="709" xr:uid="{00000000-0005-0000-0000-0000520A0000}"/>
    <cellStyle name="Normale 152 3" xfId="1072" xr:uid="{00000000-0005-0000-0000-0000530A0000}"/>
    <cellStyle name="Normale 153" xfId="254" xr:uid="{00000000-0005-0000-0000-0000540A0000}"/>
    <cellStyle name="Normale 153 2" xfId="710" xr:uid="{00000000-0005-0000-0000-0000550A0000}"/>
    <cellStyle name="Normale 153 3" xfId="1073" xr:uid="{00000000-0005-0000-0000-0000560A0000}"/>
    <cellStyle name="Normale 154" xfId="255" xr:uid="{00000000-0005-0000-0000-0000570A0000}"/>
    <cellStyle name="Normale 154 2" xfId="711" xr:uid="{00000000-0005-0000-0000-0000580A0000}"/>
    <cellStyle name="Normale 154 3" xfId="1074" xr:uid="{00000000-0005-0000-0000-0000590A0000}"/>
    <cellStyle name="Normale 155" xfId="256" xr:uid="{00000000-0005-0000-0000-00005A0A0000}"/>
    <cellStyle name="Normale 155 2" xfId="712" xr:uid="{00000000-0005-0000-0000-00005B0A0000}"/>
    <cellStyle name="Normale 155 3" xfId="1075" xr:uid="{00000000-0005-0000-0000-00005C0A0000}"/>
    <cellStyle name="Normale 156" xfId="257" xr:uid="{00000000-0005-0000-0000-00005D0A0000}"/>
    <cellStyle name="Normale 156 2" xfId="713" xr:uid="{00000000-0005-0000-0000-00005E0A0000}"/>
    <cellStyle name="Normale 156 3" xfId="1076" xr:uid="{00000000-0005-0000-0000-00005F0A0000}"/>
    <cellStyle name="Normale 157" xfId="258" xr:uid="{00000000-0005-0000-0000-0000600A0000}"/>
    <cellStyle name="Normale 157 2" xfId="714" xr:uid="{00000000-0005-0000-0000-0000610A0000}"/>
    <cellStyle name="Normale 157 3" xfId="1077" xr:uid="{00000000-0005-0000-0000-0000620A0000}"/>
    <cellStyle name="Normale 158" xfId="259" xr:uid="{00000000-0005-0000-0000-0000630A0000}"/>
    <cellStyle name="Normale 158 2" xfId="715" xr:uid="{00000000-0005-0000-0000-0000640A0000}"/>
    <cellStyle name="Normale 158 3" xfId="1078" xr:uid="{00000000-0005-0000-0000-0000650A0000}"/>
    <cellStyle name="Normale 159" xfId="260" xr:uid="{00000000-0005-0000-0000-0000660A0000}"/>
    <cellStyle name="Normale 159 2" xfId="716" xr:uid="{00000000-0005-0000-0000-0000670A0000}"/>
    <cellStyle name="Normale 159 3" xfId="1079" xr:uid="{00000000-0005-0000-0000-0000680A0000}"/>
    <cellStyle name="Normale 16" xfId="261" xr:uid="{00000000-0005-0000-0000-0000690A0000}"/>
    <cellStyle name="Normale 16 2" xfId="717" xr:uid="{00000000-0005-0000-0000-00006A0A0000}"/>
    <cellStyle name="Normale 16 2 2" xfId="3630" xr:uid="{00000000-0005-0000-0000-00006B0A0000}"/>
    <cellStyle name="Normale 16 2 2 2" xfId="3631" xr:uid="{00000000-0005-0000-0000-00006C0A0000}"/>
    <cellStyle name="Normale 16 2 3" xfId="3632" xr:uid="{00000000-0005-0000-0000-00006D0A0000}"/>
    <cellStyle name="Normale 16 2 4" xfId="3633" xr:uid="{00000000-0005-0000-0000-00006E0A0000}"/>
    <cellStyle name="Normale 16 3" xfId="1080" xr:uid="{00000000-0005-0000-0000-00006F0A0000}"/>
    <cellStyle name="Normale 160" xfId="262" xr:uid="{00000000-0005-0000-0000-0000700A0000}"/>
    <cellStyle name="Normale 160 2" xfId="718" xr:uid="{00000000-0005-0000-0000-0000710A0000}"/>
    <cellStyle name="Normale 160 3" xfId="1081" xr:uid="{00000000-0005-0000-0000-0000720A0000}"/>
    <cellStyle name="Normale 161" xfId="263" xr:uid="{00000000-0005-0000-0000-0000730A0000}"/>
    <cellStyle name="Normale 161 2" xfId="719" xr:uid="{00000000-0005-0000-0000-0000740A0000}"/>
    <cellStyle name="Normale 161 3" xfId="1082" xr:uid="{00000000-0005-0000-0000-0000750A0000}"/>
    <cellStyle name="Normale 162" xfId="949" xr:uid="{00000000-0005-0000-0000-0000760A0000}"/>
    <cellStyle name="Normale 162 2" xfId="3634" xr:uid="{00000000-0005-0000-0000-0000770A0000}"/>
    <cellStyle name="Normale 162 2 2" xfId="3635" xr:uid="{00000000-0005-0000-0000-0000780A0000}"/>
    <cellStyle name="Normale 162 2 2 2" xfId="3636" xr:uid="{00000000-0005-0000-0000-0000790A0000}"/>
    <cellStyle name="Normale 162 2 3" xfId="3637" xr:uid="{00000000-0005-0000-0000-00007A0A0000}"/>
    <cellStyle name="Normale 162 2 3 2" xfId="3638" xr:uid="{00000000-0005-0000-0000-00007B0A0000}"/>
    <cellStyle name="Normale 162 2 4" xfId="3639" xr:uid="{00000000-0005-0000-0000-00007C0A0000}"/>
    <cellStyle name="Normale 162 2 5" xfId="3640" xr:uid="{00000000-0005-0000-0000-00007D0A0000}"/>
    <cellStyle name="Normale 162 3" xfId="3641" xr:uid="{00000000-0005-0000-0000-00007E0A0000}"/>
    <cellStyle name="Normale 162 3 2" xfId="3642" xr:uid="{00000000-0005-0000-0000-00007F0A0000}"/>
    <cellStyle name="Normale 162 3 2 2" xfId="3643" xr:uid="{00000000-0005-0000-0000-0000800A0000}"/>
    <cellStyle name="Normale 162 3 3" xfId="3644" xr:uid="{00000000-0005-0000-0000-0000810A0000}"/>
    <cellStyle name="Normale 162 3 3 2" xfId="3645" xr:uid="{00000000-0005-0000-0000-0000820A0000}"/>
    <cellStyle name="Normale 162 3 4" xfId="3646" xr:uid="{00000000-0005-0000-0000-0000830A0000}"/>
    <cellStyle name="Normale 162 3 5" xfId="3647" xr:uid="{00000000-0005-0000-0000-0000840A0000}"/>
    <cellStyle name="Normale 162 4" xfId="3648" xr:uid="{00000000-0005-0000-0000-0000850A0000}"/>
    <cellStyle name="Normale 162 4 2" xfId="3649" xr:uid="{00000000-0005-0000-0000-0000860A0000}"/>
    <cellStyle name="Normale 162 5" xfId="3650" xr:uid="{00000000-0005-0000-0000-0000870A0000}"/>
    <cellStyle name="Normale 162 5 2" xfId="3651" xr:uid="{00000000-0005-0000-0000-0000880A0000}"/>
    <cellStyle name="Normale 162 6" xfId="3652" xr:uid="{00000000-0005-0000-0000-0000890A0000}"/>
    <cellStyle name="Normale 162 7" xfId="3653" xr:uid="{00000000-0005-0000-0000-00008A0A0000}"/>
    <cellStyle name="Normale 163" xfId="1083" xr:uid="{00000000-0005-0000-0000-00008B0A0000}"/>
    <cellStyle name="Normale 163 2" xfId="3654" xr:uid="{00000000-0005-0000-0000-00008C0A0000}"/>
    <cellStyle name="Normale 163 2 2" xfId="3655" xr:uid="{00000000-0005-0000-0000-00008D0A0000}"/>
    <cellStyle name="Normale 163 3" xfId="3656" xr:uid="{00000000-0005-0000-0000-00008E0A0000}"/>
    <cellStyle name="Normale 163 3 2" xfId="3657" xr:uid="{00000000-0005-0000-0000-00008F0A0000}"/>
    <cellStyle name="Normale 163 4" xfId="3658" xr:uid="{00000000-0005-0000-0000-0000900A0000}"/>
    <cellStyle name="Normale 163 5" xfId="3659" xr:uid="{00000000-0005-0000-0000-0000910A0000}"/>
    <cellStyle name="Normale 163 6" xfId="3943" xr:uid="{00000000-0005-0000-0000-0000920A0000}"/>
    <cellStyle name="Normale 164" xfId="1084" xr:uid="{00000000-0005-0000-0000-0000930A0000}"/>
    <cellStyle name="Normale 164 2" xfId="3660" xr:uid="{00000000-0005-0000-0000-0000940A0000}"/>
    <cellStyle name="Normale 164 2 2" xfId="3661" xr:uid="{00000000-0005-0000-0000-0000950A0000}"/>
    <cellStyle name="Normale 164 3" xfId="3662" xr:uid="{00000000-0005-0000-0000-0000960A0000}"/>
    <cellStyle name="Normale 164 3 2" xfId="3663" xr:uid="{00000000-0005-0000-0000-0000970A0000}"/>
    <cellStyle name="Normale 164 4" xfId="3664" xr:uid="{00000000-0005-0000-0000-0000980A0000}"/>
    <cellStyle name="Normale 164 5" xfId="3665" xr:uid="{00000000-0005-0000-0000-0000990A0000}"/>
    <cellStyle name="Normale 165" xfId="1299" xr:uid="{00000000-0005-0000-0000-00009A0A0000}"/>
    <cellStyle name="Normale 165 2" xfId="3666" xr:uid="{00000000-0005-0000-0000-00009B0A0000}"/>
    <cellStyle name="Normale 165 2 2" xfId="3667" xr:uid="{00000000-0005-0000-0000-00009C0A0000}"/>
    <cellStyle name="Normale 165 3" xfId="3668" xr:uid="{00000000-0005-0000-0000-00009D0A0000}"/>
    <cellStyle name="Normale 165 3 2" xfId="3669" xr:uid="{00000000-0005-0000-0000-00009E0A0000}"/>
    <cellStyle name="Normale 165 4" xfId="3670" xr:uid="{00000000-0005-0000-0000-00009F0A0000}"/>
    <cellStyle name="Normale 165 5" xfId="3671" xr:uid="{00000000-0005-0000-0000-0000A00A0000}"/>
    <cellStyle name="Normale 166" xfId="1301" xr:uid="{00000000-0005-0000-0000-0000A10A0000}"/>
    <cellStyle name="Normale 166 2" xfId="3672" xr:uid="{00000000-0005-0000-0000-0000A20A0000}"/>
    <cellStyle name="Normale 166 2 2" xfId="3673" xr:uid="{00000000-0005-0000-0000-0000A30A0000}"/>
    <cellStyle name="Normale 166 3" xfId="3674" xr:uid="{00000000-0005-0000-0000-0000A40A0000}"/>
    <cellStyle name="Normale 166 3 2" xfId="3675" xr:uid="{00000000-0005-0000-0000-0000A50A0000}"/>
    <cellStyle name="Normale 166 4" xfId="3676" xr:uid="{00000000-0005-0000-0000-0000A60A0000}"/>
    <cellStyle name="Normale 166 5" xfId="3677" xr:uid="{00000000-0005-0000-0000-0000A70A0000}"/>
    <cellStyle name="Normale 167" xfId="1303" xr:uid="{00000000-0005-0000-0000-0000A80A0000}"/>
    <cellStyle name="Normale 167 2" xfId="3678" xr:uid="{00000000-0005-0000-0000-0000A90A0000}"/>
    <cellStyle name="Normale 167 2 2" xfId="3679" xr:uid="{00000000-0005-0000-0000-0000AA0A0000}"/>
    <cellStyle name="Normale 167 3" xfId="3680" xr:uid="{00000000-0005-0000-0000-0000AB0A0000}"/>
    <cellStyle name="Normale 167 3 2" xfId="3681" xr:uid="{00000000-0005-0000-0000-0000AC0A0000}"/>
    <cellStyle name="Normale 167 4" xfId="3682" xr:uid="{00000000-0005-0000-0000-0000AD0A0000}"/>
    <cellStyle name="Normale 167 5" xfId="3683" xr:uid="{00000000-0005-0000-0000-0000AE0A0000}"/>
    <cellStyle name="Normale 168" xfId="1305" xr:uid="{00000000-0005-0000-0000-0000AF0A0000}"/>
    <cellStyle name="Normale 168 2" xfId="3684" xr:uid="{00000000-0005-0000-0000-0000B00A0000}"/>
    <cellStyle name="Normale 168 2 2" xfId="3685" xr:uid="{00000000-0005-0000-0000-0000B10A0000}"/>
    <cellStyle name="Normale 168 3" xfId="3686" xr:uid="{00000000-0005-0000-0000-0000B20A0000}"/>
    <cellStyle name="Normale 168 3 2" xfId="3687" xr:uid="{00000000-0005-0000-0000-0000B30A0000}"/>
    <cellStyle name="Normale 168 4" xfId="3688" xr:uid="{00000000-0005-0000-0000-0000B40A0000}"/>
    <cellStyle name="Normale 168 5" xfId="3689" xr:uid="{00000000-0005-0000-0000-0000B50A0000}"/>
    <cellStyle name="Normale 169" xfId="1307" xr:uid="{00000000-0005-0000-0000-0000B60A0000}"/>
    <cellStyle name="Normale 169 2" xfId="3690" xr:uid="{00000000-0005-0000-0000-0000B70A0000}"/>
    <cellStyle name="Normale 169 2 2" xfId="3691" xr:uid="{00000000-0005-0000-0000-0000B80A0000}"/>
    <cellStyle name="Normale 169 3" xfId="3692" xr:uid="{00000000-0005-0000-0000-0000B90A0000}"/>
    <cellStyle name="Normale 169 3 2" xfId="3693" xr:uid="{00000000-0005-0000-0000-0000BA0A0000}"/>
    <cellStyle name="Normale 169 4" xfId="3694" xr:uid="{00000000-0005-0000-0000-0000BB0A0000}"/>
    <cellStyle name="Normale 169 5" xfId="3695" xr:uid="{00000000-0005-0000-0000-0000BC0A0000}"/>
    <cellStyle name="Normale 17" xfId="264" xr:uid="{00000000-0005-0000-0000-0000BD0A0000}"/>
    <cellStyle name="Normale 17 2" xfId="720" xr:uid="{00000000-0005-0000-0000-0000BE0A0000}"/>
    <cellStyle name="Normale 17 3" xfId="1085" xr:uid="{00000000-0005-0000-0000-0000BF0A0000}"/>
    <cellStyle name="Normale 170" xfId="1309" xr:uid="{00000000-0005-0000-0000-0000C00A0000}"/>
    <cellStyle name="Normale 170 2" xfId="3696" xr:uid="{00000000-0005-0000-0000-0000C10A0000}"/>
    <cellStyle name="Normale 170 2 2" xfId="3697" xr:uid="{00000000-0005-0000-0000-0000C20A0000}"/>
    <cellStyle name="Normale 170 3" xfId="3698" xr:uid="{00000000-0005-0000-0000-0000C30A0000}"/>
    <cellStyle name="Normale 170 3 2" xfId="3699" xr:uid="{00000000-0005-0000-0000-0000C40A0000}"/>
    <cellStyle name="Normale 170 4" xfId="3700" xr:uid="{00000000-0005-0000-0000-0000C50A0000}"/>
    <cellStyle name="Normale 170 5" xfId="3701" xr:uid="{00000000-0005-0000-0000-0000C60A0000}"/>
    <cellStyle name="Normale 171" xfId="1311" xr:uid="{00000000-0005-0000-0000-0000C70A0000}"/>
    <cellStyle name="Normale 171 2" xfId="3702" xr:uid="{00000000-0005-0000-0000-0000C80A0000}"/>
    <cellStyle name="Normale 171 2 2" xfId="3703" xr:uid="{00000000-0005-0000-0000-0000C90A0000}"/>
    <cellStyle name="Normale 171 3" xfId="3704" xr:uid="{00000000-0005-0000-0000-0000CA0A0000}"/>
    <cellStyle name="Normale 171 3 2" xfId="3705" xr:uid="{00000000-0005-0000-0000-0000CB0A0000}"/>
    <cellStyle name="Normale 171 4" xfId="3706" xr:uid="{00000000-0005-0000-0000-0000CC0A0000}"/>
    <cellStyle name="Normale 171 5" xfId="3707" xr:uid="{00000000-0005-0000-0000-0000CD0A0000}"/>
    <cellStyle name="Normale 172" xfId="1313" xr:uid="{00000000-0005-0000-0000-0000CE0A0000}"/>
    <cellStyle name="Normale 172 2" xfId="3708" xr:uid="{00000000-0005-0000-0000-0000CF0A0000}"/>
    <cellStyle name="Normale 172 2 2" xfId="3709" xr:uid="{00000000-0005-0000-0000-0000D00A0000}"/>
    <cellStyle name="Normale 172 3" xfId="3710" xr:uid="{00000000-0005-0000-0000-0000D10A0000}"/>
    <cellStyle name="Normale 172 3 2" xfId="3711" xr:uid="{00000000-0005-0000-0000-0000D20A0000}"/>
    <cellStyle name="Normale 172 4" xfId="3712" xr:uid="{00000000-0005-0000-0000-0000D30A0000}"/>
    <cellStyle name="Normale 172 5" xfId="3713" xr:uid="{00000000-0005-0000-0000-0000D40A0000}"/>
    <cellStyle name="Normale 173" xfId="1315" xr:uid="{00000000-0005-0000-0000-0000D50A0000}"/>
    <cellStyle name="Normale 173 2" xfId="3714" xr:uid="{00000000-0005-0000-0000-0000D60A0000}"/>
    <cellStyle name="Normale 173 2 2" xfId="3715" xr:uid="{00000000-0005-0000-0000-0000D70A0000}"/>
    <cellStyle name="Normale 173 3" xfId="3716" xr:uid="{00000000-0005-0000-0000-0000D80A0000}"/>
    <cellStyle name="Normale 173 3 2" xfId="3717" xr:uid="{00000000-0005-0000-0000-0000D90A0000}"/>
    <cellStyle name="Normale 173 4" xfId="3718" xr:uid="{00000000-0005-0000-0000-0000DA0A0000}"/>
    <cellStyle name="Normale 173 5" xfId="3719" xr:uid="{00000000-0005-0000-0000-0000DB0A0000}"/>
    <cellStyle name="Normale 174" xfId="1317" xr:uid="{00000000-0005-0000-0000-0000DC0A0000}"/>
    <cellStyle name="Normale 174 2" xfId="3720" xr:uid="{00000000-0005-0000-0000-0000DD0A0000}"/>
    <cellStyle name="Normale 174 2 2" xfId="3721" xr:uid="{00000000-0005-0000-0000-0000DE0A0000}"/>
    <cellStyle name="Normale 174 3" xfId="3722" xr:uid="{00000000-0005-0000-0000-0000DF0A0000}"/>
    <cellStyle name="Normale 174 3 2" xfId="3723" xr:uid="{00000000-0005-0000-0000-0000E00A0000}"/>
    <cellStyle name="Normale 174 4" xfId="3724" xr:uid="{00000000-0005-0000-0000-0000E10A0000}"/>
    <cellStyle name="Normale 174 5" xfId="3725" xr:uid="{00000000-0005-0000-0000-0000E20A0000}"/>
    <cellStyle name="Normale 175" xfId="1319" xr:uid="{00000000-0005-0000-0000-0000E30A0000}"/>
    <cellStyle name="Normale 175 2" xfId="3726" xr:uid="{00000000-0005-0000-0000-0000E40A0000}"/>
    <cellStyle name="Normale 175 2 2" xfId="3727" xr:uid="{00000000-0005-0000-0000-0000E50A0000}"/>
    <cellStyle name="Normale 175 3" xfId="3728" xr:uid="{00000000-0005-0000-0000-0000E60A0000}"/>
    <cellStyle name="Normale 175 3 2" xfId="3729" xr:uid="{00000000-0005-0000-0000-0000E70A0000}"/>
    <cellStyle name="Normale 175 4" xfId="3730" xr:uid="{00000000-0005-0000-0000-0000E80A0000}"/>
    <cellStyle name="Normale 175 5" xfId="3731" xr:uid="{00000000-0005-0000-0000-0000E90A0000}"/>
    <cellStyle name="Normale 176" xfId="1321" xr:uid="{00000000-0005-0000-0000-0000EA0A0000}"/>
    <cellStyle name="Normale 176 2" xfId="3732" xr:uid="{00000000-0005-0000-0000-0000EB0A0000}"/>
    <cellStyle name="Normale 177" xfId="1323" xr:uid="{00000000-0005-0000-0000-0000EC0A0000}"/>
    <cellStyle name="Normale 177 2" xfId="3733" xr:uid="{00000000-0005-0000-0000-0000ED0A0000}"/>
    <cellStyle name="Normale 177 2 2" xfId="3734" xr:uid="{00000000-0005-0000-0000-0000EE0A0000}"/>
    <cellStyle name="Normale 177 3" xfId="3735" xr:uid="{00000000-0005-0000-0000-0000EF0A0000}"/>
    <cellStyle name="Normale 177 4" xfId="3736" xr:uid="{00000000-0005-0000-0000-0000F00A0000}"/>
    <cellStyle name="Normale 178" xfId="1325" xr:uid="{00000000-0005-0000-0000-0000F10A0000}"/>
    <cellStyle name="Normale 179" xfId="1327" xr:uid="{00000000-0005-0000-0000-0000F20A0000}"/>
    <cellStyle name="Normale 18" xfId="265" xr:uid="{00000000-0005-0000-0000-0000F30A0000}"/>
    <cellStyle name="Normale 18 2" xfId="721" xr:uid="{00000000-0005-0000-0000-0000F40A0000}"/>
    <cellStyle name="Normale 18 3" xfId="1086" xr:uid="{00000000-0005-0000-0000-0000F50A0000}"/>
    <cellStyle name="Normale 180" xfId="1329" xr:uid="{00000000-0005-0000-0000-0000F60A0000}"/>
    <cellStyle name="Normale 181" xfId="1331" xr:uid="{00000000-0005-0000-0000-0000F70A0000}"/>
    <cellStyle name="Normale 182" xfId="1333" xr:uid="{00000000-0005-0000-0000-0000F80A0000}"/>
    <cellStyle name="Normale 182 2" xfId="3937" xr:uid="{00000000-0005-0000-0000-0000F90A0000}"/>
    <cellStyle name="Normale 183" xfId="1335" xr:uid="{00000000-0005-0000-0000-0000FA0A0000}"/>
    <cellStyle name="Normale 184" xfId="1337" xr:uid="{00000000-0005-0000-0000-0000FB0A0000}"/>
    <cellStyle name="Normale 185" xfId="1339" xr:uid="{00000000-0005-0000-0000-0000FC0A0000}"/>
    <cellStyle name="Normale 186" xfId="1341" xr:uid="{00000000-0005-0000-0000-0000FD0A0000}"/>
    <cellStyle name="Normale 187" xfId="1343" xr:uid="{00000000-0005-0000-0000-0000FE0A0000}"/>
    <cellStyle name="Normale 188" xfId="1345" xr:uid="{00000000-0005-0000-0000-0000FF0A0000}"/>
    <cellStyle name="Normale 189" xfId="1347" xr:uid="{00000000-0005-0000-0000-0000000B0000}"/>
    <cellStyle name="Normale 19" xfId="266" xr:uid="{00000000-0005-0000-0000-0000010B0000}"/>
    <cellStyle name="Normale 19 2" xfId="722" xr:uid="{00000000-0005-0000-0000-0000020B0000}"/>
    <cellStyle name="Normale 19 3" xfId="1087" xr:uid="{00000000-0005-0000-0000-0000030B0000}"/>
    <cellStyle name="Normale 190" xfId="1349" xr:uid="{00000000-0005-0000-0000-0000040B0000}"/>
    <cellStyle name="Normale 191" xfId="1351" xr:uid="{00000000-0005-0000-0000-0000050B0000}"/>
    <cellStyle name="Normale 192" xfId="1353" xr:uid="{00000000-0005-0000-0000-0000060B0000}"/>
    <cellStyle name="Normale 193" xfId="1354" xr:uid="{00000000-0005-0000-0000-0000070B0000}"/>
    <cellStyle name="Normale 194" xfId="1356" xr:uid="{00000000-0005-0000-0000-0000080B0000}"/>
    <cellStyle name="Normale 195" xfId="1358" xr:uid="{00000000-0005-0000-0000-0000090B0000}"/>
    <cellStyle name="Normale 196" xfId="1360" xr:uid="{00000000-0005-0000-0000-00000A0B0000}"/>
    <cellStyle name="Normale 197" xfId="1362" xr:uid="{00000000-0005-0000-0000-00000B0B0000}"/>
    <cellStyle name="Normale 198" xfId="1364" xr:uid="{00000000-0005-0000-0000-00000C0B0000}"/>
    <cellStyle name="Normale 199" xfId="1366" xr:uid="{00000000-0005-0000-0000-00000D0B0000}"/>
    <cellStyle name="Normale 2" xfId="267" xr:uid="{00000000-0005-0000-0000-00000E0B0000}"/>
    <cellStyle name="Normale 2 10" xfId="476" xr:uid="{00000000-0005-0000-0000-00000F0B0000}"/>
    <cellStyle name="Normale 2 11" xfId="1088" xr:uid="{00000000-0005-0000-0000-0000100B0000}"/>
    <cellStyle name="Normale 2 11 2" xfId="3941" xr:uid="{00000000-0005-0000-0000-0000110B0000}"/>
    <cellStyle name="Normale 2 12" xfId="4107" xr:uid="{85B5C610-ABC5-49A8-B9A8-4CCEE71B5DED}"/>
    <cellStyle name="Normale 2 2" xfId="268" xr:uid="{00000000-0005-0000-0000-0000120B0000}"/>
    <cellStyle name="Normale 2 2 10" xfId="1089" xr:uid="{00000000-0005-0000-0000-0000130B0000}"/>
    <cellStyle name="Normale 2 2 2" xfId="269" xr:uid="{00000000-0005-0000-0000-0000140B0000}"/>
    <cellStyle name="Normale 2 2 2 2" xfId="724" xr:uid="{00000000-0005-0000-0000-0000150B0000}"/>
    <cellStyle name="Normale 2 2 2 3" xfId="1090" xr:uid="{00000000-0005-0000-0000-0000160B0000}"/>
    <cellStyle name="Normale 2 2 3" xfId="270" xr:uid="{00000000-0005-0000-0000-0000170B0000}"/>
    <cellStyle name="Normale 2 2 3 2" xfId="725" xr:uid="{00000000-0005-0000-0000-0000180B0000}"/>
    <cellStyle name="Normale 2 2 3 2 2" xfId="3737" xr:uid="{00000000-0005-0000-0000-0000190B0000}"/>
    <cellStyle name="Normale 2 2 3 2 2 2" xfId="3738" xr:uid="{00000000-0005-0000-0000-00001A0B0000}"/>
    <cellStyle name="Normale 2 2 3 2 3" xfId="3739" xr:uid="{00000000-0005-0000-0000-00001B0B0000}"/>
    <cellStyle name="Normale 2 2 3 2 3 2" xfId="3740" xr:uid="{00000000-0005-0000-0000-00001C0B0000}"/>
    <cellStyle name="Normale 2 2 3 2 4" xfId="3741" xr:uid="{00000000-0005-0000-0000-00001D0B0000}"/>
    <cellStyle name="Normale 2 2 3 2 5" xfId="3742" xr:uid="{00000000-0005-0000-0000-00001E0B0000}"/>
    <cellStyle name="Normale 2 2 3 3" xfId="1091" xr:uid="{00000000-0005-0000-0000-00001F0B0000}"/>
    <cellStyle name="Normale 2 2 3 3 2" xfId="3743" xr:uid="{00000000-0005-0000-0000-0000200B0000}"/>
    <cellStyle name="Normale 2 2 3 3 2 2" xfId="3744" xr:uid="{00000000-0005-0000-0000-0000210B0000}"/>
    <cellStyle name="Normale 2 2 3 3 3" xfId="3745" xr:uid="{00000000-0005-0000-0000-0000220B0000}"/>
    <cellStyle name="Normale 2 2 3 3 3 2" xfId="3746" xr:uid="{00000000-0005-0000-0000-0000230B0000}"/>
    <cellStyle name="Normale 2 2 3 3 4" xfId="3747" xr:uid="{00000000-0005-0000-0000-0000240B0000}"/>
    <cellStyle name="Normale 2 2 3 3 5" xfId="3748" xr:uid="{00000000-0005-0000-0000-0000250B0000}"/>
    <cellStyle name="Normale 2 2 3 4" xfId="3749" xr:uid="{00000000-0005-0000-0000-0000260B0000}"/>
    <cellStyle name="Normale 2 2 3 5" xfId="3750" xr:uid="{00000000-0005-0000-0000-0000270B0000}"/>
    <cellStyle name="Normale 2 2 4" xfId="271" xr:uid="{00000000-0005-0000-0000-0000280B0000}"/>
    <cellStyle name="Normale 2 2 4 2" xfId="726" xr:uid="{00000000-0005-0000-0000-0000290B0000}"/>
    <cellStyle name="Normale 2 2 4 2 2" xfId="3751" xr:uid="{00000000-0005-0000-0000-00002A0B0000}"/>
    <cellStyle name="Normale 2 2 4 2 2 2" xfId="3752" xr:uid="{00000000-0005-0000-0000-00002B0B0000}"/>
    <cellStyle name="Normale 2 2 4 2 3" xfId="3753" xr:uid="{00000000-0005-0000-0000-00002C0B0000}"/>
    <cellStyle name="Normale 2 2 4 2 3 2" xfId="3754" xr:uid="{00000000-0005-0000-0000-00002D0B0000}"/>
    <cellStyle name="Normale 2 2 4 2 4" xfId="3755" xr:uid="{00000000-0005-0000-0000-00002E0B0000}"/>
    <cellStyle name="Normale 2 2 4 2 5" xfId="3756" xr:uid="{00000000-0005-0000-0000-00002F0B0000}"/>
    <cellStyle name="Normale 2 2 4 3" xfId="1092" xr:uid="{00000000-0005-0000-0000-0000300B0000}"/>
    <cellStyle name="Normale 2 2 4 3 2" xfId="3757" xr:uid="{00000000-0005-0000-0000-0000310B0000}"/>
    <cellStyle name="Normale 2 2 4 3 2 2" xfId="3758" xr:uid="{00000000-0005-0000-0000-0000320B0000}"/>
    <cellStyle name="Normale 2 2 4 3 3" xfId="3759" xr:uid="{00000000-0005-0000-0000-0000330B0000}"/>
    <cellStyle name="Normale 2 2 4 3 3 2" xfId="3760" xr:uid="{00000000-0005-0000-0000-0000340B0000}"/>
    <cellStyle name="Normale 2 2 4 3 4" xfId="3761" xr:uid="{00000000-0005-0000-0000-0000350B0000}"/>
    <cellStyle name="Normale 2 2 4 3 5" xfId="3762" xr:uid="{00000000-0005-0000-0000-0000360B0000}"/>
    <cellStyle name="Normale 2 2 4 4" xfId="3763" xr:uid="{00000000-0005-0000-0000-0000370B0000}"/>
    <cellStyle name="Normale 2 2 4 5" xfId="3764" xr:uid="{00000000-0005-0000-0000-0000380B0000}"/>
    <cellStyle name="Normale 2 2 5" xfId="272" xr:uid="{00000000-0005-0000-0000-0000390B0000}"/>
    <cellStyle name="Normale 2 2 5 2" xfId="727" xr:uid="{00000000-0005-0000-0000-00003A0B0000}"/>
    <cellStyle name="Normale 2 2 5 2 2" xfId="3765" xr:uid="{00000000-0005-0000-0000-00003B0B0000}"/>
    <cellStyle name="Normale 2 2 5 2 2 2" xfId="3766" xr:uid="{00000000-0005-0000-0000-00003C0B0000}"/>
    <cellStyle name="Normale 2 2 5 2 3" xfId="3767" xr:uid="{00000000-0005-0000-0000-00003D0B0000}"/>
    <cellStyle name="Normale 2 2 5 2 3 2" xfId="3768" xr:uid="{00000000-0005-0000-0000-00003E0B0000}"/>
    <cellStyle name="Normale 2 2 5 2 4" xfId="3769" xr:uid="{00000000-0005-0000-0000-00003F0B0000}"/>
    <cellStyle name="Normale 2 2 5 2 5" xfId="3770" xr:uid="{00000000-0005-0000-0000-0000400B0000}"/>
    <cellStyle name="Normale 2 2 5 3" xfId="1093" xr:uid="{00000000-0005-0000-0000-0000410B0000}"/>
    <cellStyle name="Normale 2 2 5 3 2" xfId="3771" xr:uid="{00000000-0005-0000-0000-0000420B0000}"/>
    <cellStyle name="Normale 2 2 5 3 2 2" xfId="3772" xr:uid="{00000000-0005-0000-0000-0000430B0000}"/>
    <cellStyle name="Normale 2 2 5 3 3" xfId="3773" xr:uid="{00000000-0005-0000-0000-0000440B0000}"/>
    <cellStyle name="Normale 2 2 5 3 3 2" xfId="3774" xr:uid="{00000000-0005-0000-0000-0000450B0000}"/>
    <cellStyle name="Normale 2 2 5 3 4" xfId="3775" xr:uid="{00000000-0005-0000-0000-0000460B0000}"/>
    <cellStyle name="Normale 2 2 5 3 5" xfId="3776" xr:uid="{00000000-0005-0000-0000-0000470B0000}"/>
    <cellStyle name="Normale 2 2 5 4" xfId="3777" xr:uid="{00000000-0005-0000-0000-0000480B0000}"/>
    <cellStyle name="Normale 2 2 5 5" xfId="3778" xr:uid="{00000000-0005-0000-0000-0000490B0000}"/>
    <cellStyle name="Normale 2 2 6" xfId="273" xr:uid="{00000000-0005-0000-0000-00004A0B0000}"/>
    <cellStyle name="Normale 2 2 6 2" xfId="728" xr:uid="{00000000-0005-0000-0000-00004B0B0000}"/>
    <cellStyle name="Normale 2 2 6 2 2" xfId="3779" xr:uid="{00000000-0005-0000-0000-00004C0B0000}"/>
    <cellStyle name="Normale 2 2 6 2 2 2" xfId="3780" xr:uid="{00000000-0005-0000-0000-00004D0B0000}"/>
    <cellStyle name="Normale 2 2 6 2 3" xfId="3781" xr:uid="{00000000-0005-0000-0000-00004E0B0000}"/>
    <cellStyle name="Normale 2 2 6 2 3 2" xfId="3782" xr:uid="{00000000-0005-0000-0000-00004F0B0000}"/>
    <cellStyle name="Normale 2 2 6 2 4" xfId="3783" xr:uid="{00000000-0005-0000-0000-0000500B0000}"/>
    <cellStyle name="Normale 2 2 6 2 5" xfId="3784" xr:uid="{00000000-0005-0000-0000-0000510B0000}"/>
    <cellStyle name="Normale 2 2 6 3" xfId="1094" xr:uid="{00000000-0005-0000-0000-0000520B0000}"/>
    <cellStyle name="Normale 2 2 6 3 2" xfId="3785" xr:uid="{00000000-0005-0000-0000-0000530B0000}"/>
    <cellStyle name="Normale 2 2 6 3 2 2" xfId="3786" xr:uid="{00000000-0005-0000-0000-0000540B0000}"/>
    <cellStyle name="Normale 2 2 6 3 3" xfId="3787" xr:uid="{00000000-0005-0000-0000-0000550B0000}"/>
    <cellStyle name="Normale 2 2 6 3 3 2" xfId="3788" xr:uid="{00000000-0005-0000-0000-0000560B0000}"/>
    <cellStyle name="Normale 2 2 6 3 4" xfId="3789" xr:uid="{00000000-0005-0000-0000-0000570B0000}"/>
    <cellStyle name="Normale 2 2 6 3 5" xfId="3790" xr:uid="{00000000-0005-0000-0000-0000580B0000}"/>
    <cellStyle name="Normale 2 2 6 4" xfId="3791" xr:uid="{00000000-0005-0000-0000-0000590B0000}"/>
    <cellStyle name="Normale 2 2 6 5" xfId="3792" xr:uid="{00000000-0005-0000-0000-00005A0B0000}"/>
    <cellStyle name="Normale 2 2 7" xfId="274" xr:uid="{00000000-0005-0000-0000-00005B0B0000}"/>
    <cellStyle name="Normale 2 2 7 2" xfId="729" xr:uid="{00000000-0005-0000-0000-00005C0B0000}"/>
    <cellStyle name="Normale 2 2 7 2 2" xfId="3793" xr:uid="{00000000-0005-0000-0000-00005D0B0000}"/>
    <cellStyle name="Normale 2 2 7 2 2 2" xfId="3794" xr:uid="{00000000-0005-0000-0000-00005E0B0000}"/>
    <cellStyle name="Normale 2 2 7 2 3" xfId="3795" xr:uid="{00000000-0005-0000-0000-00005F0B0000}"/>
    <cellStyle name="Normale 2 2 7 2 3 2" xfId="3796" xr:uid="{00000000-0005-0000-0000-0000600B0000}"/>
    <cellStyle name="Normale 2 2 7 2 4" xfId="3797" xr:uid="{00000000-0005-0000-0000-0000610B0000}"/>
    <cellStyle name="Normale 2 2 7 2 5" xfId="3798" xr:uid="{00000000-0005-0000-0000-0000620B0000}"/>
    <cellStyle name="Normale 2 2 7 3" xfId="1095" xr:uid="{00000000-0005-0000-0000-0000630B0000}"/>
    <cellStyle name="Normale 2 2 7 3 2" xfId="3799" xr:uid="{00000000-0005-0000-0000-0000640B0000}"/>
    <cellStyle name="Normale 2 2 7 3 2 2" xfId="3800" xr:uid="{00000000-0005-0000-0000-0000650B0000}"/>
    <cellStyle name="Normale 2 2 7 3 3" xfId="3801" xr:uid="{00000000-0005-0000-0000-0000660B0000}"/>
    <cellStyle name="Normale 2 2 7 3 3 2" xfId="3802" xr:uid="{00000000-0005-0000-0000-0000670B0000}"/>
    <cellStyle name="Normale 2 2 7 3 4" xfId="3803" xr:uid="{00000000-0005-0000-0000-0000680B0000}"/>
    <cellStyle name="Normale 2 2 7 3 5" xfId="3804" xr:uid="{00000000-0005-0000-0000-0000690B0000}"/>
    <cellStyle name="Normale 2 2 7 4" xfId="3805" xr:uid="{00000000-0005-0000-0000-00006A0B0000}"/>
    <cellStyle name="Normale 2 2 7 5" xfId="3806" xr:uid="{00000000-0005-0000-0000-00006B0B0000}"/>
    <cellStyle name="Normale 2 2 8" xfId="275" xr:uid="{00000000-0005-0000-0000-00006C0B0000}"/>
    <cellStyle name="Normale 2 2 8 2" xfId="484" xr:uid="{00000000-0005-0000-0000-00006D0B0000}"/>
    <cellStyle name="Normale 2 2 8 3" xfId="1096" xr:uid="{00000000-0005-0000-0000-00006E0B0000}"/>
    <cellStyle name="Normale 2 2 8_COSTO DIPENDENTE" xfId="485" xr:uid="{00000000-0005-0000-0000-00006F0B0000}"/>
    <cellStyle name="Normale 2 2 9" xfId="723" xr:uid="{00000000-0005-0000-0000-0000700B0000}"/>
    <cellStyle name="Normale 2 2_TotCespiti" xfId="471" xr:uid="{00000000-0005-0000-0000-0000710B0000}"/>
    <cellStyle name="Normale 2 3" xfId="276" xr:uid="{00000000-0005-0000-0000-0000720B0000}"/>
    <cellStyle name="Normale 2 3 2" xfId="486" xr:uid="{00000000-0005-0000-0000-0000730B0000}"/>
    <cellStyle name="Normale 2 3 3" xfId="1097" xr:uid="{00000000-0005-0000-0000-0000740B0000}"/>
    <cellStyle name="Normale 2 3_COSTO DIPENDENTE" xfId="487" xr:uid="{00000000-0005-0000-0000-0000750B0000}"/>
    <cellStyle name="Normale 2 4" xfId="277" xr:uid="{00000000-0005-0000-0000-0000760B0000}"/>
    <cellStyle name="Normale 2 4 2" xfId="278" xr:uid="{00000000-0005-0000-0000-0000770B0000}"/>
    <cellStyle name="Normale 2 4 2 2" xfId="731" xr:uid="{00000000-0005-0000-0000-0000780B0000}"/>
    <cellStyle name="Normale 2 4 2 3" xfId="1098" xr:uid="{00000000-0005-0000-0000-0000790B0000}"/>
    <cellStyle name="Normale 2 4 3" xfId="730" xr:uid="{00000000-0005-0000-0000-00007A0B0000}"/>
    <cellStyle name="Normale 2 4 4" xfId="1099" xr:uid="{00000000-0005-0000-0000-00007B0B0000}"/>
    <cellStyle name="Normale 2 4_TotCespiti" xfId="472" xr:uid="{00000000-0005-0000-0000-00007C0B0000}"/>
    <cellStyle name="Normale 2 5" xfId="279" xr:uid="{00000000-0005-0000-0000-00007D0B0000}"/>
    <cellStyle name="Normale 2 5 2" xfId="732" xr:uid="{00000000-0005-0000-0000-00007E0B0000}"/>
    <cellStyle name="Normale 2 5 3" xfId="1100" xr:uid="{00000000-0005-0000-0000-00007F0B0000}"/>
    <cellStyle name="Normale 2 6" xfId="280" xr:uid="{00000000-0005-0000-0000-0000800B0000}"/>
    <cellStyle name="Normale 2 6 2" xfId="733" xr:uid="{00000000-0005-0000-0000-0000810B0000}"/>
    <cellStyle name="Normale 2 6 3" xfId="1101" xr:uid="{00000000-0005-0000-0000-0000820B0000}"/>
    <cellStyle name="Normale 2 7" xfId="281" xr:uid="{00000000-0005-0000-0000-0000830B0000}"/>
    <cellStyle name="Normale 2 7 2" xfId="734" xr:uid="{00000000-0005-0000-0000-0000840B0000}"/>
    <cellStyle name="Normale 2 7 3" xfId="1102" xr:uid="{00000000-0005-0000-0000-0000850B0000}"/>
    <cellStyle name="Normale 2 8" xfId="282" xr:uid="{00000000-0005-0000-0000-0000860B0000}"/>
    <cellStyle name="Normale 2 8 2" xfId="735" xr:uid="{00000000-0005-0000-0000-0000870B0000}"/>
    <cellStyle name="Normale 2 8 3" xfId="1103" xr:uid="{00000000-0005-0000-0000-0000880B0000}"/>
    <cellStyle name="Normale 2 9" xfId="283" xr:uid="{00000000-0005-0000-0000-0000890B0000}"/>
    <cellStyle name="Normale 2 9 2" xfId="736" xr:uid="{00000000-0005-0000-0000-00008A0B0000}"/>
    <cellStyle name="Normale 2 9 3" xfId="1104" xr:uid="{00000000-0005-0000-0000-00008B0B0000}"/>
    <cellStyle name="Normale 2 9 4" xfId="3939" xr:uid="{00000000-0005-0000-0000-00008C0B0000}"/>
    <cellStyle name="Normale 2_AAA - listini clienti MOD PAOLO ridotto2" xfId="488" xr:uid="{00000000-0005-0000-0000-00008D0B0000}"/>
    <cellStyle name="Normale 20" xfId="284" xr:uid="{00000000-0005-0000-0000-00008E0B0000}"/>
    <cellStyle name="Normale 20 2" xfId="737" xr:uid="{00000000-0005-0000-0000-00008F0B0000}"/>
    <cellStyle name="Normale 20 3" xfId="1105" xr:uid="{00000000-0005-0000-0000-0000900B0000}"/>
    <cellStyle name="Normale 200" xfId="1368" xr:uid="{00000000-0005-0000-0000-0000910B0000}"/>
    <cellStyle name="Normale 201" xfId="1370" xr:uid="{00000000-0005-0000-0000-0000920B0000}"/>
    <cellStyle name="Normale 202" xfId="1372" xr:uid="{00000000-0005-0000-0000-0000930B0000}"/>
    <cellStyle name="Normale 203" xfId="1374" xr:uid="{00000000-0005-0000-0000-0000940B0000}"/>
    <cellStyle name="Normale 204" xfId="1376" xr:uid="{00000000-0005-0000-0000-0000950B0000}"/>
    <cellStyle name="Normale 205" xfId="1378" xr:uid="{00000000-0005-0000-0000-0000960B0000}"/>
    <cellStyle name="Normale 206" xfId="1380" xr:uid="{00000000-0005-0000-0000-0000970B0000}"/>
    <cellStyle name="Normale 207" xfId="1382" xr:uid="{00000000-0005-0000-0000-0000980B0000}"/>
    <cellStyle name="Normale 208" xfId="1384" xr:uid="{00000000-0005-0000-0000-0000990B0000}"/>
    <cellStyle name="Normale 209" xfId="1386" xr:uid="{00000000-0005-0000-0000-00009A0B0000}"/>
    <cellStyle name="Normale 21" xfId="285" xr:uid="{00000000-0005-0000-0000-00009B0B0000}"/>
    <cellStyle name="Normale 21 2" xfId="738" xr:uid="{00000000-0005-0000-0000-00009C0B0000}"/>
    <cellStyle name="Normale 21 3" xfId="1106" xr:uid="{00000000-0005-0000-0000-00009D0B0000}"/>
    <cellStyle name="Normale 210" xfId="1388" xr:uid="{00000000-0005-0000-0000-00009E0B0000}"/>
    <cellStyle name="Normale 211" xfId="1390" xr:uid="{00000000-0005-0000-0000-00009F0B0000}"/>
    <cellStyle name="Normale 212" xfId="1392" xr:uid="{00000000-0005-0000-0000-0000A00B0000}"/>
    <cellStyle name="Normale 213" xfId="1394" xr:uid="{00000000-0005-0000-0000-0000A10B0000}"/>
    <cellStyle name="Normale 214" xfId="1396" xr:uid="{00000000-0005-0000-0000-0000A20B0000}"/>
    <cellStyle name="Normale 215" xfId="1398" xr:uid="{00000000-0005-0000-0000-0000A30B0000}"/>
    <cellStyle name="Normale 216" xfId="1400" xr:uid="{00000000-0005-0000-0000-0000A40B0000}"/>
    <cellStyle name="Normale 217" xfId="1402" xr:uid="{00000000-0005-0000-0000-0000A50B0000}"/>
    <cellStyle name="Normale 218" xfId="1404" xr:uid="{00000000-0005-0000-0000-0000A60B0000}"/>
    <cellStyle name="Normale 219" xfId="1406" xr:uid="{00000000-0005-0000-0000-0000A70B0000}"/>
    <cellStyle name="Normale 22" xfId="286" xr:uid="{00000000-0005-0000-0000-0000A80B0000}"/>
    <cellStyle name="Normale 22 2" xfId="739" xr:uid="{00000000-0005-0000-0000-0000A90B0000}"/>
    <cellStyle name="Normale 22 3" xfId="1107" xr:uid="{00000000-0005-0000-0000-0000AA0B0000}"/>
    <cellStyle name="Normale 220" xfId="1" xr:uid="{00000000-0005-0000-0000-0000AB0B0000}"/>
    <cellStyle name="Normale 221" xfId="1409" xr:uid="{00000000-0005-0000-0000-0000AC0B0000}"/>
    <cellStyle name="Normale 222" xfId="1413" xr:uid="{00000000-0005-0000-0000-0000AD0B0000}"/>
    <cellStyle name="Normale 223" xfId="1410" xr:uid="{00000000-0005-0000-0000-0000AE0B0000}"/>
    <cellStyle name="Normale 224" xfId="1416" xr:uid="{00000000-0005-0000-0000-0000AF0B0000}"/>
    <cellStyle name="Normale 225" xfId="3944" xr:uid="{00000000-0005-0000-0000-0000B00B0000}"/>
    <cellStyle name="Normale 226" xfId="3960" xr:uid="{00000000-0005-0000-0000-0000B10B0000}"/>
    <cellStyle name="Normale 227" xfId="4102" xr:uid="{00000000-0005-0000-0000-0000B20B0000}"/>
    <cellStyle name="Normale 228" xfId="4104" xr:uid="{00000000-0005-0000-0000-0000B30B0000}"/>
    <cellStyle name="Normale 23" xfId="287" xr:uid="{00000000-0005-0000-0000-0000B40B0000}"/>
    <cellStyle name="Normale 23 2" xfId="740" xr:uid="{00000000-0005-0000-0000-0000B50B0000}"/>
    <cellStyle name="Normale 23 3" xfId="1108" xr:uid="{00000000-0005-0000-0000-0000B60B0000}"/>
    <cellStyle name="Normale 24" xfId="288" xr:uid="{00000000-0005-0000-0000-0000B70B0000}"/>
    <cellStyle name="Normale 24 2" xfId="741" xr:uid="{00000000-0005-0000-0000-0000B80B0000}"/>
    <cellStyle name="Normale 24 3" xfId="1109" xr:uid="{00000000-0005-0000-0000-0000B90B0000}"/>
    <cellStyle name="Normale 25" xfId="289" xr:uid="{00000000-0005-0000-0000-0000BA0B0000}"/>
    <cellStyle name="Normale 25 2" xfId="742" xr:uid="{00000000-0005-0000-0000-0000BB0B0000}"/>
    <cellStyle name="Normale 25 3" xfId="1110" xr:uid="{00000000-0005-0000-0000-0000BC0B0000}"/>
    <cellStyle name="Normale 26" xfId="290" xr:uid="{00000000-0005-0000-0000-0000BD0B0000}"/>
    <cellStyle name="Normale 26 2" xfId="743" xr:uid="{00000000-0005-0000-0000-0000BE0B0000}"/>
    <cellStyle name="Normale 26 3" xfId="1111" xr:uid="{00000000-0005-0000-0000-0000BF0B0000}"/>
    <cellStyle name="Normale 27" xfId="291" xr:uid="{00000000-0005-0000-0000-0000C00B0000}"/>
    <cellStyle name="Normale 27 2" xfId="744" xr:uid="{00000000-0005-0000-0000-0000C10B0000}"/>
    <cellStyle name="Normale 27 3" xfId="1112" xr:uid="{00000000-0005-0000-0000-0000C20B0000}"/>
    <cellStyle name="Normale 28" xfId="292" xr:uid="{00000000-0005-0000-0000-0000C30B0000}"/>
    <cellStyle name="Normale 28 2" xfId="745" xr:uid="{00000000-0005-0000-0000-0000C40B0000}"/>
    <cellStyle name="Normale 28 3" xfId="1113" xr:uid="{00000000-0005-0000-0000-0000C50B0000}"/>
    <cellStyle name="Normale 29" xfId="293" xr:uid="{00000000-0005-0000-0000-0000C60B0000}"/>
    <cellStyle name="Normale 29 2" xfId="746" xr:uid="{00000000-0005-0000-0000-0000C70B0000}"/>
    <cellStyle name="Normale 29 3" xfId="1114" xr:uid="{00000000-0005-0000-0000-0000C80B0000}"/>
    <cellStyle name="Normale 3" xfId="294" xr:uid="{00000000-0005-0000-0000-0000C90B0000}"/>
    <cellStyle name="Normale 3 2" xfId="295" xr:uid="{00000000-0005-0000-0000-0000CA0B0000}"/>
    <cellStyle name="Normale 3 2 2" xfId="748" xr:uid="{00000000-0005-0000-0000-0000CB0B0000}"/>
    <cellStyle name="Normale 3 2 3" xfId="1115" xr:uid="{00000000-0005-0000-0000-0000CC0B0000}"/>
    <cellStyle name="Normale 3 3" xfId="296" xr:uid="{00000000-0005-0000-0000-0000CD0B0000}"/>
    <cellStyle name="Normale 3 3 2" xfId="749" xr:uid="{00000000-0005-0000-0000-0000CE0B0000}"/>
    <cellStyle name="Normale 3 3 3" xfId="1116" xr:uid="{00000000-0005-0000-0000-0000CF0B0000}"/>
    <cellStyle name="Normale 3 4" xfId="747" xr:uid="{00000000-0005-0000-0000-0000D00B0000}"/>
    <cellStyle name="Normale 3 5" xfId="1117" xr:uid="{00000000-0005-0000-0000-0000D10B0000}"/>
    <cellStyle name="Normale 3 6" xfId="3945" xr:uid="{00000000-0005-0000-0000-0000D20B0000}"/>
    <cellStyle name="Normale 3_Bilancio" xfId="3936" xr:uid="{00000000-0005-0000-0000-0000D30B0000}"/>
    <cellStyle name="Normale 30" xfId="297" xr:uid="{00000000-0005-0000-0000-0000D40B0000}"/>
    <cellStyle name="Normale 30 2" xfId="750" xr:uid="{00000000-0005-0000-0000-0000D50B0000}"/>
    <cellStyle name="Normale 30 3" xfId="1118" xr:uid="{00000000-0005-0000-0000-0000D60B0000}"/>
    <cellStyle name="Normale 31" xfId="298" xr:uid="{00000000-0005-0000-0000-0000D70B0000}"/>
    <cellStyle name="Normale 31 2" xfId="751" xr:uid="{00000000-0005-0000-0000-0000D80B0000}"/>
    <cellStyle name="Normale 31 3" xfId="1119" xr:uid="{00000000-0005-0000-0000-0000D90B0000}"/>
    <cellStyle name="Normale 32" xfId="299" xr:uid="{00000000-0005-0000-0000-0000DA0B0000}"/>
    <cellStyle name="Normale 32 2" xfId="752" xr:uid="{00000000-0005-0000-0000-0000DB0B0000}"/>
    <cellStyle name="Normale 32 3" xfId="1120" xr:uid="{00000000-0005-0000-0000-0000DC0B0000}"/>
    <cellStyle name="Normale 33" xfId="300" xr:uid="{00000000-0005-0000-0000-0000DD0B0000}"/>
    <cellStyle name="Normale 33 2" xfId="753" xr:uid="{00000000-0005-0000-0000-0000DE0B0000}"/>
    <cellStyle name="Normale 33 3" xfId="1121" xr:uid="{00000000-0005-0000-0000-0000DF0B0000}"/>
    <cellStyle name="Normale 34" xfId="301" xr:uid="{00000000-0005-0000-0000-0000E00B0000}"/>
    <cellStyle name="Normale 34 2" xfId="754" xr:uid="{00000000-0005-0000-0000-0000E10B0000}"/>
    <cellStyle name="Normale 34 3" xfId="1122" xr:uid="{00000000-0005-0000-0000-0000E20B0000}"/>
    <cellStyle name="Normale 35" xfId="302" xr:uid="{00000000-0005-0000-0000-0000E30B0000}"/>
    <cellStyle name="Normale 35 2" xfId="755" xr:uid="{00000000-0005-0000-0000-0000E40B0000}"/>
    <cellStyle name="Normale 35 3" xfId="1123" xr:uid="{00000000-0005-0000-0000-0000E50B0000}"/>
    <cellStyle name="Normale 36" xfId="303" xr:uid="{00000000-0005-0000-0000-0000E60B0000}"/>
    <cellStyle name="Normale 36 2" xfId="756" xr:uid="{00000000-0005-0000-0000-0000E70B0000}"/>
    <cellStyle name="Normale 36 3" xfId="1124" xr:uid="{00000000-0005-0000-0000-0000E80B0000}"/>
    <cellStyle name="Normale 37" xfId="304" xr:uid="{00000000-0005-0000-0000-0000E90B0000}"/>
    <cellStyle name="Normale 37 2" xfId="757" xr:uid="{00000000-0005-0000-0000-0000EA0B0000}"/>
    <cellStyle name="Normale 37 3" xfId="1125" xr:uid="{00000000-0005-0000-0000-0000EB0B0000}"/>
    <cellStyle name="Normale 38" xfId="305" xr:uid="{00000000-0005-0000-0000-0000EC0B0000}"/>
    <cellStyle name="Normale 38 2" xfId="758" xr:uid="{00000000-0005-0000-0000-0000ED0B0000}"/>
    <cellStyle name="Normale 38 3" xfId="1126" xr:uid="{00000000-0005-0000-0000-0000EE0B0000}"/>
    <cellStyle name="Normale 39" xfId="306" xr:uid="{00000000-0005-0000-0000-0000EF0B0000}"/>
    <cellStyle name="Normale 39 2" xfId="759" xr:uid="{00000000-0005-0000-0000-0000F00B0000}"/>
    <cellStyle name="Normale 39 3" xfId="1127" xr:uid="{00000000-0005-0000-0000-0000F10B0000}"/>
    <cellStyle name="Normale 4" xfId="307" xr:uid="{00000000-0005-0000-0000-0000F20B0000}"/>
    <cellStyle name="Normale 4 2" xfId="308" xr:uid="{00000000-0005-0000-0000-0000F30B0000}"/>
    <cellStyle name="Normale 4 2 2" xfId="761" xr:uid="{00000000-0005-0000-0000-0000F40B0000}"/>
    <cellStyle name="Normale 4 2 3" xfId="1128" xr:uid="{00000000-0005-0000-0000-0000F50B0000}"/>
    <cellStyle name="Normale 4 3" xfId="309" xr:uid="{00000000-0005-0000-0000-0000F60B0000}"/>
    <cellStyle name="Normale 4 4" xfId="310" xr:uid="{00000000-0005-0000-0000-0000F70B0000}"/>
    <cellStyle name="Normale 4 5" xfId="311" xr:uid="{00000000-0005-0000-0000-0000F80B0000}"/>
    <cellStyle name="Normale 4 5 2" xfId="762" xr:uid="{00000000-0005-0000-0000-0000F90B0000}"/>
    <cellStyle name="Normale 4 5 3" xfId="887" xr:uid="{00000000-0005-0000-0000-0000FA0B0000}"/>
    <cellStyle name="Normale 4 6" xfId="760" xr:uid="{00000000-0005-0000-0000-0000FB0B0000}"/>
    <cellStyle name="Normale 4 7" xfId="1129" xr:uid="{00000000-0005-0000-0000-0000FC0B0000}"/>
    <cellStyle name="Normale 4 8" xfId="2086" xr:uid="{00000000-0005-0000-0000-0000FD0B0000}"/>
    <cellStyle name="Normale 4_201112 (2)" xfId="312" xr:uid="{00000000-0005-0000-0000-0000FE0B0000}"/>
    <cellStyle name="Normale 40" xfId="313" xr:uid="{00000000-0005-0000-0000-0000FF0B0000}"/>
    <cellStyle name="Normale 40 2" xfId="763" xr:uid="{00000000-0005-0000-0000-0000000C0000}"/>
    <cellStyle name="Normale 40 3" xfId="1130" xr:uid="{00000000-0005-0000-0000-0000010C0000}"/>
    <cellStyle name="Normale 41" xfId="314" xr:uid="{00000000-0005-0000-0000-0000020C0000}"/>
    <cellStyle name="Normale 41 2" xfId="764" xr:uid="{00000000-0005-0000-0000-0000030C0000}"/>
    <cellStyle name="Normale 41 2 2" xfId="3807" xr:uid="{00000000-0005-0000-0000-0000040C0000}"/>
    <cellStyle name="Normale 41 2 2 2" xfId="3808" xr:uid="{00000000-0005-0000-0000-0000050C0000}"/>
    <cellStyle name="Normale 41 2 3" xfId="3809" xr:uid="{00000000-0005-0000-0000-0000060C0000}"/>
    <cellStyle name="Normale 41 2 3 2" xfId="3810" xr:uid="{00000000-0005-0000-0000-0000070C0000}"/>
    <cellStyle name="Normale 41 2 4" xfId="3811" xr:uid="{00000000-0005-0000-0000-0000080C0000}"/>
    <cellStyle name="Normale 41 2 5" xfId="3812" xr:uid="{00000000-0005-0000-0000-0000090C0000}"/>
    <cellStyle name="Normale 41 3" xfId="1131" xr:uid="{00000000-0005-0000-0000-00000A0C0000}"/>
    <cellStyle name="Normale 41 3 2" xfId="3813" xr:uid="{00000000-0005-0000-0000-00000B0C0000}"/>
    <cellStyle name="Normale 41 3 2 2" xfId="3814" xr:uid="{00000000-0005-0000-0000-00000C0C0000}"/>
    <cellStyle name="Normale 41 3 3" xfId="3815" xr:uid="{00000000-0005-0000-0000-00000D0C0000}"/>
    <cellStyle name="Normale 41 3 3 2" xfId="3816" xr:uid="{00000000-0005-0000-0000-00000E0C0000}"/>
    <cellStyle name="Normale 41 3 4" xfId="3817" xr:uid="{00000000-0005-0000-0000-00000F0C0000}"/>
    <cellStyle name="Normale 41 3 5" xfId="3818" xr:uid="{00000000-0005-0000-0000-0000100C0000}"/>
    <cellStyle name="Normale 42" xfId="315" xr:uid="{00000000-0005-0000-0000-0000110C0000}"/>
    <cellStyle name="Normale 42 2" xfId="765" xr:uid="{00000000-0005-0000-0000-0000120C0000}"/>
    <cellStyle name="Normale 42 3" xfId="1132" xr:uid="{00000000-0005-0000-0000-0000130C0000}"/>
    <cellStyle name="Normale 43" xfId="316" xr:uid="{00000000-0005-0000-0000-0000140C0000}"/>
    <cellStyle name="Normale 43 2" xfId="766" xr:uid="{00000000-0005-0000-0000-0000150C0000}"/>
    <cellStyle name="Normale 43 3" xfId="1133" xr:uid="{00000000-0005-0000-0000-0000160C0000}"/>
    <cellStyle name="Normale 44" xfId="317" xr:uid="{00000000-0005-0000-0000-0000170C0000}"/>
    <cellStyle name="Normale 44 2" xfId="767" xr:uid="{00000000-0005-0000-0000-0000180C0000}"/>
    <cellStyle name="Normale 44 3" xfId="1134" xr:uid="{00000000-0005-0000-0000-0000190C0000}"/>
    <cellStyle name="Normale 45" xfId="318" xr:uid="{00000000-0005-0000-0000-00001A0C0000}"/>
    <cellStyle name="Normale 45 2" xfId="768" xr:uid="{00000000-0005-0000-0000-00001B0C0000}"/>
    <cellStyle name="Normale 45 3" xfId="1135" xr:uid="{00000000-0005-0000-0000-00001C0C0000}"/>
    <cellStyle name="Normale 46" xfId="319" xr:uid="{00000000-0005-0000-0000-00001D0C0000}"/>
    <cellStyle name="Normale 46 2" xfId="769" xr:uid="{00000000-0005-0000-0000-00001E0C0000}"/>
    <cellStyle name="Normale 46 3" xfId="1136" xr:uid="{00000000-0005-0000-0000-00001F0C0000}"/>
    <cellStyle name="Normale 47" xfId="320" xr:uid="{00000000-0005-0000-0000-0000200C0000}"/>
    <cellStyle name="Normale 47 2" xfId="770" xr:uid="{00000000-0005-0000-0000-0000210C0000}"/>
    <cellStyle name="Normale 47 3" xfId="1137" xr:uid="{00000000-0005-0000-0000-0000220C0000}"/>
    <cellStyle name="Normale 48" xfId="321" xr:uid="{00000000-0005-0000-0000-0000230C0000}"/>
    <cellStyle name="Normale 48 2" xfId="771" xr:uid="{00000000-0005-0000-0000-0000240C0000}"/>
    <cellStyle name="Normale 48 3" xfId="1138" xr:uid="{00000000-0005-0000-0000-0000250C0000}"/>
    <cellStyle name="Normale 49" xfId="322" xr:uid="{00000000-0005-0000-0000-0000260C0000}"/>
    <cellStyle name="Normale 49 2" xfId="772" xr:uid="{00000000-0005-0000-0000-0000270C0000}"/>
    <cellStyle name="Normale 49 3" xfId="1139" xr:uid="{00000000-0005-0000-0000-0000280C0000}"/>
    <cellStyle name="Normale 5" xfId="323" xr:uid="{00000000-0005-0000-0000-0000290C0000}"/>
    <cellStyle name="Normale 5 2" xfId="324" xr:uid="{00000000-0005-0000-0000-00002A0C0000}"/>
    <cellStyle name="Normale 5 2 2" xfId="773" xr:uid="{00000000-0005-0000-0000-00002B0C0000}"/>
    <cellStyle name="Normale 5 2 3" xfId="1140" xr:uid="{00000000-0005-0000-0000-00002C0C0000}"/>
    <cellStyle name="Normale 5 3" xfId="489" xr:uid="{00000000-0005-0000-0000-00002D0C0000}"/>
    <cellStyle name="Normale 5 4" xfId="1141" xr:uid="{00000000-0005-0000-0000-00002E0C0000}"/>
    <cellStyle name="Normale 5 5" xfId="4002" xr:uid="{00000000-0005-0000-0000-00002F0C0000}"/>
    <cellStyle name="Normale 5 5 2" xfId="4101" xr:uid="{00000000-0005-0000-0000-0000300C0000}"/>
    <cellStyle name="Normale 5_BusinessplanProvaVer03" xfId="3819" xr:uid="{00000000-0005-0000-0000-0000310C0000}"/>
    <cellStyle name="Normale 50" xfId="325" xr:uid="{00000000-0005-0000-0000-0000320C0000}"/>
    <cellStyle name="Normale 50 2" xfId="774" xr:uid="{00000000-0005-0000-0000-0000330C0000}"/>
    <cellStyle name="Normale 50 3" xfId="1142" xr:uid="{00000000-0005-0000-0000-0000340C0000}"/>
    <cellStyle name="Normale 51" xfId="326" xr:uid="{00000000-0005-0000-0000-0000350C0000}"/>
    <cellStyle name="Normale 51 2" xfId="775" xr:uid="{00000000-0005-0000-0000-0000360C0000}"/>
    <cellStyle name="Normale 51 3" xfId="1143" xr:uid="{00000000-0005-0000-0000-0000370C0000}"/>
    <cellStyle name="Normale 52" xfId="327" xr:uid="{00000000-0005-0000-0000-0000380C0000}"/>
    <cellStyle name="Normale 52 2" xfId="776" xr:uid="{00000000-0005-0000-0000-0000390C0000}"/>
    <cellStyle name="Normale 52 3" xfId="1144" xr:uid="{00000000-0005-0000-0000-00003A0C0000}"/>
    <cellStyle name="Normale 53" xfId="328" xr:uid="{00000000-0005-0000-0000-00003B0C0000}"/>
    <cellStyle name="Normale 53 2" xfId="777" xr:uid="{00000000-0005-0000-0000-00003C0C0000}"/>
    <cellStyle name="Normale 53 3" xfId="1145" xr:uid="{00000000-0005-0000-0000-00003D0C0000}"/>
    <cellStyle name="Normale 54" xfId="329" xr:uid="{00000000-0005-0000-0000-00003E0C0000}"/>
    <cellStyle name="Normale 54 2" xfId="778" xr:uid="{00000000-0005-0000-0000-00003F0C0000}"/>
    <cellStyle name="Normale 54 3" xfId="1146" xr:uid="{00000000-0005-0000-0000-0000400C0000}"/>
    <cellStyle name="Normale 55" xfId="330" xr:uid="{00000000-0005-0000-0000-0000410C0000}"/>
    <cellStyle name="Normale 55 2" xfId="779" xr:uid="{00000000-0005-0000-0000-0000420C0000}"/>
    <cellStyle name="Normale 55 3" xfId="1147" xr:uid="{00000000-0005-0000-0000-0000430C0000}"/>
    <cellStyle name="Normale 56" xfId="331" xr:uid="{00000000-0005-0000-0000-0000440C0000}"/>
    <cellStyle name="Normale 56 2" xfId="780" xr:uid="{00000000-0005-0000-0000-0000450C0000}"/>
    <cellStyle name="Normale 56 3" xfId="1148" xr:uid="{00000000-0005-0000-0000-0000460C0000}"/>
    <cellStyle name="Normale 57" xfId="332" xr:uid="{00000000-0005-0000-0000-0000470C0000}"/>
    <cellStyle name="Normale 57 2" xfId="781" xr:uid="{00000000-0005-0000-0000-0000480C0000}"/>
    <cellStyle name="Normale 57 3" xfId="1149" xr:uid="{00000000-0005-0000-0000-0000490C0000}"/>
    <cellStyle name="Normale 58" xfId="333" xr:uid="{00000000-0005-0000-0000-00004A0C0000}"/>
    <cellStyle name="Normale 58 2" xfId="782" xr:uid="{00000000-0005-0000-0000-00004B0C0000}"/>
    <cellStyle name="Normale 58 3" xfId="1150" xr:uid="{00000000-0005-0000-0000-00004C0C0000}"/>
    <cellStyle name="Normale 59" xfId="334" xr:uid="{00000000-0005-0000-0000-00004D0C0000}"/>
    <cellStyle name="Normale 59 2" xfId="783" xr:uid="{00000000-0005-0000-0000-00004E0C0000}"/>
    <cellStyle name="Normale 59 3" xfId="1151" xr:uid="{00000000-0005-0000-0000-00004F0C0000}"/>
    <cellStyle name="Normale 6" xfId="335" xr:uid="{00000000-0005-0000-0000-0000500C0000}"/>
    <cellStyle name="Normale 6 2" xfId="336" xr:uid="{00000000-0005-0000-0000-0000510C0000}"/>
    <cellStyle name="Normale 6 3" xfId="784" xr:uid="{00000000-0005-0000-0000-0000520C0000}"/>
    <cellStyle name="Normale 6 4" xfId="1152" xr:uid="{00000000-0005-0000-0000-0000530C0000}"/>
    <cellStyle name="Normale 6 4 2" xfId="3820" xr:uid="{00000000-0005-0000-0000-0000540C0000}"/>
    <cellStyle name="Normale 6 4 2 2" xfId="3821" xr:uid="{00000000-0005-0000-0000-0000550C0000}"/>
    <cellStyle name="Normale 6 4 3" xfId="3822" xr:uid="{00000000-0005-0000-0000-0000560C0000}"/>
    <cellStyle name="Normale 6 4 4" xfId="3823" xr:uid="{00000000-0005-0000-0000-0000570C0000}"/>
    <cellStyle name="Normale 6_BusinessplanProvaVer03" xfId="3824" xr:uid="{00000000-0005-0000-0000-0000580C0000}"/>
    <cellStyle name="Normale 60" xfId="337" xr:uid="{00000000-0005-0000-0000-0000590C0000}"/>
    <cellStyle name="Normale 60 2" xfId="785" xr:uid="{00000000-0005-0000-0000-00005A0C0000}"/>
    <cellStyle name="Normale 60 3" xfId="1153" xr:uid="{00000000-0005-0000-0000-00005B0C0000}"/>
    <cellStyle name="Normale 61" xfId="338" xr:uid="{00000000-0005-0000-0000-00005C0C0000}"/>
    <cellStyle name="Normale 61 2" xfId="786" xr:uid="{00000000-0005-0000-0000-00005D0C0000}"/>
    <cellStyle name="Normale 61 3" xfId="1154" xr:uid="{00000000-0005-0000-0000-00005E0C0000}"/>
    <cellStyle name="Normale 62" xfId="339" xr:uid="{00000000-0005-0000-0000-00005F0C0000}"/>
    <cellStyle name="Normale 62 2" xfId="787" xr:uid="{00000000-0005-0000-0000-0000600C0000}"/>
    <cellStyle name="Normale 62 3" xfId="1155" xr:uid="{00000000-0005-0000-0000-0000610C0000}"/>
    <cellStyle name="Normale 63" xfId="340" xr:uid="{00000000-0005-0000-0000-0000620C0000}"/>
    <cellStyle name="Normale 63 2" xfId="788" xr:uid="{00000000-0005-0000-0000-0000630C0000}"/>
    <cellStyle name="Normale 63 3" xfId="1156" xr:uid="{00000000-0005-0000-0000-0000640C0000}"/>
    <cellStyle name="Normale 64" xfId="341" xr:uid="{00000000-0005-0000-0000-0000650C0000}"/>
    <cellStyle name="Normale 64 2" xfId="789" xr:uid="{00000000-0005-0000-0000-0000660C0000}"/>
    <cellStyle name="Normale 64 3" xfId="1157" xr:uid="{00000000-0005-0000-0000-0000670C0000}"/>
    <cellStyle name="Normale 65" xfId="342" xr:uid="{00000000-0005-0000-0000-0000680C0000}"/>
    <cellStyle name="Normale 65 2" xfId="790" xr:uid="{00000000-0005-0000-0000-0000690C0000}"/>
    <cellStyle name="Normale 65 3" xfId="1158" xr:uid="{00000000-0005-0000-0000-00006A0C0000}"/>
    <cellStyle name="Normale 66" xfId="343" xr:uid="{00000000-0005-0000-0000-00006B0C0000}"/>
    <cellStyle name="Normale 66 2" xfId="791" xr:uid="{00000000-0005-0000-0000-00006C0C0000}"/>
    <cellStyle name="Normale 66 3" xfId="1159" xr:uid="{00000000-0005-0000-0000-00006D0C0000}"/>
    <cellStyle name="Normale 67" xfId="344" xr:uid="{00000000-0005-0000-0000-00006E0C0000}"/>
    <cellStyle name="Normale 67 2" xfId="792" xr:uid="{00000000-0005-0000-0000-00006F0C0000}"/>
    <cellStyle name="Normale 67 3" xfId="1160" xr:uid="{00000000-0005-0000-0000-0000700C0000}"/>
    <cellStyle name="Normale 68" xfId="345" xr:uid="{00000000-0005-0000-0000-0000710C0000}"/>
    <cellStyle name="Normale 68 2" xfId="793" xr:uid="{00000000-0005-0000-0000-0000720C0000}"/>
    <cellStyle name="Normale 68 3" xfId="1161" xr:uid="{00000000-0005-0000-0000-0000730C0000}"/>
    <cellStyle name="Normale 69" xfId="346" xr:uid="{00000000-0005-0000-0000-0000740C0000}"/>
    <cellStyle name="Normale 69 2" xfId="794" xr:uid="{00000000-0005-0000-0000-0000750C0000}"/>
    <cellStyle name="Normale 69 3" xfId="1162" xr:uid="{00000000-0005-0000-0000-0000760C0000}"/>
    <cellStyle name="Normale 7" xfId="347" xr:uid="{00000000-0005-0000-0000-0000770C0000}"/>
    <cellStyle name="Normale 7 2" xfId="348" xr:uid="{00000000-0005-0000-0000-0000780C0000}"/>
    <cellStyle name="Normale 7 2 2" xfId="796" xr:uid="{00000000-0005-0000-0000-0000790C0000}"/>
    <cellStyle name="Normale 7 2 3" xfId="1163" xr:uid="{00000000-0005-0000-0000-00007A0C0000}"/>
    <cellStyle name="Normale 7 2 3 2" xfId="3825" xr:uid="{00000000-0005-0000-0000-00007B0C0000}"/>
    <cellStyle name="Normale 7 2 3 2 2" xfId="3826" xr:uid="{00000000-0005-0000-0000-00007C0C0000}"/>
    <cellStyle name="Normale 7 2 3 3" xfId="3827" xr:uid="{00000000-0005-0000-0000-00007D0C0000}"/>
    <cellStyle name="Normale 7 2 3 3 2" xfId="3828" xr:uid="{00000000-0005-0000-0000-00007E0C0000}"/>
    <cellStyle name="Normale 7 2 3 4" xfId="3829" xr:uid="{00000000-0005-0000-0000-00007F0C0000}"/>
    <cellStyle name="Normale 7 2 3 5" xfId="3830" xr:uid="{00000000-0005-0000-0000-0000800C0000}"/>
    <cellStyle name="Normale 7 2 4" xfId="1408" xr:uid="{00000000-0005-0000-0000-0000810C0000}"/>
    <cellStyle name="Normale 7 2_Cruscotto1" xfId="3831" xr:uid="{00000000-0005-0000-0000-0000820C0000}"/>
    <cellStyle name="Normale 7 3" xfId="795" xr:uid="{00000000-0005-0000-0000-0000830C0000}"/>
    <cellStyle name="Normale 7 3 2" xfId="3832" xr:uid="{00000000-0005-0000-0000-0000840C0000}"/>
    <cellStyle name="Normale 7 3 2 2" xfId="3833" xr:uid="{00000000-0005-0000-0000-0000850C0000}"/>
    <cellStyle name="Normale 7 3 3" xfId="3834" xr:uid="{00000000-0005-0000-0000-0000860C0000}"/>
    <cellStyle name="Normale 7 3 3 2" xfId="3835" xr:uid="{00000000-0005-0000-0000-0000870C0000}"/>
    <cellStyle name="Normale 7 3 4" xfId="3836" xr:uid="{00000000-0005-0000-0000-0000880C0000}"/>
    <cellStyle name="Normale 7 3 5" xfId="3837" xr:uid="{00000000-0005-0000-0000-0000890C0000}"/>
    <cellStyle name="Normale 7 4" xfId="1164" xr:uid="{00000000-0005-0000-0000-00008A0C0000}"/>
    <cellStyle name="Normale 7_BplanOptec" xfId="1298" xr:uid="{00000000-0005-0000-0000-00008B0C0000}"/>
    <cellStyle name="Normale 70" xfId="349" xr:uid="{00000000-0005-0000-0000-00008C0C0000}"/>
    <cellStyle name="Normale 70 2" xfId="797" xr:uid="{00000000-0005-0000-0000-00008D0C0000}"/>
    <cellStyle name="Normale 70 3" xfId="1165" xr:uid="{00000000-0005-0000-0000-00008E0C0000}"/>
    <cellStyle name="Normale 71" xfId="350" xr:uid="{00000000-0005-0000-0000-00008F0C0000}"/>
    <cellStyle name="Normale 71 2" xfId="798" xr:uid="{00000000-0005-0000-0000-0000900C0000}"/>
    <cellStyle name="Normale 71 3" xfId="1166" xr:uid="{00000000-0005-0000-0000-0000910C0000}"/>
    <cellStyle name="Normale 72" xfId="351" xr:uid="{00000000-0005-0000-0000-0000920C0000}"/>
    <cellStyle name="Normale 72 2" xfId="799" xr:uid="{00000000-0005-0000-0000-0000930C0000}"/>
    <cellStyle name="Normale 72 3" xfId="1167" xr:uid="{00000000-0005-0000-0000-0000940C0000}"/>
    <cellStyle name="Normale 73" xfId="352" xr:uid="{00000000-0005-0000-0000-0000950C0000}"/>
    <cellStyle name="Normale 73 2" xfId="800" xr:uid="{00000000-0005-0000-0000-0000960C0000}"/>
    <cellStyle name="Normale 73 3" xfId="1168" xr:uid="{00000000-0005-0000-0000-0000970C0000}"/>
    <cellStyle name="Normale 74" xfId="353" xr:uid="{00000000-0005-0000-0000-0000980C0000}"/>
    <cellStyle name="Normale 74 2" xfId="801" xr:uid="{00000000-0005-0000-0000-0000990C0000}"/>
    <cellStyle name="Normale 74 3" xfId="1169" xr:uid="{00000000-0005-0000-0000-00009A0C0000}"/>
    <cellStyle name="Normale 75" xfId="354" xr:uid="{00000000-0005-0000-0000-00009B0C0000}"/>
    <cellStyle name="Normale 75 2" xfId="802" xr:uid="{00000000-0005-0000-0000-00009C0C0000}"/>
    <cellStyle name="Normale 75 3" xfId="1170" xr:uid="{00000000-0005-0000-0000-00009D0C0000}"/>
    <cellStyle name="Normale 76" xfId="355" xr:uid="{00000000-0005-0000-0000-00009E0C0000}"/>
    <cellStyle name="Normale 76 2" xfId="803" xr:uid="{00000000-0005-0000-0000-00009F0C0000}"/>
    <cellStyle name="Normale 76 3" xfId="1171" xr:uid="{00000000-0005-0000-0000-0000A00C0000}"/>
    <cellStyle name="Normale 77" xfId="356" xr:uid="{00000000-0005-0000-0000-0000A10C0000}"/>
    <cellStyle name="Normale 77 2" xfId="804" xr:uid="{00000000-0005-0000-0000-0000A20C0000}"/>
    <cellStyle name="Normale 77 3" xfId="1172" xr:uid="{00000000-0005-0000-0000-0000A30C0000}"/>
    <cellStyle name="Normale 78" xfId="357" xr:uid="{00000000-0005-0000-0000-0000A40C0000}"/>
    <cellStyle name="Normale 78 2" xfId="805" xr:uid="{00000000-0005-0000-0000-0000A50C0000}"/>
    <cellStyle name="Normale 78 3" xfId="1173" xr:uid="{00000000-0005-0000-0000-0000A60C0000}"/>
    <cellStyle name="Normale 79" xfId="358" xr:uid="{00000000-0005-0000-0000-0000A70C0000}"/>
    <cellStyle name="Normale 79 2" xfId="806" xr:uid="{00000000-0005-0000-0000-0000A80C0000}"/>
    <cellStyle name="Normale 79 3" xfId="1174" xr:uid="{00000000-0005-0000-0000-0000A90C0000}"/>
    <cellStyle name="Normale 8" xfId="359" xr:uid="{00000000-0005-0000-0000-0000AA0C0000}"/>
    <cellStyle name="Normale 8 2" xfId="360" xr:uid="{00000000-0005-0000-0000-0000AB0C0000}"/>
    <cellStyle name="Normale 8 2 2" xfId="490" xr:uid="{00000000-0005-0000-0000-0000AC0C0000}"/>
    <cellStyle name="Normale 8 2 3" xfId="1175" xr:uid="{00000000-0005-0000-0000-0000AD0C0000}"/>
    <cellStyle name="Normale 8 2_COSTO DIPENDENTE" xfId="491" xr:uid="{00000000-0005-0000-0000-0000AE0C0000}"/>
    <cellStyle name="Normale 8 3" xfId="807" xr:uid="{00000000-0005-0000-0000-0000AF0C0000}"/>
    <cellStyle name="Normale 8 4" xfId="892" xr:uid="{00000000-0005-0000-0000-0000B00C0000}"/>
    <cellStyle name="Normale 8 5" xfId="612" xr:uid="{00000000-0005-0000-0000-0000B10C0000}"/>
    <cellStyle name="Normale 8 6" xfId="893" xr:uid="{00000000-0005-0000-0000-0000B20C0000}"/>
    <cellStyle name="Normale 8 7" xfId="1176" xr:uid="{00000000-0005-0000-0000-0000B30C0000}"/>
    <cellStyle name="Normale 8 8" xfId="1177" xr:uid="{00000000-0005-0000-0000-0000B40C0000}"/>
    <cellStyle name="Normale 8_TotCespiti" xfId="473" xr:uid="{00000000-0005-0000-0000-0000B50C0000}"/>
    <cellStyle name="Normale 80" xfId="361" xr:uid="{00000000-0005-0000-0000-0000B60C0000}"/>
    <cellStyle name="Normale 80 2" xfId="808" xr:uid="{00000000-0005-0000-0000-0000B70C0000}"/>
    <cellStyle name="Normale 80 3" xfId="1178" xr:uid="{00000000-0005-0000-0000-0000B80C0000}"/>
    <cellStyle name="Normale 81" xfId="362" xr:uid="{00000000-0005-0000-0000-0000B90C0000}"/>
    <cellStyle name="Normale 81 2" xfId="809" xr:uid="{00000000-0005-0000-0000-0000BA0C0000}"/>
    <cellStyle name="Normale 81 3" xfId="1179" xr:uid="{00000000-0005-0000-0000-0000BB0C0000}"/>
    <cellStyle name="Normale 82" xfId="363" xr:uid="{00000000-0005-0000-0000-0000BC0C0000}"/>
    <cellStyle name="Normale 82 2" xfId="810" xr:uid="{00000000-0005-0000-0000-0000BD0C0000}"/>
    <cellStyle name="Normale 82 3" xfId="1180" xr:uid="{00000000-0005-0000-0000-0000BE0C0000}"/>
    <cellStyle name="Normale 83" xfId="364" xr:uid="{00000000-0005-0000-0000-0000BF0C0000}"/>
    <cellStyle name="Normale 83 2" xfId="811" xr:uid="{00000000-0005-0000-0000-0000C00C0000}"/>
    <cellStyle name="Normale 83 3" xfId="1181" xr:uid="{00000000-0005-0000-0000-0000C10C0000}"/>
    <cellStyle name="Normale 84" xfId="365" xr:uid="{00000000-0005-0000-0000-0000C20C0000}"/>
    <cellStyle name="Normale 84 2" xfId="812" xr:uid="{00000000-0005-0000-0000-0000C30C0000}"/>
    <cellStyle name="Normale 84 3" xfId="1182" xr:uid="{00000000-0005-0000-0000-0000C40C0000}"/>
    <cellStyle name="Normale 85" xfId="366" xr:uid="{00000000-0005-0000-0000-0000C50C0000}"/>
    <cellStyle name="Normale 85 2" xfId="813" xr:uid="{00000000-0005-0000-0000-0000C60C0000}"/>
    <cellStyle name="Normale 85 3" xfId="1183" xr:uid="{00000000-0005-0000-0000-0000C70C0000}"/>
    <cellStyle name="Normale 86" xfId="367" xr:uid="{00000000-0005-0000-0000-0000C80C0000}"/>
    <cellStyle name="Normale 86 2" xfId="814" xr:uid="{00000000-0005-0000-0000-0000C90C0000}"/>
    <cellStyle name="Normale 86 3" xfId="1184" xr:uid="{00000000-0005-0000-0000-0000CA0C0000}"/>
    <cellStyle name="Normale 87" xfId="368" xr:uid="{00000000-0005-0000-0000-0000CB0C0000}"/>
    <cellStyle name="Normale 87 2" xfId="815" xr:uid="{00000000-0005-0000-0000-0000CC0C0000}"/>
    <cellStyle name="Normale 87 3" xfId="1185" xr:uid="{00000000-0005-0000-0000-0000CD0C0000}"/>
    <cellStyle name="Normale 88" xfId="369" xr:uid="{00000000-0005-0000-0000-0000CE0C0000}"/>
    <cellStyle name="Normale 88 2" xfId="816" xr:uid="{00000000-0005-0000-0000-0000CF0C0000}"/>
    <cellStyle name="Normale 88 3" xfId="1186" xr:uid="{00000000-0005-0000-0000-0000D00C0000}"/>
    <cellStyle name="Normale 89" xfId="370" xr:uid="{00000000-0005-0000-0000-0000D10C0000}"/>
    <cellStyle name="Normale 89 2" xfId="817" xr:uid="{00000000-0005-0000-0000-0000D20C0000}"/>
    <cellStyle name="Normale 89 3" xfId="1187" xr:uid="{00000000-0005-0000-0000-0000D30C0000}"/>
    <cellStyle name="Normale 9" xfId="371" xr:uid="{00000000-0005-0000-0000-0000D40C0000}"/>
    <cellStyle name="Normale 9 2" xfId="372" xr:uid="{00000000-0005-0000-0000-0000D50C0000}"/>
    <cellStyle name="Normale 9 2 2" xfId="818" xr:uid="{00000000-0005-0000-0000-0000D60C0000}"/>
    <cellStyle name="Normale 9 2 3" xfId="1188" xr:uid="{00000000-0005-0000-0000-0000D70C0000}"/>
    <cellStyle name="Normale 9 3" xfId="373" xr:uid="{00000000-0005-0000-0000-0000D80C0000}"/>
    <cellStyle name="Normale 9 3 2" xfId="819" xr:uid="{00000000-0005-0000-0000-0000D90C0000}"/>
    <cellStyle name="Normale 9 3 3" xfId="1189" xr:uid="{00000000-0005-0000-0000-0000DA0C0000}"/>
    <cellStyle name="Normale 9 4" xfId="492" xr:uid="{00000000-0005-0000-0000-0000DB0C0000}"/>
    <cellStyle name="Normale 9 5" xfId="1190" xr:uid="{00000000-0005-0000-0000-0000DC0C0000}"/>
    <cellStyle name="Normale 9_COSTO DIPENDENTE" xfId="493" xr:uid="{00000000-0005-0000-0000-0000DD0C0000}"/>
    <cellStyle name="Normale 90" xfId="374" xr:uid="{00000000-0005-0000-0000-0000DE0C0000}"/>
    <cellStyle name="Normale 90 2" xfId="820" xr:uid="{00000000-0005-0000-0000-0000DF0C0000}"/>
    <cellStyle name="Normale 90 3" xfId="1191" xr:uid="{00000000-0005-0000-0000-0000E00C0000}"/>
    <cellStyle name="Normale 91" xfId="375" xr:uid="{00000000-0005-0000-0000-0000E10C0000}"/>
    <cellStyle name="Normale 91 2" xfId="821" xr:uid="{00000000-0005-0000-0000-0000E20C0000}"/>
    <cellStyle name="Normale 91 3" xfId="1192" xr:uid="{00000000-0005-0000-0000-0000E30C0000}"/>
    <cellStyle name="Normale 92" xfId="376" xr:uid="{00000000-0005-0000-0000-0000E40C0000}"/>
    <cellStyle name="Normale 92 2" xfId="822" xr:uid="{00000000-0005-0000-0000-0000E50C0000}"/>
    <cellStyle name="Normale 92 3" xfId="1193" xr:uid="{00000000-0005-0000-0000-0000E60C0000}"/>
    <cellStyle name="Normale 93" xfId="377" xr:uid="{00000000-0005-0000-0000-0000E70C0000}"/>
    <cellStyle name="Normale 93 2" xfId="823" xr:uid="{00000000-0005-0000-0000-0000E80C0000}"/>
    <cellStyle name="Normale 93 3" xfId="1194" xr:uid="{00000000-0005-0000-0000-0000E90C0000}"/>
    <cellStyle name="Normale 94" xfId="378" xr:uid="{00000000-0005-0000-0000-0000EA0C0000}"/>
    <cellStyle name="Normale 94 2" xfId="824" xr:uid="{00000000-0005-0000-0000-0000EB0C0000}"/>
    <cellStyle name="Normale 94 3" xfId="1195" xr:uid="{00000000-0005-0000-0000-0000EC0C0000}"/>
    <cellStyle name="Normale 95" xfId="379" xr:uid="{00000000-0005-0000-0000-0000ED0C0000}"/>
    <cellStyle name="Normale 95 2" xfId="825" xr:uid="{00000000-0005-0000-0000-0000EE0C0000}"/>
    <cellStyle name="Normale 95 3" xfId="1196" xr:uid="{00000000-0005-0000-0000-0000EF0C0000}"/>
    <cellStyle name="Normale 96" xfId="380" xr:uid="{00000000-0005-0000-0000-0000F00C0000}"/>
    <cellStyle name="Normale 96 2" xfId="826" xr:uid="{00000000-0005-0000-0000-0000F10C0000}"/>
    <cellStyle name="Normale 96 3" xfId="1197" xr:uid="{00000000-0005-0000-0000-0000F20C0000}"/>
    <cellStyle name="Normale 97" xfId="381" xr:uid="{00000000-0005-0000-0000-0000F30C0000}"/>
    <cellStyle name="Normale 97 2" xfId="827" xr:uid="{00000000-0005-0000-0000-0000F40C0000}"/>
    <cellStyle name="Normale 97 3" xfId="1198" xr:uid="{00000000-0005-0000-0000-0000F50C0000}"/>
    <cellStyle name="Normale 98" xfId="382" xr:uid="{00000000-0005-0000-0000-0000F60C0000}"/>
    <cellStyle name="Normale 98 2" xfId="828" xr:uid="{00000000-0005-0000-0000-0000F70C0000}"/>
    <cellStyle name="Normale 98 3" xfId="1199" xr:uid="{00000000-0005-0000-0000-0000F80C0000}"/>
    <cellStyle name="Normale 99" xfId="383" xr:uid="{00000000-0005-0000-0000-0000F90C0000}"/>
    <cellStyle name="Normale 99 2" xfId="829" xr:uid="{00000000-0005-0000-0000-0000FA0C0000}"/>
    <cellStyle name="Normale 99 3" xfId="1200" xr:uid="{00000000-0005-0000-0000-0000FB0C0000}"/>
    <cellStyle name="Nota 10" xfId="3838" xr:uid="{00000000-0005-0000-0000-0000FD0C0000}"/>
    <cellStyle name="Nota 10 2" xfId="3839" xr:uid="{00000000-0005-0000-0000-0000FE0C0000}"/>
    <cellStyle name="Nota 10 2 2" xfId="3840" xr:uid="{00000000-0005-0000-0000-0000FF0C0000}"/>
    <cellStyle name="Nota 10 3" xfId="3841" xr:uid="{00000000-0005-0000-0000-0000000D0000}"/>
    <cellStyle name="Nota 10 3 2" xfId="3842" xr:uid="{00000000-0005-0000-0000-0000010D0000}"/>
    <cellStyle name="Nota 10 4" xfId="3843" xr:uid="{00000000-0005-0000-0000-0000020D0000}"/>
    <cellStyle name="Nota 10 5" xfId="3844" xr:uid="{00000000-0005-0000-0000-0000030D0000}"/>
    <cellStyle name="Nota 11" xfId="3845" xr:uid="{00000000-0005-0000-0000-0000040D0000}"/>
    <cellStyle name="Nota 11 2" xfId="3846" xr:uid="{00000000-0005-0000-0000-0000050D0000}"/>
    <cellStyle name="Nota 11 2 2" xfId="3847" xr:uid="{00000000-0005-0000-0000-0000060D0000}"/>
    <cellStyle name="Nota 11 3" xfId="3848" xr:uid="{00000000-0005-0000-0000-0000070D0000}"/>
    <cellStyle name="Nota 11 3 2" xfId="3849" xr:uid="{00000000-0005-0000-0000-0000080D0000}"/>
    <cellStyle name="Nota 11 4" xfId="3850" xr:uid="{00000000-0005-0000-0000-0000090D0000}"/>
    <cellStyle name="Nota 11 5" xfId="3851" xr:uid="{00000000-0005-0000-0000-00000A0D0000}"/>
    <cellStyle name="Nota 12" xfId="3852" xr:uid="{00000000-0005-0000-0000-00000B0D0000}"/>
    <cellStyle name="Nota 12 2" xfId="3853" xr:uid="{00000000-0005-0000-0000-00000C0D0000}"/>
    <cellStyle name="Nota 12 2 2" xfId="3854" xr:uid="{00000000-0005-0000-0000-00000D0D0000}"/>
    <cellStyle name="Nota 12 3" xfId="3855" xr:uid="{00000000-0005-0000-0000-00000E0D0000}"/>
    <cellStyle name="Nota 12 3 2" xfId="3856" xr:uid="{00000000-0005-0000-0000-00000F0D0000}"/>
    <cellStyle name="Nota 12 4" xfId="3857" xr:uid="{00000000-0005-0000-0000-0000100D0000}"/>
    <cellStyle name="Nota 12 5" xfId="3858" xr:uid="{00000000-0005-0000-0000-0000110D0000}"/>
    <cellStyle name="Nota 13" xfId="3859" xr:uid="{00000000-0005-0000-0000-0000120D0000}"/>
    <cellStyle name="Nota 13 2" xfId="3860" xr:uid="{00000000-0005-0000-0000-0000130D0000}"/>
    <cellStyle name="Nota 13 2 2" xfId="3861" xr:uid="{00000000-0005-0000-0000-0000140D0000}"/>
    <cellStyle name="Nota 13 3" xfId="3862" xr:uid="{00000000-0005-0000-0000-0000150D0000}"/>
    <cellStyle name="Nota 13 3 2" xfId="3863" xr:uid="{00000000-0005-0000-0000-0000160D0000}"/>
    <cellStyle name="Nota 13 4" xfId="3864" xr:uid="{00000000-0005-0000-0000-0000170D0000}"/>
    <cellStyle name="Nota 13 5" xfId="3865" xr:uid="{00000000-0005-0000-0000-0000180D0000}"/>
    <cellStyle name="Nota 14" xfId="3866" xr:uid="{00000000-0005-0000-0000-0000190D0000}"/>
    <cellStyle name="Nota 14 2" xfId="3867" xr:uid="{00000000-0005-0000-0000-00001A0D0000}"/>
    <cellStyle name="Nota 14 2 2" xfId="3868" xr:uid="{00000000-0005-0000-0000-00001B0D0000}"/>
    <cellStyle name="Nota 14 3" xfId="3869" xr:uid="{00000000-0005-0000-0000-00001C0D0000}"/>
    <cellStyle name="Nota 14 3 2" xfId="3870" xr:uid="{00000000-0005-0000-0000-00001D0D0000}"/>
    <cellStyle name="Nota 14 4" xfId="3871" xr:uid="{00000000-0005-0000-0000-00001E0D0000}"/>
    <cellStyle name="Nota 14 5" xfId="3872" xr:uid="{00000000-0005-0000-0000-00001F0D0000}"/>
    <cellStyle name="Nota 15" xfId="3873" xr:uid="{00000000-0005-0000-0000-0000200D0000}"/>
    <cellStyle name="Nota 15 2" xfId="3874" xr:uid="{00000000-0005-0000-0000-0000210D0000}"/>
    <cellStyle name="Nota 15 2 2" xfId="3875" xr:uid="{00000000-0005-0000-0000-0000220D0000}"/>
    <cellStyle name="Nota 15 3" xfId="3876" xr:uid="{00000000-0005-0000-0000-0000230D0000}"/>
    <cellStyle name="Nota 15 3 2" xfId="3877" xr:uid="{00000000-0005-0000-0000-0000240D0000}"/>
    <cellStyle name="Nota 15 4" xfId="3878" xr:uid="{00000000-0005-0000-0000-0000250D0000}"/>
    <cellStyle name="Nota 15 5" xfId="3879" xr:uid="{00000000-0005-0000-0000-0000260D0000}"/>
    <cellStyle name="Nota 16" xfId="3956" xr:uid="{00000000-0005-0000-0000-0000270D0000}"/>
    <cellStyle name="Nota 2" xfId="384" xr:uid="{00000000-0005-0000-0000-0000280D0000}"/>
    <cellStyle name="Nota 2 10" xfId="1575" xr:uid="{00000000-0005-0000-0000-0000290D0000}"/>
    <cellStyle name="Nota 2 10 2" xfId="2413" xr:uid="{00000000-0005-0000-0000-00002A0D0000}"/>
    <cellStyle name="Nota 2 10 3" xfId="3998" xr:uid="{00000000-0005-0000-0000-00002B0D0000}"/>
    <cellStyle name="Nota 2 11" xfId="1723" xr:uid="{00000000-0005-0000-0000-00002C0D0000}"/>
    <cellStyle name="Nota 2 11 2" xfId="2108" xr:uid="{00000000-0005-0000-0000-00002D0D0000}"/>
    <cellStyle name="Nota 2 2" xfId="385" xr:uid="{00000000-0005-0000-0000-00002E0D0000}"/>
    <cellStyle name="Nota 2 2 2" xfId="832" xr:uid="{00000000-0005-0000-0000-00002F0D0000}"/>
    <cellStyle name="Nota 2 2 2 2" xfId="1455" xr:uid="{00000000-0005-0000-0000-0000300D0000}"/>
    <cellStyle name="Nota 2 2 2 2 2" xfId="1735" xr:uid="{00000000-0005-0000-0000-0000310D0000}"/>
    <cellStyle name="Nota 2 2 2 2 2 2" xfId="4026" xr:uid="{00000000-0005-0000-0000-0000320D0000}"/>
    <cellStyle name="Nota 2 2 2 2 3" xfId="2077" xr:uid="{00000000-0005-0000-0000-0000330D0000}"/>
    <cellStyle name="Nota 2 2 2 3" xfId="1666" xr:uid="{00000000-0005-0000-0000-0000340D0000}"/>
    <cellStyle name="Nota 2 2 2 3 2" xfId="2478" xr:uid="{00000000-0005-0000-0000-0000350D0000}"/>
    <cellStyle name="Nota 2 2 2 3 3" xfId="4010" xr:uid="{00000000-0005-0000-0000-0000360D0000}"/>
    <cellStyle name="Nota 2 2 2 4" xfId="1567" xr:uid="{00000000-0005-0000-0000-0000370D0000}"/>
    <cellStyle name="Nota 2 2 2 4 2" xfId="3999" xr:uid="{00000000-0005-0000-0000-0000380D0000}"/>
    <cellStyle name="Nota 2 2 3" xfId="606" xr:uid="{00000000-0005-0000-0000-0000390D0000}"/>
    <cellStyle name="Nota 2 2 3 2" xfId="1442" xr:uid="{00000000-0005-0000-0000-00003A0D0000}"/>
    <cellStyle name="Nota 2 2 3 2 2" xfId="1705" xr:uid="{00000000-0005-0000-0000-00003B0D0000}"/>
    <cellStyle name="Nota 2 2 3 2 2 2" xfId="3993" xr:uid="{00000000-0005-0000-0000-00003C0D0000}"/>
    <cellStyle name="Nota 2 2 3 2 3" xfId="2156" xr:uid="{00000000-0005-0000-0000-00003D0D0000}"/>
    <cellStyle name="Nota 2 2 3 3" xfId="1627" xr:uid="{00000000-0005-0000-0000-00003E0D0000}"/>
    <cellStyle name="Nota 2 2 3 3 2" xfId="2445" xr:uid="{00000000-0005-0000-0000-00003F0D0000}"/>
    <cellStyle name="Nota 2 2 3 3 3" xfId="3997" xr:uid="{00000000-0005-0000-0000-0000400D0000}"/>
    <cellStyle name="Nota 2 2 3 4" xfId="1926" xr:uid="{00000000-0005-0000-0000-0000410D0000}"/>
    <cellStyle name="Nota 2 2 3 4 2" xfId="4036" xr:uid="{00000000-0005-0000-0000-0000420D0000}"/>
    <cellStyle name="Nota 2 2 4" xfId="1425" xr:uid="{00000000-0005-0000-0000-0000430D0000}"/>
    <cellStyle name="Nota 2 2 4 2" xfId="1828" xr:uid="{00000000-0005-0000-0000-0000440D0000}"/>
    <cellStyle name="Nota 2 2 4 2 2" xfId="4088" xr:uid="{00000000-0005-0000-0000-0000450D0000}"/>
    <cellStyle name="Nota 2 2 4 3" xfId="2059" xr:uid="{00000000-0005-0000-0000-0000460D0000}"/>
    <cellStyle name="Nota 2 2 5" xfId="1576" xr:uid="{00000000-0005-0000-0000-0000470D0000}"/>
    <cellStyle name="Nota 2 2 5 2" xfId="2414" xr:uid="{00000000-0005-0000-0000-0000480D0000}"/>
    <cellStyle name="Nota 2 2 5 3" xfId="4007" xr:uid="{00000000-0005-0000-0000-0000490D0000}"/>
    <cellStyle name="Nota 2 2 6" xfId="1912" xr:uid="{00000000-0005-0000-0000-00004A0D0000}"/>
    <cellStyle name="Nota 2 2 6 2" xfId="4050" xr:uid="{00000000-0005-0000-0000-00004B0D0000}"/>
    <cellStyle name="Nota 2 3" xfId="386" xr:uid="{00000000-0005-0000-0000-00004C0D0000}"/>
    <cellStyle name="Nota 2 3 2" xfId="833" xr:uid="{00000000-0005-0000-0000-00004D0D0000}"/>
    <cellStyle name="Nota 2 3 2 2" xfId="1456" xr:uid="{00000000-0005-0000-0000-00004E0D0000}"/>
    <cellStyle name="Nota 2 3 2 2 2" xfId="1614" xr:uid="{00000000-0005-0000-0000-00004F0D0000}"/>
    <cellStyle name="Nota 2 3 2 2 2 2" xfId="4019" xr:uid="{00000000-0005-0000-0000-0000500D0000}"/>
    <cellStyle name="Nota 2 3 2 2 3" xfId="2071" xr:uid="{00000000-0005-0000-0000-0000510D0000}"/>
    <cellStyle name="Nota 2 3 2 3" xfId="1667" xr:uid="{00000000-0005-0000-0000-0000520D0000}"/>
    <cellStyle name="Nota 2 3 2 3 2" xfId="2479" xr:uid="{00000000-0005-0000-0000-0000530D0000}"/>
    <cellStyle name="Nota 2 3 2 3 3" xfId="3951" xr:uid="{00000000-0005-0000-0000-0000540D0000}"/>
    <cellStyle name="Nota 2 3 2 4" xfId="1573" xr:uid="{00000000-0005-0000-0000-0000550D0000}"/>
    <cellStyle name="Nota 2 3 2 4 2" xfId="1983" xr:uid="{00000000-0005-0000-0000-0000560D0000}"/>
    <cellStyle name="Nota 2 3 3" xfId="607" xr:uid="{00000000-0005-0000-0000-0000570D0000}"/>
    <cellStyle name="Nota 2 3 3 2" xfId="1443" xr:uid="{00000000-0005-0000-0000-0000580D0000}"/>
    <cellStyle name="Nota 2 3 3 2 2" xfId="1570" xr:uid="{00000000-0005-0000-0000-0000590D0000}"/>
    <cellStyle name="Nota 2 3 3 2 2 2" xfId="3964" xr:uid="{00000000-0005-0000-0000-00005A0D0000}"/>
    <cellStyle name="Nota 2 3 3 2 3" xfId="4085" xr:uid="{00000000-0005-0000-0000-00005B0D0000}"/>
    <cellStyle name="Nota 2 3 3 3" xfId="1628" xr:uid="{00000000-0005-0000-0000-00005C0D0000}"/>
    <cellStyle name="Nota 2 3 3 3 2" xfId="2446" xr:uid="{00000000-0005-0000-0000-00005D0D0000}"/>
    <cellStyle name="Nota 2 3 3 3 3" xfId="2136" xr:uid="{00000000-0005-0000-0000-00005E0D0000}"/>
    <cellStyle name="Nota 2 3 3 4" xfId="1925" xr:uid="{00000000-0005-0000-0000-00005F0D0000}"/>
    <cellStyle name="Nota 2 3 3 4 2" xfId="4037" xr:uid="{00000000-0005-0000-0000-0000600D0000}"/>
    <cellStyle name="Nota 2 3 4" xfId="1426" xr:uid="{00000000-0005-0000-0000-0000610D0000}"/>
    <cellStyle name="Nota 2 3 4 2" xfId="1679" xr:uid="{00000000-0005-0000-0000-0000620D0000}"/>
    <cellStyle name="Nota 2 3 4 2 2" xfId="2075" xr:uid="{00000000-0005-0000-0000-0000630D0000}"/>
    <cellStyle name="Nota 2 3 4 3" xfId="4077" xr:uid="{00000000-0005-0000-0000-0000640D0000}"/>
    <cellStyle name="Nota 2 3 5" xfId="1577" xr:uid="{00000000-0005-0000-0000-0000650D0000}"/>
    <cellStyle name="Nota 2 3 5 2" xfId="2415" xr:uid="{00000000-0005-0000-0000-0000660D0000}"/>
    <cellStyle name="Nota 2 3 5 3" xfId="2286" xr:uid="{00000000-0005-0000-0000-0000670D0000}"/>
    <cellStyle name="Nota 2 3 6" xfId="1717" xr:uid="{00000000-0005-0000-0000-0000680D0000}"/>
    <cellStyle name="Nota 2 3 6 2" xfId="4032" xr:uid="{00000000-0005-0000-0000-0000690D0000}"/>
    <cellStyle name="Nota 2 4" xfId="387" xr:uid="{00000000-0005-0000-0000-00006A0D0000}"/>
    <cellStyle name="Nota 2 4 2" xfId="834" xr:uid="{00000000-0005-0000-0000-00006B0D0000}"/>
    <cellStyle name="Nota 2 4 2 2" xfId="1457" xr:uid="{00000000-0005-0000-0000-00006C0D0000}"/>
    <cellStyle name="Nota 2 4 2 2 2" xfId="1849" xr:uid="{00000000-0005-0000-0000-00006D0D0000}"/>
    <cellStyle name="Nota 2 4 2 2 2 2" xfId="3987" xr:uid="{00000000-0005-0000-0000-00006E0D0000}"/>
    <cellStyle name="Nota 2 4 2 2 3" xfId="2099" xr:uid="{00000000-0005-0000-0000-00006F0D0000}"/>
    <cellStyle name="Nota 2 4 2 3" xfId="1668" xr:uid="{00000000-0005-0000-0000-0000700D0000}"/>
    <cellStyle name="Nota 2 4 2 3 2" xfId="2480" xr:uid="{00000000-0005-0000-0000-0000710D0000}"/>
    <cellStyle name="Nota 2 4 2 3 3" xfId="4009" xr:uid="{00000000-0005-0000-0000-0000720D0000}"/>
    <cellStyle name="Nota 2 4 2 4" xfId="1482" xr:uid="{00000000-0005-0000-0000-0000730D0000}"/>
    <cellStyle name="Nota 2 4 2 4 2" xfId="3958" xr:uid="{00000000-0005-0000-0000-0000740D0000}"/>
    <cellStyle name="Nota 2 4 3" xfId="608" xr:uid="{00000000-0005-0000-0000-0000750D0000}"/>
    <cellStyle name="Nota 2 4 3 2" xfId="1444" xr:uid="{00000000-0005-0000-0000-0000760D0000}"/>
    <cellStyle name="Nota 2 4 3 2 2" xfId="1734" xr:uid="{00000000-0005-0000-0000-0000770D0000}"/>
    <cellStyle name="Nota 2 4 3 2 2 2" xfId="2435" xr:uid="{00000000-0005-0000-0000-0000780D0000}"/>
    <cellStyle name="Nota 2 4 3 2 3" xfId="2504" xr:uid="{00000000-0005-0000-0000-0000790D0000}"/>
    <cellStyle name="Nota 2 4 3 3" xfId="1629" xr:uid="{00000000-0005-0000-0000-00007A0D0000}"/>
    <cellStyle name="Nota 2 4 3 3 2" xfId="2447" xr:uid="{00000000-0005-0000-0000-00007B0D0000}"/>
    <cellStyle name="Nota 2 4 3 3 3" xfId="3967" xr:uid="{00000000-0005-0000-0000-00007C0D0000}"/>
    <cellStyle name="Nota 2 4 3 4" xfId="1924" xr:uid="{00000000-0005-0000-0000-00007D0D0000}"/>
    <cellStyle name="Nota 2 4 3 4 2" xfId="4038" xr:uid="{00000000-0005-0000-0000-00007E0D0000}"/>
    <cellStyle name="Nota 2 4 4" xfId="1427" xr:uid="{00000000-0005-0000-0000-00007F0D0000}"/>
    <cellStyle name="Nota 2 4 4 2" xfId="1834" xr:uid="{00000000-0005-0000-0000-0000800D0000}"/>
    <cellStyle name="Nota 2 4 4 2 2" xfId="2063" xr:uid="{00000000-0005-0000-0000-0000810D0000}"/>
    <cellStyle name="Nota 2 4 4 3" xfId="3992" xr:uid="{00000000-0005-0000-0000-0000820D0000}"/>
    <cellStyle name="Nota 2 4 5" xfId="1578" xr:uid="{00000000-0005-0000-0000-0000830D0000}"/>
    <cellStyle name="Nota 2 4 5 2" xfId="2416" xr:uid="{00000000-0005-0000-0000-0000840D0000}"/>
    <cellStyle name="Nota 2 4 5 3" xfId="1980" xr:uid="{00000000-0005-0000-0000-0000850D0000}"/>
    <cellStyle name="Nota 2 4 6" xfId="1572" xr:uid="{00000000-0005-0000-0000-0000860D0000}"/>
    <cellStyle name="Nota 2 4 6 2" xfId="3991" xr:uid="{00000000-0005-0000-0000-0000870D0000}"/>
    <cellStyle name="Nota 2 5" xfId="388" xr:uid="{00000000-0005-0000-0000-0000880D0000}"/>
    <cellStyle name="Nota 2 5 2" xfId="835" xr:uid="{00000000-0005-0000-0000-0000890D0000}"/>
    <cellStyle name="Nota 2 5 2 2" xfId="1458" xr:uid="{00000000-0005-0000-0000-00008A0D0000}"/>
    <cellStyle name="Nota 2 5 2 2 2" xfId="1680" xr:uid="{00000000-0005-0000-0000-00008B0D0000}"/>
    <cellStyle name="Nota 2 5 2 2 2 2" xfId="2150" xr:uid="{00000000-0005-0000-0000-00008C0D0000}"/>
    <cellStyle name="Nota 2 5 2 2 3" xfId="2154" xr:uid="{00000000-0005-0000-0000-00008D0D0000}"/>
    <cellStyle name="Nota 2 5 2 3" xfId="1669" xr:uid="{00000000-0005-0000-0000-00008E0D0000}"/>
    <cellStyle name="Nota 2 5 2 3 2" xfId="2481" xr:uid="{00000000-0005-0000-0000-00008F0D0000}"/>
    <cellStyle name="Nota 2 5 2 3 3" xfId="2101" xr:uid="{00000000-0005-0000-0000-0000900D0000}"/>
    <cellStyle name="Nota 2 5 2 4" xfId="1657" xr:uid="{00000000-0005-0000-0000-0000910D0000}"/>
    <cellStyle name="Nota 2 5 2 4 2" xfId="2174" xr:uid="{00000000-0005-0000-0000-0000920D0000}"/>
    <cellStyle name="Nota 2 5 3" xfId="609" xr:uid="{00000000-0005-0000-0000-0000930D0000}"/>
    <cellStyle name="Nota 2 5 3 2" xfId="1445" xr:uid="{00000000-0005-0000-0000-0000940D0000}"/>
    <cellStyle name="Nota 2 5 3 2 2" xfId="1846" xr:uid="{00000000-0005-0000-0000-0000950D0000}"/>
    <cellStyle name="Nota 2 5 3 2 2 2" xfId="2076" xr:uid="{00000000-0005-0000-0000-0000960D0000}"/>
    <cellStyle name="Nota 2 5 3 2 3" xfId="3978" xr:uid="{00000000-0005-0000-0000-0000970D0000}"/>
    <cellStyle name="Nota 2 5 3 3" xfId="1630" xr:uid="{00000000-0005-0000-0000-0000980D0000}"/>
    <cellStyle name="Nota 2 5 3 3 2" xfId="2448" xr:uid="{00000000-0005-0000-0000-0000990D0000}"/>
    <cellStyle name="Nota 2 5 3 3 3" xfId="2186" xr:uid="{00000000-0005-0000-0000-00009A0D0000}"/>
    <cellStyle name="Nota 2 5 3 4" xfId="1923" xr:uid="{00000000-0005-0000-0000-00009B0D0000}"/>
    <cellStyle name="Nota 2 5 3 4 2" xfId="4039" xr:uid="{00000000-0005-0000-0000-00009C0D0000}"/>
    <cellStyle name="Nota 2 5 4" xfId="1428" xr:uid="{00000000-0005-0000-0000-00009D0D0000}"/>
    <cellStyle name="Nota 2 5 4 2" xfId="1617" xr:uid="{00000000-0005-0000-0000-00009E0D0000}"/>
    <cellStyle name="Nota 2 5 4 2 2" xfId="3962" xr:uid="{00000000-0005-0000-0000-00009F0D0000}"/>
    <cellStyle name="Nota 2 5 4 3" xfId="1992" xr:uid="{00000000-0005-0000-0000-0000A00D0000}"/>
    <cellStyle name="Nota 2 5 5" xfId="1579" xr:uid="{00000000-0005-0000-0000-0000A10D0000}"/>
    <cellStyle name="Nota 2 5 5 2" xfId="2417" xr:uid="{00000000-0005-0000-0000-0000A20D0000}"/>
    <cellStyle name="Nota 2 5 5 3" xfId="3970" xr:uid="{00000000-0005-0000-0000-0000A30D0000}"/>
    <cellStyle name="Nota 2 5 6" xfId="1911" xr:uid="{00000000-0005-0000-0000-0000A40D0000}"/>
    <cellStyle name="Nota 2 5 6 2" xfId="4051" xr:uid="{00000000-0005-0000-0000-0000A50D0000}"/>
    <cellStyle name="Nota 2 6" xfId="389" xr:uid="{00000000-0005-0000-0000-0000A60D0000}"/>
    <cellStyle name="Nota 2 6 2" xfId="836" xr:uid="{00000000-0005-0000-0000-0000A70D0000}"/>
    <cellStyle name="Nota 2 6 2 2" xfId="1459" xr:uid="{00000000-0005-0000-0000-0000A80D0000}"/>
    <cellStyle name="Nota 2 6 2 2 2" xfId="1612" xr:uid="{00000000-0005-0000-0000-0000A90D0000}"/>
    <cellStyle name="Nota 2 6 2 2 2 2" xfId="4020" xr:uid="{00000000-0005-0000-0000-0000AA0D0000}"/>
    <cellStyle name="Nota 2 6 2 2 3" xfId="4023" xr:uid="{00000000-0005-0000-0000-0000AB0D0000}"/>
    <cellStyle name="Nota 2 6 2 3" xfId="1670" xr:uid="{00000000-0005-0000-0000-0000AC0D0000}"/>
    <cellStyle name="Nota 2 6 2 3 2" xfId="2482" xr:uid="{00000000-0005-0000-0000-0000AD0D0000}"/>
    <cellStyle name="Nota 2 6 2 3 3" xfId="2126" xr:uid="{00000000-0005-0000-0000-0000AE0D0000}"/>
    <cellStyle name="Nota 2 6 2 4" xfId="1663" xr:uid="{00000000-0005-0000-0000-0000AF0D0000}"/>
    <cellStyle name="Nota 2 6 2 4 2" xfId="4001" xr:uid="{00000000-0005-0000-0000-0000B00D0000}"/>
    <cellStyle name="Nota 2 6 3" xfId="610" xr:uid="{00000000-0005-0000-0000-0000B10D0000}"/>
    <cellStyle name="Nota 2 6 3 2" xfId="1446" xr:uid="{00000000-0005-0000-0000-0000B20D0000}"/>
    <cellStyle name="Nota 2 6 3 2 2" xfId="1615" xr:uid="{00000000-0005-0000-0000-0000B30D0000}"/>
    <cellStyle name="Nota 2 6 3 2 2 2" xfId="2085" xr:uid="{00000000-0005-0000-0000-0000B40D0000}"/>
    <cellStyle name="Nota 2 6 3 2 3" xfId="2083" xr:uid="{00000000-0005-0000-0000-0000B50D0000}"/>
    <cellStyle name="Nota 2 6 3 3" xfId="1631" xr:uid="{00000000-0005-0000-0000-0000B60D0000}"/>
    <cellStyle name="Nota 2 6 3 3 2" xfId="2449" xr:uid="{00000000-0005-0000-0000-0000B70D0000}"/>
    <cellStyle name="Nota 2 6 3 3 3" xfId="2107" xr:uid="{00000000-0005-0000-0000-0000B80D0000}"/>
    <cellStyle name="Nota 2 6 3 4" xfId="1922" xr:uid="{00000000-0005-0000-0000-0000B90D0000}"/>
    <cellStyle name="Nota 2 6 3 4 2" xfId="4040" xr:uid="{00000000-0005-0000-0000-0000BA0D0000}"/>
    <cellStyle name="Nota 2 6 4" xfId="1429" xr:uid="{00000000-0005-0000-0000-0000BB0D0000}"/>
    <cellStyle name="Nota 2 6 4 2" xfId="1832" xr:uid="{00000000-0005-0000-0000-0000BC0D0000}"/>
    <cellStyle name="Nota 2 6 4 2 2" xfId="4004" xr:uid="{00000000-0005-0000-0000-0000BD0D0000}"/>
    <cellStyle name="Nota 2 6 4 3" xfId="2137" xr:uid="{00000000-0005-0000-0000-0000BE0D0000}"/>
    <cellStyle name="Nota 2 6 5" xfId="1580" xr:uid="{00000000-0005-0000-0000-0000BF0D0000}"/>
    <cellStyle name="Nota 2 6 5 2" xfId="2418" xr:uid="{00000000-0005-0000-0000-0000C00D0000}"/>
    <cellStyle name="Nota 2 6 5 3" xfId="2423" xr:uid="{00000000-0005-0000-0000-0000C10D0000}"/>
    <cellStyle name="Nota 2 6 6" xfId="1564" xr:uid="{00000000-0005-0000-0000-0000C20D0000}"/>
    <cellStyle name="Nota 2 6 6 2" xfId="4075" xr:uid="{00000000-0005-0000-0000-0000C30D0000}"/>
    <cellStyle name="Nota 2 7" xfId="831" xr:uid="{00000000-0005-0000-0000-0000C40D0000}"/>
    <cellStyle name="Nota 2 7 2" xfId="1454" xr:uid="{00000000-0005-0000-0000-0000C50D0000}"/>
    <cellStyle name="Nota 2 7 2 2" xfId="1848" xr:uid="{00000000-0005-0000-0000-0000C60D0000}"/>
    <cellStyle name="Nota 2 7 2 2 2" xfId="3966" xr:uid="{00000000-0005-0000-0000-0000C70D0000}"/>
    <cellStyle name="Nota 2 7 2 3" xfId="1976" xr:uid="{00000000-0005-0000-0000-0000C80D0000}"/>
    <cellStyle name="Nota 2 7 3" xfId="1665" xr:uid="{00000000-0005-0000-0000-0000C90D0000}"/>
    <cellStyle name="Nota 2 7 3 2" xfId="2477" xr:uid="{00000000-0005-0000-0000-0000CA0D0000}"/>
    <cellStyle name="Nota 2 7 3 3" xfId="2106" xr:uid="{00000000-0005-0000-0000-0000CB0D0000}"/>
    <cellStyle name="Nota 2 7 4" xfId="1608" xr:uid="{00000000-0005-0000-0000-0000CC0D0000}"/>
    <cellStyle name="Nota 2 7 4 2" xfId="4022" xr:uid="{00000000-0005-0000-0000-0000CD0D0000}"/>
    <cellStyle name="Nota 2 8" xfId="605" xr:uid="{00000000-0005-0000-0000-0000CE0D0000}"/>
    <cellStyle name="Nota 2 8 2" xfId="1441" xr:uid="{00000000-0005-0000-0000-0000CF0D0000}"/>
    <cellStyle name="Nota 2 8 2 2" xfId="1681" xr:uid="{00000000-0005-0000-0000-0000D00D0000}"/>
    <cellStyle name="Nota 2 8 2 2 2" xfId="2087" xr:uid="{00000000-0005-0000-0000-0000D10D0000}"/>
    <cellStyle name="Nota 2 8 2 3" xfId="2331" xr:uid="{00000000-0005-0000-0000-0000D20D0000}"/>
    <cellStyle name="Nota 2 8 3" xfId="1626" xr:uid="{00000000-0005-0000-0000-0000D30D0000}"/>
    <cellStyle name="Nota 2 8 3 2" xfId="2444" xr:uid="{00000000-0005-0000-0000-0000D40D0000}"/>
    <cellStyle name="Nota 2 8 3 3" xfId="2619" xr:uid="{00000000-0005-0000-0000-0000D50D0000}"/>
    <cellStyle name="Nota 2 8 4" xfId="1927" xr:uid="{00000000-0005-0000-0000-0000D60D0000}"/>
    <cellStyle name="Nota 2 8 4 2" xfId="4035" xr:uid="{00000000-0005-0000-0000-0000D70D0000}"/>
    <cellStyle name="Nota 2 9" xfId="1424" xr:uid="{00000000-0005-0000-0000-0000D80D0000}"/>
    <cellStyle name="Nota 2 9 2" xfId="1486" xr:uid="{00000000-0005-0000-0000-0000D90D0000}"/>
    <cellStyle name="Nota 2 9 2 2" xfId="3988" xr:uid="{00000000-0005-0000-0000-0000DA0D0000}"/>
    <cellStyle name="Nota 2 9 3" xfId="2161" xr:uid="{00000000-0005-0000-0000-0000DB0D0000}"/>
    <cellStyle name="Nota 2_Budget revisionato" xfId="390" xr:uid="{00000000-0005-0000-0000-0000DC0D0000}"/>
    <cellStyle name="Nota 3" xfId="391" xr:uid="{00000000-0005-0000-0000-0000DD0D0000}"/>
    <cellStyle name="Nota 3 2" xfId="837" xr:uid="{00000000-0005-0000-0000-0000DE0D0000}"/>
    <cellStyle name="Nota 3 2 2" xfId="1460" xr:uid="{00000000-0005-0000-0000-0000DF0D0000}"/>
    <cellStyle name="Nota 3 2 2 2" xfId="1853" xr:uid="{00000000-0005-0000-0000-0000E00D0000}"/>
    <cellStyle name="Nota 3 2 2 2 2" xfId="4069" xr:uid="{00000000-0005-0000-0000-0000E10D0000}"/>
    <cellStyle name="Nota 3 2 2 3" xfId="1995" xr:uid="{00000000-0005-0000-0000-0000E20D0000}"/>
    <cellStyle name="Nota 3 2 3" xfId="1671" xr:uid="{00000000-0005-0000-0000-0000E30D0000}"/>
    <cellStyle name="Nota 3 2 3 2" xfId="2483" xr:uid="{00000000-0005-0000-0000-0000E40D0000}"/>
    <cellStyle name="Nota 3 2 3 3" xfId="2070" xr:uid="{00000000-0005-0000-0000-0000E50D0000}"/>
    <cellStyle name="Nota 3 2 4" xfId="1609" xr:uid="{00000000-0005-0000-0000-0000E60D0000}"/>
    <cellStyle name="Nota 3 2 4 2" xfId="2078" xr:uid="{00000000-0005-0000-0000-0000E70D0000}"/>
    <cellStyle name="Nota 3 3" xfId="1201" xr:uid="{00000000-0005-0000-0000-0000E80D0000}"/>
    <cellStyle name="Nota 3 3 2" xfId="1476" xr:uid="{00000000-0005-0000-0000-0000E90D0000}"/>
    <cellStyle name="Nota 3 3 2 2" xfId="1737" xr:uid="{00000000-0005-0000-0000-0000EA0D0000}"/>
    <cellStyle name="Nota 3 3 2 2 2" xfId="4025" xr:uid="{00000000-0005-0000-0000-0000EB0D0000}"/>
    <cellStyle name="Nota 3 3 2 3" xfId="2141" xr:uid="{00000000-0005-0000-0000-0000EC0D0000}"/>
    <cellStyle name="Nota 3 3 3" xfId="1728" xr:uid="{00000000-0005-0000-0000-0000ED0D0000}"/>
    <cellStyle name="Nota 3 3 3 2" xfId="2516" xr:uid="{00000000-0005-0000-0000-0000EE0D0000}"/>
    <cellStyle name="Nota 3 3 3 3" xfId="4079" xr:uid="{00000000-0005-0000-0000-0000EF0D0000}"/>
    <cellStyle name="Nota 3 3 4" xfId="1604" xr:uid="{00000000-0005-0000-0000-0000F00D0000}"/>
    <cellStyle name="Nota 3 3 4 2" xfId="3976" xr:uid="{00000000-0005-0000-0000-0000F10D0000}"/>
    <cellStyle name="Nota 3 4" xfId="1430" xr:uid="{00000000-0005-0000-0000-0000F20D0000}"/>
    <cellStyle name="Nota 3 4 2" xfId="1733" xr:uid="{00000000-0005-0000-0000-0000F30D0000}"/>
    <cellStyle name="Nota 3 4 2 2" xfId="4027" xr:uid="{00000000-0005-0000-0000-0000F40D0000}"/>
    <cellStyle name="Nota 3 4 3" xfId="2084" xr:uid="{00000000-0005-0000-0000-0000F50D0000}"/>
    <cellStyle name="Nota 3 5" xfId="1581" xr:uid="{00000000-0005-0000-0000-0000F60D0000}"/>
    <cellStyle name="Nota 3 5 2" xfId="2419" xr:uid="{00000000-0005-0000-0000-0000F70D0000}"/>
    <cellStyle name="Nota 3 5 3" xfId="3980" xr:uid="{00000000-0005-0000-0000-0000F80D0000}"/>
    <cellStyle name="Nota 3 6" xfId="1910" xr:uid="{00000000-0005-0000-0000-0000F90D0000}"/>
    <cellStyle name="Nota 3 6 2" xfId="4052" xr:uid="{00000000-0005-0000-0000-0000FA0D0000}"/>
    <cellStyle name="Nota 4" xfId="830" xr:uid="{00000000-0005-0000-0000-0000FB0D0000}"/>
    <cellStyle name="Nota 4 2" xfId="1453" xr:uid="{00000000-0005-0000-0000-0000FC0D0000}"/>
    <cellStyle name="Nota 4 2 2" xfId="1704" xr:uid="{00000000-0005-0000-0000-0000FD0D0000}"/>
    <cellStyle name="Nota 4 2 2 2" xfId="3880" xr:uid="{00000000-0005-0000-0000-0000FE0D0000}"/>
    <cellStyle name="Nota 4 2 2 3" xfId="3957" xr:uid="{00000000-0005-0000-0000-0000FF0D0000}"/>
    <cellStyle name="Nota 4 2 3" xfId="3881" xr:uid="{00000000-0005-0000-0000-0000000E0000}"/>
    <cellStyle name="Nota 4 2 3 2" xfId="3882" xr:uid="{00000000-0005-0000-0000-0000010E0000}"/>
    <cellStyle name="Nota 4 2 4" xfId="3883" xr:uid="{00000000-0005-0000-0000-0000020E0000}"/>
    <cellStyle name="Nota 4 2 5" xfId="3884" xr:uid="{00000000-0005-0000-0000-0000030E0000}"/>
    <cellStyle name="Nota 4 2 6" xfId="3973" xr:uid="{00000000-0005-0000-0000-0000040E0000}"/>
    <cellStyle name="Nota 4 3" xfId="1664" xr:uid="{00000000-0005-0000-0000-0000050E0000}"/>
    <cellStyle name="Nota 4 3 2" xfId="3885" xr:uid="{00000000-0005-0000-0000-0000060E0000}"/>
    <cellStyle name="Nota 4 3 2 2" xfId="3886" xr:uid="{00000000-0005-0000-0000-0000070E0000}"/>
    <cellStyle name="Nota 4 3 3" xfId="3887" xr:uid="{00000000-0005-0000-0000-0000080E0000}"/>
    <cellStyle name="Nota 4 3 3 2" xfId="3888" xr:uid="{00000000-0005-0000-0000-0000090E0000}"/>
    <cellStyle name="Nota 4 3 4" xfId="3889" xr:uid="{00000000-0005-0000-0000-00000A0E0000}"/>
    <cellStyle name="Nota 4 3 5" xfId="3890" xr:uid="{00000000-0005-0000-0000-00000B0E0000}"/>
    <cellStyle name="Nota 4 3 6" xfId="2476" xr:uid="{00000000-0005-0000-0000-00000C0E0000}"/>
    <cellStyle name="Nota 4 3 7" xfId="4011" xr:uid="{00000000-0005-0000-0000-00000D0E0000}"/>
    <cellStyle name="Nota 4 4" xfId="1726" xr:uid="{00000000-0005-0000-0000-00000E0E0000}"/>
    <cellStyle name="Nota 4 4 2" xfId="3891" xr:uid="{00000000-0005-0000-0000-00000F0E0000}"/>
    <cellStyle name="Nota 4 4 3" xfId="4096" xr:uid="{00000000-0005-0000-0000-0000100E0000}"/>
    <cellStyle name="Nota 4 5" xfId="3892" xr:uid="{00000000-0005-0000-0000-0000110E0000}"/>
    <cellStyle name="Nota 4 5 2" xfId="3893" xr:uid="{00000000-0005-0000-0000-0000120E0000}"/>
    <cellStyle name="Nota 4 6" xfId="3894" xr:uid="{00000000-0005-0000-0000-0000130E0000}"/>
    <cellStyle name="Nota 4 7" xfId="3895" xr:uid="{00000000-0005-0000-0000-0000140E0000}"/>
    <cellStyle name="Nota 5" xfId="895" xr:uid="{00000000-0005-0000-0000-0000150E0000}"/>
    <cellStyle name="Nota 5 2" xfId="1469" xr:uid="{00000000-0005-0000-0000-0000160E0000}"/>
    <cellStyle name="Nota 5 2 2" xfId="1859" xr:uid="{00000000-0005-0000-0000-0000170E0000}"/>
    <cellStyle name="Nota 5 2 2 2" xfId="2074" xr:uid="{00000000-0005-0000-0000-0000180E0000}"/>
    <cellStyle name="Nota 5 2 3" xfId="2067" xr:uid="{00000000-0005-0000-0000-0000190E0000}"/>
    <cellStyle name="Nota 5 3" xfId="1693" xr:uid="{00000000-0005-0000-0000-00001A0E0000}"/>
    <cellStyle name="Nota 5 3 2" xfId="3896" xr:uid="{00000000-0005-0000-0000-00001B0E0000}"/>
    <cellStyle name="Nota 5 3 3" xfId="2498" xr:uid="{00000000-0005-0000-0000-00001C0E0000}"/>
    <cellStyle name="Nota 5 3 4" xfId="2409" xr:uid="{00000000-0005-0000-0000-00001D0E0000}"/>
    <cellStyle name="Nota 5 4" xfId="1915" xr:uid="{00000000-0005-0000-0000-00001E0E0000}"/>
    <cellStyle name="Nota 5 4 2" xfId="4047" xr:uid="{00000000-0005-0000-0000-00001F0E0000}"/>
    <cellStyle name="Nota 5 5" xfId="3897" xr:uid="{00000000-0005-0000-0000-0000200E0000}"/>
    <cellStyle name="Nota 6" xfId="624" xr:uid="{00000000-0005-0000-0000-0000210E0000}"/>
    <cellStyle name="Nota 6 2" xfId="1450" xr:uid="{00000000-0005-0000-0000-0000220E0000}"/>
    <cellStyle name="Nota 6 2 2" xfId="1844" xr:uid="{00000000-0005-0000-0000-0000230E0000}"/>
    <cellStyle name="Nota 6 2 2 2" xfId="2153" xr:uid="{00000000-0005-0000-0000-0000240E0000}"/>
    <cellStyle name="Nota 6 2 3" xfId="2066" xr:uid="{00000000-0005-0000-0000-0000250E0000}"/>
    <cellStyle name="Nota 6 3" xfId="1636" xr:uid="{00000000-0005-0000-0000-0000260E0000}"/>
    <cellStyle name="Nota 6 3 2" xfId="3898" xr:uid="{00000000-0005-0000-0000-0000270E0000}"/>
    <cellStyle name="Nota 6 3 3" xfId="2454" xr:uid="{00000000-0005-0000-0000-0000280E0000}"/>
    <cellStyle name="Nota 6 3 4" xfId="3969" xr:uid="{00000000-0005-0000-0000-0000290E0000}"/>
    <cellStyle name="Nota 6 4" xfId="1918" xr:uid="{00000000-0005-0000-0000-00002A0E0000}"/>
    <cellStyle name="Nota 6 4 2" xfId="4044" xr:uid="{00000000-0005-0000-0000-00002B0E0000}"/>
    <cellStyle name="Nota 6 5" xfId="3899" xr:uid="{00000000-0005-0000-0000-00002C0E0000}"/>
    <cellStyle name="Nota 7" xfId="896" xr:uid="{00000000-0005-0000-0000-00002D0E0000}"/>
    <cellStyle name="Nota 7 2" xfId="1470" xr:uid="{00000000-0005-0000-0000-00002E0E0000}"/>
    <cellStyle name="Nota 7 2 2" xfId="1590" xr:uid="{00000000-0005-0000-0000-00002F0E0000}"/>
    <cellStyle name="Nota 7 2 2 2" xfId="4072" xr:uid="{00000000-0005-0000-0000-0000300E0000}"/>
    <cellStyle name="Nota 7 2 3" xfId="3983" xr:uid="{00000000-0005-0000-0000-0000310E0000}"/>
    <cellStyle name="Nota 7 3" xfId="1694" xr:uid="{00000000-0005-0000-0000-0000320E0000}"/>
    <cellStyle name="Nota 7 3 2" xfId="3900" xr:uid="{00000000-0005-0000-0000-0000330E0000}"/>
    <cellStyle name="Nota 7 3 3" xfId="2499" xr:uid="{00000000-0005-0000-0000-0000340E0000}"/>
    <cellStyle name="Nota 7 3 4" xfId="2079" xr:uid="{00000000-0005-0000-0000-0000350E0000}"/>
    <cellStyle name="Nota 7 4" xfId="1914" xr:uid="{00000000-0005-0000-0000-0000360E0000}"/>
    <cellStyle name="Nota 7 4 2" xfId="4048" xr:uid="{00000000-0005-0000-0000-0000370E0000}"/>
    <cellStyle name="Nota 7 5" xfId="3901" xr:uid="{00000000-0005-0000-0000-0000380E0000}"/>
    <cellStyle name="Nota 8" xfId="3902" xr:uid="{00000000-0005-0000-0000-0000390E0000}"/>
    <cellStyle name="Nota 8 2" xfId="3903" xr:uid="{00000000-0005-0000-0000-00003A0E0000}"/>
    <cellStyle name="Nota 8 2 2" xfId="3904" xr:uid="{00000000-0005-0000-0000-00003B0E0000}"/>
    <cellStyle name="Nota 8 3" xfId="3905" xr:uid="{00000000-0005-0000-0000-00003C0E0000}"/>
    <cellStyle name="Nota 8 3 2" xfId="3906" xr:uid="{00000000-0005-0000-0000-00003D0E0000}"/>
    <cellStyle name="Nota 8 4" xfId="3907" xr:uid="{00000000-0005-0000-0000-00003E0E0000}"/>
    <cellStyle name="Nota 8 5" xfId="3908" xr:uid="{00000000-0005-0000-0000-00003F0E0000}"/>
    <cellStyle name="Nota 9" xfId="3909" xr:uid="{00000000-0005-0000-0000-0000400E0000}"/>
    <cellStyle name="Nota 9 2" xfId="3910" xr:uid="{00000000-0005-0000-0000-0000410E0000}"/>
    <cellStyle name="Nota 9 2 2" xfId="3911" xr:uid="{00000000-0005-0000-0000-0000420E0000}"/>
    <cellStyle name="Nota 9 3" xfId="3912" xr:uid="{00000000-0005-0000-0000-0000430E0000}"/>
    <cellStyle name="Nota 9 3 2" xfId="3913" xr:uid="{00000000-0005-0000-0000-0000440E0000}"/>
    <cellStyle name="Nota 9 4" xfId="3914" xr:uid="{00000000-0005-0000-0000-0000450E0000}"/>
    <cellStyle name="Nota 9 5" xfId="3915" xr:uid="{00000000-0005-0000-0000-0000460E0000}"/>
    <cellStyle name="Note" xfId="392" xr:uid="{00000000-0005-0000-0000-0000470E0000}"/>
    <cellStyle name="Note 2" xfId="838" xr:uid="{00000000-0005-0000-0000-0000480E0000}"/>
    <cellStyle name="Note 2 2" xfId="1461" xr:uid="{00000000-0005-0000-0000-0000490E0000}"/>
    <cellStyle name="Note 2 2 2" xfId="1589" xr:uid="{00000000-0005-0000-0000-00004A0E0000}"/>
    <cellStyle name="Note 2 2 2 2" xfId="2631" xr:uid="{00000000-0005-0000-0000-00004B0E0000}"/>
    <cellStyle name="Note 2 2 3" xfId="3981" xr:uid="{00000000-0005-0000-0000-00004C0E0000}"/>
    <cellStyle name="Note 2 3" xfId="1672" xr:uid="{00000000-0005-0000-0000-00004D0E0000}"/>
    <cellStyle name="Note 2 3 2" xfId="2484" xr:uid="{00000000-0005-0000-0000-00004E0E0000}"/>
    <cellStyle name="Note 2 3 3" xfId="2180" xr:uid="{00000000-0005-0000-0000-00004F0E0000}"/>
    <cellStyle name="Note 2 4" xfId="1719" xr:uid="{00000000-0005-0000-0000-0000500E0000}"/>
    <cellStyle name="Note 2 4 2" xfId="4031" xr:uid="{00000000-0005-0000-0000-0000510E0000}"/>
    <cellStyle name="Note 3" xfId="1202" xr:uid="{00000000-0005-0000-0000-0000520E0000}"/>
    <cellStyle name="Note 3 2" xfId="1477" xr:uid="{00000000-0005-0000-0000-0000530E0000}"/>
    <cellStyle name="Note 3 2 2" xfId="1929" xr:uid="{00000000-0005-0000-0000-0000540E0000}"/>
    <cellStyle name="Note 3 2 2 2" xfId="4034" xr:uid="{00000000-0005-0000-0000-0000550E0000}"/>
    <cellStyle name="Note 3 2 3" xfId="2179" xr:uid="{00000000-0005-0000-0000-0000560E0000}"/>
    <cellStyle name="Note 3 3" xfId="1729" xr:uid="{00000000-0005-0000-0000-0000570E0000}"/>
    <cellStyle name="Note 3 3 2" xfId="2517" xr:uid="{00000000-0005-0000-0000-0000580E0000}"/>
    <cellStyle name="Note 3 3 3" xfId="4029" xr:uid="{00000000-0005-0000-0000-0000590E0000}"/>
    <cellStyle name="Note 3 4" xfId="1603" xr:uid="{00000000-0005-0000-0000-00005A0E0000}"/>
    <cellStyle name="Note 3 4 2" xfId="2151" xr:uid="{00000000-0005-0000-0000-00005B0E0000}"/>
    <cellStyle name="Note 4" xfId="1431" xr:uid="{00000000-0005-0000-0000-00005C0E0000}"/>
    <cellStyle name="Note 4 2" xfId="1840" xr:uid="{00000000-0005-0000-0000-00005D0E0000}"/>
    <cellStyle name="Note 4 2 2" xfId="3990" xr:uid="{00000000-0005-0000-0000-00005E0E0000}"/>
    <cellStyle name="Note 4 3" xfId="4087" xr:uid="{00000000-0005-0000-0000-00005F0E0000}"/>
    <cellStyle name="Note 5" xfId="1582" xr:uid="{00000000-0005-0000-0000-0000600E0000}"/>
    <cellStyle name="Note 5 2" xfId="2420" xr:uid="{00000000-0005-0000-0000-0000610E0000}"/>
    <cellStyle name="Note 5 3" xfId="4074" xr:uid="{00000000-0005-0000-0000-0000620E0000}"/>
    <cellStyle name="Note 6" xfId="1565" xr:uid="{00000000-0005-0000-0000-0000630E0000}"/>
    <cellStyle name="Note 6 2" xfId="4084" xr:uid="{00000000-0005-0000-0000-0000640E0000}"/>
    <cellStyle name="Output" xfId="1944" builtinId="21" customBuiltin="1"/>
    <cellStyle name="Output 2" xfId="393" xr:uid="{00000000-0005-0000-0000-0000660E0000}"/>
    <cellStyle name="Output 2 2" xfId="840" xr:uid="{00000000-0005-0000-0000-0000670E0000}"/>
    <cellStyle name="Output 2 2 2" xfId="1463" xr:uid="{00000000-0005-0000-0000-0000680E0000}"/>
    <cellStyle name="Output 2 2 2 2" xfId="1899" xr:uid="{00000000-0005-0000-0000-0000690E0000}"/>
    <cellStyle name="Output 2 2 2 2 2" xfId="2663" xr:uid="{00000000-0005-0000-0000-00006A0E0000}"/>
    <cellStyle name="Output 2 2 2 2 3" xfId="4063" xr:uid="{00000000-0005-0000-0000-00006B0E0000}"/>
    <cellStyle name="Output 2 2 2 3" xfId="1855" xr:uid="{00000000-0005-0000-0000-00006C0E0000}"/>
    <cellStyle name="Output 2 2 2 3 2" xfId="2329" xr:uid="{00000000-0005-0000-0000-00006D0E0000}"/>
    <cellStyle name="Output 2 2 2 4" xfId="2627" xr:uid="{00000000-0005-0000-0000-00006E0E0000}"/>
    <cellStyle name="Output 2 2 3" xfId="1674" xr:uid="{00000000-0005-0000-0000-00006F0E0000}"/>
    <cellStyle name="Output 2 2 3 2" xfId="2486" xr:uid="{00000000-0005-0000-0000-0000700E0000}"/>
    <cellStyle name="Output 2 2 3 3" xfId="3996" xr:uid="{00000000-0005-0000-0000-0000710E0000}"/>
    <cellStyle name="Output 2 2 4" xfId="1698" xr:uid="{00000000-0005-0000-0000-0000720E0000}"/>
    <cellStyle name="Output 2 2 4 2" xfId="2474" xr:uid="{00000000-0005-0000-0000-0000730E0000}"/>
    <cellStyle name="Output 2 3" xfId="1203" xr:uid="{00000000-0005-0000-0000-0000740E0000}"/>
    <cellStyle name="Output 2 3 2" xfId="1478" xr:uid="{00000000-0005-0000-0000-0000750E0000}"/>
    <cellStyle name="Output 2 3 2 2" xfId="1905" xr:uid="{00000000-0005-0000-0000-0000760E0000}"/>
    <cellStyle name="Output 2 3 2 2 2" xfId="2669" xr:uid="{00000000-0005-0000-0000-0000770E0000}"/>
    <cellStyle name="Output 2 3 2 2 3" xfId="4057" xr:uid="{00000000-0005-0000-0000-0000780E0000}"/>
    <cellStyle name="Output 2 3 2 3" xfId="1930" xr:uid="{00000000-0005-0000-0000-0000790E0000}"/>
    <cellStyle name="Output 2 3 2 3 2" xfId="4024" xr:uid="{00000000-0005-0000-0000-00007A0E0000}"/>
    <cellStyle name="Output 2 3 2 4" xfId="2061" xr:uid="{00000000-0005-0000-0000-00007B0E0000}"/>
    <cellStyle name="Output 2 3 3" xfId="1730" xr:uid="{00000000-0005-0000-0000-00007C0E0000}"/>
    <cellStyle name="Output 2 3 3 2" xfId="2518" xr:uid="{00000000-0005-0000-0000-00007D0E0000}"/>
    <cellStyle name="Output 2 3 3 3" xfId="2127" xr:uid="{00000000-0005-0000-0000-00007E0E0000}"/>
    <cellStyle name="Output 2 3 4" xfId="1585" xr:uid="{00000000-0005-0000-0000-00007F0E0000}"/>
    <cellStyle name="Output 2 3 4 2" xfId="4083" xr:uid="{00000000-0005-0000-0000-0000800E0000}"/>
    <cellStyle name="Output 2 4" xfId="1432" xr:uid="{00000000-0005-0000-0000-0000810E0000}"/>
    <cellStyle name="Output 2 4 2" xfId="1891" xr:uid="{00000000-0005-0000-0000-0000820E0000}"/>
    <cellStyle name="Output 2 4 2 2" xfId="2655" xr:uid="{00000000-0005-0000-0000-0000830E0000}"/>
    <cellStyle name="Output 2 4 2 3" xfId="3971" xr:uid="{00000000-0005-0000-0000-0000840E0000}"/>
    <cellStyle name="Output 2 4 3" xfId="1485" xr:uid="{00000000-0005-0000-0000-0000850E0000}"/>
    <cellStyle name="Output 2 4 3 2" xfId="4081" xr:uid="{00000000-0005-0000-0000-0000860E0000}"/>
    <cellStyle name="Output 2 4 4" xfId="2138" xr:uid="{00000000-0005-0000-0000-0000870E0000}"/>
    <cellStyle name="Output 2 5" xfId="1583" xr:uid="{00000000-0005-0000-0000-0000880E0000}"/>
    <cellStyle name="Output 2 5 2" xfId="2421" xr:uid="{00000000-0005-0000-0000-0000890E0000}"/>
    <cellStyle name="Output 2 5 3" xfId="2081" xr:uid="{00000000-0005-0000-0000-00008A0E0000}"/>
    <cellStyle name="Output 2 6" xfId="1724" xr:uid="{00000000-0005-0000-0000-00008B0E0000}"/>
    <cellStyle name="Output 2 6 2" xfId="2065" xr:uid="{00000000-0005-0000-0000-00008C0E0000}"/>
    <cellStyle name="Output 3" xfId="394" xr:uid="{00000000-0005-0000-0000-00008D0E0000}"/>
    <cellStyle name="Output 3 2" xfId="841" xr:uid="{00000000-0005-0000-0000-00008E0E0000}"/>
    <cellStyle name="Output 3 2 2" xfId="1464" xr:uid="{00000000-0005-0000-0000-00008F0E0000}"/>
    <cellStyle name="Output 3 2 2 2" xfId="1900" xr:uid="{00000000-0005-0000-0000-0000900E0000}"/>
    <cellStyle name="Output 3 2 2 2 2" xfId="2664" xr:uid="{00000000-0005-0000-0000-0000910E0000}"/>
    <cellStyle name="Output 3 2 2 2 3" xfId="4062" xr:uid="{00000000-0005-0000-0000-0000920E0000}"/>
    <cellStyle name="Output 3 2 2 3" xfId="1683" xr:uid="{00000000-0005-0000-0000-0000930E0000}"/>
    <cellStyle name="Output 3 2 2 3 2" xfId="3972" xr:uid="{00000000-0005-0000-0000-0000940E0000}"/>
    <cellStyle name="Output 3 2 2 4" xfId="2149" xr:uid="{00000000-0005-0000-0000-0000950E0000}"/>
    <cellStyle name="Output 3 2 3" xfId="1675" xr:uid="{00000000-0005-0000-0000-0000960E0000}"/>
    <cellStyle name="Output 3 2 3 2" xfId="2487" xr:uid="{00000000-0005-0000-0000-0000970E0000}"/>
    <cellStyle name="Output 3 2 3 3" xfId="2142" xr:uid="{00000000-0005-0000-0000-0000980E0000}"/>
    <cellStyle name="Output 3 2 4" xfId="1568" xr:uid="{00000000-0005-0000-0000-0000990E0000}"/>
    <cellStyle name="Output 3 2 4 2" xfId="4006" xr:uid="{00000000-0005-0000-0000-00009A0E0000}"/>
    <cellStyle name="Output 3 3" xfId="1204" xr:uid="{00000000-0005-0000-0000-00009B0E0000}"/>
    <cellStyle name="Output 3 3 2" xfId="1479" xr:uid="{00000000-0005-0000-0000-00009C0E0000}"/>
    <cellStyle name="Output 3 3 2 2" xfId="1906" xr:uid="{00000000-0005-0000-0000-00009D0E0000}"/>
    <cellStyle name="Output 3 3 2 2 2" xfId="2670" xr:uid="{00000000-0005-0000-0000-00009E0E0000}"/>
    <cellStyle name="Output 3 3 2 2 3" xfId="4056" xr:uid="{00000000-0005-0000-0000-00009F0E0000}"/>
    <cellStyle name="Output 3 3 2 3" xfId="1931" xr:uid="{00000000-0005-0000-0000-0000A00E0000}"/>
    <cellStyle name="Output 3 3 2 3 2" xfId="2152" xr:uid="{00000000-0005-0000-0000-0000A10E0000}"/>
    <cellStyle name="Output 3 3 2 4" xfId="2073" xr:uid="{00000000-0005-0000-0000-0000A20E0000}"/>
    <cellStyle name="Output 3 3 3" xfId="1731" xr:uid="{00000000-0005-0000-0000-0000A30E0000}"/>
    <cellStyle name="Output 3 3 3 2" xfId="2519" xr:uid="{00000000-0005-0000-0000-0000A40E0000}"/>
    <cellStyle name="Output 3 3 3 3" xfId="4028" xr:uid="{00000000-0005-0000-0000-0000A50E0000}"/>
    <cellStyle name="Output 3 3 4" xfId="1720" xr:uid="{00000000-0005-0000-0000-0000A60E0000}"/>
    <cellStyle name="Output 3 3 4 2" xfId="4092" xr:uid="{00000000-0005-0000-0000-0000A70E0000}"/>
    <cellStyle name="Output 3 4" xfId="1433" xr:uid="{00000000-0005-0000-0000-0000A80E0000}"/>
    <cellStyle name="Output 3 4 2" xfId="1892" xr:uid="{00000000-0005-0000-0000-0000A90E0000}"/>
    <cellStyle name="Output 3 4 2 2" xfId="2656" xr:uid="{00000000-0005-0000-0000-0000AA0E0000}"/>
    <cellStyle name="Output 3 4 2 3" xfId="2173" xr:uid="{00000000-0005-0000-0000-0000AB0E0000}"/>
    <cellStyle name="Output 3 4 3" xfId="1836" xr:uid="{00000000-0005-0000-0000-0000AC0E0000}"/>
    <cellStyle name="Output 3 4 3 2" xfId="2100" xr:uid="{00000000-0005-0000-0000-0000AD0E0000}"/>
    <cellStyle name="Output 3 4 4" xfId="4003" xr:uid="{00000000-0005-0000-0000-0000AE0E0000}"/>
    <cellStyle name="Output 3 5" xfId="1584" xr:uid="{00000000-0005-0000-0000-0000AF0E0000}"/>
    <cellStyle name="Output 3 5 2" xfId="2422" xr:uid="{00000000-0005-0000-0000-0000B00E0000}"/>
    <cellStyle name="Output 3 5 3" xfId="2097" xr:uid="{00000000-0005-0000-0000-0000B10E0000}"/>
    <cellStyle name="Output 3 6" xfId="1909" xr:uid="{00000000-0005-0000-0000-0000B20E0000}"/>
    <cellStyle name="Output 3 6 2" xfId="4053" xr:uid="{00000000-0005-0000-0000-0000B30E0000}"/>
    <cellStyle name="Output 4" xfId="839" xr:uid="{00000000-0005-0000-0000-0000B40E0000}"/>
    <cellStyle name="Output 4 2" xfId="1462" xr:uid="{00000000-0005-0000-0000-0000B50E0000}"/>
    <cellStyle name="Output 4 2 2" xfId="1898" xr:uid="{00000000-0005-0000-0000-0000B60E0000}"/>
    <cellStyle name="Output 4 2 2 2" xfId="2662" xr:uid="{00000000-0005-0000-0000-0000B70E0000}"/>
    <cellStyle name="Output 4 2 2 3" xfId="2147" xr:uid="{00000000-0005-0000-0000-0000B80E0000}"/>
    <cellStyle name="Output 4 2 3" xfId="1697" xr:uid="{00000000-0005-0000-0000-0000B90E0000}"/>
    <cellStyle name="Output 4 2 3 2" xfId="3994" xr:uid="{00000000-0005-0000-0000-0000BA0E0000}"/>
    <cellStyle name="Output 4 2 4" xfId="3989" xr:uid="{00000000-0005-0000-0000-0000BB0E0000}"/>
    <cellStyle name="Output 4 3" xfId="1673" xr:uid="{00000000-0005-0000-0000-0000BC0E0000}"/>
    <cellStyle name="Output 4 3 2" xfId="2485" xr:uid="{00000000-0005-0000-0000-0000BD0E0000}"/>
    <cellStyle name="Output 4 3 3" xfId="2176" xr:uid="{00000000-0005-0000-0000-0000BE0E0000}"/>
    <cellStyle name="Output 4 4" xfId="1727" xr:uid="{00000000-0005-0000-0000-0000BF0E0000}"/>
    <cellStyle name="Output 4 4 2" xfId="2289" xr:uid="{00000000-0005-0000-0000-0000C00E0000}"/>
    <cellStyle name="Percentuale" xfId="1418" builtinId="5"/>
    <cellStyle name="Percentuale 10" xfId="396" xr:uid="{00000000-0005-0000-0000-0000C20E0000}"/>
    <cellStyle name="Percentuale 11" xfId="397" xr:uid="{00000000-0005-0000-0000-0000C30E0000}"/>
    <cellStyle name="Percentuale 11 2" xfId="398" xr:uid="{00000000-0005-0000-0000-0000C40E0000}"/>
    <cellStyle name="Percentuale 11 2 2" xfId="842" xr:uid="{00000000-0005-0000-0000-0000C50E0000}"/>
    <cellStyle name="Percentuale 11 3" xfId="1205" xr:uid="{00000000-0005-0000-0000-0000C60E0000}"/>
    <cellStyle name="Percentuale 12" xfId="399" xr:uid="{00000000-0005-0000-0000-0000C70E0000}"/>
    <cellStyle name="Percentuale 12 2" xfId="3916" xr:uid="{00000000-0005-0000-0000-0000C80E0000}"/>
    <cellStyle name="Percentuale 12 3" xfId="3917" xr:uid="{00000000-0005-0000-0000-0000C90E0000}"/>
    <cellStyle name="Percentuale 13" xfId="951" xr:uid="{00000000-0005-0000-0000-0000CA0E0000}"/>
    <cellStyle name="Percentuale 14" xfId="395" xr:uid="{00000000-0005-0000-0000-0000CB0E0000}"/>
    <cellStyle name="Percentuale 15" xfId="3946" xr:uid="{00000000-0005-0000-0000-0000CC0E0000}"/>
    <cellStyle name="Percentuale 2" xfId="400" xr:uid="{00000000-0005-0000-0000-0000CD0E0000}"/>
    <cellStyle name="Percentuale 2 2" xfId="401" xr:uid="{00000000-0005-0000-0000-0000CE0E0000}"/>
    <cellStyle name="Percentuale 2 2 2" xfId="402" xr:uid="{00000000-0005-0000-0000-0000CF0E0000}"/>
    <cellStyle name="Percentuale 2 3" xfId="403" xr:uid="{00000000-0005-0000-0000-0000D00E0000}"/>
    <cellStyle name="Percentuale 2 3 2" xfId="3918" xr:uid="{00000000-0005-0000-0000-0000D10E0000}"/>
    <cellStyle name="Percentuale 2 4" xfId="404" xr:uid="{00000000-0005-0000-0000-0000D20E0000}"/>
    <cellStyle name="Percentuale 2 5" xfId="405" xr:uid="{00000000-0005-0000-0000-0000D30E0000}"/>
    <cellStyle name="Percentuale 2 6" xfId="406" xr:uid="{00000000-0005-0000-0000-0000D40E0000}"/>
    <cellStyle name="Percentuale 2 7" xfId="407" xr:uid="{00000000-0005-0000-0000-0000D50E0000}"/>
    <cellStyle name="Percentuale 2 8" xfId="408" xr:uid="{00000000-0005-0000-0000-0000D60E0000}"/>
    <cellStyle name="Percentuale 2 9" xfId="494" xr:uid="{00000000-0005-0000-0000-0000D70E0000}"/>
    <cellStyle name="Percentuale 3" xfId="409" xr:uid="{00000000-0005-0000-0000-0000D80E0000}"/>
    <cellStyle name="Percentuale 3 2" xfId="4018" xr:uid="{00000000-0005-0000-0000-0000D90E0000}"/>
    <cellStyle name="Percentuale 4" xfId="410" xr:uid="{00000000-0005-0000-0000-0000DA0E0000}"/>
    <cellStyle name="Percentuale 4 2" xfId="411" xr:uid="{00000000-0005-0000-0000-0000DB0E0000}"/>
    <cellStyle name="Percentuale 4 2 2" xfId="843" xr:uid="{00000000-0005-0000-0000-0000DC0E0000}"/>
    <cellStyle name="Percentuale 4 2 3" xfId="3919" xr:uid="{00000000-0005-0000-0000-0000DD0E0000}"/>
    <cellStyle name="Percentuale 4 3" xfId="412" xr:uid="{00000000-0005-0000-0000-0000DE0E0000}"/>
    <cellStyle name="Percentuale 4 3 2" xfId="844" xr:uid="{00000000-0005-0000-0000-0000DF0E0000}"/>
    <cellStyle name="Percentuale 4 3 3" xfId="3920" xr:uid="{00000000-0005-0000-0000-0000E00E0000}"/>
    <cellStyle name="Percentuale 4 4" xfId="413" xr:uid="{00000000-0005-0000-0000-0000E10E0000}"/>
    <cellStyle name="Percentuale 4 4 2" xfId="845" xr:uid="{00000000-0005-0000-0000-0000E20E0000}"/>
    <cellStyle name="Percentuale 4 4 3" xfId="3921" xr:uid="{00000000-0005-0000-0000-0000E30E0000}"/>
    <cellStyle name="Percentuale 4 5" xfId="414" xr:uid="{00000000-0005-0000-0000-0000E40E0000}"/>
    <cellStyle name="Percentuale 4 5 2" xfId="846" xr:uid="{00000000-0005-0000-0000-0000E50E0000}"/>
    <cellStyle name="Percentuale 4 5 3" xfId="3922" xr:uid="{00000000-0005-0000-0000-0000E60E0000}"/>
    <cellStyle name="Percentuale 4 6" xfId="415" xr:uid="{00000000-0005-0000-0000-0000E70E0000}"/>
    <cellStyle name="Percentuale 4 6 2" xfId="847" xr:uid="{00000000-0005-0000-0000-0000E80E0000}"/>
    <cellStyle name="Percentuale 4 6 3" xfId="3923" xr:uid="{00000000-0005-0000-0000-0000E90E0000}"/>
    <cellStyle name="Percentuale 4 7" xfId="3924" xr:uid="{00000000-0005-0000-0000-0000EA0E0000}"/>
    <cellStyle name="Percentuale 4 8" xfId="2187" xr:uid="{00000000-0005-0000-0000-0000EB0E0000}"/>
    <cellStyle name="Percentuale 5" xfId="416" xr:uid="{00000000-0005-0000-0000-0000EC0E0000}"/>
    <cellStyle name="Percentuale 5 2" xfId="417" xr:uid="{00000000-0005-0000-0000-0000ED0E0000}"/>
    <cellStyle name="Percentuale 5 3" xfId="1206" xr:uid="{00000000-0005-0000-0000-0000EE0E0000}"/>
    <cellStyle name="Percentuale 6" xfId="418" xr:uid="{00000000-0005-0000-0000-0000EF0E0000}"/>
    <cellStyle name="Percentuale 6 2" xfId="419" xr:uid="{00000000-0005-0000-0000-0000F00E0000}"/>
    <cellStyle name="Percentuale 6 3" xfId="420" xr:uid="{00000000-0005-0000-0000-0000F10E0000}"/>
    <cellStyle name="Percentuale 6 4" xfId="421" xr:uid="{00000000-0005-0000-0000-0000F20E0000}"/>
    <cellStyle name="Percentuale 6 5" xfId="422" xr:uid="{00000000-0005-0000-0000-0000F30E0000}"/>
    <cellStyle name="Percentuale 6 6" xfId="423" xr:uid="{00000000-0005-0000-0000-0000F40E0000}"/>
    <cellStyle name="Percentuale 7" xfId="424" xr:uid="{00000000-0005-0000-0000-0000F50E0000}"/>
    <cellStyle name="Percentuale 7 2" xfId="425" xr:uid="{00000000-0005-0000-0000-0000F60E0000}"/>
    <cellStyle name="Percentuale 7 3" xfId="848" xr:uid="{00000000-0005-0000-0000-0000F70E0000}"/>
    <cellStyle name="Percentuale 8" xfId="426" xr:uid="{00000000-0005-0000-0000-0000F80E0000}"/>
    <cellStyle name="Percentuale 8 2" xfId="427" xr:uid="{00000000-0005-0000-0000-0000F90E0000}"/>
    <cellStyle name="Percentuale 8 2 2" xfId="3925" xr:uid="{00000000-0005-0000-0000-0000FA0E0000}"/>
    <cellStyle name="Percentuale 8 3" xfId="849" xr:uid="{00000000-0005-0000-0000-0000FB0E0000}"/>
    <cellStyle name="Percentuale 9" xfId="428" xr:uid="{00000000-0005-0000-0000-0000FC0E0000}"/>
    <cellStyle name="Percentuale 9 2" xfId="429" xr:uid="{00000000-0005-0000-0000-0000FD0E0000}"/>
    <cellStyle name="Percentuale 9 2 2" xfId="430" xr:uid="{00000000-0005-0000-0000-0000FE0E0000}"/>
    <cellStyle name="Percentuale 9 2 2 2" xfId="852" xr:uid="{00000000-0005-0000-0000-0000FF0E0000}"/>
    <cellStyle name="Percentuale 9 2 3" xfId="851" xr:uid="{00000000-0005-0000-0000-0000000F0000}"/>
    <cellStyle name="Percentuale 9 2 3 2" xfId="3926" xr:uid="{00000000-0005-0000-0000-0000010F0000}"/>
    <cellStyle name="Percentuale 9 2 3 2 2" xfId="3927" xr:uid="{00000000-0005-0000-0000-0000020F0000}"/>
    <cellStyle name="Percentuale 9 2 3 3" xfId="3928" xr:uid="{00000000-0005-0000-0000-0000030F0000}"/>
    <cellStyle name="Percentuale 9 2 3 3 2" xfId="3929" xr:uid="{00000000-0005-0000-0000-0000040F0000}"/>
    <cellStyle name="Percentuale 9 2 3 4" xfId="3930" xr:uid="{00000000-0005-0000-0000-0000050F0000}"/>
    <cellStyle name="Percentuale 9 2 3 5" xfId="3931" xr:uid="{00000000-0005-0000-0000-0000060F0000}"/>
    <cellStyle name="Percentuale 9 3" xfId="431" xr:uid="{00000000-0005-0000-0000-0000070F0000}"/>
    <cellStyle name="Percentuale 9 3 2" xfId="853" xr:uid="{00000000-0005-0000-0000-0000080F0000}"/>
    <cellStyle name="Percentuale 9 4" xfId="850" xr:uid="{00000000-0005-0000-0000-0000090F0000}"/>
    <cellStyle name="Style 1" xfId="1934" xr:uid="{00000000-0005-0000-0000-00000A0F0000}"/>
    <cellStyle name="Testo avviso" xfId="1948" builtinId="11" customBuiltin="1"/>
    <cellStyle name="Testo avviso 2" xfId="432" xr:uid="{00000000-0005-0000-0000-00000C0F0000}"/>
    <cellStyle name="Testo avviso 2 2" xfId="855" xr:uid="{00000000-0005-0000-0000-00000D0F0000}"/>
    <cellStyle name="Testo avviso 2 3" xfId="1207" xr:uid="{00000000-0005-0000-0000-00000E0F0000}"/>
    <cellStyle name="Testo avviso 3" xfId="854" xr:uid="{00000000-0005-0000-0000-00000F0F0000}"/>
    <cellStyle name="Testo descrittivo" xfId="1949" builtinId="53" customBuiltin="1"/>
    <cellStyle name="Testo descrittivo 2" xfId="433" xr:uid="{00000000-0005-0000-0000-0000110F0000}"/>
    <cellStyle name="Testo descrittivo 2 2" xfId="857" xr:uid="{00000000-0005-0000-0000-0000120F0000}"/>
    <cellStyle name="Testo descrittivo 2 3" xfId="1208" xr:uid="{00000000-0005-0000-0000-0000130F0000}"/>
    <cellStyle name="Testo descrittivo 3" xfId="856" xr:uid="{00000000-0005-0000-0000-0000140F0000}"/>
    <cellStyle name="Title" xfId="434" xr:uid="{00000000-0005-0000-0000-0000150F0000}"/>
    <cellStyle name="Title 2" xfId="858" xr:uid="{00000000-0005-0000-0000-0000160F0000}"/>
    <cellStyle name="Title 3" xfId="1209" xr:uid="{00000000-0005-0000-0000-0000170F0000}"/>
    <cellStyle name="Titolo" xfId="1935" builtinId="15" customBuiltin="1"/>
    <cellStyle name="Titolo 1" xfId="1936" builtinId="16" customBuiltin="1"/>
    <cellStyle name="Titolo 1 2" xfId="435" xr:uid="{00000000-0005-0000-0000-00001A0F0000}"/>
    <cellStyle name="Titolo 1 2 2" xfId="861" xr:uid="{00000000-0005-0000-0000-00001B0F0000}"/>
    <cellStyle name="Titolo 1 2 3" xfId="1210" xr:uid="{00000000-0005-0000-0000-00001C0F0000}"/>
    <cellStyle name="Titolo 1 3" xfId="436" xr:uid="{00000000-0005-0000-0000-00001D0F0000}"/>
    <cellStyle name="Titolo 1 3 2" xfId="862" xr:uid="{00000000-0005-0000-0000-00001E0F0000}"/>
    <cellStyle name="Titolo 1 3 3" xfId="1211" xr:uid="{00000000-0005-0000-0000-00001F0F0000}"/>
    <cellStyle name="Titolo 1 4" xfId="860" xr:uid="{00000000-0005-0000-0000-0000200F0000}"/>
    <cellStyle name="Titolo 2" xfId="1937" builtinId="17" customBuiltin="1"/>
    <cellStyle name="Titolo 2 2" xfId="437" xr:uid="{00000000-0005-0000-0000-0000220F0000}"/>
    <cellStyle name="Titolo 2 2 2" xfId="864" xr:uid="{00000000-0005-0000-0000-0000230F0000}"/>
    <cellStyle name="Titolo 2 2 3" xfId="1212" xr:uid="{00000000-0005-0000-0000-0000240F0000}"/>
    <cellStyle name="Titolo 2 3" xfId="438" xr:uid="{00000000-0005-0000-0000-0000250F0000}"/>
    <cellStyle name="Titolo 2 3 2" xfId="865" xr:uid="{00000000-0005-0000-0000-0000260F0000}"/>
    <cellStyle name="Titolo 2 3 3" xfId="1213" xr:uid="{00000000-0005-0000-0000-0000270F0000}"/>
    <cellStyle name="Titolo 2 4" xfId="863" xr:uid="{00000000-0005-0000-0000-0000280F0000}"/>
    <cellStyle name="Titolo 3" xfId="1938" builtinId="18" customBuiltin="1"/>
    <cellStyle name="Titolo 3 2" xfId="439" xr:uid="{00000000-0005-0000-0000-00002A0F0000}"/>
    <cellStyle name="Titolo 3 2 2" xfId="867" xr:uid="{00000000-0005-0000-0000-00002B0F0000}"/>
    <cellStyle name="Titolo 3 2 3" xfId="1214" xr:uid="{00000000-0005-0000-0000-00002C0F0000}"/>
    <cellStyle name="Titolo 3 3" xfId="440" xr:uid="{00000000-0005-0000-0000-00002D0F0000}"/>
    <cellStyle name="Titolo 3 3 2" xfId="868" xr:uid="{00000000-0005-0000-0000-00002E0F0000}"/>
    <cellStyle name="Titolo 3 3 3" xfId="1215" xr:uid="{00000000-0005-0000-0000-00002F0F0000}"/>
    <cellStyle name="Titolo 3 4" xfId="866" xr:uid="{00000000-0005-0000-0000-0000300F0000}"/>
    <cellStyle name="Titolo 4" xfId="1939" builtinId="19" customBuiltin="1"/>
    <cellStyle name="Titolo 4 2" xfId="441" xr:uid="{00000000-0005-0000-0000-0000320F0000}"/>
    <cellStyle name="Titolo 4 2 2" xfId="870" xr:uid="{00000000-0005-0000-0000-0000330F0000}"/>
    <cellStyle name="Titolo 4 2 3" xfId="1216" xr:uid="{00000000-0005-0000-0000-0000340F0000}"/>
    <cellStyle name="Titolo 4 3" xfId="442" xr:uid="{00000000-0005-0000-0000-0000350F0000}"/>
    <cellStyle name="Titolo 4 3 2" xfId="871" xr:uid="{00000000-0005-0000-0000-0000360F0000}"/>
    <cellStyle name="Titolo 4 3 3" xfId="1217" xr:uid="{00000000-0005-0000-0000-0000370F0000}"/>
    <cellStyle name="Titolo 4 4" xfId="869" xr:uid="{00000000-0005-0000-0000-0000380F0000}"/>
    <cellStyle name="Titolo 5" xfId="443" xr:uid="{00000000-0005-0000-0000-0000390F0000}"/>
    <cellStyle name="Titolo 5 2" xfId="872" xr:uid="{00000000-0005-0000-0000-00003A0F0000}"/>
    <cellStyle name="Titolo 5 3" xfId="1218" xr:uid="{00000000-0005-0000-0000-00003B0F0000}"/>
    <cellStyle name="Titolo 6" xfId="444" xr:uid="{00000000-0005-0000-0000-00003C0F0000}"/>
    <cellStyle name="Titolo 6 2" xfId="873" xr:uid="{00000000-0005-0000-0000-00003D0F0000}"/>
    <cellStyle name="Titolo 6 3" xfId="1219" xr:uid="{00000000-0005-0000-0000-00003E0F0000}"/>
    <cellStyle name="Titolo 7" xfId="859" xr:uid="{00000000-0005-0000-0000-00003F0F0000}"/>
    <cellStyle name="Total" xfId="445" xr:uid="{00000000-0005-0000-0000-0000400F0000}"/>
    <cellStyle name="Total 2" xfId="874" xr:uid="{00000000-0005-0000-0000-0000410F0000}"/>
    <cellStyle name="Total 2 2" xfId="1465" xr:uid="{00000000-0005-0000-0000-0000420F0000}"/>
    <cellStyle name="Total 2 2 2" xfId="1901" xr:uid="{00000000-0005-0000-0000-0000430F0000}"/>
    <cellStyle name="Total 2 2 2 2" xfId="2665" xr:uid="{00000000-0005-0000-0000-0000440F0000}"/>
    <cellStyle name="Total 2 2 2 3" xfId="4061" xr:uid="{00000000-0005-0000-0000-0000450F0000}"/>
    <cellStyle name="Total 2 2 3" xfId="1611" xr:uid="{00000000-0005-0000-0000-0000460F0000}"/>
    <cellStyle name="Total 2 2 3 2" xfId="4070" xr:uid="{00000000-0005-0000-0000-0000470F0000}"/>
    <cellStyle name="Total 2 2 4" xfId="1981" xr:uid="{00000000-0005-0000-0000-0000480F0000}"/>
    <cellStyle name="Total 2 3" xfId="1685" xr:uid="{00000000-0005-0000-0000-0000490F0000}"/>
    <cellStyle name="Total 2 3 2" xfId="2490" xr:uid="{00000000-0005-0000-0000-00004A0F0000}"/>
    <cellStyle name="Total 2 3 3" xfId="2130" xr:uid="{00000000-0005-0000-0000-00004B0F0000}"/>
    <cellStyle name="Total 2 4" xfId="1605" xr:uid="{00000000-0005-0000-0000-00004C0F0000}"/>
    <cellStyle name="Total 2 4 2" xfId="4078" xr:uid="{00000000-0005-0000-0000-00004D0F0000}"/>
    <cellStyle name="Total 3" xfId="1220" xr:uid="{00000000-0005-0000-0000-00004E0F0000}"/>
    <cellStyle name="Total 3 2" xfId="1480" xr:uid="{00000000-0005-0000-0000-00004F0F0000}"/>
    <cellStyle name="Total 3 2 2" xfId="1907" xr:uid="{00000000-0005-0000-0000-0000500F0000}"/>
    <cellStyle name="Total 3 2 2 2" xfId="2671" xr:uid="{00000000-0005-0000-0000-0000510F0000}"/>
    <cellStyle name="Total 3 2 2 3" xfId="4055" xr:uid="{00000000-0005-0000-0000-0000520F0000}"/>
    <cellStyle name="Total 3 2 3" xfId="1932" xr:uid="{00000000-0005-0000-0000-0000530F0000}"/>
    <cellStyle name="Total 3 2 3 2" xfId="2327" xr:uid="{00000000-0005-0000-0000-0000540F0000}"/>
    <cellStyle name="Total 3 2 4" xfId="2330" xr:uid="{00000000-0005-0000-0000-0000550F0000}"/>
    <cellStyle name="Total 3 3" xfId="1738" xr:uid="{00000000-0005-0000-0000-0000560F0000}"/>
    <cellStyle name="Total 3 3 2" xfId="2521" xr:uid="{00000000-0005-0000-0000-0000570F0000}"/>
    <cellStyle name="Total 3 3 3" xfId="4099" xr:uid="{00000000-0005-0000-0000-0000580F0000}"/>
    <cellStyle name="Total 3 4" xfId="1607" xr:uid="{00000000-0005-0000-0000-0000590F0000}"/>
    <cellStyle name="Total 3 4 2" xfId="4071" xr:uid="{00000000-0005-0000-0000-00005A0F0000}"/>
    <cellStyle name="Total 4" xfId="1434" xr:uid="{00000000-0005-0000-0000-00005B0F0000}"/>
    <cellStyle name="Total 4 2" xfId="1893" xr:uid="{00000000-0005-0000-0000-00005C0F0000}"/>
    <cellStyle name="Total 4 2 2" xfId="2657" xr:uid="{00000000-0005-0000-0000-00005D0F0000}"/>
    <cellStyle name="Total 4 2 3" xfId="4067" xr:uid="{00000000-0005-0000-0000-00005E0F0000}"/>
    <cellStyle name="Total 4 3" xfId="1677" xr:uid="{00000000-0005-0000-0000-00005F0F0000}"/>
    <cellStyle name="Total 4 3 2" xfId="2145" xr:uid="{00000000-0005-0000-0000-0000600F0000}"/>
    <cellStyle name="Total 4 4" xfId="2157" xr:uid="{00000000-0005-0000-0000-0000610F0000}"/>
    <cellStyle name="Total 5" xfId="1591" xr:uid="{00000000-0005-0000-0000-0000620F0000}"/>
    <cellStyle name="Total 5 2" xfId="2424" xr:uid="{00000000-0005-0000-0000-0000630F0000}"/>
    <cellStyle name="Total 5 3" xfId="4082" xr:uid="{00000000-0005-0000-0000-0000640F0000}"/>
    <cellStyle name="Total 6" xfId="1661" xr:uid="{00000000-0005-0000-0000-0000650F0000}"/>
    <cellStyle name="Total 6 2" xfId="2325" xr:uid="{00000000-0005-0000-0000-0000660F0000}"/>
    <cellStyle name="Totale" xfId="1950" builtinId="25" customBuiltin="1"/>
    <cellStyle name="Totale 2" xfId="446" xr:uid="{00000000-0005-0000-0000-0000680F0000}"/>
    <cellStyle name="Totale 2 2" xfId="876" xr:uid="{00000000-0005-0000-0000-0000690F0000}"/>
    <cellStyle name="Totale 2 2 2" xfId="1467" xr:uid="{00000000-0005-0000-0000-00006A0F0000}"/>
    <cellStyle name="Totale 2 2 2 2" xfId="1903" xr:uid="{00000000-0005-0000-0000-00006B0F0000}"/>
    <cellStyle name="Totale 2 2 2 2 2" xfId="2667" xr:uid="{00000000-0005-0000-0000-00006C0F0000}"/>
    <cellStyle name="Totale 2 2 2 2 3" xfId="4059" xr:uid="{00000000-0005-0000-0000-00006D0F0000}"/>
    <cellStyle name="Totale 2 2 2 3" xfId="1736" xr:uid="{00000000-0005-0000-0000-00006E0F0000}"/>
    <cellStyle name="Totale 2 2 2 3 2" xfId="2182" xr:uid="{00000000-0005-0000-0000-00006F0F0000}"/>
    <cellStyle name="Totale 2 2 2 4" xfId="4008" xr:uid="{00000000-0005-0000-0000-0000700F0000}"/>
    <cellStyle name="Totale 2 2 3" xfId="1687" xr:uid="{00000000-0005-0000-0000-0000710F0000}"/>
    <cellStyle name="Totale 2 2 3 2" xfId="2492" xr:uid="{00000000-0005-0000-0000-0000720F0000}"/>
    <cellStyle name="Totale 2 2 3 3" xfId="1982" xr:uid="{00000000-0005-0000-0000-0000730F0000}"/>
    <cellStyle name="Totale 2 2 4" xfId="1601" xr:uid="{00000000-0005-0000-0000-0000740F0000}"/>
    <cellStyle name="Totale 2 2 4 2" xfId="2324" xr:uid="{00000000-0005-0000-0000-0000750F0000}"/>
    <cellStyle name="Totale 2 3" xfId="629" xr:uid="{00000000-0005-0000-0000-0000760F0000}"/>
    <cellStyle name="Totale 2 3 2" xfId="1451" xr:uid="{00000000-0005-0000-0000-0000770F0000}"/>
    <cellStyle name="Totale 2 3 2 2" xfId="1896" xr:uid="{00000000-0005-0000-0000-0000780F0000}"/>
    <cellStyle name="Totale 2 3 2 2 2" xfId="2660" xr:uid="{00000000-0005-0000-0000-0000790F0000}"/>
    <cellStyle name="Totale 2 3 2 2 3" xfId="4065" xr:uid="{00000000-0005-0000-0000-00007A0F0000}"/>
    <cellStyle name="Totale 2 3 2 3" xfId="1682" xr:uid="{00000000-0005-0000-0000-00007B0F0000}"/>
    <cellStyle name="Totale 2 3 2 3 2" xfId="3995" xr:uid="{00000000-0005-0000-0000-00007C0F0000}"/>
    <cellStyle name="Totale 2 3 2 4" xfId="2272" xr:uid="{00000000-0005-0000-0000-00007D0F0000}"/>
    <cellStyle name="Totale 2 3 3" xfId="1641" xr:uid="{00000000-0005-0000-0000-00007E0F0000}"/>
    <cellStyle name="Totale 2 3 3 2" xfId="2459" xr:uid="{00000000-0005-0000-0000-00007F0F0000}"/>
    <cellStyle name="Totale 2 3 3 3" xfId="3974" xr:uid="{00000000-0005-0000-0000-0000800F0000}"/>
    <cellStyle name="Totale 2 3 4" xfId="1917" xr:uid="{00000000-0005-0000-0000-0000810F0000}"/>
    <cellStyle name="Totale 2 3 4 2" xfId="4045" xr:uid="{00000000-0005-0000-0000-0000820F0000}"/>
    <cellStyle name="Totale 2 4" xfId="1435" xr:uid="{00000000-0005-0000-0000-0000830F0000}"/>
    <cellStyle name="Totale 2 4 2" xfId="1894" xr:uid="{00000000-0005-0000-0000-0000840F0000}"/>
    <cellStyle name="Totale 2 4 2 2" xfId="2658" xr:uid="{00000000-0005-0000-0000-0000850F0000}"/>
    <cellStyle name="Totale 2 4 2 3" xfId="4090" xr:uid="{00000000-0005-0000-0000-0000860F0000}"/>
    <cellStyle name="Totale 2 4 3" xfId="1706" xr:uid="{00000000-0005-0000-0000-0000870F0000}"/>
    <cellStyle name="Totale 2 4 3 2" xfId="2096" xr:uid="{00000000-0005-0000-0000-0000880F0000}"/>
    <cellStyle name="Totale 2 4 4" xfId="4093" xr:uid="{00000000-0005-0000-0000-0000890F0000}"/>
    <cellStyle name="Totale 2 5" xfId="1592" xr:uid="{00000000-0005-0000-0000-00008A0F0000}"/>
    <cellStyle name="Totale 2 5 2" xfId="2425" xr:uid="{00000000-0005-0000-0000-00008B0F0000}"/>
    <cellStyle name="Totale 2 5 3" xfId="2082" xr:uid="{00000000-0005-0000-0000-00008C0F0000}"/>
    <cellStyle name="Totale 2 6" xfId="1725" xr:uid="{00000000-0005-0000-0000-00008D0F0000}"/>
    <cellStyle name="Totale 2 6 2" xfId="4030" xr:uid="{00000000-0005-0000-0000-00008E0F0000}"/>
    <cellStyle name="Totale 3" xfId="447" xr:uid="{00000000-0005-0000-0000-00008F0F0000}"/>
    <cellStyle name="Totale 3 2" xfId="877" xr:uid="{00000000-0005-0000-0000-0000900F0000}"/>
    <cellStyle name="Totale 3 2 2" xfId="1468" xr:uid="{00000000-0005-0000-0000-0000910F0000}"/>
    <cellStyle name="Totale 3 2 2 2" xfId="1904" xr:uid="{00000000-0005-0000-0000-0000920F0000}"/>
    <cellStyle name="Totale 3 2 2 2 2" xfId="2668" xr:uid="{00000000-0005-0000-0000-0000930F0000}"/>
    <cellStyle name="Totale 3 2 2 2 3" xfId="4058" xr:uid="{00000000-0005-0000-0000-0000940F0000}"/>
    <cellStyle name="Totale 3 2 2 3" xfId="1483" xr:uid="{00000000-0005-0000-0000-0000950F0000}"/>
    <cellStyle name="Totale 3 2 2 3 2" xfId="2437" xr:uid="{00000000-0005-0000-0000-0000960F0000}"/>
    <cellStyle name="Totale 3 2 2 4" xfId="2177" xr:uid="{00000000-0005-0000-0000-0000970F0000}"/>
    <cellStyle name="Totale 3 2 3" xfId="1688" xr:uid="{00000000-0005-0000-0000-0000980F0000}"/>
    <cellStyle name="Totale 3 2 3 2" xfId="2493" xr:uid="{00000000-0005-0000-0000-0000990F0000}"/>
    <cellStyle name="Totale 3 2 3 3" xfId="2436" xr:uid="{00000000-0005-0000-0000-00009A0F0000}"/>
    <cellStyle name="Totale 3 2 4" xfId="1574" xr:uid="{00000000-0005-0000-0000-00009B0F0000}"/>
    <cellStyle name="Totale 3 2 4 2" xfId="3954" xr:uid="{00000000-0005-0000-0000-00009C0F0000}"/>
    <cellStyle name="Totale 3 3" xfId="630" xr:uid="{00000000-0005-0000-0000-00009D0F0000}"/>
    <cellStyle name="Totale 3 3 2" xfId="1452" xr:uid="{00000000-0005-0000-0000-00009E0F0000}"/>
    <cellStyle name="Totale 3 3 2 2" xfId="1897" xr:uid="{00000000-0005-0000-0000-00009F0F0000}"/>
    <cellStyle name="Totale 3 3 2 2 2" xfId="2661" xr:uid="{00000000-0005-0000-0000-0000A00F0000}"/>
    <cellStyle name="Totale 3 3 2 2 3" xfId="4064" xr:uid="{00000000-0005-0000-0000-0000A10F0000}"/>
    <cellStyle name="Totale 3 3 2 3" xfId="1851" xr:uid="{00000000-0005-0000-0000-0000A20F0000}"/>
    <cellStyle name="Totale 3 3 2 3 2" xfId="4098" xr:uid="{00000000-0005-0000-0000-0000A30F0000}"/>
    <cellStyle name="Totale 3 3 2 4" xfId="2135" xr:uid="{00000000-0005-0000-0000-0000A40F0000}"/>
    <cellStyle name="Totale 3 3 3" xfId="1642" xr:uid="{00000000-0005-0000-0000-0000A50F0000}"/>
    <cellStyle name="Totale 3 3 3 2" xfId="2460" xr:uid="{00000000-0005-0000-0000-0000A60F0000}"/>
    <cellStyle name="Totale 3 3 3 3" xfId="2311" xr:uid="{00000000-0005-0000-0000-0000A70F0000}"/>
    <cellStyle name="Totale 3 3 4" xfId="1916" xr:uid="{00000000-0005-0000-0000-0000A80F0000}"/>
    <cellStyle name="Totale 3 3 4 2" xfId="4046" xr:uid="{00000000-0005-0000-0000-0000A90F0000}"/>
    <cellStyle name="Totale 3 4" xfId="1436" xr:uid="{00000000-0005-0000-0000-0000AA0F0000}"/>
    <cellStyle name="Totale 3 4 2" xfId="1895" xr:uid="{00000000-0005-0000-0000-0000AB0F0000}"/>
    <cellStyle name="Totale 3 4 2 2" xfId="2659" xr:uid="{00000000-0005-0000-0000-0000AC0F0000}"/>
    <cellStyle name="Totale 3 4 2 3" xfId="4066" xr:uid="{00000000-0005-0000-0000-0000AD0F0000}"/>
    <cellStyle name="Totale 3 4 3" xfId="1838" xr:uid="{00000000-0005-0000-0000-0000AE0F0000}"/>
    <cellStyle name="Totale 3 4 3 2" xfId="2520" xr:uid="{00000000-0005-0000-0000-0000AF0F0000}"/>
    <cellStyle name="Totale 3 4 4" xfId="2131" xr:uid="{00000000-0005-0000-0000-0000B00F0000}"/>
    <cellStyle name="Totale 3 5" xfId="1593" xr:uid="{00000000-0005-0000-0000-0000B10F0000}"/>
    <cellStyle name="Totale 3 5 2" xfId="2426" xr:uid="{00000000-0005-0000-0000-0000B20F0000}"/>
    <cellStyle name="Totale 3 5 3" xfId="3959" xr:uid="{00000000-0005-0000-0000-0000B30F0000}"/>
    <cellStyle name="Totale 3 6" xfId="1908" xr:uid="{00000000-0005-0000-0000-0000B40F0000}"/>
    <cellStyle name="Totale 3 6 2" xfId="4054" xr:uid="{00000000-0005-0000-0000-0000B50F0000}"/>
    <cellStyle name="Totale 4" xfId="875" xr:uid="{00000000-0005-0000-0000-0000B60F0000}"/>
    <cellStyle name="Totale 4 2" xfId="1466" xr:uid="{00000000-0005-0000-0000-0000B70F0000}"/>
    <cellStyle name="Totale 4 2 2" xfId="1902" xr:uid="{00000000-0005-0000-0000-0000B80F0000}"/>
    <cellStyle name="Totale 4 2 2 2" xfId="2666" xr:uid="{00000000-0005-0000-0000-0000B90F0000}"/>
    <cellStyle name="Totale 4 2 2 3" xfId="4060" xr:uid="{00000000-0005-0000-0000-0000BA0F0000}"/>
    <cellStyle name="Totale 4 2 3" xfId="1857" xr:uid="{00000000-0005-0000-0000-0000BB0F0000}"/>
    <cellStyle name="Totale 4 2 3 2" xfId="2183" xr:uid="{00000000-0005-0000-0000-0000BC0F0000}"/>
    <cellStyle name="Totale 4 2 4" xfId="3984" xr:uid="{00000000-0005-0000-0000-0000BD0F0000}"/>
    <cellStyle name="Totale 4 3" xfId="1686" xr:uid="{00000000-0005-0000-0000-0000BE0F0000}"/>
    <cellStyle name="Totale 4 3 2" xfId="2491" xr:uid="{00000000-0005-0000-0000-0000BF0F0000}"/>
    <cellStyle name="Totale 4 3 3" xfId="2072" xr:uid="{00000000-0005-0000-0000-0000C00F0000}"/>
    <cellStyle name="Totale 4 4" xfId="1569" xr:uid="{00000000-0005-0000-0000-0000C10F0000}"/>
    <cellStyle name="Totale 4 4 2" xfId="2672" xr:uid="{00000000-0005-0000-0000-0000C20F0000}"/>
    <cellStyle name="Valore non valido" xfId="1941" builtinId="27" customBuiltin="1"/>
    <cellStyle name="Valore non valido 2" xfId="448" xr:uid="{00000000-0005-0000-0000-0000C40F0000}"/>
    <cellStyle name="Valore non valido 2 2" xfId="878" xr:uid="{00000000-0005-0000-0000-0000C50F0000}"/>
    <cellStyle name="Valore non valido 2 3" xfId="1221" xr:uid="{00000000-0005-0000-0000-0000C60F0000}"/>
    <cellStyle name="Valore non valido 3" xfId="449" xr:uid="{00000000-0005-0000-0000-0000C70F0000}"/>
    <cellStyle name="Valore non valido 3 2" xfId="879" xr:uid="{00000000-0005-0000-0000-0000C80F0000}"/>
    <cellStyle name="Valore non valido 3 3" xfId="1222" xr:uid="{00000000-0005-0000-0000-0000C90F0000}"/>
    <cellStyle name="Valore non valido 4" xfId="477" xr:uid="{00000000-0005-0000-0000-0000CA0F0000}"/>
    <cellStyle name="Valore valido" xfId="1940" builtinId="26" customBuiltin="1"/>
    <cellStyle name="Valore valido 2" xfId="450" xr:uid="{00000000-0005-0000-0000-0000CC0F0000}"/>
    <cellStyle name="Valore valido 2 2" xfId="881" xr:uid="{00000000-0005-0000-0000-0000CD0F0000}"/>
    <cellStyle name="Valore valido 2 3" xfId="1223" xr:uid="{00000000-0005-0000-0000-0000CE0F0000}"/>
    <cellStyle name="Valore valido 3" xfId="451" xr:uid="{00000000-0005-0000-0000-0000CF0F0000}"/>
    <cellStyle name="Valore valido 3 2" xfId="882" xr:uid="{00000000-0005-0000-0000-0000D00F0000}"/>
    <cellStyle name="Valore valido 3 3" xfId="1224" xr:uid="{00000000-0005-0000-0000-0000D10F0000}"/>
    <cellStyle name="Valore valido 4" xfId="880" xr:uid="{00000000-0005-0000-0000-0000D20F0000}"/>
    <cellStyle name="Valuta (0)_1995" xfId="3932" xr:uid="{00000000-0005-0000-0000-0000D30F0000}"/>
    <cellStyle name="Valuta [0] 2" xfId="452" xr:uid="{00000000-0005-0000-0000-0000D40F0000}"/>
    <cellStyle name="Valuta [0] 2 2" xfId="885" xr:uid="{00000000-0005-0000-0000-0000D50F0000}"/>
    <cellStyle name="Valuta [0] 2 3" xfId="1225" xr:uid="{00000000-0005-0000-0000-0000D60F0000}"/>
    <cellStyle name="Valuta [0] 3" xfId="453" xr:uid="{00000000-0005-0000-0000-0000D70F0000}"/>
    <cellStyle name="Valuta [0] 3 2" xfId="454" xr:uid="{00000000-0005-0000-0000-0000D80F0000}"/>
    <cellStyle name="Valuta [0] 3 3" xfId="455" xr:uid="{00000000-0005-0000-0000-0000D90F0000}"/>
    <cellStyle name="Valuta [0] 3 4" xfId="456" xr:uid="{00000000-0005-0000-0000-0000DA0F0000}"/>
    <cellStyle name="Valuta [0] 3 5" xfId="457" xr:uid="{00000000-0005-0000-0000-0000DB0F0000}"/>
    <cellStyle name="Valuta [0] 3 6" xfId="458" xr:uid="{00000000-0005-0000-0000-0000DC0F0000}"/>
    <cellStyle name="Valuta 10" xfId="638" xr:uid="{00000000-0005-0000-0000-0000DD0F0000}"/>
    <cellStyle name="Valuta 10 2" xfId="1650" xr:uid="{00000000-0005-0000-0000-0000DE0F0000}"/>
    <cellStyle name="Valuta 10 2 2" xfId="2468" xr:uid="{00000000-0005-0000-0000-0000DF0F0000}"/>
    <cellStyle name="Valuta 10 3" xfId="2121" xr:uid="{00000000-0005-0000-0000-0000E00F0000}"/>
    <cellStyle name="Valuta 11" xfId="1226" xr:uid="{00000000-0005-0000-0000-0000E10F0000}"/>
    <cellStyle name="Valuta 11 2" xfId="1739" xr:uid="{00000000-0005-0000-0000-0000E20F0000}"/>
    <cellStyle name="Valuta 11 2 2" xfId="2522" xr:uid="{00000000-0005-0000-0000-0000E30F0000}"/>
    <cellStyle name="Valuta 11 3" xfId="2188" xr:uid="{00000000-0005-0000-0000-0000E40F0000}"/>
    <cellStyle name="Valuta 12" xfId="1227" xr:uid="{00000000-0005-0000-0000-0000E50F0000}"/>
    <cellStyle name="Valuta 12 2" xfId="1740" xr:uid="{00000000-0005-0000-0000-0000E60F0000}"/>
    <cellStyle name="Valuta 12 2 2" xfId="2523" xr:uid="{00000000-0005-0000-0000-0000E70F0000}"/>
    <cellStyle name="Valuta 12 3" xfId="2189" xr:uid="{00000000-0005-0000-0000-0000E80F0000}"/>
    <cellStyle name="Valuta 2" xfId="459" xr:uid="{00000000-0005-0000-0000-0000E90F0000}"/>
    <cellStyle name="Valuta 2 2" xfId="1594" xr:uid="{00000000-0005-0000-0000-0000EA0F0000}"/>
    <cellStyle name="Valuta 2 2 2" xfId="2427" xr:uid="{00000000-0005-0000-0000-0000EB0F0000}"/>
    <cellStyle name="Valuta 2 3" xfId="2088" xr:uid="{00000000-0005-0000-0000-0000EC0F0000}"/>
    <cellStyle name="Valuta 3" xfId="460" xr:uid="{00000000-0005-0000-0000-0000ED0F0000}"/>
    <cellStyle name="Valuta 3 2" xfId="1595" xr:uid="{00000000-0005-0000-0000-0000EE0F0000}"/>
    <cellStyle name="Valuta 3 2 2" xfId="2428" xr:uid="{00000000-0005-0000-0000-0000EF0F0000}"/>
    <cellStyle name="Valuta 3 3" xfId="3933" xr:uid="{00000000-0005-0000-0000-0000F00F0000}"/>
    <cellStyle name="Valuta 3 4" xfId="2089" xr:uid="{00000000-0005-0000-0000-0000F10F0000}"/>
    <cellStyle name="Valuta 4" xfId="461" xr:uid="{00000000-0005-0000-0000-0000F20F0000}"/>
    <cellStyle name="Valuta 4 2" xfId="1596" xr:uid="{00000000-0005-0000-0000-0000F30F0000}"/>
    <cellStyle name="Valuta 4 2 2" xfId="2429" xr:uid="{00000000-0005-0000-0000-0000F40F0000}"/>
    <cellStyle name="Valuta 4 3" xfId="2090" xr:uid="{00000000-0005-0000-0000-0000F50F0000}"/>
    <cellStyle name="Valuta 5" xfId="495" xr:uid="{00000000-0005-0000-0000-0000F60F0000}"/>
    <cellStyle name="Valuta 5 2" xfId="1606" xr:uid="{00000000-0005-0000-0000-0000F70F0000}"/>
    <cellStyle name="Valuta 5 2 2" xfId="2434" xr:uid="{00000000-0005-0000-0000-0000F80F0000}"/>
    <cellStyle name="Valuta 5 3" xfId="2098" xr:uid="{00000000-0005-0000-0000-0000F90F0000}"/>
    <cellStyle name="Valuta 6" xfId="883" xr:uid="{00000000-0005-0000-0000-0000FA0F0000}"/>
    <cellStyle name="Valuta 6 2" xfId="1689" xr:uid="{00000000-0005-0000-0000-0000FB0F0000}"/>
    <cellStyle name="Valuta 6 2 2" xfId="2494" xr:uid="{00000000-0005-0000-0000-0000FC0F0000}"/>
    <cellStyle name="Valuta 6 3" xfId="2143" xr:uid="{00000000-0005-0000-0000-0000FD0F0000}"/>
    <cellStyle name="Valuta 7" xfId="933" xr:uid="{00000000-0005-0000-0000-0000FE0F0000}"/>
    <cellStyle name="Valuta 7 2" xfId="1699" xr:uid="{00000000-0005-0000-0000-0000FF0F0000}"/>
    <cellStyle name="Valuta 7 2 2" xfId="2500" xr:uid="{00000000-0005-0000-0000-000000100000}"/>
    <cellStyle name="Valuta 7 3" xfId="2155" xr:uid="{00000000-0005-0000-0000-000001100000}"/>
    <cellStyle name="Valuta 8" xfId="884" xr:uid="{00000000-0005-0000-0000-000002100000}"/>
    <cellStyle name="Valuta 8 2" xfId="1690" xr:uid="{00000000-0005-0000-0000-000003100000}"/>
    <cellStyle name="Valuta 8 2 2" xfId="2495" xr:uid="{00000000-0005-0000-0000-000004100000}"/>
    <cellStyle name="Valuta 8 3" xfId="2144" xr:uid="{00000000-0005-0000-0000-000005100000}"/>
    <cellStyle name="Valuta 9" xfId="938" xr:uid="{00000000-0005-0000-0000-000006100000}"/>
    <cellStyle name="Valuta 9 2" xfId="1700" xr:uid="{00000000-0005-0000-0000-000007100000}"/>
    <cellStyle name="Valuta 9 2 2" xfId="2501" xr:uid="{00000000-0005-0000-0000-000008100000}"/>
    <cellStyle name="Valuta 9 3" xfId="2158" xr:uid="{00000000-0005-0000-0000-000009100000}"/>
    <cellStyle name="Warning Text" xfId="462" xr:uid="{00000000-0005-0000-0000-00000A100000}"/>
    <cellStyle name="Warning Text 2" xfId="886" xr:uid="{00000000-0005-0000-0000-00000B100000}"/>
    <cellStyle name="Warning Text 3" xfId="1228" xr:uid="{00000000-0005-0000-0000-00000C100000}"/>
  </cellStyles>
  <dxfs count="39">
    <dxf>
      <font>
        <color theme="0"/>
      </font>
      <fill>
        <patternFill>
          <bgColor rgb="FF1F497D"/>
        </patternFill>
      </fill>
    </dxf>
    <dxf>
      <font>
        <color theme="0"/>
      </font>
      <fill>
        <patternFill>
          <bgColor rgb="FF1F497D"/>
        </patternFill>
      </fill>
    </dxf>
    <dxf>
      <font>
        <color theme="0"/>
      </font>
      <fill>
        <patternFill>
          <bgColor rgb="FF1F497D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9BE2B"/>
      <color rgb="FF8E3432"/>
      <color rgb="FF602322"/>
      <color rgb="FFBF4C49"/>
      <color rgb="FFCC706E"/>
      <color rgb="FFE0A9A8"/>
      <color rgb="FFE7BDBB"/>
      <color rgb="FFF6E7E6"/>
      <color rgb="FFF1D8D7"/>
      <color rgb="FFEAC5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96522309711286E-2"/>
          <c:y val="8.6235462194916596E-2"/>
          <c:w val="0.8698473315835521"/>
          <c:h val="0.6891068993801911"/>
        </c:manualLayout>
      </c:layout>
      <c:barChart>
        <c:barDir val="bar"/>
        <c:grouping val="stacked"/>
        <c:varyColors val="0"/>
        <c:ser>
          <c:idx val="1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Score!$J$76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C2-4E08-A153-977D47C50914}"/>
            </c:ext>
          </c:extLst>
        </c:ser>
        <c:ser>
          <c:idx val="0"/>
          <c:order val="1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Score!$I$76</c:f>
              <c:numCache>
                <c:formatCode>0.00%</c:formatCode>
                <c:ptCount val="1"/>
                <c:pt idx="0">
                  <c:v>-0.42699999999999999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2-4E08-A153-977D47C509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1574470623"/>
        <c:axId val="1574472063"/>
      </c:barChart>
      <c:catAx>
        <c:axId val="1574470623"/>
        <c:scaling>
          <c:orientation val="minMax"/>
        </c:scaling>
        <c:delete val="1"/>
        <c:axPos val="l"/>
        <c:majorTickMark val="none"/>
        <c:minorTickMark val="none"/>
        <c:tickLblPos val="nextTo"/>
        <c:crossAx val="1574472063"/>
        <c:crosses val="autoZero"/>
        <c:auto val="1"/>
        <c:lblAlgn val="ctr"/>
        <c:lblOffset val="100"/>
        <c:noMultiLvlLbl val="0"/>
      </c:catAx>
      <c:valAx>
        <c:axId val="157447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7447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711213409283249E-2"/>
          <c:y val="0.14292846824061911"/>
          <c:w val="0.86392236207486139"/>
          <c:h val="0.5315629437739664"/>
        </c:manualLayout>
      </c:layout>
      <c:barChart>
        <c:barDir val="bar"/>
        <c:grouping val="stacked"/>
        <c:varyColors val="0"/>
        <c:ser>
          <c:idx val="1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Score!$J$87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A8-4D4A-8077-CDD5F79512FE}"/>
            </c:ext>
          </c:extLst>
        </c:ser>
        <c:ser>
          <c:idx val="0"/>
          <c:order val="1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Score!$I$87</c:f>
              <c:numCache>
                <c:formatCode>0.00%</c:formatCode>
                <c:ptCount val="1"/>
                <c:pt idx="0">
                  <c:v>-1.7099302325581396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8-4D4A-8077-CDD5F79512F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1983951"/>
        <c:axId val="161982511"/>
      </c:barChart>
      <c:catAx>
        <c:axId val="161983951"/>
        <c:scaling>
          <c:orientation val="minMax"/>
        </c:scaling>
        <c:delete val="1"/>
        <c:axPos val="l"/>
        <c:majorTickMark val="none"/>
        <c:minorTickMark val="none"/>
        <c:tickLblPos val="nextTo"/>
        <c:crossAx val="161982511"/>
        <c:crosses val="autoZero"/>
        <c:auto val="1"/>
        <c:lblAlgn val="ctr"/>
        <c:lblOffset val="100"/>
        <c:noMultiLvlLbl val="0"/>
      </c:catAx>
      <c:valAx>
        <c:axId val="16198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198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1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Score!$J$99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2F-4C85-9FAD-992CF685E5C8}"/>
            </c:ext>
          </c:extLst>
        </c:ser>
        <c:ser>
          <c:idx val="0"/>
          <c:order val="1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Score!$I$99</c:f>
              <c:numCache>
                <c:formatCode>0.00%</c:formatCode>
                <c:ptCount val="1"/>
                <c:pt idx="0">
                  <c:v>-9.0999999999999998E-2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F-4C85-9FAD-992CF685E5C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85301744"/>
        <c:axId val="585302704"/>
      </c:barChart>
      <c:catAx>
        <c:axId val="585301744"/>
        <c:scaling>
          <c:orientation val="minMax"/>
        </c:scaling>
        <c:delete val="1"/>
        <c:axPos val="l"/>
        <c:majorTickMark val="none"/>
        <c:minorTickMark val="none"/>
        <c:tickLblPos val="nextTo"/>
        <c:crossAx val="585302704"/>
        <c:crosses val="autoZero"/>
        <c:auto val="1"/>
        <c:lblAlgn val="ctr"/>
        <c:lblOffset val="100"/>
        <c:noMultiLvlLbl val="0"/>
      </c:catAx>
      <c:valAx>
        <c:axId val="58530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8530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1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Score!$J$109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1A-4AD5-9CFA-F49C381D28FA}"/>
            </c:ext>
          </c:extLst>
        </c:ser>
        <c:ser>
          <c:idx val="0"/>
          <c:order val="1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Score!$I$109</c:f>
              <c:numCache>
                <c:formatCode>0.00%</c:formatCode>
                <c:ptCount val="1"/>
                <c:pt idx="0">
                  <c:v>-6.3250000000000001E-2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1A-4AD5-9CFA-F49C381D28F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1888719"/>
        <c:axId val="163692687"/>
      </c:barChart>
      <c:catAx>
        <c:axId val="71888719"/>
        <c:scaling>
          <c:orientation val="minMax"/>
        </c:scaling>
        <c:delete val="1"/>
        <c:axPos val="l"/>
        <c:majorTickMark val="none"/>
        <c:minorTickMark val="none"/>
        <c:tickLblPos val="nextTo"/>
        <c:crossAx val="163692687"/>
        <c:crosses val="autoZero"/>
        <c:auto val="1"/>
        <c:lblAlgn val="ctr"/>
        <c:lblOffset val="100"/>
        <c:noMultiLvlLbl val="0"/>
      </c:catAx>
      <c:valAx>
        <c:axId val="16369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88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1"/>
          <c:order val="0"/>
          <c:spPr>
            <a:solidFill>
              <a:schemeClr val="accent3"/>
            </a:solidFill>
            <a:ln>
              <a:solidFill>
                <a:schemeClr val="accent3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Score!$H$63</c:f>
              <c:numCache>
                <c:formatCode>m/d/yyyy</c:formatCode>
                <c:ptCount val="1"/>
                <c:pt idx="0">
                  <c:v>45657</c:v>
                </c:pt>
              </c:numCache>
            </c:numRef>
          </c:cat>
          <c:val>
            <c:numRef>
              <c:f>Score!$J$63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0E-4786-BF25-8EC0D8736A84}"/>
            </c:ext>
          </c:extLst>
        </c:ser>
        <c:ser>
          <c:idx val="0"/>
          <c:order val="1"/>
          <c:spPr>
            <a:solidFill>
              <a:schemeClr val="accent3">
                <a:lumMod val="20000"/>
                <a:lumOff val="80000"/>
              </a:schemeClr>
            </a:solidFill>
            <a:ln>
              <a:solidFill>
                <a:schemeClr val="accent3">
                  <a:lumMod val="20000"/>
                  <a:lumOff val="8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Score!$H$63</c:f>
              <c:numCache>
                <c:formatCode>m/d/yyyy</c:formatCode>
                <c:ptCount val="1"/>
                <c:pt idx="0">
                  <c:v>45657</c:v>
                </c:pt>
              </c:numCache>
            </c:numRef>
          </c:cat>
          <c:val>
            <c:numRef>
              <c:f>Score!$I$63</c:f>
              <c:numCache>
                <c:formatCode>0.00%</c:formatCode>
                <c:ptCount val="1"/>
                <c:pt idx="0">
                  <c:v>-1.9999999999999983E-3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E-4786-BF25-8EC0D8736A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9621359"/>
        <c:axId val="39619919"/>
      </c:barChart>
      <c:dateAx>
        <c:axId val="39621359"/>
        <c:scaling>
          <c:orientation val="minMax"/>
        </c:scaling>
        <c:delete val="1"/>
        <c:axPos val="l"/>
        <c:numFmt formatCode="m/d/yyyy" sourceLinked="1"/>
        <c:majorTickMark val="none"/>
        <c:minorTickMark val="none"/>
        <c:tickLblPos val="nextTo"/>
        <c:crossAx val="39619919"/>
        <c:crosses val="autoZero"/>
        <c:auto val="1"/>
        <c:lblOffset val="100"/>
        <c:baseTimeUnit val="days"/>
      </c:dateAx>
      <c:valAx>
        <c:axId val="3961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62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checked="Checked" firstButton="1" fmlaLink="F48" lockText="1" noThreeD="1"/>
</file>

<file path=xl/ctrlProps/ctrlProp2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838200</xdr:colOff>
          <xdr:row>47</xdr:row>
          <xdr:rowOff>85725</xdr:rowOff>
        </xdr:from>
        <xdr:to>
          <xdr:col>2</xdr:col>
          <xdr:colOff>2371725</xdr:colOff>
          <xdr:row>48</xdr:row>
          <xdr:rowOff>95250</xdr:rowOff>
        </xdr:to>
        <xdr:sp macro="" textlink="">
          <xdr:nvSpPr>
            <xdr:cNvPr id="101806" name="Option Button 430" hidden="1">
              <a:extLst>
                <a:ext uri="{63B3BB69-23CF-44E3-9099-C40C66FF867C}">
                  <a14:compatExt spid="_x0000_s101806"/>
                </a:ext>
                <a:ext uri="{FF2B5EF4-FFF2-40B4-BE49-F238E27FC236}">
                  <a16:creationId xmlns:a16="http://schemas.microsoft.com/office/drawing/2014/main" id="{00000000-0008-0000-0100-0000AE8D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DSCR DISPONIBILE E ATTENDIBILE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838200</xdr:colOff>
          <xdr:row>48</xdr:row>
          <xdr:rowOff>104775</xdr:rowOff>
        </xdr:from>
        <xdr:to>
          <xdr:col>3</xdr:col>
          <xdr:colOff>323850</xdr:colOff>
          <xdr:row>49</xdr:row>
          <xdr:rowOff>123825</xdr:rowOff>
        </xdr:to>
        <xdr:sp macro="" textlink="">
          <xdr:nvSpPr>
            <xdr:cNvPr id="101808" name="Option Button 432" hidden="1">
              <a:extLst>
                <a:ext uri="{63B3BB69-23CF-44E3-9099-C40C66FF867C}">
                  <a14:compatExt spid="_x0000_s101808"/>
                </a:ext>
                <a:ext uri="{FF2B5EF4-FFF2-40B4-BE49-F238E27FC236}">
                  <a16:creationId xmlns:a16="http://schemas.microsoft.com/office/drawing/2014/main" id="{00000000-0008-0000-0100-0000B08D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DSCR NON DISPONIBILE O NON ATTENDIBILE</a:t>
              </a:r>
            </a:p>
          </xdr:txBody>
        </xdr:sp>
        <xdr:clientData/>
      </xdr:twoCellAnchor>
    </mc:Choice>
    <mc:Fallback/>
  </mc:AlternateContent>
  <xdr:twoCellAnchor>
    <xdr:from>
      <xdr:col>8</xdr:col>
      <xdr:colOff>253488</xdr:colOff>
      <xdr:row>0</xdr:row>
      <xdr:rowOff>207399</xdr:rowOff>
    </xdr:from>
    <xdr:to>
      <xdr:col>9</xdr:col>
      <xdr:colOff>909552</xdr:colOff>
      <xdr:row>0</xdr:row>
      <xdr:rowOff>654714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3528" y="207399"/>
          <a:ext cx="1777556" cy="44731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0</xdr:row>
      <xdr:rowOff>0</xdr:rowOff>
    </xdr:from>
    <xdr:to>
      <xdr:col>8</xdr:col>
      <xdr:colOff>135189</xdr:colOff>
      <xdr:row>0</xdr:row>
      <xdr:rowOff>840828</xdr:rowOff>
    </xdr:to>
    <xdr:sp macro="" textlink="">
      <xdr:nvSpPr>
        <xdr:cNvPr id="21" name="Rettangolo con angoli arrotondati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131379" y="0"/>
          <a:ext cx="7262517" cy="84082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t-IT" sz="2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Indi</a:t>
          </a:r>
          <a:r>
            <a:rPr lang="it-IT" sz="2000" b="1" i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ci settoriali previsti dal Codice della Crisi d'Impresa</a:t>
          </a:r>
          <a:endParaRPr lang="it-IT" sz="600" b="1" i="1" cap="none" spc="0">
            <a:ln w="9525">
              <a:solidFill>
                <a:schemeClr val="bg1"/>
              </a:solidFill>
              <a:prstDash val="solid"/>
            </a:ln>
            <a:solidFill>
              <a:schemeClr val="tx1">
                <a:lumMod val="75000"/>
                <a:lumOff val="25000"/>
              </a:schemeClr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oneCell">
    <xdr:from>
      <xdr:col>6</xdr:col>
      <xdr:colOff>163392</xdr:colOff>
      <xdr:row>70</xdr:row>
      <xdr:rowOff>160460</xdr:rowOff>
    </xdr:from>
    <xdr:to>
      <xdr:col>11</xdr:col>
      <xdr:colOff>733425</xdr:colOff>
      <xdr:row>76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B184007-CF00-2FA3-6517-C2F1A0211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221273</xdr:colOff>
      <xdr:row>81</xdr:row>
      <xdr:rowOff>146538</xdr:rowOff>
    </xdr:from>
    <xdr:to>
      <xdr:col>11</xdr:col>
      <xdr:colOff>666750</xdr:colOff>
      <xdr:row>86</xdr:row>
      <xdr:rowOff>171450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39104314-FCFB-DAC5-6F53-5A991492B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162657</xdr:colOff>
      <xdr:row>93</xdr:row>
      <xdr:rowOff>148739</xdr:rowOff>
    </xdr:from>
    <xdr:to>
      <xdr:col>11</xdr:col>
      <xdr:colOff>685800</xdr:colOff>
      <xdr:row>98</xdr:row>
      <xdr:rowOff>171451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C62362A7-6270-E70B-C6F6-8B6360A8F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180975</xdr:colOff>
      <xdr:row>103</xdr:row>
      <xdr:rowOff>149469</xdr:rowOff>
    </xdr:from>
    <xdr:to>
      <xdr:col>11</xdr:col>
      <xdr:colOff>628650</xdr:colOff>
      <xdr:row>108</xdr:row>
      <xdr:rowOff>171450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7EB2AD2A-6AB5-5C95-E771-CA4F060B0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161191</xdr:colOff>
      <xdr:row>57</xdr:row>
      <xdr:rowOff>174381</xdr:rowOff>
    </xdr:from>
    <xdr:to>
      <xdr:col>11</xdr:col>
      <xdr:colOff>717305</xdr:colOff>
      <xdr:row>63</xdr:row>
      <xdr:rowOff>7326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B70E7719-3BC5-B2E1-27F3-9BA02051B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5A6945-C0C5-416C-AFEC-2DF3CD8664AE}" name="AtecoCrisi" displayName="AtecoCrisi" ref="A1:I1287" totalsRowShown="0" headerRowDxfId="38" dataDxfId="36" headerRowBorderDxfId="37" tableBorderDxfId="35">
  <autoFilter ref="A1:I1287" xr:uid="{9F7493E1-4E29-4AF1-83F0-116218B0CF18}"/>
  <tableColumns count="9">
    <tableColumn id="1" xr3:uid="{FCC39A9E-1AE6-420B-9631-44EEE1A08879}" name="CODICE" dataDxfId="34"/>
    <tableColumn id="2" xr3:uid="{53332197-DAF6-4B59-93A0-8B944508024A}" name="DESCRIZIONE" dataDxfId="33"/>
    <tableColumn id="3" xr3:uid="{91641467-0493-4946-B7FA-638537F93D0E}" name="COD. CRISI" dataDxfId="32"/>
    <tableColumn id="10" xr3:uid="{20191F34-D0F2-42B8-85DC-4BB927B5B63F}" name="descr" dataDxfId="31">
      <calculatedColumnFormula>+VLOOKUP(AtecoCrisi[[#This Row],[COD. CRISI]],Tabella139[],2,0)</calculatedColumnFormula>
    </tableColumn>
    <tableColumn id="4" xr3:uid="{628C7A90-1675-42BC-A5A2-088067888D80}" name="Soglia1" dataDxfId="30" dataCellStyle="Percentuale">
      <calculatedColumnFormula>+VLOOKUP(C2,$R$2:$X$11,3,FALSE)</calculatedColumnFormula>
    </tableColumn>
    <tableColumn id="5" xr3:uid="{0B7E4613-A5A7-4B5D-A66A-FDDD4D55998D}" name="Soglia2" dataDxfId="29" dataCellStyle="Percentuale">
      <calculatedColumnFormula>+VLOOKUP(C2,$R$2:$X$11,4,FALSE)</calculatedColumnFormula>
    </tableColumn>
    <tableColumn id="6" xr3:uid="{64557592-A3CD-4539-892F-4B9BD68E54FE}" name="Soglia3" dataDxfId="28" dataCellStyle="Percentuale">
      <calculatedColumnFormula>+VLOOKUP(C2,$R$2:$X$11,5,FALSE)</calculatedColumnFormula>
    </tableColumn>
    <tableColumn id="7" xr3:uid="{E6FD8403-AA3D-4CB9-8CBD-EC860A9EF16F}" name="Soglia4" dataDxfId="27" dataCellStyle="Percentuale">
      <calculatedColumnFormula>+VLOOKUP(C2,$R$2:$X$11,6,FALSE)</calculatedColumnFormula>
    </tableColumn>
    <tableColumn id="8" xr3:uid="{0EC91E5C-F0EC-40D2-AEC7-1FEEEBFF7EB7}" name="Soglia5" dataDxfId="26" dataCellStyle="Percentuale">
      <calculatedColumnFormula>+VLOOKUP(C2,$R$2:$X$11,7,FALSE)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1AE5794-DAE6-4F9F-9C2F-2E6F5174E14B}" name="Tabella139" displayName="Tabella139" ref="R1:X11" totalsRowShown="0" headerRowDxfId="25" dataDxfId="24">
  <autoFilter ref="R1:X11" xr:uid="{6F2170C4-1EA9-49AB-AAF2-73DD5E847490}"/>
  <tableColumns count="7">
    <tableColumn id="1" xr3:uid="{EEA65DDF-FD26-40E2-B299-BA673894E079}" name="Cod. Crisi" dataDxfId="23"/>
    <tableColumn id="2" xr3:uid="{2D3725D6-AC3D-440C-8DDB-0F757548DB7C}" name="Desc. Crisi" dataDxfId="22"/>
    <tableColumn id="3" xr3:uid="{47F236E3-D32B-4B70-87E2-9A3E249A8948}" name="OF/Ric" dataDxfId="21" dataCellStyle="Percentuale"/>
    <tableColumn id="4" xr3:uid="{C1E138D6-413B-450B-9611-64B74367DCEB}" name="PN/Tot.Deb" dataDxfId="20" dataCellStyle="Percentuale"/>
    <tableColumn id="5" xr3:uid="{6C434C92-97F0-44A4-8B5B-C9BA22398F9A}" name="AC/PB" dataDxfId="19" dataCellStyle="Percentuale"/>
    <tableColumn id="6" xr3:uid="{AE682E7C-0EFE-4210-8EAB-8CFF62C397CA}" name="CashFlow/Att" dataDxfId="18" dataCellStyle="Percentuale"/>
    <tableColumn id="7" xr3:uid="{ED933CD0-84FE-4FEC-94D8-1A667C52F966}" name="Deb.Trib./Att" dataDxfId="17" dataCellStyle="Percentua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64C5EA-31ED-4F91-A883-D048A409EDC8}" name="ATECO" displayName="ATECO" ref="L1:N1184" totalsRowShown="0">
  <autoFilter ref="L1:N1184" xr:uid="{522DA6CB-15F7-4A4E-85E8-001B76927AC2}"/>
  <tableColumns count="3">
    <tableColumn id="1" xr3:uid="{EBA3760F-4A62-4FCD-AB82-935CF35051EA}" name="Cod"/>
    <tableColumn id="2" xr3:uid="{82A4C981-A5A6-46E0-9E10-00539D21FE8F}" name="Descr" dataDxfId="16">
      <calculatedColumnFormula>+VLOOKUP(L2,A:B,2,0)</calculatedColumnFormula>
    </tableColumn>
    <tableColumn id="3" xr3:uid="{275456B0-466E-4757-B096-E7A4D3D64627}" name="Settore" dataDxfId="15">
      <calculatedColumnFormula>+VLOOKUP(L2,A:D,4,0)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99C73-44BA-4DCE-A7D7-ABE7B70915BF}">
  <sheetPr codeName="Foglio1"/>
  <dimension ref="A1:L103"/>
  <sheetViews>
    <sheetView workbookViewId="0">
      <selection activeCell="C4" sqref="C4"/>
    </sheetView>
  </sheetViews>
  <sheetFormatPr defaultRowHeight="15"/>
  <cols>
    <col min="1" max="1" width="5.85546875" bestFit="1" customWidth="1"/>
    <col min="2" max="2" width="58.7109375" bestFit="1" customWidth="1"/>
    <col min="3" max="4" width="10.140625" bestFit="1" customWidth="1"/>
    <col min="5" max="5" width="3" bestFit="1" customWidth="1"/>
    <col min="6" max="6" width="5" bestFit="1" customWidth="1"/>
    <col min="8" max="8" width="109.7109375" customWidth="1"/>
    <col min="11" max="11" width="3" bestFit="1" customWidth="1"/>
    <col min="12" max="12" width="5.140625" bestFit="1" customWidth="1"/>
  </cols>
  <sheetData>
    <row r="1" spans="1:12">
      <c r="A1" t="s">
        <v>196</v>
      </c>
      <c r="B1" t="s">
        <v>4</v>
      </c>
      <c r="C1" t="s">
        <v>198</v>
      </c>
      <c r="D1" t="s">
        <v>197</v>
      </c>
      <c r="E1" t="s">
        <v>8</v>
      </c>
      <c r="F1" t="s">
        <v>8</v>
      </c>
      <c r="G1" t="s">
        <v>196</v>
      </c>
      <c r="H1" t="s">
        <v>4</v>
      </c>
      <c r="I1" t="s">
        <v>198</v>
      </c>
      <c r="J1" t="s">
        <v>197</v>
      </c>
      <c r="K1" t="s">
        <v>8</v>
      </c>
    </row>
    <row r="2" spans="1:12">
      <c r="A2">
        <v>10</v>
      </c>
      <c r="B2" s="30" t="s">
        <v>62</v>
      </c>
      <c r="C2" s="31"/>
      <c r="D2" s="32"/>
      <c r="G2">
        <v>6</v>
      </c>
      <c r="H2" t="s">
        <v>105</v>
      </c>
    </row>
    <row r="3" spans="1:12">
      <c r="A3">
        <v>11</v>
      </c>
      <c r="B3" s="33" t="s">
        <v>63</v>
      </c>
      <c r="C3" s="34"/>
      <c r="D3" s="35"/>
      <c r="G3">
        <v>9</v>
      </c>
      <c r="H3" s="30" t="s">
        <v>106</v>
      </c>
      <c r="I3" s="31"/>
      <c r="J3" s="32"/>
    </row>
    <row r="4" spans="1:12">
      <c r="A4">
        <v>12</v>
      </c>
      <c r="B4" s="36" t="s">
        <v>64</v>
      </c>
      <c r="C4" s="37" t="e">
        <f>+#REF!</f>
        <v>#REF!</v>
      </c>
      <c r="D4" s="38" t="e">
        <f>+#REF!</f>
        <v>#REF!</v>
      </c>
      <c r="E4">
        <v>1</v>
      </c>
      <c r="F4" t="str">
        <f>+IF(E4&gt;0,"SP"&amp;RIGHT(0&amp;E4,2),"")</f>
        <v>SP01</v>
      </c>
      <c r="G4">
        <v>10</v>
      </c>
      <c r="H4" s="33" t="s">
        <v>107</v>
      </c>
      <c r="I4" s="34"/>
      <c r="J4" s="35"/>
    </row>
    <row r="5" spans="1:12">
      <c r="A5">
        <v>13</v>
      </c>
      <c r="B5" s="33" t="s">
        <v>65</v>
      </c>
      <c r="C5" s="34" t="e">
        <f>+#REF!</f>
        <v>#REF!</v>
      </c>
      <c r="D5" s="35" t="e">
        <f>+#REF!</f>
        <v>#REF!</v>
      </c>
      <c r="F5" t="str">
        <f t="shared" ref="F5:F68" si="0">+IF(E5&gt;0,"SP"&amp;RIGHT(0&amp;E5,2),"")</f>
        <v/>
      </c>
      <c r="G5">
        <v>11</v>
      </c>
      <c r="H5" s="36" t="s">
        <v>108</v>
      </c>
      <c r="I5" s="37" t="e">
        <f>+#REF!</f>
        <v>#REF!</v>
      </c>
      <c r="J5" s="38" t="e">
        <f>+#REF!</f>
        <v>#REF!</v>
      </c>
      <c r="K5">
        <v>1</v>
      </c>
      <c r="L5" t="str">
        <f>+IF(K5&gt;0,"CE"&amp;RIGHT(0&amp;K5,2),"")</f>
        <v>CE01</v>
      </c>
    </row>
    <row r="6" spans="1:12">
      <c r="A6">
        <v>14</v>
      </c>
      <c r="B6" s="36" t="s">
        <v>66</v>
      </c>
      <c r="C6" s="37" t="e">
        <f>+#REF!</f>
        <v>#REF!</v>
      </c>
      <c r="D6" s="38" t="e">
        <f>+#REF!</f>
        <v>#REF!</v>
      </c>
      <c r="E6">
        <v>2</v>
      </c>
      <c r="F6" t="str">
        <f t="shared" si="0"/>
        <v>SP02</v>
      </c>
      <c r="G6">
        <v>12</v>
      </c>
      <c r="H6" s="33" t="s">
        <v>109</v>
      </c>
      <c r="I6" s="34" t="e">
        <f>+#REF!</f>
        <v>#REF!</v>
      </c>
      <c r="J6" s="35" t="e">
        <f>+#REF!</f>
        <v>#REF!</v>
      </c>
      <c r="L6" t="str">
        <f t="shared" ref="L6:L69" si="1">+IF(K6&gt;0,"CE"&amp;RIGHT(0&amp;K6,2),"")</f>
        <v/>
      </c>
    </row>
    <row r="7" spans="1:12">
      <c r="A7">
        <v>15</v>
      </c>
      <c r="B7" s="36" t="s">
        <v>67</v>
      </c>
      <c r="C7" s="37" t="e">
        <f>+#REF!</f>
        <v>#REF!</v>
      </c>
      <c r="D7" s="38" t="e">
        <f>+#REF!</f>
        <v>#REF!</v>
      </c>
      <c r="E7">
        <v>3</v>
      </c>
      <c r="F7" t="str">
        <f t="shared" si="0"/>
        <v>SP03</v>
      </c>
      <c r="G7">
        <v>13</v>
      </c>
      <c r="H7" s="36" t="s">
        <v>110</v>
      </c>
      <c r="I7" s="37" t="e">
        <f>+#REF!</f>
        <v>#REF!</v>
      </c>
      <c r="J7" s="38" t="e">
        <f>+#REF!</f>
        <v>#REF!</v>
      </c>
      <c r="L7" t="str">
        <f t="shared" si="1"/>
        <v/>
      </c>
    </row>
    <row r="8" spans="1:12">
      <c r="A8">
        <v>16</v>
      </c>
      <c r="B8" s="36" t="s">
        <v>68</v>
      </c>
      <c r="C8" s="37" t="e">
        <f>+#REF!</f>
        <v>#REF!</v>
      </c>
      <c r="D8" s="38" t="e">
        <f>+#REF!</f>
        <v>#REF!</v>
      </c>
      <c r="E8">
        <v>4</v>
      </c>
      <c r="F8" t="str">
        <f t="shared" si="0"/>
        <v>SP04</v>
      </c>
      <c r="G8">
        <v>14</v>
      </c>
      <c r="H8" s="36" t="s">
        <v>111</v>
      </c>
      <c r="I8" s="37" t="e">
        <f>+#REF!</f>
        <v>#REF!</v>
      </c>
      <c r="J8" s="38" t="e">
        <f>+#REF!</f>
        <v>#REF!</v>
      </c>
      <c r="K8">
        <v>2</v>
      </c>
      <c r="L8" t="str">
        <f t="shared" si="1"/>
        <v>CE02</v>
      </c>
    </row>
    <row r="9" spans="1:12">
      <c r="A9">
        <v>17</v>
      </c>
      <c r="B9" s="36" t="s">
        <v>69</v>
      </c>
      <c r="C9" s="37" t="e">
        <f>+#REF!</f>
        <v>#REF!</v>
      </c>
      <c r="D9" s="38" t="e">
        <f>+#REF!</f>
        <v>#REF!</v>
      </c>
      <c r="E9">
        <v>5</v>
      </c>
      <c r="F9" t="str">
        <f t="shared" si="0"/>
        <v>SP05</v>
      </c>
      <c r="G9">
        <v>15</v>
      </c>
      <c r="H9" s="36" t="s">
        <v>112</v>
      </c>
      <c r="I9" s="37" t="e">
        <f>+#REF!</f>
        <v>#REF!</v>
      </c>
      <c r="J9" s="38" t="e">
        <f>+#REF!</f>
        <v>#REF!</v>
      </c>
      <c r="K9">
        <v>3</v>
      </c>
      <c r="L9" t="str">
        <f t="shared" si="1"/>
        <v>CE03</v>
      </c>
    </row>
    <row r="10" spans="1:12">
      <c r="A10">
        <v>18</v>
      </c>
      <c r="B10" s="33" t="s">
        <v>70</v>
      </c>
      <c r="C10" s="34" t="e">
        <f>+#REF!</f>
        <v>#REF!</v>
      </c>
      <c r="D10" s="35" t="e">
        <f>+#REF!</f>
        <v>#REF!</v>
      </c>
      <c r="F10" t="str">
        <f t="shared" si="0"/>
        <v/>
      </c>
      <c r="G10">
        <v>16</v>
      </c>
      <c r="H10" s="36" t="s">
        <v>113</v>
      </c>
      <c r="I10" s="37" t="e">
        <f>+#REF!</f>
        <v>#REF!</v>
      </c>
      <c r="J10" s="38" t="e">
        <f>+#REF!</f>
        <v>#REF!</v>
      </c>
      <c r="K10">
        <v>4</v>
      </c>
      <c r="L10" t="str">
        <f t="shared" si="1"/>
        <v>CE04</v>
      </c>
    </row>
    <row r="11" spans="1:12">
      <c r="A11">
        <v>19</v>
      </c>
      <c r="B11" s="36" t="s">
        <v>71</v>
      </c>
      <c r="C11" s="37" t="e">
        <f>+#REF!</f>
        <v>#REF!</v>
      </c>
      <c r="D11" s="38" t="e">
        <f>+#REF!</f>
        <v>#REF!</v>
      </c>
      <c r="E11">
        <v>6</v>
      </c>
      <c r="F11" t="str">
        <f t="shared" si="0"/>
        <v>SP06</v>
      </c>
      <c r="G11">
        <v>17</v>
      </c>
      <c r="H11" s="33" t="s">
        <v>114</v>
      </c>
      <c r="I11" s="34" t="e">
        <f>+#REF!</f>
        <v>#REF!</v>
      </c>
      <c r="J11" s="35" t="e">
        <f>+#REF!</f>
        <v>#REF!</v>
      </c>
      <c r="K11">
        <v>5</v>
      </c>
      <c r="L11" t="str">
        <f t="shared" si="1"/>
        <v>CE05</v>
      </c>
    </row>
    <row r="12" spans="1:12">
      <c r="A12">
        <v>20</v>
      </c>
      <c r="B12" s="36" t="s">
        <v>72</v>
      </c>
      <c r="C12" s="37" t="e">
        <f>+#REF!</f>
        <v>#REF!</v>
      </c>
      <c r="D12" s="38" t="e">
        <f>+#REF!</f>
        <v>#REF!</v>
      </c>
      <c r="F12" t="str">
        <f t="shared" si="0"/>
        <v/>
      </c>
      <c r="G12">
        <v>18</v>
      </c>
      <c r="H12" s="36" t="s">
        <v>115</v>
      </c>
      <c r="I12" s="37" t="e">
        <f>+#REF!</f>
        <v>#REF!</v>
      </c>
      <c r="J12" s="38" t="e">
        <f>+#REF!</f>
        <v>#REF!</v>
      </c>
      <c r="L12" t="str">
        <f t="shared" si="1"/>
        <v/>
      </c>
    </row>
    <row r="13" spans="1:12">
      <c r="A13">
        <v>21</v>
      </c>
      <c r="B13" s="33" t="s">
        <v>73</v>
      </c>
      <c r="C13" s="34" t="e">
        <f>+#REF!</f>
        <v>#REF!</v>
      </c>
      <c r="D13" s="35" t="e">
        <f>+#REF!</f>
        <v>#REF!</v>
      </c>
      <c r="F13" t="str">
        <f t="shared" si="0"/>
        <v/>
      </c>
      <c r="G13">
        <v>19</v>
      </c>
      <c r="H13" s="36" t="s">
        <v>116</v>
      </c>
      <c r="I13" s="37" t="e">
        <f>+#REF!</f>
        <v>#REF!</v>
      </c>
      <c r="J13" s="38" t="e">
        <f>+#REF!</f>
        <v>#REF!</v>
      </c>
      <c r="L13" t="str">
        <f t="shared" si="1"/>
        <v/>
      </c>
    </row>
    <row r="14" spans="1:12">
      <c r="A14">
        <v>22</v>
      </c>
      <c r="B14" s="36" t="s">
        <v>74</v>
      </c>
      <c r="C14" s="37" t="e">
        <f>+#REF!</f>
        <v>#REF!</v>
      </c>
      <c r="D14" s="38" t="e">
        <f>+#REF!</f>
        <v>#REF!</v>
      </c>
      <c r="E14">
        <v>7</v>
      </c>
      <c r="F14" t="str">
        <f t="shared" si="0"/>
        <v>SP07</v>
      </c>
      <c r="G14">
        <v>20</v>
      </c>
      <c r="H14" s="36" t="s">
        <v>117</v>
      </c>
      <c r="I14" s="37" t="e">
        <f>+#REF!</f>
        <v>#REF!</v>
      </c>
      <c r="J14" s="38" t="e">
        <f>+#REF!</f>
        <v>#REF!</v>
      </c>
      <c r="L14" t="str">
        <f t="shared" si="1"/>
        <v/>
      </c>
    </row>
    <row r="15" spans="1:12">
      <c r="A15">
        <v>23</v>
      </c>
      <c r="B15" s="36" t="s">
        <v>75</v>
      </c>
      <c r="C15" s="37" t="e">
        <f>+#REF!</f>
        <v>#REF!</v>
      </c>
      <c r="D15" s="38" t="e">
        <f>+#REF!</f>
        <v>#REF!</v>
      </c>
      <c r="E15">
        <v>8</v>
      </c>
      <c r="F15" t="str">
        <f t="shared" si="0"/>
        <v>SP08</v>
      </c>
      <c r="G15">
        <v>21</v>
      </c>
      <c r="H15" s="36" t="s">
        <v>118</v>
      </c>
      <c r="I15" s="37" t="e">
        <f>+#REF!</f>
        <v>#REF!</v>
      </c>
      <c r="J15" s="38" t="e">
        <f>+#REF!</f>
        <v>#REF!</v>
      </c>
      <c r="K15">
        <v>6</v>
      </c>
      <c r="L15" t="str">
        <f t="shared" si="1"/>
        <v>CE06</v>
      </c>
    </row>
    <row r="16" spans="1:12">
      <c r="A16">
        <v>24</v>
      </c>
      <c r="B16" s="36" t="s">
        <v>76</v>
      </c>
      <c r="C16" s="37" t="e">
        <f>+#REF!</f>
        <v>#REF!</v>
      </c>
      <c r="D16" s="38" t="e">
        <f>+#REF!</f>
        <v>#REF!</v>
      </c>
      <c r="F16" t="str">
        <f t="shared" si="0"/>
        <v/>
      </c>
      <c r="G16">
        <v>22</v>
      </c>
      <c r="H16" s="33" t="s">
        <v>119</v>
      </c>
      <c r="I16" s="34" t="e">
        <f>+#REF!</f>
        <v>#REF!</v>
      </c>
      <c r="J16" s="35" t="e">
        <f>+#REF!</f>
        <v>#REF!</v>
      </c>
      <c r="L16" t="str">
        <f t="shared" si="1"/>
        <v/>
      </c>
    </row>
    <row r="17" spans="1:12">
      <c r="A17">
        <v>25</v>
      </c>
      <c r="B17" s="36" t="s">
        <v>77</v>
      </c>
      <c r="C17" s="37" t="e">
        <f>+#REF!</f>
        <v>#REF!</v>
      </c>
      <c r="D17" s="38" t="e">
        <f>+#REF!</f>
        <v>#REF!</v>
      </c>
      <c r="E17">
        <v>9</v>
      </c>
      <c r="F17" t="str">
        <f t="shared" si="0"/>
        <v>SP09</v>
      </c>
      <c r="G17">
        <v>23</v>
      </c>
      <c r="H17" s="36" t="s">
        <v>120</v>
      </c>
      <c r="I17" s="37" t="e">
        <f>+#REF!</f>
        <v>#REF!</v>
      </c>
      <c r="J17" s="38" t="e">
        <f>+#REF!</f>
        <v>#REF!</v>
      </c>
      <c r="K17">
        <v>7</v>
      </c>
      <c r="L17" t="str">
        <f t="shared" si="1"/>
        <v>CE07</v>
      </c>
    </row>
    <row r="18" spans="1:12">
      <c r="A18">
        <v>26</v>
      </c>
      <c r="B18" s="36" t="s">
        <v>78</v>
      </c>
      <c r="C18" s="37" t="e">
        <f>+#REF!</f>
        <v>#REF!</v>
      </c>
      <c r="D18" s="38" t="e">
        <f>+#REF!</f>
        <v>#REF!</v>
      </c>
      <c r="E18">
        <v>10</v>
      </c>
      <c r="F18" t="str">
        <f t="shared" si="0"/>
        <v>SP10</v>
      </c>
      <c r="G18">
        <v>24</v>
      </c>
      <c r="H18" s="36" t="s">
        <v>121</v>
      </c>
      <c r="I18" s="37" t="e">
        <f>+#REF!</f>
        <v>#REF!</v>
      </c>
      <c r="J18" s="38" t="e">
        <f>+#REF!</f>
        <v>#REF!</v>
      </c>
      <c r="K18">
        <v>8</v>
      </c>
      <c r="L18" t="str">
        <f t="shared" si="1"/>
        <v>CE08</v>
      </c>
    </row>
    <row r="19" spans="1:12">
      <c r="A19">
        <v>27</v>
      </c>
      <c r="B19" s="36" t="s">
        <v>79</v>
      </c>
      <c r="C19" s="37" t="e">
        <f>+#REF!</f>
        <v>#REF!</v>
      </c>
      <c r="D19" s="38" t="e">
        <f>+#REF!</f>
        <v>#REF!</v>
      </c>
      <c r="E19">
        <v>11</v>
      </c>
      <c r="F19" t="str">
        <f t="shared" si="0"/>
        <v>SP11</v>
      </c>
      <c r="G19">
        <v>25</v>
      </c>
      <c r="H19" s="36" t="s">
        <v>122</v>
      </c>
      <c r="I19" s="37" t="e">
        <f>+#REF!</f>
        <v>#REF!</v>
      </c>
      <c r="J19" s="38" t="e">
        <f>+#REF!</f>
        <v>#REF!</v>
      </c>
      <c r="K19">
        <v>9</v>
      </c>
      <c r="L19" t="str">
        <f t="shared" si="1"/>
        <v>CE09</v>
      </c>
    </row>
    <row r="20" spans="1:12">
      <c r="A20">
        <v>28</v>
      </c>
      <c r="B20" s="36" t="s">
        <v>80</v>
      </c>
      <c r="C20" s="37" t="e">
        <f>+#REF!</f>
        <v>#REF!</v>
      </c>
      <c r="D20" s="38" t="e">
        <f>+#REF!</f>
        <v>#REF!</v>
      </c>
      <c r="E20">
        <v>12</v>
      </c>
      <c r="F20" t="str">
        <f t="shared" si="0"/>
        <v>SP12</v>
      </c>
      <c r="G20">
        <v>26</v>
      </c>
      <c r="H20" s="33" t="s">
        <v>123</v>
      </c>
      <c r="I20" s="34" t="e">
        <f>+#REF!</f>
        <v>#REF!</v>
      </c>
      <c r="J20" s="35" t="e">
        <f>+#REF!</f>
        <v>#REF!</v>
      </c>
      <c r="L20" t="str">
        <f t="shared" si="1"/>
        <v/>
      </c>
    </row>
    <row r="21" spans="1:12">
      <c r="A21">
        <v>29</v>
      </c>
      <c r="B21" s="36" t="s">
        <v>81</v>
      </c>
      <c r="C21" s="37" t="e">
        <f>+#REF!</f>
        <v>#REF!</v>
      </c>
      <c r="D21" s="38" t="e">
        <f>+#REF!</f>
        <v>#REF!</v>
      </c>
      <c r="E21">
        <v>13</v>
      </c>
      <c r="F21" t="str">
        <f t="shared" si="0"/>
        <v>SP13</v>
      </c>
      <c r="G21">
        <v>27</v>
      </c>
      <c r="H21" s="36" t="s">
        <v>124</v>
      </c>
      <c r="I21" s="37" t="e">
        <f>+#REF!</f>
        <v>#REF!</v>
      </c>
      <c r="J21" s="38" t="e">
        <f>+#REF!</f>
        <v>#REF!</v>
      </c>
      <c r="L21" t="str">
        <f t="shared" si="1"/>
        <v/>
      </c>
    </row>
    <row r="22" spans="1:12">
      <c r="A22">
        <v>30</v>
      </c>
      <c r="B22" s="36" t="s">
        <v>82</v>
      </c>
      <c r="C22" s="37" t="e">
        <f>+#REF!</f>
        <v>#REF!</v>
      </c>
      <c r="D22" s="38" t="e">
        <f>+#REF!</f>
        <v>#REF!</v>
      </c>
      <c r="E22">
        <v>14</v>
      </c>
      <c r="F22" t="str">
        <f t="shared" si="0"/>
        <v>SP14</v>
      </c>
      <c r="G22">
        <v>28</v>
      </c>
      <c r="H22" s="36" t="s">
        <v>125</v>
      </c>
      <c r="I22" s="37" t="e">
        <f>+#REF!</f>
        <v>#REF!</v>
      </c>
      <c r="J22" s="38" t="e">
        <f>+#REF!</f>
        <v>#REF!</v>
      </c>
      <c r="L22" t="str">
        <f t="shared" si="1"/>
        <v/>
      </c>
    </row>
    <row r="23" spans="1:12">
      <c r="A23">
        <v>31</v>
      </c>
      <c r="B23" s="33" t="s">
        <v>83</v>
      </c>
      <c r="C23" s="34" t="e">
        <f>+#REF!</f>
        <v>#REF!</v>
      </c>
      <c r="D23" s="35" t="e">
        <f>+#REF!</f>
        <v>#REF!</v>
      </c>
      <c r="F23" t="str">
        <f t="shared" si="0"/>
        <v/>
      </c>
      <c r="G23">
        <v>29</v>
      </c>
      <c r="H23" s="33" t="s">
        <v>126</v>
      </c>
      <c r="I23" s="34" t="e">
        <f>+#REF!</f>
        <v>#REF!</v>
      </c>
      <c r="J23" s="35" t="e">
        <f>+#REF!</f>
        <v>#REF!</v>
      </c>
      <c r="L23" t="str">
        <f t="shared" si="1"/>
        <v/>
      </c>
    </row>
    <row r="24" spans="1:12">
      <c r="A24">
        <v>32</v>
      </c>
      <c r="B24" s="33" t="s">
        <v>84</v>
      </c>
      <c r="C24" s="34" t="e">
        <f>+#REF!</f>
        <v>#REF!</v>
      </c>
      <c r="D24" s="35" t="e">
        <f>+#REF!</f>
        <v>#REF!</v>
      </c>
      <c r="F24" t="str">
        <f t="shared" si="0"/>
        <v/>
      </c>
      <c r="G24">
        <v>30</v>
      </c>
      <c r="H24" s="36" t="s">
        <v>127</v>
      </c>
      <c r="I24" s="37" t="e">
        <f>+#REF!</f>
        <v>#REF!</v>
      </c>
      <c r="J24" s="38" t="e">
        <f>+#REF!</f>
        <v>#REF!</v>
      </c>
      <c r="L24" t="str">
        <f t="shared" si="1"/>
        <v/>
      </c>
    </row>
    <row r="25" spans="1:12">
      <c r="A25">
        <v>33</v>
      </c>
      <c r="B25" s="36" t="s">
        <v>85</v>
      </c>
      <c r="C25" s="37" t="e">
        <f>+#REF!</f>
        <v>#REF!</v>
      </c>
      <c r="D25" s="38" t="e">
        <f>+#REF!</f>
        <v>#REF!</v>
      </c>
      <c r="F25" t="str">
        <f t="shared" si="0"/>
        <v/>
      </c>
      <c r="G25">
        <v>31</v>
      </c>
      <c r="H25" s="36" t="s">
        <v>128</v>
      </c>
      <c r="I25" s="37" t="e">
        <f>+#REF!</f>
        <v>#REF!</v>
      </c>
      <c r="J25" s="38" t="e">
        <f>+#REF!</f>
        <v>#REF!</v>
      </c>
      <c r="L25" t="str">
        <f t="shared" si="1"/>
        <v/>
      </c>
    </row>
    <row r="26" spans="1:12">
      <c r="A26">
        <v>34</v>
      </c>
      <c r="B26" s="36" t="s">
        <v>86</v>
      </c>
      <c r="C26" s="37" t="e">
        <f>+#REF!</f>
        <v>#REF!</v>
      </c>
      <c r="D26" s="38" t="e">
        <f>+#REF!</f>
        <v>#REF!</v>
      </c>
      <c r="F26" t="str">
        <f t="shared" si="0"/>
        <v/>
      </c>
      <c r="G26">
        <v>32</v>
      </c>
      <c r="H26" s="36" t="s">
        <v>129</v>
      </c>
      <c r="I26" s="37" t="e">
        <f>+#REF!</f>
        <v>#REF!</v>
      </c>
      <c r="J26" s="38" t="e">
        <f>+#REF!</f>
        <v>#REF!</v>
      </c>
      <c r="L26" t="str">
        <f t="shared" si="1"/>
        <v/>
      </c>
    </row>
    <row r="27" spans="1:12">
      <c r="A27">
        <v>35</v>
      </c>
      <c r="B27" s="36" t="s">
        <v>87</v>
      </c>
      <c r="C27" s="37" t="e">
        <f>+#REF!</f>
        <v>#REF!</v>
      </c>
      <c r="D27" s="38" t="e">
        <f>+#REF!</f>
        <v>#REF!</v>
      </c>
      <c r="F27" t="str">
        <f t="shared" si="0"/>
        <v/>
      </c>
      <c r="G27">
        <v>33</v>
      </c>
      <c r="H27" s="36" t="s">
        <v>130</v>
      </c>
      <c r="I27" s="37" t="e">
        <f>+#REF!</f>
        <v>#REF!</v>
      </c>
      <c r="J27" s="38" t="e">
        <f>+#REF!</f>
        <v>#REF!</v>
      </c>
      <c r="L27" t="str">
        <f t="shared" si="1"/>
        <v/>
      </c>
    </row>
    <row r="28" spans="1:12">
      <c r="A28">
        <v>36</v>
      </c>
      <c r="B28" s="36" t="s">
        <v>88</v>
      </c>
      <c r="C28" s="37" t="e">
        <f>+#REF!</f>
        <v>#REF!</v>
      </c>
      <c r="D28" s="38" t="e">
        <f>+#REF!</f>
        <v>#REF!</v>
      </c>
      <c r="F28" t="str">
        <f t="shared" si="0"/>
        <v/>
      </c>
      <c r="G28">
        <v>34</v>
      </c>
      <c r="H28" s="36" t="s">
        <v>131</v>
      </c>
      <c r="I28" s="37" t="e">
        <f>+#REF!</f>
        <v>#REF!</v>
      </c>
      <c r="J28" s="38" t="e">
        <f>+#REF!</f>
        <v>#REF!</v>
      </c>
      <c r="K28">
        <v>10</v>
      </c>
      <c r="L28" t="str">
        <f t="shared" si="1"/>
        <v>CE10</v>
      </c>
    </row>
    <row r="29" spans="1:12">
      <c r="A29">
        <v>37</v>
      </c>
      <c r="B29" s="36" t="s">
        <v>89</v>
      </c>
      <c r="C29" s="37" t="e">
        <f>+#REF!</f>
        <v>#REF!</v>
      </c>
      <c r="D29" s="38" t="e">
        <f>+#REF!</f>
        <v>#REF!</v>
      </c>
      <c r="F29" t="str">
        <f t="shared" si="0"/>
        <v/>
      </c>
      <c r="G29">
        <v>35</v>
      </c>
      <c r="H29" s="33" t="s">
        <v>132</v>
      </c>
      <c r="I29" s="34" t="e">
        <f>+#REF!</f>
        <v>#REF!</v>
      </c>
      <c r="J29" s="35" t="e">
        <f>+#REF!</f>
        <v>#REF!</v>
      </c>
      <c r="L29" t="str">
        <f t="shared" si="1"/>
        <v/>
      </c>
    </row>
    <row r="30" spans="1:12">
      <c r="A30">
        <v>38</v>
      </c>
      <c r="B30" s="36" t="s">
        <v>90</v>
      </c>
      <c r="C30" s="37" t="e">
        <f>+#REF!</f>
        <v>#REF!</v>
      </c>
      <c r="D30" s="38" t="e">
        <f>+#REF!</f>
        <v>#REF!</v>
      </c>
      <c r="F30" t="str">
        <f t="shared" si="0"/>
        <v/>
      </c>
      <c r="G30">
        <v>36</v>
      </c>
      <c r="H30" s="33" t="s">
        <v>133</v>
      </c>
      <c r="I30" s="34" t="e">
        <f>+#REF!</f>
        <v>#REF!</v>
      </c>
      <c r="J30" s="35" t="e">
        <f>+#REF!</f>
        <v>#REF!</v>
      </c>
      <c r="L30" t="str">
        <f t="shared" si="1"/>
        <v/>
      </c>
    </row>
    <row r="31" spans="1:12">
      <c r="A31">
        <v>39</v>
      </c>
      <c r="B31" s="36" t="s">
        <v>91</v>
      </c>
      <c r="C31" s="37" t="e">
        <f>+#REF!</f>
        <v>#REF!</v>
      </c>
      <c r="D31" s="38" t="e">
        <f>+#REF!</f>
        <v>#REF!</v>
      </c>
      <c r="F31" t="str">
        <f t="shared" si="0"/>
        <v/>
      </c>
      <c r="G31">
        <v>37</v>
      </c>
      <c r="H31" s="36" t="s">
        <v>134</v>
      </c>
      <c r="I31" s="37" t="e">
        <f>+#REF!</f>
        <v>#REF!</v>
      </c>
      <c r="J31" s="38" t="e">
        <f>+#REF!</f>
        <v>#REF!</v>
      </c>
      <c r="L31" t="str">
        <f t="shared" si="1"/>
        <v/>
      </c>
    </row>
    <row r="32" spans="1:12">
      <c r="A32">
        <v>40</v>
      </c>
      <c r="B32" s="36" t="s">
        <v>92</v>
      </c>
      <c r="C32" s="37" t="e">
        <f>+#REF!</f>
        <v>#REF!</v>
      </c>
      <c r="D32" s="38" t="e">
        <f>+#REF!</f>
        <v>#REF!</v>
      </c>
      <c r="F32" t="str">
        <f t="shared" si="0"/>
        <v/>
      </c>
      <c r="G32">
        <v>38</v>
      </c>
      <c r="H32" s="36" t="s">
        <v>135</v>
      </c>
      <c r="I32" s="37" t="e">
        <f>+#REF!</f>
        <v>#REF!</v>
      </c>
      <c r="J32" s="38" t="e">
        <f>+#REF!</f>
        <v>#REF!</v>
      </c>
      <c r="K32">
        <v>11</v>
      </c>
      <c r="L32" t="str">
        <f t="shared" si="1"/>
        <v>CE11</v>
      </c>
    </row>
    <row r="33" spans="1:12">
      <c r="A33">
        <v>41</v>
      </c>
      <c r="B33" s="36" t="s">
        <v>93</v>
      </c>
      <c r="C33" s="37" t="e">
        <f>+#REF!</f>
        <v>#REF!</v>
      </c>
      <c r="D33" s="38" t="e">
        <f>+#REF!</f>
        <v>#REF!</v>
      </c>
      <c r="F33" t="str">
        <f t="shared" si="0"/>
        <v/>
      </c>
      <c r="G33">
        <v>39</v>
      </c>
      <c r="H33" s="36" t="s">
        <v>136</v>
      </c>
      <c r="I33" s="37" t="e">
        <f>+#REF!</f>
        <v>#REF!</v>
      </c>
      <c r="J33" s="38" t="e">
        <f>+#REF!</f>
        <v>#REF!</v>
      </c>
      <c r="K33">
        <v>12</v>
      </c>
      <c r="L33" t="str">
        <f t="shared" si="1"/>
        <v>CE12</v>
      </c>
    </row>
    <row r="34" spans="1:12">
      <c r="A34">
        <v>42</v>
      </c>
      <c r="B34" s="36" t="s">
        <v>94</v>
      </c>
      <c r="C34" s="37" t="e">
        <f>+#REF!</f>
        <v>#REF!</v>
      </c>
      <c r="D34" s="38" t="e">
        <f>+#REF!</f>
        <v>#REF!</v>
      </c>
      <c r="F34" t="str">
        <f t="shared" si="0"/>
        <v/>
      </c>
      <c r="G34">
        <v>40</v>
      </c>
      <c r="H34" s="36" t="s">
        <v>137</v>
      </c>
      <c r="I34" s="37" t="e">
        <f>+#REF!</f>
        <v>#REF!</v>
      </c>
      <c r="J34" s="38" t="e">
        <f>+#REF!</f>
        <v>#REF!</v>
      </c>
      <c r="L34" t="str">
        <f t="shared" si="1"/>
        <v/>
      </c>
    </row>
    <row r="35" spans="1:12">
      <c r="A35">
        <v>43</v>
      </c>
      <c r="B35" s="36" t="s">
        <v>95</v>
      </c>
      <c r="C35" s="37" t="e">
        <f>+#REF!</f>
        <v>#REF!</v>
      </c>
      <c r="D35" s="38" t="e">
        <f>+#REF!</f>
        <v>#REF!</v>
      </c>
      <c r="F35" t="str">
        <f t="shared" si="0"/>
        <v/>
      </c>
      <c r="G35">
        <v>41</v>
      </c>
      <c r="H35" s="36" t="s">
        <v>138</v>
      </c>
      <c r="I35" s="37" t="e">
        <f>+#REF!</f>
        <v>#REF!</v>
      </c>
      <c r="J35" s="38" t="e">
        <f>+#REF!</f>
        <v>#REF!</v>
      </c>
      <c r="L35" t="str">
        <f t="shared" si="1"/>
        <v/>
      </c>
    </row>
    <row r="36" spans="1:12">
      <c r="A36">
        <v>44</v>
      </c>
      <c r="B36" s="36" t="s">
        <v>96</v>
      </c>
      <c r="C36" s="37" t="e">
        <f>+#REF!</f>
        <v>#REF!</v>
      </c>
      <c r="D36" s="38" t="e">
        <f>+#REF!</f>
        <v>#REF!</v>
      </c>
      <c r="E36">
        <v>15</v>
      </c>
      <c r="F36" t="str">
        <f t="shared" si="0"/>
        <v>SP15</v>
      </c>
      <c r="G36">
        <v>42</v>
      </c>
      <c r="H36" s="36" t="s">
        <v>139</v>
      </c>
      <c r="I36" s="37" t="e">
        <f>+#REF!</f>
        <v>#REF!</v>
      </c>
      <c r="J36" s="38" t="e">
        <f>+#REF!</f>
        <v>#REF!</v>
      </c>
      <c r="K36">
        <v>13</v>
      </c>
      <c r="L36" t="str">
        <f t="shared" si="1"/>
        <v>CE13</v>
      </c>
    </row>
    <row r="37" spans="1:12">
      <c r="A37">
        <v>45</v>
      </c>
      <c r="B37" s="36" t="s">
        <v>97</v>
      </c>
      <c r="C37" s="37" t="e">
        <f>+#REF!</f>
        <v>#REF!</v>
      </c>
      <c r="D37" s="38" t="e">
        <f>+#REF!</f>
        <v>#REF!</v>
      </c>
      <c r="E37">
        <v>17</v>
      </c>
      <c r="F37" t="str">
        <f t="shared" si="0"/>
        <v>SP17</v>
      </c>
      <c r="G37">
        <v>43</v>
      </c>
      <c r="H37" s="36" t="s">
        <v>140</v>
      </c>
      <c r="I37" s="37" t="e">
        <f>+#REF!</f>
        <v>#REF!</v>
      </c>
      <c r="J37" s="38" t="e">
        <f>+#REF!</f>
        <v>#REF!</v>
      </c>
      <c r="K37">
        <v>14</v>
      </c>
      <c r="L37" t="str">
        <f t="shared" si="1"/>
        <v>CE14</v>
      </c>
    </row>
    <row r="38" spans="1:12">
      <c r="A38">
        <v>46</v>
      </c>
      <c r="B38" s="36" t="s">
        <v>98</v>
      </c>
      <c r="C38" s="37" t="e">
        <f>+#REF!</f>
        <v>#REF!</v>
      </c>
      <c r="D38" s="38" t="e">
        <f>+#REF!</f>
        <v>#REF!</v>
      </c>
      <c r="E38">
        <v>18</v>
      </c>
      <c r="F38" t="str">
        <f t="shared" si="0"/>
        <v>SP18</v>
      </c>
      <c r="G38">
        <v>44</v>
      </c>
      <c r="H38" s="36" t="s">
        <v>141</v>
      </c>
      <c r="I38" s="37" t="e">
        <f>+#REF!</f>
        <v>#REF!</v>
      </c>
      <c r="J38" s="38" t="e">
        <f>+#REF!</f>
        <v>#REF!</v>
      </c>
      <c r="K38">
        <v>15</v>
      </c>
      <c r="L38" t="str">
        <f t="shared" si="1"/>
        <v>CE15</v>
      </c>
    </row>
    <row r="39" spans="1:12">
      <c r="A39">
        <v>47</v>
      </c>
      <c r="B39" s="33" t="s">
        <v>99</v>
      </c>
      <c r="C39" s="34" t="e">
        <f>+#REF!</f>
        <v>#REF!</v>
      </c>
      <c r="D39" s="35" t="e">
        <f>+#REF!</f>
        <v>#REF!</v>
      </c>
      <c r="F39" t="str">
        <f t="shared" si="0"/>
        <v/>
      </c>
      <c r="G39">
        <v>45</v>
      </c>
      <c r="H39" s="36" t="s">
        <v>142</v>
      </c>
      <c r="I39" s="37" t="e">
        <f>+#REF!</f>
        <v>#REF!</v>
      </c>
      <c r="J39" s="38" t="e">
        <f>+#REF!</f>
        <v>#REF!</v>
      </c>
      <c r="K39">
        <v>16</v>
      </c>
      <c r="L39" t="str">
        <f t="shared" si="1"/>
        <v>CE16</v>
      </c>
    </row>
    <row r="40" spans="1:12">
      <c r="A40">
        <v>48</v>
      </c>
      <c r="B40" s="36" t="s">
        <v>100</v>
      </c>
      <c r="C40" s="37" t="e">
        <f>+#REF!</f>
        <v>#REF!</v>
      </c>
      <c r="D40" s="38" t="e">
        <f>+#REF!</f>
        <v>#REF!</v>
      </c>
      <c r="E40">
        <v>19</v>
      </c>
      <c r="F40" t="str">
        <f t="shared" si="0"/>
        <v>SP19</v>
      </c>
      <c r="G40">
        <v>46</v>
      </c>
      <c r="H40" s="36" t="s">
        <v>143</v>
      </c>
      <c r="I40" s="37" t="e">
        <f>+#REF!</f>
        <v>#REF!</v>
      </c>
      <c r="J40" s="38" t="e">
        <f>+#REF!</f>
        <v>#REF!</v>
      </c>
      <c r="K40">
        <v>17</v>
      </c>
      <c r="L40" t="str">
        <f t="shared" si="1"/>
        <v>CE17</v>
      </c>
    </row>
    <row r="41" spans="1:12">
      <c r="A41">
        <v>49</v>
      </c>
      <c r="B41" s="36" t="s">
        <v>101</v>
      </c>
      <c r="C41" s="37" t="e">
        <f>+#REF!</f>
        <v>#REF!</v>
      </c>
      <c r="D41" s="38" t="e">
        <f>+#REF!</f>
        <v>#REF!</v>
      </c>
      <c r="E41">
        <v>20</v>
      </c>
      <c r="F41" t="str">
        <f t="shared" si="0"/>
        <v>SP20</v>
      </c>
      <c r="G41">
        <v>47</v>
      </c>
      <c r="H41" s="36" t="s">
        <v>144</v>
      </c>
      <c r="I41" s="37" t="e">
        <f>+#REF!</f>
        <v>#REF!</v>
      </c>
      <c r="J41" s="38" t="e">
        <f>+#REF!</f>
        <v>#REF!</v>
      </c>
      <c r="K41">
        <v>18</v>
      </c>
      <c r="L41" t="str">
        <f t="shared" si="1"/>
        <v>CE18</v>
      </c>
    </row>
    <row r="42" spans="1:12">
      <c r="A42">
        <v>50</v>
      </c>
      <c r="B42" s="36" t="s">
        <v>102</v>
      </c>
      <c r="C42" s="37" t="e">
        <f>+#REF!</f>
        <v>#REF!</v>
      </c>
      <c r="D42" s="38" t="e">
        <f>+#REF!</f>
        <v>#REF!</v>
      </c>
      <c r="E42">
        <v>21</v>
      </c>
      <c r="F42" t="str">
        <f t="shared" si="0"/>
        <v>SP21</v>
      </c>
      <c r="G42">
        <v>48</v>
      </c>
      <c r="H42" s="36" t="s">
        <v>145</v>
      </c>
      <c r="I42" s="37" t="e">
        <f>+#REF!</f>
        <v>#REF!</v>
      </c>
      <c r="J42" s="38" t="e">
        <f>+#REF!</f>
        <v>#REF!</v>
      </c>
      <c r="L42" t="str">
        <f t="shared" si="1"/>
        <v/>
      </c>
    </row>
    <row r="43" spans="1:12">
      <c r="A43">
        <v>51</v>
      </c>
      <c r="B43" s="36" t="s">
        <v>103</v>
      </c>
      <c r="C43" s="37" t="e">
        <f>+#REF!</f>
        <v>#REF!</v>
      </c>
      <c r="D43" s="38" t="e">
        <f>+#REF!</f>
        <v>#REF!</v>
      </c>
      <c r="E43">
        <v>22</v>
      </c>
      <c r="F43" t="str">
        <f t="shared" si="0"/>
        <v>SP22</v>
      </c>
      <c r="G43">
        <v>49</v>
      </c>
      <c r="H43" s="33" t="s">
        <v>146</v>
      </c>
      <c r="I43" s="34" t="e">
        <f>+#REF!</f>
        <v>#REF!</v>
      </c>
      <c r="J43" s="35" t="e">
        <f>+#REF!</f>
        <v>#REF!</v>
      </c>
      <c r="L43" t="str">
        <f t="shared" si="1"/>
        <v/>
      </c>
    </row>
    <row r="44" spans="1:12" ht="15.75" thickBot="1">
      <c r="A44">
        <v>52</v>
      </c>
      <c r="B44" s="39" t="s">
        <v>104</v>
      </c>
      <c r="C44" s="40" t="e">
        <f>+#REF!</f>
        <v>#REF!</v>
      </c>
      <c r="D44" s="41" t="e">
        <f>+#REF!</f>
        <v>#REF!</v>
      </c>
      <c r="E44">
        <v>23</v>
      </c>
      <c r="F44" t="str">
        <f t="shared" si="0"/>
        <v>SP23</v>
      </c>
      <c r="G44">
        <v>50</v>
      </c>
      <c r="H44" s="33" t="s">
        <v>147</v>
      </c>
      <c r="I44" s="34" t="e">
        <f>+#REF!</f>
        <v>#REF!</v>
      </c>
      <c r="J44" s="35" t="e">
        <f>+#REF!</f>
        <v>#REF!</v>
      </c>
      <c r="L44" t="str">
        <f t="shared" si="1"/>
        <v/>
      </c>
    </row>
    <row r="45" spans="1:12">
      <c r="C45" s="42" t="e">
        <f>+#REF!</f>
        <v>#REF!</v>
      </c>
      <c r="D45" s="42" t="e">
        <f>+#REF!</f>
        <v>#REF!</v>
      </c>
      <c r="F45" t="str">
        <f t="shared" si="0"/>
        <v/>
      </c>
      <c r="G45">
        <v>51</v>
      </c>
      <c r="H45" s="36" t="s">
        <v>148</v>
      </c>
      <c r="I45" s="37" t="e">
        <f>+#REF!</f>
        <v>#REF!</v>
      </c>
      <c r="J45" s="38" t="e">
        <f>+#REF!</f>
        <v>#REF!</v>
      </c>
      <c r="L45" t="str">
        <f t="shared" si="1"/>
        <v/>
      </c>
    </row>
    <row r="46" spans="1:12">
      <c r="F46" t="str">
        <f t="shared" si="0"/>
        <v/>
      </c>
      <c r="G46">
        <v>52</v>
      </c>
      <c r="H46" s="36" t="s">
        <v>149</v>
      </c>
      <c r="I46" s="37" t="e">
        <f>+#REF!</f>
        <v>#REF!</v>
      </c>
      <c r="J46" s="38" t="e">
        <f>+#REF!</f>
        <v>#REF!</v>
      </c>
      <c r="L46" t="str">
        <f t="shared" si="1"/>
        <v/>
      </c>
    </row>
    <row r="47" spans="1:12">
      <c r="F47" t="str">
        <f t="shared" si="0"/>
        <v/>
      </c>
      <c r="G47">
        <v>53</v>
      </c>
      <c r="H47" s="36" t="s">
        <v>150</v>
      </c>
      <c r="I47" s="37" t="e">
        <f>+#REF!</f>
        <v>#REF!</v>
      </c>
      <c r="J47" s="38" t="e">
        <f>+#REF!</f>
        <v>#REF!</v>
      </c>
      <c r="L47" t="str">
        <f t="shared" si="1"/>
        <v/>
      </c>
    </row>
    <row r="48" spans="1:12">
      <c r="F48" t="str">
        <f t="shared" si="0"/>
        <v/>
      </c>
      <c r="G48">
        <v>54</v>
      </c>
      <c r="H48" s="36" t="s">
        <v>151</v>
      </c>
      <c r="I48" s="37" t="e">
        <f>+#REF!</f>
        <v>#REF!</v>
      </c>
      <c r="J48" s="38" t="e">
        <f>+#REF!</f>
        <v>#REF!</v>
      </c>
      <c r="L48" t="str">
        <f t="shared" si="1"/>
        <v/>
      </c>
    </row>
    <row r="49" spans="6:12">
      <c r="F49" t="str">
        <f t="shared" si="0"/>
        <v/>
      </c>
      <c r="G49">
        <v>55</v>
      </c>
      <c r="H49" s="36" t="s">
        <v>116</v>
      </c>
      <c r="I49" s="37" t="e">
        <f>+#REF!</f>
        <v>#REF!</v>
      </c>
      <c r="J49" s="38" t="e">
        <f>+#REF!</f>
        <v>#REF!</v>
      </c>
      <c r="L49" t="str">
        <f t="shared" si="1"/>
        <v/>
      </c>
    </row>
    <row r="50" spans="6:12">
      <c r="F50" t="str">
        <f t="shared" si="0"/>
        <v/>
      </c>
      <c r="G50">
        <v>56</v>
      </c>
      <c r="H50" s="36" t="s">
        <v>152</v>
      </c>
      <c r="I50" s="37" t="e">
        <f>+#REF!</f>
        <v>#REF!</v>
      </c>
      <c r="J50" s="38" t="e">
        <f>+#REF!</f>
        <v>#REF!</v>
      </c>
      <c r="L50" t="str">
        <f t="shared" si="1"/>
        <v/>
      </c>
    </row>
    <row r="51" spans="6:12">
      <c r="F51" t="str">
        <f t="shared" si="0"/>
        <v/>
      </c>
      <c r="G51">
        <v>57</v>
      </c>
      <c r="H51" s="33" t="s">
        <v>153</v>
      </c>
      <c r="I51" s="34" t="e">
        <f>+#REF!</f>
        <v>#REF!</v>
      </c>
      <c r="J51" s="35" t="e">
        <f>+#REF!</f>
        <v>#REF!</v>
      </c>
      <c r="L51" t="str">
        <f t="shared" si="1"/>
        <v/>
      </c>
    </row>
    <row r="52" spans="6:12">
      <c r="F52" t="str">
        <f t="shared" si="0"/>
        <v/>
      </c>
      <c r="G52">
        <v>58</v>
      </c>
      <c r="H52" s="33" t="s">
        <v>154</v>
      </c>
      <c r="I52" s="34" t="e">
        <f>+#REF!</f>
        <v>#REF!</v>
      </c>
      <c r="J52" s="35" t="e">
        <f>+#REF!</f>
        <v>#REF!</v>
      </c>
      <c r="L52" t="str">
        <f t="shared" si="1"/>
        <v/>
      </c>
    </row>
    <row r="53" spans="6:12">
      <c r="F53" t="str">
        <f t="shared" si="0"/>
        <v/>
      </c>
      <c r="G53">
        <v>59</v>
      </c>
      <c r="H53" s="36" t="s">
        <v>155</v>
      </c>
      <c r="I53" s="37" t="e">
        <f>+#REF!</f>
        <v>#REF!</v>
      </c>
      <c r="J53" s="38" t="e">
        <f>+#REF!</f>
        <v>#REF!</v>
      </c>
      <c r="L53" t="str">
        <f t="shared" si="1"/>
        <v/>
      </c>
    </row>
    <row r="54" spans="6:12">
      <c r="F54" t="str">
        <f t="shared" si="0"/>
        <v/>
      </c>
      <c r="G54">
        <v>60</v>
      </c>
      <c r="H54" s="36" t="s">
        <v>156</v>
      </c>
      <c r="I54" s="37" t="e">
        <f>+#REF!</f>
        <v>#REF!</v>
      </c>
      <c r="J54" s="38" t="e">
        <f>+#REF!</f>
        <v>#REF!</v>
      </c>
      <c r="L54" t="str">
        <f t="shared" si="1"/>
        <v/>
      </c>
    </row>
    <row r="55" spans="6:12">
      <c r="F55" t="str">
        <f t="shared" si="0"/>
        <v/>
      </c>
      <c r="G55">
        <v>61</v>
      </c>
      <c r="H55" s="36" t="s">
        <v>157</v>
      </c>
      <c r="I55" s="37" t="e">
        <f>+#REF!</f>
        <v>#REF!</v>
      </c>
      <c r="J55" s="38" t="e">
        <f>+#REF!</f>
        <v>#REF!</v>
      </c>
      <c r="L55" t="str">
        <f t="shared" si="1"/>
        <v/>
      </c>
    </row>
    <row r="56" spans="6:12">
      <c r="F56" t="str">
        <f t="shared" si="0"/>
        <v/>
      </c>
      <c r="G56">
        <v>62</v>
      </c>
      <c r="H56" s="36" t="s">
        <v>158</v>
      </c>
      <c r="I56" s="37" t="e">
        <f>+#REF!</f>
        <v>#REF!</v>
      </c>
      <c r="J56" s="38" t="e">
        <f>+#REF!</f>
        <v>#REF!</v>
      </c>
      <c r="L56" t="str">
        <f t="shared" si="1"/>
        <v/>
      </c>
    </row>
    <row r="57" spans="6:12">
      <c r="F57" t="str">
        <f t="shared" si="0"/>
        <v/>
      </c>
      <c r="G57">
        <v>63</v>
      </c>
      <c r="H57" s="36" t="s">
        <v>159</v>
      </c>
      <c r="I57" s="37" t="e">
        <f>+#REF!</f>
        <v>#REF!</v>
      </c>
      <c r="J57" s="38" t="e">
        <f>+#REF!</f>
        <v>#REF!</v>
      </c>
      <c r="L57" t="str">
        <f t="shared" si="1"/>
        <v/>
      </c>
    </row>
    <row r="58" spans="6:12">
      <c r="F58" t="str">
        <f t="shared" si="0"/>
        <v/>
      </c>
      <c r="G58">
        <v>64</v>
      </c>
      <c r="H58" s="36" t="s">
        <v>160</v>
      </c>
      <c r="I58" s="37" t="e">
        <f>+#REF!</f>
        <v>#REF!</v>
      </c>
      <c r="J58" s="38" t="e">
        <f>+#REF!</f>
        <v>#REF!</v>
      </c>
      <c r="L58" t="str">
        <f t="shared" si="1"/>
        <v/>
      </c>
    </row>
    <row r="59" spans="6:12">
      <c r="F59" t="str">
        <f t="shared" si="0"/>
        <v/>
      </c>
      <c r="G59">
        <v>65</v>
      </c>
      <c r="H59" s="33" t="s">
        <v>161</v>
      </c>
      <c r="I59" s="34" t="e">
        <f>+#REF!</f>
        <v>#REF!</v>
      </c>
      <c r="J59" s="35" t="e">
        <f>+#REF!</f>
        <v>#REF!</v>
      </c>
      <c r="L59" t="str">
        <f t="shared" si="1"/>
        <v/>
      </c>
    </row>
    <row r="60" spans="6:12">
      <c r="F60" t="str">
        <f t="shared" si="0"/>
        <v/>
      </c>
      <c r="G60">
        <v>66</v>
      </c>
      <c r="H60" s="36" t="s">
        <v>162</v>
      </c>
      <c r="I60" s="37" t="e">
        <f>+#REF!</f>
        <v>#REF!</v>
      </c>
      <c r="J60" s="38" t="e">
        <f>+#REF!</f>
        <v>#REF!</v>
      </c>
      <c r="L60" t="str">
        <f t="shared" si="1"/>
        <v/>
      </c>
    </row>
    <row r="61" spans="6:12">
      <c r="F61" t="str">
        <f t="shared" si="0"/>
        <v/>
      </c>
      <c r="G61">
        <v>67</v>
      </c>
      <c r="H61" s="36" t="s">
        <v>163</v>
      </c>
      <c r="I61" s="37" t="e">
        <f>+#REF!</f>
        <v>#REF!</v>
      </c>
      <c r="J61" s="38" t="e">
        <f>+#REF!</f>
        <v>#REF!</v>
      </c>
      <c r="L61" t="str">
        <f t="shared" si="1"/>
        <v/>
      </c>
    </row>
    <row r="62" spans="6:12">
      <c r="F62" t="str">
        <f t="shared" si="0"/>
        <v/>
      </c>
      <c r="G62">
        <v>68</v>
      </c>
      <c r="H62" s="36" t="s">
        <v>164</v>
      </c>
      <c r="I62" s="37" t="e">
        <f>+#REF!</f>
        <v>#REF!</v>
      </c>
      <c r="J62" s="38" t="e">
        <f>+#REF!</f>
        <v>#REF!</v>
      </c>
      <c r="L62" t="str">
        <f t="shared" si="1"/>
        <v/>
      </c>
    </row>
    <row r="63" spans="6:12">
      <c r="F63" t="str">
        <f t="shared" si="0"/>
        <v/>
      </c>
      <c r="G63">
        <v>69</v>
      </c>
      <c r="H63" s="33" t="s">
        <v>165</v>
      </c>
      <c r="I63" s="34" t="e">
        <f>+#REF!</f>
        <v>#REF!</v>
      </c>
      <c r="J63" s="35" t="e">
        <f>+#REF!</f>
        <v>#REF!</v>
      </c>
      <c r="L63" t="str">
        <f t="shared" si="1"/>
        <v/>
      </c>
    </row>
    <row r="64" spans="6:12">
      <c r="F64" t="str">
        <f t="shared" si="0"/>
        <v/>
      </c>
      <c r="G64">
        <v>70</v>
      </c>
      <c r="H64" s="36" t="s">
        <v>155</v>
      </c>
      <c r="I64" s="37" t="e">
        <f>+#REF!</f>
        <v>#REF!</v>
      </c>
      <c r="J64" s="38" t="e">
        <f>+#REF!</f>
        <v>#REF!</v>
      </c>
      <c r="L64" t="str">
        <f t="shared" si="1"/>
        <v/>
      </c>
    </row>
    <row r="65" spans="6:12">
      <c r="F65" t="str">
        <f t="shared" si="0"/>
        <v/>
      </c>
      <c r="G65">
        <v>71</v>
      </c>
      <c r="H65" s="36" t="s">
        <v>156</v>
      </c>
      <c r="I65" s="37" t="e">
        <f>+#REF!</f>
        <v>#REF!</v>
      </c>
      <c r="J65" s="38" t="e">
        <f>+#REF!</f>
        <v>#REF!</v>
      </c>
      <c r="L65" t="str">
        <f t="shared" si="1"/>
        <v/>
      </c>
    </row>
    <row r="66" spans="6:12">
      <c r="F66" t="str">
        <f t="shared" si="0"/>
        <v/>
      </c>
      <c r="G66">
        <v>72</v>
      </c>
      <c r="H66" s="36" t="s">
        <v>157</v>
      </c>
      <c r="I66" s="37" t="e">
        <f>+#REF!</f>
        <v>#REF!</v>
      </c>
      <c r="J66" s="38" t="e">
        <f>+#REF!</f>
        <v>#REF!</v>
      </c>
      <c r="L66" t="str">
        <f t="shared" si="1"/>
        <v/>
      </c>
    </row>
    <row r="67" spans="6:12">
      <c r="F67" t="str">
        <f t="shared" si="0"/>
        <v/>
      </c>
      <c r="G67">
        <v>73</v>
      </c>
      <c r="H67" s="36" t="s">
        <v>158</v>
      </c>
      <c r="I67" s="37" t="e">
        <f>+#REF!</f>
        <v>#REF!</v>
      </c>
      <c r="J67" s="38" t="e">
        <f>+#REF!</f>
        <v>#REF!</v>
      </c>
      <c r="L67" t="str">
        <f t="shared" si="1"/>
        <v/>
      </c>
    </row>
    <row r="68" spans="6:12">
      <c r="F68" t="str">
        <f t="shared" si="0"/>
        <v/>
      </c>
      <c r="G68">
        <v>74</v>
      </c>
      <c r="H68" s="36" t="s">
        <v>159</v>
      </c>
      <c r="I68" s="37" t="e">
        <f>+#REF!</f>
        <v>#REF!</v>
      </c>
      <c r="J68" s="38" t="e">
        <f>+#REF!</f>
        <v>#REF!</v>
      </c>
      <c r="L68" t="str">
        <f t="shared" si="1"/>
        <v/>
      </c>
    </row>
    <row r="69" spans="6:12">
      <c r="F69" t="str">
        <f t="shared" ref="F69:F103" si="2">+IF(E69&gt;0,"SP"&amp;RIGHT(0&amp;E69,2),"")</f>
        <v/>
      </c>
      <c r="G69">
        <v>75</v>
      </c>
      <c r="H69" s="36" t="s">
        <v>166</v>
      </c>
      <c r="I69" s="37" t="e">
        <f>+#REF!</f>
        <v>#REF!</v>
      </c>
      <c r="J69" s="38" t="e">
        <f>+#REF!</f>
        <v>#REF!</v>
      </c>
      <c r="L69" t="str">
        <f t="shared" si="1"/>
        <v/>
      </c>
    </row>
    <row r="70" spans="6:12">
      <c r="F70" t="str">
        <f t="shared" si="2"/>
        <v/>
      </c>
      <c r="G70">
        <v>76</v>
      </c>
      <c r="H70" s="36" t="s">
        <v>167</v>
      </c>
      <c r="I70" s="37" t="e">
        <f>+#REF!</f>
        <v>#REF!</v>
      </c>
      <c r="J70" s="38" t="e">
        <f>+#REF!</f>
        <v>#REF!</v>
      </c>
      <c r="L70" t="str">
        <f t="shared" ref="L70:L103" si="3">+IF(K70&gt;0,"CE"&amp;RIGHT(0&amp;K70,2),"")</f>
        <v/>
      </c>
    </row>
    <row r="71" spans="6:12">
      <c r="F71" t="str">
        <f t="shared" si="2"/>
        <v/>
      </c>
      <c r="G71">
        <v>77</v>
      </c>
      <c r="H71" s="33" t="s">
        <v>168</v>
      </c>
      <c r="I71" s="34" t="e">
        <f>+#REF!</f>
        <v>#REF!</v>
      </c>
      <c r="J71" s="35" t="e">
        <f>+#REF!</f>
        <v>#REF!</v>
      </c>
      <c r="L71" t="str">
        <f t="shared" si="3"/>
        <v/>
      </c>
    </row>
    <row r="72" spans="6:12">
      <c r="F72" t="str">
        <f t="shared" si="2"/>
        <v/>
      </c>
      <c r="G72">
        <v>78</v>
      </c>
      <c r="H72" s="36" t="s">
        <v>169</v>
      </c>
      <c r="I72" s="37" t="e">
        <f>+#REF!</f>
        <v>#REF!</v>
      </c>
      <c r="J72" s="38" t="e">
        <f>+#REF!</f>
        <v>#REF!</v>
      </c>
      <c r="L72" t="str">
        <f t="shared" si="3"/>
        <v/>
      </c>
    </row>
    <row r="73" spans="6:12">
      <c r="F73" t="str">
        <f t="shared" si="2"/>
        <v/>
      </c>
      <c r="G73">
        <v>79</v>
      </c>
      <c r="H73" s="36" t="s">
        <v>170</v>
      </c>
      <c r="I73" s="37" t="e">
        <f>+#REF!</f>
        <v>#REF!</v>
      </c>
      <c r="J73" s="38" t="e">
        <f>+#REF!</f>
        <v>#REF!</v>
      </c>
      <c r="L73" t="str">
        <f t="shared" si="3"/>
        <v/>
      </c>
    </row>
    <row r="74" spans="6:12">
      <c r="F74" t="str">
        <f t="shared" si="2"/>
        <v/>
      </c>
      <c r="G74">
        <v>80</v>
      </c>
      <c r="H74" s="36" t="s">
        <v>171</v>
      </c>
      <c r="I74" s="37" t="e">
        <f>+#REF!</f>
        <v>#REF!</v>
      </c>
      <c r="J74" s="38" t="e">
        <f>+#REF!</f>
        <v>#REF!</v>
      </c>
      <c r="L74" t="str">
        <f t="shared" si="3"/>
        <v/>
      </c>
    </row>
    <row r="75" spans="6:12">
      <c r="F75" t="str">
        <f t="shared" si="2"/>
        <v/>
      </c>
      <c r="G75">
        <v>81</v>
      </c>
      <c r="H75" s="36" t="s">
        <v>172</v>
      </c>
      <c r="I75" s="37" t="e">
        <f>+#REF!</f>
        <v>#REF!</v>
      </c>
      <c r="J75" s="38" t="e">
        <f>+#REF!</f>
        <v>#REF!</v>
      </c>
      <c r="L75" t="str">
        <f t="shared" si="3"/>
        <v/>
      </c>
    </row>
    <row r="76" spans="6:12">
      <c r="F76" t="str">
        <f t="shared" si="2"/>
        <v/>
      </c>
      <c r="G76">
        <v>82</v>
      </c>
      <c r="H76" s="36" t="s">
        <v>116</v>
      </c>
      <c r="I76" s="37" t="e">
        <f>+#REF!</f>
        <v>#REF!</v>
      </c>
      <c r="J76" s="38" t="e">
        <f>+#REF!</f>
        <v>#REF!</v>
      </c>
      <c r="L76" t="str">
        <f t="shared" si="3"/>
        <v/>
      </c>
    </row>
    <row r="77" spans="6:12">
      <c r="F77" t="str">
        <f t="shared" si="2"/>
        <v/>
      </c>
      <c r="G77">
        <v>83</v>
      </c>
      <c r="H77" s="36" t="s">
        <v>173</v>
      </c>
      <c r="I77" s="37" t="e">
        <f>+#REF!</f>
        <v>#REF!</v>
      </c>
      <c r="J77" s="38" t="e">
        <f>+#REF!</f>
        <v>#REF!</v>
      </c>
      <c r="K77">
        <v>19</v>
      </c>
      <c r="L77" t="str">
        <f t="shared" si="3"/>
        <v>CE19</v>
      </c>
    </row>
    <row r="78" spans="6:12">
      <c r="F78" t="str">
        <f t="shared" si="2"/>
        <v/>
      </c>
      <c r="G78">
        <v>84</v>
      </c>
      <c r="H78" s="36" t="s">
        <v>174</v>
      </c>
      <c r="I78" s="37" t="e">
        <f>+#REF!</f>
        <v>#REF!</v>
      </c>
      <c r="J78" s="38" t="e">
        <f>+#REF!</f>
        <v>#REF!</v>
      </c>
      <c r="L78" t="str">
        <f t="shared" si="3"/>
        <v/>
      </c>
    </row>
    <row r="79" spans="6:12">
      <c r="F79" t="str">
        <f t="shared" si="2"/>
        <v/>
      </c>
      <c r="G79">
        <v>85</v>
      </c>
      <c r="H79" s="36" t="s">
        <v>175</v>
      </c>
      <c r="I79" s="37" t="e">
        <f>+#REF!</f>
        <v>#REF!</v>
      </c>
      <c r="J79" s="38" t="e">
        <f>+#REF!</f>
        <v>#REF!</v>
      </c>
      <c r="K79">
        <v>20</v>
      </c>
      <c r="L79" t="str">
        <f t="shared" si="3"/>
        <v>CE20</v>
      </c>
    </row>
    <row r="80" spans="6:12">
      <c r="F80" t="str">
        <f t="shared" si="2"/>
        <v/>
      </c>
      <c r="G80">
        <v>86</v>
      </c>
      <c r="H80" s="33" t="s">
        <v>176</v>
      </c>
      <c r="I80" s="34" t="e">
        <f>+#REF!</f>
        <v>#REF!</v>
      </c>
      <c r="J80" s="35" t="e">
        <f>+#REF!</f>
        <v>#REF!</v>
      </c>
      <c r="L80" t="str">
        <f t="shared" si="3"/>
        <v/>
      </c>
    </row>
    <row r="81" spans="6:12">
      <c r="F81" t="str">
        <f t="shared" si="2"/>
        <v/>
      </c>
      <c r="G81">
        <v>87</v>
      </c>
      <c r="H81" s="33" t="s">
        <v>177</v>
      </c>
      <c r="I81" s="34" t="e">
        <f>+#REF!</f>
        <v>#REF!</v>
      </c>
      <c r="J81" s="35" t="e">
        <f>+#REF!</f>
        <v>#REF!</v>
      </c>
      <c r="L81" t="str">
        <f t="shared" si="3"/>
        <v/>
      </c>
    </row>
    <row r="82" spans="6:12">
      <c r="F82" t="str">
        <f t="shared" si="2"/>
        <v/>
      </c>
      <c r="G82">
        <v>88</v>
      </c>
      <c r="H82" s="36" t="s">
        <v>178</v>
      </c>
      <c r="I82" s="37" t="e">
        <f>+#REF!</f>
        <v>#REF!</v>
      </c>
      <c r="J82" s="38" t="e">
        <f>+#REF!</f>
        <v>#REF!</v>
      </c>
      <c r="L82" t="str">
        <f t="shared" si="3"/>
        <v/>
      </c>
    </row>
    <row r="83" spans="6:12">
      <c r="F83" t="str">
        <f t="shared" si="2"/>
        <v/>
      </c>
      <c r="G83">
        <v>89</v>
      </c>
      <c r="H83" s="36" t="s">
        <v>179</v>
      </c>
      <c r="I83" s="37" t="e">
        <f>+#REF!</f>
        <v>#REF!</v>
      </c>
      <c r="J83" s="38" t="e">
        <f>+#REF!</f>
        <v>#REF!</v>
      </c>
      <c r="L83" t="str">
        <f t="shared" si="3"/>
        <v/>
      </c>
    </row>
    <row r="84" spans="6:12">
      <c r="F84" t="str">
        <f t="shared" si="2"/>
        <v/>
      </c>
      <c r="G84">
        <v>90</v>
      </c>
      <c r="H84" s="36" t="s">
        <v>180</v>
      </c>
      <c r="I84" s="37" t="e">
        <f>+#REF!</f>
        <v>#REF!</v>
      </c>
      <c r="J84" s="38" t="e">
        <f>+#REF!</f>
        <v>#REF!</v>
      </c>
      <c r="L84" t="str">
        <f t="shared" si="3"/>
        <v/>
      </c>
    </row>
    <row r="85" spans="6:12">
      <c r="F85" t="str">
        <f t="shared" si="2"/>
        <v/>
      </c>
      <c r="G85">
        <v>91</v>
      </c>
      <c r="H85" s="36" t="s">
        <v>181</v>
      </c>
      <c r="I85" s="37" t="e">
        <f>+#REF!</f>
        <v>#REF!</v>
      </c>
      <c r="J85" s="38" t="e">
        <f>+#REF!</f>
        <v>#REF!</v>
      </c>
      <c r="L85" t="str">
        <f t="shared" si="3"/>
        <v/>
      </c>
    </row>
    <row r="86" spans="6:12">
      <c r="F86" t="str">
        <f t="shared" si="2"/>
        <v/>
      </c>
      <c r="G86">
        <v>92</v>
      </c>
      <c r="H86" s="36" t="s">
        <v>182</v>
      </c>
      <c r="I86" s="37" t="e">
        <f>+#REF!</f>
        <v>#REF!</v>
      </c>
      <c r="J86" s="38" t="e">
        <f>+#REF!</f>
        <v>#REF!</v>
      </c>
      <c r="L86" t="str">
        <f t="shared" si="3"/>
        <v/>
      </c>
    </row>
    <row r="87" spans="6:12">
      <c r="F87" t="str">
        <f t="shared" si="2"/>
        <v/>
      </c>
      <c r="G87">
        <v>93</v>
      </c>
      <c r="H87" s="36" t="s">
        <v>183</v>
      </c>
      <c r="I87" s="37" t="e">
        <f>+#REF!</f>
        <v>#REF!</v>
      </c>
      <c r="J87" s="38" t="e">
        <f>+#REF!</f>
        <v>#REF!</v>
      </c>
      <c r="L87" t="str">
        <f t="shared" si="3"/>
        <v/>
      </c>
    </row>
    <row r="88" spans="6:12">
      <c r="F88" t="str">
        <f t="shared" si="2"/>
        <v/>
      </c>
      <c r="G88">
        <v>94</v>
      </c>
      <c r="H88" s="33" t="s">
        <v>184</v>
      </c>
      <c r="I88" s="34" t="e">
        <f>+#REF!</f>
        <v>#REF!</v>
      </c>
      <c r="J88" s="35" t="e">
        <f>+#REF!</f>
        <v>#REF!</v>
      </c>
      <c r="L88" t="str">
        <f t="shared" si="3"/>
        <v/>
      </c>
    </row>
    <row r="89" spans="6:12">
      <c r="F89" t="str">
        <f t="shared" si="2"/>
        <v/>
      </c>
      <c r="G89">
        <v>95</v>
      </c>
      <c r="H89" s="36" t="s">
        <v>178</v>
      </c>
      <c r="I89" s="37" t="e">
        <f>+#REF!</f>
        <v>#REF!</v>
      </c>
      <c r="J89" s="38" t="e">
        <f>+#REF!</f>
        <v>#REF!</v>
      </c>
      <c r="L89" t="str">
        <f t="shared" si="3"/>
        <v/>
      </c>
    </row>
    <row r="90" spans="6:12">
      <c r="F90" t="str">
        <f t="shared" si="2"/>
        <v/>
      </c>
      <c r="G90">
        <v>96</v>
      </c>
      <c r="H90" s="36" t="s">
        <v>179</v>
      </c>
      <c r="I90" s="37" t="e">
        <f>+#REF!</f>
        <v>#REF!</v>
      </c>
      <c r="J90" s="38" t="e">
        <f>+#REF!</f>
        <v>#REF!</v>
      </c>
      <c r="L90" t="str">
        <f t="shared" si="3"/>
        <v/>
      </c>
    </row>
    <row r="91" spans="6:12">
      <c r="F91" t="str">
        <f t="shared" si="2"/>
        <v/>
      </c>
      <c r="G91">
        <v>97</v>
      </c>
      <c r="H91" s="36" t="s">
        <v>185</v>
      </c>
      <c r="I91" s="37" t="e">
        <f>+#REF!</f>
        <v>#REF!</v>
      </c>
      <c r="J91" s="38" t="e">
        <f>+#REF!</f>
        <v>#REF!</v>
      </c>
      <c r="L91" t="str">
        <f t="shared" si="3"/>
        <v/>
      </c>
    </row>
    <row r="92" spans="6:12">
      <c r="F92" t="str">
        <f t="shared" si="2"/>
        <v/>
      </c>
      <c r="G92">
        <v>98</v>
      </c>
      <c r="H92" s="36" t="s">
        <v>181</v>
      </c>
      <c r="I92" s="37" t="e">
        <f>+#REF!</f>
        <v>#REF!</v>
      </c>
      <c r="J92" s="38" t="e">
        <f>+#REF!</f>
        <v>#REF!</v>
      </c>
      <c r="L92" t="str">
        <f t="shared" si="3"/>
        <v/>
      </c>
    </row>
    <row r="93" spans="6:12">
      <c r="F93" t="str">
        <f t="shared" si="2"/>
        <v/>
      </c>
      <c r="G93">
        <v>99</v>
      </c>
      <c r="H93" s="36" t="s">
        <v>182</v>
      </c>
      <c r="I93" s="37" t="e">
        <f>+#REF!</f>
        <v>#REF!</v>
      </c>
      <c r="J93" s="38" t="e">
        <f>+#REF!</f>
        <v>#REF!</v>
      </c>
      <c r="L93" t="str">
        <f t="shared" si="3"/>
        <v/>
      </c>
    </row>
    <row r="94" spans="6:12">
      <c r="F94" t="str">
        <f t="shared" si="2"/>
        <v/>
      </c>
      <c r="G94">
        <v>100</v>
      </c>
      <c r="H94" s="36" t="s">
        <v>186</v>
      </c>
      <c r="I94" s="37" t="e">
        <f>+#REF!</f>
        <v>#REF!</v>
      </c>
      <c r="J94" s="38" t="e">
        <f>+#REF!</f>
        <v>#REF!</v>
      </c>
      <c r="L94" t="str">
        <f t="shared" si="3"/>
        <v/>
      </c>
    </row>
    <row r="95" spans="6:12">
      <c r="F95" t="str">
        <f t="shared" si="2"/>
        <v/>
      </c>
      <c r="G95">
        <v>101</v>
      </c>
      <c r="H95" s="36" t="s">
        <v>187</v>
      </c>
      <c r="I95" s="37" t="e">
        <f>+#REF!</f>
        <v>#REF!</v>
      </c>
      <c r="J95" s="38" t="e">
        <f>+#REF!</f>
        <v>#REF!</v>
      </c>
      <c r="K95">
        <v>21</v>
      </c>
      <c r="L95" t="str">
        <f t="shared" si="3"/>
        <v>CE21</v>
      </c>
    </row>
    <row r="96" spans="6:12">
      <c r="F96" t="str">
        <f t="shared" si="2"/>
        <v/>
      </c>
      <c r="G96">
        <v>102</v>
      </c>
      <c r="H96" s="36" t="s">
        <v>188</v>
      </c>
      <c r="I96" s="37" t="e">
        <f>+#REF!</f>
        <v>#REF!</v>
      </c>
      <c r="J96" s="38" t="e">
        <f>+#REF!</f>
        <v>#REF!</v>
      </c>
      <c r="K96">
        <v>23</v>
      </c>
      <c r="L96" t="str">
        <f t="shared" si="3"/>
        <v>CE23</v>
      </c>
    </row>
    <row r="97" spans="6:12">
      <c r="F97" t="str">
        <f t="shared" si="2"/>
        <v/>
      </c>
      <c r="G97">
        <v>103</v>
      </c>
      <c r="H97" s="33" t="s">
        <v>189</v>
      </c>
      <c r="I97" s="34" t="e">
        <f>+#REF!</f>
        <v>#REF!</v>
      </c>
      <c r="J97" s="35" t="e">
        <f>+#REF!</f>
        <v>#REF!</v>
      </c>
      <c r="L97" t="str">
        <f t="shared" si="3"/>
        <v/>
      </c>
    </row>
    <row r="98" spans="6:12">
      <c r="F98" t="str">
        <f t="shared" si="2"/>
        <v/>
      </c>
      <c r="G98">
        <v>104</v>
      </c>
      <c r="H98" s="36" t="s">
        <v>190</v>
      </c>
      <c r="I98" s="37" t="e">
        <f>+#REF!</f>
        <v>#REF!</v>
      </c>
      <c r="J98" s="38" t="e">
        <f>+#REF!</f>
        <v>#REF!</v>
      </c>
      <c r="L98" t="str">
        <f t="shared" si="3"/>
        <v/>
      </c>
    </row>
    <row r="99" spans="6:12">
      <c r="F99" t="str">
        <f t="shared" si="2"/>
        <v/>
      </c>
      <c r="G99">
        <v>105</v>
      </c>
      <c r="H99" s="36" t="s">
        <v>191</v>
      </c>
      <c r="I99" s="37" t="e">
        <f>+#REF!</f>
        <v>#REF!</v>
      </c>
      <c r="J99" s="38" t="e">
        <f>+#REF!</f>
        <v>#REF!</v>
      </c>
      <c r="L99" t="str">
        <f t="shared" si="3"/>
        <v/>
      </c>
    </row>
    <row r="100" spans="6:12">
      <c r="F100" t="str">
        <f t="shared" si="2"/>
        <v/>
      </c>
      <c r="G100">
        <v>106</v>
      </c>
      <c r="H100" s="36" t="s">
        <v>192</v>
      </c>
      <c r="I100" s="37" t="e">
        <f>+#REF!</f>
        <v>#REF!</v>
      </c>
      <c r="J100" s="38" t="e">
        <f>+#REF!</f>
        <v>#REF!</v>
      </c>
      <c r="L100" t="str">
        <f t="shared" si="3"/>
        <v/>
      </c>
    </row>
    <row r="101" spans="6:12">
      <c r="F101" t="str">
        <f t="shared" si="2"/>
        <v/>
      </c>
      <c r="G101">
        <v>107</v>
      </c>
      <c r="H101" s="36" t="s">
        <v>193</v>
      </c>
      <c r="I101" s="37" t="e">
        <f>+#REF!</f>
        <v>#REF!</v>
      </c>
      <c r="J101" s="38" t="e">
        <f>+#REF!</f>
        <v>#REF!</v>
      </c>
      <c r="L101" t="str">
        <f t="shared" si="3"/>
        <v/>
      </c>
    </row>
    <row r="102" spans="6:12">
      <c r="F102" t="str">
        <f t="shared" si="2"/>
        <v/>
      </c>
      <c r="G102">
        <v>108</v>
      </c>
      <c r="H102" s="36" t="s">
        <v>194</v>
      </c>
      <c r="I102" s="37" t="e">
        <f>+#REF!</f>
        <v>#REF!</v>
      </c>
      <c r="J102" s="38" t="e">
        <f>+#REF!</f>
        <v>#REF!</v>
      </c>
      <c r="K102">
        <v>24</v>
      </c>
      <c r="L102" t="str">
        <f t="shared" si="3"/>
        <v>CE24</v>
      </c>
    </row>
    <row r="103" spans="6:12" ht="15.75" thickBot="1">
      <c r="F103" t="str">
        <f t="shared" si="2"/>
        <v/>
      </c>
      <c r="G103">
        <v>109</v>
      </c>
      <c r="H103" s="39" t="s">
        <v>195</v>
      </c>
      <c r="I103" s="40" t="e">
        <f>+#REF!</f>
        <v>#REF!</v>
      </c>
      <c r="J103" s="41" t="e">
        <f>+#REF!</f>
        <v>#REF!</v>
      </c>
      <c r="K103">
        <v>25</v>
      </c>
      <c r="L103" t="str">
        <f t="shared" si="3"/>
        <v>CE25</v>
      </c>
    </row>
  </sheetData>
  <conditionalFormatting sqref="B3:D44">
    <cfRule type="expression" dxfId="14" priority="2">
      <formula>MOD(ROW(),2)=1</formula>
    </cfRule>
  </conditionalFormatting>
  <conditionalFormatting sqref="H4:J103">
    <cfRule type="expression" dxfId="13" priority="1">
      <formula>MOD(ROW(),2)=1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Foglio22">
    <tabColor rgb="FFC00000"/>
    <pageSetUpPr fitToPage="1"/>
  </sheetPr>
  <dimension ref="A1:AF114"/>
  <sheetViews>
    <sheetView showGridLines="0" showZeros="0" tabSelected="1" topLeftCell="B1" zoomScale="130" zoomScaleNormal="130" workbookViewId="0">
      <selection activeCell="I14" sqref="I14"/>
    </sheetView>
  </sheetViews>
  <sheetFormatPr defaultColWidth="11.42578125" defaultRowHeight="15"/>
  <cols>
    <col min="1" max="1" width="5.28515625" style="65" hidden="1" customWidth="1"/>
    <col min="2" max="2" width="2" style="65" customWidth="1"/>
    <col min="3" max="3" width="37.85546875" style="65" customWidth="1"/>
    <col min="4" max="4" width="20.7109375" style="65" customWidth="1"/>
    <col min="5" max="6" width="18.5703125" style="65" customWidth="1"/>
    <col min="7" max="7" width="12.140625" style="65" customWidth="1"/>
    <col min="8" max="8" width="10.85546875" style="65" customWidth="1"/>
    <col min="9" max="9" width="16.28515625" style="65" customWidth="1"/>
    <col min="10" max="10" width="15.42578125" style="65" bestFit="1" customWidth="1"/>
    <col min="11" max="11" width="13.42578125" style="3" bestFit="1" customWidth="1"/>
    <col min="12" max="12" width="12.28515625" style="3" bestFit="1" customWidth="1"/>
    <col min="13" max="13" width="7.7109375" style="3" customWidth="1"/>
    <col min="14" max="15" width="13.42578125" style="3" bestFit="1" customWidth="1"/>
    <col min="16" max="17" width="11.42578125" style="3" customWidth="1"/>
    <col min="18" max="18" width="8.140625" style="3" bestFit="1" customWidth="1"/>
    <col min="19" max="19" width="13.42578125" style="3" customWidth="1"/>
    <col min="20" max="20" width="13.42578125" style="3" hidden="1" customWidth="1"/>
    <col min="21" max="27" width="11.42578125" style="3" hidden="1" customWidth="1"/>
    <col min="28" max="376" width="11.42578125" style="3" customWidth="1"/>
    <col min="377" max="16384" width="11.42578125" style="3"/>
  </cols>
  <sheetData>
    <row r="1" spans="1:32" ht="70.150000000000006" customHeight="1">
      <c r="A1" s="64"/>
      <c r="B1" s="64"/>
      <c r="D1" s="66"/>
      <c r="H1" s="67"/>
    </row>
    <row r="2" spans="1:32" ht="23.25">
      <c r="A2" s="64"/>
      <c r="B2" s="64"/>
      <c r="C2" s="149" t="s">
        <v>2851</v>
      </c>
      <c r="D2" s="149"/>
      <c r="E2" s="149"/>
      <c r="F2" s="149"/>
      <c r="H2" s="67"/>
    </row>
    <row r="3" spans="1:32" s="1" customFormat="1" ht="29.25" customHeight="1">
      <c r="A3" s="68"/>
      <c r="B3" s="68"/>
      <c r="C3" s="69" t="s">
        <v>60</v>
      </c>
      <c r="D3" s="157" t="s">
        <v>199</v>
      </c>
      <c r="E3" s="158"/>
      <c r="F3" s="158"/>
      <c r="G3" s="158"/>
      <c r="H3" s="158"/>
      <c r="I3" s="158"/>
      <c r="J3" s="159"/>
    </row>
    <row r="4" spans="1:32" s="1" customFormat="1" ht="3" customHeight="1">
      <c r="A4" s="68"/>
      <c r="B4" s="68"/>
      <c r="C4" s="70"/>
      <c r="D4" s="71"/>
      <c r="E4" s="71"/>
      <c r="F4" s="72"/>
      <c r="G4" s="72"/>
      <c r="H4" s="72"/>
      <c r="I4" s="72"/>
      <c r="J4" s="73"/>
    </row>
    <row r="5" spans="1:32" s="1" customFormat="1" ht="15" customHeight="1">
      <c r="A5" s="68"/>
      <c r="B5" s="68"/>
      <c r="C5" s="74" t="s">
        <v>2779</v>
      </c>
      <c r="D5" s="144" t="s">
        <v>2841</v>
      </c>
      <c r="E5" s="71" t="s">
        <v>59</v>
      </c>
      <c r="F5" s="163" t="s">
        <v>1352</v>
      </c>
      <c r="G5" s="164"/>
      <c r="H5" s="160" t="str">
        <f>+VLOOKUP(F5,ATECO[],2,0)</f>
        <v>Installazione di impianti elettronici (inclusa manutenzione e riparazione)</v>
      </c>
      <c r="I5" s="161"/>
      <c r="J5" s="162"/>
    </row>
    <row r="6" spans="1:32">
      <c r="A6" s="75"/>
      <c r="B6" s="75"/>
      <c r="C6" s="76" t="s">
        <v>2780</v>
      </c>
      <c r="D6" s="77">
        <f>+IF(D5="S.r.l.",10000,IF(D5="S.p.a.",100000,0))</f>
        <v>10000</v>
      </c>
      <c r="E6" s="78" t="s">
        <v>2846</v>
      </c>
      <c r="F6" s="79" t="s">
        <v>2838</v>
      </c>
      <c r="G6" s="71"/>
      <c r="H6" s="151" t="str">
        <f>+VLOOKUP(F5,ATECO[],3,0)</f>
        <v>F42) Ingegneria civile; F43) Costruzioni specializzate</v>
      </c>
      <c r="I6" s="152"/>
      <c r="J6" s="153"/>
    </row>
    <row r="7" spans="1:32" ht="22.9" customHeight="1">
      <c r="D7" s="74" t="s">
        <v>2842</v>
      </c>
      <c r="E7" s="74" t="s">
        <v>2843</v>
      </c>
      <c r="F7" s="79" t="s">
        <v>2840</v>
      </c>
      <c r="G7" s="71"/>
      <c r="H7" s="154"/>
      <c r="I7" s="155"/>
      <c r="J7" s="156"/>
    </row>
    <row r="8" spans="1:32" ht="14.45" customHeight="1">
      <c r="C8" s="80" t="s">
        <v>61</v>
      </c>
      <c r="D8" s="145">
        <v>45291</v>
      </c>
      <c r="E8" s="145">
        <v>45657</v>
      </c>
      <c r="F8" s="79" t="s">
        <v>5</v>
      </c>
      <c r="G8" s="71"/>
      <c r="H8" s="151" t="str">
        <f>+IF(H7&gt;"",H7,H6)</f>
        <v>F42) Ingegneria civile; F43) Costruzioni specializzate</v>
      </c>
      <c r="I8" s="152"/>
      <c r="J8" s="153"/>
      <c r="K8" s="2">
        <f>+MATCH(H8,Tabella139[Desc. Crisi],0)</f>
        <v>5</v>
      </c>
    </row>
    <row r="9" spans="1:32" ht="14.45" customHeight="1">
      <c r="C9" s="80" t="s">
        <v>2844</v>
      </c>
      <c r="D9" s="145">
        <v>44927</v>
      </c>
      <c r="E9" s="145">
        <v>45292</v>
      </c>
      <c r="F9" s="79"/>
      <c r="G9" s="71"/>
      <c r="H9" s="81"/>
      <c r="I9" s="81"/>
      <c r="J9" s="81"/>
      <c r="K9" s="2"/>
    </row>
    <row r="10" spans="1:32" ht="12.6" customHeight="1">
      <c r="C10" s="80" t="s">
        <v>2848</v>
      </c>
      <c r="D10" s="82">
        <f>+IF(D9&gt;0,D9,DATE(YEAR(D8),1,1))</f>
        <v>44927</v>
      </c>
      <c r="E10" s="82">
        <f>+IF(E9&gt;0,E9,DATE(YEAR(E8),1,1))</f>
        <v>45292</v>
      </c>
      <c r="F10" s="79"/>
      <c r="G10" s="71"/>
      <c r="H10" s="81"/>
      <c r="I10" s="81"/>
      <c r="J10" s="81"/>
      <c r="K10" s="2"/>
    </row>
    <row r="11" spans="1:32" ht="14.45" customHeight="1">
      <c r="C11" s="83" t="s">
        <v>2845</v>
      </c>
      <c r="D11" s="84">
        <f>+D8-D10+1</f>
        <v>365</v>
      </c>
      <c r="E11" s="84">
        <f>+E8-E10+1</f>
        <v>366</v>
      </c>
      <c r="F11" s="79"/>
      <c r="G11" s="71"/>
      <c r="H11" s="81"/>
      <c r="I11" s="81"/>
      <c r="J11" s="81"/>
      <c r="K11" s="2"/>
    </row>
    <row r="12" spans="1:32" ht="14.45" customHeight="1">
      <c r="C12" s="83" t="s">
        <v>2847</v>
      </c>
      <c r="D12" s="84">
        <f>+EOMONTH(D10,11)-D10+1</f>
        <v>365</v>
      </c>
      <c r="E12" s="84">
        <f>+EOMONTH(E10,11)-E10+1</f>
        <v>366</v>
      </c>
      <c r="F12" s="79"/>
      <c r="G12" s="71"/>
      <c r="H12" s="81"/>
      <c r="I12" s="81"/>
      <c r="J12" s="81"/>
      <c r="K12" s="2"/>
    </row>
    <row r="13" spans="1:32" ht="14.45" customHeight="1">
      <c r="C13" s="83"/>
      <c r="D13" s="85">
        <f>+D11/D12</f>
        <v>1</v>
      </c>
      <c r="E13" s="85">
        <f>+E11/E12</f>
        <v>1</v>
      </c>
      <c r="F13" s="79"/>
      <c r="G13" s="71"/>
      <c r="H13" s="81"/>
      <c r="I13" s="81"/>
      <c r="J13" s="81"/>
      <c r="K13" s="2"/>
    </row>
    <row r="14" spans="1:32" ht="23.25">
      <c r="A14" s="87"/>
      <c r="B14" s="87"/>
      <c r="C14" s="149" t="s">
        <v>2850</v>
      </c>
      <c r="D14" s="149"/>
      <c r="E14" s="149"/>
      <c r="F14" s="149"/>
      <c r="G14" s="88"/>
      <c r="H14" s="88"/>
      <c r="I14" s="88"/>
      <c r="J14" s="88"/>
    </row>
    <row r="15" spans="1:32" ht="24" customHeight="1">
      <c r="A15" s="3"/>
      <c r="B15" s="3"/>
      <c r="C15" s="114" t="s">
        <v>2852</v>
      </c>
      <c r="D15" s="113"/>
      <c r="E15" s="113"/>
      <c r="G15" s="89"/>
      <c r="H15" s="89"/>
      <c r="W15" s="22"/>
      <c r="X15" s="22"/>
      <c r="Y15" s="23"/>
      <c r="Z15" s="22"/>
      <c r="AA15" s="11"/>
      <c r="AB15" s="43"/>
      <c r="AC15" s="44"/>
      <c r="AD15" s="44"/>
      <c r="AE15" s="45"/>
      <c r="AF15" s="45"/>
    </row>
    <row r="16" spans="1:32">
      <c r="A16" s="91">
        <v>1</v>
      </c>
      <c r="B16" s="91"/>
      <c r="C16" s="74" t="s">
        <v>2810</v>
      </c>
      <c r="E16"/>
      <c r="F16" s="117">
        <v>100000</v>
      </c>
      <c r="G16" s="89"/>
      <c r="H16" s="89"/>
      <c r="W16" s="22"/>
      <c r="X16" s="22"/>
      <c r="Y16" s="23"/>
      <c r="Z16" s="22"/>
      <c r="AA16" s="11"/>
      <c r="AB16" s="43"/>
      <c r="AC16" s="44"/>
      <c r="AD16" s="44"/>
      <c r="AE16" s="45"/>
      <c r="AF16" s="45"/>
    </row>
    <row r="17" spans="1:32" ht="23.45" customHeight="1">
      <c r="A17" s="91">
        <v>1</v>
      </c>
      <c r="B17" s="91"/>
      <c r="C17" s="80" t="str">
        <f>+UPPER("Patrimonio netto &gt;"&amp;TEXT(D6,"0.000"))</f>
        <v>PATRIMONIO NETTO &gt;10.000</v>
      </c>
      <c r="D17" s="92"/>
      <c r="E17"/>
      <c r="F17" s="93">
        <f>+(F16&gt;$D$6)*1</f>
        <v>1</v>
      </c>
      <c r="G17" s="89"/>
      <c r="H17" s="89"/>
      <c r="W17" s="22"/>
      <c r="X17" s="22"/>
      <c r="Y17" s="23"/>
      <c r="Z17" s="22"/>
      <c r="AA17" s="11"/>
      <c r="AB17" s="43"/>
      <c r="AC17" s="44"/>
      <c r="AD17" s="44"/>
      <c r="AE17" s="45"/>
      <c r="AF17" s="45"/>
    </row>
    <row r="18" spans="1:32" ht="15" customHeight="1" thickBot="1">
      <c r="A18" s="91">
        <v>2</v>
      </c>
      <c r="B18" s="91"/>
      <c r="C18" s="74" t="s">
        <v>2781</v>
      </c>
      <c r="E18"/>
      <c r="F18" s="90">
        <f>+E8</f>
        <v>45657</v>
      </c>
      <c r="G18" s="89"/>
      <c r="H18" s="89"/>
      <c r="W18" s="22"/>
      <c r="X18" s="22"/>
      <c r="Y18" s="23"/>
      <c r="Z18" s="22"/>
      <c r="AA18" s="11"/>
      <c r="AB18" s="43"/>
      <c r="AC18" s="44"/>
      <c r="AD18" s="44"/>
      <c r="AE18" s="45"/>
      <c r="AF18" s="45"/>
    </row>
    <row r="19" spans="1:32" ht="15" customHeight="1" thickTop="1">
      <c r="C19" s="94" t="s">
        <v>2790</v>
      </c>
      <c r="G19" s="89"/>
      <c r="H19" s="89"/>
      <c r="W19" s="22"/>
      <c r="X19" s="22"/>
      <c r="Y19" s="23"/>
      <c r="Z19" s="22"/>
      <c r="AA19" s="11"/>
      <c r="AB19" s="43"/>
      <c r="AC19" s="44"/>
      <c r="AD19" s="44"/>
      <c r="AE19" s="45"/>
      <c r="AF19" s="45"/>
    </row>
    <row r="20" spans="1:32" ht="15" customHeight="1">
      <c r="C20" s="95" t="s">
        <v>2782</v>
      </c>
      <c r="G20" s="89"/>
      <c r="H20" s="89"/>
      <c r="W20" s="22"/>
      <c r="X20" s="22"/>
      <c r="Y20" s="23"/>
      <c r="Z20" s="22"/>
      <c r="AA20" s="11"/>
      <c r="AB20" s="43"/>
      <c r="AC20" s="44"/>
      <c r="AD20" s="44"/>
      <c r="AE20" s="45"/>
      <c r="AF20" s="45"/>
    </row>
    <row r="21" spans="1:32" ht="15" customHeight="1">
      <c r="C21" s="96" t="s">
        <v>2783</v>
      </c>
      <c r="E21" s="89"/>
      <c r="F21" s="119">
        <v>50000</v>
      </c>
      <c r="G21" s="89"/>
      <c r="H21" s="89"/>
      <c r="W21" s="22"/>
      <c r="X21" s="22"/>
      <c r="Y21" s="23"/>
      <c r="Z21" s="22"/>
      <c r="AA21" s="11"/>
      <c r="AB21" s="43"/>
      <c r="AC21" s="44"/>
      <c r="AD21" s="44"/>
      <c r="AE21" s="45"/>
      <c r="AF21" s="45"/>
    </row>
    <row r="22" spans="1:32" ht="15" customHeight="1">
      <c r="C22" s="96" t="s">
        <v>2784</v>
      </c>
      <c r="F22" s="119">
        <v>300000</v>
      </c>
      <c r="G22" s="89"/>
      <c r="H22" s="89"/>
      <c r="W22" s="22"/>
      <c r="X22" s="22"/>
      <c r="Y22" s="23"/>
      <c r="Z22" s="22"/>
      <c r="AA22" s="11"/>
      <c r="AB22" s="43"/>
      <c r="AC22" s="44"/>
      <c r="AD22" s="44"/>
      <c r="AE22" s="45"/>
      <c r="AF22" s="45"/>
    </row>
    <row r="23" spans="1:32" ht="15" customHeight="1">
      <c r="C23" s="96" t="s">
        <v>2792</v>
      </c>
      <c r="F23" s="119">
        <v>50000</v>
      </c>
      <c r="G23" s="89"/>
      <c r="H23" s="89"/>
      <c r="W23" s="22"/>
      <c r="X23" s="22"/>
      <c r="Y23" s="23"/>
      <c r="Z23" s="22"/>
      <c r="AA23" s="11"/>
      <c r="AB23" s="43"/>
      <c r="AC23" s="44"/>
      <c r="AD23" s="44"/>
      <c r="AE23" s="45"/>
      <c r="AF23" s="45"/>
    </row>
    <row r="24" spans="1:32" ht="15" customHeight="1">
      <c r="C24" s="96" t="s">
        <v>2787</v>
      </c>
      <c r="F24" s="119">
        <v>250000</v>
      </c>
      <c r="G24" s="89"/>
      <c r="H24" s="89"/>
      <c r="W24" s="22"/>
      <c r="X24" s="22"/>
      <c r="Y24" s="23"/>
      <c r="Z24" s="22"/>
      <c r="AA24" s="11"/>
      <c r="AB24" s="43"/>
      <c r="AC24" s="44"/>
      <c r="AD24" s="44"/>
      <c r="AE24" s="45"/>
      <c r="AF24" s="45"/>
    </row>
    <row r="25" spans="1:32" ht="15" customHeight="1">
      <c r="C25" s="97" t="s">
        <v>2786</v>
      </c>
      <c r="D25" s="98"/>
      <c r="E25" s="98"/>
      <c r="F25" s="99">
        <f>SUM(F21:F24)</f>
        <v>650000</v>
      </c>
      <c r="G25" s="89"/>
      <c r="H25" s="89"/>
      <c r="W25" s="22"/>
      <c r="X25" s="22"/>
      <c r="Y25" s="23"/>
      <c r="Z25" s="22"/>
      <c r="AA25" s="11"/>
      <c r="AB25" s="43"/>
      <c r="AC25" s="44"/>
      <c r="AD25" s="44"/>
      <c r="AE25" s="45"/>
      <c r="AF25" s="45"/>
    </row>
    <row r="26" spans="1:32" ht="15" customHeight="1">
      <c r="C26" s="95" t="s">
        <v>2793</v>
      </c>
      <c r="F26" s="118"/>
      <c r="G26" s="89"/>
      <c r="H26" s="89"/>
      <c r="W26" s="22"/>
      <c r="X26" s="22"/>
      <c r="Y26" s="23"/>
      <c r="Z26" s="22"/>
      <c r="AA26" s="11"/>
      <c r="AB26" s="43"/>
      <c r="AC26" s="44"/>
      <c r="AD26" s="44"/>
      <c r="AE26" s="45"/>
      <c r="AF26" s="45"/>
    </row>
    <row r="27" spans="1:32" ht="15" customHeight="1">
      <c r="C27" s="96" t="s">
        <v>2788</v>
      </c>
      <c r="F27" s="119">
        <v>30000</v>
      </c>
      <c r="G27" s="89"/>
      <c r="H27" s="89"/>
      <c r="W27" s="22"/>
      <c r="X27" s="22"/>
      <c r="Y27" s="23"/>
      <c r="Z27" s="22"/>
      <c r="AA27" s="11"/>
      <c r="AB27" s="43"/>
      <c r="AC27" s="44"/>
      <c r="AD27" s="44"/>
      <c r="AE27" s="45"/>
      <c r="AF27" s="45"/>
    </row>
    <row r="28" spans="1:32" ht="15" customHeight="1">
      <c r="C28" s="96" t="s">
        <v>2789</v>
      </c>
      <c r="F28" s="120">
        <v>20000</v>
      </c>
      <c r="G28" s="89"/>
      <c r="H28" s="89"/>
      <c r="W28" s="22"/>
      <c r="X28" s="22"/>
      <c r="Y28" s="23"/>
      <c r="Z28" s="22"/>
      <c r="AA28" s="11"/>
      <c r="AB28" s="43"/>
      <c r="AC28" s="44"/>
      <c r="AD28" s="44"/>
      <c r="AE28" s="45"/>
      <c r="AF28" s="45"/>
    </row>
    <row r="29" spans="1:32" ht="15" customHeight="1">
      <c r="C29" s="95" t="s">
        <v>2794</v>
      </c>
      <c r="F29" s="100">
        <f>SUM(F26:F28)</f>
        <v>50000</v>
      </c>
      <c r="G29" s="89"/>
      <c r="H29" s="89"/>
      <c r="W29" s="22"/>
      <c r="X29" s="22"/>
      <c r="Y29" s="23"/>
      <c r="Z29" s="22"/>
      <c r="AA29" s="11"/>
      <c r="AB29" s="43"/>
      <c r="AC29" s="44"/>
      <c r="AD29" s="44"/>
      <c r="AE29" s="45"/>
      <c r="AF29" s="45"/>
    </row>
    <row r="30" spans="1:32" ht="15" customHeight="1">
      <c r="A30" s="91">
        <v>2</v>
      </c>
      <c r="B30" s="91"/>
      <c r="C30" s="101" t="s">
        <v>2805</v>
      </c>
      <c r="D30" s="102"/>
      <c r="E30" s="102"/>
      <c r="F30" s="121">
        <f>+IFERROR(F25/F29,0)</f>
        <v>13</v>
      </c>
      <c r="G30" s="89"/>
      <c r="H30" s="89"/>
      <c r="W30" s="22"/>
      <c r="X30" s="22"/>
      <c r="Y30" s="23"/>
      <c r="Z30" s="22"/>
      <c r="AA30" s="11"/>
      <c r="AB30" s="43"/>
      <c r="AC30" s="44"/>
      <c r="AD30" s="44"/>
      <c r="AE30" s="45"/>
      <c r="AF30" s="45"/>
    </row>
    <row r="31" spans="1:32" ht="15" customHeight="1">
      <c r="C31" s="94" t="s">
        <v>2791</v>
      </c>
      <c r="F31" s="103"/>
      <c r="G31" s="89"/>
      <c r="H31" s="89"/>
      <c r="W31" s="22"/>
      <c r="X31" s="22"/>
      <c r="Y31" s="23"/>
      <c r="Z31" s="22"/>
      <c r="AA31" s="11"/>
      <c r="AB31" s="43"/>
      <c r="AC31" s="44"/>
      <c r="AD31" s="44"/>
      <c r="AE31" s="45"/>
      <c r="AF31" s="45"/>
    </row>
    <row r="32" spans="1:32" ht="15" customHeight="1">
      <c r="C32" s="95" t="s">
        <v>2782</v>
      </c>
      <c r="F32" s="103"/>
      <c r="G32" s="89"/>
      <c r="H32" s="89"/>
      <c r="W32" s="22"/>
      <c r="X32" s="22"/>
      <c r="Y32" s="23"/>
      <c r="Z32" s="22"/>
      <c r="AA32" s="11"/>
      <c r="AB32" s="43"/>
      <c r="AC32" s="44"/>
      <c r="AD32" s="44"/>
      <c r="AE32" s="45"/>
      <c r="AF32" s="45"/>
    </row>
    <row r="33" spans="1:32" ht="15" customHeight="1">
      <c r="C33" s="104" t="s">
        <v>2795</v>
      </c>
      <c r="F33" s="119">
        <v>100000</v>
      </c>
      <c r="G33" s="89"/>
      <c r="H33" s="89"/>
      <c r="W33" s="22"/>
      <c r="X33" s="22"/>
      <c r="Y33" s="23"/>
      <c r="Z33" s="22"/>
      <c r="AA33" s="11"/>
      <c r="AB33" s="43"/>
      <c r="AC33" s="44"/>
      <c r="AD33" s="44"/>
      <c r="AE33" s="45"/>
      <c r="AF33" s="45"/>
    </row>
    <row r="34" spans="1:32" ht="15" customHeight="1">
      <c r="C34" s="104" t="s">
        <v>2797</v>
      </c>
      <c r="F34" s="119">
        <v>-40000</v>
      </c>
      <c r="G34" s="89"/>
      <c r="H34" s="89"/>
      <c r="W34" s="22"/>
      <c r="X34" s="22"/>
      <c r="Y34" s="23"/>
      <c r="Z34" s="22"/>
      <c r="AA34" s="11"/>
      <c r="AB34" s="43"/>
      <c r="AC34" s="44"/>
      <c r="AD34" s="44"/>
      <c r="AE34" s="45"/>
      <c r="AF34" s="45"/>
    </row>
    <row r="35" spans="1:32" ht="15" customHeight="1">
      <c r="C35" s="105" t="s">
        <v>2799</v>
      </c>
      <c r="F35" s="119"/>
      <c r="G35" s="89"/>
      <c r="H35" s="89"/>
      <c r="W35" s="22"/>
      <c r="X35" s="22"/>
      <c r="Y35" s="23"/>
      <c r="Z35" s="22"/>
      <c r="AA35" s="11"/>
      <c r="AB35" s="43"/>
      <c r="AC35" s="44"/>
      <c r="AD35" s="44"/>
      <c r="AE35" s="45"/>
      <c r="AF35" s="45"/>
    </row>
    <row r="36" spans="1:32" ht="15" customHeight="1">
      <c r="C36" s="122" t="s">
        <v>2798</v>
      </c>
      <c r="D36" s="74"/>
      <c r="E36" s="74"/>
      <c r="F36" s="123">
        <f>SUM(F33:F35)</f>
        <v>60000</v>
      </c>
      <c r="G36" s="89"/>
      <c r="H36" s="89"/>
      <c r="W36" s="22"/>
      <c r="X36" s="22"/>
      <c r="Y36" s="23"/>
      <c r="Z36" s="22"/>
      <c r="AA36" s="11"/>
      <c r="AB36" s="43"/>
      <c r="AC36" s="44"/>
      <c r="AD36" s="44"/>
      <c r="AE36" s="45"/>
      <c r="AF36" s="45"/>
    </row>
    <row r="37" spans="1:32" ht="15" customHeight="1">
      <c r="C37" s="96" t="s">
        <v>2796</v>
      </c>
      <c r="F37" s="119">
        <v>50000</v>
      </c>
      <c r="G37" s="89"/>
      <c r="H37" s="89"/>
      <c r="W37" s="22"/>
      <c r="X37" s="22"/>
      <c r="Y37" s="23"/>
      <c r="Z37" s="22"/>
      <c r="AA37" s="11"/>
      <c r="AB37" s="43"/>
      <c r="AC37" s="44"/>
      <c r="AD37" s="44"/>
      <c r="AE37" s="45"/>
      <c r="AF37" s="45"/>
    </row>
    <row r="38" spans="1:32" ht="15" customHeight="1">
      <c r="C38" s="96" t="s">
        <v>2854</v>
      </c>
      <c r="F38" s="119">
        <v>100000</v>
      </c>
      <c r="G38" s="89"/>
      <c r="H38" s="89"/>
      <c r="W38" s="22"/>
      <c r="X38" s="22"/>
      <c r="Y38" s="23"/>
      <c r="Z38" s="22"/>
      <c r="AA38" s="11"/>
      <c r="AB38" s="43"/>
      <c r="AC38" s="44"/>
      <c r="AD38" s="44"/>
      <c r="AE38" s="45"/>
      <c r="AF38" s="45"/>
    </row>
    <row r="39" spans="1:32" ht="15" customHeight="1">
      <c r="C39" s="97" t="s">
        <v>2785</v>
      </c>
      <c r="D39" s="98"/>
      <c r="E39" s="98"/>
      <c r="F39" s="99">
        <f>SUM(F36:F38)</f>
        <v>210000</v>
      </c>
      <c r="G39" s="89"/>
      <c r="H39" s="89"/>
      <c r="W39" s="22"/>
      <c r="X39" s="22"/>
      <c r="Y39" s="23"/>
      <c r="Z39" s="22"/>
      <c r="AA39" s="11"/>
      <c r="AB39" s="43"/>
      <c r="AC39" s="44"/>
      <c r="AD39" s="44"/>
      <c r="AE39" s="45"/>
      <c r="AF39" s="45"/>
    </row>
    <row r="40" spans="1:32" ht="15" customHeight="1">
      <c r="C40" s="96" t="s">
        <v>2800</v>
      </c>
      <c r="F40" s="119">
        <v>35000</v>
      </c>
      <c r="G40" s="89"/>
      <c r="H40" s="89"/>
      <c r="W40" s="22"/>
      <c r="X40" s="22"/>
      <c r="Y40" s="23"/>
      <c r="Z40" s="22"/>
      <c r="AA40" s="11"/>
      <c r="AB40" s="43"/>
      <c r="AC40" s="44"/>
      <c r="AD40" s="44"/>
      <c r="AE40" s="45"/>
      <c r="AF40" s="45"/>
    </row>
    <row r="41" spans="1:32" ht="15" customHeight="1">
      <c r="C41" s="96" t="s">
        <v>2801</v>
      </c>
      <c r="F41" s="119">
        <v>40000</v>
      </c>
      <c r="G41" s="89"/>
      <c r="H41" s="89"/>
      <c r="W41" s="22"/>
      <c r="X41" s="22"/>
      <c r="Y41" s="23"/>
      <c r="Z41" s="22"/>
      <c r="AA41" s="11"/>
      <c r="AB41" s="43"/>
      <c r="AC41" s="44"/>
      <c r="AD41" s="44"/>
      <c r="AE41" s="45"/>
      <c r="AF41" s="45"/>
    </row>
    <row r="42" spans="1:32" ht="15" customHeight="1">
      <c r="C42" s="96" t="s">
        <v>2802</v>
      </c>
      <c r="F42" s="119">
        <v>25000</v>
      </c>
      <c r="G42" s="89"/>
      <c r="H42" s="89"/>
      <c r="W42" s="22"/>
      <c r="X42" s="22"/>
      <c r="Y42" s="23"/>
      <c r="Z42" s="22"/>
      <c r="AA42" s="11"/>
      <c r="AB42"/>
      <c r="AC42"/>
      <c r="AD42"/>
      <c r="AE42"/>
      <c r="AF42"/>
    </row>
    <row r="43" spans="1:32" s="5" customFormat="1" ht="16.5" thickBot="1">
      <c r="A43" s="89"/>
      <c r="B43" s="89"/>
      <c r="C43" s="96" t="s">
        <v>2803</v>
      </c>
      <c r="D43" s="65"/>
      <c r="E43" s="65"/>
      <c r="F43" s="119">
        <v>50000</v>
      </c>
      <c r="G43" s="89"/>
      <c r="H43" s="89"/>
      <c r="I43" s="65"/>
      <c r="J43" s="65"/>
      <c r="W43" s="6" t="s">
        <v>12</v>
      </c>
      <c r="X43" s="6" t="s">
        <v>13</v>
      </c>
      <c r="Y43" s="7" t="e">
        <f>+#REF!</f>
        <v>#REF!</v>
      </c>
      <c r="Z43" s="7" t="e">
        <f>+#REF!</f>
        <v>#REF!</v>
      </c>
      <c r="AA43" s="8"/>
      <c r="AB43"/>
      <c r="AC43"/>
      <c r="AD43"/>
      <c r="AE43"/>
      <c r="AF43"/>
    </row>
    <row r="44" spans="1:32" ht="15.75" thickTop="1">
      <c r="A44" s="89"/>
      <c r="B44" s="89"/>
      <c r="C44" s="95" t="s">
        <v>2804</v>
      </c>
      <c r="F44" s="106">
        <f>SUM(F40:F43)</f>
        <v>150000</v>
      </c>
      <c r="G44" s="89"/>
      <c r="H44" s="89"/>
      <c r="W44" s="9" t="s">
        <v>14</v>
      </c>
      <c r="X44" s="10" t="s">
        <v>15</v>
      </c>
      <c r="Y44" s="24" t="e">
        <f>+#REF!</f>
        <v>#REF!</v>
      </c>
      <c r="Z44" s="24" t="e">
        <f>+#REF!</f>
        <v>#REF!</v>
      </c>
      <c r="AA44" s="11"/>
      <c r="AB44"/>
      <c r="AC44"/>
      <c r="AD44"/>
      <c r="AE44"/>
      <c r="AF44"/>
    </row>
    <row r="45" spans="1:32" ht="15" customHeight="1">
      <c r="A45" s="89"/>
      <c r="B45" s="89"/>
      <c r="C45" s="101" t="s">
        <v>2806</v>
      </c>
      <c r="D45" s="102"/>
      <c r="E45" s="102"/>
      <c r="F45" s="146">
        <f>+IFERROR(F39/F44,0)</f>
        <v>1.4</v>
      </c>
      <c r="G45" s="89"/>
      <c r="H45" s="89"/>
      <c r="W45" s="12" t="s">
        <v>16</v>
      </c>
      <c r="X45" s="13" t="s">
        <v>17</v>
      </c>
      <c r="Y45" s="25" t="e">
        <f>+#REF!</f>
        <v>#REF!</v>
      </c>
      <c r="Z45" s="25" t="e">
        <f>+#REF!</f>
        <v>#REF!</v>
      </c>
      <c r="AA45" s="11"/>
      <c r="AB45"/>
      <c r="AC45"/>
      <c r="AD45"/>
      <c r="AE45"/>
      <c r="AF45"/>
    </row>
    <row r="46" spans="1:32" ht="15" customHeight="1">
      <c r="A46" s="89"/>
      <c r="B46" s="89"/>
      <c r="C46" s="65" t="s">
        <v>2807</v>
      </c>
      <c r="F46" s="126" t="s">
        <v>2791</v>
      </c>
      <c r="G46" s="89"/>
      <c r="H46" s="89"/>
      <c r="W46" s="12" t="s">
        <v>18</v>
      </c>
      <c r="X46" s="13" t="s">
        <v>19</v>
      </c>
      <c r="Y46" s="25" t="e">
        <f>+#REF!</f>
        <v>#REF!</v>
      </c>
      <c r="Z46" s="25" t="e">
        <f>+#REF!</f>
        <v>#REF!</v>
      </c>
      <c r="AA46" s="11"/>
      <c r="AB46"/>
      <c r="AC46"/>
      <c r="AD46"/>
      <c r="AE46"/>
      <c r="AF46"/>
    </row>
    <row r="47" spans="1:32" ht="24.75">
      <c r="A47" s="107">
        <v>2</v>
      </c>
      <c r="B47" s="107"/>
      <c r="C47" s="74" t="str">
        <f>+UPPER("Calcolo DSCR a sei mesi")</f>
        <v>CALCOLO DSCR A SEI MESI</v>
      </c>
      <c r="F47" s="116">
        <f>+IF(LEFT(F46)*1=1,F30,F45)</f>
        <v>1.4</v>
      </c>
      <c r="G47" s="89"/>
      <c r="H47" s="89"/>
      <c r="W47" s="12" t="s">
        <v>20</v>
      </c>
      <c r="X47" s="13" t="s">
        <v>21</v>
      </c>
      <c r="Y47" s="25" t="e">
        <f>+#REF!</f>
        <v>#REF!</v>
      </c>
      <c r="Z47" s="25" t="e">
        <f>+#REF!</f>
        <v>#REF!</v>
      </c>
      <c r="AA47" s="11"/>
      <c r="AB47"/>
      <c r="AC47"/>
      <c r="AD47"/>
      <c r="AE47"/>
      <c r="AF47"/>
    </row>
    <row r="48" spans="1:32" ht="15" customHeight="1">
      <c r="A48" s="89"/>
      <c r="B48" s="89"/>
      <c r="F48" s="150">
        <v>1</v>
      </c>
      <c r="G48" s="89"/>
      <c r="H48" s="89"/>
      <c r="W48" s="14" t="s">
        <v>22</v>
      </c>
      <c r="X48" s="15" t="s">
        <v>23</v>
      </c>
      <c r="Y48" s="26" t="e">
        <f>+#REF!</f>
        <v>#REF!</v>
      </c>
      <c r="Z48" s="26" t="e">
        <f>+#REF!</f>
        <v>#REF!</v>
      </c>
      <c r="AA48" s="11"/>
      <c r="AB48"/>
      <c r="AC48"/>
      <c r="AD48"/>
      <c r="AE48"/>
      <c r="AF48"/>
    </row>
    <row r="49" spans="1:32" ht="15" customHeight="1">
      <c r="A49" s="89"/>
      <c r="B49" s="89"/>
      <c r="D49" s="108"/>
      <c r="E49" s="108"/>
      <c r="F49" s="150"/>
      <c r="G49" s="89"/>
      <c r="H49" s="89"/>
      <c r="W49" s="9" t="s">
        <v>24</v>
      </c>
      <c r="X49" s="10" t="s">
        <v>25</v>
      </c>
      <c r="Y49" s="24" t="e">
        <f>+#REF!</f>
        <v>#REF!</v>
      </c>
      <c r="Z49" s="24" t="e">
        <f>+#REF!</f>
        <v>#REF!</v>
      </c>
      <c r="AA49" s="11"/>
      <c r="AB49"/>
      <c r="AC49"/>
      <c r="AD49"/>
      <c r="AE49"/>
      <c r="AF49"/>
    </row>
    <row r="50" spans="1:32" ht="15" customHeight="1">
      <c r="A50" s="89"/>
      <c r="B50" s="89"/>
      <c r="G50" s="89"/>
      <c r="H50" s="89"/>
      <c r="W50" s="12" t="s">
        <v>26</v>
      </c>
      <c r="X50" s="13" t="s">
        <v>27</v>
      </c>
      <c r="Y50" s="25" t="e">
        <f>+#REF!</f>
        <v>#REF!</v>
      </c>
      <c r="Z50" s="25" t="e">
        <f>+#REF!</f>
        <v>#REF!</v>
      </c>
      <c r="AA50" s="11"/>
      <c r="AB50"/>
      <c r="AC50"/>
      <c r="AD50"/>
      <c r="AE50"/>
      <c r="AF50"/>
    </row>
    <row r="51" spans="1:32" ht="15" customHeight="1">
      <c r="A51" s="89"/>
      <c r="B51" s="89"/>
      <c r="C51" s="124" t="str">
        <f>+IF(F48=1,
IF(OR(F17=0,F47&lt;1),UPPER(crisi),UPPER("Assenza di una "&amp;crisi)),UPPER("necessità di ricorrere agli indicatori di settore"))</f>
        <v>ASSENZA DI UNA RAGIONEVOLE PRESUNZIONE DI UNO STATO DI CRISI</v>
      </c>
      <c r="D51" s="62"/>
      <c r="E51" s="62"/>
      <c r="F51" s="62"/>
      <c r="G51" s="89"/>
      <c r="H51" s="89"/>
      <c r="W51" s="12" t="s">
        <v>28</v>
      </c>
      <c r="X51" s="13" t="s">
        <v>29</v>
      </c>
      <c r="Y51" s="25" t="e">
        <f>+#REF!</f>
        <v>#REF!</v>
      </c>
      <c r="Z51" s="25" t="e">
        <f>+#REF!</f>
        <v>#REF!</v>
      </c>
      <c r="AA51" s="11"/>
      <c r="AB51"/>
      <c r="AC51"/>
      <c r="AD51"/>
      <c r="AE51"/>
      <c r="AF51"/>
    </row>
    <row r="52" spans="1:32" ht="15" hidden="1" customHeight="1">
      <c r="E52" s="86" t="b">
        <v>0</v>
      </c>
      <c r="G52" s="89"/>
      <c r="H52" s="89"/>
      <c r="W52" s="16" t="s">
        <v>30</v>
      </c>
      <c r="X52" s="17" t="s">
        <v>31</v>
      </c>
      <c r="Y52" s="27" t="e">
        <f>+#REF!</f>
        <v>#REF!</v>
      </c>
      <c r="Z52" s="27" t="e">
        <f>+#REF!</f>
        <v>#REF!</v>
      </c>
      <c r="AA52" s="11"/>
      <c r="AB52"/>
      <c r="AC52"/>
      <c r="AD52"/>
      <c r="AE52"/>
      <c r="AF52"/>
    </row>
    <row r="53" spans="1:32" ht="15" hidden="1" customHeight="1">
      <c r="G53" s="89"/>
      <c r="H53" s="89"/>
      <c r="W53" s="9" t="s">
        <v>32</v>
      </c>
      <c r="X53" s="10" t="s">
        <v>33</v>
      </c>
      <c r="Y53" s="24" t="e">
        <f>+#REF!</f>
        <v>#REF!</v>
      </c>
      <c r="Z53" s="24" t="e">
        <f>+#REF!</f>
        <v>#REF!</v>
      </c>
      <c r="AA53" s="11"/>
      <c r="AB53"/>
      <c r="AC53"/>
      <c r="AD53"/>
      <c r="AE53"/>
      <c r="AF53"/>
    </row>
    <row r="54" spans="1:32" ht="28.15" customHeight="1" thickBot="1">
      <c r="A54" s="113"/>
      <c r="B54" s="113"/>
      <c r="C54" s="114" t="s">
        <v>2853</v>
      </c>
      <c r="D54" s="113"/>
      <c r="E54" s="113"/>
      <c r="F54" s="90"/>
      <c r="G54" s="89"/>
      <c r="H54" s="89"/>
      <c r="W54" s="9" t="s">
        <v>34</v>
      </c>
      <c r="X54" s="10" t="s">
        <v>35</v>
      </c>
      <c r="Y54" s="24" t="e">
        <f>+#REF!</f>
        <v>#REF!</v>
      </c>
      <c r="Z54" s="24" t="e">
        <f>+#REF!</f>
        <v>#REF!</v>
      </c>
      <c r="AA54" s="11"/>
      <c r="AB54"/>
      <c r="AC54"/>
      <c r="AD54"/>
      <c r="AE54"/>
      <c r="AF54"/>
    </row>
    <row r="55" spans="1:32" ht="15" customHeight="1" thickTop="1">
      <c r="A55" s="107">
        <v>3</v>
      </c>
      <c r="B55" s="107"/>
      <c r="C55" s="74" t="s">
        <v>2855</v>
      </c>
      <c r="G55" s="89"/>
      <c r="H55" s="89"/>
      <c r="W55" s="14" t="s">
        <v>36</v>
      </c>
      <c r="X55" s="15" t="s">
        <v>37</v>
      </c>
      <c r="Y55" s="26" t="e">
        <f>+#REF!</f>
        <v>#REF!</v>
      </c>
      <c r="Z55" s="26" t="e">
        <f>+#REF!</f>
        <v>#REF!</v>
      </c>
      <c r="AA55" s="11"/>
      <c r="AB55"/>
      <c r="AC55"/>
      <c r="AD55"/>
      <c r="AE55"/>
      <c r="AF55"/>
    </row>
    <row r="56" spans="1:32" ht="15" customHeight="1">
      <c r="A56" s="89"/>
      <c r="B56" s="89"/>
      <c r="C56" s="95" t="s">
        <v>2820</v>
      </c>
      <c r="E56" s="125">
        <f>+D8</f>
        <v>45291</v>
      </c>
      <c r="F56" s="125">
        <f>+E8</f>
        <v>45657</v>
      </c>
      <c r="G56" s="89"/>
      <c r="H56" s="89"/>
      <c r="W56" s="12" t="s">
        <v>38</v>
      </c>
      <c r="X56" s="13" t="s">
        <v>39</v>
      </c>
      <c r="Y56" s="25" t="e">
        <f>+#REF!</f>
        <v>#REF!</v>
      </c>
      <c r="Z56" s="25" t="e">
        <f>+#REF!</f>
        <v>#REF!</v>
      </c>
      <c r="AA56" s="11"/>
      <c r="AB56"/>
      <c r="AC56"/>
      <c r="AD56"/>
      <c r="AE56"/>
      <c r="AF56"/>
    </row>
    <row r="57" spans="1:32" ht="15" customHeight="1">
      <c r="A57" s="89"/>
      <c r="B57" s="89"/>
      <c r="C57" s="96" t="s">
        <v>2808</v>
      </c>
      <c r="E57" s="127">
        <v>15000</v>
      </c>
      <c r="F57" s="127">
        <v>18000</v>
      </c>
      <c r="G57" s="89"/>
      <c r="H57" s="89"/>
      <c r="W57" s="18" t="s">
        <v>40</v>
      </c>
      <c r="X57" s="19" t="s">
        <v>41</v>
      </c>
      <c r="Y57" s="28" t="e">
        <f>+#REF!</f>
        <v>#REF!</v>
      </c>
      <c r="Z57" s="28" t="e">
        <f>+#REF!</f>
        <v>#REF!</v>
      </c>
      <c r="AA57" s="11"/>
      <c r="AB57"/>
      <c r="AC57"/>
      <c r="AD57"/>
      <c r="AE57"/>
      <c r="AF57"/>
    </row>
    <row r="58" spans="1:32" ht="15" customHeight="1">
      <c r="C58" s="97" t="s">
        <v>2785</v>
      </c>
      <c r="D58" s="98"/>
      <c r="E58" s="99">
        <f>SUM(E57)</f>
        <v>15000</v>
      </c>
      <c r="F58" s="99">
        <f>SUM(F57)</f>
        <v>18000</v>
      </c>
      <c r="G58" s="89"/>
      <c r="H58" s="89"/>
      <c r="W58" s="14" t="s">
        <v>42</v>
      </c>
      <c r="X58" s="15" t="s">
        <v>43</v>
      </c>
      <c r="Y58" s="26" t="e">
        <f>+#REF!</f>
        <v>#REF!</v>
      </c>
      <c r="Z58" s="26" t="e">
        <f>+#REF!</f>
        <v>#REF!</v>
      </c>
      <c r="AA58" s="11"/>
      <c r="AB58"/>
      <c r="AC58"/>
      <c r="AD58"/>
      <c r="AE58"/>
      <c r="AF58"/>
    </row>
    <row r="59" spans="1:32" ht="15" customHeight="1">
      <c r="A59" s="89"/>
      <c r="B59" s="89"/>
      <c r="C59" s="95" t="s">
        <v>2821</v>
      </c>
      <c r="G59" s="89"/>
      <c r="H59" s="89"/>
      <c r="W59" s="20" t="s">
        <v>44</v>
      </c>
      <c r="X59" s="21" t="s">
        <v>45</v>
      </c>
      <c r="Y59" s="29" t="e">
        <f>+#REF!</f>
        <v>#REF!</v>
      </c>
      <c r="Z59" s="29" t="e">
        <f>+#REF!</f>
        <v>#REF!</v>
      </c>
      <c r="AA59" s="11"/>
      <c r="AB59"/>
      <c r="AC59"/>
      <c r="AD59"/>
      <c r="AE59"/>
      <c r="AF59"/>
    </row>
    <row r="60" spans="1:32" ht="15" customHeight="1">
      <c r="A60" s="89"/>
      <c r="B60" s="89"/>
      <c r="C60" s="96" t="s">
        <v>2809</v>
      </c>
      <c r="E60" s="117">
        <v>500000</v>
      </c>
      <c r="F60" s="117">
        <v>600000</v>
      </c>
      <c r="G60" s="89"/>
      <c r="H60" s="89"/>
      <c r="W60" s="12" t="s">
        <v>46</v>
      </c>
      <c r="X60" s="13" t="s">
        <v>47</v>
      </c>
      <c r="Y60" s="25" t="e">
        <f>+#REF!</f>
        <v>#REF!</v>
      </c>
      <c r="Z60" s="25" t="e">
        <f>+#REF!</f>
        <v>#REF!</v>
      </c>
      <c r="AA60" s="11"/>
      <c r="AB60"/>
      <c r="AC60"/>
      <c r="AD60"/>
      <c r="AE60"/>
      <c r="AF60"/>
    </row>
    <row r="61" spans="1:32">
      <c r="C61" s="96" t="s">
        <v>2811</v>
      </c>
      <c r="E61" s="117">
        <v>50000</v>
      </c>
      <c r="F61" s="117">
        <v>40000</v>
      </c>
      <c r="G61" s="89"/>
      <c r="H61" s="89"/>
      <c r="W61" s="12" t="s">
        <v>48</v>
      </c>
      <c r="X61" s="13" t="s">
        <v>58</v>
      </c>
      <c r="Y61" s="25" t="e">
        <f>+#REF!</f>
        <v>#REF!</v>
      </c>
      <c r="Z61" s="25" t="e">
        <f>+#REF!</f>
        <v>#REF!</v>
      </c>
      <c r="AA61" s="11"/>
      <c r="AB61"/>
      <c r="AC61"/>
      <c r="AD61"/>
      <c r="AE61"/>
      <c r="AF61"/>
    </row>
    <row r="62" spans="1:32">
      <c r="C62" s="95" t="s">
        <v>2804</v>
      </c>
      <c r="E62" s="100">
        <f>SUM(E60:E61)</f>
        <v>550000</v>
      </c>
      <c r="F62" s="100">
        <f>SUM(F60:F61)</f>
        <v>640000</v>
      </c>
      <c r="G62" s="89"/>
      <c r="H62" s="148"/>
      <c r="I62" s="147"/>
      <c r="J62" s="147"/>
      <c r="W62" s="12" t="s">
        <v>49</v>
      </c>
      <c r="X62" s="13" t="s">
        <v>50</v>
      </c>
      <c r="Y62" s="25" t="e">
        <f>+#REF!</f>
        <v>#REF!</v>
      </c>
      <c r="Z62" s="25" t="e">
        <f>+#REF!</f>
        <v>#REF!</v>
      </c>
      <c r="AA62" s="11"/>
      <c r="AB62"/>
      <c r="AC62"/>
      <c r="AD62"/>
      <c r="AE62"/>
      <c r="AF62"/>
    </row>
    <row r="63" spans="1:32">
      <c r="A63" s="107">
        <v>3</v>
      </c>
      <c r="B63" s="107"/>
      <c r="C63" s="129" t="str">
        <f>+C55</f>
        <v>1) SOSTENIBILITÀ ONERI FINANZIARI</v>
      </c>
      <c r="D63" s="130"/>
      <c r="E63" s="131">
        <f>+IFERROR(E58/E60,0)</f>
        <v>0.03</v>
      </c>
      <c r="F63" s="132">
        <f t="shared" ref="F63" si="0">+IFERROR(F58/F60,0)</f>
        <v>0.03</v>
      </c>
      <c r="G63" s="89"/>
      <c r="H63" s="148">
        <f>+$F$56</f>
        <v>45657</v>
      </c>
      <c r="I63" s="147">
        <f>+F64-F63</f>
        <v>-1.9999999999999983E-3</v>
      </c>
      <c r="J63" s="147">
        <f>+F63*(F63&lt;F64)</f>
        <v>0</v>
      </c>
      <c r="W63" s="12" t="s">
        <v>51</v>
      </c>
      <c r="X63" s="13" t="s">
        <v>52</v>
      </c>
      <c r="Y63" s="25" t="e">
        <f>+#REF!</f>
        <v>#REF!</v>
      </c>
      <c r="Z63" s="25" t="e">
        <f>+#REF!</f>
        <v>#REF!</v>
      </c>
      <c r="AA63" s="11"/>
      <c r="AB63"/>
      <c r="AC63"/>
      <c r="AD63"/>
      <c r="AE63"/>
      <c r="AF63"/>
    </row>
    <row r="64" spans="1:32" ht="24.75">
      <c r="A64" s="89"/>
      <c r="B64" s="89"/>
      <c r="C64" s="133" t="str">
        <f>+"Soglia per settore "&amp;$H$7</f>
        <v xml:space="preserve">Soglia per settore </v>
      </c>
      <c r="D64" s="134"/>
      <c r="E64" s="135" cm="1">
        <f t="array" ref="E64">+INDEX(Tabella139[],rateco,Score!$A$63)</f>
        <v>2.8000000000000001E-2</v>
      </c>
      <c r="F64" s="136" cm="1">
        <f t="array" ref="F64">+INDEX(Tabella139[],rateco,Score!$A$63)</f>
        <v>2.8000000000000001E-2</v>
      </c>
      <c r="G64" s="115">
        <f>+IF(a,(H64&lt;H63)*1,(F64&lt;F63)*1)</f>
        <v>1</v>
      </c>
      <c r="H64" s="89"/>
      <c r="K64" s="2">
        <f>+(E63&gt;E64)*E63</f>
        <v>0.03</v>
      </c>
      <c r="W64" s="14" t="s">
        <v>53</v>
      </c>
      <c r="X64" s="15" t="s">
        <v>54</v>
      </c>
      <c r="Y64" s="26" t="e">
        <f>+#REF!</f>
        <v>#REF!</v>
      </c>
      <c r="Z64" s="26" t="e">
        <f>+#REF!</f>
        <v>#REF!</v>
      </c>
      <c r="AA64" s="11"/>
      <c r="AB64"/>
      <c r="AC64"/>
      <c r="AD64"/>
      <c r="AE64"/>
      <c r="AF64"/>
    </row>
    <row r="65" spans="1:32" ht="15" customHeight="1">
      <c r="A65" s="89"/>
      <c r="B65" s="89"/>
      <c r="G65" s="89"/>
      <c r="H65" s="89"/>
      <c r="W65" s="12" t="s">
        <v>55</v>
      </c>
      <c r="X65" s="13" t="s">
        <v>39</v>
      </c>
      <c r="Y65" s="25" t="e">
        <f>+#REF!</f>
        <v>#REF!</v>
      </c>
      <c r="Z65" s="25" t="e">
        <f>+#REF!</f>
        <v>#REF!</v>
      </c>
      <c r="AA65" s="11"/>
      <c r="AB65"/>
      <c r="AC65"/>
      <c r="AD65"/>
      <c r="AE65"/>
      <c r="AF65"/>
    </row>
    <row r="66" spans="1:32" ht="15" customHeight="1">
      <c r="A66" s="107">
        <v>4</v>
      </c>
      <c r="B66" s="107"/>
      <c r="C66" s="74" t="s">
        <v>2856</v>
      </c>
      <c r="G66" s="89"/>
      <c r="H66" s="89"/>
      <c r="W66" s="18" t="s">
        <v>56</v>
      </c>
      <c r="X66" s="19" t="s">
        <v>57</v>
      </c>
      <c r="Y66" s="28" t="e">
        <f>+#REF!</f>
        <v>#REF!</v>
      </c>
      <c r="Z66" s="28" t="e">
        <f>+#REF!</f>
        <v>#REF!</v>
      </c>
      <c r="AA66" s="11"/>
      <c r="AB66"/>
      <c r="AC66"/>
      <c r="AD66"/>
      <c r="AE66"/>
      <c r="AF66"/>
    </row>
    <row r="67" spans="1:32" ht="15" customHeight="1">
      <c r="A67" s="89"/>
      <c r="B67" s="89"/>
      <c r="C67" s="95" t="s">
        <v>2822</v>
      </c>
      <c r="G67" s="89"/>
      <c r="H67" s="89"/>
      <c r="W67" s="22"/>
      <c r="X67" s="22"/>
      <c r="Y67" s="22"/>
      <c r="Z67" s="22"/>
      <c r="AA67" s="11"/>
      <c r="AB67"/>
      <c r="AC67"/>
      <c r="AD67"/>
      <c r="AE67"/>
      <c r="AF67"/>
    </row>
    <row r="68" spans="1:32" ht="15" customHeight="1">
      <c r="A68" s="89"/>
      <c r="B68" s="89"/>
      <c r="C68" s="96" t="s">
        <v>2812</v>
      </c>
      <c r="E68" s="117">
        <v>200000</v>
      </c>
      <c r="F68" s="117">
        <v>220000</v>
      </c>
      <c r="G68" s="89"/>
      <c r="H68" s="89"/>
      <c r="W68" s="22"/>
      <c r="X68" s="22"/>
      <c r="Y68" s="23"/>
      <c r="Z68" s="22"/>
      <c r="AA68" s="11"/>
      <c r="AB68"/>
      <c r="AC68"/>
      <c r="AD68"/>
      <c r="AE68"/>
      <c r="AF68"/>
    </row>
    <row r="69" spans="1:32" ht="15" customHeight="1">
      <c r="A69" s="89"/>
      <c r="B69" s="89"/>
      <c r="C69" s="109" t="s">
        <v>2813</v>
      </c>
      <c r="E69" s="117">
        <v>30000</v>
      </c>
      <c r="F69" s="117">
        <v>25000</v>
      </c>
      <c r="G69" s="89"/>
      <c r="H69" s="89"/>
      <c r="W69" s="22"/>
      <c r="X69" s="22"/>
      <c r="Y69" s="23"/>
      <c r="Z69" s="22"/>
      <c r="AA69" s="11"/>
      <c r="AB69"/>
      <c r="AC69"/>
      <c r="AD69"/>
      <c r="AE69"/>
      <c r="AF69"/>
    </row>
    <row r="70" spans="1:32" ht="15" customHeight="1">
      <c r="A70" s="89"/>
      <c r="B70" s="89"/>
      <c r="C70" s="109" t="s">
        <v>2814</v>
      </c>
      <c r="E70" s="117">
        <v>10000</v>
      </c>
      <c r="F70" s="117">
        <v>15000</v>
      </c>
      <c r="G70" s="89"/>
      <c r="H70" s="89"/>
      <c r="W70" s="22"/>
      <c r="X70" s="22"/>
      <c r="Y70" s="23"/>
      <c r="Z70" s="22"/>
      <c r="AA70" s="11"/>
      <c r="AB70"/>
      <c r="AC70"/>
      <c r="AD70"/>
      <c r="AE70"/>
      <c r="AF70"/>
    </row>
    <row r="71" spans="1:32" ht="15" customHeight="1">
      <c r="A71" s="107"/>
      <c r="B71" s="107"/>
      <c r="C71" s="97" t="s">
        <v>2785</v>
      </c>
      <c r="D71" s="110"/>
      <c r="E71" s="128">
        <f>+E68-E69-E70</f>
        <v>160000</v>
      </c>
      <c r="F71" s="128">
        <f>+F68-F69-F70</f>
        <v>180000</v>
      </c>
      <c r="G71" s="89"/>
      <c r="H71" s="89"/>
      <c r="W71" s="22"/>
      <c r="X71" s="22"/>
      <c r="Y71" s="23"/>
      <c r="Z71" s="22"/>
      <c r="AA71" s="11"/>
      <c r="AB71"/>
      <c r="AC71"/>
      <c r="AD71"/>
      <c r="AE71"/>
      <c r="AF71"/>
    </row>
    <row r="72" spans="1:32" ht="15" customHeight="1">
      <c r="A72" s="89"/>
      <c r="B72" s="89"/>
      <c r="C72" s="95" t="s">
        <v>2823</v>
      </c>
      <c r="G72" s="89"/>
      <c r="H72" s="89"/>
      <c r="W72" s="22"/>
      <c r="X72" s="22"/>
      <c r="Y72" s="23"/>
      <c r="Z72" s="22"/>
      <c r="AA72" s="11"/>
      <c r="AB72" s="43"/>
      <c r="AC72" s="44"/>
      <c r="AD72" s="44"/>
      <c r="AE72" s="45"/>
      <c r="AF72" s="45"/>
    </row>
    <row r="73" spans="1:32" ht="15" customHeight="1">
      <c r="C73" s="96" t="s">
        <v>2815</v>
      </c>
      <c r="E73" s="117">
        <v>300000</v>
      </c>
      <c r="F73" s="117">
        <v>350000</v>
      </c>
      <c r="G73" s="89"/>
      <c r="H73" s="89"/>
      <c r="W73" s="22"/>
      <c r="X73" s="22"/>
      <c r="Y73" s="23"/>
      <c r="Z73" s="22"/>
      <c r="AA73" s="11"/>
      <c r="AB73" s="43"/>
      <c r="AC73" s="44"/>
      <c r="AD73" s="44"/>
      <c r="AE73" s="45"/>
      <c r="AF73" s="45"/>
    </row>
    <row r="74" spans="1:32" ht="15" customHeight="1">
      <c r="C74" s="96" t="s">
        <v>2816</v>
      </c>
      <c r="E74" s="117">
        <v>20000</v>
      </c>
      <c r="F74" s="117">
        <v>25000</v>
      </c>
      <c r="G74" s="89"/>
      <c r="H74" s="89"/>
      <c r="W74" s="22"/>
      <c r="X74" s="22"/>
      <c r="Y74" s="23"/>
      <c r="Z74" s="22"/>
      <c r="AA74" s="11"/>
      <c r="AB74" s="43"/>
      <c r="AC74" s="44"/>
      <c r="AD74" s="44"/>
      <c r="AE74" s="45"/>
      <c r="AF74" s="45"/>
    </row>
    <row r="75" spans="1:32" ht="15" customHeight="1">
      <c r="C75" s="95" t="s">
        <v>2804</v>
      </c>
      <c r="E75" s="100">
        <f>SUM(E73:E74)</f>
        <v>320000</v>
      </c>
      <c r="F75" s="100">
        <f>SUM(F73:F74)</f>
        <v>375000</v>
      </c>
      <c r="G75" s="89"/>
      <c r="H75" s="148"/>
      <c r="I75" s="147"/>
      <c r="J75" s="147"/>
      <c r="W75" s="22"/>
      <c r="X75" s="22"/>
      <c r="Y75" s="23"/>
      <c r="Z75" s="22"/>
      <c r="AA75" s="11"/>
      <c r="AB75" s="43"/>
      <c r="AC75" s="44"/>
      <c r="AD75" s="44"/>
      <c r="AE75" s="45"/>
      <c r="AF75" s="45"/>
    </row>
    <row r="76" spans="1:32" ht="15" customHeight="1">
      <c r="A76" s="107">
        <f>+A66</f>
        <v>4</v>
      </c>
      <c r="B76" s="107"/>
      <c r="C76" s="129" t="str">
        <f>+C66</f>
        <v>2) ADEGUATEZZA PATRIMONIALE</v>
      </c>
      <c r="D76" s="130"/>
      <c r="E76" s="131">
        <f t="shared" ref="E76:F76" si="1">+IFERROR(E71/E75,"")</f>
        <v>0.5</v>
      </c>
      <c r="F76" s="132">
        <f t="shared" si="1"/>
        <v>0.48</v>
      </c>
      <c r="G76" s="89"/>
      <c r="H76" s="148">
        <f>+$F$56</f>
        <v>45657</v>
      </c>
      <c r="I76" s="147">
        <f>+F77-F76</f>
        <v>-0.42699999999999999</v>
      </c>
      <c r="J76" s="147">
        <f>+F76*(F76&lt;F77)</f>
        <v>0</v>
      </c>
      <c r="W76" s="22"/>
      <c r="X76" s="22"/>
      <c r="Y76" s="23"/>
      <c r="Z76" s="22"/>
      <c r="AA76" s="11"/>
      <c r="AB76" s="43"/>
      <c r="AC76" s="44"/>
      <c r="AD76" s="44"/>
      <c r="AE76" s="45"/>
      <c r="AF76" s="45"/>
    </row>
    <row r="77" spans="1:32" ht="24.75">
      <c r="C77" s="137" t="str">
        <f>+"Soglia per settore "&amp;$H$7</f>
        <v xml:space="preserve">Soglia per settore </v>
      </c>
      <c r="D77" s="98"/>
      <c r="E77" s="135" cm="1">
        <f t="array" ref="E77">+INDEX(Tabella139[],rateco,Score!$A76)</f>
        <v>5.2999999999999999E-2</v>
      </c>
      <c r="F77" s="136" cm="1">
        <f t="array" ref="F77">+INDEX(Tabella139[],rateco,Score!$A76)</f>
        <v>5.2999999999999999E-2</v>
      </c>
      <c r="G77" s="115">
        <f>+IF(a,(H77&gt;H76)*1,(F77&gt;F76)*1)</f>
        <v>0</v>
      </c>
      <c r="H77" s="89"/>
      <c r="W77" s="22"/>
      <c r="X77" s="22"/>
      <c r="Y77" s="23"/>
      <c r="Z77" s="22"/>
      <c r="AA77" s="11"/>
      <c r="AB77" s="43"/>
      <c r="AC77" s="44"/>
      <c r="AD77" s="44"/>
      <c r="AE77" s="45"/>
      <c r="AF77" s="45"/>
    </row>
    <row r="78" spans="1:32" ht="15" customHeight="1">
      <c r="A78" s="107">
        <v>5</v>
      </c>
      <c r="B78" s="107"/>
      <c r="C78" s="74" t="s">
        <v>2857</v>
      </c>
      <c r="G78" s="89"/>
      <c r="H78" s="89"/>
      <c r="W78" s="22"/>
      <c r="X78" s="22"/>
      <c r="Y78" s="23"/>
      <c r="Z78" s="22"/>
      <c r="AA78" s="11"/>
      <c r="AB78" s="43"/>
      <c r="AC78" s="44"/>
      <c r="AD78" s="44"/>
      <c r="AE78" s="45"/>
      <c r="AF78" s="45"/>
    </row>
    <row r="79" spans="1:32" ht="15" customHeight="1">
      <c r="A79" s="89"/>
      <c r="B79" s="89"/>
      <c r="C79" s="95" t="s">
        <v>2824</v>
      </c>
      <c r="G79" s="89"/>
      <c r="H79" s="89"/>
      <c r="W79" s="22"/>
      <c r="X79" s="22"/>
      <c r="Y79" s="23"/>
      <c r="Z79" s="22"/>
      <c r="AA79" s="11"/>
      <c r="AB79" s="43"/>
      <c r="AC79" s="44"/>
      <c r="AD79" s="44"/>
      <c r="AE79" s="45"/>
      <c r="AF79" s="45"/>
    </row>
    <row r="80" spans="1:32" ht="15" customHeight="1">
      <c r="A80" s="89"/>
      <c r="B80" s="89"/>
      <c r="C80" s="96" t="s">
        <v>2817</v>
      </c>
      <c r="E80" s="117">
        <v>400000</v>
      </c>
      <c r="F80" s="117">
        <v>450000</v>
      </c>
      <c r="G80" s="89"/>
      <c r="H80" s="89"/>
      <c r="W80" s="22"/>
      <c r="X80" s="22"/>
      <c r="Y80" s="23"/>
      <c r="Z80" s="22"/>
      <c r="AA80" s="11"/>
      <c r="AB80" s="43"/>
      <c r="AC80" s="44"/>
      <c r="AD80" s="44"/>
      <c r="AE80" s="45"/>
      <c r="AF80" s="45"/>
    </row>
    <row r="81" spans="1:32" ht="15" customHeight="1">
      <c r="A81" s="89"/>
      <c r="B81" s="89"/>
      <c r="C81" s="96" t="s">
        <v>2818</v>
      </c>
      <c r="E81" s="117">
        <v>15000</v>
      </c>
      <c r="F81" s="117">
        <v>18000</v>
      </c>
      <c r="G81" s="89"/>
      <c r="H81" s="89"/>
      <c r="W81" s="22"/>
      <c r="X81" s="22"/>
      <c r="Y81" s="23"/>
      <c r="Z81" s="22"/>
      <c r="AA81" s="11"/>
      <c r="AB81" s="43"/>
      <c r="AC81" s="44"/>
      <c r="AD81" s="44"/>
      <c r="AE81" s="45"/>
      <c r="AF81" s="45"/>
    </row>
    <row r="82" spans="1:32" ht="15" customHeight="1">
      <c r="A82" s="89"/>
      <c r="B82" s="89"/>
      <c r="C82" s="97" t="s">
        <v>2785</v>
      </c>
      <c r="D82" s="110"/>
      <c r="E82" s="111">
        <f>SUM(E80:E81)</f>
        <v>415000</v>
      </c>
      <c r="F82" s="111">
        <f>SUM(F80:F81)</f>
        <v>468000</v>
      </c>
      <c r="G82" s="89"/>
      <c r="H82" s="89"/>
      <c r="W82" s="22"/>
      <c r="X82" s="22"/>
      <c r="Y82" s="23"/>
      <c r="Z82" s="22"/>
      <c r="AA82" s="11"/>
      <c r="AB82" s="43"/>
      <c r="AC82" s="44"/>
      <c r="AD82" s="44"/>
      <c r="AE82" s="45"/>
      <c r="AF82" s="45"/>
    </row>
    <row r="83" spans="1:32" ht="15" customHeight="1">
      <c r="A83" s="107"/>
      <c r="B83" s="107"/>
      <c r="C83" s="95" t="s">
        <v>2825</v>
      </c>
      <c r="G83" s="89"/>
      <c r="H83" s="89"/>
      <c r="W83" s="22"/>
      <c r="X83" s="22"/>
      <c r="Y83" s="23"/>
      <c r="Z83" s="22"/>
      <c r="AA83" s="11"/>
      <c r="AB83" s="43"/>
      <c r="AC83" s="44"/>
      <c r="AD83" s="44"/>
      <c r="AE83" s="45"/>
      <c r="AF83" s="45"/>
    </row>
    <row r="84" spans="1:32" ht="15" customHeight="1">
      <c r="A84" s="89"/>
      <c r="B84" s="89"/>
      <c r="C84" s="96" t="s">
        <v>2819</v>
      </c>
      <c r="E84" s="117">
        <v>150000</v>
      </c>
      <c r="F84" s="117">
        <v>160000</v>
      </c>
      <c r="G84" s="89"/>
      <c r="H84" s="89"/>
      <c r="W84" s="22"/>
      <c r="X84" s="22"/>
      <c r="Y84" s="23"/>
      <c r="Z84" s="22"/>
      <c r="AA84" s="11"/>
      <c r="AB84" s="43"/>
      <c r="AC84" s="44"/>
      <c r="AD84" s="44"/>
      <c r="AE84" s="45"/>
      <c r="AF84" s="45"/>
    </row>
    <row r="85" spans="1:32" ht="15" customHeight="1">
      <c r="C85" s="96" t="s">
        <v>2816</v>
      </c>
      <c r="E85" s="117">
        <v>10000</v>
      </c>
      <c r="F85" s="117">
        <v>12000</v>
      </c>
      <c r="G85" s="89"/>
      <c r="H85" s="89"/>
      <c r="W85" s="22"/>
      <c r="X85" s="22"/>
      <c r="Y85" s="23"/>
      <c r="Z85" s="22"/>
      <c r="AA85" s="11"/>
      <c r="AB85" s="43"/>
      <c r="AC85" s="44"/>
      <c r="AD85" s="44"/>
      <c r="AE85" s="45"/>
      <c r="AF85" s="45"/>
    </row>
    <row r="86" spans="1:32" ht="15" customHeight="1">
      <c r="C86" s="95" t="s">
        <v>2804</v>
      </c>
      <c r="E86" s="100">
        <f>SUM(E84:E85)</f>
        <v>160000</v>
      </c>
      <c r="F86" s="100">
        <f>SUM(F84:F85)</f>
        <v>172000</v>
      </c>
      <c r="G86" s="89"/>
      <c r="H86" s="148"/>
      <c r="I86" s="147"/>
      <c r="J86" s="147"/>
      <c r="W86" s="22"/>
      <c r="X86" s="22"/>
      <c r="Y86" s="23"/>
      <c r="Z86" s="22"/>
      <c r="AA86" s="11"/>
      <c r="AB86" s="43"/>
      <c r="AC86" s="44"/>
      <c r="AD86" s="44"/>
      <c r="AE86" s="45"/>
      <c r="AF86" s="45"/>
    </row>
    <row r="87" spans="1:32" ht="15" customHeight="1">
      <c r="A87" s="65">
        <f>+A78</f>
        <v>5</v>
      </c>
      <c r="C87" s="129" t="str">
        <f>+C78</f>
        <v>3) EQUILIBRIO FINANZIARIO</v>
      </c>
      <c r="D87" s="130"/>
      <c r="E87" s="138">
        <f>+IFERROR(E82/E86,"")</f>
        <v>2.59375</v>
      </c>
      <c r="F87" s="139">
        <f t="shared" ref="F87" si="2">+IFERROR(F82/F86,"")</f>
        <v>2.7209302325581395</v>
      </c>
      <c r="G87" s="89"/>
      <c r="H87" s="148">
        <f>+$F$56</f>
        <v>45657</v>
      </c>
      <c r="I87" s="147">
        <f>+F88-F87</f>
        <v>-1.7099302325581396</v>
      </c>
      <c r="J87" s="147">
        <f>+F87*(F87&lt;F88)</f>
        <v>0</v>
      </c>
      <c r="W87" s="22"/>
      <c r="X87" s="22"/>
      <c r="Y87" s="23"/>
      <c r="Z87" s="22"/>
      <c r="AA87" s="11"/>
      <c r="AB87" s="43"/>
      <c r="AC87" s="44"/>
      <c r="AD87" s="44"/>
      <c r="AE87" s="45"/>
      <c r="AF87" s="45"/>
    </row>
    <row r="88" spans="1:32" ht="24.75">
      <c r="A88" s="107">
        <f>+A78</f>
        <v>5</v>
      </c>
      <c r="B88" s="107"/>
      <c r="C88" s="137" t="str">
        <f>+"Soglia per settore "&amp;$H$7</f>
        <v xml:space="preserve">Soglia per settore </v>
      </c>
      <c r="D88" s="98"/>
      <c r="E88" s="140" cm="1">
        <f t="array" ref="E88">+INDEX(Tabella139[],rateco,Score!$A87)</f>
        <v>1.0109999999999999</v>
      </c>
      <c r="F88" s="141" cm="1">
        <f t="array" ref="F88">+INDEX(Tabella139[],rateco,Score!$A87)</f>
        <v>1.0109999999999999</v>
      </c>
      <c r="G88" s="115">
        <f>+IF(a,(H88&gt;H87)*1,(F88&gt;F87)*1)</f>
        <v>0</v>
      </c>
      <c r="H88" s="89"/>
      <c r="W88" s="22"/>
      <c r="X88" s="22"/>
      <c r="Y88" s="23"/>
      <c r="Z88" s="22"/>
      <c r="AA88" s="11"/>
      <c r="AB88" s="43"/>
      <c r="AC88" s="44"/>
      <c r="AD88" s="44"/>
      <c r="AE88" s="45"/>
      <c r="AF88" s="45"/>
    </row>
    <row r="89" spans="1:32" ht="15" customHeight="1">
      <c r="A89" s="107">
        <v>6</v>
      </c>
      <c r="B89" s="107"/>
      <c r="C89" s="74" t="s">
        <v>2858</v>
      </c>
      <c r="G89" s="89"/>
      <c r="H89" s="89"/>
      <c r="W89" s="22"/>
      <c r="X89" s="22"/>
      <c r="Y89" s="23"/>
      <c r="Z89" s="22"/>
      <c r="AA89" s="11"/>
      <c r="AB89" s="43"/>
      <c r="AC89" s="44"/>
      <c r="AD89" s="44"/>
      <c r="AE89" s="45"/>
      <c r="AF89" s="45"/>
    </row>
    <row r="90" spans="1:32" ht="15" customHeight="1">
      <c r="A90" s="89"/>
      <c r="B90" s="89"/>
      <c r="C90" s="95" t="s">
        <v>2826</v>
      </c>
      <c r="G90" s="89"/>
      <c r="H90" s="89"/>
      <c r="W90" s="22"/>
      <c r="X90" s="22"/>
      <c r="Y90" s="23"/>
      <c r="Z90" s="22"/>
      <c r="AA90" s="11"/>
      <c r="AB90" s="43"/>
      <c r="AC90" s="44"/>
      <c r="AD90" s="44"/>
      <c r="AE90" s="45"/>
      <c r="AF90" s="45"/>
    </row>
    <row r="91" spans="1:32" ht="15" customHeight="1">
      <c r="A91" s="89"/>
      <c r="B91" s="89"/>
      <c r="C91" s="96" t="s">
        <v>2827</v>
      </c>
      <c r="E91" s="117">
        <v>40000</v>
      </c>
      <c r="F91" s="117">
        <v>50000</v>
      </c>
      <c r="G91" s="89"/>
      <c r="H91" s="89"/>
      <c r="W91" s="22"/>
      <c r="X91" s="22"/>
      <c r="Y91" s="23"/>
      <c r="Z91" s="22"/>
      <c r="AA91" s="11"/>
      <c r="AB91" s="43"/>
      <c r="AC91" s="44"/>
      <c r="AD91" s="44"/>
      <c r="AE91" s="45"/>
      <c r="AF91" s="45"/>
    </row>
    <row r="92" spans="1:32" ht="15" customHeight="1">
      <c r="A92" s="89"/>
      <c r="B92" s="89"/>
      <c r="C92" s="96" t="s">
        <v>2828</v>
      </c>
      <c r="E92" s="117">
        <v>25000</v>
      </c>
      <c r="F92" s="117">
        <v>28000</v>
      </c>
      <c r="G92" s="89"/>
      <c r="H92" s="89"/>
      <c r="W92" s="22"/>
      <c r="X92" s="22"/>
      <c r="Y92" s="23"/>
      <c r="Z92" s="22"/>
      <c r="AA92" s="11"/>
      <c r="AB92" s="43"/>
      <c r="AC92" s="44"/>
      <c r="AD92" s="44"/>
      <c r="AE92" s="45"/>
      <c r="AF92" s="45"/>
    </row>
    <row r="93" spans="1:32" ht="15" customHeight="1">
      <c r="C93" s="109" t="s">
        <v>2829</v>
      </c>
      <c r="E93" s="117">
        <v>5000</v>
      </c>
      <c r="F93" s="117">
        <v>6000</v>
      </c>
      <c r="G93" s="89"/>
      <c r="H93" s="89"/>
      <c r="W93" s="22"/>
      <c r="X93" s="22"/>
      <c r="Y93" s="23"/>
      <c r="Z93" s="22"/>
      <c r="AA93" s="11"/>
      <c r="AB93" s="43"/>
      <c r="AC93" s="44"/>
      <c r="AD93" s="44"/>
      <c r="AE93" s="45"/>
      <c r="AF93" s="45"/>
    </row>
    <row r="94" spans="1:32" ht="15" customHeight="1">
      <c r="C94" s="109" t="s">
        <v>2849</v>
      </c>
      <c r="E94" s="112">
        <f t="shared" ref="E94:F94" si="3">SUM(E91:E93)</f>
        <v>70000</v>
      </c>
      <c r="F94" s="112">
        <f t="shared" si="3"/>
        <v>84000</v>
      </c>
      <c r="G94" s="89"/>
      <c r="H94" s="89"/>
      <c r="W94" s="22"/>
      <c r="X94" s="22"/>
      <c r="Y94" s="23"/>
      <c r="Z94" s="22"/>
      <c r="AA94" s="11"/>
      <c r="AB94" s="43"/>
      <c r="AC94" s="44"/>
      <c r="AD94" s="44"/>
      <c r="AE94" s="45"/>
      <c r="AF94" s="45"/>
    </row>
    <row r="95" spans="1:32" ht="15" customHeight="1">
      <c r="A95" s="89"/>
      <c r="B95" s="89"/>
      <c r="C95" s="97" t="s">
        <v>2785</v>
      </c>
      <c r="D95" s="110"/>
      <c r="E95" s="111">
        <f>+E94/D13</f>
        <v>70000</v>
      </c>
      <c r="F95" s="111">
        <f>+F94/E13</f>
        <v>84000</v>
      </c>
      <c r="G95" s="89"/>
      <c r="H95" s="89"/>
      <c r="W95" s="22"/>
      <c r="X95" s="22"/>
      <c r="Y95" s="23"/>
      <c r="Z95" s="22"/>
      <c r="AA95" s="11"/>
      <c r="AB95" s="43"/>
      <c r="AC95" s="44"/>
      <c r="AD95" s="44"/>
      <c r="AE95" s="45"/>
      <c r="AF95" s="45"/>
    </row>
    <row r="96" spans="1:32" ht="15" customHeight="1">
      <c r="A96" s="107"/>
      <c r="B96" s="107"/>
      <c r="C96" s="95" t="s">
        <v>2830</v>
      </c>
      <c r="G96" s="89"/>
      <c r="H96" s="89"/>
      <c r="W96" s="22"/>
      <c r="X96" s="22"/>
      <c r="Y96" s="23"/>
      <c r="Z96" s="22"/>
      <c r="AA96" s="11"/>
      <c r="AB96" s="43"/>
      <c r="AC96" s="44"/>
      <c r="AD96" s="44"/>
      <c r="AE96" s="45"/>
      <c r="AF96" s="45"/>
    </row>
    <row r="97" spans="1:32" ht="15" customHeight="1">
      <c r="A97" s="89"/>
      <c r="B97" s="89"/>
      <c r="C97" s="96" t="s">
        <v>2831</v>
      </c>
      <c r="E97" s="117">
        <v>750000</v>
      </c>
      <c r="F97" s="117">
        <v>800000</v>
      </c>
      <c r="G97" s="89"/>
      <c r="H97" s="89"/>
      <c r="W97" s="22"/>
      <c r="X97" s="22"/>
      <c r="Y97" s="23"/>
      <c r="Z97" s="22"/>
      <c r="AA97" s="11"/>
      <c r="AB97" s="43"/>
      <c r="AC97" s="44"/>
      <c r="AD97" s="44"/>
      <c r="AE97" s="45"/>
      <c r="AF97" s="45"/>
    </row>
    <row r="98" spans="1:32" ht="15" customHeight="1">
      <c r="C98" s="95" t="s">
        <v>2804</v>
      </c>
      <c r="E98" s="100">
        <f>+E97</f>
        <v>750000</v>
      </c>
      <c r="F98" s="100">
        <f t="shared" ref="F98" si="4">+F97</f>
        <v>800000</v>
      </c>
      <c r="G98" s="89"/>
      <c r="H98" s="148"/>
      <c r="I98" s="147"/>
      <c r="J98" s="147"/>
      <c r="W98" s="22"/>
      <c r="X98" s="22"/>
      <c r="Y98" s="23"/>
      <c r="Z98" s="22"/>
      <c r="AA98" s="11"/>
      <c r="AB98" s="43"/>
      <c r="AC98" s="44"/>
      <c r="AD98" s="44"/>
      <c r="AE98" s="45"/>
      <c r="AF98" s="45"/>
    </row>
    <row r="99" spans="1:32" ht="15" customHeight="1">
      <c r="A99" s="107">
        <f>+A89</f>
        <v>6</v>
      </c>
      <c r="B99" s="107"/>
      <c r="C99" s="129" t="str">
        <f>+C89</f>
        <v>4) REDDITIVITÀ</v>
      </c>
      <c r="D99" s="130"/>
      <c r="E99" s="131">
        <f>+IFERROR(E95/E98,"")</f>
        <v>9.3333333333333338E-2</v>
      </c>
      <c r="F99" s="132">
        <f t="shared" ref="F99" si="5">+IFERROR(F95/F98,"")</f>
        <v>0.105</v>
      </c>
      <c r="G99" s="89"/>
      <c r="H99" s="148">
        <f>+$F$56</f>
        <v>45657</v>
      </c>
      <c r="I99" s="147">
        <f>+F100-F99</f>
        <v>-9.0999999999999998E-2</v>
      </c>
      <c r="J99" s="147">
        <f>+F99*(F99&lt;F100)</f>
        <v>0</v>
      </c>
      <c r="W99" s="22"/>
      <c r="X99" s="22"/>
      <c r="Y99" s="23"/>
      <c r="Z99" s="22"/>
      <c r="AA99" s="11"/>
      <c r="AB99" s="43"/>
      <c r="AC99" s="44"/>
      <c r="AD99" s="44"/>
      <c r="AE99" s="45"/>
      <c r="AF99" s="45"/>
    </row>
    <row r="100" spans="1:32" customFormat="1" ht="24.75">
      <c r="A100" s="107">
        <f>+A89</f>
        <v>6</v>
      </c>
      <c r="B100" s="107"/>
      <c r="C100" s="142" t="str">
        <f>+"Soglia per settore "&amp;$H$7</f>
        <v xml:space="preserve">Soglia per settore </v>
      </c>
      <c r="D100" s="98"/>
      <c r="E100" s="140" cm="1">
        <f t="array" ref="E100">+INDEX(Tabella139[],rateco,Score!$A99)</f>
        <v>1.4E-2</v>
      </c>
      <c r="F100" s="141" cm="1">
        <f t="array" ref="F100">+INDEX(Tabella139[],rateco,Score!$A99)</f>
        <v>1.4E-2</v>
      </c>
      <c r="G100" s="115">
        <f>+IF(a,(H100&gt;H99)*1,(F100&gt;F99)*1)</f>
        <v>0</v>
      </c>
      <c r="H100" s="89"/>
      <c r="I100" s="65"/>
      <c r="J100" s="65"/>
      <c r="K100" s="3"/>
      <c r="L100" s="3"/>
      <c r="M100" s="3"/>
      <c r="N100" s="4"/>
      <c r="O100" s="4"/>
    </row>
    <row r="101" spans="1:32">
      <c r="A101" s="107">
        <v>7</v>
      </c>
      <c r="B101" s="107"/>
      <c r="C101" s="74" t="s">
        <v>2859</v>
      </c>
      <c r="G101" s="89"/>
      <c r="H101" s="89"/>
    </row>
    <row r="102" spans="1:32">
      <c r="A102" s="89"/>
      <c r="B102" s="89"/>
      <c r="C102" s="95" t="s">
        <v>2832</v>
      </c>
      <c r="G102" s="89"/>
      <c r="H102" s="89"/>
    </row>
    <row r="103" spans="1:32">
      <c r="A103" s="89"/>
      <c r="B103" s="89"/>
      <c r="C103" s="96" t="s">
        <v>2833</v>
      </c>
      <c r="E103" s="117">
        <v>35000</v>
      </c>
      <c r="F103" s="117">
        <v>40000</v>
      </c>
      <c r="G103" s="89"/>
      <c r="H103" s="89"/>
    </row>
    <row r="104" spans="1:32">
      <c r="A104" s="89"/>
      <c r="B104" s="89"/>
      <c r="C104" s="96" t="s">
        <v>2834</v>
      </c>
      <c r="E104" s="117">
        <v>30000</v>
      </c>
      <c r="F104" s="117">
        <v>33000</v>
      </c>
      <c r="G104" s="89"/>
      <c r="H104" s="89"/>
    </row>
    <row r="105" spans="1:32">
      <c r="A105" s="89"/>
      <c r="B105" s="89"/>
      <c r="C105" s="97" t="s">
        <v>2785</v>
      </c>
      <c r="D105" s="110"/>
      <c r="E105" s="111">
        <f>SUM(E103:E104)</f>
        <v>65000</v>
      </c>
      <c r="F105" s="111">
        <f t="shared" ref="F105" si="6">SUM(F103:F104)</f>
        <v>73000</v>
      </c>
      <c r="G105" s="89"/>
      <c r="H105" s="89"/>
    </row>
    <row r="106" spans="1:32">
      <c r="A106" s="107"/>
      <c r="B106" s="107"/>
      <c r="C106" s="95" t="s">
        <v>2830</v>
      </c>
      <c r="G106" s="89"/>
      <c r="H106" s="89"/>
    </row>
    <row r="107" spans="1:32">
      <c r="A107" s="89"/>
      <c r="B107" s="89"/>
      <c r="C107" s="96" t="s">
        <v>2831</v>
      </c>
      <c r="E107" s="143">
        <f>+E97</f>
        <v>750000</v>
      </c>
      <c r="F107" s="143">
        <f>+F97</f>
        <v>800000</v>
      </c>
      <c r="G107" s="89"/>
      <c r="H107" s="89"/>
    </row>
    <row r="108" spans="1:32">
      <c r="C108" s="95" t="s">
        <v>2804</v>
      </c>
      <c r="E108" s="100">
        <f>+E107</f>
        <v>750000</v>
      </c>
      <c r="F108" s="100">
        <f t="shared" ref="F108" si="7">+F107</f>
        <v>800000</v>
      </c>
      <c r="G108" s="89"/>
      <c r="H108" s="148"/>
      <c r="I108" s="147"/>
      <c r="J108" s="147"/>
    </row>
    <row r="109" spans="1:32">
      <c r="A109" s="107">
        <f>+A101</f>
        <v>7</v>
      </c>
      <c r="B109" s="107"/>
      <c r="C109" s="129" t="str">
        <f>+C101</f>
        <v>5) ALTRI INDICI DI INDEBITAMENTO</v>
      </c>
      <c r="D109" s="130"/>
      <c r="E109" s="131">
        <f>+IFERROR(E105/E108,0)</f>
        <v>8.666666666666667E-2</v>
      </c>
      <c r="F109" s="132">
        <f t="shared" ref="F109" si="8">+IFERROR(F105/F108,0)</f>
        <v>9.1249999999999998E-2</v>
      </c>
      <c r="G109" s="89"/>
      <c r="H109" s="148">
        <f>+$F$56</f>
        <v>45657</v>
      </c>
      <c r="I109" s="147">
        <f>+F110-F109</f>
        <v>-6.3250000000000001E-2</v>
      </c>
      <c r="J109" s="147">
        <f>+F109*(F109&lt;F110)</f>
        <v>0</v>
      </c>
    </row>
    <row r="110" spans="1:32" ht="24.75">
      <c r="A110" s="107"/>
      <c r="B110" s="107"/>
      <c r="C110" s="142" t="str">
        <f>+"Soglia per settore "&amp;$H$7</f>
        <v xml:space="preserve">Soglia per settore </v>
      </c>
      <c r="D110" s="98"/>
      <c r="E110" s="140" cm="1">
        <f t="array" ref="E110">+INDEX(Tabella139[],rateco,Score!$A$63)</f>
        <v>2.8000000000000001E-2</v>
      </c>
      <c r="F110" s="141" cm="1">
        <f t="array" ref="F110">+INDEX(Tabella139[],rateco,Score!$A$63)</f>
        <v>2.8000000000000001E-2</v>
      </c>
      <c r="G110" s="115">
        <f>+IF(a,(H110&lt;H109)*1,(F110&lt;F109)*1)</f>
        <v>1</v>
      </c>
      <c r="H110" s="89"/>
    </row>
    <row r="111" spans="1:32">
      <c r="G111" s="89"/>
      <c r="H111" s="89"/>
    </row>
    <row r="112" spans="1:32">
      <c r="C112" s="63" t="s">
        <v>2839</v>
      </c>
      <c r="D112" s="63"/>
      <c r="E112" s="63"/>
      <c r="F112" s="63"/>
      <c r="G112" s="165">
        <f>SUM(G57:G110)</f>
        <v>2</v>
      </c>
    </row>
    <row r="114" spans="3:3">
      <c r="C114" s="124" t="str">
        <f>IF(G112=5,
                         UPPER(crisi),
                         IF(G112&gt;=3,UPPER("Assenza di una "&amp;crisi)&amp;UPPER(" ma presenza di rilevanti fattori di rischio."),
                         UPPER("Assenza di una "&amp;crisi)))</f>
        <v>ASSENZA DI UNA RAGIONEVOLE PRESUNZIONE DI UNO STATO DI CRISI</v>
      </c>
    </row>
  </sheetData>
  <mergeCells count="9">
    <mergeCell ref="C14:F14"/>
    <mergeCell ref="C2:F2"/>
    <mergeCell ref="F48:F49"/>
    <mergeCell ref="H6:J6"/>
    <mergeCell ref="H7:J7"/>
    <mergeCell ref="H8:J8"/>
    <mergeCell ref="D3:J3"/>
    <mergeCell ref="H5:J5"/>
    <mergeCell ref="F5:G5"/>
  </mergeCells>
  <phoneticPr fontId="83" type="noConversion"/>
  <conditionalFormatting sqref="C51">
    <cfRule type="cellIs" dxfId="12" priority="53" operator="equal">
      <formula>UPPER("Assenza di una "&amp;crisi)</formula>
    </cfRule>
    <cfRule type="cellIs" dxfId="11" priority="55" operator="equal">
      <formula>crisi</formula>
    </cfRule>
  </conditionalFormatting>
  <conditionalFormatting sqref="C114">
    <cfRule type="cellIs" dxfId="10" priority="3" operator="equal">
      <formula>UPPER("Assenza di una "&amp;crisi)</formula>
    </cfRule>
    <cfRule type="cellIs" dxfId="9" priority="4" operator="equal">
      <formula>crisi</formula>
    </cfRule>
  </conditionalFormatting>
  <conditionalFormatting sqref="E8:E9">
    <cfRule type="cellIs" dxfId="8" priority="5" operator="lessThan">
      <formula>$D$8</formula>
    </cfRule>
  </conditionalFormatting>
  <conditionalFormatting sqref="E64:F64">
    <cfRule type="cellIs" dxfId="7" priority="25" operator="lessThan">
      <formula>E63</formula>
    </cfRule>
  </conditionalFormatting>
  <conditionalFormatting sqref="E77:F77">
    <cfRule type="cellIs" dxfId="6" priority="2" operator="greaterThan">
      <formula>E76</formula>
    </cfRule>
  </conditionalFormatting>
  <conditionalFormatting sqref="E88:F88">
    <cfRule type="cellIs" dxfId="5" priority="21" operator="greaterThan">
      <formula>E87</formula>
    </cfRule>
  </conditionalFormatting>
  <conditionalFormatting sqref="E100:F100">
    <cfRule type="cellIs" dxfId="4" priority="19" operator="greaterThan">
      <formula>E99</formula>
    </cfRule>
  </conditionalFormatting>
  <conditionalFormatting sqref="E110:F110">
    <cfRule type="cellIs" dxfId="3" priority="18" operator="lessThan">
      <formula>E109</formula>
    </cfRule>
  </conditionalFormatting>
  <conditionalFormatting sqref="F18">
    <cfRule type="expression" dxfId="2" priority="61">
      <formula>col=3</formula>
    </cfRule>
  </conditionalFormatting>
  <conditionalFormatting sqref="F54">
    <cfRule type="expression" dxfId="1" priority="51">
      <formula>col=3</formula>
    </cfRule>
  </conditionalFormatting>
  <conditionalFormatting sqref="G112">
    <cfRule type="iconSet" priority="1">
      <iconSet iconSet="5Rating">
        <cfvo type="percent" val="0"/>
        <cfvo type="num" val="1"/>
        <cfvo type="num" val="2" gte="0"/>
        <cfvo type="num" val="3" gte="0"/>
        <cfvo type="num" val="4" gte="0"/>
      </iconSet>
    </cfRule>
  </conditionalFormatting>
  <conditionalFormatting sqref="W43:Z43">
    <cfRule type="expression" dxfId="0" priority="443">
      <formula>col=3</formula>
    </cfRule>
  </conditionalFormatting>
  <dataValidations count="4">
    <dataValidation type="list" allowBlank="1" showInputMessage="1" showErrorMessage="1" sqref="D5" xr:uid="{88224BD4-E67D-4D4F-BCE4-CA0B160439D0}">
      <formula1>"S.r.l.,S.p.a.,Società di persone"</formula1>
    </dataValidation>
    <dataValidation type="list" allowBlank="1" showInputMessage="1" showErrorMessage="1" sqref="F46" xr:uid="{F6979F37-3778-461E-AB79-81044DA5DE46}">
      <formula1>"1° Approccio,2° Approccio"</formula1>
    </dataValidation>
    <dataValidation type="list" allowBlank="1" showInputMessage="1" showErrorMessage="1" sqref="H7:H13" xr:uid="{45274196-2347-4EB8-94EA-031B38D59DD9}">
      <formula1>SETT</formula1>
    </dataValidation>
    <dataValidation type="list" allowBlank="1" showInputMessage="1" showErrorMessage="1" sqref="F5" xr:uid="{3D028431-343C-4EAB-A44B-86B575FF66BB}">
      <formula1>ATE</formula1>
    </dataValidation>
  </dataValidations>
  <hyperlinks>
    <hyperlink ref="E6" location="ATECO!A1" display="Consulta Ateco" xr:uid="{703FDAA7-37C3-468E-97AD-D5A802BB848B}"/>
  </hyperlinks>
  <printOptions horizontalCentered="1" verticalCentered="1"/>
  <pageMargins left="0.18" right="0.17" top="0.35433070866141736" bottom="0.31496062992125984" header="0.15748031496062992" footer="0.15748031496062992"/>
  <pageSetup paperSize="9" scale="46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1806" r:id="rId4" name="Option Button 430">
              <controlPr defaultSize="0" autoFill="0" autoLine="0" autoPict="0">
                <anchor moveWithCells="1">
                  <from>
                    <xdr:col>0</xdr:col>
                    <xdr:colOff>838200</xdr:colOff>
                    <xdr:row>47</xdr:row>
                    <xdr:rowOff>85725</xdr:rowOff>
                  </from>
                  <to>
                    <xdr:col>2</xdr:col>
                    <xdr:colOff>2371725</xdr:colOff>
                    <xdr:row>48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808" r:id="rId5" name="Option Button 432">
              <controlPr defaultSize="0" autoFill="0" autoLine="0" autoPict="0">
                <anchor moveWithCells="1">
                  <from>
                    <xdr:col>0</xdr:col>
                    <xdr:colOff>838200</xdr:colOff>
                    <xdr:row>48</xdr:row>
                    <xdr:rowOff>104775</xdr:rowOff>
                  </from>
                  <to>
                    <xdr:col>3</xdr:col>
                    <xdr:colOff>323850</xdr:colOff>
                    <xdr:row>49</xdr:row>
                    <xdr:rowOff>123825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2" id="{D1E0D1D3-C03C-408F-8134-B67B29824810}">
            <x14:iconSet iconSet="3Symbols" showValue="0" custom="1">
              <x14:cfvo type="percent">
                <xm:f>0</xm:f>
              </x14:cfvo>
              <x14:cfvo type="num" gte="0">
                <xm:f>-1</xm:f>
              </x14:cfvo>
              <x14:cfvo type="num" gte="0">
                <xm:f>0</xm:f>
              </x14:cfvo>
              <x14:cfIcon iconSet="NoIcons" iconId="0"/>
              <x14:cfIcon iconSet="3Symbols" iconId="0"/>
              <x14:cfIcon iconSet="3Symbols" iconId="2"/>
            </x14:iconSet>
          </x14:cfRule>
          <xm:sqref>F17</xm:sqref>
        </x14:conditionalFormatting>
        <x14:conditionalFormatting xmlns:xm="http://schemas.microsoft.com/office/excel/2006/main">
          <x14:cfRule type="iconSet" priority="54" id="{2B95422B-8E98-4BF4-BBC8-75C304591E6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F47</xm:sqref>
        </x14:conditionalFormatting>
        <x14:conditionalFormatting xmlns:xm="http://schemas.microsoft.com/office/excel/2006/main">
          <x14:cfRule type="iconSet" priority="52" id="{6B51B652-ABC9-4BD3-92B1-1BB2091D3141}">
            <x14:iconSet iconSet="3Flags" showValue="0" custom="1">
              <x14:cfvo type="percent">
                <xm:f>0</xm:f>
              </x14:cfvo>
              <x14:cfvo type="percent">
                <xm:f>0</xm:f>
              </x14:cfvo>
              <x14:cfvo type="num" gte="0">
                <xm:f>1</xm:f>
              </x14:cfvo>
              <x14:cfIcon iconSet="NoIcons" iconId="0"/>
              <x14:cfIcon iconSet="3Flags" iconId="2"/>
              <x14:cfIcon iconSet="3Flags" iconId="0"/>
            </x14:iconSet>
          </x14:cfRule>
          <xm:sqref>F48</xm:sqref>
        </x14:conditionalFormatting>
        <x14:conditionalFormatting xmlns:xm="http://schemas.microsoft.com/office/excel/2006/main">
          <x14:cfRule type="iconSet" priority="17" id="{FD397953-9C8C-463D-89BB-2096B0CD51C1}">
            <x14:iconSet iconSet="3Symbols" showValue="0" custom="1">
              <x14:cfvo type="percent">
                <xm:f>0</xm:f>
              </x14:cfvo>
              <x14:cfvo type="num" gte="0">
                <xm:f>-1</xm:f>
              </x14:cfvo>
              <x14:cfvo type="num" gte="0">
                <xm:f>0</xm:f>
              </x14:cfvo>
              <x14:cfIcon iconSet="NoIcons" iconId="0"/>
              <x14:cfIcon iconSet="3Symbols" iconId="2"/>
              <x14:cfIcon iconSet="3Symbols" iconId="0"/>
            </x14:iconSet>
          </x14:cfRule>
          <xm:sqref>G64</xm:sqref>
        </x14:conditionalFormatting>
        <x14:conditionalFormatting xmlns:xm="http://schemas.microsoft.com/office/excel/2006/main">
          <x14:cfRule type="iconSet" priority="16" id="{11EA4BD3-A7BB-46D8-BCB0-FC85CE62B7D5}">
            <x14:iconSet iconSet="3Symbols" showValue="0" custom="1">
              <x14:cfvo type="percent">
                <xm:f>0</xm:f>
              </x14:cfvo>
              <x14:cfvo type="num" gte="0">
                <xm:f>-1</xm:f>
              </x14:cfvo>
              <x14:cfvo type="num" gte="0">
                <xm:f>0</xm:f>
              </x14:cfvo>
              <x14:cfIcon iconSet="NoIcons" iconId="0"/>
              <x14:cfIcon iconSet="3Symbols" iconId="2"/>
              <x14:cfIcon iconSet="3Symbols" iconId="0"/>
            </x14:iconSet>
          </x14:cfRule>
          <xm:sqref>G77</xm:sqref>
        </x14:conditionalFormatting>
        <x14:conditionalFormatting xmlns:xm="http://schemas.microsoft.com/office/excel/2006/main">
          <x14:cfRule type="iconSet" priority="11" id="{7E80BBB4-19E7-4250-9CA1-F26418119017}">
            <x14:iconSet iconSet="3Symbols" showValue="0" custom="1">
              <x14:cfvo type="percent">
                <xm:f>0</xm:f>
              </x14:cfvo>
              <x14:cfvo type="num" gte="0">
                <xm:f>-1</xm:f>
              </x14:cfvo>
              <x14:cfvo type="num" gte="0">
                <xm:f>0</xm:f>
              </x14:cfvo>
              <x14:cfIcon iconSet="NoIcons" iconId="0"/>
              <x14:cfIcon iconSet="3Symbols" iconId="2"/>
              <x14:cfIcon iconSet="3Symbols" iconId="0"/>
            </x14:iconSet>
          </x14:cfRule>
          <xm:sqref>G88</xm:sqref>
        </x14:conditionalFormatting>
        <x14:conditionalFormatting xmlns:xm="http://schemas.microsoft.com/office/excel/2006/main">
          <x14:cfRule type="iconSet" priority="10" id="{B90AA462-CC36-436B-AA8C-F40033D513F5}">
            <x14:iconSet iconSet="3Symbols" showValue="0" custom="1">
              <x14:cfvo type="percent">
                <xm:f>0</xm:f>
              </x14:cfvo>
              <x14:cfvo type="num" gte="0">
                <xm:f>-1</xm:f>
              </x14:cfvo>
              <x14:cfvo type="num" gte="0">
                <xm:f>0</xm:f>
              </x14:cfvo>
              <x14:cfIcon iconSet="NoIcons" iconId="0"/>
              <x14:cfIcon iconSet="3Symbols" iconId="2"/>
              <x14:cfIcon iconSet="3Symbols" iconId="0"/>
            </x14:iconSet>
          </x14:cfRule>
          <xm:sqref>G100</xm:sqref>
        </x14:conditionalFormatting>
        <x14:conditionalFormatting xmlns:xm="http://schemas.microsoft.com/office/excel/2006/main">
          <x14:cfRule type="iconSet" priority="9" id="{AC5BF47F-A86B-4C5C-8CDA-D372940EA0B0}">
            <x14:iconSet iconSet="3Symbols" showValue="0" custom="1">
              <x14:cfvo type="percent">
                <xm:f>0</xm:f>
              </x14:cfvo>
              <x14:cfvo type="num" gte="0">
                <xm:f>-1</xm:f>
              </x14:cfvo>
              <x14:cfvo type="num" gte="0">
                <xm:f>0</xm:f>
              </x14:cfvo>
              <x14:cfIcon iconSet="NoIcons" iconId="0"/>
              <x14:cfIcon iconSet="3Symbols" iconId="2"/>
              <x14:cfIcon iconSet="3Symbols" iconId="0"/>
            </x14:iconSet>
          </x14:cfRule>
          <xm:sqref>G110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89459-56B6-4FA2-8292-0A04F06A82FF}">
  <sheetPr codeName="Foglio3"/>
  <dimension ref="A1:Y1288"/>
  <sheetViews>
    <sheetView showGridLines="0" workbookViewId="0"/>
  </sheetViews>
  <sheetFormatPr defaultRowHeight="15"/>
  <cols>
    <col min="1" max="1" width="12.140625" bestFit="1" customWidth="1"/>
    <col min="2" max="2" width="16.85546875" bestFit="1" customWidth="1"/>
    <col min="4" max="4" width="64.28515625" bestFit="1" customWidth="1"/>
    <col min="12" max="12" width="8.85546875" hidden="1" customWidth="1"/>
    <col min="13" max="13" width="13.7109375" hidden="1" customWidth="1"/>
    <col min="14" max="18" width="8.85546875" hidden="1" customWidth="1"/>
    <col min="19" max="19" width="14.140625" hidden="1" customWidth="1"/>
    <col min="20" max="25" width="8.85546875" hidden="1" customWidth="1"/>
  </cols>
  <sheetData>
    <row r="1" spans="1:24" ht="36">
      <c r="A1" s="46" t="s">
        <v>12</v>
      </c>
      <c r="B1" s="47" t="s">
        <v>13</v>
      </c>
      <c r="C1" s="47" t="s">
        <v>217</v>
      </c>
      <c r="D1" s="48" t="s">
        <v>218</v>
      </c>
      <c r="E1" s="49" t="s">
        <v>219</v>
      </c>
      <c r="F1" s="49" t="s">
        <v>220</v>
      </c>
      <c r="G1" s="49" t="s">
        <v>221</v>
      </c>
      <c r="H1" s="49" t="s">
        <v>222</v>
      </c>
      <c r="I1" s="49" t="s">
        <v>223</v>
      </c>
      <c r="L1" t="s">
        <v>2835</v>
      </c>
      <c r="M1" t="s">
        <v>2836</v>
      </c>
      <c r="N1" t="s">
        <v>2837</v>
      </c>
      <c r="R1" s="50" t="s">
        <v>200</v>
      </c>
      <c r="S1" s="50" t="s">
        <v>201</v>
      </c>
      <c r="T1" s="50" t="s">
        <v>202</v>
      </c>
      <c r="U1" s="50" t="s">
        <v>203</v>
      </c>
      <c r="V1" s="50" t="s">
        <v>204</v>
      </c>
      <c r="W1" s="50" t="s">
        <v>205</v>
      </c>
      <c r="X1" s="50" t="s">
        <v>206</v>
      </c>
    </row>
    <row r="2" spans="1:24" ht="63">
      <c r="A2" s="51" t="s">
        <v>6</v>
      </c>
      <c r="B2" s="52" t="s">
        <v>224</v>
      </c>
      <c r="C2">
        <v>1</v>
      </c>
      <c r="D2" t="str">
        <f>+VLOOKUP(AtecoCrisi[[#This Row],[COD. CRISI]],Tabella139[],2,0)</f>
        <v>A) Agricoltura silvicoltura e pesca</v>
      </c>
      <c r="E2" s="53">
        <f t="shared" ref="E2:E65" si="0">+VLOOKUP(C2,$R$2:$X$11,3,FALSE)</f>
        <v>2.8000000000000001E-2</v>
      </c>
      <c r="F2" s="53">
        <f t="shared" ref="F2:F65" si="1">+VLOOKUP(C2,$R$2:$X$11,4,FALSE)</f>
        <v>9.4E-2</v>
      </c>
      <c r="G2" s="53">
        <f t="shared" ref="G2:G65" si="2">+VLOOKUP(C2,$R$2:$X$11,5,FALSE)</f>
        <v>0.92100000000000004</v>
      </c>
      <c r="H2" s="53">
        <f t="shared" ref="H2:H65" si="3">+VLOOKUP(C2,$R$2:$X$11,6,FALSE)</f>
        <v>3.0000000000000001E-3</v>
      </c>
      <c r="I2" s="53">
        <f t="shared" ref="I2:I65" si="4">+VLOOKUP(C2,$R$2:$X$11,7,FALSE)</f>
        <v>5.6000000000000001E-2</v>
      </c>
      <c r="L2" t="s">
        <v>227</v>
      </c>
      <c r="M2" t="str">
        <f>+VLOOKUP(L2,A:B,2,0)</f>
        <v>Coltivazione di cereali (escluso il riso)</v>
      </c>
      <c r="N2" t="str">
        <f t="shared" ref="N2:N65" si="5">+VLOOKUP(L2,A:D,4,0)</f>
        <v>A) Agricoltura silvicoltura e pesca</v>
      </c>
      <c r="R2" s="50">
        <v>1</v>
      </c>
      <c r="S2" s="54" t="s">
        <v>207</v>
      </c>
      <c r="T2" s="55">
        <v>2.8000000000000001E-2</v>
      </c>
      <c r="U2" s="55">
        <v>9.4E-2</v>
      </c>
      <c r="V2" s="55">
        <v>0.92100000000000004</v>
      </c>
      <c r="W2" s="55">
        <v>3.0000000000000001E-3</v>
      </c>
      <c r="X2" s="55">
        <v>5.6000000000000001E-2</v>
      </c>
    </row>
    <row r="3" spans="1:24" ht="102">
      <c r="A3" s="56" t="s">
        <v>225</v>
      </c>
      <c r="B3" s="57" t="s">
        <v>226</v>
      </c>
      <c r="C3">
        <v>1</v>
      </c>
      <c r="D3" t="str">
        <f>+VLOOKUP(AtecoCrisi[[#This Row],[COD. CRISI]],Tabella139[],2,0)</f>
        <v>A) Agricoltura silvicoltura e pesca</v>
      </c>
      <c r="E3" s="53">
        <f t="shared" si="0"/>
        <v>2.8000000000000001E-2</v>
      </c>
      <c r="F3" s="53">
        <f t="shared" si="1"/>
        <v>9.4E-2</v>
      </c>
      <c r="G3" s="53">
        <f t="shared" si="2"/>
        <v>0.92100000000000004</v>
      </c>
      <c r="H3" s="53">
        <f t="shared" si="3"/>
        <v>3.0000000000000001E-3</v>
      </c>
      <c r="I3" s="53">
        <f t="shared" si="4"/>
        <v>5.6000000000000001E-2</v>
      </c>
      <c r="L3" t="s">
        <v>229</v>
      </c>
      <c r="M3" t="str">
        <f t="shared" ref="M3:M66" si="6">+VLOOKUP(L3,A:B,2,0)</f>
        <v>Coltivazione di semi oleosi</v>
      </c>
      <c r="N3" t="str">
        <f t="shared" si="5"/>
        <v>A) Agricoltura silvicoltura e pesca</v>
      </c>
      <c r="R3" s="50">
        <v>2</v>
      </c>
      <c r="S3" s="54" t="s">
        <v>208</v>
      </c>
      <c r="T3" s="55">
        <v>0.03</v>
      </c>
      <c r="U3" s="55">
        <v>7.5999999999999998E-2</v>
      </c>
      <c r="V3" s="55">
        <v>0.93700000000000006</v>
      </c>
      <c r="W3" s="55">
        <v>5.0000000000000001E-3</v>
      </c>
      <c r="X3" s="55">
        <v>4.9000000000000002E-2</v>
      </c>
    </row>
    <row r="4" spans="1:24" ht="90">
      <c r="A4" s="58" t="s">
        <v>227</v>
      </c>
      <c r="B4" s="59" t="s">
        <v>228</v>
      </c>
      <c r="C4">
        <v>1</v>
      </c>
      <c r="D4" t="str">
        <f>+VLOOKUP(AtecoCrisi[[#This Row],[COD. CRISI]],Tabella139[],2,0)</f>
        <v>A) Agricoltura silvicoltura e pesca</v>
      </c>
      <c r="E4" s="53">
        <f t="shared" si="0"/>
        <v>2.8000000000000001E-2</v>
      </c>
      <c r="F4" s="53">
        <f t="shared" si="1"/>
        <v>9.4E-2</v>
      </c>
      <c r="G4" s="53">
        <f t="shared" si="2"/>
        <v>0.92100000000000004</v>
      </c>
      <c r="H4" s="53">
        <f t="shared" si="3"/>
        <v>3.0000000000000001E-3</v>
      </c>
      <c r="I4" s="53">
        <f t="shared" si="4"/>
        <v>5.6000000000000001E-2</v>
      </c>
      <c r="L4" t="s">
        <v>231</v>
      </c>
      <c r="M4" t="str">
        <f t="shared" si="6"/>
        <v>Coltivazione di legumi da granella</v>
      </c>
      <c r="N4" t="str">
        <f t="shared" si="5"/>
        <v>A) Agricoltura silvicoltura e pesca</v>
      </c>
      <c r="R4" s="50">
        <v>3</v>
      </c>
      <c r="S4" s="54" t="s">
        <v>209</v>
      </c>
      <c r="T4" s="55">
        <v>2.5999999999999999E-2</v>
      </c>
      <c r="U4" s="55">
        <v>6.7000000000000004E-2</v>
      </c>
      <c r="V4" s="55">
        <v>0.84199999999999997</v>
      </c>
      <c r="W4" s="55">
        <v>1.9E-2</v>
      </c>
      <c r="X4" s="55">
        <v>6.5000000000000002E-2</v>
      </c>
    </row>
    <row r="5" spans="1:24" ht="45">
      <c r="A5" s="58" t="s">
        <v>229</v>
      </c>
      <c r="B5" s="59" t="s">
        <v>230</v>
      </c>
      <c r="C5">
        <v>1</v>
      </c>
      <c r="D5" t="str">
        <f>+VLOOKUP(AtecoCrisi[[#This Row],[COD. CRISI]],Tabella139[],2,0)</f>
        <v>A) Agricoltura silvicoltura e pesca</v>
      </c>
      <c r="E5" s="53">
        <f t="shared" si="0"/>
        <v>2.8000000000000001E-2</v>
      </c>
      <c r="F5" s="53">
        <f t="shared" si="1"/>
        <v>9.4E-2</v>
      </c>
      <c r="G5" s="53">
        <f t="shared" si="2"/>
        <v>0.92100000000000004</v>
      </c>
      <c r="H5" s="53">
        <f t="shared" si="3"/>
        <v>3.0000000000000001E-3</v>
      </c>
      <c r="I5" s="53">
        <f t="shared" si="4"/>
        <v>5.6000000000000001E-2</v>
      </c>
      <c r="L5" t="s">
        <v>233</v>
      </c>
      <c r="M5" t="str">
        <f t="shared" si="6"/>
        <v>Coltivazioni miste di cereali, legumi da granella e semi oleosi</v>
      </c>
      <c r="N5" t="str">
        <f t="shared" si="5"/>
        <v>A) Agricoltura silvicoltura e pesca</v>
      </c>
      <c r="R5" s="50">
        <v>4</v>
      </c>
      <c r="S5" s="54" t="s">
        <v>210</v>
      </c>
      <c r="T5" s="55">
        <v>3.7999999999999999E-2</v>
      </c>
      <c r="U5" s="55">
        <v>4.9000000000000002E-2</v>
      </c>
      <c r="V5" s="55">
        <v>1.08</v>
      </c>
      <c r="W5" s="55">
        <v>4.0000000000000001E-3</v>
      </c>
      <c r="X5" s="55">
        <v>3.7999999999999999E-2</v>
      </c>
    </row>
    <row r="6" spans="1:24" ht="75">
      <c r="A6" s="58" t="s">
        <v>231</v>
      </c>
      <c r="B6" s="59" t="s">
        <v>232</v>
      </c>
      <c r="C6">
        <v>1</v>
      </c>
      <c r="D6" t="str">
        <f>+VLOOKUP(AtecoCrisi[[#This Row],[COD. CRISI]],Tabella139[],2,0)</f>
        <v>A) Agricoltura silvicoltura e pesca</v>
      </c>
      <c r="E6" s="53">
        <f t="shared" si="0"/>
        <v>2.8000000000000001E-2</v>
      </c>
      <c r="F6" s="53">
        <f t="shared" si="1"/>
        <v>9.4E-2</v>
      </c>
      <c r="G6" s="53">
        <f t="shared" si="2"/>
        <v>0.92100000000000004</v>
      </c>
      <c r="H6" s="53">
        <f t="shared" si="3"/>
        <v>3.0000000000000001E-3</v>
      </c>
      <c r="I6" s="53">
        <f t="shared" si="4"/>
        <v>5.6000000000000001E-2</v>
      </c>
      <c r="L6" t="s">
        <v>235</v>
      </c>
      <c r="M6" t="str">
        <f t="shared" si="6"/>
        <v>Coltivazione di riso</v>
      </c>
      <c r="N6" t="str">
        <f t="shared" si="5"/>
        <v>A) Agricoltura silvicoltura e pesca</v>
      </c>
      <c r="R6" s="50">
        <v>5</v>
      </c>
      <c r="S6" s="54" t="s">
        <v>211</v>
      </c>
      <c r="T6" s="55">
        <v>2.8000000000000001E-2</v>
      </c>
      <c r="U6" s="55">
        <v>5.2999999999999999E-2</v>
      </c>
      <c r="V6" s="55">
        <v>1.0109999999999999</v>
      </c>
      <c r="W6" s="55">
        <v>1.4E-2</v>
      </c>
      <c r="X6" s="55">
        <v>5.2999999999999999E-2</v>
      </c>
    </row>
    <row r="7" spans="1:24" ht="105">
      <c r="A7" s="58" t="s">
        <v>233</v>
      </c>
      <c r="B7" s="59" t="s">
        <v>234</v>
      </c>
      <c r="C7">
        <v>1</v>
      </c>
      <c r="D7" t="str">
        <f>+VLOOKUP(AtecoCrisi[[#This Row],[COD. CRISI]],Tabella139[],2,0)</f>
        <v>A) Agricoltura silvicoltura e pesca</v>
      </c>
      <c r="E7" s="53">
        <f t="shared" si="0"/>
        <v>2.8000000000000001E-2</v>
      </c>
      <c r="F7" s="53">
        <f t="shared" si="1"/>
        <v>9.4E-2</v>
      </c>
      <c r="G7" s="53">
        <f t="shared" si="2"/>
        <v>0.92100000000000004</v>
      </c>
      <c r="H7" s="53">
        <f t="shared" si="3"/>
        <v>3.0000000000000001E-3</v>
      </c>
      <c r="I7" s="53">
        <f t="shared" si="4"/>
        <v>5.6000000000000001E-2</v>
      </c>
      <c r="L7" t="s">
        <v>237</v>
      </c>
      <c r="M7" t="str">
        <f t="shared" si="6"/>
        <v>Coltivazione di ortaggi (inclusi i meloni) in foglia, a fusto, a frutto, in radici, bulbi e tuberi in piena aria (escluse barbabietola da zucchero e patate)</v>
      </c>
      <c r="N7" t="str">
        <f t="shared" si="5"/>
        <v>A) Agricoltura silvicoltura e pesca</v>
      </c>
      <c r="R7" s="50">
        <v>6</v>
      </c>
      <c r="S7" s="54" t="s">
        <v>212</v>
      </c>
      <c r="T7" s="55">
        <v>2.1000000000000001E-2</v>
      </c>
      <c r="U7" s="55">
        <v>6.3E-2</v>
      </c>
      <c r="V7" s="55">
        <v>1.014</v>
      </c>
      <c r="W7" s="55">
        <v>6.0000000000000001E-3</v>
      </c>
      <c r="X7" s="55">
        <v>2.9000000000000001E-2</v>
      </c>
    </row>
    <row r="8" spans="1:24" ht="60">
      <c r="A8" s="58" t="s">
        <v>235</v>
      </c>
      <c r="B8" s="59" t="s">
        <v>236</v>
      </c>
      <c r="C8">
        <v>1</v>
      </c>
      <c r="D8" t="str">
        <f>+VLOOKUP(AtecoCrisi[[#This Row],[COD. CRISI]],Tabella139[],2,0)</f>
        <v>A) Agricoltura silvicoltura e pesca</v>
      </c>
      <c r="E8" s="53">
        <f t="shared" si="0"/>
        <v>2.8000000000000001E-2</v>
      </c>
      <c r="F8" s="53">
        <f t="shared" si="1"/>
        <v>9.4E-2</v>
      </c>
      <c r="G8" s="53">
        <f t="shared" si="2"/>
        <v>0.92100000000000004</v>
      </c>
      <c r="H8" s="53">
        <f t="shared" si="3"/>
        <v>3.0000000000000001E-3</v>
      </c>
      <c r="I8" s="53">
        <f t="shared" si="4"/>
        <v>5.6000000000000001E-2</v>
      </c>
      <c r="L8" t="s">
        <v>239</v>
      </c>
      <c r="M8" t="str">
        <f t="shared" si="6"/>
        <v>Coltivazione di ortaggi (inclusi i meloni) in foglia, a fusto, a frutto, in radici, bulbi e tuberi in colture protette (escluse barbabietola da zucchero e patate)</v>
      </c>
      <c r="N8" t="str">
        <f t="shared" si="5"/>
        <v>A) Agricoltura silvicoltura e pesca</v>
      </c>
      <c r="R8" s="50">
        <v>7</v>
      </c>
      <c r="S8" s="54" t="s">
        <v>213</v>
      </c>
      <c r="T8" s="55">
        <v>1.4999999999999999E-2</v>
      </c>
      <c r="U8" s="55">
        <v>4.2000000000000003E-2</v>
      </c>
      <c r="V8" s="55">
        <v>0.89800000000000002</v>
      </c>
      <c r="W8" s="55">
        <v>0.01</v>
      </c>
      <c r="X8" s="55">
        <v>7.8E-2</v>
      </c>
    </row>
    <row r="9" spans="1:24" ht="114.75">
      <c r="A9" s="58" t="s">
        <v>237</v>
      </c>
      <c r="B9" s="59" t="s">
        <v>238</v>
      </c>
      <c r="C9">
        <v>1</v>
      </c>
      <c r="D9" t="str">
        <f>+VLOOKUP(AtecoCrisi[[#This Row],[COD. CRISI]],Tabella139[],2,0)</f>
        <v>A) Agricoltura silvicoltura e pesca</v>
      </c>
      <c r="E9" s="53">
        <f t="shared" si="0"/>
        <v>2.8000000000000001E-2</v>
      </c>
      <c r="F9" s="53">
        <f t="shared" si="1"/>
        <v>9.4E-2</v>
      </c>
      <c r="G9" s="53">
        <f t="shared" si="2"/>
        <v>0.92100000000000004</v>
      </c>
      <c r="H9" s="53">
        <f t="shared" si="3"/>
        <v>3.0000000000000001E-3</v>
      </c>
      <c r="I9" s="53">
        <f t="shared" si="4"/>
        <v>5.6000000000000001E-2</v>
      </c>
      <c r="L9" t="s">
        <v>241</v>
      </c>
      <c r="M9" t="str">
        <f t="shared" si="6"/>
        <v>Coltivazione di barbabietola da zucchero</v>
      </c>
      <c r="N9" t="str">
        <f t="shared" si="5"/>
        <v>A) Agricoltura silvicoltura e pesca</v>
      </c>
      <c r="R9" s="50">
        <v>8</v>
      </c>
      <c r="S9" s="54" t="s">
        <v>214</v>
      </c>
      <c r="T9" s="55">
        <v>1.4999999999999999E-2</v>
      </c>
      <c r="U9" s="55">
        <v>4.1000000000000002E-2</v>
      </c>
      <c r="V9" s="55">
        <v>0.86</v>
      </c>
      <c r="W9" s="55">
        <v>1.4E-2</v>
      </c>
      <c r="X9" s="55">
        <v>0.10199999999999999</v>
      </c>
    </row>
    <row r="10" spans="1:24" ht="114.75">
      <c r="A10" s="58" t="s">
        <v>239</v>
      </c>
      <c r="B10" s="59" t="s">
        <v>240</v>
      </c>
      <c r="C10">
        <v>1</v>
      </c>
      <c r="D10" t="str">
        <f>+VLOOKUP(AtecoCrisi[[#This Row],[COD. CRISI]],Tabella139[],2,0)</f>
        <v>A) Agricoltura silvicoltura e pesca</v>
      </c>
      <c r="E10" s="53">
        <f t="shared" si="0"/>
        <v>2.8000000000000001E-2</v>
      </c>
      <c r="F10" s="53">
        <f t="shared" si="1"/>
        <v>9.4E-2</v>
      </c>
      <c r="G10" s="53">
        <f t="shared" si="2"/>
        <v>0.92100000000000004</v>
      </c>
      <c r="H10" s="53">
        <f t="shared" si="3"/>
        <v>3.0000000000000001E-3</v>
      </c>
      <c r="I10" s="53">
        <f t="shared" si="4"/>
        <v>5.6000000000000001E-2</v>
      </c>
      <c r="L10" t="s">
        <v>243</v>
      </c>
      <c r="M10" t="str">
        <f t="shared" si="6"/>
        <v>Coltivazione di patate</v>
      </c>
      <c r="N10" t="str">
        <f t="shared" si="5"/>
        <v>A) Agricoltura silvicoltura e pesca</v>
      </c>
      <c r="R10" s="50">
        <v>9</v>
      </c>
      <c r="S10" s="54" t="s">
        <v>215</v>
      </c>
      <c r="T10" s="55">
        <v>1.7999999999999999E-2</v>
      </c>
      <c r="U10" s="55">
        <v>5.1999999999999998E-2</v>
      </c>
      <c r="V10" s="55">
        <v>0.95399999999999996</v>
      </c>
      <c r="W10" s="55">
        <v>1.7000000000000001E-2</v>
      </c>
      <c r="X10" s="55">
        <v>0.11899999999999999</v>
      </c>
    </row>
    <row r="11" spans="1:24" ht="38.25">
      <c r="A11" s="58" t="s">
        <v>241</v>
      </c>
      <c r="B11" s="59" t="s">
        <v>242</v>
      </c>
      <c r="C11">
        <v>1</v>
      </c>
      <c r="D11" t="str">
        <f>+VLOOKUP(AtecoCrisi[[#This Row],[COD. CRISI]],Tabella139[],2,0)</f>
        <v>A) Agricoltura silvicoltura e pesca</v>
      </c>
      <c r="E11" s="53">
        <f t="shared" si="0"/>
        <v>2.8000000000000001E-2</v>
      </c>
      <c r="F11" s="53">
        <f t="shared" si="1"/>
        <v>9.4E-2</v>
      </c>
      <c r="G11" s="53">
        <f t="shared" si="2"/>
        <v>0.92100000000000004</v>
      </c>
      <c r="H11" s="53">
        <f t="shared" si="3"/>
        <v>3.0000000000000001E-3</v>
      </c>
      <c r="I11" s="53">
        <f t="shared" si="4"/>
        <v>5.6000000000000001E-2</v>
      </c>
      <c r="L11" t="s">
        <v>245</v>
      </c>
      <c r="M11" t="str">
        <f t="shared" si="6"/>
        <v>Coltivazione di canna da zucchero</v>
      </c>
      <c r="N11" t="str">
        <f t="shared" si="5"/>
        <v>A) Agricoltura silvicoltura e pesca</v>
      </c>
      <c r="R11" s="50">
        <v>10</v>
      </c>
      <c r="S11" s="54" t="s">
        <v>216</v>
      </c>
      <c r="T11" s="55">
        <v>2.7E-2</v>
      </c>
      <c r="U11" s="55">
        <v>2.3E-2</v>
      </c>
      <c r="V11" s="55">
        <v>0.69799999999999995</v>
      </c>
      <c r="W11" s="55">
        <v>5.0000000000000001E-3</v>
      </c>
      <c r="X11" s="55">
        <v>0.14599999999999999</v>
      </c>
    </row>
    <row r="12" spans="1:24" ht="25.5">
      <c r="A12" s="58" t="s">
        <v>243</v>
      </c>
      <c r="B12" s="59" t="s">
        <v>244</v>
      </c>
      <c r="C12">
        <v>1</v>
      </c>
      <c r="D12" t="str">
        <f>+VLOOKUP(AtecoCrisi[[#This Row],[COD. CRISI]],Tabella139[],2,0)</f>
        <v>A) Agricoltura silvicoltura e pesca</v>
      </c>
      <c r="E12" s="53">
        <f t="shared" si="0"/>
        <v>2.8000000000000001E-2</v>
      </c>
      <c r="F12" s="53">
        <f t="shared" si="1"/>
        <v>9.4E-2</v>
      </c>
      <c r="G12" s="53">
        <f t="shared" si="2"/>
        <v>0.92100000000000004</v>
      </c>
      <c r="H12" s="53">
        <f t="shared" si="3"/>
        <v>3.0000000000000001E-3</v>
      </c>
      <c r="I12" s="53">
        <f t="shared" si="4"/>
        <v>5.6000000000000001E-2</v>
      </c>
      <c r="L12" t="s">
        <v>247</v>
      </c>
      <c r="M12" t="str">
        <f t="shared" si="6"/>
        <v>Coltivazione di tabacco</v>
      </c>
      <c r="N12" t="str">
        <f t="shared" si="5"/>
        <v>A) Agricoltura silvicoltura e pesca</v>
      </c>
    </row>
    <row r="13" spans="1:24" ht="25.5">
      <c r="A13" s="58" t="s">
        <v>245</v>
      </c>
      <c r="B13" s="59" t="s">
        <v>246</v>
      </c>
      <c r="C13">
        <v>1</v>
      </c>
      <c r="D13" t="str">
        <f>+VLOOKUP(AtecoCrisi[[#This Row],[COD. CRISI]],Tabella139[],2,0)</f>
        <v>A) Agricoltura silvicoltura e pesca</v>
      </c>
      <c r="E13" s="53">
        <f t="shared" si="0"/>
        <v>2.8000000000000001E-2</v>
      </c>
      <c r="F13" s="53">
        <f t="shared" si="1"/>
        <v>9.4E-2</v>
      </c>
      <c r="G13" s="53">
        <f t="shared" si="2"/>
        <v>0.92100000000000004</v>
      </c>
      <c r="H13" s="53">
        <f t="shared" si="3"/>
        <v>3.0000000000000001E-3</v>
      </c>
      <c r="I13" s="53">
        <f t="shared" si="4"/>
        <v>5.6000000000000001E-2</v>
      </c>
      <c r="L13" t="s">
        <v>249</v>
      </c>
      <c r="M13" t="str">
        <f t="shared" si="6"/>
        <v>Coltivazione di piante per la preparazione di fibre tessili</v>
      </c>
      <c r="N13" t="str">
        <f t="shared" si="5"/>
        <v>A) Agricoltura silvicoltura e pesca</v>
      </c>
    </row>
    <row r="14" spans="1:24" ht="25.5">
      <c r="A14" s="58" t="s">
        <v>247</v>
      </c>
      <c r="B14" s="59" t="s">
        <v>248</v>
      </c>
      <c r="C14">
        <v>1</v>
      </c>
      <c r="D14" t="str">
        <f>+VLOOKUP(AtecoCrisi[[#This Row],[COD. CRISI]],Tabella139[],2,0)</f>
        <v>A) Agricoltura silvicoltura e pesca</v>
      </c>
      <c r="E14" s="53">
        <f t="shared" si="0"/>
        <v>2.8000000000000001E-2</v>
      </c>
      <c r="F14" s="53">
        <f t="shared" si="1"/>
        <v>9.4E-2</v>
      </c>
      <c r="G14" s="53">
        <f t="shared" si="2"/>
        <v>0.92100000000000004</v>
      </c>
      <c r="H14" s="53">
        <f t="shared" si="3"/>
        <v>3.0000000000000001E-3</v>
      </c>
      <c r="I14" s="53">
        <f t="shared" si="4"/>
        <v>5.6000000000000001E-2</v>
      </c>
      <c r="L14" t="s">
        <v>251</v>
      </c>
      <c r="M14" t="str">
        <f t="shared" si="6"/>
        <v>Coltivazione di fiori in piena aria</v>
      </c>
      <c r="N14" t="str">
        <f t="shared" si="5"/>
        <v>A) Agricoltura silvicoltura e pesca</v>
      </c>
    </row>
    <row r="15" spans="1:24" ht="51">
      <c r="A15" s="58" t="s">
        <v>249</v>
      </c>
      <c r="B15" s="59" t="s">
        <v>250</v>
      </c>
      <c r="C15">
        <v>1</v>
      </c>
      <c r="D15" t="str">
        <f>+VLOOKUP(AtecoCrisi[[#This Row],[COD. CRISI]],Tabella139[],2,0)</f>
        <v>A) Agricoltura silvicoltura e pesca</v>
      </c>
      <c r="E15" s="53">
        <f t="shared" si="0"/>
        <v>2.8000000000000001E-2</v>
      </c>
      <c r="F15" s="53">
        <f t="shared" si="1"/>
        <v>9.4E-2</v>
      </c>
      <c r="G15" s="53">
        <f t="shared" si="2"/>
        <v>0.92100000000000004</v>
      </c>
      <c r="H15" s="53">
        <f t="shared" si="3"/>
        <v>3.0000000000000001E-3</v>
      </c>
      <c r="I15" s="53">
        <f t="shared" si="4"/>
        <v>5.6000000000000001E-2</v>
      </c>
      <c r="L15" t="s">
        <v>253</v>
      </c>
      <c r="M15" t="str">
        <f t="shared" si="6"/>
        <v>Coltivazione di fiori in colture protette</v>
      </c>
      <c r="N15" t="str">
        <f t="shared" si="5"/>
        <v>A) Agricoltura silvicoltura e pesca</v>
      </c>
    </row>
    <row r="16" spans="1:24" ht="25.5">
      <c r="A16" s="58" t="s">
        <v>251</v>
      </c>
      <c r="B16" s="59" t="s">
        <v>252</v>
      </c>
      <c r="C16">
        <v>1</v>
      </c>
      <c r="D16" t="str">
        <f>+VLOOKUP(AtecoCrisi[[#This Row],[COD. CRISI]],Tabella139[],2,0)</f>
        <v>A) Agricoltura silvicoltura e pesca</v>
      </c>
      <c r="E16" s="53">
        <f t="shared" si="0"/>
        <v>2.8000000000000001E-2</v>
      </c>
      <c r="F16" s="53">
        <f t="shared" si="1"/>
        <v>9.4E-2</v>
      </c>
      <c r="G16" s="53">
        <f t="shared" si="2"/>
        <v>0.92100000000000004</v>
      </c>
      <c r="H16" s="53">
        <f t="shared" si="3"/>
        <v>3.0000000000000001E-3</v>
      </c>
      <c r="I16" s="53">
        <f t="shared" si="4"/>
        <v>5.6000000000000001E-2</v>
      </c>
      <c r="L16" t="s">
        <v>255</v>
      </c>
      <c r="M16" t="str">
        <f t="shared" si="6"/>
        <v>Coltivazione di piante da foraggio e di altre colture non permanenti</v>
      </c>
      <c r="N16" t="str">
        <f t="shared" si="5"/>
        <v>A) Agricoltura silvicoltura e pesca</v>
      </c>
    </row>
    <row r="17" spans="1:14" ht="25.5">
      <c r="A17" s="58" t="s">
        <v>253</v>
      </c>
      <c r="B17" s="59" t="s">
        <v>254</v>
      </c>
      <c r="C17">
        <v>1</v>
      </c>
      <c r="D17" t="str">
        <f>+VLOOKUP(AtecoCrisi[[#This Row],[COD. CRISI]],Tabella139[],2,0)</f>
        <v>A) Agricoltura silvicoltura e pesca</v>
      </c>
      <c r="E17" s="53">
        <f t="shared" si="0"/>
        <v>2.8000000000000001E-2</v>
      </c>
      <c r="F17" s="53">
        <f t="shared" si="1"/>
        <v>9.4E-2</v>
      </c>
      <c r="G17" s="53">
        <f t="shared" si="2"/>
        <v>0.92100000000000004</v>
      </c>
      <c r="H17" s="53">
        <f t="shared" si="3"/>
        <v>3.0000000000000001E-3</v>
      </c>
      <c r="I17" s="53">
        <f t="shared" si="4"/>
        <v>5.6000000000000001E-2</v>
      </c>
      <c r="L17" t="s">
        <v>257</v>
      </c>
      <c r="M17" t="str">
        <f t="shared" si="6"/>
        <v>Coltivazione di uva</v>
      </c>
      <c r="N17" t="str">
        <f t="shared" si="5"/>
        <v>A) Agricoltura silvicoltura e pesca</v>
      </c>
    </row>
    <row r="18" spans="1:14" ht="51">
      <c r="A18" s="58" t="s">
        <v>255</v>
      </c>
      <c r="B18" s="59" t="s">
        <v>256</v>
      </c>
      <c r="C18">
        <v>1</v>
      </c>
      <c r="D18" t="str">
        <f>+VLOOKUP(AtecoCrisi[[#This Row],[COD. CRISI]],Tabella139[],2,0)</f>
        <v>A) Agricoltura silvicoltura e pesca</v>
      </c>
      <c r="E18" s="53">
        <f t="shared" si="0"/>
        <v>2.8000000000000001E-2</v>
      </c>
      <c r="F18" s="53">
        <f t="shared" si="1"/>
        <v>9.4E-2</v>
      </c>
      <c r="G18" s="53">
        <f t="shared" si="2"/>
        <v>0.92100000000000004</v>
      </c>
      <c r="H18" s="53">
        <f t="shared" si="3"/>
        <v>3.0000000000000001E-3</v>
      </c>
      <c r="I18" s="53">
        <f t="shared" si="4"/>
        <v>5.6000000000000001E-2</v>
      </c>
      <c r="L18" t="s">
        <v>259</v>
      </c>
      <c r="M18" t="str">
        <f t="shared" si="6"/>
        <v>Coltivazione di frutta di origine tropicale e subtropicale</v>
      </c>
      <c r="N18" t="str">
        <f t="shared" si="5"/>
        <v>A) Agricoltura silvicoltura e pesca</v>
      </c>
    </row>
    <row r="19" spans="1:14">
      <c r="A19" s="58" t="s">
        <v>257</v>
      </c>
      <c r="B19" s="59" t="s">
        <v>258</v>
      </c>
      <c r="C19">
        <v>1</v>
      </c>
      <c r="D19" t="str">
        <f>+VLOOKUP(AtecoCrisi[[#This Row],[COD. CRISI]],Tabella139[],2,0)</f>
        <v>A) Agricoltura silvicoltura e pesca</v>
      </c>
      <c r="E19" s="53">
        <f t="shared" si="0"/>
        <v>2.8000000000000001E-2</v>
      </c>
      <c r="F19" s="53">
        <f t="shared" si="1"/>
        <v>9.4E-2</v>
      </c>
      <c r="G19" s="53">
        <f t="shared" si="2"/>
        <v>0.92100000000000004</v>
      </c>
      <c r="H19" s="53">
        <f t="shared" si="3"/>
        <v>3.0000000000000001E-3</v>
      </c>
      <c r="I19" s="53">
        <f t="shared" si="4"/>
        <v>5.6000000000000001E-2</v>
      </c>
      <c r="L19" t="s">
        <v>261</v>
      </c>
      <c r="M19" t="str">
        <f t="shared" si="6"/>
        <v>Coltivazione di agrumi</v>
      </c>
      <c r="N19" t="str">
        <f t="shared" si="5"/>
        <v>A) Agricoltura silvicoltura e pesca</v>
      </c>
    </row>
    <row r="20" spans="1:14" ht="51">
      <c r="A20" s="58" t="s">
        <v>259</v>
      </c>
      <c r="B20" s="59" t="s">
        <v>260</v>
      </c>
      <c r="C20">
        <v>1</v>
      </c>
      <c r="D20" t="str">
        <f>+VLOOKUP(AtecoCrisi[[#This Row],[COD. CRISI]],Tabella139[],2,0)</f>
        <v>A) Agricoltura silvicoltura e pesca</v>
      </c>
      <c r="E20" s="53">
        <f t="shared" si="0"/>
        <v>2.8000000000000001E-2</v>
      </c>
      <c r="F20" s="53">
        <f t="shared" si="1"/>
        <v>9.4E-2</v>
      </c>
      <c r="G20" s="53">
        <f t="shared" si="2"/>
        <v>0.92100000000000004</v>
      </c>
      <c r="H20" s="53">
        <f t="shared" si="3"/>
        <v>3.0000000000000001E-3</v>
      </c>
      <c r="I20" s="53">
        <f t="shared" si="4"/>
        <v>5.6000000000000001E-2</v>
      </c>
      <c r="L20" t="s">
        <v>263</v>
      </c>
      <c r="M20" t="str">
        <f t="shared" si="6"/>
        <v>Coltivazione di pomacee e frutta a nocciolo</v>
      </c>
      <c r="N20" t="str">
        <f t="shared" si="5"/>
        <v>A) Agricoltura silvicoltura e pesca</v>
      </c>
    </row>
    <row r="21" spans="1:14" ht="25.5">
      <c r="A21" s="58" t="s">
        <v>261</v>
      </c>
      <c r="B21" s="59" t="s">
        <v>262</v>
      </c>
      <c r="C21">
        <v>1</v>
      </c>
      <c r="D21" t="str">
        <f>+VLOOKUP(AtecoCrisi[[#This Row],[COD. CRISI]],Tabella139[],2,0)</f>
        <v>A) Agricoltura silvicoltura e pesca</v>
      </c>
      <c r="E21" s="53">
        <f t="shared" si="0"/>
        <v>2.8000000000000001E-2</v>
      </c>
      <c r="F21" s="53">
        <f t="shared" si="1"/>
        <v>9.4E-2</v>
      </c>
      <c r="G21" s="53">
        <f t="shared" si="2"/>
        <v>0.92100000000000004</v>
      </c>
      <c r="H21" s="53">
        <f t="shared" si="3"/>
        <v>3.0000000000000001E-3</v>
      </c>
      <c r="I21" s="53">
        <f t="shared" si="4"/>
        <v>5.6000000000000001E-2</v>
      </c>
      <c r="L21" t="s">
        <v>265</v>
      </c>
      <c r="M21" t="str">
        <f t="shared" si="6"/>
        <v>Coltivazione di altri alberi da frutta, frutti di bosco e frutta in guscio</v>
      </c>
      <c r="N21" t="str">
        <f t="shared" si="5"/>
        <v>A) Agricoltura silvicoltura e pesca</v>
      </c>
    </row>
    <row r="22" spans="1:14" ht="38.25">
      <c r="A22" s="58" t="s">
        <v>263</v>
      </c>
      <c r="B22" s="59" t="s">
        <v>264</v>
      </c>
      <c r="C22">
        <v>1</v>
      </c>
      <c r="D22" t="str">
        <f>+VLOOKUP(AtecoCrisi[[#This Row],[COD. CRISI]],Tabella139[],2,0)</f>
        <v>A) Agricoltura silvicoltura e pesca</v>
      </c>
      <c r="E22" s="53">
        <f t="shared" si="0"/>
        <v>2.8000000000000001E-2</v>
      </c>
      <c r="F22" s="53">
        <f t="shared" si="1"/>
        <v>9.4E-2</v>
      </c>
      <c r="G22" s="53">
        <f t="shared" si="2"/>
        <v>0.92100000000000004</v>
      </c>
      <c r="H22" s="53">
        <f t="shared" si="3"/>
        <v>3.0000000000000001E-3</v>
      </c>
      <c r="I22" s="53">
        <f t="shared" si="4"/>
        <v>5.6000000000000001E-2</v>
      </c>
      <c r="L22" t="s">
        <v>267</v>
      </c>
      <c r="M22" t="str">
        <f t="shared" si="6"/>
        <v>Coltivazione di frutti oleosi</v>
      </c>
      <c r="N22" t="str">
        <f t="shared" si="5"/>
        <v>A) Agricoltura silvicoltura e pesca</v>
      </c>
    </row>
    <row r="23" spans="1:14" ht="51">
      <c r="A23" s="58" t="s">
        <v>265</v>
      </c>
      <c r="B23" s="59" t="s">
        <v>266</v>
      </c>
      <c r="C23">
        <v>1</v>
      </c>
      <c r="D23" t="str">
        <f>+VLOOKUP(AtecoCrisi[[#This Row],[COD. CRISI]],Tabella139[],2,0)</f>
        <v>A) Agricoltura silvicoltura e pesca</v>
      </c>
      <c r="E23" s="53">
        <f t="shared" si="0"/>
        <v>2.8000000000000001E-2</v>
      </c>
      <c r="F23" s="53">
        <f t="shared" si="1"/>
        <v>9.4E-2</v>
      </c>
      <c r="G23" s="53">
        <f t="shared" si="2"/>
        <v>0.92100000000000004</v>
      </c>
      <c r="H23" s="53">
        <f t="shared" si="3"/>
        <v>3.0000000000000001E-3</v>
      </c>
      <c r="I23" s="53">
        <f t="shared" si="4"/>
        <v>5.6000000000000001E-2</v>
      </c>
      <c r="L23" t="s">
        <v>269</v>
      </c>
      <c r="M23" t="str">
        <f t="shared" si="6"/>
        <v>Coltivazione di piante per la produzione di bevande</v>
      </c>
      <c r="N23" t="str">
        <f t="shared" si="5"/>
        <v>A) Agricoltura silvicoltura e pesca</v>
      </c>
    </row>
    <row r="24" spans="1:14" ht="25.5">
      <c r="A24" s="58" t="s">
        <v>267</v>
      </c>
      <c r="B24" s="59" t="s">
        <v>268</v>
      </c>
      <c r="C24">
        <v>1</v>
      </c>
      <c r="D24" t="str">
        <f>+VLOOKUP(AtecoCrisi[[#This Row],[COD. CRISI]],Tabella139[],2,0)</f>
        <v>A) Agricoltura silvicoltura e pesca</v>
      </c>
      <c r="E24" s="53">
        <f t="shared" si="0"/>
        <v>2.8000000000000001E-2</v>
      </c>
      <c r="F24" s="53">
        <f t="shared" si="1"/>
        <v>9.4E-2</v>
      </c>
      <c r="G24" s="53">
        <f t="shared" si="2"/>
        <v>0.92100000000000004</v>
      </c>
      <c r="H24" s="53">
        <f t="shared" si="3"/>
        <v>3.0000000000000001E-3</v>
      </c>
      <c r="I24" s="53">
        <f t="shared" si="4"/>
        <v>5.6000000000000001E-2</v>
      </c>
      <c r="L24" t="s">
        <v>271</v>
      </c>
      <c r="M24" t="str">
        <f t="shared" si="6"/>
        <v>Coltivazione di spezie, piante aromatiche e farmaceutiche</v>
      </c>
      <c r="N24" t="str">
        <f t="shared" si="5"/>
        <v>A) Agricoltura silvicoltura e pesca</v>
      </c>
    </row>
    <row r="25" spans="1:14" ht="51">
      <c r="A25" s="58" t="s">
        <v>269</v>
      </c>
      <c r="B25" s="59" t="s">
        <v>270</v>
      </c>
      <c r="C25">
        <v>1</v>
      </c>
      <c r="D25" t="str">
        <f>+VLOOKUP(AtecoCrisi[[#This Row],[COD. CRISI]],Tabella139[],2,0)</f>
        <v>A) Agricoltura silvicoltura e pesca</v>
      </c>
      <c r="E25" s="53">
        <f t="shared" si="0"/>
        <v>2.8000000000000001E-2</v>
      </c>
      <c r="F25" s="53">
        <f t="shared" si="1"/>
        <v>9.4E-2</v>
      </c>
      <c r="G25" s="53">
        <f t="shared" si="2"/>
        <v>0.92100000000000004</v>
      </c>
      <c r="H25" s="53">
        <f t="shared" si="3"/>
        <v>3.0000000000000001E-3</v>
      </c>
      <c r="I25" s="53">
        <f t="shared" si="4"/>
        <v>5.6000000000000001E-2</v>
      </c>
      <c r="L25" t="s">
        <v>273</v>
      </c>
      <c r="M25" t="str">
        <f t="shared" si="6"/>
        <v>Coltivazione di altre colture permanenti (inclusi alberi di Natale)</v>
      </c>
      <c r="N25" t="str">
        <f t="shared" si="5"/>
        <v>A) Agricoltura silvicoltura e pesca</v>
      </c>
    </row>
    <row r="26" spans="1:14" ht="51">
      <c r="A26" s="58" t="s">
        <v>271</v>
      </c>
      <c r="B26" s="59" t="s">
        <v>272</v>
      </c>
      <c r="C26">
        <v>1</v>
      </c>
      <c r="D26" t="str">
        <f>+VLOOKUP(AtecoCrisi[[#This Row],[COD. CRISI]],Tabella139[],2,0)</f>
        <v>A) Agricoltura silvicoltura e pesca</v>
      </c>
      <c r="E26" s="53">
        <f t="shared" si="0"/>
        <v>2.8000000000000001E-2</v>
      </c>
      <c r="F26" s="53">
        <f t="shared" si="1"/>
        <v>9.4E-2</v>
      </c>
      <c r="G26" s="53">
        <f t="shared" si="2"/>
        <v>0.92100000000000004</v>
      </c>
      <c r="H26" s="53">
        <f t="shared" si="3"/>
        <v>3.0000000000000001E-3</v>
      </c>
      <c r="I26" s="53">
        <f t="shared" si="4"/>
        <v>5.6000000000000001E-2</v>
      </c>
      <c r="L26" t="s">
        <v>275</v>
      </c>
      <c r="M26" t="str">
        <f t="shared" si="6"/>
        <v>Riproduzione delle piante</v>
      </c>
      <c r="N26" t="str">
        <f t="shared" si="5"/>
        <v>A) Agricoltura silvicoltura e pesca</v>
      </c>
    </row>
    <row r="27" spans="1:14" ht="51">
      <c r="A27" s="58" t="s">
        <v>273</v>
      </c>
      <c r="B27" s="59" t="s">
        <v>274</v>
      </c>
      <c r="C27">
        <v>1</v>
      </c>
      <c r="D27" t="str">
        <f>+VLOOKUP(AtecoCrisi[[#This Row],[COD. CRISI]],Tabella139[],2,0)</f>
        <v>A) Agricoltura silvicoltura e pesca</v>
      </c>
      <c r="E27" s="53">
        <f t="shared" si="0"/>
        <v>2.8000000000000001E-2</v>
      </c>
      <c r="F27" s="53">
        <f t="shared" si="1"/>
        <v>9.4E-2</v>
      </c>
      <c r="G27" s="53">
        <f t="shared" si="2"/>
        <v>0.92100000000000004</v>
      </c>
      <c r="H27" s="53">
        <f t="shared" si="3"/>
        <v>3.0000000000000001E-3</v>
      </c>
      <c r="I27" s="53">
        <f t="shared" si="4"/>
        <v>5.6000000000000001E-2</v>
      </c>
      <c r="L27" t="s">
        <v>277</v>
      </c>
      <c r="M27" t="str">
        <f t="shared" si="6"/>
        <v>Allevamento di bovini e bufale da latte, produzione di latte crudo</v>
      </c>
      <c r="N27" t="str">
        <f t="shared" si="5"/>
        <v>A) Agricoltura silvicoltura e pesca</v>
      </c>
    </row>
    <row r="28" spans="1:14" ht="25.5">
      <c r="A28" s="58" t="s">
        <v>275</v>
      </c>
      <c r="B28" s="59" t="s">
        <v>276</v>
      </c>
      <c r="C28">
        <v>1</v>
      </c>
      <c r="D28" t="str">
        <f>+VLOOKUP(AtecoCrisi[[#This Row],[COD. CRISI]],Tabella139[],2,0)</f>
        <v>A) Agricoltura silvicoltura e pesca</v>
      </c>
      <c r="E28" s="53">
        <f t="shared" si="0"/>
        <v>2.8000000000000001E-2</v>
      </c>
      <c r="F28" s="53">
        <f t="shared" si="1"/>
        <v>9.4E-2</v>
      </c>
      <c r="G28" s="53">
        <f t="shared" si="2"/>
        <v>0.92100000000000004</v>
      </c>
      <c r="H28" s="53">
        <f t="shared" si="3"/>
        <v>3.0000000000000001E-3</v>
      </c>
      <c r="I28" s="53">
        <f t="shared" si="4"/>
        <v>5.6000000000000001E-2</v>
      </c>
      <c r="L28" t="s">
        <v>279</v>
      </c>
      <c r="M28" t="str">
        <f t="shared" si="6"/>
        <v>Allevamento di bovini e bufalini da carne</v>
      </c>
      <c r="N28" t="str">
        <f t="shared" si="5"/>
        <v>A) Agricoltura silvicoltura e pesca</v>
      </c>
    </row>
    <row r="29" spans="1:14" ht="51">
      <c r="A29" s="58" t="s">
        <v>277</v>
      </c>
      <c r="B29" s="59" t="s">
        <v>278</v>
      </c>
      <c r="C29">
        <v>1</v>
      </c>
      <c r="D29" t="str">
        <f>+VLOOKUP(AtecoCrisi[[#This Row],[COD. CRISI]],Tabella139[],2,0)</f>
        <v>A) Agricoltura silvicoltura e pesca</v>
      </c>
      <c r="E29" s="53">
        <f t="shared" si="0"/>
        <v>2.8000000000000001E-2</v>
      </c>
      <c r="F29" s="53">
        <f t="shared" si="1"/>
        <v>9.4E-2</v>
      </c>
      <c r="G29" s="53">
        <f t="shared" si="2"/>
        <v>0.92100000000000004</v>
      </c>
      <c r="H29" s="53">
        <f t="shared" si="3"/>
        <v>3.0000000000000001E-3</v>
      </c>
      <c r="I29" s="53">
        <f t="shared" si="4"/>
        <v>5.6000000000000001E-2</v>
      </c>
      <c r="L29" t="s">
        <v>281</v>
      </c>
      <c r="M29" t="str">
        <f t="shared" si="6"/>
        <v>Allevamento di cavalli e altri equini</v>
      </c>
      <c r="N29" t="str">
        <f t="shared" si="5"/>
        <v>A) Agricoltura silvicoltura e pesca</v>
      </c>
    </row>
    <row r="30" spans="1:14" ht="38.25">
      <c r="A30" s="58" t="s">
        <v>279</v>
      </c>
      <c r="B30" s="59" t="s">
        <v>280</v>
      </c>
      <c r="C30">
        <v>1</v>
      </c>
      <c r="D30" t="str">
        <f>+VLOOKUP(AtecoCrisi[[#This Row],[COD. CRISI]],Tabella139[],2,0)</f>
        <v>A) Agricoltura silvicoltura e pesca</v>
      </c>
      <c r="E30" s="53">
        <f t="shared" si="0"/>
        <v>2.8000000000000001E-2</v>
      </c>
      <c r="F30" s="53">
        <f t="shared" si="1"/>
        <v>9.4E-2</v>
      </c>
      <c r="G30" s="53">
        <f t="shared" si="2"/>
        <v>0.92100000000000004</v>
      </c>
      <c r="H30" s="53">
        <f t="shared" si="3"/>
        <v>3.0000000000000001E-3</v>
      </c>
      <c r="I30" s="53">
        <f t="shared" si="4"/>
        <v>5.6000000000000001E-2</v>
      </c>
      <c r="L30" t="s">
        <v>283</v>
      </c>
      <c r="M30" t="str">
        <f t="shared" si="6"/>
        <v>Allevamento di cammelli e camelidi</v>
      </c>
      <c r="N30" t="str">
        <f t="shared" si="5"/>
        <v>A) Agricoltura silvicoltura e pesca</v>
      </c>
    </row>
    <row r="31" spans="1:14" ht="25.5">
      <c r="A31" s="58" t="s">
        <v>281</v>
      </c>
      <c r="B31" s="59" t="s">
        <v>282</v>
      </c>
      <c r="C31">
        <v>1</v>
      </c>
      <c r="D31" t="str">
        <f>+VLOOKUP(AtecoCrisi[[#This Row],[COD. CRISI]],Tabella139[],2,0)</f>
        <v>A) Agricoltura silvicoltura e pesca</v>
      </c>
      <c r="E31" s="53">
        <f t="shared" si="0"/>
        <v>2.8000000000000001E-2</v>
      </c>
      <c r="F31" s="53">
        <f t="shared" si="1"/>
        <v>9.4E-2</v>
      </c>
      <c r="G31" s="53">
        <f t="shared" si="2"/>
        <v>0.92100000000000004</v>
      </c>
      <c r="H31" s="53">
        <f t="shared" si="3"/>
        <v>3.0000000000000001E-3</v>
      </c>
      <c r="I31" s="53">
        <f t="shared" si="4"/>
        <v>5.6000000000000001E-2</v>
      </c>
      <c r="L31" t="s">
        <v>285</v>
      </c>
      <c r="M31" t="str">
        <f t="shared" si="6"/>
        <v>Allevamento di ovini e caprini</v>
      </c>
      <c r="N31" t="str">
        <f t="shared" si="5"/>
        <v>A) Agricoltura silvicoltura e pesca</v>
      </c>
    </row>
    <row r="32" spans="1:14" ht="38.25">
      <c r="A32" s="58" t="s">
        <v>283</v>
      </c>
      <c r="B32" s="59" t="s">
        <v>284</v>
      </c>
      <c r="C32">
        <v>1</v>
      </c>
      <c r="D32" t="str">
        <f>+VLOOKUP(AtecoCrisi[[#This Row],[COD. CRISI]],Tabella139[],2,0)</f>
        <v>A) Agricoltura silvicoltura e pesca</v>
      </c>
      <c r="E32" s="53">
        <f t="shared" si="0"/>
        <v>2.8000000000000001E-2</v>
      </c>
      <c r="F32" s="53">
        <f t="shared" si="1"/>
        <v>9.4E-2</v>
      </c>
      <c r="G32" s="53">
        <f t="shared" si="2"/>
        <v>0.92100000000000004</v>
      </c>
      <c r="H32" s="53">
        <f t="shared" si="3"/>
        <v>3.0000000000000001E-3</v>
      </c>
      <c r="I32" s="53">
        <f t="shared" si="4"/>
        <v>5.6000000000000001E-2</v>
      </c>
      <c r="L32" t="s">
        <v>287</v>
      </c>
      <c r="M32" t="str">
        <f t="shared" si="6"/>
        <v>Allevamento di suini</v>
      </c>
      <c r="N32" t="str">
        <f t="shared" si="5"/>
        <v>A) Agricoltura silvicoltura e pesca</v>
      </c>
    </row>
    <row r="33" spans="1:14" ht="25.5">
      <c r="A33" s="58" t="s">
        <v>285</v>
      </c>
      <c r="B33" s="59" t="s">
        <v>286</v>
      </c>
      <c r="C33">
        <v>1</v>
      </c>
      <c r="D33" t="str">
        <f>+VLOOKUP(AtecoCrisi[[#This Row],[COD. CRISI]],Tabella139[],2,0)</f>
        <v>A) Agricoltura silvicoltura e pesca</v>
      </c>
      <c r="E33" s="53">
        <f t="shared" si="0"/>
        <v>2.8000000000000001E-2</v>
      </c>
      <c r="F33" s="53">
        <f t="shared" si="1"/>
        <v>9.4E-2</v>
      </c>
      <c r="G33" s="53">
        <f t="shared" si="2"/>
        <v>0.92100000000000004</v>
      </c>
      <c r="H33" s="53">
        <f t="shared" si="3"/>
        <v>3.0000000000000001E-3</v>
      </c>
      <c r="I33" s="53">
        <f t="shared" si="4"/>
        <v>5.6000000000000001E-2</v>
      </c>
      <c r="L33" t="s">
        <v>289</v>
      </c>
      <c r="M33" t="str">
        <f t="shared" si="6"/>
        <v>Allevamento di pollame</v>
      </c>
      <c r="N33" t="str">
        <f t="shared" si="5"/>
        <v>A) Agricoltura silvicoltura e pesca</v>
      </c>
    </row>
    <row r="34" spans="1:14" ht="25.5">
      <c r="A34" s="58" t="s">
        <v>287</v>
      </c>
      <c r="B34" s="59" t="s">
        <v>288</v>
      </c>
      <c r="C34">
        <v>1</v>
      </c>
      <c r="D34" t="str">
        <f>+VLOOKUP(AtecoCrisi[[#This Row],[COD. CRISI]],Tabella139[],2,0)</f>
        <v>A) Agricoltura silvicoltura e pesca</v>
      </c>
      <c r="E34" s="53">
        <f t="shared" si="0"/>
        <v>2.8000000000000001E-2</v>
      </c>
      <c r="F34" s="53">
        <f t="shared" si="1"/>
        <v>9.4E-2</v>
      </c>
      <c r="G34" s="53">
        <f t="shared" si="2"/>
        <v>0.92100000000000004</v>
      </c>
      <c r="H34" s="53">
        <f t="shared" si="3"/>
        <v>3.0000000000000001E-3</v>
      </c>
      <c r="I34" s="53">
        <f t="shared" si="4"/>
        <v>5.6000000000000001E-2</v>
      </c>
      <c r="L34" t="s">
        <v>291</v>
      </c>
      <c r="M34" t="str">
        <f t="shared" si="6"/>
        <v>Allevamento di conigli</v>
      </c>
      <c r="N34" t="str">
        <f t="shared" si="5"/>
        <v>A) Agricoltura silvicoltura e pesca</v>
      </c>
    </row>
    <row r="35" spans="1:14" ht="25.5">
      <c r="A35" s="58" t="s">
        <v>289</v>
      </c>
      <c r="B35" s="59" t="s">
        <v>290</v>
      </c>
      <c r="C35">
        <v>1</v>
      </c>
      <c r="D35" t="str">
        <f>+VLOOKUP(AtecoCrisi[[#This Row],[COD. CRISI]],Tabella139[],2,0)</f>
        <v>A) Agricoltura silvicoltura e pesca</v>
      </c>
      <c r="E35" s="53">
        <f t="shared" si="0"/>
        <v>2.8000000000000001E-2</v>
      </c>
      <c r="F35" s="53">
        <f t="shared" si="1"/>
        <v>9.4E-2</v>
      </c>
      <c r="G35" s="53">
        <f t="shared" si="2"/>
        <v>0.92100000000000004</v>
      </c>
      <c r="H35" s="53">
        <f t="shared" si="3"/>
        <v>3.0000000000000001E-3</v>
      </c>
      <c r="I35" s="53">
        <f t="shared" si="4"/>
        <v>5.6000000000000001E-2</v>
      </c>
      <c r="L35" t="s">
        <v>293</v>
      </c>
      <c r="M35" t="str">
        <f t="shared" si="6"/>
        <v>Allevamento di animali da pelliccia</v>
      </c>
      <c r="N35" t="str">
        <f t="shared" si="5"/>
        <v>A) Agricoltura silvicoltura e pesca</v>
      </c>
    </row>
    <row r="36" spans="1:14" ht="25.5">
      <c r="A36" s="58" t="s">
        <v>291</v>
      </c>
      <c r="B36" s="59" t="s">
        <v>292</v>
      </c>
      <c r="C36">
        <v>1</v>
      </c>
      <c r="D36" t="str">
        <f>+VLOOKUP(AtecoCrisi[[#This Row],[COD. CRISI]],Tabella139[],2,0)</f>
        <v>A) Agricoltura silvicoltura e pesca</v>
      </c>
      <c r="E36" s="53">
        <f t="shared" si="0"/>
        <v>2.8000000000000001E-2</v>
      </c>
      <c r="F36" s="53">
        <f t="shared" si="1"/>
        <v>9.4E-2</v>
      </c>
      <c r="G36" s="53">
        <f t="shared" si="2"/>
        <v>0.92100000000000004</v>
      </c>
      <c r="H36" s="53">
        <f t="shared" si="3"/>
        <v>3.0000000000000001E-3</v>
      </c>
      <c r="I36" s="53">
        <f t="shared" si="4"/>
        <v>5.6000000000000001E-2</v>
      </c>
      <c r="L36" t="s">
        <v>295</v>
      </c>
      <c r="M36" t="str">
        <f t="shared" si="6"/>
        <v>Apicoltura</v>
      </c>
      <c r="N36" t="str">
        <f t="shared" si="5"/>
        <v>A) Agricoltura silvicoltura e pesca</v>
      </c>
    </row>
    <row r="37" spans="1:14" ht="25.5">
      <c r="A37" s="58" t="s">
        <v>293</v>
      </c>
      <c r="B37" s="59" t="s">
        <v>294</v>
      </c>
      <c r="C37">
        <v>1</v>
      </c>
      <c r="D37" t="str">
        <f>+VLOOKUP(AtecoCrisi[[#This Row],[COD. CRISI]],Tabella139[],2,0)</f>
        <v>A) Agricoltura silvicoltura e pesca</v>
      </c>
      <c r="E37" s="53">
        <f t="shared" si="0"/>
        <v>2.8000000000000001E-2</v>
      </c>
      <c r="F37" s="53">
        <f t="shared" si="1"/>
        <v>9.4E-2</v>
      </c>
      <c r="G37" s="53">
        <f t="shared" si="2"/>
        <v>0.92100000000000004</v>
      </c>
      <c r="H37" s="53">
        <f t="shared" si="3"/>
        <v>3.0000000000000001E-3</v>
      </c>
      <c r="I37" s="53">
        <f t="shared" si="4"/>
        <v>5.6000000000000001E-2</v>
      </c>
      <c r="L37" t="s">
        <v>297</v>
      </c>
      <c r="M37" t="str">
        <f t="shared" si="6"/>
        <v>Bachicoltura</v>
      </c>
      <c r="N37" t="str">
        <f t="shared" si="5"/>
        <v>A) Agricoltura silvicoltura e pesca</v>
      </c>
    </row>
    <row r="38" spans="1:14">
      <c r="A38" s="58" t="s">
        <v>295</v>
      </c>
      <c r="B38" s="59" t="s">
        <v>296</v>
      </c>
      <c r="C38">
        <v>1</v>
      </c>
      <c r="D38" t="str">
        <f>+VLOOKUP(AtecoCrisi[[#This Row],[COD. CRISI]],Tabella139[],2,0)</f>
        <v>A) Agricoltura silvicoltura e pesca</v>
      </c>
      <c r="E38" s="53">
        <f t="shared" si="0"/>
        <v>2.8000000000000001E-2</v>
      </c>
      <c r="F38" s="53">
        <f t="shared" si="1"/>
        <v>9.4E-2</v>
      </c>
      <c r="G38" s="53">
        <f t="shared" si="2"/>
        <v>0.92100000000000004</v>
      </c>
      <c r="H38" s="53">
        <f t="shared" si="3"/>
        <v>3.0000000000000001E-3</v>
      </c>
      <c r="I38" s="53">
        <f t="shared" si="4"/>
        <v>5.6000000000000001E-2</v>
      </c>
      <c r="L38" t="s">
        <v>299</v>
      </c>
      <c r="M38" t="str">
        <f t="shared" si="6"/>
        <v>Allevamento di altri animali nca</v>
      </c>
      <c r="N38" t="str">
        <f t="shared" si="5"/>
        <v>A) Agricoltura silvicoltura e pesca</v>
      </c>
    </row>
    <row r="39" spans="1:14">
      <c r="A39" s="58" t="s">
        <v>297</v>
      </c>
      <c r="B39" s="59" t="s">
        <v>298</v>
      </c>
      <c r="C39">
        <v>1</v>
      </c>
      <c r="D39" t="str">
        <f>+VLOOKUP(AtecoCrisi[[#This Row],[COD. CRISI]],Tabella139[],2,0)</f>
        <v>A) Agricoltura silvicoltura e pesca</v>
      </c>
      <c r="E39" s="53">
        <f t="shared" si="0"/>
        <v>2.8000000000000001E-2</v>
      </c>
      <c r="F39" s="53">
        <f t="shared" si="1"/>
        <v>9.4E-2</v>
      </c>
      <c r="G39" s="53">
        <f t="shared" si="2"/>
        <v>0.92100000000000004</v>
      </c>
      <c r="H39" s="53">
        <f t="shared" si="3"/>
        <v>3.0000000000000001E-3</v>
      </c>
      <c r="I39" s="53">
        <f t="shared" si="4"/>
        <v>5.6000000000000001E-2</v>
      </c>
      <c r="L39" t="s">
        <v>301</v>
      </c>
      <c r="M39" t="str">
        <f t="shared" si="6"/>
        <v>Coltivazioni agricole associate all'allevamento di animali: attività mista</v>
      </c>
      <c r="N39" t="str">
        <f t="shared" si="5"/>
        <v>A) Agricoltura silvicoltura e pesca</v>
      </c>
    </row>
    <row r="40" spans="1:14" ht="25.5">
      <c r="A40" s="58" t="s">
        <v>299</v>
      </c>
      <c r="B40" s="59" t="s">
        <v>300</v>
      </c>
      <c r="C40">
        <v>1</v>
      </c>
      <c r="D40" t="str">
        <f>+VLOOKUP(AtecoCrisi[[#This Row],[COD. CRISI]],Tabella139[],2,0)</f>
        <v>A) Agricoltura silvicoltura e pesca</v>
      </c>
      <c r="E40" s="53">
        <f t="shared" si="0"/>
        <v>2.8000000000000001E-2</v>
      </c>
      <c r="F40" s="53">
        <f t="shared" si="1"/>
        <v>9.4E-2</v>
      </c>
      <c r="G40" s="53">
        <f t="shared" si="2"/>
        <v>0.92100000000000004</v>
      </c>
      <c r="H40" s="53">
        <f t="shared" si="3"/>
        <v>3.0000000000000001E-3</v>
      </c>
      <c r="I40" s="53">
        <f t="shared" si="4"/>
        <v>5.6000000000000001E-2</v>
      </c>
      <c r="L40" t="s">
        <v>303</v>
      </c>
      <c r="M40" t="str">
        <f t="shared" si="6"/>
        <v>Attività di supporto alla produzione vegetale</v>
      </c>
      <c r="N40" t="str">
        <f t="shared" si="5"/>
        <v>A) Agricoltura silvicoltura e pesca</v>
      </c>
    </row>
    <row r="41" spans="1:14" ht="63.75">
      <c r="A41" s="58" t="s">
        <v>301</v>
      </c>
      <c r="B41" s="59" t="s">
        <v>302</v>
      </c>
      <c r="C41">
        <v>1</v>
      </c>
      <c r="D41" t="str">
        <f>+VLOOKUP(AtecoCrisi[[#This Row],[COD. CRISI]],Tabella139[],2,0)</f>
        <v>A) Agricoltura silvicoltura e pesca</v>
      </c>
      <c r="E41" s="53">
        <f t="shared" si="0"/>
        <v>2.8000000000000001E-2</v>
      </c>
      <c r="F41" s="53">
        <f t="shared" si="1"/>
        <v>9.4E-2</v>
      </c>
      <c r="G41" s="53">
        <f t="shared" si="2"/>
        <v>0.92100000000000004</v>
      </c>
      <c r="H41" s="53">
        <f t="shared" si="3"/>
        <v>3.0000000000000001E-3</v>
      </c>
      <c r="I41" s="53">
        <f t="shared" si="4"/>
        <v>5.6000000000000001E-2</v>
      </c>
      <c r="L41" t="s">
        <v>305</v>
      </c>
      <c r="M41" t="str">
        <f t="shared" si="6"/>
        <v>Attività dei maniscalchi</v>
      </c>
      <c r="N41" t="str">
        <f t="shared" si="5"/>
        <v>A) Agricoltura silvicoltura e pesca</v>
      </c>
    </row>
    <row r="42" spans="1:14" ht="38.25">
      <c r="A42" s="58" t="s">
        <v>303</v>
      </c>
      <c r="B42" s="59" t="s">
        <v>304</v>
      </c>
      <c r="C42">
        <v>1</v>
      </c>
      <c r="D42" t="str">
        <f>+VLOOKUP(AtecoCrisi[[#This Row],[COD. CRISI]],Tabella139[],2,0)</f>
        <v>A) Agricoltura silvicoltura e pesca</v>
      </c>
      <c r="E42" s="53">
        <f t="shared" si="0"/>
        <v>2.8000000000000001E-2</v>
      </c>
      <c r="F42" s="53">
        <f t="shared" si="1"/>
        <v>9.4E-2</v>
      </c>
      <c r="G42" s="53">
        <f t="shared" si="2"/>
        <v>0.92100000000000004</v>
      </c>
      <c r="H42" s="53">
        <f t="shared" si="3"/>
        <v>3.0000000000000001E-3</v>
      </c>
      <c r="I42" s="53">
        <f t="shared" si="4"/>
        <v>5.6000000000000001E-2</v>
      </c>
      <c r="L42" t="s">
        <v>307</v>
      </c>
      <c r="M42" t="str">
        <f t="shared" si="6"/>
        <v>Altre attività di supporto alla produzione animale (esclusi i servizi veterinari)</v>
      </c>
      <c r="N42" t="str">
        <f t="shared" si="5"/>
        <v>A) Agricoltura silvicoltura e pesca</v>
      </c>
    </row>
    <row r="43" spans="1:14" ht="25.5">
      <c r="A43" s="58" t="s">
        <v>305</v>
      </c>
      <c r="B43" s="59" t="s">
        <v>306</v>
      </c>
      <c r="C43">
        <v>1</v>
      </c>
      <c r="D43" t="str">
        <f>+VLOOKUP(AtecoCrisi[[#This Row],[COD. CRISI]],Tabella139[],2,0)</f>
        <v>A) Agricoltura silvicoltura e pesca</v>
      </c>
      <c r="E43" s="53">
        <f t="shared" si="0"/>
        <v>2.8000000000000001E-2</v>
      </c>
      <c r="F43" s="53">
        <f t="shared" si="1"/>
        <v>9.4E-2</v>
      </c>
      <c r="G43" s="53">
        <f t="shared" si="2"/>
        <v>0.92100000000000004</v>
      </c>
      <c r="H43" s="53">
        <f t="shared" si="3"/>
        <v>3.0000000000000001E-3</v>
      </c>
      <c r="I43" s="53">
        <f t="shared" si="4"/>
        <v>5.6000000000000001E-2</v>
      </c>
      <c r="L43" t="s">
        <v>309</v>
      </c>
      <c r="M43" t="str">
        <f t="shared" si="6"/>
        <v>Attività che seguono la raccolta</v>
      </c>
      <c r="N43" t="str">
        <f t="shared" si="5"/>
        <v>A) Agricoltura silvicoltura e pesca</v>
      </c>
    </row>
    <row r="44" spans="1:14" ht="63.75">
      <c r="A44" s="58" t="s">
        <v>307</v>
      </c>
      <c r="B44" s="59" t="s">
        <v>308</v>
      </c>
      <c r="C44">
        <v>1</v>
      </c>
      <c r="D44" t="str">
        <f>+VLOOKUP(AtecoCrisi[[#This Row],[COD. CRISI]],Tabella139[],2,0)</f>
        <v>A) Agricoltura silvicoltura e pesca</v>
      </c>
      <c r="E44" s="53">
        <f t="shared" si="0"/>
        <v>2.8000000000000001E-2</v>
      </c>
      <c r="F44" s="53">
        <f t="shared" si="1"/>
        <v>9.4E-2</v>
      </c>
      <c r="G44" s="53">
        <f t="shared" si="2"/>
        <v>0.92100000000000004</v>
      </c>
      <c r="H44" s="53">
        <f t="shared" si="3"/>
        <v>3.0000000000000001E-3</v>
      </c>
      <c r="I44" s="53">
        <f t="shared" si="4"/>
        <v>5.6000000000000001E-2</v>
      </c>
      <c r="L44" t="s">
        <v>311</v>
      </c>
      <c r="M44" t="str">
        <f t="shared" si="6"/>
        <v>Pulitura e cernita di semi e granaglie</v>
      </c>
      <c r="N44" t="str">
        <f t="shared" si="5"/>
        <v>A) Agricoltura silvicoltura e pesca</v>
      </c>
    </row>
    <row r="45" spans="1:14" ht="38.25">
      <c r="A45" s="58" t="s">
        <v>309</v>
      </c>
      <c r="B45" s="59" t="s">
        <v>310</v>
      </c>
      <c r="C45">
        <v>1</v>
      </c>
      <c r="D45" t="str">
        <f>+VLOOKUP(AtecoCrisi[[#This Row],[COD. CRISI]],Tabella139[],2,0)</f>
        <v>A) Agricoltura silvicoltura e pesca</v>
      </c>
      <c r="E45" s="53">
        <f t="shared" si="0"/>
        <v>2.8000000000000001E-2</v>
      </c>
      <c r="F45" s="53">
        <f t="shared" si="1"/>
        <v>9.4E-2</v>
      </c>
      <c r="G45" s="53">
        <f t="shared" si="2"/>
        <v>0.92100000000000004</v>
      </c>
      <c r="H45" s="53">
        <f t="shared" si="3"/>
        <v>3.0000000000000001E-3</v>
      </c>
      <c r="I45" s="53">
        <f t="shared" si="4"/>
        <v>5.6000000000000001E-2</v>
      </c>
      <c r="L45" t="s">
        <v>313</v>
      </c>
      <c r="M45" t="str">
        <f t="shared" si="6"/>
        <v>Altre lavorazioni delle sementi per la semina</v>
      </c>
      <c r="N45" t="str">
        <f t="shared" si="5"/>
        <v>A) Agricoltura silvicoltura e pesca</v>
      </c>
    </row>
    <row r="46" spans="1:14" ht="25.5">
      <c r="A46" s="58" t="s">
        <v>311</v>
      </c>
      <c r="B46" s="59" t="s">
        <v>312</v>
      </c>
      <c r="C46">
        <v>1</v>
      </c>
      <c r="D46" t="str">
        <f>+VLOOKUP(AtecoCrisi[[#This Row],[COD. CRISI]],Tabella139[],2,0)</f>
        <v>A) Agricoltura silvicoltura e pesca</v>
      </c>
      <c r="E46" s="53">
        <f t="shared" si="0"/>
        <v>2.8000000000000001E-2</v>
      </c>
      <c r="F46" s="53">
        <f t="shared" si="1"/>
        <v>9.4E-2</v>
      </c>
      <c r="G46" s="53">
        <f t="shared" si="2"/>
        <v>0.92100000000000004</v>
      </c>
      <c r="H46" s="53">
        <f t="shared" si="3"/>
        <v>3.0000000000000001E-3</v>
      </c>
      <c r="I46" s="53">
        <f t="shared" si="4"/>
        <v>5.6000000000000001E-2</v>
      </c>
      <c r="L46" t="s">
        <v>315</v>
      </c>
      <c r="M46" t="str">
        <f t="shared" si="6"/>
        <v>Caccia, cattura di animali e servizi connessi</v>
      </c>
      <c r="N46" t="str">
        <f t="shared" si="5"/>
        <v>A) Agricoltura silvicoltura e pesca</v>
      </c>
    </row>
    <row r="47" spans="1:14" ht="38.25">
      <c r="A47" s="58" t="s">
        <v>313</v>
      </c>
      <c r="B47" s="59" t="s">
        <v>314</v>
      </c>
      <c r="C47">
        <v>1</v>
      </c>
      <c r="D47" t="str">
        <f>+VLOOKUP(AtecoCrisi[[#This Row],[COD. CRISI]],Tabella139[],2,0)</f>
        <v>A) Agricoltura silvicoltura e pesca</v>
      </c>
      <c r="E47" s="53">
        <f t="shared" si="0"/>
        <v>2.8000000000000001E-2</v>
      </c>
      <c r="F47" s="53">
        <f t="shared" si="1"/>
        <v>9.4E-2</v>
      </c>
      <c r="G47" s="53">
        <f t="shared" si="2"/>
        <v>0.92100000000000004</v>
      </c>
      <c r="H47" s="53">
        <f t="shared" si="3"/>
        <v>3.0000000000000001E-3</v>
      </c>
      <c r="I47" s="53">
        <f t="shared" si="4"/>
        <v>5.6000000000000001E-2</v>
      </c>
      <c r="L47" t="s">
        <v>319</v>
      </c>
      <c r="M47" t="str">
        <f t="shared" si="6"/>
        <v>Silvicoltura e altre attività forestali</v>
      </c>
      <c r="N47" t="str">
        <f t="shared" si="5"/>
        <v>A) Agricoltura silvicoltura e pesca</v>
      </c>
    </row>
    <row r="48" spans="1:14" ht="38.25">
      <c r="A48" s="58" t="s">
        <v>315</v>
      </c>
      <c r="B48" s="59" t="s">
        <v>316</v>
      </c>
      <c r="C48">
        <v>1</v>
      </c>
      <c r="D48" t="str">
        <f>+VLOOKUP(AtecoCrisi[[#This Row],[COD. CRISI]],Tabella139[],2,0)</f>
        <v>A) Agricoltura silvicoltura e pesca</v>
      </c>
      <c r="E48" s="53">
        <f t="shared" si="0"/>
        <v>2.8000000000000001E-2</v>
      </c>
      <c r="F48" s="53">
        <f t="shared" si="1"/>
        <v>9.4E-2</v>
      </c>
      <c r="G48" s="53">
        <f t="shared" si="2"/>
        <v>0.92100000000000004</v>
      </c>
      <c r="H48" s="53">
        <f t="shared" si="3"/>
        <v>3.0000000000000001E-3</v>
      </c>
      <c r="I48" s="53">
        <f t="shared" si="4"/>
        <v>5.6000000000000001E-2</v>
      </c>
      <c r="L48" t="s">
        <v>321</v>
      </c>
      <c r="M48" t="str">
        <f t="shared" si="6"/>
        <v>Utilizzo di aree forestali</v>
      </c>
      <c r="N48" t="str">
        <f t="shared" si="5"/>
        <v>A) Agricoltura silvicoltura e pesca</v>
      </c>
    </row>
    <row r="49" spans="1:14" ht="51">
      <c r="A49" s="56" t="s">
        <v>317</v>
      </c>
      <c r="B49" s="57" t="s">
        <v>318</v>
      </c>
      <c r="C49">
        <v>1</v>
      </c>
      <c r="D49" t="str">
        <f>+VLOOKUP(AtecoCrisi[[#This Row],[COD. CRISI]],Tabella139[],2,0)</f>
        <v>A) Agricoltura silvicoltura e pesca</v>
      </c>
      <c r="E49" s="53">
        <f t="shared" si="0"/>
        <v>2.8000000000000001E-2</v>
      </c>
      <c r="F49" s="53">
        <f t="shared" si="1"/>
        <v>9.4E-2</v>
      </c>
      <c r="G49" s="53">
        <f t="shared" si="2"/>
        <v>0.92100000000000004</v>
      </c>
      <c r="H49" s="53">
        <f t="shared" si="3"/>
        <v>3.0000000000000001E-3</v>
      </c>
      <c r="I49" s="53">
        <f t="shared" si="4"/>
        <v>5.6000000000000001E-2</v>
      </c>
      <c r="L49" t="s">
        <v>323</v>
      </c>
      <c r="M49" t="str">
        <f t="shared" si="6"/>
        <v>Raccolta di prodotti selvatici non legnosi</v>
      </c>
      <c r="N49" t="str">
        <f t="shared" si="5"/>
        <v>A) Agricoltura silvicoltura e pesca</v>
      </c>
    </row>
    <row r="50" spans="1:14" ht="25.5">
      <c r="A50" s="58" t="s">
        <v>319</v>
      </c>
      <c r="B50" s="59" t="s">
        <v>320</v>
      </c>
      <c r="C50">
        <v>1</v>
      </c>
      <c r="D50" t="str">
        <f>+VLOOKUP(AtecoCrisi[[#This Row],[COD. CRISI]],Tabella139[],2,0)</f>
        <v>A) Agricoltura silvicoltura e pesca</v>
      </c>
      <c r="E50" s="53">
        <f t="shared" si="0"/>
        <v>2.8000000000000001E-2</v>
      </c>
      <c r="F50" s="53">
        <f t="shared" si="1"/>
        <v>9.4E-2</v>
      </c>
      <c r="G50" s="53">
        <f t="shared" si="2"/>
        <v>0.92100000000000004</v>
      </c>
      <c r="H50" s="53">
        <f t="shared" si="3"/>
        <v>3.0000000000000001E-3</v>
      </c>
      <c r="I50" s="53">
        <f t="shared" si="4"/>
        <v>5.6000000000000001E-2</v>
      </c>
      <c r="L50" t="s">
        <v>325</v>
      </c>
      <c r="M50" t="str">
        <f t="shared" si="6"/>
        <v>Servizi di supporto per la silvicoltura</v>
      </c>
      <c r="N50" t="str">
        <f t="shared" si="5"/>
        <v>A) Agricoltura silvicoltura e pesca</v>
      </c>
    </row>
    <row r="51" spans="1:14" ht="25.5">
      <c r="A51" s="58" t="s">
        <v>321</v>
      </c>
      <c r="B51" s="59" t="s">
        <v>322</v>
      </c>
      <c r="C51">
        <v>1</v>
      </c>
      <c r="D51" t="str">
        <f>+VLOOKUP(AtecoCrisi[[#This Row],[COD. CRISI]],Tabella139[],2,0)</f>
        <v>A) Agricoltura silvicoltura e pesca</v>
      </c>
      <c r="E51" s="53">
        <f t="shared" si="0"/>
        <v>2.8000000000000001E-2</v>
      </c>
      <c r="F51" s="53">
        <f t="shared" si="1"/>
        <v>9.4E-2</v>
      </c>
      <c r="G51" s="53">
        <f t="shared" si="2"/>
        <v>0.92100000000000004</v>
      </c>
      <c r="H51" s="53">
        <f t="shared" si="3"/>
        <v>3.0000000000000001E-3</v>
      </c>
      <c r="I51" s="53">
        <f t="shared" si="4"/>
        <v>5.6000000000000001E-2</v>
      </c>
      <c r="L51" t="s">
        <v>329</v>
      </c>
      <c r="M51" t="str">
        <f t="shared" si="6"/>
        <v>Pesca in acque marine e lagunari e servizi connessi</v>
      </c>
      <c r="N51" t="str">
        <f t="shared" si="5"/>
        <v>A) Agricoltura silvicoltura e pesca</v>
      </c>
    </row>
    <row r="52" spans="1:14" ht="38.25">
      <c r="A52" s="58" t="s">
        <v>323</v>
      </c>
      <c r="B52" s="59" t="s">
        <v>324</v>
      </c>
      <c r="C52">
        <v>1</v>
      </c>
      <c r="D52" t="str">
        <f>+VLOOKUP(AtecoCrisi[[#This Row],[COD. CRISI]],Tabella139[],2,0)</f>
        <v>A) Agricoltura silvicoltura e pesca</v>
      </c>
      <c r="E52" s="53">
        <f t="shared" si="0"/>
        <v>2.8000000000000001E-2</v>
      </c>
      <c r="F52" s="53">
        <f t="shared" si="1"/>
        <v>9.4E-2</v>
      </c>
      <c r="G52" s="53">
        <f t="shared" si="2"/>
        <v>0.92100000000000004</v>
      </c>
      <c r="H52" s="53">
        <f t="shared" si="3"/>
        <v>3.0000000000000001E-3</v>
      </c>
      <c r="I52" s="53">
        <f t="shared" si="4"/>
        <v>5.6000000000000001E-2</v>
      </c>
      <c r="L52" t="s">
        <v>331</v>
      </c>
      <c r="M52" t="str">
        <f t="shared" si="6"/>
        <v>Pesca in acque dolci e servizi connessi</v>
      </c>
      <c r="N52" t="str">
        <f t="shared" si="5"/>
        <v>A) Agricoltura silvicoltura e pesca</v>
      </c>
    </row>
    <row r="53" spans="1:14" ht="25.5">
      <c r="A53" s="58" t="s">
        <v>325</v>
      </c>
      <c r="B53" s="59" t="s">
        <v>326</v>
      </c>
      <c r="C53">
        <v>1</v>
      </c>
      <c r="D53" t="str">
        <f>+VLOOKUP(AtecoCrisi[[#This Row],[COD. CRISI]],Tabella139[],2,0)</f>
        <v>A) Agricoltura silvicoltura e pesca</v>
      </c>
      <c r="E53" s="53">
        <f t="shared" si="0"/>
        <v>2.8000000000000001E-2</v>
      </c>
      <c r="F53" s="53">
        <f t="shared" si="1"/>
        <v>9.4E-2</v>
      </c>
      <c r="G53" s="53">
        <f t="shared" si="2"/>
        <v>0.92100000000000004</v>
      </c>
      <c r="H53" s="53">
        <f t="shared" si="3"/>
        <v>3.0000000000000001E-3</v>
      </c>
      <c r="I53" s="53">
        <f t="shared" si="4"/>
        <v>5.6000000000000001E-2</v>
      </c>
      <c r="L53" t="s">
        <v>333</v>
      </c>
      <c r="M53" t="str">
        <f t="shared" si="6"/>
        <v>Acquacoltura in acqua di mare, salmastra o lagunare e servizi connessi</v>
      </c>
      <c r="N53" t="str">
        <f t="shared" si="5"/>
        <v>A) Agricoltura silvicoltura e pesca</v>
      </c>
    </row>
    <row r="54" spans="1:14" ht="25.5">
      <c r="A54" s="56" t="s">
        <v>327</v>
      </c>
      <c r="B54" s="57" t="s">
        <v>328</v>
      </c>
      <c r="C54">
        <v>1</v>
      </c>
      <c r="D54" t="str">
        <f>+VLOOKUP(AtecoCrisi[[#This Row],[COD. CRISI]],Tabella139[],2,0)</f>
        <v>A) Agricoltura silvicoltura e pesca</v>
      </c>
      <c r="E54" s="53">
        <f t="shared" si="0"/>
        <v>2.8000000000000001E-2</v>
      </c>
      <c r="F54" s="53">
        <f t="shared" si="1"/>
        <v>9.4E-2</v>
      </c>
      <c r="G54" s="53">
        <f t="shared" si="2"/>
        <v>0.92100000000000004</v>
      </c>
      <c r="H54" s="53">
        <f t="shared" si="3"/>
        <v>3.0000000000000001E-3</v>
      </c>
      <c r="I54" s="53">
        <f t="shared" si="4"/>
        <v>5.6000000000000001E-2</v>
      </c>
      <c r="L54" t="s">
        <v>335</v>
      </c>
      <c r="M54" t="str">
        <f t="shared" si="6"/>
        <v>Acquacoltura in acque dolci e servizi connessi</v>
      </c>
      <c r="N54" t="str">
        <f t="shared" si="5"/>
        <v>A) Agricoltura silvicoltura e pesca</v>
      </c>
    </row>
    <row r="55" spans="1:14" ht="38.25">
      <c r="A55" s="58" t="s">
        <v>329</v>
      </c>
      <c r="B55" s="59" t="s">
        <v>330</v>
      </c>
      <c r="C55">
        <v>1</v>
      </c>
      <c r="D55" t="str">
        <f>+VLOOKUP(AtecoCrisi[[#This Row],[COD. CRISI]],Tabella139[],2,0)</f>
        <v>A) Agricoltura silvicoltura e pesca</v>
      </c>
      <c r="E55" s="53">
        <f t="shared" si="0"/>
        <v>2.8000000000000001E-2</v>
      </c>
      <c r="F55" s="53">
        <f t="shared" si="1"/>
        <v>9.4E-2</v>
      </c>
      <c r="G55" s="53">
        <f t="shared" si="2"/>
        <v>0.92100000000000004</v>
      </c>
      <c r="H55" s="53">
        <f t="shared" si="3"/>
        <v>3.0000000000000001E-3</v>
      </c>
      <c r="I55" s="53">
        <f t="shared" si="4"/>
        <v>5.6000000000000001E-2</v>
      </c>
      <c r="L55" t="s">
        <v>340</v>
      </c>
      <c r="M55" t="str">
        <f t="shared" si="6"/>
        <v>Estrazione di antracite e litantrace</v>
      </c>
      <c r="N55" t="str">
        <f t="shared" si="5"/>
        <v>B) Estrazione; C) Manifattura; D) Produzione energia/gas</v>
      </c>
    </row>
    <row r="56" spans="1:14" ht="38.25">
      <c r="A56" s="58" t="s">
        <v>331</v>
      </c>
      <c r="B56" s="59" t="s">
        <v>332</v>
      </c>
      <c r="C56">
        <v>1</v>
      </c>
      <c r="D56" t="str">
        <f>+VLOOKUP(AtecoCrisi[[#This Row],[COD. CRISI]],Tabella139[],2,0)</f>
        <v>A) Agricoltura silvicoltura e pesca</v>
      </c>
      <c r="E56" s="53">
        <f t="shared" si="0"/>
        <v>2.8000000000000001E-2</v>
      </c>
      <c r="F56" s="53">
        <f t="shared" si="1"/>
        <v>9.4E-2</v>
      </c>
      <c r="G56" s="53">
        <f t="shared" si="2"/>
        <v>0.92100000000000004</v>
      </c>
      <c r="H56" s="53">
        <f t="shared" si="3"/>
        <v>3.0000000000000001E-3</v>
      </c>
      <c r="I56" s="53">
        <f t="shared" si="4"/>
        <v>5.6000000000000001E-2</v>
      </c>
      <c r="L56" t="s">
        <v>342</v>
      </c>
      <c r="M56" t="str">
        <f t="shared" si="6"/>
        <v>Estrazione di lignite</v>
      </c>
      <c r="N56" t="str">
        <f t="shared" si="5"/>
        <v>B) Estrazione; C) Manifattura; D) Produzione energia/gas</v>
      </c>
    </row>
    <row r="57" spans="1:14" ht="63.75">
      <c r="A57" s="58" t="s">
        <v>333</v>
      </c>
      <c r="B57" s="59" t="s">
        <v>334</v>
      </c>
      <c r="C57">
        <v>1</v>
      </c>
      <c r="D57" t="str">
        <f>+VLOOKUP(AtecoCrisi[[#This Row],[COD. CRISI]],Tabella139[],2,0)</f>
        <v>A) Agricoltura silvicoltura e pesca</v>
      </c>
      <c r="E57" s="53">
        <f t="shared" si="0"/>
        <v>2.8000000000000001E-2</v>
      </c>
      <c r="F57" s="53">
        <f t="shared" si="1"/>
        <v>9.4E-2</v>
      </c>
      <c r="G57" s="53">
        <f t="shared" si="2"/>
        <v>0.92100000000000004</v>
      </c>
      <c r="H57" s="53">
        <f t="shared" si="3"/>
        <v>3.0000000000000001E-3</v>
      </c>
      <c r="I57" s="53">
        <f t="shared" si="4"/>
        <v>5.6000000000000001E-2</v>
      </c>
      <c r="L57" t="s">
        <v>346</v>
      </c>
      <c r="M57" t="str">
        <f t="shared" si="6"/>
        <v>Estrazione di petrolio greggio</v>
      </c>
      <c r="N57" t="str">
        <f t="shared" si="5"/>
        <v>B) Estrazione; C) Manifattura; D) Produzione energia/gas</v>
      </c>
    </row>
    <row r="58" spans="1:14" ht="38.25">
      <c r="A58" s="58" t="s">
        <v>335</v>
      </c>
      <c r="B58" s="59" t="s">
        <v>336</v>
      </c>
      <c r="C58">
        <v>1</v>
      </c>
      <c r="D58" t="str">
        <f>+VLOOKUP(AtecoCrisi[[#This Row],[COD. CRISI]],Tabella139[],2,0)</f>
        <v>A) Agricoltura silvicoltura e pesca</v>
      </c>
      <c r="E58" s="53">
        <f t="shared" si="0"/>
        <v>2.8000000000000001E-2</v>
      </c>
      <c r="F58" s="53">
        <f t="shared" si="1"/>
        <v>9.4E-2</v>
      </c>
      <c r="G58" s="53">
        <f t="shared" si="2"/>
        <v>0.92100000000000004</v>
      </c>
      <c r="H58" s="53">
        <f t="shared" si="3"/>
        <v>3.0000000000000001E-3</v>
      </c>
      <c r="I58" s="53">
        <f t="shared" si="4"/>
        <v>5.6000000000000001E-2</v>
      </c>
      <c r="L58" t="s">
        <v>348</v>
      </c>
      <c r="M58" t="str">
        <f t="shared" si="6"/>
        <v>Estrazione di gas naturale</v>
      </c>
      <c r="N58" t="str">
        <f t="shared" si="5"/>
        <v>B) Estrazione; C) Manifattura; D) Produzione energia/gas</v>
      </c>
    </row>
    <row r="59" spans="1:14" ht="63">
      <c r="A59" s="51" t="s">
        <v>7</v>
      </c>
      <c r="B59" s="52" t="s">
        <v>337</v>
      </c>
      <c r="C59">
        <v>2</v>
      </c>
      <c r="D59" t="str">
        <f>+VLOOKUP(AtecoCrisi[[#This Row],[COD. CRISI]],Tabella139[],2,0)</f>
        <v>B) Estrazione; C) Manifattura; D) Produzione energia/gas</v>
      </c>
      <c r="E59" s="53">
        <f t="shared" si="0"/>
        <v>0.03</v>
      </c>
      <c r="F59" s="53">
        <f t="shared" si="1"/>
        <v>7.5999999999999998E-2</v>
      </c>
      <c r="G59" s="53">
        <f t="shared" si="2"/>
        <v>0.93700000000000006</v>
      </c>
      <c r="H59" s="53">
        <f t="shared" si="3"/>
        <v>5.0000000000000001E-3</v>
      </c>
      <c r="I59" s="53">
        <f t="shared" si="4"/>
        <v>4.9000000000000002E-2</v>
      </c>
      <c r="L59" t="s">
        <v>352</v>
      </c>
      <c r="M59" t="str">
        <f t="shared" si="6"/>
        <v>Estrazione di minerali metalliferi ferrosi</v>
      </c>
      <c r="N59" t="str">
        <f t="shared" si="5"/>
        <v>B) Estrazione; C) Manifattura; D) Produzione energia/gas</v>
      </c>
    </row>
    <row r="60" spans="1:14" ht="51">
      <c r="A60" s="56" t="s">
        <v>338</v>
      </c>
      <c r="B60" s="57" t="s">
        <v>339</v>
      </c>
      <c r="C60">
        <v>2</v>
      </c>
      <c r="D60" t="str">
        <f>+VLOOKUP(AtecoCrisi[[#This Row],[COD. CRISI]],Tabella139[],2,0)</f>
        <v>B) Estrazione; C) Manifattura; D) Produzione energia/gas</v>
      </c>
      <c r="E60" s="53">
        <f t="shared" si="0"/>
        <v>0.03</v>
      </c>
      <c r="F60" s="53">
        <f t="shared" si="1"/>
        <v>7.5999999999999998E-2</v>
      </c>
      <c r="G60" s="53">
        <f t="shared" si="2"/>
        <v>0.93700000000000006</v>
      </c>
      <c r="H60" s="53">
        <f t="shared" si="3"/>
        <v>5.0000000000000001E-3</v>
      </c>
      <c r="I60" s="53">
        <f t="shared" si="4"/>
        <v>4.9000000000000002E-2</v>
      </c>
      <c r="L60" t="s">
        <v>354</v>
      </c>
      <c r="M60" t="str">
        <f t="shared" si="6"/>
        <v>Estrazione di minerali di uranio e di torio</v>
      </c>
      <c r="N60" t="str">
        <f t="shared" si="5"/>
        <v>B) Estrazione; C) Manifattura; D) Produzione energia/gas</v>
      </c>
    </row>
    <row r="61" spans="1:14" ht="38.25">
      <c r="A61" s="58" t="s">
        <v>340</v>
      </c>
      <c r="B61" s="59" t="s">
        <v>341</v>
      </c>
      <c r="C61">
        <v>2</v>
      </c>
      <c r="D61" t="str">
        <f>+VLOOKUP(AtecoCrisi[[#This Row],[COD. CRISI]],Tabella139[],2,0)</f>
        <v>B) Estrazione; C) Manifattura; D) Produzione energia/gas</v>
      </c>
      <c r="E61" s="53">
        <f t="shared" si="0"/>
        <v>0.03</v>
      </c>
      <c r="F61" s="53">
        <f t="shared" si="1"/>
        <v>7.5999999999999998E-2</v>
      </c>
      <c r="G61" s="53">
        <f t="shared" si="2"/>
        <v>0.93700000000000006</v>
      </c>
      <c r="H61" s="53">
        <f t="shared" si="3"/>
        <v>5.0000000000000001E-3</v>
      </c>
      <c r="I61" s="53">
        <f t="shared" si="4"/>
        <v>4.9000000000000002E-2</v>
      </c>
      <c r="L61" t="s">
        <v>356</v>
      </c>
      <c r="M61" t="str">
        <f t="shared" si="6"/>
        <v>Estrazione di altri minerali metalliferi non ferrosi</v>
      </c>
      <c r="N61" t="str">
        <f t="shared" si="5"/>
        <v>B) Estrazione; C) Manifattura; D) Produzione energia/gas</v>
      </c>
    </row>
    <row r="62" spans="1:14" ht="25.5">
      <c r="A62" s="58" t="s">
        <v>342</v>
      </c>
      <c r="B62" s="59" t="s">
        <v>343</v>
      </c>
      <c r="C62">
        <v>2</v>
      </c>
      <c r="D62" t="str">
        <f>+VLOOKUP(AtecoCrisi[[#This Row],[COD. CRISI]],Tabella139[],2,0)</f>
        <v>B) Estrazione; C) Manifattura; D) Produzione energia/gas</v>
      </c>
      <c r="E62" s="53">
        <f t="shared" si="0"/>
        <v>0.03</v>
      </c>
      <c r="F62" s="53">
        <f t="shared" si="1"/>
        <v>7.5999999999999998E-2</v>
      </c>
      <c r="G62" s="53">
        <f t="shared" si="2"/>
        <v>0.93700000000000006</v>
      </c>
      <c r="H62" s="53">
        <f t="shared" si="3"/>
        <v>5.0000000000000001E-3</v>
      </c>
      <c r="I62" s="53">
        <f t="shared" si="4"/>
        <v>4.9000000000000002E-2</v>
      </c>
      <c r="L62" t="s">
        <v>360</v>
      </c>
      <c r="M62" t="str">
        <f t="shared" si="6"/>
        <v>Estrazione di pietre ornamentali e da costruzione, calcare, pietra da gesso, creta e ardesia</v>
      </c>
      <c r="N62" t="str">
        <f t="shared" si="5"/>
        <v>B) Estrazione; C) Manifattura; D) Produzione energia/gas</v>
      </c>
    </row>
    <row r="63" spans="1:14" ht="51">
      <c r="A63" s="56" t="s">
        <v>344</v>
      </c>
      <c r="B63" s="57" t="s">
        <v>345</v>
      </c>
      <c r="C63">
        <v>2</v>
      </c>
      <c r="D63" t="str">
        <f>+VLOOKUP(AtecoCrisi[[#This Row],[COD. CRISI]],Tabella139[],2,0)</f>
        <v>B) Estrazione; C) Manifattura; D) Produzione energia/gas</v>
      </c>
      <c r="E63" s="53">
        <f t="shared" si="0"/>
        <v>0.03</v>
      </c>
      <c r="F63" s="53">
        <f t="shared" si="1"/>
        <v>7.5999999999999998E-2</v>
      </c>
      <c r="G63" s="53">
        <f t="shared" si="2"/>
        <v>0.93700000000000006</v>
      </c>
      <c r="H63" s="53">
        <f t="shared" si="3"/>
        <v>5.0000000000000001E-3</v>
      </c>
      <c r="I63" s="53">
        <f t="shared" si="4"/>
        <v>4.9000000000000002E-2</v>
      </c>
      <c r="L63" t="s">
        <v>362</v>
      </c>
      <c r="M63" t="str">
        <f t="shared" si="6"/>
        <v>Estrazione di ghiaia, sabbia; estrazione di argille e caolino</v>
      </c>
      <c r="N63" t="str">
        <f t="shared" si="5"/>
        <v>B) Estrazione; C) Manifattura; D) Produzione energia/gas</v>
      </c>
    </row>
    <row r="64" spans="1:14" ht="25.5">
      <c r="A64" s="58" t="s">
        <v>346</v>
      </c>
      <c r="B64" s="59" t="s">
        <v>347</v>
      </c>
      <c r="C64">
        <v>2</v>
      </c>
      <c r="D64" t="str">
        <f>+VLOOKUP(AtecoCrisi[[#This Row],[COD. CRISI]],Tabella139[],2,0)</f>
        <v>B) Estrazione; C) Manifattura; D) Produzione energia/gas</v>
      </c>
      <c r="E64" s="53">
        <f t="shared" si="0"/>
        <v>0.03</v>
      </c>
      <c r="F64" s="53">
        <f t="shared" si="1"/>
        <v>7.5999999999999998E-2</v>
      </c>
      <c r="G64" s="53">
        <f t="shared" si="2"/>
        <v>0.93700000000000006</v>
      </c>
      <c r="H64" s="53">
        <f t="shared" si="3"/>
        <v>5.0000000000000001E-3</v>
      </c>
      <c r="I64" s="53">
        <f t="shared" si="4"/>
        <v>4.9000000000000002E-2</v>
      </c>
      <c r="L64" t="s">
        <v>364</v>
      </c>
      <c r="M64" t="str">
        <f t="shared" si="6"/>
        <v>Estrazione di minerali per l'industria chimica e per la produzione di fertilizzanti</v>
      </c>
      <c r="N64" t="str">
        <f t="shared" si="5"/>
        <v>B) Estrazione; C) Manifattura; D) Produzione energia/gas</v>
      </c>
    </row>
    <row r="65" spans="1:14" ht="25.5">
      <c r="A65" s="58" t="s">
        <v>348</v>
      </c>
      <c r="B65" s="59" t="s">
        <v>349</v>
      </c>
      <c r="C65">
        <v>2</v>
      </c>
      <c r="D65" t="str">
        <f>+VLOOKUP(AtecoCrisi[[#This Row],[COD. CRISI]],Tabella139[],2,0)</f>
        <v>B) Estrazione; C) Manifattura; D) Produzione energia/gas</v>
      </c>
      <c r="E65" s="53">
        <f t="shared" si="0"/>
        <v>0.03</v>
      </c>
      <c r="F65" s="53">
        <f t="shared" si="1"/>
        <v>7.5999999999999998E-2</v>
      </c>
      <c r="G65" s="53">
        <f t="shared" si="2"/>
        <v>0.93700000000000006</v>
      </c>
      <c r="H65" s="53">
        <f t="shared" si="3"/>
        <v>5.0000000000000001E-3</v>
      </c>
      <c r="I65" s="53">
        <f t="shared" si="4"/>
        <v>4.9000000000000002E-2</v>
      </c>
      <c r="L65" t="s">
        <v>366</v>
      </c>
      <c r="M65" t="str">
        <f t="shared" si="6"/>
        <v>Estrazione di torba</v>
      </c>
      <c r="N65" t="str">
        <f t="shared" si="5"/>
        <v>B) Estrazione; C) Manifattura; D) Produzione energia/gas</v>
      </c>
    </row>
    <row r="66" spans="1:14" ht="38.25">
      <c r="A66" s="56" t="s">
        <v>350</v>
      </c>
      <c r="B66" s="57" t="s">
        <v>351</v>
      </c>
      <c r="C66">
        <v>2</v>
      </c>
      <c r="D66" t="str">
        <f>+VLOOKUP(AtecoCrisi[[#This Row],[COD. CRISI]],Tabella139[],2,0)</f>
        <v>B) Estrazione; C) Manifattura; D) Produzione energia/gas</v>
      </c>
      <c r="E66" s="53">
        <f t="shared" ref="E66:E129" si="7">+VLOOKUP(C66,$R$2:$X$11,3,FALSE)</f>
        <v>0.03</v>
      </c>
      <c r="F66" s="53">
        <f t="shared" ref="F66:F129" si="8">+VLOOKUP(C66,$R$2:$X$11,4,FALSE)</f>
        <v>7.5999999999999998E-2</v>
      </c>
      <c r="G66" s="53">
        <f t="shared" ref="G66:G129" si="9">+VLOOKUP(C66,$R$2:$X$11,5,FALSE)</f>
        <v>0.93700000000000006</v>
      </c>
      <c r="H66" s="53">
        <f t="shared" ref="H66:H129" si="10">+VLOOKUP(C66,$R$2:$X$11,6,FALSE)</f>
        <v>5.0000000000000001E-3</v>
      </c>
      <c r="I66" s="53">
        <f t="shared" ref="I66:I129" si="11">+VLOOKUP(C66,$R$2:$X$11,7,FALSE)</f>
        <v>4.9000000000000002E-2</v>
      </c>
      <c r="L66" t="s">
        <v>368</v>
      </c>
      <c r="M66" t="str">
        <f t="shared" si="6"/>
        <v>Estrazione di sale</v>
      </c>
      <c r="N66" t="str">
        <f t="shared" ref="N66:N129" si="12">+VLOOKUP(L66,A:D,4,0)</f>
        <v>B) Estrazione; C) Manifattura; D) Produzione energia/gas</v>
      </c>
    </row>
    <row r="67" spans="1:14" ht="38.25">
      <c r="A67" s="58" t="s">
        <v>352</v>
      </c>
      <c r="B67" s="59" t="s">
        <v>353</v>
      </c>
      <c r="C67">
        <v>2</v>
      </c>
      <c r="D67" t="str">
        <f>+VLOOKUP(AtecoCrisi[[#This Row],[COD. CRISI]],Tabella139[],2,0)</f>
        <v>B) Estrazione; C) Manifattura; D) Produzione energia/gas</v>
      </c>
      <c r="E67" s="53">
        <f t="shared" si="7"/>
        <v>0.03</v>
      </c>
      <c r="F67" s="53">
        <f t="shared" si="8"/>
        <v>7.5999999999999998E-2</v>
      </c>
      <c r="G67" s="53">
        <f t="shared" si="9"/>
        <v>0.93700000000000006</v>
      </c>
      <c r="H67" s="53">
        <f t="shared" si="10"/>
        <v>5.0000000000000001E-3</v>
      </c>
      <c r="I67" s="53">
        <f t="shared" si="11"/>
        <v>4.9000000000000002E-2</v>
      </c>
      <c r="L67" t="s">
        <v>370</v>
      </c>
      <c r="M67" t="str">
        <f t="shared" ref="M67:M130" si="13">+VLOOKUP(L67,A:B,2,0)</f>
        <v>Estrazione di asfalto e bitume naturale</v>
      </c>
      <c r="N67" t="str">
        <f t="shared" si="12"/>
        <v>B) Estrazione; C) Manifattura; D) Produzione energia/gas</v>
      </c>
    </row>
    <row r="68" spans="1:14" ht="38.25">
      <c r="A68" s="58" t="s">
        <v>354</v>
      </c>
      <c r="B68" s="59" t="s">
        <v>355</v>
      </c>
      <c r="C68">
        <v>2</v>
      </c>
      <c r="D68" t="str">
        <f>+VLOOKUP(AtecoCrisi[[#This Row],[COD. CRISI]],Tabella139[],2,0)</f>
        <v>B) Estrazione; C) Manifattura; D) Produzione energia/gas</v>
      </c>
      <c r="E68" s="53">
        <f t="shared" si="7"/>
        <v>0.03</v>
      </c>
      <c r="F68" s="53">
        <f t="shared" si="8"/>
        <v>7.5999999999999998E-2</v>
      </c>
      <c r="G68" s="53">
        <f t="shared" si="9"/>
        <v>0.93700000000000006</v>
      </c>
      <c r="H68" s="53">
        <f t="shared" si="10"/>
        <v>5.0000000000000001E-3</v>
      </c>
      <c r="I68" s="53">
        <f t="shared" si="11"/>
        <v>4.9000000000000002E-2</v>
      </c>
      <c r="L68" t="s">
        <v>372</v>
      </c>
      <c r="M68" t="str">
        <f t="shared" si="13"/>
        <v>Estrazione di pomice e di altri minerali nca</v>
      </c>
      <c r="N68" t="str">
        <f t="shared" si="12"/>
        <v>B) Estrazione; C) Manifattura; D) Produzione energia/gas</v>
      </c>
    </row>
    <row r="69" spans="1:14" ht="38.25">
      <c r="A69" s="58" t="s">
        <v>356</v>
      </c>
      <c r="B69" s="59" t="s">
        <v>357</v>
      </c>
      <c r="C69">
        <v>2</v>
      </c>
      <c r="D69" t="str">
        <f>+VLOOKUP(AtecoCrisi[[#This Row],[COD. CRISI]],Tabella139[],2,0)</f>
        <v>B) Estrazione; C) Manifattura; D) Produzione energia/gas</v>
      </c>
      <c r="E69" s="53">
        <f t="shared" si="7"/>
        <v>0.03</v>
      </c>
      <c r="F69" s="53">
        <f t="shared" si="8"/>
        <v>7.5999999999999998E-2</v>
      </c>
      <c r="G69" s="53">
        <f t="shared" si="9"/>
        <v>0.93700000000000006</v>
      </c>
      <c r="H69" s="53">
        <f t="shared" si="10"/>
        <v>5.0000000000000001E-3</v>
      </c>
      <c r="I69" s="53">
        <f t="shared" si="11"/>
        <v>4.9000000000000002E-2</v>
      </c>
      <c r="L69" t="s">
        <v>376</v>
      </c>
      <c r="M69" t="str">
        <f t="shared" si="13"/>
        <v>Attività di supporto all'estrazione di petrolio e di gas naturale</v>
      </c>
      <c r="N69" t="str">
        <f t="shared" si="12"/>
        <v>B) Estrazione; C) Manifattura; D) Produzione energia/gas</v>
      </c>
    </row>
    <row r="70" spans="1:14" ht="51">
      <c r="A70" s="56" t="s">
        <v>358</v>
      </c>
      <c r="B70" s="57" t="s">
        <v>359</v>
      </c>
      <c r="C70">
        <v>2</v>
      </c>
      <c r="D70" t="str">
        <f>+VLOOKUP(AtecoCrisi[[#This Row],[COD. CRISI]],Tabella139[],2,0)</f>
        <v>B) Estrazione; C) Manifattura; D) Produzione energia/gas</v>
      </c>
      <c r="E70" s="53">
        <f t="shared" si="7"/>
        <v>0.03</v>
      </c>
      <c r="F70" s="53">
        <f t="shared" si="8"/>
        <v>7.5999999999999998E-2</v>
      </c>
      <c r="G70" s="53">
        <f t="shared" si="9"/>
        <v>0.93700000000000006</v>
      </c>
      <c r="H70" s="53">
        <f t="shared" si="10"/>
        <v>5.0000000000000001E-3</v>
      </c>
      <c r="I70" s="53">
        <f t="shared" si="11"/>
        <v>4.9000000000000002E-2</v>
      </c>
      <c r="L70" t="s">
        <v>378</v>
      </c>
      <c r="M70" t="str">
        <f t="shared" si="13"/>
        <v>Attività di supporto all'estrazione di pietre ornamentali, da costruzione, da gesso, di anidrite, per calce e cementi, di dolomite, di ardesia, di ghiaia e sabbia, di argilla, di caolino, di pomice</v>
      </c>
      <c r="N70" t="str">
        <f t="shared" si="12"/>
        <v>B) Estrazione; C) Manifattura; D) Produzione energia/gas</v>
      </c>
    </row>
    <row r="71" spans="1:14" ht="76.5">
      <c r="A71" s="58" t="s">
        <v>360</v>
      </c>
      <c r="B71" s="59" t="s">
        <v>361</v>
      </c>
      <c r="C71">
        <v>2</v>
      </c>
      <c r="D71" t="str">
        <f>+VLOOKUP(AtecoCrisi[[#This Row],[COD. CRISI]],Tabella139[],2,0)</f>
        <v>B) Estrazione; C) Manifattura; D) Produzione energia/gas</v>
      </c>
      <c r="E71" s="53">
        <f t="shared" si="7"/>
        <v>0.03</v>
      </c>
      <c r="F71" s="53">
        <f t="shared" si="8"/>
        <v>7.5999999999999998E-2</v>
      </c>
      <c r="G71" s="53">
        <f t="shared" si="9"/>
        <v>0.93700000000000006</v>
      </c>
      <c r="H71" s="53">
        <f t="shared" si="10"/>
        <v>5.0000000000000001E-3</v>
      </c>
      <c r="I71" s="53">
        <f t="shared" si="11"/>
        <v>4.9000000000000002E-2</v>
      </c>
      <c r="L71" t="s">
        <v>380</v>
      </c>
      <c r="M71" t="str">
        <f t="shared" si="13"/>
        <v>Attività di supporto all'estrazione di altri minerali nca</v>
      </c>
      <c r="N71" t="str">
        <f t="shared" si="12"/>
        <v>B) Estrazione; C) Manifattura; D) Produzione energia/gas</v>
      </c>
    </row>
    <row r="72" spans="1:14" ht="51">
      <c r="A72" s="58" t="s">
        <v>362</v>
      </c>
      <c r="B72" s="59" t="s">
        <v>363</v>
      </c>
      <c r="C72">
        <v>2</v>
      </c>
      <c r="D72" t="str">
        <f>+VLOOKUP(AtecoCrisi[[#This Row],[COD. CRISI]],Tabella139[],2,0)</f>
        <v>B) Estrazione; C) Manifattura; D) Produzione energia/gas</v>
      </c>
      <c r="E72" s="53">
        <f t="shared" si="7"/>
        <v>0.03</v>
      </c>
      <c r="F72" s="53">
        <f t="shared" si="8"/>
        <v>7.5999999999999998E-2</v>
      </c>
      <c r="G72" s="53">
        <f t="shared" si="9"/>
        <v>0.93700000000000006</v>
      </c>
      <c r="H72" s="53">
        <f t="shared" si="10"/>
        <v>5.0000000000000001E-3</v>
      </c>
      <c r="I72" s="53">
        <f t="shared" si="11"/>
        <v>4.9000000000000002E-2</v>
      </c>
      <c r="L72" t="s">
        <v>385</v>
      </c>
      <c r="M72" t="str">
        <f t="shared" si="13"/>
        <v>Produzione di carne non di volatili e di prodotti della macellazione (attività dei mattatoi)</v>
      </c>
      <c r="N72" t="str">
        <f t="shared" si="12"/>
        <v>B) Estrazione; C) Manifattura; D) Produzione energia/gas</v>
      </c>
    </row>
    <row r="73" spans="1:14" ht="63.75">
      <c r="A73" s="58" t="s">
        <v>364</v>
      </c>
      <c r="B73" s="59" t="s">
        <v>365</v>
      </c>
      <c r="C73">
        <v>2</v>
      </c>
      <c r="D73" t="str">
        <f>+VLOOKUP(AtecoCrisi[[#This Row],[COD. CRISI]],Tabella139[],2,0)</f>
        <v>B) Estrazione; C) Manifattura; D) Produzione energia/gas</v>
      </c>
      <c r="E73" s="53">
        <f t="shared" si="7"/>
        <v>0.03</v>
      </c>
      <c r="F73" s="53">
        <f t="shared" si="8"/>
        <v>7.5999999999999998E-2</v>
      </c>
      <c r="G73" s="53">
        <f t="shared" si="9"/>
        <v>0.93700000000000006</v>
      </c>
      <c r="H73" s="53">
        <f t="shared" si="10"/>
        <v>5.0000000000000001E-3</v>
      </c>
      <c r="I73" s="53">
        <f t="shared" si="11"/>
        <v>4.9000000000000002E-2</v>
      </c>
      <c r="L73" t="s">
        <v>387</v>
      </c>
      <c r="M73" t="str">
        <f t="shared" si="13"/>
        <v>Produzione di carne di volatili e prodotti della loro macellazione (attività dei mattatoi)</v>
      </c>
      <c r="N73" t="str">
        <f t="shared" si="12"/>
        <v>B) Estrazione; C) Manifattura; D) Produzione energia/gas</v>
      </c>
    </row>
    <row r="74" spans="1:14">
      <c r="A74" s="58" t="s">
        <v>366</v>
      </c>
      <c r="B74" s="59" t="s">
        <v>367</v>
      </c>
      <c r="C74">
        <v>2</v>
      </c>
      <c r="D74" t="str">
        <f>+VLOOKUP(AtecoCrisi[[#This Row],[COD. CRISI]],Tabella139[],2,0)</f>
        <v>B) Estrazione; C) Manifattura; D) Produzione energia/gas</v>
      </c>
      <c r="E74" s="53">
        <f t="shared" si="7"/>
        <v>0.03</v>
      </c>
      <c r="F74" s="53">
        <f t="shared" si="8"/>
        <v>7.5999999999999998E-2</v>
      </c>
      <c r="G74" s="53">
        <f t="shared" si="9"/>
        <v>0.93700000000000006</v>
      </c>
      <c r="H74" s="53">
        <f t="shared" si="10"/>
        <v>5.0000000000000001E-3</v>
      </c>
      <c r="I74" s="53">
        <f t="shared" si="11"/>
        <v>4.9000000000000002E-2</v>
      </c>
      <c r="L74" t="s">
        <v>389</v>
      </c>
      <c r="M74" t="str">
        <f t="shared" si="13"/>
        <v>Produzione di prodotti a base di carne (inclusa la carne di volatili)</v>
      </c>
      <c r="N74" t="str">
        <f t="shared" si="12"/>
        <v>B) Estrazione; C) Manifattura; D) Produzione energia/gas</v>
      </c>
    </row>
    <row r="75" spans="1:14">
      <c r="A75" s="58" t="s">
        <v>368</v>
      </c>
      <c r="B75" s="59" t="s">
        <v>369</v>
      </c>
      <c r="C75">
        <v>2</v>
      </c>
      <c r="D75" t="str">
        <f>+VLOOKUP(AtecoCrisi[[#This Row],[COD. CRISI]],Tabella139[],2,0)</f>
        <v>B) Estrazione; C) Manifattura; D) Produzione energia/gas</v>
      </c>
      <c r="E75" s="53">
        <f t="shared" si="7"/>
        <v>0.03</v>
      </c>
      <c r="F75" s="53">
        <f t="shared" si="8"/>
        <v>7.5999999999999998E-2</v>
      </c>
      <c r="G75" s="53">
        <f t="shared" si="9"/>
        <v>0.93700000000000006</v>
      </c>
      <c r="H75" s="53">
        <f t="shared" si="10"/>
        <v>5.0000000000000001E-3</v>
      </c>
      <c r="I75" s="53">
        <f t="shared" si="11"/>
        <v>4.9000000000000002E-2</v>
      </c>
      <c r="L75" t="s">
        <v>391</v>
      </c>
      <c r="M75" t="str">
        <f t="shared" si="13"/>
        <v>Lavorazione e conservazione di pesce, crostacei e molluschi mediante surgelamento, salatura eccetera</v>
      </c>
      <c r="N75" t="str">
        <f t="shared" si="12"/>
        <v>B) Estrazione; C) Manifattura; D) Produzione energia/gas</v>
      </c>
    </row>
    <row r="76" spans="1:14" ht="38.25">
      <c r="A76" s="58" t="s">
        <v>370</v>
      </c>
      <c r="B76" s="59" t="s">
        <v>371</v>
      </c>
      <c r="C76">
        <v>2</v>
      </c>
      <c r="D76" t="str">
        <f>+VLOOKUP(AtecoCrisi[[#This Row],[COD. CRISI]],Tabella139[],2,0)</f>
        <v>B) Estrazione; C) Manifattura; D) Produzione energia/gas</v>
      </c>
      <c r="E76" s="53">
        <f t="shared" si="7"/>
        <v>0.03</v>
      </c>
      <c r="F76" s="53">
        <f t="shared" si="8"/>
        <v>7.5999999999999998E-2</v>
      </c>
      <c r="G76" s="53">
        <f t="shared" si="9"/>
        <v>0.93700000000000006</v>
      </c>
      <c r="H76" s="53">
        <f t="shared" si="10"/>
        <v>5.0000000000000001E-3</v>
      </c>
      <c r="I76" s="53">
        <f t="shared" si="11"/>
        <v>4.9000000000000002E-2</v>
      </c>
      <c r="L76" t="s">
        <v>393</v>
      </c>
      <c r="M76" t="str">
        <f t="shared" si="13"/>
        <v>Lavorazione e conservazione delle patate</v>
      </c>
      <c r="N76" t="str">
        <f t="shared" si="12"/>
        <v>B) Estrazione; C) Manifattura; D) Produzione energia/gas</v>
      </c>
    </row>
    <row r="77" spans="1:14" ht="38.25">
      <c r="A77" s="58" t="s">
        <v>372</v>
      </c>
      <c r="B77" s="59" t="s">
        <v>373</v>
      </c>
      <c r="C77">
        <v>2</v>
      </c>
      <c r="D77" t="str">
        <f>+VLOOKUP(AtecoCrisi[[#This Row],[COD. CRISI]],Tabella139[],2,0)</f>
        <v>B) Estrazione; C) Manifattura; D) Produzione energia/gas</v>
      </c>
      <c r="E77" s="53">
        <f t="shared" si="7"/>
        <v>0.03</v>
      </c>
      <c r="F77" s="53">
        <f t="shared" si="8"/>
        <v>7.5999999999999998E-2</v>
      </c>
      <c r="G77" s="53">
        <f t="shared" si="9"/>
        <v>0.93700000000000006</v>
      </c>
      <c r="H77" s="53">
        <f t="shared" si="10"/>
        <v>5.0000000000000001E-3</v>
      </c>
      <c r="I77" s="53">
        <f t="shared" si="11"/>
        <v>4.9000000000000002E-2</v>
      </c>
      <c r="L77" t="s">
        <v>395</v>
      </c>
      <c r="M77" t="str">
        <f t="shared" si="13"/>
        <v>Produzione di succhi di frutta e di ortaggi</v>
      </c>
      <c r="N77" t="str">
        <f t="shared" si="12"/>
        <v>B) Estrazione; C) Manifattura; D) Produzione energia/gas</v>
      </c>
    </row>
    <row r="78" spans="1:14" ht="51">
      <c r="A78" s="56" t="s">
        <v>374</v>
      </c>
      <c r="B78" s="57" t="s">
        <v>375</v>
      </c>
      <c r="C78">
        <v>2</v>
      </c>
      <c r="D78" t="str">
        <f>+VLOOKUP(AtecoCrisi[[#This Row],[COD. CRISI]],Tabella139[],2,0)</f>
        <v>B) Estrazione; C) Manifattura; D) Produzione energia/gas</v>
      </c>
      <c r="E78" s="53">
        <f t="shared" si="7"/>
        <v>0.03</v>
      </c>
      <c r="F78" s="53">
        <f t="shared" si="8"/>
        <v>7.5999999999999998E-2</v>
      </c>
      <c r="G78" s="53">
        <f t="shared" si="9"/>
        <v>0.93700000000000006</v>
      </c>
      <c r="H78" s="53">
        <f t="shared" si="10"/>
        <v>5.0000000000000001E-3</v>
      </c>
      <c r="I78" s="53">
        <f t="shared" si="11"/>
        <v>4.9000000000000002E-2</v>
      </c>
      <c r="L78" t="s">
        <v>397</v>
      </c>
      <c r="M78" t="str">
        <f t="shared" si="13"/>
        <v>Lavorazione e conservazione di frutta e di ortaggi (esclusi i succhi di frutta e di ortaggi)</v>
      </c>
      <c r="N78" t="str">
        <f t="shared" si="12"/>
        <v>B) Estrazione; C) Manifattura; D) Produzione energia/gas</v>
      </c>
    </row>
    <row r="79" spans="1:14" ht="51">
      <c r="A79" s="58" t="s">
        <v>376</v>
      </c>
      <c r="B79" s="59" t="s">
        <v>377</v>
      </c>
      <c r="C79">
        <v>2</v>
      </c>
      <c r="D79" t="str">
        <f>+VLOOKUP(AtecoCrisi[[#This Row],[COD. CRISI]],Tabella139[],2,0)</f>
        <v>B) Estrazione; C) Manifattura; D) Produzione energia/gas</v>
      </c>
      <c r="E79" s="53">
        <f t="shared" si="7"/>
        <v>0.03</v>
      </c>
      <c r="F79" s="53">
        <f t="shared" si="8"/>
        <v>7.5999999999999998E-2</v>
      </c>
      <c r="G79" s="53">
        <f t="shared" si="9"/>
        <v>0.93700000000000006</v>
      </c>
      <c r="H79" s="53">
        <f t="shared" si="10"/>
        <v>5.0000000000000001E-3</v>
      </c>
      <c r="I79" s="53">
        <f t="shared" si="11"/>
        <v>4.9000000000000002E-2</v>
      </c>
      <c r="L79" t="s">
        <v>399</v>
      </c>
      <c r="M79" t="str">
        <f t="shared" si="13"/>
        <v>Produzione di olio di oliva da olive prevalentemente non di produzione propria</v>
      </c>
      <c r="N79" t="str">
        <f t="shared" si="12"/>
        <v>B) Estrazione; C) Manifattura; D) Produzione energia/gas</v>
      </c>
    </row>
    <row r="80" spans="1:14" ht="153">
      <c r="A80" s="58" t="s">
        <v>378</v>
      </c>
      <c r="B80" s="59" t="s">
        <v>379</v>
      </c>
      <c r="C80">
        <v>2</v>
      </c>
      <c r="D80" t="str">
        <f>+VLOOKUP(AtecoCrisi[[#This Row],[COD. CRISI]],Tabella139[],2,0)</f>
        <v>B) Estrazione; C) Manifattura; D) Produzione energia/gas</v>
      </c>
      <c r="E80" s="53">
        <f t="shared" si="7"/>
        <v>0.03</v>
      </c>
      <c r="F80" s="53">
        <f t="shared" si="8"/>
        <v>7.5999999999999998E-2</v>
      </c>
      <c r="G80" s="53">
        <f t="shared" si="9"/>
        <v>0.93700000000000006</v>
      </c>
      <c r="H80" s="53">
        <f t="shared" si="10"/>
        <v>5.0000000000000001E-3</v>
      </c>
      <c r="I80" s="53">
        <f t="shared" si="11"/>
        <v>4.9000000000000002E-2</v>
      </c>
      <c r="L80" t="s">
        <v>401</v>
      </c>
      <c r="M80" t="str">
        <f t="shared" si="13"/>
        <v>Produzione di olio raffinato o grezzo da semi oleosi o frutti oleosi prevalentemente non di produzione propria</v>
      </c>
      <c r="N80" t="str">
        <f t="shared" si="12"/>
        <v>B) Estrazione; C) Manifattura; D) Produzione energia/gas</v>
      </c>
    </row>
    <row r="81" spans="1:14" ht="38.25">
      <c r="A81" s="58" t="s">
        <v>380</v>
      </c>
      <c r="B81" s="59" t="s">
        <v>381</v>
      </c>
      <c r="C81">
        <v>2</v>
      </c>
      <c r="D81" t="str">
        <f>+VLOOKUP(AtecoCrisi[[#This Row],[COD. CRISI]],Tabella139[],2,0)</f>
        <v>B) Estrazione; C) Manifattura; D) Produzione energia/gas</v>
      </c>
      <c r="E81" s="53">
        <f t="shared" si="7"/>
        <v>0.03</v>
      </c>
      <c r="F81" s="53">
        <f t="shared" si="8"/>
        <v>7.5999999999999998E-2</v>
      </c>
      <c r="G81" s="53">
        <f t="shared" si="9"/>
        <v>0.93700000000000006</v>
      </c>
      <c r="H81" s="53">
        <f t="shared" si="10"/>
        <v>5.0000000000000001E-3</v>
      </c>
      <c r="I81" s="53">
        <f t="shared" si="11"/>
        <v>4.9000000000000002E-2</v>
      </c>
      <c r="L81" t="s">
        <v>403</v>
      </c>
      <c r="M81" t="str">
        <f t="shared" si="13"/>
        <v>Produzione di oli e grassi animali grezzi o raffinati</v>
      </c>
      <c r="N81" t="str">
        <f t="shared" si="12"/>
        <v>B) Estrazione; C) Manifattura; D) Produzione energia/gas</v>
      </c>
    </row>
    <row r="82" spans="1:14" ht="47.25">
      <c r="A82" s="51" t="s">
        <v>8</v>
      </c>
      <c r="B82" s="52" t="s">
        <v>382</v>
      </c>
      <c r="C82">
        <v>2</v>
      </c>
      <c r="D82" t="str">
        <f>+VLOOKUP(AtecoCrisi[[#This Row],[COD. CRISI]],Tabella139[],2,0)</f>
        <v>B) Estrazione; C) Manifattura; D) Produzione energia/gas</v>
      </c>
      <c r="E82" s="53">
        <f t="shared" si="7"/>
        <v>0.03</v>
      </c>
      <c r="F82" s="53">
        <f t="shared" si="8"/>
        <v>7.5999999999999998E-2</v>
      </c>
      <c r="G82" s="53">
        <f t="shared" si="9"/>
        <v>0.93700000000000006</v>
      </c>
      <c r="H82" s="53">
        <f t="shared" si="10"/>
        <v>5.0000000000000001E-3</v>
      </c>
      <c r="I82" s="53">
        <f t="shared" si="11"/>
        <v>4.9000000000000002E-2</v>
      </c>
      <c r="L82" t="s">
        <v>405</v>
      </c>
      <c r="M82" t="str">
        <f t="shared" si="13"/>
        <v>Produzione di margarina e di grassi commestibili simili</v>
      </c>
      <c r="N82" t="str">
        <f t="shared" si="12"/>
        <v>B) Estrazione; C) Manifattura; D) Produzione energia/gas</v>
      </c>
    </row>
    <row r="83" spans="1:14" ht="25.5">
      <c r="A83" s="56" t="s">
        <v>383</v>
      </c>
      <c r="B83" s="57" t="s">
        <v>384</v>
      </c>
      <c r="C83">
        <v>2</v>
      </c>
      <c r="D83" t="str">
        <f>+VLOOKUP(AtecoCrisi[[#This Row],[COD. CRISI]],Tabella139[],2,0)</f>
        <v>B) Estrazione; C) Manifattura; D) Produzione energia/gas</v>
      </c>
      <c r="E83" s="53">
        <f t="shared" si="7"/>
        <v>0.03</v>
      </c>
      <c r="F83" s="53">
        <f t="shared" si="8"/>
        <v>7.5999999999999998E-2</v>
      </c>
      <c r="G83" s="53">
        <f t="shared" si="9"/>
        <v>0.93700000000000006</v>
      </c>
      <c r="H83" s="53">
        <f t="shared" si="10"/>
        <v>5.0000000000000001E-3</v>
      </c>
      <c r="I83" s="53">
        <f t="shared" si="11"/>
        <v>4.9000000000000002E-2</v>
      </c>
      <c r="L83" t="s">
        <v>407</v>
      </c>
      <c r="M83" t="str">
        <f t="shared" si="13"/>
        <v>Trattamento igienico del latte</v>
      </c>
      <c r="N83" t="str">
        <f t="shared" si="12"/>
        <v>B) Estrazione; C) Manifattura; D) Produzione energia/gas</v>
      </c>
    </row>
    <row r="84" spans="1:14" ht="76.5">
      <c r="A84" s="58" t="s">
        <v>385</v>
      </c>
      <c r="B84" s="59" t="s">
        <v>386</v>
      </c>
      <c r="C84">
        <v>2</v>
      </c>
      <c r="D84" t="str">
        <f>+VLOOKUP(AtecoCrisi[[#This Row],[COD. CRISI]],Tabella139[],2,0)</f>
        <v>B) Estrazione; C) Manifattura; D) Produzione energia/gas</v>
      </c>
      <c r="E84" s="53">
        <f t="shared" si="7"/>
        <v>0.03</v>
      </c>
      <c r="F84" s="53">
        <f t="shared" si="8"/>
        <v>7.5999999999999998E-2</v>
      </c>
      <c r="G84" s="53">
        <f t="shared" si="9"/>
        <v>0.93700000000000006</v>
      </c>
      <c r="H84" s="53">
        <f t="shared" si="10"/>
        <v>5.0000000000000001E-3</v>
      </c>
      <c r="I84" s="53">
        <f t="shared" si="11"/>
        <v>4.9000000000000002E-2</v>
      </c>
      <c r="L84" t="s">
        <v>409</v>
      </c>
      <c r="M84" t="str">
        <f t="shared" si="13"/>
        <v>Produzione dei derivati del latte</v>
      </c>
      <c r="N84" t="str">
        <f t="shared" si="12"/>
        <v>B) Estrazione; C) Manifattura; D) Produzione energia/gas</v>
      </c>
    </row>
    <row r="85" spans="1:14" ht="76.5">
      <c r="A85" s="58" t="s">
        <v>387</v>
      </c>
      <c r="B85" s="59" t="s">
        <v>388</v>
      </c>
      <c r="C85">
        <v>2</v>
      </c>
      <c r="D85" t="str">
        <f>+VLOOKUP(AtecoCrisi[[#This Row],[COD. CRISI]],Tabella139[],2,0)</f>
        <v>B) Estrazione; C) Manifattura; D) Produzione energia/gas</v>
      </c>
      <c r="E85" s="53">
        <f t="shared" si="7"/>
        <v>0.03</v>
      </c>
      <c r="F85" s="53">
        <f t="shared" si="8"/>
        <v>7.5999999999999998E-2</v>
      </c>
      <c r="G85" s="53">
        <f t="shared" si="9"/>
        <v>0.93700000000000006</v>
      </c>
      <c r="H85" s="53">
        <f t="shared" si="10"/>
        <v>5.0000000000000001E-3</v>
      </c>
      <c r="I85" s="53">
        <f t="shared" si="11"/>
        <v>4.9000000000000002E-2</v>
      </c>
      <c r="L85" t="s">
        <v>411</v>
      </c>
      <c r="M85" t="str">
        <f t="shared" si="13"/>
        <v>Produzione di gelati senza vendita diretta al pubblico</v>
      </c>
      <c r="N85" t="str">
        <f t="shared" si="12"/>
        <v>B) Estrazione; C) Manifattura; D) Produzione energia/gas</v>
      </c>
    </row>
    <row r="86" spans="1:14" ht="51">
      <c r="A86" s="58" t="s">
        <v>389</v>
      </c>
      <c r="B86" s="59" t="s">
        <v>390</v>
      </c>
      <c r="C86">
        <v>2</v>
      </c>
      <c r="D86" t="str">
        <f>+VLOOKUP(AtecoCrisi[[#This Row],[COD. CRISI]],Tabella139[],2,0)</f>
        <v>B) Estrazione; C) Manifattura; D) Produzione energia/gas</v>
      </c>
      <c r="E86" s="53">
        <f t="shared" si="7"/>
        <v>0.03</v>
      </c>
      <c r="F86" s="53">
        <f t="shared" si="8"/>
        <v>7.5999999999999998E-2</v>
      </c>
      <c r="G86" s="53">
        <f t="shared" si="9"/>
        <v>0.93700000000000006</v>
      </c>
      <c r="H86" s="53">
        <f t="shared" si="10"/>
        <v>5.0000000000000001E-3</v>
      </c>
      <c r="I86" s="53">
        <f t="shared" si="11"/>
        <v>4.9000000000000002E-2</v>
      </c>
      <c r="L86" t="s">
        <v>413</v>
      </c>
      <c r="M86" t="str">
        <f t="shared" si="13"/>
        <v>Molitura del frumento</v>
      </c>
      <c r="N86" t="str">
        <f t="shared" si="12"/>
        <v>B) Estrazione; C) Manifattura; D) Produzione energia/gas</v>
      </c>
    </row>
    <row r="87" spans="1:14" ht="89.25">
      <c r="A87" s="58" t="s">
        <v>391</v>
      </c>
      <c r="B87" s="59" t="s">
        <v>392</v>
      </c>
      <c r="C87">
        <v>2</v>
      </c>
      <c r="D87" t="str">
        <f>+VLOOKUP(AtecoCrisi[[#This Row],[COD. CRISI]],Tabella139[],2,0)</f>
        <v>B) Estrazione; C) Manifattura; D) Produzione energia/gas</v>
      </c>
      <c r="E87" s="53">
        <f t="shared" si="7"/>
        <v>0.03</v>
      </c>
      <c r="F87" s="53">
        <f t="shared" si="8"/>
        <v>7.5999999999999998E-2</v>
      </c>
      <c r="G87" s="53">
        <f t="shared" si="9"/>
        <v>0.93700000000000006</v>
      </c>
      <c r="H87" s="53">
        <f t="shared" si="10"/>
        <v>5.0000000000000001E-3</v>
      </c>
      <c r="I87" s="53">
        <f t="shared" si="11"/>
        <v>4.9000000000000002E-2</v>
      </c>
      <c r="L87" t="s">
        <v>415</v>
      </c>
      <c r="M87" t="str">
        <f t="shared" si="13"/>
        <v>Molitura di altri cereali</v>
      </c>
      <c r="N87" t="str">
        <f t="shared" si="12"/>
        <v>B) Estrazione; C) Manifattura; D) Produzione energia/gas</v>
      </c>
    </row>
    <row r="88" spans="1:14" ht="38.25">
      <c r="A88" s="58" t="s">
        <v>393</v>
      </c>
      <c r="B88" s="59" t="s">
        <v>394</v>
      </c>
      <c r="C88">
        <v>2</v>
      </c>
      <c r="D88" t="str">
        <f>+VLOOKUP(AtecoCrisi[[#This Row],[COD. CRISI]],Tabella139[],2,0)</f>
        <v>B) Estrazione; C) Manifattura; D) Produzione energia/gas</v>
      </c>
      <c r="E88" s="53">
        <f t="shared" si="7"/>
        <v>0.03</v>
      </c>
      <c r="F88" s="53">
        <f t="shared" si="8"/>
        <v>7.5999999999999998E-2</v>
      </c>
      <c r="G88" s="53">
        <f t="shared" si="9"/>
        <v>0.93700000000000006</v>
      </c>
      <c r="H88" s="53">
        <f t="shared" si="10"/>
        <v>5.0000000000000001E-3</v>
      </c>
      <c r="I88" s="53">
        <f t="shared" si="11"/>
        <v>4.9000000000000002E-2</v>
      </c>
      <c r="L88" t="s">
        <v>417</v>
      </c>
      <c r="M88" t="str">
        <f t="shared" si="13"/>
        <v>Lavorazione del riso</v>
      </c>
      <c r="N88" t="str">
        <f t="shared" si="12"/>
        <v>B) Estrazione; C) Manifattura; D) Produzione energia/gas</v>
      </c>
    </row>
    <row r="89" spans="1:14" ht="38.25">
      <c r="A89" s="58" t="s">
        <v>395</v>
      </c>
      <c r="B89" s="59" t="s">
        <v>396</v>
      </c>
      <c r="C89">
        <v>2</v>
      </c>
      <c r="D89" t="str">
        <f>+VLOOKUP(AtecoCrisi[[#This Row],[COD. CRISI]],Tabella139[],2,0)</f>
        <v>B) Estrazione; C) Manifattura; D) Produzione energia/gas</v>
      </c>
      <c r="E89" s="53">
        <f t="shared" si="7"/>
        <v>0.03</v>
      </c>
      <c r="F89" s="53">
        <f t="shared" si="8"/>
        <v>7.5999999999999998E-2</v>
      </c>
      <c r="G89" s="53">
        <f t="shared" si="9"/>
        <v>0.93700000000000006</v>
      </c>
      <c r="H89" s="53">
        <f t="shared" si="10"/>
        <v>5.0000000000000001E-3</v>
      </c>
      <c r="I89" s="53">
        <f t="shared" si="11"/>
        <v>4.9000000000000002E-2</v>
      </c>
      <c r="L89" t="s">
        <v>419</v>
      </c>
      <c r="M89" t="str">
        <f t="shared" si="13"/>
        <v>Altre lavorazioni di semi e granaglie</v>
      </c>
      <c r="N89" t="str">
        <f t="shared" si="12"/>
        <v>B) Estrazione; C) Manifattura; D) Produzione energia/gas</v>
      </c>
    </row>
    <row r="90" spans="1:14" ht="63.75">
      <c r="A90" s="58" t="s">
        <v>397</v>
      </c>
      <c r="B90" s="59" t="s">
        <v>398</v>
      </c>
      <c r="C90">
        <v>2</v>
      </c>
      <c r="D90" t="str">
        <f>+VLOOKUP(AtecoCrisi[[#This Row],[COD. CRISI]],Tabella139[],2,0)</f>
        <v>B) Estrazione; C) Manifattura; D) Produzione energia/gas</v>
      </c>
      <c r="E90" s="53">
        <f t="shared" si="7"/>
        <v>0.03</v>
      </c>
      <c r="F90" s="53">
        <f t="shared" si="8"/>
        <v>7.5999999999999998E-2</v>
      </c>
      <c r="G90" s="53">
        <f t="shared" si="9"/>
        <v>0.93700000000000006</v>
      </c>
      <c r="H90" s="53">
        <f t="shared" si="10"/>
        <v>5.0000000000000001E-3</v>
      </c>
      <c r="I90" s="53">
        <f t="shared" si="11"/>
        <v>4.9000000000000002E-2</v>
      </c>
      <c r="L90" t="s">
        <v>421</v>
      </c>
      <c r="M90" t="str">
        <f t="shared" si="13"/>
        <v>Produzione di amidi e di prodotti amidacei (inclusa produzione di olio di mais)</v>
      </c>
      <c r="N90" t="str">
        <f t="shared" si="12"/>
        <v>B) Estrazione; C) Manifattura; D) Produzione energia/gas</v>
      </c>
    </row>
    <row r="91" spans="1:14" ht="63.75">
      <c r="A91" s="58" t="s">
        <v>399</v>
      </c>
      <c r="B91" s="59" t="s">
        <v>400</v>
      </c>
      <c r="C91">
        <v>2</v>
      </c>
      <c r="D91" t="str">
        <f>+VLOOKUP(AtecoCrisi[[#This Row],[COD. CRISI]],Tabella139[],2,0)</f>
        <v>B) Estrazione; C) Manifattura; D) Produzione energia/gas</v>
      </c>
      <c r="E91" s="53">
        <f t="shared" si="7"/>
        <v>0.03</v>
      </c>
      <c r="F91" s="53">
        <f t="shared" si="8"/>
        <v>7.5999999999999998E-2</v>
      </c>
      <c r="G91" s="53">
        <f t="shared" si="9"/>
        <v>0.93700000000000006</v>
      </c>
      <c r="H91" s="53">
        <f t="shared" si="10"/>
        <v>5.0000000000000001E-3</v>
      </c>
      <c r="I91" s="53">
        <f t="shared" si="11"/>
        <v>4.9000000000000002E-2</v>
      </c>
      <c r="L91" t="s">
        <v>423</v>
      </c>
      <c r="M91" t="str">
        <f t="shared" si="13"/>
        <v>Produzione di prodotti di panetteria freschi</v>
      </c>
      <c r="N91" t="str">
        <f t="shared" si="12"/>
        <v>B) Estrazione; C) Manifattura; D) Produzione energia/gas</v>
      </c>
    </row>
    <row r="92" spans="1:14" ht="89.25">
      <c r="A92" s="58" t="s">
        <v>401</v>
      </c>
      <c r="B92" s="59" t="s">
        <v>402</v>
      </c>
      <c r="C92">
        <v>2</v>
      </c>
      <c r="D92" t="str">
        <f>+VLOOKUP(AtecoCrisi[[#This Row],[COD. CRISI]],Tabella139[],2,0)</f>
        <v>B) Estrazione; C) Manifattura; D) Produzione energia/gas</v>
      </c>
      <c r="E92" s="53">
        <f t="shared" si="7"/>
        <v>0.03</v>
      </c>
      <c r="F92" s="53">
        <f t="shared" si="8"/>
        <v>7.5999999999999998E-2</v>
      </c>
      <c r="G92" s="53">
        <f t="shared" si="9"/>
        <v>0.93700000000000006</v>
      </c>
      <c r="H92" s="53">
        <f t="shared" si="10"/>
        <v>5.0000000000000001E-3</v>
      </c>
      <c r="I92" s="53">
        <f t="shared" si="11"/>
        <v>4.9000000000000002E-2</v>
      </c>
      <c r="L92" t="s">
        <v>425</v>
      </c>
      <c r="M92" t="str">
        <f t="shared" si="13"/>
        <v>Produzione di pasticceria fresca</v>
      </c>
      <c r="N92" t="str">
        <f t="shared" si="12"/>
        <v>B) Estrazione; C) Manifattura; D) Produzione energia/gas</v>
      </c>
    </row>
    <row r="93" spans="1:14" ht="38.25">
      <c r="A93" s="58" t="s">
        <v>403</v>
      </c>
      <c r="B93" s="59" t="s">
        <v>404</v>
      </c>
      <c r="C93">
        <v>2</v>
      </c>
      <c r="D93" t="str">
        <f>+VLOOKUP(AtecoCrisi[[#This Row],[COD. CRISI]],Tabella139[],2,0)</f>
        <v>B) Estrazione; C) Manifattura; D) Produzione energia/gas</v>
      </c>
      <c r="E93" s="53">
        <f t="shared" si="7"/>
        <v>0.03</v>
      </c>
      <c r="F93" s="53">
        <f t="shared" si="8"/>
        <v>7.5999999999999998E-2</v>
      </c>
      <c r="G93" s="53">
        <f t="shared" si="9"/>
        <v>0.93700000000000006</v>
      </c>
      <c r="H93" s="53">
        <f t="shared" si="10"/>
        <v>5.0000000000000001E-3</v>
      </c>
      <c r="I93" s="53">
        <f t="shared" si="11"/>
        <v>4.9000000000000002E-2</v>
      </c>
      <c r="L93" t="s">
        <v>427</v>
      </c>
      <c r="M93" t="str">
        <f t="shared" si="13"/>
        <v>Produzione di fette biscottate, biscotti; prodotti di pasticceria conservati</v>
      </c>
      <c r="N93" t="str">
        <f t="shared" si="12"/>
        <v>B) Estrazione; C) Manifattura; D) Produzione energia/gas</v>
      </c>
    </row>
    <row r="94" spans="1:14" ht="51">
      <c r="A94" s="58" t="s">
        <v>405</v>
      </c>
      <c r="B94" s="59" t="s">
        <v>406</v>
      </c>
      <c r="C94">
        <v>2</v>
      </c>
      <c r="D94" t="str">
        <f>+VLOOKUP(AtecoCrisi[[#This Row],[COD. CRISI]],Tabella139[],2,0)</f>
        <v>B) Estrazione; C) Manifattura; D) Produzione energia/gas</v>
      </c>
      <c r="E94" s="53">
        <f t="shared" si="7"/>
        <v>0.03</v>
      </c>
      <c r="F94" s="53">
        <f t="shared" si="8"/>
        <v>7.5999999999999998E-2</v>
      </c>
      <c r="G94" s="53">
        <f t="shared" si="9"/>
        <v>0.93700000000000006</v>
      </c>
      <c r="H94" s="53">
        <f t="shared" si="10"/>
        <v>5.0000000000000001E-3</v>
      </c>
      <c r="I94" s="53">
        <f t="shared" si="11"/>
        <v>4.9000000000000002E-2</v>
      </c>
      <c r="L94" t="s">
        <v>429</v>
      </c>
      <c r="M94" t="str">
        <f t="shared" si="13"/>
        <v>Produzione di paste alimentari, di cuscus e di prodotti farinacei simili</v>
      </c>
      <c r="N94" t="str">
        <f t="shared" si="12"/>
        <v>B) Estrazione; C) Manifattura; D) Produzione energia/gas</v>
      </c>
    </row>
    <row r="95" spans="1:14" ht="25.5">
      <c r="A95" s="58" t="s">
        <v>407</v>
      </c>
      <c r="B95" s="59" t="s">
        <v>408</v>
      </c>
      <c r="C95">
        <v>2</v>
      </c>
      <c r="D95" t="str">
        <f>+VLOOKUP(AtecoCrisi[[#This Row],[COD. CRISI]],Tabella139[],2,0)</f>
        <v>B) Estrazione; C) Manifattura; D) Produzione energia/gas</v>
      </c>
      <c r="E95" s="53">
        <f t="shared" si="7"/>
        <v>0.03</v>
      </c>
      <c r="F95" s="53">
        <f t="shared" si="8"/>
        <v>7.5999999999999998E-2</v>
      </c>
      <c r="G95" s="53">
        <f t="shared" si="9"/>
        <v>0.93700000000000006</v>
      </c>
      <c r="H95" s="53">
        <f t="shared" si="10"/>
        <v>5.0000000000000001E-3</v>
      </c>
      <c r="I95" s="53">
        <f t="shared" si="11"/>
        <v>4.9000000000000002E-2</v>
      </c>
      <c r="L95" t="s">
        <v>431</v>
      </c>
      <c r="M95" t="str">
        <f t="shared" si="13"/>
        <v>Produzione di zucchero</v>
      </c>
      <c r="N95" t="str">
        <f t="shared" si="12"/>
        <v>B) Estrazione; C) Manifattura; D) Produzione energia/gas</v>
      </c>
    </row>
    <row r="96" spans="1:14" ht="25.5">
      <c r="A96" s="58" t="s">
        <v>409</v>
      </c>
      <c r="B96" s="59" t="s">
        <v>410</v>
      </c>
      <c r="C96">
        <v>2</v>
      </c>
      <c r="D96" t="str">
        <f>+VLOOKUP(AtecoCrisi[[#This Row],[COD. CRISI]],Tabella139[],2,0)</f>
        <v>B) Estrazione; C) Manifattura; D) Produzione energia/gas</v>
      </c>
      <c r="E96" s="53">
        <f t="shared" si="7"/>
        <v>0.03</v>
      </c>
      <c r="F96" s="53">
        <f t="shared" si="8"/>
        <v>7.5999999999999998E-2</v>
      </c>
      <c r="G96" s="53">
        <f t="shared" si="9"/>
        <v>0.93700000000000006</v>
      </c>
      <c r="H96" s="53">
        <f t="shared" si="10"/>
        <v>5.0000000000000001E-3</v>
      </c>
      <c r="I96" s="53">
        <f t="shared" si="11"/>
        <v>4.9000000000000002E-2</v>
      </c>
      <c r="L96" t="s">
        <v>433</v>
      </c>
      <c r="M96" t="str">
        <f t="shared" si="13"/>
        <v>Produzione di cacao in polvere, cioccolato, caramelle e confetterie</v>
      </c>
      <c r="N96" t="str">
        <f t="shared" si="12"/>
        <v>B) Estrazione; C) Manifattura; D) Produzione energia/gas</v>
      </c>
    </row>
    <row r="97" spans="1:14" ht="51">
      <c r="A97" s="58" t="s">
        <v>411</v>
      </c>
      <c r="B97" s="59" t="s">
        <v>412</v>
      </c>
      <c r="C97">
        <v>2</v>
      </c>
      <c r="D97" t="str">
        <f>+VLOOKUP(AtecoCrisi[[#This Row],[COD. CRISI]],Tabella139[],2,0)</f>
        <v>B) Estrazione; C) Manifattura; D) Produzione energia/gas</v>
      </c>
      <c r="E97" s="53">
        <f t="shared" si="7"/>
        <v>0.03</v>
      </c>
      <c r="F97" s="53">
        <f t="shared" si="8"/>
        <v>7.5999999999999998E-2</v>
      </c>
      <c r="G97" s="53">
        <f t="shared" si="9"/>
        <v>0.93700000000000006</v>
      </c>
      <c r="H97" s="53">
        <f t="shared" si="10"/>
        <v>5.0000000000000001E-3</v>
      </c>
      <c r="I97" s="53">
        <f t="shared" si="11"/>
        <v>4.9000000000000002E-2</v>
      </c>
      <c r="L97" t="s">
        <v>435</v>
      </c>
      <c r="M97" t="str">
        <f t="shared" si="13"/>
        <v>Lavorazione del caffè</v>
      </c>
      <c r="N97" t="str">
        <f t="shared" si="12"/>
        <v>B) Estrazione; C) Manifattura; D) Produzione energia/gas</v>
      </c>
    </row>
    <row r="98" spans="1:14" ht="25.5">
      <c r="A98" s="58" t="s">
        <v>413</v>
      </c>
      <c r="B98" s="59" t="s">
        <v>414</v>
      </c>
      <c r="C98">
        <v>2</v>
      </c>
      <c r="D98" t="str">
        <f>+VLOOKUP(AtecoCrisi[[#This Row],[COD. CRISI]],Tabella139[],2,0)</f>
        <v>B) Estrazione; C) Manifattura; D) Produzione energia/gas</v>
      </c>
      <c r="E98" s="53">
        <f t="shared" si="7"/>
        <v>0.03</v>
      </c>
      <c r="F98" s="53">
        <f t="shared" si="8"/>
        <v>7.5999999999999998E-2</v>
      </c>
      <c r="G98" s="53">
        <f t="shared" si="9"/>
        <v>0.93700000000000006</v>
      </c>
      <c r="H98" s="53">
        <f t="shared" si="10"/>
        <v>5.0000000000000001E-3</v>
      </c>
      <c r="I98" s="53">
        <f t="shared" si="11"/>
        <v>4.9000000000000002E-2</v>
      </c>
      <c r="L98" t="s">
        <v>437</v>
      </c>
      <c r="M98" t="str">
        <f t="shared" si="13"/>
        <v>Lavorazione del tè e di altri preparati per infusi</v>
      </c>
      <c r="N98" t="str">
        <f t="shared" si="12"/>
        <v>B) Estrazione; C) Manifattura; D) Produzione energia/gas</v>
      </c>
    </row>
    <row r="99" spans="1:14" ht="25.5">
      <c r="A99" s="58" t="s">
        <v>415</v>
      </c>
      <c r="B99" s="59" t="s">
        <v>416</v>
      </c>
      <c r="C99">
        <v>2</v>
      </c>
      <c r="D99" t="str">
        <f>+VLOOKUP(AtecoCrisi[[#This Row],[COD. CRISI]],Tabella139[],2,0)</f>
        <v>B) Estrazione; C) Manifattura; D) Produzione energia/gas</v>
      </c>
      <c r="E99" s="53">
        <f t="shared" si="7"/>
        <v>0.03</v>
      </c>
      <c r="F99" s="53">
        <f t="shared" si="8"/>
        <v>7.5999999999999998E-2</v>
      </c>
      <c r="G99" s="53">
        <f t="shared" si="9"/>
        <v>0.93700000000000006</v>
      </c>
      <c r="H99" s="53">
        <f t="shared" si="10"/>
        <v>5.0000000000000001E-3</v>
      </c>
      <c r="I99" s="53">
        <f t="shared" si="11"/>
        <v>4.9000000000000002E-2</v>
      </c>
      <c r="L99" t="s">
        <v>439</v>
      </c>
      <c r="M99" t="str">
        <f t="shared" si="13"/>
        <v>Produzione di condimenti e spezie</v>
      </c>
      <c r="N99" t="str">
        <f t="shared" si="12"/>
        <v>B) Estrazione; C) Manifattura; D) Produzione energia/gas</v>
      </c>
    </row>
    <row r="100" spans="1:14" ht="25.5">
      <c r="A100" s="58" t="s">
        <v>417</v>
      </c>
      <c r="B100" s="59" t="s">
        <v>418</v>
      </c>
      <c r="C100">
        <v>2</v>
      </c>
      <c r="D100" t="str">
        <f>+VLOOKUP(AtecoCrisi[[#This Row],[COD. CRISI]],Tabella139[],2,0)</f>
        <v>B) Estrazione; C) Manifattura; D) Produzione energia/gas</v>
      </c>
      <c r="E100" s="53">
        <f t="shared" si="7"/>
        <v>0.03</v>
      </c>
      <c r="F100" s="53">
        <f t="shared" si="8"/>
        <v>7.5999999999999998E-2</v>
      </c>
      <c r="G100" s="53">
        <f t="shared" si="9"/>
        <v>0.93700000000000006</v>
      </c>
      <c r="H100" s="53">
        <f t="shared" si="10"/>
        <v>5.0000000000000001E-3</v>
      </c>
      <c r="I100" s="53">
        <f t="shared" si="11"/>
        <v>4.9000000000000002E-2</v>
      </c>
      <c r="L100" t="s">
        <v>441</v>
      </c>
      <c r="M100" t="str">
        <f t="shared" si="13"/>
        <v>Produzione di piatti pronti a base di carne e pollame</v>
      </c>
      <c r="N100" t="str">
        <f t="shared" si="12"/>
        <v>B) Estrazione; C) Manifattura; D) Produzione energia/gas</v>
      </c>
    </row>
    <row r="101" spans="1:14" ht="25.5">
      <c r="A101" s="58" t="s">
        <v>419</v>
      </c>
      <c r="B101" s="59" t="s">
        <v>420</v>
      </c>
      <c r="C101">
        <v>2</v>
      </c>
      <c r="D101" t="str">
        <f>+VLOOKUP(AtecoCrisi[[#This Row],[COD. CRISI]],Tabella139[],2,0)</f>
        <v>B) Estrazione; C) Manifattura; D) Produzione energia/gas</v>
      </c>
      <c r="E101" s="53">
        <f t="shared" si="7"/>
        <v>0.03</v>
      </c>
      <c r="F101" s="53">
        <f t="shared" si="8"/>
        <v>7.5999999999999998E-2</v>
      </c>
      <c r="G101" s="53">
        <f t="shared" si="9"/>
        <v>0.93700000000000006</v>
      </c>
      <c r="H101" s="53">
        <f t="shared" si="10"/>
        <v>5.0000000000000001E-3</v>
      </c>
      <c r="I101" s="53">
        <f t="shared" si="11"/>
        <v>4.9000000000000002E-2</v>
      </c>
      <c r="L101" t="s">
        <v>443</v>
      </c>
      <c r="M101" t="str">
        <f t="shared" si="13"/>
        <v>Produzione di piatti pronti a base di pesce, inclusi fish and chips</v>
      </c>
      <c r="N101" t="str">
        <f t="shared" si="12"/>
        <v>B) Estrazione; C) Manifattura; D) Produzione energia/gas</v>
      </c>
    </row>
    <row r="102" spans="1:14" ht="63.75">
      <c r="A102" s="58" t="s">
        <v>421</v>
      </c>
      <c r="B102" s="59" t="s">
        <v>422</v>
      </c>
      <c r="C102">
        <v>2</v>
      </c>
      <c r="D102" t="str">
        <f>+VLOOKUP(AtecoCrisi[[#This Row],[COD. CRISI]],Tabella139[],2,0)</f>
        <v>B) Estrazione; C) Manifattura; D) Produzione energia/gas</v>
      </c>
      <c r="E102" s="53">
        <f t="shared" si="7"/>
        <v>0.03</v>
      </c>
      <c r="F102" s="53">
        <f t="shared" si="8"/>
        <v>7.5999999999999998E-2</v>
      </c>
      <c r="G102" s="53">
        <f t="shared" si="9"/>
        <v>0.93700000000000006</v>
      </c>
      <c r="H102" s="53">
        <f t="shared" si="10"/>
        <v>5.0000000000000001E-3</v>
      </c>
      <c r="I102" s="53">
        <f t="shared" si="11"/>
        <v>4.9000000000000002E-2</v>
      </c>
      <c r="L102" t="s">
        <v>445</v>
      </c>
      <c r="M102" t="str">
        <f t="shared" si="13"/>
        <v>Produzione di piatti pronti a base di ortaggi</v>
      </c>
      <c r="N102" t="str">
        <f t="shared" si="12"/>
        <v>B) Estrazione; C) Manifattura; D) Produzione energia/gas</v>
      </c>
    </row>
    <row r="103" spans="1:14" ht="38.25">
      <c r="A103" s="58" t="s">
        <v>423</v>
      </c>
      <c r="B103" s="59" t="s">
        <v>424</v>
      </c>
      <c r="C103">
        <v>2</v>
      </c>
      <c r="D103" t="str">
        <f>+VLOOKUP(AtecoCrisi[[#This Row],[COD. CRISI]],Tabella139[],2,0)</f>
        <v>B) Estrazione; C) Manifattura; D) Produzione energia/gas</v>
      </c>
      <c r="E103" s="53">
        <f t="shared" si="7"/>
        <v>0.03</v>
      </c>
      <c r="F103" s="53">
        <f t="shared" si="8"/>
        <v>7.5999999999999998E-2</v>
      </c>
      <c r="G103" s="53">
        <f t="shared" si="9"/>
        <v>0.93700000000000006</v>
      </c>
      <c r="H103" s="53">
        <f t="shared" si="10"/>
        <v>5.0000000000000001E-3</v>
      </c>
      <c r="I103" s="53">
        <f t="shared" si="11"/>
        <v>4.9000000000000002E-2</v>
      </c>
      <c r="L103" t="s">
        <v>447</v>
      </c>
      <c r="M103" t="str">
        <f t="shared" si="13"/>
        <v>Produzione di pizza confezionata</v>
      </c>
      <c r="N103" t="str">
        <f t="shared" si="12"/>
        <v>B) Estrazione; C) Manifattura; D) Produzione energia/gas</v>
      </c>
    </row>
    <row r="104" spans="1:14" ht="25.5">
      <c r="A104" s="58" t="s">
        <v>425</v>
      </c>
      <c r="B104" s="59" t="s">
        <v>426</v>
      </c>
      <c r="C104">
        <v>2</v>
      </c>
      <c r="D104" t="str">
        <f>+VLOOKUP(AtecoCrisi[[#This Row],[COD. CRISI]],Tabella139[],2,0)</f>
        <v>B) Estrazione; C) Manifattura; D) Produzione energia/gas</v>
      </c>
      <c r="E104" s="53">
        <f t="shared" si="7"/>
        <v>0.03</v>
      </c>
      <c r="F104" s="53">
        <f t="shared" si="8"/>
        <v>7.5999999999999998E-2</v>
      </c>
      <c r="G104" s="53">
        <f t="shared" si="9"/>
        <v>0.93700000000000006</v>
      </c>
      <c r="H104" s="53">
        <f t="shared" si="10"/>
        <v>5.0000000000000001E-3</v>
      </c>
      <c r="I104" s="53">
        <f t="shared" si="11"/>
        <v>4.9000000000000002E-2</v>
      </c>
      <c r="L104" t="s">
        <v>449</v>
      </c>
      <c r="M104" t="str">
        <f t="shared" si="13"/>
        <v>Produzione di piatti pronti a base di pasta</v>
      </c>
      <c r="N104" t="str">
        <f t="shared" si="12"/>
        <v>B) Estrazione; C) Manifattura; D) Produzione energia/gas</v>
      </c>
    </row>
    <row r="105" spans="1:14" ht="63.75">
      <c r="A105" s="58" t="s">
        <v>427</v>
      </c>
      <c r="B105" s="59" t="s">
        <v>428</v>
      </c>
      <c r="C105">
        <v>2</v>
      </c>
      <c r="D105" t="str">
        <f>+VLOOKUP(AtecoCrisi[[#This Row],[COD. CRISI]],Tabella139[],2,0)</f>
        <v>B) Estrazione; C) Manifattura; D) Produzione energia/gas</v>
      </c>
      <c r="E105" s="53">
        <f t="shared" si="7"/>
        <v>0.03</v>
      </c>
      <c r="F105" s="53">
        <f t="shared" si="8"/>
        <v>7.5999999999999998E-2</v>
      </c>
      <c r="G105" s="53">
        <f t="shared" si="9"/>
        <v>0.93700000000000006</v>
      </c>
      <c r="H105" s="53">
        <f t="shared" si="10"/>
        <v>5.0000000000000001E-3</v>
      </c>
      <c r="I105" s="53">
        <f t="shared" si="11"/>
        <v>4.9000000000000002E-2</v>
      </c>
      <c r="L105" t="s">
        <v>451</v>
      </c>
      <c r="M105" t="str">
        <f t="shared" si="13"/>
        <v>Produzione di pasti e piatti pronti di altri prodotti alimentari</v>
      </c>
      <c r="N105" t="str">
        <f t="shared" si="12"/>
        <v>B) Estrazione; C) Manifattura; D) Produzione energia/gas</v>
      </c>
    </row>
    <row r="106" spans="1:14" ht="63.75">
      <c r="A106" s="58" t="s">
        <v>429</v>
      </c>
      <c r="B106" s="59" t="s">
        <v>430</v>
      </c>
      <c r="C106">
        <v>2</v>
      </c>
      <c r="D106" t="str">
        <f>+VLOOKUP(AtecoCrisi[[#This Row],[COD. CRISI]],Tabella139[],2,0)</f>
        <v>B) Estrazione; C) Manifattura; D) Produzione energia/gas</v>
      </c>
      <c r="E106" s="53">
        <f t="shared" si="7"/>
        <v>0.03</v>
      </c>
      <c r="F106" s="53">
        <f t="shared" si="8"/>
        <v>7.5999999999999998E-2</v>
      </c>
      <c r="G106" s="53">
        <f t="shared" si="9"/>
        <v>0.93700000000000006</v>
      </c>
      <c r="H106" s="53">
        <f t="shared" si="10"/>
        <v>5.0000000000000001E-3</v>
      </c>
      <c r="I106" s="53">
        <f t="shared" si="11"/>
        <v>4.9000000000000002E-2</v>
      </c>
      <c r="L106" t="s">
        <v>453</v>
      </c>
      <c r="M106" t="str">
        <f t="shared" si="13"/>
        <v>Produzione di preparati omogeneizzati e di alimenti dietetici</v>
      </c>
      <c r="N106" t="str">
        <f t="shared" si="12"/>
        <v>B) Estrazione; C) Manifattura; D) Produzione energia/gas</v>
      </c>
    </row>
    <row r="107" spans="1:14" ht="25.5">
      <c r="A107" s="58" t="s">
        <v>431</v>
      </c>
      <c r="B107" s="59" t="s">
        <v>432</v>
      </c>
      <c r="C107">
        <v>2</v>
      </c>
      <c r="D107" t="str">
        <f>+VLOOKUP(AtecoCrisi[[#This Row],[COD. CRISI]],Tabella139[],2,0)</f>
        <v>B) Estrazione; C) Manifattura; D) Produzione energia/gas</v>
      </c>
      <c r="E107" s="53">
        <f t="shared" si="7"/>
        <v>0.03</v>
      </c>
      <c r="F107" s="53">
        <f t="shared" si="8"/>
        <v>7.5999999999999998E-2</v>
      </c>
      <c r="G107" s="53">
        <f t="shared" si="9"/>
        <v>0.93700000000000006</v>
      </c>
      <c r="H107" s="53">
        <f t="shared" si="10"/>
        <v>5.0000000000000001E-3</v>
      </c>
      <c r="I107" s="53">
        <f t="shared" si="11"/>
        <v>4.9000000000000002E-2</v>
      </c>
      <c r="L107" t="s">
        <v>455</v>
      </c>
      <c r="M107" t="str">
        <f t="shared" si="13"/>
        <v>Produzione di estratti e succhi di carne</v>
      </c>
      <c r="N107" t="str">
        <f t="shared" si="12"/>
        <v>B) Estrazione; C) Manifattura; D) Produzione energia/gas</v>
      </c>
    </row>
    <row r="108" spans="1:14" ht="63.75">
      <c r="A108" s="58" t="s">
        <v>433</v>
      </c>
      <c r="B108" s="59" t="s">
        <v>434</v>
      </c>
      <c r="C108">
        <v>2</v>
      </c>
      <c r="D108" t="str">
        <f>+VLOOKUP(AtecoCrisi[[#This Row],[COD. CRISI]],Tabella139[],2,0)</f>
        <v>B) Estrazione; C) Manifattura; D) Produzione energia/gas</v>
      </c>
      <c r="E108" s="53">
        <f t="shared" si="7"/>
        <v>0.03</v>
      </c>
      <c r="F108" s="53">
        <f t="shared" si="8"/>
        <v>7.5999999999999998E-2</v>
      </c>
      <c r="G108" s="53">
        <f t="shared" si="9"/>
        <v>0.93700000000000006</v>
      </c>
      <c r="H108" s="53">
        <f t="shared" si="10"/>
        <v>5.0000000000000001E-3</v>
      </c>
      <c r="I108" s="53">
        <f t="shared" si="11"/>
        <v>4.9000000000000002E-2</v>
      </c>
      <c r="L108" t="s">
        <v>457</v>
      </c>
      <c r="M108" t="str">
        <f t="shared" si="13"/>
        <v>Produzione di altri prodotti alimentari nca</v>
      </c>
      <c r="N108" t="str">
        <f t="shared" si="12"/>
        <v>B) Estrazione; C) Manifattura; D) Produzione energia/gas</v>
      </c>
    </row>
    <row r="109" spans="1:14" ht="25.5">
      <c r="A109" s="58" t="s">
        <v>435</v>
      </c>
      <c r="B109" s="59" t="s">
        <v>436</v>
      </c>
      <c r="C109">
        <v>2</v>
      </c>
      <c r="D109" t="str">
        <f>+VLOOKUP(AtecoCrisi[[#This Row],[COD. CRISI]],Tabella139[],2,0)</f>
        <v>B) Estrazione; C) Manifattura; D) Produzione energia/gas</v>
      </c>
      <c r="E109" s="53">
        <f t="shared" si="7"/>
        <v>0.03</v>
      </c>
      <c r="F109" s="53">
        <f t="shared" si="8"/>
        <v>7.5999999999999998E-2</v>
      </c>
      <c r="G109" s="53">
        <f t="shared" si="9"/>
        <v>0.93700000000000006</v>
      </c>
      <c r="H109" s="53">
        <f t="shared" si="10"/>
        <v>5.0000000000000001E-3</v>
      </c>
      <c r="I109" s="53">
        <f t="shared" si="11"/>
        <v>4.9000000000000002E-2</v>
      </c>
      <c r="L109" t="s">
        <v>459</v>
      </c>
      <c r="M109" t="str">
        <f t="shared" si="13"/>
        <v>Produzione di mangimi per l'alimentazione degli animali da allevamento</v>
      </c>
      <c r="N109" t="str">
        <f t="shared" si="12"/>
        <v>B) Estrazione; C) Manifattura; D) Produzione energia/gas</v>
      </c>
    </row>
    <row r="110" spans="1:14" ht="38.25">
      <c r="A110" s="58" t="s">
        <v>437</v>
      </c>
      <c r="B110" s="59" t="s">
        <v>438</v>
      </c>
      <c r="C110">
        <v>2</v>
      </c>
      <c r="D110" t="str">
        <f>+VLOOKUP(AtecoCrisi[[#This Row],[COD. CRISI]],Tabella139[],2,0)</f>
        <v>B) Estrazione; C) Manifattura; D) Produzione energia/gas</v>
      </c>
      <c r="E110" s="53">
        <f t="shared" si="7"/>
        <v>0.03</v>
      </c>
      <c r="F110" s="53">
        <f t="shared" si="8"/>
        <v>7.5999999999999998E-2</v>
      </c>
      <c r="G110" s="53">
        <f t="shared" si="9"/>
        <v>0.93700000000000006</v>
      </c>
      <c r="H110" s="53">
        <f t="shared" si="10"/>
        <v>5.0000000000000001E-3</v>
      </c>
      <c r="I110" s="53">
        <f t="shared" si="11"/>
        <v>4.9000000000000002E-2</v>
      </c>
      <c r="L110" t="s">
        <v>461</v>
      </c>
      <c r="M110" t="str">
        <f t="shared" si="13"/>
        <v>Produzione di prodotti per l'alimentazione degli animali da compagnia</v>
      </c>
      <c r="N110" t="str">
        <f t="shared" si="12"/>
        <v>B) Estrazione; C) Manifattura; D) Produzione energia/gas</v>
      </c>
    </row>
    <row r="111" spans="1:14" ht="38.25">
      <c r="A111" s="58" t="s">
        <v>439</v>
      </c>
      <c r="B111" s="59" t="s">
        <v>440</v>
      </c>
      <c r="C111">
        <v>2</v>
      </c>
      <c r="D111" t="str">
        <f>+VLOOKUP(AtecoCrisi[[#This Row],[COD. CRISI]],Tabella139[],2,0)</f>
        <v>B) Estrazione; C) Manifattura; D) Produzione energia/gas</v>
      </c>
      <c r="E111" s="53">
        <f t="shared" si="7"/>
        <v>0.03</v>
      </c>
      <c r="F111" s="53">
        <f t="shared" si="8"/>
        <v>7.5999999999999998E-2</v>
      </c>
      <c r="G111" s="53">
        <f t="shared" si="9"/>
        <v>0.93700000000000006</v>
      </c>
      <c r="H111" s="53">
        <f t="shared" si="10"/>
        <v>5.0000000000000001E-3</v>
      </c>
      <c r="I111" s="53">
        <f t="shared" si="11"/>
        <v>4.9000000000000002E-2</v>
      </c>
      <c r="L111" t="s">
        <v>465</v>
      </c>
      <c r="M111" t="str">
        <f t="shared" si="13"/>
        <v>Distillazione, rettifica e miscelatura degli alcolici</v>
      </c>
      <c r="N111" t="str">
        <f t="shared" si="12"/>
        <v>B) Estrazione; C) Manifattura; D) Produzione energia/gas</v>
      </c>
    </row>
    <row r="112" spans="1:14" ht="38.25">
      <c r="A112" s="58" t="s">
        <v>441</v>
      </c>
      <c r="B112" s="59" t="s">
        <v>442</v>
      </c>
      <c r="C112">
        <v>2</v>
      </c>
      <c r="D112" t="str">
        <f>+VLOOKUP(AtecoCrisi[[#This Row],[COD. CRISI]],Tabella139[],2,0)</f>
        <v>B) Estrazione; C) Manifattura; D) Produzione energia/gas</v>
      </c>
      <c r="E112" s="53">
        <f t="shared" si="7"/>
        <v>0.03</v>
      </c>
      <c r="F112" s="53">
        <f t="shared" si="8"/>
        <v>7.5999999999999998E-2</v>
      </c>
      <c r="G112" s="53">
        <f t="shared" si="9"/>
        <v>0.93700000000000006</v>
      </c>
      <c r="H112" s="53">
        <f t="shared" si="10"/>
        <v>5.0000000000000001E-3</v>
      </c>
      <c r="I112" s="53">
        <f t="shared" si="11"/>
        <v>4.9000000000000002E-2</v>
      </c>
      <c r="L112" t="s">
        <v>467</v>
      </c>
      <c r="M112" t="str">
        <f t="shared" si="13"/>
        <v>Produzione di vini da tavola e v.q.p.r.d.</v>
      </c>
      <c r="N112" t="str">
        <f t="shared" si="12"/>
        <v>B) Estrazione; C) Manifattura; D) Produzione energia/gas</v>
      </c>
    </row>
    <row r="113" spans="1:14" ht="51">
      <c r="A113" s="58" t="s">
        <v>443</v>
      </c>
      <c r="B113" s="59" t="s">
        <v>444</v>
      </c>
      <c r="C113">
        <v>2</v>
      </c>
      <c r="D113" t="str">
        <f>+VLOOKUP(AtecoCrisi[[#This Row],[COD. CRISI]],Tabella139[],2,0)</f>
        <v>B) Estrazione; C) Manifattura; D) Produzione energia/gas</v>
      </c>
      <c r="E113" s="53">
        <f t="shared" si="7"/>
        <v>0.03</v>
      </c>
      <c r="F113" s="53">
        <f t="shared" si="8"/>
        <v>7.5999999999999998E-2</v>
      </c>
      <c r="G113" s="53">
        <f t="shared" si="9"/>
        <v>0.93700000000000006</v>
      </c>
      <c r="H113" s="53">
        <f t="shared" si="10"/>
        <v>5.0000000000000001E-3</v>
      </c>
      <c r="I113" s="53">
        <f t="shared" si="11"/>
        <v>4.9000000000000002E-2</v>
      </c>
      <c r="L113" t="s">
        <v>469</v>
      </c>
      <c r="M113" t="str">
        <f t="shared" si="13"/>
        <v>Produzione di vino spumante e altri vini speciali</v>
      </c>
      <c r="N113" t="str">
        <f t="shared" si="12"/>
        <v>B) Estrazione; C) Manifattura; D) Produzione energia/gas</v>
      </c>
    </row>
    <row r="114" spans="1:14" ht="38.25">
      <c r="A114" s="58" t="s">
        <v>445</v>
      </c>
      <c r="B114" s="59" t="s">
        <v>446</v>
      </c>
      <c r="C114">
        <v>2</v>
      </c>
      <c r="D114" t="str">
        <f>+VLOOKUP(AtecoCrisi[[#This Row],[COD. CRISI]],Tabella139[],2,0)</f>
        <v>B) Estrazione; C) Manifattura; D) Produzione energia/gas</v>
      </c>
      <c r="E114" s="53">
        <f t="shared" si="7"/>
        <v>0.03</v>
      </c>
      <c r="F114" s="53">
        <f t="shared" si="8"/>
        <v>7.5999999999999998E-2</v>
      </c>
      <c r="G114" s="53">
        <f t="shared" si="9"/>
        <v>0.93700000000000006</v>
      </c>
      <c r="H114" s="53">
        <f t="shared" si="10"/>
        <v>5.0000000000000001E-3</v>
      </c>
      <c r="I114" s="53">
        <f t="shared" si="11"/>
        <v>4.9000000000000002E-2</v>
      </c>
      <c r="L114" t="s">
        <v>471</v>
      </c>
      <c r="M114" t="str">
        <f t="shared" si="13"/>
        <v>Produzione di sidro e di altri vini a base di frutta</v>
      </c>
      <c r="N114" t="str">
        <f t="shared" si="12"/>
        <v>B) Estrazione; C) Manifattura; D) Produzione energia/gas</v>
      </c>
    </row>
    <row r="115" spans="1:14" ht="25.5">
      <c r="A115" s="58" t="s">
        <v>447</v>
      </c>
      <c r="B115" s="59" t="s">
        <v>448</v>
      </c>
      <c r="C115">
        <v>2</v>
      </c>
      <c r="D115" t="str">
        <f>+VLOOKUP(AtecoCrisi[[#This Row],[COD. CRISI]],Tabella139[],2,0)</f>
        <v>B) Estrazione; C) Manifattura; D) Produzione energia/gas</v>
      </c>
      <c r="E115" s="53">
        <f t="shared" si="7"/>
        <v>0.03</v>
      </c>
      <c r="F115" s="53">
        <f t="shared" si="8"/>
        <v>7.5999999999999998E-2</v>
      </c>
      <c r="G115" s="53">
        <f t="shared" si="9"/>
        <v>0.93700000000000006</v>
      </c>
      <c r="H115" s="53">
        <f t="shared" si="10"/>
        <v>5.0000000000000001E-3</v>
      </c>
      <c r="I115" s="53">
        <f t="shared" si="11"/>
        <v>4.9000000000000002E-2</v>
      </c>
      <c r="L115" t="s">
        <v>473</v>
      </c>
      <c r="M115" t="str">
        <f t="shared" si="13"/>
        <v>Produzione di altre bevande fermentate non distillate</v>
      </c>
      <c r="N115" t="str">
        <f t="shared" si="12"/>
        <v>B) Estrazione; C) Manifattura; D) Produzione energia/gas</v>
      </c>
    </row>
    <row r="116" spans="1:14" ht="38.25">
      <c r="A116" s="58" t="s">
        <v>449</v>
      </c>
      <c r="B116" s="59" t="s">
        <v>450</v>
      </c>
      <c r="C116">
        <v>2</v>
      </c>
      <c r="D116" t="str">
        <f>+VLOOKUP(AtecoCrisi[[#This Row],[COD. CRISI]],Tabella139[],2,0)</f>
        <v>B) Estrazione; C) Manifattura; D) Produzione energia/gas</v>
      </c>
      <c r="E116" s="53">
        <f t="shared" si="7"/>
        <v>0.03</v>
      </c>
      <c r="F116" s="53">
        <f t="shared" si="8"/>
        <v>7.5999999999999998E-2</v>
      </c>
      <c r="G116" s="53">
        <f t="shared" si="9"/>
        <v>0.93700000000000006</v>
      </c>
      <c r="H116" s="53">
        <f t="shared" si="10"/>
        <v>5.0000000000000001E-3</v>
      </c>
      <c r="I116" s="53">
        <f t="shared" si="11"/>
        <v>4.9000000000000002E-2</v>
      </c>
      <c r="L116" t="s">
        <v>475</v>
      </c>
      <c r="M116" t="str">
        <f t="shared" si="13"/>
        <v>Produzione di birra</v>
      </c>
      <c r="N116" t="str">
        <f t="shared" si="12"/>
        <v>B) Estrazione; C) Manifattura; D) Produzione energia/gas</v>
      </c>
    </row>
    <row r="117" spans="1:14" ht="51">
      <c r="A117" s="58" t="s">
        <v>451</v>
      </c>
      <c r="B117" s="59" t="s">
        <v>452</v>
      </c>
      <c r="C117">
        <v>2</v>
      </c>
      <c r="D117" t="str">
        <f>+VLOOKUP(AtecoCrisi[[#This Row],[COD. CRISI]],Tabella139[],2,0)</f>
        <v>B) Estrazione; C) Manifattura; D) Produzione energia/gas</v>
      </c>
      <c r="E117" s="53">
        <f t="shared" si="7"/>
        <v>0.03</v>
      </c>
      <c r="F117" s="53">
        <f t="shared" si="8"/>
        <v>7.5999999999999998E-2</v>
      </c>
      <c r="G117" s="53">
        <f t="shared" si="9"/>
        <v>0.93700000000000006</v>
      </c>
      <c r="H117" s="53">
        <f t="shared" si="10"/>
        <v>5.0000000000000001E-3</v>
      </c>
      <c r="I117" s="53">
        <f t="shared" si="11"/>
        <v>4.9000000000000002E-2</v>
      </c>
      <c r="L117" t="s">
        <v>477</v>
      </c>
      <c r="M117" t="str">
        <f t="shared" si="13"/>
        <v>Produzione di malto</v>
      </c>
      <c r="N117" t="str">
        <f t="shared" si="12"/>
        <v>B) Estrazione; C) Manifattura; D) Produzione energia/gas</v>
      </c>
    </row>
    <row r="118" spans="1:14" ht="51">
      <c r="A118" s="58" t="s">
        <v>453</v>
      </c>
      <c r="B118" s="59" t="s">
        <v>454</v>
      </c>
      <c r="C118">
        <v>2</v>
      </c>
      <c r="D118" t="str">
        <f>+VLOOKUP(AtecoCrisi[[#This Row],[COD. CRISI]],Tabella139[],2,0)</f>
        <v>B) Estrazione; C) Manifattura; D) Produzione energia/gas</v>
      </c>
      <c r="E118" s="53">
        <f t="shared" si="7"/>
        <v>0.03</v>
      </c>
      <c r="F118" s="53">
        <f t="shared" si="8"/>
        <v>7.5999999999999998E-2</v>
      </c>
      <c r="G118" s="53">
        <f t="shared" si="9"/>
        <v>0.93700000000000006</v>
      </c>
      <c r="H118" s="53">
        <f t="shared" si="10"/>
        <v>5.0000000000000001E-3</v>
      </c>
      <c r="I118" s="53">
        <f t="shared" si="11"/>
        <v>4.9000000000000002E-2</v>
      </c>
      <c r="L118" t="s">
        <v>479</v>
      </c>
      <c r="M118" t="str">
        <f t="shared" si="13"/>
        <v>Industria delle bibite analcoliche, delle acque minerali e di altre acque in bottiglia</v>
      </c>
      <c r="N118" t="str">
        <f t="shared" si="12"/>
        <v>B) Estrazione; C) Manifattura; D) Produzione energia/gas</v>
      </c>
    </row>
    <row r="119" spans="1:14" ht="38.25">
      <c r="A119" s="58" t="s">
        <v>455</v>
      </c>
      <c r="B119" s="59" t="s">
        <v>456</v>
      </c>
      <c r="C119">
        <v>2</v>
      </c>
      <c r="D119" t="str">
        <f>+VLOOKUP(AtecoCrisi[[#This Row],[COD. CRISI]],Tabella139[],2,0)</f>
        <v>B) Estrazione; C) Manifattura; D) Produzione energia/gas</v>
      </c>
      <c r="E119" s="53">
        <f t="shared" si="7"/>
        <v>0.03</v>
      </c>
      <c r="F119" s="53">
        <f t="shared" si="8"/>
        <v>7.5999999999999998E-2</v>
      </c>
      <c r="G119" s="53">
        <f t="shared" si="9"/>
        <v>0.93700000000000006</v>
      </c>
      <c r="H119" s="53">
        <f t="shared" si="10"/>
        <v>5.0000000000000001E-3</v>
      </c>
      <c r="I119" s="53">
        <f t="shared" si="11"/>
        <v>4.9000000000000002E-2</v>
      </c>
      <c r="L119" t="s">
        <v>483</v>
      </c>
      <c r="M119" t="str">
        <f t="shared" si="13"/>
        <v>Industria del tabacco</v>
      </c>
      <c r="N119" t="str">
        <f t="shared" si="12"/>
        <v>B) Estrazione; C) Manifattura; D) Produzione energia/gas</v>
      </c>
    </row>
    <row r="120" spans="1:14" ht="38.25">
      <c r="A120" s="58" t="s">
        <v>457</v>
      </c>
      <c r="B120" s="59" t="s">
        <v>458</v>
      </c>
      <c r="C120">
        <v>2</v>
      </c>
      <c r="D120" t="str">
        <f>+VLOOKUP(AtecoCrisi[[#This Row],[COD. CRISI]],Tabella139[],2,0)</f>
        <v>B) Estrazione; C) Manifattura; D) Produzione energia/gas</v>
      </c>
      <c r="E120" s="53">
        <f t="shared" si="7"/>
        <v>0.03</v>
      </c>
      <c r="F120" s="53">
        <f t="shared" si="8"/>
        <v>7.5999999999999998E-2</v>
      </c>
      <c r="G120" s="53">
        <f t="shared" si="9"/>
        <v>0.93700000000000006</v>
      </c>
      <c r="H120" s="53">
        <f t="shared" si="10"/>
        <v>5.0000000000000001E-3</v>
      </c>
      <c r="I120" s="53">
        <f t="shared" si="11"/>
        <v>4.9000000000000002E-2</v>
      </c>
      <c r="L120" t="s">
        <v>487</v>
      </c>
      <c r="M120" t="str">
        <f t="shared" si="13"/>
        <v>Preparazione e filatura di fibre tessili</v>
      </c>
      <c r="N120" t="str">
        <f t="shared" si="12"/>
        <v>B) Estrazione; C) Manifattura; D) Produzione energia/gas</v>
      </c>
    </row>
    <row r="121" spans="1:14" ht="63.75">
      <c r="A121" s="58" t="s">
        <v>459</v>
      </c>
      <c r="B121" s="59" t="s">
        <v>460</v>
      </c>
      <c r="C121">
        <v>2</v>
      </c>
      <c r="D121" t="str">
        <f>+VLOOKUP(AtecoCrisi[[#This Row],[COD. CRISI]],Tabella139[],2,0)</f>
        <v>B) Estrazione; C) Manifattura; D) Produzione energia/gas</v>
      </c>
      <c r="E121" s="53">
        <f t="shared" si="7"/>
        <v>0.03</v>
      </c>
      <c r="F121" s="53">
        <f t="shared" si="8"/>
        <v>7.5999999999999998E-2</v>
      </c>
      <c r="G121" s="53">
        <f t="shared" si="9"/>
        <v>0.93700000000000006</v>
      </c>
      <c r="H121" s="53">
        <f t="shared" si="10"/>
        <v>5.0000000000000001E-3</v>
      </c>
      <c r="I121" s="53">
        <f t="shared" si="11"/>
        <v>4.9000000000000002E-2</v>
      </c>
      <c r="L121" t="s">
        <v>489</v>
      </c>
      <c r="M121" t="str">
        <f t="shared" si="13"/>
        <v>Tessitura</v>
      </c>
      <c r="N121" t="str">
        <f t="shared" si="12"/>
        <v>B) Estrazione; C) Manifattura; D) Produzione energia/gas</v>
      </c>
    </row>
    <row r="122" spans="1:14" ht="63.75">
      <c r="A122" s="58" t="s">
        <v>461</v>
      </c>
      <c r="B122" s="59" t="s">
        <v>462</v>
      </c>
      <c r="C122">
        <v>2</v>
      </c>
      <c r="D122" t="str">
        <f>+VLOOKUP(AtecoCrisi[[#This Row],[COD. CRISI]],Tabella139[],2,0)</f>
        <v>B) Estrazione; C) Manifattura; D) Produzione energia/gas</v>
      </c>
      <c r="E122" s="53">
        <f t="shared" si="7"/>
        <v>0.03</v>
      </c>
      <c r="F122" s="53">
        <f t="shared" si="8"/>
        <v>7.5999999999999998E-2</v>
      </c>
      <c r="G122" s="53">
        <f t="shared" si="9"/>
        <v>0.93700000000000006</v>
      </c>
      <c r="H122" s="53">
        <f t="shared" si="10"/>
        <v>5.0000000000000001E-3</v>
      </c>
      <c r="I122" s="53">
        <f t="shared" si="11"/>
        <v>4.9000000000000002E-2</v>
      </c>
      <c r="L122" t="s">
        <v>491</v>
      </c>
      <c r="M122" t="str">
        <f t="shared" si="13"/>
        <v>Finissaggio dei tessili, degli articoli di vestiario e attività similari</v>
      </c>
      <c r="N122" t="str">
        <f t="shared" si="12"/>
        <v>B) Estrazione; C) Manifattura; D) Produzione energia/gas</v>
      </c>
    </row>
    <row r="123" spans="1:14" ht="25.5">
      <c r="A123" s="56" t="s">
        <v>463</v>
      </c>
      <c r="B123" s="57" t="s">
        <v>464</v>
      </c>
      <c r="C123">
        <v>2</v>
      </c>
      <c r="D123" t="str">
        <f>+VLOOKUP(AtecoCrisi[[#This Row],[COD. CRISI]],Tabella139[],2,0)</f>
        <v>B) Estrazione; C) Manifattura; D) Produzione energia/gas</v>
      </c>
      <c r="E123" s="53">
        <f t="shared" si="7"/>
        <v>0.03</v>
      </c>
      <c r="F123" s="53">
        <f t="shared" si="8"/>
        <v>7.5999999999999998E-2</v>
      </c>
      <c r="G123" s="53">
        <f t="shared" si="9"/>
        <v>0.93700000000000006</v>
      </c>
      <c r="H123" s="53">
        <f t="shared" si="10"/>
        <v>5.0000000000000001E-3</v>
      </c>
      <c r="I123" s="53">
        <f t="shared" si="11"/>
        <v>4.9000000000000002E-2</v>
      </c>
      <c r="L123" t="s">
        <v>493</v>
      </c>
      <c r="M123" t="str">
        <f t="shared" si="13"/>
        <v>Fabbricazione di tessuti a maglia</v>
      </c>
      <c r="N123" t="str">
        <f t="shared" si="12"/>
        <v>B) Estrazione; C) Manifattura; D) Produzione energia/gas</v>
      </c>
    </row>
    <row r="124" spans="1:14" ht="51">
      <c r="A124" s="58" t="s">
        <v>465</v>
      </c>
      <c r="B124" s="59" t="s">
        <v>466</v>
      </c>
      <c r="C124">
        <v>2</v>
      </c>
      <c r="D124" t="str">
        <f>+VLOOKUP(AtecoCrisi[[#This Row],[COD. CRISI]],Tabella139[],2,0)</f>
        <v>B) Estrazione; C) Manifattura; D) Produzione energia/gas</v>
      </c>
      <c r="E124" s="53">
        <f t="shared" si="7"/>
        <v>0.03</v>
      </c>
      <c r="F124" s="53">
        <f t="shared" si="8"/>
        <v>7.5999999999999998E-2</v>
      </c>
      <c r="G124" s="53">
        <f t="shared" si="9"/>
        <v>0.93700000000000006</v>
      </c>
      <c r="H124" s="53">
        <f t="shared" si="10"/>
        <v>5.0000000000000001E-3</v>
      </c>
      <c r="I124" s="53">
        <f t="shared" si="11"/>
        <v>4.9000000000000002E-2</v>
      </c>
      <c r="L124" t="s">
        <v>495</v>
      </c>
      <c r="M124" t="str">
        <f t="shared" si="13"/>
        <v>Confezionamento di biancheria da letto, da tavola e per l'arredamento</v>
      </c>
      <c r="N124" t="str">
        <f t="shared" si="12"/>
        <v>B) Estrazione; C) Manifattura; D) Produzione energia/gas</v>
      </c>
    </row>
    <row r="125" spans="1:14" ht="38.25">
      <c r="A125" s="58" t="s">
        <v>467</v>
      </c>
      <c r="B125" s="59" t="s">
        <v>468</v>
      </c>
      <c r="C125">
        <v>2</v>
      </c>
      <c r="D125" t="str">
        <f>+VLOOKUP(AtecoCrisi[[#This Row],[COD. CRISI]],Tabella139[],2,0)</f>
        <v>B) Estrazione; C) Manifattura; D) Produzione energia/gas</v>
      </c>
      <c r="E125" s="53">
        <f t="shared" si="7"/>
        <v>0.03</v>
      </c>
      <c r="F125" s="53">
        <f t="shared" si="8"/>
        <v>7.5999999999999998E-2</v>
      </c>
      <c r="G125" s="53">
        <f t="shared" si="9"/>
        <v>0.93700000000000006</v>
      </c>
      <c r="H125" s="53">
        <f t="shared" si="10"/>
        <v>5.0000000000000001E-3</v>
      </c>
      <c r="I125" s="53">
        <f t="shared" si="11"/>
        <v>4.9000000000000002E-2</v>
      </c>
      <c r="L125" t="s">
        <v>497</v>
      </c>
      <c r="M125" t="str">
        <f t="shared" si="13"/>
        <v>Fabbricazione di articoli in materie tessili nca</v>
      </c>
      <c r="N125" t="str">
        <f t="shared" si="12"/>
        <v>B) Estrazione; C) Manifattura; D) Produzione energia/gas</v>
      </c>
    </row>
    <row r="126" spans="1:14" ht="38.25">
      <c r="A126" s="58" t="s">
        <v>469</v>
      </c>
      <c r="B126" s="59" t="s">
        <v>470</v>
      </c>
      <c r="C126">
        <v>2</v>
      </c>
      <c r="D126" t="str">
        <f>+VLOOKUP(AtecoCrisi[[#This Row],[COD. CRISI]],Tabella139[],2,0)</f>
        <v>B) Estrazione; C) Manifattura; D) Produzione energia/gas</v>
      </c>
      <c r="E126" s="53">
        <f t="shared" si="7"/>
        <v>0.03</v>
      </c>
      <c r="F126" s="53">
        <f t="shared" si="8"/>
        <v>7.5999999999999998E-2</v>
      </c>
      <c r="G126" s="53">
        <f t="shared" si="9"/>
        <v>0.93700000000000006</v>
      </c>
      <c r="H126" s="53">
        <f t="shared" si="10"/>
        <v>5.0000000000000001E-3</v>
      </c>
      <c r="I126" s="53">
        <f t="shared" si="11"/>
        <v>4.9000000000000002E-2</v>
      </c>
      <c r="L126" t="s">
        <v>499</v>
      </c>
      <c r="M126" t="str">
        <f t="shared" si="13"/>
        <v>Fabbricazione di tappeti e moquette</v>
      </c>
      <c r="N126" t="str">
        <f t="shared" si="12"/>
        <v>B) Estrazione; C) Manifattura; D) Produzione energia/gas</v>
      </c>
    </row>
    <row r="127" spans="1:14" ht="38.25">
      <c r="A127" s="58" t="s">
        <v>471</v>
      </c>
      <c r="B127" s="59" t="s">
        <v>472</v>
      </c>
      <c r="C127">
        <v>2</v>
      </c>
      <c r="D127" t="str">
        <f>+VLOOKUP(AtecoCrisi[[#This Row],[COD. CRISI]],Tabella139[],2,0)</f>
        <v>B) Estrazione; C) Manifattura; D) Produzione energia/gas</v>
      </c>
      <c r="E127" s="53">
        <f t="shared" si="7"/>
        <v>0.03</v>
      </c>
      <c r="F127" s="53">
        <f t="shared" si="8"/>
        <v>7.5999999999999998E-2</v>
      </c>
      <c r="G127" s="53">
        <f t="shared" si="9"/>
        <v>0.93700000000000006</v>
      </c>
      <c r="H127" s="53">
        <f t="shared" si="10"/>
        <v>5.0000000000000001E-3</v>
      </c>
      <c r="I127" s="53">
        <f t="shared" si="11"/>
        <v>4.9000000000000002E-2</v>
      </c>
      <c r="L127" t="s">
        <v>501</v>
      </c>
      <c r="M127" t="str">
        <f t="shared" si="13"/>
        <v>Fabbricazione di spago, corde, funi e reti</v>
      </c>
      <c r="N127" t="str">
        <f t="shared" si="12"/>
        <v>B) Estrazione; C) Manifattura; D) Produzione energia/gas</v>
      </c>
    </row>
    <row r="128" spans="1:14" ht="51">
      <c r="A128" s="58" t="s">
        <v>473</v>
      </c>
      <c r="B128" s="59" t="s">
        <v>474</v>
      </c>
      <c r="C128">
        <v>2</v>
      </c>
      <c r="D128" t="str">
        <f>+VLOOKUP(AtecoCrisi[[#This Row],[COD. CRISI]],Tabella139[],2,0)</f>
        <v>B) Estrazione; C) Manifattura; D) Produzione energia/gas</v>
      </c>
      <c r="E128" s="53">
        <f t="shared" si="7"/>
        <v>0.03</v>
      </c>
      <c r="F128" s="53">
        <f t="shared" si="8"/>
        <v>7.5999999999999998E-2</v>
      </c>
      <c r="G128" s="53">
        <f t="shared" si="9"/>
        <v>0.93700000000000006</v>
      </c>
      <c r="H128" s="53">
        <f t="shared" si="10"/>
        <v>5.0000000000000001E-3</v>
      </c>
      <c r="I128" s="53">
        <f t="shared" si="11"/>
        <v>4.9000000000000002E-2</v>
      </c>
      <c r="L128" t="s">
        <v>503</v>
      </c>
      <c r="M128" t="str">
        <f t="shared" si="13"/>
        <v>Fabbricazione di tessuti non tessuti e di articoli in tali materie (esclusi gli articoli di abbigliamento)</v>
      </c>
      <c r="N128" t="str">
        <f t="shared" si="12"/>
        <v>B) Estrazione; C) Manifattura; D) Produzione energia/gas</v>
      </c>
    </row>
    <row r="129" spans="1:14">
      <c r="A129" s="58" t="s">
        <v>475</v>
      </c>
      <c r="B129" s="59" t="s">
        <v>476</v>
      </c>
      <c r="C129">
        <v>2</v>
      </c>
      <c r="D129" t="str">
        <f>+VLOOKUP(AtecoCrisi[[#This Row],[COD. CRISI]],Tabella139[],2,0)</f>
        <v>B) Estrazione; C) Manifattura; D) Produzione energia/gas</v>
      </c>
      <c r="E129" s="53">
        <f t="shared" si="7"/>
        <v>0.03</v>
      </c>
      <c r="F129" s="53">
        <f t="shared" si="8"/>
        <v>7.5999999999999998E-2</v>
      </c>
      <c r="G129" s="53">
        <f t="shared" si="9"/>
        <v>0.93700000000000006</v>
      </c>
      <c r="H129" s="53">
        <f t="shared" si="10"/>
        <v>5.0000000000000001E-3</v>
      </c>
      <c r="I129" s="53">
        <f t="shared" si="11"/>
        <v>4.9000000000000002E-2</v>
      </c>
      <c r="L129" t="s">
        <v>505</v>
      </c>
      <c r="M129" t="str">
        <f t="shared" si="13"/>
        <v>Fabbricazione di nastri, etichette e passamanerie di fibre tessili</v>
      </c>
      <c r="N129" t="str">
        <f t="shared" si="12"/>
        <v>B) Estrazione; C) Manifattura; D) Produzione energia/gas</v>
      </c>
    </row>
    <row r="130" spans="1:14" ht="25.5">
      <c r="A130" s="58" t="s">
        <v>477</v>
      </c>
      <c r="B130" s="59" t="s">
        <v>478</v>
      </c>
      <c r="C130">
        <v>2</v>
      </c>
      <c r="D130" t="str">
        <f>+VLOOKUP(AtecoCrisi[[#This Row],[COD. CRISI]],Tabella139[],2,0)</f>
        <v>B) Estrazione; C) Manifattura; D) Produzione energia/gas</v>
      </c>
      <c r="E130" s="53">
        <f t="shared" ref="E130:E193" si="14">+VLOOKUP(C130,$R$2:$X$11,3,FALSE)</f>
        <v>0.03</v>
      </c>
      <c r="F130" s="53">
        <f t="shared" ref="F130:F193" si="15">+VLOOKUP(C130,$R$2:$X$11,4,FALSE)</f>
        <v>7.5999999999999998E-2</v>
      </c>
      <c r="G130" s="53">
        <f t="shared" ref="G130:G193" si="16">+VLOOKUP(C130,$R$2:$X$11,5,FALSE)</f>
        <v>0.93700000000000006</v>
      </c>
      <c r="H130" s="53">
        <f t="shared" ref="H130:H193" si="17">+VLOOKUP(C130,$R$2:$X$11,6,FALSE)</f>
        <v>5.0000000000000001E-3</v>
      </c>
      <c r="I130" s="53">
        <f t="shared" ref="I130:I193" si="18">+VLOOKUP(C130,$R$2:$X$11,7,FALSE)</f>
        <v>4.9000000000000002E-2</v>
      </c>
      <c r="L130" t="s">
        <v>507</v>
      </c>
      <c r="M130" t="str">
        <f t="shared" si="13"/>
        <v>Fabbricazione di altri articoli tessili tecnici ed industriali</v>
      </c>
      <c r="N130" t="str">
        <f t="shared" ref="N130:N193" si="19">+VLOOKUP(L130,A:D,4,0)</f>
        <v>B) Estrazione; C) Manifattura; D) Produzione energia/gas</v>
      </c>
    </row>
    <row r="131" spans="1:14" ht="63.75">
      <c r="A131" s="58" t="s">
        <v>479</v>
      </c>
      <c r="B131" s="59" t="s">
        <v>480</v>
      </c>
      <c r="C131">
        <v>2</v>
      </c>
      <c r="D131" t="str">
        <f>+VLOOKUP(AtecoCrisi[[#This Row],[COD. CRISI]],Tabella139[],2,0)</f>
        <v>B) Estrazione; C) Manifattura; D) Produzione energia/gas</v>
      </c>
      <c r="E131" s="53">
        <f t="shared" si="14"/>
        <v>0.03</v>
      </c>
      <c r="F131" s="53">
        <f t="shared" si="15"/>
        <v>7.5999999999999998E-2</v>
      </c>
      <c r="G131" s="53">
        <f t="shared" si="16"/>
        <v>0.93700000000000006</v>
      </c>
      <c r="H131" s="53">
        <f t="shared" si="17"/>
        <v>5.0000000000000001E-3</v>
      </c>
      <c r="I131" s="53">
        <f t="shared" si="18"/>
        <v>4.9000000000000002E-2</v>
      </c>
      <c r="L131" t="s">
        <v>509</v>
      </c>
      <c r="M131" t="str">
        <f t="shared" ref="M131:M194" si="20">+VLOOKUP(L131,A:B,2,0)</f>
        <v>Fabbricazione di ricami</v>
      </c>
      <c r="N131" t="str">
        <f t="shared" si="19"/>
        <v>B) Estrazione; C) Manifattura; D) Produzione energia/gas</v>
      </c>
    </row>
    <row r="132" spans="1:14" ht="25.5">
      <c r="A132" s="56" t="s">
        <v>481</v>
      </c>
      <c r="B132" s="57" t="s">
        <v>482</v>
      </c>
      <c r="C132">
        <v>2</v>
      </c>
      <c r="D132" t="str">
        <f>+VLOOKUP(AtecoCrisi[[#This Row],[COD. CRISI]],Tabella139[],2,0)</f>
        <v>B) Estrazione; C) Manifattura; D) Produzione energia/gas</v>
      </c>
      <c r="E132" s="53">
        <f t="shared" si="14"/>
        <v>0.03</v>
      </c>
      <c r="F132" s="53">
        <f t="shared" si="15"/>
        <v>7.5999999999999998E-2</v>
      </c>
      <c r="G132" s="53">
        <f t="shared" si="16"/>
        <v>0.93700000000000006</v>
      </c>
      <c r="H132" s="53">
        <f t="shared" si="17"/>
        <v>5.0000000000000001E-3</v>
      </c>
      <c r="I132" s="53">
        <f t="shared" si="18"/>
        <v>4.9000000000000002E-2</v>
      </c>
      <c r="L132" t="s">
        <v>511</v>
      </c>
      <c r="M132" t="str">
        <f t="shared" si="20"/>
        <v>Fabbricazione di tulle, pizzi e merletti</v>
      </c>
      <c r="N132" t="str">
        <f t="shared" si="19"/>
        <v>B) Estrazione; C) Manifattura; D) Produzione energia/gas</v>
      </c>
    </row>
    <row r="133" spans="1:14" ht="25.5">
      <c r="A133" s="58" t="s">
        <v>483</v>
      </c>
      <c r="B133" s="59" t="s">
        <v>484</v>
      </c>
      <c r="C133">
        <v>2</v>
      </c>
      <c r="D133" t="str">
        <f>+VLOOKUP(AtecoCrisi[[#This Row],[COD. CRISI]],Tabella139[],2,0)</f>
        <v>B) Estrazione; C) Manifattura; D) Produzione energia/gas</v>
      </c>
      <c r="E133" s="53">
        <f t="shared" si="14"/>
        <v>0.03</v>
      </c>
      <c r="F133" s="53">
        <f t="shared" si="15"/>
        <v>7.5999999999999998E-2</v>
      </c>
      <c r="G133" s="53">
        <f t="shared" si="16"/>
        <v>0.93700000000000006</v>
      </c>
      <c r="H133" s="53">
        <f t="shared" si="17"/>
        <v>5.0000000000000001E-3</v>
      </c>
      <c r="I133" s="53">
        <f t="shared" si="18"/>
        <v>4.9000000000000002E-2</v>
      </c>
      <c r="L133" t="s">
        <v>513</v>
      </c>
      <c r="M133" t="str">
        <f t="shared" si="20"/>
        <v>Fabbricazione di feltro e articoli tessili diversi</v>
      </c>
      <c r="N133" t="str">
        <f t="shared" si="19"/>
        <v>B) Estrazione; C) Manifattura; D) Produzione energia/gas</v>
      </c>
    </row>
    <row r="134" spans="1:14" ht="25.5">
      <c r="A134" s="56" t="s">
        <v>485</v>
      </c>
      <c r="B134" s="57" t="s">
        <v>486</v>
      </c>
      <c r="C134">
        <v>2</v>
      </c>
      <c r="D134" t="str">
        <f>+VLOOKUP(AtecoCrisi[[#This Row],[COD. CRISI]],Tabella139[],2,0)</f>
        <v>B) Estrazione; C) Manifattura; D) Produzione energia/gas</v>
      </c>
      <c r="E134" s="53">
        <f t="shared" si="14"/>
        <v>0.03</v>
      </c>
      <c r="F134" s="53">
        <f t="shared" si="15"/>
        <v>7.5999999999999998E-2</v>
      </c>
      <c r="G134" s="53">
        <f t="shared" si="16"/>
        <v>0.93700000000000006</v>
      </c>
      <c r="H134" s="53">
        <f t="shared" si="17"/>
        <v>5.0000000000000001E-3</v>
      </c>
      <c r="I134" s="53">
        <f t="shared" si="18"/>
        <v>4.9000000000000002E-2</v>
      </c>
      <c r="L134" t="s">
        <v>517</v>
      </c>
      <c r="M134" t="str">
        <f t="shared" si="20"/>
        <v>Confezione di abbigliamento in pelle e similpelle</v>
      </c>
      <c r="N134" t="str">
        <f t="shared" si="19"/>
        <v>B) Estrazione; C) Manifattura; D) Produzione energia/gas</v>
      </c>
    </row>
    <row r="135" spans="1:14" ht="38.25">
      <c r="A135" s="58" t="s">
        <v>487</v>
      </c>
      <c r="B135" s="59" t="s">
        <v>488</v>
      </c>
      <c r="C135">
        <v>2</v>
      </c>
      <c r="D135" t="str">
        <f>+VLOOKUP(AtecoCrisi[[#This Row],[COD. CRISI]],Tabella139[],2,0)</f>
        <v>B) Estrazione; C) Manifattura; D) Produzione energia/gas</v>
      </c>
      <c r="E135" s="53">
        <f t="shared" si="14"/>
        <v>0.03</v>
      </c>
      <c r="F135" s="53">
        <f t="shared" si="15"/>
        <v>7.5999999999999998E-2</v>
      </c>
      <c r="G135" s="53">
        <f t="shared" si="16"/>
        <v>0.93700000000000006</v>
      </c>
      <c r="H135" s="53">
        <f t="shared" si="17"/>
        <v>5.0000000000000001E-3</v>
      </c>
      <c r="I135" s="53">
        <f t="shared" si="18"/>
        <v>4.9000000000000002E-2</v>
      </c>
      <c r="L135" t="s">
        <v>519</v>
      </c>
      <c r="M135" t="str">
        <f t="shared" si="20"/>
        <v>Confezione di camici, divise ed altri indumenti da lavoro</v>
      </c>
      <c r="N135" t="str">
        <f t="shared" si="19"/>
        <v>B) Estrazione; C) Manifattura; D) Produzione energia/gas</v>
      </c>
    </row>
    <row r="136" spans="1:14">
      <c r="A136" s="58" t="s">
        <v>489</v>
      </c>
      <c r="B136" s="59" t="s">
        <v>490</v>
      </c>
      <c r="C136">
        <v>2</v>
      </c>
      <c r="D136" t="str">
        <f>+VLOOKUP(AtecoCrisi[[#This Row],[COD. CRISI]],Tabella139[],2,0)</f>
        <v>B) Estrazione; C) Manifattura; D) Produzione energia/gas</v>
      </c>
      <c r="E136" s="53">
        <f t="shared" si="14"/>
        <v>0.03</v>
      </c>
      <c r="F136" s="53">
        <f t="shared" si="15"/>
        <v>7.5999999999999998E-2</v>
      </c>
      <c r="G136" s="53">
        <f t="shared" si="16"/>
        <v>0.93700000000000006</v>
      </c>
      <c r="H136" s="53">
        <f t="shared" si="17"/>
        <v>5.0000000000000001E-3</v>
      </c>
      <c r="I136" s="53">
        <f t="shared" si="18"/>
        <v>4.9000000000000002E-2</v>
      </c>
      <c r="L136" t="s">
        <v>521</v>
      </c>
      <c r="M136" t="str">
        <f t="shared" si="20"/>
        <v>Confezione in serie di abbigliamento esterno</v>
      </c>
      <c r="N136" t="str">
        <f t="shared" si="19"/>
        <v>B) Estrazione; C) Manifattura; D) Produzione energia/gas</v>
      </c>
    </row>
    <row r="137" spans="1:14" ht="51">
      <c r="A137" s="58" t="s">
        <v>491</v>
      </c>
      <c r="B137" s="59" t="s">
        <v>492</v>
      </c>
      <c r="C137">
        <v>2</v>
      </c>
      <c r="D137" t="str">
        <f>+VLOOKUP(AtecoCrisi[[#This Row],[COD. CRISI]],Tabella139[],2,0)</f>
        <v>B) Estrazione; C) Manifattura; D) Produzione energia/gas</v>
      </c>
      <c r="E137" s="53">
        <f t="shared" si="14"/>
        <v>0.03</v>
      </c>
      <c r="F137" s="53">
        <f t="shared" si="15"/>
        <v>7.5999999999999998E-2</v>
      </c>
      <c r="G137" s="53">
        <f t="shared" si="16"/>
        <v>0.93700000000000006</v>
      </c>
      <c r="H137" s="53">
        <f t="shared" si="17"/>
        <v>5.0000000000000001E-3</v>
      </c>
      <c r="I137" s="53">
        <f t="shared" si="18"/>
        <v>4.9000000000000002E-2</v>
      </c>
      <c r="L137" t="s">
        <v>523</v>
      </c>
      <c r="M137" t="str">
        <f t="shared" si="20"/>
        <v>Sartoria e confezione su misura di abbigliamento esterno</v>
      </c>
      <c r="N137" t="str">
        <f t="shared" si="19"/>
        <v>B) Estrazione; C) Manifattura; D) Produzione energia/gas</v>
      </c>
    </row>
    <row r="138" spans="1:14" ht="25.5">
      <c r="A138" s="58" t="s">
        <v>493</v>
      </c>
      <c r="B138" s="59" t="s">
        <v>494</v>
      </c>
      <c r="C138">
        <v>2</v>
      </c>
      <c r="D138" t="str">
        <f>+VLOOKUP(AtecoCrisi[[#This Row],[COD. CRISI]],Tabella139[],2,0)</f>
        <v>B) Estrazione; C) Manifattura; D) Produzione energia/gas</v>
      </c>
      <c r="E138" s="53">
        <f t="shared" si="14"/>
        <v>0.03</v>
      </c>
      <c r="F138" s="53">
        <f t="shared" si="15"/>
        <v>7.5999999999999998E-2</v>
      </c>
      <c r="G138" s="53">
        <f t="shared" si="16"/>
        <v>0.93700000000000006</v>
      </c>
      <c r="H138" s="53">
        <f t="shared" si="17"/>
        <v>5.0000000000000001E-3</v>
      </c>
      <c r="I138" s="53">
        <f t="shared" si="18"/>
        <v>4.9000000000000002E-2</v>
      </c>
      <c r="L138" t="s">
        <v>525</v>
      </c>
      <c r="M138" t="str">
        <f t="shared" si="20"/>
        <v>Confezione di camicie, T-shirt, corsetteria e altra biancheria intima</v>
      </c>
      <c r="N138" t="str">
        <f t="shared" si="19"/>
        <v>B) Estrazione; C) Manifattura; D) Produzione energia/gas</v>
      </c>
    </row>
    <row r="139" spans="1:14" ht="51">
      <c r="A139" s="58" t="s">
        <v>495</v>
      </c>
      <c r="B139" s="59" t="s">
        <v>496</v>
      </c>
      <c r="C139">
        <v>2</v>
      </c>
      <c r="D139" t="str">
        <f>+VLOOKUP(AtecoCrisi[[#This Row],[COD. CRISI]],Tabella139[],2,0)</f>
        <v>B) Estrazione; C) Manifattura; D) Produzione energia/gas</v>
      </c>
      <c r="E139" s="53">
        <f t="shared" si="14"/>
        <v>0.03</v>
      </c>
      <c r="F139" s="53">
        <f t="shared" si="15"/>
        <v>7.5999999999999998E-2</v>
      </c>
      <c r="G139" s="53">
        <f t="shared" si="16"/>
        <v>0.93700000000000006</v>
      </c>
      <c r="H139" s="53">
        <f t="shared" si="17"/>
        <v>5.0000000000000001E-3</v>
      </c>
      <c r="I139" s="53">
        <f t="shared" si="18"/>
        <v>4.9000000000000002E-2</v>
      </c>
      <c r="L139" t="s">
        <v>527</v>
      </c>
      <c r="M139" t="str">
        <f t="shared" si="20"/>
        <v>Confezioni varie e accessori per l'abbigliamento</v>
      </c>
      <c r="N139" t="str">
        <f t="shared" si="19"/>
        <v>B) Estrazione; C) Manifattura; D) Produzione energia/gas</v>
      </c>
    </row>
    <row r="140" spans="1:14" ht="38.25">
      <c r="A140" s="58" t="s">
        <v>497</v>
      </c>
      <c r="B140" s="59" t="s">
        <v>498</v>
      </c>
      <c r="C140">
        <v>2</v>
      </c>
      <c r="D140" t="str">
        <f>+VLOOKUP(AtecoCrisi[[#This Row],[COD. CRISI]],Tabella139[],2,0)</f>
        <v>B) Estrazione; C) Manifattura; D) Produzione energia/gas</v>
      </c>
      <c r="E140" s="53">
        <f t="shared" si="14"/>
        <v>0.03</v>
      </c>
      <c r="F140" s="53">
        <f t="shared" si="15"/>
        <v>7.5999999999999998E-2</v>
      </c>
      <c r="G140" s="53">
        <f t="shared" si="16"/>
        <v>0.93700000000000006</v>
      </c>
      <c r="H140" s="53">
        <f t="shared" si="17"/>
        <v>5.0000000000000001E-3</v>
      </c>
      <c r="I140" s="53">
        <f t="shared" si="18"/>
        <v>4.9000000000000002E-2</v>
      </c>
      <c r="L140" t="s">
        <v>529</v>
      </c>
      <c r="M140" t="str">
        <f t="shared" si="20"/>
        <v>Fabbricazione di calzature realizzate in materiale tessile senza suole applicate</v>
      </c>
      <c r="N140" t="str">
        <f t="shared" si="19"/>
        <v>B) Estrazione; C) Manifattura; D) Produzione energia/gas</v>
      </c>
    </row>
    <row r="141" spans="1:14" ht="25.5">
      <c r="A141" s="58" t="s">
        <v>499</v>
      </c>
      <c r="B141" s="59" t="s">
        <v>500</v>
      </c>
      <c r="C141">
        <v>2</v>
      </c>
      <c r="D141" t="str">
        <f>+VLOOKUP(AtecoCrisi[[#This Row],[COD. CRISI]],Tabella139[],2,0)</f>
        <v>B) Estrazione; C) Manifattura; D) Produzione energia/gas</v>
      </c>
      <c r="E141" s="53">
        <f t="shared" si="14"/>
        <v>0.03</v>
      </c>
      <c r="F141" s="53">
        <f t="shared" si="15"/>
        <v>7.5999999999999998E-2</v>
      </c>
      <c r="G141" s="53">
        <f t="shared" si="16"/>
        <v>0.93700000000000006</v>
      </c>
      <c r="H141" s="53">
        <f t="shared" si="17"/>
        <v>5.0000000000000001E-3</v>
      </c>
      <c r="I141" s="53">
        <f t="shared" si="18"/>
        <v>4.9000000000000002E-2</v>
      </c>
      <c r="L141" t="s">
        <v>531</v>
      </c>
      <c r="M141" t="str">
        <f t="shared" si="20"/>
        <v>Confezioni di abbigliamento sportivo o di altri indumenti particolari</v>
      </c>
      <c r="N141" t="str">
        <f t="shared" si="19"/>
        <v>B) Estrazione; C) Manifattura; D) Produzione energia/gas</v>
      </c>
    </row>
    <row r="142" spans="1:14" ht="38.25">
      <c r="A142" s="58" t="s">
        <v>501</v>
      </c>
      <c r="B142" s="59" t="s">
        <v>502</v>
      </c>
      <c r="C142">
        <v>2</v>
      </c>
      <c r="D142" t="str">
        <f>+VLOOKUP(AtecoCrisi[[#This Row],[COD. CRISI]],Tabella139[],2,0)</f>
        <v>B) Estrazione; C) Manifattura; D) Produzione energia/gas</v>
      </c>
      <c r="E142" s="53">
        <f t="shared" si="14"/>
        <v>0.03</v>
      </c>
      <c r="F142" s="53">
        <f t="shared" si="15"/>
        <v>7.5999999999999998E-2</v>
      </c>
      <c r="G142" s="53">
        <f t="shared" si="16"/>
        <v>0.93700000000000006</v>
      </c>
      <c r="H142" s="53">
        <f t="shared" si="17"/>
        <v>5.0000000000000001E-3</v>
      </c>
      <c r="I142" s="53">
        <f t="shared" si="18"/>
        <v>4.9000000000000002E-2</v>
      </c>
      <c r="L142" t="s">
        <v>533</v>
      </c>
      <c r="M142" t="str">
        <f t="shared" si="20"/>
        <v>Confezione di articoli in pelliccia</v>
      </c>
      <c r="N142" t="str">
        <f t="shared" si="19"/>
        <v>B) Estrazione; C) Manifattura; D) Produzione energia/gas</v>
      </c>
    </row>
    <row r="143" spans="1:14" ht="76.5">
      <c r="A143" s="58" t="s">
        <v>503</v>
      </c>
      <c r="B143" s="59" t="s">
        <v>504</v>
      </c>
      <c r="C143">
        <v>2</v>
      </c>
      <c r="D143" t="str">
        <f>+VLOOKUP(AtecoCrisi[[#This Row],[COD. CRISI]],Tabella139[],2,0)</f>
        <v>B) Estrazione; C) Manifattura; D) Produzione energia/gas</v>
      </c>
      <c r="E143" s="53">
        <f t="shared" si="14"/>
        <v>0.03</v>
      </c>
      <c r="F143" s="53">
        <f t="shared" si="15"/>
        <v>7.5999999999999998E-2</v>
      </c>
      <c r="G143" s="53">
        <f t="shared" si="16"/>
        <v>0.93700000000000006</v>
      </c>
      <c r="H143" s="53">
        <f t="shared" si="17"/>
        <v>5.0000000000000001E-3</v>
      </c>
      <c r="I143" s="53">
        <f t="shared" si="18"/>
        <v>4.9000000000000002E-2</v>
      </c>
      <c r="L143" t="s">
        <v>535</v>
      </c>
      <c r="M143" t="str">
        <f t="shared" si="20"/>
        <v>Fabbricazione di articoli di calzetteria in maglia</v>
      </c>
      <c r="N143" t="str">
        <f t="shared" si="19"/>
        <v>B) Estrazione; C) Manifattura; D) Produzione energia/gas</v>
      </c>
    </row>
    <row r="144" spans="1:14" ht="51">
      <c r="A144" s="58" t="s">
        <v>505</v>
      </c>
      <c r="B144" s="59" t="s">
        <v>506</v>
      </c>
      <c r="C144">
        <v>2</v>
      </c>
      <c r="D144" t="str">
        <f>+VLOOKUP(AtecoCrisi[[#This Row],[COD. CRISI]],Tabella139[],2,0)</f>
        <v>B) Estrazione; C) Manifattura; D) Produzione energia/gas</v>
      </c>
      <c r="E144" s="53">
        <f t="shared" si="14"/>
        <v>0.03</v>
      </c>
      <c r="F144" s="53">
        <f t="shared" si="15"/>
        <v>7.5999999999999998E-2</v>
      </c>
      <c r="G144" s="53">
        <f t="shared" si="16"/>
        <v>0.93700000000000006</v>
      </c>
      <c r="H144" s="53">
        <f t="shared" si="17"/>
        <v>5.0000000000000001E-3</v>
      </c>
      <c r="I144" s="53">
        <f t="shared" si="18"/>
        <v>4.9000000000000002E-2</v>
      </c>
      <c r="L144" t="s">
        <v>537</v>
      </c>
      <c r="M144" t="str">
        <f t="shared" si="20"/>
        <v>Fabbricazione di pullover, cardigan ed altri articoli simili a maglia</v>
      </c>
      <c r="N144" t="str">
        <f t="shared" si="19"/>
        <v>B) Estrazione; C) Manifattura; D) Produzione energia/gas</v>
      </c>
    </row>
    <row r="145" spans="1:14" ht="51">
      <c r="A145" s="58" t="s">
        <v>507</v>
      </c>
      <c r="B145" s="59" t="s">
        <v>508</v>
      </c>
      <c r="C145">
        <v>2</v>
      </c>
      <c r="D145" t="str">
        <f>+VLOOKUP(AtecoCrisi[[#This Row],[COD. CRISI]],Tabella139[],2,0)</f>
        <v>B) Estrazione; C) Manifattura; D) Produzione energia/gas</v>
      </c>
      <c r="E145" s="53">
        <f t="shared" si="14"/>
        <v>0.03</v>
      </c>
      <c r="F145" s="53">
        <f t="shared" si="15"/>
        <v>7.5999999999999998E-2</v>
      </c>
      <c r="G145" s="53">
        <f t="shared" si="16"/>
        <v>0.93700000000000006</v>
      </c>
      <c r="H145" s="53">
        <f t="shared" si="17"/>
        <v>5.0000000000000001E-3</v>
      </c>
      <c r="I145" s="53">
        <f t="shared" si="18"/>
        <v>4.9000000000000002E-2</v>
      </c>
      <c r="L145" t="s">
        <v>541</v>
      </c>
      <c r="M145" t="str">
        <f t="shared" si="20"/>
        <v>Preparazione e concia del cuoio e pelle; preparazione e tintura di pellicce</v>
      </c>
      <c r="N145" t="str">
        <f t="shared" si="19"/>
        <v>B) Estrazione; C) Manifattura; D) Produzione energia/gas</v>
      </c>
    </row>
    <row r="146" spans="1:14" ht="25.5">
      <c r="A146" s="58" t="s">
        <v>509</v>
      </c>
      <c r="B146" s="59" t="s">
        <v>510</v>
      </c>
      <c r="C146">
        <v>2</v>
      </c>
      <c r="D146" t="str">
        <f>+VLOOKUP(AtecoCrisi[[#This Row],[COD. CRISI]],Tabella139[],2,0)</f>
        <v>B) Estrazione; C) Manifattura; D) Produzione energia/gas</v>
      </c>
      <c r="E146" s="53">
        <f t="shared" si="14"/>
        <v>0.03</v>
      </c>
      <c r="F146" s="53">
        <f t="shared" si="15"/>
        <v>7.5999999999999998E-2</v>
      </c>
      <c r="G146" s="53">
        <f t="shared" si="16"/>
        <v>0.93700000000000006</v>
      </c>
      <c r="H146" s="53">
        <f t="shared" si="17"/>
        <v>5.0000000000000001E-3</v>
      </c>
      <c r="I146" s="53">
        <f t="shared" si="18"/>
        <v>4.9000000000000002E-2</v>
      </c>
      <c r="L146" t="s">
        <v>543</v>
      </c>
      <c r="M146" t="str">
        <f t="shared" si="20"/>
        <v>Fabbricazione di frustini e scudisci per equitazione</v>
      </c>
      <c r="N146" t="str">
        <f t="shared" si="19"/>
        <v>B) Estrazione; C) Manifattura; D) Produzione energia/gas</v>
      </c>
    </row>
    <row r="147" spans="1:14" ht="38.25">
      <c r="A147" s="58" t="s">
        <v>511</v>
      </c>
      <c r="B147" s="59" t="s">
        <v>512</v>
      </c>
      <c r="C147">
        <v>2</v>
      </c>
      <c r="D147" t="str">
        <f>+VLOOKUP(AtecoCrisi[[#This Row],[COD. CRISI]],Tabella139[],2,0)</f>
        <v>B) Estrazione; C) Manifattura; D) Produzione energia/gas</v>
      </c>
      <c r="E147" s="53">
        <f t="shared" si="14"/>
        <v>0.03</v>
      </c>
      <c r="F147" s="53">
        <f t="shared" si="15"/>
        <v>7.5999999999999998E-2</v>
      </c>
      <c r="G147" s="53">
        <f t="shared" si="16"/>
        <v>0.93700000000000006</v>
      </c>
      <c r="H147" s="53">
        <f t="shared" si="17"/>
        <v>5.0000000000000001E-3</v>
      </c>
      <c r="I147" s="53">
        <f t="shared" si="18"/>
        <v>4.9000000000000002E-2</v>
      </c>
      <c r="L147" t="s">
        <v>545</v>
      </c>
      <c r="M147" t="str">
        <f t="shared" si="20"/>
        <v>Fabbricazione di altri articoli da viaggio, borse e simili, pelletteria e selleria</v>
      </c>
      <c r="N147" t="str">
        <f t="shared" si="19"/>
        <v>B) Estrazione; C) Manifattura; D) Produzione energia/gas</v>
      </c>
    </row>
    <row r="148" spans="1:14" ht="38.25">
      <c r="A148" s="58" t="s">
        <v>513</v>
      </c>
      <c r="B148" s="59" t="s">
        <v>514</v>
      </c>
      <c r="C148">
        <v>2</v>
      </c>
      <c r="D148" t="str">
        <f>+VLOOKUP(AtecoCrisi[[#This Row],[COD. CRISI]],Tabella139[],2,0)</f>
        <v>B) Estrazione; C) Manifattura; D) Produzione energia/gas</v>
      </c>
      <c r="E148" s="53">
        <f t="shared" si="14"/>
        <v>0.03</v>
      </c>
      <c r="F148" s="53">
        <f t="shared" si="15"/>
        <v>7.5999999999999998E-2</v>
      </c>
      <c r="G148" s="53">
        <f t="shared" si="16"/>
        <v>0.93700000000000006</v>
      </c>
      <c r="H148" s="53">
        <f t="shared" si="17"/>
        <v>5.0000000000000001E-3</v>
      </c>
      <c r="I148" s="53">
        <f t="shared" si="18"/>
        <v>4.9000000000000002E-2</v>
      </c>
      <c r="L148" t="s">
        <v>547</v>
      </c>
      <c r="M148" t="str">
        <f t="shared" si="20"/>
        <v>Fabbricazione di calzature</v>
      </c>
      <c r="N148" t="str">
        <f t="shared" si="19"/>
        <v>B) Estrazione; C) Manifattura; D) Produzione energia/gas</v>
      </c>
    </row>
    <row r="149" spans="1:14" ht="89.25">
      <c r="A149" s="56" t="s">
        <v>515</v>
      </c>
      <c r="B149" s="57" t="s">
        <v>516</v>
      </c>
      <c r="C149">
        <v>2</v>
      </c>
      <c r="D149" t="str">
        <f>+VLOOKUP(AtecoCrisi[[#This Row],[COD. CRISI]],Tabella139[],2,0)</f>
        <v>B) Estrazione; C) Manifattura; D) Produzione energia/gas</v>
      </c>
      <c r="E149" s="53">
        <f t="shared" si="14"/>
        <v>0.03</v>
      </c>
      <c r="F149" s="53">
        <f t="shared" si="15"/>
        <v>7.5999999999999998E-2</v>
      </c>
      <c r="G149" s="53">
        <f t="shared" si="16"/>
        <v>0.93700000000000006</v>
      </c>
      <c r="H149" s="53">
        <f t="shared" si="17"/>
        <v>5.0000000000000001E-3</v>
      </c>
      <c r="I149" s="53">
        <f t="shared" si="18"/>
        <v>4.9000000000000002E-2</v>
      </c>
      <c r="L149" t="s">
        <v>549</v>
      </c>
      <c r="M149" t="str">
        <f t="shared" si="20"/>
        <v>Fabbricazione di parti in cuoio per calzature</v>
      </c>
      <c r="N149" t="str">
        <f t="shared" si="19"/>
        <v>B) Estrazione; C) Manifattura; D) Produzione energia/gas</v>
      </c>
    </row>
    <row r="150" spans="1:14" ht="38.25">
      <c r="A150" s="58" t="s">
        <v>517</v>
      </c>
      <c r="B150" s="59" t="s">
        <v>518</v>
      </c>
      <c r="C150">
        <v>2</v>
      </c>
      <c r="D150" t="str">
        <f>+VLOOKUP(AtecoCrisi[[#This Row],[COD. CRISI]],Tabella139[],2,0)</f>
        <v>B) Estrazione; C) Manifattura; D) Produzione energia/gas</v>
      </c>
      <c r="E150" s="53">
        <f t="shared" si="14"/>
        <v>0.03</v>
      </c>
      <c r="F150" s="53">
        <f t="shared" si="15"/>
        <v>7.5999999999999998E-2</v>
      </c>
      <c r="G150" s="53">
        <f t="shared" si="16"/>
        <v>0.93700000000000006</v>
      </c>
      <c r="H150" s="53">
        <f t="shared" si="17"/>
        <v>5.0000000000000001E-3</v>
      </c>
      <c r="I150" s="53">
        <f t="shared" si="18"/>
        <v>4.9000000000000002E-2</v>
      </c>
      <c r="L150" t="s">
        <v>553</v>
      </c>
      <c r="M150" t="str">
        <f t="shared" si="20"/>
        <v>Taglio e piallatura del legno</v>
      </c>
      <c r="N150" t="str">
        <f t="shared" si="19"/>
        <v>B) Estrazione; C) Manifattura; D) Produzione energia/gas</v>
      </c>
    </row>
    <row r="151" spans="1:14" ht="51">
      <c r="A151" s="58" t="s">
        <v>519</v>
      </c>
      <c r="B151" s="59" t="s">
        <v>520</v>
      </c>
      <c r="C151">
        <v>2</v>
      </c>
      <c r="D151" t="str">
        <f>+VLOOKUP(AtecoCrisi[[#This Row],[COD. CRISI]],Tabella139[],2,0)</f>
        <v>B) Estrazione; C) Manifattura; D) Produzione energia/gas</v>
      </c>
      <c r="E151" s="53">
        <f t="shared" si="14"/>
        <v>0.03</v>
      </c>
      <c r="F151" s="53">
        <f t="shared" si="15"/>
        <v>7.5999999999999998E-2</v>
      </c>
      <c r="G151" s="53">
        <f t="shared" si="16"/>
        <v>0.93700000000000006</v>
      </c>
      <c r="H151" s="53">
        <f t="shared" si="17"/>
        <v>5.0000000000000001E-3</v>
      </c>
      <c r="I151" s="53">
        <f t="shared" si="18"/>
        <v>4.9000000000000002E-2</v>
      </c>
      <c r="L151" t="s">
        <v>555</v>
      </c>
      <c r="M151" t="str">
        <f t="shared" si="20"/>
        <v>Fabbricazione di fogli da impiallacciatura e di pannelli a base di legno</v>
      </c>
      <c r="N151" t="str">
        <f t="shared" si="19"/>
        <v>B) Estrazione; C) Manifattura; D) Produzione energia/gas</v>
      </c>
    </row>
    <row r="152" spans="1:14" ht="38.25">
      <c r="A152" s="58" t="s">
        <v>521</v>
      </c>
      <c r="B152" s="59" t="s">
        <v>522</v>
      </c>
      <c r="C152">
        <v>2</v>
      </c>
      <c r="D152" t="str">
        <f>+VLOOKUP(AtecoCrisi[[#This Row],[COD. CRISI]],Tabella139[],2,0)</f>
        <v>B) Estrazione; C) Manifattura; D) Produzione energia/gas</v>
      </c>
      <c r="E152" s="53">
        <f t="shared" si="14"/>
        <v>0.03</v>
      </c>
      <c r="F152" s="53">
        <f t="shared" si="15"/>
        <v>7.5999999999999998E-2</v>
      </c>
      <c r="G152" s="53">
        <f t="shared" si="16"/>
        <v>0.93700000000000006</v>
      </c>
      <c r="H152" s="53">
        <f t="shared" si="17"/>
        <v>5.0000000000000001E-3</v>
      </c>
      <c r="I152" s="53">
        <f t="shared" si="18"/>
        <v>4.9000000000000002E-2</v>
      </c>
      <c r="L152" t="s">
        <v>557</v>
      </c>
      <c r="M152" t="str">
        <f t="shared" si="20"/>
        <v>Fabbricazione di pavimenti in parquet assemblato</v>
      </c>
      <c r="N152" t="str">
        <f t="shared" si="19"/>
        <v>B) Estrazione; C) Manifattura; D) Produzione energia/gas</v>
      </c>
    </row>
    <row r="153" spans="1:14" ht="63.75">
      <c r="A153" s="58" t="s">
        <v>523</v>
      </c>
      <c r="B153" s="59" t="s">
        <v>524</v>
      </c>
      <c r="C153">
        <v>2</v>
      </c>
      <c r="D153" t="str">
        <f>+VLOOKUP(AtecoCrisi[[#This Row],[COD. CRISI]],Tabella139[],2,0)</f>
        <v>B) Estrazione; C) Manifattura; D) Produzione energia/gas</v>
      </c>
      <c r="E153" s="53">
        <f t="shared" si="14"/>
        <v>0.03</v>
      </c>
      <c r="F153" s="53">
        <f t="shared" si="15"/>
        <v>7.5999999999999998E-2</v>
      </c>
      <c r="G153" s="53">
        <f t="shared" si="16"/>
        <v>0.93700000000000006</v>
      </c>
      <c r="H153" s="53">
        <f t="shared" si="17"/>
        <v>5.0000000000000001E-3</v>
      </c>
      <c r="I153" s="53">
        <f t="shared" si="18"/>
        <v>4.9000000000000002E-2</v>
      </c>
      <c r="L153" t="s">
        <v>559</v>
      </c>
      <c r="M153" t="str">
        <f t="shared" si="20"/>
        <v>Fabbricazione di porte e finestre in legno (escluse porte blindate)</v>
      </c>
      <c r="N153" t="str">
        <f t="shared" si="19"/>
        <v>B) Estrazione; C) Manifattura; D) Produzione energia/gas</v>
      </c>
    </row>
    <row r="154" spans="1:14" ht="51">
      <c r="A154" s="58" t="s">
        <v>525</v>
      </c>
      <c r="B154" s="59" t="s">
        <v>526</v>
      </c>
      <c r="C154">
        <v>2</v>
      </c>
      <c r="D154" t="str">
        <f>+VLOOKUP(AtecoCrisi[[#This Row],[COD. CRISI]],Tabella139[],2,0)</f>
        <v>B) Estrazione; C) Manifattura; D) Produzione energia/gas</v>
      </c>
      <c r="E154" s="53">
        <f t="shared" si="14"/>
        <v>0.03</v>
      </c>
      <c r="F154" s="53">
        <f t="shared" si="15"/>
        <v>7.5999999999999998E-2</v>
      </c>
      <c r="G154" s="53">
        <f t="shared" si="16"/>
        <v>0.93700000000000006</v>
      </c>
      <c r="H154" s="53">
        <f t="shared" si="17"/>
        <v>5.0000000000000001E-3</v>
      </c>
      <c r="I154" s="53">
        <f t="shared" si="18"/>
        <v>4.9000000000000002E-2</v>
      </c>
      <c r="L154" t="s">
        <v>561</v>
      </c>
      <c r="M154" t="str">
        <f t="shared" si="20"/>
        <v>Fabbricazione di altri elementi in legno e di falegnameria per l'edilizia</v>
      </c>
      <c r="N154" t="str">
        <f t="shared" si="19"/>
        <v>B) Estrazione; C) Manifattura; D) Produzione energia/gas</v>
      </c>
    </row>
    <row r="155" spans="1:14" ht="38.25">
      <c r="A155" s="58" t="s">
        <v>527</v>
      </c>
      <c r="B155" s="59" t="s">
        <v>528</v>
      </c>
      <c r="C155">
        <v>2</v>
      </c>
      <c r="D155" t="str">
        <f>+VLOOKUP(AtecoCrisi[[#This Row],[COD. CRISI]],Tabella139[],2,0)</f>
        <v>B) Estrazione; C) Manifattura; D) Produzione energia/gas</v>
      </c>
      <c r="E155" s="53">
        <f t="shared" si="14"/>
        <v>0.03</v>
      </c>
      <c r="F155" s="53">
        <f t="shared" si="15"/>
        <v>7.5999999999999998E-2</v>
      </c>
      <c r="G155" s="53">
        <f t="shared" si="16"/>
        <v>0.93700000000000006</v>
      </c>
      <c r="H155" s="53">
        <f t="shared" si="17"/>
        <v>5.0000000000000001E-3</v>
      </c>
      <c r="I155" s="53">
        <f t="shared" si="18"/>
        <v>4.9000000000000002E-2</v>
      </c>
      <c r="L155" t="s">
        <v>563</v>
      </c>
      <c r="M155" t="str">
        <f t="shared" si="20"/>
        <v>Fabbricazione di imballaggi in legno</v>
      </c>
      <c r="N155" t="str">
        <f t="shared" si="19"/>
        <v>B) Estrazione; C) Manifattura; D) Produzione energia/gas</v>
      </c>
    </row>
    <row r="156" spans="1:14" ht="76.5">
      <c r="A156" s="58" t="s">
        <v>529</v>
      </c>
      <c r="B156" s="59" t="s">
        <v>530</v>
      </c>
      <c r="C156">
        <v>2</v>
      </c>
      <c r="D156" t="str">
        <f>+VLOOKUP(AtecoCrisi[[#This Row],[COD. CRISI]],Tabella139[],2,0)</f>
        <v>B) Estrazione; C) Manifattura; D) Produzione energia/gas</v>
      </c>
      <c r="E156" s="53">
        <f t="shared" si="14"/>
        <v>0.03</v>
      </c>
      <c r="F156" s="53">
        <f t="shared" si="15"/>
        <v>7.5999999999999998E-2</v>
      </c>
      <c r="G156" s="53">
        <f t="shared" si="16"/>
        <v>0.93700000000000006</v>
      </c>
      <c r="H156" s="53">
        <f t="shared" si="17"/>
        <v>5.0000000000000001E-3</v>
      </c>
      <c r="I156" s="53">
        <f t="shared" si="18"/>
        <v>4.9000000000000002E-2</v>
      </c>
      <c r="L156" t="s">
        <v>565</v>
      </c>
      <c r="M156" t="str">
        <f t="shared" si="20"/>
        <v>Fabbricazione di parti in legno per calzature</v>
      </c>
      <c r="N156" t="str">
        <f t="shared" si="19"/>
        <v>B) Estrazione; C) Manifattura; D) Produzione energia/gas</v>
      </c>
    </row>
    <row r="157" spans="1:14" ht="63.75">
      <c r="A157" s="58" t="s">
        <v>531</v>
      </c>
      <c r="B157" s="59" t="s">
        <v>532</v>
      </c>
      <c r="C157">
        <v>2</v>
      </c>
      <c r="D157" t="str">
        <f>+VLOOKUP(AtecoCrisi[[#This Row],[COD. CRISI]],Tabella139[],2,0)</f>
        <v>B) Estrazione; C) Manifattura; D) Produzione energia/gas</v>
      </c>
      <c r="E157" s="53">
        <f t="shared" si="14"/>
        <v>0.03</v>
      </c>
      <c r="F157" s="53">
        <f t="shared" si="15"/>
        <v>7.5999999999999998E-2</v>
      </c>
      <c r="G157" s="53">
        <f t="shared" si="16"/>
        <v>0.93700000000000006</v>
      </c>
      <c r="H157" s="53">
        <f t="shared" si="17"/>
        <v>5.0000000000000001E-3</v>
      </c>
      <c r="I157" s="53">
        <f t="shared" si="18"/>
        <v>4.9000000000000002E-2</v>
      </c>
      <c r="L157" t="s">
        <v>567</v>
      </c>
      <c r="M157" t="str">
        <f t="shared" si="20"/>
        <v>Fabbricazione di manici di ombrelli, bastoni e simili</v>
      </c>
      <c r="N157" t="str">
        <f t="shared" si="19"/>
        <v>B) Estrazione; C) Manifattura; D) Produzione energia/gas</v>
      </c>
    </row>
    <row r="158" spans="1:14" ht="25.5">
      <c r="A158" s="58" t="s">
        <v>533</v>
      </c>
      <c r="B158" s="59" t="s">
        <v>534</v>
      </c>
      <c r="C158">
        <v>2</v>
      </c>
      <c r="D158" t="str">
        <f>+VLOOKUP(AtecoCrisi[[#This Row],[COD. CRISI]],Tabella139[],2,0)</f>
        <v>B) Estrazione; C) Manifattura; D) Produzione energia/gas</v>
      </c>
      <c r="E158" s="53">
        <f t="shared" si="14"/>
        <v>0.03</v>
      </c>
      <c r="F158" s="53">
        <f t="shared" si="15"/>
        <v>7.5999999999999998E-2</v>
      </c>
      <c r="G158" s="53">
        <f t="shared" si="16"/>
        <v>0.93700000000000006</v>
      </c>
      <c r="H158" s="53">
        <f t="shared" si="17"/>
        <v>5.0000000000000001E-3</v>
      </c>
      <c r="I158" s="53">
        <f t="shared" si="18"/>
        <v>4.9000000000000002E-2</v>
      </c>
      <c r="L158" t="s">
        <v>569</v>
      </c>
      <c r="M158" t="str">
        <f t="shared" si="20"/>
        <v>Fabbricazione di altri prodotti vari in legno (esclusi i mobili)</v>
      </c>
      <c r="N158" t="str">
        <f t="shared" si="19"/>
        <v>B) Estrazione; C) Manifattura; D) Produzione energia/gas</v>
      </c>
    </row>
    <row r="159" spans="1:14" ht="51">
      <c r="A159" s="58" t="s">
        <v>535</v>
      </c>
      <c r="B159" s="59" t="s">
        <v>536</v>
      </c>
      <c r="C159">
        <v>2</v>
      </c>
      <c r="D159" t="str">
        <f>+VLOOKUP(AtecoCrisi[[#This Row],[COD. CRISI]],Tabella139[],2,0)</f>
        <v>B) Estrazione; C) Manifattura; D) Produzione energia/gas</v>
      </c>
      <c r="E159" s="53">
        <f t="shared" si="14"/>
        <v>0.03</v>
      </c>
      <c r="F159" s="53">
        <f t="shared" si="15"/>
        <v>7.5999999999999998E-2</v>
      </c>
      <c r="G159" s="53">
        <f t="shared" si="16"/>
        <v>0.93700000000000006</v>
      </c>
      <c r="H159" s="53">
        <f t="shared" si="17"/>
        <v>5.0000000000000001E-3</v>
      </c>
      <c r="I159" s="53">
        <f t="shared" si="18"/>
        <v>4.9000000000000002E-2</v>
      </c>
      <c r="L159" t="s">
        <v>571</v>
      </c>
      <c r="M159" t="str">
        <f t="shared" si="20"/>
        <v>Fabbricazione dei prodotti della lavorazione del sughero</v>
      </c>
      <c r="N159" t="str">
        <f t="shared" si="19"/>
        <v>B) Estrazione; C) Manifattura; D) Produzione energia/gas</v>
      </c>
    </row>
    <row r="160" spans="1:14" ht="51">
      <c r="A160" s="58" t="s">
        <v>537</v>
      </c>
      <c r="B160" s="59" t="s">
        <v>538</v>
      </c>
      <c r="C160">
        <v>2</v>
      </c>
      <c r="D160" t="str">
        <f>+VLOOKUP(AtecoCrisi[[#This Row],[COD. CRISI]],Tabella139[],2,0)</f>
        <v>B) Estrazione; C) Manifattura; D) Produzione energia/gas</v>
      </c>
      <c r="E160" s="53">
        <f t="shared" si="14"/>
        <v>0.03</v>
      </c>
      <c r="F160" s="53">
        <f t="shared" si="15"/>
        <v>7.5999999999999998E-2</v>
      </c>
      <c r="G160" s="53">
        <f t="shared" si="16"/>
        <v>0.93700000000000006</v>
      </c>
      <c r="H160" s="53">
        <f t="shared" si="17"/>
        <v>5.0000000000000001E-3</v>
      </c>
      <c r="I160" s="53">
        <f t="shared" si="18"/>
        <v>4.9000000000000002E-2</v>
      </c>
      <c r="L160" t="s">
        <v>573</v>
      </c>
      <c r="M160" t="str">
        <f t="shared" si="20"/>
        <v>Fabbricazione di articoli in paglia e materiali da intreccio</v>
      </c>
      <c r="N160" t="str">
        <f t="shared" si="19"/>
        <v>B) Estrazione; C) Manifattura; D) Produzione energia/gas</v>
      </c>
    </row>
    <row r="161" spans="1:14" ht="38.25">
      <c r="A161" s="56" t="s">
        <v>539</v>
      </c>
      <c r="B161" s="57" t="s">
        <v>540</v>
      </c>
      <c r="C161">
        <v>2</v>
      </c>
      <c r="D161" t="str">
        <f>+VLOOKUP(AtecoCrisi[[#This Row],[COD. CRISI]],Tabella139[],2,0)</f>
        <v>B) Estrazione; C) Manifattura; D) Produzione energia/gas</v>
      </c>
      <c r="E161" s="53">
        <f t="shared" si="14"/>
        <v>0.03</v>
      </c>
      <c r="F161" s="53">
        <f t="shared" si="15"/>
        <v>7.5999999999999998E-2</v>
      </c>
      <c r="G161" s="53">
        <f t="shared" si="16"/>
        <v>0.93700000000000006</v>
      </c>
      <c r="H161" s="53">
        <f t="shared" si="17"/>
        <v>5.0000000000000001E-3</v>
      </c>
      <c r="I161" s="53">
        <f t="shared" si="18"/>
        <v>4.9000000000000002E-2</v>
      </c>
      <c r="L161" t="s">
        <v>575</v>
      </c>
      <c r="M161" t="str">
        <f t="shared" si="20"/>
        <v>Laboratori di corniciai</v>
      </c>
      <c r="N161" t="str">
        <f t="shared" si="19"/>
        <v>B) Estrazione; C) Manifattura; D) Produzione energia/gas</v>
      </c>
    </row>
    <row r="162" spans="1:14" ht="51">
      <c r="A162" s="58" t="s">
        <v>541</v>
      </c>
      <c r="B162" s="59" t="s">
        <v>542</v>
      </c>
      <c r="C162">
        <v>2</v>
      </c>
      <c r="D162" t="str">
        <f>+VLOOKUP(AtecoCrisi[[#This Row],[COD. CRISI]],Tabella139[],2,0)</f>
        <v>B) Estrazione; C) Manifattura; D) Produzione energia/gas</v>
      </c>
      <c r="E162" s="53">
        <f t="shared" si="14"/>
        <v>0.03</v>
      </c>
      <c r="F162" s="53">
        <f t="shared" si="15"/>
        <v>7.5999999999999998E-2</v>
      </c>
      <c r="G162" s="53">
        <f t="shared" si="16"/>
        <v>0.93700000000000006</v>
      </c>
      <c r="H162" s="53">
        <f t="shared" si="17"/>
        <v>5.0000000000000001E-3</v>
      </c>
      <c r="I162" s="53">
        <f t="shared" si="18"/>
        <v>4.9000000000000002E-2</v>
      </c>
      <c r="L162" t="s">
        <v>579</v>
      </c>
      <c r="M162" t="str">
        <f t="shared" si="20"/>
        <v>Fabbricazione di pasta-carta</v>
      </c>
      <c r="N162" t="str">
        <f t="shared" si="19"/>
        <v>B) Estrazione; C) Manifattura; D) Produzione energia/gas</v>
      </c>
    </row>
    <row r="163" spans="1:14" ht="38.25">
      <c r="A163" s="58" t="s">
        <v>543</v>
      </c>
      <c r="B163" s="59" t="s">
        <v>544</v>
      </c>
      <c r="C163">
        <v>2</v>
      </c>
      <c r="D163" t="str">
        <f>+VLOOKUP(AtecoCrisi[[#This Row],[COD. CRISI]],Tabella139[],2,0)</f>
        <v>B) Estrazione; C) Manifattura; D) Produzione energia/gas</v>
      </c>
      <c r="E163" s="53">
        <f t="shared" si="14"/>
        <v>0.03</v>
      </c>
      <c r="F163" s="53">
        <f t="shared" si="15"/>
        <v>7.5999999999999998E-2</v>
      </c>
      <c r="G163" s="53">
        <f t="shared" si="16"/>
        <v>0.93700000000000006</v>
      </c>
      <c r="H163" s="53">
        <f t="shared" si="17"/>
        <v>5.0000000000000001E-3</v>
      </c>
      <c r="I163" s="53">
        <f t="shared" si="18"/>
        <v>4.9000000000000002E-2</v>
      </c>
      <c r="L163" t="s">
        <v>581</v>
      </c>
      <c r="M163" t="str">
        <f t="shared" si="20"/>
        <v>Fabbricazione di carta e cartone</v>
      </c>
      <c r="N163" t="str">
        <f t="shared" si="19"/>
        <v>B) Estrazione; C) Manifattura; D) Produzione energia/gas</v>
      </c>
    </row>
    <row r="164" spans="1:14" ht="63.75">
      <c r="A164" s="58" t="s">
        <v>545</v>
      </c>
      <c r="B164" s="59" t="s">
        <v>546</v>
      </c>
      <c r="C164">
        <v>2</v>
      </c>
      <c r="D164" t="str">
        <f>+VLOOKUP(AtecoCrisi[[#This Row],[COD. CRISI]],Tabella139[],2,0)</f>
        <v>B) Estrazione; C) Manifattura; D) Produzione energia/gas</v>
      </c>
      <c r="E164" s="53">
        <f t="shared" si="14"/>
        <v>0.03</v>
      </c>
      <c r="F164" s="53">
        <f t="shared" si="15"/>
        <v>7.5999999999999998E-2</v>
      </c>
      <c r="G164" s="53">
        <f t="shared" si="16"/>
        <v>0.93700000000000006</v>
      </c>
      <c r="H164" s="53">
        <f t="shared" si="17"/>
        <v>5.0000000000000001E-3</v>
      </c>
      <c r="I164" s="53">
        <f t="shared" si="18"/>
        <v>4.9000000000000002E-2</v>
      </c>
      <c r="L164" t="s">
        <v>583</v>
      </c>
      <c r="M164" t="str">
        <f t="shared" si="20"/>
        <v>Fabbricazione di carta e cartone ondulato e di imballaggi di carta e cartone (esclusi quelli in carta pressata)</v>
      </c>
      <c r="N164" t="str">
        <f t="shared" si="19"/>
        <v>B) Estrazione; C) Manifattura; D) Produzione energia/gas</v>
      </c>
    </row>
    <row r="165" spans="1:14" ht="25.5">
      <c r="A165" s="58" t="s">
        <v>547</v>
      </c>
      <c r="B165" s="59" t="s">
        <v>548</v>
      </c>
      <c r="C165">
        <v>2</v>
      </c>
      <c r="D165" t="str">
        <f>+VLOOKUP(AtecoCrisi[[#This Row],[COD. CRISI]],Tabella139[],2,0)</f>
        <v>B) Estrazione; C) Manifattura; D) Produzione energia/gas</v>
      </c>
      <c r="E165" s="53">
        <f t="shared" si="14"/>
        <v>0.03</v>
      </c>
      <c r="F165" s="53">
        <f t="shared" si="15"/>
        <v>7.5999999999999998E-2</v>
      </c>
      <c r="G165" s="53">
        <f t="shared" si="16"/>
        <v>0.93700000000000006</v>
      </c>
      <c r="H165" s="53">
        <f t="shared" si="17"/>
        <v>5.0000000000000001E-3</v>
      </c>
      <c r="I165" s="53">
        <f t="shared" si="18"/>
        <v>4.9000000000000002E-2</v>
      </c>
      <c r="L165" t="s">
        <v>585</v>
      </c>
      <c r="M165" t="str">
        <f t="shared" si="20"/>
        <v>Fabbricazione di prodotti igienico-sanitari e per uso domestico in carta e ovatta di cellulosa</v>
      </c>
      <c r="N165" t="str">
        <f t="shared" si="19"/>
        <v>B) Estrazione; C) Manifattura; D) Produzione energia/gas</v>
      </c>
    </row>
    <row r="166" spans="1:14" ht="38.25">
      <c r="A166" s="58" t="s">
        <v>549</v>
      </c>
      <c r="B166" s="59" t="s">
        <v>550</v>
      </c>
      <c r="C166">
        <v>2</v>
      </c>
      <c r="D166" t="str">
        <f>+VLOOKUP(AtecoCrisi[[#This Row],[COD. CRISI]],Tabella139[],2,0)</f>
        <v>B) Estrazione; C) Manifattura; D) Produzione energia/gas</v>
      </c>
      <c r="E166" s="53">
        <f t="shared" si="14"/>
        <v>0.03</v>
      </c>
      <c r="F166" s="53">
        <f t="shared" si="15"/>
        <v>7.5999999999999998E-2</v>
      </c>
      <c r="G166" s="53">
        <f t="shared" si="16"/>
        <v>0.93700000000000006</v>
      </c>
      <c r="H166" s="53">
        <f t="shared" si="17"/>
        <v>5.0000000000000001E-3</v>
      </c>
      <c r="I166" s="53">
        <f t="shared" si="18"/>
        <v>4.9000000000000002E-2</v>
      </c>
      <c r="L166" t="s">
        <v>587</v>
      </c>
      <c r="M166" t="str">
        <f t="shared" si="20"/>
        <v>Fabbricazione di prodotti cartotecnici scolastici e commerciali quando l'attività di stampa non è la principale caratteristica</v>
      </c>
      <c r="N166" t="str">
        <f t="shared" si="19"/>
        <v>B) Estrazione; C) Manifattura; D) Produzione energia/gas</v>
      </c>
    </row>
    <row r="167" spans="1:14" ht="153">
      <c r="A167" s="56" t="s">
        <v>551</v>
      </c>
      <c r="B167" s="57" t="s">
        <v>552</v>
      </c>
      <c r="C167">
        <v>2</v>
      </c>
      <c r="D167" t="str">
        <f>+VLOOKUP(AtecoCrisi[[#This Row],[COD. CRISI]],Tabella139[],2,0)</f>
        <v>B) Estrazione; C) Manifattura; D) Produzione energia/gas</v>
      </c>
      <c r="E167" s="53">
        <f t="shared" si="14"/>
        <v>0.03</v>
      </c>
      <c r="F167" s="53">
        <f t="shared" si="15"/>
        <v>7.5999999999999998E-2</v>
      </c>
      <c r="G167" s="53">
        <f t="shared" si="16"/>
        <v>0.93700000000000006</v>
      </c>
      <c r="H167" s="53">
        <f t="shared" si="17"/>
        <v>5.0000000000000001E-3</v>
      </c>
      <c r="I167" s="53">
        <f t="shared" si="18"/>
        <v>4.9000000000000002E-2</v>
      </c>
      <c r="L167" t="s">
        <v>589</v>
      </c>
      <c r="M167" t="str">
        <f t="shared" si="20"/>
        <v>Fabbricazione di altri prodotti cartotecnici</v>
      </c>
      <c r="N167" t="str">
        <f t="shared" si="19"/>
        <v>B) Estrazione; C) Manifattura; D) Produzione energia/gas</v>
      </c>
    </row>
    <row r="168" spans="1:14" ht="25.5">
      <c r="A168" s="58" t="s">
        <v>553</v>
      </c>
      <c r="B168" s="59" t="s">
        <v>554</v>
      </c>
      <c r="C168">
        <v>2</v>
      </c>
      <c r="D168" t="str">
        <f>+VLOOKUP(AtecoCrisi[[#This Row],[COD. CRISI]],Tabella139[],2,0)</f>
        <v>B) Estrazione; C) Manifattura; D) Produzione energia/gas</v>
      </c>
      <c r="E168" s="53">
        <f t="shared" si="14"/>
        <v>0.03</v>
      </c>
      <c r="F168" s="53">
        <f t="shared" si="15"/>
        <v>7.5999999999999998E-2</v>
      </c>
      <c r="G168" s="53">
        <f t="shared" si="16"/>
        <v>0.93700000000000006</v>
      </c>
      <c r="H168" s="53">
        <f t="shared" si="17"/>
        <v>5.0000000000000001E-3</v>
      </c>
      <c r="I168" s="53">
        <f t="shared" si="18"/>
        <v>4.9000000000000002E-2</v>
      </c>
      <c r="L168" t="s">
        <v>591</v>
      </c>
      <c r="M168" t="str">
        <f t="shared" si="20"/>
        <v>Fabbricazione di carta da parati</v>
      </c>
      <c r="N168" t="str">
        <f t="shared" si="19"/>
        <v>B) Estrazione; C) Manifattura; D) Produzione energia/gas</v>
      </c>
    </row>
    <row r="169" spans="1:14" ht="63.75">
      <c r="A169" s="58" t="s">
        <v>555</v>
      </c>
      <c r="B169" s="59" t="s">
        <v>556</v>
      </c>
      <c r="C169">
        <v>2</v>
      </c>
      <c r="D169" t="str">
        <f>+VLOOKUP(AtecoCrisi[[#This Row],[COD. CRISI]],Tabella139[],2,0)</f>
        <v>B) Estrazione; C) Manifattura; D) Produzione energia/gas</v>
      </c>
      <c r="E169" s="53">
        <f t="shared" si="14"/>
        <v>0.03</v>
      </c>
      <c r="F169" s="53">
        <f t="shared" si="15"/>
        <v>7.5999999999999998E-2</v>
      </c>
      <c r="G169" s="53">
        <f t="shared" si="16"/>
        <v>0.93700000000000006</v>
      </c>
      <c r="H169" s="53">
        <f t="shared" si="17"/>
        <v>5.0000000000000001E-3</v>
      </c>
      <c r="I169" s="53">
        <f t="shared" si="18"/>
        <v>4.9000000000000002E-2</v>
      </c>
      <c r="L169" t="s">
        <v>593</v>
      </c>
      <c r="M169" t="str">
        <f t="shared" si="20"/>
        <v>Fabbricazione di altri articoli di carta e cartone</v>
      </c>
      <c r="N169" t="str">
        <f t="shared" si="19"/>
        <v>B) Estrazione; C) Manifattura; D) Produzione energia/gas</v>
      </c>
    </row>
    <row r="170" spans="1:14" ht="51">
      <c r="A170" s="58" t="s">
        <v>557</v>
      </c>
      <c r="B170" s="59" t="s">
        <v>558</v>
      </c>
      <c r="C170">
        <v>2</v>
      </c>
      <c r="D170" t="str">
        <f>+VLOOKUP(AtecoCrisi[[#This Row],[COD. CRISI]],Tabella139[],2,0)</f>
        <v>B) Estrazione; C) Manifattura; D) Produzione energia/gas</v>
      </c>
      <c r="E170" s="53">
        <f t="shared" si="14"/>
        <v>0.03</v>
      </c>
      <c r="F170" s="53">
        <f t="shared" si="15"/>
        <v>7.5999999999999998E-2</v>
      </c>
      <c r="G170" s="53">
        <f t="shared" si="16"/>
        <v>0.93700000000000006</v>
      </c>
      <c r="H170" s="53">
        <f t="shared" si="17"/>
        <v>5.0000000000000001E-3</v>
      </c>
      <c r="I170" s="53">
        <f t="shared" si="18"/>
        <v>4.9000000000000002E-2</v>
      </c>
      <c r="L170" t="s">
        <v>597</v>
      </c>
      <c r="M170" t="str">
        <f t="shared" si="20"/>
        <v>Stampa di giornali</v>
      </c>
      <c r="N170" t="str">
        <f t="shared" si="19"/>
        <v>B) Estrazione; C) Manifattura; D) Produzione energia/gas</v>
      </c>
    </row>
    <row r="171" spans="1:14" ht="51">
      <c r="A171" s="58" t="s">
        <v>559</v>
      </c>
      <c r="B171" s="59" t="s">
        <v>560</v>
      </c>
      <c r="C171">
        <v>2</v>
      </c>
      <c r="D171" t="str">
        <f>+VLOOKUP(AtecoCrisi[[#This Row],[COD. CRISI]],Tabella139[],2,0)</f>
        <v>B) Estrazione; C) Manifattura; D) Produzione energia/gas</v>
      </c>
      <c r="E171" s="53">
        <f t="shared" si="14"/>
        <v>0.03</v>
      </c>
      <c r="F171" s="53">
        <f t="shared" si="15"/>
        <v>7.5999999999999998E-2</v>
      </c>
      <c r="G171" s="53">
        <f t="shared" si="16"/>
        <v>0.93700000000000006</v>
      </c>
      <c r="H171" s="53">
        <f t="shared" si="17"/>
        <v>5.0000000000000001E-3</v>
      </c>
      <c r="I171" s="53">
        <f t="shared" si="18"/>
        <v>4.9000000000000002E-2</v>
      </c>
      <c r="L171" t="s">
        <v>599</v>
      </c>
      <c r="M171" t="str">
        <f t="shared" si="20"/>
        <v>Altra stampa</v>
      </c>
      <c r="N171" t="str">
        <f t="shared" si="19"/>
        <v>B) Estrazione; C) Manifattura; D) Produzione energia/gas</v>
      </c>
    </row>
    <row r="172" spans="1:14" ht="63.75">
      <c r="A172" s="58" t="s">
        <v>561</v>
      </c>
      <c r="B172" s="59" t="s">
        <v>562</v>
      </c>
      <c r="C172">
        <v>2</v>
      </c>
      <c r="D172" t="str">
        <f>+VLOOKUP(AtecoCrisi[[#This Row],[COD. CRISI]],Tabella139[],2,0)</f>
        <v>B) Estrazione; C) Manifattura; D) Produzione energia/gas</v>
      </c>
      <c r="E172" s="53">
        <f t="shared" si="14"/>
        <v>0.03</v>
      </c>
      <c r="F172" s="53">
        <f t="shared" si="15"/>
        <v>7.5999999999999998E-2</v>
      </c>
      <c r="G172" s="53">
        <f t="shared" si="16"/>
        <v>0.93700000000000006</v>
      </c>
      <c r="H172" s="53">
        <f t="shared" si="17"/>
        <v>5.0000000000000001E-3</v>
      </c>
      <c r="I172" s="53">
        <f t="shared" si="18"/>
        <v>4.9000000000000002E-2</v>
      </c>
      <c r="L172" t="s">
        <v>601</v>
      </c>
      <c r="M172" t="str">
        <f t="shared" si="20"/>
        <v>Lavorazioni preliminari alla stampa e ai media</v>
      </c>
      <c r="N172" t="str">
        <f t="shared" si="19"/>
        <v>B) Estrazione; C) Manifattura; D) Produzione energia/gas</v>
      </c>
    </row>
    <row r="173" spans="1:14" ht="25.5">
      <c r="A173" s="58" t="s">
        <v>563</v>
      </c>
      <c r="B173" s="59" t="s">
        <v>564</v>
      </c>
      <c r="C173">
        <v>2</v>
      </c>
      <c r="D173" t="str">
        <f>+VLOOKUP(AtecoCrisi[[#This Row],[COD. CRISI]],Tabella139[],2,0)</f>
        <v>B) Estrazione; C) Manifattura; D) Produzione energia/gas</v>
      </c>
      <c r="E173" s="53">
        <f t="shared" si="14"/>
        <v>0.03</v>
      </c>
      <c r="F173" s="53">
        <f t="shared" si="15"/>
        <v>7.5999999999999998E-2</v>
      </c>
      <c r="G173" s="53">
        <f t="shared" si="16"/>
        <v>0.93700000000000006</v>
      </c>
      <c r="H173" s="53">
        <f t="shared" si="17"/>
        <v>5.0000000000000001E-3</v>
      </c>
      <c r="I173" s="53">
        <f t="shared" si="18"/>
        <v>4.9000000000000002E-2</v>
      </c>
      <c r="L173" t="s">
        <v>603</v>
      </c>
      <c r="M173" t="str">
        <f t="shared" si="20"/>
        <v>Legatoria e servizi connessi</v>
      </c>
      <c r="N173" t="str">
        <f t="shared" si="19"/>
        <v>B) Estrazione; C) Manifattura; D) Produzione energia/gas</v>
      </c>
    </row>
    <row r="174" spans="1:14" ht="38.25">
      <c r="A174" s="58" t="s">
        <v>565</v>
      </c>
      <c r="B174" s="59" t="s">
        <v>566</v>
      </c>
      <c r="C174">
        <v>2</v>
      </c>
      <c r="D174" t="str">
        <f>+VLOOKUP(AtecoCrisi[[#This Row],[COD. CRISI]],Tabella139[],2,0)</f>
        <v>B) Estrazione; C) Manifattura; D) Produzione energia/gas</v>
      </c>
      <c r="E174" s="53">
        <f t="shared" si="14"/>
        <v>0.03</v>
      </c>
      <c r="F174" s="53">
        <f t="shared" si="15"/>
        <v>7.5999999999999998E-2</v>
      </c>
      <c r="G174" s="53">
        <f t="shared" si="16"/>
        <v>0.93700000000000006</v>
      </c>
      <c r="H174" s="53">
        <f t="shared" si="17"/>
        <v>5.0000000000000001E-3</v>
      </c>
      <c r="I174" s="53">
        <f t="shared" si="18"/>
        <v>4.9000000000000002E-2</v>
      </c>
      <c r="L174" t="s">
        <v>605</v>
      </c>
      <c r="M174" t="str">
        <f t="shared" si="20"/>
        <v>Riproduzione di supporti registrati</v>
      </c>
      <c r="N174" t="str">
        <f t="shared" si="19"/>
        <v>B) Estrazione; C) Manifattura; D) Produzione energia/gas</v>
      </c>
    </row>
    <row r="175" spans="1:14" ht="38.25">
      <c r="A175" s="58" t="s">
        <v>567</v>
      </c>
      <c r="B175" s="59" t="s">
        <v>568</v>
      </c>
      <c r="C175">
        <v>2</v>
      </c>
      <c r="D175" t="str">
        <f>+VLOOKUP(AtecoCrisi[[#This Row],[COD. CRISI]],Tabella139[],2,0)</f>
        <v>B) Estrazione; C) Manifattura; D) Produzione energia/gas</v>
      </c>
      <c r="E175" s="53">
        <f t="shared" si="14"/>
        <v>0.03</v>
      </c>
      <c r="F175" s="53">
        <f t="shared" si="15"/>
        <v>7.5999999999999998E-2</v>
      </c>
      <c r="G175" s="53">
        <f t="shared" si="16"/>
        <v>0.93700000000000006</v>
      </c>
      <c r="H175" s="53">
        <f t="shared" si="17"/>
        <v>5.0000000000000001E-3</v>
      </c>
      <c r="I175" s="53">
        <f t="shared" si="18"/>
        <v>4.9000000000000002E-2</v>
      </c>
      <c r="L175" t="s">
        <v>609</v>
      </c>
      <c r="M175" t="str">
        <f t="shared" si="20"/>
        <v>Fabbricazione di pece e coke di pece</v>
      </c>
      <c r="N175" t="str">
        <f t="shared" si="19"/>
        <v>B) Estrazione; C) Manifattura; D) Produzione energia/gas</v>
      </c>
    </row>
    <row r="176" spans="1:14" ht="51">
      <c r="A176" s="58" t="s">
        <v>569</v>
      </c>
      <c r="B176" s="59" t="s">
        <v>570</v>
      </c>
      <c r="C176">
        <v>2</v>
      </c>
      <c r="D176" t="str">
        <f>+VLOOKUP(AtecoCrisi[[#This Row],[COD. CRISI]],Tabella139[],2,0)</f>
        <v>B) Estrazione; C) Manifattura; D) Produzione energia/gas</v>
      </c>
      <c r="E176" s="53">
        <f t="shared" si="14"/>
        <v>0.03</v>
      </c>
      <c r="F176" s="53">
        <f t="shared" si="15"/>
        <v>7.5999999999999998E-2</v>
      </c>
      <c r="G176" s="53">
        <f t="shared" si="16"/>
        <v>0.93700000000000006</v>
      </c>
      <c r="H176" s="53">
        <f t="shared" si="17"/>
        <v>5.0000000000000001E-3</v>
      </c>
      <c r="I176" s="53">
        <f t="shared" si="18"/>
        <v>4.9000000000000002E-2</v>
      </c>
      <c r="L176" t="s">
        <v>611</v>
      </c>
      <c r="M176" t="str">
        <f t="shared" si="20"/>
        <v>Fabbricazione di altri prodotti di cokeria</v>
      </c>
      <c r="N176" t="str">
        <f t="shared" si="19"/>
        <v>B) Estrazione; C) Manifattura; D) Produzione energia/gas</v>
      </c>
    </row>
    <row r="177" spans="1:14" ht="51">
      <c r="A177" s="58" t="s">
        <v>571</v>
      </c>
      <c r="B177" s="59" t="s">
        <v>572</v>
      </c>
      <c r="C177">
        <v>2</v>
      </c>
      <c r="D177" t="str">
        <f>+VLOOKUP(AtecoCrisi[[#This Row],[COD. CRISI]],Tabella139[],2,0)</f>
        <v>B) Estrazione; C) Manifattura; D) Produzione energia/gas</v>
      </c>
      <c r="E177" s="53">
        <f t="shared" si="14"/>
        <v>0.03</v>
      </c>
      <c r="F177" s="53">
        <f t="shared" si="15"/>
        <v>7.5999999999999998E-2</v>
      </c>
      <c r="G177" s="53">
        <f t="shared" si="16"/>
        <v>0.93700000000000006</v>
      </c>
      <c r="H177" s="53">
        <f t="shared" si="17"/>
        <v>5.0000000000000001E-3</v>
      </c>
      <c r="I177" s="53">
        <f t="shared" si="18"/>
        <v>4.9000000000000002E-2</v>
      </c>
      <c r="L177" t="s">
        <v>613</v>
      </c>
      <c r="M177" t="str">
        <f t="shared" si="20"/>
        <v>Raffinerie di petrolio</v>
      </c>
      <c r="N177" t="str">
        <f t="shared" si="19"/>
        <v>B) Estrazione; C) Manifattura; D) Produzione energia/gas</v>
      </c>
    </row>
    <row r="178" spans="1:14" ht="51">
      <c r="A178" s="58" t="s">
        <v>573</v>
      </c>
      <c r="B178" s="59" t="s">
        <v>574</v>
      </c>
      <c r="C178">
        <v>2</v>
      </c>
      <c r="D178" t="str">
        <f>+VLOOKUP(AtecoCrisi[[#This Row],[COD. CRISI]],Tabella139[],2,0)</f>
        <v>B) Estrazione; C) Manifattura; D) Produzione energia/gas</v>
      </c>
      <c r="E178" s="53">
        <f t="shared" si="14"/>
        <v>0.03</v>
      </c>
      <c r="F178" s="53">
        <f t="shared" si="15"/>
        <v>7.5999999999999998E-2</v>
      </c>
      <c r="G178" s="53">
        <f t="shared" si="16"/>
        <v>0.93700000000000006</v>
      </c>
      <c r="H178" s="53">
        <f t="shared" si="17"/>
        <v>5.0000000000000001E-3</v>
      </c>
      <c r="I178" s="53">
        <f t="shared" si="18"/>
        <v>4.9000000000000002E-2</v>
      </c>
      <c r="L178" t="s">
        <v>615</v>
      </c>
      <c r="M178" t="str">
        <f t="shared" si="20"/>
        <v>Preparazione o miscelazione di derivati del petrolio (esclusa la petrolchimica)</v>
      </c>
      <c r="N178" t="str">
        <f t="shared" si="19"/>
        <v>B) Estrazione; C) Manifattura; D) Produzione energia/gas</v>
      </c>
    </row>
    <row r="179" spans="1:14" ht="25.5">
      <c r="A179" s="58" t="s">
        <v>575</v>
      </c>
      <c r="B179" s="59" t="s">
        <v>576</v>
      </c>
      <c r="C179">
        <v>2</v>
      </c>
      <c r="D179" t="str">
        <f>+VLOOKUP(AtecoCrisi[[#This Row],[COD. CRISI]],Tabella139[],2,0)</f>
        <v>B) Estrazione; C) Manifattura; D) Produzione energia/gas</v>
      </c>
      <c r="E179" s="53">
        <f t="shared" si="14"/>
        <v>0.03</v>
      </c>
      <c r="F179" s="53">
        <f t="shared" si="15"/>
        <v>7.5999999999999998E-2</v>
      </c>
      <c r="G179" s="53">
        <f t="shared" si="16"/>
        <v>0.93700000000000006</v>
      </c>
      <c r="H179" s="53">
        <f t="shared" si="17"/>
        <v>5.0000000000000001E-3</v>
      </c>
      <c r="I179" s="53">
        <f t="shared" si="18"/>
        <v>4.9000000000000002E-2</v>
      </c>
      <c r="L179" t="s">
        <v>617</v>
      </c>
      <c r="M179" t="str">
        <f t="shared" si="20"/>
        <v>Miscelazione di gas petroliferi liquefatti (GPL) e loro imbottigliamento</v>
      </c>
      <c r="N179" t="str">
        <f t="shared" si="19"/>
        <v>B) Estrazione; C) Manifattura; D) Produzione energia/gas</v>
      </c>
    </row>
    <row r="180" spans="1:14" ht="51">
      <c r="A180" s="56" t="s">
        <v>577</v>
      </c>
      <c r="B180" s="57" t="s">
        <v>578</v>
      </c>
      <c r="C180">
        <v>2</v>
      </c>
      <c r="D180" t="str">
        <f>+VLOOKUP(AtecoCrisi[[#This Row],[COD. CRISI]],Tabella139[],2,0)</f>
        <v>B) Estrazione; C) Manifattura; D) Produzione energia/gas</v>
      </c>
      <c r="E180" s="53">
        <f t="shared" si="14"/>
        <v>0.03</v>
      </c>
      <c r="F180" s="53">
        <f t="shared" si="15"/>
        <v>7.5999999999999998E-2</v>
      </c>
      <c r="G180" s="53">
        <f t="shared" si="16"/>
        <v>0.93700000000000006</v>
      </c>
      <c r="H180" s="53">
        <f t="shared" si="17"/>
        <v>5.0000000000000001E-3</v>
      </c>
      <c r="I180" s="53">
        <f t="shared" si="18"/>
        <v>4.9000000000000002E-2</v>
      </c>
      <c r="L180" t="s">
        <v>619</v>
      </c>
      <c r="M180" t="str">
        <f t="shared" si="20"/>
        <v>Fabbricazione di emulsioni di bitume, di catrame e di leganti per uso stradale</v>
      </c>
      <c r="N180" t="str">
        <f t="shared" si="19"/>
        <v>B) Estrazione; C) Manifattura; D) Produzione energia/gas</v>
      </c>
    </row>
    <row r="181" spans="1:14" ht="25.5">
      <c r="A181" s="58" t="s">
        <v>579</v>
      </c>
      <c r="B181" s="59" t="s">
        <v>580</v>
      </c>
      <c r="C181">
        <v>2</v>
      </c>
      <c r="D181" t="str">
        <f>+VLOOKUP(AtecoCrisi[[#This Row],[COD. CRISI]],Tabella139[],2,0)</f>
        <v>B) Estrazione; C) Manifattura; D) Produzione energia/gas</v>
      </c>
      <c r="E181" s="53">
        <f t="shared" si="14"/>
        <v>0.03</v>
      </c>
      <c r="F181" s="53">
        <f t="shared" si="15"/>
        <v>7.5999999999999998E-2</v>
      </c>
      <c r="G181" s="53">
        <f t="shared" si="16"/>
        <v>0.93700000000000006</v>
      </c>
      <c r="H181" s="53">
        <f t="shared" si="17"/>
        <v>5.0000000000000001E-3</v>
      </c>
      <c r="I181" s="53">
        <f t="shared" si="18"/>
        <v>4.9000000000000002E-2</v>
      </c>
      <c r="L181" t="s">
        <v>621</v>
      </c>
      <c r="M181" t="str">
        <f t="shared" si="20"/>
        <v>Fabbricazione di altri prodotti petroliferi raffinati</v>
      </c>
      <c r="N181" t="str">
        <f t="shared" si="19"/>
        <v>B) Estrazione; C) Manifattura; D) Produzione energia/gas</v>
      </c>
    </row>
    <row r="182" spans="1:14" ht="25.5">
      <c r="A182" s="58" t="s">
        <v>581</v>
      </c>
      <c r="B182" s="59" t="s">
        <v>582</v>
      </c>
      <c r="C182">
        <v>2</v>
      </c>
      <c r="D182" t="str">
        <f>+VLOOKUP(AtecoCrisi[[#This Row],[COD. CRISI]],Tabella139[],2,0)</f>
        <v>B) Estrazione; C) Manifattura; D) Produzione energia/gas</v>
      </c>
      <c r="E182" s="53">
        <f t="shared" si="14"/>
        <v>0.03</v>
      </c>
      <c r="F182" s="53">
        <f t="shared" si="15"/>
        <v>7.5999999999999998E-2</v>
      </c>
      <c r="G182" s="53">
        <f t="shared" si="16"/>
        <v>0.93700000000000006</v>
      </c>
      <c r="H182" s="53">
        <f t="shared" si="17"/>
        <v>5.0000000000000001E-3</v>
      </c>
      <c r="I182" s="53">
        <f t="shared" si="18"/>
        <v>4.9000000000000002E-2</v>
      </c>
      <c r="L182" t="s">
        <v>625</v>
      </c>
      <c r="M182" t="str">
        <f t="shared" si="20"/>
        <v>Fabbricazione di gas industriali</v>
      </c>
      <c r="N182" t="str">
        <f t="shared" si="19"/>
        <v>B) Estrazione; C) Manifattura; D) Produzione energia/gas</v>
      </c>
    </row>
    <row r="183" spans="1:14" ht="89.25">
      <c r="A183" s="58" t="s">
        <v>583</v>
      </c>
      <c r="B183" s="59" t="s">
        <v>584</v>
      </c>
      <c r="C183">
        <v>2</v>
      </c>
      <c r="D183" t="str">
        <f>+VLOOKUP(AtecoCrisi[[#This Row],[COD. CRISI]],Tabella139[],2,0)</f>
        <v>B) Estrazione; C) Manifattura; D) Produzione energia/gas</v>
      </c>
      <c r="E183" s="53">
        <f t="shared" si="14"/>
        <v>0.03</v>
      </c>
      <c r="F183" s="53">
        <f t="shared" si="15"/>
        <v>7.5999999999999998E-2</v>
      </c>
      <c r="G183" s="53">
        <f t="shared" si="16"/>
        <v>0.93700000000000006</v>
      </c>
      <c r="H183" s="53">
        <f t="shared" si="17"/>
        <v>5.0000000000000001E-3</v>
      </c>
      <c r="I183" s="53">
        <f t="shared" si="18"/>
        <v>4.9000000000000002E-2</v>
      </c>
      <c r="L183" t="s">
        <v>627</v>
      </c>
      <c r="M183" t="str">
        <f t="shared" si="20"/>
        <v>Fabbricazione di coloranti e pigmenti</v>
      </c>
      <c r="N183" t="str">
        <f t="shared" si="19"/>
        <v>B) Estrazione; C) Manifattura; D) Produzione energia/gas</v>
      </c>
    </row>
    <row r="184" spans="1:14" ht="76.5">
      <c r="A184" s="58" t="s">
        <v>585</v>
      </c>
      <c r="B184" s="59" t="s">
        <v>586</v>
      </c>
      <c r="C184">
        <v>2</v>
      </c>
      <c r="D184" t="str">
        <f>+VLOOKUP(AtecoCrisi[[#This Row],[COD. CRISI]],Tabella139[],2,0)</f>
        <v>B) Estrazione; C) Manifattura; D) Produzione energia/gas</v>
      </c>
      <c r="E184" s="53">
        <f t="shared" si="14"/>
        <v>0.03</v>
      </c>
      <c r="F184" s="53">
        <f t="shared" si="15"/>
        <v>7.5999999999999998E-2</v>
      </c>
      <c r="G184" s="53">
        <f t="shared" si="16"/>
        <v>0.93700000000000006</v>
      </c>
      <c r="H184" s="53">
        <f t="shared" si="17"/>
        <v>5.0000000000000001E-3</v>
      </c>
      <c r="I184" s="53">
        <f t="shared" si="18"/>
        <v>4.9000000000000002E-2</v>
      </c>
      <c r="L184" t="s">
        <v>629</v>
      </c>
      <c r="M184" t="str">
        <f t="shared" si="20"/>
        <v>Fabbricazione di uranio e torio arricchito</v>
      </c>
      <c r="N184" t="str">
        <f t="shared" si="19"/>
        <v>B) Estrazione; C) Manifattura; D) Produzione energia/gas</v>
      </c>
    </row>
    <row r="185" spans="1:14" ht="114.75">
      <c r="A185" s="58" t="s">
        <v>587</v>
      </c>
      <c r="B185" s="59" t="s">
        <v>588</v>
      </c>
      <c r="C185">
        <v>2</v>
      </c>
      <c r="D185" t="str">
        <f>+VLOOKUP(AtecoCrisi[[#This Row],[COD. CRISI]],Tabella139[],2,0)</f>
        <v>B) Estrazione; C) Manifattura; D) Produzione energia/gas</v>
      </c>
      <c r="E185" s="53">
        <f t="shared" si="14"/>
        <v>0.03</v>
      </c>
      <c r="F185" s="53">
        <f t="shared" si="15"/>
        <v>7.5999999999999998E-2</v>
      </c>
      <c r="G185" s="53">
        <f t="shared" si="16"/>
        <v>0.93700000000000006</v>
      </c>
      <c r="H185" s="53">
        <f t="shared" si="17"/>
        <v>5.0000000000000001E-3</v>
      </c>
      <c r="I185" s="53">
        <f t="shared" si="18"/>
        <v>4.9000000000000002E-2</v>
      </c>
      <c r="L185" t="s">
        <v>631</v>
      </c>
      <c r="M185" t="str">
        <f t="shared" si="20"/>
        <v>Fabbricazione di altri prodotti chimici di base inorganici</v>
      </c>
      <c r="N185" t="str">
        <f t="shared" si="19"/>
        <v>B) Estrazione; C) Manifattura; D) Produzione energia/gas</v>
      </c>
    </row>
    <row r="186" spans="1:14" ht="38.25">
      <c r="A186" s="58" t="s">
        <v>589</v>
      </c>
      <c r="B186" s="59" t="s">
        <v>590</v>
      </c>
      <c r="C186">
        <v>2</v>
      </c>
      <c r="D186" t="str">
        <f>+VLOOKUP(AtecoCrisi[[#This Row],[COD. CRISI]],Tabella139[],2,0)</f>
        <v>B) Estrazione; C) Manifattura; D) Produzione energia/gas</v>
      </c>
      <c r="E186" s="53">
        <f t="shared" si="14"/>
        <v>0.03</v>
      </c>
      <c r="F186" s="53">
        <f t="shared" si="15"/>
        <v>7.5999999999999998E-2</v>
      </c>
      <c r="G186" s="53">
        <f t="shared" si="16"/>
        <v>0.93700000000000006</v>
      </c>
      <c r="H186" s="53">
        <f t="shared" si="17"/>
        <v>5.0000000000000001E-3</v>
      </c>
      <c r="I186" s="53">
        <f t="shared" si="18"/>
        <v>4.9000000000000002E-2</v>
      </c>
      <c r="L186" t="s">
        <v>633</v>
      </c>
      <c r="M186" t="str">
        <f t="shared" si="20"/>
        <v>Fabbricazione di alcol etilico da materiali fermentati</v>
      </c>
      <c r="N186" t="str">
        <f t="shared" si="19"/>
        <v>B) Estrazione; C) Manifattura; D) Produzione energia/gas</v>
      </c>
    </row>
    <row r="187" spans="1:14" ht="25.5">
      <c r="A187" s="58" t="s">
        <v>591</v>
      </c>
      <c r="B187" s="59" t="s">
        <v>592</v>
      </c>
      <c r="C187">
        <v>2</v>
      </c>
      <c r="D187" t="str">
        <f>+VLOOKUP(AtecoCrisi[[#This Row],[COD. CRISI]],Tabella139[],2,0)</f>
        <v>B) Estrazione; C) Manifattura; D) Produzione energia/gas</v>
      </c>
      <c r="E187" s="53">
        <f t="shared" si="14"/>
        <v>0.03</v>
      </c>
      <c r="F187" s="53">
        <f t="shared" si="15"/>
        <v>7.5999999999999998E-2</v>
      </c>
      <c r="G187" s="53">
        <f t="shared" si="16"/>
        <v>0.93700000000000006</v>
      </c>
      <c r="H187" s="53">
        <f t="shared" si="17"/>
        <v>5.0000000000000001E-3</v>
      </c>
      <c r="I187" s="53">
        <f t="shared" si="18"/>
        <v>4.9000000000000002E-2</v>
      </c>
      <c r="L187" t="s">
        <v>635</v>
      </c>
      <c r="M187" t="str">
        <f t="shared" si="20"/>
        <v>Fabbricazione di altri prodotti chimici di base organici nca</v>
      </c>
      <c r="N187" t="str">
        <f t="shared" si="19"/>
        <v>B) Estrazione; C) Manifattura; D) Produzione energia/gas</v>
      </c>
    </row>
    <row r="188" spans="1:14" ht="38.25">
      <c r="A188" s="58" t="s">
        <v>593</v>
      </c>
      <c r="B188" s="59" t="s">
        <v>594</v>
      </c>
      <c r="C188">
        <v>2</v>
      </c>
      <c r="D188" t="str">
        <f>+VLOOKUP(AtecoCrisi[[#This Row],[COD. CRISI]],Tabella139[],2,0)</f>
        <v>B) Estrazione; C) Manifattura; D) Produzione energia/gas</v>
      </c>
      <c r="E188" s="53">
        <f t="shared" si="14"/>
        <v>0.03</v>
      </c>
      <c r="F188" s="53">
        <f t="shared" si="15"/>
        <v>7.5999999999999998E-2</v>
      </c>
      <c r="G188" s="53">
        <f t="shared" si="16"/>
        <v>0.93700000000000006</v>
      </c>
      <c r="H188" s="53">
        <f t="shared" si="17"/>
        <v>5.0000000000000001E-3</v>
      </c>
      <c r="I188" s="53">
        <f t="shared" si="18"/>
        <v>4.9000000000000002E-2</v>
      </c>
      <c r="L188" t="s">
        <v>637</v>
      </c>
      <c r="M188" t="str">
        <f t="shared" si="20"/>
        <v>Fabbricazione di fertilizzanti e composti azotati (esclusa la fabbricazione di compost)</v>
      </c>
      <c r="N188" t="str">
        <f t="shared" si="19"/>
        <v>B) Estrazione; C) Manifattura; D) Produzione energia/gas</v>
      </c>
    </row>
    <row r="189" spans="1:14" ht="51">
      <c r="A189" s="56" t="s">
        <v>595</v>
      </c>
      <c r="B189" s="57" t="s">
        <v>596</v>
      </c>
      <c r="C189">
        <v>2</v>
      </c>
      <c r="D189" t="str">
        <f>+VLOOKUP(AtecoCrisi[[#This Row],[COD. CRISI]],Tabella139[],2,0)</f>
        <v>B) Estrazione; C) Manifattura; D) Produzione energia/gas</v>
      </c>
      <c r="E189" s="53">
        <f t="shared" si="14"/>
        <v>0.03</v>
      </c>
      <c r="F189" s="53">
        <f t="shared" si="15"/>
        <v>7.5999999999999998E-2</v>
      </c>
      <c r="G189" s="53">
        <f t="shared" si="16"/>
        <v>0.93700000000000006</v>
      </c>
      <c r="H189" s="53">
        <f t="shared" si="17"/>
        <v>5.0000000000000001E-3</v>
      </c>
      <c r="I189" s="53">
        <f t="shared" si="18"/>
        <v>4.9000000000000002E-2</v>
      </c>
      <c r="L189" t="s">
        <v>639</v>
      </c>
      <c r="M189" t="str">
        <f t="shared" si="20"/>
        <v>Fabbricazione di materie plastiche in forme primarie</v>
      </c>
      <c r="N189" t="str">
        <f t="shared" si="19"/>
        <v>B) Estrazione; C) Manifattura; D) Produzione energia/gas</v>
      </c>
    </row>
    <row r="190" spans="1:14">
      <c r="A190" s="58" t="s">
        <v>597</v>
      </c>
      <c r="B190" s="59" t="s">
        <v>598</v>
      </c>
      <c r="C190">
        <v>2</v>
      </c>
      <c r="D190" t="str">
        <f>+VLOOKUP(AtecoCrisi[[#This Row],[COD. CRISI]],Tabella139[],2,0)</f>
        <v>B) Estrazione; C) Manifattura; D) Produzione energia/gas</v>
      </c>
      <c r="E190" s="53">
        <f t="shared" si="14"/>
        <v>0.03</v>
      </c>
      <c r="F190" s="53">
        <f t="shared" si="15"/>
        <v>7.5999999999999998E-2</v>
      </c>
      <c r="G190" s="53">
        <f t="shared" si="16"/>
        <v>0.93700000000000006</v>
      </c>
      <c r="H190" s="53">
        <f t="shared" si="17"/>
        <v>5.0000000000000001E-3</v>
      </c>
      <c r="I190" s="53">
        <f t="shared" si="18"/>
        <v>4.9000000000000002E-2</v>
      </c>
      <c r="L190" t="s">
        <v>641</v>
      </c>
      <c r="M190" t="str">
        <f t="shared" si="20"/>
        <v>Fabbricazione di gomma sintetica in forme primarie</v>
      </c>
      <c r="N190" t="str">
        <f t="shared" si="19"/>
        <v>B) Estrazione; C) Manifattura; D) Produzione energia/gas</v>
      </c>
    </row>
    <row r="191" spans="1:14">
      <c r="A191" s="58" t="s">
        <v>599</v>
      </c>
      <c r="B191" s="59" t="s">
        <v>600</v>
      </c>
      <c r="C191">
        <v>2</v>
      </c>
      <c r="D191" t="str">
        <f>+VLOOKUP(AtecoCrisi[[#This Row],[COD. CRISI]],Tabella139[],2,0)</f>
        <v>B) Estrazione; C) Manifattura; D) Produzione energia/gas</v>
      </c>
      <c r="E191" s="53">
        <f t="shared" si="14"/>
        <v>0.03</v>
      </c>
      <c r="F191" s="53">
        <f t="shared" si="15"/>
        <v>7.5999999999999998E-2</v>
      </c>
      <c r="G191" s="53">
        <f t="shared" si="16"/>
        <v>0.93700000000000006</v>
      </c>
      <c r="H191" s="53">
        <f t="shared" si="17"/>
        <v>5.0000000000000001E-3</v>
      </c>
      <c r="I191" s="53">
        <f t="shared" si="18"/>
        <v>4.9000000000000002E-2</v>
      </c>
      <c r="L191" t="s">
        <v>643</v>
      </c>
      <c r="M191" t="str">
        <f t="shared" si="20"/>
        <v>Fabbricazione di agrofarmaci e di altri prodotti chimici per l'agricoltura (esclusi i concimi)</v>
      </c>
      <c r="N191" t="str">
        <f t="shared" si="19"/>
        <v>B) Estrazione; C) Manifattura; D) Produzione energia/gas</v>
      </c>
    </row>
    <row r="192" spans="1:14" ht="38.25">
      <c r="A192" s="58" t="s">
        <v>601</v>
      </c>
      <c r="B192" s="59" t="s">
        <v>602</v>
      </c>
      <c r="C192">
        <v>2</v>
      </c>
      <c r="D192" t="str">
        <f>+VLOOKUP(AtecoCrisi[[#This Row],[COD. CRISI]],Tabella139[],2,0)</f>
        <v>B) Estrazione; C) Manifattura; D) Produzione energia/gas</v>
      </c>
      <c r="E192" s="53">
        <f t="shared" si="14"/>
        <v>0.03</v>
      </c>
      <c r="F192" s="53">
        <f t="shared" si="15"/>
        <v>7.5999999999999998E-2</v>
      </c>
      <c r="G192" s="53">
        <f t="shared" si="16"/>
        <v>0.93700000000000006</v>
      </c>
      <c r="H192" s="53">
        <f t="shared" si="17"/>
        <v>5.0000000000000001E-3</v>
      </c>
      <c r="I192" s="53">
        <f t="shared" si="18"/>
        <v>4.9000000000000002E-2</v>
      </c>
      <c r="L192" t="s">
        <v>645</v>
      </c>
      <c r="M192" t="str">
        <f t="shared" si="20"/>
        <v>Fabbricazione di pitture, vernici e smalti, inchiostri da stampa e adesivi sintetici (mastici)</v>
      </c>
      <c r="N192" t="str">
        <f t="shared" si="19"/>
        <v>B) Estrazione; C) Manifattura; D) Produzione energia/gas</v>
      </c>
    </row>
    <row r="193" spans="1:14" ht="25.5">
      <c r="A193" s="58" t="s">
        <v>603</v>
      </c>
      <c r="B193" s="59" t="s">
        <v>604</v>
      </c>
      <c r="C193">
        <v>2</v>
      </c>
      <c r="D193" t="str">
        <f>+VLOOKUP(AtecoCrisi[[#This Row],[COD. CRISI]],Tabella139[],2,0)</f>
        <v>B) Estrazione; C) Manifattura; D) Produzione energia/gas</v>
      </c>
      <c r="E193" s="53">
        <f t="shared" si="14"/>
        <v>0.03</v>
      </c>
      <c r="F193" s="53">
        <f t="shared" si="15"/>
        <v>7.5999999999999998E-2</v>
      </c>
      <c r="G193" s="53">
        <f t="shared" si="16"/>
        <v>0.93700000000000006</v>
      </c>
      <c r="H193" s="53">
        <f t="shared" si="17"/>
        <v>5.0000000000000001E-3</v>
      </c>
      <c r="I193" s="53">
        <f t="shared" si="18"/>
        <v>4.9000000000000002E-2</v>
      </c>
      <c r="L193" t="s">
        <v>647</v>
      </c>
      <c r="M193" t="str">
        <f t="shared" si="20"/>
        <v>Fabbricazione di saponi, detergenti e di agenti organici tensioattivi (esclusi i prodotti per toletta)</v>
      </c>
      <c r="N193" t="str">
        <f t="shared" si="19"/>
        <v>B) Estrazione; C) Manifattura; D) Produzione energia/gas</v>
      </c>
    </row>
    <row r="194" spans="1:14" ht="25.5">
      <c r="A194" s="58" t="s">
        <v>605</v>
      </c>
      <c r="B194" s="59" t="s">
        <v>606</v>
      </c>
      <c r="C194">
        <v>2</v>
      </c>
      <c r="D194" t="str">
        <f>+VLOOKUP(AtecoCrisi[[#This Row],[COD. CRISI]],Tabella139[],2,0)</f>
        <v>B) Estrazione; C) Manifattura; D) Produzione energia/gas</v>
      </c>
      <c r="E194" s="53">
        <f t="shared" ref="E194:E257" si="21">+VLOOKUP(C194,$R$2:$X$11,3,FALSE)</f>
        <v>0.03</v>
      </c>
      <c r="F194" s="53">
        <f t="shared" ref="F194:F257" si="22">+VLOOKUP(C194,$R$2:$X$11,4,FALSE)</f>
        <v>7.5999999999999998E-2</v>
      </c>
      <c r="G194" s="53">
        <f t="shared" ref="G194:G257" si="23">+VLOOKUP(C194,$R$2:$X$11,5,FALSE)</f>
        <v>0.93700000000000006</v>
      </c>
      <c r="H194" s="53">
        <f t="shared" ref="H194:H257" si="24">+VLOOKUP(C194,$R$2:$X$11,6,FALSE)</f>
        <v>5.0000000000000001E-3</v>
      </c>
      <c r="I194" s="53">
        <f t="shared" ref="I194:I257" si="25">+VLOOKUP(C194,$R$2:$X$11,7,FALSE)</f>
        <v>4.9000000000000002E-2</v>
      </c>
      <c r="L194" t="s">
        <v>649</v>
      </c>
      <c r="M194" t="str">
        <f t="shared" si="20"/>
        <v>Fabbricazione di specialità chimiche per uso domestico e per manutenzione</v>
      </c>
      <c r="N194" t="str">
        <f t="shared" ref="N194:N257" si="26">+VLOOKUP(L194,A:D,4,0)</f>
        <v>B) Estrazione; C) Manifattura; D) Produzione energia/gas</v>
      </c>
    </row>
    <row r="195" spans="1:14" ht="89.25">
      <c r="A195" s="56" t="s">
        <v>607</v>
      </c>
      <c r="B195" s="57" t="s">
        <v>608</v>
      </c>
      <c r="C195">
        <v>2</v>
      </c>
      <c r="D195" t="str">
        <f>+VLOOKUP(AtecoCrisi[[#This Row],[COD. CRISI]],Tabella139[],2,0)</f>
        <v>B) Estrazione; C) Manifattura; D) Produzione energia/gas</v>
      </c>
      <c r="E195" s="53">
        <f t="shared" si="21"/>
        <v>0.03</v>
      </c>
      <c r="F195" s="53">
        <f t="shared" si="22"/>
        <v>7.5999999999999998E-2</v>
      </c>
      <c r="G195" s="53">
        <f t="shared" si="23"/>
        <v>0.93700000000000006</v>
      </c>
      <c r="H195" s="53">
        <f t="shared" si="24"/>
        <v>5.0000000000000001E-3</v>
      </c>
      <c r="I195" s="53">
        <f t="shared" si="25"/>
        <v>4.9000000000000002E-2</v>
      </c>
      <c r="L195" t="s">
        <v>651</v>
      </c>
      <c r="M195" t="str">
        <f t="shared" ref="M195:M258" si="27">+VLOOKUP(L195,A:B,2,0)</f>
        <v>Fabbricazione di prodotti per toletta: profumi, cosmetici, saponi e simili</v>
      </c>
      <c r="N195" t="str">
        <f t="shared" si="26"/>
        <v>B) Estrazione; C) Manifattura; D) Produzione energia/gas</v>
      </c>
    </row>
    <row r="196" spans="1:14" ht="38.25">
      <c r="A196" s="58" t="s">
        <v>609</v>
      </c>
      <c r="B196" s="59" t="s">
        <v>610</v>
      </c>
      <c r="C196">
        <v>2</v>
      </c>
      <c r="D196" t="str">
        <f>+VLOOKUP(AtecoCrisi[[#This Row],[COD. CRISI]],Tabella139[],2,0)</f>
        <v>B) Estrazione; C) Manifattura; D) Produzione energia/gas</v>
      </c>
      <c r="E196" s="53">
        <f t="shared" si="21"/>
        <v>0.03</v>
      </c>
      <c r="F196" s="53">
        <f t="shared" si="22"/>
        <v>7.5999999999999998E-2</v>
      </c>
      <c r="G196" s="53">
        <f t="shared" si="23"/>
        <v>0.93700000000000006</v>
      </c>
      <c r="H196" s="53">
        <f t="shared" si="24"/>
        <v>5.0000000000000001E-3</v>
      </c>
      <c r="I196" s="53">
        <f t="shared" si="25"/>
        <v>4.9000000000000002E-2</v>
      </c>
      <c r="L196" t="s">
        <v>653</v>
      </c>
      <c r="M196" t="str">
        <f t="shared" si="27"/>
        <v>Fabbricazione di fiammiferi</v>
      </c>
      <c r="N196" t="str">
        <f t="shared" si="26"/>
        <v>B) Estrazione; C) Manifattura; D) Produzione energia/gas</v>
      </c>
    </row>
    <row r="197" spans="1:14" ht="38.25">
      <c r="A197" s="58" t="s">
        <v>611</v>
      </c>
      <c r="B197" s="59" t="s">
        <v>612</v>
      </c>
      <c r="C197">
        <v>2</v>
      </c>
      <c r="D197" t="str">
        <f>+VLOOKUP(AtecoCrisi[[#This Row],[COD. CRISI]],Tabella139[],2,0)</f>
        <v>B) Estrazione; C) Manifattura; D) Produzione energia/gas</v>
      </c>
      <c r="E197" s="53">
        <f t="shared" si="21"/>
        <v>0.03</v>
      </c>
      <c r="F197" s="53">
        <f t="shared" si="22"/>
        <v>7.5999999999999998E-2</v>
      </c>
      <c r="G197" s="53">
        <f t="shared" si="23"/>
        <v>0.93700000000000006</v>
      </c>
      <c r="H197" s="53">
        <f t="shared" si="24"/>
        <v>5.0000000000000001E-3</v>
      </c>
      <c r="I197" s="53">
        <f t="shared" si="25"/>
        <v>4.9000000000000002E-2</v>
      </c>
      <c r="L197" t="s">
        <v>655</v>
      </c>
      <c r="M197" t="str">
        <f t="shared" si="27"/>
        <v>Fabbricazione di articoli esplosivi</v>
      </c>
      <c r="N197" t="str">
        <f t="shared" si="26"/>
        <v>B) Estrazione; C) Manifattura; D) Produzione energia/gas</v>
      </c>
    </row>
    <row r="198" spans="1:14" ht="25.5">
      <c r="A198" s="58" t="s">
        <v>613</v>
      </c>
      <c r="B198" s="59" t="s">
        <v>614</v>
      </c>
      <c r="C198">
        <v>2</v>
      </c>
      <c r="D198" t="str">
        <f>+VLOOKUP(AtecoCrisi[[#This Row],[COD. CRISI]],Tabella139[],2,0)</f>
        <v>B) Estrazione; C) Manifattura; D) Produzione energia/gas</v>
      </c>
      <c r="E198" s="53">
        <f t="shared" si="21"/>
        <v>0.03</v>
      </c>
      <c r="F198" s="53">
        <f t="shared" si="22"/>
        <v>7.5999999999999998E-2</v>
      </c>
      <c r="G198" s="53">
        <f t="shared" si="23"/>
        <v>0.93700000000000006</v>
      </c>
      <c r="H198" s="53">
        <f t="shared" si="24"/>
        <v>5.0000000000000001E-3</v>
      </c>
      <c r="I198" s="53">
        <f t="shared" si="25"/>
        <v>4.9000000000000002E-2</v>
      </c>
      <c r="L198" t="s">
        <v>657</v>
      </c>
      <c r="M198" t="str">
        <f t="shared" si="27"/>
        <v>Fabbricazione di colle</v>
      </c>
      <c r="N198" t="str">
        <f t="shared" si="26"/>
        <v>B) Estrazione; C) Manifattura; D) Produzione energia/gas</v>
      </c>
    </row>
    <row r="199" spans="1:14" ht="63.75">
      <c r="A199" s="58" t="s">
        <v>615</v>
      </c>
      <c r="B199" s="59" t="s">
        <v>616</v>
      </c>
      <c r="C199">
        <v>2</v>
      </c>
      <c r="D199" t="str">
        <f>+VLOOKUP(AtecoCrisi[[#This Row],[COD. CRISI]],Tabella139[],2,0)</f>
        <v>B) Estrazione; C) Manifattura; D) Produzione energia/gas</v>
      </c>
      <c r="E199" s="53">
        <f t="shared" si="21"/>
        <v>0.03</v>
      </c>
      <c r="F199" s="53">
        <f t="shared" si="22"/>
        <v>7.5999999999999998E-2</v>
      </c>
      <c r="G199" s="53">
        <f t="shared" si="23"/>
        <v>0.93700000000000006</v>
      </c>
      <c r="H199" s="53">
        <f t="shared" si="24"/>
        <v>5.0000000000000001E-3</v>
      </c>
      <c r="I199" s="53">
        <f t="shared" si="25"/>
        <v>4.9000000000000002E-2</v>
      </c>
      <c r="L199" t="s">
        <v>659</v>
      </c>
      <c r="M199" t="str">
        <f t="shared" si="27"/>
        <v>Fabbricazione di oli essenziali</v>
      </c>
      <c r="N199" t="str">
        <f t="shared" si="26"/>
        <v>B) Estrazione; C) Manifattura; D) Produzione energia/gas</v>
      </c>
    </row>
    <row r="200" spans="1:14" ht="63.75">
      <c r="A200" s="58" t="s">
        <v>617</v>
      </c>
      <c r="B200" s="59" t="s">
        <v>618</v>
      </c>
      <c r="C200">
        <v>2</v>
      </c>
      <c r="D200" t="str">
        <f>+VLOOKUP(AtecoCrisi[[#This Row],[COD. CRISI]],Tabella139[],2,0)</f>
        <v>B) Estrazione; C) Manifattura; D) Produzione energia/gas</v>
      </c>
      <c r="E200" s="53">
        <f t="shared" si="21"/>
        <v>0.03</v>
      </c>
      <c r="F200" s="53">
        <f t="shared" si="22"/>
        <v>7.5999999999999998E-2</v>
      </c>
      <c r="G200" s="53">
        <f t="shared" si="23"/>
        <v>0.93700000000000006</v>
      </c>
      <c r="H200" s="53">
        <f t="shared" si="24"/>
        <v>5.0000000000000001E-3</v>
      </c>
      <c r="I200" s="53">
        <f t="shared" si="25"/>
        <v>4.9000000000000002E-2</v>
      </c>
      <c r="L200" t="s">
        <v>661</v>
      </c>
      <c r="M200" t="str">
        <f t="shared" si="27"/>
        <v>Fabbricazione di prodotti chimici per uso fotografico</v>
      </c>
      <c r="N200" t="str">
        <f t="shared" si="26"/>
        <v>B) Estrazione; C) Manifattura; D) Produzione energia/gas</v>
      </c>
    </row>
    <row r="201" spans="1:14" ht="63.75">
      <c r="A201" s="58" t="s">
        <v>619</v>
      </c>
      <c r="B201" s="59" t="s">
        <v>620</v>
      </c>
      <c r="C201">
        <v>2</v>
      </c>
      <c r="D201" t="str">
        <f>+VLOOKUP(AtecoCrisi[[#This Row],[COD. CRISI]],Tabella139[],2,0)</f>
        <v>B) Estrazione; C) Manifattura; D) Produzione energia/gas</v>
      </c>
      <c r="E201" s="53">
        <f t="shared" si="21"/>
        <v>0.03</v>
      </c>
      <c r="F201" s="53">
        <f t="shared" si="22"/>
        <v>7.5999999999999998E-2</v>
      </c>
      <c r="G201" s="53">
        <f t="shared" si="23"/>
        <v>0.93700000000000006</v>
      </c>
      <c r="H201" s="53">
        <f t="shared" si="24"/>
        <v>5.0000000000000001E-3</v>
      </c>
      <c r="I201" s="53">
        <f t="shared" si="25"/>
        <v>4.9000000000000002E-2</v>
      </c>
      <c r="L201" t="s">
        <v>663</v>
      </c>
      <c r="M201" t="str">
        <f t="shared" si="27"/>
        <v>Fabbricazione di prodotti chimici organici ottenuti da prodotti di base derivati da processi di fermentazione o da materie prime vegetali</v>
      </c>
      <c r="N201" t="str">
        <f t="shared" si="26"/>
        <v>B) Estrazione; C) Manifattura; D) Produzione energia/gas</v>
      </c>
    </row>
    <row r="202" spans="1:14" ht="38.25">
      <c r="A202" s="58" t="s">
        <v>621</v>
      </c>
      <c r="B202" s="59" t="s">
        <v>622</v>
      </c>
      <c r="C202">
        <v>2</v>
      </c>
      <c r="D202" t="str">
        <f>+VLOOKUP(AtecoCrisi[[#This Row],[COD. CRISI]],Tabella139[],2,0)</f>
        <v>B) Estrazione; C) Manifattura; D) Produzione energia/gas</v>
      </c>
      <c r="E202" s="53">
        <f t="shared" si="21"/>
        <v>0.03</v>
      </c>
      <c r="F202" s="53">
        <f t="shared" si="22"/>
        <v>7.5999999999999998E-2</v>
      </c>
      <c r="G202" s="53">
        <f t="shared" si="23"/>
        <v>0.93700000000000006</v>
      </c>
      <c r="H202" s="53">
        <f t="shared" si="24"/>
        <v>5.0000000000000001E-3</v>
      </c>
      <c r="I202" s="53">
        <f t="shared" si="25"/>
        <v>4.9000000000000002E-2</v>
      </c>
      <c r="L202" t="s">
        <v>665</v>
      </c>
      <c r="M202" t="str">
        <f t="shared" si="27"/>
        <v>Trattamento chimico degli acidi grassi</v>
      </c>
      <c r="N202" t="str">
        <f t="shared" si="26"/>
        <v>B) Estrazione; C) Manifattura; D) Produzione energia/gas</v>
      </c>
    </row>
    <row r="203" spans="1:14" ht="38.25">
      <c r="A203" s="56" t="s">
        <v>623</v>
      </c>
      <c r="B203" s="57" t="s">
        <v>624</v>
      </c>
      <c r="C203">
        <v>2</v>
      </c>
      <c r="D203" t="str">
        <f>+VLOOKUP(AtecoCrisi[[#This Row],[COD. CRISI]],Tabella139[],2,0)</f>
        <v>B) Estrazione; C) Manifattura; D) Produzione energia/gas</v>
      </c>
      <c r="E203" s="53">
        <f t="shared" si="21"/>
        <v>0.03</v>
      </c>
      <c r="F203" s="53">
        <f t="shared" si="22"/>
        <v>7.5999999999999998E-2</v>
      </c>
      <c r="G203" s="53">
        <f t="shared" si="23"/>
        <v>0.93700000000000006</v>
      </c>
      <c r="H203" s="53">
        <f t="shared" si="24"/>
        <v>5.0000000000000001E-3</v>
      </c>
      <c r="I203" s="53">
        <f t="shared" si="25"/>
        <v>4.9000000000000002E-2</v>
      </c>
      <c r="L203" t="s">
        <v>667</v>
      </c>
      <c r="M203" t="str">
        <f t="shared" si="27"/>
        <v>Fabbricazione di prodotti chimici vari per uso industriale (inclusi i preparati antidetonanti e antigelo)</v>
      </c>
      <c r="N203" t="str">
        <f t="shared" si="26"/>
        <v>B) Estrazione; C) Manifattura; D) Produzione energia/gas</v>
      </c>
    </row>
    <row r="204" spans="1:14" ht="25.5">
      <c r="A204" s="58" t="s">
        <v>625</v>
      </c>
      <c r="B204" s="59" t="s">
        <v>626</v>
      </c>
      <c r="C204">
        <v>2</v>
      </c>
      <c r="D204" t="str">
        <f>+VLOOKUP(AtecoCrisi[[#This Row],[COD. CRISI]],Tabella139[],2,0)</f>
        <v>B) Estrazione; C) Manifattura; D) Produzione energia/gas</v>
      </c>
      <c r="E204" s="53">
        <f t="shared" si="21"/>
        <v>0.03</v>
      </c>
      <c r="F204" s="53">
        <f t="shared" si="22"/>
        <v>7.5999999999999998E-2</v>
      </c>
      <c r="G204" s="53">
        <f t="shared" si="23"/>
        <v>0.93700000000000006</v>
      </c>
      <c r="H204" s="53">
        <f t="shared" si="24"/>
        <v>5.0000000000000001E-3</v>
      </c>
      <c r="I204" s="53">
        <f t="shared" si="25"/>
        <v>4.9000000000000002E-2</v>
      </c>
      <c r="L204" t="s">
        <v>669</v>
      </c>
      <c r="M204" t="str">
        <f t="shared" si="27"/>
        <v>Fabbricazione di prodotti chimici impiegati per ufficio e per il consumo non industriale</v>
      </c>
      <c r="N204" t="str">
        <f t="shared" si="26"/>
        <v>B) Estrazione; C) Manifattura; D) Produzione energia/gas</v>
      </c>
    </row>
    <row r="205" spans="1:14" ht="38.25">
      <c r="A205" s="58" t="s">
        <v>627</v>
      </c>
      <c r="B205" s="59" t="s">
        <v>628</v>
      </c>
      <c r="C205">
        <v>2</v>
      </c>
      <c r="D205" t="str">
        <f>+VLOOKUP(AtecoCrisi[[#This Row],[COD. CRISI]],Tabella139[],2,0)</f>
        <v>B) Estrazione; C) Manifattura; D) Produzione energia/gas</v>
      </c>
      <c r="E205" s="53">
        <f t="shared" si="21"/>
        <v>0.03</v>
      </c>
      <c r="F205" s="53">
        <f t="shared" si="22"/>
        <v>7.5999999999999998E-2</v>
      </c>
      <c r="G205" s="53">
        <f t="shared" si="23"/>
        <v>0.93700000000000006</v>
      </c>
      <c r="H205" s="53">
        <f t="shared" si="24"/>
        <v>5.0000000000000001E-3</v>
      </c>
      <c r="I205" s="53">
        <f t="shared" si="25"/>
        <v>4.9000000000000002E-2</v>
      </c>
      <c r="L205" t="s">
        <v>671</v>
      </c>
      <c r="M205" t="str">
        <f t="shared" si="27"/>
        <v>Fabbricazione di prodotti ausiliari per le industrie tessili e del cuoio</v>
      </c>
      <c r="N205" t="str">
        <f t="shared" si="26"/>
        <v>B) Estrazione; C) Manifattura; D) Produzione energia/gas</v>
      </c>
    </row>
    <row r="206" spans="1:14" ht="38.25">
      <c r="A206" s="58" t="s">
        <v>629</v>
      </c>
      <c r="B206" s="59" t="s">
        <v>630</v>
      </c>
      <c r="C206">
        <v>2</v>
      </c>
      <c r="D206" t="str">
        <f>+VLOOKUP(AtecoCrisi[[#This Row],[COD. CRISI]],Tabella139[],2,0)</f>
        <v>B) Estrazione; C) Manifattura; D) Produzione energia/gas</v>
      </c>
      <c r="E206" s="53">
        <f t="shared" si="21"/>
        <v>0.03</v>
      </c>
      <c r="F206" s="53">
        <f t="shared" si="22"/>
        <v>7.5999999999999998E-2</v>
      </c>
      <c r="G206" s="53">
        <f t="shared" si="23"/>
        <v>0.93700000000000006</v>
      </c>
      <c r="H206" s="53">
        <f t="shared" si="24"/>
        <v>5.0000000000000001E-3</v>
      </c>
      <c r="I206" s="53">
        <f t="shared" si="25"/>
        <v>4.9000000000000002E-2</v>
      </c>
      <c r="L206" t="s">
        <v>673</v>
      </c>
      <c r="M206" t="str">
        <f t="shared" si="27"/>
        <v>Fabbricazione di prodotti elettrochimici (esclusa produzione di cloro, soda e potassa) ed elettrotermici</v>
      </c>
      <c r="N206" t="str">
        <f t="shared" si="26"/>
        <v>B) Estrazione; C) Manifattura; D) Produzione energia/gas</v>
      </c>
    </row>
    <row r="207" spans="1:14" ht="51">
      <c r="A207" s="58" t="s">
        <v>631</v>
      </c>
      <c r="B207" s="59" t="s">
        <v>632</v>
      </c>
      <c r="C207">
        <v>2</v>
      </c>
      <c r="D207" t="str">
        <f>+VLOOKUP(AtecoCrisi[[#This Row],[COD. CRISI]],Tabella139[],2,0)</f>
        <v>B) Estrazione; C) Manifattura; D) Produzione energia/gas</v>
      </c>
      <c r="E207" s="53">
        <f t="shared" si="21"/>
        <v>0.03</v>
      </c>
      <c r="F207" s="53">
        <f t="shared" si="22"/>
        <v>7.5999999999999998E-2</v>
      </c>
      <c r="G207" s="53">
        <f t="shared" si="23"/>
        <v>0.93700000000000006</v>
      </c>
      <c r="H207" s="53">
        <f t="shared" si="24"/>
        <v>5.0000000000000001E-3</v>
      </c>
      <c r="I207" s="53">
        <f t="shared" si="25"/>
        <v>4.9000000000000002E-2</v>
      </c>
      <c r="L207" t="s">
        <v>675</v>
      </c>
      <c r="M207" t="str">
        <f t="shared" si="27"/>
        <v>Fabbricazione di altri prodotti chimici nca</v>
      </c>
      <c r="N207" t="str">
        <f t="shared" si="26"/>
        <v>B) Estrazione; C) Manifattura; D) Produzione energia/gas</v>
      </c>
    </row>
    <row r="208" spans="1:14" ht="38.25">
      <c r="A208" s="58" t="s">
        <v>633</v>
      </c>
      <c r="B208" s="59" t="s">
        <v>634</v>
      </c>
      <c r="C208">
        <v>2</v>
      </c>
      <c r="D208" t="str">
        <f>+VLOOKUP(AtecoCrisi[[#This Row],[COD. CRISI]],Tabella139[],2,0)</f>
        <v>B) Estrazione; C) Manifattura; D) Produzione energia/gas</v>
      </c>
      <c r="E208" s="53">
        <f t="shared" si="21"/>
        <v>0.03</v>
      </c>
      <c r="F208" s="53">
        <f t="shared" si="22"/>
        <v>7.5999999999999998E-2</v>
      </c>
      <c r="G208" s="53">
        <f t="shared" si="23"/>
        <v>0.93700000000000006</v>
      </c>
      <c r="H208" s="53">
        <f t="shared" si="24"/>
        <v>5.0000000000000001E-3</v>
      </c>
      <c r="I208" s="53">
        <f t="shared" si="25"/>
        <v>4.9000000000000002E-2</v>
      </c>
      <c r="L208" t="s">
        <v>677</v>
      </c>
      <c r="M208" t="str">
        <f t="shared" si="27"/>
        <v>Fabbricazione di fibre sintetiche e artificiali</v>
      </c>
      <c r="N208" t="str">
        <f t="shared" si="26"/>
        <v>B) Estrazione; C) Manifattura; D) Produzione energia/gas</v>
      </c>
    </row>
    <row r="209" spans="1:14" ht="51">
      <c r="A209" s="58" t="s">
        <v>635</v>
      </c>
      <c r="B209" s="59" t="s">
        <v>636</v>
      </c>
      <c r="C209">
        <v>2</v>
      </c>
      <c r="D209" t="str">
        <f>+VLOOKUP(AtecoCrisi[[#This Row],[COD. CRISI]],Tabella139[],2,0)</f>
        <v>B) Estrazione; C) Manifattura; D) Produzione energia/gas</v>
      </c>
      <c r="E209" s="53">
        <f t="shared" si="21"/>
        <v>0.03</v>
      </c>
      <c r="F209" s="53">
        <f t="shared" si="22"/>
        <v>7.5999999999999998E-2</v>
      </c>
      <c r="G209" s="53">
        <f t="shared" si="23"/>
        <v>0.93700000000000006</v>
      </c>
      <c r="H209" s="53">
        <f t="shared" si="24"/>
        <v>5.0000000000000001E-3</v>
      </c>
      <c r="I209" s="53">
        <f t="shared" si="25"/>
        <v>4.9000000000000002E-2</v>
      </c>
      <c r="L209" t="s">
        <v>681</v>
      </c>
      <c r="M209" t="str">
        <f t="shared" si="27"/>
        <v>Fabbricazione di prodotti farmaceutici di base</v>
      </c>
      <c r="N209" t="str">
        <f t="shared" si="26"/>
        <v>B) Estrazione; C) Manifattura; D) Produzione energia/gas</v>
      </c>
    </row>
    <row r="210" spans="1:14" ht="76.5">
      <c r="A210" s="58" t="s">
        <v>637</v>
      </c>
      <c r="B210" s="59" t="s">
        <v>638</v>
      </c>
      <c r="C210">
        <v>2</v>
      </c>
      <c r="D210" t="str">
        <f>+VLOOKUP(AtecoCrisi[[#This Row],[COD. CRISI]],Tabella139[],2,0)</f>
        <v>B) Estrazione; C) Manifattura; D) Produzione energia/gas</v>
      </c>
      <c r="E210" s="53">
        <f t="shared" si="21"/>
        <v>0.03</v>
      </c>
      <c r="F210" s="53">
        <f t="shared" si="22"/>
        <v>7.5999999999999998E-2</v>
      </c>
      <c r="G210" s="53">
        <f t="shared" si="23"/>
        <v>0.93700000000000006</v>
      </c>
      <c r="H210" s="53">
        <f t="shared" si="24"/>
        <v>5.0000000000000001E-3</v>
      </c>
      <c r="I210" s="53">
        <f t="shared" si="25"/>
        <v>4.9000000000000002E-2</v>
      </c>
      <c r="L210" t="s">
        <v>683</v>
      </c>
      <c r="M210" t="str">
        <f t="shared" si="27"/>
        <v>Fabbricazione di sostanze diagnostiche radioattive in vivo</v>
      </c>
      <c r="N210" t="str">
        <f t="shared" si="26"/>
        <v>B) Estrazione; C) Manifattura; D) Produzione energia/gas</v>
      </c>
    </row>
    <row r="211" spans="1:14" ht="38.25">
      <c r="A211" s="58" t="s">
        <v>639</v>
      </c>
      <c r="B211" s="59" t="s">
        <v>640</v>
      </c>
      <c r="C211">
        <v>2</v>
      </c>
      <c r="D211" t="str">
        <f>+VLOOKUP(AtecoCrisi[[#This Row],[COD. CRISI]],Tabella139[],2,0)</f>
        <v>B) Estrazione; C) Manifattura; D) Produzione energia/gas</v>
      </c>
      <c r="E211" s="53">
        <f t="shared" si="21"/>
        <v>0.03</v>
      </c>
      <c r="F211" s="53">
        <f t="shared" si="22"/>
        <v>7.5999999999999998E-2</v>
      </c>
      <c r="G211" s="53">
        <f t="shared" si="23"/>
        <v>0.93700000000000006</v>
      </c>
      <c r="H211" s="53">
        <f t="shared" si="24"/>
        <v>5.0000000000000001E-3</v>
      </c>
      <c r="I211" s="53">
        <f t="shared" si="25"/>
        <v>4.9000000000000002E-2</v>
      </c>
      <c r="L211" t="s">
        <v>685</v>
      </c>
      <c r="M211" t="str">
        <f t="shared" si="27"/>
        <v>Fabbricazione di medicinali ed altri preparati farmaceutici</v>
      </c>
      <c r="N211" t="str">
        <f t="shared" si="26"/>
        <v>B) Estrazione; C) Manifattura; D) Produzione energia/gas</v>
      </c>
    </row>
    <row r="212" spans="1:14" ht="38.25">
      <c r="A212" s="58" t="s">
        <v>641</v>
      </c>
      <c r="B212" s="59" t="s">
        <v>642</v>
      </c>
      <c r="C212">
        <v>2</v>
      </c>
      <c r="D212" t="str">
        <f>+VLOOKUP(AtecoCrisi[[#This Row],[COD. CRISI]],Tabella139[],2,0)</f>
        <v>B) Estrazione; C) Manifattura; D) Produzione energia/gas</v>
      </c>
      <c r="E212" s="53">
        <f t="shared" si="21"/>
        <v>0.03</v>
      </c>
      <c r="F212" s="53">
        <f t="shared" si="22"/>
        <v>7.5999999999999998E-2</v>
      </c>
      <c r="G212" s="53">
        <f t="shared" si="23"/>
        <v>0.93700000000000006</v>
      </c>
      <c r="H212" s="53">
        <f t="shared" si="24"/>
        <v>5.0000000000000001E-3</v>
      </c>
      <c r="I212" s="53">
        <f t="shared" si="25"/>
        <v>4.9000000000000002E-2</v>
      </c>
      <c r="L212" t="s">
        <v>689</v>
      </c>
      <c r="M212" t="str">
        <f t="shared" si="27"/>
        <v>Fabbricazione di pneumatici e di camere d'aria</v>
      </c>
      <c r="N212" t="str">
        <f t="shared" si="26"/>
        <v>B) Estrazione; C) Manifattura; D) Produzione energia/gas</v>
      </c>
    </row>
    <row r="213" spans="1:14" ht="76.5">
      <c r="A213" s="58" t="s">
        <v>643</v>
      </c>
      <c r="B213" s="59" t="s">
        <v>644</v>
      </c>
      <c r="C213">
        <v>2</v>
      </c>
      <c r="D213" t="str">
        <f>+VLOOKUP(AtecoCrisi[[#This Row],[COD. CRISI]],Tabella139[],2,0)</f>
        <v>B) Estrazione; C) Manifattura; D) Produzione energia/gas</v>
      </c>
      <c r="E213" s="53">
        <f t="shared" si="21"/>
        <v>0.03</v>
      </c>
      <c r="F213" s="53">
        <f t="shared" si="22"/>
        <v>7.5999999999999998E-2</v>
      </c>
      <c r="G213" s="53">
        <f t="shared" si="23"/>
        <v>0.93700000000000006</v>
      </c>
      <c r="H213" s="53">
        <f t="shared" si="24"/>
        <v>5.0000000000000001E-3</v>
      </c>
      <c r="I213" s="53">
        <f t="shared" si="25"/>
        <v>4.9000000000000002E-2</v>
      </c>
      <c r="L213" t="s">
        <v>691</v>
      </c>
      <c r="M213" t="str">
        <f t="shared" si="27"/>
        <v>Rigenerazione e ricostruzione di pneumatici</v>
      </c>
      <c r="N213" t="str">
        <f t="shared" si="26"/>
        <v>B) Estrazione; C) Manifattura; D) Produzione energia/gas</v>
      </c>
    </row>
    <row r="214" spans="1:14" ht="76.5">
      <c r="A214" s="58" t="s">
        <v>645</v>
      </c>
      <c r="B214" s="59" t="s">
        <v>646</v>
      </c>
      <c r="C214">
        <v>2</v>
      </c>
      <c r="D214" t="str">
        <f>+VLOOKUP(AtecoCrisi[[#This Row],[COD. CRISI]],Tabella139[],2,0)</f>
        <v>B) Estrazione; C) Manifattura; D) Produzione energia/gas</v>
      </c>
      <c r="E214" s="53">
        <f t="shared" si="21"/>
        <v>0.03</v>
      </c>
      <c r="F214" s="53">
        <f t="shared" si="22"/>
        <v>7.5999999999999998E-2</v>
      </c>
      <c r="G214" s="53">
        <f t="shared" si="23"/>
        <v>0.93700000000000006</v>
      </c>
      <c r="H214" s="53">
        <f t="shared" si="24"/>
        <v>5.0000000000000001E-3</v>
      </c>
      <c r="I214" s="53">
        <f t="shared" si="25"/>
        <v>4.9000000000000002E-2</v>
      </c>
      <c r="L214" t="s">
        <v>693</v>
      </c>
      <c r="M214" t="str">
        <f t="shared" si="27"/>
        <v>Fabbricazione di suole di gomma e altre parti in gomma per calzature</v>
      </c>
      <c r="N214" t="str">
        <f t="shared" si="26"/>
        <v>B) Estrazione; C) Manifattura; D) Produzione energia/gas</v>
      </c>
    </row>
    <row r="215" spans="1:14" ht="76.5">
      <c r="A215" s="58" t="s">
        <v>647</v>
      </c>
      <c r="B215" s="59" t="s">
        <v>648</v>
      </c>
      <c r="C215">
        <v>2</v>
      </c>
      <c r="D215" t="str">
        <f>+VLOOKUP(AtecoCrisi[[#This Row],[COD. CRISI]],Tabella139[],2,0)</f>
        <v>B) Estrazione; C) Manifattura; D) Produzione energia/gas</v>
      </c>
      <c r="E215" s="53">
        <f t="shared" si="21"/>
        <v>0.03</v>
      </c>
      <c r="F215" s="53">
        <f t="shared" si="22"/>
        <v>7.5999999999999998E-2</v>
      </c>
      <c r="G215" s="53">
        <f t="shared" si="23"/>
        <v>0.93700000000000006</v>
      </c>
      <c r="H215" s="53">
        <f t="shared" si="24"/>
        <v>5.0000000000000001E-3</v>
      </c>
      <c r="I215" s="53">
        <f t="shared" si="25"/>
        <v>4.9000000000000002E-2</v>
      </c>
      <c r="L215" t="s">
        <v>695</v>
      </c>
      <c r="M215" t="str">
        <f t="shared" si="27"/>
        <v>Fabbricazione di altri prodotti in gomma nca</v>
      </c>
      <c r="N215" t="str">
        <f t="shared" si="26"/>
        <v>B) Estrazione; C) Manifattura; D) Produzione energia/gas</v>
      </c>
    </row>
    <row r="216" spans="1:14" ht="63.75">
      <c r="A216" s="58" t="s">
        <v>649</v>
      </c>
      <c r="B216" s="59" t="s">
        <v>650</v>
      </c>
      <c r="C216">
        <v>2</v>
      </c>
      <c r="D216" t="str">
        <f>+VLOOKUP(AtecoCrisi[[#This Row],[COD. CRISI]],Tabella139[],2,0)</f>
        <v>B) Estrazione; C) Manifattura; D) Produzione energia/gas</v>
      </c>
      <c r="E216" s="53">
        <f t="shared" si="21"/>
        <v>0.03</v>
      </c>
      <c r="F216" s="53">
        <f t="shared" si="22"/>
        <v>7.5999999999999998E-2</v>
      </c>
      <c r="G216" s="53">
        <f t="shared" si="23"/>
        <v>0.93700000000000006</v>
      </c>
      <c r="H216" s="53">
        <f t="shared" si="24"/>
        <v>5.0000000000000001E-3</v>
      </c>
      <c r="I216" s="53">
        <f t="shared" si="25"/>
        <v>4.9000000000000002E-2</v>
      </c>
      <c r="L216" t="s">
        <v>697</v>
      </c>
      <c r="M216" t="str">
        <f t="shared" si="27"/>
        <v>Fabbricazione di lastre, fogli, tubi e profilati in materie plastiche</v>
      </c>
      <c r="N216" t="str">
        <f t="shared" si="26"/>
        <v>B) Estrazione; C) Manifattura; D) Produzione energia/gas</v>
      </c>
    </row>
    <row r="217" spans="1:14" ht="51">
      <c r="A217" s="58" t="s">
        <v>651</v>
      </c>
      <c r="B217" s="59" t="s">
        <v>652</v>
      </c>
      <c r="C217">
        <v>2</v>
      </c>
      <c r="D217" t="str">
        <f>+VLOOKUP(AtecoCrisi[[#This Row],[COD. CRISI]],Tabella139[],2,0)</f>
        <v>B) Estrazione; C) Manifattura; D) Produzione energia/gas</v>
      </c>
      <c r="E217" s="53">
        <f t="shared" si="21"/>
        <v>0.03</v>
      </c>
      <c r="F217" s="53">
        <f t="shared" si="22"/>
        <v>7.5999999999999998E-2</v>
      </c>
      <c r="G217" s="53">
        <f t="shared" si="23"/>
        <v>0.93700000000000006</v>
      </c>
      <c r="H217" s="53">
        <f t="shared" si="24"/>
        <v>5.0000000000000001E-3</v>
      </c>
      <c r="I217" s="53">
        <f t="shared" si="25"/>
        <v>4.9000000000000002E-2</v>
      </c>
      <c r="L217" t="s">
        <v>699</v>
      </c>
      <c r="M217" t="str">
        <f t="shared" si="27"/>
        <v>Fabbricazione di imballaggi in materie plastiche</v>
      </c>
      <c r="N217" t="str">
        <f t="shared" si="26"/>
        <v>B) Estrazione; C) Manifattura; D) Produzione energia/gas</v>
      </c>
    </row>
    <row r="218" spans="1:14" ht="25.5">
      <c r="A218" s="58" t="s">
        <v>653</v>
      </c>
      <c r="B218" s="59" t="s">
        <v>654</v>
      </c>
      <c r="C218">
        <v>2</v>
      </c>
      <c r="D218" t="str">
        <f>+VLOOKUP(AtecoCrisi[[#This Row],[COD. CRISI]],Tabella139[],2,0)</f>
        <v>B) Estrazione; C) Manifattura; D) Produzione energia/gas</v>
      </c>
      <c r="E218" s="53">
        <f t="shared" si="21"/>
        <v>0.03</v>
      </c>
      <c r="F218" s="53">
        <f t="shared" si="22"/>
        <v>7.5999999999999998E-2</v>
      </c>
      <c r="G218" s="53">
        <f t="shared" si="23"/>
        <v>0.93700000000000006</v>
      </c>
      <c r="H218" s="53">
        <f t="shared" si="24"/>
        <v>5.0000000000000001E-3</v>
      </c>
      <c r="I218" s="53">
        <f t="shared" si="25"/>
        <v>4.9000000000000002E-2</v>
      </c>
      <c r="L218" t="s">
        <v>701</v>
      </c>
      <c r="M218" t="str">
        <f t="shared" si="27"/>
        <v>Fabbricazione di rivestimenti elastici per pavimenti (vinile, linoleum eccetera)</v>
      </c>
      <c r="N218" t="str">
        <f t="shared" si="26"/>
        <v>B) Estrazione; C) Manifattura; D) Produzione energia/gas</v>
      </c>
    </row>
    <row r="219" spans="1:14" ht="25.5">
      <c r="A219" s="58" t="s">
        <v>655</v>
      </c>
      <c r="B219" s="59" t="s">
        <v>656</v>
      </c>
      <c r="C219">
        <v>2</v>
      </c>
      <c r="D219" t="str">
        <f>+VLOOKUP(AtecoCrisi[[#This Row],[COD. CRISI]],Tabella139[],2,0)</f>
        <v>B) Estrazione; C) Manifattura; D) Produzione energia/gas</v>
      </c>
      <c r="E219" s="53">
        <f t="shared" si="21"/>
        <v>0.03</v>
      </c>
      <c r="F219" s="53">
        <f t="shared" si="22"/>
        <v>7.5999999999999998E-2</v>
      </c>
      <c r="G219" s="53">
        <f t="shared" si="23"/>
        <v>0.93700000000000006</v>
      </c>
      <c r="H219" s="53">
        <f t="shared" si="24"/>
        <v>5.0000000000000001E-3</v>
      </c>
      <c r="I219" s="53">
        <f t="shared" si="25"/>
        <v>4.9000000000000002E-2</v>
      </c>
      <c r="L219" t="s">
        <v>703</v>
      </c>
      <c r="M219" t="str">
        <f t="shared" si="27"/>
        <v>Fabbricazione di porte, finestre, intelaiature eccetera in plastica per l'edilizia</v>
      </c>
      <c r="N219" t="str">
        <f t="shared" si="26"/>
        <v>B) Estrazione; C) Manifattura; D) Produzione energia/gas</v>
      </c>
    </row>
    <row r="220" spans="1:14" ht="25.5">
      <c r="A220" s="58" t="s">
        <v>657</v>
      </c>
      <c r="B220" s="59" t="s">
        <v>658</v>
      </c>
      <c r="C220">
        <v>2</v>
      </c>
      <c r="D220" t="str">
        <f>+VLOOKUP(AtecoCrisi[[#This Row],[COD. CRISI]],Tabella139[],2,0)</f>
        <v>B) Estrazione; C) Manifattura; D) Produzione energia/gas</v>
      </c>
      <c r="E220" s="53">
        <f t="shared" si="21"/>
        <v>0.03</v>
      </c>
      <c r="F220" s="53">
        <f t="shared" si="22"/>
        <v>7.5999999999999998E-2</v>
      </c>
      <c r="G220" s="53">
        <f t="shared" si="23"/>
        <v>0.93700000000000006</v>
      </c>
      <c r="H220" s="53">
        <f t="shared" si="24"/>
        <v>5.0000000000000001E-3</v>
      </c>
      <c r="I220" s="53">
        <f t="shared" si="25"/>
        <v>4.9000000000000002E-2</v>
      </c>
      <c r="L220" t="s">
        <v>705</v>
      </c>
      <c r="M220" t="str">
        <f t="shared" si="27"/>
        <v>Fabbricazione di altri articoli in plastica per l'edilizia</v>
      </c>
      <c r="N220" t="str">
        <f t="shared" si="26"/>
        <v>B) Estrazione; C) Manifattura; D) Produzione energia/gas</v>
      </c>
    </row>
    <row r="221" spans="1:14" ht="25.5">
      <c r="A221" s="58" t="s">
        <v>659</v>
      </c>
      <c r="B221" s="59" t="s">
        <v>660</v>
      </c>
      <c r="C221">
        <v>2</v>
      </c>
      <c r="D221" t="str">
        <f>+VLOOKUP(AtecoCrisi[[#This Row],[COD. CRISI]],Tabella139[],2,0)</f>
        <v>B) Estrazione; C) Manifattura; D) Produzione energia/gas</v>
      </c>
      <c r="E221" s="53">
        <f t="shared" si="21"/>
        <v>0.03</v>
      </c>
      <c r="F221" s="53">
        <f t="shared" si="22"/>
        <v>7.5999999999999998E-2</v>
      </c>
      <c r="G221" s="53">
        <f t="shared" si="23"/>
        <v>0.93700000000000006</v>
      </c>
      <c r="H221" s="53">
        <f t="shared" si="24"/>
        <v>5.0000000000000001E-3</v>
      </c>
      <c r="I221" s="53">
        <f t="shared" si="25"/>
        <v>4.9000000000000002E-2</v>
      </c>
      <c r="L221" t="s">
        <v>707</v>
      </c>
      <c r="M221" t="str">
        <f t="shared" si="27"/>
        <v>Fabbricazione di parti in plastica per calzature</v>
      </c>
      <c r="N221" t="str">
        <f t="shared" si="26"/>
        <v>B) Estrazione; C) Manifattura; D) Produzione energia/gas</v>
      </c>
    </row>
    <row r="222" spans="1:14" ht="38.25">
      <c r="A222" s="58" t="s">
        <v>661</v>
      </c>
      <c r="B222" s="59" t="s">
        <v>662</v>
      </c>
      <c r="C222">
        <v>2</v>
      </c>
      <c r="D222" t="str">
        <f>+VLOOKUP(AtecoCrisi[[#This Row],[COD. CRISI]],Tabella139[],2,0)</f>
        <v>B) Estrazione; C) Manifattura; D) Produzione energia/gas</v>
      </c>
      <c r="E222" s="53">
        <f t="shared" si="21"/>
        <v>0.03</v>
      </c>
      <c r="F222" s="53">
        <f t="shared" si="22"/>
        <v>7.5999999999999998E-2</v>
      </c>
      <c r="G222" s="53">
        <f t="shared" si="23"/>
        <v>0.93700000000000006</v>
      </c>
      <c r="H222" s="53">
        <f t="shared" si="24"/>
        <v>5.0000000000000001E-3</v>
      </c>
      <c r="I222" s="53">
        <f t="shared" si="25"/>
        <v>4.9000000000000002E-2</v>
      </c>
      <c r="L222" t="s">
        <v>709</v>
      </c>
      <c r="M222" t="str">
        <f t="shared" si="27"/>
        <v>Fabbricazione di oggetti per l'ufficio e la scuola in plastica</v>
      </c>
      <c r="N222" t="str">
        <f t="shared" si="26"/>
        <v>B) Estrazione; C) Manifattura; D) Produzione energia/gas</v>
      </c>
    </row>
    <row r="223" spans="1:14" ht="114.75">
      <c r="A223" s="58" t="s">
        <v>663</v>
      </c>
      <c r="B223" s="59" t="s">
        <v>664</v>
      </c>
      <c r="C223">
        <v>2</v>
      </c>
      <c r="D223" t="str">
        <f>+VLOOKUP(AtecoCrisi[[#This Row],[COD. CRISI]],Tabella139[],2,0)</f>
        <v>B) Estrazione; C) Manifattura; D) Produzione energia/gas</v>
      </c>
      <c r="E223" s="53">
        <f t="shared" si="21"/>
        <v>0.03</v>
      </c>
      <c r="F223" s="53">
        <f t="shared" si="22"/>
        <v>7.5999999999999998E-2</v>
      </c>
      <c r="G223" s="53">
        <f t="shared" si="23"/>
        <v>0.93700000000000006</v>
      </c>
      <c r="H223" s="53">
        <f t="shared" si="24"/>
        <v>5.0000000000000001E-3</v>
      </c>
      <c r="I223" s="53">
        <f t="shared" si="25"/>
        <v>4.9000000000000002E-2</v>
      </c>
      <c r="L223" t="s">
        <v>711</v>
      </c>
      <c r="M223" t="str">
        <f t="shared" si="27"/>
        <v>Fabbricazione di altri articoli in materie plastiche nca</v>
      </c>
      <c r="N223" t="str">
        <f t="shared" si="26"/>
        <v>B) Estrazione; C) Manifattura; D) Produzione energia/gas</v>
      </c>
    </row>
    <row r="224" spans="1:14" ht="38.25">
      <c r="A224" s="58" t="s">
        <v>665</v>
      </c>
      <c r="B224" s="59" t="s">
        <v>666</v>
      </c>
      <c r="C224">
        <v>2</v>
      </c>
      <c r="D224" t="str">
        <f>+VLOOKUP(AtecoCrisi[[#This Row],[COD. CRISI]],Tabella139[],2,0)</f>
        <v>B) Estrazione; C) Manifattura; D) Produzione energia/gas</v>
      </c>
      <c r="E224" s="53">
        <f t="shared" si="21"/>
        <v>0.03</v>
      </c>
      <c r="F224" s="53">
        <f t="shared" si="22"/>
        <v>7.5999999999999998E-2</v>
      </c>
      <c r="G224" s="53">
        <f t="shared" si="23"/>
        <v>0.93700000000000006</v>
      </c>
      <c r="H224" s="53">
        <f t="shared" si="24"/>
        <v>5.0000000000000001E-3</v>
      </c>
      <c r="I224" s="53">
        <f t="shared" si="25"/>
        <v>4.9000000000000002E-2</v>
      </c>
      <c r="L224" t="s">
        <v>715</v>
      </c>
      <c r="M224" t="str">
        <f t="shared" si="27"/>
        <v>Fabbricazione di vetro piano</v>
      </c>
      <c r="N224" t="str">
        <f t="shared" si="26"/>
        <v>B) Estrazione; C) Manifattura; D) Produzione energia/gas</v>
      </c>
    </row>
    <row r="225" spans="1:14" ht="89.25">
      <c r="A225" s="58" t="s">
        <v>667</v>
      </c>
      <c r="B225" s="59" t="s">
        <v>668</v>
      </c>
      <c r="C225">
        <v>2</v>
      </c>
      <c r="D225" t="str">
        <f>+VLOOKUP(AtecoCrisi[[#This Row],[COD. CRISI]],Tabella139[],2,0)</f>
        <v>B) Estrazione; C) Manifattura; D) Produzione energia/gas</v>
      </c>
      <c r="E225" s="53">
        <f t="shared" si="21"/>
        <v>0.03</v>
      </c>
      <c r="F225" s="53">
        <f t="shared" si="22"/>
        <v>7.5999999999999998E-2</v>
      </c>
      <c r="G225" s="53">
        <f t="shared" si="23"/>
        <v>0.93700000000000006</v>
      </c>
      <c r="H225" s="53">
        <f t="shared" si="24"/>
        <v>5.0000000000000001E-3</v>
      </c>
      <c r="I225" s="53">
        <f t="shared" si="25"/>
        <v>4.9000000000000002E-2</v>
      </c>
      <c r="L225" t="s">
        <v>717</v>
      </c>
      <c r="M225" t="str">
        <f t="shared" si="27"/>
        <v>Lavorazione e trasformazione del vetro piano</v>
      </c>
      <c r="N225" t="str">
        <f t="shared" si="26"/>
        <v>B) Estrazione; C) Manifattura; D) Produzione energia/gas</v>
      </c>
    </row>
    <row r="226" spans="1:14" ht="76.5">
      <c r="A226" s="58" t="s">
        <v>669</v>
      </c>
      <c r="B226" s="59" t="s">
        <v>670</v>
      </c>
      <c r="C226">
        <v>2</v>
      </c>
      <c r="D226" t="str">
        <f>+VLOOKUP(AtecoCrisi[[#This Row],[COD. CRISI]],Tabella139[],2,0)</f>
        <v>B) Estrazione; C) Manifattura; D) Produzione energia/gas</v>
      </c>
      <c r="E226" s="53">
        <f t="shared" si="21"/>
        <v>0.03</v>
      </c>
      <c r="F226" s="53">
        <f t="shared" si="22"/>
        <v>7.5999999999999998E-2</v>
      </c>
      <c r="G226" s="53">
        <f t="shared" si="23"/>
        <v>0.93700000000000006</v>
      </c>
      <c r="H226" s="53">
        <f t="shared" si="24"/>
        <v>5.0000000000000001E-3</v>
      </c>
      <c r="I226" s="53">
        <f t="shared" si="25"/>
        <v>4.9000000000000002E-2</v>
      </c>
      <c r="L226" t="s">
        <v>719</v>
      </c>
      <c r="M226" t="str">
        <f t="shared" si="27"/>
        <v>Fabbricazione di vetro cavo</v>
      </c>
      <c r="N226" t="str">
        <f t="shared" si="26"/>
        <v>B) Estrazione; C) Manifattura; D) Produzione energia/gas</v>
      </c>
    </row>
    <row r="227" spans="1:14" ht="51">
      <c r="A227" s="58" t="s">
        <v>671</v>
      </c>
      <c r="B227" s="59" t="s">
        <v>672</v>
      </c>
      <c r="C227">
        <v>2</v>
      </c>
      <c r="D227" t="str">
        <f>+VLOOKUP(AtecoCrisi[[#This Row],[COD. CRISI]],Tabella139[],2,0)</f>
        <v>B) Estrazione; C) Manifattura; D) Produzione energia/gas</v>
      </c>
      <c r="E227" s="53">
        <f t="shared" si="21"/>
        <v>0.03</v>
      </c>
      <c r="F227" s="53">
        <f t="shared" si="22"/>
        <v>7.5999999999999998E-2</v>
      </c>
      <c r="G227" s="53">
        <f t="shared" si="23"/>
        <v>0.93700000000000006</v>
      </c>
      <c r="H227" s="53">
        <f t="shared" si="24"/>
        <v>5.0000000000000001E-3</v>
      </c>
      <c r="I227" s="53">
        <f t="shared" si="25"/>
        <v>4.9000000000000002E-2</v>
      </c>
      <c r="L227" t="s">
        <v>721</v>
      </c>
      <c r="M227" t="str">
        <f t="shared" si="27"/>
        <v>Fabbricazione di fibre di vetro</v>
      </c>
      <c r="N227" t="str">
        <f t="shared" si="26"/>
        <v>B) Estrazione; C) Manifattura; D) Produzione energia/gas</v>
      </c>
    </row>
    <row r="228" spans="1:14" ht="102">
      <c r="A228" s="58" t="s">
        <v>673</v>
      </c>
      <c r="B228" s="59" t="s">
        <v>674</v>
      </c>
      <c r="C228">
        <v>2</v>
      </c>
      <c r="D228" t="str">
        <f>+VLOOKUP(AtecoCrisi[[#This Row],[COD. CRISI]],Tabella139[],2,0)</f>
        <v>B) Estrazione; C) Manifattura; D) Produzione energia/gas</v>
      </c>
      <c r="E228" s="53">
        <f t="shared" si="21"/>
        <v>0.03</v>
      </c>
      <c r="F228" s="53">
        <f t="shared" si="22"/>
        <v>7.5999999999999998E-2</v>
      </c>
      <c r="G228" s="53">
        <f t="shared" si="23"/>
        <v>0.93700000000000006</v>
      </c>
      <c r="H228" s="53">
        <f t="shared" si="24"/>
        <v>5.0000000000000001E-3</v>
      </c>
      <c r="I228" s="53">
        <f t="shared" si="25"/>
        <v>4.9000000000000002E-2</v>
      </c>
      <c r="L228" t="s">
        <v>723</v>
      </c>
      <c r="M228" t="str">
        <f t="shared" si="27"/>
        <v>Fabbricazione di vetrerie per laboratori, per uso igienico, per farmacia</v>
      </c>
      <c r="N228" t="str">
        <f t="shared" si="26"/>
        <v>B) Estrazione; C) Manifattura; D) Produzione energia/gas</v>
      </c>
    </row>
    <row r="229" spans="1:14" ht="38.25">
      <c r="A229" s="58" t="s">
        <v>675</v>
      </c>
      <c r="B229" s="59" t="s">
        <v>676</v>
      </c>
      <c r="C229">
        <v>2</v>
      </c>
      <c r="D229" t="str">
        <f>+VLOOKUP(AtecoCrisi[[#This Row],[COD. CRISI]],Tabella139[],2,0)</f>
        <v>B) Estrazione; C) Manifattura; D) Produzione energia/gas</v>
      </c>
      <c r="E229" s="53">
        <f t="shared" si="21"/>
        <v>0.03</v>
      </c>
      <c r="F229" s="53">
        <f t="shared" si="22"/>
        <v>7.5999999999999998E-2</v>
      </c>
      <c r="G229" s="53">
        <f t="shared" si="23"/>
        <v>0.93700000000000006</v>
      </c>
      <c r="H229" s="53">
        <f t="shared" si="24"/>
        <v>5.0000000000000001E-3</v>
      </c>
      <c r="I229" s="53">
        <f t="shared" si="25"/>
        <v>4.9000000000000002E-2</v>
      </c>
      <c r="L229" t="s">
        <v>725</v>
      </c>
      <c r="M229" t="str">
        <f t="shared" si="27"/>
        <v>Lavorazione di vetro a mano e a soffio artistico</v>
      </c>
      <c r="N229" t="str">
        <f t="shared" si="26"/>
        <v>B) Estrazione; C) Manifattura; D) Produzione energia/gas</v>
      </c>
    </row>
    <row r="230" spans="1:14" ht="38.25">
      <c r="A230" s="58" t="s">
        <v>677</v>
      </c>
      <c r="B230" s="59" t="s">
        <v>678</v>
      </c>
      <c r="C230">
        <v>2</v>
      </c>
      <c r="D230" t="str">
        <f>+VLOOKUP(AtecoCrisi[[#This Row],[COD. CRISI]],Tabella139[],2,0)</f>
        <v>B) Estrazione; C) Manifattura; D) Produzione energia/gas</v>
      </c>
      <c r="E230" s="53">
        <f t="shared" si="21"/>
        <v>0.03</v>
      </c>
      <c r="F230" s="53">
        <f t="shared" si="22"/>
        <v>7.5999999999999998E-2</v>
      </c>
      <c r="G230" s="53">
        <f t="shared" si="23"/>
        <v>0.93700000000000006</v>
      </c>
      <c r="H230" s="53">
        <f t="shared" si="24"/>
        <v>5.0000000000000001E-3</v>
      </c>
      <c r="I230" s="53">
        <f t="shared" si="25"/>
        <v>4.9000000000000002E-2</v>
      </c>
      <c r="L230" t="s">
        <v>727</v>
      </c>
      <c r="M230" t="str">
        <f t="shared" si="27"/>
        <v>Fabbricazione di altri prodotti in vetro (inclusa la vetreria tecnica)</v>
      </c>
      <c r="N230" t="str">
        <f t="shared" si="26"/>
        <v>B) Estrazione; C) Manifattura; D) Produzione energia/gas</v>
      </c>
    </row>
    <row r="231" spans="1:14" ht="76.5">
      <c r="A231" s="56" t="s">
        <v>679</v>
      </c>
      <c r="B231" s="57" t="s">
        <v>680</v>
      </c>
      <c r="C231">
        <v>2</v>
      </c>
      <c r="D231" t="str">
        <f>+VLOOKUP(AtecoCrisi[[#This Row],[COD. CRISI]],Tabella139[],2,0)</f>
        <v>B) Estrazione; C) Manifattura; D) Produzione energia/gas</v>
      </c>
      <c r="E231" s="53">
        <f t="shared" si="21"/>
        <v>0.03</v>
      </c>
      <c r="F231" s="53">
        <f t="shared" si="22"/>
        <v>7.5999999999999998E-2</v>
      </c>
      <c r="G231" s="53">
        <f t="shared" si="23"/>
        <v>0.93700000000000006</v>
      </c>
      <c r="H231" s="53">
        <f t="shared" si="24"/>
        <v>5.0000000000000001E-3</v>
      </c>
      <c r="I231" s="53">
        <f t="shared" si="25"/>
        <v>4.9000000000000002E-2</v>
      </c>
      <c r="L231" t="s">
        <v>729</v>
      </c>
      <c r="M231" t="str">
        <f t="shared" si="27"/>
        <v>Fabbricazione di prodotti refrattari</v>
      </c>
      <c r="N231" t="str">
        <f t="shared" si="26"/>
        <v>B) Estrazione; C) Manifattura; D) Produzione energia/gas</v>
      </c>
    </row>
    <row r="232" spans="1:14" ht="51">
      <c r="A232" s="58" t="s">
        <v>681</v>
      </c>
      <c r="B232" s="59" t="s">
        <v>682</v>
      </c>
      <c r="C232">
        <v>2</v>
      </c>
      <c r="D232" t="str">
        <f>+VLOOKUP(AtecoCrisi[[#This Row],[COD. CRISI]],Tabella139[],2,0)</f>
        <v>B) Estrazione; C) Manifattura; D) Produzione energia/gas</v>
      </c>
      <c r="E232" s="53">
        <f t="shared" si="21"/>
        <v>0.03</v>
      </c>
      <c r="F232" s="53">
        <f t="shared" si="22"/>
        <v>7.5999999999999998E-2</v>
      </c>
      <c r="G232" s="53">
        <f t="shared" si="23"/>
        <v>0.93700000000000006</v>
      </c>
      <c r="H232" s="53">
        <f t="shared" si="24"/>
        <v>5.0000000000000001E-3</v>
      </c>
      <c r="I232" s="53">
        <f t="shared" si="25"/>
        <v>4.9000000000000002E-2</v>
      </c>
      <c r="L232" t="s">
        <v>731</v>
      </c>
      <c r="M232" t="str">
        <f t="shared" si="27"/>
        <v>Fabbricazione di piastrelle in ceramica per pavimenti e rivestimenti</v>
      </c>
      <c r="N232" t="str">
        <f t="shared" si="26"/>
        <v>B) Estrazione; C) Manifattura; D) Produzione energia/gas</v>
      </c>
    </row>
    <row r="233" spans="1:14" ht="51">
      <c r="A233" s="58" t="s">
        <v>683</v>
      </c>
      <c r="B233" s="59" t="s">
        <v>684</v>
      </c>
      <c r="C233">
        <v>2</v>
      </c>
      <c r="D233" t="str">
        <f>+VLOOKUP(AtecoCrisi[[#This Row],[COD. CRISI]],Tabella139[],2,0)</f>
        <v>B) Estrazione; C) Manifattura; D) Produzione energia/gas</v>
      </c>
      <c r="E233" s="53">
        <f t="shared" si="21"/>
        <v>0.03</v>
      </c>
      <c r="F233" s="53">
        <f t="shared" si="22"/>
        <v>7.5999999999999998E-2</v>
      </c>
      <c r="G233" s="53">
        <f t="shared" si="23"/>
        <v>0.93700000000000006</v>
      </c>
      <c r="H233" s="53">
        <f t="shared" si="24"/>
        <v>5.0000000000000001E-3</v>
      </c>
      <c r="I233" s="53">
        <f t="shared" si="25"/>
        <v>4.9000000000000002E-2</v>
      </c>
      <c r="L233" t="s">
        <v>733</v>
      </c>
      <c r="M233" t="str">
        <f t="shared" si="27"/>
        <v>Fabbricazione di mattoni, tegole ed altri prodotti per l'edilizia in terracotta</v>
      </c>
      <c r="N233" t="str">
        <f t="shared" si="26"/>
        <v>B) Estrazione; C) Manifattura; D) Produzione energia/gas</v>
      </c>
    </row>
    <row r="234" spans="1:14" ht="51">
      <c r="A234" s="58" t="s">
        <v>685</v>
      </c>
      <c r="B234" s="59" t="s">
        <v>686</v>
      </c>
      <c r="C234">
        <v>2</v>
      </c>
      <c r="D234" t="str">
        <f>+VLOOKUP(AtecoCrisi[[#This Row],[COD. CRISI]],Tabella139[],2,0)</f>
        <v>B) Estrazione; C) Manifattura; D) Produzione energia/gas</v>
      </c>
      <c r="E234" s="53">
        <f t="shared" si="21"/>
        <v>0.03</v>
      </c>
      <c r="F234" s="53">
        <f t="shared" si="22"/>
        <v>7.5999999999999998E-2</v>
      </c>
      <c r="G234" s="53">
        <f t="shared" si="23"/>
        <v>0.93700000000000006</v>
      </c>
      <c r="H234" s="53">
        <f t="shared" si="24"/>
        <v>5.0000000000000001E-3</v>
      </c>
      <c r="I234" s="53">
        <f t="shared" si="25"/>
        <v>4.9000000000000002E-2</v>
      </c>
      <c r="L234" t="s">
        <v>735</v>
      </c>
      <c r="M234" t="str">
        <f t="shared" si="27"/>
        <v>Fabbricazione di prodotti in ceramica per usi domestici e ornamentali</v>
      </c>
      <c r="N234" t="str">
        <f t="shared" si="26"/>
        <v>B) Estrazione; C) Manifattura; D) Produzione energia/gas</v>
      </c>
    </row>
    <row r="235" spans="1:14" ht="63.75">
      <c r="A235" s="56" t="s">
        <v>687</v>
      </c>
      <c r="B235" s="57" t="s">
        <v>688</v>
      </c>
      <c r="C235">
        <v>2</v>
      </c>
      <c r="D235" t="str">
        <f>+VLOOKUP(AtecoCrisi[[#This Row],[COD. CRISI]],Tabella139[],2,0)</f>
        <v>B) Estrazione; C) Manifattura; D) Produzione energia/gas</v>
      </c>
      <c r="E235" s="53">
        <f t="shared" si="21"/>
        <v>0.03</v>
      </c>
      <c r="F235" s="53">
        <f t="shared" si="22"/>
        <v>7.5999999999999998E-2</v>
      </c>
      <c r="G235" s="53">
        <f t="shared" si="23"/>
        <v>0.93700000000000006</v>
      </c>
      <c r="H235" s="53">
        <f t="shared" si="24"/>
        <v>5.0000000000000001E-3</v>
      </c>
      <c r="I235" s="53">
        <f t="shared" si="25"/>
        <v>4.9000000000000002E-2</v>
      </c>
      <c r="L235" t="s">
        <v>737</v>
      </c>
      <c r="M235" t="str">
        <f t="shared" si="27"/>
        <v>Fabbricazione di articoli sanitari in ceramica</v>
      </c>
      <c r="N235" t="str">
        <f t="shared" si="26"/>
        <v>B) Estrazione; C) Manifattura; D) Produzione energia/gas</v>
      </c>
    </row>
    <row r="236" spans="1:14" ht="38.25">
      <c r="A236" s="58" t="s">
        <v>689</v>
      </c>
      <c r="B236" s="59" t="s">
        <v>690</v>
      </c>
      <c r="C236">
        <v>2</v>
      </c>
      <c r="D236" t="str">
        <f>+VLOOKUP(AtecoCrisi[[#This Row],[COD. CRISI]],Tabella139[],2,0)</f>
        <v>B) Estrazione; C) Manifattura; D) Produzione energia/gas</v>
      </c>
      <c r="E236" s="53">
        <f t="shared" si="21"/>
        <v>0.03</v>
      </c>
      <c r="F236" s="53">
        <f t="shared" si="22"/>
        <v>7.5999999999999998E-2</v>
      </c>
      <c r="G236" s="53">
        <f t="shared" si="23"/>
        <v>0.93700000000000006</v>
      </c>
      <c r="H236" s="53">
        <f t="shared" si="24"/>
        <v>5.0000000000000001E-3</v>
      </c>
      <c r="I236" s="53">
        <f t="shared" si="25"/>
        <v>4.9000000000000002E-2</v>
      </c>
      <c r="L236" t="s">
        <v>739</v>
      </c>
      <c r="M236" t="str">
        <f t="shared" si="27"/>
        <v>Fabbricazione di isolatori e di pezzi isolanti in ceramica</v>
      </c>
      <c r="N236" t="str">
        <f t="shared" si="26"/>
        <v>B) Estrazione; C) Manifattura; D) Produzione energia/gas</v>
      </c>
    </row>
    <row r="237" spans="1:14" ht="38.25">
      <c r="A237" s="58" t="s">
        <v>691</v>
      </c>
      <c r="B237" s="59" t="s">
        <v>692</v>
      </c>
      <c r="C237">
        <v>2</v>
      </c>
      <c r="D237" t="str">
        <f>+VLOOKUP(AtecoCrisi[[#This Row],[COD. CRISI]],Tabella139[],2,0)</f>
        <v>B) Estrazione; C) Manifattura; D) Produzione energia/gas</v>
      </c>
      <c r="E237" s="53">
        <f t="shared" si="21"/>
        <v>0.03</v>
      </c>
      <c r="F237" s="53">
        <f t="shared" si="22"/>
        <v>7.5999999999999998E-2</v>
      </c>
      <c r="G237" s="53">
        <f t="shared" si="23"/>
        <v>0.93700000000000006</v>
      </c>
      <c r="H237" s="53">
        <f t="shared" si="24"/>
        <v>5.0000000000000001E-3</v>
      </c>
      <c r="I237" s="53">
        <f t="shared" si="25"/>
        <v>4.9000000000000002E-2</v>
      </c>
      <c r="L237" t="s">
        <v>741</v>
      </c>
      <c r="M237" t="str">
        <f t="shared" si="27"/>
        <v>Fabbricazione di altri prodotti in ceramica per uso tecnico e industriale</v>
      </c>
      <c r="N237" t="str">
        <f t="shared" si="26"/>
        <v>B) Estrazione; C) Manifattura; D) Produzione energia/gas</v>
      </c>
    </row>
    <row r="238" spans="1:14" ht="63.75">
      <c r="A238" s="58" t="s">
        <v>693</v>
      </c>
      <c r="B238" s="59" t="s">
        <v>694</v>
      </c>
      <c r="C238">
        <v>2</v>
      </c>
      <c r="D238" t="str">
        <f>+VLOOKUP(AtecoCrisi[[#This Row],[COD. CRISI]],Tabella139[],2,0)</f>
        <v>B) Estrazione; C) Manifattura; D) Produzione energia/gas</v>
      </c>
      <c r="E238" s="53">
        <f t="shared" si="21"/>
        <v>0.03</v>
      </c>
      <c r="F238" s="53">
        <f t="shared" si="22"/>
        <v>7.5999999999999998E-2</v>
      </c>
      <c r="G238" s="53">
        <f t="shared" si="23"/>
        <v>0.93700000000000006</v>
      </c>
      <c r="H238" s="53">
        <f t="shared" si="24"/>
        <v>5.0000000000000001E-3</v>
      </c>
      <c r="I238" s="53">
        <f t="shared" si="25"/>
        <v>4.9000000000000002E-2</v>
      </c>
      <c r="L238" t="s">
        <v>743</v>
      </c>
      <c r="M238" t="str">
        <f t="shared" si="27"/>
        <v>Fabbricazione di altri prodotti in ceramica</v>
      </c>
      <c r="N238" t="str">
        <f t="shared" si="26"/>
        <v>B) Estrazione; C) Manifattura; D) Produzione energia/gas</v>
      </c>
    </row>
    <row r="239" spans="1:14" ht="38.25">
      <c r="A239" s="58" t="s">
        <v>695</v>
      </c>
      <c r="B239" s="59" t="s">
        <v>696</v>
      </c>
      <c r="C239">
        <v>2</v>
      </c>
      <c r="D239" t="str">
        <f>+VLOOKUP(AtecoCrisi[[#This Row],[COD. CRISI]],Tabella139[],2,0)</f>
        <v>B) Estrazione; C) Manifattura; D) Produzione energia/gas</v>
      </c>
      <c r="E239" s="53">
        <f t="shared" si="21"/>
        <v>0.03</v>
      </c>
      <c r="F239" s="53">
        <f t="shared" si="22"/>
        <v>7.5999999999999998E-2</v>
      </c>
      <c r="G239" s="53">
        <f t="shared" si="23"/>
        <v>0.93700000000000006</v>
      </c>
      <c r="H239" s="53">
        <f t="shared" si="24"/>
        <v>5.0000000000000001E-3</v>
      </c>
      <c r="I239" s="53">
        <f t="shared" si="25"/>
        <v>4.9000000000000002E-2</v>
      </c>
      <c r="L239" t="s">
        <v>745</v>
      </c>
      <c r="M239" t="str">
        <f t="shared" si="27"/>
        <v>Produzione di cemento</v>
      </c>
      <c r="N239" t="str">
        <f t="shared" si="26"/>
        <v>B) Estrazione; C) Manifattura; D) Produzione energia/gas</v>
      </c>
    </row>
    <row r="240" spans="1:14" ht="51">
      <c r="A240" s="58" t="s">
        <v>697</v>
      </c>
      <c r="B240" s="59" t="s">
        <v>698</v>
      </c>
      <c r="C240">
        <v>2</v>
      </c>
      <c r="D240" t="str">
        <f>+VLOOKUP(AtecoCrisi[[#This Row],[COD. CRISI]],Tabella139[],2,0)</f>
        <v>B) Estrazione; C) Manifattura; D) Produzione energia/gas</v>
      </c>
      <c r="E240" s="53">
        <f t="shared" si="21"/>
        <v>0.03</v>
      </c>
      <c r="F240" s="53">
        <f t="shared" si="22"/>
        <v>7.5999999999999998E-2</v>
      </c>
      <c r="G240" s="53">
        <f t="shared" si="23"/>
        <v>0.93700000000000006</v>
      </c>
      <c r="H240" s="53">
        <f t="shared" si="24"/>
        <v>5.0000000000000001E-3</v>
      </c>
      <c r="I240" s="53">
        <f t="shared" si="25"/>
        <v>4.9000000000000002E-2</v>
      </c>
      <c r="L240" t="s">
        <v>747</v>
      </c>
      <c r="M240" t="str">
        <f t="shared" si="27"/>
        <v>Produzione di calce</v>
      </c>
      <c r="N240" t="str">
        <f t="shared" si="26"/>
        <v>B) Estrazione; C) Manifattura; D) Produzione energia/gas</v>
      </c>
    </row>
    <row r="241" spans="1:14" ht="38.25">
      <c r="A241" s="58" t="s">
        <v>699</v>
      </c>
      <c r="B241" s="59" t="s">
        <v>700</v>
      </c>
      <c r="C241">
        <v>2</v>
      </c>
      <c r="D241" t="str">
        <f>+VLOOKUP(AtecoCrisi[[#This Row],[COD. CRISI]],Tabella139[],2,0)</f>
        <v>B) Estrazione; C) Manifattura; D) Produzione energia/gas</v>
      </c>
      <c r="E241" s="53">
        <f t="shared" si="21"/>
        <v>0.03</v>
      </c>
      <c r="F241" s="53">
        <f t="shared" si="22"/>
        <v>7.5999999999999998E-2</v>
      </c>
      <c r="G241" s="53">
        <f t="shared" si="23"/>
        <v>0.93700000000000006</v>
      </c>
      <c r="H241" s="53">
        <f t="shared" si="24"/>
        <v>5.0000000000000001E-3</v>
      </c>
      <c r="I241" s="53">
        <f t="shared" si="25"/>
        <v>4.9000000000000002E-2</v>
      </c>
      <c r="L241" t="s">
        <v>749</v>
      </c>
      <c r="M241" t="str">
        <f t="shared" si="27"/>
        <v>Produzione di gesso</v>
      </c>
      <c r="N241" t="str">
        <f t="shared" si="26"/>
        <v>B) Estrazione; C) Manifattura; D) Produzione energia/gas</v>
      </c>
    </row>
    <row r="242" spans="1:14" ht="63.75">
      <c r="A242" s="58" t="s">
        <v>701</v>
      </c>
      <c r="B242" s="59" t="s">
        <v>702</v>
      </c>
      <c r="C242">
        <v>2</v>
      </c>
      <c r="D242" t="str">
        <f>+VLOOKUP(AtecoCrisi[[#This Row],[COD. CRISI]],Tabella139[],2,0)</f>
        <v>B) Estrazione; C) Manifattura; D) Produzione energia/gas</v>
      </c>
      <c r="E242" s="53">
        <f t="shared" si="21"/>
        <v>0.03</v>
      </c>
      <c r="F242" s="53">
        <f t="shared" si="22"/>
        <v>7.5999999999999998E-2</v>
      </c>
      <c r="G242" s="53">
        <f t="shared" si="23"/>
        <v>0.93700000000000006</v>
      </c>
      <c r="H242" s="53">
        <f t="shared" si="24"/>
        <v>5.0000000000000001E-3</v>
      </c>
      <c r="I242" s="53">
        <f t="shared" si="25"/>
        <v>4.9000000000000002E-2</v>
      </c>
      <c r="L242" t="s">
        <v>751</v>
      </c>
      <c r="M242" t="str">
        <f t="shared" si="27"/>
        <v>Fabbricazione di prodotti in calcestruzzo per l'edilizia</v>
      </c>
      <c r="N242" t="str">
        <f t="shared" si="26"/>
        <v>B) Estrazione; C) Manifattura; D) Produzione energia/gas</v>
      </c>
    </row>
    <row r="243" spans="1:14" ht="76.5">
      <c r="A243" s="58" t="s">
        <v>703</v>
      </c>
      <c r="B243" s="59" t="s">
        <v>704</v>
      </c>
      <c r="C243">
        <v>2</v>
      </c>
      <c r="D243" t="str">
        <f>+VLOOKUP(AtecoCrisi[[#This Row],[COD. CRISI]],Tabella139[],2,0)</f>
        <v>B) Estrazione; C) Manifattura; D) Produzione energia/gas</v>
      </c>
      <c r="E243" s="53">
        <f t="shared" si="21"/>
        <v>0.03</v>
      </c>
      <c r="F243" s="53">
        <f t="shared" si="22"/>
        <v>7.5999999999999998E-2</v>
      </c>
      <c r="G243" s="53">
        <f t="shared" si="23"/>
        <v>0.93700000000000006</v>
      </c>
      <c r="H243" s="53">
        <f t="shared" si="24"/>
        <v>5.0000000000000001E-3</v>
      </c>
      <c r="I243" s="53">
        <f t="shared" si="25"/>
        <v>4.9000000000000002E-2</v>
      </c>
      <c r="L243" t="s">
        <v>753</v>
      </c>
      <c r="M243" t="str">
        <f t="shared" si="27"/>
        <v>Fabbricazione di prodotti in gesso per l'edilizia</v>
      </c>
      <c r="N243" t="str">
        <f t="shared" si="26"/>
        <v>B) Estrazione; C) Manifattura; D) Produzione energia/gas</v>
      </c>
    </row>
    <row r="244" spans="1:14" ht="51">
      <c r="A244" s="58" t="s">
        <v>705</v>
      </c>
      <c r="B244" s="59" t="s">
        <v>706</v>
      </c>
      <c r="C244">
        <v>2</v>
      </c>
      <c r="D244" t="str">
        <f>+VLOOKUP(AtecoCrisi[[#This Row],[COD. CRISI]],Tabella139[],2,0)</f>
        <v>B) Estrazione; C) Manifattura; D) Produzione energia/gas</v>
      </c>
      <c r="E244" s="53">
        <f t="shared" si="21"/>
        <v>0.03</v>
      </c>
      <c r="F244" s="53">
        <f t="shared" si="22"/>
        <v>7.5999999999999998E-2</v>
      </c>
      <c r="G244" s="53">
        <f t="shared" si="23"/>
        <v>0.93700000000000006</v>
      </c>
      <c r="H244" s="53">
        <f t="shared" si="24"/>
        <v>5.0000000000000001E-3</v>
      </c>
      <c r="I244" s="53">
        <f t="shared" si="25"/>
        <v>4.9000000000000002E-2</v>
      </c>
      <c r="L244" t="s">
        <v>755</v>
      </c>
      <c r="M244" t="str">
        <f t="shared" si="27"/>
        <v>Produzione di calcestruzzo pronto per l'uso</v>
      </c>
      <c r="N244" t="str">
        <f t="shared" si="26"/>
        <v>B) Estrazione; C) Manifattura; D) Produzione energia/gas</v>
      </c>
    </row>
    <row r="245" spans="1:14" ht="38.25">
      <c r="A245" s="58" t="s">
        <v>707</v>
      </c>
      <c r="B245" s="59" t="s">
        <v>708</v>
      </c>
      <c r="C245">
        <v>2</v>
      </c>
      <c r="D245" t="str">
        <f>+VLOOKUP(AtecoCrisi[[#This Row],[COD. CRISI]],Tabella139[],2,0)</f>
        <v>B) Estrazione; C) Manifattura; D) Produzione energia/gas</v>
      </c>
      <c r="E245" s="53">
        <f t="shared" si="21"/>
        <v>0.03</v>
      </c>
      <c r="F245" s="53">
        <f t="shared" si="22"/>
        <v>7.5999999999999998E-2</v>
      </c>
      <c r="G245" s="53">
        <f t="shared" si="23"/>
        <v>0.93700000000000006</v>
      </c>
      <c r="H245" s="53">
        <f t="shared" si="24"/>
        <v>5.0000000000000001E-3</v>
      </c>
      <c r="I245" s="53">
        <f t="shared" si="25"/>
        <v>4.9000000000000002E-2</v>
      </c>
      <c r="L245" t="s">
        <v>757</v>
      </c>
      <c r="M245" t="str">
        <f t="shared" si="27"/>
        <v>Produzione di malta</v>
      </c>
      <c r="N245" t="str">
        <f t="shared" si="26"/>
        <v>B) Estrazione; C) Manifattura; D) Produzione energia/gas</v>
      </c>
    </row>
    <row r="246" spans="1:14" ht="51">
      <c r="A246" s="58" t="s">
        <v>709</v>
      </c>
      <c r="B246" s="59" t="s">
        <v>710</v>
      </c>
      <c r="C246">
        <v>2</v>
      </c>
      <c r="D246" t="str">
        <f>+VLOOKUP(AtecoCrisi[[#This Row],[COD. CRISI]],Tabella139[],2,0)</f>
        <v>B) Estrazione; C) Manifattura; D) Produzione energia/gas</v>
      </c>
      <c r="E246" s="53">
        <f t="shared" si="21"/>
        <v>0.03</v>
      </c>
      <c r="F246" s="53">
        <f t="shared" si="22"/>
        <v>7.5999999999999998E-2</v>
      </c>
      <c r="G246" s="53">
        <f t="shared" si="23"/>
        <v>0.93700000000000006</v>
      </c>
      <c r="H246" s="53">
        <f t="shared" si="24"/>
        <v>5.0000000000000001E-3</v>
      </c>
      <c r="I246" s="53">
        <f t="shared" si="25"/>
        <v>4.9000000000000002E-2</v>
      </c>
      <c r="L246" t="s">
        <v>759</v>
      </c>
      <c r="M246" t="str">
        <f t="shared" si="27"/>
        <v>Fabbricazione di prodotti in fibrocemento</v>
      </c>
      <c r="N246" t="str">
        <f t="shared" si="26"/>
        <v>B) Estrazione; C) Manifattura; D) Produzione energia/gas</v>
      </c>
    </row>
    <row r="247" spans="1:14" ht="51">
      <c r="A247" s="58" t="s">
        <v>711</v>
      </c>
      <c r="B247" s="59" t="s">
        <v>712</v>
      </c>
      <c r="C247">
        <v>2</v>
      </c>
      <c r="D247" t="str">
        <f>+VLOOKUP(AtecoCrisi[[#This Row],[COD. CRISI]],Tabella139[],2,0)</f>
        <v>B) Estrazione; C) Manifattura; D) Produzione energia/gas</v>
      </c>
      <c r="E247" s="53">
        <f t="shared" si="21"/>
        <v>0.03</v>
      </c>
      <c r="F247" s="53">
        <f t="shared" si="22"/>
        <v>7.5999999999999998E-2</v>
      </c>
      <c r="G247" s="53">
        <f t="shared" si="23"/>
        <v>0.93700000000000006</v>
      </c>
      <c r="H247" s="53">
        <f t="shared" si="24"/>
        <v>5.0000000000000001E-3</v>
      </c>
      <c r="I247" s="53">
        <f t="shared" si="25"/>
        <v>4.9000000000000002E-2</v>
      </c>
      <c r="L247" t="s">
        <v>761</v>
      </c>
      <c r="M247" t="str">
        <f t="shared" si="27"/>
        <v>Fabbricazione di altri prodotti in calcestruzzo, gesso e cemento</v>
      </c>
      <c r="N247" t="str">
        <f t="shared" si="26"/>
        <v>B) Estrazione; C) Manifattura; D) Produzione energia/gas</v>
      </c>
    </row>
    <row r="248" spans="1:14" ht="89.25">
      <c r="A248" s="56" t="s">
        <v>713</v>
      </c>
      <c r="B248" s="57" t="s">
        <v>714</v>
      </c>
      <c r="C248">
        <v>2</v>
      </c>
      <c r="D248" t="str">
        <f>+VLOOKUP(AtecoCrisi[[#This Row],[COD. CRISI]],Tabella139[],2,0)</f>
        <v>B) Estrazione; C) Manifattura; D) Produzione energia/gas</v>
      </c>
      <c r="E248" s="53">
        <f t="shared" si="21"/>
        <v>0.03</v>
      </c>
      <c r="F248" s="53">
        <f t="shared" si="22"/>
        <v>7.5999999999999998E-2</v>
      </c>
      <c r="G248" s="53">
        <f t="shared" si="23"/>
        <v>0.93700000000000006</v>
      </c>
      <c r="H248" s="53">
        <f t="shared" si="24"/>
        <v>5.0000000000000001E-3</v>
      </c>
      <c r="I248" s="53">
        <f t="shared" si="25"/>
        <v>4.9000000000000002E-2</v>
      </c>
      <c r="L248" t="s">
        <v>763</v>
      </c>
      <c r="M248" t="str">
        <f t="shared" si="27"/>
        <v>Segagione e lavorazione delle pietre e del marmo</v>
      </c>
      <c r="N248" t="str">
        <f t="shared" si="26"/>
        <v>B) Estrazione; C) Manifattura; D) Produzione energia/gas</v>
      </c>
    </row>
    <row r="249" spans="1:14" ht="25.5">
      <c r="A249" s="58" t="s">
        <v>715</v>
      </c>
      <c r="B249" s="59" t="s">
        <v>716</v>
      </c>
      <c r="C249">
        <v>2</v>
      </c>
      <c r="D249" t="str">
        <f>+VLOOKUP(AtecoCrisi[[#This Row],[COD. CRISI]],Tabella139[],2,0)</f>
        <v>B) Estrazione; C) Manifattura; D) Produzione energia/gas</v>
      </c>
      <c r="E249" s="53">
        <f t="shared" si="21"/>
        <v>0.03</v>
      </c>
      <c r="F249" s="53">
        <f t="shared" si="22"/>
        <v>7.5999999999999998E-2</v>
      </c>
      <c r="G249" s="53">
        <f t="shared" si="23"/>
        <v>0.93700000000000006</v>
      </c>
      <c r="H249" s="53">
        <f t="shared" si="24"/>
        <v>5.0000000000000001E-3</v>
      </c>
      <c r="I249" s="53">
        <f t="shared" si="25"/>
        <v>4.9000000000000002E-2</v>
      </c>
      <c r="L249" t="s">
        <v>765</v>
      </c>
      <c r="M249" t="str">
        <f t="shared" si="27"/>
        <v>Lavorazione artistica del marmo e di altre pietre affini, lavori in mosaico</v>
      </c>
      <c r="N249" t="str">
        <f t="shared" si="26"/>
        <v>B) Estrazione; C) Manifattura; D) Produzione energia/gas</v>
      </c>
    </row>
    <row r="250" spans="1:14" ht="38.25">
      <c r="A250" s="58" t="s">
        <v>717</v>
      </c>
      <c r="B250" s="59" t="s">
        <v>718</v>
      </c>
      <c r="C250">
        <v>2</v>
      </c>
      <c r="D250" t="str">
        <f>+VLOOKUP(AtecoCrisi[[#This Row],[COD. CRISI]],Tabella139[],2,0)</f>
        <v>B) Estrazione; C) Manifattura; D) Produzione energia/gas</v>
      </c>
      <c r="E250" s="53">
        <f t="shared" si="21"/>
        <v>0.03</v>
      </c>
      <c r="F250" s="53">
        <f t="shared" si="22"/>
        <v>7.5999999999999998E-2</v>
      </c>
      <c r="G250" s="53">
        <f t="shared" si="23"/>
        <v>0.93700000000000006</v>
      </c>
      <c r="H250" s="53">
        <f t="shared" si="24"/>
        <v>5.0000000000000001E-3</v>
      </c>
      <c r="I250" s="53">
        <f t="shared" si="25"/>
        <v>4.9000000000000002E-2</v>
      </c>
      <c r="L250" t="s">
        <v>767</v>
      </c>
      <c r="M250" t="str">
        <f t="shared" si="27"/>
        <v>Frantumazione di pietre e minerali vari non in connessione con l'estrazione</v>
      </c>
      <c r="N250" t="str">
        <f t="shared" si="26"/>
        <v>B) Estrazione; C) Manifattura; D) Produzione energia/gas</v>
      </c>
    </row>
    <row r="251" spans="1:14" ht="25.5">
      <c r="A251" s="58" t="s">
        <v>719</v>
      </c>
      <c r="B251" s="59" t="s">
        <v>720</v>
      </c>
      <c r="C251">
        <v>2</v>
      </c>
      <c r="D251" t="str">
        <f>+VLOOKUP(AtecoCrisi[[#This Row],[COD. CRISI]],Tabella139[],2,0)</f>
        <v>B) Estrazione; C) Manifattura; D) Produzione energia/gas</v>
      </c>
      <c r="E251" s="53">
        <f t="shared" si="21"/>
        <v>0.03</v>
      </c>
      <c r="F251" s="53">
        <f t="shared" si="22"/>
        <v>7.5999999999999998E-2</v>
      </c>
      <c r="G251" s="53">
        <f t="shared" si="23"/>
        <v>0.93700000000000006</v>
      </c>
      <c r="H251" s="53">
        <f t="shared" si="24"/>
        <v>5.0000000000000001E-3</v>
      </c>
      <c r="I251" s="53">
        <f t="shared" si="25"/>
        <v>4.9000000000000002E-2</v>
      </c>
      <c r="L251" t="s">
        <v>769</v>
      </c>
      <c r="M251" t="str">
        <f t="shared" si="27"/>
        <v>Produzione di prodotti abrasivi</v>
      </c>
      <c r="N251" t="str">
        <f t="shared" si="26"/>
        <v>B) Estrazione; C) Manifattura; D) Produzione energia/gas</v>
      </c>
    </row>
    <row r="252" spans="1:14" ht="25.5">
      <c r="A252" s="58" t="s">
        <v>721</v>
      </c>
      <c r="B252" s="59" t="s">
        <v>722</v>
      </c>
      <c r="C252">
        <v>2</v>
      </c>
      <c r="D252" t="str">
        <f>+VLOOKUP(AtecoCrisi[[#This Row],[COD. CRISI]],Tabella139[],2,0)</f>
        <v>B) Estrazione; C) Manifattura; D) Produzione energia/gas</v>
      </c>
      <c r="E252" s="53">
        <f t="shared" si="21"/>
        <v>0.03</v>
      </c>
      <c r="F252" s="53">
        <f t="shared" si="22"/>
        <v>7.5999999999999998E-2</v>
      </c>
      <c r="G252" s="53">
        <f t="shared" si="23"/>
        <v>0.93700000000000006</v>
      </c>
      <c r="H252" s="53">
        <f t="shared" si="24"/>
        <v>5.0000000000000001E-3</v>
      </c>
      <c r="I252" s="53">
        <f t="shared" si="25"/>
        <v>4.9000000000000002E-2</v>
      </c>
      <c r="L252" t="s">
        <v>771</v>
      </c>
      <c r="M252" t="str">
        <f t="shared" si="27"/>
        <v>Fabbricazione di altri prodotti in minerali non metalliferi nca</v>
      </c>
      <c r="N252" t="str">
        <f t="shared" si="26"/>
        <v>B) Estrazione; C) Manifattura; D) Produzione energia/gas</v>
      </c>
    </row>
    <row r="253" spans="1:14" ht="63.75">
      <c r="A253" s="58" t="s">
        <v>723</v>
      </c>
      <c r="B253" s="59" t="s">
        <v>724</v>
      </c>
      <c r="C253">
        <v>2</v>
      </c>
      <c r="D253" t="str">
        <f>+VLOOKUP(AtecoCrisi[[#This Row],[COD. CRISI]],Tabella139[],2,0)</f>
        <v>B) Estrazione; C) Manifattura; D) Produzione energia/gas</v>
      </c>
      <c r="E253" s="53">
        <f t="shared" si="21"/>
        <v>0.03</v>
      </c>
      <c r="F253" s="53">
        <f t="shared" si="22"/>
        <v>7.5999999999999998E-2</v>
      </c>
      <c r="G253" s="53">
        <f t="shared" si="23"/>
        <v>0.93700000000000006</v>
      </c>
      <c r="H253" s="53">
        <f t="shared" si="24"/>
        <v>5.0000000000000001E-3</v>
      </c>
      <c r="I253" s="53">
        <f t="shared" si="25"/>
        <v>4.9000000000000002E-2</v>
      </c>
      <c r="L253" t="s">
        <v>775</v>
      </c>
      <c r="M253" t="str">
        <f t="shared" si="27"/>
        <v>Siderurgia - Fabbricazione di ferro, acciaio e ferroleghe</v>
      </c>
      <c r="N253" t="str">
        <f t="shared" si="26"/>
        <v>B) Estrazione; C) Manifattura; D) Produzione energia/gas</v>
      </c>
    </row>
    <row r="254" spans="1:14" ht="38.25">
      <c r="A254" s="58" t="s">
        <v>725</v>
      </c>
      <c r="B254" s="59" t="s">
        <v>726</v>
      </c>
      <c r="C254">
        <v>2</v>
      </c>
      <c r="D254" t="str">
        <f>+VLOOKUP(AtecoCrisi[[#This Row],[COD. CRISI]],Tabella139[],2,0)</f>
        <v>B) Estrazione; C) Manifattura; D) Produzione energia/gas</v>
      </c>
      <c r="E254" s="53">
        <f t="shared" si="21"/>
        <v>0.03</v>
      </c>
      <c r="F254" s="53">
        <f t="shared" si="22"/>
        <v>7.5999999999999998E-2</v>
      </c>
      <c r="G254" s="53">
        <f t="shared" si="23"/>
        <v>0.93700000000000006</v>
      </c>
      <c r="H254" s="53">
        <f t="shared" si="24"/>
        <v>5.0000000000000001E-3</v>
      </c>
      <c r="I254" s="53">
        <f t="shared" si="25"/>
        <v>4.9000000000000002E-2</v>
      </c>
      <c r="L254" t="s">
        <v>777</v>
      </c>
      <c r="M254" t="str">
        <f t="shared" si="27"/>
        <v>Fabbricazione di tubi e condotti senza saldatura</v>
      </c>
      <c r="N254" t="str">
        <f t="shared" si="26"/>
        <v>B) Estrazione; C) Manifattura; D) Produzione energia/gas</v>
      </c>
    </row>
    <row r="255" spans="1:14" ht="51">
      <c r="A255" s="58" t="s">
        <v>727</v>
      </c>
      <c r="B255" s="59" t="s">
        <v>728</v>
      </c>
      <c r="C255">
        <v>2</v>
      </c>
      <c r="D255" t="str">
        <f>+VLOOKUP(AtecoCrisi[[#This Row],[COD. CRISI]],Tabella139[],2,0)</f>
        <v>B) Estrazione; C) Manifattura; D) Produzione energia/gas</v>
      </c>
      <c r="E255" s="53">
        <f t="shared" si="21"/>
        <v>0.03</v>
      </c>
      <c r="F255" s="53">
        <f t="shared" si="22"/>
        <v>7.5999999999999998E-2</v>
      </c>
      <c r="G255" s="53">
        <f t="shared" si="23"/>
        <v>0.93700000000000006</v>
      </c>
      <c r="H255" s="53">
        <f t="shared" si="24"/>
        <v>5.0000000000000001E-3</v>
      </c>
      <c r="I255" s="53">
        <f t="shared" si="25"/>
        <v>4.9000000000000002E-2</v>
      </c>
      <c r="L255" t="s">
        <v>779</v>
      </c>
      <c r="M255" t="str">
        <f t="shared" si="27"/>
        <v>Fabbricazione di tubi e condotti saldati e simili</v>
      </c>
      <c r="N255" t="str">
        <f t="shared" si="26"/>
        <v>B) Estrazione; C) Manifattura; D) Produzione energia/gas</v>
      </c>
    </row>
    <row r="256" spans="1:14" ht="25.5">
      <c r="A256" s="58" t="s">
        <v>729</v>
      </c>
      <c r="B256" s="59" t="s">
        <v>730</v>
      </c>
      <c r="C256">
        <v>2</v>
      </c>
      <c r="D256" t="str">
        <f>+VLOOKUP(AtecoCrisi[[#This Row],[COD. CRISI]],Tabella139[],2,0)</f>
        <v>B) Estrazione; C) Manifattura; D) Produzione energia/gas</v>
      </c>
      <c r="E256" s="53">
        <f t="shared" si="21"/>
        <v>0.03</v>
      </c>
      <c r="F256" s="53">
        <f t="shared" si="22"/>
        <v>7.5999999999999998E-2</v>
      </c>
      <c r="G256" s="53">
        <f t="shared" si="23"/>
        <v>0.93700000000000006</v>
      </c>
      <c r="H256" s="53">
        <f t="shared" si="24"/>
        <v>5.0000000000000001E-3</v>
      </c>
      <c r="I256" s="53">
        <f t="shared" si="25"/>
        <v>4.9000000000000002E-2</v>
      </c>
      <c r="L256" t="s">
        <v>781</v>
      </c>
      <c r="M256" t="str">
        <f t="shared" si="27"/>
        <v>Stiratura a freddo di barre</v>
      </c>
      <c r="N256" t="str">
        <f t="shared" si="26"/>
        <v>B) Estrazione; C) Manifattura; D) Produzione energia/gas</v>
      </c>
    </row>
    <row r="257" spans="1:14" ht="63.75">
      <c r="A257" s="58" t="s">
        <v>731</v>
      </c>
      <c r="B257" s="59" t="s">
        <v>732</v>
      </c>
      <c r="C257">
        <v>2</v>
      </c>
      <c r="D257" t="str">
        <f>+VLOOKUP(AtecoCrisi[[#This Row],[COD. CRISI]],Tabella139[],2,0)</f>
        <v>B) Estrazione; C) Manifattura; D) Produzione energia/gas</v>
      </c>
      <c r="E257" s="53">
        <f t="shared" si="21"/>
        <v>0.03</v>
      </c>
      <c r="F257" s="53">
        <f t="shared" si="22"/>
        <v>7.5999999999999998E-2</v>
      </c>
      <c r="G257" s="53">
        <f t="shared" si="23"/>
        <v>0.93700000000000006</v>
      </c>
      <c r="H257" s="53">
        <f t="shared" si="24"/>
        <v>5.0000000000000001E-3</v>
      </c>
      <c r="I257" s="53">
        <f t="shared" si="25"/>
        <v>4.9000000000000002E-2</v>
      </c>
      <c r="L257" t="s">
        <v>783</v>
      </c>
      <c r="M257" t="str">
        <f t="shared" si="27"/>
        <v>Laminazione a freddo di nastri</v>
      </c>
      <c r="N257" t="str">
        <f t="shared" si="26"/>
        <v>B) Estrazione; C) Manifattura; D) Produzione energia/gas</v>
      </c>
    </row>
    <row r="258" spans="1:14" ht="63.75">
      <c r="A258" s="58" t="s">
        <v>733</v>
      </c>
      <c r="B258" s="59" t="s">
        <v>734</v>
      </c>
      <c r="C258">
        <v>2</v>
      </c>
      <c r="D258" t="str">
        <f>+VLOOKUP(AtecoCrisi[[#This Row],[COD. CRISI]],Tabella139[],2,0)</f>
        <v>B) Estrazione; C) Manifattura; D) Produzione energia/gas</v>
      </c>
      <c r="E258" s="53">
        <f t="shared" ref="E258:E321" si="28">+VLOOKUP(C258,$R$2:$X$11,3,FALSE)</f>
        <v>0.03</v>
      </c>
      <c r="F258" s="53">
        <f t="shared" ref="F258:F321" si="29">+VLOOKUP(C258,$R$2:$X$11,4,FALSE)</f>
        <v>7.5999999999999998E-2</v>
      </c>
      <c r="G258" s="53">
        <f t="shared" ref="G258:G321" si="30">+VLOOKUP(C258,$R$2:$X$11,5,FALSE)</f>
        <v>0.93700000000000006</v>
      </c>
      <c r="H258" s="53">
        <f t="shared" ref="H258:H321" si="31">+VLOOKUP(C258,$R$2:$X$11,6,FALSE)</f>
        <v>5.0000000000000001E-3</v>
      </c>
      <c r="I258" s="53">
        <f t="shared" ref="I258:I321" si="32">+VLOOKUP(C258,$R$2:$X$11,7,FALSE)</f>
        <v>4.9000000000000002E-2</v>
      </c>
      <c r="L258" t="s">
        <v>785</v>
      </c>
      <c r="M258" t="str">
        <f t="shared" si="27"/>
        <v>Fabbricazione di pannelli stratificati in acciaio</v>
      </c>
      <c r="N258" t="str">
        <f t="shared" ref="N258:N321" si="33">+VLOOKUP(L258,A:D,4,0)</f>
        <v>B) Estrazione; C) Manifattura; D) Produzione energia/gas</v>
      </c>
    </row>
    <row r="259" spans="1:14" ht="63.75">
      <c r="A259" s="58" t="s">
        <v>735</v>
      </c>
      <c r="B259" s="59" t="s">
        <v>736</v>
      </c>
      <c r="C259">
        <v>2</v>
      </c>
      <c r="D259" t="str">
        <f>+VLOOKUP(AtecoCrisi[[#This Row],[COD. CRISI]],Tabella139[],2,0)</f>
        <v>B) Estrazione; C) Manifattura; D) Produzione energia/gas</v>
      </c>
      <c r="E259" s="53">
        <f t="shared" si="28"/>
        <v>0.03</v>
      </c>
      <c r="F259" s="53">
        <f t="shared" si="29"/>
        <v>7.5999999999999998E-2</v>
      </c>
      <c r="G259" s="53">
        <f t="shared" si="30"/>
        <v>0.93700000000000006</v>
      </c>
      <c r="H259" s="53">
        <f t="shared" si="31"/>
        <v>5.0000000000000001E-3</v>
      </c>
      <c r="I259" s="53">
        <f t="shared" si="32"/>
        <v>4.9000000000000002E-2</v>
      </c>
      <c r="L259" t="s">
        <v>787</v>
      </c>
      <c r="M259" t="str">
        <f t="shared" ref="M259:M322" si="34">+VLOOKUP(L259,A:B,2,0)</f>
        <v>Profilatura mediante formatura o piegatura a freddo</v>
      </c>
      <c r="N259" t="str">
        <f t="shared" si="33"/>
        <v>B) Estrazione; C) Manifattura; D) Produzione energia/gas</v>
      </c>
    </row>
    <row r="260" spans="1:14" ht="38.25">
      <c r="A260" s="58" t="s">
        <v>737</v>
      </c>
      <c r="B260" s="59" t="s">
        <v>738</v>
      </c>
      <c r="C260">
        <v>2</v>
      </c>
      <c r="D260" t="str">
        <f>+VLOOKUP(AtecoCrisi[[#This Row],[COD. CRISI]],Tabella139[],2,0)</f>
        <v>B) Estrazione; C) Manifattura; D) Produzione energia/gas</v>
      </c>
      <c r="E260" s="53">
        <f t="shared" si="28"/>
        <v>0.03</v>
      </c>
      <c r="F260" s="53">
        <f t="shared" si="29"/>
        <v>7.5999999999999998E-2</v>
      </c>
      <c r="G260" s="53">
        <f t="shared" si="30"/>
        <v>0.93700000000000006</v>
      </c>
      <c r="H260" s="53">
        <f t="shared" si="31"/>
        <v>5.0000000000000001E-3</v>
      </c>
      <c r="I260" s="53">
        <f t="shared" si="32"/>
        <v>4.9000000000000002E-2</v>
      </c>
      <c r="L260" t="s">
        <v>789</v>
      </c>
      <c r="M260" t="str">
        <f t="shared" si="34"/>
        <v>Trafilatura a freddo</v>
      </c>
      <c r="N260" t="str">
        <f t="shared" si="33"/>
        <v>B) Estrazione; C) Manifattura; D) Produzione energia/gas</v>
      </c>
    </row>
    <row r="261" spans="1:14" ht="51">
      <c r="A261" s="58" t="s">
        <v>739</v>
      </c>
      <c r="B261" s="59" t="s">
        <v>740</v>
      </c>
      <c r="C261">
        <v>2</v>
      </c>
      <c r="D261" t="str">
        <f>+VLOOKUP(AtecoCrisi[[#This Row],[COD. CRISI]],Tabella139[],2,0)</f>
        <v>B) Estrazione; C) Manifattura; D) Produzione energia/gas</v>
      </c>
      <c r="E261" s="53">
        <f t="shared" si="28"/>
        <v>0.03</v>
      </c>
      <c r="F261" s="53">
        <f t="shared" si="29"/>
        <v>7.5999999999999998E-2</v>
      </c>
      <c r="G261" s="53">
        <f t="shared" si="30"/>
        <v>0.93700000000000006</v>
      </c>
      <c r="H261" s="53">
        <f t="shared" si="31"/>
        <v>5.0000000000000001E-3</v>
      </c>
      <c r="I261" s="53">
        <f t="shared" si="32"/>
        <v>4.9000000000000002E-2</v>
      </c>
      <c r="L261" t="s">
        <v>791</v>
      </c>
      <c r="M261" t="str">
        <f t="shared" si="34"/>
        <v>Produzione di metalli preziosi e semilavorati</v>
      </c>
      <c r="N261" t="str">
        <f t="shared" si="33"/>
        <v>B) Estrazione; C) Manifattura; D) Produzione energia/gas</v>
      </c>
    </row>
    <row r="262" spans="1:14" ht="63.75">
      <c r="A262" s="58" t="s">
        <v>741</v>
      </c>
      <c r="B262" s="59" t="s">
        <v>742</v>
      </c>
      <c r="C262">
        <v>2</v>
      </c>
      <c r="D262" t="str">
        <f>+VLOOKUP(AtecoCrisi[[#This Row],[COD. CRISI]],Tabella139[],2,0)</f>
        <v>B) Estrazione; C) Manifattura; D) Produzione energia/gas</v>
      </c>
      <c r="E262" s="53">
        <f t="shared" si="28"/>
        <v>0.03</v>
      </c>
      <c r="F262" s="53">
        <f t="shared" si="29"/>
        <v>7.5999999999999998E-2</v>
      </c>
      <c r="G262" s="53">
        <f t="shared" si="30"/>
        <v>0.93700000000000006</v>
      </c>
      <c r="H262" s="53">
        <f t="shared" si="31"/>
        <v>5.0000000000000001E-3</v>
      </c>
      <c r="I262" s="53">
        <f t="shared" si="32"/>
        <v>4.9000000000000002E-2</v>
      </c>
      <c r="L262" t="s">
        <v>793</v>
      </c>
      <c r="M262" t="str">
        <f t="shared" si="34"/>
        <v>Produzione di alluminio e semilavorati</v>
      </c>
      <c r="N262" t="str">
        <f t="shared" si="33"/>
        <v>B) Estrazione; C) Manifattura; D) Produzione energia/gas</v>
      </c>
    </row>
    <row r="263" spans="1:14" ht="38.25">
      <c r="A263" s="58" t="s">
        <v>743</v>
      </c>
      <c r="B263" s="59" t="s">
        <v>744</v>
      </c>
      <c r="C263">
        <v>2</v>
      </c>
      <c r="D263" t="str">
        <f>+VLOOKUP(AtecoCrisi[[#This Row],[COD. CRISI]],Tabella139[],2,0)</f>
        <v>B) Estrazione; C) Manifattura; D) Produzione energia/gas</v>
      </c>
      <c r="E263" s="53">
        <f t="shared" si="28"/>
        <v>0.03</v>
      </c>
      <c r="F263" s="53">
        <f t="shared" si="29"/>
        <v>7.5999999999999998E-2</v>
      </c>
      <c r="G263" s="53">
        <f t="shared" si="30"/>
        <v>0.93700000000000006</v>
      </c>
      <c r="H263" s="53">
        <f t="shared" si="31"/>
        <v>5.0000000000000001E-3</v>
      </c>
      <c r="I263" s="53">
        <f t="shared" si="32"/>
        <v>4.9000000000000002E-2</v>
      </c>
      <c r="L263" t="s">
        <v>795</v>
      </c>
      <c r="M263" t="str">
        <f t="shared" si="34"/>
        <v>Produzione di piombo, zinco e stagno e semilavorati</v>
      </c>
      <c r="N263" t="str">
        <f t="shared" si="33"/>
        <v>B) Estrazione; C) Manifattura; D) Produzione energia/gas</v>
      </c>
    </row>
    <row r="264" spans="1:14" ht="25.5">
      <c r="A264" s="58" t="s">
        <v>745</v>
      </c>
      <c r="B264" s="59" t="s">
        <v>746</v>
      </c>
      <c r="C264">
        <v>2</v>
      </c>
      <c r="D264" t="str">
        <f>+VLOOKUP(AtecoCrisi[[#This Row],[COD. CRISI]],Tabella139[],2,0)</f>
        <v>B) Estrazione; C) Manifattura; D) Produzione energia/gas</v>
      </c>
      <c r="E264" s="53">
        <f t="shared" si="28"/>
        <v>0.03</v>
      </c>
      <c r="F264" s="53">
        <f t="shared" si="29"/>
        <v>7.5999999999999998E-2</v>
      </c>
      <c r="G264" s="53">
        <f t="shared" si="30"/>
        <v>0.93700000000000006</v>
      </c>
      <c r="H264" s="53">
        <f t="shared" si="31"/>
        <v>5.0000000000000001E-3</v>
      </c>
      <c r="I264" s="53">
        <f t="shared" si="32"/>
        <v>4.9000000000000002E-2</v>
      </c>
      <c r="L264" t="s">
        <v>797</v>
      </c>
      <c r="M264" t="str">
        <f t="shared" si="34"/>
        <v>Produzione di rame e semilavorati</v>
      </c>
      <c r="N264" t="str">
        <f t="shared" si="33"/>
        <v>B) Estrazione; C) Manifattura; D) Produzione energia/gas</v>
      </c>
    </row>
    <row r="265" spans="1:14" ht="25.5">
      <c r="A265" s="58" t="s">
        <v>747</v>
      </c>
      <c r="B265" s="59" t="s">
        <v>748</v>
      </c>
      <c r="C265">
        <v>2</v>
      </c>
      <c r="D265" t="str">
        <f>+VLOOKUP(AtecoCrisi[[#This Row],[COD. CRISI]],Tabella139[],2,0)</f>
        <v>B) Estrazione; C) Manifattura; D) Produzione energia/gas</v>
      </c>
      <c r="E265" s="53">
        <f t="shared" si="28"/>
        <v>0.03</v>
      </c>
      <c r="F265" s="53">
        <f t="shared" si="29"/>
        <v>7.5999999999999998E-2</v>
      </c>
      <c r="G265" s="53">
        <f t="shared" si="30"/>
        <v>0.93700000000000006</v>
      </c>
      <c r="H265" s="53">
        <f t="shared" si="31"/>
        <v>5.0000000000000001E-3</v>
      </c>
      <c r="I265" s="53">
        <f t="shared" si="32"/>
        <v>4.9000000000000002E-2</v>
      </c>
      <c r="L265" t="s">
        <v>799</v>
      </c>
      <c r="M265" t="str">
        <f t="shared" si="34"/>
        <v>Produzione di altri metalli non ferrosi e semilavorati</v>
      </c>
      <c r="N265" t="str">
        <f t="shared" si="33"/>
        <v>B) Estrazione; C) Manifattura; D) Produzione energia/gas</v>
      </c>
    </row>
    <row r="266" spans="1:14" ht="25.5">
      <c r="A266" s="58" t="s">
        <v>749</v>
      </c>
      <c r="B266" s="59" t="s">
        <v>750</v>
      </c>
      <c r="C266">
        <v>2</v>
      </c>
      <c r="D266" t="str">
        <f>+VLOOKUP(AtecoCrisi[[#This Row],[COD. CRISI]],Tabella139[],2,0)</f>
        <v>B) Estrazione; C) Manifattura; D) Produzione energia/gas</v>
      </c>
      <c r="E266" s="53">
        <f t="shared" si="28"/>
        <v>0.03</v>
      </c>
      <c r="F266" s="53">
        <f t="shared" si="29"/>
        <v>7.5999999999999998E-2</v>
      </c>
      <c r="G266" s="53">
        <f t="shared" si="30"/>
        <v>0.93700000000000006</v>
      </c>
      <c r="H266" s="53">
        <f t="shared" si="31"/>
        <v>5.0000000000000001E-3</v>
      </c>
      <c r="I266" s="53">
        <f t="shared" si="32"/>
        <v>4.9000000000000002E-2</v>
      </c>
      <c r="L266" t="s">
        <v>801</v>
      </c>
      <c r="M266" t="str">
        <f t="shared" si="34"/>
        <v>Trattamento dei combustibili nucleari (escluso l'arricchimento di uranio e torio)</v>
      </c>
      <c r="N266" t="str">
        <f t="shared" si="33"/>
        <v>B) Estrazione; C) Manifattura; D) Produzione energia/gas</v>
      </c>
    </row>
    <row r="267" spans="1:14" ht="51">
      <c r="A267" s="58" t="s">
        <v>751</v>
      </c>
      <c r="B267" s="59" t="s">
        <v>752</v>
      </c>
      <c r="C267">
        <v>2</v>
      </c>
      <c r="D267" t="str">
        <f>+VLOOKUP(AtecoCrisi[[#This Row],[COD. CRISI]],Tabella139[],2,0)</f>
        <v>B) Estrazione; C) Manifattura; D) Produzione energia/gas</v>
      </c>
      <c r="E267" s="53">
        <f t="shared" si="28"/>
        <v>0.03</v>
      </c>
      <c r="F267" s="53">
        <f t="shared" si="29"/>
        <v>7.5999999999999998E-2</v>
      </c>
      <c r="G267" s="53">
        <f t="shared" si="30"/>
        <v>0.93700000000000006</v>
      </c>
      <c r="H267" s="53">
        <f t="shared" si="31"/>
        <v>5.0000000000000001E-3</v>
      </c>
      <c r="I267" s="53">
        <f t="shared" si="32"/>
        <v>4.9000000000000002E-2</v>
      </c>
      <c r="L267" t="s">
        <v>803</v>
      </c>
      <c r="M267" t="str">
        <f t="shared" si="34"/>
        <v>Fusione di ghisa e produzione di tubi e raccordi in ghisa</v>
      </c>
      <c r="N267" t="str">
        <f t="shared" si="33"/>
        <v>B) Estrazione; C) Manifattura; D) Produzione energia/gas</v>
      </c>
    </row>
    <row r="268" spans="1:14" ht="38.25">
      <c r="A268" s="58" t="s">
        <v>753</v>
      </c>
      <c r="B268" s="59" t="s">
        <v>754</v>
      </c>
      <c r="C268">
        <v>2</v>
      </c>
      <c r="D268" t="str">
        <f>+VLOOKUP(AtecoCrisi[[#This Row],[COD. CRISI]],Tabella139[],2,0)</f>
        <v>B) Estrazione; C) Manifattura; D) Produzione energia/gas</v>
      </c>
      <c r="E268" s="53">
        <f t="shared" si="28"/>
        <v>0.03</v>
      </c>
      <c r="F268" s="53">
        <f t="shared" si="29"/>
        <v>7.5999999999999998E-2</v>
      </c>
      <c r="G268" s="53">
        <f t="shared" si="30"/>
        <v>0.93700000000000006</v>
      </c>
      <c r="H268" s="53">
        <f t="shared" si="31"/>
        <v>5.0000000000000001E-3</v>
      </c>
      <c r="I268" s="53">
        <f t="shared" si="32"/>
        <v>4.9000000000000002E-2</v>
      </c>
      <c r="L268" t="s">
        <v>805</v>
      </c>
      <c r="M268" t="str">
        <f t="shared" si="34"/>
        <v>Fusione di acciaio</v>
      </c>
      <c r="N268" t="str">
        <f t="shared" si="33"/>
        <v>B) Estrazione; C) Manifattura; D) Produzione energia/gas</v>
      </c>
    </row>
    <row r="269" spans="1:14" ht="38.25">
      <c r="A269" s="58" t="s">
        <v>755</v>
      </c>
      <c r="B269" s="59" t="s">
        <v>756</v>
      </c>
      <c r="C269">
        <v>2</v>
      </c>
      <c r="D269" t="str">
        <f>+VLOOKUP(AtecoCrisi[[#This Row],[COD. CRISI]],Tabella139[],2,0)</f>
        <v>B) Estrazione; C) Manifattura; D) Produzione energia/gas</v>
      </c>
      <c r="E269" s="53">
        <f t="shared" si="28"/>
        <v>0.03</v>
      </c>
      <c r="F269" s="53">
        <f t="shared" si="29"/>
        <v>7.5999999999999998E-2</v>
      </c>
      <c r="G269" s="53">
        <f t="shared" si="30"/>
        <v>0.93700000000000006</v>
      </c>
      <c r="H269" s="53">
        <f t="shared" si="31"/>
        <v>5.0000000000000001E-3</v>
      </c>
      <c r="I269" s="53">
        <f t="shared" si="32"/>
        <v>4.9000000000000002E-2</v>
      </c>
      <c r="L269" t="s">
        <v>807</v>
      </c>
      <c r="M269" t="str">
        <f t="shared" si="34"/>
        <v>Fusione di metalli leggeri</v>
      </c>
      <c r="N269" t="str">
        <f t="shared" si="33"/>
        <v>B) Estrazione; C) Manifattura; D) Produzione energia/gas</v>
      </c>
    </row>
    <row r="270" spans="1:14" ht="25.5">
      <c r="A270" s="58" t="s">
        <v>757</v>
      </c>
      <c r="B270" s="59" t="s">
        <v>758</v>
      </c>
      <c r="C270">
        <v>2</v>
      </c>
      <c r="D270" t="str">
        <f>+VLOOKUP(AtecoCrisi[[#This Row],[COD. CRISI]],Tabella139[],2,0)</f>
        <v>B) Estrazione; C) Manifattura; D) Produzione energia/gas</v>
      </c>
      <c r="E270" s="53">
        <f t="shared" si="28"/>
        <v>0.03</v>
      </c>
      <c r="F270" s="53">
        <f t="shared" si="29"/>
        <v>7.5999999999999998E-2</v>
      </c>
      <c r="G270" s="53">
        <f t="shared" si="30"/>
        <v>0.93700000000000006</v>
      </c>
      <c r="H270" s="53">
        <f t="shared" si="31"/>
        <v>5.0000000000000001E-3</v>
      </c>
      <c r="I270" s="53">
        <f t="shared" si="32"/>
        <v>4.9000000000000002E-2</v>
      </c>
      <c r="L270" t="s">
        <v>809</v>
      </c>
      <c r="M270" t="str">
        <f t="shared" si="34"/>
        <v>Fusione di altri metalli non ferrosi</v>
      </c>
      <c r="N270" t="str">
        <f t="shared" si="33"/>
        <v>B) Estrazione; C) Manifattura; D) Produzione energia/gas</v>
      </c>
    </row>
    <row r="271" spans="1:14" ht="38.25">
      <c r="A271" s="58" t="s">
        <v>759</v>
      </c>
      <c r="B271" s="59" t="s">
        <v>760</v>
      </c>
      <c r="C271">
        <v>2</v>
      </c>
      <c r="D271" t="str">
        <f>+VLOOKUP(AtecoCrisi[[#This Row],[COD. CRISI]],Tabella139[],2,0)</f>
        <v>B) Estrazione; C) Manifattura; D) Produzione energia/gas</v>
      </c>
      <c r="E271" s="53">
        <f t="shared" si="28"/>
        <v>0.03</v>
      </c>
      <c r="F271" s="53">
        <f t="shared" si="29"/>
        <v>7.5999999999999998E-2</v>
      </c>
      <c r="G271" s="53">
        <f t="shared" si="30"/>
        <v>0.93700000000000006</v>
      </c>
      <c r="H271" s="53">
        <f t="shared" si="31"/>
        <v>5.0000000000000001E-3</v>
      </c>
      <c r="I271" s="53">
        <f t="shared" si="32"/>
        <v>4.9000000000000002E-2</v>
      </c>
      <c r="L271" t="s">
        <v>813</v>
      </c>
      <c r="M271" t="str">
        <f t="shared" si="34"/>
        <v>Fabbricazione di strutture metalliche e parti assemblate di strutture</v>
      </c>
      <c r="N271" t="str">
        <f t="shared" si="33"/>
        <v>B) Estrazione; C) Manifattura; D) Produzione energia/gas</v>
      </c>
    </row>
    <row r="272" spans="1:14" ht="51">
      <c r="A272" s="58" t="s">
        <v>761</v>
      </c>
      <c r="B272" s="59" t="s">
        <v>762</v>
      </c>
      <c r="C272">
        <v>2</v>
      </c>
      <c r="D272" t="str">
        <f>+VLOOKUP(AtecoCrisi[[#This Row],[COD. CRISI]],Tabella139[],2,0)</f>
        <v>B) Estrazione; C) Manifattura; D) Produzione energia/gas</v>
      </c>
      <c r="E272" s="53">
        <f t="shared" si="28"/>
        <v>0.03</v>
      </c>
      <c r="F272" s="53">
        <f t="shared" si="29"/>
        <v>7.5999999999999998E-2</v>
      </c>
      <c r="G272" s="53">
        <f t="shared" si="30"/>
        <v>0.93700000000000006</v>
      </c>
      <c r="H272" s="53">
        <f t="shared" si="31"/>
        <v>5.0000000000000001E-3</v>
      </c>
      <c r="I272" s="53">
        <f t="shared" si="32"/>
        <v>4.9000000000000002E-2</v>
      </c>
      <c r="L272" t="s">
        <v>815</v>
      </c>
      <c r="M272" t="str">
        <f t="shared" si="34"/>
        <v>Fabbricazione di porte, finestre e loro telai, imposte e cancelli metallici</v>
      </c>
      <c r="N272" t="str">
        <f t="shared" si="33"/>
        <v>B) Estrazione; C) Manifattura; D) Produzione energia/gas</v>
      </c>
    </row>
    <row r="273" spans="1:14" ht="38.25">
      <c r="A273" s="58" t="s">
        <v>763</v>
      </c>
      <c r="B273" s="59" t="s">
        <v>764</v>
      </c>
      <c r="C273">
        <v>2</v>
      </c>
      <c r="D273" t="str">
        <f>+VLOOKUP(AtecoCrisi[[#This Row],[COD. CRISI]],Tabella139[],2,0)</f>
        <v>B) Estrazione; C) Manifattura; D) Produzione energia/gas</v>
      </c>
      <c r="E273" s="53">
        <f t="shared" si="28"/>
        <v>0.03</v>
      </c>
      <c r="F273" s="53">
        <f t="shared" si="29"/>
        <v>7.5999999999999998E-2</v>
      </c>
      <c r="G273" s="53">
        <f t="shared" si="30"/>
        <v>0.93700000000000006</v>
      </c>
      <c r="H273" s="53">
        <f t="shared" si="31"/>
        <v>5.0000000000000001E-3</v>
      </c>
      <c r="I273" s="53">
        <f t="shared" si="32"/>
        <v>4.9000000000000002E-2</v>
      </c>
      <c r="L273" t="s">
        <v>817</v>
      </c>
      <c r="M273" t="str">
        <f t="shared" si="34"/>
        <v>Fabbricazione di strutture metalliche per tende da sole, tende alla veneziana e simili</v>
      </c>
      <c r="N273" t="str">
        <f t="shared" si="33"/>
        <v>B) Estrazione; C) Manifattura; D) Produzione energia/gas</v>
      </c>
    </row>
    <row r="274" spans="1:14" ht="63.75">
      <c r="A274" s="58" t="s">
        <v>765</v>
      </c>
      <c r="B274" s="59" t="s">
        <v>766</v>
      </c>
      <c r="C274">
        <v>2</v>
      </c>
      <c r="D274" t="str">
        <f>+VLOOKUP(AtecoCrisi[[#This Row],[COD. CRISI]],Tabella139[],2,0)</f>
        <v>B) Estrazione; C) Manifattura; D) Produzione energia/gas</v>
      </c>
      <c r="E274" s="53">
        <f t="shared" si="28"/>
        <v>0.03</v>
      </c>
      <c r="F274" s="53">
        <f t="shared" si="29"/>
        <v>7.5999999999999998E-2</v>
      </c>
      <c r="G274" s="53">
        <f t="shared" si="30"/>
        <v>0.93700000000000006</v>
      </c>
      <c r="H274" s="53">
        <f t="shared" si="31"/>
        <v>5.0000000000000001E-3</v>
      </c>
      <c r="I274" s="53">
        <f t="shared" si="32"/>
        <v>4.9000000000000002E-2</v>
      </c>
      <c r="L274" t="s">
        <v>819</v>
      </c>
      <c r="M274" t="str">
        <f t="shared" si="34"/>
        <v>Fabbricazione di radiatori e contenitori in metallo per caldaie per il riscaldamento centrale</v>
      </c>
      <c r="N274" t="str">
        <f t="shared" si="33"/>
        <v>B) Estrazione; C) Manifattura; D) Produzione energia/gas</v>
      </c>
    </row>
    <row r="275" spans="1:14" ht="63.75">
      <c r="A275" s="58" t="s">
        <v>767</v>
      </c>
      <c r="B275" s="59" t="s">
        <v>768</v>
      </c>
      <c r="C275">
        <v>2</v>
      </c>
      <c r="D275" t="str">
        <f>+VLOOKUP(AtecoCrisi[[#This Row],[COD. CRISI]],Tabella139[],2,0)</f>
        <v>B) Estrazione; C) Manifattura; D) Produzione energia/gas</v>
      </c>
      <c r="E275" s="53">
        <f t="shared" si="28"/>
        <v>0.03</v>
      </c>
      <c r="F275" s="53">
        <f t="shared" si="29"/>
        <v>7.5999999999999998E-2</v>
      </c>
      <c r="G275" s="53">
        <f t="shared" si="30"/>
        <v>0.93700000000000006</v>
      </c>
      <c r="H275" s="53">
        <f t="shared" si="31"/>
        <v>5.0000000000000001E-3</v>
      </c>
      <c r="I275" s="53">
        <f t="shared" si="32"/>
        <v>4.9000000000000002E-2</v>
      </c>
      <c r="L275" t="s">
        <v>821</v>
      </c>
      <c r="M275" t="str">
        <f t="shared" si="34"/>
        <v>Fabbricazione di cisterne, serbatoi e contenitori in metallo per impieghi di stoccaggio o di produzione</v>
      </c>
      <c r="N275" t="str">
        <f t="shared" si="33"/>
        <v>B) Estrazione; C) Manifattura; D) Produzione energia/gas</v>
      </c>
    </row>
    <row r="276" spans="1:14" ht="25.5">
      <c r="A276" s="58" t="s">
        <v>769</v>
      </c>
      <c r="B276" s="59" t="s">
        <v>770</v>
      </c>
      <c r="C276">
        <v>2</v>
      </c>
      <c r="D276" t="str">
        <f>+VLOOKUP(AtecoCrisi[[#This Row],[COD. CRISI]],Tabella139[],2,0)</f>
        <v>B) Estrazione; C) Manifattura; D) Produzione energia/gas</v>
      </c>
      <c r="E276" s="53">
        <f t="shared" si="28"/>
        <v>0.03</v>
      </c>
      <c r="F276" s="53">
        <f t="shared" si="29"/>
        <v>7.5999999999999998E-2</v>
      </c>
      <c r="G276" s="53">
        <f t="shared" si="30"/>
        <v>0.93700000000000006</v>
      </c>
      <c r="H276" s="53">
        <f t="shared" si="31"/>
        <v>5.0000000000000001E-3</v>
      </c>
      <c r="I276" s="53">
        <f t="shared" si="32"/>
        <v>4.9000000000000002E-2</v>
      </c>
      <c r="L276" t="s">
        <v>823</v>
      </c>
      <c r="M276" t="str">
        <f t="shared" si="34"/>
        <v>Fabbricazione di generatori di vapore (esclusi i contenitori in metallo per caldaie per il riscaldamento centrale ad acqua calda)</v>
      </c>
      <c r="N276" t="str">
        <f t="shared" si="33"/>
        <v>B) Estrazione; C) Manifattura; D) Produzione energia/gas</v>
      </c>
    </row>
    <row r="277" spans="1:14" ht="51">
      <c r="A277" s="58" t="s">
        <v>771</v>
      </c>
      <c r="B277" s="59" t="s">
        <v>772</v>
      </c>
      <c r="C277">
        <v>2</v>
      </c>
      <c r="D277" t="str">
        <f>+VLOOKUP(AtecoCrisi[[#This Row],[COD. CRISI]],Tabella139[],2,0)</f>
        <v>B) Estrazione; C) Manifattura; D) Produzione energia/gas</v>
      </c>
      <c r="E277" s="53">
        <f t="shared" si="28"/>
        <v>0.03</v>
      </c>
      <c r="F277" s="53">
        <f t="shared" si="29"/>
        <v>7.5999999999999998E-2</v>
      </c>
      <c r="G277" s="53">
        <f t="shared" si="30"/>
        <v>0.93700000000000006</v>
      </c>
      <c r="H277" s="53">
        <f t="shared" si="31"/>
        <v>5.0000000000000001E-3</v>
      </c>
      <c r="I277" s="53">
        <f t="shared" si="32"/>
        <v>4.9000000000000002E-2</v>
      </c>
      <c r="L277" t="s">
        <v>825</v>
      </c>
      <c r="M277" t="str">
        <f t="shared" si="34"/>
        <v>Fabbricazione di armi e munizioni</v>
      </c>
      <c r="N277" t="str">
        <f t="shared" si="33"/>
        <v>B) Estrazione; C) Manifattura; D) Produzione energia/gas</v>
      </c>
    </row>
    <row r="278" spans="1:14">
      <c r="A278" s="56" t="s">
        <v>773</v>
      </c>
      <c r="B278" s="57" t="s">
        <v>774</v>
      </c>
      <c r="C278">
        <v>2</v>
      </c>
      <c r="D278" t="str">
        <f>+VLOOKUP(AtecoCrisi[[#This Row],[COD. CRISI]],Tabella139[],2,0)</f>
        <v>B) Estrazione; C) Manifattura; D) Produzione energia/gas</v>
      </c>
      <c r="E278" s="53">
        <f t="shared" si="28"/>
        <v>0.03</v>
      </c>
      <c r="F278" s="53">
        <f t="shared" si="29"/>
        <v>7.5999999999999998E-2</v>
      </c>
      <c r="G278" s="53">
        <f t="shared" si="30"/>
        <v>0.93700000000000006</v>
      </c>
      <c r="H278" s="53">
        <f t="shared" si="31"/>
        <v>5.0000000000000001E-3</v>
      </c>
      <c r="I278" s="53">
        <f t="shared" si="32"/>
        <v>4.9000000000000002E-2</v>
      </c>
      <c r="L278" t="s">
        <v>827</v>
      </c>
      <c r="M278" t="str">
        <f t="shared" si="34"/>
        <v>Fucinatura, imbutitura, stampaggio e profilatura dei metalli; metallurgia delle polveri</v>
      </c>
      <c r="N278" t="str">
        <f t="shared" si="33"/>
        <v>B) Estrazione; C) Manifattura; D) Produzione energia/gas</v>
      </c>
    </row>
    <row r="279" spans="1:14" ht="51">
      <c r="A279" s="58" t="s">
        <v>775</v>
      </c>
      <c r="B279" s="59" t="s">
        <v>776</v>
      </c>
      <c r="C279">
        <v>2</v>
      </c>
      <c r="D279" t="str">
        <f>+VLOOKUP(AtecoCrisi[[#This Row],[COD. CRISI]],Tabella139[],2,0)</f>
        <v>B) Estrazione; C) Manifattura; D) Produzione energia/gas</v>
      </c>
      <c r="E279" s="53">
        <f t="shared" si="28"/>
        <v>0.03</v>
      </c>
      <c r="F279" s="53">
        <f t="shared" si="29"/>
        <v>7.5999999999999998E-2</v>
      </c>
      <c r="G279" s="53">
        <f t="shared" si="30"/>
        <v>0.93700000000000006</v>
      </c>
      <c r="H279" s="53">
        <f t="shared" si="31"/>
        <v>5.0000000000000001E-3</v>
      </c>
      <c r="I279" s="53">
        <f t="shared" si="32"/>
        <v>4.9000000000000002E-2</v>
      </c>
      <c r="L279" t="s">
        <v>829</v>
      </c>
      <c r="M279" t="str">
        <f t="shared" si="34"/>
        <v>Trattamento e rivestimento dei metalli</v>
      </c>
      <c r="N279" t="str">
        <f t="shared" si="33"/>
        <v>B) Estrazione; C) Manifattura; D) Produzione energia/gas</v>
      </c>
    </row>
    <row r="280" spans="1:14" ht="38.25">
      <c r="A280" s="58" t="s">
        <v>777</v>
      </c>
      <c r="B280" s="59" t="s">
        <v>778</v>
      </c>
      <c r="C280">
        <v>2</v>
      </c>
      <c r="D280" t="str">
        <f>+VLOOKUP(AtecoCrisi[[#This Row],[COD. CRISI]],Tabella139[],2,0)</f>
        <v>B) Estrazione; C) Manifattura; D) Produzione energia/gas</v>
      </c>
      <c r="E280" s="53">
        <f t="shared" si="28"/>
        <v>0.03</v>
      </c>
      <c r="F280" s="53">
        <f t="shared" si="29"/>
        <v>7.5999999999999998E-2</v>
      </c>
      <c r="G280" s="53">
        <f t="shared" si="30"/>
        <v>0.93700000000000006</v>
      </c>
      <c r="H280" s="53">
        <f t="shared" si="31"/>
        <v>5.0000000000000001E-3</v>
      </c>
      <c r="I280" s="53">
        <f t="shared" si="32"/>
        <v>4.9000000000000002E-2</v>
      </c>
      <c r="L280" t="s">
        <v>831</v>
      </c>
      <c r="M280" t="str">
        <f t="shared" si="34"/>
        <v>Lavori di meccanica generale</v>
      </c>
      <c r="N280" t="str">
        <f t="shared" si="33"/>
        <v>B) Estrazione; C) Manifattura; D) Produzione energia/gas</v>
      </c>
    </row>
    <row r="281" spans="1:14" ht="38.25">
      <c r="A281" s="58" t="s">
        <v>779</v>
      </c>
      <c r="B281" s="59" t="s">
        <v>780</v>
      </c>
      <c r="C281">
        <v>2</v>
      </c>
      <c r="D281" t="str">
        <f>+VLOOKUP(AtecoCrisi[[#This Row],[COD. CRISI]],Tabella139[],2,0)</f>
        <v>B) Estrazione; C) Manifattura; D) Produzione energia/gas</v>
      </c>
      <c r="E281" s="53">
        <f t="shared" si="28"/>
        <v>0.03</v>
      </c>
      <c r="F281" s="53">
        <f t="shared" si="29"/>
        <v>7.5999999999999998E-2</v>
      </c>
      <c r="G281" s="53">
        <f t="shared" si="30"/>
        <v>0.93700000000000006</v>
      </c>
      <c r="H281" s="53">
        <f t="shared" si="31"/>
        <v>5.0000000000000001E-3</v>
      </c>
      <c r="I281" s="53">
        <f t="shared" si="32"/>
        <v>4.9000000000000002E-2</v>
      </c>
      <c r="L281" t="s">
        <v>833</v>
      </c>
      <c r="M281" t="str">
        <f t="shared" si="34"/>
        <v>Fabbricazione di articoli di coltelleria, posateria ed armi bianche</v>
      </c>
      <c r="N281" t="str">
        <f t="shared" si="33"/>
        <v>B) Estrazione; C) Manifattura; D) Produzione energia/gas</v>
      </c>
    </row>
    <row r="282" spans="1:14" ht="25.5">
      <c r="A282" s="58" t="s">
        <v>781</v>
      </c>
      <c r="B282" s="59" t="s">
        <v>782</v>
      </c>
      <c r="C282">
        <v>2</v>
      </c>
      <c r="D282" t="str">
        <f>+VLOOKUP(AtecoCrisi[[#This Row],[COD. CRISI]],Tabella139[],2,0)</f>
        <v>B) Estrazione; C) Manifattura; D) Produzione energia/gas</v>
      </c>
      <c r="E282" s="53">
        <f t="shared" si="28"/>
        <v>0.03</v>
      </c>
      <c r="F282" s="53">
        <f t="shared" si="29"/>
        <v>7.5999999999999998E-2</v>
      </c>
      <c r="G282" s="53">
        <f t="shared" si="30"/>
        <v>0.93700000000000006</v>
      </c>
      <c r="H282" s="53">
        <f t="shared" si="31"/>
        <v>5.0000000000000001E-3</v>
      </c>
      <c r="I282" s="53">
        <f t="shared" si="32"/>
        <v>4.9000000000000002E-2</v>
      </c>
      <c r="L282" t="s">
        <v>835</v>
      </c>
      <c r="M282" t="str">
        <f t="shared" si="34"/>
        <v>Fabbricazione di serrature e cerniere e ferramenta simili</v>
      </c>
      <c r="N282" t="str">
        <f t="shared" si="33"/>
        <v>B) Estrazione; C) Manifattura; D) Produzione energia/gas</v>
      </c>
    </row>
    <row r="283" spans="1:14" ht="25.5">
      <c r="A283" s="58" t="s">
        <v>783</v>
      </c>
      <c r="B283" s="59" t="s">
        <v>784</v>
      </c>
      <c r="C283">
        <v>2</v>
      </c>
      <c r="D283" t="str">
        <f>+VLOOKUP(AtecoCrisi[[#This Row],[COD. CRISI]],Tabella139[],2,0)</f>
        <v>B) Estrazione; C) Manifattura; D) Produzione energia/gas</v>
      </c>
      <c r="E283" s="53">
        <f t="shared" si="28"/>
        <v>0.03</v>
      </c>
      <c r="F283" s="53">
        <f t="shared" si="29"/>
        <v>7.5999999999999998E-2</v>
      </c>
      <c r="G283" s="53">
        <f t="shared" si="30"/>
        <v>0.93700000000000006</v>
      </c>
      <c r="H283" s="53">
        <f t="shared" si="31"/>
        <v>5.0000000000000001E-3</v>
      </c>
      <c r="I283" s="53">
        <f t="shared" si="32"/>
        <v>4.9000000000000002E-2</v>
      </c>
      <c r="L283" t="s">
        <v>837</v>
      </c>
      <c r="M283" t="str">
        <f t="shared" si="34"/>
        <v>Fabbricazione di utensileria ad azionamento manuale</v>
      </c>
      <c r="N283" t="str">
        <f t="shared" si="33"/>
        <v>B) Estrazione; C) Manifattura; D) Produzione energia/gas</v>
      </c>
    </row>
    <row r="284" spans="1:14" ht="38.25">
      <c r="A284" s="58" t="s">
        <v>785</v>
      </c>
      <c r="B284" s="59" t="s">
        <v>786</v>
      </c>
      <c r="C284">
        <v>2</v>
      </c>
      <c r="D284" t="str">
        <f>+VLOOKUP(AtecoCrisi[[#This Row],[COD. CRISI]],Tabella139[],2,0)</f>
        <v>B) Estrazione; C) Manifattura; D) Produzione energia/gas</v>
      </c>
      <c r="E284" s="53">
        <f t="shared" si="28"/>
        <v>0.03</v>
      </c>
      <c r="F284" s="53">
        <f t="shared" si="29"/>
        <v>7.5999999999999998E-2</v>
      </c>
      <c r="G284" s="53">
        <f t="shared" si="30"/>
        <v>0.93700000000000006</v>
      </c>
      <c r="H284" s="53">
        <f t="shared" si="31"/>
        <v>5.0000000000000001E-3</v>
      </c>
      <c r="I284" s="53">
        <f t="shared" si="32"/>
        <v>4.9000000000000002E-2</v>
      </c>
      <c r="L284" t="s">
        <v>839</v>
      </c>
      <c r="M284" t="str">
        <f t="shared" si="34"/>
        <v>Fabbricazione di parti intercambiabili per macchine utensili</v>
      </c>
      <c r="N284" t="str">
        <f t="shared" si="33"/>
        <v>B) Estrazione; C) Manifattura; D) Produzione energia/gas</v>
      </c>
    </row>
    <row r="285" spans="1:14" ht="51">
      <c r="A285" s="58" t="s">
        <v>787</v>
      </c>
      <c r="B285" s="59" t="s">
        <v>788</v>
      </c>
      <c r="C285">
        <v>2</v>
      </c>
      <c r="D285" t="str">
        <f>+VLOOKUP(AtecoCrisi[[#This Row],[COD. CRISI]],Tabella139[],2,0)</f>
        <v>B) Estrazione; C) Manifattura; D) Produzione energia/gas</v>
      </c>
      <c r="E285" s="53">
        <f t="shared" si="28"/>
        <v>0.03</v>
      </c>
      <c r="F285" s="53">
        <f t="shared" si="29"/>
        <v>7.5999999999999998E-2</v>
      </c>
      <c r="G285" s="53">
        <f t="shared" si="30"/>
        <v>0.93700000000000006</v>
      </c>
      <c r="H285" s="53">
        <f t="shared" si="31"/>
        <v>5.0000000000000001E-3</v>
      </c>
      <c r="I285" s="53">
        <f t="shared" si="32"/>
        <v>4.9000000000000002E-2</v>
      </c>
      <c r="L285" t="s">
        <v>841</v>
      </c>
      <c r="M285" t="str">
        <f t="shared" si="34"/>
        <v>Fabbricazione di stampi, portastampi, sagome, forme per macchine</v>
      </c>
      <c r="N285" t="str">
        <f t="shared" si="33"/>
        <v>B) Estrazione; C) Manifattura; D) Produzione energia/gas</v>
      </c>
    </row>
    <row r="286" spans="1:14">
      <c r="A286" s="58" t="s">
        <v>789</v>
      </c>
      <c r="B286" s="59" t="s">
        <v>790</v>
      </c>
      <c r="C286">
        <v>2</v>
      </c>
      <c r="D286" t="str">
        <f>+VLOOKUP(AtecoCrisi[[#This Row],[COD. CRISI]],Tabella139[],2,0)</f>
        <v>B) Estrazione; C) Manifattura; D) Produzione energia/gas</v>
      </c>
      <c r="E286" s="53">
        <f t="shared" si="28"/>
        <v>0.03</v>
      </c>
      <c r="F286" s="53">
        <f t="shared" si="29"/>
        <v>7.5999999999999998E-2</v>
      </c>
      <c r="G286" s="53">
        <f t="shared" si="30"/>
        <v>0.93700000000000006</v>
      </c>
      <c r="H286" s="53">
        <f t="shared" si="31"/>
        <v>5.0000000000000001E-3</v>
      </c>
      <c r="I286" s="53">
        <f t="shared" si="32"/>
        <v>4.9000000000000002E-2</v>
      </c>
      <c r="L286" t="s">
        <v>843</v>
      </c>
      <c r="M286" t="str">
        <f t="shared" si="34"/>
        <v>Fabbricazione di bidoni in acciaio e contenitori analoghi per il trasporto e l'imballaggio</v>
      </c>
      <c r="N286" t="str">
        <f t="shared" si="33"/>
        <v>B) Estrazione; C) Manifattura; D) Produzione energia/gas</v>
      </c>
    </row>
    <row r="287" spans="1:14" ht="38.25">
      <c r="A287" s="58" t="s">
        <v>791</v>
      </c>
      <c r="B287" s="59" t="s">
        <v>792</v>
      </c>
      <c r="C287">
        <v>2</v>
      </c>
      <c r="D287" t="str">
        <f>+VLOOKUP(AtecoCrisi[[#This Row],[COD. CRISI]],Tabella139[],2,0)</f>
        <v>B) Estrazione; C) Manifattura; D) Produzione energia/gas</v>
      </c>
      <c r="E287" s="53">
        <f t="shared" si="28"/>
        <v>0.03</v>
      </c>
      <c r="F287" s="53">
        <f t="shared" si="29"/>
        <v>7.5999999999999998E-2</v>
      </c>
      <c r="G287" s="53">
        <f t="shared" si="30"/>
        <v>0.93700000000000006</v>
      </c>
      <c r="H287" s="53">
        <f t="shared" si="31"/>
        <v>5.0000000000000001E-3</v>
      </c>
      <c r="I287" s="53">
        <f t="shared" si="32"/>
        <v>4.9000000000000002E-2</v>
      </c>
      <c r="L287" t="s">
        <v>845</v>
      </c>
      <c r="M287" t="str">
        <f t="shared" si="34"/>
        <v>Fabbricazione di imballaggi leggeri in metallo</v>
      </c>
      <c r="N287" t="str">
        <f t="shared" si="33"/>
        <v>B) Estrazione; C) Manifattura; D) Produzione energia/gas</v>
      </c>
    </row>
    <row r="288" spans="1:14" ht="38.25">
      <c r="A288" s="58" t="s">
        <v>793</v>
      </c>
      <c r="B288" s="59" t="s">
        <v>794</v>
      </c>
      <c r="C288">
        <v>2</v>
      </c>
      <c r="D288" t="str">
        <f>+VLOOKUP(AtecoCrisi[[#This Row],[COD. CRISI]],Tabella139[],2,0)</f>
        <v>B) Estrazione; C) Manifattura; D) Produzione energia/gas</v>
      </c>
      <c r="E288" s="53">
        <f t="shared" si="28"/>
        <v>0.03</v>
      </c>
      <c r="F288" s="53">
        <f t="shared" si="29"/>
        <v>7.5999999999999998E-2</v>
      </c>
      <c r="G288" s="53">
        <f t="shared" si="30"/>
        <v>0.93700000000000006</v>
      </c>
      <c r="H288" s="53">
        <f t="shared" si="31"/>
        <v>5.0000000000000001E-3</v>
      </c>
      <c r="I288" s="53">
        <f t="shared" si="32"/>
        <v>4.9000000000000002E-2</v>
      </c>
      <c r="L288" t="s">
        <v>847</v>
      </c>
      <c r="M288" t="str">
        <f t="shared" si="34"/>
        <v>Fabbricazione di prodotti fabbricati con fili metallici</v>
      </c>
      <c r="N288" t="str">
        <f t="shared" si="33"/>
        <v>B) Estrazione; C) Manifattura; D) Produzione energia/gas</v>
      </c>
    </row>
    <row r="289" spans="1:14" ht="51">
      <c r="A289" s="58" t="s">
        <v>795</v>
      </c>
      <c r="B289" s="59" t="s">
        <v>796</v>
      </c>
      <c r="C289">
        <v>2</v>
      </c>
      <c r="D289" t="str">
        <f>+VLOOKUP(AtecoCrisi[[#This Row],[COD. CRISI]],Tabella139[],2,0)</f>
        <v>B) Estrazione; C) Manifattura; D) Produzione energia/gas</v>
      </c>
      <c r="E289" s="53">
        <f t="shared" si="28"/>
        <v>0.03</v>
      </c>
      <c r="F289" s="53">
        <f t="shared" si="29"/>
        <v>7.5999999999999998E-2</v>
      </c>
      <c r="G289" s="53">
        <f t="shared" si="30"/>
        <v>0.93700000000000006</v>
      </c>
      <c r="H289" s="53">
        <f t="shared" si="31"/>
        <v>5.0000000000000001E-3</v>
      </c>
      <c r="I289" s="53">
        <f t="shared" si="32"/>
        <v>4.9000000000000002E-2</v>
      </c>
      <c r="L289" t="s">
        <v>849</v>
      </c>
      <c r="M289" t="str">
        <f t="shared" si="34"/>
        <v>Fabbricazione di molle</v>
      </c>
      <c r="N289" t="str">
        <f t="shared" si="33"/>
        <v>B) Estrazione; C) Manifattura; D) Produzione energia/gas</v>
      </c>
    </row>
    <row r="290" spans="1:14" ht="38.25">
      <c r="A290" s="58" t="s">
        <v>797</v>
      </c>
      <c r="B290" s="59" t="s">
        <v>798</v>
      </c>
      <c r="C290">
        <v>2</v>
      </c>
      <c r="D290" t="str">
        <f>+VLOOKUP(AtecoCrisi[[#This Row],[COD. CRISI]],Tabella139[],2,0)</f>
        <v>B) Estrazione; C) Manifattura; D) Produzione energia/gas</v>
      </c>
      <c r="E290" s="53">
        <f t="shared" si="28"/>
        <v>0.03</v>
      </c>
      <c r="F290" s="53">
        <f t="shared" si="29"/>
        <v>7.5999999999999998E-2</v>
      </c>
      <c r="G290" s="53">
        <f t="shared" si="30"/>
        <v>0.93700000000000006</v>
      </c>
      <c r="H290" s="53">
        <f t="shared" si="31"/>
        <v>5.0000000000000001E-3</v>
      </c>
      <c r="I290" s="53">
        <f t="shared" si="32"/>
        <v>4.9000000000000002E-2</v>
      </c>
      <c r="L290" t="s">
        <v>851</v>
      </c>
      <c r="M290" t="str">
        <f t="shared" si="34"/>
        <v>Fabbricazione di catene fucinate senza saldatura e stampate</v>
      </c>
      <c r="N290" t="str">
        <f t="shared" si="33"/>
        <v>B) Estrazione; C) Manifattura; D) Produzione energia/gas</v>
      </c>
    </row>
    <row r="291" spans="1:14" ht="38.25">
      <c r="A291" s="58" t="s">
        <v>799</v>
      </c>
      <c r="B291" s="59" t="s">
        <v>800</v>
      </c>
      <c r="C291">
        <v>2</v>
      </c>
      <c r="D291" t="str">
        <f>+VLOOKUP(AtecoCrisi[[#This Row],[COD. CRISI]],Tabella139[],2,0)</f>
        <v>B) Estrazione; C) Manifattura; D) Produzione energia/gas</v>
      </c>
      <c r="E291" s="53">
        <f t="shared" si="28"/>
        <v>0.03</v>
      </c>
      <c r="F291" s="53">
        <f t="shared" si="29"/>
        <v>7.5999999999999998E-2</v>
      </c>
      <c r="G291" s="53">
        <f t="shared" si="30"/>
        <v>0.93700000000000006</v>
      </c>
      <c r="H291" s="53">
        <f t="shared" si="31"/>
        <v>5.0000000000000001E-3</v>
      </c>
      <c r="I291" s="53">
        <f t="shared" si="32"/>
        <v>4.9000000000000002E-2</v>
      </c>
      <c r="L291" t="s">
        <v>853</v>
      </c>
      <c r="M291" t="str">
        <f t="shared" si="34"/>
        <v>Fabbricazione di articoli di bulloneria</v>
      </c>
      <c r="N291" t="str">
        <f t="shared" si="33"/>
        <v>B) Estrazione; C) Manifattura; D) Produzione energia/gas</v>
      </c>
    </row>
    <row r="292" spans="1:14" ht="63.75">
      <c r="A292" s="58" t="s">
        <v>801</v>
      </c>
      <c r="B292" s="59" t="s">
        <v>802</v>
      </c>
      <c r="C292">
        <v>2</v>
      </c>
      <c r="D292" t="str">
        <f>+VLOOKUP(AtecoCrisi[[#This Row],[COD. CRISI]],Tabella139[],2,0)</f>
        <v>B) Estrazione; C) Manifattura; D) Produzione energia/gas</v>
      </c>
      <c r="E292" s="53">
        <f t="shared" si="28"/>
        <v>0.03</v>
      </c>
      <c r="F292" s="53">
        <f t="shared" si="29"/>
        <v>7.5999999999999998E-2</v>
      </c>
      <c r="G292" s="53">
        <f t="shared" si="30"/>
        <v>0.93700000000000006</v>
      </c>
      <c r="H292" s="53">
        <f t="shared" si="31"/>
        <v>5.0000000000000001E-3</v>
      </c>
      <c r="I292" s="53">
        <f t="shared" si="32"/>
        <v>4.9000000000000002E-2</v>
      </c>
      <c r="L292" t="s">
        <v>855</v>
      </c>
      <c r="M292" t="str">
        <f t="shared" si="34"/>
        <v>Fabbricazione di caraffe e bottiglie isolate in metallo</v>
      </c>
      <c r="N292" t="str">
        <f t="shared" si="33"/>
        <v>B) Estrazione; C) Manifattura; D) Produzione energia/gas</v>
      </c>
    </row>
    <row r="293" spans="1:14" ht="38.25">
      <c r="A293" s="58" t="s">
        <v>803</v>
      </c>
      <c r="B293" s="59" t="s">
        <v>804</v>
      </c>
      <c r="C293">
        <v>2</v>
      </c>
      <c r="D293" t="str">
        <f>+VLOOKUP(AtecoCrisi[[#This Row],[COD. CRISI]],Tabella139[],2,0)</f>
        <v>B) Estrazione; C) Manifattura; D) Produzione energia/gas</v>
      </c>
      <c r="E293" s="53">
        <f t="shared" si="28"/>
        <v>0.03</v>
      </c>
      <c r="F293" s="53">
        <f t="shared" si="29"/>
        <v>7.5999999999999998E-2</v>
      </c>
      <c r="G293" s="53">
        <f t="shared" si="30"/>
        <v>0.93700000000000006</v>
      </c>
      <c r="H293" s="53">
        <f t="shared" si="31"/>
        <v>5.0000000000000001E-3</v>
      </c>
      <c r="I293" s="53">
        <f t="shared" si="32"/>
        <v>4.9000000000000002E-2</v>
      </c>
      <c r="L293" t="s">
        <v>857</v>
      </c>
      <c r="M293" t="str">
        <f t="shared" si="34"/>
        <v>Fabbricazione di stoviglie, pentolame, vasellame, attrezzi da cucina e altri accessori casalinghi non elettrici, articoli metallici per l'arredamento di stanze da bagno</v>
      </c>
      <c r="N293" t="str">
        <f t="shared" si="33"/>
        <v>B) Estrazione; C) Manifattura; D) Produzione energia/gas</v>
      </c>
    </row>
    <row r="294" spans="1:14">
      <c r="A294" s="58" t="s">
        <v>805</v>
      </c>
      <c r="B294" s="59" t="s">
        <v>806</v>
      </c>
      <c r="C294">
        <v>2</v>
      </c>
      <c r="D294" t="str">
        <f>+VLOOKUP(AtecoCrisi[[#This Row],[COD. CRISI]],Tabella139[],2,0)</f>
        <v>B) Estrazione; C) Manifattura; D) Produzione energia/gas</v>
      </c>
      <c r="E294" s="53">
        <f t="shared" si="28"/>
        <v>0.03</v>
      </c>
      <c r="F294" s="53">
        <f t="shared" si="29"/>
        <v>7.5999999999999998E-2</v>
      </c>
      <c r="G294" s="53">
        <f t="shared" si="30"/>
        <v>0.93700000000000006</v>
      </c>
      <c r="H294" s="53">
        <f t="shared" si="31"/>
        <v>5.0000000000000001E-3</v>
      </c>
      <c r="I294" s="53">
        <f t="shared" si="32"/>
        <v>4.9000000000000002E-2</v>
      </c>
      <c r="L294" t="s">
        <v>859</v>
      </c>
      <c r="M294" t="str">
        <f t="shared" si="34"/>
        <v>Fabbricazione di casseforti, forzieri e porte metalliche blindate</v>
      </c>
      <c r="N294" t="str">
        <f t="shared" si="33"/>
        <v>B) Estrazione; C) Manifattura; D) Produzione energia/gas</v>
      </c>
    </row>
    <row r="295" spans="1:14" ht="25.5">
      <c r="A295" s="58" t="s">
        <v>807</v>
      </c>
      <c r="B295" s="59" t="s">
        <v>808</v>
      </c>
      <c r="C295">
        <v>2</v>
      </c>
      <c r="D295" t="str">
        <f>+VLOOKUP(AtecoCrisi[[#This Row],[COD. CRISI]],Tabella139[],2,0)</f>
        <v>B) Estrazione; C) Manifattura; D) Produzione energia/gas</v>
      </c>
      <c r="E295" s="53">
        <f t="shared" si="28"/>
        <v>0.03</v>
      </c>
      <c r="F295" s="53">
        <f t="shared" si="29"/>
        <v>7.5999999999999998E-2</v>
      </c>
      <c r="G295" s="53">
        <f t="shared" si="30"/>
        <v>0.93700000000000006</v>
      </c>
      <c r="H295" s="53">
        <f t="shared" si="31"/>
        <v>5.0000000000000001E-3</v>
      </c>
      <c r="I295" s="53">
        <f t="shared" si="32"/>
        <v>4.9000000000000002E-2</v>
      </c>
      <c r="L295" t="s">
        <v>861</v>
      </c>
      <c r="M295" t="str">
        <f t="shared" si="34"/>
        <v>Fabbricazione di oggetti in ferro, in rame ed altri metalli</v>
      </c>
      <c r="N295" t="str">
        <f t="shared" si="33"/>
        <v>B) Estrazione; C) Manifattura; D) Produzione energia/gas</v>
      </c>
    </row>
    <row r="296" spans="1:14" ht="25.5">
      <c r="A296" s="58" t="s">
        <v>809</v>
      </c>
      <c r="B296" s="59" t="s">
        <v>810</v>
      </c>
      <c r="C296">
        <v>2</v>
      </c>
      <c r="D296" t="str">
        <f>+VLOOKUP(AtecoCrisi[[#This Row],[COD. CRISI]],Tabella139[],2,0)</f>
        <v>B) Estrazione; C) Manifattura; D) Produzione energia/gas</v>
      </c>
      <c r="E296" s="53">
        <f t="shared" si="28"/>
        <v>0.03</v>
      </c>
      <c r="F296" s="53">
        <f t="shared" si="29"/>
        <v>7.5999999999999998E-2</v>
      </c>
      <c r="G296" s="53">
        <f t="shared" si="30"/>
        <v>0.93700000000000006</v>
      </c>
      <c r="H296" s="53">
        <f t="shared" si="31"/>
        <v>5.0000000000000001E-3</v>
      </c>
      <c r="I296" s="53">
        <f t="shared" si="32"/>
        <v>4.9000000000000002E-2</v>
      </c>
      <c r="L296" t="s">
        <v>863</v>
      </c>
      <c r="M296" t="str">
        <f t="shared" si="34"/>
        <v>Fabbricazione di magneti metallici permanenti</v>
      </c>
      <c r="N296" t="str">
        <f t="shared" si="33"/>
        <v>B) Estrazione; C) Manifattura; D) Produzione energia/gas</v>
      </c>
    </row>
    <row r="297" spans="1:14" ht="76.5">
      <c r="A297" s="56" t="s">
        <v>811</v>
      </c>
      <c r="B297" s="57" t="s">
        <v>812</v>
      </c>
      <c r="C297">
        <v>2</v>
      </c>
      <c r="D297" t="str">
        <f>+VLOOKUP(AtecoCrisi[[#This Row],[COD. CRISI]],Tabella139[],2,0)</f>
        <v>B) Estrazione; C) Manifattura; D) Produzione energia/gas</v>
      </c>
      <c r="E297" s="53">
        <f t="shared" si="28"/>
        <v>0.03</v>
      </c>
      <c r="F297" s="53">
        <f t="shared" si="29"/>
        <v>7.5999999999999998E-2</v>
      </c>
      <c r="G297" s="53">
        <f t="shared" si="30"/>
        <v>0.93700000000000006</v>
      </c>
      <c r="H297" s="53">
        <f t="shared" si="31"/>
        <v>5.0000000000000001E-3</v>
      </c>
      <c r="I297" s="53">
        <f t="shared" si="32"/>
        <v>4.9000000000000002E-2</v>
      </c>
      <c r="L297" t="s">
        <v>865</v>
      </c>
      <c r="M297" t="str">
        <f t="shared" si="34"/>
        <v>Fabbricazione di altri articoli metallici e minuteria metallica nca</v>
      </c>
      <c r="N297" t="str">
        <f t="shared" si="33"/>
        <v>B) Estrazione; C) Manifattura; D) Produzione energia/gas</v>
      </c>
    </row>
    <row r="298" spans="1:14" ht="63.75">
      <c r="A298" s="58" t="s">
        <v>813</v>
      </c>
      <c r="B298" s="59" t="s">
        <v>814</v>
      </c>
      <c r="C298">
        <v>2</v>
      </c>
      <c r="D298" t="str">
        <f>+VLOOKUP(AtecoCrisi[[#This Row],[COD. CRISI]],Tabella139[],2,0)</f>
        <v>B) Estrazione; C) Manifattura; D) Produzione energia/gas</v>
      </c>
      <c r="E298" s="53">
        <f t="shared" si="28"/>
        <v>0.03</v>
      </c>
      <c r="F298" s="53">
        <f t="shared" si="29"/>
        <v>7.5999999999999998E-2</v>
      </c>
      <c r="G298" s="53">
        <f t="shared" si="30"/>
        <v>0.93700000000000006</v>
      </c>
      <c r="H298" s="53">
        <f t="shared" si="31"/>
        <v>5.0000000000000001E-3</v>
      </c>
      <c r="I298" s="53">
        <f t="shared" si="32"/>
        <v>4.9000000000000002E-2</v>
      </c>
      <c r="L298" t="s">
        <v>869</v>
      </c>
      <c r="M298" t="str">
        <f t="shared" si="34"/>
        <v>Fabbricazione di diodi, transistor e relativi congegni elettronici</v>
      </c>
      <c r="N298" t="str">
        <f t="shared" si="33"/>
        <v>B) Estrazione; C) Manifattura; D) Produzione energia/gas</v>
      </c>
    </row>
    <row r="299" spans="1:14" ht="51">
      <c r="A299" s="58" t="s">
        <v>815</v>
      </c>
      <c r="B299" s="59" t="s">
        <v>816</v>
      </c>
      <c r="C299">
        <v>2</v>
      </c>
      <c r="D299" t="str">
        <f>+VLOOKUP(AtecoCrisi[[#This Row],[COD. CRISI]],Tabella139[],2,0)</f>
        <v>B) Estrazione; C) Manifattura; D) Produzione energia/gas</v>
      </c>
      <c r="E299" s="53">
        <f t="shared" si="28"/>
        <v>0.03</v>
      </c>
      <c r="F299" s="53">
        <f t="shared" si="29"/>
        <v>7.5999999999999998E-2</v>
      </c>
      <c r="G299" s="53">
        <f t="shared" si="30"/>
        <v>0.93700000000000006</v>
      </c>
      <c r="H299" s="53">
        <f t="shared" si="31"/>
        <v>5.0000000000000001E-3</v>
      </c>
      <c r="I299" s="53">
        <f t="shared" si="32"/>
        <v>4.9000000000000002E-2</v>
      </c>
      <c r="L299" t="s">
        <v>871</v>
      </c>
      <c r="M299" t="str">
        <f t="shared" si="34"/>
        <v>Fabbricazione di altri componenti elettronici</v>
      </c>
      <c r="N299" t="str">
        <f t="shared" si="33"/>
        <v>B) Estrazione; C) Manifattura; D) Produzione energia/gas</v>
      </c>
    </row>
    <row r="300" spans="1:14" ht="76.5">
      <c r="A300" s="58" t="s">
        <v>817</v>
      </c>
      <c r="B300" s="59" t="s">
        <v>818</v>
      </c>
      <c r="C300">
        <v>2</v>
      </c>
      <c r="D300" t="str">
        <f>+VLOOKUP(AtecoCrisi[[#This Row],[COD. CRISI]],Tabella139[],2,0)</f>
        <v>B) Estrazione; C) Manifattura; D) Produzione energia/gas</v>
      </c>
      <c r="E300" s="53">
        <f t="shared" si="28"/>
        <v>0.03</v>
      </c>
      <c r="F300" s="53">
        <f t="shared" si="29"/>
        <v>7.5999999999999998E-2</v>
      </c>
      <c r="G300" s="53">
        <f t="shared" si="30"/>
        <v>0.93700000000000006</v>
      </c>
      <c r="H300" s="53">
        <f t="shared" si="31"/>
        <v>5.0000000000000001E-3</v>
      </c>
      <c r="I300" s="53">
        <f t="shared" si="32"/>
        <v>4.9000000000000002E-2</v>
      </c>
      <c r="L300" t="s">
        <v>873</v>
      </c>
      <c r="M300" t="str">
        <f t="shared" si="34"/>
        <v>Fabbricazione di schede elettroniche assemblate</v>
      </c>
      <c r="N300" t="str">
        <f t="shared" si="33"/>
        <v>B) Estrazione; C) Manifattura; D) Produzione energia/gas</v>
      </c>
    </row>
    <row r="301" spans="1:14" ht="89.25">
      <c r="A301" s="58" t="s">
        <v>819</v>
      </c>
      <c r="B301" s="59" t="s">
        <v>820</v>
      </c>
      <c r="C301">
        <v>2</v>
      </c>
      <c r="D301" t="str">
        <f>+VLOOKUP(AtecoCrisi[[#This Row],[COD. CRISI]],Tabella139[],2,0)</f>
        <v>B) Estrazione; C) Manifattura; D) Produzione energia/gas</v>
      </c>
      <c r="E301" s="53">
        <f t="shared" si="28"/>
        <v>0.03</v>
      </c>
      <c r="F301" s="53">
        <f t="shared" si="29"/>
        <v>7.5999999999999998E-2</v>
      </c>
      <c r="G301" s="53">
        <f t="shared" si="30"/>
        <v>0.93700000000000006</v>
      </c>
      <c r="H301" s="53">
        <f t="shared" si="31"/>
        <v>5.0000000000000001E-3</v>
      </c>
      <c r="I301" s="53">
        <f t="shared" si="32"/>
        <v>4.9000000000000002E-2</v>
      </c>
      <c r="L301" t="s">
        <v>875</v>
      </c>
      <c r="M301" t="str">
        <f t="shared" si="34"/>
        <v>Fabbricazione di computer e unità periferiche</v>
      </c>
      <c r="N301" t="str">
        <f t="shared" si="33"/>
        <v>B) Estrazione; C) Manifattura; D) Produzione energia/gas</v>
      </c>
    </row>
    <row r="302" spans="1:14" ht="89.25">
      <c r="A302" s="58" t="s">
        <v>821</v>
      </c>
      <c r="B302" s="59" t="s">
        <v>822</v>
      </c>
      <c r="C302">
        <v>2</v>
      </c>
      <c r="D302" t="str">
        <f>+VLOOKUP(AtecoCrisi[[#This Row],[COD. CRISI]],Tabella139[],2,0)</f>
        <v>B) Estrazione; C) Manifattura; D) Produzione energia/gas</v>
      </c>
      <c r="E302" s="53">
        <f t="shared" si="28"/>
        <v>0.03</v>
      </c>
      <c r="F302" s="53">
        <f t="shared" si="29"/>
        <v>7.5999999999999998E-2</v>
      </c>
      <c r="G302" s="53">
        <f t="shared" si="30"/>
        <v>0.93700000000000006</v>
      </c>
      <c r="H302" s="53">
        <f t="shared" si="31"/>
        <v>5.0000000000000001E-3</v>
      </c>
      <c r="I302" s="53">
        <f t="shared" si="32"/>
        <v>4.9000000000000002E-2</v>
      </c>
      <c r="L302" t="s">
        <v>877</v>
      </c>
      <c r="M302" t="str">
        <f t="shared" si="34"/>
        <v>Fabbricazione di apparecchi trasmittenti radiotelevisivi (incluse le telecamere)</v>
      </c>
      <c r="N302" t="str">
        <f t="shared" si="33"/>
        <v>B) Estrazione; C) Manifattura; D) Produzione energia/gas</v>
      </c>
    </row>
    <row r="303" spans="1:14" ht="114.75">
      <c r="A303" s="58" t="s">
        <v>823</v>
      </c>
      <c r="B303" s="59" t="s">
        <v>824</v>
      </c>
      <c r="C303">
        <v>2</v>
      </c>
      <c r="D303" t="str">
        <f>+VLOOKUP(AtecoCrisi[[#This Row],[COD. CRISI]],Tabella139[],2,0)</f>
        <v>B) Estrazione; C) Manifattura; D) Produzione energia/gas</v>
      </c>
      <c r="E303" s="53">
        <f t="shared" si="28"/>
        <v>0.03</v>
      </c>
      <c r="F303" s="53">
        <f t="shared" si="29"/>
        <v>7.5999999999999998E-2</v>
      </c>
      <c r="G303" s="53">
        <f t="shared" si="30"/>
        <v>0.93700000000000006</v>
      </c>
      <c r="H303" s="53">
        <f t="shared" si="31"/>
        <v>5.0000000000000001E-3</v>
      </c>
      <c r="I303" s="53">
        <f t="shared" si="32"/>
        <v>4.9000000000000002E-2</v>
      </c>
      <c r="L303" t="s">
        <v>879</v>
      </c>
      <c r="M303" t="str">
        <f t="shared" si="34"/>
        <v>Fabbricazione di sistemi antifurto e antincendio</v>
      </c>
      <c r="N303" t="str">
        <f t="shared" si="33"/>
        <v>B) Estrazione; C) Manifattura; D) Produzione energia/gas</v>
      </c>
    </row>
    <row r="304" spans="1:14" ht="25.5">
      <c r="A304" s="58" t="s">
        <v>825</v>
      </c>
      <c r="B304" s="59" t="s">
        <v>826</v>
      </c>
      <c r="C304">
        <v>2</v>
      </c>
      <c r="D304" t="str">
        <f>+VLOOKUP(AtecoCrisi[[#This Row],[COD. CRISI]],Tabella139[],2,0)</f>
        <v>B) Estrazione; C) Manifattura; D) Produzione energia/gas</v>
      </c>
      <c r="E304" s="53">
        <f t="shared" si="28"/>
        <v>0.03</v>
      </c>
      <c r="F304" s="53">
        <f t="shared" si="29"/>
        <v>7.5999999999999998E-2</v>
      </c>
      <c r="G304" s="53">
        <f t="shared" si="30"/>
        <v>0.93700000000000006</v>
      </c>
      <c r="H304" s="53">
        <f t="shared" si="31"/>
        <v>5.0000000000000001E-3</v>
      </c>
      <c r="I304" s="53">
        <f t="shared" si="32"/>
        <v>4.9000000000000002E-2</v>
      </c>
      <c r="L304" t="s">
        <v>881</v>
      </c>
      <c r="M304" t="str">
        <f t="shared" si="34"/>
        <v>Fabbricazione di altri apparecchi elettrici ed elettronici per telecomunicazioni</v>
      </c>
      <c r="N304" t="str">
        <f t="shared" si="33"/>
        <v>B) Estrazione; C) Manifattura; D) Produzione energia/gas</v>
      </c>
    </row>
    <row r="305" spans="1:14" ht="76.5">
      <c r="A305" s="58" t="s">
        <v>827</v>
      </c>
      <c r="B305" s="59" t="s">
        <v>828</v>
      </c>
      <c r="C305">
        <v>2</v>
      </c>
      <c r="D305" t="str">
        <f>+VLOOKUP(AtecoCrisi[[#This Row],[COD. CRISI]],Tabella139[],2,0)</f>
        <v>B) Estrazione; C) Manifattura; D) Produzione energia/gas</v>
      </c>
      <c r="E305" s="53">
        <f t="shared" si="28"/>
        <v>0.03</v>
      </c>
      <c r="F305" s="53">
        <f t="shared" si="29"/>
        <v>7.5999999999999998E-2</v>
      </c>
      <c r="G305" s="53">
        <f t="shared" si="30"/>
        <v>0.93700000000000006</v>
      </c>
      <c r="H305" s="53">
        <f t="shared" si="31"/>
        <v>5.0000000000000001E-3</v>
      </c>
      <c r="I305" s="53">
        <f t="shared" si="32"/>
        <v>4.9000000000000002E-2</v>
      </c>
      <c r="L305" t="s">
        <v>883</v>
      </c>
      <c r="M305" t="str">
        <f t="shared" si="34"/>
        <v>Fabbricazione di apparecchi per la riproduzione e registrazione del suono e delle immagini</v>
      </c>
      <c r="N305" t="str">
        <f t="shared" si="33"/>
        <v>B) Estrazione; C) Manifattura; D) Produzione energia/gas</v>
      </c>
    </row>
    <row r="306" spans="1:14" ht="38.25">
      <c r="A306" s="58" t="s">
        <v>829</v>
      </c>
      <c r="B306" s="59" t="s">
        <v>830</v>
      </c>
      <c r="C306">
        <v>2</v>
      </c>
      <c r="D306" t="str">
        <f>+VLOOKUP(AtecoCrisi[[#This Row],[COD. CRISI]],Tabella139[],2,0)</f>
        <v>B) Estrazione; C) Manifattura; D) Produzione energia/gas</v>
      </c>
      <c r="E306" s="53">
        <f t="shared" si="28"/>
        <v>0.03</v>
      </c>
      <c r="F306" s="53">
        <f t="shared" si="29"/>
        <v>7.5999999999999998E-2</v>
      </c>
      <c r="G306" s="53">
        <f t="shared" si="30"/>
        <v>0.93700000000000006</v>
      </c>
      <c r="H306" s="53">
        <f t="shared" si="31"/>
        <v>5.0000000000000001E-3</v>
      </c>
      <c r="I306" s="53">
        <f t="shared" si="32"/>
        <v>4.9000000000000002E-2</v>
      </c>
      <c r="L306" t="s">
        <v>885</v>
      </c>
      <c r="M306" t="str">
        <f t="shared" si="34"/>
        <v>Fabbricazione di console per videogiochi (esclusi i giochi elettronici)</v>
      </c>
      <c r="N306" t="str">
        <f t="shared" si="33"/>
        <v>B) Estrazione; C) Manifattura; D) Produzione energia/gas</v>
      </c>
    </row>
    <row r="307" spans="1:14" ht="38.25">
      <c r="A307" s="58" t="s">
        <v>831</v>
      </c>
      <c r="B307" s="59" t="s">
        <v>832</v>
      </c>
      <c r="C307">
        <v>2</v>
      </c>
      <c r="D307" t="str">
        <f>+VLOOKUP(AtecoCrisi[[#This Row],[COD. CRISI]],Tabella139[],2,0)</f>
        <v>B) Estrazione; C) Manifattura; D) Produzione energia/gas</v>
      </c>
      <c r="E307" s="53">
        <f t="shared" si="28"/>
        <v>0.03</v>
      </c>
      <c r="F307" s="53">
        <f t="shared" si="29"/>
        <v>7.5999999999999998E-2</v>
      </c>
      <c r="G307" s="53">
        <f t="shared" si="30"/>
        <v>0.93700000000000006</v>
      </c>
      <c r="H307" s="53">
        <f t="shared" si="31"/>
        <v>5.0000000000000001E-3</v>
      </c>
      <c r="I307" s="53">
        <f t="shared" si="32"/>
        <v>4.9000000000000002E-2</v>
      </c>
      <c r="L307" t="s">
        <v>887</v>
      </c>
      <c r="M307" t="str">
        <f t="shared" si="34"/>
        <v>Fabbricazione di strumenti per navigazione, idrologia, geofisica e meteorologia</v>
      </c>
      <c r="N307" t="str">
        <f t="shared" si="33"/>
        <v>B) Estrazione; C) Manifattura; D) Produzione energia/gas</v>
      </c>
    </row>
    <row r="308" spans="1:14" ht="63.75">
      <c r="A308" s="58" t="s">
        <v>833</v>
      </c>
      <c r="B308" s="59" t="s">
        <v>834</v>
      </c>
      <c r="C308">
        <v>2</v>
      </c>
      <c r="D308" t="str">
        <f>+VLOOKUP(AtecoCrisi[[#This Row],[COD. CRISI]],Tabella139[],2,0)</f>
        <v>B) Estrazione; C) Manifattura; D) Produzione energia/gas</v>
      </c>
      <c r="E308" s="53">
        <f t="shared" si="28"/>
        <v>0.03</v>
      </c>
      <c r="F308" s="53">
        <f t="shared" si="29"/>
        <v>7.5999999999999998E-2</v>
      </c>
      <c r="G308" s="53">
        <f t="shared" si="30"/>
        <v>0.93700000000000006</v>
      </c>
      <c r="H308" s="53">
        <f t="shared" si="31"/>
        <v>5.0000000000000001E-3</v>
      </c>
      <c r="I308" s="53">
        <f t="shared" si="32"/>
        <v>4.9000000000000002E-2</v>
      </c>
      <c r="L308" t="s">
        <v>889</v>
      </c>
      <c r="M308" t="str">
        <f t="shared" si="34"/>
        <v>Fabbricazione di rilevatori di fiamma e combustione, di mine, di movimento, generatori d'impulso e metal detector</v>
      </c>
      <c r="N308" t="str">
        <f t="shared" si="33"/>
        <v>B) Estrazione; C) Manifattura; D) Produzione energia/gas</v>
      </c>
    </row>
    <row r="309" spans="1:14" ht="51">
      <c r="A309" s="58" t="s">
        <v>835</v>
      </c>
      <c r="B309" s="59" t="s">
        <v>836</v>
      </c>
      <c r="C309">
        <v>2</v>
      </c>
      <c r="D309" t="str">
        <f>+VLOOKUP(AtecoCrisi[[#This Row],[COD. CRISI]],Tabella139[],2,0)</f>
        <v>B) Estrazione; C) Manifattura; D) Produzione energia/gas</v>
      </c>
      <c r="E309" s="53">
        <f t="shared" si="28"/>
        <v>0.03</v>
      </c>
      <c r="F309" s="53">
        <f t="shared" si="29"/>
        <v>7.5999999999999998E-2</v>
      </c>
      <c r="G309" s="53">
        <f t="shared" si="30"/>
        <v>0.93700000000000006</v>
      </c>
      <c r="H309" s="53">
        <f t="shared" si="31"/>
        <v>5.0000000000000001E-3</v>
      </c>
      <c r="I309" s="53">
        <f t="shared" si="32"/>
        <v>4.9000000000000002E-2</v>
      </c>
      <c r="L309" t="s">
        <v>891</v>
      </c>
      <c r="M309" t="str">
        <f t="shared" si="34"/>
        <v>Fabbricazione di altri apparecchi di misura e regolazione, strumenti da disegno, di contatori di elettricità, gas, acqua ed altri liquidi, di bilance analitiche di precisione (incluse parti staccate ed accessori)</v>
      </c>
      <c r="N309" t="str">
        <f t="shared" si="33"/>
        <v>B) Estrazione; C) Manifattura; D) Produzione energia/gas</v>
      </c>
    </row>
    <row r="310" spans="1:14" ht="51">
      <c r="A310" s="58" t="s">
        <v>837</v>
      </c>
      <c r="B310" s="59" t="s">
        <v>838</v>
      </c>
      <c r="C310">
        <v>2</v>
      </c>
      <c r="D310" t="str">
        <f>+VLOOKUP(AtecoCrisi[[#This Row],[COD. CRISI]],Tabella139[],2,0)</f>
        <v>B) Estrazione; C) Manifattura; D) Produzione energia/gas</v>
      </c>
      <c r="E310" s="53">
        <f t="shared" si="28"/>
        <v>0.03</v>
      </c>
      <c r="F310" s="53">
        <f t="shared" si="29"/>
        <v>7.5999999999999998E-2</v>
      </c>
      <c r="G310" s="53">
        <f t="shared" si="30"/>
        <v>0.93700000000000006</v>
      </c>
      <c r="H310" s="53">
        <f t="shared" si="31"/>
        <v>5.0000000000000001E-3</v>
      </c>
      <c r="I310" s="53">
        <f t="shared" si="32"/>
        <v>4.9000000000000002E-2</v>
      </c>
      <c r="L310" t="s">
        <v>893</v>
      </c>
      <c r="M310" t="str">
        <f t="shared" si="34"/>
        <v>Fabbricazione di orologi</v>
      </c>
      <c r="N310" t="str">
        <f t="shared" si="33"/>
        <v>B) Estrazione; C) Manifattura; D) Produzione energia/gas</v>
      </c>
    </row>
    <row r="311" spans="1:14" ht="51">
      <c r="A311" s="58" t="s">
        <v>839</v>
      </c>
      <c r="B311" s="59" t="s">
        <v>840</v>
      </c>
      <c r="C311">
        <v>2</v>
      </c>
      <c r="D311" t="str">
        <f>+VLOOKUP(AtecoCrisi[[#This Row],[COD. CRISI]],Tabella139[],2,0)</f>
        <v>B) Estrazione; C) Manifattura; D) Produzione energia/gas</v>
      </c>
      <c r="E311" s="53">
        <f t="shared" si="28"/>
        <v>0.03</v>
      </c>
      <c r="F311" s="53">
        <f t="shared" si="29"/>
        <v>7.5999999999999998E-2</v>
      </c>
      <c r="G311" s="53">
        <f t="shared" si="30"/>
        <v>0.93700000000000006</v>
      </c>
      <c r="H311" s="53">
        <f t="shared" si="31"/>
        <v>5.0000000000000001E-3</v>
      </c>
      <c r="I311" s="53">
        <f t="shared" si="32"/>
        <v>4.9000000000000002E-2</v>
      </c>
      <c r="L311" t="s">
        <v>895</v>
      </c>
      <c r="M311" t="str">
        <f t="shared" si="34"/>
        <v>Fabbricazione di apparecchiature di irradiazione per alimenti e latte</v>
      </c>
      <c r="N311" t="str">
        <f t="shared" si="33"/>
        <v>B) Estrazione; C) Manifattura; D) Produzione energia/gas</v>
      </c>
    </row>
    <row r="312" spans="1:14" ht="63.75">
      <c r="A312" s="58" t="s">
        <v>841</v>
      </c>
      <c r="B312" s="59" t="s">
        <v>842</v>
      </c>
      <c r="C312">
        <v>2</v>
      </c>
      <c r="D312" t="str">
        <f>+VLOOKUP(AtecoCrisi[[#This Row],[COD. CRISI]],Tabella139[],2,0)</f>
        <v>B) Estrazione; C) Manifattura; D) Produzione energia/gas</v>
      </c>
      <c r="E312" s="53">
        <f t="shared" si="28"/>
        <v>0.03</v>
      </c>
      <c r="F312" s="53">
        <f t="shared" si="29"/>
        <v>7.5999999999999998E-2</v>
      </c>
      <c r="G312" s="53">
        <f t="shared" si="30"/>
        <v>0.93700000000000006</v>
      </c>
      <c r="H312" s="53">
        <f t="shared" si="31"/>
        <v>5.0000000000000001E-3</v>
      </c>
      <c r="I312" s="53">
        <f t="shared" si="32"/>
        <v>4.9000000000000002E-2</v>
      </c>
      <c r="L312" t="s">
        <v>897</v>
      </c>
      <c r="M312" t="str">
        <f t="shared" si="34"/>
        <v>Fabbricazione di apparecchi elettromedicali (incluse parti staccate e accessori)</v>
      </c>
      <c r="N312" t="str">
        <f t="shared" si="33"/>
        <v>B) Estrazione; C) Manifattura; D) Produzione energia/gas</v>
      </c>
    </row>
    <row r="313" spans="1:14" ht="76.5">
      <c r="A313" s="58" t="s">
        <v>843</v>
      </c>
      <c r="B313" s="59" t="s">
        <v>844</v>
      </c>
      <c r="C313">
        <v>2</v>
      </c>
      <c r="D313" t="str">
        <f>+VLOOKUP(AtecoCrisi[[#This Row],[COD. CRISI]],Tabella139[],2,0)</f>
        <v>B) Estrazione; C) Manifattura; D) Produzione energia/gas</v>
      </c>
      <c r="E313" s="53">
        <f t="shared" si="28"/>
        <v>0.03</v>
      </c>
      <c r="F313" s="53">
        <f t="shared" si="29"/>
        <v>7.5999999999999998E-2</v>
      </c>
      <c r="G313" s="53">
        <f t="shared" si="30"/>
        <v>0.93700000000000006</v>
      </c>
      <c r="H313" s="53">
        <f t="shared" si="31"/>
        <v>5.0000000000000001E-3</v>
      </c>
      <c r="I313" s="53">
        <f t="shared" si="32"/>
        <v>4.9000000000000002E-2</v>
      </c>
      <c r="L313" t="s">
        <v>899</v>
      </c>
      <c r="M313" t="str">
        <f t="shared" si="34"/>
        <v>Fabbricazione di altri strumenti per irradiazione ed altre apparecchiature elettroterapeutiche</v>
      </c>
      <c r="N313" t="str">
        <f t="shared" si="33"/>
        <v>B) Estrazione; C) Manifattura; D) Produzione energia/gas</v>
      </c>
    </row>
    <row r="314" spans="1:14" ht="38.25">
      <c r="A314" s="58" t="s">
        <v>845</v>
      </c>
      <c r="B314" s="59" t="s">
        <v>846</v>
      </c>
      <c r="C314">
        <v>2</v>
      </c>
      <c r="D314" t="str">
        <f>+VLOOKUP(AtecoCrisi[[#This Row],[COD. CRISI]],Tabella139[],2,0)</f>
        <v>B) Estrazione; C) Manifattura; D) Produzione energia/gas</v>
      </c>
      <c r="E314" s="53">
        <f t="shared" si="28"/>
        <v>0.03</v>
      </c>
      <c r="F314" s="53">
        <f t="shared" si="29"/>
        <v>7.5999999999999998E-2</v>
      </c>
      <c r="G314" s="53">
        <f t="shared" si="30"/>
        <v>0.93700000000000006</v>
      </c>
      <c r="H314" s="53">
        <f t="shared" si="31"/>
        <v>5.0000000000000001E-3</v>
      </c>
      <c r="I314" s="53">
        <f t="shared" si="32"/>
        <v>4.9000000000000002E-2</v>
      </c>
      <c r="L314" t="s">
        <v>901</v>
      </c>
      <c r="M314" t="str">
        <f t="shared" si="34"/>
        <v>Fabbricazione di elementi ottici e strumenti ottici di precisione</v>
      </c>
      <c r="N314" t="str">
        <f t="shared" si="33"/>
        <v>B) Estrazione; C) Manifattura; D) Produzione energia/gas</v>
      </c>
    </row>
    <row r="315" spans="1:14" ht="38.25">
      <c r="A315" s="58" t="s">
        <v>847</v>
      </c>
      <c r="B315" s="59" t="s">
        <v>848</v>
      </c>
      <c r="C315">
        <v>2</v>
      </c>
      <c r="D315" t="str">
        <f>+VLOOKUP(AtecoCrisi[[#This Row],[COD. CRISI]],Tabella139[],2,0)</f>
        <v>B) Estrazione; C) Manifattura; D) Produzione energia/gas</v>
      </c>
      <c r="E315" s="53">
        <f t="shared" si="28"/>
        <v>0.03</v>
      </c>
      <c r="F315" s="53">
        <f t="shared" si="29"/>
        <v>7.5999999999999998E-2</v>
      </c>
      <c r="G315" s="53">
        <f t="shared" si="30"/>
        <v>0.93700000000000006</v>
      </c>
      <c r="H315" s="53">
        <f t="shared" si="31"/>
        <v>5.0000000000000001E-3</v>
      </c>
      <c r="I315" s="53">
        <f t="shared" si="32"/>
        <v>4.9000000000000002E-2</v>
      </c>
      <c r="L315" t="s">
        <v>903</v>
      </c>
      <c r="M315" t="str">
        <f t="shared" si="34"/>
        <v>Fabbricazione di attrezzature ottiche di misurazione e controllo</v>
      </c>
      <c r="N315" t="str">
        <f t="shared" si="33"/>
        <v>B) Estrazione; C) Manifattura; D) Produzione energia/gas</v>
      </c>
    </row>
    <row r="316" spans="1:14" ht="25.5">
      <c r="A316" s="58" t="s">
        <v>849</v>
      </c>
      <c r="B316" s="59" t="s">
        <v>850</v>
      </c>
      <c r="C316">
        <v>2</v>
      </c>
      <c r="D316" t="str">
        <f>+VLOOKUP(AtecoCrisi[[#This Row],[COD. CRISI]],Tabella139[],2,0)</f>
        <v>B) Estrazione; C) Manifattura; D) Produzione energia/gas</v>
      </c>
      <c r="E316" s="53">
        <f t="shared" si="28"/>
        <v>0.03</v>
      </c>
      <c r="F316" s="53">
        <f t="shared" si="29"/>
        <v>7.5999999999999998E-2</v>
      </c>
      <c r="G316" s="53">
        <f t="shared" si="30"/>
        <v>0.93700000000000006</v>
      </c>
      <c r="H316" s="53">
        <f t="shared" si="31"/>
        <v>5.0000000000000001E-3</v>
      </c>
      <c r="I316" s="53">
        <f t="shared" si="32"/>
        <v>4.9000000000000002E-2</v>
      </c>
      <c r="L316" t="s">
        <v>905</v>
      </c>
      <c r="M316" t="str">
        <f t="shared" si="34"/>
        <v>Fabbricazione di apparecchiature fotografiche e cinematografiche</v>
      </c>
      <c r="N316" t="str">
        <f t="shared" si="33"/>
        <v>B) Estrazione; C) Manifattura; D) Produzione energia/gas</v>
      </c>
    </row>
    <row r="317" spans="1:14" ht="51">
      <c r="A317" s="58" t="s">
        <v>851</v>
      </c>
      <c r="B317" s="59" t="s">
        <v>852</v>
      </c>
      <c r="C317">
        <v>2</v>
      </c>
      <c r="D317" t="str">
        <f>+VLOOKUP(AtecoCrisi[[#This Row],[COD. CRISI]],Tabella139[],2,0)</f>
        <v>B) Estrazione; C) Manifattura; D) Produzione energia/gas</v>
      </c>
      <c r="E317" s="53">
        <f t="shared" si="28"/>
        <v>0.03</v>
      </c>
      <c r="F317" s="53">
        <f t="shared" si="29"/>
        <v>7.5999999999999998E-2</v>
      </c>
      <c r="G317" s="53">
        <f t="shared" si="30"/>
        <v>0.93700000000000006</v>
      </c>
      <c r="H317" s="53">
        <f t="shared" si="31"/>
        <v>5.0000000000000001E-3</v>
      </c>
      <c r="I317" s="53">
        <f t="shared" si="32"/>
        <v>4.9000000000000002E-2</v>
      </c>
      <c r="L317" t="s">
        <v>907</v>
      </c>
      <c r="M317" t="str">
        <f t="shared" si="34"/>
        <v>Fabbricazione di supporti magnetici ed ottici</v>
      </c>
      <c r="N317" t="str">
        <f t="shared" si="33"/>
        <v>B) Estrazione; C) Manifattura; D) Produzione energia/gas</v>
      </c>
    </row>
    <row r="318" spans="1:14" ht="38.25">
      <c r="A318" s="58" t="s">
        <v>853</v>
      </c>
      <c r="B318" s="59" t="s">
        <v>854</v>
      </c>
      <c r="C318">
        <v>2</v>
      </c>
      <c r="D318" t="str">
        <f>+VLOOKUP(AtecoCrisi[[#This Row],[COD. CRISI]],Tabella139[],2,0)</f>
        <v>B) Estrazione; C) Manifattura; D) Produzione energia/gas</v>
      </c>
      <c r="E318" s="53">
        <f t="shared" si="28"/>
        <v>0.03</v>
      </c>
      <c r="F318" s="53">
        <f t="shared" si="29"/>
        <v>7.5999999999999998E-2</v>
      </c>
      <c r="G318" s="53">
        <f t="shared" si="30"/>
        <v>0.93700000000000006</v>
      </c>
      <c r="H318" s="53">
        <f t="shared" si="31"/>
        <v>5.0000000000000001E-3</v>
      </c>
      <c r="I318" s="53">
        <f t="shared" si="32"/>
        <v>4.9000000000000002E-2</v>
      </c>
      <c r="L318" t="s">
        <v>911</v>
      </c>
      <c r="M318" t="str">
        <f t="shared" si="34"/>
        <v>Fabbricazione di motori, generatori e trasformatori elettrici</v>
      </c>
      <c r="N318" t="str">
        <f t="shared" si="33"/>
        <v>B) Estrazione; C) Manifattura; D) Produzione energia/gas</v>
      </c>
    </row>
    <row r="319" spans="1:14" ht="38.25">
      <c r="A319" s="58" t="s">
        <v>855</v>
      </c>
      <c r="B319" s="59" t="s">
        <v>856</v>
      </c>
      <c r="C319">
        <v>2</v>
      </c>
      <c r="D319" t="str">
        <f>+VLOOKUP(AtecoCrisi[[#This Row],[COD. CRISI]],Tabella139[],2,0)</f>
        <v>B) Estrazione; C) Manifattura; D) Produzione energia/gas</v>
      </c>
      <c r="E319" s="53">
        <f t="shared" si="28"/>
        <v>0.03</v>
      </c>
      <c r="F319" s="53">
        <f t="shared" si="29"/>
        <v>7.5999999999999998E-2</v>
      </c>
      <c r="G319" s="53">
        <f t="shared" si="30"/>
        <v>0.93700000000000006</v>
      </c>
      <c r="H319" s="53">
        <f t="shared" si="31"/>
        <v>5.0000000000000001E-3</v>
      </c>
      <c r="I319" s="53">
        <f t="shared" si="32"/>
        <v>4.9000000000000002E-2</v>
      </c>
      <c r="L319" t="s">
        <v>913</v>
      </c>
      <c r="M319" t="str">
        <f t="shared" si="34"/>
        <v>Fabbricazione di apparecchiature per le reti di distribuzione e il controllo dell'elettricità</v>
      </c>
      <c r="N319" t="str">
        <f t="shared" si="33"/>
        <v>B) Estrazione; C) Manifattura; D) Produzione energia/gas</v>
      </c>
    </row>
    <row r="320" spans="1:14" ht="140.25">
      <c r="A320" s="58" t="s">
        <v>857</v>
      </c>
      <c r="B320" s="59" t="s">
        <v>858</v>
      </c>
      <c r="C320">
        <v>2</v>
      </c>
      <c r="D320" t="str">
        <f>+VLOOKUP(AtecoCrisi[[#This Row],[COD. CRISI]],Tabella139[],2,0)</f>
        <v>B) Estrazione; C) Manifattura; D) Produzione energia/gas</v>
      </c>
      <c r="E320" s="53">
        <f t="shared" si="28"/>
        <v>0.03</v>
      </c>
      <c r="F320" s="53">
        <f t="shared" si="29"/>
        <v>7.5999999999999998E-2</v>
      </c>
      <c r="G320" s="53">
        <f t="shared" si="30"/>
        <v>0.93700000000000006</v>
      </c>
      <c r="H320" s="53">
        <f t="shared" si="31"/>
        <v>5.0000000000000001E-3</v>
      </c>
      <c r="I320" s="53">
        <f t="shared" si="32"/>
        <v>4.9000000000000002E-2</v>
      </c>
      <c r="L320" t="s">
        <v>915</v>
      </c>
      <c r="M320" t="str">
        <f t="shared" si="34"/>
        <v>Fabbricazione di batterie di pile ed accumulatori elettrici</v>
      </c>
      <c r="N320" t="str">
        <f t="shared" si="33"/>
        <v>B) Estrazione; C) Manifattura; D) Produzione energia/gas</v>
      </c>
    </row>
    <row r="321" spans="1:14" ht="51">
      <c r="A321" s="58" t="s">
        <v>859</v>
      </c>
      <c r="B321" s="59" t="s">
        <v>860</v>
      </c>
      <c r="C321">
        <v>2</v>
      </c>
      <c r="D321" t="str">
        <f>+VLOOKUP(AtecoCrisi[[#This Row],[COD. CRISI]],Tabella139[],2,0)</f>
        <v>B) Estrazione; C) Manifattura; D) Produzione energia/gas</v>
      </c>
      <c r="E321" s="53">
        <f t="shared" si="28"/>
        <v>0.03</v>
      </c>
      <c r="F321" s="53">
        <f t="shared" si="29"/>
        <v>7.5999999999999998E-2</v>
      </c>
      <c r="G321" s="53">
        <f t="shared" si="30"/>
        <v>0.93700000000000006</v>
      </c>
      <c r="H321" s="53">
        <f t="shared" si="31"/>
        <v>5.0000000000000001E-3</v>
      </c>
      <c r="I321" s="53">
        <f t="shared" si="32"/>
        <v>4.9000000000000002E-2</v>
      </c>
      <c r="L321" t="s">
        <v>917</v>
      </c>
      <c r="M321" t="str">
        <f t="shared" si="34"/>
        <v>Fabbricazione di cavi a fibra ottica per la trasmissione di dati o di immagini</v>
      </c>
      <c r="N321" t="str">
        <f t="shared" si="33"/>
        <v>B) Estrazione; C) Manifattura; D) Produzione energia/gas</v>
      </c>
    </row>
    <row r="322" spans="1:14" ht="51">
      <c r="A322" s="58" t="s">
        <v>861</v>
      </c>
      <c r="B322" s="59" t="s">
        <v>862</v>
      </c>
      <c r="C322">
        <v>2</v>
      </c>
      <c r="D322" t="str">
        <f>+VLOOKUP(AtecoCrisi[[#This Row],[COD. CRISI]],Tabella139[],2,0)</f>
        <v>B) Estrazione; C) Manifattura; D) Produzione energia/gas</v>
      </c>
      <c r="E322" s="53">
        <f t="shared" ref="E322:E385" si="35">+VLOOKUP(C322,$R$2:$X$11,3,FALSE)</f>
        <v>0.03</v>
      </c>
      <c r="F322" s="53">
        <f t="shared" ref="F322:F385" si="36">+VLOOKUP(C322,$R$2:$X$11,4,FALSE)</f>
        <v>7.5999999999999998E-2</v>
      </c>
      <c r="G322" s="53">
        <f t="shared" ref="G322:G385" si="37">+VLOOKUP(C322,$R$2:$X$11,5,FALSE)</f>
        <v>0.93700000000000006</v>
      </c>
      <c r="H322" s="53">
        <f t="shared" ref="H322:H385" si="38">+VLOOKUP(C322,$R$2:$X$11,6,FALSE)</f>
        <v>5.0000000000000001E-3</v>
      </c>
      <c r="I322" s="53">
        <f t="shared" ref="I322:I385" si="39">+VLOOKUP(C322,$R$2:$X$11,7,FALSE)</f>
        <v>4.9000000000000002E-2</v>
      </c>
      <c r="L322" t="s">
        <v>919</v>
      </c>
      <c r="M322" t="str">
        <f t="shared" si="34"/>
        <v>Fabbricazione di fibre ottiche</v>
      </c>
      <c r="N322" t="str">
        <f t="shared" ref="N322:N385" si="40">+VLOOKUP(L322,A:D,4,0)</f>
        <v>B) Estrazione; C) Manifattura; D) Produzione energia/gas</v>
      </c>
    </row>
    <row r="323" spans="1:14" ht="38.25">
      <c r="A323" s="58" t="s">
        <v>863</v>
      </c>
      <c r="B323" s="59" t="s">
        <v>864</v>
      </c>
      <c r="C323">
        <v>2</v>
      </c>
      <c r="D323" t="str">
        <f>+VLOOKUP(AtecoCrisi[[#This Row],[COD. CRISI]],Tabella139[],2,0)</f>
        <v>B) Estrazione; C) Manifattura; D) Produzione energia/gas</v>
      </c>
      <c r="E323" s="53">
        <f t="shared" si="35"/>
        <v>0.03</v>
      </c>
      <c r="F323" s="53">
        <f t="shared" si="36"/>
        <v>7.5999999999999998E-2</v>
      </c>
      <c r="G323" s="53">
        <f t="shared" si="37"/>
        <v>0.93700000000000006</v>
      </c>
      <c r="H323" s="53">
        <f t="shared" si="38"/>
        <v>5.0000000000000001E-3</v>
      </c>
      <c r="I323" s="53">
        <f t="shared" si="39"/>
        <v>4.9000000000000002E-2</v>
      </c>
      <c r="L323" t="s">
        <v>921</v>
      </c>
      <c r="M323" t="str">
        <f t="shared" ref="M323:M386" si="41">+VLOOKUP(L323,A:B,2,0)</f>
        <v>Fabbricazione di altri fili e cavi elettrici ed elettronici</v>
      </c>
      <c r="N323" t="str">
        <f t="shared" si="40"/>
        <v>B) Estrazione; C) Manifattura; D) Produzione energia/gas</v>
      </c>
    </row>
    <row r="324" spans="1:14" ht="63.75">
      <c r="A324" s="58" t="s">
        <v>865</v>
      </c>
      <c r="B324" s="59" t="s">
        <v>866</v>
      </c>
      <c r="C324">
        <v>2</v>
      </c>
      <c r="D324" t="str">
        <f>+VLOOKUP(AtecoCrisi[[#This Row],[COD. CRISI]],Tabella139[],2,0)</f>
        <v>B) Estrazione; C) Manifattura; D) Produzione energia/gas</v>
      </c>
      <c r="E324" s="53">
        <f t="shared" si="35"/>
        <v>0.03</v>
      </c>
      <c r="F324" s="53">
        <f t="shared" si="36"/>
        <v>7.5999999999999998E-2</v>
      </c>
      <c r="G324" s="53">
        <f t="shared" si="37"/>
        <v>0.93700000000000006</v>
      </c>
      <c r="H324" s="53">
        <f t="shared" si="38"/>
        <v>5.0000000000000001E-3</v>
      </c>
      <c r="I324" s="53">
        <f t="shared" si="39"/>
        <v>4.9000000000000002E-2</v>
      </c>
      <c r="L324" t="s">
        <v>923</v>
      </c>
      <c r="M324" t="str">
        <f t="shared" si="41"/>
        <v>Fabbricazione di apparecchiature in plastica non conduttiva</v>
      </c>
      <c r="N324" t="str">
        <f t="shared" si="40"/>
        <v>B) Estrazione; C) Manifattura; D) Produzione energia/gas</v>
      </c>
    </row>
    <row r="325" spans="1:14" ht="127.5">
      <c r="A325" s="56" t="s">
        <v>867</v>
      </c>
      <c r="B325" s="57" t="s">
        <v>868</v>
      </c>
      <c r="C325">
        <v>2</v>
      </c>
      <c r="D325" t="str">
        <f>+VLOOKUP(AtecoCrisi[[#This Row],[COD. CRISI]],Tabella139[],2,0)</f>
        <v>B) Estrazione; C) Manifattura; D) Produzione energia/gas</v>
      </c>
      <c r="E325" s="53">
        <f t="shared" si="35"/>
        <v>0.03</v>
      </c>
      <c r="F325" s="53">
        <f t="shared" si="36"/>
        <v>7.5999999999999998E-2</v>
      </c>
      <c r="G325" s="53">
        <f t="shared" si="37"/>
        <v>0.93700000000000006</v>
      </c>
      <c r="H325" s="53">
        <f t="shared" si="38"/>
        <v>5.0000000000000001E-3</v>
      </c>
      <c r="I325" s="53">
        <f t="shared" si="39"/>
        <v>4.9000000000000002E-2</v>
      </c>
      <c r="L325" t="s">
        <v>925</v>
      </c>
      <c r="M325" t="str">
        <f t="shared" si="41"/>
        <v>Fabbricazione di altre attrezzature per cablaggio</v>
      </c>
      <c r="N325" t="str">
        <f t="shared" si="40"/>
        <v>B) Estrazione; C) Manifattura; D) Produzione energia/gas</v>
      </c>
    </row>
    <row r="326" spans="1:14" ht="51">
      <c r="A326" s="58" t="s">
        <v>869</v>
      </c>
      <c r="B326" s="59" t="s">
        <v>870</v>
      </c>
      <c r="C326">
        <v>2</v>
      </c>
      <c r="D326" t="str">
        <f>+VLOOKUP(AtecoCrisi[[#This Row],[COD. CRISI]],Tabella139[],2,0)</f>
        <v>B) Estrazione; C) Manifattura; D) Produzione energia/gas</v>
      </c>
      <c r="E326" s="53">
        <f t="shared" si="35"/>
        <v>0.03</v>
      </c>
      <c r="F326" s="53">
        <f t="shared" si="36"/>
        <v>7.5999999999999998E-2</v>
      </c>
      <c r="G326" s="53">
        <f t="shared" si="37"/>
        <v>0.93700000000000006</v>
      </c>
      <c r="H326" s="53">
        <f t="shared" si="38"/>
        <v>5.0000000000000001E-3</v>
      </c>
      <c r="I326" s="53">
        <f t="shared" si="39"/>
        <v>4.9000000000000002E-2</v>
      </c>
      <c r="L326" t="s">
        <v>927</v>
      </c>
      <c r="M326" t="str">
        <f t="shared" si="41"/>
        <v>Fabbricazione di apparecchiature di illuminazione e segnalazione per mezzi di trasporto</v>
      </c>
      <c r="N326" t="str">
        <f t="shared" si="40"/>
        <v>B) Estrazione; C) Manifattura; D) Produzione energia/gas</v>
      </c>
    </row>
    <row r="327" spans="1:14" ht="38.25">
      <c r="A327" s="58" t="s">
        <v>871</v>
      </c>
      <c r="B327" s="59" t="s">
        <v>872</v>
      </c>
      <c r="C327">
        <v>2</v>
      </c>
      <c r="D327" t="str">
        <f>+VLOOKUP(AtecoCrisi[[#This Row],[COD. CRISI]],Tabella139[],2,0)</f>
        <v>B) Estrazione; C) Manifattura; D) Produzione energia/gas</v>
      </c>
      <c r="E327" s="53">
        <f t="shared" si="35"/>
        <v>0.03</v>
      </c>
      <c r="F327" s="53">
        <f t="shared" si="36"/>
        <v>7.5999999999999998E-2</v>
      </c>
      <c r="G327" s="53">
        <f t="shared" si="37"/>
        <v>0.93700000000000006</v>
      </c>
      <c r="H327" s="53">
        <f t="shared" si="38"/>
        <v>5.0000000000000001E-3</v>
      </c>
      <c r="I327" s="53">
        <f t="shared" si="39"/>
        <v>4.9000000000000002E-2</v>
      </c>
      <c r="L327" t="s">
        <v>929</v>
      </c>
      <c r="M327" t="str">
        <f t="shared" si="41"/>
        <v>Fabbricazione di altre apparecchiature per illuminazione</v>
      </c>
      <c r="N327" t="str">
        <f t="shared" si="40"/>
        <v>B) Estrazione; C) Manifattura; D) Produzione energia/gas</v>
      </c>
    </row>
    <row r="328" spans="1:14" ht="51">
      <c r="A328" s="58" t="s">
        <v>873</v>
      </c>
      <c r="B328" s="59" t="s">
        <v>874</v>
      </c>
      <c r="C328">
        <v>2</v>
      </c>
      <c r="D328" t="str">
        <f>+VLOOKUP(AtecoCrisi[[#This Row],[COD. CRISI]],Tabella139[],2,0)</f>
        <v>B) Estrazione; C) Manifattura; D) Produzione energia/gas</v>
      </c>
      <c r="E328" s="53">
        <f t="shared" si="35"/>
        <v>0.03</v>
      </c>
      <c r="F328" s="53">
        <f t="shared" si="36"/>
        <v>7.5999999999999998E-2</v>
      </c>
      <c r="G328" s="53">
        <f t="shared" si="37"/>
        <v>0.93700000000000006</v>
      </c>
      <c r="H328" s="53">
        <f t="shared" si="38"/>
        <v>5.0000000000000001E-3</v>
      </c>
      <c r="I328" s="53">
        <f t="shared" si="39"/>
        <v>4.9000000000000002E-2</v>
      </c>
      <c r="L328" t="s">
        <v>931</v>
      </c>
      <c r="M328" t="str">
        <f t="shared" si="41"/>
        <v>Fabbricazione di elettrodomestici</v>
      </c>
      <c r="N328" t="str">
        <f t="shared" si="40"/>
        <v>B) Estrazione; C) Manifattura; D) Produzione energia/gas</v>
      </c>
    </row>
    <row r="329" spans="1:14" ht="38.25">
      <c r="A329" s="58" t="s">
        <v>875</v>
      </c>
      <c r="B329" s="59" t="s">
        <v>876</v>
      </c>
      <c r="C329">
        <v>2</v>
      </c>
      <c r="D329" t="str">
        <f>+VLOOKUP(AtecoCrisi[[#This Row],[COD. CRISI]],Tabella139[],2,0)</f>
        <v>B) Estrazione; C) Manifattura; D) Produzione energia/gas</v>
      </c>
      <c r="E329" s="53">
        <f t="shared" si="35"/>
        <v>0.03</v>
      </c>
      <c r="F329" s="53">
        <f t="shared" si="36"/>
        <v>7.5999999999999998E-2</v>
      </c>
      <c r="G329" s="53">
        <f t="shared" si="37"/>
        <v>0.93700000000000006</v>
      </c>
      <c r="H329" s="53">
        <f t="shared" si="38"/>
        <v>5.0000000000000001E-3</v>
      </c>
      <c r="I329" s="53">
        <f t="shared" si="39"/>
        <v>4.9000000000000002E-2</v>
      </c>
      <c r="L329" t="s">
        <v>933</v>
      </c>
      <c r="M329" t="str">
        <f t="shared" si="41"/>
        <v>Fabbricazione di apparecchi per uso domestico non elettrici</v>
      </c>
      <c r="N329" t="str">
        <f t="shared" si="40"/>
        <v>B) Estrazione; C) Manifattura; D) Produzione energia/gas</v>
      </c>
    </row>
    <row r="330" spans="1:14" ht="76.5">
      <c r="A330" s="58" t="s">
        <v>877</v>
      </c>
      <c r="B330" s="59" t="s">
        <v>878</v>
      </c>
      <c r="C330">
        <v>2</v>
      </c>
      <c r="D330" t="str">
        <f>+VLOOKUP(AtecoCrisi[[#This Row],[COD. CRISI]],Tabella139[],2,0)</f>
        <v>B) Estrazione; C) Manifattura; D) Produzione energia/gas</v>
      </c>
      <c r="E330" s="53">
        <f t="shared" si="35"/>
        <v>0.03</v>
      </c>
      <c r="F330" s="53">
        <f t="shared" si="36"/>
        <v>7.5999999999999998E-2</v>
      </c>
      <c r="G330" s="53">
        <f t="shared" si="37"/>
        <v>0.93700000000000006</v>
      </c>
      <c r="H330" s="53">
        <f t="shared" si="38"/>
        <v>5.0000000000000001E-3</v>
      </c>
      <c r="I330" s="53">
        <f t="shared" si="39"/>
        <v>4.9000000000000002E-2</v>
      </c>
      <c r="L330" t="s">
        <v>935</v>
      </c>
      <c r="M330" t="str">
        <f t="shared" si="41"/>
        <v>Fabbricazione di apparecchiature elettriche per saldature e brasature</v>
      </c>
      <c r="N330" t="str">
        <f t="shared" si="40"/>
        <v>B) Estrazione; C) Manifattura; D) Produzione energia/gas</v>
      </c>
    </row>
    <row r="331" spans="1:14" ht="38.25">
      <c r="A331" s="58" t="s">
        <v>879</v>
      </c>
      <c r="B331" s="59" t="s">
        <v>880</v>
      </c>
      <c r="C331">
        <v>2</v>
      </c>
      <c r="D331" t="str">
        <f>+VLOOKUP(AtecoCrisi[[#This Row],[COD. CRISI]],Tabella139[],2,0)</f>
        <v>B) Estrazione; C) Manifattura; D) Produzione energia/gas</v>
      </c>
      <c r="E331" s="53">
        <f t="shared" si="35"/>
        <v>0.03</v>
      </c>
      <c r="F331" s="53">
        <f t="shared" si="36"/>
        <v>7.5999999999999998E-2</v>
      </c>
      <c r="G331" s="53">
        <f t="shared" si="37"/>
        <v>0.93700000000000006</v>
      </c>
      <c r="H331" s="53">
        <f t="shared" si="38"/>
        <v>5.0000000000000001E-3</v>
      </c>
      <c r="I331" s="53">
        <f t="shared" si="39"/>
        <v>4.9000000000000002E-2</v>
      </c>
      <c r="L331" t="s">
        <v>937</v>
      </c>
      <c r="M331" t="str">
        <f t="shared" si="41"/>
        <v>Fabbricazione di insegne elettriche e apparecchiature elettriche di segnalazione</v>
      </c>
      <c r="N331" t="str">
        <f t="shared" si="40"/>
        <v>B) Estrazione; C) Manifattura; D) Produzione energia/gas</v>
      </c>
    </row>
    <row r="332" spans="1:14" ht="63.75">
      <c r="A332" s="58" t="s">
        <v>881</v>
      </c>
      <c r="B332" s="59" t="s">
        <v>882</v>
      </c>
      <c r="C332">
        <v>2</v>
      </c>
      <c r="D332" t="str">
        <f>+VLOOKUP(AtecoCrisi[[#This Row],[COD. CRISI]],Tabella139[],2,0)</f>
        <v>B) Estrazione; C) Manifattura; D) Produzione energia/gas</v>
      </c>
      <c r="E332" s="53">
        <f t="shared" si="35"/>
        <v>0.03</v>
      </c>
      <c r="F332" s="53">
        <f t="shared" si="36"/>
        <v>7.5999999999999998E-2</v>
      </c>
      <c r="G332" s="53">
        <f t="shared" si="37"/>
        <v>0.93700000000000006</v>
      </c>
      <c r="H332" s="53">
        <f t="shared" si="38"/>
        <v>5.0000000000000001E-3</v>
      </c>
      <c r="I332" s="53">
        <f t="shared" si="39"/>
        <v>4.9000000000000002E-2</v>
      </c>
      <c r="L332" t="s">
        <v>939</v>
      </c>
      <c r="M332" t="str">
        <f t="shared" si="41"/>
        <v>Fabbricazione di capacitori elettrici, resistenze, condensatori e simili, acceleratori</v>
      </c>
      <c r="N332" t="str">
        <f t="shared" si="40"/>
        <v>B) Estrazione; C) Manifattura; D) Produzione energia/gas</v>
      </c>
    </row>
    <row r="333" spans="1:14" ht="76.5">
      <c r="A333" s="58" t="s">
        <v>883</v>
      </c>
      <c r="B333" s="59" t="s">
        <v>884</v>
      </c>
      <c r="C333">
        <v>2</v>
      </c>
      <c r="D333" t="str">
        <f>+VLOOKUP(AtecoCrisi[[#This Row],[COD. CRISI]],Tabella139[],2,0)</f>
        <v>B) Estrazione; C) Manifattura; D) Produzione energia/gas</v>
      </c>
      <c r="E333" s="53">
        <f t="shared" si="35"/>
        <v>0.03</v>
      </c>
      <c r="F333" s="53">
        <f t="shared" si="36"/>
        <v>7.5999999999999998E-2</v>
      </c>
      <c r="G333" s="53">
        <f t="shared" si="37"/>
        <v>0.93700000000000006</v>
      </c>
      <c r="H333" s="53">
        <f t="shared" si="38"/>
        <v>5.0000000000000001E-3</v>
      </c>
      <c r="I333" s="53">
        <f t="shared" si="39"/>
        <v>4.9000000000000002E-2</v>
      </c>
      <c r="L333" t="s">
        <v>941</v>
      </c>
      <c r="M333" t="str">
        <f t="shared" si="41"/>
        <v>Fabbricazione di altre apparecchiature elettriche nca</v>
      </c>
      <c r="N333" t="str">
        <f t="shared" si="40"/>
        <v>B) Estrazione; C) Manifattura; D) Produzione energia/gas</v>
      </c>
    </row>
    <row r="334" spans="1:14" ht="63.75">
      <c r="A334" s="58" t="s">
        <v>885</v>
      </c>
      <c r="B334" s="59" t="s">
        <v>886</v>
      </c>
      <c r="C334">
        <v>2</v>
      </c>
      <c r="D334" t="str">
        <f>+VLOOKUP(AtecoCrisi[[#This Row],[COD. CRISI]],Tabella139[],2,0)</f>
        <v>B) Estrazione; C) Manifattura; D) Produzione energia/gas</v>
      </c>
      <c r="E334" s="53">
        <f t="shared" si="35"/>
        <v>0.03</v>
      </c>
      <c r="F334" s="53">
        <f t="shared" si="36"/>
        <v>7.5999999999999998E-2</v>
      </c>
      <c r="G334" s="53">
        <f t="shared" si="37"/>
        <v>0.93700000000000006</v>
      </c>
      <c r="H334" s="53">
        <f t="shared" si="38"/>
        <v>5.0000000000000001E-3</v>
      </c>
      <c r="I334" s="53">
        <f t="shared" si="39"/>
        <v>4.9000000000000002E-2</v>
      </c>
      <c r="L334" t="s">
        <v>945</v>
      </c>
      <c r="M334" t="str">
        <f t="shared" si="41"/>
        <v>Fabbricazione di motori a combustione interna (esclusi i motori destinati ai mezzi di trasporto su strada e ad aeromobili)</v>
      </c>
      <c r="N334" t="str">
        <f t="shared" si="40"/>
        <v>B) Estrazione; C) Manifattura; D) Produzione energia/gas</v>
      </c>
    </row>
    <row r="335" spans="1:14" ht="63.75">
      <c r="A335" s="58" t="s">
        <v>887</v>
      </c>
      <c r="B335" s="59" t="s">
        <v>888</v>
      </c>
      <c r="C335">
        <v>2</v>
      </c>
      <c r="D335" t="str">
        <f>+VLOOKUP(AtecoCrisi[[#This Row],[COD. CRISI]],Tabella139[],2,0)</f>
        <v>B) Estrazione; C) Manifattura; D) Produzione energia/gas</v>
      </c>
      <c r="E335" s="53">
        <f t="shared" si="35"/>
        <v>0.03</v>
      </c>
      <c r="F335" s="53">
        <f t="shared" si="36"/>
        <v>7.5999999999999998E-2</v>
      </c>
      <c r="G335" s="53">
        <f t="shared" si="37"/>
        <v>0.93700000000000006</v>
      </c>
      <c r="H335" s="53">
        <f t="shared" si="38"/>
        <v>5.0000000000000001E-3</v>
      </c>
      <c r="I335" s="53">
        <f t="shared" si="39"/>
        <v>4.9000000000000002E-2</v>
      </c>
      <c r="L335" t="s">
        <v>947</v>
      </c>
      <c r="M335" t="str">
        <f t="shared" si="41"/>
        <v>Fabbricazione di pistoni, fasce elastiche, carburatori e parti simili di motori a combustione interna</v>
      </c>
      <c r="N335" t="str">
        <f t="shared" si="40"/>
        <v>B) Estrazione; C) Manifattura; D) Produzione energia/gas</v>
      </c>
    </row>
    <row r="336" spans="1:14" ht="102">
      <c r="A336" s="58" t="s">
        <v>889</v>
      </c>
      <c r="B336" s="59" t="s">
        <v>890</v>
      </c>
      <c r="C336">
        <v>2</v>
      </c>
      <c r="D336" t="str">
        <f>+VLOOKUP(AtecoCrisi[[#This Row],[COD. CRISI]],Tabella139[],2,0)</f>
        <v>B) Estrazione; C) Manifattura; D) Produzione energia/gas</v>
      </c>
      <c r="E336" s="53">
        <f t="shared" si="35"/>
        <v>0.03</v>
      </c>
      <c r="F336" s="53">
        <f t="shared" si="36"/>
        <v>7.5999999999999998E-2</v>
      </c>
      <c r="G336" s="53">
        <f t="shared" si="37"/>
        <v>0.93700000000000006</v>
      </c>
      <c r="H336" s="53">
        <f t="shared" si="38"/>
        <v>5.0000000000000001E-3</v>
      </c>
      <c r="I336" s="53">
        <f t="shared" si="39"/>
        <v>4.9000000000000002E-2</v>
      </c>
      <c r="L336" t="s">
        <v>949</v>
      </c>
      <c r="M336" t="str">
        <f t="shared" si="41"/>
        <v>Fabbricazione di turbine e turboalternatori (incluse parti e accessori)</v>
      </c>
      <c r="N336" t="str">
        <f t="shared" si="40"/>
        <v>B) Estrazione; C) Manifattura; D) Produzione energia/gas</v>
      </c>
    </row>
    <row r="337" spans="1:14" ht="178.5">
      <c r="A337" s="58" t="s">
        <v>891</v>
      </c>
      <c r="B337" s="59" t="s">
        <v>892</v>
      </c>
      <c r="C337">
        <v>2</v>
      </c>
      <c r="D337" t="str">
        <f>+VLOOKUP(AtecoCrisi[[#This Row],[COD. CRISI]],Tabella139[],2,0)</f>
        <v>B) Estrazione; C) Manifattura; D) Produzione energia/gas</v>
      </c>
      <c r="E337" s="53">
        <f t="shared" si="35"/>
        <v>0.03</v>
      </c>
      <c r="F337" s="53">
        <f t="shared" si="36"/>
        <v>7.5999999999999998E-2</v>
      </c>
      <c r="G337" s="53">
        <f t="shared" si="37"/>
        <v>0.93700000000000006</v>
      </c>
      <c r="H337" s="53">
        <f t="shared" si="38"/>
        <v>5.0000000000000001E-3</v>
      </c>
      <c r="I337" s="53">
        <f t="shared" si="39"/>
        <v>4.9000000000000002E-2</v>
      </c>
      <c r="L337" t="s">
        <v>951</v>
      </c>
      <c r="M337" t="str">
        <f t="shared" si="41"/>
        <v>Fabbricazione di apparecchiature fluidodinamiche</v>
      </c>
      <c r="N337" t="str">
        <f t="shared" si="40"/>
        <v>B) Estrazione; C) Manifattura; D) Produzione energia/gas</v>
      </c>
    </row>
    <row r="338" spans="1:14" ht="25.5">
      <c r="A338" s="58" t="s">
        <v>893</v>
      </c>
      <c r="B338" s="59" t="s">
        <v>894</v>
      </c>
      <c r="C338">
        <v>2</v>
      </c>
      <c r="D338" t="str">
        <f>+VLOOKUP(AtecoCrisi[[#This Row],[COD. CRISI]],Tabella139[],2,0)</f>
        <v>B) Estrazione; C) Manifattura; D) Produzione energia/gas</v>
      </c>
      <c r="E338" s="53">
        <f t="shared" si="35"/>
        <v>0.03</v>
      </c>
      <c r="F338" s="53">
        <f t="shared" si="36"/>
        <v>7.5999999999999998E-2</v>
      </c>
      <c r="G338" s="53">
        <f t="shared" si="37"/>
        <v>0.93700000000000006</v>
      </c>
      <c r="H338" s="53">
        <f t="shared" si="38"/>
        <v>5.0000000000000001E-3</v>
      </c>
      <c r="I338" s="53">
        <f t="shared" si="39"/>
        <v>4.9000000000000002E-2</v>
      </c>
      <c r="L338" t="s">
        <v>953</v>
      </c>
      <c r="M338" t="str">
        <f t="shared" si="41"/>
        <v>Fabbricazione di altre pompe e compressori</v>
      </c>
      <c r="N338" t="str">
        <f t="shared" si="40"/>
        <v>B) Estrazione; C) Manifattura; D) Produzione energia/gas</v>
      </c>
    </row>
    <row r="339" spans="1:14" ht="51">
      <c r="A339" s="58" t="s">
        <v>895</v>
      </c>
      <c r="B339" s="59" t="s">
        <v>896</v>
      </c>
      <c r="C339">
        <v>2</v>
      </c>
      <c r="D339" t="str">
        <f>+VLOOKUP(AtecoCrisi[[#This Row],[COD. CRISI]],Tabella139[],2,0)</f>
        <v>B) Estrazione; C) Manifattura; D) Produzione energia/gas</v>
      </c>
      <c r="E339" s="53">
        <f t="shared" si="35"/>
        <v>0.03</v>
      </c>
      <c r="F339" s="53">
        <f t="shared" si="36"/>
        <v>7.5999999999999998E-2</v>
      </c>
      <c r="G339" s="53">
        <f t="shared" si="37"/>
        <v>0.93700000000000006</v>
      </c>
      <c r="H339" s="53">
        <f t="shared" si="38"/>
        <v>5.0000000000000001E-3</v>
      </c>
      <c r="I339" s="53">
        <f t="shared" si="39"/>
        <v>4.9000000000000002E-2</v>
      </c>
      <c r="L339" t="s">
        <v>955</v>
      </c>
      <c r="M339" t="str">
        <f t="shared" si="41"/>
        <v>Fabbricazione di altri rubinetti e valvole</v>
      </c>
      <c r="N339" t="str">
        <f t="shared" si="40"/>
        <v>B) Estrazione; C) Manifattura; D) Produzione energia/gas</v>
      </c>
    </row>
    <row r="340" spans="1:14" ht="76.5">
      <c r="A340" s="58" t="s">
        <v>897</v>
      </c>
      <c r="B340" s="59" t="s">
        <v>898</v>
      </c>
      <c r="C340">
        <v>2</v>
      </c>
      <c r="D340" t="str">
        <f>+VLOOKUP(AtecoCrisi[[#This Row],[COD. CRISI]],Tabella139[],2,0)</f>
        <v>B) Estrazione; C) Manifattura; D) Produzione energia/gas</v>
      </c>
      <c r="E340" s="53">
        <f t="shared" si="35"/>
        <v>0.03</v>
      </c>
      <c r="F340" s="53">
        <f t="shared" si="36"/>
        <v>7.5999999999999998E-2</v>
      </c>
      <c r="G340" s="53">
        <f t="shared" si="37"/>
        <v>0.93700000000000006</v>
      </c>
      <c r="H340" s="53">
        <f t="shared" si="38"/>
        <v>5.0000000000000001E-3</v>
      </c>
      <c r="I340" s="53">
        <f t="shared" si="39"/>
        <v>4.9000000000000002E-2</v>
      </c>
      <c r="L340" t="s">
        <v>957</v>
      </c>
      <c r="M340" t="str">
        <f t="shared" si="41"/>
        <v>Fabbricazione di organi di trasmissione (esclusi quelli idraulici e quelli per autoveicoli, aeromobili e motocicli)</v>
      </c>
      <c r="N340" t="str">
        <f t="shared" si="40"/>
        <v>B) Estrazione; C) Manifattura; D) Produzione energia/gas</v>
      </c>
    </row>
    <row r="341" spans="1:14" ht="76.5">
      <c r="A341" s="58" t="s">
        <v>899</v>
      </c>
      <c r="B341" s="59" t="s">
        <v>900</v>
      </c>
      <c r="C341">
        <v>2</v>
      </c>
      <c r="D341" t="str">
        <f>+VLOOKUP(AtecoCrisi[[#This Row],[COD. CRISI]],Tabella139[],2,0)</f>
        <v>B) Estrazione; C) Manifattura; D) Produzione energia/gas</v>
      </c>
      <c r="E341" s="53">
        <f t="shared" si="35"/>
        <v>0.03</v>
      </c>
      <c r="F341" s="53">
        <f t="shared" si="36"/>
        <v>7.5999999999999998E-2</v>
      </c>
      <c r="G341" s="53">
        <f t="shared" si="37"/>
        <v>0.93700000000000006</v>
      </c>
      <c r="H341" s="53">
        <f t="shared" si="38"/>
        <v>5.0000000000000001E-3</v>
      </c>
      <c r="I341" s="53">
        <f t="shared" si="39"/>
        <v>4.9000000000000002E-2</v>
      </c>
      <c r="L341" t="s">
        <v>959</v>
      </c>
      <c r="M341" t="str">
        <f t="shared" si="41"/>
        <v>Fabbricazione di cuscinetti a sfere</v>
      </c>
      <c r="N341" t="str">
        <f t="shared" si="40"/>
        <v>B) Estrazione; C) Manifattura; D) Produzione energia/gas</v>
      </c>
    </row>
    <row r="342" spans="1:14" ht="51">
      <c r="A342" s="58" t="s">
        <v>901</v>
      </c>
      <c r="B342" s="59" t="s">
        <v>902</v>
      </c>
      <c r="C342">
        <v>2</v>
      </c>
      <c r="D342" t="str">
        <f>+VLOOKUP(AtecoCrisi[[#This Row],[COD. CRISI]],Tabella139[],2,0)</f>
        <v>B) Estrazione; C) Manifattura; D) Produzione energia/gas</v>
      </c>
      <c r="E342" s="53">
        <f t="shared" si="35"/>
        <v>0.03</v>
      </c>
      <c r="F342" s="53">
        <f t="shared" si="36"/>
        <v>7.5999999999999998E-2</v>
      </c>
      <c r="G342" s="53">
        <f t="shared" si="37"/>
        <v>0.93700000000000006</v>
      </c>
      <c r="H342" s="53">
        <f t="shared" si="38"/>
        <v>5.0000000000000001E-3</v>
      </c>
      <c r="I342" s="53">
        <f t="shared" si="39"/>
        <v>4.9000000000000002E-2</v>
      </c>
      <c r="L342" t="s">
        <v>961</v>
      </c>
      <c r="M342" t="str">
        <f t="shared" si="41"/>
        <v>Fabbricazione di forni, fornaci e bruciatori</v>
      </c>
      <c r="N342" t="str">
        <f t="shared" si="40"/>
        <v>B) Estrazione; C) Manifattura; D) Produzione energia/gas</v>
      </c>
    </row>
    <row r="343" spans="1:14" ht="63.75">
      <c r="A343" s="58" t="s">
        <v>903</v>
      </c>
      <c r="B343" s="59" t="s">
        <v>904</v>
      </c>
      <c r="C343">
        <v>2</v>
      </c>
      <c r="D343" t="str">
        <f>+VLOOKUP(AtecoCrisi[[#This Row],[COD. CRISI]],Tabella139[],2,0)</f>
        <v>B) Estrazione; C) Manifattura; D) Produzione energia/gas</v>
      </c>
      <c r="E343" s="53">
        <f t="shared" si="35"/>
        <v>0.03</v>
      </c>
      <c r="F343" s="53">
        <f t="shared" si="36"/>
        <v>7.5999999999999998E-2</v>
      </c>
      <c r="G343" s="53">
        <f t="shared" si="37"/>
        <v>0.93700000000000006</v>
      </c>
      <c r="H343" s="53">
        <f t="shared" si="38"/>
        <v>5.0000000000000001E-3</v>
      </c>
      <c r="I343" s="53">
        <f t="shared" si="39"/>
        <v>4.9000000000000002E-2</v>
      </c>
      <c r="L343" t="s">
        <v>963</v>
      </c>
      <c r="M343" t="str">
        <f t="shared" si="41"/>
        <v>Fabbricazione di caldaie per riscaldamento</v>
      </c>
      <c r="N343" t="str">
        <f t="shared" si="40"/>
        <v>B) Estrazione; C) Manifattura; D) Produzione energia/gas</v>
      </c>
    </row>
    <row r="344" spans="1:14" ht="51">
      <c r="A344" s="58" t="s">
        <v>905</v>
      </c>
      <c r="B344" s="59" t="s">
        <v>906</v>
      </c>
      <c r="C344">
        <v>2</v>
      </c>
      <c r="D344" t="str">
        <f>+VLOOKUP(AtecoCrisi[[#This Row],[COD. CRISI]],Tabella139[],2,0)</f>
        <v>B) Estrazione; C) Manifattura; D) Produzione energia/gas</v>
      </c>
      <c r="E344" s="53">
        <f t="shared" si="35"/>
        <v>0.03</v>
      </c>
      <c r="F344" s="53">
        <f t="shared" si="36"/>
        <v>7.5999999999999998E-2</v>
      </c>
      <c r="G344" s="53">
        <f t="shared" si="37"/>
        <v>0.93700000000000006</v>
      </c>
      <c r="H344" s="53">
        <f t="shared" si="38"/>
        <v>5.0000000000000001E-3</v>
      </c>
      <c r="I344" s="53">
        <f t="shared" si="39"/>
        <v>4.9000000000000002E-2</v>
      </c>
      <c r="L344" t="s">
        <v>965</v>
      </c>
      <c r="M344" t="str">
        <f t="shared" si="41"/>
        <v>Fabbricazione di altri sistemi per riscaldamento</v>
      </c>
      <c r="N344" t="str">
        <f t="shared" si="40"/>
        <v>B) Estrazione; C) Manifattura; D) Produzione energia/gas</v>
      </c>
    </row>
    <row r="345" spans="1:14" ht="38.25">
      <c r="A345" s="58" t="s">
        <v>907</v>
      </c>
      <c r="B345" s="59" t="s">
        <v>908</v>
      </c>
      <c r="C345">
        <v>2</v>
      </c>
      <c r="D345" t="str">
        <f>+VLOOKUP(AtecoCrisi[[#This Row],[COD. CRISI]],Tabella139[],2,0)</f>
        <v>B) Estrazione; C) Manifattura; D) Produzione energia/gas</v>
      </c>
      <c r="E345" s="53">
        <f t="shared" si="35"/>
        <v>0.03</v>
      </c>
      <c r="F345" s="53">
        <f t="shared" si="36"/>
        <v>7.5999999999999998E-2</v>
      </c>
      <c r="G345" s="53">
        <f t="shared" si="37"/>
        <v>0.93700000000000006</v>
      </c>
      <c r="H345" s="53">
        <f t="shared" si="38"/>
        <v>5.0000000000000001E-3</v>
      </c>
      <c r="I345" s="53">
        <f t="shared" si="39"/>
        <v>4.9000000000000002E-2</v>
      </c>
      <c r="L345" t="s">
        <v>967</v>
      </c>
      <c r="M345" t="str">
        <f t="shared" si="41"/>
        <v>Fabbricazione di ascensori, montacarichi e scale mobili</v>
      </c>
      <c r="N345" t="str">
        <f t="shared" si="40"/>
        <v>B) Estrazione; C) Manifattura; D) Produzione energia/gas</v>
      </c>
    </row>
    <row r="346" spans="1:14" ht="114.75">
      <c r="A346" s="56" t="s">
        <v>909</v>
      </c>
      <c r="B346" s="57" t="s">
        <v>910</v>
      </c>
      <c r="C346">
        <v>2</v>
      </c>
      <c r="D346" t="str">
        <f>+VLOOKUP(AtecoCrisi[[#This Row],[COD. CRISI]],Tabella139[],2,0)</f>
        <v>B) Estrazione; C) Manifattura; D) Produzione energia/gas</v>
      </c>
      <c r="E346" s="53">
        <f t="shared" si="35"/>
        <v>0.03</v>
      </c>
      <c r="F346" s="53">
        <f t="shared" si="36"/>
        <v>7.5999999999999998E-2</v>
      </c>
      <c r="G346" s="53">
        <f t="shared" si="37"/>
        <v>0.93700000000000006</v>
      </c>
      <c r="H346" s="53">
        <f t="shared" si="38"/>
        <v>5.0000000000000001E-3</v>
      </c>
      <c r="I346" s="53">
        <f t="shared" si="39"/>
        <v>4.9000000000000002E-2</v>
      </c>
      <c r="L346" t="s">
        <v>969</v>
      </c>
      <c r="M346" t="str">
        <f t="shared" si="41"/>
        <v>Fabbricazione di gru, argani, verricelli a mano e a motore, carrelli trasbordatori, carrelli elevatori e piattaforme girevoli</v>
      </c>
      <c r="N346" t="str">
        <f t="shared" si="40"/>
        <v>B) Estrazione; C) Manifattura; D) Produzione energia/gas</v>
      </c>
    </row>
    <row r="347" spans="1:14" ht="51">
      <c r="A347" s="58" t="s">
        <v>911</v>
      </c>
      <c r="B347" s="59" t="s">
        <v>912</v>
      </c>
      <c r="C347">
        <v>2</v>
      </c>
      <c r="D347" t="str">
        <f>+VLOOKUP(AtecoCrisi[[#This Row],[COD. CRISI]],Tabella139[],2,0)</f>
        <v>B) Estrazione; C) Manifattura; D) Produzione energia/gas</v>
      </c>
      <c r="E347" s="53">
        <f t="shared" si="35"/>
        <v>0.03</v>
      </c>
      <c r="F347" s="53">
        <f t="shared" si="36"/>
        <v>7.5999999999999998E-2</v>
      </c>
      <c r="G347" s="53">
        <f t="shared" si="37"/>
        <v>0.93700000000000006</v>
      </c>
      <c r="H347" s="53">
        <f t="shared" si="38"/>
        <v>5.0000000000000001E-3</v>
      </c>
      <c r="I347" s="53">
        <f t="shared" si="39"/>
        <v>4.9000000000000002E-2</v>
      </c>
      <c r="L347" t="s">
        <v>971</v>
      </c>
      <c r="M347" t="str">
        <f t="shared" si="41"/>
        <v>Fabbricazione di carriole</v>
      </c>
      <c r="N347" t="str">
        <f t="shared" si="40"/>
        <v>B) Estrazione; C) Manifattura; D) Produzione energia/gas</v>
      </c>
    </row>
    <row r="348" spans="1:14" ht="76.5">
      <c r="A348" s="58" t="s">
        <v>913</v>
      </c>
      <c r="B348" s="59" t="s">
        <v>914</v>
      </c>
      <c r="C348">
        <v>2</v>
      </c>
      <c r="D348" t="str">
        <f>+VLOOKUP(AtecoCrisi[[#This Row],[COD. CRISI]],Tabella139[],2,0)</f>
        <v>B) Estrazione; C) Manifattura; D) Produzione energia/gas</v>
      </c>
      <c r="E348" s="53">
        <f t="shared" si="35"/>
        <v>0.03</v>
      </c>
      <c r="F348" s="53">
        <f t="shared" si="36"/>
        <v>7.5999999999999998E-2</v>
      </c>
      <c r="G348" s="53">
        <f t="shared" si="37"/>
        <v>0.93700000000000006</v>
      </c>
      <c r="H348" s="53">
        <f t="shared" si="38"/>
        <v>5.0000000000000001E-3</v>
      </c>
      <c r="I348" s="53">
        <f t="shared" si="39"/>
        <v>4.9000000000000002E-2</v>
      </c>
      <c r="L348" t="s">
        <v>973</v>
      </c>
      <c r="M348" t="str">
        <f t="shared" si="41"/>
        <v>Fabbricazione di altre macchine e apparecchi di sollevamento e movimentazione</v>
      </c>
      <c r="N348" t="str">
        <f t="shared" si="40"/>
        <v>B) Estrazione; C) Manifattura; D) Produzione energia/gas</v>
      </c>
    </row>
    <row r="349" spans="1:14" ht="51">
      <c r="A349" s="58" t="s">
        <v>915</v>
      </c>
      <c r="B349" s="59" t="s">
        <v>916</v>
      </c>
      <c r="C349">
        <v>2</v>
      </c>
      <c r="D349" t="str">
        <f>+VLOOKUP(AtecoCrisi[[#This Row],[COD. CRISI]],Tabella139[],2,0)</f>
        <v>B) Estrazione; C) Manifattura; D) Produzione energia/gas</v>
      </c>
      <c r="E349" s="53">
        <f t="shared" si="35"/>
        <v>0.03</v>
      </c>
      <c r="F349" s="53">
        <f t="shared" si="36"/>
        <v>7.5999999999999998E-2</v>
      </c>
      <c r="G349" s="53">
        <f t="shared" si="37"/>
        <v>0.93700000000000006</v>
      </c>
      <c r="H349" s="53">
        <f t="shared" si="38"/>
        <v>5.0000000000000001E-3</v>
      </c>
      <c r="I349" s="53">
        <f t="shared" si="39"/>
        <v>4.9000000000000002E-2</v>
      </c>
      <c r="L349" t="s">
        <v>975</v>
      </c>
      <c r="M349" t="str">
        <f t="shared" si="41"/>
        <v>Fabbricazione di cartucce toner</v>
      </c>
      <c r="N349" t="str">
        <f t="shared" si="40"/>
        <v>B) Estrazione; C) Manifattura; D) Produzione energia/gas</v>
      </c>
    </row>
    <row r="350" spans="1:14" ht="63.75">
      <c r="A350" s="58" t="s">
        <v>917</v>
      </c>
      <c r="B350" s="59" t="s">
        <v>918</v>
      </c>
      <c r="C350">
        <v>2</v>
      </c>
      <c r="D350" t="str">
        <f>+VLOOKUP(AtecoCrisi[[#This Row],[COD. CRISI]],Tabella139[],2,0)</f>
        <v>B) Estrazione; C) Manifattura; D) Produzione energia/gas</v>
      </c>
      <c r="E350" s="53">
        <f t="shared" si="35"/>
        <v>0.03</v>
      </c>
      <c r="F350" s="53">
        <f t="shared" si="36"/>
        <v>7.5999999999999998E-2</v>
      </c>
      <c r="G350" s="53">
        <f t="shared" si="37"/>
        <v>0.93700000000000006</v>
      </c>
      <c r="H350" s="53">
        <f t="shared" si="38"/>
        <v>5.0000000000000001E-3</v>
      </c>
      <c r="I350" s="53">
        <f t="shared" si="39"/>
        <v>4.9000000000000002E-2</v>
      </c>
      <c r="L350" t="s">
        <v>977</v>
      </c>
      <c r="M350" t="str">
        <f t="shared" si="41"/>
        <v>Fabbricazione di macchine ed altre attrezzature per ufficio (esclusi computer e periferiche)</v>
      </c>
      <c r="N350" t="str">
        <f t="shared" si="40"/>
        <v>B) Estrazione; C) Manifattura; D) Produzione energia/gas</v>
      </c>
    </row>
    <row r="351" spans="1:14" ht="25.5">
      <c r="A351" s="58" t="s">
        <v>919</v>
      </c>
      <c r="B351" s="59" t="s">
        <v>920</v>
      </c>
      <c r="C351">
        <v>2</v>
      </c>
      <c r="D351" t="str">
        <f>+VLOOKUP(AtecoCrisi[[#This Row],[COD. CRISI]],Tabella139[],2,0)</f>
        <v>B) Estrazione; C) Manifattura; D) Produzione energia/gas</v>
      </c>
      <c r="E351" s="53">
        <f t="shared" si="35"/>
        <v>0.03</v>
      </c>
      <c r="F351" s="53">
        <f t="shared" si="36"/>
        <v>7.5999999999999998E-2</v>
      </c>
      <c r="G351" s="53">
        <f t="shared" si="37"/>
        <v>0.93700000000000006</v>
      </c>
      <c r="H351" s="53">
        <f t="shared" si="38"/>
        <v>5.0000000000000001E-3</v>
      </c>
      <c r="I351" s="53">
        <f t="shared" si="39"/>
        <v>4.9000000000000002E-2</v>
      </c>
      <c r="L351" t="s">
        <v>979</v>
      </c>
      <c r="M351" t="str">
        <f t="shared" si="41"/>
        <v>Fabbricazione di utensili portatili a motore</v>
      </c>
      <c r="N351" t="str">
        <f t="shared" si="40"/>
        <v>B) Estrazione; C) Manifattura; D) Produzione energia/gas</v>
      </c>
    </row>
    <row r="352" spans="1:14" ht="51">
      <c r="A352" s="58" t="s">
        <v>921</v>
      </c>
      <c r="B352" s="59" t="s">
        <v>922</v>
      </c>
      <c r="C352">
        <v>2</v>
      </c>
      <c r="D352" t="str">
        <f>+VLOOKUP(AtecoCrisi[[#This Row],[COD. CRISI]],Tabella139[],2,0)</f>
        <v>B) Estrazione; C) Manifattura; D) Produzione energia/gas</v>
      </c>
      <c r="E352" s="53">
        <f t="shared" si="35"/>
        <v>0.03</v>
      </c>
      <c r="F352" s="53">
        <f t="shared" si="36"/>
        <v>7.5999999999999998E-2</v>
      </c>
      <c r="G352" s="53">
        <f t="shared" si="37"/>
        <v>0.93700000000000006</v>
      </c>
      <c r="H352" s="53">
        <f t="shared" si="38"/>
        <v>5.0000000000000001E-3</v>
      </c>
      <c r="I352" s="53">
        <f t="shared" si="39"/>
        <v>4.9000000000000002E-2</v>
      </c>
      <c r="L352" t="s">
        <v>981</v>
      </c>
      <c r="M352" t="str">
        <f t="shared" si="41"/>
        <v>Fabbricazione di attrezzature di uso non domestico per la refrigerazione e la ventilazione; fabbricazione di condizionatori domestici fissi</v>
      </c>
      <c r="N352" t="str">
        <f t="shared" si="40"/>
        <v>B) Estrazione; C) Manifattura; D) Produzione energia/gas</v>
      </c>
    </row>
    <row r="353" spans="1:14" ht="51">
      <c r="A353" s="58" t="s">
        <v>923</v>
      </c>
      <c r="B353" s="59" t="s">
        <v>924</v>
      </c>
      <c r="C353">
        <v>2</v>
      </c>
      <c r="D353" t="str">
        <f>+VLOOKUP(AtecoCrisi[[#This Row],[COD. CRISI]],Tabella139[],2,0)</f>
        <v>B) Estrazione; C) Manifattura; D) Produzione energia/gas</v>
      </c>
      <c r="E353" s="53">
        <f t="shared" si="35"/>
        <v>0.03</v>
      </c>
      <c r="F353" s="53">
        <f t="shared" si="36"/>
        <v>7.5999999999999998E-2</v>
      </c>
      <c r="G353" s="53">
        <f t="shared" si="37"/>
        <v>0.93700000000000006</v>
      </c>
      <c r="H353" s="53">
        <f t="shared" si="38"/>
        <v>5.0000000000000001E-3</v>
      </c>
      <c r="I353" s="53">
        <f t="shared" si="39"/>
        <v>4.9000000000000002E-2</v>
      </c>
      <c r="L353" t="s">
        <v>983</v>
      </c>
      <c r="M353" t="str">
        <f t="shared" si="41"/>
        <v>Fabbricazione di bilance e di macchine automatiche per la vendita e la distribuzione (incluse parti staccate e accessori)</v>
      </c>
      <c r="N353" t="str">
        <f t="shared" si="40"/>
        <v>B) Estrazione; C) Manifattura; D) Produzione energia/gas</v>
      </c>
    </row>
    <row r="354" spans="1:14" ht="38.25">
      <c r="A354" s="58" t="s">
        <v>925</v>
      </c>
      <c r="B354" s="59" t="s">
        <v>926</v>
      </c>
      <c r="C354">
        <v>2</v>
      </c>
      <c r="D354" t="str">
        <f>+VLOOKUP(AtecoCrisi[[#This Row],[COD. CRISI]],Tabella139[],2,0)</f>
        <v>B) Estrazione; C) Manifattura; D) Produzione energia/gas</v>
      </c>
      <c r="E354" s="53">
        <f t="shared" si="35"/>
        <v>0.03</v>
      </c>
      <c r="F354" s="53">
        <f t="shared" si="36"/>
        <v>7.5999999999999998E-2</v>
      </c>
      <c r="G354" s="53">
        <f t="shared" si="37"/>
        <v>0.93700000000000006</v>
      </c>
      <c r="H354" s="53">
        <f t="shared" si="38"/>
        <v>5.0000000000000001E-3</v>
      </c>
      <c r="I354" s="53">
        <f t="shared" si="39"/>
        <v>4.9000000000000002E-2</v>
      </c>
      <c r="L354" t="s">
        <v>985</v>
      </c>
      <c r="M354" t="str">
        <f t="shared" si="41"/>
        <v>Fabbricazione di macchine e apparecchi per le industrie chimiche, petrolchimiche e petrolifere (incluse parti e accessori)</v>
      </c>
      <c r="N354" t="str">
        <f t="shared" si="40"/>
        <v>B) Estrazione; C) Manifattura; D) Produzione energia/gas</v>
      </c>
    </row>
    <row r="355" spans="1:14" ht="63.75">
      <c r="A355" s="58" t="s">
        <v>927</v>
      </c>
      <c r="B355" s="59" t="s">
        <v>928</v>
      </c>
      <c r="C355">
        <v>2</v>
      </c>
      <c r="D355" t="str">
        <f>+VLOOKUP(AtecoCrisi[[#This Row],[COD. CRISI]],Tabella139[],2,0)</f>
        <v>B) Estrazione; C) Manifattura; D) Produzione energia/gas</v>
      </c>
      <c r="E355" s="53">
        <f t="shared" si="35"/>
        <v>0.03</v>
      </c>
      <c r="F355" s="53">
        <f t="shared" si="36"/>
        <v>7.5999999999999998E-2</v>
      </c>
      <c r="G355" s="53">
        <f t="shared" si="37"/>
        <v>0.93700000000000006</v>
      </c>
      <c r="H355" s="53">
        <f t="shared" si="38"/>
        <v>5.0000000000000001E-3</v>
      </c>
      <c r="I355" s="53">
        <f t="shared" si="39"/>
        <v>4.9000000000000002E-2</v>
      </c>
      <c r="L355" t="s">
        <v>987</v>
      </c>
      <c r="M355" t="str">
        <f t="shared" si="41"/>
        <v>Fabbricazione di macchine automatiche per la dosatura, la confezione e per l'imballaggio (incluse parti e accessori)</v>
      </c>
      <c r="N355" t="str">
        <f t="shared" si="40"/>
        <v>B) Estrazione; C) Manifattura; D) Produzione energia/gas</v>
      </c>
    </row>
    <row r="356" spans="1:14" ht="51">
      <c r="A356" s="58" t="s">
        <v>929</v>
      </c>
      <c r="B356" s="59" t="s">
        <v>930</v>
      </c>
      <c r="C356">
        <v>2</v>
      </c>
      <c r="D356" t="str">
        <f>+VLOOKUP(AtecoCrisi[[#This Row],[COD. CRISI]],Tabella139[],2,0)</f>
        <v>B) Estrazione; C) Manifattura; D) Produzione energia/gas</v>
      </c>
      <c r="E356" s="53">
        <f t="shared" si="35"/>
        <v>0.03</v>
      </c>
      <c r="F356" s="53">
        <f t="shared" si="36"/>
        <v>7.5999999999999998E-2</v>
      </c>
      <c r="G356" s="53">
        <f t="shared" si="37"/>
        <v>0.93700000000000006</v>
      </c>
      <c r="H356" s="53">
        <f t="shared" si="38"/>
        <v>5.0000000000000001E-3</v>
      </c>
      <c r="I356" s="53">
        <f t="shared" si="39"/>
        <v>4.9000000000000002E-2</v>
      </c>
      <c r="L356" t="s">
        <v>989</v>
      </c>
      <c r="M356" t="str">
        <f t="shared" si="41"/>
        <v>Fabbricazione di apparecchi per depurare e filtrare liquidi e gas per uso non domestico</v>
      </c>
      <c r="N356" t="str">
        <f t="shared" si="40"/>
        <v>B) Estrazione; C) Manifattura; D) Produzione energia/gas</v>
      </c>
    </row>
    <row r="357" spans="1:14" ht="25.5">
      <c r="A357" s="58" t="s">
        <v>931</v>
      </c>
      <c r="B357" s="59" t="s">
        <v>932</v>
      </c>
      <c r="C357">
        <v>2</v>
      </c>
      <c r="D357" t="str">
        <f>+VLOOKUP(AtecoCrisi[[#This Row],[COD. CRISI]],Tabella139[],2,0)</f>
        <v>B) Estrazione; C) Manifattura; D) Produzione energia/gas</v>
      </c>
      <c r="E357" s="53">
        <f t="shared" si="35"/>
        <v>0.03</v>
      </c>
      <c r="F357" s="53">
        <f t="shared" si="36"/>
        <v>7.5999999999999998E-2</v>
      </c>
      <c r="G357" s="53">
        <f t="shared" si="37"/>
        <v>0.93700000000000006</v>
      </c>
      <c r="H357" s="53">
        <f t="shared" si="38"/>
        <v>5.0000000000000001E-3</v>
      </c>
      <c r="I357" s="53">
        <f t="shared" si="39"/>
        <v>4.9000000000000002E-2</v>
      </c>
      <c r="L357" t="s">
        <v>991</v>
      </c>
      <c r="M357" t="str">
        <f t="shared" si="41"/>
        <v>Fabbricazione di macchine per la pulizia (incluse le lavastoviglie) per uso non domestico</v>
      </c>
      <c r="N357" t="str">
        <f t="shared" si="40"/>
        <v>B) Estrazione; C) Manifattura; D) Produzione energia/gas</v>
      </c>
    </row>
    <row r="358" spans="1:14" ht="51">
      <c r="A358" s="58" t="s">
        <v>933</v>
      </c>
      <c r="B358" s="59" t="s">
        <v>934</v>
      </c>
      <c r="C358">
        <v>2</v>
      </c>
      <c r="D358" t="str">
        <f>+VLOOKUP(AtecoCrisi[[#This Row],[COD. CRISI]],Tabella139[],2,0)</f>
        <v>B) Estrazione; C) Manifattura; D) Produzione energia/gas</v>
      </c>
      <c r="E358" s="53">
        <f t="shared" si="35"/>
        <v>0.03</v>
      </c>
      <c r="F358" s="53">
        <f t="shared" si="36"/>
        <v>7.5999999999999998E-2</v>
      </c>
      <c r="G358" s="53">
        <f t="shared" si="37"/>
        <v>0.93700000000000006</v>
      </c>
      <c r="H358" s="53">
        <f t="shared" si="38"/>
        <v>5.0000000000000001E-3</v>
      </c>
      <c r="I358" s="53">
        <f t="shared" si="39"/>
        <v>4.9000000000000002E-2</v>
      </c>
      <c r="L358" t="s">
        <v>993</v>
      </c>
      <c r="M358" t="str">
        <f t="shared" si="41"/>
        <v>Fabbricazione di livelle, metri doppi a nastro e utensili simili, strumenti di precisione per meccanica (esclusi quelli ottici)</v>
      </c>
      <c r="N358" t="str">
        <f t="shared" si="40"/>
        <v>B) Estrazione; C) Manifattura; D) Produzione energia/gas</v>
      </c>
    </row>
    <row r="359" spans="1:14" ht="63.75">
      <c r="A359" s="58" t="s">
        <v>935</v>
      </c>
      <c r="B359" s="59" t="s">
        <v>936</v>
      </c>
      <c r="C359">
        <v>2</v>
      </c>
      <c r="D359" t="str">
        <f>+VLOOKUP(AtecoCrisi[[#This Row],[COD. CRISI]],Tabella139[],2,0)</f>
        <v>B) Estrazione; C) Manifattura; D) Produzione energia/gas</v>
      </c>
      <c r="E359" s="53">
        <f t="shared" si="35"/>
        <v>0.03</v>
      </c>
      <c r="F359" s="53">
        <f t="shared" si="36"/>
        <v>7.5999999999999998E-2</v>
      </c>
      <c r="G359" s="53">
        <f t="shared" si="37"/>
        <v>0.93700000000000006</v>
      </c>
      <c r="H359" s="53">
        <f t="shared" si="38"/>
        <v>5.0000000000000001E-3</v>
      </c>
      <c r="I359" s="53">
        <f t="shared" si="39"/>
        <v>4.9000000000000002E-2</v>
      </c>
      <c r="L359" t="s">
        <v>995</v>
      </c>
      <c r="M359" t="str">
        <f t="shared" si="41"/>
        <v>Fabbricazione di altro materiale meccanico e di altre macchine di impiego generale nca</v>
      </c>
      <c r="N359" t="str">
        <f t="shared" si="40"/>
        <v>B) Estrazione; C) Manifattura; D) Produzione energia/gas</v>
      </c>
    </row>
    <row r="360" spans="1:14" ht="63.75">
      <c r="A360" s="58" t="s">
        <v>937</v>
      </c>
      <c r="B360" s="59" t="s">
        <v>938</v>
      </c>
      <c r="C360">
        <v>2</v>
      </c>
      <c r="D360" t="str">
        <f>+VLOOKUP(AtecoCrisi[[#This Row],[COD. CRISI]],Tabella139[],2,0)</f>
        <v>B) Estrazione; C) Manifattura; D) Produzione energia/gas</v>
      </c>
      <c r="E360" s="53">
        <f t="shared" si="35"/>
        <v>0.03</v>
      </c>
      <c r="F360" s="53">
        <f t="shared" si="36"/>
        <v>7.5999999999999998E-2</v>
      </c>
      <c r="G360" s="53">
        <f t="shared" si="37"/>
        <v>0.93700000000000006</v>
      </c>
      <c r="H360" s="53">
        <f t="shared" si="38"/>
        <v>5.0000000000000001E-3</v>
      </c>
      <c r="I360" s="53">
        <f t="shared" si="39"/>
        <v>4.9000000000000002E-2</v>
      </c>
      <c r="L360" t="s">
        <v>997</v>
      </c>
      <c r="M360" t="str">
        <f t="shared" si="41"/>
        <v>Fabbricazione di trattori agricoli</v>
      </c>
      <c r="N360" t="str">
        <f t="shared" si="40"/>
        <v>B) Estrazione; C) Manifattura; D) Produzione energia/gas</v>
      </c>
    </row>
    <row r="361" spans="1:14" ht="63.75">
      <c r="A361" s="58" t="s">
        <v>939</v>
      </c>
      <c r="B361" s="59" t="s">
        <v>940</v>
      </c>
      <c r="C361">
        <v>2</v>
      </c>
      <c r="D361" t="str">
        <f>+VLOOKUP(AtecoCrisi[[#This Row],[COD. CRISI]],Tabella139[],2,0)</f>
        <v>B) Estrazione; C) Manifattura; D) Produzione energia/gas</v>
      </c>
      <c r="E361" s="53">
        <f t="shared" si="35"/>
        <v>0.03</v>
      </c>
      <c r="F361" s="53">
        <f t="shared" si="36"/>
        <v>7.5999999999999998E-2</v>
      </c>
      <c r="G361" s="53">
        <f t="shared" si="37"/>
        <v>0.93700000000000006</v>
      </c>
      <c r="H361" s="53">
        <f t="shared" si="38"/>
        <v>5.0000000000000001E-3</v>
      </c>
      <c r="I361" s="53">
        <f t="shared" si="39"/>
        <v>4.9000000000000002E-2</v>
      </c>
      <c r="L361" t="s">
        <v>999</v>
      </c>
      <c r="M361" t="str">
        <f t="shared" si="41"/>
        <v>Fabbricazione di altre macchine per l'agricoltura, la silvicoltura e la zootecnia</v>
      </c>
      <c r="N361" t="str">
        <f t="shared" si="40"/>
        <v>B) Estrazione; C) Manifattura; D) Produzione energia/gas</v>
      </c>
    </row>
    <row r="362" spans="1:14" ht="51">
      <c r="A362" s="58" t="s">
        <v>941</v>
      </c>
      <c r="B362" s="59" t="s">
        <v>942</v>
      </c>
      <c r="C362">
        <v>2</v>
      </c>
      <c r="D362" t="str">
        <f>+VLOOKUP(AtecoCrisi[[#This Row],[COD. CRISI]],Tabella139[],2,0)</f>
        <v>B) Estrazione; C) Manifattura; D) Produzione energia/gas</v>
      </c>
      <c r="E362" s="53">
        <f t="shared" si="35"/>
        <v>0.03</v>
      </c>
      <c r="F362" s="53">
        <f t="shared" si="36"/>
        <v>7.5999999999999998E-2</v>
      </c>
      <c r="G362" s="53">
        <f t="shared" si="37"/>
        <v>0.93700000000000006</v>
      </c>
      <c r="H362" s="53">
        <f t="shared" si="38"/>
        <v>5.0000000000000001E-3</v>
      </c>
      <c r="I362" s="53">
        <f t="shared" si="39"/>
        <v>4.9000000000000002E-2</v>
      </c>
      <c r="L362" t="s">
        <v>1001</v>
      </c>
      <c r="M362" t="str">
        <f t="shared" si="41"/>
        <v>Fabbricazione di macchine utensili per la formatura dei metalli (incluse parti e accessori ed escluse le parti intercambiabili)</v>
      </c>
      <c r="N362" t="str">
        <f t="shared" si="40"/>
        <v>B) Estrazione; C) Manifattura; D) Produzione energia/gas</v>
      </c>
    </row>
    <row r="363" spans="1:14" ht="63.75">
      <c r="A363" s="56" t="s">
        <v>943</v>
      </c>
      <c r="B363" s="57" t="s">
        <v>944</v>
      </c>
      <c r="C363">
        <v>2</v>
      </c>
      <c r="D363" t="str">
        <f>+VLOOKUP(AtecoCrisi[[#This Row],[COD. CRISI]],Tabella139[],2,0)</f>
        <v>B) Estrazione; C) Manifattura; D) Produzione energia/gas</v>
      </c>
      <c r="E363" s="53">
        <f t="shared" si="35"/>
        <v>0.03</v>
      </c>
      <c r="F363" s="53">
        <f t="shared" si="36"/>
        <v>7.5999999999999998E-2</v>
      </c>
      <c r="G363" s="53">
        <f t="shared" si="37"/>
        <v>0.93700000000000006</v>
      </c>
      <c r="H363" s="53">
        <f t="shared" si="38"/>
        <v>5.0000000000000001E-3</v>
      </c>
      <c r="I363" s="53">
        <f t="shared" si="39"/>
        <v>4.9000000000000002E-2</v>
      </c>
      <c r="L363" t="s">
        <v>1003</v>
      </c>
      <c r="M363" t="str">
        <f t="shared" si="41"/>
        <v>Fabbricazione di macchine per la galvanostegia</v>
      </c>
      <c r="N363" t="str">
        <f t="shared" si="40"/>
        <v>B) Estrazione; C) Manifattura; D) Produzione energia/gas</v>
      </c>
    </row>
    <row r="364" spans="1:14" ht="102">
      <c r="A364" s="58" t="s">
        <v>945</v>
      </c>
      <c r="B364" s="59" t="s">
        <v>946</v>
      </c>
      <c r="C364">
        <v>2</v>
      </c>
      <c r="D364" t="str">
        <f>+VLOOKUP(AtecoCrisi[[#This Row],[COD. CRISI]],Tabella139[],2,0)</f>
        <v>B) Estrazione; C) Manifattura; D) Produzione energia/gas</v>
      </c>
      <c r="E364" s="53">
        <f t="shared" si="35"/>
        <v>0.03</v>
      </c>
      <c r="F364" s="53">
        <f t="shared" si="36"/>
        <v>7.5999999999999998E-2</v>
      </c>
      <c r="G364" s="53">
        <f t="shared" si="37"/>
        <v>0.93700000000000006</v>
      </c>
      <c r="H364" s="53">
        <f t="shared" si="38"/>
        <v>5.0000000000000001E-3</v>
      </c>
      <c r="I364" s="53">
        <f t="shared" si="39"/>
        <v>4.9000000000000002E-2</v>
      </c>
      <c r="L364" t="s">
        <v>1005</v>
      </c>
      <c r="M364" t="str">
        <f t="shared" si="41"/>
        <v>Fabbricazione di altre macchine utensili (incluse parti e accessori) nca</v>
      </c>
      <c r="N364" t="str">
        <f t="shared" si="40"/>
        <v>B) Estrazione; C) Manifattura; D) Produzione energia/gas</v>
      </c>
    </row>
    <row r="365" spans="1:14" ht="89.25">
      <c r="A365" s="58" t="s">
        <v>947</v>
      </c>
      <c r="B365" s="59" t="s">
        <v>948</v>
      </c>
      <c r="C365">
        <v>2</v>
      </c>
      <c r="D365" t="str">
        <f>+VLOOKUP(AtecoCrisi[[#This Row],[COD. CRISI]],Tabella139[],2,0)</f>
        <v>B) Estrazione; C) Manifattura; D) Produzione energia/gas</v>
      </c>
      <c r="E365" s="53">
        <f t="shared" si="35"/>
        <v>0.03</v>
      </c>
      <c r="F365" s="53">
        <f t="shared" si="36"/>
        <v>7.5999999999999998E-2</v>
      </c>
      <c r="G365" s="53">
        <f t="shared" si="37"/>
        <v>0.93700000000000006</v>
      </c>
      <c r="H365" s="53">
        <f t="shared" si="38"/>
        <v>5.0000000000000001E-3</v>
      </c>
      <c r="I365" s="53">
        <f t="shared" si="39"/>
        <v>4.9000000000000002E-2</v>
      </c>
      <c r="L365" t="s">
        <v>1007</v>
      </c>
      <c r="M365" t="str">
        <f t="shared" si="41"/>
        <v>Fabbricazione di macchine per la metallurgia (incluse parti e accessori)</v>
      </c>
      <c r="N365" t="str">
        <f t="shared" si="40"/>
        <v>B) Estrazione; C) Manifattura; D) Produzione energia/gas</v>
      </c>
    </row>
    <row r="366" spans="1:14" ht="63.75">
      <c r="A366" s="58" t="s">
        <v>949</v>
      </c>
      <c r="B366" s="59" t="s">
        <v>950</v>
      </c>
      <c r="C366">
        <v>2</v>
      </c>
      <c r="D366" t="str">
        <f>+VLOOKUP(AtecoCrisi[[#This Row],[COD. CRISI]],Tabella139[],2,0)</f>
        <v>B) Estrazione; C) Manifattura; D) Produzione energia/gas</v>
      </c>
      <c r="E366" s="53">
        <f t="shared" si="35"/>
        <v>0.03</v>
      </c>
      <c r="F366" s="53">
        <f t="shared" si="36"/>
        <v>7.5999999999999998E-2</v>
      </c>
      <c r="G366" s="53">
        <f t="shared" si="37"/>
        <v>0.93700000000000006</v>
      </c>
      <c r="H366" s="53">
        <f t="shared" si="38"/>
        <v>5.0000000000000001E-3</v>
      </c>
      <c r="I366" s="53">
        <f t="shared" si="39"/>
        <v>4.9000000000000002E-2</v>
      </c>
      <c r="L366" t="s">
        <v>1009</v>
      </c>
      <c r="M366" t="str">
        <f t="shared" si="41"/>
        <v>Fabbricazione di macchine per il trasporto a cassone ribaltabile per impiego specifico in miniere, cave e cantieri</v>
      </c>
      <c r="N366" t="str">
        <f t="shared" si="40"/>
        <v>B) Estrazione; C) Manifattura; D) Produzione energia/gas</v>
      </c>
    </row>
    <row r="367" spans="1:14" ht="38.25">
      <c r="A367" s="58" t="s">
        <v>951</v>
      </c>
      <c r="B367" s="59" t="s">
        <v>952</v>
      </c>
      <c r="C367">
        <v>2</v>
      </c>
      <c r="D367" t="str">
        <f>+VLOOKUP(AtecoCrisi[[#This Row],[COD. CRISI]],Tabella139[],2,0)</f>
        <v>B) Estrazione; C) Manifattura; D) Produzione energia/gas</v>
      </c>
      <c r="E367" s="53">
        <f t="shared" si="35"/>
        <v>0.03</v>
      </c>
      <c r="F367" s="53">
        <f t="shared" si="36"/>
        <v>7.5999999999999998E-2</v>
      </c>
      <c r="G367" s="53">
        <f t="shared" si="37"/>
        <v>0.93700000000000006</v>
      </c>
      <c r="H367" s="53">
        <f t="shared" si="38"/>
        <v>5.0000000000000001E-3</v>
      </c>
      <c r="I367" s="53">
        <f t="shared" si="39"/>
        <v>4.9000000000000002E-2</v>
      </c>
      <c r="L367" t="s">
        <v>1011</v>
      </c>
      <c r="M367" t="str">
        <f t="shared" si="41"/>
        <v>Fabbricazione di altre macchine da miniera, cava e cantiere (incluse parti e accessori)</v>
      </c>
      <c r="N367" t="str">
        <f t="shared" si="40"/>
        <v>B) Estrazione; C) Manifattura; D) Produzione energia/gas</v>
      </c>
    </row>
    <row r="368" spans="1:14" ht="38.25">
      <c r="A368" s="58" t="s">
        <v>953</v>
      </c>
      <c r="B368" s="59" t="s">
        <v>954</v>
      </c>
      <c r="C368">
        <v>2</v>
      </c>
      <c r="D368" t="str">
        <f>+VLOOKUP(AtecoCrisi[[#This Row],[COD. CRISI]],Tabella139[],2,0)</f>
        <v>B) Estrazione; C) Manifattura; D) Produzione energia/gas</v>
      </c>
      <c r="E368" s="53">
        <f t="shared" si="35"/>
        <v>0.03</v>
      </c>
      <c r="F368" s="53">
        <f t="shared" si="36"/>
        <v>7.5999999999999998E-2</v>
      </c>
      <c r="G368" s="53">
        <f t="shared" si="37"/>
        <v>0.93700000000000006</v>
      </c>
      <c r="H368" s="53">
        <f t="shared" si="38"/>
        <v>5.0000000000000001E-3</v>
      </c>
      <c r="I368" s="53">
        <f t="shared" si="39"/>
        <v>4.9000000000000002E-2</v>
      </c>
      <c r="L368" t="s">
        <v>1013</v>
      </c>
      <c r="M368" t="str">
        <f t="shared" si="41"/>
        <v>Fabbricazione di macchine per l'industria alimentare, delle bevande e del tabacco (incluse parti e accessori)</v>
      </c>
      <c r="N368" t="str">
        <f t="shared" si="40"/>
        <v>B) Estrazione; C) Manifattura; D) Produzione energia/gas</v>
      </c>
    </row>
    <row r="369" spans="1:14" ht="38.25">
      <c r="A369" s="58" t="s">
        <v>955</v>
      </c>
      <c r="B369" s="59" t="s">
        <v>956</v>
      </c>
      <c r="C369">
        <v>2</v>
      </c>
      <c r="D369" t="str">
        <f>+VLOOKUP(AtecoCrisi[[#This Row],[COD. CRISI]],Tabella139[],2,0)</f>
        <v>B) Estrazione; C) Manifattura; D) Produzione energia/gas</v>
      </c>
      <c r="E369" s="53">
        <f t="shared" si="35"/>
        <v>0.03</v>
      </c>
      <c r="F369" s="53">
        <f t="shared" si="36"/>
        <v>7.5999999999999998E-2</v>
      </c>
      <c r="G369" s="53">
        <f t="shared" si="37"/>
        <v>0.93700000000000006</v>
      </c>
      <c r="H369" s="53">
        <f t="shared" si="38"/>
        <v>5.0000000000000001E-3</v>
      </c>
      <c r="I369" s="53">
        <f t="shared" si="39"/>
        <v>4.9000000000000002E-2</v>
      </c>
      <c r="L369" t="s">
        <v>1015</v>
      </c>
      <c r="M369" t="str">
        <f t="shared" si="41"/>
        <v>Fabbricazione di macchine tessili, di macchine e di impianti per il trattamento ausiliario dei tessili, di macchine per cucire e per maglieria (incluse parti e accessori)</v>
      </c>
      <c r="N369" t="str">
        <f t="shared" si="40"/>
        <v>B) Estrazione; C) Manifattura; D) Produzione energia/gas</v>
      </c>
    </row>
    <row r="370" spans="1:14" ht="102">
      <c r="A370" s="58" t="s">
        <v>957</v>
      </c>
      <c r="B370" s="59" t="s">
        <v>958</v>
      </c>
      <c r="C370">
        <v>2</v>
      </c>
      <c r="D370" t="str">
        <f>+VLOOKUP(AtecoCrisi[[#This Row],[COD. CRISI]],Tabella139[],2,0)</f>
        <v>B) Estrazione; C) Manifattura; D) Produzione energia/gas</v>
      </c>
      <c r="E370" s="53">
        <f t="shared" si="35"/>
        <v>0.03</v>
      </c>
      <c r="F370" s="53">
        <f t="shared" si="36"/>
        <v>7.5999999999999998E-2</v>
      </c>
      <c r="G370" s="53">
        <f t="shared" si="37"/>
        <v>0.93700000000000006</v>
      </c>
      <c r="H370" s="53">
        <f t="shared" si="38"/>
        <v>5.0000000000000001E-3</v>
      </c>
      <c r="I370" s="53">
        <f t="shared" si="39"/>
        <v>4.9000000000000002E-2</v>
      </c>
      <c r="L370" t="s">
        <v>1017</v>
      </c>
      <c r="M370" t="str">
        <f t="shared" si="41"/>
        <v>Fabbricazione di macchine e apparecchi per l'industria delle pelli, del cuoio e delle calzature (incluse parti e accessori)</v>
      </c>
      <c r="N370" t="str">
        <f t="shared" si="40"/>
        <v>B) Estrazione; C) Manifattura; D) Produzione energia/gas</v>
      </c>
    </row>
    <row r="371" spans="1:14" ht="25.5">
      <c r="A371" s="58" t="s">
        <v>959</v>
      </c>
      <c r="B371" s="59" t="s">
        <v>960</v>
      </c>
      <c r="C371">
        <v>2</v>
      </c>
      <c r="D371" t="str">
        <f>+VLOOKUP(AtecoCrisi[[#This Row],[COD. CRISI]],Tabella139[],2,0)</f>
        <v>B) Estrazione; C) Manifattura; D) Produzione energia/gas</v>
      </c>
      <c r="E371" s="53">
        <f t="shared" si="35"/>
        <v>0.03</v>
      </c>
      <c r="F371" s="53">
        <f t="shared" si="36"/>
        <v>7.5999999999999998E-2</v>
      </c>
      <c r="G371" s="53">
        <f t="shared" si="37"/>
        <v>0.93700000000000006</v>
      </c>
      <c r="H371" s="53">
        <f t="shared" si="38"/>
        <v>5.0000000000000001E-3</v>
      </c>
      <c r="I371" s="53">
        <f t="shared" si="39"/>
        <v>4.9000000000000002E-2</v>
      </c>
      <c r="L371" t="s">
        <v>1019</v>
      </c>
      <c r="M371" t="str">
        <f t="shared" si="41"/>
        <v>Fabbricazione di apparecchiature e di macchine per lavanderie e stirerie (incluse parti e accessori)</v>
      </c>
      <c r="N371" t="str">
        <f t="shared" si="40"/>
        <v>B) Estrazione; C) Manifattura; D) Produzione energia/gas</v>
      </c>
    </row>
    <row r="372" spans="1:14" ht="38.25">
      <c r="A372" s="58" t="s">
        <v>961</v>
      </c>
      <c r="B372" s="59" t="s">
        <v>962</v>
      </c>
      <c r="C372">
        <v>2</v>
      </c>
      <c r="D372" t="str">
        <f>+VLOOKUP(AtecoCrisi[[#This Row],[COD. CRISI]],Tabella139[],2,0)</f>
        <v>B) Estrazione; C) Manifattura; D) Produzione energia/gas</v>
      </c>
      <c r="E372" s="53">
        <f t="shared" si="35"/>
        <v>0.03</v>
      </c>
      <c r="F372" s="53">
        <f t="shared" si="36"/>
        <v>7.5999999999999998E-2</v>
      </c>
      <c r="G372" s="53">
        <f t="shared" si="37"/>
        <v>0.93700000000000006</v>
      </c>
      <c r="H372" s="53">
        <f t="shared" si="38"/>
        <v>5.0000000000000001E-3</v>
      </c>
      <c r="I372" s="53">
        <f t="shared" si="39"/>
        <v>4.9000000000000002E-2</v>
      </c>
      <c r="L372" t="s">
        <v>1021</v>
      </c>
      <c r="M372" t="str">
        <f t="shared" si="41"/>
        <v>Fabbricazione di macchine per l'industria della carta e del cartone (incluse parti e accessori)</v>
      </c>
      <c r="N372" t="str">
        <f t="shared" si="40"/>
        <v>B) Estrazione; C) Manifattura; D) Produzione energia/gas</v>
      </c>
    </row>
    <row r="373" spans="1:14" ht="38.25">
      <c r="A373" s="58" t="s">
        <v>963</v>
      </c>
      <c r="B373" s="59" t="s">
        <v>964</v>
      </c>
      <c r="C373">
        <v>2</v>
      </c>
      <c r="D373" t="str">
        <f>+VLOOKUP(AtecoCrisi[[#This Row],[COD. CRISI]],Tabella139[],2,0)</f>
        <v>B) Estrazione; C) Manifattura; D) Produzione energia/gas</v>
      </c>
      <c r="E373" s="53">
        <f t="shared" si="35"/>
        <v>0.03</v>
      </c>
      <c r="F373" s="53">
        <f t="shared" si="36"/>
        <v>7.5999999999999998E-2</v>
      </c>
      <c r="G373" s="53">
        <f t="shared" si="37"/>
        <v>0.93700000000000006</v>
      </c>
      <c r="H373" s="53">
        <f t="shared" si="38"/>
        <v>5.0000000000000001E-3</v>
      </c>
      <c r="I373" s="53">
        <f t="shared" si="39"/>
        <v>4.9000000000000002E-2</v>
      </c>
      <c r="L373" t="s">
        <v>1023</v>
      </c>
      <c r="M373" t="str">
        <f t="shared" si="41"/>
        <v>Fabbricazione di macchine per l'industria delle materie plastiche e della gomma (incluse parti e accessori)</v>
      </c>
      <c r="N373" t="str">
        <f t="shared" si="40"/>
        <v>B) Estrazione; C) Manifattura; D) Produzione energia/gas</v>
      </c>
    </row>
    <row r="374" spans="1:14" ht="38.25">
      <c r="A374" s="58" t="s">
        <v>965</v>
      </c>
      <c r="B374" s="59" t="s">
        <v>966</v>
      </c>
      <c r="C374">
        <v>2</v>
      </c>
      <c r="D374" t="str">
        <f>+VLOOKUP(AtecoCrisi[[#This Row],[COD. CRISI]],Tabella139[],2,0)</f>
        <v>B) Estrazione; C) Manifattura; D) Produzione energia/gas</v>
      </c>
      <c r="E374" s="53">
        <f t="shared" si="35"/>
        <v>0.03</v>
      </c>
      <c r="F374" s="53">
        <f t="shared" si="36"/>
        <v>7.5999999999999998E-2</v>
      </c>
      <c r="G374" s="53">
        <f t="shared" si="37"/>
        <v>0.93700000000000006</v>
      </c>
      <c r="H374" s="53">
        <f t="shared" si="38"/>
        <v>5.0000000000000001E-3</v>
      </c>
      <c r="I374" s="53">
        <f t="shared" si="39"/>
        <v>4.9000000000000002E-2</v>
      </c>
      <c r="L374" t="s">
        <v>1025</v>
      </c>
      <c r="M374" t="str">
        <f t="shared" si="41"/>
        <v>Fabbricazione di macchine per la stampa e la legatoria (incluse parti e accessori)</v>
      </c>
      <c r="N374" t="str">
        <f t="shared" si="40"/>
        <v>B) Estrazione; C) Manifattura; D) Produzione energia/gas</v>
      </c>
    </row>
    <row r="375" spans="1:14" ht="51">
      <c r="A375" s="58" t="s">
        <v>967</v>
      </c>
      <c r="B375" s="59" t="s">
        <v>968</v>
      </c>
      <c r="C375">
        <v>2</v>
      </c>
      <c r="D375" t="str">
        <f>+VLOOKUP(AtecoCrisi[[#This Row],[COD. CRISI]],Tabella139[],2,0)</f>
        <v>B) Estrazione; C) Manifattura; D) Produzione energia/gas</v>
      </c>
      <c r="E375" s="53">
        <f t="shared" si="35"/>
        <v>0.03</v>
      </c>
      <c r="F375" s="53">
        <f t="shared" si="36"/>
        <v>7.5999999999999998E-2</v>
      </c>
      <c r="G375" s="53">
        <f t="shared" si="37"/>
        <v>0.93700000000000006</v>
      </c>
      <c r="H375" s="53">
        <f t="shared" si="38"/>
        <v>5.0000000000000001E-3</v>
      </c>
      <c r="I375" s="53">
        <f t="shared" si="39"/>
        <v>4.9000000000000002E-2</v>
      </c>
      <c r="L375" t="s">
        <v>1027</v>
      </c>
      <c r="M375" t="str">
        <f t="shared" si="41"/>
        <v>Fabbricazione di robot industriali per usi molteplici (incluse parti e accessori)</v>
      </c>
      <c r="N375" t="str">
        <f t="shared" si="40"/>
        <v>B) Estrazione; C) Manifattura; D) Produzione energia/gas</v>
      </c>
    </row>
    <row r="376" spans="1:14" ht="89.25">
      <c r="A376" s="58" t="s">
        <v>969</v>
      </c>
      <c r="B376" s="59" t="s">
        <v>970</v>
      </c>
      <c r="C376">
        <v>2</v>
      </c>
      <c r="D376" t="str">
        <f>+VLOOKUP(AtecoCrisi[[#This Row],[COD. CRISI]],Tabella139[],2,0)</f>
        <v>B) Estrazione; C) Manifattura; D) Produzione energia/gas</v>
      </c>
      <c r="E376" s="53">
        <f t="shared" si="35"/>
        <v>0.03</v>
      </c>
      <c r="F376" s="53">
        <f t="shared" si="36"/>
        <v>7.5999999999999998E-2</v>
      </c>
      <c r="G376" s="53">
        <f t="shared" si="37"/>
        <v>0.93700000000000006</v>
      </c>
      <c r="H376" s="53">
        <f t="shared" si="38"/>
        <v>5.0000000000000001E-3</v>
      </c>
      <c r="I376" s="53">
        <f t="shared" si="39"/>
        <v>4.9000000000000002E-2</v>
      </c>
      <c r="L376" t="s">
        <v>1029</v>
      </c>
      <c r="M376" t="str">
        <f t="shared" si="41"/>
        <v>Fabbricazione di apparecchi per istituti di bellezza e centri di benessere</v>
      </c>
      <c r="N376" t="str">
        <f t="shared" si="40"/>
        <v>B) Estrazione; C) Manifattura; D) Produzione energia/gas</v>
      </c>
    </row>
    <row r="377" spans="1:14" ht="25.5">
      <c r="A377" s="58" t="s">
        <v>971</v>
      </c>
      <c r="B377" s="59" t="s">
        <v>972</v>
      </c>
      <c r="C377">
        <v>2</v>
      </c>
      <c r="D377" t="str">
        <f>+VLOOKUP(AtecoCrisi[[#This Row],[COD. CRISI]],Tabella139[],2,0)</f>
        <v>B) Estrazione; C) Manifattura; D) Produzione energia/gas</v>
      </c>
      <c r="E377" s="53">
        <f t="shared" si="35"/>
        <v>0.03</v>
      </c>
      <c r="F377" s="53">
        <f t="shared" si="36"/>
        <v>7.5999999999999998E-2</v>
      </c>
      <c r="G377" s="53">
        <f t="shared" si="37"/>
        <v>0.93700000000000006</v>
      </c>
      <c r="H377" s="53">
        <f t="shared" si="38"/>
        <v>5.0000000000000001E-3</v>
      </c>
      <c r="I377" s="53">
        <f t="shared" si="39"/>
        <v>4.9000000000000002E-2</v>
      </c>
      <c r="L377" t="s">
        <v>1031</v>
      </c>
      <c r="M377" t="str">
        <f t="shared" si="41"/>
        <v>Fabbricazione di apparecchiature per il lancio di aeromobili, catapulte per portaerei e apparecchiature simili</v>
      </c>
      <c r="N377" t="str">
        <f t="shared" si="40"/>
        <v>B) Estrazione; C) Manifattura; D) Produzione energia/gas</v>
      </c>
    </row>
    <row r="378" spans="1:14" ht="63.75">
      <c r="A378" s="58" t="s">
        <v>973</v>
      </c>
      <c r="B378" s="59" t="s">
        <v>974</v>
      </c>
      <c r="C378">
        <v>2</v>
      </c>
      <c r="D378" t="str">
        <f>+VLOOKUP(AtecoCrisi[[#This Row],[COD. CRISI]],Tabella139[],2,0)</f>
        <v>B) Estrazione; C) Manifattura; D) Produzione energia/gas</v>
      </c>
      <c r="E378" s="53">
        <f t="shared" si="35"/>
        <v>0.03</v>
      </c>
      <c r="F378" s="53">
        <f t="shared" si="36"/>
        <v>7.5999999999999998E-2</v>
      </c>
      <c r="G378" s="53">
        <f t="shared" si="37"/>
        <v>0.93700000000000006</v>
      </c>
      <c r="H378" s="53">
        <f t="shared" si="38"/>
        <v>5.0000000000000001E-3</v>
      </c>
      <c r="I378" s="53">
        <f t="shared" si="39"/>
        <v>4.9000000000000002E-2</v>
      </c>
      <c r="L378" t="s">
        <v>1033</v>
      </c>
      <c r="M378" t="str">
        <f t="shared" si="41"/>
        <v>Fabbricazione di giostre, altalene ed altre attrezzature per parchi di divertimento</v>
      </c>
      <c r="N378" t="str">
        <f t="shared" si="40"/>
        <v>B) Estrazione; C) Manifattura; D) Produzione energia/gas</v>
      </c>
    </row>
    <row r="379" spans="1:14" ht="25.5">
      <c r="A379" s="58" t="s">
        <v>975</v>
      </c>
      <c r="B379" s="59" t="s">
        <v>976</v>
      </c>
      <c r="C379">
        <v>2</v>
      </c>
      <c r="D379" t="str">
        <f>+VLOOKUP(AtecoCrisi[[#This Row],[COD. CRISI]],Tabella139[],2,0)</f>
        <v>B) Estrazione; C) Manifattura; D) Produzione energia/gas</v>
      </c>
      <c r="E379" s="53">
        <f t="shared" si="35"/>
        <v>0.03</v>
      </c>
      <c r="F379" s="53">
        <f t="shared" si="36"/>
        <v>7.5999999999999998E-2</v>
      </c>
      <c r="G379" s="53">
        <f t="shared" si="37"/>
        <v>0.93700000000000006</v>
      </c>
      <c r="H379" s="53">
        <f t="shared" si="38"/>
        <v>5.0000000000000001E-3</v>
      </c>
      <c r="I379" s="53">
        <f t="shared" si="39"/>
        <v>4.9000000000000002E-2</v>
      </c>
      <c r="L379" t="s">
        <v>1035</v>
      </c>
      <c r="M379" t="str">
        <f t="shared" si="41"/>
        <v>Fabbricazione di apparecchiature per l'allineamento e il bilanciamento delle ruote; altre apparecchiature per il bilanciamento</v>
      </c>
      <c r="N379" t="str">
        <f t="shared" si="40"/>
        <v>B) Estrazione; C) Manifattura; D) Produzione energia/gas</v>
      </c>
    </row>
    <row r="380" spans="1:14" ht="76.5">
      <c r="A380" s="58" t="s">
        <v>977</v>
      </c>
      <c r="B380" s="59" t="s">
        <v>978</v>
      </c>
      <c r="C380">
        <v>2</v>
      </c>
      <c r="D380" t="str">
        <f>+VLOOKUP(AtecoCrisi[[#This Row],[COD. CRISI]],Tabella139[],2,0)</f>
        <v>B) Estrazione; C) Manifattura; D) Produzione energia/gas</v>
      </c>
      <c r="E380" s="53">
        <f t="shared" si="35"/>
        <v>0.03</v>
      </c>
      <c r="F380" s="53">
        <f t="shared" si="36"/>
        <v>7.5999999999999998E-2</v>
      </c>
      <c r="G380" s="53">
        <f t="shared" si="37"/>
        <v>0.93700000000000006</v>
      </c>
      <c r="H380" s="53">
        <f t="shared" si="38"/>
        <v>5.0000000000000001E-3</v>
      </c>
      <c r="I380" s="53">
        <f t="shared" si="39"/>
        <v>4.9000000000000002E-2</v>
      </c>
      <c r="L380" t="s">
        <v>1037</v>
      </c>
      <c r="M380" t="str">
        <f t="shared" si="41"/>
        <v>Fabbricazione di altre macchine ed attrezzature per impieghi speciali nca (incluse parti e accessori)</v>
      </c>
      <c r="N380" t="str">
        <f t="shared" si="40"/>
        <v>B) Estrazione; C) Manifattura; D) Produzione energia/gas</v>
      </c>
    </row>
    <row r="381" spans="1:14" ht="38.25">
      <c r="A381" s="58" t="s">
        <v>979</v>
      </c>
      <c r="B381" s="59" t="s">
        <v>980</v>
      </c>
      <c r="C381">
        <v>2</v>
      </c>
      <c r="D381" t="str">
        <f>+VLOOKUP(AtecoCrisi[[#This Row],[COD. CRISI]],Tabella139[],2,0)</f>
        <v>B) Estrazione; C) Manifattura; D) Produzione energia/gas</v>
      </c>
      <c r="E381" s="53">
        <f t="shared" si="35"/>
        <v>0.03</v>
      </c>
      <c r="F381" s="53">
        <f t="shared" si="36"/>
        <v>7.5999999999999998E-2</v>
      </c>
      <c r="G381" s="53">
        <f t="shared" si="37"/>
        <v>0.93700000000000006</v>
      </c>
      <c r="H381" s="53">
        <f t="shared" si="38"/>
        <v>5.0000000000000001E-3</v>
      </c>
      <c r="I381" s="53">
        <f t="shared" si="39"/>
        <v>4.9000000000000002E-2</v>
      </c>
      <c r="L381" t="s">
        <v>1041</v>
      </c>
      <c r="M381" t="str">
        <f t="shared" si="41"/>
        <v>Fabbricazione di autoveicoli</v>
      </c>
      <c r="N381" t="str">
        <f t="shared" si="40"/>
        <v>B) Estrazione; C) Manifattura; D) Produzione energia/gas</v>
      </c>
    </row>
    <row r="382" spans="1:14" ht="102">
      <c r="A382" s="58" t="s">
        <v>981</v>
      </c>
      <c r="B382" s="59" t="s">
        <v>982</v>
      </c>
      <c r="C382">
        <v>2</v>
      </c>
      <c r="D382" t="str">
        <f>+VLOOKUP(AtecoCrisi[[#This Row],[COD. CRISI]],Tabella139[],2,0)</f>
        <v>B) Estrazione; C) Manifattura; D) Produzione energia/gas</v>
      </c>
      <c r="E382" s="53">
        <f t="shared" si="35"/>
        <v>0.03</v>
      </c>
      <c r="F382" s="53">
        <f t="shared" si="36"/>
        <v>7.5999999999999998E-2</v>
      </c>
      <c r="G382" s="53">
        <f t="shared" si="37"/>
        <v>0.93700000000000006</v>
      </c>
      <c r="H382" s="53">
        <f t="shared" si="38"/>
        <v>5.0000000000000001E-3</v>
      </c>
      <c r="I382" s="53">
        <f t="shared" si="39"/>
        <v>4.9000000000000002E-2</v>
      </c>
      <c r="L382" t="s">
        <v>1043</v>
      </c>
      <c r="M382" t="str">
        <f t="shared" si="41"/>
        <v>Fabbricazione di carrozzerie per autoveicoli, rimorchi e semirimorchi</v>
      </c>
      <c r="N382" t="str">
        <f t="shared" si="40"/>
        <v>B) Estrazione; C) Manifattura; D) Produzione energia/gas</v>
      </c>
    </row>
    <row r="383" spans="1:14" ht="114.75">
      <c r="A383" s="58" t="s">
        <v>983</v>
      </c>
      <c r="B383" s="59" t="s">
        <v>984</v>
      </c>
      <c r="C383">
        <v>2</v>
      </c>
      <c r="D383" t="str">
        <f>+VLOOKUP(AtecoCrisi[[#This Row],[COD. CRISI]],Tabella139[],2,0)</f>
        <v>B) Estrazione; C) Manifattura; D) Produzione energia/gas</v>
      </c>
      <c r="E383" s="53">
        <f t="shared" si="35"/>
        <v>0.03</v>
      </c>
      <c r="F383" s="53">
        <f t="shared" si="36"/>
        <v>7.5999999999999998E-2</v>
      </c>
      <c r="G383" s="53">
        <f t="shared" si="37"/>
        <v>0.93700000000000006</v>
      </c>
      <c r="H383" s="53">
        <f t="shared" si="38"/>
        <v>5.0000000000000001E-3</v>
      </c>
      <c r="I383" s="53">
        <f t="shared" si="39"/>
        <v>4.9000000000000002E-2</v>
      </c>
      <c r="L383" t="s">
        <v>1045</v>
      </c>
      <c r="M383" t="str">
        <f t="shared" si="41"/>
        <v>Fabbricazione di apparecchiature elettriche ed elettroniche per autoveicoli e loro motori</v>
      </c>
      <c r="N383" t="str">
        <f t="shared" si="40"/>
        <v>B) Estrazione; C) Manifattura; D) Produzione energia/gas</v>
      </c>
    </row>
    <row r="384" spans="1:14" ht="89.25">
      <c r="A384" s="58" t="s">
        <v>985</v>
      </c>
      <c r="B384" s="59" t="s">
        <v>986</v>
      </c>
      <c r="C384">
        <v>2</v>
      </c>
      <c r="D384" t="str">
        <f>+VLOOKUP(AtecoCrisi[[#This Row],[COD. CRISI]],Tabella139[],2,0)</f>
        <v>B) Estrazione; C) Manifattura; D) Produzione energia/gas</v>
      </c>
      <c r="E384" s="53">
        <f t="shared" si="35"/>
        <v>0.03</v>
      </c>
      <c r="F384" s="53">
        <f t="shared" si="36"/>
        <v>7.5999999999999998E-2</v>
      </c>
      <c r="G384" s="53">
        <f t="shared" si="37"/>
        <v>0.93700000000000006</v>
      </c>
      <c r="H384" s="53">
        <f t="shared" si="38"/>
        <v>5.0000000000000001E-3</v>
      </c>
      <c r="I384" s="53">
        <f t="shared" si="39"/>
        <v>4.9000000000000002E-2</v>
      </c>
      <c r="L384" t="s">
        <v>1047</v>
      </c>
      <c r="M384" t="str">
        <f t="shared" si="41"/>
        <v>Fabbricazione di sedili per autoveicoli</v>
      </c>
      <c r="N384" t="str">
        <f t="shared" si="40"/>
        <v>B) Estrazione; C) Manifattura; D) Produzione energia/gas</v>
      </c>
    </row>
    <row r="385" spans="1:14" ht="102">
      <c r="A385" s="58" t="s">
        <v>987</v>
      </c>
      <c r="B385" s="59" t="s">
        <v>988</v>
      </c>
      <c r="C385">
        <v>2</v>
      </c>
      <c r="D385" t="str">
        <f>+VLOOKUP(AtecoCrisi[[#This Row],[COD. CRISI]],Tabella139[],2,0)</f>
        <v>B) Estrazione; C) Manifattura; D) Produzione energia/gas</v>
      </c>
      <c r="E385" s="53">
        <f t="shared" si="35"/>
        <v>0.03</v>
      </c>
      <c r="F385" s="53">
        <f t="shared" si="36"/>
        <v>7.5999999999999998E-2</v>
      </c>
      <c r="G385" s="53">
        <f t="shared" si="37"/>
        <v>0.93700000000000006</v>
      </c>
      <c r="H385" s="53">
        <f t="shared" si="38"/>
        <v>5.0000000000000001E-3</v>
      </c>
      <c r="I385" s="53">
        <f t="shared" si="39"/>
        <v>4.9000000000000002E-2</v>
      </c>
      <c r="L385" t="s">
        <v>1049</v>
      </c>
      <c r="M385" t="str">
        <f t="shared" si="41"/>
        <v>Fabbricazione di altre parti ed accessori per autoveicoli e loro motori nca</v>
      </c>
      <c r="N385" t="str">
        <f t="shared" si="40"/>
        <v>B) Estrazione; C) Manifattura; D) Produzione energia/gas</v>
      </c>
    </row>
    <row r="386" spans="1:14" ht="63.75">
      <c r="A386" s="58" t="s">
        <v>989</v>
      </c>
      <c r="B386" s="59" t="s">
        <v>990</v>
      </c>
      <c r="C386">
        <v>2</v>
      </c>
      <c r="D386" t="str">
        <f>+VLOOKUP(AtecoCrisi[[#This Row],[COD. CRISI]],Tabella139[],2,0)</f>
        <v>B) Estrazione; C) Manifattura; D) Produzione energia/gas</v>
      </c>
      <c r="E386" s="53">
        <f t="shared" ref="E386:E449" si="42">+VLOOKUP(C386,$R$2:$X$11,3,FALSE)</f>
        <v>0.03</v>
      </c>
      <c r="F386" s="53">
        <f t="shared" ref="F386:F449" si="43">+VLOOKUP(C386,$R$2:$X$11,4,FALSE)</f>
        <v>7.5999999999999998E-2</v>
      </c>
      <c r="G386" s="53">
        <f t="shared" ref="G386:G449" si="44">+VLOOKUP(C386,$R$2:$X$11,5,FALSE)</f>
        <v>0.93700000000000006</v>
      </c>
      <c r="H386" s="53">
        <f t="shared" ref="H386:H449" si="45">+VLOOKUP(C386,$R$2:$X$11,6,FALSE)</f>
        <v>5.0000000000000001E-3</v>
      </c>
      <c r="I386" s="53">
        <f t="shared" ref="I386:I449" si="46">+VLOOKUP(C386,$R$2:$X$11,7,FALSE)</f>
        <v>4.9000000000000002E-2</v>
      </c>
      <c r="L386" t="s">
        <v>1053</v>
      </c>
      <c r="M386" t="str">
        <f t="shared" si="41"/>
        <v>Fabbricazione di sedili per navi</v>
      </c>
      <c r="N386" t="str">
        <f t="shared" ref="N386:N449" si="47">+VLOOKUP(L386,A:D,4,0)</f>
        <v>B) Estrazione; C) Manifattura; D) Produzione energia/gas</v>
      </c>
    </row>
    <row r="387" spans="1:14" ht="63.75">
      <c r="A387" s="58" t="s">
        <v>991</v>
      </c>
      <c r="B387" s="59" t="s">
        <v>992</v>
      </c>
      <c r="C387">
        <v>2</v>
      </c>
      <c r="D387" t="str">
        <f>+VLOOKUP(AtecoCrisi[[#This Row],[COD. CRISI]],Tabella139[],2,0)</f>
        <v>B) Estrazione; C) Manifattura; D) Produzione energia/gas</v>
      </c>
      <c r="E387" s="53">
        <f t="shared" si="42"/>
        <v>0.03</v>
      </c>
      <c r="F387" s="53">
        <f t="shared" si="43"/>
        <v>7.5999999999999998E-2</v>
      </c>
      <c r="G387" s="53">
        <f t="shared" si="44"/>
        <v>0.93700000000000006</v>
      </c>
      <c r="H387" s="53">
        <f t="shared" si="45"/>
        <v>5.0000000000000001E-3</v>
      </c>
      <c r="I387" s="53">
        <f t="shared" si="46"/>
        <v>4.9000000000000002E-2</v>
      </c>
      <c r="L387" t="s">
        <v>1055</v>
      </c>
      <c r="M387" t="str">
        <f t="shared" ref="M387:M450" si="48">+VLOOKUP(L387,A:B,2,0)</f>
        <v>Cantieri navali per costruzioni metalliche e non metalliche (esclusi i sedili per navi)</v>
      </c>
      <c r="N387" t="str">
        <f t="shared" si="47"/>
        <v>B) Estrazione; C) Manifattura; D) Produzione energia/gas</v>
      </c>
    </row>
    <row r="388" spans="1:14" ht="102">
      <c r="A388" s="58" t="s">
        <v>993</v>
      </c>
      <c r="B388" s="59" t="s">
        <v>994</v>
      </c>
      <c r="C388">
        <v>2</v>
      </c>
      <c r="D388" t="str">
        <f>+VLOOKUP(AtecoCrisi[[#This Row],[COD. CRISI]],Tabella139[],2,0)</f>
        <v>B) Estrazione; C) Manifattura; D) Produzione energia/gas</v>
      </c>
      <c r="E388" s="53">
        <f t="shared" si="42"/>
        <v>0.03</v>
      </c>
      <c r="F388" s="53">
        <f t="shared" si="43"/>
        <v>7.5999999999999998E-2</v>
      </c>
      <c r="G388" s="53">
        <f t="shared" si="44"/>
        <v>0.93700000000000006</v>
      </c>
      <c r="H388" s="53">
        <f t="shared" si="45"/>
        <v>5.0000000000000001E-3</v>
      </c>
      <c r="I388" s="53">
        <f t="shared" si="46"/>
        <v>4.9000000000000002E-2</v>
      </c>
      <c r="L388" t="s">
        <v>1057</v>
      </c>
      <c r="M388" t="str">
        <f t="shared" si="48"/>
        <v>Costruzione di imbarcazioni da diporto e sportive</v>
      </c>
      <c r="N388" t="str">
        <f t="shared" si="47"/>
        <v>B) Estrazione; C) Manifattura; D) Produzione energia/gas</v>
      </c>
    </row>
    <row r="389" spans="1:14" ht="76.5">
      <c r="A389" s="58" t="s">
        <v>995</v>
      </c>
      <c r="B389" s="59" t="s">
        <v>996</v>
      </c>
      <c r="C389">
        <v>2</v>
      </c>
      <c r="D389" t="str">
        <f>+VLOOKUP(AtecoCrisi[[#This Row],[COD. CRISI]],Tabella139[],2,0)</f>
        <v>B) Estrazione; C) Manifattura; D) Produzione energia/gas</v>
      </c>
      <c r="E389" s="53">
        <f t="shared" si="42"/>
        <v>0.03</v>
      </c>
      <c r="F389" s="53">
        <f t="shared" si="43"/>
        <v>7.5999999999999998E-2</v>
      </c>
      <c r="G389" s="53">
        <f t="shared" si="44"/>
        <v>0.93700000000000006</v>
      </c>
      <c r="H389" s="53">
        <f t="shared" si="45"/>
        <v>5.0000000000000001E-3</v>
      </c>
      <c r="I389" s="53">
        <f t="shared" si="46"/>
        <v>4.9000000000000002E-2</v>
      </c>
      <c r="L389" t="s">
        <v>1059</v>
      </c>
      <c r="M389" t="str">
        <f t="shared" si="48"/>
        <v>Fabbricazione di sedili per tram, filovie e metropolitane</v>
      </c>
      <c r="N389" t="str">
        <f t="shared" si="47"/>
        <v>B) Estrazione; C) Manifattura; D) Produzione energia/gas</v>
      </c>
    </row>
    <row r="390" spans="1:14" ht="25.5">
      <c r="A390" s="58" t="s">
        <v>997</v>
      </c>
      <c r="B390" s="59" t="s">
        <v>998</v>
      </c>
      <c r="C390">
        <v>2</v>
      </c>
      <c r="D390" t="str">
        <f>+VLOOKUP(AtecoCrisi[[#This Row],[COD. CRISI]],Tabella139[],2,0)</f>
        <v>B) Estrazione; C) Manifattura; D) Produzione energia/gas</v>
      </c>
      <c r="E390" s="53">
        <f t="shared" si="42"/>
        <v>0.03</v>
      </c>
      <c r="F390" s="53">
        <f t="shared" si="43"/>
        <v>7.5999999999999998E-2</v>
      </c>
      <c r="G390" s="53">
        <f t="shared" si="44"/>
        <v>0.93700000000000006</v>
      </c>
      <c r="H390" s="53">
        <f t="shared" si="45"/>
        <v>5.0000000000000001E-3</v>
      </c>
      <c r="I390" s="53">
        <f t="shared" si="46"/>
        <v>4.9000000000000002E-2</v>
      </c>
      <c r="L390" t="s">
        <v>1061</v>
      </c>
      <c r="M390" t="str">
        <f t="shared" si="48"/>
        <v>Costruzione di altro materiale rotabile ferroviario, tranviario, filoviario, per metropolitane e per miniere</v>
      </c>
      <c r="N390" t="str">
        <f t="shared" si="47"/>
        <v>B) Estrazione; C) Manifattura; D) Produzione energia/gas</v>
      </c>
    </row>
    <row r="391" spans="1:14" ht="63.75">
      <c r="A391" s="58" t="s">
        <v>999</v>
      </c>
      <c r="B391" s="59" t="s">
        <v>1000</v>
      </c>
      <c r="C391">
        <v>2</v>
      </c>
      <c r="D391" t="str">
        <f>+VLOOKUP(AtecoCrisi[[#This Row],[COD. CRISI]],Tabella139[],2,0)</f>
        <v>B) Estrazione; C) Manifattura; D) Produzione energia/gas</v>
      </c>
      <c r="E391" s="53">
        <f t="shared" si="42"/>
        <v>0.03</v>
      </c>
      <c r="F391" s="53">
        <f t="shared" si="43"/>
        <v>7.5999999999999998E-2</v>
      </c>
      <c r="G391" s="53">
        <f t="shared" si="44"/>
        <v>0.93700000000000006</v>
      </c>
      <c r="H391" s="53">
        <f t="shared" si="45"/>
        <v>5.0000000000000001E-3</v>
      </c>
      <c r="I391" s="53">
        <f t="shared" si="46"/>
        <v>4.9000000000000002E-2</v>
      </c>
      <c r="L391" t="s">
        <v>1063</v>
      </c>
      <c r="M391" t="str">
        <f t="shared" si="48"/>
        <v>Fabbricazione di sedili per aeromobili</v>
      </c>
      <c r="N391" t="str">
        <f t="shared" si="47"/>
        <v>B) Estrazione; C) Manifattura; D) Produzione energia/gas</v>
      </c>
    </row>
    <row r="392" spans="1:14" ht="89.25">
      <c r="A392" s="58" t="s">
        <v>1001</v>
      </c>
      <c r="B392" s="59" t="s">
        <v>1002</v>
      </c>
      <c r="C392">
        <v>2</v>
      </c>
      <c r="D392" t="str">
        <f>+VLOOKUP(AtecoCrisi[[#This Row],[COD. CRISI]],Tabella139[],2,0)</f>
        <v>B) Estrazione; C) Manifattura; D) Produzione energia/gas</v>
      </c>
      <c r="E392" s="53">
        <f t="shared" si="42"/>
        <v>0.03</v>
      </c>
      <c r="F392" s="53">
        <f t="shared" si="43"/>
        <v>7.5999999999999998E-2</v>
      </c>
      <c r="G392" s="53">
        <f t="shared" si="44"/>
        <v>0.93700000000000006</v>
      </c>
      <c r="H392" s="53">
        <f t="shared" si="45"/>
        <v>5.0000000000000001E-3</v>
      </c>
      <c r="I392" s="53">
        <f t="shared" si="46"/>
        <v>4.9000000000000002E-2</v>
      </c>
      <c r="L392" t="s">
        <v>1065</v>
      </c>
      <c r="M392" t="str">
        <f t="shared" si="48"/>
        <v>Fabbricazione di missili balistici</v>
      </c>
      <c r="N392" t="str">
        <f t="shared" si="47"/>
        <v>B) Estrazione; C) Manifattura; D) Produzione energia/gas</v>
      </c>
    </row>
    <row r="393" spans="1:14" ht="38.25">
      <c r="A393" s="58" t="s">
        <v>1003</v>
      </c>
      <c r="B393" s="59" t="s">
        <v>1004</v>
      </c>
      <c r="C393">
        <v>2</v>
      </c>
      <c r="D393" t="str">
        <f>+VLOOKUP(AtecoCrisi[[#This Row],[COD. CRISI]],Tabella139[],2,0)</f>
        <v>B) Estrazione; C) Manifattura; D) Produzione energia/gas</v>
      </c>
      <c r="E393" s="53">
        <f t="shared" si="42"/>
        <v>0.03</v>
      </c>
      <c r="F393" s="53">
        <f t="shared" si="43"/>
        <v>7.5999999999999998E-2</v>
      </c>
      <c r="G393" s="53">
        <f t="shared" si="44"/>
        <v>0.93700000000000006</v>
      </c>
      <c r="H393" s="53">
        <f t="shared" si="45"/>
        <v>5.0000000000000001E-3</v>
      </c>
      <c r="I393" s="53">
        <f t="shared" si="46"/>
        <v>4.9000000000000002E-2</v>
      </c>
      <c r="L393" t="s">
        <v>1067</v>
      </c>
      <c r="M393" t="str">
        <f t="shared" si="48"/>
        <v>Fabbricazione di aeromobili, di veicoli spaziali e dei relativi dispositivi nca</v>
      </c>
      <c r="N393" t="str">
        <f t="shared" si="47"/>
        <v>B) Estrazione; C) Manifattura; D) Produzione energia/gas</v>
      </c>
    </row>
    <row r="394" spans="1:14" ht="63.75">
      <c r="A394" s="58" t="s">
        <v>1005</v>
      </c>
      <c r="B394" s="59" t="s">
        <v>1006</v>
      </c>
      <c r="C394">
        <v>2</v>
      </c>
      <c r="D394" t="str">
        <f>+VLOOKUP(AtecoCrisi[[#This Row],[COD. CRISI]],Tabella139[],2,0)</f>
        <v>B) Estrazione; C) Manifattura; D) Produzione energia/gas</v>
      </c>
      <c r="E394" s="53">
        <f t="shared" si="42"/>
        <v>0.03</v>
      </c>
      <c r="F394" s="53">
        <f t="shared" si="43"/>
        <v>7.5999999999999998E-2</v>
      </c>
      <c r="G394" s="53">
        <f t="shared" si="44"/>
        <v>0.93700000000000006</v>
      </c>
      <c r="H394" s="53">
        <f t="shared" si="45"/>
        <v>5.0000000000000001E-3</v>
      </c>
      <c r="I394" s="53">
        <f t="shared" si="46"/>
        <v>4.9000000000000002E-2</v>
      </c>
      <c r="L394" t="s">
        <v>1069</v>
      </c>
      <c r="M394" t="str">
        <f t="shared" si="48"/>
        <v>Fabbricazione di veicoli militari da combattimento</v>
      </c>
      <c r="N394" t="str">
        <f t="shared" si="47"/>
        <v>B) Estrazione; C) Manifattura; D) Produzione energia/gas</v>
      </c>
    </row>
    <row r="395" spans="1:14" ht="63.75">
      <c r="A395" s="58" t="s">
        <v>1007</v>
      </c>
      <c r="B395" s="59" t="s">
        <v>1008</v>
      </c>
      <c r="C395">
        <v>2</v>
      </c>
      <c r="D395" t="str">
        <f>+VLOOKUP(AtecoCrisi[[#This Row],[COD. CRISI]],Tabella139[],2,0)</f>
        <v>B) Estrazione; C) Manifattura; D) Produzione energia/gas</v>
      </c>
      <c r="E395" s="53">
        <f t="shared" si="42"/>
        <v>0.03</v>
      </c>
      <c r="F395" s="53">
        <f t="shared" si="43"/>
        <v>7.5999999999999998E-2</v>
      </c>
      <c r="G395" s="53">
        <f t="shared" si="44"/>
        <v>0.93700000000000006</v>
      </c>
      <c r="H395" s="53">
        <f t="shared" si="45"/>
        <v>5.0000000000000001E-3</v>
      </c>
      <c r="I395" s="53">
        <f t="shared" si="46"/>
        <v>4.9000000000000002E-2</v>
      </c>
      <c r="L395" t="s">
        <v>1071</v>
      </c>
      <c r="M395" t="str">
        <f t="shared" si="48"/>
        <v>Fabbricazione di motori per motocicli</v>
      </c>
      <c r="N395" t="str">
        <f t="shared" si="47"/>
        <v>B) Estrazione; C) Manifattura; D) Produzione energia/gas</v>
      </c>
    </row>
    <row r="396" spans="1:14" ht="102">
      <c r="A396" s="58" t="s">
        <v>1009</v>
      </c>
      <c r="B396" s="59" t="s">
        <v>1010</v>
      </c>
      <c r="C396">
        <v>2</v>
      </c>
      <c r="D396" t="str">
        <f>+VLOOKUP(AtecoCrisi[[#This Row],[COD. CRISI]],Tabella139[],2,0)</f>
        <v>B) Estrazione; C) Manifattura; D) Produzione energia/gas</v>
      </c>
      <c r="E396" s="53">
        <f t="shared" si="42"/>
        <v>0.03</v>
      </c>
      <c r="F396" s="53">
        <f t="shared" si="43"/>
        <v>7.5999999999999998E-2</v>
      </c>
      <c r="G396" s="53">
        <f t="shared" si="44"/>
        <v>0.93700000000000006</v>
      </c>
      <c r="H396" s="53">
        <f t="shared" si="45"/>
        <v>5.0000000000000001E-3</v>
      </c>
      <c r="I396" s="53">
        <f t="shared" si="46"/>
        <v>4.9000000000000002E-2</v>
      </c>
      <c r="L396" t="s">
        <v>1073</v>
      </c>
      <c r="M396" t="str">
        <f t="shared" si="48"/>
        <v>Fabbricazione di motocicli</v>
      </c>
      <c r="N396" t="str">
        <f t="shared" si="47"/>
        <v>B) Estrazione; C) Manifattura; D) Produzione energia/gas</v>
      </c>
    </row>
    <row r="397" spans="1:14" ht="63.75">
      <c r="A397" s="58" t="s">
        <v>1011</v>
      </c>
      <c r="B397" s="59" t="s">
        <v>1012</v>
      </c>
      <c r="C397">
        <v>2</v>
      </c>
      <c r="D397" t="str">
        <f>+VLOOKUP(AtecoCrisi[[#This Row],[COD. CRISI]],Tabella139[],2,0)</f>
        <v>B) Estrazione; C) Manifattura; D) Produzione energia/gas</v>
      </c>
      <c r="E397" s="53">
        <f t="shared" si="42"/>
        <v>0.03</v>
      </c>
      <c r="F397" s="53">
        <f t="shared" si="43"/>
        <v>7.5999999999999998E-2</v>
      </c>
      <c r="G397" s="53">
        <f t="shared" si="44"/>
        <v>0.93700000000000006</v>
      </c>
      <c r="H397" s="53">
        <f t="shared" si="45"/>
        <v>5.0000000000000001E-3</v>
      </c>
      <c r="I397" s="53">
        <f t="shared" si="46"/>
        <v>4.9000000000000002E-2</v>
      </c>
      <c r="L397" t="s">
        <v>1075</v>
      </c>
      <c r="M397" t="str">
        <f t="shared" si="48"/>
        <v>Fabbricazione di accessori e pezzi staccati per motocicli e ciclomotori</v>
      </c>
      <c r="N397" t="str">
        <f t="shared" si="47"/>
        <v>B) Estrazione; C) Manifattura; D) Produzione energia/gas</v>
      </c>
    </row>
    <row r="398" spans="1:14" ht="89.25">
      <c r="A398" s="58" t="s">
        <v>1013</v>
      </c>
      <c r="B398" s="59" t="s">
        <v>1014</v>
      </c>
      <c r="C398">
        <v>2</v>
      </c>
      <c r="D398" t="str">
        <f>+VLOOKUP(AtecoCrisi[[#This Row],[COD. CRISI]],Tabella139[],2,0)</f>
        <v>B) Estrazione; C) Manifattura; D) Produzione energia/gas</v>
      </c>
      <c r="E398" s="53">
        <f t="shared" si="42"/>
        <v>0.03</v>
      </c>
      <c r="F398" s="53">
        <f t="shared" si="43"/>
        <v>7.5999999999999998E-2</v>
      </c>
      <c r="G398" s="53">
        <f t="shared" si="44"/>
        <v>0.93700000000000006</v>
      </c>
      <c r="H398" s="53">
        <f t="shared" si="45"/>
        <v>5.0000000000000001E-3</v>
      </c>
      <c r="I398" s="53">
        <f t="shared" si="46"/>
        <v>4.9000000000000002E-2</v>
      </c>
      <c r="L398" t="s">
        <v>1077</v>
      </c>
      <c r="M398" t="str">
        <f t="shared" si="48"/>
        <v>Fabbricazione e montaggio di biciclette</v>
      </c>
      <c r="N398" t="str">
        <f t="shared" si="47"/>
        <v>B) Estrazione; C) Manifattura; D) Produzione energia/gas</v>
      </c>
    </row>
    <row r="399" spans="1:14" ht="140.25">
      <c r="A399" s="58" t="s">
        <v>1015</v>
      </c>
      <c r="B399" s="59" t="s">
        <v>1016</v>
      </c>
      <c r="C399">
        <v>2</v>
      </c>
      <c r="D399" t="str">
        <f>+VLOOKUP(AtecoCrisi[[#This Row],[COD. CRISI]],Tabella139[],2,0)</f>
        <v>B) Estrazione; C) Manifattura; D) Produzione energia/gas</v>
      </c>
      <c r="E399" s="53">
        <f t="shared" si="42"/>
        <v>0.03</v>
      </c>
      <c r="F399" s="53">
        <f t="shared" si="43"/>
        <v>7.5999999999999998E-2</v>
      </c>
      <c r="G399" s="53">
        <f t="shared" si="44"/>
        <v>0.93700000000000006</v>
      </c>
      <c r="H399" s="53">
        <f t="shared" si="45"/>
        <v>5.0000000000000001E-3</v>
      </c>
      <c r="I399" s="53">
        <f t="shared" si="46"/>
        <v>4.9000000000000002E-2</v>
      </c>
      <c r="L399" t="s">
        <v>1079</v>
      </c>
      <c r="M399" t="str">
        <f t="shared" si="48"/>
        <v>Fabbricazione di parti ed accessori per biciclette</v>
      </c>
      <c r="N399" t="str">
        <f t="shared" si="47"/>
        <v>B) Estrazione; C) Manifattura; D) Produzione energia/gas</v>
      </c>
    </row>
    <row r="400" spans="1:14" ht="102">
      <c r="A400" s="58" t="s">
        <v>1017</v>
      </c>
      <c r="B400" s="59" t="s">
        <v>1018</v>
      </c>
      <c r="C400">
        <v>2</v>
      </c>
      <c r="D400" t="str">
        <f>+VLOOKUP(AtecoCrisi[[#This Row],[COD. CRISI]],Tabella139[],2,0)</f>
        <v>B) Estrazione; C) Manifattura; D) Produzione energia/gas</v>
      </c>
      <c r="E400" s="53">
        <f t="shared" si="42"/>
        <v>0.03</v>
      </c>
      <c r="F400" s="53">
        <f t="shared" si="43"/>
        <v>7.5999999999999998E-2</v>
      </c>
      <c r="G400" s="53">
        <f t="shared" si="44"/>
        <v>0.93700000000000006</v>
      </c>
      <c r="H400" s="53">
        <f t="shared" si="45"/>
        <v>5.0000000000000001E-3</v>
      </c>
      <c r="I400" s="53">
        <f t="shared" si="46"/>
        <v>4.9000000000000002E-2</v>
      </c>
      <c r="L400" t="s">
        <v>1081</v>
      </c>
      <c r="M400" t="str">
        <f t="shared" si="48"/>
        <v>Fabbricazione di veicoli per invalidi (incluse parti e accessori)</v>
      </c>
      <c r="N400" t="str">
        <f t="shared" si="47"/>
        <v>B) Estrazione; C) Manifattura; D) Produzione energia/gas</v>
      </c>
    </row>
    <row r="401" spans="1:14" ht="76.5">
      <c r="A401" s="58" t="s">
        <v>1019</v>
      </c>
      <c r="B401" s="59" t="s">
        <v>1020</v>
      </c>
      <c r="C401">
        <v>2</v>
      </c>
      <c r="D401" t="str">
        <f>+VLOOKUP(AtecoCrisi[[#This Row],[COD. CRISI]],Tabella139[],2,0)</f>
        <v>B) Estrazione; C) Manifattura; D) Produzione energia/gas</v>
      </c>
      <c r="E401" s="53">
        <f t="shared" si="42"/>
        <v>0.03</v>
      </c>
      <c r="F401" s="53">
        <f t="shared" si="43"/>
        <v>7.5999999999999998E-2</v>
      </c>
      <c r="G401" s="53">
        <f t="shared" si="44"/>
        <v>0.93700000000000006</v>
      </c>
      <c r="H401" s="53">
        <f t="shared" si="45"/>
        <v>5.0000000000000001E-3</v>
      </c>
      <c r="I401" s="53">
        <f t="shared" si="46"/>
        <v>4.9000000000000002E-2</v>
      </c>
      <c r="L401" t="s">
        <v>1083</v>
      </c>
      <c r="M401" t="str">
        <f t="shared" si="48"/>
        <v>Fabbricazione di carrozzine e passeggini per neonati</v>
      </c>
      <c r="N401" t="str">
        <f t="shared" si="47"/>
        <v>B) Estrazione; C) Manifattura; D) Produzione energia/gas</v>
      </c>
    </row>
    <row r="402" spans="1:14" ht="76.5">
      <c r="A402" s="58" t="s">
        <v>1021</v>
      </c>
      <c r="B402" s="59" t="s">
        <v>1022</v>
      </c>
      <c r="C402">
        <v>2</v>
      </c>
      <c r="D402" t="str">
        <f>+VLOOKUP(AtecoCrisi[[#This Row],[COD. CRISI]],Tabella139[],2,0)</f>
        <v>B) Estrazione; C) Manifattura; D) Produzione energia/gas</v>
      </c>
      <c r="E402" s="53">
        <f t="shared" si="42"/>
        <v>0.03</v>
      </c>
      <c r="F402" s="53">
        <f t="shared" si="43"/>
        <v>7.5999999999999998E-2</v>
      </c>
      <c r="G402" s="53">
        <f t="shared" si="44"/>
        <v>0.93700000000000006</v>
      </c>
      <c r="H402" s="53">
        <f t="shared" si="45"/>
        <v>5.0000000000000001E-3</v>
      </c>
      <c r="I402" s="53">
        <f t="shared" si="46"/>
        <v>4.9000000000000002E-2</v>
      </c>
      <c r="L402" t="s">
        <v>1085</v>
      </c>
      <c r="M402" t="str">
        <f t="shared" si="48"/>
        <v>Fabbricazione di veicoli a trazione manuale o animale</v>
      </c>
      <c r="N402" t="str">
        <f t="shared" si="47"/>
        <v>B) Estrazione; C) Manifattura; D) Produzione energia/gas</v>
      </c>
    </row>
    <row r="403" spans="1:14" ht="89.25">
      <c r="A403" s="58" t="s">
        <v>1023</v>
      </c>
      <c r="B403" s="59" t="s">
        <v>1024</v>
      </c>
      <c r="C403">
        <v>2</v>
      </c>
      <c r="D403" t="str">
        <f>+VLOOKUP(AtecoCrisi[[#This Row],[COD. CRISI]],Tabella139[],2,0)</f>
        <v>B) Estrazione; C) Manifattura; D) Produzione energia/gas</v>
      </c>
      <c r="E403" s="53">
        <f t="shared" si="42"/>
        <v>0.03</v>
      </c>
      <c r="F403" s="53">
        <f t="shared" si="43"/>
        <v>7.5999999999999998E-2</v>
      </c>
      <c r="G403" s="53">
        <f t="shared" si="44"/>
        <v>0.93700000000000006</v>
      </c>
      <c r="H403" s="53">
        <f t="shared" si="45"/>
        <v>5.0000000000000001E-3</v>
      </c>
      <c r="I403" s="53">
        <f t="shared" si="46"/>
        <v>4.9000000000000002E-2</v>
      </c>
      <c r="L403" t="s">
        <v>1089</v>
      </c>
      <c r="M403" t="str">
        <f t="shared" si="48"/>
        <v>Fabbricazione di sedie e poltrone per ufficio e negozi</v>
      </c>
      <c r="N403" t="str">
        <f t="shared" si="47"/>
        <v>B) Estrazione; C) Manifattura; D) Produzione energia/gas</v>
      </c>
    </row>
    <row r="404" spans="1:14" ht="63.75">
      <c r="A404" s="58" t="s">
        <v>1025</v>
      </c>
      <c r="B404" s="59" t="s">
        <v>1026</v>
      </c>
      <c r="C404">
        <v>2</v>
      </c>
      <c r="D404" t="str">
        <f>+VLOOKUP(AtecoCrisi[[#This Row],[COD. CRISI]],Tabella139[],2,0)</f>
        <v>B) Estrazione; C) Manifattura; D) Produzione energia/gas</v>
      </c>
      <c r="E404" s="53">
        <f t="shared" si="42"/>
        <v>0.03</v>
      </c>
      <c r="F404" s="53">
        <f t="shared" si="43"/>
        <v>7.5999999999999998E-2</v>
      </c>
      <c r="G404" s="53">
        <f t="shared" si="44"/>
        <v>0.93700000000000006</v>
      </c>
      <c r="H404" s="53">
        <f t="shared" si="45"/>
        <v>5.0000000000000001E-3</v>
      </c>
      <c r="I404" s="53">
        <f t="shared" si="46"/>
        <v>4.9000000000000002E-2</v>
      </c>
      <c r="L404" t="s">
        <v>1091</v>
      </c>
      <c r="M404" t="str">
        <f t="shared" si="48"/>
        <v>Fabbricazione di altri mobili metallici per ufficio e negozi</v>
      </c>
      <c r="N404" t="str">
        <f t="shared" si="47"/>
        <v>B) Estrazione; C) Manifattura; D) Produzione energia/gas</v>
      </c>
    </row>
    <row r="405" spans="1:14" ht="63.75">
      <c r="A405" s="58" t="s">
        <v>1027</v>
      </c>
      <c r="B405" s="59" t="s">
        <v>1028</v>
      </c>
      <c r="C405">
        <v>2</v>
      </c>
      <c r="D405" t="str">
        <f>+VLOOKUP(AtecoCrisi[[#This Row],[COD. CRISI]],Tabella139[],2,0)</f>
        <v>B) Estrazione; C) Manifattura; D) Produzione energia/gas</v>
      </c>
      <c r="E405" s="53">
        <f t="shared" si="42"/>
        <v>0.03</v>
      </c>
      <c r="F405" s="53">
        <f t="shared" si="43"/>
        <v>7.5999999999999998E-2</v>
      </c>
      <c r="G405" s="53">
        <f t="shared" si="44"/>
        <v>0.93700000000000006</v>
      </c>
      <c r="H405" s="53">
        <f t="shared" si="45"/>
        <v>5.0000000000000001E-3</v>
      </c>
      <c r="I405" s="53">
        <f t="shared" si="46"/>
        <v>4.9000000000000002E-2</v>
      </c>
      <c r="L405" t="s">
        <v>1093</v>
      </c>
      <c r="M405" t="str">
        <f t="shared" si="48"/>
        <v>Fabbricazione di altri mobili non metallici per ufficio e negozi</v>
      </c>
      <c r="N405" t="str">
        <f t="shared" si="47"/>
        <v>B) Estrazione; C) Manifattura; D) Produzione energia/gas</v>
      </c>
    </row>
    <row r="406" spans="1:14" ht="63.75">
      <c r="A406" s="58" t="s">
        <v>1029</v>
      </c>
      <c r="B406" s="59" t="s">
        <v>1030</v>
      </c>
      <c r="C406">
        <v>2</v>
      </c>
      <c r="D406" t="str">
        <f>+VLOOKUP(AtecoCrisi[[#This Row],[COD. CRISI]],Tabella139[],2,0)</f>
        <v>B) Estrazione; C) Manifattura; D) Produzione energia/gas</v>
      </c>
      <c r="E406" s="53">
        <f t="shared" si="42"/>
        <v>0.03</v>
      </c>
      <c r="F406" s="53">
        <f t="shared" si="43"/>
        <v>7.5999999999999998E-2</v>
      </c>
      <c r="G406" s="53">
        <f t="shared" si="44"/>
        <v>0.93700000000000006</v>
      </c>
      <c r="H406" s="53">
        <f t="shared" si="45"/>
        <v>5.0000000000000001E-3</v>
      </c>
      <c r="I406" s="53">
        <f t="shared" si="46"/>
        <v>4.9000000000000002E-2</v>
      </c>
      <c r="L406" t="s">
        <v>1095</v>
      </c>
      <c r="M406" t="str">
        <f t="shared" si="48"/>
        <v>Fabbricazione di mobili per cucina</v>
      </c>
      <c r="N406" t="str">
        <f t="shared" si="47"/>
        <v>B) Estrazione; C) Manifattura; D) Produzione energia/gas</v>
      </c>
    </row>
    <row r="407" spans="1:14" ht="102">
      <c r="A407" s="58" t="s">
        <v>1031</v>
      </c>
      <c r="B407" s="59" t="s">
        <v>1032</v>
      </c>
      <c r="C407">
        <v>2</v>
      </c>
      <c r="D407" t="str">
        <f>+VLOOKUP(AtecoCrisi[[#This Row],[COD. CRISI]],Tabella139[],2,0)</f>
        <v>B) Estrazione; C) Manifattura; D) Produzione energia/gas</v>
      </c>
      <c r="E407" s="53">
        <f t="shared" si="42"/>
        <v>0.03</v>
      </c>
      <c r="F407" s="53">
        <f t="shared" si="43"/>
        <v>7.5999999999999998E-2</v>
      </c>
      <c r="G407" s="53">
        <f t="shared" si="44"/>
        <v>0.93700000000000006</v>
      </c>
      <c r="H407" s="53">
        <f t="shared" si="45"/>
        <v>5.0000000000000001E-3</v>
      </c>
      <c r="I407" s="53">
        <f t="shared" si="46"/>
        <v>4.9000000000000002E-2</v>
      </c>
      <c r="L407" t="s">
        <v>1097</v>
      </c>
      <c r="M407" t="str">
        <f t="shared" si="48"/>
        <v>Fabbricazione di materassi</v>
      </c>
      <c r="N407" t="str">
        <f t="shared" si="47"/>
        <v>B) Estrazione; C) Manifattura; D) Produzione energia/gas</v>
      </c>
    </row>
    <row r="408" spans="1:14" ht="63.75">
      <c r="A408" s="58" t="s">
        <v>1033</v>
      </c>
      <c r="B408" s="59" t="s">
        <v>1034</v>
      </c>
      <c r="C408">
        <v>2</v>
      </c>
      <c r="D408" t="str">
        <f>+VLOOKUP(AtecoCrisi[[#This Row],[COD. CRISI]],Tabella139[],2,0)</f>
        <v>B) Estrazione; C) Manifattura; D) Produzione energia/gas</v>
      </c>
      <c r="E408" s="53">
        <f t="shared" si="42"/>
        <v>0.03</v>
      </c>
      <c r="F408" s="53">
        <f t="shared" si="43"/>
        <v>7.5999999999999998E-2</v>
      </c>
      <c r="G408" s="53">
        <f t="shared" si="44"/>
        <v>0.93700000000000006</v>
      </c>
      <c r="H408" s="53">
        <f t="shared" si="45"/>
        <v>5.0000000000000001E-3</v>
      </c>
      <c r="I408" s="53">
        <f t="shared" si="46"/>
        <v>4.9000000000000002E-2</v>
      </c>
      <c r="L408" t="s">
        <v>1099</v>
      </c>
      <c r="M408" t="str">
        <f t="shared" si="48"/>
        <v>Fabbricazione di mobili per arredo domestico</v>
      </c>
      <c r="N408" t="str">
        <f t="shared" si="47"/>
        <v>B) Estrazione; C) Manifattura; D) Produzione energia/gas</v>
      </c>
    </row>
    <row r="409" spans="1:14" ht="102">
      <c r="A409" s="58" t="s">
        <v>1035</v>
      </c>
      <c r="B409" s="59" t="s">
        <v>1036</v>
      </c>
      <c r="C409">
        <v>2</v>
      </c>
      <c r="D409" t="str">
        <f>+VLOOKUP(AtecoCrisi[[#This Row],[COD. CRISI]],Tabella139[],2,0)</f>
        <v>B) Estrazione; C) Manifattura; D) Produzione energia/gas</v>
      </c>
      <c r="E409" s="53">
        <f t="shared" si="42"/>
        <v>0.03</v>
      </c>
      <c r="F409" s="53">
        <f t="shared" si="43"/>
        <v>7.5999999999999998E-2</v>
      </c>
      <c r="G409" s="53">
        <f t="shared" si="44"/>
        <v>0.93700000000000006</v>
      </c>
      <c r="H409" s="53">
        <f t="shared" si="45"/>
        <v>5.0000000000000001E-3</v>
      </c>
      <c r="I409" s="53">
        <f t="shared" si="46"/>
        <v>4.9000000000000002E-2</v>
      </c>
      <c r="L409" t="s">
        <v>1101</v>
      </c>
      <c r="M409" t="str">
        <f t="shared" si="48"/>
        <v>Fabbricazione di sedie e sedili (esclusi quelli per aeromobili, autoveicoli, navi, treni, ufficio e negozi)</v>
      </c>
      <c r="N409" t="str">
        <f t="shared" si="47"/>
        <v>B) Estrazione; C) Manifattura; D) Produzione energia/gas</v>
      </c>
    </row>
    <row r="410" spans="1:14" ht="76.5">
      <c r="A410" s="58" t="s">
        <v>1037</v>
      </c>
      <c r="B410" s="59" t="s">
        <v>1038</v>
      </c>
      <c r="C410">
        <v>2</v>
      </c>
      <c r="D410" t="str">
        <f>+VLOOKUP(AtecoCrisi[[#This Row],[COD. CRISI]],Tabella139[],2,0)</f>
        <v>B) Estrazione; C) Manifattura; D) Produzione energia/gas</v>
      </c>
      <c r="E410" s="53">
        <f t="shared" si="42"/>
        <v>0.03</v>
      </c>
      <c r="F410" s="53">
        <f t="shared" si="43"/>
        <v>7.5999999999999998E-2</v>
      </c>
      <c r="G410" s="53">
        <f t="shared" si="44"/>
        <v>0.93700000000000006</v>
      </c>
      <c r="H410" s="53">
        <f t="shared" si="45"/>
        <v>5.0000000000000001E-3</v>
      </c>
      <c r="I410" s="53">
        <f t="shared" si="46"/>
        <v>4.9000000000000002E-2</v>
      </c>
      <c r="L410" t="s">
        <v>1103</v>
      </c>
      <c r="M410" t="str">
        <f t="shared" si="48"/>
        <v>Fabbricazione di poltrone e divani</v>
      </c>
      <c r="N410" t="str">
        <f t="shared" si="47"/>
        <v>B) Estrazione; C) Manifattura; D) Produzione energia/gas</v>
      </c>
    </row>
    <row r="411" spans="1:14" ht="51">
      <c r="A411" s="56" t="s">
        <v>1039</v>
      </c>
      <c r="B411" s="57" t="s">
        <v>1040</v>
      </c>
      <c r="C411">
        <v>2</v>
      </c>
      <c r="D411" t="str">
        <f>+VLOOKUP(AtecoCrisi[[#This Row],[COD. CRISI]],Tabella139[],2,0)</f>
        <v>B) Estrazione; C) Manifattura; D) Produzione energia/gas</v>
      </c>
      <c r="E411" s="53">
        <f t="shared" si="42"/>
        <v>0.03</v>
      </c>
      <c r="F411" s="53">
        <f t="shared" si="43"/>
        <v>7.5999999999999998E-2</v>
      </c>
      <c r="G411" s="53">
        <f t="shared" si="44"/>
        <v>0.93700000000000006</v>
      </c>
      <c r="H411" s="53">
        <f t="shared" si="45"/>
        <v>5.0000000000000001E-3</v>
      </c>
      <c r="I411" s="53">
        <f t="shared" si="46"/>
        <v>4.9000000000000002E-2</v>
      </c>
      <c r="L411" t="s">
        <v>1105</v>
      </c>
      <c r="M411" t="str">
        <f t="shared" si="48"/>
        <v>Fabbricazione di parti e accessori di mobili</v>
      </c>
      <c r="N411" t="str">
        <f t="shared" si="47"/>
        <v>B) Estrazione; C) Manifattura; D) Produzione energia/gas</v>
      </c>
    </row>
    <row r="412" spans="1:14" ht="25.5">
      <c r="A412" s="58" t="s">
        <v>1041</v>
      </c>
      <c r="B412" s="59" t="s">
        <v>1042</v>
      </c>
      <c r="C412">
        <v>2</v>
      </c>
      <c r="D412" t="str">
        <f>+VLOOKUP(AtecoCrisi[[#This Row],[COD. CRISI]],Tabella139[],2,0)</f>
        <v>B) Estrazione; C) Manifattura; D) Produzione energia/gas</v>
      </c>
      <c r="E412" s="53">
        <f t="shared" si="42"/>
        <v>0.03</v>
      </c>
      <c r="F412" s="53">
        <f t="shared" si="43"/>
        <v>7.5999999999999998E-2</v>
      </c>
      <c r="G412" s="53">
        <f t="shared" si="44"/>
        <v>0.93700000000000006</v>
      </c>
      <c r="H412" s="53">
        <f t="shared" si="45"/>
        <v>5.0000000000000001E-3</v>
      </c>
      <c r="I412" s="53">
        <f t="shared" si="46"/>
        <v>4.9000000000000002E-2</v>
      </c>
      <c r="L412" t="s">
        <v>1107</v>
      </c>
      <c r="M412" t="str">
        <f t="shared" si="48"/>
        <v>Finitura di mobili</v>
      </c>
      <c r="N412" t="str">
        <f t="shared" si="47"/>
        <v>B) Estrazione; C) Manifattura; D) Produzione energia/gas</v>
      </c>
    </row>
    <row r="413" spans="1:14" ht="63.75">
      <c r="A413" s="58" t="s">
        <v>1043</v>
      </c>
      <c r="B413" s="59" t="s">
        <v>1044</v>
      </c>
      <c r="C413">
        <v>2</v>
      </c>
      <c r="D413" t="str">
        <f>+VLOOKUP(AtecoCrisi[[#This Row],[COD. CRISI]],Tabella139[],2,0)</f>
        <v>B) Estrazione; C) Manifattura; D) Produzione energia/gas</v>
      </c>
      <c r="E413" s="53">
        <f t="shared" si="42"/>
        <v>0.03</v>
      </c>
      <c r="F413" s="53">
        <f t="shared" si="43"/>
        <v>7.5999999999999998E-2</v>
      </c>
      <c r="G413" s="53">
        <f t="shared" si="44"/>
        <v>0.93700000000000006</v>
      </c>
      <c r="H413" s="53">
        <f t="shared" si="45"/>
        <v>5.0000000000000001E-3</v>
      </c>
      <c r="I413" s="53">
        <f t="shared" si="46"/>
        <v>4.9000000000000002E-2</v>
      </c>
      <c r="L413" t="s">
        <v>1109</v>
      </c>
      <c r="M413" t="str">
        <f t="shared" si="48"/>
        <v>Fabbricazione di altri mobili (inclusi quelli per arredo esterno)</v>
      </c>
      <c r="N413" t="str">
        <f t="shared" si="47"/>
        <v>B) Estrazione; C) Manifattura; D) Produzione energia/gas</v>
      </c>
    </row>
    <row r="414" spans="1:14" ht="76.5">
      <c r="A414" s="58" t="s">
        <v>1045</v>
      </c>
      <c r="B414" s="59" t="s">
        <v>1046</v>
      </c>
      <c r="C414">
        <v>2</v>
      </c>
      <c r="D414" t="str">
        <f>+VLOOKUP(AtecoCrisi[[#This Row],[COD. CRISI]],Tabella139[],2,0)</f>
        <v>B) Estrazione; C) Manifattura; D) Produzione energia/gas</v>
      </c>
      <c r="E414" s="53">
        <f t="shared" si="42"/>
        <v>0.03</v>
      </c>
      <c r="F414" s="53">
        <f t="shared" si="43"/>
        <v>7.5999999999999998E-2</v>
      </c>
      <c r="G414" s="53">
        <f t="shared" si="44"/>
        <v>0.93700000000000006</v>
      </c>
      <c r="H414" s="53">
        <f t="shared" si="45"/>
        <v>5.0000000000000001E-3</v>
      </c>
      <c r="I414" s="53">
        <f t="shared" si="46"/>
        <v>4.9000000000000002E-2</v>
      </c>
      <c r="L414" t="s">
        <v>1113</v>
      </c>
      <c r="M414" t="str">
        <f t="shared" si="48"/>
        <v>Coniazione di monete</v>
      </c>
      <c r="N414" t="str">
        <f t="shared" si="47"/>
        <v>B) Estrazione; C) Manifattura; D) Produzione energia/gas</v>
      </c>
    </row>
    <row r="415" spans="1:14" ht="38.25">
      <c r="A415" s="58" t="s">
        <v>1047</v>
      </c>
      <c r="B415" s="59" t="s">
        <v>1048</v>
      </c>
      <c r="C415">
        <v>2</v>
      </c>
      <c r="D415" t="str">
        <f>+VLOOKUP(AtecoCrisi[[#This Row],[COD. CRISI]],Tabella139[],2,0)</f>
        <v>B) Estrazione; C) Manifattura; D) Produzione energia/gas</v>
      </c>
      <c r="E415" s="53">
        <f t="shared" si="42"/>
        <v>0.03</v>
      </c>
      <c r="F415" s="53">
        <f t="shared" si="43"/>
        <v>7.5999999999999998E-2</v>
      </c>
      <c r="G415" s="53">
        <f t="shared" si="44"/>
        <v>0.93700000000000006</v>
      </c>
      <c r="H415" s="53">
        <f t="shared" si="45"/>
        <v>5.0000000000000001E-3</v>
      </c>
      <c r="I415" s="53">
        <f t="shared" si="46"/>
        <v>4.9000000000000002E-2</v>
      </c>
      <c r="L415" t="s">
        <v>1115</v>
      </c>
      <c r="M415" t="str">
        <f t="shared" si="48"/>
        <v>Fabbricazione di oggetti di gioielleria ed oreficeria in metalli preziosi o rivestiti di metalli preziosi</v>
      </c>
      <c r="N415" t="str">
        <f t="shared" si="47"/>
        <v>B) Estrazione; C) Manifattura; D) Produzione energia/gas</v>
      </c>
    </row>
    <row r="416" spans="1:14" ht="63.75">
      <c r="A416" s="58" t="s">
        <v>1049</v>
      </c>
      <c r="B416" s="59" t="s">
        <v>1050</v>
      </c>
      <c r="C416">
        <v>2</v>
      </c>
      <c r="D416" t="str">
        <f>+VLOOKUP(AtecoCrisi[[#This Row],[COD. CRISI]],Tabella139[],2,0)</f>
        <v>B) Estrazione; C) Manifattura; D) Produzione energia/gas</v>
      </c>
      <c r="E416" s="53">
        <f t="shared" si="42"/>
        <v>0.03</v>
      </c>
      <c r="F416" s="53">
        <f t="shared" si="43"/>
        <v>7.5999999999999998E-2</v>
      </c>
      <c r="G416" s="53">
        <f t="shared" si="44"/>
        <v>0.93700000000000006</v>
      </c>
      <c r="H416" s="53">
        <f t="shared" si="45"/>
        <v>5.0000000000000001E-3</v>
      </c>
      <c r="I416" s="53">
        <f t="shared" si="46"/>
        <v>4.9000000000000002E-2</v>
      </c>
      <c r="L416" t="s">
        <v>1117</v>
      </c>
      <c r="M416" t="str">
        <f t="shared" si="48"/>
        <v>Lavorazione di pietre preziose e semipreziose per gioielleria e per uso industriale</v>
      </c>
      <c r="N416" t="str">
        <f t="shared" si="47"/>
        <v>B) Estrazione; C) Manifattura; D) Produzione energia/gas</v>
      </c>
    </row>
    <row r="417" spans="1:14" ht="38.25">
      <c r="A417" s="56" t="s">
        <v>1051</v>
      </c>
      <c r="B417" s="57" t="s">
        <v>1052</v>
      </c>
      <c r="C417">
        <v>2</v>
      </c>
      <c r="D417" t="str">
        <f>+VLOOKUP(AtecoCrisi[[#This Row],[COD. CRISI]],Tabella139[],2,0)</f>
        <v>B) Estrazione; C) Manifattura; D) Produzione energia/gas</v>
      </c>
      <c r="E417" s="53">
        <f t="shared" si="42"/>
        <v>0.03</v>
      </c>
      <c r="F417" s="53">
        <f t="shared" si="43"/>
        <v>7.5999999999999998E-2</v>
      </c>
      <c r="G417" s="53">
        <f t="shared" si="44"/>
        <v>0.93700000000000006</v>
      </c>
      <c r="H417" s="53">
        <f t="shared" si="45"/>
        <v>5.0000000000000001E-3</v>
      </c>
      <c r="I417" s="53">
        <f t="shared" si="46"/>
        <v>4.9000000000000002E-2</v>
      </c>
      <c r="L417" t="s">
        <v>1119</v>
      </c>
      <c r="M417" t="str">
        <f t="shared" si="48"/>
        <v>Fabbricazione di cinturini metallici per orologi (esclusi quelli in metalli preziosi)</v>
      </c>
      <c r="N417" t="str">
        <f t="shared" si="47"/>
        <v>B) Estrazione; C) Manifattura; D) Produzione energia/gas</v>
      </c>
    </row>
    <row r="418" spans="1:14" ht="25.5">
      <c r="A418" s="58" t="s">
        <v>1053</v>
      </c>
      <c r="B418" s="59" t="s">
        <v>1054</v>
      </c>
      <c r="C418">
        <v>2</v>
      </c>
      <c r="D418" t="str">
        <f>+VLOOKUP(AtecoCrisi[[#This Row],[COD. CRISI]],Tabella139[],2,0)</f>
        <v>B) Estrazione; C) Manifattura; D) Produzione energia/gas</v>
      </c>
      <c r="E418" s="53">
        <f t="shared" si="42"/>
        <v>0.03</v>
      </c>
      <c r="F418" s="53">
        <f t="shared" si="43"/>
        <v>7.5999999999999998E-2</v>
      </c>
      <c r="G418" s="53">
        <f t="shared" si="44"/>
        <v>0.93700000000000006</v>
      </c>
      <c r="H418" s="53">
        <f t="shared" si="45"/>
        <v>5.0000000000000001E-3</v>
      </c>
      <c r="I418" s="53">
        <f t="shared" si="46"/>
        <v>4.9000000000000002E-2</v>
      </c>
      <c r="L418" t="s">
        <v>1121</v>
      </c>
      <c r="M418" t="str">
        <f t="shared" si="48"/>
        <v>Fabbricazione di bigiotteria e articoli simili nca</v>
      </c>
      <c r="N418" t="str">
        <f t="shared" si="47"/>
        <v>B) Estrazione; C) Manifattura; D) Produzione energia/gas</v>
      </c>
    </row>
    <row r="419" spans="1:14" ht="63.75">
      <c r="A419" s="58" t="s">
        <v>1055</v>
      </c>
      <c r="B419" s="59" t="s">
        <v>1056</v>
      </c>
      <c r="C419">
        <v>2</v>
      </c>
      <c r="D419" t="str">
        <f>+VLOOKUP(AtecoCrisi[[#This Row],[COD. CRISI]],Tabella139[],2,0)</f>
        <v>B) Estrazione; C) Manifattura; D) Produzione energia/gas</v>
      </c>
      <c r="E419" s="53">
        <f t="shared" si="42"/>
        <v>0.03</v>
      </c>
      <c r="F419" s="53">
        <f t="shared" si="43"/>
        <v>7.5999999999999998E-2</v>
      </c>
      <c r="G419" s="53">
        <f t="shared" si="44"/>
        <v>0.93700000000000006</v>
      </c>
      <c r="H419" s="53">
        <f t="shared" si="45"/>
        <v>5.0000000000000001E-3</v>
      </c>
      <c r="I419" s="53">
        <f t="shared" si="46"/>
        <v>4.9000000000000002E-2</v>
      </c>
      <c r="L419" t="s">
        <v>1123</v>
      </c>
      <c r="M419" t="str">
        <f t="shared" si="48"/>
        <v>Fabbricazione di strumenti musicali (incluse parti e accessori)</v>
      </c>
      <c r="N419" t="str">
        <f t="shared" si="47"/>
        <v>B) Estrazione; C) Manifattura; D) Produzione energia/gas</v>
      </c>
    </row>
    <row r="420" spans="1:14" ht="38.25">
      <c r="A420" s="58" t="s">
        <v>1057</v>
      </c>
      <c r="B420" s="59" t="s">
        <v>1058</v>
      </c>
      <c r="C420">
        <v>2</v>
      </c>
      <c r="D420" t="str">
        <f>+VLOOKUP(AtecoCrisi[[#This Row],[COD. CRISI]],Tabella139[],2,0)</f>
        <v>B) Estrazione; C) Manifattura; D) Produzione energia/gas</v>
      </c>
      <c r="E420" s="53">
        <f t="shared" si="42"/>
        <v>0.03</v>
      </c>
      <c r="F420" s="53">
        <f t="shared" si="43"/>
        <v>7.5999999999999998E-2</v>
      </c>
      <c r="G420" s="53">
        <f t="shared" si="44"/>
        <v>0.93700000000000006</v>
      </c>
      <c r="H420" s="53">
        <f t="shared" si="45"/>
        <v>5.0000000000000001E-3</v>
      </c>
      <c r="I420" s="53">
        <f t="shared" si="46"/>
        <v>4.9000000000000002E-2</v>
      </c>
      <c r="L420" t="s">
        <v>1125</v>
      </c>
      <c r="M420" t="str">
        <f t="shared" si="48"/>
        <v>Fabbricazione di articoli sportivi</v>
      </c>
      <c r="N420" t="str">
        <f t="shared" si="47"/>
        <v>B) Estrazione; C) Manifattura; D) Produzione energia/gas</v>
      </c>
    </row>
    <row r="421" spans="1:14" ht="51">
      <c r="A421" s="58" t="s">
        <v>1059</v>
      </c>
      <c r="B421" s="59" t="s">
        <v>1060</v>
      </c>
      <c r="C421">
        <v>2</v>
      </c>
      <c r="D421" t="str">
        <f>+VLOOKUP(AtecoCrisi[[#This Row],[COD. CRISI]],Tabella139[],2,0)</f>
        <v>B) Estrazione; C) Manifattura; D) Produzione energia/gas</v>
      </c>
      <c r="E421" s="53">
        <f t="shared" si="42"/>
        <v>0.03</v>
      </c>
      <c r="F421" s="53">
        <f t="shared" si="43"/>
        <v>7.5999999999999998E-2</v>
      </c>
      <c r="G421" s="53">
        <f t="shared" si="44"/>
        <v>0.93700000000000006</v>
      </c>
      <c r="H421" s="53">
        <f t="shared" si="45"/>
        <v>5.0000000000000001E-3</v>
      </c>
      <c r="I421" s="53">
        <f t="shared" si="46"/>
        <v>4.9000000000000002E-2</v>
      </c>
      <c r="L421" t="s">
        <v>1127</v>
      </c>
      <c r="M421" t="str">
        <f t="shared" si="48"/>
        <v>Fabbricazione di giochi (inclusi i giochi elettronici)</v>
      </c>
      <c r="N421" t="str">
        <f t="shared" si="47"/>
        <v>B) Estrazione; C) Manifattura; D) Produzione energia/gas</v>
      </c>
    </row>
    <row r="422" spans="1:14" ht="76.5">
      <c r="A422" s="58" t="s">
        <v>1061</v>
      </c>
      <c r="B422" s="59" t="s">
        <v>1062</v>
      </c>
      <c r="C422">
        <v>2</v>
      </c>
      <c r="D422" t="str">
        <f>+VLOOKUP(AtecoCrisi[[#This Row],[COD. CRISI]],Tabella139[],2,0)</f>
        <v>B) Estrazione; C) Manifattura; D) Produzione energia/gas</v>
      </c>
      <c r="E422" s="53">
        <f t="shared" si="42"/>
        <v>0.03</v>
      </c>
      <c r="F422" s="53">
        <f t="shared" si="43"/>
        <v>7.5999999999999998E-2</v>
      </c>
      <c r="G422" s="53">
        <f t="shared" si="44"/>
        <v>0.93700000000000006</v>
      </c>
      <c r="H422" s="53">
        <f t="shared" si="45"/>
        <v>5.0000000000000001E-3</v>
      </c>
      <c r="I422" s="53">
        <f t="shared" si="46"/>
        <v>4.9000000000000002E-2</v>
      </c>
      <c r="L422" t="s">
        <v>1129</v>
      </c>
      <c r="M422" t="str">
        <f t="shared" si="48"/>
        <v>Fabbricazione di giocattoli (inclusi i tricicli e gli strumenti musicali giocattolo)</v>
      </c>
      <c r="N422" t="str">
        <f t="shared" si="47"/>
        <v>B) Estrazione; C) Manifattura; D) Produzione energia/gas</v>
      </c>
    </row>
    <row r="423" spans="1:14" ht="38.25">
      <c r="A423" s="58" t="s">
        <v>1063</v>
      </c>
      <c r="B423" s="59" t="s">
        <v>1064</v>
      </c>
      <c r="C423">
        <v>2</v>
      </c>
      <c r="D423" t="str">
        <f>+VLOOKUP(AtecoCrisi[[#This Row],[COD. CRISI]],Tabella139[],2,0)</f>
        <v>B) Estrazione; C) Manifattura; D) Produzione energia/gas</v>
      </c>
      <c r="E423" s="53">
        <f t="shared" si="42"/>
        <v>0.03</v>
      </c>
      <c r="F423" s="53">
        <f t="shared" si="43"/>
        <v>7.5999999999999998E-2</v>
      </c>
      <c r="G423" s="53">
        <f t="shared" si="44"/>
        <v>0.93700000000000006</v>
      </c>
      <c r="H423" s="53">
        <f t="shared" si="45"/>
        <v>5.0000000000000001E-3</v>
      </c>
      <c r="I423" s="53">
        <f t="shared" si="46"/>
        <v>4.9000000000000002E-2</v>
      </c>
      <c r="L423" t="s">
        <v>1131</v>
      </c>
      <c r="M423" t="str">
        <f t="shared" si="48"/>
        <v>Fabbricazione di materiale medico-chirurgico e veterinario</v>
      </c>
      <c r="N423" t="str">
        <f t="shared" si="47"/>
        <v>B) Estrazione; C) Manifattura; D) Produzione energia/gas</v>
      </c>
    </row>
    <row r="424" spans="1:14" ht="25.5">
      <c r="A424" s="58" t="s">
        <v>1065</v>
      </c>
      <c r="B424" s="59" t="s">
        <v>1066</v>
      </c>
      <c r="C424">
        <v>2</v>
      </c>
      <c r="D424" t="str">
        <f>+VLOOKUP(AtecoCrisi[[#This Row],[COD. CRISI]],Tabella139[],2,0)</f>
        <v>B) Estrazione; C) Manifattura; D) Produzione energia/gas</v>
      </c>
      <c r="E424" s="53">
        <f t="shared" si="42"/>
        <v>0.03</v>
      </c>
      <c r="F424" s="53">
        <f t="shared" si="43"/>
        <v>7.5999999999999998E-2</v>
      </c>
      <c r="G424" s="53">
        <f t="shared" si="44"/>
        <v>0.93700000000000006</v>
      </c>
      <c r="H424" s="53">
        <f t="shared" si="45"/>
        <v>5.0000000000000001E-3</v>
      </c>
      <c r="I424" s="53">
        <f t="shared" si="46"/>
        <v>4.9000000000000002E-2</v>
      </c>
      <c r="L424" t="s">
        <v>1133</v>
      </c>
      <c r="M424" t="str">
        <f t="shared" si="48"/>
        <v>Fabbricazione di apparecchi e strumenti per odontoiatria e di apparecchi medicali (incluse parti staccate e accessori)</v>
      </c>
      <c r="N424" t="str">
        <f t="shared" si="47"/>
        <v>B) Estrazione; C) Manifattura; D) Produzione energia/gas</v>
      </c>
    </row>
    <row r="425" spans="1:14" ht="63.75">
      <c r="A425" s="58" t="s">
        <v>1067</v>
      </c>
      <c r="B425" s="59" t="s">
        <v>1068</v>
      </c>
      <c r="C425">
        <v>2</v>
      </c>
      <c r="D425" t="str">
        <f>+VLOOKUP(AtecoCrisi[[#This Row],[COD. CRISI]],Tabella139[],2,0)</f>
        <v>B) Estrazione; C) Manifattura; D) Produzione energia/gas</v>
      </c>
      <c r="E425" s="53">
        <f t="shared" si="42"/>
        <v>0.03</v>
      </c>
      <c r="F425" s="53">
        <f t="shared" si="43"/>
        <v>7.5999999999999998E-2</v>
      </c>
      <c r="G425" s="53">
        <f t="shared" si="44"/>
        <v>0.93700000000000006</v>
      </c>
      <c r="H425" s="53">
        <f t="shared" si="45"/>
        <v>5.0000000000000001E-3</v>
      </c>
      <c r="I425" s="53">
        <f t="shared" si="46"/>
        <v>4.9000000000000002E-2</v>
      </c>
      <c r="L425" t="s">
        <v>1135</v>
      </c>
      <c r="M425" t="str">
        <f t="shared" si="48"/>
        <v>Fabbricazione di mobili per uso medico, chirurgico, odontoiatrico e veterinario</v>
      </c>
      <c r="N425" t="str">
        <f t="shared" si="47"/>
        <v>B) Estrazione; C) Manifattura; D) Produzione energia/gas</v>
      </c>
    </row>
    <row r="426" spans="1:14" ht="38.25">
      <c r="A426" s="58" t="s">
        <v>1069</v>
      </c>
      <c r="B426" s="59" t="s">
        <v>1070</v>
      </c>
      <c r="C426">
        <v>2</v>
      </c>
      <c r="D426" t="str">
        <f>+VLOOKUP(AtecoCrisi[[#This Row],[COD. CRISI]],Tabella139[],2,0)</f>
        <v>B) Estrazione; C) Manifattura; D) Produzione energia/gas</v>
      </c>
      <c r="E426" s="53">
        <f t="shared" si="42"/>
        <v>0.03</v>
      </c>
      <c r="F426" s="53">
        <f t="shared" si="43"/>
        <v>7.5999999999999998E-2</v>
      </c>
      <c r="G426" s="53">
        <f t="shared" si="44"/>
        <v>0.93700000000000006</v>
      </c>
      <c r="H426" s="53">
        <f t="shared" si="45"/>
        <v>5.0000000000000001E-3</v>
      </c>
      <c r="I426" s="53">
        <f t="shared" si="46"/>
        <v>4.9000000000000002E-2</v>
      </c>
      <c r="L426" t="s">
        <v>1137</v>
      </c>
      <c r="M426" t="str">
        <f t="shared" si="48"/>
        <v>Fabbricazione di centrifughe per laboratori</v>
      </c>
      <c r="N426" t="str">
        <f t="shared" si="47"/>
        <v>B) Estrazione; C) Manifattura; D) Produzione energia/gas</v>
      </c>
    </row>
    <row r="427" spans="1:14" ht="38.25">
      <c r="A427" s="58" t="s">
        <v>1071</v>
      </c>
      <c r="B427" s="59" t="s">
        <v>1072</v>
      </c>
      <c r="C427">
        <v>2</v>
      </c>
      <c r="D427" t="str">
        <f>+VLOOKUP(AtecoCrisi[[#This Row],[COD. CRISI]],Tabella139[],2,0)</f>
        <v>B) Estrazione; C) Manifattura; D) Produzione energia/gas</v>
      </c>
      <c r="E427" s="53">
        <f t="shared" si="42"/>
        <v>0.03</v>
      </c>
      <c r="F427" s="53">
        <f t="shared" si="43"/>
        <v>7.5999999999999998E-2</v>
      </c>
      <c r="G427" s="53">
        <f t="shared" si="44"/>
        <v>0.93700000000000006</v>
      </c>
      <c r="H427" s="53">
        <f t="shared" si="45"/>
        <v>5.0000000000000001E-3</v>
      </c>
      <c r="I427" s="53">
        <f t="shared" si="46"/>
        <v>4.9000000000000002E-2</v>
      </c>
      <c r="L427" t="s">
        <v>1139</v>
      </c>
      <c r="M427" t="str">
        <f t="shared" si="48"/>
        <v>Fabbricazione di protesi dentarie (inclusa riparazione)</v>
      </c>
      <c r="N427" t="str">
        <f t="shared" si="47"/>
        <v>B) Estrazione; C) Manifattura; D) Produzione energia/gas</v>
      </c>
    </row>
    <row r="428" spans="1:14" ht="25.5">
      <c r="A428" s="58" t="s">
        <v>1073</v>
      </c>
      <c r="B428" s="59" t="s">
        <v>1074</v>
      </c>
      <c r="C428">
        <v>2</v>
      </c>
      <c r="D428" t="str">
        <f>+VLOOKUP(AtecoCrisi[[#This Row],[COD. CRISI]],Tabella139[],2,0)</f>
        <v>B) Estrazione; C) Manifattura; D) Produzione energia/gas</v>
      </c>
      <c r="E428" s="53">
        <f t="shared" si="42"/>
        <v>0.03</v>
      </c>
      <c r="F428" s="53">
        <f t="shared" si="43"/>
        <v>7.5999999999999998E-2</v>
      </c>
      <c r="G428" s="53">
        <f t="shared" si="44"/>
        <v>0.93700000000000006</v>
      </c>
      <c r="H428" s="53">
        <f t="shared" si="45"/>
        <v>5.0000000000000001E-3</v>
      </c>
      <c r="I428" s="53">
        <f t="shared" si="46"/>
        <v>4.9000000000000002E-2</v>
      </c>
      <c r="L428" t="s">
        <v>1141</v>
      </c>
      <c r="M428" t="str">
        <f t="shared" si="48"/>
        <v>Fabbricazione di protesi ortopediche, altre protesi ed ausili (inclusa riparazione)</v>
      </c>
      <c r="N428" t="str">
        <f t="shared" si="47"/>
        <v>B) Estrazione; C) Manifattura; D) Produzione energia/gas</v>
      </c>
    </row>
    <row r="429" spans="1:14" ht="63.75">
      <c r="A429" s="58" t="s">
        <v>1075</v>
      </c>
      <c r="B429" s="59" t="s">
        <v>1076</v>
      </c>
      <c r="C429">
        <v>2</v>
      </c>
      <c r="D429" t="str">
        <f>+VLOOKUP(AtecoCrisi[[#This Row],[COD. CRISI]],Tabella139[],2,0)</f>
        <v>B) Estrazione; C) Manifattura; D) Produzione energia/gas</v>
      </c>
      <c r="E429" s="53">
        <f t="shared" si="42"/>
        <v>0.03</v>
      </c>
      <c r="F429" s="53">
        <f t="shared" si="43"/>
        <v>7.5999999999999998E-2</v>
      </c>
      <c r="G429" s="53">
        <f t="shared" si="44"/>
        <v>0.93700000000000006</v>
      </c>
      <c r="H429" s="53">
        <f t="shared" si="45"/>
        <v>5.0000000000000001E-3</v>
      </c>
      <c r="I429" s="53">
        <f t="shared" si="46"/>
        <v>4.9000000000000002E-2</v>
      </c>
      <c r="L429" t="s">
        <v>1143</v>
      </c>
      <c r="M429" t="str">
        <f t="shared" si="48"/>
        <v>Fabbricazione di lenti oftalmiche</v>
      </c>
      <c r="N429" t="str">
        <f t="shared" si="47"/>
        <v>B) Estrazione; C) Manifattura; D) Produzione energia/gas</v>
      </c>
    </row>
    <row r="430" spans="1:14" ht="38.25">
      <c r="A430" s="58" t="s">
        <v>1077</v>
      </c>
      <c r="B430" s="59" t="s">
        <v>1078</v>
      </c>
      <c r="C430">
        <v>2</v>
      </c>
      <c r="D430" t="str">
        <f>+VLOOKUP(AtecoCrisi[[#This Row],[COD. CRISI]],Tabella139[],2,0)</f>
        <v>B) Estrazione; C) Manifattura; D) Produzione energia/gas</v>
      </c>
      <c r="E430" s="53">
        <f t="shared" si="42"/>
        <v>0.03</v>
      </c>
      <c r="F430" s="53">
        <f t="shared" si="43"/>
        <v>7.5999999999999998E-2</v>
      </c>
      <c r="G430" s="53">
        <f t="shared" si="44"/>
        <v>0.93700000000000006</v>
      </c>
      <c r="H430" s="53">
        <f t="shared" si="45"/>
        <v>5.0000000000000001E-3</v>
      </c>
      <c r="I430" s="53">
        <f t="shared" si="46"/>
        <v>4.9000000000000002E-2</v>
      </c>
      <c r="L430" t="s">
        <v>1145</v>
      </c>
      <c r="M430" t="str">
        <f t="shared" si="48"/>
        <v>Fabbricazione di armature per occhiali di qualsiasi tipo; montatura in serie di occhiali comuni</v>
      </c>
      <c r="N430" t="str">
        <f t="shared" si="47"/>
        <v>B) Estrazione; C) Manifattura; D) Produzione energia/gas</v>
      </c>
    </row>
    <row r="431" spans="1:14" ht="38.25">
      <c r="A431" s="58" t="s">
        <v>1079</v>
      </c>
      <c r="B431" s="59" t="s">
        <v>1080</v>
      </c>
      <c r="C431">
        <v>2</v>
      </c>
      <c r="D431" t="str">
        <f>+VLOOKUP(AtecoCrisi[[#This Row],[COD. CRISI]],Tabella139[],2,0)</f>
        <v>B) Estrazione; C) Manifattura; D) Produzione energia/gas</v>
      </c>
      <c r="E431" s="53">
        <f t="shared" si="42"/>
        <v>0.03</v>
      </c>
      <c r="F431" s="53">
        <f t="shared" si="43"/>
        <v>7.5999999999999998E-2</v>
      </c>
      <c r="G431" s="53">
        <f t="shared" si="44"/>
        <v>0.93700000000000006</v>
      </c>
      <c r="H431" s="53">
        <f t="shared" si="45"/>
        <v>5.0000000000000001E-3</v>
      </c>
      <c r="I431" s="53">
        <f t="shared" si="46"/>
        <v>4.9000000000000002E-2</v>
      </c>
      <c r="L431" t="s">
        <v>1147</v>
      </c>
      <c r="M431" t="str">
        <f t="shared" si="48"/>
        <v>Fabbricazione di scope e spazzole</v>
      </c>
      <c r="N431" t="str">
        <f t="shared" si="47"/>
        <v>B) Estrazione; C) Manifattura; D) Produzione energia/gas</v>
      </c>
    </row>
    <row r="432" spans="1:14" ht="51">
      <c r="A432" s="58" t="s">
        <v>1081</v>
      </c>
      <c r="B432" s="59" t="s">
        <v>1082</v>
      </c>
      <c r="C432">
        <v>2</v>
      </c>
      <c r="D432" t="str">
        <f>+VLOOKUP(AtecoCrisi[[#This Row],[COD. CRISI]],Tabella139[],2,0)</f>
        <v>B) Estrazione; C) Manifattura; D) Produzione energia/gas</v>
      </c>
      <c r="E432" s="53">
        <f t="shared" si="42"/>
        <v>0.03</v>
      </c>
      <c r="F432" s="53">
        <f t="shared" si="43"/>
        <v>7.5999999999999998E-2</v>
      </c>
      <c r="G432" s="53">
        <f t="shared" si="44"/>
        <v>0.93700000000000006</v>
      </c>
      <c r="H432" s="53">
        <f t="shared" si="45"/>
        <v>5.0000000000000001E-3</v>
      </c>
      <c r="I432" s="53">
        <f t="shared" si="46"/>
        <v>4.9000000000000002E-2</v>
      </c>
      <c r="L432" t="s">
        <v>1149</v>
      </c>
      <c r="M432" t="str">
        <f t="shared" si="48"/>
        <v>Fabbricazione di articoli di vestiario ignifughi e protettivi di sicurezza</v>
      </c>
      <c r="N432" t="str">
        <f t="shared" si="47"/>
        <v>B) Estrazione; C) Manifattura; D) Produzione energia/gas</v>
      </c>
    </row>
    <row r="433" spans="1:14" ht="51">
      <c r="A433" s="58" t="s">
        <v>1083</v>
      </c>
      <c r="B433" s="59" t="s">
        <v>1084</v>
      </c>
      <c r="C433">
        <v>2</v>
      </c>
      <c r="D433" t="str">
        <f>+VLOOKUP(AtecoCrisi[[#This Row],[COD. CRISI]],Tabella139[],2,0)</f>
        <v>B) Estrazione; C) Manifattura; D) Produzione energia/gas</v>
      </c>
      <c r="E433" s="53">
        <f t="shared" si="42"/>
        <v>0.03</v>
      </c>
      <c r="F433" s="53">
        <f t="shared" si="43"/>
        <v>7.5999999999999998E-2</v>
      </c>
      <c r="G433" s="53">
        <f t="shared" si="44"/>
        <v>0.93700000000000006</v>
      </c>
      <c r="H433" s="53">
        <f t="shared" si="45"/>
        <v>5.0000000000000001E-3</v>
      </c>
      <c r="I433" s="53">
        <f t="shared" si="46"/>
        <v>4.9000000000000002E-2</v>
      </c>
      <c r="L433" t="s">
        <v>1151</v>
      </c>
      <c r="M433" t="str">
        <f t="shared" si="48"/>
        <v>Fabbricazione di articoli in plastica per la sicurezza personale</v>
      </c>
      <c r="N433" t="str">
        <f t="shared" si="47"/>
        <v>B) Estrazione; C) Manifattura; D) Produzione energia/gas</v>
      </c>
    </row>
    <row r="434" spans="1:14" ht="38.25">
      <c r="A434" s="58" t="s">
        <v>1085</v>
      </c>
      <c r="B434" s="59" t="s">
        <v>1086</v>
      </c>
      <c r="C434">
        <v>2</v>
      </c>
      <c r="D434" t="str">
        <f>+VLOOKUP(AtecoCrisi[[#This Row],[COD. CRISI]],Tabella139[],2,0)</f>
        <v>B) Estrazione; C) Manifattura; D) Produzione energia/gas</v>
      </c>
      <c r="E434" s="53">
        <f t="shared" si="42"/>
        <v>0.03</v>
      </c>
      <c r="F434" s="53">
        <f t="shared" si="43"/>
        <v>7.5999999999999998E-2</v>
      </c>
      <c r="G434" s="53">
        <f t="shared" si="44"/>
        <v>0.93700000000000006</v>
      </c>
      <c r="H434" s="53">
        <f t="shared" si="45"/>
        <v>5.0000000000000001E-3</v>
      </c>
      <c r="I434" s="53">
        <f t="shared" si="46"/>
        <v>4.9000000000000002E-2</v>
      </c>
      <c r="L434" t="s">
        <v>1153</v>
      </c>
      <c r="M434" t="str">
        <f t="shared" si="48"/>
        <v>Fabbricazione di articoli in metallo per la sicurezza personale</v>
      </c>
      <c r="N434" t="str">
        <f t="shared" si="47"/>
        <v>B) Estrazione; C) Manifattura; D) Produzione energia/gas</v>
      </c>
    </row>
    <row r="435" spans="1:14" ht="25.5">
      <c r="A435" s="56" t="s">
        <v>1087</v>
      </c>
      <c r="B435" s="57" t="s">
        <v>1088</v>
      </c>
      <c r="C435">
        <v>2</v>
      </c>
      <c r="D435" t="str">
        <f>+VLOOKUP(AtecoCrisi[[#This Row],[COD. CRISI]],Tabella139[],2,0)</f>
        <v>B) Estrazione; C) Manifattura; D) Produzione energia/gas</v>
      </c>
      <c r="E435" s="53">
        <f t="shared" si="42"/>
        <v>0.03</v>
      </c>
      <c r="F435" s="53">
        <f t="shared" si="43"/>
        <v>7.5999999999999998E-2</v>
      </c>
      <c r="G435" s="53">
        <f t="shared" si="44"/>
        <v>0.93700000000000006</v>
      </c>
      <c r="H435" s="53">
        <f t="shared" si="45"/>
        <v>5.0000000000000001E-3</v>
      </c>
      <c r="I435" s="53">
        <f t="shared" si="46"/>
        <v>4.9000000000000002E-2</v>
      </c>
      <c r="L435" t="s">
        <v>1155</v>
      </c>
      <c r="M435" t="str">
        <f t="shared" si="48"/>
        <v>Fabbricazione di maschere antigas</v>
      </c>
      <c r="N435" t="str">
        <f t="shared" si="47"/>
        <v>B) Estrazione; C) Manifattura; D) Produzione energia/gas</v>
      </c>
    </row>
    <row r="436" spans="1:14" ht="38.25">
      <c r="A436" s="58" t="s">
        <v>1089</v>
      </c>
      <c r="B436" s="59" t="s">
        <v>1090</v>
      </c>
      <c r="C436">
        <v>2</v>
      </c>
      <c r="D436" t="str">
        <f>+VLOOKUP(AtecoCrisi[[#This Row],[COD. CRISI]],Tabella139[],2,0)</f>
        <v>B) Estrazione; C) Manifattura; D) Produzione energia/gas</v>
      </c>
      <c r="E436" s="53">
        <f t="shared" si="42"/>
        <v>0.03</v>
      </c>
      <c r="F436" s="53">
        <f t="shared" si="43"/>
        <v>7.5999999999999998E-2</v>
      </c>
      <c r="G436" s="53">
        <f t="shared" si="44"/>
        <v>0.93700000000000006</v>
      </c>
      <c r="H436" s="53">
        <f t="shared" si="45"/>
        <v>5.0000000000000001E-3</v>
      </c>
      <c r="I436" s="53">
        <f t="shared" si="46"/>
        <v>4.9000000000000002E-2</v>
      </c>
      <c r="L436" t="s">
        <v>1157</v>
      </c>
      <c r="M436" t="str">
        <f t="shared" si="48"/>
        <v>Fabbricazione di altre attrezzature ed altri articoli protettivi di sicurezza</v>
      </c>
      <c r="N436" t="str">
        <f t="shared" si="47"/>
        <v>B) Estrazione; C) Manifattura; D) Produzione energia/gas</v>
      </c>
    </row>
    <row r="437" spans="1:14" ht="51">
      <c r="A437" s="58" t="s">
        <v>1091</v>
      </c>
      <c r="B437" s="59" t="s">
        <v>1092</v>
      </c>
      <c r="C437">
        <v>2</v>
      </c>
      <c r="D437" t="str">
        <f>+VLOOKUP(AtecoCrisi[[#This Row],[COD. CRISI]],Tabella139[],2,0)</f>
        <v>B) Estrazione; C) Manifattura; D) Produzione energia/gas</v>
      </c>
      <c r="E437" s="53">
        <f t="shared" si="42"/>
        <v>0.03</v>
      </c>
      <c r="F437" s="53">
        <f t="shared" si="43"/>
        <v>7.5999999999999998E-2</v>
      </c>
      <c r="G437" s="53">
        <f t="shared" si="44"/>
        <v>0.93700000000000006</v>
      </c>
      <c r="H437" s="53">
        <f t="shared" si="45"/>
        <v>5.0000000000000001E-3</v>
      </c>
      <c r="I437" s="53">
        <f t="shared" si="46"/>
        <v>4.9000000000000002E-2</v>
      </c>
      <c r="L437" t="s">
        <v>1159</v>
      </c>
      <c r="M437" t="str">
        <f t="shared" si="48"/>
        <v>Fabbricazione di ombrelli, bottoni, chiusure lampo, parrucche e affini</v>
      </c>
      <c r="N437" t="str">
        <f t="shared" si="47"/>
        <v>B) Estrazione; C) Manifattura; D) Produzione energia/gas</v>
      </c>
    </row>
    <row r="438" spans="1:14" ht="51">
      <c r="A438" s="58" t="s">
        <v>1093</v>
      </c>
      <c r="B438" s="59" t="s">
        <v>1094</v>
      </c>
      <c r="C438">
        <v>2</v>
      </c>
      <c r="D438" t="str">
        <f>+VLOOKUP(AtecoCrisi[[#This Row],[COD. CRISI]],Tabella139[],2,0)</f>
        <v>B) Estrazione; C) Manifattura; D) Produzione energia/gas</v>
      </c>
      <c r="E438" s="53">
        <f t="shared" si="42"/>
        <v>0.03</v>
      </c>
      <c r="F438" s="53">
        <f t="shared" si="43"/>
        <v>7.5999999999999998E-2</v>
      </c>
      <c r="G438" s="53">
        <f t="shared" si="44"/>
        <v>0.93700000000000006</v>
      </c>
      <c r="H438" s="53">
        <f t="shared" si="45"/>
        <v>5.0000000000000001E-3</v>
      </c>
      <c r="I438" s="53">
        <f t="shared" si="46"/>
        <v>4.9000000000000002E-2</v>
      </c>
      <c r="L438" t="s">
        <v>1161</v>
      </c>
      <c r="M438" t="str">
        <f t="shared" si="48"/>
        <v>Fabbricazione di oggetti di cancelleria</v>
      </c>
      <c r="N438" t="str">
        <f t="shared" si="47"/>
        <v>B) Estrazione; C) Manifattura; D) Produzione energia/gas</v>
      </c>
    </row>
    <row r="439" spans="1:14" ht="25.5">
      <c r="A439" s="58" t="s">
        <v>1095</v>
      </c>
      <c r="B439" s="59" t="s">
        <v>1096</v>
      </c>
      <c r="C439">
        <v>2</v>
      </c>
      <c r="D439" t="str">
        <f>+VLOOKUP(AtecoCrisi[[#This Row],[COD. CRISI]],Tabella139[],2,0)</f>
        <v>B) Estrazione; C) Manifattura; D) Produzione energia/gas</v>
      </c>
      <c r="E439" s="53">
        <f t="shared" si="42"/>
        <v>0.03</v>
      </c>
      <c r="F439" s="53">
        <f t="shared" si="43"/>
        <v>7.5999999999999998E-2</v>
      </c>
      <c r="G439" s="53">
        <f t="shared" si="44"/>
        <v>0.93700000000000006</v>
      </c>
      <c r="H439" s="53">
        <f t="shared" si="45"/>
        <v>5.0000000000000001E-3</v>
      </c>
      <c r="I439" s="53">
        <f t="shared" si="46"/>
        <v>4.9000000000000002E-2</v>
      </c>
      <c r="L439" t="s">
        <v>1163</v>
      </c>
      <c r="M439" t="str">
        <f t="shared" si="48"/>
        <v>Fabbricazione di casse funebri</v>
      </c>
      <c r="N439" t="str">
        <f t="shared" si="47"/>
        <v>B) Estrazione; C) Manifattura; D) Produzione energia/gas</v>
      </c>
    </row>
    <row r="440" spans="1:14" ht="25.5">
      <c r="A440" s="58" t="s">
        <v>1097</v>
      </c>
      <c r="B440" s="59" t="s">
        <v>1098</v>
      </c>
      <c r="C440">
        <v>2</v>
      </c>
      <c r="D440" t="str">
        <f>+VLOOKUP(AtecoCrisi[[#This Row],[COD. CRISI]],Tabella139[],2,0)</f>
        <v>B) Estrazione; C) Manifattura; D) Produzione energia/gas</v>
      </c>
      <c r="E440" s="53">
        <f t="shared" si="42"/>
        <v>0.03</v>
      </c>
      <c r="F440" s="53">
        <f t="shared" si="43"/>
        <v>7.5999999999999998E-2</v>
      </c>
      <c r="G440" s="53">
        <f t="shared" si="44"/>
        <v>0.93700000000000006</v>
      </c>
      <c r="H440" s="53">
        <f t="shared" si="45"/>
        <v>5.0000000000000001E-3</v>
      </c>
      <c r="I440" s="53">
        <f t="shared" si="46"/>
        <v>4.9000000000000002E-2</v>
      </c>
      <c r="L440" t="s">
        <v>1165</v>
      </c>
      <c r="M440" t="str">
        <f t="shared" si="48"/>
        <v>Fabbricazione di altri articoli nca</v>
      </c>
      <c r="N440" t="str">
        <f t="shared" si="47"/>
        <v>B) Estrazione; C) Manifattura; D) Produzione energia/gas</v>
      </c>
    </row>
    <row r="441" spans="1:14" ht="38.25">
      <c r="A441" s="58" t="s">
        <v>1099</v>
      </c>
      <c r="B441" s="59" t="s">
        <v>1100</v>
      </c>
      <c r="C441">
        <v>2</v>
      </c>
      <c r="D441" t="str">
        <f>+VLOOKUP(AtecoCrisi[[#This Row],[COD. CRISI]],Tabella139[],2,0)</f>
        <v>B) Estrazione; C) Manifattura; D) Produzione energia/gas</v>
      </c>
      <c r="E441" s="53">
        <f t="shared" si="42"/>
        <v>0.03</v>
      </c>
      <c r="F441" s="53">
        <f t="shared" si="43"/>
        <v>7.5999999999999998E-2</v>
      </c>
      <c r="G441" s="53">
        <f t="shared" si="44"/>
        <v>0.93700000000000006</v>
      </c>
      <c r="H441" s="53">
        <f t="shared" si="45"/>
        <v>5.0000000000000001E-3</v>
      </c>
      <c r="I441" s="53">
        <f t="shared" si="46"/>
        <v>4.9000000000000002E-2</v>
      </c>
      <c r="L441" t="s">
        <v>1169</v>
      </c>
      <c r="M441" t="str">
        <f t="shared" si="48"/>
        <v>Riparazione e manutenzione di stampi, portastampi, sagome, forme per macchine</v>
      </c>
      <c r="N441" t="str">
        <f t="shared" si="47"/>
        <v>B) Estrazione; C) Manifattura; D) Produzione energia/gas</v>
      </c>
    </row>
    <row r="442" spans="1:14" ht="89.25">
      <c r="A442" s="58" t="s">
        <v>1101</v>
      </c>
      <c r="B442" s="59" t="s">
        <v>1102</v>
      </c>
      <c r="C442">
        <v>2</v>
      </c>
      <c r="D442" t="str">
        <f>+VLOOKUP(AtecoCrisi[[#This Row],[COD. CRISI]],Tabella139[],2,0)</f>
        <v>B) Estrazione; C) Manifattura; D) Produzione energia/gas</v>
      </c>
      <c r="E442" s="53">
        <f t="shared" si="42"/>
        <v>0.03</v>
      </c>
      <c r="F442" s="53">
        <f t="shared" si="43"/>
        <v>7.5999999999999998E-2</v>
      </c>
      <c r="G442" s="53">
        <f t="shared" si="44"/>
        <v>0.93700000000000006</v>
      </c>
      <c r="H442" s="53">
        <f t="shared" si="45"/>
        <v>5.0000000000000001E-3</v>
      </c>
      <c r="I442" s="53">
        <f t="shared" si="46"/>
        <v>4.9000000000000002E-2</v>
      </c>
      <c r="L442" t="s">
        <v>1171</v>
      </c>
      <c r="M442" t="str">
        <f t="shared" si="48"/>
        <v>Riparazione e manutenzione di utensileria ad azionamento manuale</v>
      </c>
      <c r="N442" t="str">
        <f t="shared" si="47"/>
        <v>B) Estrazione; C) Manifattura; D) Produzione energia/gas</v>
      </c>
    </row>
    <row r="443" spans="1:14" ht="25.5">
      <c r="A443" s="58" t="s">
        <v>1103</v>
      </c>
      <c r="B443" s="59" t="s">
        <v>1104</v>
      </c>
      <c r="C443">
        <v>2</v>
      </c>
      <c r="D443" t="str">
        <f>+VLOOKUP(AtecoCrisi[[#This Row],[COD. CRISI]],Tabella139[],2,0)</f>
        <v>B) Estrazione; C) Manifattura; D) Produzione energia/gas</v>
      </c>
      <c r="E443" s="53">
        <f t="shared" si="42"/>
        <v>0.03</v>
      </c>
      <c r="F443" s="53">
        <f t="shared" si="43"/>
        <v>7.5999999999999998E-2</v>
      </c>
      <c r="G443" s="53">
        <f t="shared" si="44"/>
        <v>0.93700000000000006</v>
      </c>
      <c r="H443" s="53">
        <f t="shared" si="45"/>
        <v>5.0000000000000001E-3</v>
      </c>
      <c r="I443" s="53">
        <f t="shared" si="46"/>
        <v>4.9000000000000002E-2</v>
      </c>
      <c r="L443" t="s">
        <v>1173</v>
      </c>
      <c r="M443" t="str">
        <f t="shared" si="48"/>
        <v>Riparazione e manutenzione di armi, sistemi d'arma e munizioni</v>
      </c>
      <c r="N443" t="str">
        <f t="shared" si="47"/>
        <v>B) Estrazione; C) Manifattura; D) Produzione energia/gas</v>
      </c>
    </row>
    <row r="444" spans="1:14" ht="38.25">
      <c r="A444" s="58" t="s">
        <v>1105</v>
      </c>
      <c r="B444" s="59" t="s">
        <v>1106</v>
      </c>
      <c r="C444">
        <v>2</v>
      </c>
      <c r="D444" t="str">
        <f>+VLOOKUP(AtecoCrisi[[#This Row],[COD. CRISI]],Tabella139[],2,0)</f>
        <v>B) Estrazione; C) Manifattura; D) Produzione energia/gas</v>
      </c>
      <c r="E444" s="53">
        <f t="shared" si="42"/>
        <v>0.03</v>
      </c>
      <c r="F444" s="53">
        <f t="shared" si="43"/>
        <v>7.5999999999999998E-2</v>
      </c>
      <c r="G444" s="53">
        <f t="shared" si="44"/>
        <v>0.93700000000000006</v>
      </c>
      <c r="H444" s="53">
        <f t="shared" si="45"/>
        <v>5.0000000000000001E-3</v>
      </c>
      <c r="I444" s="53">
        <f t="shared" si="46"/>
        <v>4.9000000000000002E-2</v>
      </c>
      <c r="L444" t="s">
        <v>1175</v>
      </c>
      <c r="M444" t="str">
        <f t="shared" si="48"/>
        <v>Riparazione e manutenzione di casseforti, forzieri, porte metalliche blindate</v>
      </c>
      <c r="N444" t="str">
        <f t="shared" si="47"/>
        <v>B) Estrazione; C) Manifattura; D) Produzione energia/gas</v>
      </c>
    </row>
    <row r="445" spans="1:14">
      <c r="A445" s="58" t="s">
        <v>1107</v>
      </c>
      <c r="B445" s="59" t="s">
        <v>1108</v>
      </c>
      <c r="C445">
        <v>2</v>
      </c>
      <c r="D445" t="str">
        <f>+VLOOKUP(AtecoCrisi[[#This Row],[COD. CRISI]],Tabella139[],2,0)</f>
        <v>B) Estrazione; C) Manifattura; D) Produzione energia/gas</v>
      </c>
      <c r="E445" s="53">
        <f t="shared" si="42"/>
        <v>0.03</v>
      </c>
      <c r="F445" s="53">
        <f t="shared" si="43"/>
        <v>7.5999999999999998E-2</v>
      </c>
      <c r="G445" s="53">
        <f t="shared" si="44"/>
        <v>0.93700000000000006</v>
      </c>
      <c r="H445" s="53">
        <f t="shared" si="45"/>
        <v>5.0000000000000001E-3</v>
      </c>
      <c r="I445" s="53">
        <f t="shared" si="46"/>
        <v>4.9000000000000002E-2</v>
      </c>
      <c r="L445" t="s">
        <v>1177</v>
      </c>
      <c r="M445" t="str">
        <f t="shared" si="48"/>
        <v>Riparazione e manutenzione di armi bianche</v>
      </c>
      <c r="N445" t="str">
        <f t="shared" si="47"/>
        <v>B) Estrazione; C) Manifattura; D) Produzione energia/gas</v>
      </c>
    </row>
    <row r="446" spans="1:14" ht="51">
      <c r="A446" s="58" t="s">
        <v>1109</v>
      </c>
      <c r="B446" s="59" t="s">
        <v>1110</v>
      </c>
      <c r="C446">
        <v>2</v>
      </c>
      <c r="D446" t="str">
        <f>+VLOOKUP(AtecoCrisi[[#This Row],[COD. CRISI]],Tabella139[],2,0)</f>
        <v>B) Estrazione; C) Manifattura; D) Produzione energia/gas</v>
      </c>
      <c r="E446" s="53">
        <f t="shared" si="42"/>
        <v>0.03</v>
      </c>
      <c r="F446" s="53">
        <f t="shared" si="43"/>
        <v>7.5999999999999998E-2</v>
      </c>
      <c r="G446" s="53">
        <f t="shared" si="44"/>
        <v>0.93700000000000006</v>
      </c>
      <c r="H446" s="53">
        <f t="shared" si="45"/>
        <v>5.0000000000000001E-3</v>
      </c>
      <c r="I446" s="53">
        <f t="shared" si="46"/>
        <v>4.9000000000000002E-2</v>
      </c>
      <c r="L446" t="s">
        <v>1179</v>
      </c>
      <c r="M446" t="str">
        <f t="shared" si="48"/>
        <v>Riparazione e manutenzione di container</v>
      </c>
      <c r="N446" t="str">
        <f t="shared" si="47"/>
        <v>B) Estrazione; C) Manifattura; D) Produzione energia/gas</v>
      </c>
    </row>
    <row r="447" spans="1:14" ht="51">
      <c r="A447" s="56" t="s">
        <v>1111</v>
      </c>
      <c r="B447" s="57" t="s">
        <v>1112</v>
      </c>
      <c r="C447">
        <v>2</v>
      </c>
      <c r="D447" t="str">
        <f>+VLOOKUP(AtecoCrisi[[#This Row],[COD. CRISI]],Tabella139[],2,0)</f>
        <v>B) Estrazione; C) Manifattura; D) Produzione energia/gas</v>
      </c>
      <c r="E447" s="53">
        <f t="shared" si="42"/>
        <v>0.03</v>
      </c>
      <c r="F447" s="53">
        <f t="shared" si="43"/>
        <v>7.5999999999999998E-2</v>
      </c>
      <c r="G447" s="53">
        <f t="shared" si="44"/>
        <v>0.93700000000000006</v>
      </c>
      <c r="H447" s="53">
        <f t="shared" si="45"/>
        <v>5.0000000000000001E-3</v>
      </c>
      <c r="I447" s="53">
        <f t="shared" si="46"/>
        <v>4.9000000000000002E-2</v>
      </c>
      <c r="L447" t="s">
        <v>1181</v>
      </c>
      <c r="M447" t="str">
        <f t="shared" si="48"/>
        <v>Riparazione e manutenzione di carrelli per la spesa</v>
      </c>
      <c r="N447" t="str">
        <f t="shared" si="47"/>
        <v>B) Estrazione; C) Manifattura; D) Produzione energia/gas</v>
      </c>
    </row>
    <row r="448" spans="1:14" ht="25.5">
      <c r="A448" s="58" t="s">
        <v>1113</v>
      </c>
      <c r="B448" s="59" t="s">
        <v>1114</v>
      </c>
      <c r="C448">
        <v>2</v>
      </c>
      <c r="D448" t="str">
        <f>+VLOOKUP(AtecoCrisi[[#This Row],[COD. CRISI]],Tabella139[],2,0)</f>
        <v>B) Estrazione; C) Manifattura; D) Produzione energia/gas</v>
      </c>
      <c r="E448" s="53">
        <f t="shared" si="42"/>
        <v>0.03</v>
      </c>
      <c r="F448" s="53">
        <f t="shared" si="43"/>
        <v>7.5999999999999998E-2</v>
      </c>
      <c r="G448" s="53">
        <f t="shared" si="44"/>
        <v>0.93700000000000006</v>
      </c>
      <c r="H448" s="53">
        <f t="shared" si="45"/>
        <v>5.0000000000000001E-3</v>
      </c>
      <c r="I448" s="53">
        <f t="shared" si="46"/>
        <v>4.9000000000000002E-2</v>
      </c>
      <c r="L448" t="s">
        <v>1183</v>
      </c>
      <c r="M448" t="str">
        <f t="shared" si="48"/>
        <v>Riparazione e manutenzione di altri prodotti in metallo</v>
      </c>
      <c r="N448" t="str">
        <f t="shared" si="47"/>
        <v>B) Estrazione; C) Manifattura; D) Produzione energia/gas</v>
      </c>
    </row>
    <row r="449" spans="1:14" ht="76.5">
      <c r="A449" s="58" t="s">
        <v>1115</v>
      </c>
      <c r="B449" s="59" t="s">
        <v>1116</v>
      </c>
      <c r="C449">
        <v>2</v>
      </c>
      <c r="D449" t="str">
        <f>+VLOOKUP(AtecoCrisi[[#This Row],[COD. CRISI]],Tabella139[],2,0)</f>
        <v>B) Estrazione; C) Manifattura; D) Produzione energia/gas</v>
      </c>
      <c r="E449" s="53">
        <f t="shared" si="42"/>
        <v>0.03</v>
      </c>
      <c r="F449" s="53">
        <f t="shared" si="43"/>
        <v>7.5999999999999998E-2</v>
      </c>
      <c r="G449" s="53">
        <f t="shared" si="44"/>
        <v>0.93700000000000006</v>
      </c>
      <c r="H449" s="53">
        <f t="shared" si="45"/>
        <v>5.0000000000000001E-3</v>
      </c>
      <c r="I449" s="53">
        <f t="shared" si="46"/>
        <v>4.9000000000000002E-2</v>
      </c>
      <c r="L449" t="s">
        <v>1185</v>
      </c>
      <c r="M449" t="str">
        <f t="shared" si="48"/>
        <v>Riparazione e manutenzione di macchine di impiego generale</v>
      </c>
      <c r="N449" t="str">
        <f t="shared" si="47"/>
        <v>B) Estrazione; C) Manifattura; D) Produzione energia/gas</v>
      </c>
    </row>
    <row r="450" spans="1:14" ht="63.75">
      <c r="A450" s="58" t="s">
        <v>1117</v>
      </c>
      <c r="B450" s="59" t="s">
        <v>1118</v>
      </c>
      <c r="C450">
        <v>2</v>
      </c>
      <c r="D450" t="str">
        <f>+VLOOKUP(AtecoCrisi[[#This Row],[COD. CRISI]],Tabella139[],2,0)</f>
        <v>B) Estrazione; C) Manifattura; D) Produzione energia/gas</v>
      </c>
      <c r="E450" s="53">
        <f t="shared" ref="E450:E513" si="49">+VLOOKUP(C450,$R$2:$X$11,3,FALSE)</f>
        <v>0.03</v>
      </c>
      <c r="F450" s="53">
        <f t="shared" ref="F450:F513" si="50">+VLOOKUP(C450,$R$2:$X$11,4,FALSE)</f>
        <v>7.5999999999999998E-2</v>
      </c>
      <c r="G450" s="53">
        <f t="shared" ref="G450:G513" si="51">+VLOOKUP(C450,$R$2:$X$11,5,FALSE)</f>
        <v>0.93700000000000006</v>
      </c>
      <c r="H450" s="53">
        <f t="shared" ref="H450:H513" si="52">+VLOOKUP(C450,$R$2:$X$11,6,FALSE)</f>
        <v>5.0000000000000001E-3</v>
      </c>
      <c r="I450" s="53">
        <f t="shared" ref="I450:I513" si="53">+VLOOKUP(C450,$R$2:$X$11,7,FALSE)</f>
        <v>4.9000000000000002E-2</v>
      </c>
      <c r="L450" t="s">
        <v>1187</v>
      </c>
      <c r="M450" t="str">
        <f t="shared" si="48"/>
        <v>Riparazione e manutenzione di forni, fornaci e bruciatori</v>
      </c>
      <c r="N450" t="str">
        <f t="shared" ref="N450:N513" si="54">+VLOOKUP(L450,A:D,4,0)</f>
        <v>B) Estrazione; C) Manifattura; D) Produzione energia/gas</v>
      </c>
    </row>
    <row r="451" spans="1:14" ht="63.75">
      <c r="A451" s="58" t="s">
        <v>1119</v>
      </c>
      <c r="B451" s="59" t="s">
        <v>1120</v>
      </c>
      <c r="C451">
        <v>2</v>
      </c>
      <c r="D451" t="str">
        <f>+VLOOKUP(AtecoCrisi[[#This Row],[COD. CRISI]],Tabella139[],2,0)</f>
        <v>B) Estrazione; C) Manifattura; D) Produzione energia/gas</v>
      </c>
      <c r="E451" s="53">
        <f t="shared" si="49"/>
        <v>0.03</v>
      </c>
      <c r="F451" s="53">
        <f t="shared" si="50"/>
        <v>7.5999999999999998E-2</v>
      </c>
      <c r="G451" s="53">
        <f t="shared" si="51"/>
        <v>0.93700000000000006</v>
      </c>
      <c r="H451" s="53">
        <f t="shared" si="52"/>
        <v>5.0000000000000001E-3</v>
      </c>
      <c r="I451" s="53">
        <f t="shared" si="53"/>
        <v>4.9000000000000002E-2</v>
      </c>
      <c r="L451" t="s">
        <v>1189</v>
      </c>
      <c r="M451" t="str">
        <f t="shared" ref="M451:M514" si="55">+VLOOKUP(L451,A:B,2,0)</f>
        <v>Riparazione e manutenzione di macchine e apparecchi di sollevamento e movimentazione (esclusi ascensori)</v>
      </c>
      <c r="N451" t="str">
        <f t="shared" si="54"/>
        <v>B) Estrazione; C) Manifattura; D) Produzione energia/gas</v>
      </c>
    </row>
    <row r="452" spans="1:14" ht="38.25">
      <c r="A452" s="58" t="s">
        <v>1121</v>
      </c>
      <c r="B452" s="59" t="s">
        <v>1122</v>
      </c>
      <c r="C452">
        <v>2</v>
      </c>
      <c r="D452" t="str">
        <f>+VLOOKUP(AtecoCrisi[[#This Row],[COD. CRISI]],Tabella139[],2,0)</f>
        <v>B) Estrazione; C) Manifattura; D) Produzione energia/gas</v>
      </c>
      <c r="E452" s="53">
        <f t="shared" si="49"/>
        <v>0.03</v>
      </c>
      <c r="F452" s="53">
        <f t="shared" si="50"/>
        <v>7.5999999999999998E-2</v>
      </c>
      <c r="G452" s="53">
        <f t="shared" si="51"/>
        <v>0.93700000000000006</v>
      </c>
      <c r="H452" s="53">
        <f t="shared" si="52"/>
        <v>5.0000000000000001E-3</v>
      </c>
      <c r="I452" s="53">
        <f t="shared" si="53"/>
        <v>4.9000000000000002E-2</v>
      </c>
      <c r="L452" t="s">
        <v>1191</v>
      </c>
      <c r="M452" t="str">
        <f t="shared" si="55"/>
        <v>Riparazione e manutenzione di attrezzature di uso non domestico per la refrigerazione e la ventilazione</v>
      </c>
      <c r="N452" t="str">
        <f t="shared" si="54"/>
        <v>B) Estrazione; C) Manifattura; D) Produzione energia/gas</v>
      </c>
    </row>
    <row r="453" spans="1:14" ht="51">
      <c r="A453" s="58" t="s">
        <v>1123</v>
      </c>
      <c r="B453" s="59" t="s">
        <v>1124</v>
      </c>
      <c r="C453">
        <v>2</v>
      </c>
      <c r="D453" t="str">
        <f>+VLOOKUP(AtecoCrisi[[#This Row],[COD. CRISI]],Tabella139[],2,0)</f>
        <v>B) Estrazione; C) Manifattura; D) Produzione energia/gas</v>
      </c>
      <c r="E453" s="53">
        <f t="shared" si="49"/>
        <v>0.03</v>
      </c>
      <c r="F453" s="53">
        <f t="shared" si="50"/>
        <v>7.5999999999999998E-2</v>
      </c>
      <c r="G453" s="53">
        <f t="shared" si="51"/>
        <v>0.93700000000000006</v>
      </c>
      <c r="H453" s="53">
        <f t="shared" si="52"/>
        <v>5.0000000000000001E-3</v>
      </c>
      <c r="I453" s="53">
        <f t="shared" si="53"/>
        <v>4.9000000000000002E-2</v>
      </c>
      <c r="L453" t="s">
        <v>1193</v>
      </c>
      <c r="M453" t="str">
        <f t="shared" si="55"/>
        <v>Riparazione e manutenzione di macchine ed attrezzature per ufficio (esclusi computer, periferiche, fax)</v>
      </c>
      <c r="N453" t="str">
        <f t="shared" si="54"/>
        <v>B) Estrazione; C) Manifattura; D) Produzione energia/gas</v>
      </c>
    </row>
    <row r="454" spans="1:14" ht="25.5">
      <c r="A454" s="58" t="s">
        <v>1125</v>
      </c>
      <c r="B454" s="59" t="s">
        <v>1126</v>
      </c>
      <c r="C454">
        <v>2</v>
      </c>
      <c r="D454" t="str">
        <f>+VLOOKUP(AtecoCrisi[[#This Row],[COD. CRISI]],Tabella139[],2,0)</f>
        <v>B) Estrazione; C) Manifattura; D) Produzione energia/gas</v>
      </c>
      <c r="E454" s="53">
        <f t="shared" si="49"/>
        <v>0.03</v>
      </c>
      <c r="F454" s="53">
        <f t="shared" si="50"/>
        <v>7.5999999999999998E-2</v>
      </c>
      <c r="G454" s="53">
        <f t="shared" si="51"/>
        <v>0.93700000000000006</v>
      </c>
      <c r="H454" s="53">
        <f t="shared" si="52"/>
        <v>5.0000000000000001E-3</v>
      </c>
      <c r="I454" s="53">
        <f t="shared" si="53"/>
        <v>4.9000000000000002E-2</v>
      </c>
      <c r="L454" t="s">
        <v>1195</v>
      </c>
      <c r="M454" t="str">
        <f t="shared" si="55"/>
        <v>Riparazione e manutenzione di bilance e macchine automatiche per la vendita e la distribuzione</v>
      </c>
      <c r="N454" t="str">
        <f t="shared" si="54"/>
        <v>B) Estrazione; C) Manifattura; D) Produzione energia/gas</v>
      </c>
    </row>
    <row r="455" spans="1:14" ht="38.25">
      <c r="A455" s="58" t="s">
        <v>1127</v>
      </c>
      <c r="B455" s="59" t="s">
        <v>1128</v>
      </c>
      <c r="C455">
        <v>2</v>
      </c>
      <c r="D455" t="str">
        <f>+VLOOKUP(AtecoCrisi[[#This Row],[COD. CRISI]],Tabella139[],2,0)</f>
        <v>B) Estrazione; C) Manifattura; D) Produzione energia/gas</v>
      </c>
      <c r="E455" s="53">
        <f t="shared" si="49"/>
        <v>0.03</v>
      </c>
      <c r="F455" s="53">
        <f t="shared" si="50"/>
        <v>7.5999999999999998E-2</v>
      </c>
      <c r="G455" s="53">
        <f t="shared" si="51"/>
        <v>0.93700000000000006</v>
      </c>
      <c r="H455" s="53">
        <f t="shared" si="52"/>
        <v>5.0000000000000001E-3</v>
      </c>
      <c r="I455" s="53">
        <f t="shared" si="53"/>
        <v>4.9000000000000002E-2</v>
      </c>
      <c r="L455" t="s">
        <v>1197</v>
      </c>
      <c r="M455" t="str">
        <f t="shared" si="55"/>
        <v>Riparazione e manutenzione di macchine per le industrie chimiche, petrolchimiche e petrolifere</v>
      </c>
      <c r="N455" t="str">
        <f t="shared" si="54"/>
        <v>B) Estrazione; C) Manifattura; D) Produzione energia/gas</v>
      </c>
    </row>
    <row r="456" spans="1:14" ht="63.75">
      <c r="A456" s="58" t="s">
        <v>1129</v>
      </c>
      <c r="B456" s="59" t="s">
        <v>1130</v>
      </c>
      <c r="C456">
        <v>2</v>
      </c>
      <c r="D456" t="str">
        <f>+VLOOKUP(AtecoCrisi[[#This Row],[COD. CRISI]],Tabella139[],2,0)</f>
        <v>B) Estrazione; C) Manifattura; D) Produzione energia/gas</v>
      </c>
      <c r="E456" s="53">
        <f t="shared" si="49"/>
        <v>0.03</v>
      </c>
      <c r="F456" s="53">
        <f t="shared" si="50"/>
        <v>7.5999999999999998E-2</v>
      </c>
      <c r="G456" s="53">
        <f t="shared" si="51"/>
        <v>0.93700000000000006</v>
      </c>
      <c r="H456" s="53">
        <f t="shared" si="52"/>
        <v>5.0000000000000001E-3</v>
      </c>
      <c r="I456" s="53">
        <f t="shared" si="53"/>
        <v>4.9000000000000002E-2</v>
      </c>
      <c r="L456" t="s">
        <v>1199</v>
      </c>
      <c r="M456" t="str">
        <f t="shared" si="55"/>
        <v>Riparazione e manutenzione di macchine per la dosatura, la confezione e l'imballaggio</v>
      </c>
      <c r="N456" t="str">
        <f t="shared" si="54"/>
        <v>B) Estrazione; C) Manifattura; D) Produzione energia/gas</v>
      </c>
    </row>
    <row r="457" spans="1:14" ht="51">
      <c r="A457" s="58" t="s">
        <v>1131</v>
      </c>
      <c r="B457" s="59" t="s">
        <v>1132</v>
      </c>
      <c r="C457">
        <v>2</v>
      </c>
      <c r="D457" t="str">
        <f>+VLOOKUP(AtecoCrisi[[#This Row],[COD. CRISI]],Tabella139[],2,0)</f>
        <v>B) Estrazione; C) Manifattura; D) Produzione energia/gas</v>
      </c>
      <c r="E457" s="53">
        <f t="shared" si="49"/>
        <v>0.03</v>
      </c>
      <c r="F457" s="53">
        <f t="shared" si="50"/>
        <v>7.5999999999999998E-2</v>
      </c>
      <c r="G457" s="53">
        <f t="shared" si="51"/>
        <v>0.93700000000000006</v>
      </c>
      <c r="H457" s="53">
        <f t="shared" si="52"/>
        <v>5.0000000000000001E-3</v>
      </c>
      <c r="I457" s="53">
        <f t="shared" si="53"/>
        <v>4.9000000000000002E-2</v>
      </c>
      <c r="L457" t="s">
        <v>1201</v>
      </c>
      <c r="M457" t="str">
        <f t="shared" si="55"/>
        <v>Riparazione e manutenzione di estintori (inclusa la ricarica)</v>
      </c>
      <c r="N457" t="str">
        <f t="shared" si="54"/>
        <v>B) Estrazione; C) Manifattura; D) Produzione energia/gas</v>
      </c>
    </row>
    <row r="458" spans="1:14" ht="102">
      <c r="A458" s="58" t="s">
        <v>1133</v>
      </c>
      <c r="B458" s="59" t="s">
        <v>1134</v>
      </c>
      <c r="C458">
        <v>2</v>
      </c>
      <c r="D458" t="str">
        <f>+VLOOKUP(AtecoCrisi[[#This Row],[COD. CRISI]],Tabella139[],2,0)</f>
        <v>B) Estrazione; C) Manifattura; D) Produzione energia/gas</v>
      </c>
      <c r="E458" s="53">
        <f t="shared" si="49"/>
        <v>0.03</v>
      </c>
      <c r="F458" s="53">
        <f t="shared" si="50"/>
        <v>7.5999999999999998E-2</v>
      </c>
      <c r="G458" s="53">
        <f t="shared" si="51"/>
        <v>0.93700000000000006</v>
      </c>
      <c r="H458" s="53">
        <f t="shared" si="52"/>
        <v>5.0000000000000001E-3</v>
      </c>
      <c r="I458" s="53">
        <f t="shared" si="53"/>
        <v>4.9000000000000002E-2</v>
      </c>
      <c r="L458" t="s">
        <v>1203</v>
      </c>
      <c r="M458" t="str">
        <f t="shared" si="55"/>
        <v>Riparazione e manutenzione di altre macchine di impiego generale nca</v>
      </c>
      <c r="N458" t="str">
        <f t="shared" si="54"/>
        <v>B) Estrazione; C) Manifattura; D) Produzione energia/gas</v>
      </c>
    </row>
    <row r="459" spans="1:14" ht="63.75">
      <c r="A459" s="58" t="s">
        <v>1135</v>
      </c>
      <c r="B459" s="59" t="s">
        <v>1136</v>
      </c>
      <c r="C459">
        <v>2</v>
      </c>
      <c r="D459" t="str">
        <f>+VLOOKUP(AtecoCrisi[[#This Row],[COD. CRISI]],Tabella139[],2,0)</f>
        <v>B) Estrazione; C) Manifattura; D) Produzione energia/gas</v>
      </c>
      <c r="E459" s="53">
        <f t="shared" si="49"/>
        <v>0.03</v>
      </c>
      <c r="F459" s="53">
        <f t="shared" si="50"/>
        <v>7.5999999999999998E-2</v>
      </c>
      <c r="G459" s="53">
        <f t="shared" si="51"/>
        <v>0.93700000000000006</v>
      </c>
      <c r="H459" s="53">
        <f t="shared" si="52"/>
        <v>5.0000000000000001E-3</v>
      </c>
      <c r="I459" s="53">
        <f t="shared" si="53"/>
        <v>4.9000000000000002E-2</v>
      </c>
      <c r="L459" t="s">
        <v>1205</v>
      </c>
      <c r="M459" t="str">
        <f t="shared" si="55"/>
        <v>Riparazione e manutenzione di trattori agricoli</v>
      </c>
      <c r="N459" t="str">
        <f t="shared" si="54"/>
        <v>B) Estrazione; C) Manifattura; D) Produzione energia/gas</v>
      </c>
    </row>
    <row r="460" spans="1:14" ht="38.25">
      <c r="A460" s="58" t="s">
        <v>1137</v>
      </c>
      <c r="B460" s="59" t="s">
        <v>1138</v>
      </c>
      <c r="C460">
        <v>2</v>
      </c>
      <c r="D460" t="str">
        <f>+VLOOKUP(AtecoCrisi[[#This Row],[COD. CRISI]],Tabella139[],2,0)</f>
        <v>B) Estrazione; C) Manifattura; D) Produzione energia/gas</v>
      </c>
      <c r="E460" s="53">
        <f t="shared" si="49"/>
        <v>0.03</v>
      </c>
      <c r="F460" s="53">
        <f t="shared" si="50"/>
        <v>7.5999999999999998E-2</v>
      </c>
      <c r="G460" s="53">
        <f t="shared" si="51"/>
        <v>0.93700000000000006</v>
      </c>
      <c r="H460" s="53">
        <f t="shared" si="52"/>
        <v>5.0000000000000001E-3</v>
      </c>
      <c r="I460" s="53">
        <f t="shared" si="53"/>
        <v>4.9000000000000002E-2</v>
      </c>
      <c r="L460" t="s">
        <v>1207</v>
      </c>
      <c r="M460" t="str">
        <f t="shared" si="55"/>
        <v>Riparazione e manutenzione di altre macchine per l'agricoltura, la silvicoltura e la zootecnia</v>
      </c>
      <c r="N460" t="str">
        <f t="shared" si="54"/>
        <v>B) Estrazione; C) Manifattura; D) Produzione energia/gas</v>
      </c>
    </row>
    <row r="461" spans="1:14" ht="51">
      <c r="A461" s="58" t="s">
        <v>1139</v>
      </c>
      <c r="B461" s="59" t="s">
        <v>1140</v>
      </c>
      <c r="C461">
        <v>2</v>
      </c>
      <c r="D461" t="str">
        <f>+VLOOKUP(AtecoCrisi[[#This Row],[COD. CRISI]],Tabella139[],2,0)</f>
        <v>B) Estrazione; C) Manifattura; D) Produzione energia/gas</v>
      </c>
      <c r="E461" s="53">
        <f t="shared" si="49"/>
        <v>0.03</v>
      </c>
      <c r="F461" s="53">
        <f t="shared" si="50"/>
        <v>7.5999999999999998E-2</v>
      </c>
      <c r="G461" s="53">
        <f t="shared" si="51"/>
        <v>0.93700000000000006</v>
      </c>
      <c r="H461" s="53">
        <f t="shared" si="52"/>
        <v>5.0000000000000001E-3</v>
      </c>
      <c r="I461" s="53">
        <f t="shared" si="53"/>
        <v>4.9000000000000002E-2</v>
      </c>
      <c r="L461" t="s">
        <v>1209</v>
      </c>
      <c r="M461" t="str">
        <f t="shared" si="55"/>
        <v>Riparazione e manutenzione di parti intercambiabili per macchine utensili</v>
      </c>
      <c r="N461" t="str">
        <f t="shared" si="54"/>
        <v>B) Estrazione; C) Manifattura; D) Produzione energia/gas</v>
      </c>
    </row>
    <row r="462" spans="1:14" ht="76.5">
      <c r="A462" s="58" t="s">
        <v>1141</v>
      </c>
      <c r="B462" s="59" t="s">
        <v>1142</v>
      </c>
      <c r="C462">
        <v>2</v>
      </c>
      <c r="D462" t="str">
        <f>+VLOOKUP(AtecoCrisi[[#This Row],[COD. CRISI]],Tabella139[],2,0)</f>
        <v>B) Estrazione; C) Manifattura; D) Produzione energia/gas</v>
      </c>
      <c r="E462" s="53">
        <f t="shared" si="49"/>
        <v>0.03</v>
      </c>
      <c r="F462" s="53">
        <f t="shared" si="50"/>
        <v>7.5999999999999998E-2</v>
      </c>
      <c r="G462" s="53">
        <f t="shared" si="51"/>
        <v>0.93700000000000006</v>
      </c>
      <c r="H462" s="53">
        <f t="shared" si="52"/>
        <v>5.0000000000000001E-3</v>
      </c>
      <c r="I462" s="53">
        <f t="shared" si="53"/>
        <v>4.9000000000000002E-2</v>
      </c>
      <c r="L462" t="s">
        <v>1211</v>
      </c>
      <c r="M462" t="str">
        <f t="shared" si="55"/>
        <v>Riparazione e manutenzione di giostre, altalene, padiglioni da tiro al bersaglio ed altre attrezzature per parchi di divertimento</v>
      </c>
      <c r="N462" t="str">
        <f t="shared" si="54"/>
        <v>B) Estrazione; C) Manifattura; D) Produzione energia/gas</v>
      </c>
    </row>
    <row r="463" spans="1:14" ht="25.5">
      <c r="A463" s="58" t="s">
        <v>1143</v>
      </c>
      <c r="B463" s="59" t="s">
        <v>1144</v>
      </c>
      <c r="C463">
        <v>2</v>
      </c>
      <c r="D463" t="str">
        <f>+VLOOKUP(AtecoCrisi[[#This Row],[COD. CRISI]],Tabella139[],2,0)</f>
        <v>B) Estrazione; C) Manifattura; D) Produzione energia/gas</v>
      </c>
      <c r="E463" s="53">
        <f t="shared" si="49"/>
        <v>0.03</v>
      </c>
      <c r="F463" s="53">
        <f t="shared" si="50"/>
        <v>7.5999999999999998E-2</v>
      </c>
      <c r="G463" s="53">
        <f t="shared" si="51"/>
        <v>0.93700000000000006</v>
      </c>
      <c r="H463" s="53">
        <f t="shared" si="52"/>
        <v>5.0000000000000001E-3</v>
      </c>
      <c r="I463" s="53">
        <f t="shared" si="53"/>
        <v>4.9000000000000002E-2</v>
      </c>
      <c r="L463" t="s">
        <v>1213</v>
      </c>
      <c r="M463" t="str">
        <f t="shared" si="55"/>
        <v>Riparazione e manutenzione di altre macchine per impieghi speciali nca (incluse le macchine utensili)</v>
      </c>
      <c r="N463" t="str">
        <f t="shared" si="54"/>
        <v>B) Estrazione; C) Manifattura; D) Produzione energia/gas</v>
      </c>
    </row>
    <row r="464" spans="1:14" ht="76.5">
      <c r="A464" s="58" t="s">
        <v>1145</v>
      </c>
      <c r="B464" s="59" t="s">
        <v>1146</v>
      </c>
      <c r="C464">
        <v>2</v>
      </c>
      <c r="D464" t="str">
        <f>+VLOOKUP(AtecoCrisi[[#This Row],[COD. CRISI]],Tabella139[],2,0)</f>
        <v>B) Estrazione; C) Manifattura; D) Produzione energia/gas</v>
      </c>
      <c r="E464" s="53">
        <f t="shared" si="49"/>
        <v>0.03</v>
      </c>
      <c r="F464" s="53">
        <f t="shared" si="50"/>
        <v>7.5999999999999998E-2</v>
      </c>
      <c r="G464" s="53">
        <f t="shared" si="51"/>
        <v>0.93700000000000006</v>
      </c>
      <c r="H464" s="53">
        <f t="shared" si="52"/>
        <v>5.0000000000000001E-3</v>
      </c>
      <c r="I464" s="53">
        <f t="shared" si="53"/>
        <v>4.9000000000000002E-2</v>
      </c>
      <c r="L464" t="s">
        <v>1215</v>
      </c>
      <c r="M464" t="str">
        <f t="shared" si="55"/>
        <v>Riparazione e manutenzione di apparecchiature ottiche, fotografiche e cinematografiche (escluse videocamere)</v>
      </c>
      <c r="N464" t="str">
        <f t="shared" si="54"/>
        <v>B) Estrazione; C) Manifattura; D) Produzione energia/gas</v>
      </c>
    </row>
    <row r="465" spans="1:14" ht="25.5">
      <c r="A465" s="58" t="s">
        <v>1147</v>
      </c>
      <c r="B465" s="59" t="s">
        <v>1148</v>
      </c>
      <c r="C465">
        <v>2</v>
      </c>
      <c r="D465" t="str">
        <f>+VLOOKUP(AtecoCrisi[[#This Row],[COD. CRISI]],Tabella139[],2,0)</f>
        <v>B) Estrazione; C) Manifattura; D) Produzione energia/gas</v>
      </c>
      <c r="E465" s="53">
        <f t="shared" si="49"/>
        <v>0.03</v>
      </c>
      <c r="F465" s="53">
        <f t="shared" si="50"/>
        <v>7.5999999999999998E-2</v>
      </c>
      <c r="G465" s="53">
        <f t="shared" si="51"/>
        <v>0.93700000000000006</v>
      </c>
      <c r="H465" s="53">
        <f t="shared" si="52"/>
        <v>5.0000000000000001E-3</v>
      </c>
      <c r="I465" s="53">
        <f t="shared" si="53"/>
        <v>4.9000000000000002E-2</v>
      </c>
      <c r="L465" t="s">
        <v>1217</v>
      </c>
      <c r="M465">
        <f t="shared" si="55"/>
        <v>0</v>
      </c>
      <c r="N465" t="str">
        <f t="shared" si="54"/>
        <v>B) Estrazione; C) Manifattura; D) Produzione energia/gas</v>
      </c>
    </row>
    <row r="466" spans="1:14" ht="51">
      <c r="A466" s="58" t="s">
        <v>1149</v>
      </c>
      <c r="B466" s="59" t="s">
        <v>1150</v>
      </c>
      <c r="C466">
        <v>2</v>
      </c>
      <c r="D466" t="str">
        <f>+VLOOKUP(AtecoCrisi[[#This Row],[COD. CRISI]],Tabella139[],2,0)</f>
        <v>B) Estrazione; C) Manifattura; D) Produzione energia/gas</v>
      </c>
      <c r="E466" s="53">
        <f t="shared" si="49"/>
        <v>0.03</v>
      </c>
      <c r="F466" s="53">
        <f t="shared" si="50"/>
        <v>7.5999999999999998E-2</v>
      </c>
      <c r="G466" s="53">
        <f t="shared" si="51"/>
        <v>0.93700000000000006</v>
      </c>
      <c r="H466" s="53">
        <f t="shared" si="52"/>
        <v>5.0000000000000001E-3</v>
      </c>
      <c r="I466" s="53">
        <f t="shared" si="53"/>
        <v>4.9000000000000002E-2</v>
      </c>
      <c r="L466" t="s">
        <v>1218</v>
      </c>
      <c r="M466" t="str">
        <f t="shared" si="55"/>
        <v>Riparazione e manutenzione di apparecchi elettromedicali, di materiale medico-chirurgico e veterinario, di apparecchi e strumenti per odontoiatria</v>
      </c>
      <c r="N466" t="str">
        <f t="shared" si="54"/>
        <v>B) Estrazione; C) Manifattura; D) Produzione energia/gas</v>
      </c>
    </row>
    <row r="467" spans="1:14" ht="51">
      <c r="A467" s="58" t="s">
        <v>1151</v>
      </c>
      <c r="B467" s="59" t="s">
        <v>1152</v>
      </c>
      <c r="C467">
        <v>2</v>
      </c>
      <c r="D467" t="str">
        <f>+VLOOKUP(AtecoCrisi[[#This Row],[COD. CRISI]],Tabella139[],2,0)</f>
        <v>B) Estrazione; C) Manifattura; D) Produzione energia/gas</v>
      </c>
      <c r="E467" s="53">
        <f t="shared" si="49"/>
        <v>0.03</v>
      </c>
      <c r="F467" s="53">
        <f t="shared" si="50"/>
        <v>7.5999999999999998E-2</v>
      </c>
      <c r="G467" s="53">
        <f t="shared" si="51"/>
        <v>0.93700000000000006</v>
      </c>
      <c r="H467" s="53">
        <f t="shared" si="52"/>
        <v>5.0000000000000001E-3</v>
      </c>
      <c r="I467" s="53">
        <f t="shared" si="53"/>
        <v>4.9000000000000002E-2</v>
      </c>
      <c r="L467" t="s">
        <v>1220</v>
      </c>
      <c r="M467" t="str">
        <f t="shared" si="55"/>
        <v>Riparazione e manutenzione di apparati di distillazione per laboratori, di centrifughe per laboratori e di macchinari per pulizia ad ultrasuoni per laboratori</v>
      </c>
      <c r="N467" t="str">
        <f t="shared" si="54"/>
        <v>B) Estrazione; C) Manifattura; D) Produzione energia/gas</v>
      </c>
    </row>
    <row r="468" spans="1:14" ht="51">
      <c r="A468" s="58" t="s">
        <v>1153</v>
      </c>
      <c r="B468" s="59" t="s">
        <v>1154</v>
      </c>
      <c r="C468">
        <v>2</v>
      </c>
      <c r="D468" t="str">
        <f>+VLOOKUP(AtecoCrisi[[#This Row],[COD. CRISI]],Tabella139[],2,0)</f>
        <v>B) Estrazione; C) Manifattura; D) Produzione energia/gas</v>
      </c>
      <c r="E468" s="53">
        <f t="shared" si="49"/>
        <v>0.03</v>
      </c>
      <c r="F468" s="53">
        <f t="shared" si="50"/>
        <v>7.5999999999999998E-2</v>
      </c>
      <c r="G468" s="53">
        <f t="shared" si="51"/>
        <v>0.93700000000000006</v>
      </c>
      <c r="H468" s="53">
        <f t="shared" si="52"/>
        <v>5.0000000000000001E-3</v>
      </c>
      <c r="I468" s="53">
        <f t="shared" si="53"/>
        <v>4.9000000000000002E-2</v>
      </c>
      <c r="L468" t="s">
        <v>1222</v>
      </c>
      <c r="M468" t="str">
        <f t="shared" si="55"/>
        <v>Riparazione e manutenzione di altre apparecchiature elettroniche (escluse quelle per le telecomunicazioni ed i computer)</v>
      </c>
      <c r="N468" t="str">
        <f t="shared" si="54"/>
        <v>B) Estrazione; C) Manifattura; D) Produzione energia/gas</v>
      </c>
    </row>
    <row r="469" spans="1:14" ht="25.5">
      <c r="A469" s="58" t="s">
        <v>1155</v>
      </c>
      <c r="B469" s="59" t="s">
        <v>1156</v>
      </c>
      <c r="C469">
        <v>2</v>
      </c>
      <c r="D469" t="str">
        <f>+VLOOKUP(AtecoCrisi[[#This Row],[COD. CRISI]],Tabella139[],2,0)</f>
        <v>B) Estrazione; C) Manifattura; D) Produzione energia/gas</v>
      </c>
      <c r="E469" s="53">
        <f t="shared" si="49"/>
        <v>0.03</v>
      </c>
      <c r="F469" s="53">
        <f t="shared" si="50"/>
        <v>7.5999999999999998E-2</v>
      </c>
      <c r="G469" s="53">
        <f t="shared" si="51"/>
        <v>0.93700000000000006</v>
      </c>
      <c r="H469" s="53">
        <f t="shared" si="52"/>
        <v>5.0000000000000001E-3</v>
      </c>
      <c r="I469" s="53">
        <f t="shared" si="53"/>
        <v>4.9000000000000002E-2</v>
      </c>
      <c r="L469" t="s">
        <v>1224</v>
      </c>
      <c r="M469" t="str">
        <f t="shared" si="55"/>
        <v>Riparazione e manutenzione di apparecchiature elettriche (esclusi gli elettrodomestici)</v>
      </c>
      <c r="N469" t="str">
        <f t="shared" si="54"/>
        <v>B) Estrazione; C) Manifattura; D) Produzione energia/gas</v>
      </c>
    </row>
    <row r="470" spans="1:14" ht="63.75">
      <c r="A470" s="58" t="s">
        <v>1157</v>
      </c>
      <c r="B470" s="59" t="s">
        <v>1158</v>
      </c>
      <c r="C470">
        <v>2</v>
      </c>
      <c r="D470" t="str">
        <f>+VLOOKUP(AtecoCrisi[[#This Row],[COD. CRISI]],Tabella139[],2,0)</f>
        <v>B) Estrazione; C) Manifattura; D) Produzione energia/gas</v>
      </c>
      <c r="E470" s="53">
        <f t="shared" si="49"/>
        <v>0.03</v>
      </c>
      <c r="F470" s="53">
        <f t="shared" si="50"/>
        <v>7.5999999999999998E-2</v>
      </c>
      <c r="G470" s="53">
        <f t="shared" si="51"/>
        <v>0.93700000000000006</v>
      </c>
      <c r="H470" s="53">
        <f t="shared" si="52"/>
        <v>5.0000000000000001E-3</v>
      </c>
      <c r="I470" s="53">
        <f t="shared" si="53"/>
        <v>4.9000000000000002E-2</v>
      </c>
      <c r="L470" t="s">
        <v>1226</v>
      </c>
      <c r="M470">
        <f t="shared" si="55"/>
        <v>0</v>
      </c>
      <c r="N470" t="str">
        <f t="shared" si="54"/>
        <v>B) Estrazione; C) Manifattura; D) Produzione energia/gas</v>
      </c>
    </row>
    <row r="471" spans="1:14" ht="51">
      <c r="A471" s="58" t="s">
        <v>1159</v>
      </c>
      <c r="B471" s="59" t="s">
        <v>1160</v>
      </c>
      <c r="C471">
        <v>2</v>
      </c>
      <c r="D471" t="str">
        <f>+VLOOKUP(AtecoCrisi[[#This Row],[COD. CRISI]],Tabella139[],2,0)</f>
        <v>B) Estrazione; C) Manifattura; D) Produzione energia/gas</v>
      </c>
      <c r="E471" s="53">
        <f t="shared" si="49"/>
        <v>0.03</v>
      </c>
      <c r="F471" s="53">
        <f t="shared" si="50"/>
        <v>7.5999999999999998E-2</v>
      </c>
      <c r="G471" s="53">
        <f t="shared" si="51"/>
        <v>0.93700000000000006</v>
      </c>
      <c r="H471" s="53">
        <f t="shared" si="52"/>
        <v>5.0000000000000001E-3</v>
      </c>
      <c r="I471" s="53">
        <f t="shared" si="53"/>
        <v>4.9000000000000002E-2</v>
      </c>
      <c r="L471" t="s">
        <v>1227</v>
      </c>
      <c r="M471">
        <f t="shared" si="55"/>
        <v>0</v>
      </c>
      <c r="N471" t="str">
        <f t="shared" si="54"/>
        <v>B) Estrazione; C) Manifattura; D) Produzione energia/gas</v>
      </c>
    </row>
    <row r="472" spans="1:14" ht="38.25">
      <c r="A472" s="58" t="s">
        <v>1161</v>
      </c>
      <c r="B472" s="59" t="s">
        <v>1162</v>
      </c>
      <c r="C472">
        <v>2</v>
      </c>
      <c r="D472" t="str">
        <f>+VLOOKUP(AtecoCrisi[[#This Row],[COD. CRISI]],Tabella139[],2,0)</f>
        <v>B) Estrazione; C) Manifattura; D) Produzione energia/gas</v>
      </c>
      <c r="E472" s="53">
        <f t="shared" si="49"/>
        <v>0.03</v>
      </c>
      <c r="F472" s="53">
        <f t="shared" si="50"/>
        <v>7.5999999999999998E-2</v>
      </c>
      <c r="G472" s="53">
        <f t="shared" si="51"/>
        <v>0.93700000000000006</v>
      </c>
      <c r="H472" s="53">
        <f t="shared" si="52"/>
        <v>5.0000000000000001E-3</v>
      </c>
      <c r="I472" s="53">
        <f t="shared" si="53"/>
        <v>4.9000000000000002E-2</v>
      </c>
      <c r="L472" t="s">
        <v>1228</v>
      </c>
      <c r="M472" t="str">
        <f t="shared" si="55"/>
        <v>Riparazione e manutenzione di navi commerciali e imbarcazioni da diporto (esclusi i loro motori)</v>
      </c>
      <c r="N472" t="str">
        <f t="shared" si="54"/>
        <v>B) Estrazione; C) Manifattura; D) Produzione energia/gas</v>
      </c>
    </row>
    <row r="473" spans="1:14" ht="25.5">
      <c r="A473" s="58" t="s">
        <v>1163</v>
      </c>
      <c r="B473" s="59" t="s">
        <v>1164</v>
      </c>
      <c r="C473">
        <v>2</v>
      </c>
      <c r="D473" t="str">
        <f>+VLOOKUP(AtecoCrisi[[#This Row],[COD. CRISI]],Tabella139[],2,0)</f>
        <v>B) Estrazione; C) Manifattura; D) Produzione energia/gas</v>
      </c>
      <c r="E473" s="53">
        <f t="shared" si="49"/>
        <v>0.03</v>
      </c>
      <c r="F473" s="53">
        <f t="shared" si="50"/>
        <v>7.5999999999999998E-2</v>
      </c>
      <c r="G473" s="53">
        <f t="shared" si="51"/>
        <v>0.93700000000000006</v>
      </c>
      <c r="H473" s="53">
        <f t="shared" si="52"/>
        <v>5.0000000000000001E-3</v>
      </c>
      <c r="I473" s="53">
        <f t="shared" si="53"/>
        <v>4.9000000000000002E-2</v>
      </c>
      <c r="L473" t="s">
        <v>1230</v>
      </c>
      <c r="M473" t="str">
        <f t="shared" si="55"/>
        <v>Riparazione e manutenzione di aeromobili e di veicoli spaziali</v>
      </c>
      <c r="N473" t="str">
        <f t="shared" si="54"/>
        <v>B) Estrazione; C) Manifattura; D) Produzione energia/gas</v>
      </c>
    </row>
    <row r="474" spans="1:14" ht="25.5">
      <c r="A474" s="58" t="s">
        <v>1165</v>
      </c>
      <c r="B474" s="59" t="s">
        <v>1166</v>
      </c>
      <c r="C474">
        <v>2</v>
      </c>
      <c r="D474" t="str">
        <f>+VLOOKUP(AtecoCrisi[[#This Row],[COD. CRISI]],Tabella139[],2,0)</f>
        <v>B) Estrazione; C) Manifattura; D) Produzione energia/gas</v>
      </c>
      <c r="E474" s="53">
        <f t="shared" si="49"/>
        <v>0.03</v>
      </c>
      <c r="F474" s="53">
        <f t="shared" si="50"/>
        <v>7.5999999999999998E-2</v>
      </c>
      <c r="G474" s="53">
        <f t="shared" si="51"/>
        <v>0.93700000000000006</v>
      </c>
      <c r="H474" s="53">
        <f t="shared" si="52"/>
        <v>5.0000000000000001E-3</v>
      </c>
      <c r="I474" s="53">
        <f t="shared" si="53"/>
        <v>4.9000000000000002E-2</v>
      </c>
      <c r="L474" t="s">
        <v>1232</v>
      </c>
      <c r="M474" t="str">
        <f t="shared" si="55"/>
        <v>Riparazione e manutenzione di materiale rotabile ferroviario, tranviario, filoviario e per metropolitane (esclusi i loro motori)</v>
      </c>
      <c r="N474" t="str">
        <f t="shared" si="54"/>
        <v>B) Estrazione; C) Manifattura; D) Produzione energia/gas</v>
      </c>
    </row>
    <row r="475" spans="1:14" ht="89.25">
      <c r="A475" s="56" t="s">
        <v>1167</v>
      </c>
      <c r="B475" s="57" t="s">
        <v>1168</v>
      </c>
      <c r="C475">
        <v>2</v>
      </c>
      <c r="D475" t="str">
        <f>+VLOOKUP(AtecoCrisi[[#This Row],[COD. CRISI]],Tabella139[],2,0)</f>
        <v>B) Estrazione; C) Manifattura; D) Produzione energia/gas</v>
      </c>
      <c r="E475" s="53">
        <f t="shared" si="49"/>
        <v>0.03</v>
      </c>
      <c r="F475" s="53">
        <f t="shared" si="50"/>
        <v>7.5999999999999998E-2</v>
      </c>
      <c r="G475" s="53">
        <f t="shared" si="51"/>
        <v>0.93700000000000006</v>
      </c>
      <c r="H475" s="53">
        <f t="shared" si="52"/>
        <v>5.0000000000000001E-3</v>
      </c>
      <c r="I475" s="53">
        <f t="shared" si="53"/>
        <v>4.9000000000000002E-2</v>
      </c>
      <c r="L475" t="s">
        <v>1234</v>
      </c>
      <c r="M475" t="str">
        <f t="shared" si="55"/>
        <v>Riparazioni di pallets e contenitori in legno per trasporto</v>
      </c>
      <c r="N475" t="str">
        <f t="shared" si="54"/>
        <v>B) Estrazione; C) Manifattura; D) Produzione energia/gas</v>
      </c>
    </row>
    <row r="476" spans="1:14" ht="76.5">
      <c r="A476" s="58" t="s">
        <v>1169</v>
      </c>
      <c r="B476" s="59" t="s">
        <v>1170</v>
      </c>
      <c r="C476">
        <v>2</v>
      </c>
      <c r="D476" t="str">
        <f>+VLOOKUP(AtecoCrisi[[#This Row],[COD. CRISI]],Tabella139[],2,0)</f>
        <v>B) Estrazione; C) Manifattura; D) Produzione energia/gas</v>
      </c>
      <c r="E476" s="53">
        <f t="shared" si="49"/>
        <v>0.03</v>
      </c>
      <c r="F476" s="53">
        <f t="shared" si="50"/>
        <v>7.5999999999999998E-2</v>
      </c>
      <c r="G476" s="53">
        <f t="shared" si="51"/>
        <v>0.93700000000000006</v>
      </c>
      <c r="H476" s="53">
        <f t="shared" si="52"/>
        <v>5.0000000000000001E-3</v>
      </c>
      <c r="I476" s="53">
        <f t="shared" si="53"/>
        <v>4.9000000000000002E-2</v>
      </c>
      <c r="L476" t="s">
        <v>1236</v>
      </c>
      <c r="M476" t="str">
        <f t="shared" si="55"/>
        <v>Riparazione di prodotti in gomma</v>
      </c>
      <c r="N476" t="str">
        <f t="shared" si="54"/>
        <v>B) Estrazione; C) Manifattura; D) Produzione energia/gas</v>
      </c>
    </row>
    <row r="477" spans="1:14" ht="63.75">
      <c r="A477" s="58" t="s">
        <v>1171</v>
      </c>
      <c r="B477" s="59" t="s">
        <v>1172</v>
      </c>
      <c r="C477">
        <v>2</v>
      </c>
      <c r="D477" t="str">
        <f>+VLOOKUP(AtecoCrisi[[#This Row],[COD. CRISI]],Tabella139[],2,0)</f>
        <v>B) Estrazione; C) Manifattura; D) Produzione energia/gas</v>
      </c>
      <c r="E477" s="53">
        <f t="shared" si="49"/>
        <v>0.03</v>
      </c>
      <c r="F477" s="53">
        <f t="shared" si="50"/>
        <v>7.5999999999999998E-2</v>
      </c>
      <c r="G477" s="53">
        <f t="shared" si="51"/>
        <v>0.93700000000000006</v>
      </c>
      <c r="H477" s="53">
        <f t="shared" si="52"/>
        <v>5.0000000000000001E-3</v>
      </c>
      <c r="I477" s="53">
        <f t="shared" si="53"/>
        <v>4.9000000000000002E-2</v>
      </c>
      <c r="L477" t="s">
        <v>1238</v>
      </c>
      <c r="M477" t="str">
        <f t="shared" si="55"/>
        <v>Riparazione di articoli in vetro</v>
      </c>
      <c r="N477" t="str">
        <f t="shared" si="54"/>
        <v>B) Estrazione; C) Manifattura; D) Produzione energia/gas</v>
      </c>
    </row>
    <row r="478" spans="1:14" ht="51">
      <c r="A478" s="58" t="s">
        <v>1173</v>
      </c>
      <c r="B478" s="59" t="s">
        <v>1174</v>
      </c>
      <c r="C478">
        <v>2</v>
      </c>
      <c r="D478" t="str">
        <f>+VLOOKUP(AtecoCrisi[[#This Row],[COD. CRISI]],Tabella139[],2,0)</f>
        <v>B) Estrazione; C) Manifattura; D) Produzione energia/gas</v>
      </c>
      <c r="E478" s="53">
        <f t="shared" si="49"/>
        <v>0.03</v>
      </c>
      <c r="F478" s="53">
        <f t="shared" si="50"/>
        <v>7.5999999999999998E-2</v>
      </c>
      <c r="G478" s="53">
        <f t="shared" si="51"/>
        <v>0.93700000000000006</v>
      </c>
      <c r="H478" s="53">
        <f t="shared" si="52"/>
        <v>5.0000000000000001E-3</v>
      </c>
      <c r="I478" s="53">
        <f t="shared" si="53"/>
        <v>4.9000000000000002E-2</v>
      </c>
      <c r="L478" t="s">
        <v>1240</v>
      </c>
      <c r="M478" t="str">
        <f t="shared" si="55"/>
        <v>Riparazioni di altri prodotti in legno nca</v>
      </c>
      <c r="N478" t="str">
        <f t="shared" si="54"/>
        <v>B) Estrazione; C) Manifattura; D) Produzione energia/gas</v>
      </c>
    </row>
    <row r="479" spans="1:14" ht="63.75">
      <c r="A479" s="58" t="s">
        <v>1175</v>
      </c>
      <c r="B479" s="59" t="s">
        <v>1176</v>
      </c>
      <c r="C479">
        <v>2</v>
      </c>
      <c r="D479" t="str">
        <f>+VLOOKUP(AtecoCrisi[[#This Row],[COD. CRISI]],Tabella139[],2,0)</f>
        <v>B) Estrazione; C) Manifattura; D) Produzione energia/gas</v>
      </c>
      <c r="E479" s="53">
        <f t="shared" si="49"/>
        <v>0.03</v>
      </c>
      <c r="F479" s="53">
        <f t="shared" si="50"/>
        <v>7.5999999999999998E-2</v>
      </c>
      <c r="G479" s="53">
        <f t="shared" si="51"/>
        <v>0.93700000000000006</v>
      </c>
      <c r="H479" s="53">
        <f t="shared" si="52"/>
        <v>5.0000000000000001E-3</v>
      </c>
      <c r="I479" s="53">
        <f t="shared" si="53"/>
        <v>4.9000000000000002E-2</v>
      </c>
      <c r="L479" t="s">
        <v>1242</v>
      </c>
      <c r="M479" t="str">
        <f t="shared" si="55"/>
        <v>Riparazione di altre apparecchiature nca</v>
      </c>
      <c r="N479" t="str">
        <f t="shared" si="54"/>
        <v>B) Estrazione; C) Manifattura; D) Produzione energia/gas</v>
      </c>
    </row>
    <row r="480" spans="1:14" ht="38.25">
      <c r="A480" s="58" t="s">
        <v>1177</v>
      </c>
      <c r="B480" s="59" t="s">
        <v>1178</v>
      </c>
      <c r="C480">
        <v>2</v>
      </c>
      <c r="D480" t="str">
        <f>+VLOOKUP(AtecoCrisi[[#This Row],[COD. CRISI]],Tabella139[],2,0)</f>
        <v>B) Estrazione; C) Manifattura; D) Produzione energia/gas</v>
      </c>
      <c r="E480" s="53">
        <f t="shared" si="49"/>
        <v>0.03</v>
      </c>
      <c r="F480" s="53">
        <f t="shared" si="50"/>
        <v>7.5999999999999998E-2</v>
      </c>
      <c r="G480" s="53">
        <f t="shared" si="51"/>
        <v>0.93700000000000006</v>
      </c>
      <c r="H480" s="53">
        <f t="shared" si="52"/>
        <v>5.0000000000000001E-3</v>
      </c>
      <c r="I480" s="53">
        <f t="shared" si="53"/>
        <v>4.9000000000000002E-2</v>
      </c>
      <c r="L480" t="s">
        <v>1244</v>
      </c>
      <c r="M480" t="str">
        <f t="shared" si="55"/>
        <v>Installazione di motori, generatori e trasformatori elettrici; di apparecchiature per la distribuzione e il controllo dell'elettricità (esclusa l'installazione all'interno degli edifici)</v>
      </c>
      <c r="N480" t="str">
        <f t="shared" si="54"/>
        <v>B) Estrazione; C) Manifattura; D) Produzione energia/gas</v>
      </c>
    </row>
    <row r="481" spans="1:14" ht="38.25">
      <c r="A481" s="58" t="s">
        <v>1179</v>
      </c>
      <c r="B481" s="59" t="s">
        <v>1180</v>
      </c>
      <c r="C481">
        <v>2</v>
      </c>
      <c r="D481" t="str">
        <f>+VLOOKUP(AtecoCrisi[[#This Row],[COD. CRISI]],Tabella139[],2,0)</f>
        <v>B) Estrazione; C) Manifattura; D) Produzione energia/gas</v>
      </c>
      <c r="E481" s="53">
        <f t="shared" si="49"/>
        <v>0.03</v>
      </c>
      <c r="F481" s="53">
        <f t="shared" si="50"/>
        <v>7.5999999999999998E-2</v>
      </c>
      <c r="G481" s="53">
        <f t="shared" si="51"/>
        <v>0.93700000000000006</v>
      </c>
      <c r="H481" s="53">
        <f t="shared" si="52"/>
        <v>5.0000000000000001E-3</v>
      </c>
      <c r="I481" s="53">
        <f t="shared" si="53"/>
        <v>4.9000000000000002E-2</v>
      </c>
      <c r="L481" t="s">
        <v>1246</v>
      </c>
      <c r="M481" t="str">
        <f t="shared" si="55"/>
        <v>Installazione di apparecchi elettrici ed elettronici per telecomunicazioni, di apparecchi trasmittenti radiotelevisivi, di impianti di apparecchiature elettriche ed elettroniche (esclusa l'installazione all'interno degli edifici)</v>
      </c>
      <c r="N481" t="str">
        <f t="shared" si="54"/>
        <v>B) Estrazione; C) Manifattura; D) Produzione energia/gas</v>
      </c>
    </row>
    <row r="482" spans="1:14" ht="51">
      <c r="A482" s="58" t="s">
        <v>1181</v>
      </c>
      <c r="B482" s="59" t="s">
        <v>1182</v>
      </c>
      <c r="C482">
        <v>2</v>
      </c>
      <c r="D482" t="str">
        <f>+VLOOKUP(AtecoCrisi[[#This Row],[COD. CRISI]],Tabella139[],2,0)</f>
        <v>B) Estrazione; C) Manifattura; D) Produzione energia/gas</v>
      </c>
      <c r="E482" s="53">
        <f t="shared" si="49"/>
        <v>0.03</v>
      </c>
      <c r="F482" s="53">
        <f t="shared" si="50"/>
        <v>7.5999999999999998E-2</v>
      </c>
      <c r="G482" s="53">
        <f t="shared" si="51"/>
        <v>0.93700000000000006</v>
      </c>
      <c r="H482" s="53">
        <f t="shared" si="52"/>
        <v>5.0000000000000001E-3</v>
      </c>
      <c r="I482" s="53">
        <f t="shared" si="53"/>
        <v>4.9000000000000002E-2</v>
      </c>
      <c r="L482" t="s">
        <v>1248</v>
      </c>
      <c r="M482" t="str">
        <f t="shared" si="55"/>
        <v>Installazione di strumenti ed apparecchi di misurazione, controllo, prova, navigazione e simili (incluse le apparecchiature di controllo dei processi industriali)</v>
      </c>
      <c r="N482" t="str">
        <f t="shared" si="54"/>
        <v>B) Estrazione; C) Manifattura; D) Produzione energia/gas</v>
      </c>
    </row>
    <row r="483" spans="1:14" ht="51">
      <c r="A483" s="58" t="s">
        <v>1183</v>
      </c>
      <c r="B483" s="59" t="s">
        <v>1184</v>
      </c>
      <c r="C483">
        <v>2</v>
      </c>
      <c r="D483" t="str">
        <f>+VLOOKUP(AtecoCrisi[[#This Row],[COD. CRISI]],Tabella139[],2,0)</f>
        <v>B) Estrazione; C) Manifattura; D) Produzione energia/gas</v>
      </c>
      <c r="E483" s="53">
        <f t="shared" si="49"/>
        <v>0.03</v>
      </c>
      <c r="F483" s="53">
        <f t="shared" si="50"/>
        <v>7.5999999999999998E-2</v>
      </c>
      <c r="G483" s="53">
        <f t="shared" si="51"/>
        <v>0.93700000000000006</v>
      </c>
      <c r="H483" s="53">
        <f t="shared" si="52"/>
        <v>5.0000000000000001E-3</v>
      </c>
      <c r="I483" s="53">
        <f t="shared" si="53"/>
        <v>4.9000000000000002E-2</v>
      </c>
      <c r="L483" t="s">
        <v>1250</v>
      </c>
      <c r="M483" t="str">
        <f t="shared" si="55"/>
        <v>Installazione di cisterne, serbatoi e contenitori in metallo</v>
      </c>
      <c r="N483" t="str">
        <f t="shared" si="54"/>
        <v>B) Estrazione; C) Manifattura; D) Produzione energia/gas</v>
      </c>
    </row>
    <row r="484" spans="1:14" ht="51">
      <c r="A484" s="58" t="s">
        <v>1185</v>
      </c>
      <c r="B484" s="59" t="s">
        <v>1186</v>
      </c>
      <c r="C484">
        <v>2</v>
      </c>
      <c r="D484" t="str">
        <f>+VLOOKUP(AtecoCrisi[[#This Row],[COD. CRISI]],Tabella139[],2,0)</f>
        <v>B) Estrazione; C) Manifattura; D) Produzione energia/gas</v>
      </c>
      <c r="E484" s="53">
        <f t="shared" si="49"/>
        <v>0.03</v>
      </c>
      <c r="F484" s="53">
        <f t="shared" si="50"/>
        <v>7.5999999999999998E-2</v>
      </c>
      <c r="G484" s="53">
        <f t="shared" si="51"/>
        <v>0.93700000000000006</v>
      </c>
      <c r="H484" s="53">
        <f t="shared" si="52"/>
        <v>5.0000000000000001E-3</v>
      </c>
      <c r="I484" s="53">
        <f t="shared" si="53"/>
        <v>4.9000000000000002E-2</v>
      </c>
      <c r="L484" t="s">
        <v>1252</v>
      </c>
      <c r="M484" t="str">
        <f t="shared" si="55"/>
        <v>Installazione di generatori di vapore (escluse le caldaie per il riscaldamento centrale ad acqua calda)</v>
      </c>
      <c r="N484" t="str">
        <f t="shared" si="54"/>
        <v>B) Estrazione; C) Manifattura; D) Produzione energia/gas</v>
      </c>
    </row>
    <row r="485" spans="1:14" ht="51">
      <c r="A485" s="58" t="s">
        <v>1187</v>
      </c>
      <c r="B485" s="59" t="s">
        <v>1188</v>
      </c>
      <c r="C485">
        <v>2</v>
      </c>
      <c r="D485" t="str">
        <f>+VLOOKUP(AtecoCrisi[[#This Row],[COD. CRISI]],Tabella139[],2,0)</f>
        <v>B) Estrazione; C) Manifattura; D) Produzione energia/gas</v>
      </c>
      <c r="E485" s="53">
        <f t="shared" si="49"/>
        <v>0.03</v>
      </c>
      <c r="F485" s="53">
        <f t="shared" si="50"/>
        <v>7.5999999999999998E-2</v>
      </c>
      <c r="G485" s="53">
        <f t="shared" si="51"/>
        <v>0.93700000000000006</v>
      </c>
      <c r="H485" s="53">
        <f t="shared" si="52"/>
        <v>5.0000000000000001E-3</v>
      </c>
      <c r="I485" s="53">
        <f t="shared" si="53"/>
        <v>4.9000000000000002E-2</v>
      </c>
      <c r="L485" t="s">
        <v>1254</v>
      </c>
      <c r="M485" t="str">
        <f t="shared" si="55"/>
        <v>Installazione di macchine per ufficio, di mainframe e computer simili</v>
      </c>
      <c r="N485" t="str">
        <f t="shared" si="54"/>
        <v>B) Estrazione; C) Manifattura; D) Produzione energia/gas</v>
      </c>
    </row>
    <row r="486" spans="1:14" ht="89.25">
      <c r="A486" s="58" t="s">
        <v>1189</v>
      </c>
      <c r="B486" s="59" t="s">
        <v>1190</v>
      </c>
      <c r="C486">
        <v>2</v>
      </c>
      <c r="D486" t="str">
        <f>+VLOOKUP(AtecoCrisi[[#This Row],[COD. CRISI]],Tabella139[],2,0)</f>
        <v>B) Estrazione; C) Manifattura; D) Produzione energia/gas</v>
      </c>
      <c r="E486" s="53">
        <f t="shared" si="49"/>
        <v>0.03</v>
      </c>
      <c r="F486" s="53">
        <f t="shared" si="50"/>
        <v>7.5999999999999998E-2</v>
      </c>
      <c r="G486" s="53">
        <f t="shared" si="51"/>
        <v>0.93700000000000006</v>
      </c>
      <c r="H486" s="53">
        <f t="shared" si="52"/>
        <v>5.0000000000000001E-3</v>
      </c>
      <c r="I486" s="53">
        <f t="shared" si="53"/>
        <v>4.9000000000000002E-2</v>
      </c>
      <c r="L486" t="s">
        <v>1256</v>
      </c>
      <c r="M486" t="str">
        <f t="shared" si="55"/>
        <v>Installazione di apparecchi medicali, di apparecchi e strumenti per odontoiatria</v>
      </c>
      <c r="N486" t="str">
        <f t="shared" si="54"/>
        <v>B) Estrazione; C) Manifattura; D) Produzione energia/gas</v>
      </c>
    </row>
    <row r="487" spans="1:14" ht="76.5">
      <c r="A487" s="58" t="s">
        <v>1191</v>
      </c>
      <c r="B487" s="59" t="s">
        <v>1192</v>
      </c>
      <c r="C487">
        <v>2</v>
      </c>
      <c r="D487" t="str">
        <f>+VLOOKUP(AtecoCrisi[[#This Row],[COD. CRISI]],Tabella139[],2,0)</f>
        <v>B) Estrazione; C) Manifattura; D) Produzione energia/gas</v>
      </c>
      <c r="E487" s="53">
        <f t="shared" si="49"/>
        <v>0.03</v>
      </c>
      <c r="F487" s="53">
        <f t="shared" si="50"/>
        <v>7.5999999999999998E-2</v>
      </c>
      <c r="G487" s="53">
        <f t="shared" si="51"/>
        <v>0.93700000000000006</v>
      </c>
      <c r="H487" s="53">
        <f t="shared" si="52"/>
        <v>5.0000000000000001E-3</v>
      </c>
      <c r="I487" s="53">
        <f t="shared" si="53"/>
        <v>4.9000000000000002E-2</v>
      </c>
      <c r="L487" t="s">
        <v>1258</v>
      </c>
      <c r="M487" t="str">
        <f t="shared" si="55"/>
        <v>Installazione di apparecchi elettromedicali</v>
      </c>
      <c r="N487" t="str">
        <f t="shared" si="54"/>
        <v>B) Estrazione; C) Manifattura; D) Produzione energia/gas</v>
      </c>
    </row>
    <row r="488" spans="1:14" ht="89.25">
      <c r="A488" s="58" t="s">
        <v>1193</v>
      </c>
      <c r="B488" s="59" t="s">
        <v>1194</v>
      </c>
      <c r="C488">
        <v>2</v>
      </c>
      <c r="D488" t="str">
        <f>+VLOOKUP(AtecoCrisi[[#This Row],[COD. CRISI]],Tabella139[],2,0)</f>
        <v>B) Estrazione; C) Manifattura; D) Produzione energia/gas</v>
      </c>
      <c r="E488" s="53">
        <f t="shared" si="49"/>
        <v>0.03</v>
      </c>
      <c r="F488" s="53">
        <f t="shared" si="50"/>
        <v>7.5999999999999998E-2</v>
      </c>
      <c r="G488" s="53">
        <f t="shared" si="51"/>
        <v>0.93700000000000006</v>
      </c>
      <c r="H488" s="53">
        <f t="shared" si="52"/>
        <v>5.0000000000000001E-3</v>
      </c>
      <c r="I488" s="53">
        <f t="shared" si="53"/>
        <v>4.9000000000000002E-2</v>
      </c>
      <c r="L488" t="s">
        <v>1260</v>
      </c>
      <c r="M488" t="str">
        <f t="shared" si="55"/>
        <v>Installazione di altre macchine ed apparecchiature industriali</v>
      </c>
      <c r="N488" t="str">
        <f t="shared" si="54"/>
        <v>B) Estrazione; C) Manifattura; D) Produzione energia/gas</v>
      </c>
    </row>
    <row r="489" spans="1:14" ht="89.25">
      <c r="A489" s="58" t="s">
        <v>1195</v>
      </c>
      <c r="B489" s="59" t="s">
        <v>1196</v>
      </c>
      <c r="C489">
        <v>2</v>
      </c>
      <c r="D489" t="str">
        <f>+VLOOKUP(AtecoCrisi[[#This Row],[COD. CRISI]],Tabella139[],2,0)</f>
        <v>B) Estrazione; C) Manifattura; D) Produzione energia/gas</v>
      </c>
      <c r="E489" s="53">
        <f t="shared" si="49"/>
        <v>0.03</v>
      </c>
      <c r="F489" s="53">
        <f t="shared" si="50"/>
        <v>7.5999999999999998E-2</v>
      </c>
      <c r="G489" s="53">
        <f t="shared" si="51"/>
        <v>0.93700000000000006</v>
      </c>
      <c r="H489" s="53">
        <f t="shared" si="52"/>
        <v>5.0000000000000001E-3</v>
      </c>
      <c r="I489" s="53">
        <f t="shared" si="53"/>
        <v>4.9000000000000002E-2</v>
      </c>
      <c r="L489" t="s">
        <v>1264</v>
      </c>
      <c r="M489" t="str">
        <f t="shared" si="55"/>
        <v>Produzione di energia elettrica</v>
      </c>
      <c r="N489" t="str">
        <f t="shared" si="54"/>
        <v>B) Estrazione; C) Manifattura; D) Produzione energia/gas</v>
      </c>
    </row>
    <row r="490" spans="1:14" ht="76.5">
      <c r="A490" s="58" t="s">
        <v>1197</v>
      </c>
      <c r="B490" s="59" t="s">
        <v>1198</v>
      </c>
      <c r="C490">
        <v>2</v>
      </c>
      <c r="D490" t="str">
        <f>+VLOOKUP(AtecoCrisi[[#This Row],[COD. CRISI]],Tabella139[],2,0)</f>
        <v>B) Estrazione; C) Manifattura; D) Produzione energia/gas</v>
      </c>
      <c r="E490" s="53">
        <f t="shared" si="49"/>
        <v>0.03</v>
      </c>
      <c r="F490" s="53">
        <f t="shared" si="50"/>
        <v>7.5999999999999998E-2</v>
      </c>
      <c r="G490" s="53">
        <f t="shared" si="51"/>
        <v>0.93700000000000006</v>
      </c>
      <c r="H490" s="53">
        <f t="shared" si="52"/>
        <v>5.0000000000000001E-3</v>
      </c>
      <c r="I490" s="53">
        <f t="shared" si="53"/>
        <v>4.9000000000000002E-2</v>
      </c>
      <c r="L490" t="s">
        <v>1266</v>
      </c>
      <c r="M490" t="str">
        <f t="shared" si="55"/>
        <v>Trasmissione di energia elettrica</v>
      </c>
      <c r="N490" t="str">
        <f t="shared" si="54"/>
        <v>E) Fornitura acqua reti fognarie rifiuti; D) Trasmissione energia/gas</v>
      </c>
    </row>
    <row r="491" spans="1:14" ht="76.5">
      <c r="A491" s="58" t="s">
        <v>1199</v>
      </c>
      <c r="B491" s="59" t="s">
        <v>1200</v>
      </c>
      <c r="C491">
        <v>2</v>
      </c>
      <c r="D491" t="str">
        <f>+VLOOKUP(AtecoCrisi[[#This Row],[COD. CRISI]],Tabella139[],2,0)</f>
        <v>B) Estrazione; C) Manifattura; D) Produzione energia/gas</v>
      </c>
      <c r="E491" s="53">
        <f t="shared" si="49"/>
        <v>0.03</v>
      </c>
      <c r="F491" s="53">
        <f t="shared" si="50"/>
        <v>7.5999999999999998E-2</v>
      </c>
      <c r="G491" s="53">
        <f t="shared" si="51"/>
        <v>0.93700000000000006</v>
      </c>
      <c r="H491" s="53">
        <f t="shared" si="52"/>
        <v>5.0000000000000001E-3</v>
      </c>
      <c r="I491" s="53">
        <f t="shared" si="53"/>
        <v>4.9000000000000002E-2</v>
      </c>
      <c r="L491" t="s">
        <v>1268</v>
      </c>
      <c r="M491" t="str">
        <f t="shared" si="55"/>
        <v>Distribuzione di energia elettrica</v>
      </c>
      <c r="N491" t="str">
        <f t="shared" si="54"/>
        <v>G45) Commercio autoveicoli; G46) Comm. Ingrosso; D) Distr. Energia/gas</v>
      </c>
    </row>
    <row r="492" spans="1:14" ht="51">
      <c r="A492" s="58" t="s">
        <v>1201</v>
      </c>
      <c r="B492" s="59" t="s">
        <v>1202</v>
      </c>
      <c r="C492">
        <v>2</v>
      </c>
      <c r="D492" t="str">
        <f>+VLOOKUP(AtecoCrisi[[#This Row],[COD. CRISI]],Tabella139[],2,0)</f>
        <v>B) Estrazione; C) Manifattura; D) Produzione energia/gas</v>
      </c>
      <c r="E492" s="53">
        <f t="shared" si="49"/>
        <v>0.03</v>
      </c>
      <c r="F492" s="53">
        <f t="shared" si="50"/>
        <v>7.5999999999999998E-2</v>
      </c>
      <c r="G492" s="53">
        <f t="shared" si="51"/>
        <v>0.93700000000000006</v>
      </c>
      <c r="H492" s="53">
        <f t="shared" si="52"/>
        <v>5.0000000000000001E-3</v>
      </c>
      <c r="I492" s="53">
        <f t="shared" si="53"/>
        <v>4.9000000000000002E-2</v>
      </c>
      <c r="L492" t="s">
        <v>1270</v>
      </c>
      <c r="M492" t="str">
        <f t="shared" si="55"/>
        <v>Commercio di energia elettrica</v>
      </c>
      <c r="N492" t="str">
        <f t="shared" si="54"/>
        <v>G45) Commercio autoveicoli; G46) Comm. Ingrosso; D) Distr. Energia/gas</v>
      </c>
    </row>
    <row r="493" spans="1:14" ht="63.75">
      <c r="A493" s="58" t="s">
        <v>1203</v>
      </c>
      <c r="B493" s="59" t="s">
        <v>1204</v>
      </c>
      <c r="C493">
        <v>2</v>
      </c>
      <c r="D493" t="str">
        <f>+VLOOKUP(AtecoCrisi[[#This Row],[COD. CRISI]],Tabella139[],2,0)</f>
        <v>B) Estrazione; C) Manifattura; D) Produzione energia/gas</v>
      </c>
      <c r="E493" s="53">
        <f t="shared" si="49"/>
        <v>0.03</v>
      </c>
      <c r="F493" s="53">
        <f t="shared" si="50"/>
        <v>7.5999999999999998E-2</v>
      </c>
      <c r="G493" s="53">
        <f t="shared" si="51"/>
        <v>0.93700000000000006</v>
      </c>
      <c r="H493" s="53">
        <f t="shared" si="52"/>
        <v>5.0000000000000001E-3</v>
      </c>
      <c r="I493" s="53">
        <f t="shared" si="53"/>
        <v>4.9000000000000002E-2</v>
      </c>
      <c r="L493" t="s">
        <v>1272</v>
      </c>
      <c r="M493" t="str">
        <f t="shared" si="55"/>
        <v>Produzione di gas</v>
      </c>
      <c r="N493" t="str">
        <f t="shared" si="54"/>
        <v>B) Estrazione; C) Manifattura; D) Produzione energia/gas</v>
      </c>
    </row>
    <row r="494" spans="1:14" ht="38.25">
      <c r="A494" s="58" t="s">
        <v>1205</v>
      </c>
      <c r="B494" s="59" t="s">
        <v>1206</v>
      </c>
      <c r="C494">
        <v>2</v>
      </c>
      <c r="D494" t="str">
        <f>+VLOOKUP(AtecoCrisi[[#This Row],[COD. CRISI]],Tabella139[],2,0)</f>
        <v>B) Estrazione; C) Manifattura; D) Produzione energia/gas</v>
      </c>
      <c r="E494" s="53">
        <f t="shared" si="49"/>
        <v>0.03</v>
      </c>
      <c r="F494" s="53">
        <f t="shared" si="50"/>
        <v>7.5999999999999998E-2</v>
      </c>
      <c r="G494" s="53">
        <f t="shared" si="51"/>
        <v>0.93700000000000006</v>
      </c>
      <c r="H494" s="53">
        <f t="shared" si="52"/>
        <v>5.0000000000000001E-3</v>
      </c>
      <c r="I494" s="53">
        <f t="shared" si="53"/>
        <v>4.9000000000000002E-2</v>
      </c>
      <c r="L494" t="s">
        <v>1274</v>
      </c>
      <c r="M494" t="str">
        <f t="shared" si="55"/>
        <v>Distribuzione di combustibili gassosi mediante condotte</v>
      </c>
      <c r="N494" t="str">
        <f t="shared" si="54"/>
        <v>G45) Commercio autoveicoli; G46) Comm. Ingrosso; D) Distr. Energia/gas</v>
      </c>
    </row>
    <row r="495" spans="1:14" ht="76.5">
      <c r="A495" s="58" t="s">
        <v>1207</v>
      </c>
      <c r="B495" s="59" t="s">
        <v>1208</v>
      </c>
      <c r="C495">
        <v>2</v>
      </c>
      <c r="D495" t="str">
        <f>+VLOOKUP(AtecoCrisi[[#This Row],[COD. CRISI]],Tabella139[],2,0)</f>
        <v>B) Estrazione; C) Manifattura; D) Produzione energia/gas</v>
      </c>
      <c r="E495" s="53">
        <f t="shared" si="49"/>
        <v>0.03</v>
      </c>
      <c r="F495" s="53">
        <f t="shared" si="50"/>
        <v>7.5999999999999998E-2</v>
      </c>
      <c r="G495" s="53">
        <f t="shared" si="51"/>
        <v>0.93700000000000006</v>
      </c>
      <c r="H495" s="53">
        <f t="shared" si="52"/>
        <v>5.0000000000000001E-3</v>
      </c>
      <c r="I495" s="53">
        <f t="shared" si="53"/>
        <v>4.9000000000000002E-2</v>
      </c>
      <c r="L495" t="s">
        <v>1276</v>
      </c>
      <c r="M495" t="str">
        <f t="shared" si="55"/>
        <v>Commercio di gas distribuito mediante condotte</v>
      </c>
      <c r="N495" t="str">
        <f t="shared" si="54"/>
        <v>G45) Commercio autoveicoli; G46) Comm. Ingrosso; D) Distr. Energia/gas</v>
      </c>
    </row>
    <row r="496" spans="1:14" ht="63.75">
      <c r="A496" s="58" t="s">
        <v>1209</v>
      </c>
      <c r="B496" s="59" t="s">
        <v>1210</v>
      </c>
      <c r="C496">
        <v>2</v>
      </c>
      <c r="D496" t="str">
        <f>+VLOOKUP(AtecoCrisi[[#This Row],[COD. CRISI]],Tabella139[],2,0)</f>
        <v>B) Estrazione; C) Manifattura; D) Produzione energia/gas</v>
      </c>
      <c r="E496" s="53">
        <f t="shared" si="49"/>
        <v>0.03</v>
      </c>
      <c r="F496" s="53">
        <f t="shared" si="50"/>
        <v>7.5999999999999998E-2</v>
      </c>
      <c r="G496" s="53">
        <f t="shared" si="51"/>
        <v>0.93700000000000006</v>
      </c>
      <c r="H496" s="53">
        <f t="shared" si="52"/>
        <v>5.0000000000000001E-3</v>
      </c>
      <c r="I496" s="53">
        <f t="shared" si="53"/>
        <v>4.9000000000000002E-2</v>
      </c>
      <c r="L496" t="s">
        <v>1278</v>
      </c>
      <c r="M496" t="str">
        <f t="shared" si="55"/>
        <v>Fornitura di vapore e aria condizionata</v>
      </c>
      <c r="N496" t="str">
        <f t="shared" si="54"/>
        <v>G45) Commercio autoveicoli; G46) Comm. Ingrosso; D) Distr. Energia/gas</v>
      </c>
    </row>
    <row r="497" spans="1:14" ht="102">
      <c r="A497" s="58" t="s">
        <v>1211</v>
      </c>
      <c r="B497" s="59" t="s">
        <v>1212</v>
      </c>
      <c r="C497">
        <v>2</v>
      </c>
      <c r="D497" t="str">
        <f>+VLOOKUP(AtecoCrisi[[#This Row],[COD. CRISI]],Tabella139[],2,0)</f>
        <v>B) Estrazione; C) Manifattura; D) Produzione energia/gas</v>
      </c>
      <c r="E497" s="53">
        <f t="shared" si="49"/>
        <v>0.03</v>
      </c>
      <c r="F497" s="53">
        <f t="shared" si="50"/>
        <v>7.5999999999999998E-2</v>
      </c>
      <c r="G497" s="53">
        <f t="shared" si="51"/>
        <v>0.93700000000000006</v>
      </c>
      <c r="H497" s="53">
        <f t="shared" si="52"/>
        <v>5.0000000000000001E-3</v>
      </c>
      <c r="I497" s="53">
        <f t="shared" si="53"/>
        <v>4.9000000000000002E-2</v>
      </c>
      <c r="L497" t="s">
        <v>1283</v>
      </c>
      <c r="M497" t="str">
        <f t="shared" si="55"/>
        <v>Raccolta, trattamento e fornitura di acqua</v>
      </c>
      <c r="N497" t="str">
        <f t="shared" si="54"/>
        <v>E) Fornitura acqua reti fognarie rifiuti; D) Trasmissione energia/gas</v>
      </c>
    </row>
    <row r="498" spans="1:14" ht="76.5">
      <c r="A498" s="58" t="s">
        <v>1213</v>
      </c>
      <c r="B498" s="59" t="s">
        <v>1214</v>
      </c>
      <c r="C498">
        <v>2</v>
      </c>
      <c r="D498" t="str">
        <f>+VLOOKUP(AtecoCrisi[[#This Row],[COD. CRISI]],Tabella139[],2,0)</f>
        <v>B) Estrazione; C) Manifattura; D) Produzione energia/gas</v>
      </c>
      <c r="E498" s="53">
        <f t="shared" si="49"/>
        <v>0.03</v>
      </c>
      <c r="F498" s="53">
        <f t="shared" si="50"/>
        <v>7.5999999999999998E-2</v>
      </c>
      <c r="G498" s="53">
        <f t="shared" si="51"/>
        <v>0.93700000000000006</v>
      </c>
      <c r="H498" s="53">
        <f t="shared" si="52"/>
        <v>5.0000000000000001E-3</v>
      </c>
      <c r="I498" s="53">
        <f t="shared" si="53"/>
        <v>4.9000000000000002E-2</v>
      </c>
      <c r="L498" t="s">
        <v>1287</v>
      </c>
      <c r="M498" t="str">
        <f t="shared" si="55"/>
        <v>Raccolta e depurazione delle acque di scarico</v>
      </c>
      <c r="N498" t="str">
        <f t="shared" si="54"/>
        <v>E) Fornitura acqua reti fognarie rifiuti; D) Trasmissione energia/gas</v>
      </c>
    </row>
    <row r="499" spans="1:14" ht="102">
      <c r="A499" s="58" t="s">
        <v>1215</v>
      </c>
      <c r="B499" s="59" t="s">
        <v>1216</v>
      </c>
      <c r="C499">
        <v>2</v>
      </c>
      <c r="D499" t="str">
        <f>+VLOOKUP(AtecoCrisi[[#This Row],[COD. CRISI]],Tabella139[],2,0)</f>
        <v>B) Estrazione; C) Manifattura; D) Produzione energia/gas</v>
      </c>
      <c r="E499" s="53">
        <f t="shared" si="49"/>
        <v>0.03</v>
      </c>
      <c r="F499" s="53">
        <f t="shared" si="50"/>
        <v>7.5999999999999998E-2</v>
      </c>
      <c r="G499" s="53">
        <f t="shared" si="51"/>
        <v>0.93700000000000006</v>
      </c>
      <c r="H499" s="53">
        <f t="shared" si="52"/>
        <v>5.0000000000000001E-3</v>
      </c>
      <c r="I499" s="53">
        <f t="shared" si="53"/>
        <v>4.9000000000000002E-2</v>
      </c>
      <c r="L499" t="s">
        <v>1291</v>
      </c>
      <c r="M499" t="str">
        <f t="shared" si="55"/>
        <v>Raccolta di rifiuti solidi non pericolosi</v>
      </c>
      <c r="N499" t="str">
        <f t="shared" si="54"/>
        <v>E) Fornitura acqua reti fognarie rifiuti; D) Trasmissione energia/gas</v>
      </c>
    </row>
    <row r="500" spans="1:14">
      <c r="A500" s="60" t="s">
        <v>1217</v>
      </c>
      <c r="B500" s="61"/>
      <c r="C500">
        <v>2</v>
      </c>
      <c r="D500" t="str">
        <f>+VLOOKUP(AtecoCrisi[[#This Row],[COD. CRISI]],Tabella139[],2,0)</f>
        <v>B) Estrazione; C) Manifattura; D) Produzione energia/gas</v>
      </c>
      <c r="E500" s="53">
        <f t="shared" si="49"/>
        <v>0.03</v>
      </c>
      <c r="F500" s="53">
        <f t="shared" si="50"/>
        <v>7.5999999999999998E-2</v>
      </c>
      <c r="G500" s="53">
        <f t="shared" si="51"/>
        <v>0.93700000000000006</v>
      </c>
      <c r="H500" s="53">
        <f t="shared" si="52"/>
        <v>5.0000000000000001E-3</v>
      </c>
      <c r="I500" s="53">
        <f t="shared" si="53"/>
        <v>4.9000000000000002E-2</v>
      </c>
      <c r="L500" t="s">
        <v>1293</v>
      </c>
      <c r="M500" t="str">
        <f t="shared" si="55"/>
        <v>Raccolta di rifiuti pericolosi solidi e non solidi</v>
      </c>
      <c r="N500" t="str">
        <f t="shared" si="54"/>
        <v>E) Fornitura acqua reti fognarie rifiuti; D) Trasmissione energia/gas</v>
      </c>
    </row>
    <row r="501" spans="1:14" ht="127.5">
      <c r="A501" s="58" t="s">
        <v>1218</v>
      </c>
      <c r="B501" s="59" t="s">
        <v>1219</v>
      </c>
      <c r="C501">
        <v>2</v>
      </c>
      <c r="D501" t="str">
        <f>+VLOOKUP(AtecoCrisi[[#This Row],[COD. CRISI]],Tabella139[],2,0)</f>
        <v>B) Estrazione; C) Manifattura; D) Produzione energia/gas</v>
      </c>
      <c r="E501" s="53">
        <f t="shared" si="49"/>
        <v>0.03</v>
      </c>
      <c r="F501" s="53">
        <f t="shared" si="50"/>
        <v>7.5999999999999998E-2</v>
      </c>
      <c r="G501" s="53">
        <f t="shared" si="51"/>
        <v>0.93700000000000006</v>
      </c>
      <c r="H501" s="53">
        <f t="shared" si="52"/>
        <v>5.0000000000000001E-3</v>
      </c>
      <c r="I501" s="53">
        <f t="shared" si="53"/>
        <v>4.9000000000000002E-2</v>
      </c>
      <c r="L501" t="s">
        <v>1295</v>
      </c>
      <c r="M501" t="str">
        <f t="shared" si="55"/>
        <v>Produzione di compost</v>
      </c>
      <c r="N501" t="str">
        <f t="shared" si="54"/>
        <v>E) Fornitura acqua reti fognarie rifiuti; D) Trasmissione energia/gas</v>
      </c>
    </row>
    <row r="502" spans="1:14" ht="140.25">
      <c r="A502" s="58" t="s">
        <v>1220</v>
      </c>
      <c r="B502" s="59" t="s">
        <v>1221</v>
      </c>
      <c r="C502">
        <v>2</v>
      </c>
      <c r="D502" t="str">
        <f>+VLOOKUP(AtecoCrisi[[#This Row],[COD. CRISI]],Tabella139[],2,0)</f>
        <v>B) Estrazione; C) Manifattura; D) Produzione energia/gas</v>
      </c>
      <c r="E502" s="53">
        <f t="shared" si="49"/>
        <v>0.03</v>
      </c>
      <c r="F502" s="53">
        <f t="shared" si="50"/>
        <v>7.5999999999999998E-2</v>
      </c>
      <c r="G502" s="53">
        <f t="shared" si="51"/>
        <v>0.93700000000000006</v>
      </c>
      <c r="H502" s="53">
        <f t="shared" si="52"/>
        <v>5.0000000000000001E-3</v>
      </c>
      <c r="I502" s="53">
        <f t="shared" si="53"/>
        <v>4.9000000000000002E-2</v>
      </c>
      <c r="L502" t="s">
        <v>1297</v>
      </c>
      <c r="M502" t="str">
        <f t="shared" si="55"/>
        <v>Trattamento e smaltimento di altri rifiuti non pericolosi</v>
      </c>
      <c r="N502" t="str">
        <f t="shared" si="54"/>
        <v>E) Fornitura acqua reti fognarie rifiuti; D) Trasmissione energia/gas</v>
      </c>
    </row>
    <row r="503" spans="1:14" ht="114.75">
      <c r="A503" s="58" t="s">
        <v>1222</v>
      </c>
      <c r="B503" s="59" t="s">
        <v>1223</v>
      </c>
      <c r="C503">
        <v>2</v>
      </c>
      <c r="D503" t="str">
        <f>+VLOOKUP(AtecoCrisi[[#This Row],[COD. CRISI]],Tabella139[],2,0)</f>
        <v>B) Estrazione; C) Manifattura; D) Produzione energia/gas</v>
      </c>
      <c r="E503" s="53">
        <f t="shared" si="49"/>
        <v>0.03</v>
      </c>
      <c r="F503" s="53">
        <f t="shared" si="50"/>
        <v>7.5999999999999998E-2</v>
      </c>
      <c r="G503" s="53">
        <f t="shared" si="51"/>
        <v>0.93700000000000006</v>
      </c>
      <c r="H503" s="53">
        <f t="shared" si="52"/>
        <v>5.0000000000000001E-3</v>
      </c>
      <c r="I503" s="53">
        <f t="shared" si="53"/>
        <v>4.9000000000000002E-2</v>
      </c>
      <c r="L503" t="s">
        <v>1299</v>
      </c>
      <c r="M503" t="str">
        <f t="shared" si="55"/>
        <v>Trattamento e smaltimento di rifiuti pericolosi</v>
      </c>
      <c r="N503" t="str">
        <f t="shared" si="54"/>
        <v>E) Fornitura acqua reti fognarie rifiuti; D) Trasmissione energia/gas</v>
      </c>
    </row>
    <row r="504" spans="1:14" ht="76.5">
      <c r="A504" s="58" t="s">
        <v>1224</v>
      </c>
      <c r="B504" s="59" t="s">
        <v>1225</v>
      </c>
      <c r="C504">
        <v>2</v>
      </c>
      <c r="D504" t="str">
        <f>+VLOOKUP(AtecoCrisi[[#This Row],[COD. CRISI]],Tabella139[],2,0)</f>
        <v>B) Estrazione; C) Manifattura; D) Produzione energia/gas</v>
      </c>
      <c r="E504" s="53">
        <f t="shared" si="49"/>
        <v>0.03</v>
      </c>
      <c r="F504" s="53">
        <f t="shared" si="50"/>
        <v>7.5999999999999998E-2</v>
      </c>
      <c r="G504" s="53">
        <f t="shared" si="51"/>
        <v>0.93700000000000006</v>
      </c>
      <c r="H504" s="53">
        <f t="shared" si="52"/>
        <v>5.0000000000000001E-3</v>
      </c>
      <c r="I504" s="53">
        <f t="shared" si="53"/>
        <v>4.9000000000000002E-2</v>
      </c>
      <c r="L504" t="s">
        <v>1301</v>
      </c>
      <c r="M504" t="str">
        <f t="shared" si="55"/>
        <v>Demolizione di carcasse</v>
      </c>
      <c r="N504" t="str">
        <f t="shared" si="54"/>
        <v>E) Fornitura acqua reti fognarie rifiuti; D) Trasmissione energia/gas</v>
      </c>
    </row>
    <row r="505" spans="1:14">
      <c r="A505" s="60" t="s">
        <v>1226</v>
      </c>
      <c r="B505" s="61"/>
      <c r="C505">
        <v>2</v>
      </c>
      <c r="D505" t="str">
        <f>+VLOOKUP(AtecoCrisi[[#This Row],[COD. CRISI]],Tabella139[],2,0)</f>
        <v>B) Estrazione; C) Manifattura; D) Produzione energia/gas</v>
      </c>
      <c r="E505" s="53">
        <f t="shared" si="49"/>
        <v>0.03</v>
      </c>
      <c r="F505" s="53">
        <f t="shared" si="50"/>
        <v>7.5999999999999998E-2</v>
      </c>
      <c r="G505" s="53">
        <f t="shared" si="51"/>
        <v>0.93700000000000006</v>
      </c>
      <c r="H505" s="53">
        <f t="shared" si="52"/>
        <v>5.0000000000000001E-3</v>
      </c>
      <c r="I505" s="53">
        <f t="shared" si="53"/>
        <v>4.9000000000000002E-2</v>
      </c>
      <c r="L505" t="s">
        <v>1303</v>
      </c>
      <c r="M505" t="str">
        <f t="shared" si="55"/>
        <v>Cantieri di demolizione navali</v>
      </c>
      <c r="N505" t="str">
        <f t="shared" si="54"/>
        <v>E) Fornitura acqua reti fognarie rifiuti; D) Trasmissione energia/gas</v>
      </c>
    </row>
    <row r="506" spans="1:14">
      <c r="A506" s="60" t="s">
        <v>1227</v>
      </c>
      <c r="B506" s="61"/>
      <c r="C506">
        <v>2</v>
      </c>
      <c r="D506" t="str">
        <f>+VLOOKUP(AtecoCrisi[[#This Row],[COD. CRISI]],Tabella139[],2,0)</f>
        <v>B) Estrazione; C) Manifattura; D) Produzione energia/gas</v>
      </c>
      <c r="E506" s="53">
        <f t="shared" si="49"/>
        <v>0.03</v>
      </c>
      <c r="F506" s="53">
        <f t="shared" si="50"/>
        <v>7.5999999999999998E-2</v>
      </c>
      <c r="G506" s="53">
        <f t="shared" si="51"/>
        <v>0.93700000000000006</v>
      </c>
      <c r="H506" s="53">
        <f t="shared" si="52"/>
        <v>5.0000000000000001E-3</v>
      </c>
      <c r="I506" s="53">
        <f t="shared" si="53"/>
        <v>4.9000000000000002E-2</v>
      </c>
      <c r="L506" t="s">
        <v>1305</v>
      </c>
      <c r="M506" t="str">
        <f t="shared" si="55"/>
        <v>Recupero e preparazione per il riciclaggio di cascami e rottami metallici</v>
      </c>
      <c r="N506" t="str">
        <f t="shared" si="54"/>
        <v>E) Fornitura acqua reti fognarie rifiuti; D) Trasmissione energia/gas</v>
      </c>
    </row>
    <row r="507" spans="1:14" ht="76.5">
      <c r="A507" s="58" t="s">
        <v>1228</v>
      </c>
      <c r="B507" s="59" t="s">
        <v>1229</v>
      </c>
      <c r="C507">
        <v>2</v>
      </c>
      <c r="D507" t="str">
        <f>+VLOOKUP(AtecoCrisi[[#This Row],[COD. CRISI]],Tabella139[],2,0)</f>
        <v>B) Estrazione; C) Manifattura; D) Produzione energia/gas</v>
      </c>
      <c r="E507" s="53">
        <f t="shared" si="49"/>
        <v>0.03</v>
      </c>
      <c r="F507" s="53">
        <f t="shared" si="50"/>
        <v>7.5999999999999998E-2</v>
      </c>
      <c r="G507" s="53">
        <f t="shared" si="51"/>
        <v>0.93700000000000006</v>
      </c>
      <c r="H507" s="53">
        <f t="shared" si="52"/>
        <v>5.0000000000000001E-3</v>
      </c>
      <c r="I507" s="53">
        <f t="shared" si="53"/>
        <v>4.9000000000000002E-2</v>
      </c>
      <c r="L507" t="s">
        <v>1307</v>
      </c>
      <c r="M507" t="str">
        <f t="shared" si="55"/>
        <v>Recupero e preparazione per il riciclaggio di materiale plastico per produzione di materie prime plastiche, resine sintetiche</v>
      </c>
      <c r="N507" t="str">
        <f t="shared" si="54"/>
        <v>E) Fornitura acqua reti fognarie rifiuti; D) Trasmissione energia/gas</v>
      </c>
    </row>
    <row r="508" spans="1:14" ht="51">
      <c r="A508" s="58" t="s">
        <v>1230</v>
      </c>
      <c r="B508" s="59" t="s">
        <v>1231</v>
      </c>
      <c r="C508">
        <v>2</v>
      </c>
      <c r="D508" t="str">
        <f>+VLOOKUP(AtecoCrisi[[#This Row],[COD. CRISI]],Tabella139[],2,0)</f>
        <v>B) Estrazione; C) Manifattura; D) Produzione energia/gas</v>
      </c>
      <c r="E508" s="53">
        <f t="shared" si="49"/>
        <v>0.03</v>
      </c>
      <c r="F508" s="53">
        <f t="shared" si="50"/>
        <v>7.5999999999999998E-2</v>
      </c>
      <c r="G508" s="53">
        <f t="shared" si="51"/>
        <v>0.93700000000000006</v>
      </c>
      <c r="H508" s="53">
        <f t="shared" si="52"/>
        <v>5.0000000000000001E-3</v>
      </c>
      <c r="I508" s="53">
        <f t="shared" si="53"/>
        <v>4.9000000000000002E-2</v>
      </c>
      <c r="L508" t="s">
        <v>1309</v>
      </c>
      <c r="M508" t="str">
        <f t="shared" si="55"/>
        <v>Recupero e preparazione per il riciclaggio dei rifiuti solidi urbani, industriali e biomasse</v>
      </c>
      <c r="N508" t="str">
        <f t="shared" si="54"/>
        <v>E) Fornitura acqua reti fognarie rifiuti; D) Trasmissione energia/gas</v>
      </c>
    </row>
    <row r="509" spans="1:14" ht="114.75">
      <c r="A509" s="58" t="s">
        <v>1232</v>
      </c>
      <c r="B509" s="59" t="s">
        <v>1233</v>
      </c>
      <c r="C509">
        <v>2</v>
      </c>
      <c r="D509" t="str">
        <f>+VLOOKUP(AtecoCrisi[[#This Row],[COD. CRISI]],Tabella139[],2,0)</f>
        <v>B) Estrazione; C) Manifattura; D) Produzione energia/gas</v>
      </c>
      <c r="E509" s="53">
        <f t="shared" si="49"/>
        <v>0.03</v>
      </c>
      <c r="F509" s="53">
        <f t="shared" si="50"/>
        <v>7.5999999999999998E-2</v>
      </c>
      <c r="G509" s="53">
        <f t="shared" si="51"/>
        <v>0.93700000000000006</v>
      </c>
      <c r="H509" s="53">
        <f t="shared" si="52"/>
        <v>5.0000000000000001E-3</v>
      </c>
      <c r="I509" s="53">
        <f t="shared" si="53"/>
        <v>4.9000000000000002E-2</v>
      </c>
      <c r="L509" t="s">
        <v>1313</v>
      </c>
      <c r="M509" t="str">
        <f t="shared" si="55"/>
        <v>Attività di rimozione di strutture ed elementi in amianto specializzata per l'edilizia</v>
      </c>
      <c r="N509" t="str">
        <f t="shared" si="54"/>
        <v>E) Fornitura acqua reti fognarie rifiuti; D) Trasmissione energia/gas</v>
      </c>
    </row>
    <row r="510" spans="1:14" ht="51">
      <c r="A510" s="58" t="s">
        <v>1234</v>
      </c>
      <c r="B510" s="59" t="s">
        <v>1235</v>
      </c>
      <c r="C510">
        <v>2</v>
      </c>
      <c r="D510" t="str">
        <f>+VLOOKUP(AtecoCrisi[[#This Row],[COD. CRISI]],Tabella139[],2,0)</f>
        <v>B) Estrazione; C) Manifattura; D) Produzione energia/gas</v>
      </c>
      <c r="E510" s="53">
        <f t="shared" si="49"/>
        <v>0.03</v>
      </c>
      <c r="F510" s="53">
        <f t="shared" si="50"/>
        <v>7.5999999999999998E-2</v>
      </c>
      <c r="G510" s="53">
        <f t="shared" si="51"/>
        <v>0.93700000000000006</v>
      </c>
      <c r="H510" s="53">
        <f t="shared" si="52"/>
        <v>5.0000000000000001E-3</v>
      </c>
      <c r="I510" s="53">
        <f t="shared" si="53"/>
        <v>4.9000000000000002E-2</v>
      </c>
      <c r="L510" t="s">
        <v>1315</v>
      </c>
      <c r="M510" t="str">
        <f t="shared" si="55"/>
        <v>Altre attività di risanamento e altri servizi di gestione dei rifiuti</v>
      </c>
      <c r="N510" t="str">
        <f t="shared" si="54"/>
        <v>E) Fornitura acqua reti fognarie rifiuti; D) Trasmissione energia/gas</v>
      </c>
    </row>
    <row r="511" spans="1:14" ht="25.5">
      <c r="A511" s="58" t="s">
        <v>1236</v>
      </c>
      <c r="B511" s="59" t="s">
        <v>1237</v>
      </c>
      <c r="C511">
        <v>2</v>
      </c>
      <c r="D511" t="str">
        <f>+VLOOKUP(AtecoCrisi[[#This Row],[COD. CRISI]],Tabella139[],2,0)</f>
        <v>B) Estrazione; C) Manifattura; D) Produzione energia/gas</v>
      </c>
      <c r="E511" s="53">
        <f t="shared" si="49"/>
        <v>0.03</v>
      </c>
      <c r="F511" s="53">
        <f t="shared" si="50"/>
        <v>7.5999999999999998E-2</v>
      </c>
      <c r="G511" s="53">
        <f t="shared" si="51"/>
        <v>0.93700000000000006</v>
      </c>
      <c r="H511" s="53">
        <f t="shared" si="52"/>
        <v>5.0000000000000001E-3</v>
      </c>
      <c r="I511" s="53">
        <f t="shared" si="53"/>
        <v>4.9000000000000002E-2</v>
      </c>
      <c r="L511" t="s">
        <v>1320</v>
      </c>
      <c r="M511" t="str">
        <f t="shared" si="55"/>
        <v>Sviluppo di progetti immobiliari senza costruzione</v>
      </c>
      <c r="N511" t="str">
        <f t="shared" si="54"/>
        <v>F41) Costruzione di edifici</v>
      </c>
    </row>
    <row r="512" spans="1:14" ht="25.5">
      <c r="A512" s="58" t="s">
        <v>1238</v>
      </c>
      <c r="B512" s="59" t="s">
        <v>1239</v>
      </c>
      <c r="C512">
        <v>2</v>
      </c>
      <c r="D512" t="str">
        <f>+VLOOKUP(AtecoCrisi[[#This Row],[COD. CRISI]],Tabella139[],2,0)</f>
        <v>B) Estrazione; C) Manifattura; D) Produzione energia/gas</v>
      </c>
      <c r="E512" s="53">
        <f t="shared" si="49"/>
        <v>0.03</v>
      </c>
      <c r="F512" s="53">
        <f t="shared" si="50"/>
        <v>7.5999999999999998E-2</v>
      </c>
      <c r="G512" s="53">
        <f t="shared" si="51"/>
        <v>0.93700000000000006</v>
      </c>
      <c r="H512" s="53">
        <f t="shared" si="52"/>
        <v>5.0000000000000001E-3</v>
      </c>
      <c r="I512" s="53">
        <f t="shared" si="53"/>
        <v>4.9000000000000002E-2</v>
      </c>
      <c r="L512" t="s">
        <v>1322</v>
      </c>
      <c r="M512" t="str">
        <f t="shared" si="55"/>
        <v>Costruzione di edifici residenziali e non residenziali</v>
      </c>
      <c r="N512" t="str">
        <f t="shared" si="54"/>
        <v>F41) Costruzione di edifici</v>
      </c>
    </row>
    <row r="513" spans="1:14" ht="38.25">
      <c r="A513" s="58" t="s">
        <v>1240</v>
      </c>
      <c r="B513" s="59" t="s">
        <v>1241</v>
      </c>
      <c r="C513">
        <v>2</v>
      </c>
      <c r="D513" t="str">
        <f>+VLOOKUP(AtecoCrisi[[#This Row],[COD. CRISI]],Tabella139[],2,0)</f>
        <v>B) Estrazione; C) Manifattura; D) Produzione energia/gas</v>
      </c>
      <c r="E513" s="53">
        <f t="shared" si="49"/>
        <v>0.03</v>
      </c>
      <c r="F513" s="53">
        <f t="shared" si="50"/>
        <v>7.5999999999999998E-2</v>
      </c>
      <c r="G513" s="53">
        <f t="shared" si="51"/>
        <v>0.93700000000000006</v>
      </c>
      <c r="H513" s="53">
        <f t="shared" si="52"/>
        <v>5.0000000000000001E-3</v>
      </c>
      <c r="I513" s="53">
        <f t="shared" si="53"/>
        <v>4.9000000000000002E-2</v>
      </c>
      <c r="L513" t="s">
        <v>1326</v>
      </c>
      <c r="M513" t="str">
        <f t="shared" si="55"/>
        <v>Costruzione di strade, autostrade e piste aeroportuali</v>
      </c>
      <c r="N513" t="str">
        <f t="shared" si="54"/>
        <v>F42) Ingegneria civile; F43) Costruzioni specializzate</v>
      </c>
    </row>
    <row r="514" spans="1:14" ht="51">
      <c r="A514" s="58" t="s">
        <v>1242</v>
      </c>
      <c r="B514" s="59" t="s">
        <v>1243</v>
      </c>
      <c r="C514">
        <v>2</v>
      </c>
      <c r="D514" t="str">
        <f>+VLOOKUP(AtecoCrisi[[#This Row],[COD. CRISI]],Tabella139[],2,0)</f>
        <v>B) Estrazione; C) Manifattura; D) Produzione energia/gas</v>
      </c>
      <c r="E514" s="53">
        <f t="shared" ref="E514:E577" si="56">+VLOOKUP(C514,$R$2:$X$11,3,FALSE)</f>
        <v>0.03</v>
      </c>
      <c r="F514" s="53">
        <f t="shared" ref="F514:F577" si="57">+VLOOKUP(C514,$R$2:$X$11,4,FALSE)</f>
        <v>7.5999999999999998E-2</v>
      </c>
      <c r="G514" s="53">
        <f t="shared" ref="G514:G577" si="58">+VLOOKUP(C514,$R$2:$X$11,5,FALSE)</f>
        <v>0.93700000000000006</v>
      </c>
      <c r="H514" s="53">
        <f t="shared" ref="H514:H577" si="59">+VLOOKUP(C514,$R$2:$X$11,6,FALSE)</f>
        <v>5.0000000000000001E-3</v>
      </c>
      <c r="I514" s="53">
        <f t="shared" ref="I514:I577" si="60">+VLOOKUP(C514,$R$2:$X$11,7,FALSE)</f>
        <v>4.9000000000000002E-2</v>
      </c>
      <c r="L514" t="s">
        <v>1328</v>
      </c>
      <c r="M514" t="str">
        <f t="shared" si="55"/>
        <v>Costruzione di linee ferroviarie e metropolitane</v>
      </c>
      <c r="N514" t="str">
        <f t="shared" ref="N514:N577" si="61">+VLOOKUP(L514,A:D,4,0)</f>
        <v>F42) Ingegneria civile; F43) Costruzioni specializzate</v>
      </c>
    </row>
    <row r="515" spans="1:14" ht="153">
      <c r="A515" s="58" t="s">
        <v>1244</v>
      </c>
      <c r="B515" s="59" t="s">
        <v>1245</v>
      </c>
      <c r="C515">
        <v>2</v>
      </c>
      <c r="D515" t="str">
        <f>+VLOOKUP(AtecoCrisi[[#This Row],[COD. CRISI]],Tabella139[],2,0)</f>
        <v>B) Estrazione; C) Manifattura; D) Produzione energia/gas</v>
      </c>
      <c r="E515" s="53">
        <f t="shared" si="56"/>
        <v>0.03</v>
      </c>
      <c r="F515" s="53">
        <f t="shared" si="57"/>
        <v>7.5999999999999998E-2</v>
      </c>
      <c r="G515" s="53">
        <f t="shared" si="58"/>
        <v>0.93700000000000006</v>
      </c>
      <c r="H515" s="53">
        <f t="shared" si="59"/>
        <v>5.0000000000000001E-3</v>
      </c>
      <c r="I515" s="53">
        <f t="shared" si="60"/>
        <v>4.9000000000000002E-2</v>
      </c>
      <c r="L515" t="s">
        <v>1330</v>
      </c>
      <c r="M515" t="str">
        <f t="shared" ref="M515:M578" si="62">+VLOOKUP(L515,A:B,2,0)</f>
        <v>Costruzione di ponti e gallerie</v>
      </c>
      <c r="N515" t="str">
        <f t="shared" si="61"/>
        <v>F42) Ingegneria civile; F43) Costruzioni specializzate</v>
      </c>
    </row>
    <row r="516" spans="1:14" ht="191.25">
      <c r="A516" s="58" t="s">
        <v>1246</v>
      </c>
      <c r="B516" s="59" t="s">
        <v>1247</v>
      </c>
      <c r="C516">
        <v>2</v>
      </c>
      <c r="D516" t="str">
        <f>+VLOOKUP(AtecoCrisi[[#This Row],[COD. CRISI]],Tabella139[],2,0)</f>
        <v>B) Estrazione; C) Manifattura; D) Produzione energia/gas</v>
      </c>
      <c r="E516" s="53">
        <f t="shared" si="56"/>
        <v>0.03</v>
      </c>
      <c r="F516" s="53">
        <f t="shared" si="57"/>
        <v>7.5999999999999998E-2</v>
      </c>
      <c r="G516" s="53">
        <f t="shared" si="58"/>
        <v>0.93700000000000006</v>
      </c>
      <c r="H516" s="53">
        <f t="shared" si="59"/>
        <v>5.0000000000000001E-3</v>
      </c>
      <c r="I516" s="53">
        <f t="shared" si="60"/>
        <v>4.9000000000000002E-2</v>
      </c>
      <c r="L516" t="s">
        <v>1332</v>
      </c>
      <c r="M516" t="str">
        <f t="shared" si="62"/>
        <v>Costruzione di opere di pubblica utilità per il trasporto di fluidi</v>
      </c>
      <c r="N516" t="str">
        <f t="shared" si="61"/>
        <v>F42) Ingegneria civile; F43) Costruzioni specializzate</v>
      </c>
    </row>
    <row r="517" spans="1:14" ht="140.25">
      <c r="A517" s="58" t="s">
        <v>1248</v>
      </c>
      <c r="B517" s="59" t="s">
        <v>1249</v>
      </c>
      <c r="C517">
        <v>2</v>
      </c>
      <c r="D517" t="str">
        <f>+VLOOKUP(AtecoCrisi[[#This Row],[COD. CRISI]],Tabella139[],2,0)</f>
        <v>B) Estrazione; C) Manifattura; D) Produzione energia/gas</v>
      </c>
      <c r="E517" s="53">
        <f t="shared" si="56"/>
        <v>0.03</v>
      </c>
      <c r="F517" s="53">
        <f t="shared" si="57"/>
        <v>7.5999999999999998E-2</v>
      </c>
      <c r="G517" s="53">
        <f t="shared" si="58"/>
        <v>0.93700000000000006</v>
      </c>
      <c r="H517" s="53">
        <f t="shared" si="59"/>
        <v>5.0000000000000001E-3</v>
      </c>
      <c r="I517" s="53">
        <f t="shared" si="60"/>
        <v>4.9000000000000002E-2</v>
      </c>
      <c r="L517" t="s">
        <v>1334</v>
      </c>
      <c r="M517" t="str">
        <f t="shared" si="62"/>
        <v>Costruzione di opere di pubblica utilità per l'energia elettrica e le telecomunicazioni</v>
      </c>
      <c r="N517" t="str">
        <f t="shared" si="61"/>
        <v>F42) Ingegneria civile; F43) Costruzioni specializzate</v>
      </c>
    </row>
    <row r="518" spans="1:14" ht="51">
      <c r="A518" s="58" t="s">
        <v>1250</v>
      </c>
      <c r="B518" s="59" t="s">
        <v>1251</v>
      </c>
      <c r="C518">
        <v>2</v>
      </c>
      <c r="D518" t="str">
        <f>+VLOOKUP(AtecoCrisi[[#This Row],[COD. CRISI]],Tabella139[],2,0)</f>
        <v>B) Estrazione; C) Manifattura; D) Produzione energia/gas</v>
      </c>
      <c r="E518" s="53">
        <f t="shared" si="56"/>
        <v>0.03</v>
      </c>
      <c r="F518" s="53">
        <f t="shared" si="57"/>
        <v>7.5999999999999998E-2</v>
      </c>
      <c r="G518" s="53">
        <f t="shared" si="58"/>
        <v>0.93700000000000006</v>
      </c>
      <c r="H518" s="53">
        <f t="shared" si="59"/>
        <v>5.0000000000000001E-3</v>
      </c>
      <c r="I518" s="53">
        <f t="shared" si="60"/>
        <v>4.9000000000000002E-2</v>
      </c>
      <c r="L518" t="s">
        <v>1336</v>
      </c>
      <c r="M518" t="str">
        <f t="shared" si="62"/>
        <v>Costruzione di opere idrauliche</v>
      </c>
      <c r="N518" t="str">
        <f t="shared" si="61"/>
        <v>F42) Ingegneria civile; F43) Costruzioni specializzate</v>
      </c>
    </row>
    <row r="519" spans="1:14" ht="89.25">
      <c r="A519" s="58" t="s">
        <v>1252</v>
      </c>
      <c r="B519" s="59" t="s">
        <v>1253</v>
      </c>
      <c r="C519">
        <v>2</v>
      </c>
      <c r="D519" t="str">
        <f>+VLOOKUP(AtecoCrisi[[#This Row],[COD. CRISI]],Tabella139[],2,0)</f>
        <v>B) Estrazione; C) Manifattura; D) Produzione energia/gas</v>
      </c>
      <c r="E519" s="53">
        <f t="shared" si="56"/>
        <v>0.03</v>
      </c>
      <c r="F519" s="53">
        <f t="shared" si="57"/>
        <v>7.5999999999999998E-2</v>
      </c>
      <c r="G519" s="53">
        <f t="shared" si="58"/>
        <v>0.93700000000000006</v>
      </c>
      <c r="H519" s="53">
        <f t="shared" si="59"/>
        <v>5.0000000000000001E-3</v>
      </c>
      <c r="I519" s="53">
        <f t="shared" si="60"/>
        <v>4.9000000000000002E-2</v>
      </c>
      <c r="L519" t="s">
        <v>1338</v>
      </c>
      <c r="M519" t="str">
        <f t="shared" si="62"/>
        <v>Lottizzazione dei terreni connessa con l'urbanizzazione</v>
      </c>
      <c r="N519" t="str">
        <f t="shared" si="61"/>
        <v>F42) Ingegneria civile; F43) Costruzioni specializzate</v>
      </c>
    </row>
    <row r="520" spans="1:14" ht="63.75">
      <c r="A520" s="58" t="s">
        <v>1254</v>
      </c>
      <c r="B520" s="59" t="s">
        <v>1255</v>
      </c>
      <c r="C520">
        <v>2</v>
      </c>
      <c r="D520" t="str">
        <f>+VLOOKUP(AtecoCrisi[[#This Row],[COD. CRISI]],Tabella139[],2,0)</f>
        <v>B) Estrazione; C) Manifattura; D) Produzione energia/gas</v>
      </c>
      <c r="E520" s="53">
        <f t="shared" si="56"/>
        <v>0.03</v>
      </c>
      <c r="F520" s="53">
        <f t="shared" si="57"/>
        <v>7.5999999999999998E-2</v>
      </c>
      <c r="G520" s="53">
        <f t="shared" si="58"/>
        <v>0.93700000000000006</v>
      </c>
      <c r="H520" s="53">
        <f t="shared" si="59"/>
        <v>5.0000000000000001E-3</v>
      </c>
      <c r="I520" s="53">
        <f t="shared" si="60"/>
        <v>4.9000000000000002E-2</v>
      </c>
      <c r="L520" t="s">
        <v>1340</v>
      </c>
      <c r="M520" t="str">
        <f t="shared" si="62"/>
        <v>Altre attività di costruzione di altre opere di ingegneria civile nca</v>
      </c>
      <c r="N520" t="str">
        <f t="shared" si="61"/>
        <v>F42) Ingegneria civile; F43) Costruzioni specializzate</v>
      </c>
    </row>
    <row r="521" spans="1:14" ht="76.5">
      <c r="A521" s="58" t="s">
        <v>1256</v>
      </c>
      <c r="B521" s="59" t="s">
        <v>1257</v>
      </c>
      <c r="C521">
        <v>2</v>
      </c>
      <c r="D521" t="str">
        <f>+VLOOKUP(AtecoCrisi[[#This Row],[COD. CRISI]],Tabella139[],2,0)</f>
        <v>B) Estrazione; C) Manifattura; D) Produzione energia/gas</v>
      </c>
      <c r="E521" s="53">
        <f t="shared" si="56"/>
        <v>0.03</v>
      </c>
      <c r="F521" s="53">
        <f t="shared" si="57"/>
        <v>7.5999999999999998E-2</v>
      </c>
      <c r="G521" s="53">
        <f t="shared" si="58"/>
        <v>0.93700000000000006</v>
      </c>
      <c r="H521" s="53">
        <f t="shared" si="59"/>
        <v>5.0000000000000001E-3</v>
      </c>
      <c r="I521" s="53">
        <f t="shared" si="60"/>
        <v>4.9000000000000002E-2</v>
      </c>
      <c r="L521" t="s">
        <v>1344</v>
      </c>
      <c r="M521" t="str">
        <f t="shared" si="62"/>
        <v>Demolizione</v>
      </c>
      <c r="N521" t="str">
        <f t="shared" si="61"/>
        <v>F42) Ingegneria civile; F43) Costruzioni specializzate</v>
      </c>
    </row>
    <row r="522" spans="1:14" ht="38.25">
      <c r="A522" s="58" t="s">
        <v>1258</v>
      </c>
      <c r="B522" s="59" t="s">
        <v>1259</v>
      </c>
      <c r="C522">
        <v>2</v>
      </c>
      <c r="D522" t="str">
        <f>+VLOOKUP(AtecoCrisi[[#This Row],[COD. CRISI]],Tabella139[],2,0)</f>
        <v>B) Estrazione; C) Manifattura; D) Produzione energia/gas</v>
      </c>
      <c r="E522" s="53">
        <f t="shared" si="56"/>
        <v>0.03</v>
      </c>
      <c r="F522" s="53">
        <f t="shared" si="57"/>
        <v>7.5999999999999998E-2</v>
      </c>
      <c r="G522" s="53">
        <f t="shared" si="58"/>
        <v>0.93700000000000006</v>
      </c>
      <c r="H522" s="53">
        <f t="shared" si="59"/>
        <v>5.0000000000000001E-3</v>
      </c>
      <c r="I522" s="53">
        <f t="shared" si="60"/>
        <v>4.9000000000000002E-2</v>
      </c>
      <c r="L522" t="s">
        <v>1346</v>
      </c>
      <c r="M522" t="str">
        <f t="shared" si="62"/>
        <v>Preparazione del cantiere edile e sistemazione del terreno</v>
      </c>
      <c r="N522" t="str">
        <f t="shared" si="61"/>
        <v>F42) Ingegneria civile; F43) Costruzioni specializzate</v>
      </c>
    </row>
    <row r="523" spans="1:14" ht="51">
      <c r="A523" s="58" t="s">
        <v>1260</v>
      </c>
      <c r="B523" s="59" t="s">
        <v>1261</v>
      </c>
      <c r="C523">
        <v>2</v>
      </c>
      <c r="D523" t="str">
        <f>+VLOOKUP(AtecoCrisi[[#This Row],[COD. CRISI]],Tabella139[],2,0)</f>
        <v>B) Estrazione; C) Manifattura; D) Produzione energia/gas</v>
      </c>
      <c r="E523" s="53">
        <f t="shared" si="56"/>
        <v>0.03</v>
      </c>
      <c r="F523" s="53">
        <f t="shared" si="57"/>
        <v>7.5999999999999998E-2</v>
      </c>
      <c r="G523" s="53">
        <f t="shared" si="58"/>
        <v>0.93700000000000006</v>
      </c>
      <c r="H523" s="53">
        <f t="shared" si="59"/>
        <v>5.0000000000000001E-3</v>
      </c>
      <c r="I523" s="53">
        <f t="shared" si="60"/>
        <v>4.9000000000000002E-2</v>
      </c>
      <c r="L523" t="s">
        <v>1348</v>
      </c>
      <c r="M523" t="str">
        <f t="shared" si="62"/>
        <v>Trivellazioni e perforazioni</v>
      </c>
      <c r="N523" t="str">
        <f t="shared" si="61"/>
        <v>F42) Ingegneria civile; F43) Costruzioni specializzate</v>
      </c>
    </row>
    <row r="524" spans="1:14" ht="126">
      <c r="A524" s="51" t="s">
        <v>1</v>
      </c>
      <c r="B524" s="52" t="s">
        <v>1262</v>
      </c>
      <c r="D524" t="e">
        <f>+VLOOKUP(AtecoCrisi[[#This Row],[COD. CRISI]],Tabella139[],2,0)</f>
        <v>#N/A</v>
      </c>
      <c r="E524" s="53" t="e">
        <f t="shared" si="56"/>
        <v>#N/A</v>
      </c>
      <c r="F524" s="53" t="e">
        <f t="shared" si="57"/>
        <v>#N/A</v>
      </c>
      <c r="G524" s="53" t="e">
        <f t="shared" si="58"/>
        <v>#N/A</v>
      </c>
      <c r="H524" s="53" t="e">
        <f t="shared" si="59"/>
        <v>#N/A</v>
      </c>
      <c r="I524" s="53" t="e">
        <f t="shared" si="60"/>
        <v>#N/A</v>
      </c>
      <c r="L524" t="s">
        <v>1350</v>
      </c>
      <c r="M524" t="str">
        <f t="shared" si="62"/>
        <v>Installazione di impianti elettrici in edifici o in altre opere di costruzione (inclusa manutenzione e riparazione)</v>
      </c>
      <c r="N524" t="str">
        <f t="shared" si="61"/>
        <v>F42) Ingegneria civile; F43) Costruzioni specializzate</v>
      </c>
    </row>
    <row r="525" spans="1:14" ht="76.5">
      <c r="A525" s="56" t="s">
        <v>1263</v>
      </c>
      <c r="B525" s="57" t="s">
        <v>1262</v>
      </c>
      <c r="D525" t="e">
        <f>+VLOOKUP(AtecoCrisi[[#This Row],[COD. CRISI]],Tabella139[],2,0)</f>
        <v>#N/A</v>
      </c>
      <c r="E525" s="53" t="e">
        <f t="shared" si="56"/>
        <v>#N/A</v>
      </c>
      <c r="F525" s="53" t="e">
        <f t="shared" si="57"/>
        <v>#N/A</v>
      </c>
      <c r="G525" s="53" t="e">
        <f t="shared" si="58"/>
        <v>#N/A</v>
      </c>
      <c r="H525" s="53" t="e">
        <f t="shared" si="59"/>
        <v>#N/A</v>
      </c>
      <c r="I525" s="53" t="e">
        <f t="shared" si="60"/>
        <v>#N/A</v>
      </c>
      <c r="L525" t="s">
        <v>1352</v>
      </c>
      <c r="M525" t="str">
        <f t="shared" si="62"/>
        <v>Installazione di impianti elettronici (inclusa manutenzione e riparazione)</v>
      </c>
      <c r="N525" t="str">
        <f t="shared" si="61"/>
        <v>F42) Ingegneria civile; F43) Costruzioni specializzate</v>
      </c>
    </row>
    <row r="526" spans="1:14" ht="25.5">
      <c r="A526" s="58" t="s">
        <v>1264</v>
      </c>
      <c r="B526" s="59" t="s">
        <v>1265</v>
      </c>
      <c r="C526">
        <v>2</v>
      </c>
      <c r="D526" t="str">
        <f>+VLOOKUP(AtecoCrisi[[#This Row],[COD. CRISI]],Tabella139[],2,0)</f>
        <v>B) Estrazione; C) Manifattura; D) Produzione energia/gas</v>
      </c>
      <c r="E526" s="53">
        <f t="shared" si="56"/>
        <v>0.03</v>
      </c>
      <c r="F526" s="53">
        <f t="shared" si="57"/>
        <v>7.5999999999999998E-2</v>
      </c>
      <c r="G526" s="53">
        <f t="shared" si="58"/>
        <v>0.93700000000000006</v>
      </c>
      <c r="H526" s="53">
        <f t="shared" si="59"/>
        <v>5.0000000000000001E-3</v>
      </c>
      <c r="I526" s="53">
        <f t="shared" si="60"/>
        <v>4.9000000000000002E-2</v>
      </c>
      <c r="L526" t="s">
        <v>1354</v>
      </c>
      <c r="M526" t="str">
        <f t="shared" si="62"/>
        <v>Installazione impianti di illuminazione stradale e dispositivi elettrici di segnalazione, illuminazione delle piste degli aeroporti (inclusa manutenzione e riparazione)</v>
      </c>
      <c r="N526" t="str">
        <f t="shared" si="61"/>
        <v>F42) Ingegneria civile; F43) Costruzioni specializzate</v>
      </c>
    </row>
    <row r="527" spans="1:14" ht="25.5">
      <c r="A527" s="58" t="s">
        <v>1266</v>
      </c>
      <c r="B527" s="59" t="s">
        <v>1267</v>
      </c>
      <c r="C527">
        <v>3</v>
      </c>
      <c r="D527" t="str">
        <f>+VLOOKUP(AtecoCrisi[[#This Row],[COD. CRISI]],Tabella139[],2,0)</f>
        <v>E) Fornitura acqua reti fognarie rifiuti; D) Trasmissione energia/gas</v>
      </c>
      <c r="E527" s="53">
        <f t="shared" si="56"/>
        <v>2.5999999999999999E-2</v>
      </c>
      <c r="F527" s="53">
        <f t="shared" si="57"/>
        <v>6.7000000000000004E-2</v>
      </c>
      <c r="G527" s="53">
        <f t="shared" si="58"/>
        <v>0.84199999999999997</v>
      </c>
      <c r="H527" s="53">
        <f t="shared" si="59"/>
        <v>1.9E-2</v>
      </c>
      <c r="I527" s="53">
        <f t="shared" si="60"/>
        <v>6.5000000000000002E-2</v>
      </c>
      <c r="L527" t="s">
        <v>1356</v>
      </c>
      <c r="M527" t="str">
        <f t="shared" si="62"/>
        <v>Installazione di impianti idraulici, di riscaldamento e di condizionamento dell'aria (inclusa manutenzione e riparazione) in edifici o in altre opere di costruzione</v>
      </c>
      <c r="N527" t="str">
        <f t="shared" si="61"/>
        <v>F42) Ingegneria civile; F43) Costruzioni specializzate</v>
      </c>
    </row>
    <row r="528" spans="1:14" ht="25.5">
      <c r="A528" s="58" t="s">
        <v>1268</v>
      </c>
      <c r="B528" s="59" t="s">
        <v>1269</v>
      </c>
      <c r="C528">
        <v>6</v>
      </c>
      <c r="D528" t="str">
        <f>+VLOOKUP(AtecoCrisi[[#This Row],[COD. CRISI]],Tabella139[],2,0)</f>
        <v>G45) Commercio autoveicoli; G46) Comm. Ingrosso; D) Distr. Energia/gas</v>
      </c>
      <c r="E528" s="53">
        <f t="shared" si="56"/>
        <v>2.1000000000000001E-2</v>
      </c>
      <c r="F528" s="53">
        <f t="shared" si="57"/>
        <v>6.3E-2</v>
      </c>
      <c r="G528" s="53">
        <f t="shared" si="58"/>
        <v>1.014</v>
      </c>
      <c r="H528" s="53">
        <f t="shared" si="59"/>
        <v>6.0000000000000001E-3</v>
      </c>
      <c r="I528" s="53">
        <f t="shared" si="60"/>
        <v>2.9000000000000001E-2</v>
      </c>
      <c r="L528" t="s">
        <v>1358</v>
      </c>
      <c r="M528" t="str">
        <f t="shared" si="62"/>
        <v>Installazione di impianti per la distribuzione del gas (inclusa manutenzione e riparazione)</v>
      </c>
      <c r="N528" t="str">
        <f t="shared" si="61"/>
        <v>F42) Ingegneria civile; F43) Costruzioni specializzate</v>
      </c>
    </row>
    <row r="529" spans="1:14" ht="25.5">
      <c r="A529" s="58" t="s">
        <v>1270</v>
      </c>
      <c r="B529" s="59" t="s">
        <v>1271</v>
      </c>
      <c r="C529">
        <v>6</v>
      </c>
      <c r="D529" t="str">
        <f>+VLOOKUP(AtecoCrisi[[#This Row],[COD. CRISI]],Tabella139[],2,0)</f>
        <v>G45) Commercio autoveicoli; G46) Comm. Ingrosso; D) Distr. Energia/gas</v>
      </c>
      <c r="E529" s="53">
        <f t="shared" si="56"/>
        <v>2.1000000000000001E-2</v>
      </c>
      <c r="F529" s="53">
        <f t="shared" si="57"/>
        <v>6.3E-2</v>
      </c>
      <c r="G529" s="53">
        <f t="shared" si="58"/>
        <v>1.014</v>
      </c>
      <c r="H529" s="53">
        <f t="shared" si="59"/>
        <v>6.0000000000000001E-3</v>
      </c>
      <c r="I529" s="53">
        <f t="shared" si="60"/>
        <v>2.9000000000000001E-2</v>
      </c>
      <c r="L529" t="s">
        <v>1360</v>
      </c>
      <c r="M529" t="str">
        <f t="shared" si="62"/>
        <v>Installazione di impianti di spegnimento antincendio (inclusi quelli integrati e la manutenzione e riparazione)</v>
      </c>
      <c r="N529" t="str">
        <f t="shared" si="61"/>
        <v>F42) Ingegneria civile; F43) Costruzioni specializzate</v>
      </c>
    </row>
    <row r="530" spans="1:14">
      <c r="A530" s="58" t="s">
        <v>1272</v>
      </c>
      <c r="B530" s="59" t="s">
        <v>1273</v>
      </c>
      <c r="C530">
        <v>2</v>
      </c>
      <c r="D530" t="str">
        <f>+VLOOKUP(AtecoCrisi[[#This Row],[COD. CRISI]],Tabella139[],2,0)</f>
        <v>B) Estrazione; C) Manifattura; D) Produzione energia/gas</v>
      </c>
      <c r="E530" s="53">
        <f t="shared" si="56"/>
        <v>0.03</v>
      </c>
      <c r="F530" s="53">
        <f t="shared" si="57"/>
        <v>7.5999999999999998E-2</v>
      </c>
      <c r="G530" s="53">
        <f t="shared" si="58"/>
        <v>0.93700000000000006</v>
      </c>
      <c r="H530" s="53">
        <f t="shared" si="59"/>
        <v>5.0000000000000001E-3</v>
      </c>
      <c r="I530" s="53">
        <f t="shared" si="60"/>
        <v>4.9000000000000002E-2</v>
      </c>
      <c r="L530" t="s">
        <v>1362</v>
      </c>
      <c r="M530" t="str">
        <f t="shared" si="62"/>
        <v>Installazione di impianti di depurazione per piscine (inclusa manutenzione e riparazione)</v>
      </c>
      <c r="N530" t="str">
        <f t="shared" si="61"/>
        <v>F42) Ingegneria civile; F43) Costruzioni specializzate</v>
      </c>
    </row>
    <row r="531" spans="1:14" ht="51">
      <c r="A531" s="58" t="s">
        <v>1274</v>
      </c>
      <c r="B531" s="59" t="s">
        <v>1275</v>
      </c>
      <c r="C531">
        <v>6</v>
      </c>
      <c r="D531" t="str">
        <f>+VLOOKUP(AtecoCrisi[[#This Row],[COD. CRISI]],Tabella139[],2,0)</f>
        <v>G45) Commercio autoveicoli; G46) Comm. Ingrosso; D) Distr. Energia/gas</v>
      </c>
      <c r="E531" s="53">
        <f t="shared" si="56"/>
        <v>2.1000000000000001E-2</v>
      </c>
      <c r="F531" s="53">
        <f t="shared" si="57"/>
        <v>6.3E-2</v>
      </c>
      <c r="G531" s="53">
        <f t="shared" si="58"/>
        <v>1.014</v>
      </c>
      <c r="H531" s="53">
        <f t="shared" si="59"/>
        <v>6.0000000000000001E-3</v>
      </c>
      <c r="I531" s="53">
        <f t="shared" si="60"/>
        <v>2.9000000000000001E-2</v>
      </c>
      <c r="L531" t="s">
        <v>1364</v>
      </c>
      <c r="M531" t="str">
        <f t="shared" si="62"/>
        <v>Installazione di impianti di irrigazione per giardini (inclusa manutenzione e riparazione)</v>
      </c>
      <c r="N531" t="str">
        <f t="shared" si="61"/>
        <v>F42) Ingegneria civile; F43) Costruzioni specializzate</v>
      </c>
    </row>
    <row r="532" spans="1:14" ht="38.25">
      <c r="A532" s="58" t="s">
        <v>1276</v>
      </c>
      <c r="B532" s="59" t="s">
        <v>1277</v>
      </c>
      <c r="C532">
        <v>6</v>
      </c>
      <c r="D532" t="str">
        <f>+VLOOKUP(AtecoCrisi[[#This Row],[COD. CRISI]],Tabella139[],2,0)</f>
        <v>G45) Commercio autoveicoli; G46) Comm. Ingrosso; D) Distr. Energia/gas</v>
      </c>
      <c r="E532" s="53">
        <f t="shared" si="56"/>
        <v>2.1000000000000001E-2</v>
      </c>
      <c r="F532" s="53">
        <f t="shared" si="57"/>
        <v>6.3E-2</v>
      </c>
      <c r="G532" s="53">
        <f t="shared" si="58"/>
        <v>1.014</v>
      </c>
      <c r="H532" s="53">
        <f t="shared" si="59"/>
        <v>6.0000000000000001E-3</v>
      </c>
      <c r="I532" s="53">
        <f t="shared" si="60"/>
        <v>2.9000000000000001E-2</v>
      </c>
      <c r="L532" t="s">
        <v>1366</v>
      </c>
      <c r="M532" t="str">
        <f t="shared" si="62"/>
        <v>Installazione, riparazione e manutenzione di ascensori e scale mobili</v>
      </c>
      <c r="N532" t="str">
        <f t="shared" si="61"/>
        <v>F42) Ingegneria civile; F43) Costruzioni specializzate</v>
      </c>
    </row>
    <row r="533" spans="1:14" ht="25.5">
      <c r="A533" s="58" t="s">
        <v>1278</v>
      </c>
      <c r="B533" s="59" t="s">
        <v>1279</v>
      </c>
      <c r="C533">
        <v>6</v>
      </c>
      <c r="D533" t="str">
        <f>+VLOOKUP(AtecoCrisi[[#This Row],[COD. CRISI]],Tabella139[],2,0)</f>
        <v>G45) Commercio autoveicoli; G46) Comm. Ingrosso; D) Distr. Energia/gas</v>
      </c>
      <c r="E533" s="53">
        <f t="shared" si="56"/>
        <v>2.1000000000000001E-2</v>
      </c>
      <c r="F533" s="53">
        <f t="shared" si="57"/>
        <v>6.3E-2</v>
      </c>
      <c r="G533" s="53">
        <f t="shared" si="58"/>
        <v>1.014</v>
      </c>
      <c r="H533" s="53">
        <f t="shared" si="59"/>
        <v>6.0000000000000001E-3</v>
      </c>
      <c r="I533" s="53">
        <f t="shared" si="60"/>
        <v>2.9000000000000001E-2</v>
      </c>
      <c r="L533" t="s">
        <v>1368</v>
      </c>
      <c r="M533" t="str">
        <f t="shared" si="62"/>
        <v>Lavori di isolamento termico, acustico o antivibrazioni</v>
      </c>
      <c r="N533" t="str">
        <f t="shared" si="61"/>
        <v>F42) Ingegneria civile; F43) Costruzioni specializzate</v>
      </c>
    </row>
    <row r="534" spans="1:14" ht="141.75">
      <c r="A534" s="51" t="s">
        <v>3</v>
      </c>
      <c r="B534" s="52" t="s">
        <v>1280</v>
      </c>
      <c r="C534">
        <v>3</v>
      </c>
      <c r="D534" t="str">
        <f>+VLOOKUP(AtecoCrisi[[#This Row],[COD. CRISI]],Tabella139[],2,0)</f>
        <v>E) Fornitura acqua reti fognarie rifiuti; D) Trasmissione energia/gas</v>
      </c>
      <c r="E534" s="53">
        <f t="shared" si="56"/>
        <v>2.5999999999999999E-2</v>
      </c>
      <c r="F534" s="53">
        <f t="shared" si="57"/>
        <v>6.7000000000000004E-2</v>
      </c>
      <c r="G534" s="53">
        <f t="shared" si="58"/>
        <v>0.84199999999999997</v>
      </c>
      <c r="H534" s="53">
        <f t="shared" si="59"/>
        <v>1.9E-2</v>
      </c>
      <c r="I534" s="53">
        <f t="shared" si="60"/>
        <v>6.5000000000000002E-2</v>
      </c>
      <c r="L534" t="s">
        <v>1370</v>
      </c>
      <c r="M534" t="str">
        <f t="shared" si="62"/>
        <v>Altri lavori di costruzione e installazione nca</v>
      </c>
      <c r="N534" t="str">
        <f t="shared" si="61"/>
        <v>F42) Ingegneria civile; F43) Costruzioni specializzate</v>
      </c>
    </row>
    <row r="535" spans="1:14" ht="51">
      <c r="A535" s="56" t="s">
        <v>1281</v>
      </c>
      <c r="B535" s="57" t="s">
        <v>1282</v>
      </c>
      <c r="C535">
        <v>3</v>
      </c>
      <c r="D535" t="str">
        <f>+VLOOKUP(AtecoCrisi[[#This Row],[COD. CRISI]],Tabella139[],2,0)</f>
        <v>E) Fornitura acqua reti fognarie rifiuti; D) Trasmissione energia/gas</v>
      </c>
      <c r="E535" s="53">
        <f t="shared" si="56"/>
        <v>2.5999999999999999E-2</v>
      </c>
      <c r="F535" s="53">
        <f t="shared" si="57"/>
        <v>6.7000000000000004E-2</v>
      </c>
      <c r="G535" s="53">
        <f t="shared" si="58"/>
        <v>0.84199999999999997</v>
      </c>
      <c r="H535" s="53">
        <f t="shared" si="59"/>
        <v>1.9E-2</v>
      </c>
      <c r="I535" s="53">
        <f t="shared" si="60"/>
        <v>6.5000000000000002E-2</v>
      </c>
      <c r="L535" t="s">
        <v>1372</v>
      </c>
      <c r="M535" t="str">
        <f t="shared" si="62"/>
        <v>Intonacatura e stuccatura</v>
      </c>
      <c r="N535" t="str">
        <f t="shared" si="61"/>
        <v>F42) Ingegneria civile; F43) Costruzioni specializzate</v>
      </c>
    </row>
    <row r="536" spans="1:14" ht="38.25">
      <c r="A536" s="58" t="s">
        <v>1283</v>
      </c>
      <c r="B536" s="59" t="s">
        <v>1284</v>
      </c>
      <c r="C536">
        <v>3</v>
      </c>
      <c r="D536" t="str">
        <f>+VLOOKUP(AtecoCrisi[[#This Row],[COD. CRISI]],Tabella139[],2,0)</f>
        <v>E) Fornitura acqua reti fognarie rifiuti; D) Trasmissione energia/gas</v>
      </c>
      <c r="E536" s="53">
        <f t="shared" si="56"/>
        <v>2.5999999999999999E-2</v>
      </c>
      <c r="F536" s="53">
        <f t="shared" si="57"/>
        <v>6.7000000000000004E-2</v>
      </c>
      <c r="G536" s="53">
        <f t="shared" si="58"/>
        <v>0.84199999999999997</v>
      </c>
      <c r="H536" s="53">
        <f t="shared" si="59"/>
        <v>1.9E-2</v>
      </c>
      <c r="I536" s="53">
        <f t="shared" si="60"/>
        <v>6.5000000000000002E-2</v>
      </c>
      <c r="L536" t="s">
        <v>1374</v>
      </c>
      <c r="M536" t="str">
        <f t="shared" si="62"/>
        <v>Posa in opera di casseforti, forzieri, porte blindate</v>
      </c>
      <c r="N536" t="str">
        <f t="shared" si="61"/>
        <v>F42) Ingegneria civile; F43) Costruzioni specializzate</v>
      </c>
    </row>
    <row r="537" spans="1:14" ht="38.25">
      <c r="A537" s="56" t="s">
        <v>1285</v>
      </c>
      <c r="B537" s="57" t="s">
        <v>1286</v>
      </c>
      <c r="C537">
        <v>3</v>
      </c>
      <c r="D537" t="str">
        <f>+VLOOKUP(AtecoCrisi[[#This Row],[COD. CRISI]],Tabella139[],2,0)</f>
        <v>E) Fornitura acqua reti fognarie rifiuti; D) Trasmissione energia/gas</v>
      </c>
      <c r="E537" s="53">
        <f t="shared" si="56"/>
        <v>2.5999999999999999E-2</v>
      </c>
      <c r="F537" s="53">
        <f t="shared" si="57"/>
        <v>6.7000000000000004E-2</v>
      </c>
      <c r="G537" s="53">
        <f t="shared" si="58"/>
        <v>0.84199999999999997</v>
      </c>
      <c r="H537" s="53">
        <f t="shared" si="59"/>
        <v>1.9E-2</v>
      </c>
      <c r="I537" s="53">
        <f t="shared" si="60"/>
        <v>6.5000000000000002E-2</v>
      </c>
      <c r="L537" t="s">
        <v>1376</v>
      </c>
      <c r="M537" t="str">
        <f t="shared" si="62"/>
        <v>Posa in opera di infissi, arredi, controsoffitti, pareti mobili e simili</v>
      </c>
      <c r="N537" t="str">
        <f t="shared" si="61"/>
        <v>F42) Ingegneria civile; F43) Costruzioni specializzate</v>
      </c>
    </row>
    <row r="538" spans="1:14" ht="38.25">
      <c r="A538" s="58" t="s">
        <v>1287</v>
      </c>
      <c r="B538" s="59" t="s">
        <v>1288</v>
      </c>
      <c r="C538">
        <v>3</v>
      </c>
      <c r="D538" t="str">
        <f>+VLOOKUP(AtecoCrisi[[#This Row],[COD. CRISI]],Tabella139[],2,0)</f>
        <v>E) Fornitura acqua reti fognarie rifiuti; D) Trasmissione energia/gas</v>
      </c>
      <c r="E538" s="53">
        <f t="shared" si="56"/>
        <v>2.5999999999999999E-2</v>
      </c>
      <c r="F538" s="53">
        <f t="shared" si="57"/>
        <v>6.7000000000000004E-2</v>
      </c>
      <c r="G538" s="53">
        <f t="shared" si="58"/>
        <v>0.84199999999999997</v>
      </c>
      <c r="H538" s="53">
        <f t="shared" si="59"/>
        <v>1.9E-2</v>
      </c>
      <c r="I538" s="53">
        <f t="shared" si="60"/>
        <v>6.5000000000000002E-2</v>
      </c>
      <c r="L538" t="s">
        <v>1378</v>
      </c>
      <c r="M538" t="str">
        <f t="shared" si="62"/>
        <v>Rivestimento di pavimenti e di muri</v>
      </c>
      <c r="N538" t="str">
        <f t="shared" si="61"/>
        <v>F42) Ingegneria civile; F43) Costruzioni specializzate</v>
      </c>
    </row>
    <row r="539" spans="1:14" ht="89.25">
      <c r="A539" s="56" t="s">
        <v>1289</v>
      </c>
      <c r="B539" s="57" t="s">
        <v>1290</v>
      </c>
      <c r="C539">
        <v>3</v>
      </c>
      <c r="D539" t="str">
        <f>+VLOOKUP(AtecoCrisi[[#This Row],[COD. CRISI]],Tabella139[],2,0)</f>
        <v>E) Fornitura acqua reti fognarie rifiuti; D) Trasmissione energia/gas</v>
      </c>
      <c r="E539" s="53">
        <f t="shared" si="56"/>
        <v>2.5999999999999999E-2</v>
      </c>
      <c r="F539" s="53">
        <f t="shared" si="57"/>
        <v>6.7000000000000004E-2</v>
      </c>
      <c r="G539" s="53">
        <f t="shared" si="58"/>
        <v>0.84199999999999997</v>
      </c>
      <c r="H539" s="53">
        <f t="shared" si="59"/>
        <v>1.9E-2</v>
      </c>
      <c r="I539" s="53">
        <f t="shared" si="60"/>
        <v>6.5000000000000002E-2</v>
      </c>
      <c r="L539" t="s">
        <v>1380</v>
      </c>
      <c r="M539" t="str">
        <f t="shared" si="62"/>
        <v>Tinteggiatura e posa in opera di vetri</v>
      </c>
      <c r="N539" t="str">
        <f t="shared" si="61"/>
        <v>F42) Ingegneria civile; F43) Costruzioni specializzate</v>
      </c>
    </row>
    <row r="540" spans="1:14" ht="38.25">
      <c r="A540" s="58" t="s">
        <v>1291</v>
      </c>
      <c r="B540" s="59" t="s">
        <v>1292</v>
      </c>
      <c r="C540">
        <v>3</v>
      </c>
      <c r="D540" t="str">
        <f>+VLOOKUP(AtecoCrisi[[#This Row],[COD. CRISI]],Tabella139[],2,0)</f>
        <v>E) Fornitura acqua reti fognarie rifiuti; D) Trasmissione energia/gas</v>
      </c>
      <c r="E540" s="53">
        <f t="shared" si="56"/>
        <v>2.5999999999999999E-2</v>
      </c>
      <c r="F540" s="53">
        <f t="shared" si="57"/>
        <v>6.7000000000000004E-2</v>
      </c>
      <c r="G540" s="53">
        <f t="shared" si="58"/>
        <v>0.84199999999999997</v>
      </c>
      <c r="H540" s="53">
        <f t="shared" si="59"/>
        <v>1.9E-2</v>
      </c>
      <c r="I540" s="53">
        <f t="shared" si="60"/>
        <v>6.5000000000000002E-2</v>
      </c>
      <c r="L540" t="s">
        <v>1382</v>
      </c>
      <c r="M540" t="str">
        <f t="shared" si="62"/>
        <v>Attività non specializzate di lavori edili (muratori)</v>
      </c>
      <c r="N540" t="str">
        <f t="shared" si="61"/>
        <v>F42) Ingegneria civile; F43) Costruzioni specializzate</v>
      </c>
    </row>
    <row r="541" spans="1:14" ht="38.25">
      <c r="A541" s="58" t="s">
        <v>1293</v>
      </c>
      <c r="B541" s="59" t="s">
        <v>1294</v>
      </c>
      <c r="C541">
        <v>3</v>
      </c>
      <c r="D541" t="str">
        <f>+VLOOKUP(AtecoCrisi[[#This Row],[COD. CRISI]],Tabella139[],2,0)</f>
        <v>E) Fornitura acqua reti fognarie rifiuti; D) Trasmissione energia/gas</v>
      </c>
      <c r="E541" s="53">
        <f t="shared" si="56"/>
        <v>2.5999999999999999E-2</v>
      </c>
      <c r="F541" s="53">
        <f t="shared" si="57"/>
        <v>6.7000000000000004E-2</v>
      </c>
      <c r="G541" s="53">
        <f t="shared" si="58"/>
        <v>0.84199999999999997</v>
      </c>
      <c r="H541" s="53">
        <f t="shared" si="59"/>
        <v>1.9E-2</v>
      </c>
      <c r="I541" s="53">
        <f t="shared" si="60"/>
        <v>6.5000000000000002E-2</v>
      </c>
      <c r="L541" t="s">
        <v>1384</v>
      </c>
      <c r="M541" t="str">
        <f t="shared" si="62"/>
        <v>Altri lavori di completamento e di finitura degli edifici nca</v>
      </c>
      <c r="N541" t="str">
        <f t="shared" si="61"/>
        <v>F42) Ingegneria civile; F43) Costruzioni specializzate</v>
      </c>
    </row>
    <row r="542" spans="1:14" ht="25.5">
      <c r="A542" s="58" t="s">
        <v>1295</v>
      </c>
      <c r="B542" s="59" t="s">
        <v>1296</v>
      </c>
      <c r="C542">
        <v>3</v>
      </c>
      <c r="D542" t="str">
        <f>+VLOOKUP(AtecoCrisi[[#This Row],[COD. CRISI]],Tabella139[],2,0)</f>
        <v>E) Fornitura acqua reti fognarie rifiuti; D) Trasmissione energia/gas</v>
      </c>
      <c r="E542" s="53">
        <f t="shared" si="56"/>
        <v>2.5999999999999999E-2</v>
      </c>
      <c r="F542" s="53">
        <f t="shared" si="57"/>
        <v>6.7000000000000004E-2</v>
      </c>
      <c r="G542" s="53">
        <f t="shared" si="58"/>
        <v>0.84199999999999997</v>
      </c>
      <c r="H542" s="53">
        <f t="shared" si="59"/>
        <v>1.9E-2</v>
      </c>
      <c r="I542" s="53">
        <f t="shared" si="60"/>
        <v>6.5000000000000002E-2</v>
      </c>
      <c r="L542" t="s">
        <v>1386</v>
      </c>
      <c r="M542" t="str">
        <f t="shared" si="62"/>
        <v>Realizzazione di coperture</v>
      </c>
      <c r="N542" t="str">
        <f t="shared" si="61"/>
        <v>F42) Ingegneria civile; F43) Costruzioni specializzate</v>
      </c>
    </row>
    <row r="543" spans="1:14" ht="51">
      <c r="A543" s="58" t="s">
        <v>1297</v>
      </c>
      <c r="B543" s="59" t="s">
        <v>1298</v>
      </c>
      <c r="C543">
        <v>3</v>
      </c>
      <c r="D543" t="str">
        <f>+VLOOKUP(AtecoCrisi[[#This Row],[COD. CRISI]],Tabella139[],2,0)</f>
        <v>E) Fornitura acqua reti fognarie rifiuti; D) Trasmissione energia/gas</v>
      </c>
      <c r="E543" s="53">
        <f t="shared" si="56"/>
        <v>2.5999999999999999E-2</v>
      </c>
      <c r="F543" s="53">
        <f t="shared" si="57"/>
        <v>6.7000000000000004E-2</v>
      </c>
      <c r="G543" s="53">
        <f t="shared" si="58"/>
        <v>0.84199999999999997</v>
      </c>
      <c r="H543" s="53">
        <f t="shared" si="59"/>
        <v>1.9E-2</v>
      </c>
      <c r="I543" s="53">
        <f t="shared" si="60"/>
        <v>6.5000000000000002E-2</v>
      </c>
      <c r="L543" t="s">
        <v>1388</v>
      </c>
      <c r="M543" t="str">
        <f t="shared" si="62"/>
        <v>Pulizia a vapore, sabbiatura e attività simili per pareti esterne di edifici</v>
      </c>
      <c r="N543" t="str">
        <f t="shared" si="61"/>
        <v>F42) Ingegneria civile; F43) Costruzioni specializzate</v>
      </c>
    </row>
    <row r="544" spans="1:14" ht="38.25">
      <c r="A544" s="58" t="s">
        <v>1299</v>
      </c>
      <c r="B544" s="59" t="s">
        <v>1300</v>
      </c>
      <c r="C544">
        <v>3</v>
      </c>
      <c r="D544" t="str">
        <f>+VLOOKUP(AtecoCrisi[[#This Row],[COD. CRISI]],Tabella139[],2,0)</f>
        <v>E) Fornitura acqua reti fognarie rifiuti; D) Trasmissione energia/gas</v>
      </c>
      <c r="E544" s="53">
        <f t="shared" si="56"/>
        <v>2.5999999999999999E-2</v>
      </c>
      <c r="F544" s="53">
        <f t="shared" si="57"/>
        <v>6.7000000000000004E-2</v>
      </c>
      <c r="G544" s="53">
        <f t="shared" si="58"/>
        <v>0.84199999999999997</v>
      </c>
      <c r="H544" s="53">
        <f t="shared" si="59"/>
        <v>1.9E-2</v>
      </c>
      <c r="I544" s="53">
        <f t="shared" si="60"/>
        <v>6.5000000000000002E-2</v>
      </c>
      <c r="L544" t="s">
        <v>1390</v>
      </c>
      <c r="M544" t="str">
        <f t="shared" si="62"/>
        <v>Noleggio di gru ed altre attrezzature con operatore per la costruzione o la demolizione</v>
      </c>
      <c r="N544" t="str">
        <f t="shared" si="61"/>
        <v>F42) Ingegneria civile; F43) Costruzioni specializzate</v>
      </c>
    </row>
    <row r="545" spans="1:14" ht="25.5">
      <c r="A545" s="58" t="s">
        <v>1301</v>
      </c>
      <c r="B545" s="59" t="s">
        <v>1302</v>
      </c>
      <c r="C545">
        <v>3</v>
      </c>
      <c r="D545" t="str">
        <f>+VLOOKUP(AtecoCrisi[[#This Row],[COD. CRISI]],Tabella139[],2,0)</f>
        <v>E) Fornitura acqua reti fognarie rifiuti; D) Trasmissione energia/gas</v>
      </c>
      <c r="E545" s="53">
        <f t="shared" si="56"/>
        <v>2.5999999999999999E-2</v>
      </c>
      <c r="F545" s="53">
        <f t="shared" si="57"/>
        <v>6.7000000000000004E-2</v>
      </c>
      <c r="G545" s="53">
        <f t="shared" si="58"/>
        <v>0.84199999999999997</v>
      </c>
      <c r="H545" s="53">
        <f t="shared" si="59"/>
        <v>1.9E-2</v>
      </c>
      <c r="I545" s="53">
        <f t="shared" si="60"/>
        <v>6.5000000000000002E-2</v>
      </c>
      <c r="L545" t="s">
        <v>1392</v>
      </c>
      <c r="M545" t="str">
        <f t="shared" si="62"/>
        <v>Altre attività di lavori specializzati di costruzione nca</v>
      </c>
      <c r="N545" t="str">
        <f t="shared" si="61"/>
        <v>F42) Ingegneria civile; F43) Costruzioni specializzate</v>
      </c>
    </row>
    <row r="546" spans="1:14" ht="25.5">
      <c r="A546" s="58" t="s">
        <v>1303</v>
      </c>
      <c r="B546" s="59" t="s">
        <v>1304</v>
      </c>
      <c r="C546">
        <v>3</v>
      </c>
      <c r="D546" t="str">
        <f>+VLOOKUP(AtecoCrisi[[#This Row],[COD. CRISI]],Tabella139[],2,0)</f>
        <v>E) Fornitura acqua reti fognarie rifiuti; D) Trasmissione energia/gas</v>
      </c>
      <c r="E546" s="53">
        <f t="shared" si="56"/>
        <v>2.5999999999999999E-2</v>
      </c>
      <c r="F546" s="53">
        <f t="shared" si="57"/>
        <v>6.7000000000000004E-2</v>
      </c>
      <c r="G546" s="53">
        <f t="shared" si="58"/>
        <v>0.84199999999999997</v>
      </c>
      <c r="H546" s="53">
        <f t="shared" si="59"/>
        <v>1.9E-2</v>
      </c>
      <c r="I546" s="53">
        <f t="shared" si="60"/>
        <v>6.5000000000000002E-2</v>
      </c>
      <c r="L546" t="s">
        <v>1397</v>
      </c>
      <c r="M546" t="str">
        <f t="shared" si="62"/>
        <v>Commercio all'ingrosso e al dettaglio di autovetture e di autoveicoli leggeri</v>
      </c>
      <c r="N546" t="str">
        <f t="shared" si="61"/>
        <v>G45) Commercio autoveicoli; G46) Comm. Ingrosso; D) Distr. Energia/gas</v>
      </c>
    </row>
    <row r="547" spans="1:14" ht="63.75">
      <c r="A547" s="58" t="s">
        <v>1305</v>
      </c>
      <c r="B547" s="59" t="s">
        <v>1306</v>
      </c>
      <c r="C547">
        <v>3</v>
      </c>
      <c r="D547" t="str">
        <f>+VLOOKUP(AtecoCrisi[[#This Row],[COD. CRISI]],Tabella139[],2,0)</f>
        <v>E) Fornitura acqua reti fognarie rifiuti; D) Trasmissione energia/gas</v>
      </c>
      <c r="E547" s="53">
        <f t="shared" si="56"/>
        <v>2.5999999999999999E-2</v>
      </c>
      <c r="F547" s="53">
        <f t="shared" si="57"/>
        <v>6.7000000000000004E-2</v>
      </c>
      <c r="G547" s="53">
        <f t="shared" si="58"/>
        <v>0.84199999999999997</v>
      </c>
      <c r="H547" s="53">
        <f t="shared" si="59"/>
        <v>1.9E-2</v>
      </c>
      <c r="I547" s="53">
        <f t="shared" si="60"/>
        <v>6.5000000000000002E-2</v>
      </c>
      <c r="L547" t="s">
        <v>1399</v>
      </c>
      <c r="M547" t="str">
        <f t="shared" si="62"/>
        <v>Intermediari del commercio di autovetture e di autoveicoli leggeri (incluse le agenzie di compravendita)</v>
      </c>
      <c r="N547" t="str">
        <f t="shared" si="61"/>
        <v>G45) Commercio autoveicoli; G46) Comm. Ingrosso; D) Distr. Energia/gas</v>
      </c>
    </row>
    <row r="548" spans="1:14" ht="102">
      <c r="A548" s="58" t="s">
        <v>1307</v>
      </c>
      <c r="B548" s="59" t="s">
        <v>1308</v>
      </c>
      <c r="C548">
        <v>3</v>
      </c>
      <c r="D548" t="str">
        <f>+VLOOKUP(AtecoCrisi[[#This Row],[COD. CRISI]],Tabella139[],2,0)</f>
        <v>E) Fornitura acqua reti fognarie rifiuti; D) Trasmissione energia/gas</v>
      </c>
      <c r="E548" s="53">
        <f t="shared" si="56"/>
        <v>2.5999999999999999E-2</v>
      </c>
      <c r="F548" s="53">
        <f t="shared" si="57"/>
        <v>6.7000000000000004E-2</v>
      </c>
      <c r="G548" s="53">
        <f t="shared" si="58"/>
        <v>0.84199999999999997</v>
      </c>
      <c r="H548" s="53">
        <f t="shared" si="59"/>
        <v>1.9E-2</v>
      </c>
      <c r="I548" s="53">
        <f t="shared" si="60"/>
        <v>6.5000000000000002E-2</v>
      </c>
      <c r="L548" t="s">
        <v>1401</v>
      </c>
      <c r="M548" t="str">
        <f t="shared" si="62"/>
        <v>Commercio all'ingrosso e al dettaglio di altri autoveicoli</v>
      </c>
      <c r="N548" t="str">
        <f t="shared" si="61"/>
        <v>G45) Commercio autoveicoli; G46) Comm. Ingrosso; D) Distr. Energia/gas</v>
      </c>
    </row>
    <row r="549" spans="1:14" ht="76.5">
      <c r="A549" s="58" t="s">
        <v>1309</v>
      </c>
      <c r="B549" s="59" t="s">
        <v>1310</v>
      </c>
      <c r="C549">
        <v>3</v>
      </c>
      <c r="D549" t="str">
        <f>+VLOOKUP(AtecoCrisi[[#This Row],[COD. CRISI]],Tabella139[],2,0)</f>
        <v>E) Fornitura acqua reti fognarie rifiuti; D) Trasmissione energia/gas</v>
      </c>
      <c r="E549" s="53">
        <f t="shared" si="56"/>
        <v>2.5999999999999999E-2</v>
      </c>
      <c r="F549" s="53">
        <f t="shared" si="57"/>
        <v>6.7000000000000004E-2</v>
      </c>
      <c r="G549" s="53">
        <f t="shared" si="58"/>
        <v>0.84199999999999997</v>
      </c>
      <c r="H549" s="53">
        <f t="shared" si="59"/>
        <v>1.9E-2</v>
      </c>
      <c r="I549" s="53">
        <f t="shared" si="60"/>
        <v>6.5000000000000002E-2</v>
      </c>
      <c r="L549" t="s">
        <v>1403</v>
      </c>
      <c r="M549" t="str">
        <f t="shared" si="62"/>
        <v>Intermediari del commercio di altri autoveicoli (incluse le agenzie di compravendita)</v>
      </c>
      <c r="N549" t="str">
        <f t="shared" si="61"/>
        <v>G45) Commercio autoveicoli; G46) Comm. Ingrosso; D) Distr. Energia/gas</v>
      </c>
    </row>
    <row r="550" spans="1:14" ht="63.75">
      <c r="A550" s="56" t="s">
        <v>1311</v>
      </c>
      <c r="B550" s="57" t="s">
        <v>1312</v>
      </c>
      <c r="C550">
        <v>3</v>
      </c>
      <c r="D550" t="str">
        <f>+VLOOKUP(AtecoCrisi[[#This Row],[COD. CRISI]],Tabella139[],2,0)</f>
        <v>E) Fornitura acqua reti fognarie rifiuti; D) Trasmissione energia/gas</v>
      </c>
      <c r="E550" s="53">
        <f t="shared" si="56"/>
        <v>2.5999999999999999E-2</v>
      </c>
      <c r="F550" s="53">
        <f t="shared" si="57"/>
        <v>6.7000000000000004E-2</v>
      </c>
      <c r="G550" s="53">
        <f t="shared" si="58"/>
        <v>0.84199999999999997</v>
      </c>
      <c r="H550" s="53">
        <f t="shared" si="59"/>
        <v>1.9E-2</v>
      </c>
      <c r="I550" s="53">
        <f t="shared" si="60"/>
        <v>6.5000000000000002E-2</v>
      </c>
      <c r="L550" t="s">
        <v>1405</v>
      </c>
      <c r="M550" t="str">
        <f t="shared" si="62"/>
        <v>Riparazioni meccaniche di autoveicoli</v>
      </c>
      <c r="N550" t="str">
        <f t="shared" si="61"/>
        <v>G45) Commercio autoveicoli; G46) Comm. Ingrosso; D) Distr. Energia/gas</v>
      </c>
    </row>
    <row r="551" spans="1:14" ht="89.25">
      <c r="A551" s="58" t="s">
        <v>1313</v>
      </c>
      <c r="B551" s="59" t="s">
        <v>1314</v>
      </c>
      <c r="C551">
        <v>3</v>
      </c>
      <c r="D551" t="str">
        <f>+VLOOKUP(AtecoCrisi[[#This Row],[COD. CRISI]],Tabella139[],2,0)</f>
        <v>E) Fornitura acqua reti fognarie rifiuti; D) Trasmissione energia/gas</v>
      </c>
      <c r="E551" s="53">
        <f t="shared" si="56"/>
        <v>2.5999999999999999E-2</v>
      </c>
      <c r="F551" s="53">
        <f t="shared" si="57"/>
        <v>6.7000000000000004E-2</v>
      </c>
      <c r="G551" s="53">
        <f t="shared" si="58"/>
        <v>0.84199999999999997</v>
      </c>
      <c r="H551" s="53">
        <f t="shared" si="59"/>
        <v>1.9E-2</v>
      </c>
      <c r="I551" s="53">
        <f t="shared" si="60"/>
        <v>6.5000000000000002E-2</v>
      </c>
      <c r="L551" t="s">
        <v>1407</v>
      </c>
      <c r="M551" t="str">
        <f t="shared" si="62"/>
        <v>Riparazione di carrozzerie di autoveicoli</v>
      </c>
      <c r="N551" t="str">
        <f t="shared" si="61"/>
        <v>G45) Commercio autoveicoli; G46) Comm. Ingrosso; D) Distr. Energia/gas</v>
      </c>
    </row>
    <row r="552" spans="1:14" ht="51">
      <c r="A552" s="58" t="s">
        <v>1315</v>
      </c>
      <c r="B552" s="59" t="s">
        <v>1316</v>
      </c>
      <c r="C552">
        <v>3</v>
      </c>
      <c r="D552" t="str">
        <f>+VLOOKUP(AtecoCrisi[[#This Row],[COD. CRISI]],Tabella139[],2,0)</f>
        <v>E) Fornitura acqua reti fognarie rifiuti; D) Trasmissione energia/gas</v>
      </c>
      <c r="E552" s="53">
        <f t="shared" si="56"/>
        <v>2.5999999999999999E-2</v>
      </c>
      <c r="F552" s="53">
        <f t="shared" si="57"/>
        <v>6.7000000000000004E-2</v>
      </c>
      <c r="G552" s="53">
        <f t="shared" si="58"/>
        <v>0.84199999999999997</v>
      </c>
      <c r="H552" s="53">
        <f t="shared" si="59"/>
        <v>1.9E-2</v>
      </c>
      <c r="I552" s="53">
        <f t="shared" si="60"/>
        <v>6.5000000000000002E-2</v>
      </c>
      <c r="L552" t="s">
        <v>1409</v>
      </c>
      <c r="M552" t="str">
        <f t="shared" si="62"/>
        <v>Riparazione di impianti elettrici e di alimentazione per autoveicoli</v>
      </c>
      <c r="N552" t="str">
        <f t="shared" si="61"/>
        <v>G45) Commercio autoveicoli; G46) Comm. Ingrosso; D) Distr. Energia/gas</v>
      </c>
    </row>
    <row r="553" spans="1:14" ht="31.5">
      <c r="A553" s="51" t="s">
        <v>9</v>
      </c>
      <c r="B553" s="52" t="s">
        <v>1317</v>
      </c>
      <c r="D553" t="e">
        <f>+VLOOKUP(AtecoCrisi[[#This Row],[COD. CRISI]],Tabella139[],2,0)</f>
        <v>#N/A</v>
      </c>
      <c r="E553" s="53" t="e">
        <f t="shared" si="56"/>
        <v>#N/A</v>
      </c>
      <c r="F553" s="53" t="e">
        <f t="shared" si="57"/>
        <v>#N/A</v>
      </c>
      <c r="G553" s="53" t="e">
        <f t="shared" si="58"/>
        <v>#N/A</v>
      </c>
      <c r="H553" s="53" t="e">
        <f t="shared" si="59"/>
        <v>#N/A</v>
      </c>
      <c r="I553" s="53" t="e">
        <f t="shared" si="60"/>
        <v>#N/A</v>
      </c>
      <c r="L553" t="s">
        <v>1411</v>
      </c>
      <c r="M553" t="str">
        <f t="shared" si="62"/>
        <v>Riparazione e sostituzione di pneumatici per autoveicoli</v>
      </c>
      <c r="N553" t="str">
        <f t="shared" si="61"/>
        <v>G45) Commercio autoveicoli; G46) Comm. Ingrosso; D) Distr. Energia/gas</v>
      </c>
    </row>
    <row r="554" spans="1:14" ht="25.5">
      <c r="A554" s="56" t="s">
        <v>1318</v>
      </c>
      <c r="B554" s="57" t="s">
        <v>1319</v>
      </c>
      <c r="C554">
        <v>4</v>
      </c>
      <c r="D554" t="str">
        <f>+VLOOKUP(AtecoCrisi[[#This Row],[COD. CRISI]],Tabella139[],2,0)</f>
        <v>F41) Costruzione di edifici</v>
      </c>
      <c r="E554" s="53">
        <f t="shared" si="56"/>
        <v>3.7999999999999999E-2</v>
      </c>
      <c r="F554" s="53">
        <f t="shared" si="57"/>
        <v>4.9000000000000002E-2</v>
      </c>
      <c r="G554" s="53">
        <f t="shared" si="58"/>
        <v>1.08</v>
      </c>
      <c r="H554" s="53">
        <f t="shared" si="59"/>
        <v>4.0000000000000001E-3</v>
      </c>
      <c r="I554" s="53">
        <f t="shared" si="60"/>
        <v>3.7999999999999999E-2</v>
      </c>
      <c r="L554" t="s">
        <v>1413</v>
      </c>
      <c r="M554" t="str">
        <f t="shared" si="62"/>
        <v>Lavaggio auto</v>
      </c>
      <c r="N554" t="str">
        <f t="shared" si="61"/>
        <v>G45) Commercio autoveicoli; G46) Comm. Ingrosso; D) Distr. Energia/gas</v>
      </c>
    </row>
    <row r="555" spans="1:14" ht="38.25">
      <c r="A555" s="58" t="s">
        <v>1320</v>
      </c>
      <c r="B555" s="59" t="s">
        <v>1321</v>
      </c>
      <c r="C555">
        <v>4</v>
      </c>
      <c r="D555" t="str">
        <f>+VLOOKUP(AtecoCrisi[[#This Row],[COD. CRISI]],Tabella139[],2,0)</f>
        <v>F41) Costruzione di edifici</v>
      </c>
      <c r="E555" s="53">
        <f t="shared" si="56"/>
        <v>3.7999999999999999E-2</v>
      </c>
      <c r="F555" s="53">
        <f t="shared" si="57"/>
        <v>4.9000000000000002E-2</v>
      </c>
      <c r="G555" s="53">
        <f t="shared" si="58"/>
        <v>1.08</v>
      </c>
      <c r="H555" s="53">
        <f t="shared" si="59"/>
        <v>4.0000000000000001E-3</v>
      </c>
      <c r="I555" s="53">
        <f t="shared" si="60"/>
        <v>3.7999999999999999E-2</v>
      </c>
      <c r="L555" t="s">
        <v>1415</v>
      </c>
      <c r="M555" t="str">
        <f t="shared" si="62"/>
        <v>Altre attività di manutenzione e di riparazione di autoveicoli</v>
      </c>
      <c r="N555" t="str">
        <f t="shared" si="61"/>
        <v>G45) Commercio autoveicoli; G46) Comm. Ingrosso; D) Distr. Energia/gas</v>
      </c>
    </row>
    <row r="556" spans="1:14" ht="38.25">
      <c r="A556" s="58" t="s">
        <v>1322</v>
      </c>
      <c r="B556" s="59" t="s">
        <v>1323</v>
      </c>
      <c r="C556">
        <v>4</v>
      </c>
      <c r="D556" t="str">
        <f>+VLOOKUP(AtecoCrisi[[#This Row],[COD. CRISI]],Tabella139[],2,0)</f>
        <v>F41) Costruzione di edifici</v>
      </c>
      <c r="E556" s="53">
        <f t="shared" si="56"/>
        <v>3.7999999999999999E-2</v>
      </c>
      <c r="F556" s="53">
        <f t="shared" si="57"/>
        <v>4.9000000000000002E-2</v>
      </c>
      <c r="G556" s="53">
        <f t="shared" si="58"/>
        <v>1.08</v>
      </c>
      <c r="H556" s="53">
        <f t="shared" si="59"/>
        <v>4.0000000000000001E-3</v>
      </c>
      <c r="I556" s="53">
        <f t="shared" si="60"/>
        <v>3.7999999999999999E-2</v>
      </c>
      <c r="L556" t="s">
        <v>1417</v>
      </c>
      <c r="M556" t="str">
        <f t="shared" si="62"/>
        <v>Commercio all'ingrosso di parti e accessori di autoveicoli</v>
      </c>
      <c r="N556" t="str">
        <f t="shared" si="61"/>
        <v>G45) Commercio autoveicoli; G46) Comm. Ingrosso; D) Distr. Energia/gas</v>
      </c>
    </row>
    <row r="557" spans="1:14" ht="25.5">
      <c r="A557" s="56" t="s">
        <v>1324</v>
      </c>
      <c r="B557" s="57" t="s">
        <v>1325</v>
      </c>
      <c r="C557">
        <v>5</v>
      </c>
      <c r="D557" t="str">
        <f>+VLOOKUP(AtecoCrisi[[#This Row],[COD. CRISI]],Tabella139[],2,0)</f>
        <v>F42) Ingegneria civile; F43) Costruzioni specializzate</v>
      </c>
      <c r="E557" s="53">
        <f t="shared" si="56"/>
        <v>2.8000000000000001E-2</v>
      </c>
      <c r="F557" s="53">
        <f t="shared" si="57"/>
        <v>5.2999999999999999E-2</v>
      </c>
      <c r="G557" s="53">
        <f t="shared" si="58"/>
        <v>1.0109999999999999</v>
      </c>
      <c r="H557" s="53">
        <f t="shared" si="59"/>
        <v>1.4E-2</v>
      </c>
      <c r="I557" s="53">
        <f t="shared" si="60"/>
        <v>5.2999999999999999E-2</v>
      </c>
      <c r="L557" t="s">
        <v>1419</v>
      </c>
      <c r="M557" t="str">
        <f t="shared" si="62"/>
        <v>Intermediari del commercio di parti ed accessori di autoveicoli</v>
      </c>
      <c r="N557" t="str">
        <f t="shared" si="61"/>
        <v>G45) Commercio autoveicoli; G46) Comm. Ingrosso; D) Distr. Energia/gas</v>
      </c>
    </row>
    <row r="558" spans="1:14" ht="38.25">
      <c r="A558" s="58" t="s">
        <v>1326</v>
      </c>
      <c r="B558" s="59" t="s">
        <v>1327</v>
      </c>
      <c r="C558">
        <v>5</v>
      </c>
      <c r="D558" t="str">
        <f>+VLOOKUP(AtecoCrisi[[#This Row],[COD. CRISI]],Tabella139[],2,0)</f>
        <v>F42) Ingegneria civile; F43) Costruzioni specializzate</v>
      </c>
      <c r="E558" s="53">
        <f t="shared" si="56"/>
        <v>2.8000000000000001E-2</v>
      </c>
      <c r="F558" s="53">
        <f t="shared" si="57"/>
        <v>5.2999999999999999E-2</v>
      </c>
      <c r="G558" s="53">
        <f t="shared" si="58"/>
        <v>1.0109999999999999</v>
      </c>
      <c r="H558" s="53">
        <f t="shared" si="59"/>
        <v>1.4E-2</v>
      </c>
      <c r="I558" s="53">
        <f t="shared" si="60"/>
        <v>5.2999999999999999E-2</v>
      </c>
      <c r="L558" t="s">
        <v>1421</v>
      </c>
      <c r="M558" t="str">
        <f t="shared" si="62"/>
        <v>Commercio al dettaglio di parti e accessori di autoveicoli</v>
      </c>
      <c r="N558" t="str">
        <f t="shared" si="61"/>
        <v>G45) Commercio autoveicoli; G46) Comm. Ingrosso; D) Distr. Energia/gas</v>
      </c>
    </row>
    <row r="559" spans="1:14" ht="38.25">
      <c r="A559" s="58" t="s">
        <v>1328</v>
      </c>
      <c r="B559" s="59" t="s">
        <v>1329</v>
      </c>
      <c r="C559">
        <v>5</v>
      </c>
      <c r="D559" t="str">
        <f>+VLOOKUP(AtecoCrisi[[#This Row],[COD. CRISI]],Tabella139[],2,0)</f>
        <v>F42) Ingegneria civile; F43) Costruzioni specializzate</v>
      </c>
      <c r="E559" s="53">
        <f t="shared" si="56"/>
        <v>2.8000000000000001E-2</v>
      </c>
      <c r="F559" s="53">
        <f t="shared" si="57"/>
        <v>5.2999999999999999E-2</v>
      </c>
      <c r="G559" s="53">
        <f t="shared" si="58"/>
        <v>1.0109999999999999</v>
      </c>
      <c r="H559" s="53">
        <f t="shared" si="59"/>
        <v>1.4E-2</v>
      </c>
      <c r="I559" s="53">
        <f t="shared" si="60"/>
        <v>5.2999999999999999E-2</v>
      </c>
      <c r="L559" t="s">
        <v>1423</v>
      </c>
      <c r="M559" t="str">
        <f t="shared" si="62"/>
        <v>Commercio all'ingrosso e al dettaglio di motocicli e ciclomotori</v>
      </c>
      <c r="N559" t="str">
        <f t="shared" si="61"/>
        <v>G45) Commercio autoveicoli; G46) Comm. Ingrosso; D) Distr. Energia/gas</v>
      </c>
    </row>
    <row r="560" spans="1:14" ht="25.5">
      <c r="A560" s="58" t="s">
        <v>1330</v>
      </c>
      <c r="B560" s="59" t="s">
        <v>1331</v>
      </c>
      <c r="C560">
        <v>5</v>
      </c>
      <c r="D560" t="str">
        <f>+VLOOKUP(AtecoCrisi[[#This Row],[COD. CRISI]],Tabella139[],2,0)</f>
        <v>F42) Ingegneria civile; F43) Costruzioni specializzate</v>
      </c>
      <c r="E560" s="53">
        <f t="shared" si="56"/>
        <v>2.8000000000000001E-2</v>
      </c>
      <c r="F560" s="53">
        <f t="shared" si="57"/>
        <v>5.2999999999999999E-2</v>
      </c>
      <c r="G560" s="53">
        <f t="shared" si="58"/>
        <v>1.0109999999999999</v>
      </c>
      <c r="H560" s="53">
        <f t="shared" si="59"/>
        <v>1.4E-2</v>
      </c>
      <c r="I560" s="53">
        <f t="shared" si="60"/>
        <v>5.2999999999999999E-2</v>
      </c>
      <c r="L560" t="s">
        <v>1425</v>
      </c>
      <c r="M560" t="str">
        <f t="shared" si="62"/>
        <v>Intermediari del commercio di motocicli e ciclomotori</v>
      </c>
      <c r="N560" t="str">
        <f t="shared" si="61"/>
        <v>G45) Commercio autoveicoli; G46) Comm. Ingrosso; D) Distr. Energia/gas</v>
      </c>
    </row>
    <row r="561" spans="1:14" ht="51">
      <c r="A561" s="58" t="s">
        <v>1332</v>
      </c>
      <c r="B561" s="59" t="s">
        <v>1333</v>
      </c>
      <c r="C561">
        <v>5</v>
      </c>
      <c r="D561" t="str">
        <f>+VLOOKUP(AtecoCrisi[[#This Row],[COD. CRISI]],Tabella139[],2,0)</f>
        <v>F42) Ingegneria civile; F43) Costruzioni specializzate</v>
      </c>
      <c r="E561" s="53">
        <f t="shared" si="56"/>
        <v>2.8000000000000001E-2</v>
      </c>
      <c r="F561" s="53">
        <f t="shared" si="57"/>
        <v>5.2999999999999999E-2</v>
      </c>
      <c r="G561" s="53">
        <f t="shared" si="58"/>
        <v>1.0109999999999999</v>
      </c>
      <c r="H561" s="53">
        <f t="shared" si="59"/>
        <v>1.4E-2</v>
      </c>
      <c r="I561" s="53">
        <f t="shared" si="60"/>
        <v>5.2999999999999999E-2</v>
      </c>
      <c r="L561" t="s">
        <v>1427</v>
      </c>
      <c r="M561" t="str">
        <f t="shared" si="62"/>
        <v>Commercio all'ingrosso e al dettaglio di parti e accessori per motocicli e ciclomotori</v>
      </c>
      <c r="N561" t="str">
        <f t="shared" si="61"/>
        <v>G45) Commercio autoveicoli; G46) Comm. Ingrosso; D) Distr. Energia/gas</v>
      </c>
    </row>
    <row r="562" spans="1:14" ht="63.75">
      <c r="A562" s="58" t="s">
        <v>1334</v>
      </c>
      <c r="B562" s="59" t="s">
        <v>1335</v>
      </c>
      <c r="C562">
        <v>5</v>
      </c>
      <c r="D562" t="str">
        <f>+VLOOKUP(AtecoCrisi[[#This Row],[COD. CRISI]],Tabella139[],2,0)</f>
        <v>F42) Ingegneria civile; F43) Costruzioni specializzate</v>
      </c>
      <c r="E562" s="53">
        <f t="shared" si="56"/>
        <v>2.8000000000000001E-2</v>
      </c>
      <c r="F562" s="53">
        <f t="shared" si="57"/>
        <v>5.2999999999999999E-2</v>
      </c>
      <c r="G562" s="53">
        <f t="shared" si="58"/>
        <v>1.0109999999999999</v>
      </c>
      <c r="H562" s="53">
        <f t="shared" si="59"/>
        <v>1.4E-2</v>
      </c>
      <c r="I562" s="53">
        <f t="shared" si="60"/>
        <v>5.2999999999999999E-2</v>
      </c>
      <c r="L562" t="s">
        <v>1429</v>
      </c>
      <c r="M562" t="str">
        <f t="shared" si="62"/>
        <v>Intermediari del commercio di parti ed accessori di motocicli e ciclomotori</v>
      </c>
      <c r="N562" t="str">
        <f t="shared" si="61"/>
        <v>G45) Commercio autoveicoli; G46) Comm. Ingrosso; D) Distr. Energia/gas</v>
      </c>
    </row>
    <row r="563" spans="1:14" ht="25.5">
      <c r="A563" s="58" t="s">
        <v>1336</v>
      </c>
      <c r="B563" s="59" t="s">
        <v>1337</v>
      </c>
      <c r="C563">
        <v>5</v>
      </c>
      <c r="D563" t="str">
        <f>+VLOOKUP(AtecoCrisi[[#This Row],[COD. CRISI]],Tabella139[],2,0)</f>
        <v>F42) Ingegneria civile; F43) Costruzioni specializzate</v>
      </c>
      <c r="E563" s="53">
        <f t="shared" si="56"/>
        <v>2.8000000000000001E-2</v>
      </c>
      <c r="F563" s="53">
        <f t="shared" si="57"/>
        <v>5.2999999999999999E-2</v>
      </c>
      <c r="G563" s="53">
        <f t="shared" si="58"/>
        <v>1.0109999999999999</v>
      </c>
      <c r="H563" s="53">
        <f t="shared" si="59"/>
        <v>1.4E-2</v>
      </c>
      <c r="I563" s="53">
        <f t="shared" si="60"/>
        <v>5.2999999999999999E-2</v>
      </c>
      <c r="L563" t="s">
        <v>1431</v>
      </c>
      <c r="M563" t="str">
        <f t="shared" si="62"/>
        <v>Manutenzione e riparazione di motocicli e ciclomotori (inclusi i pneumatici)</v>
      </c>
      <c r="N563" t="str">
        <f t="shared" si="61"/>
        <v>G45) Commercio autoveicoli; G46) Comm. Ingrosso; D) Distr. Energia/gas</v>
      </c>
    </row>
    <row r="564" spans="1:14" ht="51">
      <c r="A564" s="58" t="s">
        <v>1338</v>
      </c>
      <c r="B564" s="59" t="s">
        <v>1339</v>
      </c>
      <c r="C564">
        <v>5</v>
      </c>
      <c r="D564" t="str">
        <f>+VLOOKUP(AtecoCrisi[[#This Row],[COD. CRISI]],Tabella139[],2,0)</f>
        <v>F42) Ingegneria civile; F43) Costruzioni specializzate</v>
      </c>
      <c r="E564" s="53">
        <f t="shared" si="56"/>
        <v>2.8000000000000001E-2</v>
      </c>
      <c r="F564" s="53">
        <f t="shared" si="57"/>
        <v>5.2999999999999999E-2</v>
      </c>
      <c r="G564" s="53">
        <f t="shared" si="58"/>
        <v>1.0109999999999999</v>
      </c>
      <c r="H564" s="53">
        <f t="shared" si="59"/>
        <v>1.4E-2</v>
      </c>
      <c r="I564" s="53">
        <f t="shared" si="60"/>
        <v>5.2999999999999999E-2</v>
      </c>
      <c r="L564" t="s">
        <v>1435</v>
      </c>
      <c r="M564" t="str">
        <f t="shared" si="62"/>
        <v>Agenti e rappresentanti di materie prime agricole</v>
      </c>
      <c r="N564" t="str">
        <f t="shared" si="61"/>
        <v>G45) Commercio autoveicoli; G46) Comm. Ingrosso; D) Distr. Energia/gas</v>
      </c>
    </row>
    <row r="565" spans="1:14" ht="51">
      <c r="A565" s="58" t="s">
        <v>1340</v>
      </c>
      <c r="B565" s="59" t="s">
        <v>1341</v>
      </c>
      <c r="C565">
        <v>5</v>
      </c>
      <c r="D565" t="str">
        <f>+VLOOKUP(AtecoCrisi[[#This Row],[COD. CRISI]],Tabella139[],2,0)</f>
        <v>F42) Ingegneria civile; F43) Costruzioni specializzate</v>
      </c>
      <c r="E565" s="53">
        <f t="shared" si="56"/>
        <v>2.8000000000000001E-2</v>
      </c>
      <c r="F565" s="53">
        <f t="shared" si="57"/>
        <v>5.2999999999999999E-2</v>
      </c>
      <c r="G565" s="53">
        <f t="shared" si="58"/>
        <v>1.0109999999999999</v>
      </c>
      <c r="H565" s="53">
        <f t="shared" si="59"/>
        <v>1.4E-2</v>
      </c>
      <c r="I565" s="53">
        <f t="shared" si="60"/>
        <v>5.2999999999999999E-2</v>
      </c>
      <c r="L565" t="s">
        <v>1437</v>
      </c>
      <c r="M565" t="str">
        <f t="shared" si="62"/>
        <v>Agenti e rappresentanti di fiori e piante</v>
      </c>
      <c r="N565" t="str">
        <f t="shared" si="61"/>
        <v>G45) Commercio autoveicoli; G46) Comm. Ingrosso; D) Distr. Energia/gas</v>
      </c>
    </row>
    <row r="566" spans="1:14" ht="38.25">
      <c r="A566" s="56" t="s">
        <v>1342</v>
      </c>
      <c r="B566" s="57" t="s">
        <v>1343</v>
      </c>
      <c r="C566">
        <v>5</v>
      </c>
      <c r="D566" t="str">
        <f>+VLOOKUP(AtecoCrisi[[#This Row],[COD. CRISI]],Tabella139[],2,0)</f>
        <v>F42) Ingegneria civile; F43) Costruzioni specializzate</v>
      </c>
      <c r="E566" s="53">
        <f t="shared" si="56"/>
        <v>2.8000000000000001E-2</v>
      </c>
      <c r="F566" s="53">
        <f t="shared" si="57"/>
        <v>5.2999999999999999E-2</v>
      </c>
      <c r="G566" s="53">
        <f t="shared" si="58"/>
        <v>1.0109999999999999</v>
      </c>
      <c r="H566" s="53">
        <f t="shared" si="59"/>
        <v>1.4E-2</v>
      </c>
      <c r="I566" s="53">
        <f t="shared" si="60"/>
        <v>5.2999999999999999E-2</v>
      </c>
      <c r="L566" t="s">
        <v>1439</v>
      </c>
      <c r="M566" t="str">
        <f t="shared" si="62"/>
        <v>Agenti e rappresentanti di animali vivi</v>
      </c>
      <c r="N566" t="str">
        <f t="shared" si="61"/>
        <v>G45) Commercio autoveicoli; G46) Comm. Ingrosso; D) Distr. Energia/gas</v>
      </c>
    </row>
    <row r="567" spans="1:14">
      <c r="A567" s="58" t="s">
        <v>1344</v>
      </c>
      <c r="B567" s="59" t="s">
        <v>1345</v>
      </c>
      <c r="C567">
        <v>5</v>
      </c>
      <c r="D567" t="str">
        <f>+VLOOKUP(AtecoCrisi[[#This Row],[COD. CRISI]],Tabella139[],2,0)</f>
        <v>F42) Ingegneria civile; F43) Costruzioni specializzate</v>
      </c>
      <c r="E567" s="53">
        <f t="shared" si="56"/>
        <v>2.8000000000000001E-2</v>
      </c>
      <c r="F567" s="53">
        <f t="shared" si="57"/>
        <v>5.2999999999999999E-2</v>
      </c>
      <c r="G567" s="53">
        <f t="shared" si="58"/>
        <v>1.0109999999999999</v>
      </c>
      <c r="H567" s="53">
        <f t="shared" si="59"/>
        <v>1.4E-2</v>
      </c>
      <c r="I567" s="53">
        <f t="shared" si="60"/>
        <v>5.2999999999999999E-2</v>
      </c>
      <c r="L567" t="s">
        <v>1441</v>
      </c>
      <c r="M567" t="str">
        <f t="shared" si="62"/>
        <v>Agenti e rappresentanti di fibre tessili gregge e semilavorate; pelli grezze</v>
      </c>
      <c r="N567" t="str">
        <f t="shared" si="61"/>
        <v>G45) Commercio autoveicoli; G46) Comm. Ingrosso; D) Distr. Energia/gas</v>
      </c>
    </row>
    <row r="568" spans="1:14" ht="51">
      <c r="A568" s="58" t="s">
        <v>1346</v>
      </c>
      <c r="B568" s="59" t="s">
        <v>1347</v>
      </c>
      <c r="C568">
        <v>5</v>
      </c>
      <c r="D568" t="str">
        <f>+VLOOKUP(AtecoCrisi[[#This Row],[COD. CRISI]],Tabella139[],2,0)</f>
        <v>F42) Ingegneria civile; F43) Costruzioni specializzate</v>
      </c>
      <c r="E568" s="53">
        <f t="shared" si="56"/>
        <v>2.8000000000000001E-2</v>
      </c>
      <c r="F568" s="53">
        <f t="shared" si="57"/>
        <v>5.2999999999999999E-2</v>
      </c>
      <c r="G568" s="53">
        <f t="shared" si="58"/>
        <v>1.0109999999999999</v>
      </c>
      <c r="H568" s="53">
        <f t="shared" si="59"/>
        <v>1.4E-2</v>
      </c>
      <c r="I568" s="53">
        <f t="shared" si="60"/>
        <v>5.2999999999999999E-2</v>
      </c>
      <c r="L568" t="s">
        <v>1443</v>
      </c>
      <c r="M568" t="str">
        <f t="shared" si="62"/>
        <v>Procacciatori d'affari di materie prime agricole, animali vivi, materie prime e semilavorati tessili; pelli grezze</v>
      </c>
      <c r="N568" t="str">
        <f t="shared" si="61"/>
        <v>G45) Commercio autoveicoli; G46) Comm. Ingrosso; D) Distr. Energia/gas</v>
      </c>
    </row>
    <row r="569" spans="1:14" ht="25.5">
      <c r="A569" s="58" t="s">
        <v>1348</v>
      </c>
      <c r="B569" s="59" t="s">
        <v>1349</v>
      </c>
      <c r="C569">
        <v>5</v>
      </c>
      <c r="D569" t="str">
        <f>+VLOOKUP(AtecoCrisi[[#This Row],[COD. CRISI]],Tabella139[],2,0)</f>
        <v>F42) Ingegneria civile; F43) Costruzioni specializzate</v>
      </c>
      <c r="E569" s="53">
        <f t="shared" si="56"/>
        <v>2.8000000000000001E-2</v>
      </c>
      <c r="F569" s="53">
        <f t="shared" si="57"/>
        <v>5.2999999999999999E-2</v>
      </c>
      <c r="G569" s="53">
        <f t="shared" si="58"/>
        <v>1.0109999999999999</v>
      </c>
      <c r="H569" s="53">
        <f t="shared" si="59"/>
        <v>1.4E-2</v>
      </c>
      <c r="I569" s="53">
        <f t="shared" si="60"/>
        <v>5.2999999999999999E-2</v>
      </c>
      <c r="L569" t="s">
        <v>1445</v>
      </c>
      <c r="M569" t="str">
        <f t="shared" si="62"/>
        <v>Mediatori in materie prime agricole, materie prime e semilavorati tessili; pelli grezze</v>
      </c>
      <c r="N569" t="str">
        <f t="shared" si="61"/>
        <v>G45) Commercio autoveicoli; G46) Comm. Ingrosso; D) Distr. Energia/gas</v>
      </c>
    </row>
    <row r="570" spans="1:14" ht="102">
      <c r="A570" s="58" t="s">
        <v>1350</v>
      </c>
      <c r="B570" s="59" t="s">
        <v>1351</v>
      </c>
      <c r="C570">
        <v>5</v>
      </c>
      <c r="D570" t="str">
        <f>+VLOOKUP(AtecoCrisi[[#This Row],[COD. CRISI]],Tabella139[],2,0)</f>
        <v>F42) Ingegneria civile; F43) Costruzioni specializzate</v>
      </c>
      <c r="E570" s="53">
        <f t="shared" si="56"/>
        <v>2.8000000000000001E-2</v>
      </c>
      <c r="F570" s="53">
        <f t="shared" si="57"/>
        <v>5.2999999999999999E-2</v>
      </c>
      <c r="G570" s="53">
        <f t="shared" si="58"/>
        <v>1.0109999999999999</v>
      </c>
      <c r="H570" s="53">
        <f t="shared" si="59"/>
        <v>1.4E-2</v>
      </c>
      <c r="I570" s="53">
        <f t="shared" si="60"/>
        <v>5.2999999999999999E-2</v>
      </c>
      <c r="L570" t="s">
        <v>1447</v>
      </c>
      <c r="M570" t="str">
        <f t="shared" si="62"/>
        <v>Mediatori in animali vivi</v>
      </c>
      <c r="N570" t="str">
        <f t="shared" si="61"/>
        <v>G45) Commercio autoveicoli; G46) Comm. Ingrosso; D) Distr. Energia/gas</v>
      </c>
    </row>
    <row r="571" spans="1:14" ht="63.75">
      <c r="A571" s="58" t="s">
        <v>1352</v>
      </c>
      <c r="B571" s="59" t="s">
        <v>1353</v>
      </c>
      <c r="C571">
        <v>5</v>
      </c>
      <c r="D571" t="str">
        <f>+VLOOKUP(AtecoCrisi[[#This Row],[COD. CRISI]],Tabella139[],2,0)</f>
        <v>F42) Ingegneria civile; F43) Costruzioni specializzate</v>
      </c>
      <c r="E571" s="53">
        <f t="shared" si="56"/>
        <v>2.8000000000000001E-2</v>
      </c>
      <c r="F571" s="53">
        <f t="shared" si="57"/>
        <v>5.2999999999999999E-2</v>
      </c>
      <c r="G571" s="53">
        <f t="shared" si="58"/>
        <v>1.0109999999999999</v>
      </c>
      <c r="H571" s="53">
        <f t="shared" si="59"/>
        <v>1.4E-2</v>
      </c>
      <c r="I571" s="53">
        <f t="shared" si="60"/>
        <v>5.2999999999999999E-2</v>
      </c>
      <c r="L571" t="s">
        <v>1449</v>
      </c>
      <c r="M571" t="str">
        <f t="shared" si="62"/>
        <v>Agenti e rappresentanti di carburanti, gpl, gas in bombole e simili; lubrificanti</v>
      </c>
      <c r="N571" t="str">
        <f t="shared" si="61"/>
        <v>G45) Commercio autoveicoli; G46) Comm. Ingrosso; D) Distr. Energia/gas</v>
      </c>
    </row>
    <row r="572" spans="1:14" ht="140.25">
      <c r="A572" s="58" t="s">
        <v>1354</v>
      </c>
      <c r="B572" s="59" t="s">
        <v>1355</v>
      </c>
      <c r="C572">
        <v>5</v>
      </c>
      <c r="D572" t="str">
        <f>+VLOOKUP(AtecoCrisi[[#This Row],[COD. CRISI]],Tabella139[],2,0)</f>
        <v>F42) Ingegneria civile; F43) Costruzioni specializzate</v>
      </c>
      <c r="E572" s="53">
        <f t="shared" si="56"/>
        <v>2.8000000000000001E-2</v>
      </c>
      <c r="F572" s="53">
        <f t="shared" si="57"/>
        <v>5.2999999999999999E-2</v>
      </c>
      <c r="G572" s="53">
        <f t="shared" si="58"/>
        <v>1.0109999999999999</v>
      </c>
      <c r="H572" s="53">
        <f t="shared" si="59"/>
        <v>1.4E-2</v>
      </c>
      <c r="I572" s="53">
        <f t="shared" si="60"/>
        <v>5.2999999999999999E-2</v>
      </c>
      <c r="L572" t="s">
        <v>1451</v>
      </c>
      <c r="M572" t="str">
        <f t="shared" si="62"/>
        <v>Agenti e rappresentanti di combustibili solidi</v>
      </c>
      <c r="N572" t="str">
        <f t="shared" si="61"/>
        <v>G45) Commercio autoveicoli; G46) Comm. Ingrosso; D) Distr. Energia/gas</v>
      </c>
    </row>
    <row r="573" spans="1:14" ht="140.25">
      <c r="A573" s="58" t="s">
        <v>1356</v>
      </c>
      <c r="B573" s="59" t="s">
        <v>1357</v>
      </c>
      <c r="C573">
        <v>5</v>
      </c>
      <c r="D573" t="str">
        <f>+VLOOKUP(AtecoCrisi[[#This Row],[COD. CRISI]],Tabella139[],2,0)</f>
        <v>F42) Ingegneria civile; F43) Costruzioni specializzate</v>
      </c>
      <c r="E573" s="53">
        <f t="shared" si="56"/>
        <v>2.8000000000000001E-2</v>
      </c>
      <c r="F573" s="53">
        <f t="shared" si="57"/>
        <v>5.2999999999999999E-2</v>
      </c>
      <c r="G573" s="53">
        <f t="shared" si="58"/>
        <v>1.0109999999999999</v>
      </c>
      <c r="H573" s="53">
        <f t="shared" si="59"/>
        <v>1.4E-2</v>
      </c>
      <c r="I573" s="53">
        <f t="shared" si="60"/>
        <v>5.2999999999999999E-2</v>
      </c>
      <c r="L573" t="s">
        <v>1453</v>
      </c>
      <c r="M573" t="str">
        <f t="shared" si="62"/>
        <v>Agenti e rappresentanti di minerali, metalli e prodotti semilavorati</v>
      </c>
      <c r="N573" t="str">
        <f t="shared" si="61"/>
        <v>G45) Commercio autoveicoli; G46) Comm. Ingrosso; D) Distr. Energia/gas</v>
      </c>
    </row>
    <row r="574" spans="1:14" ht="76.5">
      <c r="A574" s="58" t="s">
        <v>1358</v>
      </c>
      <c r="B574" s="59" t="s">
        <v>1359</v>
      </c>
      <c r="C574">
        <v>5</v>
      </c>
      <c r="D574" t="str">
        <f>+VLOOKUP(AtecoCrisi[[#This Row],[COD. CRISI]],Tabella139[],2,0)</f>
        <v>F42) Ingegneria civile; F43) Costruzioni specializzate</v>
      </c>
      <c r="E574" s="53">
        <f t="shared" si="56"/>
        <v>2.8000000000000001E-2</v>
      </c>
      <c r="F574" s="53">
        <f t="shared" si="57"/>
        <v>5.2999999999999999E-2</v>
      </c>
      <c r="G574" s="53">
        <f t="shared" si="58"/>
        <v>1.0109999999999999</v>
      </c>
      <c r="H574" s="53">
        <f t="shared" si="59"/>
        <v>1.4E-2</v>
      </c>
      <c r="I574" s="53">
        <f t="shared" si="60"/>
        <v>5.2999999999999999E-2</v>
      </c>
      <c r="L574" t="s">
        <v>1455</v>
      </c>
      <c r="M574" t="str">
        <f t="shared" si="62"/>
        <v>Agenti e rappresentanti di prodotti chimici per l'industria</v>
      </c>
      <c r="N574" t="str">
        <f t="shared" si="61"/>
        <v>G45) Commercio autoveicoli; G46) Comm. Ingrosso; D) Distr. Energia/gas</v>
      </c>
    </row>
    <row r="575" spans="1:14" ht="102">
      <c r="A575" s="58" t="s">
        <v>1360</v>
      </c>
      <c r="B575" s="59" t="s">
        <v>1361</v>
      </c>
      <c r="C575">
        <v>5</v>
      </c>
      <c r="D575" t="str">
        <f>+VLOOKUP(AtecoCrisi[[#This Row],[COD. CRISI]],Tabella139[],2,0)</f>
        <v>F42) Ingegneria civile; F43) Costruzioni specializzate</v>
      </c>
      <c r="E575" s="53">
        <f t="shared" si="56"/>
        <v>2.8000000000000001E-2</v>
      </c>
      <c r="F575" s="53">
        <f t="shared" si="57"/>
        <v>5.2999999999999999E-2</v>
      </c>
      <c r="G575" s="53">
        <f t="shared" si="58"/>
        <v>1.0109999999999999</v>
      </c>
      <c r="H575" s="53">
        <f t="shared" si="59"/>
        <v>1.4E-2</v>
      </c>
      <c r="I575" s="53">
        <f t="shared" si="60"/>
        <v>5.2999999999999999E-2</v>
      </c>
      <c r="L575" t="s">
        <v>1457</v>
      </c>
      <c r="M575" t="str">
        <f t="shared" si="62"/>
        <v>Agenti e rappresentanti di prodotti chimici per l'agricoltura (inclusi i fertilizzanti)</v>
      </c>
      <c r="N575" t="str">
        <f t="shared" si="61"/>
        <v>G45) Commercio autoveicoli; G46) Comm. Ingrosso; D) Distr. Energia/gas</v>
      </c>
    </row>
    <row r="576" spans="1:14" ht="76.5">
      <c r="A576" s="58" t="s">
        <v>1362</v>
      </c>
      <c r="B576" s="59" t="s">
        <v>1363</v>
      </c>
      <c r="C576">
        <v>5</v>
      </c>
      <c r="D576" t="str">
        <f>+VLOOKUP(AtecoCrisi[[#This Row],[COD. CRISI]],Tabella139[],2,0)</f>
        <v>F42) Ingegneria civile; F43) Costruzioni specializzate</v>
      </c>
      <c r="E576" s="53">
        <f t="shared" si="56"/>
        <v>2.8000000000000001E-2</v>
      </c>
      <c r="F576" s="53">
        <f t="shared" si="57"/>
        <v>5.2999999999999999E-2</v>
      </c>
      <c r="G576" s="53">
        <f t="shared" si="58"/>
        <v>1.0109999999999999</v>
      </c>
      <c r="H576" s="53">
        <f t="shared" si="59"/>
        <v>1.4E-2</v>
      </c>
      <c r="I576" s="53">
        <f t="shared" si="60"/>
        <v>5.2999999999999999E-2</v>
      </c>
      <c r="L576" t="s">
        <v>1459</v>
      </c>
      <c r="M576" t="str">
        <f t="shared" si="62"/>
        <v>Procacciatori d'affari di combustibili, minerali, metalli e prodotti chimici</v>
      </c>
      <c r="N576" t="str">
        <f t="shared" si="61"/>
        <v>G45) Commercio autoveicoli; G46) Comm. Ingrosso; D) Distr. Energia/gas</v>
      </c>
    </row>
    <row r="577" spans="1:14" ht="76.5">
      <c r="A577" s="58" t="s">
        <v>1364</v>
      </c>
      <c r="B577" s="59" t="s">
        <v>1365</v>
      </c>
      <c r="C577">
        <v>5</v>
      </c>
      <c r="D577" t="str">
        <f>+VLOOKUP(AtecoCrisi[[#This Row],[COD. CRISI]],Tabella139[],2,0)</f>
        <v>F42) Ingegneria civile; F43) Costruzioni specializzate</v>
      </c>
      <c r="E577" s="53">
        <f t="shared" si="56"/>
        <v>2.8000000000000001E-2</v>
      </c>
      <c r="F577" s="53">
        <f t="shared" si="57"/>
        <v>5.2999999999999999E-2</v>
      </c>
      <c r="G577" s="53">
        <f t="shared" si="58"/>
        <v>1.0109999999999999</v>
      </c>
      <c r="H577" s="53">
        <f t="shared" si="59"/>
        <v>1.4E-2</v>
      </c>
      <c r="I577" s="53">
        <f t="shared" si="60"/>
        <v>5.2999999999999999E-2</v>
      </c>
      <c r="L577" t="s">
        <v>1461</v>
      </c>
      <c r="M577" t="str">
        <f t="shared" si="62"/>
        <v>Mediatori in combustibili, minerali, metalli e prodotti chimici</v>
      </c>
      <c r="N577" t="str">
        <f t="shared" si="61"/>
        <v>G45) Commercio autoveicoli; G46) Comm. Ingrosso; D) Distr. Energia/gas</v>
      </c>
    </row>
    <row r="578" spans="1:14" ht="63.75">
      <c r="A578" s="58" t="s">
        <v>1366</v>
      </c>
      <c r="B578" s="59" t="s">
        <v>1367</v>
      </c>
      <c r="C578">
        <v>5</v>
      </c>
      <c r="D578" t="str">
        <f>+VLOOKUP(AtecoCrisi[[#This Row],[COD. CRISI]],Tabella139[],2,0)</f>
        <v>F42) Ingegneria civile; F43) Costruzioni specializzate</v>
      </c>
      <c r="E578" s="53">
        <f t="shared" ref="E578:E641" si="63">+VLOOKUP(C578,$R$2:$X$11,3,FALSE)</f>
        <v>2.8000000000000001E-2</v>
      </c>
      <c r="F578" s="53">
        <f t="shared" ref="F578:F641" si="64">+VLOOKUP(C578,$R$2:$X$11,4,FALSE)</f>
        <v>5.2999999999999999E-2</v>
      </c>
      <c r="G578" s="53">
        <f t="shared" ref="G578:G641" si="65">+VLOOKUP(C578,$R$2:$X$11,5,FALSE)</f>
        <v>1.0109999999999999</v>
      </c>
      <c r="H578" s="53">
        <f t="shared" ref="H578:H641" si="66">+VLOOKUP(C578,$R$2:$X$11,6,FALSE)</f>
        <v>1.4E-2</v>
      </c>
      <c r="I578" s="53">
        <f t="shared" ref="I578:I641" si="67">+VLOOKUP(C578,$R$2:$X$11,7,FALSE)</f>
        <v>5.2999999999999999E-2</v>
      </c>
      <c r="L578" t="s">
        <v>1463</v>
      </c>
      <c r="M578" t="str">
        <f t="shared" si="62"/>
        <v>Agenti e rappresentanti di legname, semilavorati in legno e legno artificiale</v>
      </c>
      <c r="N578" t="str">
        <f t="shared" ref="N578:N641" si="68">+VLOOKUP(L578,A:D,4,0)</f>
        <v>G45) Commercio autoveicoli; G46) Comm. Ingrosso; D) Distr. Energia/gas</v>
      </c>
    </row>
    <row r="579" spans="1:14" ht="51">
      <c r="A579" s="58" t="s">
        <v>1368</v>
      </c>
      <c r="B579" s="59" t="s">
        <v>1369</v>
      </c>
      <c r="C579">
        <v>5</v>
      </c>
      <c r="D579" t="str">
        <f>+VLOOKUP(AtecoCrisi[[#This Row],[COD. CRISI]],Tabella139[],2,0)</f>
        <v>F42) Ingegneria civile; F43) Costruzioni specializzate</v>
      </c>
      <c r="E579" s="53">
        <f t="shared" si="63"/>
        <v>2.8000000000000001E-2</v>
      </c>
      <c r="F579" s="53">
        <f t="shared" si="64"/>
        <v>5.2999999999999999E-2</v>
      </c>
      <c r="G579" s="53">
        <f t="shared" si="65"/>
        <v>1.0109999999999999</v>
      </c>
      <c r="H579" s="53">
        <f t="shared" si="66"/>
        <v>1.4E-2</v>
      </c>
      <c r="I579" s="53">
        <f t="shared" si="67"/>
        <v>5.2999999999999999E-2</v>
      </c>
      <c r="L579" t="s">
        <v>1465</v>
      </c>
      <c r="M579" t="str">
        <f t="shared" ref="M579:M642" si="69">+VLOOKUP(L579,A:B,2,0)</f>
        <v>Agenti e rappresentanti di materiale da costruzione (inclusi gli infissi e gli articoli igienico-sanitari); vetro piano</v>
      </c>
      <c r="N579" t="str">
        <f t="shared" si="68"/>
        <v>G45) Commercio autoveicoli; G46) Comm. Ingrosso; D) Distr. Energia/gas</v>
      </c>
    </row>
    <row r="580" spans="1:14" ht="38.25">
      <c r="A580" s="58" t="s">
        <v>1370</v>
      </c>
      <c r="B580" s="59" t="s">
        <v>1371</v>
      </c>
      <c r="C580">
        <v>5</v>
      </c>
      <c r="D580" t="str">
        <f>+VLOOKUP(AtecoCrisi[[#This Row],[COD. CRISI]],Tabella139[],2,0)</f>
        <v>F42) Ingegneria civile; F43) Costruzioni specializzate</v>
      </c>
      <c r="E580" s="53">
        <f t="shared" si="63"/>
        <v>2.8000000000000001E-2</v>
      </c>
      <c r="F580" s="53">
        <f t="shared" si="64"/>
        <v>5.2999999999999999E-2</v>
      </c>
      <c r="G580" s="53">
        <f t="shared" si="65"/>
        <v>1.0109999999999999</v>
      </c>
      <c r="H580" s="53">
        <f t="shared" si="66"/>
        <v>1.4E-2</v>
      </c>
      <c r="I580" s="53">
        <f t="shared" si="67"/>
        <v>5.2999999999999999E-2</v>
      </c>
      <c r="L580" t="s">
        <v>1467</v>
      </c>
      <c r="M580" t="str">
        <f t="shared" si="69"/>
        <v>Agenti e rappresentanti di apparecchi ed accessori per riscaldamento e condizionamento e altri prodotti similari</v>
      </c>
      <c r="N580" t="str">
        <f t="shared" si="68"/>
        <v>G45) Commercio autoveicoli; G46) Comm. Ingrosso; D) Distr. Energia/gas</v>
      </c>
    </row>
    <row r="581" spans="1:14" ht="25.5">
      <c r="A581" s="58" t="s">
        <v>1372</v>
      </c>
      <c r="B581" s="59" t="s">
        <v>1373</v>
      </c>
      <c r="C581">
        <v>5</v>
      </c>
      <c r="D581" t="str">
        <f>+VLOOKUP(AtecoCrisi[[#This Row],[COD. CRISI]],Tabella139[],2,0)</f>
        <v>F42) Ingegneria civile; F43) Costruzioni specializzate</v>
      </c>
      <c r="E581" s="53">
        <f t="shared" si="63"/>
        <v>2.8000000000000001E-2</v>
      </c>
      <c r="F581" s="53">
        <f t="shared" si="64"/>
        <v>5.2999999999999999E-2</v>
      </c>
      <c r="G581" s="53">
        <f t="shared" si="65"/>
        <v>1.0109999999999999</v>
      </c>
      <c r="H581" s="53">
        <f t="shared" si="66"/>
        <v>1.4E-2</v>
      </c>
      <c r="I581" s="53">
        <f t="shared" si="67"/>
        <v>5.2999999999999999E-2</v>
      </c>
      <c r="L581" t="s">
        <v>1469</v>
      </c>
      <c r="M581" t="str">
        <f t="shared" si="69"/>
        <v>Procacciatori d'affari di legname e materiali da costruzione</v>
      </c>
      <c r="N581" t="str">
        <f t="shared" si="68"/>
        <v>G45) Commercio autoveicoli; G46) Comm. Ingrosso; D) Distr. Energia/gas</v>
      </c>
    </row>
    <row r="582" spans="1:14" ht="38.25">
      <c r="A582" s="58" t="s">
        <v>1374</v>
      </c>
      <c r="B582" s="59" t="s">
        <v>1375</v>
      </c>
      <c r="C582">
        <v>5</v>
      </c>
      <c r="D582" t="str">
        <f>+VLOOKUP(AtecoCrisi[[#This Row],[COD. CRISI]],Tabella139[],2,0)</f>
        <v>F42) Ingegneria civile; F43) Costruzioni specializzate</v>
      </c>
      <c r="E582" s="53">
        <f t="shared" si="63"/>
        <v>2.8000000000000001E-2</v>
      </c>
      <c r="F582" s="53">
        <f t="shared" si="64"/>
        <v>5.2999999999999999E-2</v>
      </c>
      <c r="G582" s="53">
        <f t="shared" si="65"/>
        <v>1.0109999999999999</v>
      </c>
      <c r="H582" s="53">
        <f t="shared" si="66"/>
        <v>1.4E-2</v>
      </c>
      <c r="I582" s="53">
        <f t="shared" si="67"/>
        <v>5.2999999999999999E-2</v>
      </c>
      <c r="L582" t="s">
        <v>1471</v>
      </c>
      <c r="M582" t="str">
        <f t="shared" si="69"/>
        <v>Mediatori in legname e materiali da costruzione</v>
      </c>
      <c r="N582" t="str">
        <f t="shared" si="68"/>
        <v>G45) Commercio autoveicoli; G46) Comm. Ingrosso; D) Distr. Energia/gas</v>
      </c>
    </row>
    <row r="583" spans="1:14" ht="51">
      <c r="A583" s="58" t="s">
        <v>1376</v>
      </c>
      <c r="B583" s="59" t="s">
        <v>1377</v>
      </c>
      <c r="C583">
        <v>5</v>
      </c>
      <c r="D583" t="str">
        <f>+VLOOKUP(AtecoCrisi[[#This Row],[COD. CRISI]],Tabella139[],2,0)</f>
        <v>F42) Ingegneria civile; F43) Costruzioni specializzate</v>
      </c>
      <c r="E583" s="53">
        <f t="shared" si="63"/>
        <v>2.8000000000000001E-2</v>
      </c>
      <c r="F583" s="53">
        <f t="shared" si="64"/>
        <v>5.2999999999999999E-2</v>
      </c>
      <c r="G583" s="53">
        <f t="shared" si="65"/>
        <v>1.0109999999999999</v>
      </c>
      <c r="H583" s="53">
        <f t="shared" si="66"/>
        <v>1.4E-2</v>
      </c>
      <c r="I583" s="53">
        <f t="shared" si="67"/>
        <v>5.2999999999999999E-2</v>
      </c>
      <c r="L583" t="s">
        <v>1473</v>
      </c>
      <c r="M583" t="str">
        <f t="shared" si="69"/>
        <v>Agenti e rappresentanti di macchine, attrezzature ed impianti per l'industria ed il commercio; materiale e apparecchi elettrici ed elettronici per uso non domestico</v>
      </c>
      <c r="N583" t="str">
        <f t="shared" si="68"/>
        <v>G45) Commercio autoveicoli; G46) Comm. Ingrosso; D) Distr. Energia/gas</v>
      </c>
    </row>
    <row r="584" spans="1:14" ht="25.5">
      <c r="A584" s="58" t="s">
        <v>1378</v>
      </c>
      <c r="B584" s="59" t="s">
        <v>1379</v>
      </c>
      <c r="C584">
        <v>5</v>
      </c>
      <c r="D584" t="str">
        <f>+VLOOKUP(AtecoCrisi[[#This Row],[COD. CRISI]],Tabella139[],2,0)</f>
        <v>F42) Ingegneria civile; F43) Costruzioni specializzate</v>
      </c>
      <c r="E584" s="53">
        <f t="shared" si="63"/>
        <v>2.8000000000000001E-2</v>
      </c>
      <c r="F584" s="53">
        <f t="shared" si="64"/>
        <v>5.2999999999999999E-2</v>
      </c>
      <c r="G584" s="53">
        <f t="shared" si="65"/>
        <v>1.0109999999999999</v>
      </c>
      <c r="H584" s="53">
        <f t="shared" si="66"/>
        <v>1.4E-2</v>
      </c>
      <c r="I584" s="53">
        <f t="shared" si="67"/>
        <v>5.2999999999999999E-2</v>
      </c>
      <c r="L584" t="s">
        <v>1475</v>
      </c>
      <c r="M584" t="str">
        <f t="shared" si="69"/>
        <v>Agenti e rappresentanti di macchine per costruzioni edili e stradali</v>
      </c>
      <c r="N584" t="str">
        <f t="shared" si="68"/>
        <v>G45) Commercio autoveicoli; G46) Comm. Ingrosso; D) Distr. Energia/gas</v>
      </c>
    </row>
    <row r="585" spans="1:14" ht="38.25">
      <c r="A585" s="58" t="s">
        <v>1380</v>
      </c>
      <c r="B585" s="59" t="s">
        <v>1381</v>
      </c>
      <c r="C585">
        <v>5</v>
      </c>
      <c r="D585" t="str">
        <f>+VLOOKUP(AtecoCrisi[[#This Row],[COD. CRISI]],Tabella139[],2,0)</f>
        <v>F42) Ingegneria civile; F43) Costruzioni specializzate</v>
      </c>
      <c r="E585" s="53">
        <f t="shared" si="63"/>
        <v>2.8000000000000001E-2</v>
      </c>
      <c r="F585" s="53">
        <f t="shared" si="64"/>
        <v>5.2999999999999999E-2</v>
      </c>
      <c r="G585" s="53">
        <f t="shared" si="65"/>
        <v>1.0109999999999999</v>
      </c>
      <c r="H585" s="53">
        <f t="shared" si="66"/>
        <v>1.4E-2</v>
      </c>
      <c r="I585" s="53">
        <f t="shared" si="67"/>
        <v>5.2999999999999999E-2</v>
      </c>
      <c r="L585" t="s">
        <v>1477</v>
      </c>
      <c r="M585" t="str">
        <f t="shared" si="69"/>
        <v>Agenti e rappresentanti di macchine, attrezzature per ufficio, attrezzature per le telecomunicazioni, computer e loro periferiche</v>
      </c>
      <c r="N585" t="str">
        <f t="shared" si="68"/>
        <v>G45) Commercio autoveicoli; G46) Comm. Ingrosso; D) Distr. Energia/gas</v>
      </c>
    </row>
    <row r="586" spans="1:14" ht="51">
      <c r="A586" s="58" t="s">
        <v>1382</v>
      </c>
      <c r="B586" s="59" t="s">
        <v>1383</v>
      </c>
      <c r="C586">
        <v>5</v>
      </c>
      <c r="D586" t="str">
        <f>+VLOOKUP(AtecoCrisi[[#This Row],[COD. CRISI]],Tabella139[],2,0)</f>
        <v>F42) Ingegneria civile; F43) Costruzioni specializzate</v>
      </c>
      <c r="E586" s="53">
        <f t="shared" si="63"/>
        <v>2.8000000000000001E-2</v>
      </c>
      <c r="F586" s="53">
        <f t="shared" si="64"/>
        <v>5.2999999999999999E-2</v>
      </c>
      <c r="G586" s="53">
        <f t="shared" si="65"/>
        <v>1.0109999999999999</v>
      </c>
      <c r="H586" s="53">
        <f t="shared" si="66"/>
        <v>1.4E-2</v>
      </c>
      <c r="I586" s="53">
        <f t="shared" si="67"/>
        <v>5.2999999999999999E-2</v>
      </c>
      <c r="L586" t="s">
        <v>1479</v>
      </c>
      <c r="M586" t="str">
        <f t="shared" si="69"/>
        <v>Agenti e rappresentanti di macchine ed attrezzature per uso agricolo (inclusi i trattori)</v>
      </c>
      <c r="N586" t="str">
        <f t="shared" si="68"/>
        <v>G45) Commercio autoveicoli; G46) Comm. Ingrosso; D) Distr. Energia/gas</v>
      </c>
    </row>
    <row r="587" spans="1:14" ht="51">
      <c r="A587" s="58" t="s">
        <v>1384</v>
      </c>
      <c r="B587" s="59" t="s">
        <v>1385</v>
      </c>
      <c r="C587">
        <v>5</v>
      </c>
      <c r="D587" t="str">
        <f>+VLOOKUP(AtecoCrisi[[#This Row],[COD. CRISI]],Tabella139[],2,0)</f>
        <v>F42) Ingegneria civile; F43) Costruzioni specializzate</v>
      </c>
      <c r="E587" s="53">
        <f t="shared" si="63"/>
        <v>2.8000000000000001E-2</v>
      </c>
      <c r="F587" s="53">
        <f t="shared" si="64"/>
        <v>5.2999999999999999E-2</v>
      </c>
      <c r="G587" s="53">
        <f t="shared" si="65"/>
        <v>1.0109999999999999</v>
      </c>
      <c r="H587" s="53">
        <f t="shared" si="66"/>
        <v>1.4E-2</v>
      </c>
      <c r="I587" s="53">
        <f t="shared" si="67"/>
        <v>5.2999999999999999E-2</v>
      </c>
      <c r="L587" t="s">
        <v>1481</v>
      </c>
      <c r="M587" t="str">
        <f t="shared" si="69"/>
        <v>Agenti e rappresentanti di navi, aeromobili e altri veicoli (esclusi autoveicoli, motocicli, ciclomotori e biciclette)</v>
      </c>
      <c r="N587" t="str">
        <f t="shared" si="68"/>
        <v>G45) Commercio autoveicoli; G46) Comm. Ingrosso; D) Distr. Energia/gas</v>
      </c>
    </row>
    <row r="588" spans="1:14" ht="25.5">
      <c r="A588" s="58" t="s">
        <v>1386</v>
      </c>
      <c r="B588" s="59" t="s">
        <v>1387</v>
      </c>
      <c r="C588">
        <v>5</v>
      </c>
      <c r="D588" t="str">
        <f>+VLOOKUP(AtecoCrisi[[#This Row],[COD. CRISI]],Tabella139[],2,0)</f>
        <v>F42) Ingegneria civile; F43) Costruzioni specializzate</v>
      </c>
      <c r="E588" s="53">
        <f t="shared" si="63"/>
        <v>2.8000000000000001E-2</v>
      </c>
      <c r="F588" s="53">
        <f t="shared" si="64"/>
        <v>5.2999999999999999E-2</v>
      </c>
      <c r="G588" s="53">
        <f t="shared" si="65"/>
        <v>1.0109999999999999</v>
      </c>
      <c r="H588" s="53">
        <f t="shared" si="66"/>
        <v>1.4E-2</v>
      </c>
      <c r="I588" s="53">
        <f t="shared" si="67"/>
        <v>5.2999999999999999E-2</v>
      </c>
      <c r="L588" t="s">
        <v>1483</v>
      </c>
      <c r="M588" t="str">
        <f t="shared" si="69"/>
        <v>Procacciatori d'affari di macchinari, impianti industriali, navi e aeromobili, macchine agricole, macchine per ufficio, attrezzature per le telecomunicazioni, computer e loro periferiche</v>
      </c>
      <c r="N588" t="str">
        <f t="shared" si="68"/>
        <v>G45) Commercio autoveicoli; G46) Comm. Ingrosso; D) Distr. Energia/gas</v>
      </c>
    </row>
    <row r="589" spans="1:14" ht="63.75">
      <c r="A589" s="58" t="s">
        <v>1388</v>
      </c>
      <c r="B589" s="59" t="s">
        <v>1389</v>
      </c>
      <c r="C589">
        <v>5</v>
      </c>
      <c r="D589" t="str">
        <f>+VLOOKUP(AtecoCrisi[[#This Row],[COD. CRISI]],Tabella139[],2,0)</f>
        <v>F42) Ingegneria civile; F43) Costruzioni specializzate</v>
      </c>
      <c r="E589" s="53">
        <f t="shared" si="63"/>
        <v>2.8000000000000001E-2</v>
      </c>
      <c r="F589" s="53">
        <f t="shared" si="64"/>
        <v>5.2999999999999999E-2</v>
      </c>
      <c r="G589" s="53">
        <f t="shared" si="65"/>
        <v>1.0109999999999999</v>
      </c>
      <c r="H589" s="53">
        <f t="shared" si="66"/>
        <v>1.4E-2</v>
      </c>
      <c r="I589" s="53">
        <f t="shared" si="67"/>
        <v>5.2999999999999999E-2</v>
      </c>
      <c r="L589" t="s">
        <v>1485</v>
      </c>
      <c r="M589" t="str">
        <f t="shared" si="69"/>
        <v>Mediatori in macchinari, impianti industriali, navi e aeromobili, macchine agricole, macchine per ufficio, attrezzature per le telecomunicazioni, computer e loro periferiche</v>
      </c>
      <c r="N589" t="str">
        <f t="shared" si="68"/>
        <v>G45) Commercio autoveicoli; G46) Comm. Ingrosso; D) Distr. Energia/gas</v>
      </c>
    </row>
    <row r="590" spans="1:14" ht="63.75">
      <c r="A590" s="58" t="s">
        <v>1390</v>
      </c>
      <c r="B590" s="59" t="s">
        <v>1391</v>
      </c>
      <c r="C590">
        <v>5</v>
      </c>
      <c r="D590" t="str">
        <f>+VLOOKUP(AtecoCrisi[[#This Row],[COD. CRISI]],Tabella139[],2,0)</f>
        <v>F42) Ingegneria civile; F43) Costruzioni specializzate</v>
      </c>
      <c r="E590" s="53">
        <f t="shared" si="63"/>
        <v>2.8000000000000001E-2</v>
      </c>
      <c r="F590" s="53">
        <f t="shared" si="64"/>
        <v>5.2999999999999999E-2</v>
      </c>
      <c r="G590" s="53">
        <f t="shared" si="65"/>
        <v>1.0109999999999999</v>
      </c>
      <c r="H590" s="53">
        <f t="shared" si="66"/>
        <v>1.4E-2</v>
      </c>
      <c r="I590" s="53">
        <f t="shared" si="67"/>
        <v>5.2999999999999999E-2</v>
      </c>
      <c r="L590" t="s">
        <v>1487</v>
      </c>
      <c r="M590" t="str">
        <f t="shared" si="69"/>
        <v>Agenti e rappresentanti di mobili in legno, metallo e materie plastiche</v>
      </c>
      <c r="N590" t="str">
        <f t="shared" si="68"/>
        <v>G45) Commercio autoveicoli; G46) Comm. Ingrosso; D) Distr. Energia/gas</v>
      </c>
    </row>
    <row r="591" spans="1:14" ht="38.25">
      <c r="A591" s="58" t="s">
        <v>1392</v>
      </c>
      <c r="B591" s="59" t="s">
        <v>1393</v>
      </c>
      <c r="C591">
        <v>5</v>
      </c>
      <c r="D591" t="str">
        <f>+VLOOKUP(AtecoCrisi[[#This Row],[COD. CRISI]],Tabella139[],2,0)</f>
        <v>F42) Ingegneria civile; F43) Costruzioni specializzate</v>
      </c>
      <c r="E591" s="53">
        <f t="shared" si="63"/>
        <v>2.8000000000000001E-2</v>
      </c>
      <c r="F591" s="53">
        <f t="shared" si="64"/>
        <v>5.2999999999999999E-2</v>
      </c>
      <c r="G591" s="53">
        <f t="shared" si="65"/>
        <v>1.0109999999999999</v>
      </c>
      <c r="H591" s="53">
        <f t="shared" si="66"/>
        <v>1.4E-2</v>
      </c>
      <c r="I591" s="53">
        <f t="shared" si="67"/>
        <v>5.2999999999999999E-2</v>
      </c>
      <c r="L591" t="s">
        <v>1489</v>
      </c>
      <c r="M591" t="str">
        <f t="shared" si="69"/>
        <v>Agenti e rappresentanti di articoli di ferramenta e di bricolage</v>
      </c>
      <c r="N591" t="str">
        <f t="shared" si="68"/>
        <v>G45) Commercio autoveicoli; G46) Comm. Ingrosso; D) Distr. Energia/gas</v>
      </c>
    </row>
    <row r="592" spans="1:14" ht="141.75">
      <c r="A592" s="51" t="s">
        <v>10</v>
      </c>
      <c r="B592" s="52" t="s">
        <v>1394</v>
      </c>
      <c r="C592">
        <v>6</v>
      </c>
      <c r="D592" t="str">
        <f>+VLOOKUP(AtecoCrisi[[#This Row],[COD. CRISI]],Tabella139[],2,0)</f>
        <v>G45) Commercio autoveicoli; G46) Comm. Ingrosso; D) Distr. Energia/gas</v>
      </c>
      <c r="E592" s="53">
        <f t="shared" si="63"/>
        <v>2.1000000000000001E-2</v>
      </c>
      <c r="F592" s="53">
        <f t="shared" si="64"/>
        <v>6.3E-2</v>
      </c>
      <c r="G592" s="53">
        <f t="shared" si="65"/>
        <v>1.014</v>
      </c>
      <c r="H592" s="53">
        <f t="shared" si="66"/>
        <v>6.0000000000000001E-3</v>
      </c>
      <c r="I592" s="53">
        <f t="shared" si="67"/>
        <v>2.9000000000000001E-2</v>
      </c>
      <c r="L592" t="s">
        <v>1491</v>
      </c>
      <c r="M592" t="str">
        <f t="shared" si="69"/>
        <v>Agenti e rappresentanti di articoli casalinghi, porcellane, articoli in vetro eccetera</v>
      </c>
      <c r="N592" t="str">
        <f t="shared" si="68"/>
        <v>G45) Commercio autoveicoli; G46) Comm. Ingrosso; D) Distr. Energia/gas</v>
      </c>
    </row>
    <row r="593" spans="1:14" ht="76.5">
      <c r="A593" s="56" t="s">
        <v>1395</v>
      </c>
      <c r="B593" s="57" t="s">
        <v>1396</v>
      </c>
      <c r="C593">
        <v>6</v>
      </c>
      <c r="D593" t="str">
        <f>+VLOOKUP(AtecoCrisi[[#This Row],[COD. CRISI]],Tabella139[],2,0)</f>
        <v>G45) Commercio autoveicoli; G46) Comm. Ingrosso; D) Distr. Energia/gas</v>
      </c>
      <c r="E593" s="53">
        <f t="shared" si="63"/>
        <v>2.1000000000000001E-2</v>
      </c>
      <c r="F593" s="53">
        <f t="shared" si="64"/>
        <v>6.3E-2</v>
      </c>
      <c r="G593" s="53">
        <f t="shared" si="65"/>
        <v>1.014</v>
      </c>
      <c r="H593" s="53">
        <f t="shared" si="66"/>
        <v>6.0000000000000001E-3</v>
      </c>
      <c r="I593" s="53">
        <f t="shared" si="67"/>
        <v>2.9000000000000001E-2</v>
      </c>
      <c r="L593" t="s">
        <v>1493</v>
      </c>
      <c r="M593" t="str">
        <f t="shared" si="69"/>
        <v>Agenti e rappresentanti di vernici, carte da parati, stucchi e cornici decorativi</v>
      </c>
      <c r="N593" t="str">
        <f t="shared" si="68"/>
        <v>G45) Commercio autoveicoli; G46) Comm. Ingrosso; D) Distr. Energia/gas</v>
      </c>
    </row>
    <row r="594" spans="1:14" ht="63.75">
      <c r="A594" s="58" t="s">
        <v>1397</v>
      </c>
      <c r="B594" s="59" t="s">
        <v>1398</v>
      </c>
      <c r="C594">
        <v>6</v>
      </c>
      <c r="D594" t="str">
        <f>+VLOOKUP(AtecoCrisi[[#This Row],[COD. CRISI]],Tabella139[],2,0)</f>
        <v>G45) Commercio autoveicoli; G46) Comm. Ingrosso; D) Distr. Energia/gas</v>
      </c>
      <c r="E594" s="53">
        <f t="shared" si="63"/>
        <v>2.1000000000000001E-2</v>
      </c>
      <c r="F594" s="53">
        <f t="shared" si="64"/>
        <v>6.3E-2</v>
      </c>
      <c r="G594" s="53">
        <f t="shared" si="65"/>
        <v>1.014</v>
      </c>
      <c r="H594" s="53">
        <f t="shared" si="66"/>
        <v>6.0000000000000001E-3</v>
      </c>
      <c r="I594" s="53">
        <f t="shared" si="67"/>
        <v>2.9000000000000001E-2</v>
      </c>
      <c r="L594" t="s">
        <v>1495</v>
      </c>
      <c r="M594" t="str">
        <f t="shared" si="69"/>
        <v>Agenti e rappresentanti di mobili e oggetti di arredamento per la casa in canna, vimini, giunco, sughero, paglia; scope, spazzole, cesti e simili</v>
      </c>
      <c r="N594" t="str">
        <f t="shared" si="68"/>
        <v>G45) Commercio autoveicoli; G46) Comm. Ingrosso; D) Distr. Energia/gas</v>
      </c>
    </row>
    <row r="595" spans="1:14" ht="76.5">
      <c r="A595" s="58" t="s">
        <v>1399</v>
      </c>
      <c r="B595" s="59" t="s">
        <v>1400</v>
      </c>
      <c r="C595">
        <v>6</v>
      </c>
      <c r="D595" t="str">
        <f>+VLOOKUP(AtecoCrisi[[#This Row],[COD. CRISI]],Tabella139[],2,0)</f>
        <v>G45) Commercio autoveicoli; G46) Comm. Ingrosso; D) Distr. Energia/gas</v>
      </c>
      <c r="E595" s="53">
        <f t="shared" si="63"/>
        <v>2.1000000000000001E-2</v>
      </c>
      <c r="F595" s="53">
        <f t="shared" si="64"/>
        <v>6.3E-2</v>
      </c>
      <c r="G595" s="53">
        <f t="shared" si="65"/>
        <v>1.014</v>
      </c>
      <c r="H595" s="53">
        <f t="shared" si="66"/>
        <v>6.0000000000000001E-3</v>
      </c>
      <c r="I595" s="53">
        <f t="shared" si="67"/>
        <v>2.9000000000000001E-2</v>
      </c>
      <c r="L595" t="s">
        <v>1497</v>
      </c>
      <c r="M595" t="str">
        <f t="shared" si="69"/>
        <v>Procacciatori d'affari di mobili, articoli per la casa e ferramenta</v>
      </c>
      <c r="N595" t="str">
        <f t="shared" si="68"/>
        <v>G45) Commercio autoveicoli; G46) Comm. Ingrosso; D) Distr. Energia/gas</v>
      </c>
    </row>
    <row r="596" spans="1:14" ht="51">
      <c r="A596" s="58" t="s">
        <v>1401</v>
      </c>
      <c r="B596" s="59" t="s">
        <v>1402</v>
      </c>
      <c r="C596">
        <v>6</v>
      </c>
      <c r="D596" t="str">
        <f>+VLOOKUP(AtecoCrisi[[#This Row],[COD. CRISI]],Tabella139[],2,0)</f>
        <v>G45) Commercio autoveicoli; G46) Comm. Ingrosso; D) Distr. Energia/gas</v>
      </c>
      <c r="E596" s="53">
        <f t="shared" si="63"/>
        <v>2.1000000000000001E-2</v>
      </c>
      <c r="F596" s="53">
        <f t="shared" si="64"/>
        <v>6.3E-2</v>
      </c>
      <c r="G596" s="53">
        <f t="shared" si="65"/>
        <v>1.014</v>
      </c>
      <c r="H596" s="53">
        <f t="shared" si="66"/>
        <v>6.0000000000000001E-3</v>
      </c>
      <c r="I596" s="53">
        <f t="shared" si="67"/>
        <v>2.9000000000000001E-2</v>
      </c>
      <c r="L596" t="s">
        <v>1499</v>
      </c>
      <c r="M596" t="str">
        <f t="shared" si="69"/>
        <v>Mediatori in mobili, articoli per la casa e ferramenta</v>
      </c>
      <c r="N596" t="str">
        <f t="shared" si="68"/>
        <v>G45) Commercio autoveicoli; G46) Comm. Ingrosso; D) Distr. Energia/gas</v>
      </c>
    </row>
    <row r="597" spans="1:14" ht="63.75">
      <c r="A597" s="58" t="s">
        <v>1403</v>
      </c>
      <c r="B597" s="59" t="s">
        <v>1404</v>
      </c>
      <c r="C597">
        <v>6</v>
      </c>
      <c r="D597" t="str">
        <f>+VLOOKUP(AtecoCrisi[[#This Row],[COD. CRISI]],Tabella139[],2,0)</f>
        <v>G45) Commercio autoveicoli; G46) Comm. Ingrosso; D) Distr. Energia/gas</v>
      </c>
      <c r="E597" s="53">
        <f t="shared" si="63"/>
        <v>2.1000000000000001E-2</v>
      </c>
      <c r="F597" s="53">
        <f t="shared" si="64"/>
        <v>6.3E-2</v>
      </c>
      <c r="G597" s="53">
        <f t="shared" si="65"/>
        <v>1.014</v>
      </c>
      <c r="H597" s="53">
        <f t="shared" si="66"/>
        <v>6.0000000000000001E-3</v>
      </c>
      <c r="I597" s="53">
        <f t="shared" si="67"/>
        <v>2.9000000000000001E-2</v>
      </c>
      <c r="L597" t="s">
        <v>1501</v>
      </c>
      <c r="M597" t="str">
        <f t="shared" si="69"/>
        <v>Agenti e rappresentanti di vestiario ed accessori di abbigliamento</v>
      </c>
      <c r="N597" t="str">
        <f t="shared" si="68"/>
        <v>G45) Commercio autoveicoli; G46) Comm. Ingrosso; D) Distr. Energia/gas</v>
      </c>
    </row>
    <row r="598" spans="1:14" ht="38.25">
      <c r="A598" s="58" t="s">
        <v>1405</v>
      </c>
      <c r="B598" s="59" t="s">
        <v>1406</v>
      </c>
      <c r="C598">
        <v>6</v>
      </c>
      <c r="D598" t="str">
        <f>+VLOOKUP(AtecoCrisi[[#This Row],[COD. CRISI]],Tabella139[],2,0)</f>
        <v>G45) Commercio autoveicoli; G46) Comm. Ingrosso; D) Distr. Energia/gas</v>
      </c>
      <c r="E598" s="53">
        <f t="shared" si="63"/>
        <v>2.1000000000000001E-2</v>
      </c>
      <c r="F598" s="53">
        <f t="shared" si="64"/>
        <v>6.3E-2</v>
      </c>
      <c r="G598" s="53">
        <f t="shared" si="65"/>
        <v>1.014</v>
      </c>
      <c r="H598" s="53">
        <f t="shared" si="66"/>
        <v>6.0000000000000001E-3</v>
      </c>
      <c r="I598" s="53">
        <f t="shared" si="67"/>
        <v>2.9000000000000001E-2</v>
      </c>
      <c r="L598" t="s">
        <v>1503</v>
      </c>
      <c r="M598" t="str">
        <f t="shared" si="69"/>
        <v>Agenti e rappresentanti di pellicce</v>
      </c>
      <c r="N598" t="str">
        <f t="shared" si="68"/>
        <v>G45) Commercio autoveicoli; G46) Comm. Ingrosso; D) Distr. Energia/gas</v>
      </c>
    </row>
    <row r="599" spans="1:14" ht="38.25">
      <c r="A599" s="58" t="s">
        <v>1407</v>
      </c>
      <c r="B599" s="59" t="s">
        <v>1408</v>
      </c>
      <c r="C599">
        <v>6</v>
      </c>
      <c r="D599" t="str">
        <f>+VLOOKUP(AtecoCrisi[[#This Row],[COD. CRISI]],Tabella139[],2,0)</f>
        <v>G45) Commercio autoveicoli; G46) Comm. Ingrosso; D) Distr. Energia/gas</v>
      </c>
      <c r="E599" s="53">
        <f t="shared" si="63"/>
        <v>2.1000000000000001E-2</v>
      </c>
      <c r="F599" s="53">
        <f t="shared" si="64"/>
        <v>6.3E-2</v>
      </c>
      <c r="G599" s="53">
        <f t="shared" si="65"/>
        <v>1.014</v>
      </c>
      <c r="H599" s="53">
        <f t="shared" si="66"/>
        <v>6.0000000000000001E-3</v>
      </c>
      <c r="I599" s="53">
        <f t="shared" si="67"/>
        <v>2.9000000000000001E-2</v>
      </c>
      <c r="L599" t="s">
        <v>1505</v>
      </c>
      <c r="M599" t="str">
        <f t="shared" si="69"/>
        <v>Agenti e rappresentanti di tessuti per abbigliamento ed arredamento (incluse merceria e passamaneria)</v>
      </c>
      <c r="N599" t="str">
        <f t="shared" si="68"/>
        <v>G45) Commercio autoveicoli; G46) Comm. Ingrosso; D) Distr. Energia/gas</v>
      </c>
    </row>
    <row r="600" spans="1:14" ht="51">
      <c r="A600" s="58" t="s">
        <v>1409</v>
      </c>
      <c r="B600" s="59" t="s">
        <v>1410</v>
      </c>
      <c r="C600">
        <v>6</v>
      </c>
      <c r="D600" t="str">
        <f>+VLOOKUP(AtecoCrisi[[#This Row],[COD. CRISI]],Tabella139[],2,0)</f>
        <v>G45) Commercio autoveicoli; G46) Comm. Ingrosso; D) Distr. Energia/gas</v>
      </c>
      <c r="E600" s="53">
        <f t="shared" si="63"/>
        <v>2.1000000000000001E-2</v>
      </c>
      <c r="F600" s="53">
        <f t="shared" si="64"/>
        <v>6.3E-2</v>
      </c>
      <c r="G600" s="53">
        <f t="shared" si="65"/>
        <v>1.014</v>
      </c>
      <c r="H600" s="53">
        <f t="shared" si="66"/>
        <v>6.0000000000000001E-3</v>
      </c>
      <c r="I600" s="53">
        <f t="shared" si="67"/>
        <v>2.9000000000000001E-2</v>
      </c>
      <c r="L600" t="s">
        <v>1507</v>
      </c>
      <c r="M600" t="str">
        <f t="shared" si="69"/>
        <v>Agenti e rappresentanti di camicie, biancheria e maglieria intima</v>
      </c>
      <c r="N600" t="str">
        <f t="shared" si="68"/>
        <v>G45) Commercio autoveicoli; G46) Comm. Ingrosso; D) Distr. Energia/gas</v>
      </c>
    </row>
    <row r="601" spans="1:14" ht="51">
      <c r="A601" s="58" t="s">
        <v>1411</v>
      </c>
      <c r="B601" s="59" t="s">
        <v>1412</v>
      </c>
      <c r="C601">
        <v>6</v>
      </c>
      <c r="D601" t="str">
        <f>+VLOOKUP(AtecoCrisi[[#This Row],[COD. CRISI]],Tabella139[],2,0)</f>
        <v>G45) Commercio autoveicoli; G46) Comm. Ingrosso; D) Distr. Energia/gas</v>
      </c>
      <c r="E601" s="53">
        <f t="shared" si="63"/>
        <v>2.1000000000000001E-2</v>
      </c>
      <c r="F601" s="53">
        <f t="shared" si="64"/>
        <v>6.3E-2</v>
      </c>
      <c r="G601" s="53">
        <f t="shared" si="65"/>
        <v>1.014</v>
      </c>
      <c r="H601" s="53">
        <f t="shared" si="66"/>
        <v>6.0000000000000001E-3</v>
      </c>
      <c r="I601" s="53">
        <f t="shared" si="67"/>
        <v>2.9000000000000001E-2</v>
      </c>
      <c r="L601" t="s">
        <v>1509</v>
      </c>
      <c r="M601" t="str">
        <f t="shared" si="69"/>
        <v>Agenti e rappresentanti di calzature ed accessori</v>
      </c>
      <c r="N601" t="str">
        <f t="shared" si="68"/>
        <v>G45) Commercio autoveicoli; G46) Comm. Ingrosso; D) Distr. Energia/gas</v>
      </c>
    </row>
    <row r="602" spans="1:14">
      <c r="A602" s="58" t="s">
        <v>1413</v>
      </c>
      <c r="B602" s="59" t="s">
        <v>1414</v>
      </c>
      <c r="C602">
        <v>6</v>
      </c>
      <c r="D602" t="str">
        <f>+VLOOKUP(AtecoCrisi[[#This Row],[COD. CRISI]],Tabella139[],2,0)</f>
        <v>G45) Commercio autoveicoli; G46) Comm. Ingrosso; D) Distr. Energia/gas</v>
      </c>
      <c r="E602" s="53">
        <f t="shared" si="63"/>
        <v>2.1000000000000001E-2</v>
      </c>
      <c r="F602" s="53">
        <f t="shared" si="64"/>
        <v>6.3E-2</v>
      </c>
      <c r="G602" s="53">
        <f t="shared" si="65"/>
        <v>1.014</v>
      </c>
      <c r="H602" s="53">
        <f t="shared" si="66"/>
        <v>6.0000000000000001E-3</v>
      </c>
      <c r="I602" s="53">
        <f t="shared" si="67"/>
        <v>2.9000000000000001E-2</v>
      </c>
      <c r="L602" t="s">
        <v>1511</v>
      </c>
      <c r="M602" t="str">
        <f t="shared" si="69"/>
        <v>Agenti e rappresentanti di pelletteria, valige ed articoli da viaggio</v>
      </c>
      <c r="N602" t="str">
        <f t="shared" si="68"/>
        <v>G45) Commercio autoveicoli; G46) Comm. Ingrosso; D) Distr. Energia/gas</v>
      </c>
    </row>
    <row r="603" spans="1:14" ht="51">
      <c r="A603" s="58" t="s">
        <v>1415</v>
      </c>
      <c r="B603" s="59" t="s">
        <v>1416</v>
      </c>
      <c r="C603">
        <v>6</v>
      </c>
      <c r="D603" t="str">
        <f>+VLOOKUP(AtecoCrisi[[#This Row],[COD. CRISI]],Tabella139[],2,0)</f>
        <v>G45) Commercio autoveicoli; G46) Comm. Ingrosso; D) Distr. Energia/gas</v>
      </c>
      <c r="E603" s="53">
        <f t="shared" si="63"/>
        <v>2.1000000000000001E-2</v>
      </c>
      <c r="F603" s="53">
        <f t="shared" si="64"/>
        <v>6.3E-2</v>
      </c>
      <c r="G603" s="53">
        <f t="shared" si="65"/>
        <v>1.014</v>
      </c>
      <c r="H603" s="53">
        <f t="shared" si="66"/>
        <v>6.0000000000000001E-3</v>
      </c>
      <c r="I603" s="53">
        <f t="shared" si="67"/>
        <v>2.9000000000000001E-2</v>
      </c>
      <c r="L603" t="s">
        <v>1513</v>
      </c>
      <c r="M603" t="str">
        <f t="shared" si="69"/>
        <v>Agenti e rappresentanti di articoli tessili per la casa, tappeti, stuoie e materassi</v>
      </c>
      <c r="N603" t="str">
        <f t="shared" si="68"/>
        <v>G45) Commercio autoveicoli; G46) Comm. Ingrosso; D) Distr. Energia/gas</v>
      </c>
    </row>
    <row r="604" spans="1:14" ht="51">
      <c r="A604" s="58" t="s">
        <v>1417</v>
      </c>
      <c r="B604" s="59" t="s">
        <v>1418</v>
      </c>
      <c r="C604">
        <v>6</v>
      </c>
      <c r="D604" t="str">
        <f>+VLOOKUP(AtecoCrisi[[#This Row],[COD. CRISI]],Tabella139[],2,0)</f>
        <v>G45) Commercio autoveicoli; G46) Comm. Ingrosso; D) Distr. Energia/gas</v>
      </c>
      <c r="E604" s="53">
        <f t="shared" si="63"/>
        <v>2.1000000000000001E-2</v>
      </c>
      <c r="F604" s="53">
        <f t="shared" si="64"/>
        <v>6.3E-2</v>
      </c>
      <c r="G604" s="53">
        <f t="shared" si="65"/>
        <v>1.014</v>
      </c>
      <c r="H604" s="53">
        <f t="shared" si="66"/>
        <v>6.0000000000000001E-3</v>
      </c>
      <c r="I604" s="53">
        <f t="shared" si="67"/>
        <v>2.9000000000000001E-2</v>
      </c>
      <c r="L604" t="s">
        <v>1515</v>
      </c>
      <c r="M604" t="str">
        <f t="shared" si="69"/>
        <v>Procacciatori d'affari di prodotti tessili, abbigliamento, pellicce, calzature e articoli in pelle</v>
      </c>
      <c r="N604" t="str">
        <f t="shared" si="68"/>
        <v>G45) Commercio autoveicoli; G46) Comm. Ingrosso; D) Distr. Energia/gas</v>
      </c>
    </row>
    <row r="605" spans="1:14" ht="51">
      <c r="A605" s="58" t="s">
        <v>1419</v>
      </c>
      <c r="B605" s="59" t="s">
        <v>1420</v>
      </c>
      <c r="C605">
        <v>6</v>
      </c>
      <c r="D605" t="str">
        <f>+VLOOKUP(AtecoCrisi[[#This Row],[COD. CRISI]],Tabella139[],2,0)</f>
        <v>G45) Commercio autoveicoli; G46) Comm. Ingrosso; D) Distr. Energia/gas</v>
      </c>
      <c r="E605" s="53">
        <f t="shared" si="63"/>
        <v>2.1000000000000001E-2</v>
      </c>
      <c r="F605" s="53">
        <f t="shared" si="64"/>
        <v>6.3E-2</v>
      </c>
      <c r="G605" s="53">
        <f t="shared" si="65"/>
        <v>1.014</v>
      </c>
      <c r="H605" s="53">
        <f t="shared" si="66"/>
        <v>6.0000000000000001E-3</v>
      </c>
      <c r="I605" s="53">
        <f t="shared" si="67"/>
        <v>2.9000000000000001E-2</v>
      </c>
      <c r="L605" t="s">
        <v>1517</v>
      </c>
      <c r="M605" t="str">
        <f t="shared" si="69"/>
        <v>Mediatori in prodotti tessili, abbigliamento, pellicce, calzature e articoli in pelle</v>
      </c>
      <c r="N605" t="str">
        <f t="shared" si="68"/>
        <v>G45) Commercio autoveicoli; G46) Comm. Ingrosso; D) Distr. Energia/gas</v>
      </c>
    </row>
    <row r="606" spans="1:14" ht="51">
      <c r="A606" s="58" t="s">
        <v>1421</v>
      </c>
      <c r="B606" s="59" t="s">
        <v>1422</v>
      </c>
      <c r="C606">
        <v>6</v>
      </c>
      <c r="D606" t="str">
        <f>+VLOOKUP(AtecoCrisi[[#This Row],[COD. CRISI]],Tabella139[],2,0)</f>
        <v>G45) Commercio autoveicoli; G46) Comm. Ingrosso; D) Distr. Energia/gas</v>
      </c>
      <c r="E606" s="53">
        <f t="shared" si="63"/>
        <v>2.1000000000000001E-2</v>
      </c>
      <c r="F606" s="53">
        <f t="shared" si="64"/>
        <v>6.3E-2</v>
      </c>
      <c r="G606" s="53">
        <f t="shared" si="65"/>
        <v>1.014</v>
      </c>
      <c r="H606" s="53">
        <f t="shared" si="66"/>
        <v>6.0000000000000001E-3</v>
      </c>
      <c r="I606" s="53">
        <f t="shared" si="67"/>
        <v>2.9000000000000001E-2</v>
      </c>
      <c r="L606" t="s">
        <v>1519</v>
      </c>
      <c r="M606" t="str">
        <f t="shared" si="69"/>
        <v>Agenti e rappresentanti di prodotti ortofrutticoli freschi, congelati e surgelati</v>
      </c>
      <c r="N606" t="str">
        <f t="shared" si="68"/>
        <v>G45) Commercio autoveicoli; G46) Comm. Ingrosso; D) Distr. Energia/gas</v>
      </c>
    </row>
    <row r="607" spans="1:14" ht="63.75">
      <c r="A607" s="58" t="s">
        <v>1423</v>
      </c>
      <c r="B607" s="59" t="s">
        <v>1424</v>
      </c>
      <c r="C607">
        <v>6</v>
      </c>
      <c r="D607" t="str">
        <f>+VLOOKUP(AtecoCrisi[[#This Row],[COD. CRISI]],Tabella139[],2,0)</f>
        <v>G45) Commercio autoveicoli; G46) Comm. Ingrosso; D) Distr. Energia/gas</v>
      </c>
      <c r="E607" s="53">
        <f t="shared" si="63"/>
        <v>2.1000000000000001E-2</v>
      </c>
      <c r="F607" s="53">
        <f t="shared" si="64"/>
        <v>6.3E-2</v>
      </c>
      <c r="G607" s="53">
        <f t="shared" si="65"/>
        <v>1.014</v>
      </c>
      <c r="H607" s="53">
        <f t="shared" si="66"/>
        <v>6.0000000000000001E-3</v>
      </c>
      <c r="I607" s="53">
        <f t="shared" si="67"/>
        <v>2.9000000000000001E-2</v>
      </c>
      <c r="L607" t="s">
        <v>1521</v>
      </c>
      <c r="M607" t="str">
        <f t="shared" si="69"/>
        <v>Agenti e rappresentanti di carni fresche, congelate, surgelate, conservate e secche; salumi</v>
      </c>
      <c r="N607" t="str">
        <f t="shared" si="68"/>
        <v>G45) Commercio autoveicoli; G46) Comm. Ingrosso; D) Distr. Energia/gas</v>
      </c>
    </row>
    <row r="608" spans="1:14" ht="51">
      <c r="A608" s="58" t="s">
        <v>1425</v>
      </c>
      <c r="B608" s="59" t="s">
        <v>1426</v>
      </c>
      <c r="C608">
        <v>6</v>
      </c>
      <c r="D608" t="str">
        <f>+VLOOKUP(AtecoCrisi[[#This Row],[COD. CRISI]],Tabella139[],2,0)</f>
        <v>G45) Commercio autoveicoli; G46) Comm. Ingrosso; D) Distr. Energia/gas</v>
      </c>
      <c r="E608" s="53">
        <f t="shared" si="63"/>
        <v>2.1000000000000001E-2</v>
      </c>
      <c r="F608" s="53">
        <f t="shared" si="64"/>
        <v>6.3E-2</v>
      </c>
      <c r="G608" s="53">
        <f t="shared" si="65"/>
        <v>1.014</v>
      </c>
      <c r="H608" s="53">
        <f t="shared" si="66"/>
        <v>6.0000000000000001E-3</v>
      </c>
      <c r="I608" s="53">
        <f t="shared" si="67"/>
        <v>2.9000000000000001E-2</v>
      </c>
      <c r="L608" t="s">
        <v>1523</v>
      </c>
      <c r="M608" t="str">
        <f t="shared" si="69"/>
        <v>Agenti e rappresentanti di latte, burro e formaggi</v>
      </c>
      <c r="N608" t="str">
        <f t="shared" si="68"/>
        <v>G45) Commercio autoveicoli; G46) Comm. Ingrosso; D) Distr. Energia/gas</v>
      </c>
    </row>
    <row r="609" spans="1:14" ht="76.5">
      <c r="A609" s="58" t="s">
        <v>1427</v>
      </c>
      <c r="B609" s="59" t="s">
        <v>1428</v>
      </c>
      <c r="C609">
        <v>6</v>
      </c>
      <c r="D609" t="str">
        <f>+VLOOKUP(AtecoCrisi[[#This Row],[COD. CRISI]],Tabella139[],2,0)</f>
        <v>G45) Commercio autoveicoli; G46) Comm. Ingrosso; D) Distr. Energia/gas</v>
      </c>
      <c r="E609" s="53">
        <f t="shared" si="63"/>
        <v>2.1000000000000001E-2</v>
      </c>
      <c r="F609" s="53">
        <f t="shared" si="64"/>
        <v>6.3E-2</v>
      </c>
      <c r="G609" s="53">
        <f t="shared" si="65"/>
        <v>1.014</v>
      </c>
      <c r="H609" s="53">
        <f t="shared" si="66"/>
        <v>6.0000000000000001E-3</v>
      </c>
      <c r="I609" s="53">
        <f t="shared" si="67"/>
        <v>2.9000000000000001E-2</v>
      </c>
      <c r="L609" t="s">
        <v>1525</v>
      </c>
      <c r="M609" t="str">
        <f t="shared" si="69"/>
        <v>Agenti e rappresentanti di oli e grassi alimentari: olio d'oliva e di semi, margarina ed altri prodotti similari</v>
      </c>
      <c r="N609" t="str">
        <f t="shared" si="68"/>
        <v>G45) Commercio autoveicoli; G46) Comm. Ingrosso; D) Distr. Energia/gas</v>
      </c>
    </row>
    <row r="610" spans="1:14" ht="63.75">
      <c r="A610" s="58" t="s">
        <v>1429</v>
      </c>
      <c r="B610" s="59" t="s">
        <v>1430</v>
      </c>
      <c r="C610">
        <v>6</v>
      </c>
      <c r="D610" t="str">
        <f>+VLOOKUP(AtecoCrisi[[#This Row],[COD. CRISI]],Tabella139[],2,0)</f>
        <v>G45) Commercio autoveicoli; G46) Comm. Ingrosso; D) Distr. Energia/gas</v>
      </c>
      <c r="E610" s="53">
        <f t="shared" si="63"/>
        <v>2.1000000000000001E-2</v>
      </c>
      <c r="F610" s="53">
        <f t="shared" si="64"/>
        <v>6.3E-2</v>
      </c>
      <c r="G610" s="53">
        <f t="shared" si="65"/>
        <v>1.014</v>
      </c>
      <c r="H610" s="53">
        <f t="shared" si="66"/>
        <v>6.0000000000000001E-3</v>
      </c>
      <c r="I610" s="53">
        <f t="shared" si="67"/>
        <v>2.9000000000000001E-2</v>
      </c>
      <c r="L610" t="s">
        <v>1527</v>
      </c>
      <c r="M610" t="str">
        <f t="shared" si="69"/>
        <v>Agenti e rappresentanti di bevande e prodotti similari</v>
      </c>
      <c r="N610" t="str">
        <f t="shared" si="68"/>
        <v>G45) Commercio autoveicoli; G46) Comm. Ingrosso; D) Distr. Energia/gas</v>
      </c>
    </row>
    <row r="611" spans="1:14" ht="63.75">
      <c r="A611" s="58" t="s">
        <v>1431</v>
      </c>
      <c r="B611" s="59" t="s">
        <v>1432</v>
      </c>
      <c r="C611">
        <v>6</v>
      </c>
      <c r="D611" t="str">
        <f>+VLOOKUP(AtecoCrisi[[#This Row],[COD. CRISI]],Tabella139[],2,0)</f>
        <v>G45) Commercio autoveicoli; G46) Comm. Ingrosso; D) Distr. Energia/gas</v>
      </c>
      <c r="E611" s="53">
        <f t="shared" si="63"/>
        <v>2.1000000000000001E-2</v>
      </c>
      <c r="F611" s="53">
        <f t="shared" si="64"/>
        <v>6.3E-2</v>
      </c>
      <c r="G611" s="53">
        <f t="shared" si="65"/>
        <v>1.014</v>
      </c>
      <c r="H611" s="53">
        <f t="shared" si="66"/>
        <v>6.0000000000000001E-3</v>
      </c>
      <c r="I611" s="53">
        <f t="shared" si="67"/>
        <v>2.9000000000000001E-2</v>
      </c>
      <c r="L611" t="s">
        <v>1529</v>
      </c>
      <c r="M611" t="str">
        <f t="shared" si="69"/>
        <v>Agenti e rappresentanti di prodotti ittici freschi, congelati, surgelati e conservati e secchi</v>
      </c>
      <c r="N611" t="str">
        <f t="shared" si="68"/>
        <v>G45) Commercio autoveicoli; G46) Comm. Ingrosso; D) Distr. Energia/gas</v>
      </c>
    </row>
    <row r="612" spans="1:14" ht="76.5">
      <c r="A612" s="56" t="s">
        <v>1433</v>
      </c>
      <c r="B612" s="57" t="s">
        <v>1434</v>
      </c>
      <c r="C612">
        <v>6</v>
      </c>
      <c r="D612" t="str">
        <f>+VLOOKUP(AtecoCrisi[[#This Row],[COD. CRISI]],Tabella139[],2,0)</f>
        <v>G45) Commercio autoveicoli; G46) Comm. Ingrosso; D) Distr. Energia/gas</v>
      </c>
      <c r="E612" s="53">
        <f t="shared" si="63"/>
        <v>2.1000000000000001E-2</v>
      </c>
      <c r="F612" s="53">
        <f t="shared" si="64"/>
        <v>6.3E-2</v>
      </c>
      <c r="G612" s="53">
        <f t="shared" si="65"/>
        <v>1.014</v>
      </c>
      <c r="H612" s="53">
        <f t="shared" si="66"/>
        <v>6.0000000000000001E-3</v>
      </c>
      <c r="I612" s="53">
        <f t="shared" si="67"/>
        <v>2.9000000000000001E-2</v>
      </c>
      <c r="L612" t="s">
        <v>1531</v>
      </c>
      <c r="M612" t="str">
        <f t="shared" si="69"/>
        <v>Agenti e rappresentanti di altri prodotti alimentari (incluse le uova e gli alimenti per gli animali domestici); tabacco</v>
      </c>
      <c r="N612" t="str">
        <f t="shared" si="68"/>
        <v>G45) Commercio autoveicoli; G46) Comm. Ingrosso; D) Distr. Energia/gas</v>
      </c>
    </row>
    <row r="613" spans="1:14" ht="51">
      <c r="A613" s="58" t="s">
        <v>1435</v>
      </c>
      <c r="B613" s="59" t="s">
        <v>1436</v>
      </c>
      <c r="C613">
        <v>6</v>
      </c>
      <c r="D613" t="str">
        <f>+VLOOKUP(AtecoCrisi[[#This Row],[COD. CRISI]],Tabella139[],2,0)</f>
        <v>G45) Commercio autoveicoli; G46) Comm. Ingrosso; D) Distr. Energia/gas</v>
      </c>
      <c r="E613" s="53">
        <f t="shared" si="63"/>
        <v>2.1000000000000001E-2</v>
      </c>
      <c r="F613" s="53">
        <f t="shared" si="64"/>
        <v>6.3E-2</v>
      </c>
      <c r="G613" s="53">
        <f t="shared" si="65"/>
        <v>1.014</v>
      </c>
      <c r="H613" s="53">
        <f t="shared" si="66"/>
        <v>6.0000000000000001E-3</v>
      </c>
      <c r="I613" s="53">
        <f t="shared" si="67"/>
        <v>2.9000000000000001E-2</v>
      </c>
      <c r="L613" t="s">
        <v>1533</v>
      </c>
      <c r="M613" t="str">
        <f t="shared" si="69"/>
        <v>Procacciatori d'affari di prodotti alimentari, bevande e tabacco</v>
      </c>
      <c r="N613" t="str">
        <f t="shared" si="68"/>
        <v>G45) Commercio autoveicoli; G46) Comm. Ingrosso; D) Distr. Energia/gas</v>
      </c>
    </row>
    <row r="614" spans="1:14" ht="38.25">
      <c r="A614" s="58" t="s">
        <v>1437</v>
      </c>
      <c r="B614" s="59" t="s">
        <v>1438</v>
      </c>
      <c r="C614">
        <v>6</v>
      </c>
      <c r="D614" t="str">
        <f>+VLOOKUP(AtecoCrisi[[#This Row],[COD. CRISI]],Tabella139[],2,0)</f>
        <v>G45) Commercio autoveicoli; G46) Comm. Ingrosso; D) Distr. Energia/gas</v>
      </c>
      <c r="E614" s="53">
        <f t="shared" si="63"/>
        <v>2.1000000000000001E-2</v>
      </c>
      <c r="F614" s="53">
        <f t="shared" si="64"/>
        <v>6.3E-2</v>
      </c>
      <c r="G614" s="53">
        <f t="shared" si="65"/>
        <v>1.014</v>
      </c>
      <c r="H614" s="53">
        <f t="shared" si="66"/>
        <v>6.0000000000000001E-3</v>
      </c>
      <c r="I614" s="53">
        <f t="shared" si="67"/>
        <v>2.9000000000000001E-2</v>
      </c>
      <c r="L614" t="s">
        <v>1535</v>
      </c>
      <c r="M614" t="str">
        <f t="shared" si="69"/>
        <v>Mediatori in prodotti alimentari, bevande e tabacco</v>
      </c>
      <c r="N614" t="str">
        <f t="shared" si="68"/>
        <v>G45) Commercio autoveicoli; G46) Comm. Ingrosso; D) Distr. Energia/gas</v>
      </c>
    </row>
    <row r="615" spans="1:14" ht="38.25">
      <c r="A615" s="58" t="s">
        <v>1439</v>
      </c>
      <c r="B615" s="59" t="s">
        <v>1440</v>
      </c>
      <c r="C615">
        <v>6</v>
      </c>
      <c r="D615" t="str">
        <f>+VLOOKUP(AtecoCrisi[[#This Row],[COD. CRISI]],Tabella139[],2,0)</f>
        <v>G45) Commercio autoveicoli; G46) Comm. Ingrosso; D) Distr. Energia/gas</v>
      </c>
      <c r="E615" s="53">
        <f t="shared" si="63"/>
        <v>2.1000000000000001E-2</v>
      </c>
      <c r="F615" s="53">
        <f t="shared" si="64"/>
        <v>6.3E-2</v>
      </c>
      <c r="G615" s="53">
        <f t="shared" si="65"/>
        <v>1.014</v>
      </c>
      <c r="H615" s="53">
        <f t="shared" si="66"/>
        <v>6.0000000000000001E-3</v>
      </c>
      <c r="I615" s="53">
        <f t="shared" si="67"/>
        <v>2.9000000000000001E-2</v>
      </c>
      <c r="L615" t="s">
        <v>1537</v>
      </c>
      <c r="M615" t="str">
        <f t="shared" si="69"/>
        <v>Agenti e rappresentanti di carta e cartone (esclusi gli imballaggi); articoli di cartoleria e cancelleria</v>
      </c>
      <c r="N615" t="str">
        <f t="shared" si="68"/>
        <v>G45) Commercio autoveicoli; G46) Comm. Ingrosso; D) Distr. Energia/gas</v>
      </c>
    </row>
    <row r="616" spans="1:14" ht="63.75">
      <c r="A616" s="58" t="s">
        <v>1441</v>
      </c>
      <c r="B616" s="59" t="s">
        <v>1442</v>
      </c>
      <c r="C616">
        <v>6</v>
      </c>
      <c r="D616" t="str">
        <f>+VLOOKUP(AtecoCrisi[[#This Row],[COD. CRISI]],Tabella139[],2,0)</f>
        <v>G45) Commercio autoveicoli; G46) Comm. Ingrosso; D) Distr. Energia/gas</v>
      </c>
      <c r="E616" s="53">
        <f t="shared" si="63"/>
        <v>2.1000000000000001E-2</v>
      </c>
      <c r="F616" s="53">
        <f t="shared" si="64"/>
        <v>6.3E-2</v>
      </c>
      <c r="G616" s="53">
        <f t="shared" si="65"/>
        <v>1.014</v>
      </c>
      <c r="H616" s="53">
        <f t="shared" si="66"/>
        <v>6.0000000000000001E-3</v>
      </c>
      <c r="I616" s="53">
        <f t="shared" si="67"/>
        <v>2.9000000000000001E-2</v>
      </c>
      <c r="L616" t="s">
        <v>1539</v>
      </c>
      <c r="M616" t="str">
        <f t="shared" si="69"/>
        <v>Agenti e rappresentanti di libri e altre pubblicazioni (incluso i relativi abbonamenti)</v>
      </c>
      <c r="N616" t="str">
        <f t="shared" si="68"/>
        <v>G45) Commercio autoveicoli; G46) Comm. Ingrosso; D) Distr. Energia/gas</v>
      </c>
    </row>
    <row r="617" spans="1:14" ht="89.25">
      <c r="A617" s="58" t="s">
        <v>1443</v>
      </c>
      <c r="B617" s="59" t="s">
        <v>1444</v>
      </c>
      <c r="C617">
        <v>6</v>
      </c>
      <c r="D617" t="str">
        <f>+VLOOKUP(AtecoCrisi[[#This Row],[COD. CRISI]],Tabella139[],2,0)</f>
        <v>G45) Commercio autoveicoli; G46) Comm. Ingrosso; D) Distr. Energia/gas</v>
      </c>
      <c r="E617" s="53">
        <f t="shared" si="63"/>
        <v>2.1000000000000001E-2</v>
      </c>
      <c r="F617" s="53">
        <f t="shared" si="64"/>
        <v>6.3E-2</v>
      </c>
      <c r="G617" s="53">
        <f t="shared" si="65"/>
        <v>1.014</v>
      </c>
      <c r="H617" s="53">
        <f t="shared" si="66"/>
        <v>6.0000000000000001E-3</v>
      </c>
      <c r="I617" s="53">
        <f t="shared" si="67"/>
        <v>2.9000000000000001E-2</v>
      </c>
      <c r="L617" t="s">
        <v>1541</v>
      </c>
      <c r="M617" t="str">
        <f t="shared" si="69"/>
        <v>Procacciatori d'affari di prodotti di carta, cancelleria, libri</v>
      </c>
      <c r="N617" t="str">
        <f t="shared" si="68"/>
        <v>G45) Commercio autoveicoli; G46) Comm. Ingrosso; D) Distr. Energia/gas</v>
      </c>
    </row>
    <row r="618" spans="1:14" ht="76.5">
      <c r="A618" s="58" t="s">
        <v>1445</v>
      </c>
      <c r="B618" s="59" t="s">
        <v>1446</v>
      </c>
      <c r="C618">
        <v>6</v>
      </c>
      <c r="D618" t="str">
        <f>+VLOOKUP(AtecoCrisi[[#This Row],[COD. CRISI]],Tabella139[],2,0)</f>
        <v>G45) Commercio autoveicoli; G46) Comm. Ingrosso; D) Distr. Energia/gas</v>
      </c>
      <c r="E618" s="53">
        <f t="shared" si="63"/>
        <v>2.1000000000000001E-2</v>
      </c>
      <c r="F618" s="53">
        <f t="shared" si="64"/>
        <v>6.3E-2</v>
      </c>
      <c r="G618" s="53">
        <f t="shared" si="65"/>
        <v>1.014</v>
      </c>
      <c r="H618" s="53">
        <f t="shared" si="66"/>
        <v>6.0000000000000001E-3</v>
      </c>
      <c r="I618" s="53">
        <f t="shared" si="67"/>
        <v>2.9000000000000001E-2</v>
      </c>
      <c r="L618" t="s">
        <v>1543</v>
      </c>
      <c r="M618" t="str">
        <f t="shared" si="69"/>
        <v>Mediatori in prodotti di carta, cancelleria, libri</v>
      </c>
      <c r="N618" t="str">
        <f t="shared" si="68"/>
        <v>G45) Commercio autoveicoli; G46) Comm. Ingrosso; D) Distr. Energia/gas</v>
      </c>
    </row>
    <row r="619" spans="1:14" ht="25.5">
      <c r="A619" s="58" t="s">
        <v>1447</v>
      </c>
      <c r="B619" s="59" t="s">
        <v>1448</v>
      </c>
      <c r="C619">
        <v>6</v>
      </c>
      <c r="D619" t="str">
        <f>+VLOOKUP(AtecoCrisi[[#This Row],[COD. CRISI]],Tabella139[],2,0)</f>
        <v>G45) Commercio autoveicoli; G46) Comm. Ingrosso; D) Distr. Energia/gas</v>
      </c>
      <c r="E619" s="53">
        <f t="shared" si="63"/>
        <v>2.1000000000000001E-2</v>
      </c>
      <c r="F619" s="53">
        <f t="shared" si="64"/>
        <v>6.3E-2</v>
      </c>
      <c r="G619" s="53">
        <f t="shared" si="65"/>
        <v>1.014</v>
      </c>
      <c r="H619" s="53">
        <f t="shared" si="66"/>
        <v>6.0000000000000001E-3</v>
      </c>
      <c r="I619" s="53">
        <f t="shared" si="67"/>
        <v>2.9000000000000001E-2</v>
      </c>
      <c r="L619" t="s">
        <v>1545</v>
      </c>
      <c r="M619" t="str">
        <f t="shared" si="69"/>
        <v>Agenti e rappresentanti di elettronica di consumo audio e video, materiale elettrico per uso domestico</v>
      </c>
      <c r="N619" t="str">
        <f t="shared" si="68"/>
        <v>G45) Commercio autoveicoli; G46) Comm. Ingrosso; D) Distr. Energia/gas</v>
      </c>
    </row>
    <row r="620" spans="1:14" ht="63.75">
      <c r="A620" s="58" t="s">
        <v>1449</v>
      </c>
      <c r="B620" s="59" t="s">
        <v>1450</v>
      </c>
      <c r="C620">
        <v>6</v>
      </c>
      <c r="D620" t="str">
        <f>+VLOOKUP(AtecoCrisi[[#This Row],[COD. CRISI]],Tabella139[],2,0)</f>
        <v>G45) Commercio autoveicoli; G46) Comm. Ingrosso; D) Distr. Energia/gas</v>
      </c>
      <c r="E620" s="53">
        <f t="shared" si="63"/>
        <v>2.1000000000000001E-2</v>
      </c>
      <c r="F620" s="53">
        <f t="shared" si="64"/>
        <v>6.3E-2</v>
      </c>
      <c r="G620" s="53">
        <f t="shared" si="65"/>
        <v>1.014</v>
      </c>
      <c r="H620" s="53">
        <f t="shared" si="66"/>
        <v>6.0000000000000001E-3</v>
      </c>
      <c r="I620" s="53">
        <f t="shared" si="67"/>
        <v>2.9000000000000001E-2</v>
      </c>
      <c r="L620" t="s">
        <v>1547</v>
      </c>
      <c r="M620" t="str">
        <f t="shared" si="69"/>
        <v>Agenti e rappresentanti di apparecchi elettrodomestici</v>
      </c>
      <c r="N620" t="str">
        <f t="shared" si="68"/>
        <v>G45) Commercio autoveicoli; G46) Comm. Ingrosso; D) Distr. Energia/gas</v>
      </c>
    </row>
    <row r="621" spans="1:14" ht="38.25">
      <c r="A621" s="58" t="s">
        <v>1451</v>
      </c>
      <c r="B621" s="59" t="s">
        <v>1452</v>
      </c>
      <c r="C621">
        <v>6</v>
      </c>
      <c r="D621" t="str">
        <f>+VLOOKUP(AtecoCrisi[[#This Row],[COD. CRISI]],Tabella139[],2,0)</f>
        <v>G45) Commercio autoveicoli; G46) Comm. Ingrosso; D) Distr. Energia/gas</v>
      </c>
      <c r="E621" s="53">
        <f t="shared" si="63"/>
        <v>2.1000000000000001E-2</v>
      </c>
      <c r="F621" s="53">
        <f t="shared" si="64"/>
        <v>6.3E-2</v>
      </c>
      <c r="G621" s="53">
        <f t="shared" si="65"/>
        <v>1.014</v>
      </c>
      <c r="H621" s="53">
        <f t="shared" si="66"/>
        <v>6.0000000000000001E-3</v>
      </c>
      <c r="I621" s="53">
        <f t="shared" si="67"/>
        <v>2.9000000000000001E-2</v>
      </c>
      <c r="L621" t="s">
        <v>1549</v>
      </c>
      <c r="M621" t="str">
        <f t="shared" si="69"/>
        <v>Procacciatori d'affari di elettronica di consumo audio e video, materiale elettrico per uso domestico, elettrodomestici</v>
      </c>
      <c r="N621" t="str">
        <f t="shared" si="68"/>
        <v>G45) Commercio autoveicoli; G46) Comm. Ingrosso; D) Distr. Energia/gas</v>
      </c>
    </row>
    <row r="622" spans="1:14" ht="63.75">
      <c r="A622" s="58" t="s">
        <v>1453</v>
      </c>
      <c r="B622" s="59" t="s">
        <v>1454</v>
      </c>
      <c r="C622">
        <v>6</v>
      </c>
      <c r="D622" t="str">
        <f>+VLOOKUP(AtecoCrisi[[#This Row],[COD. CRISI]],Tabella139[],2,0)</f>
        <v>G45) Commercio autoveicoli; G46) Comm. Ingrosso; D) Distr. Energia/gas</v>
      </c>
      <c r="E622" s="53">
        <f t="shared" si="63"/>
        <v>2.1000000000000001E-2</v>
      </c>
      <c r="F622" s="53">
        <f t="shared" si="64"/>
        <v>6.3E-2</v>
      </c>
      <c r="G622" s="53">
        <f t="shared" si="65"/>
        <v>1.014</v>
      </c>
      <c r="H622" s="53">
        <f t="shared" si="66"/>
        <v>6.0000000000000001E-3</v>
      </c>
      <c r="I622" s="53">
        <f t="shared" si="67"/>
        <v>2.9000000000000001E-2</v>
      </c>
      <c r="L622" t="s">
        <v>1551</v>
      </c>
      <c r="M622" t="str">
        <f t="shared" si="69"/>
        <v>Mediatori in elettronica di consumo audio e video, materiale elettrico per uso domestico, elettrodomestici</v>
      </c>
      <c r="N622" t="str">
        <f t="shared" si="68"/>
        <v>G45) Commercio autoveicoli; G46) Comm. Ingrosso; D) Distr. Energia/gas</v>
      </c>
    </row>
    <row r="623" spans="1:14" ht="51">
      <c r="A623" s="58" t="s">
        <v>1455</v>
      </c>
      <c r="B623" s="59" t="s">
        <v>1456</v>
      </c>
      <c r="C623">
        <v>6</v>
      </c>
      <c r="D623" t="str">
        <f>+VLOOKUP(AtecoCrisi[[#This Row],[COD. CRISI]],Tabella139[],2,0)</f>
        <v>G45) Commercio autoveicoli; G46) Comm. Ingrosso; D) Distr. Energia/gas</v>
      </c>
      <c r="E623" s="53">
        <f t="shared" si="63"/>
        <v>2.1000000000000001E-2</v>
      </c>
      <c r="F623" s="53">
        <f t="shared" si="64"/>
        <v>6.3E-2</v>
      </c>
      <c r="G623" s="53">
        <f t="shared" si="65"/>
        <v>1.014</v>
      </c>
      <c r="H623" s="53">
        <f t="shared" si="66"/>
        <v>6.0000000000000001E-3</v>
      </c>
      <c r="I623" s="53">
        <f t="shared" si="67"/>
        <v>2.9000000000000001E-2</v>
      </c>
      <c r="L623" t="s">
        <v>1553</v>
      </c>
      <c r="M623" t="str">
        <f t="shared" si="69"/>
        <v>Agenti e rappresentanti di prodotti farmaceutici; prodotti di erboristeria per uso medico</v>
      </c>
      <c r="N623" t="str">
        <f t="shared" si="68"/>
        <v>G45) Commercio autoveicoli; G46) Comm. Ingrosso; D) Distr. Energia/gas</v>
      </c>
    </row>
    <row r="624" spans="1:14" ht="63.75">
      <c r="A624" s="58" t="s">
        <v>1457</v>
      </c>
      <c r="B624" s="59" t="s">
        <v>1458</v>
      </c>
      <c r="C624">
        <v>6</v>
      </c>
      <c r="D624" t="str">
        <f>+VLOOKUP(AtecoCrisi[[#This Row],[COD. CRISI]],Tabella139[],2,0)</f>
        <v>G45) Commercio autoveicoli; G46) Comm. Ingrosso; D) Distr. Energia/gas</v>
      </c>
      <c r="E624" s="53">
        <f t="shared" si="63"/>
        <v>2.1000000000000001E-2</v>
      </c>
      <c r="F624" s="53">
        <f t="shared" si="64"/>
        <v>6.3E-2</v>
      </c>
      <c r="G624" s="53">
        <f t="shared" si="65"/>
        <v>1.014</v>
      </c>
      <c r="H624" s="53">
        <f t="shared" si="66"/>
        <v>6.0000000000000001E-3</v>
      </c>
      <c r="I624" s="53">
        <f t="shared" si="67"/>
        <v>2.9000000000000001E-2</v>
      </c>
      <c r="L624" t="s">
        <v>1555</v>
      </c>
      <c r="M624" t="str">
        <f t="shared" si="69"/>
        <v>Agenti e rappresentanti di prodotti sanitari ed apparecchi medicali, chirurgici e ortopedici; apparecchi per centri di estetica</v>
      </c>
      <c r="N624" t="str">
        <f t="shared" si="68"/>
        <v>G45) Commercio autoveicoli; G46) Comm. Ingrosso; D) Distr. Energia/gas</v>
      </c>
    </row>
    <row r="625" spans="1:14" ht="63.75">
      <c r="A625" s="58" t="s">
        <v>1459</v>
      </c>
      <c r="B625" s="59" t="s">
        <v>1460</v>
      </c>
      <c r="C625">
        <v>6</v>
      </c>
      <c r="D625" t="str">
        <f>+VLOOKUP(AtecoCrisi[[#This Row],[COD. CRISI]],Tabella139[],2,0)</f>
        <v>G45) Commercio autoveicoli; G46) Comm. Ingrosso; D) Distr. Energia/gas</v>
      </c>
      <c r="E625" s="53">
        <f t="shared" si="63"/>
        <v>2.1000000000000001E-2</v>
      </c>
      <c r="F625" s="53">
        <f t="shared" si="64"/>
        <v>6.3E-2</v>
      </c>
      <c r="G625" s="53">
        <f t="shared" si="65"/>
        <v>1.014</v>
      </c>
      <c r="H625" s="53">
        <f t="shared" si="66"/>
        <v>6.0000000000000001E-3</v>
      </c>
      <c r="I625" s="53">
        <f t="shared" si="67"/>
        <v>2.9000000000000001E-2</v>
      </c>
      <c r="L625" t="s">
        <v>1557</v>
      </c>
      <c r="M625" t="str">
        <f t="shared" si="69"/>
        <v>Agenti e rappresentanti di prodotti di profumeria e di cosmetica (inclusi articoli per parrucchieri); prodotti di erboristeria per uso cosmetico</v>
      </c>
      <c r="N625" t="str">
        <f t="shared" si="68"/>
        <v>G45) Commercio autoveicoli; G46) Comm. Ingrosso; D) Distr. Energia/gas</v>
      </c>
    </row>
    <row r="626" spans="1:14" ht="51">
      <c r="A626" s="58" t="s">
        <v>1461</v>
      </c>
      <c r="B626" s="59" t="s">
        <v>1462</v>
      </c>
      <c r="C626">
        <v>6</v>
      </c>
      <c r="D626" t="str">
        <f>+VLOOKUP(AtecoCrisi[[#This Row],[COD. CRISI]],Tabella139[],2,0)</f>
        <v>G45) Commercio autoveicoli; G46) Comm. Ingrosso; D) Distr. Energia/gas</v>
      </c>
      <c r="E626" s="53">
        <f t="shared" si="63"/>
        <v>2.1000000000000001E-2</v>
      </c>
      <c r="F626" s="53">
        <f t="shared" si="64"/>
        <v>6.3E-2</v>
      </c>
      <c r="G626" s="53">
        <f t="shared" si="65"/>
        <v>1.014</v>
      </c>
      <c r="H626" s="53">
        <f t="shared" si="66"/>
        <v>6.0000000000000001E-3</v>
      </c>
      <c r="I626" s="53">
        <f t="shared" si="67"/>
        <v>2.9000000000000001E-2</v>
      </c>
      <c r="L626" t="s">
        <v>1559</v>
      </c>
      <c r="M626" t="str">
        <f t="shared" si="69"/>
        <v>Procacciatori d'affari di prodotti farmaceutici e di cosmetici</v>
      </c>
      <c r="N626" t="str">
        <f t="shared" si="68"/>
        <v>G45) Commercio autoveicoli; G46) Comm. Ingrosso; D) Distr. Energia/gas</v>
      </c>
    </row>
    <row r="627" spans="1:14" ht="76.5">
      <c r="A627" s="58" t="s">
        <v>1463</v>
      </c>
      <c r="B627" s="59" t="s">
        <v>1464</v>
      </c>
      <c r="C627">
        <v>6</v>
      </c>
      <c r="D627" t="str">
        <f>+VLOOKUP(AtecoCrisi[[#This Row],[COD. CRISI]],Tabella139[],2,0)</f>
        <v>G45) Commercio autoveicoli; G46) Comm. Ingrosso; D) Distr. Energia/gas</v>
      </c>
      <c r="E627" s="53">
        <f t="shared" si="63"/>
        <v>2.1000000000000001E-2</v>
      </c>
      <c r="F627" s="53">
        <f t="shared" si="64"/>
        <v>6.3E-2</v>
      </c>
      <c r="G627" s="53">
        <f t="shared" si="65"/>
        <v>1.014</v>
      </c>
      <c r="H627" s="53">
        <f t="shared" si="66"/>
        <v>6.0000000000000001E-3</v>
      </c>
      <c r="I627" s="53">
        <f t="shared" si="67"/>
        <v>2.9000000000000001E-2</v>
      </c>
      <c r="L627" t="s">
        <v>1561</v>
      </c>
      <c r="M627" t="str">
        <f t="shared" si="69"/>
        <v>Mediatori in prodotti farmaceutici e cosmetici</v>
      </c>
      <c r="N627" t="str">
        <f t="shared" si="68"/>
        <v>G45) Commercio autoveicoli; G46) Comm. Ingrosso; D) Distr. Energia/gas</v>
      </c>
    </row>
    <row r="628" spans="1:14" ht="102">
      <c r="A628" s="58" t="s">
        <v>1465</v>
      </c>
      <c r="B628" s="59" t="s">
        <v>1466</v>
      </c>
      <c r="C628">
        <v>6</v>
      </c>
      <c r="D628" t="str">
        <f>+VLOOKUP(AtecoCrisi[[#This Row],[COD. CRISI]],Tabella139[],2,0)</f>
        <v>G45) Commercio autoveicoli; G46) Comm. Ingrosso; D) Distr. Energia/gas</v>
      </c>
      <c r="E628" s="53">
        <f t="shared" si="63"/>
        <v>2.1000000000000001E-2</v>
      </c>
      <c r="F628" s="53">
        <f t="shared" si="64"/>
        <v>6.3E-2</v>
      </c>
      <c r="G628" s="53">
        <f t="shared" si="65"/>
        <v>1.014</v>
      </c>
      <c r="H628" s="53">
        <f t="shared" si="66"/>
        <v>6.0000000000000001E-3</v>
      </c>
      <c r="I628" s="53">
        <f t="shared" si="67"/>
        <v>2.9000000000000001E-2</v>
      </c>
      <c r="L628" t="s">
        <v>1563</v>
      </c>
      <c r="M628" t="str">
        <f t="shared" si="69"/>
        <v>Agenti e rappresentanti di attrezzature sportive; biciclette</v>
      </c>
      <c r="N628" t="str">
        <f t="shared" si="68"/>
        <v>G45) Commercio autoveicoli; G46) Comm. Ingrosso; D) Distr. Energia/gas</v>
      </c>
    </row>
    <row r="629" spans="1:14" ht="102">
      <c r="A629" s="58" t="s">
        <v>1467</v>
      </c>
      <c r="B629" s="59" t="s">
        <v>1468</v>
      </c>
      <c r="C629">
        <v>6</v>
      </c>
      <c r="D629" t="str">
        <f>+VLOOKUP(AtecoCrisi[[#This Row],[COD. CRISI]],Tabella139[],2,0)</f>
        <v>G45) Commercio autoveicoli; G46) Comm. Ingrosso; D) Distr. Energia/gas</v>
      </c>
      <c r="E629" s="53">
        <f t="shared" si="63"/>
        <v>2.1000000000000001E-2</v>
      </c>
      <c r="F629" s="53">
        <f t="shared" si="64"/>
        <v>6.3E-2</v>
      </c>
      <c r="G629" s="53">
        <f t="shared" si="65"/>
        <v>1.014</v>
      </c>
      <c r="H629" s="53">
        <f t="shared" si="66"/>
        <v>6.0000000000000001E-3</v>
      </c>
      <c r="I629" s="53">
        <f t="shared" si="67"/>
        <v>2.9000000000000001E-2</v>
      </c>
      <c r="L629" t="s">
        <v>1565</v>
      </c>
      <c r="M629" t="str">
        <f t="shared" si="69"/>
        <v>Agenti e rappresentanti di orologi, oggetti e semilavorati per gioielleria e oreficeria</v>
      </c>
      <c r="N629" t="str">
        <f t="shared" si="68"/>
        <v>G45) Commercio autoveicoli; G46) Comm. Ingrosso; D) Distr. Energia/gas</v>
      </c>
    </row>
    <row r="630" spans="1:14" ht="51">
      <c r="A630" s="58" t="s">
        <v>1469</v>
      </c>
      <c r="B630" s="59" t="s">
        <v>1470</v>
      </c>
      <c r="C630">
        <v>6</v>
      </c>
      <c r="D630" t="str">
        <f>+VLOOKUP(AtecoCrisi[[#This Row],[COD. CRISI]],Tabella139[],2,0)</f>
        <v>G45) Commercio autoveicoli; G46) Comm. Ingrosso; D) Distr. Energia/gas</v>
      </c>
      <c r="E630" s="53">
        <f t="shared" si="63"/>
        <v>2.1000000000000001E-2</v>
      </c>
      <c r="F630" s="53">
        <f t="shared" si="64"/>
        <v>6.3E-2</v>
      </c>
      <c r="G630" s="53">
        <f t="shared" si="65"/>
        <v>1.014</v>
      </c>
      <c r="H630" s="53">
        <f t="shared" si="66"/>
        <v>6.0000000000000001E-3</v>
      </c>
      <c r="I630" s="53">
        <f t="shared" si="67"/>
        <v>2.9000000000000001E-2</v>
      </c>
      <c r="L630" t="s">
        <v>1567</v>
      </c>
      <c r="M630" t="str">
        <f t="shared" si="69"/>
        <v>Agenti e rappresentanti di articoli fotografici, ottici e prodotti simili; strumenti scientifici e per laboratori di analisi</v>
      </c>
      <c r="N630" t="str">
        <f t="shared" si="68"/>
        <v>G45) Commercio autoveicoli; G46) Comm. Ingrosso; D) Distr. Energia/gas</v>
      </c>
    </row>
    <row r="631" spans="1:14" ht="51">
      <c r="A631" s="58" t="s">
        <v>1471</v>
      </c>
      <c r="B631" s="59" t="s">
        <v>1472</v>
      </c>
      <c r="C631">
        <v>6</v>
      </c>
      <c r="D631" t="str">
        <f>+VLOOKUP(AtecoCrisi[[#This Row],[COD. CRISI]],Tabella139[],2,0)</f>
        <v>G45) Commercio autoveicoli; G46) Comm. Ingrosso; D) Distr. Energia/gas</v>
      </c>
      <c r="E631" s="53">
        <f t="shared" si="63"/>
        <v>2.1000000000000001E-2</v>
      </c>
      <c r="F631" s="53">
        <f t="shared" si="64"/>
        <v>6.3E-2</v>
      </c>
      <c r="G631" s="53">
        <f t="shared" si="65"/>
        <v>1.014</v>
      </c>
      <c r="H631" s="53">
        <f t="shared" si="66"/>
        <v>6.0000000000000001E-3</v>
      </c>
      <c r="I631" s="53">
        <f t="shared" si="67"/>
        <v>2.9000000000000001E-2</v>
      </c>
      <c r="L631" t="s">
        <v>1569</v>
      </c>
      <c r="M631" t="str">
        <f t="shared" si="69"/>
        <v>Agenti e rappresentanti di saponi, detersivi, candele e prodotti simili</v>
      </c>
      <c r="N631" t="str">
        <f t="shared" si="68"/>
        <v>G45) Commercio autoveicoli; G46) Comm. Ingrosso; D) Distr. Energia/gas</v>
      </c>
    </row>
    <row r="632" spans="1:14" ht="140.25">
      <c r="A632" s="58" t="s">
        <v>1473</v>
      </c>
      <c r="B632" s="59" t="s">
        <v>1474</v>
      </c>
      <c r="C632">
        <v>6</v>
      </c>
      <c r="D632" t="str">
        <f>+VLOOKUP(AtecoCrisi[[#This Row],[COD. CRISI]],Tabella139[],2,0)</f>
        <v>G45) Commercio autoveicoli; G46) Comm. Ingrosso; D) Distr. Energia/gas</v>
      </c>
      <c r="E632" s="53">
        <f t="shared" si="63"/>
        <v>2.1000000000000001E-2</v>
      </c>
      <c r="F632" s="53">
        <f t="shared" si="64"/>
        <v>6.3E-2</v>
      </c>
      <c r="G632" s="53">
        <f t="shared" si="65"/>
        <v>1.014</v>
      </c>
      <c r="H632" s="53">
        <f t="shared" si="66"/>
        <v>6.0000000000000001E-3</v>
      </c>
      <c r="I632" s="53">
        <f t="shared" si="67"/>
        <v>2.9000000000000001E-2</v>
      </c>
      <c r="L632" t="s">
        <v>1571</v>
      </c>
      <c r="M632" t="str">
        <f t="shared" si="69"/>
        <v>Agenti e rappresentanti di giocattoli</v>
      </c>
      <c r="N632" t="str">
        <f t="shared" si="68"/>
        <v>G45) Commercio autoveicoli; G46) Comm. Ingrosso; D) Distr. Energia/gas</v>
      </c>
    </row>
    <row r="633" spans="1:14" ht="63.75">
      <c r="A633" s="58" t="s">
        <v>1475</v>
      </c>
      <c r="B633" s="59" t="s">
        <v>1476</v>
      </c>
      <c r="C633">
        <v>6</v>
      </c>
      <c r="D633" t="str">
        <f>+VLOOKUP(AtecoCrisi[[#This Row],[COD. CRISI]],Tabella139[],2,0)</f>
        <v>G45) Commercio autoveicoli; G46) Comm. Ingrosso; D) Distr. Energia/gas</v>
      </c>
      <c r="E633" s="53">
        <f t="shared" si="63"/>
        <v>2.1000000000000001E-2</v>
      </c>
      <c r="F633" s="53">
        <f t="shared" si="64"/>
        <v>6.3E-2</v>
      </c>
      <c r="G633" s="53">
        <f t="shared" si="65"/>
        <v>1.014</v>
      </c>
      <c r="H633" s="53">
        <f t="shared" si="66"/>
        <v>6.0000000000000001E-3</v>
      </c>
      <c r="I633" s="53">
        <f t="shared" si="67"/>
        <v>2.9000000000000001E-2</v>
      </c>
      <c r="L633" t="s">
        <v>1573</v>
      </c>
      <c r="M633" t="str">
        <f t="shared" si="69"/>
        <v>Agenti e rappresentanti di chincaglieria e bigiotteria</v>
      </c>
      <c r="N633" t="str">
        <f t="shared" si="68"/>
        <v>G45) Commercio autoveicoli; G46) Comm. Ingrosso; D) Distr. Energia/gas</v>
      </c>
    </row>
    <row r="634" spans="1:14" ht="114.75">
      <c r="A634" s="58" t="s">
        <v>1477</v>
      </c>
      <c r="B634" s="59" t="s">
        <v>1478</v>
      </c>
      <c r="C634">
        <v>6</v>
      </c>
      <c r="D634" t="str">
        <f>+VLOOKUP(AtecoCrisi[[#This Row],[COD. CRISI]],Tabella139[],2,0)</f>
        <v>G45) Commercio autoveicoli; G46) Comm. Ingrosso; D) Distr. Energia/gas</v>
      </c>
      <c r="E634" s="53">
        <f t="shared" si="63"/>
        <v>2.1000000000000001E-2</v>
      </c>
      <c r="F634" s="53">
        <f t="shared" si="64"/>
        <v>6.3E-2</v>
      </c>
      <c r="G634" s="53">
        <f t="shared" si="65"/>
        <v>1.014</v>
      </c>
      <c r="H634" s="53">
        <f t="shared" si="66"/>
        <v>6.0000000000000001E-3</v>
      </c>
      <c r="I634" s="53">
        <f t="shared" si="67"/>
        <v>2.9000000000000001E-2</v>
      </c>
      <c r="L634" t="s">
        <v>1575</v>
      </c>
      <c r="M634" t="str">
        <f t="shared" si="69"/>
        <v>Agenti e rappresentanti di altri prodotti non alimentari nca (inclusi gli imballaggi e gli articoli antinfortunistici, antincendio e pubblicitari)</v>
      </c>
      <c r="N634" t="str">
        <f t="shared" si="68"/>
        <v>G45) Commercio autoveicoli; G46) Comm. Ingrosso; D) Distr. Energia/gas</v>
      </c>
    </row>
    <row r="635" spans="1:14" ht="76.5">
      <c r="A635" s="58" t="s">
        <v>1479</v>
      </c>
      <c r="B635" s="59" t="s">
        <v>1480</v>
      </c>
      <c r="C635">
        <v>6</v>
      </c>
      <c r="D635" t="str">
        <f>+VLOOKUP(AtecoCrisi[[#This Row],[COD. CRISI]],Tabella139[],2,0)</f>
        <v>G45) Commercio autoveicoli; G46) Comm. Ingrosso; D) Distr. Energia/gas</v>
      </c>
      <c r="E635" s="53">
        <f t="shared" si="63"/>
        <v>2.1000000000000001E-2</v>
      </c>
      <c r="F635" s="53">
        <f t="shared" si="64"/>
        <v>6.3E-2</v>
      </c>
      <c r="G635" s="53">
        <f t="shared" si="65"/>
        <v>1.014</v>
      </c>
      <c r="H635" s="53">
        <f t="shared" si="66"/>
        <v>6.0000000000000001E-3</v>
      </c>
      <c r="I635" s="53">
        <f t="shared" si="67"/>
        <v>2.9000000000000001E-2</v>
      </c>
      <c r="L635" t="s">
        <v>1577</v>
      </c>
      <c r="M635" t="str">
        <f t="shared" si="69"/>
        <v>Procacciatori d'affari di attrezzature sportive, biciclette e altri prodotti nca</v>
      </c>
      <c r="N635" t="str">
        <f t="shared" si="68"/>
        <v>G45) Commercio autoveicoli; G46) Comm. Ingrosso; D) Distr. Energia/gas</v>
      </c>
    </row>
    <row r="636" spans="1:14" ht="102">
      <c r="A636" s="58" t="s">
        <v>1481</v>
      </c>
      <c r="B636" s="59" t="s">
        <v>1482</v>
      </c>
      <c r="C636">
        <v>6</v>
      </c>
      <c r="D636" t="str">
        <f>+VLOOKUP(AtecoCrisi[[#This Row],[COD. CRISI]],Tabella139[],2,0)</f>
        <v>G45) Commercio autoveicoli; G46) Comm. Ingrosso; D) Distr. Energia/gas</v>
      </c>
      <c r="E636" s="53">
        <f t="shared" si="63"/>
        <v>2.1000000000000001E-2</v>
      </c>
      <c r="F636" s="53">
        <f t="shared" si="64"/>
        <v>6.3E-2</v>
      </c>
      <c r="G636" s="53">
        <f t="shared" si="65"/>
        <v>1.014</v>
      </c>
      <c r="H636" s="53">
        <f t="shared" si="66"/>
        <v>6.0000000000000001E-3</v>
      </c>
      <c r="I636" s="53">
        <f t="shared" si="67"/>
        <v>2.9000000000000001E-2</v>
      </c>
      <c r="L636" t="s">
        <v>1579</v>
      </c>
      <c r="M636" t="str">
        <f t="shared" si="69"/>
        <v>Mediatori in attrezzature sportive, biciclette e altri prodotti nca</v>
      </c>
      <c r="N636" t="str">
        <f t="shared" si="68"/>
        <v>G45) Commercio autoveicoli; G46) Comm. Ingrosso; D) Distr. Energia/gas</v>
      </c>
    </row>
    <row r="637" spans="1:14" ht="153">
      <c r="A637" s="58" t="s">
        <v>1483</v>
      </c>
      <c r="B637" s="59" t="s">
        <v>1484</v>
      </c>
      <c r="C637">
        <v>6</v>
      </c>
      <c r="D637" t="str">
        <f>+VLOOKUP(AtecoCrisi[[#This Row],[COD. CRISI]],Tabella139[],2,0)</f>
        <v>G45) Commercio autoveicoli; G46) Comm. Ingrosso; D) Distr. Energia/gas</v>
      </c>
      <c r="E637" s="53">
        <f t="shared" si="63"/>
        <v>2.1000000000000001E-2</v>
      </c>
      <c r="F637" s="53">
        <f t="shared" si="64"/>
        <v>6.3E-2</v>
      </c>
      <c r="G637" s="53">
        <f t="shared" si="65"/>
        <v>1.014</v>
      </c>
      <c r="H637" s="53">
        <f t="shared" si="66"/>
        <v>6.0000000000000001E-3</v>
      </c>
      <c r="I637" s="53">
        <f t="shared" si="67"/>
        <v>2.9000000000000001E-2</v>
      </c>
      <c r="L637" t="s">
        <v>1581</v>
      </c>
      <c r="M637" t="str">
        <f t="shared" si="69"/>
        <v>Agenti e rappresentanti di vari prodotti senza prevalenza di alcuno</v>
      </c>
      <c r="N637" t="str">
        <f t="shared" si="68"/>
        <v>G45) Commercio autoveicoli; G46) Comm. Ingrosso; D) Distr. Energia/gas</v>
      </c>
    </row>
    <row r="638" spans="1:14" ht="140.25">
      <c r="A638" s="58" t="s">
        <v>1485</v>
      </c>
      <c r="B638" s="59" t="s">
        <v>1486</v>
      </c>
      <c r="C638">
        <v>6</v>
      </c>
      <c r="D638" t="str">
        <f>+VLOOKUP(AtecoCrisi[[#This Row],[COD. CRISI]],Tabella139[],2,0)</f>
        <v>G45) Commercio autoveicoli; G46) Comm. Ingrosso; D) Distr. Energia/gas</v>
      </c>
      <c r="E638" s="53">
        <f t="shared" si="63"/>
        <v>2.1000000000000001E-2</v>
      </c>
      <c r="F638" s="53">
        <f t="shared" si="64"/>
        <v>6.3E-2</v>
      </c>
      <c r="G638" s="53">
        <f t="shared" si="65"/>
        <v>1.014</v>
      </c>
      <c r="H638" s="53">
        <f t="shared" si="66"/>
        <v>6.0000000000000001E-3</v>
      </c>
      <c r="I638" s="53">
        <f t="shared" si="67"/>
        <v>2.9000000000000001E-2</v>
      </c>
      <c r="L638" t="s">
        <v>1583</v>
      </c>
      <c r="M638" t="str">
        <f t="shared" si="69"/>
        <v>Procacciatori d'affari di vari prodotti senza prevalenza di alcuno</v>
      </c>
      <c r="N638" t="str">
        <f t="shared" si="68"/>
        <v>G45) Commercio autoveicoli; G46) Comm. Ingrosso; D) Distr. Energia/gas</v>
      </c>
    </row>
    <row r="639" spans="1:14" ht="63.75">
      <c r="A639" s="58" t="s">
        <v>1487</v>
      </c>
      <c r="B639" s="59" t="s">
        <v>1488</v>
      </c>
      <c r="C639">
        <v>6</v>
      </c>
      <c r="D639" t="str">
        <f>+VLOOKUP(AtecoCrisi[[#This Row],[COD. CRISI]],Tabella139[],2,0)</f>
        <v>G45) Commercio autoveicoli; G46) Comm. Ingrosso; D) Distr. Energia/gas</v>
      </c>
      <c r="E639" s="53">
        <f t="shared" si="63"/>
        <v>2.1000000000000001E-2</v>
      </c>
      <c r="F639" s="53">
        <f t="shared" si="64"/>
        <v>6.3E-2</v>
      </c>
      <c r="G639" s="53">
        <f t="shared" si="65"/>
        <v>1.014</v>
      </c>
      <c r="H639" s="53">
        <f t="shared" si="66"/>
        <v>6.0000000000000001E-3</v>
      </c>
      <c r="I639" s="53">
        <f t="shared" si="67"/>
        <v>2.9000000000000001E-2</v>
      </c>
      <c r="L639" t="s">
        <v>1585</v>
      </c>
      <c r="M639" t="str">
        <f t="shared" si="69"/>
        <v>Mediatori in vari prodotti senza prevalenza di alcuno</v>
      </c>
      <c r="N639" t="str">
        <f t="shared" si="68"/>
        <v>G45) Commercio autoveicoli; G46) Comm. Ingrosso; D) Distr. Energia/gas</v>
      </c>
    </row>
    <row r="640" spans="1:14" ht="63.75">
      <c r="A640" s="58" t="s">
        <v>1489</v>
      </c>
      <c r="B640" s="59" t="s">
        <v>1490</v>
      </c>
      <c r="C640">
        <v>6</v>
      </c>
      <c r="D640" t="str">
        <f>+VLOOKUP(AtecoCrisi[[#This Row],[COD. CRISI]],Tabella139[],2,0)</f>
        <v>G45) Commercio autoveicoli; G46) Comm. Ingrosso; D) Distr. Energia/gas</v>
      </c>
      <c r="E640" s="53">
        <f t="shared" si="63"/>
        <v>2.1000000000000001E-2</v>
      </c>
      <c r="F640" s="53">
        <f t="shared" si="64"/>
        <v>6.3E-2</v>
      </c>
      <c r="G640" s="53">
        <f t="shared" si="65"/>
        <v>1.014</v>
      </c>
      <c r="H640" s="53">
        <f t="shared" si="66"/>
        <v>6.0000000000000001E-3</v>
      </c>
      <c r="I640" s="53">
        <f t="shared" si="67"/>
        <v>2.9000000000000001E-2</v>
      </c>
      <c r="L640" t="s">
        <v>1587</v>
      </c>
      <c r="M640" t="str">
        <f t="shared" si="69"/>
        <v>Gruppi di acquisto; mandatari agli acquisti; buyer</v>
      </c>
      <c r="N640" t="str">
        <f t="shared" si="68"/>
        <v>G45) Commercio autoveicoli; G46) Comm. Ingrosso; D) Distr. Energia/gas</v>
      </c>
    </row>
    <row r="641" spans="1:14" ht="63.75">
      <c r="A641" s="58" t="s">
        <v>1491</v>
      </c>
      <c r="B641" s="59" t="s">
        <v>1492</v>
      </c>
      <c r="C641">
        <v>6</v>
      </c>
      <c r="D641" t="str">
        <f>+VLOOKUP(AtecoCrisi[[#This Row],[COD. CRISI]],Tabella139[],2,0)</f>
        <v>G45) Commercio autoveicoli; G46) Comm. Ingrosso; D) Distr. Energia/gas</v>
      </c>
      <c r="E641" s="53">
        <f t="shared" si="63"/>
        <v>2.1000000000000001E-2</v>
      </c>
      <c r="F641" s="53">
        <f t="shared" si="64"/>
        <v>6.3E-2</v>
      </c>
      <c r="G641" s="53">
        <f t="shared" si="65"/>
        <v>1.014</v>
      </c>
      <c r="H641" s="53">
        <f t="shared" si="66"/>
        <v>6.0000000000000001E-3</v>
      </c>
      <c r="I641" s="53">
        <f t="shared" si="67"/>
        <v>2.9000000000000001E-2</v>
      </c>
      <c r="L641" t="s">
        <v>1589</v>
      </c>
      <c r="M641" t="str">
        <f t="shared" si="69"/>
        <v>Commercio all'ingrosso di cereali e legumi secchi</v>
      </c>
      <c r="N641" t="str">
        <f t="shared" si="68"/>
        <v>G45) Commercio autoveicoli; G46) Comm. Ingrosso; D) Distr. Energia/gas</v>
      </c>
    </row>
    <row r="642" spans="1:14" ht="63.75">
      <c r="A642" s="58" t="s">
        <v>1493</v>
      </c>
      <c r="B642" s="59" t="s">
        <v>1494</v>
      </c>
      <c r="C642">
        <v>6</v>
      </c>
      <c r="D642" t="str">
        <f>+VLOOKUP(AtecoCrisi[[#This Row],[COD. CRISI]],Tabella139[],2,0)</f>
        <v>G45) Commercio autoveicoli; G46) Comm. Ingrosso; D) Distr. Energia/gas</v>
      </c>
      <c r="E642" s="53">
        <f t="shared" ref="E642:E705" si="70">+VLOOKUP(C642,$R$2:$X$11,3,FALSE)</f>
        <v>2.1000000000000001E-2</v>
      </c>
      <c r="F642" s="53">
        <f t="shared" ref="F642:F705" si="71">+VLOOKUP(C642,$R$2:$X$11,4,FALSE)</f>
        <v>6.3E-2</v>
      </c>
      <c r="G642" s="53">
        <f t="shared" ref="G642:G705" si="72">+VLOOKUP(C642,$R$2:$X$11,5,FALSE)</f>
        <v>1.014</v>
      </c>
      <c r="H642" s="53">
        <f t="shared" ref="H642:H705" si="73">+VLOOKUP(C642,$R$2:$X$11,6,FALSE)</f>
        <v>6.0000000000000001E-3</v>
      </c>
      <c r="I642" s="53">
        <f t="shared" ref="I642:I705" si="74">+VLOOKUP(C642,$R$2:$X$11,7,FALSE)</f>
        <v>2.9000000000000001E-2</v>
      </c>
      <c r="L642" t="s">
        <v>1591</v>
      </c>
      <c r="M642" t="str">
        <f t="shared" si="69"/>
        <v>Commercio all'ingrosso di tabacco grezzo</v>
      </c>
      <c r="N642" t="str">
        <f t="shared" ref="N642:N705" si="75">+VLOOKUP(L642,A:D,4,0)</f>
        <v>G45) Commercio autoveicoli; G46) Comm. Ingrosso; D) Distr. Energia/gas</v>
      </c>
    </row>
    <row r="643" spans="1:14" ht="114.75">
      <c r="A643" s="58" t="s">
        <v>1495</v>
      </c>
      <c r="B643" s="59" t="s">
        <v>1496</v>
      </c>
      <c r="C643">
        <v>6</v>
      </c>
      <c r="D643" t="str">
        <f>+VLOOKUP(AtecoCrisi[[#This Row],[COD. CRISI]],Tabella139[],2,0)</f>
        <v>G45) Commercio autoveicoli; G46) Comm. Ingrosso; D) Distr. Energia/gas</v>
      </c>
      <c r="E643" s="53">
        <f t="shared" si="70"/>
        <v>2.1000000000000001E-2</v>
      </c>
      <c r="F643" s="53">
        <f t="shared" si="71"/>
        <v>6.3E-2</v>
      </c>
      <c r="G643" s="53">
        <f t="shared" si="72"/>
        <v>1.014</v>
      </c>
      <c r="H643" s="53">
        <f t="shared" si="73"/>
        <v>6.0000000000000001E-3</v>
      </c>
      <c r="I643" s="53">
        <f t="shared" si="74"/>
        <v>2.9000000000000001E-2</v>
      </c>
      <c r="L643" t="s">
        <v>1593</v>
      </c>
      <c r="M643" t="str">
        <f t="shared" ref="M643:M706" si="76">+VLOOKUP(L643,A:B,2,0)</f>
        <v>Commercio all'ingrosso di sementi e alimenti per il bestiame (mangimi), piante officinali, semi oleosi, patate da semina</v>
      </c>
      <c r="N643" t="str">
        <f t="shared" si="75"/>
        <v>G45) Commercio autoveicoli; G46) Comm. Ingrosso; D) Distr. Energia/gas</v>
      </c>
    </row>
    <row r="644" spans="1:14" ht="51">
      <c r="A644" s="58" t="s">
        <v>1497</v>
      </c>
      <c r="B644" s="59" t="s">
        <v>1498</v>
      </c>
      <c r="C644">
        <v>6</v>
      </c>
      <c r="D644" t="str">
        <f>+VLOOKUP(AtecoCrisi[[#This Row],[COD. CRISI]],Tabella139[],2,0)</f>
        <v>G45) Commercio autoveicoli; G46) Comm. Ingrosso; D) Distr. Energia/gas</v>
      </c>
      <c r="E644" s="53">
        <f t="shared" si="70"/>
        <v>2.1000000000000001E-2</v>
      </c>
      <c r="F644" s="53">
        <f t="shared" si="71"/>
        <v>6.3E-2</v>
      </c>
      <c r="G644" s="53">
        <f t="shared" si="72"/>
        <v>1.014</v>
      </c>
      <c r="H644" s="53">
        <f t="shared" si="73"/>
        <v>6.0000000000000001E-3</v>
      </c>
      <c r="I644" s="53">
        <f t="shared" si="74"/>
        <v>2.9000000000000001E-2</v>
      </c>
      <c r="L644" t="s">
        <v>1595</v>
      </c>
      <c r="M644" t="str">
        <f t="shared" si="76"/>
        <v>Commercio all'ingrosso di fiori e piante</v>
      </c>
      <c r="N644" t="str">
        <f t="shared" si="75"/>
        <v>G45) Commercio autoveicoli; G46) Comm. Ingrosso; D) Distr. Energia/gas</v>
      </c>
    </row>
    <row r="645" spans="1:14" ht="38.25">
      <c r="A645" s="58" t="s">
        <v>1499</v>
      </c>
      <c r="B645" s="59" t="s">
        <v>1500</v>
      </c>
      <c r="C645">
        <v>6</v>
      </c>
      <c r="D645" t="str">
        <f>+VLOOKUP(AtecoCrisi[[#This Row],[COD. CRISI]],Tabella139[],2,0)</f>
        <v>G45) Commercio autoveicoli; G46) Comm. Ingrosso; D) Distr. Energia/gas</v>
      </c>
      <c r="E645" s="53">
        <f t="shared" si="70"/>
        <v>2.1000000000000001E-2</v>
      </c>
      <c r="F645" s="53">
        <f t="shared" si="71"/>
        <v>6.3E-2</v>
      </c>
      <c r="G645" s="53">
        <f t="shared" si="72"/>
        <v>1.014</v>
      </c>
      <c r="H645" s="53">
        <f t="shared" si="73"/>
        <v>6.0000000000000001E-3</v>
      </c>
      <c r="I645" s="53">
        <f t="shared" si="74"/>
        <v>2.9000000000000001E-2</v>
      </c>
      <c r="L645" t="s">
        <v>1597</v>
      </c>
      <c r="M645" t="str">
        <f t="shared" si="76"/>
        <v>Commercio all'ingrosso di animali vivi</v>
      </c>
      <c r="N645" t="str">
        <f t="shared" si="75"/>
        <v>G45) Commercio autoveicoli; G46) Comm. Ingrosso; D) Distr. Energia/gas</v>
      </c>
    </row>
    <row r="646" spans="1:14" ht="63.75">
      <c r="A646" s="58" t="s">
        <v>1501</v>
      </c>
      <c r="B646" s="59" t="s">
        <v>1502</v>
      </c>
      <c r="C646">
        <v>6</v>
      </c>
      <c r="D646" t="str">
        <f>+VLOOKUP(AtecoCrisi[[#This Row],[COD. CRISI]],Tabella139[],2,0)</f>
        <v>G45) Commercio autoveicoli; G46) Comm. Ingrosso; D) Distr. Energia/gas</v>
      </c>
      <c r="E646" s="53">
        <f t="shared" si="70"/>
        <v>2.1000000000000001E-2</v>
      </c>
      <c r="F646" s="53">
        <f t="shared" si="71"/>
        <v>6.3E-2</v>
      </c>
      <c r="G646" s="53">
        <f t="shared" si="72"/>
        <v>1.014</v>
      </c>
      <c r="H646" s="53">
        <f t="shared" si="73"/>
        <v>6.0000000000000001E-3</v>
      </c>
      <c r="I646" s="53">
        <f t="shared" si="74"/>
        <v>2.9000000000000001E-2</v>
      </c>
      <c r="L646" t="s">
        <v>1599</v>
      </c>
      <c r="M646" t="str">
        <f t="shared" si="76"/>
        <v>Commercio all'ingrosso di cuoio e pelli gregge e lavorate (escluse le pelli per pellicceria)</v>
      </c>
      <c r="N646" t="str">
        <f t="shared" si="75"/>
        <v>G45) Commercio autoveicoli; G46) Comm. Ingrosso; D) Distr. Energia/gas</v>
      </c>
    </row>
    <row r="647" spans="1:14" ht="38.25">
      <c r="A647" s="58" t="s">
        <v>1503</v>
      </c>
      <c r="B647" s="59" t="s">
        <v>1504</v>
      </c>
      <c r="C647">
        <v>6</v>
      </c>
      <c r="D647" t="str">
        <f>+VLOOKUP(AtecoCrisi[[#This Row],[COD. CRISI]],Tabella139[],2,0)</f>
        <v>G45) Commercio autoveicoli; G46) Comm. Ingrosso; D) Distr. Energia/gas</v>
      </c>
      <c r="E647" s="53">
        <f t="shared" si="70"/>
        <v>2.1000000000000001E-2</v>
      </c>
      <c r="F647" s="53">
        <f t="shared" si="71"/>
        <v>6.3E-2</v>
      </c>
      <c r="G647" s="53">
        <f t="shared" si="72"/>
        <v>1.014</v>
      </c>
      <c r="H647" s="53">
        <f t="shared" si="73"/>
        <v>6.0000000000000001E-3</v>
      </c>
      <c r="I647" s="53">
        <f t="shared" si="74"/>
        <v>2.9000000000000001E-2</v>
      </c>
      <c r="L647" t="s">
        <v>1601</v>
      </c>
      <c r="M647" t="str">
        <f t="shared" si="76"/>
        <v>Commercio all'ingrosso di pelli gregge e lavorate per pellicceria</v>
      </c>
      <c r="N647" t="str">
        <f t="shared" si="75"/>
        <v>G45) Commercio autoveicoli; G46) Comm. Ingrosso; D) Distr. Energia/gas</v>
      </c>
    </row>
    <row r="648" spans="1:14" ht="89.25">
      <c r="A648" s="58" t="s">
        <v>1505</v>
      </c>
      <c r="B648" s="59" t="s">
        <v>1506</v>
      </c>
      <c r="C648">
        <v>6</v>
      </c>
      <c r="D648" t="str">
        <f>+VLOOKUP(AtecoCrisi[[#This Row],[COD. CRISI]],Tabella139[],2,0)</f>
        <v>G45) Commercio autoveicoli; G46) Comm. Ingrosso; D) Distr. Energia/gas</v>
      </c>
      <c r="E648" s="53">
        <f t="shared" si="70"/>
        <v>2.1000000000000001E-2</v>
      </c>
      <c r="F648" s="53">
        <f t="shared" si="71"/>
        <v>6.3E-2</v>
      </c>
      <c r="G648" s="53">
        <f t="shared" si="72"/>
        <v>1.014</v>
      </c>
      <c r="H648" s="53">
        <f t="shared" si="73"/>
        <v>6.0000000000000001E-3</v>
      </c>
      <c r="I648" s="53">
        <f t="shared" si="74"/>
        <v>2.9000000000000001E-2</v>
      </c>
      <c r="L648" t="s">
        <v>1603</v>
      </c>
      <c r="M648" t="str">
        <f t="shared" si="76"/>
        <v>Commercio all'ingrosso di frutta e ortaggi freschi</v>
      </c>
      <c r="N648" t="str">
        <f t="shared" si="75"/>
        <v>G45) Commercio autoveicoli; G46) Comm. Ingrosso; D) Distr. Energia/gas</v>
      </c>
    </row>
    <row r="649" spans="1:14" ht="63.75">
      <c r="A649" s="58" t="s">
        <v>1507</v>
      </c>
      <c r="B649" s="59" t="s">
        <v>1508</v>
      </c>
      <c r="C649">
        <v>6</v>
      </c>
      <c r="D649" t="str">
        <f>+VLOOKUP(AtecoCrisi[[#This Row],[COD. CRISI]],Tabella139[],2,0)</f>
        <v>G45) Commercio autoveicoli; G46) Comm. Ingrosso; D) Distr. Energia/gas</v>
      </c>
      <c r="E649" s="53">
        <f t="shared" si="70"/>
        <v>2.1000000000000001E-2</v>
      </c>
      <c r="F649" s="53">
        <f t="shared" si="71"/>
        <v>6.3E-2</v>
      </c>
      <c r="G649" s="53">
        <f t="shared" si="72"/>
        <v>1.014</v>
      </c>
      <c r="H649" s="53">
        <f t="shared" si="73"/>
        <v>6.0000000000000001E-3</v>
      </c>
      <c r="I649" s="53">
        <f t="shared" si="74"/>
        <v>2.9000000000000001E-2</v>
      </c>
      <c r="L649" t="s">
        <v>1605</v>
      </c>
      <c r="M649" t="str">
        <f t="shared" si="76"/>
        <v>Commercio all'ingrosso di frutta e ortaggi conservati</v>
      </c>
      <c r="N649" t="str">
        <f t="shared" si="75"/>
        <v>G45) Commercio autoveicoli; G46) Comm. Ingrosso; D) Distr. Energia/gas</v>
      </c>
    </row>
    <row r="650" spans="1:14" ht="51">
      <c r="A650" s="58" t="s">
        <v>1509</v>
      </c>
      <c r="B650" s="59" t="s">
        <v>1510</v>
      </c>
      <c r="C650">
        <v>6</v>
      </c>
      <c r="D650" t="str">
        <f>+VLOOKUP(AtecoCrisi[[#This Row],[COD. CRISI]],Tabella139[],2,0)</f>
        <v>G45) Commercio autoveicoli; G46) Comm. Ingrosso; D) Distr. Energia/gas</v>
      </c>
      <c r="E650" s="53">
        <f t="shared" si="70"/>
        <v>2.1000000000000001E-2</v>
      </c>
      <c r="F650" s="53">
        <f t="shared" si="71"/>
        <v>6.3E-2</v>
      </c>
      <c r="G650" s="53">
        <f t="shared" si="72"/>
        <v>1.014</v>
      </c>
      <c r="H650" s="53">
        <f t="shared" si="73"/>
        <v>6.0000000000000001E-3</v>
      </c>
      <c r="I650" s="53">
        <f t="shared" si="74"/>
        <v>2.9000000000000001E-2</v>
      </c>
      <c r="L650" t="s">
        <v>1607</v>
      </c>
      <c r="M650" t="str">
        <f t="shared" si="76"/>
        <v>Commercio all'ingrosso di carne fresca, congelata e surgelata</v>
      </c>
      <c r="N650" t="str">
        <f t="shared" si="75"/>
        <v>G45) Commercio autoveicoli; G46) Comm. Ingrosso; D) Distr. Energia/gas</v>
      </c>
    </row>
    <row r="651" spans="1:14" ht="63.75">
      <c r="A651" s="58" t="s">
        <v>1511</v>
      </c>
      <c r="B651" s="59" t="s">
        <v>1512</v>
      </c>
      <c r="C651">
        <v>6</v>
      </c>
      <c r="D651" t="str">
        <f>+VLOOKUP(AtecoCrisi[[#This Row],[COD. CRISI]],Tabella139[],2,0)</f>
        <v>G45) Commercio autoveicoli; G46) Comm. Ingrosso; D) Distr. Energia/gas</v>
      </c>
      <c r="E651" s="53">
        <f t="shared" si="70"/>
        <v>2.1000000000000001E-2</v>
      </c>
      <c r="F651" s="53">
        <f t="shared" si="71"/>
        <v>6.3E-2</v>
      </c>
      <c r="G651" s="53">
        <f t="shared" si="72"/>
        <v>1.014</v>
      </c>
      <c r="H651" s="53">
        <f t="shared" si="73"/>
        <v>6.0000000000000001E-3</v>
      </c>
      <c r="I651" s="53">
        <f t="shared" si="74"/>
        <v>2.9000000000000001E-2</v>
      </c>
      <c r="L651" t="s">
        <v>1609</v>
      </c>
      <c r="M651" t="str">
        <f t="shared" si="76"/>
        <v>Commercio all'ingrosso di prodotti di salumeria</v>
      </c>
      <c r="N651" t="str">
        <f t="shared" si="75"/>
        <v>G45) Commercio autoveicoli; G46) Comm. Ingrosso; D) Distr. Energia/gas</v>
      </c>
    </row>
    <row r="652" spans="1:14" ht="63.75">
      <c r="A652" s="58" t="s">
        <v>1513</v>
      </c>
      <c r="B652" s="59" t="s">
        <v>1514</v>
      </c>
      <c r="C652">
        <v>6</v>
      </c>
      <c r="D652" t="str">
        <f>+VLOOKUP(AtecoCrisi[[#This Row],[COD. CRISI]],Tabella139[],2,0)</f>
        <v>G45) Commercio autoveicoli; G46) Comm. Ingrosso; D) Distr. Energia/gas</v>
      </c>
      <c r="E652" s="53">
        <f t="shared" si="70"/>
        <v>2.1000000000000001E-2</v>
      </c>
      <c r="F652" s="53">
        <f t="shared" si="71"/>
        <v>6.3E-2</v>
      </c>
      <c r="G652" s="53">
        <f t="shared" si="72"/>
        <v>1.014</v>
      </c>
      <c r="H652" s="53">
        <f t="shared" si="73"/>
        <v>6.0000000000000001E-3</v>
      </c>
      <c r="I652" s="53">
        <f t="shared" si="74"/>
        <v>2.9000000000000001E-2</v>
      </c>
      <c r="L652" t="s">
        <v>1611</v>
      </c>
      <c r="M652" t="str">
        <f t="shared" si="76"/>
        <v>Commercio all'ingrosso di prodotti lattiero-caseari e di uova</v>
      </c>
      <c r="N652" t="str">
        <f t="shared" si="75"/>
        <v>G45) Commercio autoveicoli; G46) Comm. Ingrosso; D) Distr. Energia/gas</v>
      </c>
    </row>
    <row r="653" spans="1:14" ht="76.5">
      <c r="A653" s="58" t="s">
        <v>1515</v>
      </c>
      <c r="B653" s="59" t="s">
        <v>1516</v>
      </c>
      <c r="C653">
        <v>6</v>
      </c>
      <c r="D653" t="str">
        <f>+VLOOKUP(AtecoCrisi[[#This Row],[COD. CRISI]],Tabella139[],2,0)</f>
        <v>G45) Commercio autoveicoli; G46) Comm. Ingrosso; D) Distr. Energia/gas</v>
      </c>
      <c r="E653" s="53">
        <f t="shared" si="70"/>
        <v>2.1000000000000001E-2</v>
      </c>
      <c r="F653" s="53">
        <f t="shared" si="71"/>
        <v>6.3E-2</v>
      </c>
      <c r="G653" s="53">
        <f t="shared" si="72"/>
        <v>1.014</v>
      </c>
      <c r="H653" s="53">
        <f t="shared" si="73"/>
        <v>6.0000000000000001E-3</v>
      </c>
      <c r="I653" s="53">
        <f t="shared" si="74"/>
        <v>2.9000000000000001E-2</v>
      </c>
      <c r="L653" t="s">
        <v>1613</v>
      </c>
      <c r="M653" t="str">
        <f t="shared" si="76"/>
        <v>Commercio all'ingrosso di oli e grassi alimentari di origine vegetale o animale</v>
      </c>
      <c r="N653" t="str">
        <f t="shared" si="75"/>
        <v>G45) Commercio autoveicoli; G46) Comm. Ingrosso; D) Distr. Energia/gas</v>
      </c>
    </row>
    <row r="654" spans="1:14" ht="63.75">
      <c r="A654" s="58" t="s">
        <v>1517</v>
      </c>
      <c r="B654" s="59" t="s">
        <v>1518</v>
      </c>
      <c r="C654">
        <v>6</v>
      </c>
      <c r="D654" t="str">
        <f>+VLOOKUP(AtecoCrisi[[#This Row],[COD. CRISI]],Tabella139[],2,0)</f>
        <v>G45) Commercio autoveicoli; G46) Comm. Ingrosso; D) Distr. Energia/gas</v>
      </c>
      <c r="E654" s="53">
        <f t="shared" si="70"/>
        <v>2.1000000000000001E-2</v>
      </c>
      <c r="F654" s="53">
        <f t="shared" si="71"/>
        <v>6.3E-2</v>
      </c>
      <c r="G654" s="53">
        <f t="shared" si="72"/>
        <v>1.014</v>
      </c>
      <c r="H654" s="53">
        <f t="shared" si="73"/>
        <v>6.0000000000000001E-3</v>
      </c>
      <c r="I654" s="53">
        <f t="shared" si="74"/>
        <v>2.9000000000000001E-2</v>
      </c>
      <c r="L654" t="s">
        <v>1615</v>
      </c>
      <c r="M654" t="str">
        <f t="shared" si="76"/>
        <v>Commercio all'ingrosso di bevande alcoliche</v>
      </c>
      <c r="N654" t="str">
        <f t="shared" si="75"/>
        <v>G45) Commercio autoveicoli; G46) Comm. Ingrosso; D) Distr. Energia/gas</v>
      </c>
    </row>
    <row r="655" spans="1:14" ht="76.5">
      <c r="A655" s="58" t="s">
        <v>1519</v>
      </c>
      <c r="B655" s="59" t="s">
        <v>1520</v>
      </c>
      <c r="C655">
        <v>6</v>
      </c>
      <c r="D655" t="str">
        <f>+VLOOKUP(AtecoCrisi[[#This Row],[COD. CRISI]],Tabella139[],2,0)</f>
        <v>G45) Commercio autoveicoli; G46) Comm. Ingrosso; D) Distr. Energia/gas</v>
      </c>
      <c r="E655" s="53">
        <f t="shared" si="70"/>
        <v>2.1000000000000001E-2</v>
      </c>
      <c r="F655" s="53">
        <f t="shared" si="71"/>
        <v>6.3E-2</v>
      </c>
      <c r="G655" s="53">
        <f t="shared" si="72"/>
        <v>1.014</v>
      </c>
      <c r="H655" s="53">
        <f t="shared" si="73"/>
        <v>6.0000000000000001E-3</v>
      </c>
      <c r="I655" s="53">
        <f t="shared" si="74"/>
        <v>2.9000000000000001E-2</v>
      </c>
      <c r="L655" t="s">
        <v>1617</v>
      </c>
      <c r="M655" t="str">
        <f t="shared" si="76"/>
        <v>Commercio all'ingrosso di bevande non alcoliche</v>
      </c>
      <c r="N655" t="str">
        <f t="shared" si="75"/>
        <v>G45) Commercio autoveicoli; G46) Comm. Ingrosso; D) Distr. Energia/gas</v>
      </c>
    </row>
    <row r="656" spans="1:14" ht="89.25">
      <c r="A656" s="58" t="s">
        <v>1521</v>
      </c>
      <c r="B656" s="59" t="s">
        <v>1522</v>
      </c>
      <c r="C656">
        <v>6</v>
      </c>
      <c r="D656" t="str">
        <f>+VLOOKUP(AtecoCrisi[[#This Row],[COD. CRISI]],Tabella139[],2,0)</f>
        <v>G45) Commercio autoveicoli; G46) Comm. Ingrosso; D) Distr. Energia/gas</v>
      </c>
      <c r="E656" s="53">
        <f t="shared" si="70"/>
        <v>2.1000000000000001E-2</v>
      </c>
      <c r="F656" s="53">
        <f t="shared" si="71"/>
        <v>6.3E-2</v>
      </c>
      <c r="G656" s="53">
        <f t="shared" si="72"/>
        <v>1.014</v>
      </c>
      <c r="H656" s="53">
        <f t="shared" si="73"/>
        <v>6.0000000000000001E-3</v>
      </c>
      <c r="I656" s="53">
        <f t="shared" si="74"/>
        <v>2.9000000000000001E-2</v>
      </c>
      <c r="L656" t="s">
        <v>1619</v>
      </c>
      <c r="M656" t="str">
        <f t="shared" si="76"/>
        <v>Commercio all'ingrosso di prodotti del tabacco</v>
      </c>
      <c r="N656" t="str">
        <f t="shared" si="75"/>
        <v>G45) Commercio autoveicoli; G46) Comm. Ingrosso; D) Distr. Energia/gas</v>
      </c>
    </row>
    <row r="657" spans="1:14" ht="51">
      <c r="A657" s="58" t="s">
        <v>1523</v>
      </c>
      <c r="B657" s="59" t="s">
        <v>1524</v>
      </c>
      <c r="C657">
        <v>6</v>
      </c>
      <c r="D657" t="str">
        <f>+VLOOKUP(AtecoCrisi[[#This Row],[COD. CRISI]],Tabella139[],2,0)</f>
        <v>G45) Commercio autoveicoli; G46) Comm. Ingrosso; D) Distr. Energia/gas</v>
      </c>
      <c r="E657" s="53">
        <f t="shared" si="70"/>
        <v>2.1000000000000001E-2</v>
      </c>
      <c r="F657" s="53">
        <f t="shared" si="71"/>
        <v>6.3E-2</v>
      </c>
      <c r="G657" s="53">
        <f t="shared" si="72"/>
        <v>1.014</v>
      </c>
      <c r="H657" s="53">
        <f t="shared" si="73"/>
        <v>6.0000000000000001E-3</v>
      </c>
      <c r="I657" s="53">
        <f t="shared" si="74"/>
        <v>2.9000000000000001E-2</v>
      </c>
      <c r="L657" t="s">
        <v>1621</v>
      </c>
      <c r="M657" t="str">
        <f t="shared" si="76"/>
        <v>Commercio all'ingrosso di zucchero, cioccolato, dolciumi e prodotti da forno</v>
      </c>
      <c r="N657" t="str">
        <f t="shared" si="75"/>
        <v>G45) Commercio autoveicoli; G46) Comm. Ingrosso; D) Distr. Energia/gas</v>
      </c>
    </row>
    <row r="658" spans="1:14" ht="89.25">
      <c r="A658" s="58" t="s">
        <v>1525</v>
      </c>
      <c r="B658" s="59" t="s">
        <v>1526</v>
      </c>
      <c r="C658">
        <v>6</v>
      </c>
      <c r="D658" t="str">
        <f>+VLOOKUP(AtecoCrisi[[#This Row],[COD. CRISI]],Tabella139[],2,0)</f>
        <v>G45) Commercio autoveicoli; G46) Comm. Ingrosso; D) Distr. Energia/gas</v>
      </c>
      <c r="E658" s="53">
        <f t="shared" si="70"/>
        <v>2.1000000000000001E-2</v>
      </c>
      <c r="F658" s="53">
        <f t="shared" si="71"/>
        <v>6.3E-2</v>
      </c>
      <c r="G658" s="53">
        <f t="shared" si="72"/>
        <v>1.014</v>
      </c>
      <c r="H658" s="53">
        <f t="shared" si="73"/>
        <v>6.0000000000000001E-3</v>
      </c>
      <c r="I658" s="53">
        <f t="shared" si="74"/>
        <v>2.9000000000000001E-2</v>
      </c>
      <c r="L658" t="s">
        <v>1623</v>
      </c>
      <c r="M658" t="str">
        <f t="shared" si="76"/>
        <v>Commercio all'ingrosso di caffè</v>
      </c>
      <c r="N658" t="str">
        <f t="shared" si="75"/>
        <v>G45) Commercio autoveicoli; G46) Comm. Ingrosso; D) Distr. Energia/gas</v>
      </c>
    </row>
    <row r="659" spans="1:14" ht="51">
      <c r="A659" s="58" t="s">
        <v>1527</v>
      </c>
      <c r="B659" s="59" t="s">
        <v>1528</v>
      </c>
      <c r="C659">
        <v>6</v>
      </c>
      <c r="D659" t="str">
        <f>+VLOOKUP(AtecoCrisi[[#This Row],[COD. CRISI]],Tabella139[],2,0)</f>
        <v>G45) Commercio autoveicoli; G46) Comm. Ingrosso; D) Distr. Energia/gas</v>
      </c>
      <c r="E659" s="53">
        <f t="shared" si="70"/>
        <v>2.1000000000000001E-2</v>
      </c>
      <c r="F659" s="53">
        <f t="shared" si="71"/>
        <v>6.3E-2</v>
      </c>
      <c r="G659" s="53">
        <f t="shared" si="72"/>
        <v>1.014</v>
      </c>
      <c r="H659" s="53">
        <f t="shared" si="73"/>
        <v>6.0000000000000001E-3</v>
      </c>
      <c r="I659" s="53">
        <f t="shared" si="74"/>
        <v>2.9000000000000001E-2</v>
      </c>
      <c r="L659" t="s">
        <v>1625</v>
      </c>
      <c r="M659" t="str">
        <f t="shared" si="76"/>
        <v>Commercio all'ingrosso di tè, cacao e spezie</v>
      </c>
      <c r="N659" t="str">
        <f t="shared" si="75"/>
        <v>G45) Commercio autoveicoli; G46) Comm. Ingrosso; D) Distr. Energia/gas</v>
      </c>
    </row>
    <row r="660" spans="1:14" ht="89.25">
      <c r="A660" s="58" t="s">
        <v>1529</v>
      </c>
      <c r="B660" s="59" t="s">
        <v>1530</v>
      </c>
      <c r="C660">
        <v>6</v>
      </c>
      <c r="D660" t="str">
        <f>+VLOOKUP(AtecoCrisi[[#This Row],[COD. CRISI]],Tabella139[],2,0)</f>
        <v>G45) Commercio autoveicoli; G46) Comm. Ingrosso; D) Distr. Energia/gas</v>
      </c>
      <c r="E660" s="53">
        <f t="shared" si="70"/>
        <v>2.1000000000000001E-2</v>
      </c>
      <c r="F660" s="53">
        <f t="shared" si="71"/>
        <v>6.3E-2</v>
      </c>
      <c r="G660" s="53">
        <f t="shared" si="72"/>
        <v>1.014</v>
      </c>
      <c r="H660" s="53">
        <f t="shared" si="73"/>
        <v>6.0000000000000001E-3</v>
      </c>
      <c r="I660" s="53">
        <f t="shared" si="74"/>
        <v>2.9000000000000001E-2</v>
      </c>
      <c r="L660" t="s">
        <v>1627</v>
      </c>
      <c r="M660" t="str">
        <f t="shared" si="76"/>
        <v>Commercio all'ingrosso di prodotti della pesca freschi</v>
      </c>
      <c r="N660" t="str">
        <f t="shared" si="75"/>
        <v>G45) Commercio autoveicoli; G46) Comm. Ingrosso; D) Distr. Energia/gas</v>
      </c>
    </row>
    <row r="661" spans="1:14" ht="102">
      <c r="A661" s="58" t="s">
        <v>1531</v>
      </c>
      <c r="B661" s="59" t="s">
        <v>1532</v>
      </c>
      <c r="C661">
        <v>6</v>
      </c>
      <c r="D661" t="str">
        <f>+VLOOKUP(AtecoCrisi[[#This Row],[COD. CRISI]],Tabella139[],2,0)</f>
        <v>G45) Commercio autoveicoli; G46) Comm. Ingrosso; D) Distr. Energia/gas</v>
      </c>
      <c r="E661" s="53">
        <f t="shared" si="70"/>
        <v>2.1000000000000001E-2</v>
      </c>
      <c r="F661" s="53">
        <f t="shared" si="71"/>
        <v>6.3E-2</v>
      </c>
      <c r="G661" s="53">
        <f t="shared" si="72"/>
        <v>1.014</v>
      </c>
      <c r="H661" s="53">
        <f t="shared" si="73"/>
        <v>6.0000000000000001E-3</v>
      </c>
      <c r="I661" s="53">
        <f t="shared" si="74"/>
        <v>2.9000000000000001E-2</v>
      </c>
      <c r="L661" t="s">
        <v>1629</v>
      </c>
      <c r="M661" t="str">
        <f t="shared" si="76"/>
        <v>Commercio all'ingrosso di prodotti della pesca congelati, surgelati, conservati, secchi</v>
      </c>
      <c r="N661" t="str">
        <f t="shared" si="75"/>
        <v>G45) Commercio autoveicoli; G46) Comm. Ingrosso; D) Distr. Energia/gas</v>
      </c>
    </row>
    <row r="662" spans="1:14" ht="51">
      <c r="A662" s="58" t="s">
        <v>1533</v>
      </c>
      <c r="B662" s="59" t="s">
        <v>1534</v>
      </c>
      <c r="C662">
        <v>6</v>
      </c>
      <c r="D662" t="str">
        <f>+VLOOKUP(AtecoCrisi[[#This Row],[COD. CRISI]],Tabella139[],2,0)</f>
        <v>G45) Commercio autoveicoli; G46) Comm. Ingrosso; D) Distr. Energia/gas</v>
      </c>
      <c r="E662" s="53">
        <f t="shared" si="70"/>
        <v>2.1000000000000001E-2</v>
      </c>
      <c r="F662" s="53">
        <f t="shared" si="71"/>
        <v>6.3E-2</v>
      </c>
      <c r="G662" s="53">
        <f t="shared" si="72"/>
        <v>1.014</v>
      </c>
      <c r="H662" s="53">
        <f t="shared" si="73"/>
        <v>6.0000000000000001E-3</v>
      </c>
      <c r="I662" s="53">
        <f t="shared" si="74"/>
        <v>2.9000000000000001E-2</v>
      </c>
      <c r="L662" t="s">
        <v>1631</v>
      </c>
      <c r="M662" t="str">
        <f t="shared" si="76"/>
        <v>Commercio all'ingrosso di pasti e piatti pronti</v>
      </c>
      <c r="N662" t="str">
        <f t="shared" si="75"/>
        <v>G45) Commercio autoveicoli; G46) Comm. Ingrosso; D) Distr. Energia/gas</v>
      </c>
    </row>
    <row r="663" spans="1:14" ht="38.25">
      <c r="A663" s="58" t="s">
        <v>1535</v>
      </c>
      <c r="B663" s="59" t="s">
        <v>1536</v>
      </c>
      <c r="C663">
        <v>6</v>
      </c>
      <c r="D663" t="str">
        <f>+VLOOKUP(AtecoCrisi[[#This Row],[COD. CRISI]],Tabella139[],2,0)</f>
        <v>G45) Commercio autoveicoli; G46) Comm. Ingrosso; D) Distr. Energia/gas</v>
      </c>
      <c r="E663" s="53">
        <f t="shared" si="70"/>
        <v>2.1000000000000001E-2</v>
      </c>
      <c r="F663" s="53">
        <f t="shared" si="71"/>
        <v>6.3E-2</v>
      </c>
      <c r="G663" s="53">
        <f t="shared" si="72"/>
        <v>1.014</v>
      </c>
      <c r="H663" s="53">
        <f t="shared" si="73"/>
        <v>6.0000000000000001E-3</v>
      </c>
      <c r="I663" s="53">
        <f t="shared" si="74"/>
        <v>2.9000000000000001E-2</v>
      </c>
      <c r="L663" t="s">
        <v>1633</v>
      </c>
      <c r="M663" t="str">
        <f t="shared" si="76"/>
        <v>Commercio all'ingrosso di altri prodotti alimentari</v>
      </c>
      <c r="N663" t="str">
        <f t="shared" si="75"/>
        <v>G45) Commercio autoveicoli; G46) Comm. Ingrosso; D) Distr. Energia/gas</v>
      </c>
    </row>
    <row r="664" spans="1:14" ht="89.25">
      <c r="A664" s="58" t="s">
        <v>1537</v>
      </c>
      <c r="B664" s="59" t="s">
        <v>1538</v>
      </c>
      <c r="C664">
        <v>6</v>
      </c>
      <c r="D664" t="str">
        <f>+VLOOKUP(AtecoCrisi[[#This Row],[COD. CRISI]],Tabella139[],2,0)</f>
        <v>G45) Commercio autoveicoli; G46) Comm. Ingrosso; D) Distr. Energia/gas</v>
      </c>
      <c r="E664" s="53">
        <f t="shared" si="70"/>
        <v>2.1000000000000001E-2</v>
      </c>
      <c r="F664" s="53">
        <f t="shared" si="71"/>
        <v>6.3E-2</v>
      </c>
      <c r="G664" s="53">
        <f t="shared" si="72"/>
        <v>1.014</v>
      </c>
      <c r="H664" s="53">
        <f t="shared" si="73"/>
        <v>6.0000000000000001E-3</v>
      </c>
      <c r="I664" s="53">
        <f t="shared" si="74"/>
        <v>2.9000000000000001E-2</v>
      </c>
      <c r="L664" t="s">
        <v>1635</v>
      </c>
      <c r="M664" t="str">
        <f t="shared" si="76"/>
        <v>Commercio all'ingrosso non specializzato di prodotti surgelati</v>
      </c>
      <c r="N664" t="str">
        <f t="shared" si="75"/>
        <v>G45) Commercio autoveicoli; G46) Comm. Ingrosso; D) Distr. Energia/gas</v>
      </c>
    </row>
    <row r="665" spans="1:14" ht="76.5">
      <c r="A665" s="58" t="s">
        <v>1539</v>
      </c>
      <c r="B665" s="59" t="s">
        <v>1540</v>
      </c>
      <c r="C665">
        <v>6</v>
      </c>
      <c r="D665" t="str">
        <f>+VLOOKUP(AtecoCrisi[[#This Row],[COD. CRISI]],Tabella139[],2,0)</f>
        <v>G45) Commercio autoveicoli; G46) Comm. Ingrosso; D) Distr. Energia/gas</v>
      </c>
      <c r="E665" s="53">
        <f t="shared" si="70"/>
        <v>2.1000000000000001E-2</v>
      </c>
      <c r="F665" s="53">
        <f t="shared" si="71"/>
        <v>6.3E-2</v>
      </c>
      <c r="G665" s="53">
        <f t="shared" si="72"/>
        <v>1.014</v>
      </c>
      <c r="H665" s="53">
        <f t="shared" si="73"/>
        <v>6.0000000000000001E-3</v>
      </c>
      <c r="I665" s="53">
        <f t="shared" si="74"/>
        <v>2.9000000000000001E-2</v>
      </c>
      <c r="L665" t="s">
        <v>1637</v>
      </c>
      <c r="M665" t="str">
        <f t="shared" si="76"/>
        <v>Commercio all'ingrosso non specializzato di altri prodotti alimentari, bevande e tabacco</v>
      </c>
      <c r="N665" t="str">
        <f t="shared" si="75"/>
        <v>G45) Commercio autoveicoli; G46) Comm. Ingrosso; D) Distr. Energia/gas</v>
      </c>
    </row>
    <row r="666" spans="1:14" ht="51">
      <c r="A666" s="58" t="s">
        <v>1541</v>
      </c>
      <c r="B666" s="59" t="s">
        <v>1542</v>
      </c>
      <c r="C666">
        <v>6</v>
      </c>
      <c r="D666" t="str">
        <f>+VLOOKUP(AtecoCrisi[[#This Row],[COD. CRISI]],Tabella139[],2,0)</f>
        <v>G45) Commercio autoveicoli; G46) Comm. Ingrosso; D) Distr. Energia/gas</v>
      </c>
      <c r="E666" s="53">
        <f t="shared" si="70"/>
        <v>2.1000000000000001E-2</v>
      </c>
      <c r="F666" s="53">
        <f t="shared" si="71"/>
        <v>6.3E-2</v>
      </c>
      <c r="G666" s="53">
        <f t="shared" si="72"/>
        <v>1.014</v>
      </c>
      <c r="H666" s="53">
        <f t="shared" si="73"/>
        <v>6.0000000000000001E-3</v>
      </c>
      <c r="I666" s="53">
        <f t="shared" si="74"/>
        <v>2.9000000000000001E-2</v>
      </c>
      <c r="L666" t="s">
        <v>1639</v>
      </c>
      <c r="M666" t="str">
        <f t="shared" si="76"/>
        <v>Commercio all'ingrosso di tessuti</v>
      </c>
      <c r="N666" t="str">
        <f t="shared" si="75"/>
        <v>G45) Commercio autoveicoli; G46) Comm. Ingrosso; D) Distr. Energia/gas</v>
      </c>
    </row>
    <row r="667" spans="1:14" ht="38.25">
      <c r="A667" s="58" t="s">
        <v>1543</v>
      </c>
      <c r="B667" s="59" t="s">
        <v>1544</v>
      </c>
      <c r="C667">
        <v>6</v>
      </c>
      <c r="D667" t="str">
        <f>+VLOOKUP(AtecoCrisi[[#This Row],[COD. CRISI]],Tabella139[],2,0)</f>
        <v>G45) Commercio autoveicoli; G46) Comm. Ingrosso; D) Distr. Energia/gas</v>
      </c>
      <c r="E667" s="53">
        <f t="shared" si="70"/>
        <v>2.1000000000000001E-2</v>
      </c>
      <c r="F667" s="53">
        <f t="shared" si="71"/>
        <v>6.3E-2</v>
      </c>
      <c r="G667" s="53">
        <f t="shared" si="72"/>
        <v>1.014</v>
      </c>
      <c r="H667" s="53">
        <f t="shared" si="73"/>
        <v>6.0000000000000001E-3</v>
      </c>
      <c r="I667" s="53">
        <f t="shared" si="74"/>
        <v>2.9000000000000001E-2</v>
      </c>
      <c r="L667" t="s">
        <v>1641</v>
      </c>
      <c r="M667" t="str">
        <f t="shared" si="76"/>
        <v>Commercio all'ingrosso di articoli di merceria, filati e passamaneria</v>
      </c>
      <c r="N667" t="str">
        <f t="shared" si="75"/>
        <v>G45) Commercio autoveicoli; G46) Comm. Ingrosso; D) Distr. Energia/gas</v>
      </c>
    </row>
    <row r="668" spans="1:14" ht="89.25">
      <c r="A668" s="58" t="s">
        <v>1545</v>
      </c>
      <c r="B668" s="59" t="s">
        <v>1546</v>
      </c>
      <c r="C668">
        <v>6</v>
      </c>
      <c r="D668" t="str">
        <f>+VLOOKUP(AtecoCrisi[[#This Row],[COD. CRISI]],Tabella139[],2,0)</f>
        <v>G45) Commercio autoveicoli; G46) Comm. Ingrosso; D) Distr. Energia/gas</v>
      </c>
      <c r="E668" s="53">
        <f t="shared" si="70"/>
        <v>2.1000000000000001E-2</v>
      </c>
      <c r="F668" s="53">
        <f t="shared" si="71"/>
        <v>6.3E-2</v>
      </c>
      <c r="G668" s="53">
        <f t="shared" si="72"/>
        <v>1.014</v>
      </c>
      <c r="H668" s="53">
        <f t="shared" si="73"/>
        <v>6.0000000000000001E-3</v>
      </c>
      <c r="I668" s="53">
        <f t="shared" si="74"/>
        <v>2.9000000000000001E-2</v>
      </c>
      <c r="L668" t="s">
        <v>1643</v>
      </c>
      <c r="M668" t="str">
        <f t="shared" si="76"/>
        <v>Commercio all'ingrosso di altri articoli tessili</v>
      </c>
      <c r="N668" t="str">
        <f t="shared" si="75"/>
        <v>G45) Commercio autoveicoli; G46) Comm. Ingrosso; D) Distr. Energia/gas</v>
      </c>
    </row>
    <row r="669" spans="1:14" ht="51">
      <c r="A669" s="58" t="s">
        <v>1547</v>
      </c>
      <c r="B669" s="59" t="s">
        <v>1548</v>
      </c>
      <c r="C669">
        <v>6</v>
      </c>
      <c r="D669" t="str">
        <f>+VLOOKUP(AtecoCrisi[[#This Row],[COD. CRISI]],Tabella139[],2,0)</f>
        <v>G45) Commercio autoveicoli; G46) Comm. Ingrosso; D) Distr. Energia/gas</v>
      </c>
      <c r="E669" s="53">
        <f t="shared" si="70"/>
        <v>2.1000000000000001E-2</v>
      </c>
      <c r="F669" s="53">
        <f t="shared" si="71"/>
        <v>6.3E-2</v>
      </c>
      <c r="G669" s="53">
        <f t="shared" si="72"/>
        <v>1.014</v>
      </c>
      <c r="H669" s="53">
        <f t="shared" si="73"/>
        <v>6.0000000000000001E-3</v>
      </c>
      <c r="I669" s="53">
        <f t="shared" si="74"/>
        <v>2.9000000000000001E-2</v>
      </c>
      <c r="L669" t="s">
        <v>1645</v>
      </c>
      <c r="M669" t="str">
        <f t="shared" si="76"/>
        <v>Commercio all'ingrosso di abbigliamento e accessori</v>
      </c>
      <c r="N669" t="str">
        <f t="shared" si="75"/>
        <v>G45) Commercio autoveicoli; G46) Comm. Ingrosso; D) Distr. Energia/gas</v>
      </c>
    </row>
    <row r="670" spans="1:14" ht="102">
      <c r="A670" s="58" t="s">
        <v>1549</v>
      </c>
      <c r="B670" s="59" t="s">
        <v>1550</v>
      </c>
      <c r="C670">
        <v>6</v>
      </c>
      <c r="D670" t="str">
        <f>+VLOOKUP(AtecoCrisi[[#This Row],[COD. CRISI]],Tabella139[],2,0)</f>
        <v>G45) Commercio autoveicoli; G46) Comm. Ingrosso; D) Distr. Energia/gas</v>
      </c>
      <c r="E670" s="53">
        <f t="shared" si="70"/>
        <v>2.1000000000000001E-2</v>
      </c>
      <c r="F670" s="53">
        <f t="shared" si="71"/>
        <v>6.3E-2</v>
      </c>
      <c r="G670" s="53">
        <f t="shared" si="72"/>
        <v>1.014</v>
      </c>
      <c r="H670" s="53">
        <f t="shared" si="73"/>
        <v>6.0000000000000001E-3</v>
      </c>
      <c r="I670" s="53">
        <f t="shared" si="74"/>
        <v>2.9000000000000001E-2</v>
      </c>
      <c r="L670" t="s">
        <v>1647</v>
      </c>
      <c r="M670" t="str">
        <f t="shared" si="76"/>
        <v>Commercio all'ingrosso di articoli in pelliccia</v>
      </c>
      <c r="N670" t="str">
        <f t="shared" si="75"/>
        <v>G45) Commercio autoveicoli; G46) Comm. Ingrosso; D) Distr. Energia/gas</v>
      </c>
    </row>
    <row r="671" spans="1:14" ht="89.25">
      <c r="A671" s="58" t="s">
        <v>1551</v>
      </c>
      <c r="B671" s="59" t="s">
        <v>1552</v>
      </c>
      <c r="C671">
        <v>6</v>
      </c>
      <c r="D671" t="str">
        <f>+VLOOKUP(AtecoCrisi[[#This Row],[COD. CRISI]],Tabella139[],2,0)</f>
        <v>G45) Commercio autoveicoli; G46) Comm. Ingrosso; D) Distr. Energia/gas</v>
      </c>
      <c r="E671" s="53">
        <f t="shared" si="70"/>
        <v>2.1000000000000001E-2</v>
      </c>
      <c r="F671" s="53">
        <f t="shared" si="71"/>
        <v>6.3E-2</v>
      </c>
      <c r="G671" s="53">
        <f t="shared" si="72"/>
        <v>1.014</v>
      </c>
      <c r="H671" s="53">
        <f t="shared" si="73"/>
        <v>6.0000000000000001E-3</v>
      </c>
      <c r="I671" s="53">
        <f t="shared" si="74"/>
        <v>2.9000000000000001E-2</v>
      </c>
      <c r="L671" t="s">
        <v>1649</v>
      </c>
      <c r="M671" t="str">
        <f t="shared" si="76"/>
        <v>Commercio all'ingrosso di camicie, biancheria intima, maglieria e simili</v>
      </c>
      <c r="N671" t="str">
        <f t="shared" si="75"/>
        <v>G45) Commercio autoveicoli; G46) Comm. Ingrosso; D) Distr. Energia/gas</v>
      </c>
    </row>
    <row r="672" spans="1:14" ht="89.25">
      <c r="A672" s="58" t="s">
        <v>1553</v>
      </c>
      <c r="B672" s="59" t="s">
        <v>1554</v>
      </c>
      <c r="C672">
        <v>6</v>
      </c>
      <c r="D672" t="str">
        <f>+VLOOKUP(AtecoCrisi[[#This Row],[COD. CRISI]],Tabella139[],2,0)</f>
        <v>G45) Commercio autoveicoli; G46) Comm. Ingrosso; D) Distr. Energia/gas</v>
      </c>
      <c r="E672" s="53">
        <f t="shared" si="70"/>
        <v>2.1000000000000001E-2</v>
      </c>
      <c r="F672" s="53">
        <f t="shared" si="71"/>
        <v>6.3E-2</v>
      </c>
      <c r="G672" s="53">
        <f t="shared" si="72"/>
        <v>1.014</v>
      </c>
      <c r="H672" s="53">
        <f t="shared" si="73"/>
        <v>6.0000000000000001E-3</v>
      </c>
      <c r="I672" s="53">
        <f t="shared" si="74"/>
        <v>2.9000000000000001E-2</v>
      </c>
      <c r="L672" t="s">
        <v>1651</v>
      </c>
      <c r="M672" t="str">
        <f t="shared" si="76"/>
        <v>Commercio all'ingrosso di calzature e accessori</v>
      </c>
      <c r="N672" t="str">
        <f t="shared" si="75"/>
        <v>G45) Commercio autoveicoli; G46) Comm. Ingrosso; D) Distr. Energia/gas</v>
      </c>
    </row>
    <row r="673" spans="1:14" ht="102">
      <c r="A673" s="58" t="s">
        <v>1555</v>
      </c>
      <c r="B673" s="59" t="s">
        <v>1556</v>
      </c>
      <c r="C673">
        <v>6</v>
      </c>
      <c r="D673" t="str">
        <f>+VLOOKUP(AtecoCrisi[[#This Row],[COD. CRISI]],Tabella139[],2,0)</f>
        <v>G45) Commercio autoveicoli; G46) Comm. Ingrosso; D) Distr. Energia/gas</v>
      </c>
      <c r="E673" s="53">
        <f t="shared" si="70"/>
        <v>2.1000000000000001E-2</v>
      </c>
      <c r="F673" s="53">
        <f t="shared" si="71"/>
        <v>6.3E-2</v>
      </c>
      <c r="G673" s="53">
        <f t="shared" si="72"/>
        <v>1.014</v>
      </c>
      <c r="H673" s="53">
        <f t="shared" si="73"/>
        <v>6.0000000000000001E-3</v>
      </c>
      <c r="I673" s="53">
        <f t="shared" si="74"/>
        <v>2.9000000000000001E-2</v>
      </c>
      <c r="L673" t="s">
        <v>1653</v>
      </c>
      <c r="M673" t="str">
        <f t="shared" si="76"/>
        <v>Commercio all'ingrosso di elettrodomestici, di elettronica di consumo audio e video</v>
      </c>
      <c r="N673" t="str">
        <f t="shared" si="75"/>
        <v>G45) Commercio autoveicoli; G46) Comm. Ingrosso; D) Distr. Energia/gas</v>
      </c>
    </row>
    <row r="674" spans="1:14" ht="127.5">
      <c r="A674" s="58" t="s">
        <v>1557</v>
      </c>
      <c r="B674" s="59" t="s">
        <v>1558</v>
      </c>
      <c r="C674">
        <v>6</v>
      </c>
      <c r="D674" t="str">
        <f>+VLOOKUP(AtecoCrisi[[#This Row],[COD. CRISI]],Tabella139[],2,0)</f>
        <v>G45) Commercio autoveicoli; G46) Comm. Ingrosso; D) Distr. Energia/gas</v>
      </c>
      <c r="E674" s="53">
        <f t="shared" si="70"/>
        <v>2.1000000000000001E-2</v>
      </c>
      <c r="F674" s="53">
        <f t="shared" si="71"/>
        <v>6.3E-2</v>
      </c>
      <c r="G674" s="53">
        <f t="shared" si="72"/>
        <v>1.014</v>
      </c>
      <c r="H674" s="53">
        <f t="shared" si="73"/>
        <v>6.0000000000000001E-3</v>
      </c>
      <c r="I674" s="53">
        <f t="shared" si="74"/>
        <v>2.9000000000000001E-2</v>
      </c>
      <c r="L674" t="s">
        <v>1655</v>
      </c>
      <c r="M674" t="str">
        <f t="shared" si="76"/>
        <v>Commercio all'ingrosso di supporti registrati, audio, video (Cd, Dvd e altri supporti)</v>
      </c>
      <c r="N674" t="str">
        <f t="shared" si="75"/>
        <v>G45) Commercio autoveicoli; G46) Comm. Ingrosso; D) Distr. Energia/gas</v>
      </c>
    </row>
    <row r="675" spans="1:14" ht="51">
      <c r="A675" s="58" t="s">
        <v>1559</v>
      </c>
      <c r="B675" s="59" t="s">
        <v>1560</v>
      </c>
      <c r="C675">
        <v>6</v>
      </c>
      <c r="D675" t="str">
        <f>+VLOOKUP(AtecoCrisi[[#This Row],[COD. CRISI]],Tabella139[],2,0)</f>
        <v>G45) Commercio autoveicoli; G46) Comm. Ingrosso; D) Distr. Energia/gas</v>
      </c>
      <c r="E675" s="53">
        <f t="shared" si="70"/>
        <v>2.1000000000000001E-2</v>
      </c>
      <c r="F675" s="53">
        <f t="shared" si="71"/>
        <v>6.3E-2</v>
      </c>
      <c r="G675" s="53">
        <f t="shared" si="72"/>
        <v>1.014</v>
      </c>
      <c r="H675" s="53">
        <f t="shared" si="73"/>
        <v>6.0000000000000001E-3</v>
      </c>
      <c r="I675" s="53">
        <f t="shared" si="74"/>
        <v>2.9000000000000001E-2</v>
      </c>
      <c r="L675" t="s">
        <v>1657</v>
      </c>
      <c r="M675" t="str">
        <f t="shared" si="76"/>
        <v>Commercio all'ingrosso di articoli per fotografia, cinematografia e ottica</v>
      </c>
      <c r="N675" t="str">
        <f t="shared" si="75"/>
        <v>G45) Commercio autoveicoli; G46) Comm. Ingrosso; D) Distr. Energia/gas</v>
      </c>
    </row>
    <row r="676" spans="1:14" ht="51">
      <c r="A676" s="58" t="s">
        <v>1561</v>
      </c>
      <c r="B676" s="59" t="s">
        <v>1562</v>
      </c>
      <c r="C676">
        <v>6</v>
      </c>
      <c r="D676" t="str">
        <f>+VLOOKUP(AtecoCrisi[[#This Row],[COD. CRISI]],Tabella139[],2,0)</f>
        <v>G45) Commercio autoveicoli; G46) Comm. Ingrosso; D) Distr. Energia/gas</v>
      </c>
      <c r="E676" s="53">
        <f t="shared" si="70"/>
        <v>2.1000000000000001E-2</v>
      </c>
      <c r="F676" s="53">
        <f t="shared" si="71"/>
        <v>6.3E-2</v>
      </c>
      <c r="G676" s="53">
        <f t="shared" si="72"/>
        <v>1.014</v>
      </c>
      <c r="H676" s="53">
        <f t="shared" si="73"/>
        <v>6.0000000000000001E-3</v>
      </c>
      <c r="I676" s="53">
        <f t="shared" si="74"/>
        <v>2.9000000000000001E-2</v>
      </c>
      <c r="L676" t="s">
        <v>1659</v>
      </c>
      <c r="M676" t="str">
        <f t="shared" si="76"/>
        <v>Commercio all'ingrosso di vetreria e cristalleria</v>
      </c>
      <c r="N676" t="str">
        <f t="shared" si="75"/>
        <v>G45) Commercio autoveicoli; G46) Comm. Ingrosso; D) Distr. Energia/gas</v>
      </c>
    </row>
    <row r="677" spans="1:14" ht="51">
      <c r="A677" s="58" t="s">
        <v>1563</v>
      </c>
      <c r="B677" s="59" t="s">
        <v>1564</v>
      </c>
      <c r="C677">
        <v>6</v>
      </c>
      <c r="D677" t="str">
        <f>+VLOOKUP(AtecoCrisi[[#This Row],[COD. CRISI]],Tabella139[],2,0)</f>
        <v>G45) Commercio autoveicoli; G46) Comm. Ingrosso; D) Distr. Energia/gas</v>
      </c>
      <c r="E677" s="53">
        <f t="shared" si="70"/>
        <v>2.1000000000000001E-2</v>
      </c>
      <c r="F677" s="53">
        <f t="shared" si="71"/>
        <v>6.3E-2</v>
      </c>
      <c r="G677" s="53">
        <f t="shared" si="72"/>
        <v>1.014</v>
      </c>
      <c r="H677" s="53">
        <f t="shared" si="73"/>
        <v>6.0000000000000001E-3</v>
      </c>
      <c r="I677" s="53">
        <f t="shared" si="74"/>
        <v>2.9000000000000001E-2</v>
      </c>
      <c r="L677" t="s">
        <v>1661</v>
      </c>
      <c r="M677" t="str">
        <f t="shared" si="76"/>
        <v>Commercio all'ingrosso di ceramiche e porcellana</v>
      </c>
      <c r="N677" t="str">
        <f t="shared" si="75"/>
        <v>G45) Commercio autoveicoli; G46) Comm. Ingrosso; D) Distr. Energia/gas</v>
      </c>
    </row>
    <row r="678" spans="1:14" ht="76.5">
      <c r="A678" s="58" t="s">
        <v>1565</v>
      </c>
      <c r="B678" s="59" t="s">
        <v>1566</v>
      </c>
      <c r="C678">
        <v>6</v>
      </c>
      <c r="D678" t="str">
        <f>+VLOOKUP(AtecoCrisi[[#This Row],[COD. CRISI]],Tabella139[],2,0)</f>
        <v>G45) Commercio autoveicoli; G46) Comm. Ingrosso; D) Distr. Energia/gas</v>
      </c>
      <c r="E678" s="53">
        <f t="shared" si="70"/>
        <v>2.1000000000000001E-2</v>
      </c>
      <c r="F678" s="53">
        <f t="shared" si="71"/>
        <v>6.3E-2</v>
      </c>
      <c r="G678" s="53">
        <f t="shared" si="72"/>
        <v>1.014</v>
      </c>
      <c r="H678" s="53">
        <f t="shared" si="73"/>
        <v>6.0000000000000001E-3</v>
      </c>
      <c r="I678" s="53">
        <f t="shared" si="74"/>
        <v>2.9000000000000001E-2</v>
      </c>
      <c r="L678" t="s">
        <v>1663</v>
      </c>
      <c r="M678" t="str">
        <f t="shared" si="76"/>
        <v>Commercio all'ingrosso di saponi, detersivi e altri prodotti per la pulizia</v>
      </c>
      <c r="N678" t="str">
        <f t="shared" si="75"/>
        <v>G45) Commercio autoveicoli; G46) Comm. Ingrosso; D) Distr. Energia/gas</v>
      </c>
    </row>
    <row r="679" spans="1:14" ht="89.25">
      <c r="A679" s="58" t="s">
        <v>1567</v>
      </c>
      <c r="B679" s="59" t="s">
        <v>1568</v>
      </c>
      <c r="C679">
        <v>6</v>
      </c>
      <c r="D679" t="str">
        <f>+VLOOKUP(AtecoCrisi[[#This Row],[COD. CRISI]],Tabella139[],2,0)</f>
        <v>G45) Commercio autoveicoli; G46) Comm. Ingrosso; D) Distr. Energia/gas</v>
      </c>
      <c r="E679" s="53">
        <f t="shared" si="70"/>
        <v>2.1000000000000001E-2</v>
      </c>
      <c r="F679" s="53">
        <f t="shared" si="71"/>
        <v>6.3E-2</v>
      </c>
      <c r="G679" s="53">
        <f t="shared" si="72"/>
        <v>1.014</v>
      </c>
      <c r="H679" s="53">
        <f t="shared" si="73"/>
        <v>6.0000000000000001E-3</v>
      </c>
      <c r="I679" s="53">
        <f t="shared" si="74"/>
        <v>2.9000000000000001E-2</v>
      </c>
      <c r="L679" t="s">
        <v>1665</v>
      </c>
      <c r="M679" t="str">
        <f t="shared" si="76"/>
        <v>Commercio all'ingrosso di coltelleria, posateria e pentolame</v>
      </c>
      <c r="N679" t="str">
        <f t="shared" si="75"/>
        <v>G45) Commercio autoveicoli; G46) Comm. Ingrosso; D) Distr. Energia/gas</v>
      </c>
    </row>
    <row r="680" spans="1:14" ht="63.75">
      <c r="A680" s="58" t="s">
        <v>1569</v>
      </c>
      <c r="B680" s="59" t="s">
        <v>1570</v>
      </c>
      <c r="C680">
        <v>6</v>
      </c>
      <c r="D680" t="str">
        <f>+VLOOKUP(AtecoCrisi[[#This Row],[COD. CRISI]],Tabella139[],2,0)</f>
        <v>G45) Commercio autoveicoli; G46) Comm. Ingrosso; D) Distr. Energia/gas</v>
      </c>
      <c r="E680" s="53">
        <f t="shared" si="70"/>
        <v>2.1000000000000001E-2</v>
      </c>
      <c r="F680" s="53">
        <f t="shared" si="71"/>
        <v>6.3E-2</v>
      </c>
      <c r="G680" s="53">
        <f t="shared" si="72"/>
        <v>1.014</v>
      </c>
      <c r="H680" s="53">
        <f t="shared" si="73"/>
        <v>6.0000000000000001E-3</v>
      </c>
      <c r="I680" s="53">
        <f t="shared" si="74"/>
        <v>2.9000000000000001E-2</v>
      </c>
      <c r="L680" t="s">
        <v>1667</v>
      </c>
      <c r="M680" t="str">
        <f t="shared" si="76"/>
        <v>Commercio all'ingrosso di profumi e cosmetici</v>
      </c>
      <c r="N680" t="str">
        <f t="shared" si="75"/>
        <v>G45) Commercio autoveicoli; G46) Comm. Ingrosso; D) Distr. Energia/gas</v>
      </c>
    </row>
    <row r="681" spans="1:14" ht="38.25">
      <c r="A681" s="58" t="s">
        <v>1571</v>
      </c>
      <c r="B681" s="59" t="s">
        <v>1572</v>
      </c>
      <c r="C681">
        <v>6</v>
      </c>
      <c r="D681" t="str">
        <f>+VLOOKUP(AtecoCrisi[[#This Row],[COD. CRISI]],Tabella139[],2,0)</f>
        <v>G45) Commercio autoveicoli; G46) Comm. Ingrosso; D) Distr. Energia/gas</v>
      </c>
      <c r="E681" s="53">
        <f t="shared" si="70"/>
        <v>2.1000000000000001E-2</v>
      </c>
      <c r="F681" s="53">
        <f t="shared" si="71"/>
        <v>6.3E-2</v>
      </c>
      <c r="G681" s="53">
        <f t="shared" si="72"/>
        <v>1.014</v>
      </c>
      <c r="H681" s="53">
        <f t="shared" si="73"/>
        <v>6.0000000000000001E-3</v>
      </c>
      <c r="I681" s="53">
        <f t="shared" si="74"/>
        <v>2.9000000000000001E-2</v>
      </c>
      <c r="L681" t="s">
        <v>1669</v>
      </c>
      <c r="M681" t="str">
        <f t="shared" si="76"/>
        <v>Commercio all'ingrosso di medicinali</v>
      </c>
      <c r="N681" t="str">
        <f t="shared" si="75"/>
        <v>G45) Commercio autoveicoli; G46) Comm. Ingrosso; D) Distr. Energia/gas</v>
      </c>
    </row>
    <row r="682" spans="1:14" ht="51">
      <c r="A682" s="58" t="s">
        <v>1573</v>
      </c>
      <c r="B682" s="59" t="s">
        <v>1574</v>
      </c>
      <c r="C682">
        <v>6</v>
      </c>
      <c r="D682" t="str">
        <f>+VLOOKUP(AtecoCrisi[[#This Row],[COD. CRISI]],Tabella139[],2,0)</f>
        <v>G45) Commercio autoveicoli; G46) Comm. Ingrosso; D) Distr. Energia/gas</v>
      </c>
      <c r="E682" s="53">
        <f t="shared" si="70"/>
        <v>2.1000000000000001E-2</v>
      </c>
      <c r="F682" s="53">
        <f t="shared" si="71"/>
        <v>6.3E-2</v>
      </c>
      <c r="G682" s="53">
        <f t="shared" si="72"/>
        <v>1.014</v>
      </c>
      <c r="H682" s="53">
        <f t="shared" si="73"/>
        <v>6.0000000000000001E-3</v>
      </c>
      <c r="I682" s="53">
        <f t="shared" si="74"/>
        <v>2.9000000000000001E-2</v>
      </c>
      <c r="L682" t="s">
        <v>1671</v>
      </c>
      <c r="M682" t="str">
        <f t="shared" si="76"/>
        <v>Commercio all'ingrosso di prodotti botanici per uso farmaceutico</v>
      </c>
      <c r="N682" t="str">
        <f t="shared" si="75"/>
        <v>G45) Commercio autoveicoli; G46) Comm. Ingrosso; D) Distr. Energia/gas</v>
      </c>
    </row>
    <row r="683" spans="1:14" ht="127.5">
      <c r="A683" s="58" t="s">
        <v>1575</v>
      </c>
      <c r="B683" s="59" t="s">
        <v>1576</v>
      </c>
      <c r="C683">
        <v>6</v>
      </c>
      <c r="D683" t="str">
        <f>+VLOOKUP(AtecoCrisi[[#This Row],[COD. CRISI]],Tabella139[],2,0)</f>
        <v>G45) Commercio autoveicoli; G46) Comm. Ingrosso; D) Distr. Energia/gas</v>
      </c>
      <c r="E683" s="53">
        <f t="shared" si="70"/>
        <v>2.1000000000000001E-2</v>
      </c>
      <c r="F683" s="53">
        <f t="shared" si="71"/>
        <v>6.3E-2</v>
      </c>
      <c r="G683" s="53">
        <f t="shared" si="72"/>
        <v>1.014</v>
      </c>
      <c r="H683" s="53">
        <f t="shared" si="73"/>
        <v>6.0000000000000001E-3</v>
      </c>
      <c r="I683" s="53">
        <f t="shared" si="74"/>
        <v>2.9000000000000001E-2</v>
      </c>
      <c r="L683" t="s">
        <v>1673</v>
      </c>
      <c r="M683" t="str">
        <f t="shared" si="76"/>
        <v>Commercio all'ingrosso di articoli medicali ed ortopedici</v>
      </c>
      <c r="N683" t="str">
        <f t="shared" si="75"/>
        <v>G45) Commercio autoveicoli; G46) Comm. Ingrosso; D) Distr. Energia/gas</v>
      </c>
    </row>
    <row r="684" spans="1:14" ht="63.75">
      <c r="A684" s="58" t="s">
        <v>1577</v>
      </c>
      <c r="B684" s="59" t="s">
        <v>1578</v>
      </c>
      <c r="C684">
        <v>6</v>
      </c>
      <c r="D684" t="str">
        <f>+VLOOKUP(AtecoCrisi[[#This Row],[COD. CRISI]],Tabella139[],2,0)</f>
        <v>G45) Commercio autoveicoli; G46) Comm. Ingrosso; D) Distr. Energia/gas</v>
      </c>
      <c r="E684" s="53">
        <f t="shared" si="70"/>
        <v>2.1000000000000001E-2</v>
      </c>
      <c r="F684" s="53">
        <f t="shared" si="71"/>
        <v>6.3E-2</v>
      </c>
      <c r="G684" s="53">
        <f t="shared" si="72"/>
        <v>1.014</v>
      </c>
      <c r="H684" s="53">
        <f t="shared" si="73"/>
        <v>6.0000000000000001E-3</v>
      </c>
      <c r="I684" s="53">
        <f t="shared" si="74"/>
        <v>2.9000000000000001E-2</v>
      </c>
      <c r="L684" t="s">
        <v>1675</v>
      </c>
      <c r="M684" t="str">
        <f t="shared" si="76"/>
        <v>Commercio all'ingrosso di mobili di qualsiasi materiale</v>
      </c>
      <c r="N684" t="str">
        <f t="shared" si="75"/>
        <v>G45) Commercio autoveicoli; G46) Comm. Ingrosso; D) Distr. Energia/gas</v>
      </c>
    </row>
    <row r="685" spans="1:14" ht="51">
      <c r="A685" s="58" t="s">
        <v>1579</v>
      </c>
      <c r="B685" s="59" t="s">
        <v>1580</v>
      </c>
      <c r="C685">
        <v>6</v>
      </c>
      <c r="D685" t="str">
        <f>+VLOOKUP(AtecoCrisi[[#This Row],[COD. CRISI]],Tabella139[],2,0)</f>
        <v>G45) Commercio autoveicoli; G46) Comm. Ingrosso; D) Distr. Energia/gas</v>
      </c>
      <c r="E685" s="53">
        <f t="shared" si="70"/>
        <v>2.1000000000000001E-2</v>
      </c>
      <c r="F685" s="53">
        <f t="shared" si="71"/>
        <v>6.3E-2</v>
      </c>
      <c r="G685" s="53">
        <f t="shared" si="72"/>
        <v>1.014</v>
      </c>
      <c r="H685" s="53">
        <f t="shared" si="73"/>
        <v>6.0000000000000001E-3</v>
      </c>
      <c r="I685" s="53">
        <f t="shared" si="74"/>
        <v>2.9000000000000001E-2</v>
      </c>
      <c r="L685" t="s">
        <v>1677</v>
      </c>
      <c r="M685" t="str">
        <f t="shared" si="76"/>
        <v>Commercio all'ingrosso di tappeti</v>
      </c>
      <c r="N685" t="str">
        <f t="shared" si="75"/>
        <v>G45) Commercio autoveicoli; G46) Comm. Ingrosso; D) Distr. Energia/gas</v>
      </c>
    </row>
    <row r="686" spans="1:14" ht="63.75">
      <c r="A686" s="58" t="s">
        <v>1581</v>
      </c>
      <c r="B686" s="59" t="s">
        <v>1582</v>
      </c>
      <c r="C686">
        <v>6</v>
      </c>
      <c r="D686" t="str">
        <f>+VLOOKUP(AtecoCrisi[[#This Row],[COD. CRISI]],Tabella139[],2,0)</f>
        <v>G45) Commercio autoveicoli; G46) Comm. Ingrosso; D) Distr. Energia/gas</v>
      </c>
      <c r="E686" s="53">
        <f t="shared" si="70"/>
        <v>2.1000000000000001E-2</v>
      </c>
      <c r="F686" s="53">
        <f t="shared" si="71"/>
        <v>6.3E-2</v>
      </c>
      <c r="G686" s="53">
        <f t="shared" si="72"/>
        <v>1.014</v>
      </c>
      <c r="H686" s="53">
        <f t="shared" si="73"/>
        <v>6.0000000000000001E-3</v>
      </c>
      <c r="I686" s="53">
        <f t="shared" si="74"/>
        <v>2.9000000000000001E-2</v>
      </c>
      <c r="L686" t="s">
        <v>1679</v>
      </c>
      <c r="M686" t="str">
        <f t="shared" si="76"/>
        <v>Commercio all'ingrosso di articoli per l'illuminazione; materiale elettrico vario per uso domestico</v>
      </c>
      <c r="N686" t="str">
        <f t="shared" si="75"/>
        <v>G45) Commercio autoveicoli; G46) Comm. Ingrosso; D) Distr. Energia/gas</v>
      </c>
    </row>
    <row r="687" spans="1:14" ht="63.75">
      <c r="A687" s="58" t="s">
        <v>1583</v>
      </c>
      <c r="B687" s="59" t="s">
        <v>1584</v>
      </c>
      <c r="C687">
        <v>6</v>
      </c>
      <c r="D687" t="str">
        <f>+VLOOKUP(AtecoCrisi[[#This Row],[COD. CRISI]],Tabella139[],2,0)</f>
        <v>G45) Commercio autoveicoli; G46) Comm. Ingrosso; D) Distr. Energia/gas</v>
      </c>
      <c r="E687" s="53">
        <f t="shared" si="70"/>
        <v>2.1000000000000001E-2</v>
      </c>
      <c r="F687" s="53">
        <f t="shared" si="71"/>
        <v>6.3E-2</v>
      </c>
      <c r="G687" s="53">
        <f t="shared" si="72"/>
        <v>1.014</v>
      </c>
      <c r="H687" s="53">
        <f t="shared" si="73"/>
        <v>6.0000000000000001E-3</v>
      </c>
      <c r="I687" s="53">
        <f t="shared" si="74"/>
        <v>2.9000000000000001E-2</v>
      </c>
      <c r="L687" t="s">
        <v>1681</v>
      </c>
      <c r="M687" t="str">
        <f t="shared" si="76"/>
        <v>Commercio all'ingrosso di orologi e di gioielleria</v>
      </c>
      <c r="N687" t="str">
        <f t="shared" si="75"/>
        <v>G45) Commercio autoveicoli; G46) Comm. Ingrosso; D) Distr. Energia/gas</v>
      </c>
    </row>
    <row r="688" spans="1:14" ht="51">
      <c r="A688" s="58" t="s">
        <v>1585</v>
      </c>
      <c r="B688" s="59" t="s">
        <v>1586</v>
      </c>
      <c r="C688">
        <v>6</v>
      </c>
      <c r="D688" t="str">
        <f>+VLOOKUP(AtecoCrisi[[#This Row],[COD. CRISI]],Tabella139[],2,0)</f>
        <v>G45) Commercio autoveicoli; G46) Comm. Ingrosso; D) Distr. Energia/gas</v>
      </c>
      <c r="E688" s="53">
        <f t="shared" si="70"/>
        <v>2.1000000000000001E-2</v>
      </c>
      <c r="F688" s="53">
        <f t="shared" si="71"/>
        <v>6.3E-2</v>
      </c>
      <c r="G688" s="53">
        <f t="shared" si="72"/>
        <v>1.014</v>
      </c>
      <c r="H688" s="53">
        <f t="shared" si="73"/>
        <v>6.0000000000000001E-3</v>
      </c>
      <c r="I688" s="53">
        <f t="shared" si="74"/>
        <v>2.9000000000000001E-2</v>
      </c>
      <c r="L688" t="s">
        <v>1683</v>
      </c>
      <c r="M688" t="str">
        <f t="shared" si="76"/>
        <v>Commercio all'ingrosso di carta, cartone e articoli di cartoleria</v>
      </c>
      <c r="N688" t="str">
        <f t="shared" si="75"/>
        <v>G45) Commercio autoveicoli; G46) Comm. Ingrosso; D) Distr. Energia/gas</v>
      </c>
    </row>
    <row r="689" spans="1:14" ht="38.25">
      <c r="A689" s="58" t="s">
        <v>1587</v>
      </c>
      <c r="B689" s="59" t="s">
        <v>1588</v>
      </c>
      <c r="C689">
        <v>6</v>
      </c>
      <c r="D689" t="str">
        <f>+VLOOKUP(AtecoCrisi[[#This Row],[COD. CRISI]],Tabella139[],2,0)</f>
        <v>G45) Commercio autoveicoli; G46) Comm. Ingrosso; D) Distr. Energia/gas</v>
      </c>
      <c r="E689" s="53">
        <f t="shared" si="70"/>
        <v>2.1000000000000001E-2</v>
      </c>
      <c r="F689" s="53">
        <f t="shared" si="71"/>
        <v>6.3E-2</v>
      </c>
      <c r="G689" s="53">
        <f t="shared" si="72"/>
        <v>1.014</v>
      </c>
      <c r="H689" s="53">
        <f t="shared" si="73"/>
        <v>6.0000000000000001E-3</v>
      </c>
      <c r="I689" s="53">
        <f t="shared" si="74"/>
        <v>2.9000000000000001E-2</v>
      </c>
      <c r="L689" t="s">
        <v>1685</v>
      </c>
      <c r="M689" t="str">
        <f t="shared" si="76"/>
        <v>Commercio all'ingrosso di libri, riviste e giornali</v>
      </c>
      <c r="N689" t="str">
        <f t="shared" si="75"/>
        <v>G45) Commercio autoveicoli; G46) Comm. Ingrosso; D) Distr. Energia/gas</v>
      </c>
    </row>
    <row r="690" spans="1:14" ht="51">
      <c r="A690" s="58" t="s">
        <v>1589</v>
      </c>
      <c r="B690" s="59" t="s">
        <v>1590</v>
      </c>
      <c r="C690">
        <v>6</v>
      </c>
      <c r="D690" t="str">
        <f>+VLOOKUP(AtecoCrisi[[#This Row],[COD. CRISI]],Tabella139[],2,0)</f>
        <v>G45) Commercio autoveicoli; G46) Comm. Ingrosso; D) Distr. Energia/gas</v>
      </c>
      <c r="E690" s="53">
        <f t="shared" si="70"/>
        <v>2.1000000000000001E-2</v>
      </c>
      <c r="F690" s="53">
        <f t="shared" si="71"/>
        <v>6.3E-2</v>
      </c>
      <c r="G690" s="53">
        <f t="shared" si="72"/>
        <v>1.014</v>
      </c>
      <c r="H690" s="53">
        <f t="shared" si="73"/>
        <v>6.0000000000000001E-3</v>
      </c>
      <c r="I690" s="53">
        <f t="shared" si="74"/>
        <v>2.9000000000000001E-2</v>
      </c>
      <c r="L690" t="s">
        <v>1687</v>
      </c>
      <c r="M690" t="str">
        <f t="shared" si="76"/>
        <v>Commercio all'ingrosso di giochi e giocattoli</v>
      </c>
      <c r="N690" t="str">
        <f t="shared" si="75"/>
        <v>G45) Commercio autoveicoli; G46) Comm. Ingrosso; D) Distr. Energia/gas</v>
      </c>
    </row>
    <row r="691" spans="1:14" ht="38.25">
      <c r="A691" s="58" t="s">
        <v>1591</v>
      </c>
      <c r="B691" s="59" t="s">
        <v>1592</v>
      </c>
      <c r="C691">
        <v>6</v>
      </c>
      <c r="D691" t="str">
        <f>+VLOOKUP(AtecoCrisi[[#This Row],[COD. CRISI]],Tabella139[],2,0)</f>
        <v>G45) Commercio autoveicoli; G46) Comm. Ingrosso; D) Distr. Energia/gas</v>
      </c>
      <c r="E691" s="53">
        <f t="shared" si="70"/>
        <v>2.1000000000000001E-2</v>
      </c>
      <c r="F691" s="53">
        <f t="shared" si="71"/>
        <v>6.3E-2</v>
      </c>
      <c r="G691" s="53">
        <f t="shared" si="72"/>
        <v>1.014</v>
      </c>
      <c r="H691" s="53">
        <f t="shared" si="73"/>
        <v>6.0000000000000001E-3</v>
      </c>
      <c r="I691" s="53">
        <f t="shared" si="74"/>
        <v>2.9000000000000001E-2</v>
      </c>
      <c r="L691" t="s">
        <v>1689</v>
      </c>
      <c r="M691" t="str">
        <f t="shared" si="76"/>
        <v>Commercio all'ingrosso di articoli sportivi (incluse le biciclette)</v>
      </c>
      <c r="N691" t="str">
        <f t="shared" si="75"/>
        <v>G45) Commercio autoveicoli; G46) Comm. Ingrosso; D) Distr. Energia/gas</v>
      </c>
    </row>
    <row r="692" spans="1:14" ht="102">
      <c r="A692" s="58" t="s">
        <v>1593</v>
      </c>
      <c r="B692" s="59" t="s">
        <v>1594</v>
      </c>
      <c r="C692">
        <v>6</v>
      </c>
      <c r="D692" t="str">
        <f>+VLOOKUP(AtecoCrisi[[#This Row],[COD. CRISI]],Tabella139[],2,0)</f>
        <v>G45) Commercio autoveicoli; G46) Comm. Ingrosso; D) Distr. Energia/gas</v>
      </c>
      <c r="E692" s="53">
        <f t="shared" si="70"/>
        <v>2.1000000000000001E-2</v>
      </c>
      <c r="F692" s="53">
        <f t="shared" si="71"/>
        <v>6.3E-2</v>
      </c>
      <c r="G692" s="53">
        <f t="shared" si="72"/>
        <v>1.014</v>
      </c>
      <c r="H692" s="53">
        <f t="shared" si="73"/>
        <v>6.0000000000000001E-3</v>
      </c>
      <c r="I692" s="53">
        <f t="shared" si="74"/>
        <v>2.9000000000000001E-2</v>
      </c>
      <c r="L692" t="s">
        <v>1691</v>
      </c>
      <c r="M692" t="str">
        <f t="shared" si="76"/>
        <v>Commercio all'ingrosso di articoli in pelle; articoli da viaggio in qualsiasi materiale</v>
      </c>
      <c r="N692" t="str">
        <f t="shared" si="75"/>
        <v>G45) Commercio autoveicoli; G46) Comm. Ingrosso; D) Distr. Energia/gas</v>
      </c>
    </row>
    <row r="693" spans="1:14" ht="38.25">
      <c r="A693" s="58" t="s">
        <v>1595</v>
      </c>
      <c r="B693" s="59" t="s">
        <v>1596</v>
      </c>
      <c r="C693">
        <v>6</v>
      </c>
      <c r="D693" t="str">
        <f>+VLOOKUP(AtecoCrisi[[#This Row],[COD. CRISI]],Tabella139[],2,0)</f>
        <v>G45) Commercio autoveicoli; G46) Comm. Ingrosso; D) Distr. Energia/gas</v>
      </c>
      <c r="E693" s="53">
        <f t="shared" si="70"/>
        <v>2.1000000000000001E-2</v>
      </c>
      <c r="F693" s="53">
        <f t="shared" si="71"/>
        <v>6.3E-2</v>
      </c>
      <c r="G693" s="53">
        <f t="shared" si="72"/>
        <v>1.014</v>
      </c>
      <c r="H693" s="53">
        <f t="shared" si="73"/>
        <v>6.0000000000000001E-3</v>
      </c>
      <c r="I693" s="53">
        <f t="shared" si="74"/>
        <v>2.9000000000000001E-2</v>
      </c>
      <c r="L693" t="s">
        <v>1693</v>
      </c>
      <c r="M693" t="str">
        <f t="shared" si="76"/>
        <v>Commercio all'ingrosso di vari prodotti di consumo non alimentare nca</v>
      </c>
      <c r="N693" t="str">
        <f t="shared" si="75"/>
        <v>G45) Commercio autoveicoli; G46) Comm. Ingrosso; D) Distr. Energia/gas</v>
      </c>
    </row>
    <row r="694" spans="1:14" ht="38.25">
      <c r="A694" s="58" t="s">
        <v>1597</v>
      </c>
      <c r="B694" s="59" t="s">
        <v>1598</v>
      </c>
      <c r="C694">
        <v>6</v>
      </c>
      <c r="D694" t="str">
        <f>+VLOOKUP(AtecoCrisi[[#This Row],[COD. CRISI]],Tabella139[],2,0)</f>
        <v>G45) Commercio autoveicoli; G46) Comm. Ingrosso; D) Distr. Energia/gas</v>
      </c>
      <c r="E694" s="53">
        <f t="shared" si="70"/>
        <v>2.1000000000000001E-2</v>
      </c>
      <c r="F694" s="53">
        <f t="shared" si="71"/>
        <v>6.3E-2</v>
      </c>
      <c r="G694" s="53">
        <f t="shared" si="72"/>
        <v>1.014</v>
      </c>
      <c r="H694" s="53">
        <f t="shared" si="73"/>
        <v>6.0000000000000001E-3</v>
      </c>
      <c r="I694" s="53">
        <f t="shared" si="74"/>
        <v>2.9000000000000001E-2</v>
      </c>
      <c r="L694" t="s">
        <v>1695</v>
      </c>
      <c r="M694" t="str">
        <f t="shared" si="76"/>
        <v>Commercio all'ingrosso di computer, apparecchiature informatiche periferiche e di software</v>
      </c>
      <c r="N694" t="str">
        <f t="shared" si="75"/>
        <v>G45) Commercio autoveicoli; G46) Comm. Ingrosso; D) Distr. Energia/gas</v>
      </c>
    </row>
    <row r="695" spans="1:14" ht="76.5">
      <c r="A695" s="58" t="s">
        <v>1599</v>
      </c>
      <c r="B695" s="59" t="s">
        <v>1600</v>
      </c>
      <c r="C695">
        <v>6</v>
      </c>
      <c r="D695" t="str">
        <f>+VLOOKUP(AtecoCrisi[[#This Row],[COD. CRISI]],Tabella139[],2,0)</f>
        <v>G45) Commercio autoveicoli; G46) Comm. Ingrosso; D) Distr. Energia/gas</v>
      </c>
      <c r="E695" s="53">
        <f t="shared" si="70"/>
        <v>2.1000000000000001E-2</v>
      </c>
      <c r="F695" s="53">
        <f t="shared" si="71"/>
        <v>6.3E-2</v>
      </c>
      <c r="G695" s="53">
        <f t="shared" si="72"/>
        <v>1.014</v>
      </c>
      <c r="H695" s="53">
        <f t="shared" si="73"/>
        <v>6.0000000000000001E-3</v>
      </c>
      <c r="I695" s="53">
        <f t="shared" si="74"/>
        <v>2.9000000000000001E-2</v>
      </c>
      <c r="L695" t="s">
        <v>1697</v>
      </c>
      <c r="M695" t="str">
        <f t="shared" si="76"/>
        <v>Commercio all'ingrosso di apparecchi e materiali telefonici</v>
      </c>
      <c r="N695" t="str">
        <f t="shared" si="75"/>
        <v>G45) Commercio autoveicoli; G46) Comm. Ingrosso; D) Distr. Energia/gas</v>
      </c>
    </row>
    <row r="696" spans="1:14" ht="51">
      <c r="A696" s="58" t="s">
        <v>1601</v>
      </c>
      <c r="B696" s="59" t="s">
        <v>1602</v>
      </c>
      <c r="C696">
        <v>6</v>
      </c>
      <c r="D696" t="str">
        <f>+VLOOKUP(AtecoCrisi[[#This Row],[COD. CRISI]],Tabella139[],2,0)</f>
        <v>G45) Commercio autoveicoli; G46) Comm. Ingrosso; D) Distr. Energia/gas</v>
      </c>
      <c r="E696" s="53">
        <f t="shared" si="70"/>
        <v>2.1000000000000001E-2</v>
      </c>
      <c r="F696" s="53">
        <f t="shared" si="71"/>
        <v>6.3E-2</v>
      </c>
      <c r="G696" s="53">
        <f t="shared" si="72"/>
        <v>1.014</v>
      </c>
      <c r="H696" s="53">
        <f t="shared" si="73"/>
        <v>6.0000000000000001E-3</v>
      </c>
      <c r="I696" s="53">
        <f t="shared" si="74"/>
        <v>2.9000000000000001E-2</v>
      </c>
      <c r="L696" t="s">
        <v>1699</v>
      </c>
      <c r="M696" t="str">
        <f t="shared" si="76"/>
        <v>Commercio all'ingrosso di nastri non registrati</v>
      </c>
      <c r="N696" t="str">
        <f t="shared" si="75"/>
        <v>G45) Commercio autoveicoli; G46) Comm. Ingrosso; D) Distr. Energia/gas</v>
      </c>
    </row>
    <row r="697" spans="1:14" ht="51">
      <c r="A697" s="58" t="s">
        <v>1603</v>
      </c>
      <c r="B697" s="59" t="s">
        <v>1604</v>
      </c>
      <c r="C697">
        <v>6</v>
      </c>
      <c r="D697" t="str">
        <f>+VLOOKUP(AtecoCrisi[[#This Row],[COD. CRISI]],Tabella139[],2,0)</f>
        <v>G45) Commercio autoveicoli; G46) Comm. Ingrosso; D) Distr. Energia/gas</v>
      </c>
      <c r="E697" s="53">
        <f t="shared" si="70"/>
        <v>2.1000000000000001E-2</v>
      </c>
      <c r="F697" s="53">
        <f t="shared" si="71"/>
        <v>6.3E-2</v>
      </c>
      <c r="G697" s="53">
        <f t="shared" si="72"/>
        <v>1.014</v>
      </c>
      <c r="H697" s="53">
        <f t="shared" si="73"/>
        <v>6.0000000000000001E-3</v>
      </c>
      <c r="I697" s="53">
        <f t="shared" si="74"/>
        <v>2.9000000000000001E-2</v>
      </c>
      <c r="L697" t="s">
        <v>1701</v>
      </c>
      <c r="M697" t="str">
        <f t="shared" si="76"/>
        <v>Commercio all'ingrosso di altre apparecchiature elettroniche per telecomunicazioni e di altri componenti elettronici</v>
      </c>
      <c r="N697" t="str">
        <f t="shared" si="75"/>
        <v>G45) Commercio autoveicoli; G46) Comm. Ingrosso; D) Distr. Energia/gas</v>
      </c>
    </row>
    <row r="698" spans="1:14" ht="51">
      <c r="A698" s="58" t="s">
        <v>1605</v>
      </c>
      <c r="B698" s="59" t="s">
        <v>1606</v>
      </c>
      <c r="C698">
        <v>6</v>
      </c>
      <c r="D698" t="str">
        <f>+VLOOKUP(AtecoCrisi[[#This Row],[COD. CRISI]],Tabella139[],2,0)</f>
        <v>G45) Commercio autoveicoli; G46) Comm. Ingrosso; D) Distr. Energia/gas</v>
      </c>
      <c r="E698" s="53">
        <f t="shared" si="70"/>
        <v>2.1000000000000001E-2</v>
      </c>
      <c r="F698" s="53">
        <f t="shared" si="71"/>
        <v>6.3E-2</v>
      </c>
      <c r="G698" s="53">
        <f t="shared" si="72"/>
        <v>1.014</v>
      </c>
      <c r="H698" s="53">
        <f t="shared" si="73"/>
        <v>6.0000000000000001E-3</v>
      </c>
      <c r="I698" s="53">
        <f t="shared" si="74"/>
        <v>2.9000000000000001E-2</v>
      </c>
      <c r="L698" t="s">
        <v>1703</v>
      </c>
      <c r="M698" t="str">
        <f t="shared" si="76"/>
        <v>Commercio all'ingrosso di macchine, accessori e utensili agricoli, inclusi i trattori</v>
      </c>
      <c r="N698" t="str">
        <f t="shared" si="75"/>
        <v>G45) Commercio autoveicoli; G46) Comm. Ingrosso; D) Distr. Energia/gas</v>
      </c>
    </row>
    <row r="699" spans="1:14" ht="63.75">
      <c r="A699" s="58" t="s">
        <v>1607</v>
      </c>
      <c r="B699" s="59" t="s">
        <v>1608</v>
      </c>
      <c r="C699">
        <v>6</v>
      </c>
      <c r="D699" t="str">
        <f>+VLOOKUP(AtecoCrisi[[#This Row],[COD. CRISI]],Tabella139[],2,0)</f>
        <v>G45) Commercio autoveicoli; G46) Comm. Ingrosso; D) Distr. Energia/gas</v>
      </c>
      <c r="E699" s="53">
        <f t="shared" si="70"/>
        <v>2.1000000000000001E-2</v>
      </c>
      <c r="F699" s="53">
        <f t="shared" si="71"/>
        <v>6.3E-2</v>
      </c>
      <c r="G699" s="53">
        <f t="shared" si="72"/>
        <v>1.014</v>
      </c>
      <c r="H699" s="53">
        <f t="shared" si="73"/>
        <v>6.0000000000000001E-3</v>
      </c>
      <c r="I699" s="53">
        <f t="shared" si="74"/>
        <v>2.9000000000000001E-2</v>
      </c>
      <c r="L699" t="s">
        <v>1705</v>
      </c>
      <c r="M699" t="str">
        <f t="shared" si="76"/>
        <v>Commercio all'ingrosso di macchine utensili (incluse le relative parti intercambiabili)</v>
      </c>
      <c r="N699" t="str">
        <f t="shared" si="75"/>
        <v>G45) Commercio autoveicoli; G46) Comm. Ingrosso; D) Distr. Energia/gas</v>
      </c>
    </row>
    <row r="700" spans="1:14" ht="51">
      <c r="A700" s="58" t="s">
        <v>1609</v>
      </c>
      <c r="B700" s="59" t="s">
        <v>1610</v>
      </c>
      <c r="C700">
        <v>6</v>
      </c>
      <c r="D700" t="str">
        <f>+VLOOKUP(AtecoCrisi[[#This Row],[COD. CRISI]],Tabella139[],2,0)</f>
        <v>G45) Commercio autoveicoli; G46) Comm. Ingrosso; D) Distr. Energia/gas</v>
      </c>
      <c r="E700" s="53">
        <f t="shared" si="70"/>
        <v>2.1000000000000001E-2</v>
      </c>
      <c r="F700" s="53">
        <f t="shared" si="71"/>
        <v>6.3E-2</v>
      </c>
      <c r="G700" s="53">
        <f t="shared" si="72"/>
        <v>1.014</v>
      </c>
      <c r="H700" s="53">
        <f t="shared" si="73"/>
        <v>6.0000000000000001E-3</v>
      </c>
      <c r="I700" s="53">
        <f t="shared" si="74"/>
        <v>2.9000000000000001E-2</v>
      </c>
      <c r="L700" t="s">
        <v>1707</v>
      </c>
      <c r="M700" t="str">
        <f t="shared" si="76"/>
        <v>Commercio all'ingrosso di macchine per le miniere, l'edilizia e l'ingegneria civile</v>
      </c>
      <c r="N700" t="str">
        <f t="shared" si="75"/>
        <v>G45) Commercio autoveicoli; G46) Comm. Ingrosso; D) Distr. Energia/gas</v>
      </c>
    </row>
    <row r="701" spans="1:14" ht="51">
      <c r="A701" s="58" t="s">
        <v>1611</v>
      </c>
      <c r="B701" s="59" t="s">
        <v>1612</v>
      </c>
      <c r="C701">
        <v>6</v>
      </c>
      <c r="D701" t="str">
        <f>+VLOOKUP(AtecoCrisi[[#This Row],[COD. CRISI]],Tabella139[],2,0)</f>
        <v>G45) Commercio autoveicoli; G46) Comm. Ingrosso; D) Distr. Energia/gas</v>
      </c>
      <c r="E701" s="53">
        <f t="shared" si="70"/>
        <v>2.1000000000000001E-2</v>
      </c>
      <c r="F701" s="53">
        <f t="shared" si="71"/>
        <v>6.3E-2</v>
      </c>
      <c r="G701" s="53">
        <f t="shared" si="72"/>
        <v>1.014</v>
      </c>
      <c r="H701" s="53">
        <f t="shared" si="73"/>
        <v>6.0000000000000001E-3</v>
      </c>
      <c r="I701" s="53">
        <f t="shared" si="74"/>
        <v>2.9000000000000001E-2</v>
      </c>
      <c r="L701" t="s">
        <v>1709</v>
      </c>
      <c r="M701" t="str">
        <f t="shared" si="76"/>
        <v>Commercio all'ingrosso di macchine per l'industria tessile, di macchine per cucire e per maglieria</v>
      </c>
      <c r="N701" t="str">
        <f t="shared" si="75"/>
        <v>G45) Commercio autoveicoli; G46) Comm. Ingrosso; D) Distr. Energia/gas</v>
      </c>
    </row>
    <row r="702" spans="1:14" ht="63.75">
      <c r="A702" s="58" t="s">
        <v>1613</v>
      </c>
      <c r="B702" s="59" t="s">
        <v>1614</v>
      </c>
      <c r="C702">
        <v>6</v>
      </c>
      <c r="D702" t="str">
        <f>+VLOOKUP(AtecoCrisi[[#This Row],[COD. CRISI]],Tabella139[],2,0)</f>
        <v>G45) Commercio autoveicoli; G46) Comm. Ingrosso; D) Distr. Energia/gas</v>
      </c>
      <c r="E702" s="53">
        <f t="shared" si="70"/>
        <v>2.1000000000000001E-2</v>
      </c>
      <c r="F702" s="53">
        <f t="shared" si="71"/>
        <v>6.3E-2</v>
      </c>
      <c r="G702" s="53">
        <f t="shared" si="72"/>
        <v>1.014</v>
      </c>
      <c r="H702" s="53">
        <f t="shared" si="73"/>
        <v>6.0000000000000001E-3</v>
      </c>
      <c r="I702" s="53">
        <f t="shared" si="74"/>
        <v>2.9000000000000001E-2</v>
      </c>
      <c r="L702" t="s">
        <v>1711</v>
      </c>
      <c r="M702" t="str">
        <f t="shared" si="76"/>
        <v>Commercio all'ingrosso di mobili per ufficio e negozi</v>
      </c>
      <c r="N702" t="str">
        <f t="shared" si="75"/>
        <v>G45) Commercio autoveicoli; G46) Comm. Ingrosso; D) Distr. Energia/gas</v>
      </c>
    </row>
    <row r="703" spans="1:14" ht="38.25">
      <c r="A703" s="58" t="s">
        <v>1615</v>
      </c>
      <c r="B703" s="59" t="s">
        <v>1616</v>
      </c>
      <c r="C703">
        <v>6</v>
      </c>
      <c r="D703" t="str">
        <f>+VLOOKUP(AtecoCrisi[[#This Row],[COD. CRISI]],Tabella139[],2,0)</f>
        <v>G45) Commercio autoveicoli; G46) Comm. Ingrosso; D) Distr. Energia/gas</v>
      </c>
      <c r="E703" s="53">
        <f t="shared" si="70"/>
        <v>2.1000000000000001E-2</v>
      </c>
      <c r="F703" s="53">
        <f t="shared" si="71"/>
        <v>6.3E-2</v>
      </c>
      <c r="G703" s="53">
        <f t="shared" si="72"/>
        <v>1.014</v>
      </c>
      <c r="H703" s="53">
        <f t="shared" si="73"/>
        <v>6.0000000000000001E-3</v>
      </c>
      <c r="I703" s="53">
        <f t="shared" si="74"/>
        <v>2.9000000000000001E-2</v>
      </c>
      <c r="L703" t="s">
        <v>1713</v>
      </c>
      <c r="M703" t="str">
        <f t="shared" si="76"/>
        <v>Commercio all'ingrosso di altre macchine e attrezzature per ufficio</v>
      </c>
      <c r="N703" t="str">
        <f t="shared" si="75"/>
        <v>G45) Commercio autoveicoli; G46) Comm. Ingrosso; D) Distr. Energia/gas</v>
      </c>
    </row>
    <row r="704" spans="1:14" ht="51">
      <c r="A704" s="58" t="s">
        <v>1617</v>
      </c>
      <c r="B704" s="59" t="s">
        <v>1618</v>
      </c>
      <c r="C704">
        <v>6</v>
      </c>
      <c r="D704" t="str">
        <f>+VLOOKUP(AtecoCrisi[[#This Row],[COD. CRISI]],Tabella139[],2,0)</f>
        <v>G45) Commercio autoveicoli; G46) Comm. Ingrosso; D) Distr. Energia/gas</v>
      </c>
      <c r="E704" s="53">
        <f t="shared" si="70"/>
        <v>2.1000000000000001E-2</v>
      </c>
      <c r="F704" s="53">
        <f t="shared" si="71"/>
        <v>6.3E-2</v>
      </c>
      <c r="G704" s="53">
        <f t="shared" si="72"/>
        <v>1.014</v>
      </c>
      <c r="H704" s="53">
        <f t="shared" si="73"/>
        <v>6.0000000000000001E-3</v>
      </c>
      <c r="I704" s="53">
        <f t="shared" si="74"/>
        <v>2.9000000000000001E-2</v>
      </c>
      <c r="L704" t="s">
        <v>1715</v>
      </c>
      <c r="M704" t="str">
        <f t="shared" si="76"/>
        <v>Commercio all'ingrosso di imbarcazioni da diporto</v>
      </c>
      <c r="N704" t="str">
        <f t="shared" si="75"/>
        <v>G45) Commercio autoveicoli; G46) Comm. Ingrosso; D) Distr. Energia/gas</v>
      </c>
    </row>
    <row r="705" spans="1:14" ht="51">
      <c r="A705" s="58" t="s">
        <v>1619</v>
      </c>
      <c r="B705" s="59" t="s">
        <v>1620</v>
      </c>
      <c r="C705">
        <v>6</v>
      </c>
      <c r="D705" t="str">
        <f>+VLOOKUP(AtecoCrisi[[#This Row],[COD. CRISI]],Tabella139[],2,0)</f>
        <v>G45) Commercio autoveicoli; G46) Comm. Ingrosso; D) Distr. Energia/gas</v>
      </c>
      <c r="E705" s="53">
        <f t="shared" si="70"/>
        <v>2.1000000000000001E-2</v>
      </c>
      <c r="F705" s="53">
        <f t="shared" si="71"/>
        <v>6.3E-2</v>
      </c>
      <c r="G705" s="53">
        <f t="shared" si="72"/>
        <v>1.014</v>
      </c>
      <c r="H705" s="53">
        <f t="shared" si="73"/>
        <v>6.0000000000000001E-3</v>
      </c>
      <c r="I705" s="53">
        <f t="shared" si="74"/>
        <v>2.9000000000000001E-2</v>
      </c>
      <c r="L705" t="s">
        <v>1717</v>
      </c>
      <c r="M705" t="str">
        <f t="shared" si="76"/>
        <v>Commercio all'ingrosso di altri mezzi ed attrezzature di trasporto</v>
      </c>
      <c r="N705" t="str">
        <f t="shared" si="75"/>
        <v>G45) Commercio autoveicoli; G46) Comm. Ingrosso; D) Distr. Energia/gas</v>
      </c>
    </row>
    <row r="706" spans="1:14" ht="76.5">
      <c r="A706" s="58" t="s">
        <v>1621</v>
      </c>
      <c r="B706" s="59" t="s">
        <v>1622</v>
      </c>
      <c r="C706">
        <v>6</v>
      </c>
      <c r="D706" t="str">
        <f>+VLOOKUP(AtecoCrisi[[#This Row],[COD. CRISI]],Tabella139[],2,0)</f>
        <v>G45) Commercio autoveicoli; G46) Comm. Ingrosso; D) Distr. Energia/gas</v>
      </c>
      <c r="E706" s="53">
        <f t="shared" ref="E706:E769" si="77">+VLOOKUP(C706,$R$2:$X$11,3,FALSE)</f>
        <v>2.1000000000000001E-2</v>
      </c>
      <c r="F706" s="53">
        <f t="shared" ref="F706:F769" si="78">+VLOOKUP(C706,$R$2:$X$11,4,FALSE)</f>
        <v>6.3E-2</v>
      </c>
      <c r="G706" s="53">
        <f t="shared" ref="G706:G769" si="79">+VLOOKUP(C706,$R$2:$X$11,5,FALSE)</f>
        <v>1.014</v>
      </c>
      <c r="H706" s="53">
        <f t="shared" ref="H706:H769" si="80">+VLOOKUP(C706,$R$2:$X$11,6,FALSE)</f>
        <v>6.0000000000000001E-3</v>
      </c>
      <c r="I706" s="53">
        <f t="shared" ref="I706:I769" si="81">+VLOOKUP(C706,$R$2:$X$11,7,FALSE)</f>
        <v>2.9000000000000001E-2</v>
      </c>
      <c r="L706" t="s">
        <v>1719</v>
      </c>
      <c r="M706" t="str">
        <f t="shared" si="76"/>
        <v>Commercio all'ingrosso di materiale elettrico per impianti di uso industriale</v>
      </c>
      <c r="N706" t="str">
        <f t="shared" ref="N706:N769" si="82">+VLOOKUP(L706,A:D,4,0)</f>
        <v>G45) Commercio autoveicoli; G46) Comm. Ingrosso; D) Distr. Energia/gas</v>
      </c>
    </row>
    <row r="707" spans="1:14" ht="25.5">
      <c r="A707" s="58" t="s">
        <v>1623</v>
      </c>
      <c r="B707" s="59" t="s">
        <v>1624</v>
      </c>
      <c r="C707">
        <v>6</v>
      </c>
      <c r="D707" t="str">
        <f>+VLOOKUP(AtecoCrisi[[#This Row],[COD. CRISI]],Tabella139[],2,0)</f>
        <v>G45) Commercio autoveicoli; G46) Comm. Ingrosso; D) Distr. Energia/gas</v>
      </c>
      <c r="E707" s="53">
        <f t="shared" si="77"/>
        <v>2.1000000000000001E-2</v>
      </c>
      <c r="F707" s="53">
        <f t="shared" si="78"/>
        <v>6.3E-2</v>
      </c>
      <c r="G707" s="53">
        <f t="shared" si="79"/>
        <v>1.014</v>
      </c>
      <c r="H707" s="53">
        <f t="shared" si="80"/>
        <v>6.0000000000000001E-3</v>
      </c>
      <c r="I707" s="53">
        <f t="shared" si="81"/>
        <v>2.9000000000000001E-2</v>
      </c>
      <c r="L707" t="s">
        <v>1721</v>
      </c>
      <c r="M707" t="str">
        <f t="shared" ref="M707:M770" si="83">+VLOOKUP(L707,A:B,2,0)</f>
        <v>Commercio all'ingrosso di apparecchiature per parrucchieri, palestre, solarium e centri estetici</v>
      </c>
      <c r="N707" t="str">
        <f t="shared" si="82"/>
        <v>G45) Commercio autoveicoli; G46) Comm. Ingrosso; D) Distr. Energia/gas</v>
      </c>
    </row>
    <row r="708" spans="1:14" ht="38.25">
      <c r="A708" s="58" t="s">
        <v>1625</v>
      </c>
      <c r="B708" s="59" t="s">
        <v>1626</v>
      </c>
      <c r="C708">
        <v>6</v>
      </c>
      <c r="D708" t="str">
        <f>+VLOOKUP(AtecoCrisi[[#This Row],[COD. CRISI]],Tabella139[],2,0)</f>
        <v>G45) Commercio autoveicoli; G46) Comm. Ingrosso; D) Distr. Energia/gas</v>
      </c>
      <c r="E708" s="53">
        <f t="shared" si="77"/>
        <v>2.1000000000000001E-2</v>
      </c>
      <c r="F708" s="53">
        <f t="shared" si="78"/>
        <v>6.3E-2</v>
      </c>
      <c r="G708" s="53">
        <f t="shared" si="79"/>
        <v>1.014</v>
      </c>
      <c r="H708" s="53">
        <f t="shared" si="80"/>
        <v>6.0000000000000001E-3</v>
      </c>
      <c r="I708" s="53">
        <f t="shared" si="81"/>
        <v>2.9000000000000001E-2</v>
      </c>
      <c r="L708" t="s">
        <v>1723</v>
      </c>
      <c r="M708" t="str">
        <f t="shared" si="83"/>
        <v>Commercio all'ingrosso di strumenti e attrezzature di misurazione per uso scientifico</v>
      </c>
      <c r="N708" t="str">
        <f t="shared" si="82"/>
        <v>G45) Commercio autoveicoli; G46) Comm. Ingrosso; D) Distr. Energia/gas</v>
      </c>
    </row>
    <row r="709" spans="1:14" ht="51">
      <c r="A709" s="58" t="s">
        <v>1627</v>
      </c>
      <c r="B709" s="59" t="s">
        <v>1628</v>
      </c>
      <c r="C709">
        <v>6</v>
      </c>
      <c r="D709" t="str">
        <f>+VLOOKUP(AtecoCrisi[[#This Row],[COD. CRISI]],Tabella139[],2,0)</f>
        <v>G45) Commercio autoveicoli; G46) Comm. Ingrosso; D) Distr. Energia/gas</v>
      </c>
      <c r="E709" s="53">
        <f t="shared" si="77"/>
        <v>2.1000000000000001E-2</v>
      </c>
      <c r="F709" s="53">
        <f t="shared" si="78"/>
        <v>6.3E-2</v>
      </c>
      <c r="G709" s="53">
        <f t="shared" si="79"/>
        <v>1.014</v>
      </c>
      <c r="H709" s="53">
        <f t="shared" si="80"/>
        <v>6.0000000000000001E-3</v>
      </c>
      <c r="I709" s="53">
        <f t="shared" si="81"/>
        <v>2.9000000000000001E-2</v>
      </c>
      <c r="L709" t="s">
        <v>1725</v>
      </c>
      <c r="M709" t="str">
        <f t="shared" si="83"/>
        <v>Commercio all'ingrosso di strumenti e attrezzature di misurazione per uso non scientifico</v>
      </c>
      <c r="N709" t="str">
        <f t="shared" si="82"/>
        <v>G45) Commercio autoveicoli; G46) Comm. Ingrosso; D) Distr. Energia/gas</v>
      </c>
    </row>
    <row r="710" spans="1:14" ht="76.5">
      <c r="A710" s="58" t="s">
        <v>1629</v>
      </c>
      <c r="B710" s="59" t="s">
        <v>1630</v>
      </c>
      <c r="C710">
        <v>6</v>
      </c>
      <c r="D710" t="str">
        <f>+VLOOKUP(AtecoCrisi[[#This Row],[COD. CRISI]],Tabella139[],2,0)</f>
        <v>G45) Commercio autoveicoli; G46) Comm. Ingrosso; D) Distr. Energia/gas</v>
      </c>
      <c r="E710" s="53">
        <f t="shared" si="77"/>
        <v>2.1000000000000001E-2</v>
      </c>
      <c r="F710" s="53">
        <f t="shared" si="78"/>
        <v>6.3E-2</v>
      </c>
      <c r="G710" s="53">
        <f t="shared" si="79"/>
        <v>1.014</v>
      </c>
      <c r="H710" s="53">
        <f t="shared" si="80"/>
        <v>6.0000000000000001E-3</v>
      </c>
      <c r="I710" s="53">
        <f t="shared" si="81"/>
        <v>2.9000000000000001E-2</v>
      </c>
      <c r="L710" t="s">
        <v>1727</v>
      </c>
      <c r="M710" t="str">
        <f t="shared" si="83"/>
        <v>Commercio all'ingrosso di giochi per luna-park e videogiochi per pubblici esercizi</v>
      </c>
      <c r="N710" t="str">
        <f t="shared" si="82"/>
        <v>G45) Commercio autoveicoli; G46) Comm. Ingrosso; D) Distr. Energia/gas</v>
      </c>
    </row>
    <row r="711" spans="1:14" ht="38.25">
      <c r="A711" s="58" t="s">
        <v>1631</v>
      </c>
      <c r="B711" s="59" t="s">
        <v>1632</v>
      </c>
      <c r="C711">
        <v>6</v>
      </c>
      <c r="D711" t="str">
        <f>+VLOOKUP(AtecoCrisi[[#This Row],[COD. CRISI]],Tabella139[],2,0)</f>
        <v>G45) Commercio autoveicoli; G46) Comm. Ingrosso; D) Distr. Energia/gas</v>
      </c>
      <c r="E711" s="53">
        <f t="shared" si="77"/>
        <v>2.1000000000000001E-2</v>
      </c>
      <c r="F711" s="53">
        <f t="shared" si="78"/>
        <v>6.3E-2</v>
      </c>
      <c r="G711" s="53">
        <f t="shared" si="79"/>
        <v>1.014</v>
      </c>
      <c r="H711" s="53">
        <f t="shared" si="80"/>
        <v>6.0000000000000001E-3</v>
      </c>
      <c r="I711" s="53">
        <f t="shared" si="81"/>
        <v>2.9000000000000001E-2</v>
      </c>
      <c r="L711" t="s">
        <v>1729</v>
      </c>
      <c r="M711" t="str">
        <f t="shared" si="83"/>
        <v>Commercio all'ingrosso di articoli antincendio e antinfortunistici</v>
      </c>
      <c r="N711" t="str">
        <f t="shared" si="82"/>
        <v>G45) Commercio autoveicoli; G46) Comm. Ingrosso; D) Distr. Energia/gas</v>
      </c>
    </row>
    <row r="712" spans="1:14" ht="38.25">
      <c r="A712" s="58" t="s">
        <v>1633</v>
      </c>
      <c r="B712" s="59" t="s">
        <v>1634</v>
      </c>
      <c r="C712">
        <v>6</v>
      </c>
      <c r="D712" t="str">
        <f>+VLOOKUP(AtecoCrisi[[#This Row],[COD. CRISI]],Tabella139[],2,0)</f>
        <v>G45) Commercio autoveicoli; G46) Comm. Ingrosso; D) Distr. Energia/gas</v>
      </c>
      <c r="E712" s="53">
        <f t="shared" si="77"/>
        <v>2.1000000000000001E-2</v>
      </c>
      <c r="F712" s="53">
        <f t="shared" si="78"/>
        <v>6.3E-2</v>
      </c>
      <c r="G712" s="53">
        <f t="shared" si="79"/>
        <v>1.014</v>
      </c>
      <c r="H712" s="53">
        <f t="shared" si="80"/>
        <v>6.0000000000000001E-3</v>
      </c>
      <c r="I712" s="53">
        <f t="shared" si="81"/>
        <v>2.9000000000000001E-2</v>
      </c>
      <c r="L712" t="s">
        <v>1731</v>
      </c>
      <c r="M712" t="str">
        <f t="shared" si="83"/>
        <v>Commercio all'ingrosso di altre macchine ed attrezzature per l'industria, il commercio e la navigazione nca</v>
      </c>
      <c r="N712" t="str">
        <f t="shared" si="82"/>
        <v>G45) Commercio autoveicoli; G46) Comm. Ingrosso; D) Distr. Energia/gas</v>
      </c>
    </row>
    <row r="713" spans="1:14" ht="51">
      <c r="A713" s="58" t="s">
        <v>1635</v>
      </c>
      <c r="B713" s="59" t="s">
        <v>1636</v>
      </c>
      <c r="C713">
        <v>6</v>
      </c>
      <c r="D713" t="str">
        <f>+VLOOKUP(AtecoCrisi[[#This Row],[COD. CRISI]],Tabella139[],2,0)</f>
        <v>G45) Commercio autoveicoli; G46) Comm. Ingrosso; D) Distr. Energia/gas</v>
      </c>
      <c r="E713" s="53">
        <f t="shared" si="77"/>
        <v>2.1000000000000001E-2</v>
      </c>
      <c r="F713" s="53">
        <f t="shared" si="78"/>
        <v>6.3E-2</v>
      </c>
      <c r="G713" s="53">
        <f t="shared" si="79"/>
        <v>1.014</v>
      </c>
      <c r="H713" s="53">
        <f t="shared" si="80"/>
        <v>6.0000000000000001E-3</v>
      </c>
      <c r="I713" s="53">
        <f t="shared" si="81"/>
        <v>2.9000000000000001E-2</v>
      </c>
      <c r="L713" t="s">
        <v>1733</v>
      </c>
      <c r="M713" t="str">
        <f t="shared" si="83"/>
        <v>Commercio all'ingrosso di prodotti petroliferi e lubrificanti per autotrazione, di combustibili per riscaldamento</v>
      </c>
      <c r="N713" t="str">
        <f t="shared" si="82"/>
        <v>G45) Commercio autoveicoli; G46) Comm. Ingrosso; D) Distr. Energia/gas</v>
      </c>
    </row>
    <row r="714" spans="1:14" ht="76.5">
      <c r="A714" s="58" t="s">
        <v>1637</v>
      </c>
      <c r="B714" s="59" t="s">
        <v>1638</v>
      </c>
      <c r="C714">
        <v>6</v>
      </c>
      <c r="D714" t="str">
        <f>+VLOOKUP(AtecoCrisi[[#This Row],[COD. CRISI]],Tabella139[],2,0)</f>
        <v>G45) Commercio autoveicoli; G46) Comm. Ingrosso; D) Distr. Energia/gas</v>
      </c>
      <c r="E714" s="53">
        <f t="shared" si="77"/>
        <v>2.1000000000000001E-2</v>
      </c>
      <c r="F714" s="53">
        <f t="shared" si="78"/>
        <v>6.3E-2</v>
      </c>
      <c r="G714" s="53">
        <f t="shared" si="79"/>
        <v>1.014</v>
      </c>
      <c r="H714" s="53">
        <f t="shared" si="80"/>
        <v>6.0000000000000001E-3</v>
      </c>
      <c r="I714" s="53">
        <f t="shared" si="81"/>
        <v>2.9000000000000001E-2</v>
      </c>
      <c r="L714" t="s">
        <v>1735</v>
      </c>
      <c r="M714" t="str">
        <f t="shared" si="83"/>
        <v>Commercio all'ingrosso di minerali metalliferi, di metalli ferrosi e prodotti semilavorati</v>
      </c>
      <c r="N714" t="str">
        <f t="shared" si="82"/>
        <v>G45) Commercio autoveicoli; G46) Comm. Ingrosso; D) Distr. Energia/gas</v>
      </c>
    </row>
    <row r="715" spans="1:14" ht="38.25">
      <c r="A715" s="58" t="s">
        <v>1639</v>
      </c>
      <c r="B715" s="59" t="s">
        <v>1640</v>
      </c>
      <c r="C715">
        <v>6</v>
      </c>
      <c r="D715" t="str">
        <f>+VLOOKUP(AtecoCrisi[[#This Row],[COD. CRISI]],Tabella139[],2,0)</f>
        <v>G45) Commercio autoveicoli; G46) Comm. Ingrosso; D) Distr. Energia/gas</v>
      </c>
      <c r="E715" s="53">
        <f t="shared" si="77"/>
        <v>2.1000000000000001E-2</v>
      </c>
      <c r="F715" s="53">
        <f t="shared" si="78"/>
        <v>6.3E-2</v>
      </c>
      <c r="G715" s="53">
        <f t="shared" si="79"/>
        <v>1.014</v>
      </c>
      <c r="H715" s="53">
        <f t="shared" si="80"/>
        <v>6.0000000000000001E-3</v>
      </c>
      <c r="I715" s="53">
        <f t="shared" si="81"/>
        <v>2.9000000000000001E-2</v>
      </c>
      <c r="L715" t="s">
        <v>1737</v>
      </c>
      <c r="M715" t="str">
        <f t="shared" si="83"/>
        <v>Commercio all'ingrosso di metalli non ferrosi e prodotti semilavorati</v>
      </c>
      <c r="N715" t="str">
        <f t="shared" si="82"/>
        <v>G45) Commercio autoveicoli; G46) Comm. Ingrosso; D) Distr. Energia/gas</v>
      </c>
    </row>
    <row r="716" spans="1:14" ht="63.75">
      <c r="A716" s="58" t="s">
        <v>1641</v>
      </c>
      <c r="B716" s="59" t="s">
        <v>1642</v>
      </c>
      <c r="C716">
        <v>6</v>
      </c>
      <c r="D716" t="str">
        <f>+VLOOKUP(AtecoCrisi[[#This Row],[COD. CRISI]],Tabella139[],2,0)</f>
        <v>G45) Commercio autoveicoli; G46) Comm. Ingrosso; D) Distr. Energia/gas</v>
      </c>
      <c r="E716" s="53">
        <f t="shared" si="77"/>
        <v>2.1000000000000001E-2</v>
      </c>
      <c r="F716" s="53">
        <f t="shared" si="78"/>
        <v>6.3E-2</v>
      </c>
      <c r="G716" s="53">
        <f t="shared" si="79"/>
        <v>1.014</v>
      </c>
      <c r="H716" s="53">
        <f t="shared" si="80"/>
        <v>6.0000000000000001E-3</v>
      </c>
      <c r="I716" s="53">
        <f t="shared" si="81"/>
        <v>2.9000000000000001E-2</v>
      </c>
      <c r="L716" t="s">
        <v>1739</v>
      </c>
      <c r="M716" t="str">
        <f t="shared" si="83"/>
        <v>Commercio all'ingrosso di legname, semilavorati in legno e legno artificiale</v>
      </c>
      <c r="N716" t="str">
        <f t="shared" si="82"/>
        <v>G45) Commercio autoveicoli; G46) Comm. Ingrosso; D) Distr. Energia/gas</v>
      </c>
    </row>
    <row r="717" spans="1:14" ht="38.25">
      <c r="A717" s="58" t="s">
        <v>1643</v>
      </c>
      <c r="B717" s="59" t="s">
        <v>1644</v>
      </c>
      <c r="C717">
        <v>6</v>
      </c>
      <c r="D717" t="str">
        <f>+VLOOKUP(AtecoCrisi[[#This Row],[COD. CRISI]],Tabella139[],2,0)</f>
        <v>G45) Commercio autoveicoli; G46) Comm. Ingrosso; D) Distr. Energia/gas</v>
      </c>
      <c r="E717" s="53">
        <f t="shared" si="77"/>
        <v>2.1000000000000001E-2</v>
      </c>
      <c r="F717" s="53">
        <f t="shared" si="78"/>
        <v>6.3E-2</v>
      </c>
      <c r="G717" s="53">
        <f t="shared" si="79"/>
        <v>1.014</v>
      </c>
      <c r="H717" s="53">
        <f t="shared" si="80"/>
        <v>6.0000000000000001E-3</v>
      </c>
      <c r="I717" s="53">
        <f t="shared" si="81"/>
        <v>2.9000000000000001E-2</v>
      </c>
      <c r="L717" t="s">
        <v>1741</v>
      </c>
      <c r="M717" t="str">
        <f t="shared" si="83"/>
        <v>Commercio all'ingrosso di moquette e linoleum</v>
      </c>
      <c r="N717" t="str">
        <f t="shared" si="82"/>
        <v>G45) Commercio autoveicoli; G46) Comm. Ingrosso; D) Distr. Energia/gas</v>
      </c>
    </row>
    <row r="718" spans="1:14" ht="51">
      <c r="A718" s="58" t="s">
        <v>1645</v>
      </c>
      <c r="B718" s="59" t="s">
        <v>1646</v>
      </c>
      <c r="C718">
        <v>6</v>
      </c>
      <c r="D718" t="str">
        <f>+VLOOKUP(AtecoCrisi[[#This Row],[COD. CRISI]],Tabella139[],2,0)</f>
        <v>G45) Commercio autoveicoli; G46) Comm. Ingrosso; D) Distr. Energia/gas</v>
      </c>
      <c r="E718" s="53">
        <f t="shared" si="77"/>
        <v>2.1000000000000001E-2</v>
      </c>
      <c r="F718" s="53">
        <f t="shared" si="78"/>
        <v>6.3E-2</v>
      </c>
      <c r="G718" s="53">
        <f t="shared" si="79"/>
        <v>1.014</v>
      </c>
      <c r="H718" s="53">
        <f t="shared" si="80"/>
        <v>6.0000000000000001E-3</v>
      </c>
      <c r="I718" s="53">
        <f t="shared" si="81"/>
        <v>2.9000000000000001E-2</v>
      </c>
      <c r="L718" t="s">
        <v>1743</v>
      </c>
      <c r="M718" t="str">
        <f t="shared" si="83"/>
        <v>Commercio all'ingrosso di altri materiali per rivestimenti (inclusi gli apparecchi igienico-sanitari)</v>
      </c>
      <c r="N718" t="str">
        <f t="shared" si="82"/>
        <v>G45) Commercio autoveicoli; G46) Comm. Ingrosso; D) Distr. Energia/gas</v>
      </c>
    </row>
    <row r="719" spans="1:14" ht="38.25">
      <c r="A719" s="58" t="s">
        <v>1647</v>
      </c>
      <c r="B719" s="59" t="s">
        <v>1648</v>
      </c>
      <c r="C719">
        <v>6</v>
      </c>
      <c r="D719" t="str">
        <f>+VLOOKUP(AtecoCrisi[[#This Row],[COD. CRISI]],Tabella139[],2,0)</f>
        <v>G45) Commercio autoveicoli; G46) Comm. Ingrosso; D) Distr. Energia/gas</v>
      </c>
      <c r="E719" s="53">
        <f t="shared" si="77"/>
        <v>2.1000000000000001E-2</v>
      </c>
      <c r="F719" s="53">
        <f t="shared" si="78"/>
        <v>6.3E-2</v>
      </c>
      <c r="G719" s="53">
        <f t="shared" si="79"/>
        <v>1.014</v>
      </c>
      <c r="H719" s="53">
        <f t="shared" si="80"/>
        <v>6.0000000000000001E-3</v>
      </c>
      <c r="I719" s="53">
        <f t="shared" si="81"/>
        <v>2.9000000000000001E-2</v>
      </c>
      <c r="L719" t="s">
        <v>1745</v>
      </c>
      <c r="M719" t="str">
        <f t="shared" si="83"/>
        <v>Commercio all'ingrosso di infissi</v>
      </c>
      <c r="N719" t="str">
        <f t="shared" si="82"/>
        <v>G45) Commercio autoveicoli; G46) Comm. Ingrosso; D) Distr. Energia/gas</v>
      </c>
    </row>
    <row r="720" spans="1:14" ht="63.75">
      <c r="A720" s="58" t="s">
        <v>1649</v>
      </c>
      <c r="B720" s="59" t="s">
        <v>1650</v>
      </c>
      <c r="C720">
        <v>6</v>
      </c>
      <c r="D720" t="str">
        <f>+VLOOKUP(AtecoCrisi[[#This Row],[COD. CRISI]],Tabella139[],2,0)</f>
        <v>G45) Commercio autoveicoli; G46) Comm. Ingrosso; D) Distr. Energia/gas</v>
      </c>
      <c r="E720" s="53">
        <f t="shared" si="77"/>
        <v>2.1000000000000001E-2</v>
      </c>
      <c r="F720" s="53">
        <f t="shared" si="78"/>
        <v>6.3E-2</v>
      </c>
      <c r="G720" s="53">
        <f t="shared" si="79"/>
        <v>1.014</v>
      </c>
      <c r="H720" s="53">
        <f t="shared" si="80"/>
        <v>6.0000000000000001E-3</v>
      </c>
      <c r="I720" s="53">
        <f t="shared" si="81"/>
        <v>2.9000000000000001E-2</v>
      </c>
      <c r="L720" t="s">
        <v>1747</v>
      </c>
      <c r="M720" t="str">
        <f t="shared" si="83"/>
        <v>Commercio all'ingrosso di altri materiali da costruzione</v>
      </c>
      <c r="N720" t="str">
        <f t="shared" si="82"/>
        <v>G45) Commercio autoveicoli; G46) Comm. Ingrosso; D) Distr. Energia/gas</v>
      </c>
    </row>
    <row r="721" spans="1:14" ht="51">
      <c r="A721" s="58" t="s">
        <v>1651</v>
      </c>
      <c r="B721" s="59" t="s">
        <v>1652</v>
      </c>
      <c r="C721">
        <v>6</v>
      </c>
      <c r="D721" t="str">
        <f>+VLOOKUP(AtecoCrisi[[#This Row],[COD. CRISI]],Tabella139[],2,0)</f>
        <v>G45) Commercio autoveicoli; G46) Comm. Ingrosso; D) Distr. Energia/gas</v>
      </c>
      <c r="E721" s="53">
        <f t="shared" si="77"/>
        <v>2.1000000000000001E-2</v>
      </c>
      <c r="F721" s="53">
        <f t="shared" si="78"/>
        <v>6.3E-2</v>
      </c>
      <c r="G721" s="53">
        <f t="shared" si="79"/>
        <v>1.014</v>
      </c>
      <c r="H721" s="53">
        <f t="shared" si="80"/>
        <v>6.0000000000000001E-3</v>
      </c>
      <c r="I721" s="53">
        <f t="shared" si="81"/>
        <v>2.9000000000000001E-2</v>
      </c>
      <c r="L721" t="s">
        <v>1749</v>
      </c>
      <c r="M721" t="str">
        <f t="shared" si="83"/>
        <v>Commercio all'ingrosso di vetro piano</v>
      </c>
      <c r="N721" t="str">
        <f t="shared" si="82"/>
        <v>G45) Commercio autoveicoli; G46) Comm. Ingrosso; D) Distr. Energia/gas</v>
      </c>
    </row>
    <row r="722" spans="1:14" ht="76.5">
      <c r="A722" s="58" t="s">
        <v>1653</v>
      </c>
      <c r="B722" s="59" t="s">
        <v>1654</v>
      </c>
      <c r="C722">
        <v>6</v>
      </c>
      <c r="D722" t="str">
        <f>+VLOOKUP(AtecoCrisi[[#This Row],[COD. CRISI]],Tabella139[],2,0)</f>
        <v>G45) Commercio autoveicoli; G46) Comm. Ingrosso; D) Distr. Energia/gas</v>
      </c>
      <c r="E722" s="53">
        <f t="shared" si="77"/>
        <v>2.1000000000000001E-2</v>
      </c>
      <c r="F722" s="53">
        <f t="shared" si="78"/>
        <v>6.3E-2</v>
      </c>
      <c r="G722" s="53">
        <f t="shared" si="79"/>
        <v>1.014</v>
      </c>
      <c r="H722" s="53">
        <f t="shared" si="80"/>
        <v>6.0000000000000001E-3</v>
      </c>
      <c r="I722" s="53">
        <f t="shared" si="81"/>
        <v>2.9000000000000001E-2</v>
      </c>
      <c r="L722" t="s">
        <v>1751</v>
      </c>
      <c r="M722" t="str">
        <f t="shared" si="83"/>
        <v>Commercio all'ingrosso di carta da parati, colori e vernici</v>
      </c>
      <c r="N722" t="str">
        <f t="shared" si="82"/>
        <v>G45) Commercio autoveicoli; G46) Comm. Ingrosso; D) Distr. Energia/gas</v>
      </c>
    </row>
    <row r="723" spans="1:14" ht="76.5">
      <c r="A723" s="58" t="s">
        <v>1655</v>
      </c>
      <c r="B723" s="59" t="s">
        <v>1656</v>
      </c>
      <c r="C723">
        <v>6</v>
      </c>
      <c r="D723" t="str">
        <f>+VLOOKUP(AtecoCrisi[[#This Row],[COD. CRISI]],Tabella139[],2,0)</f>
        <v>G45) Commercio autoveicoli; G46) Comm. Ingrosso; D) Distr. Energia/gas</v>
      </c>
      <c r="E723" s="53">
        <f t="shared" si="77"/>
        <v>2.1000000000000001E-2</v>
      </c>
      <c r="F723" s="53">
        <f t="shared" si="78"/>
        <v>6.3E-2</v>
      </c>
      <c r="G723" s="53">
        <f t="shared" si="79"/>
        <v>1.014</v>
      </c>
      <c r="H723" s="53">
        <f t="shared" si="80"/>
        <v>6.0000000000000001E-3</v>
      </c>
      <c r="I723" s="53">
        <f t="shared" si="81"/>
        <v>2.9000000000000001E-2</v>
      </c>
      <c r="L723" t="s">
        <v>1753</v>
      </c>
      <c r="M723" t="str">
        <f t="shared" si="83"/>
        <v>Commercio all'ingrosso di articoli in ferro e in altri metalli (ferramenta)</v>
      </c>
      <c r="N723" t="str">
        <f t="shared" si="82"/>
        <v>G45) Commercio autoveicoli; G46) Comm. Ingrosso; D) Distr. Energia/gas</v>
      </c>
    </row>
    <row r="724" spans="1:14" ht="76.5">
      <c r="A724" s="58" t="s">
        <v>1657</v>
      </c>
      <c r="B724" s="59" t="s">
        <v>1658</v>
      </c>
      <c r="C724">
        <v>6</v>
      </c>
      <c r="D724" t="str">
        <f>+VLOOKUP(AtecoCrisi[[#This Row],[COD. CRISI]],Tabella139[],2,0)</f>
        <v>G45) Commercio autoveicoli; G46) Comm. Ingrosso; D) Distr. Energia/gas</v>
      </c>
      <c r="E724" s="53">
        <f t="shared" si="77"/>
        <v>2.1000000000000001E-2</v>
      </c>
      <c r="F724" s="53">
        <f t="shared" si="78"/>
        <v>6.3E-2</v>
      </c>
      <c r="G724" s="53">
        <f t="shared" si="79"/>
        <v>1.014</v>
      </c>
      <c r="H724" s="53">
        <f t="shared" si="80"/>
        <v>6.0000000000000001E-3</v>
      </c>
      <c r="I724" s="53">
        <f t="shared" si="81"/>
        <v>2.9000000000000001E-2</v>
      </c>
      <c r="L724" t="s">
        <v>1755</v>
      </c>
      <c r="M724" t="str">
        <f t="shared" si="83"/>
        <v>Commercio all'ingrosso di apparecchi e accessori per impianti idraulici, di riscaldamento e di condizionamento</v>
      </c>
      <c r="N724" t="str">
        <f t="shared" si="82"/>
        <v>G45) Commercio autoveicoli; G46) Comm. Ingrosso; D) Distr. Energia/gas</v>
      </c>
    </row>
    <row r="725" spans="1:14" ht="51">
      <c r="A725" s="58" t="s">
        <v>1659</v>
      </c>
      <c r="B725" s="59" t="s">
        <v>1660</v>
      </c>
      <c r="C725">
        <v>6</v>
      </c>
      <c r="D725" t="str">
        <f>+VLOOKUP(AtecoCrisi[[#This Row],[COD. CRISI]],Tabella139[],2,0)</f>
        <v>G45) Commercio autoveicoli; G46) Comm. Ingrosso; D) Distr. Energia/gas</v>
      </c>
      <c r="E725" s="53">
        <f t="shared" si="77"/>
        <v>2.1000000000000001E-2</v>
      </c>
      <c r="F725" s="53">
        <f t="shared" si="78"/>
        <v>6.3E-2</v>
      </c>
      <c r="G725" s="53">
        <f t="shared" si="79"/>
        <v>1.014</v>
      </c>
      <c r="H725" s="53">
        <f t="shared" si="80"/>
        <v>6.0000000000000001E-3</v>
      </c>
      <c r="I725" s="53">
        <f t="shared" si="81"/>
        <v>2.9000000000000001E-2</v>
      </c>
      <c r="L725" t="s">
        <v>1757</v>
      </c>
      <c r="M725" t="str">
        <f t="shared" si="83"/>
        <v>Commercio all'ingrosso di fertilizzanti e di altri prodotti chimici per l'agricoltura</v>
      </c>
      <c r="N725" t="str">
        <f t="shared" si="82"/>
        <v>G45) Commercio autoveicoli; G46) Comm. Ingrosso; D) Distr. Energia/gas</v>
      </c>
    </row>
    <row r="726" spans="1:14" ht="51">
      <c r="A726" s="58" t="s">
        <v>1661</v>
      </c>
      <c r="B726" s="59" t="s">
        <v>1662</v>
      </c>
      <c r="C726">
        <v>6</v>
      </c>
      <c r="D726" t="str">
        <f>+VLOOKUP(AtecoCrisi[[#This Row],[COD. CRISI]],Tabella139[],2,0)</f>
        <v>G45) Commercio autoveicoli; G46) Comm. Ingrosso; D) Distr. Energia/gas</v>
      </c>
      <c r="E726" s="53">
        <f t="shared" si="77"/>
        <v>2.1000000000000001E-2</v>
      </c>
      <c r="F726" s="53">
        <f t="shared" si="78"/>
        <v>6.3E-2</v>
      </c>
      <c r="G726" s="53">
        <f t="shared" si="79"/>
        <v>1.014</v>
      </c>
      <c r="H726" s="53">
        <f t="shared" si="80"/>
        <v>6.0000000000000001E-3</v>
      </c>
      <c r="I726" s="53">
        <f t="shared" si="81"/>
        <v>2.9000000000000001E-2</v>
      </c>
      <c r="L726" t="s">
        <v>1759</v>
      </c>
      <c r="M726" t="str">
        <f t="shared" si="83"/>
        <v>Commercio all'ingrosso di prodotti chimici per l'industria</v>
      </c>
      <c r="N726" t="str">
        <f t="shared" si="82"/>
        <v>G45) Commercio autoveicoli; G46) Comm. Ingrosso; D) Distr. Energia/gas</v>
      </c>
    </row>
    <row r="727" spans="1:14" ht="63.75">
      <c r="A727" s="58" t="s">
        <v>1663</v>
      </c>
      <c r="B727" s="59" t="s">
        <v>1664</v>
      </c>
      <c r="C727">
        <v>6</v>
      </c>
      <c r="D727" t="str">
        <f>+VLOOKUP(AtecoCrisi[[#This Row],[COD. CRISI]],Tabella139[],2,0)</f>
        <v>G45) Commercio autoveicoli; G46) Comm. Ingrosso; D) Distr. Energia/gas</v>
      </c>
      <c r="E727" s="53">
        <f t="shared" si="77"/>
        <v>2.1000000000000001E-2</v>
      </c>
      <c r="F727" s="53">
        <f t="shared" si="78"/>
        <v>6.3E-2</v>
      </c>
      <c r="G727" s="53">
        <f t="shared" si="79"/>
        <v>1.014</v>
      </c>
      <c r="H727" s="53">
        <f t="shared" si="80"/>
        <v>6.0000000000000001E-3</v>
      </c>
      <c r="I727" s="53">
        <f t="shared" si="81"/>
        <v>2.9000000000000001E-2</v>
      </c>
      <c r="L727" t="s">
        <v>1761</v>
      </c>
      <c r="M727" t="str">
        <f t="shared" si="83"/>
        <v>Commercio all'ingrosso di fibre tessili gregge e semilavorate</v>
      </c>
      <c r="N727" t="str">
        <f t="shared" si="82"/>
        <v>G45) Commercio autoveicoli; G46) Comm. Ingrosso; D) Distr. Energia/gas</v>
      </c>
    </row>
    <row r="728" spans="1:14" ht="63.75">
      <c r="A728" s="58" t="s">
        <v>1665</v>
      </c>
      <c r="B728" s="59" t="s">
        <v>1666</v>
      </c>
      <c r="C728">
        <v>6</v>
      </c>
      <c r="D728" t="str">
        <f>+VLOOKUP(AtecoCrisi[[#This Row],[COD. CRISI]],Tabella139[],2,0)</f>
        <v>G45) Commercio autoveicoli; G46) Comm. Ingrosso; D) Distr. Energia/gas</v>
      </c>
      <c r="E728" s="53">
        <f t="shared" si="77"/>
        <v>2.1000000000000001E-2</v>
      </c>
      <c r="F728" s="53">
        <f t="shared" si="78"/>
        <v>6.3E-2</v>
      </c>
      <c r="G728" s="53">
        <f t="shared" si="79"/>
        <v>1.014</v>
      </c>
      <c r="H728" s="53">
        <f t="shared" si="80"/>
        <v>6.0000000000000001E-3</v>
      </c>
      <c r="I728" s="53">
        <f t="shared" si="81"/>
        <v>2.9000000000000001E-2</v>
      </c>
      <c r="L728" t="s">
        <v>1763</v>
      </c>
      <c r="M728" t="str">
        <f t="shared" si="83"/>
        <v>Commercio all'ingrosso di gomma greggia, materie plastiche in forme primarie e semilavorati</v>
      </c>
      <c r="N728" t="str">
        <f t="shared" si="82"/>
        <v>G45) Commercio autoveicoli; G46) Comm. Ingrosso; D) Distr. Energia/gas</v>
      </c>
    </row>
    <row r="729" spans="1:14" ht="51">
      <c r="A729" s="58" t="s">
        <v>1667</v>
      </c>
      <c r="B729" s="59" t="s">
        <v>1668</v>
      </c>
      <c r="C729">
        <v>6</v>
      </c>
      <c r="D729" t="str">
        <f>+VLOOKUP(AtecoCrisi[[#This Row],[COD. CRISI]],Tabella139[],2,0)</f>
        <v>G45) Commercio autoveicoli; G46) Comm. Ingrosso; D) Distr. Energia/gas</v>
      </c>
      <c r="E729" s="53">
        <f t="shared" si="77"/>
        <v>2.1000000000000001E-2</v>
      </c>
      <c r="F729" s="53">
        <f t="shared" si="78"/>
        <v>6.3E-2</v>
      </c>
      <c r="G729" s="53">
        <f t="shared" si="79"/>
        <v>1.014</v>
      </c>
      <c r="H729" s="53">
        <f t="shared" si="80"/>
        <v>6.0000000000000001E-3</v>
      </c>
      <c r="I729" s="53">
        <f t="shared" si="81"/>
        <v>2.9000000000000001E-2</v>
      </c>
      <c r="L729" t="s">
        <v>1765</v>
      </c>
      <c r="M729" t="str">
        <f t="shared" si="83"/>
        <v>Commercio all'ingrosso di imballaggi</v>
      </c>
      <c r="N729" t="str">
        <f t="shared" si="82"/>
        <v>G45) Commercio autoveicoli; G46) Comm. Ingrosso; D) Distr. Energia/gas</v>
      </c>
    </row>
    <row r="730" spans="1:14" ht="38.25">
      <c r="A730" s="58" t="s">
        <v>1669</v>
      </c>
      <c r="B730" s="59" t="s">
        <v>1670</v>
      </c>
      <c r="C730">
        <v>6</v>
      </c>
      <c r="D730" t="str">
        <f>+VLOOKUP(AtecoCrisi[[#This Row],[COD. CRISI]],Tabella139[],2,0)</f>
        <v>G45) Commercio autoveicoli; G46) Comm. Ingrosso; D) Distr. Energia/gas</v>
      </c>
      <c r="E730" s="53">
        <f t="shared" si="77"/>
        <v>2.1000000000000001E-2</v>
      </c>
      <c r="F730" s="53">
        <f t="shared" si="78"/>
        <v>6.3E-2</v>
      </c>
      <c r="G730" s="53">
        <f t="shared" si="79"/>
        <v>1.014</v>
      </c>
      <c r="H730" s="53">
        <f t="shared" si="80"/>
        <v>6.0000000000000001E-3</v>
      </c>
      <c r="I730" s="53">
        <f t="shared" si="81"/>
        <v>2.9000000000000001E-2</v>
      </c>
      <c r="L730" t="s">
        <v>1767</v>
      </c>
      <c r="M730" t="str">
        <f t="shared" si="83"/>
        <v>Commercio all'ingrosso di altri prodotti intermedi nca</v>
      </c>
      <c r="N730" t="str">
        <f t="shared" si="82"/>
        <v>G45) Commercio autoveicoli; G46) Comm. Ingrosso; D) Distr. Energia/gas</v>
      </c>
    </row>
    <row r="731" spans="1:14" ht="63.75">
      <c r="A731" s="58" t="s">
        <v>1671</v>
      </c>
      <c r="B731" s="59" t="s">
        <v>1672</v>
      </c>
      <c r="C731">
        <v>6</v>
      </c>
      <c r="D731" t="str">
        <f>+VLOOKUP(AtecoCrisi[[#This Row],[COD. CRISI]],Tabella139[],2,0)</f>
        <v>G45) Commercio autoveicoli; G46) Comm. Ingrosso; D) Distr. Energia/gas</v>
      </c>
      <c r="E731" s="53">
        <f t="shared" si="77"/>
        <v>2.1000000000000001E-2</v>
      </c>
      <c r="F731" s="53">
        <f t="shared" si="78"/>
        <v>6.3E-2</v>
      </c>
      <c r="G731" s="53">
        <f t="shared" si="79"/>
        <v>1.014</v>
      </c>
      <c r="H731" s="53">
        <f t="shared" si="80"/>
        <v>6.0000000000000001E-3</v>
      </c>
      <c r="I731" s="53">
        <f t="shared" si="81"/>
        <v>2.9000000000000001E-2</v>
      </c>
      <c r="L731" t="s">
        <v>1769</v>
      </c>
      <c r="M731" t="str">
        <f t="shared" si="83"/>
        <v>Commercio all'ingrosso di rottami e sottoprodotti della lavorazione industriale metallici</v>
      </c>
      <c r="N731" t="str">
        <f t="shared" si="82"/>
        <v>G45) Commercio autoveicoli; G46) Comm. Ingrosso; D) Distr. Energia/gas</v>
      </c>
    </row>
    <row r="732" spans="1:14" ht="51">
      <c r="A732" s="58" t="s">
        <v>1673</v>
      </c>
      <c r="B732" s="59" t="s">
        <v>1674</v>
      </c>
      <c r="C732">
        <v>6</v>
      </c>
      <c r="D732" t="str">
        <f>+VLOOKUP(AtecoCrisi[[#This Row],[COD. CRISI]],Tabella139[],2,0)</f>
        <v>G45) Commercio autoveicoli; G46) Comm. Ingrosso; D) Distr. Energia/gas</v>
      </c>
      <c r="E732" s="53">
        <f t="shared" si="77"/>
        <v>2.1000000000000001E-2</v>
      </c>
      <c r="F732" s="53">
        <f t="shared" si="78"/>
        <v>6.3E-2</v>
      </c>
      <c r="G732" s="53">
        <f t="shared" si="79"/>
        <v>1.014</v>
      </c>
      <c r="H732" s="53">
        <f t="shared" si="80"/>
        <v>6.0000000000000001E-3</v>
      </c>
      <c r="I732" s="53">
        <f t="shared" si="81"/>
        <v>2.9000000000000001E-2</v>
      </c>
      <c r="L732" t="s">
        <v>1771</v>
      </c>
      <c r="M732" t="str">
        <f t="shared" si="83"/>
        <v>Commercio all'ingrosso di altri materiali di recupero non metallici (vetro, carta, cartoni eccetera); sottoprodotti non metallici della lavorazione industriale (cascami)</v>
      </c>
      <c r="N732" t="str">
        <f t="shared" si="82"/>
        <v>G45) Commercio autoveicoli; G46) Comm. Ingrosso; D) Distr. Energia/gas</v>
      </c>
    </row>
    <row r="733" spans="1:14" ht="51">
      <c r="A733" s="58" t="s">
        <v>1675</v>
      </c>
      <c r="B733" s="59" t="s">
        <v>1676</v>
      </c>
      <c r="C733">
        <v>6</v>
      </c>
      <c r="D733" t="str">
        <f>+VLOOKUP(AtecoCrisi[[#This Row],[COD. CRISI]],Tabella139[],2,0)</f>
        <v>G45) Commercio autoveicoli; G46) Comm. Ingrosso; D) Distr. Energia/gas</v>
      </c>
      <c r="E733" s="53">
        <f t="shared" si="77"/>
        <v>2.1000000000000001E-2</v>
      </c>
      <c r="F733" s="53">
        <f t="shared" si="78"/>
        <v>6.3E-2</v>
      </c>
      <c r="G733" s="53">
        <f t="shared" si="79"/>
        <v>1.014</v>
      </c>
      <c r="H733" s="53">
        <f t="shared" si="80"/>
        <v>6.0000000000000001E-3</v>
      </c>
      <c r="I733" s="53">
        <f t="shared" si="81"/>
        <v>2.9000000000000001E-2</v>
      </c>
      <c r="L733" t="s">
        <v>1773</v>
      </c>
      <c r="M733" t="str">
        <f t="shared" si="83"/>
        <v>Commercio all'ingrosso non specializzato</v>
      </c>
      <c r="N733" t="str">
        <f t="shared" si="82"/>
        <v>G45) Commercio autoveicoli; G46) Comm. Ingrosso; D) Distr. Energia/gas</v>
      </c>
    </row>
    <row r="734" spans="1:14" ht="38.25">
      <c r="A734" s="58" t="s">
        <v>1677</v>
      </c>
      <c r="B734" s="59" t="s">
        <v>1678</v>
      </c>
      <c r="C734">
        <v>6</v>
      </c>
      <c r="D734" t="str">
        <f>+VLOOKUP(AtecoCrisi[[#This Row],[COD. CRISI]],Tabella139[],2,0)</f>
        <v>G45) Commercio autoveicoli; G46) Comm. Ingrosso; D) Distr. Energia/gas</v>
      </c>
      <c r="E734" s="53">
        <f t="shared" si="77"/>
        <v>2.1000000000000001E-2</v>
      </c>
      <c r="F734" s="53">
        <f t="shared" si="78"/>
        <v>6.3E-2</v>
      </c>
      <c r="G734" s="53">
        <f t="shared" si="79"/>
        <v>1.014</v>
      </c>
      <c r="H734" s="53">
        <f t="shared" si="80"/>
        <v>6.0000000000000001E-3</v>
      </c>
      <c r="I734" s="53">
        <f t="shared" si="81"/>
        <v>2.9000000000000001E-2</v>
      </c>
      <c r="L734" t="s">
        <v>1777</v>
      </c>
      <c r="M734" t="str">
        <f t="shared" si="83"/>
        <v>Ipermercati</v>
      </c>
      <c r="N734" t="str">
        <f t="shared" si="82"/>
        <v>G47) Commercio dettaglio; I56) Bar e ristoranti</v>
      </c>
    </row>
    <row r="735" spans="1:14" ht="89.25">
      <c r="A735" s="58" t="s">
        <v>1679</v>
      </c>
      <c r="B735" s="59" t="s">
        <v>1680</v>
      </c>
      <c r="C735">
        <v>6</v>
      </c>
      <c r="D735" t="str">
        <f>+VLOOKUP(AtecoCrisi[[#This Row],[COD. CRISI]],Tabella139[],2,0)</f>
        <v>G45) Commercio autoveicoli; G46) Comm. Ingrosso; D) Distr. Energia/gas</v>
      </c>
      <c r="E735" s="53">
        <f t="shared" si="77"/>
        <v>2.1000000000000001E-2</v>
      </c>
      <c r="F735" s="53">
        <f t="shared" si="78"/>
        <v>6.3E-2</v>
      </c>
      <c r="G735" s="53">
        <f t="shared" si="79"/>
        <v>1.014</v>
      </c>
      <c r="H735" s="53">
        <f t="shared" si="80"/>
        <v>6.0000000000000001E-3</v>
      </c>
      <c r="I735" s="53">
        <f t="shared" si="81"/>
        <v>2.9000000000000001E-2</v>
      </c>
      <c r="L735" t="s">
        <v>1779</v>
      </c>
      <c r="M735" t="str">
        <f t="shared" si="83"/>
        <v>Supermercati</v>
      </c>
      <c r="N735" t="str">
        <f t="shared" si="82"/>
        <v>G47) Commercio dettaglio; I56) Bar e ristoranti</v>
      </c>
    </row>
    <row r="736" spans="1:14" ht="51">
      <c r="A736" s="58" t="s">
        <v>1681</v>
      </c>
      <c r="B736" s="59" t="s">
        <v>1682</v>
      </c>
      <c r="C736">
        <v>6</v>
      </c>
      <c r="D736" t="str">
        <f>+VLOOKUP(AtecoCrisi[[#This Row],[COD. CRISI]],Tabella139[],2,0)</f>
        <v>G45) Commercio autoveicoli; G46) Comm. Ingrosso; D) Distr. Energia/gas</v>
      </c>
      <c r="E736" s="53">
        <f t="shared" si="77"/>
        <v>2.1000000000000001E-2</v>
      </c>
      <c r="F736" s="53">
        <f t="shared" si="78"/>
        <v>6.3E-2</v>
      </c>
      <c r="G736" s="53">
        <f t="shared" si="79"/>
        <v>1.014</v>
      </c>
      <c r="H736" s="53">
        <f t="shared" si="80"/>
        <v>6.0000000000000001E-3</v>
      </c>
      <c r="I736" s="53">
        <f t="shared" si="81"/>
        <v>2.9000000000000001E-2</v>
      </c>
      <c r="L736" t="s">
        <v>1781</v>
      </c>
      <c r="M736" t="str">
        <f t="shared" si="83"/>
        <v>Discount di alimentari</v>
      </c>
      <c r="N736" t="str">
        <f t="shared" si="82"/>
        <v>G47) Commercio dettaglio; I56) Bar e ristoranti</v>
      </c>
    </row>
    <row r="737" spans="1:14" ht="51">
      <c r="A737" s="58" t="s">
        <v>1683</v>
      </c>
      <c r="B737" s="59" t="s">
        <v>1684</v>
      </c>
      <c r="C737">
        <v>6</v>
      </c>
      <c r="D737" t="str">
        <f>+VLOOKUP(AtecoCrisi[[#This Row],[COD. CRISI]],Tabella139[],2,0)</f>
        <v>G45) Commercio autoveicoli; G46) Comm. Ingrosso; D) Distr. Energia/gas</v>
      </c>
      <c r="E737" s="53">
        <f t="shared" si="77"/>
        <v>2.1000000000000001E-2</v>
      </c>
      <c r="F737" s="53">
        <f t="shared" si="78"/>
        <v>6.3E-2</v>
      </c>
      <c r="G737" s="53">
        <f t="shared" si="79"/>
        <v>1.014</v>
      </c>
      <c r="H737" s="53">
        <f t="shared" si="80"/>
        <v>6.0000000000000001E-3</v>
      </c>
      <c r="I737" s="53">
        <f t="shared" si="81"/>
        <v>2.9000000000000001E-2</v>
      </c>
      <c r="L737" t="s">
        <v>1783</v>
      </c>
      <c r="M737" t="str">
        <f t="shared" si="83"/>
        <v>Minimercati ed altri esercizi non specializzati di alimentari vari</v>
      </c>
      <c r="N737" t="str">
        <f t="shared" si="82"/>
        <v>G47) Commercio dettaglio; I56) Bar e ristoranti</v>
      </c>
    </row>
    <row r="738" spans="1:14" ht="38.25">
      <c r="A738" s="58" t="s">
        <v>1685</v>
      </c>
      <c r="B738" s="59" t="s">
        <v>1686</v>
      </c>
      <c r="C738">
        <v>6</v>
      </c>
      <c r="D738" t="str">
        <f>+VLOOKUP(AtecoCrisi[[#This Row],[COD. CRISI]],Tabella139[],2,0)</f>
        <v>G45) Commercio autoveicoli; G46) Comm. Ingrosso; D) Distr. Energia/gas</v>
      </c>
      <c r="E738" s="53">
        <f t="shared" si="77"/>
        <v>2.1000000000000001E-2</v>
      </c>
      <c r="F738" s="53">
        <f t="shared" si="78"/>
        <v>6.3E-2</v>
      </c>
      <c r="G738" s="53">
        <f t="shared" si="79"/>
        <v>1.014</v>
      </c>
      <c r="H738" s="53">
        <f t="shared" si="80"/>
        <v>6.0000000000000001E-3</v>
      </c>
      <c r="I738" s="53">
        <f t="shared" si="81"/>
        <v>2.9000000000000001E-2</v>
      </c>
      <c r="L738" t="s">
        <v>1785</v>
      </c>
      <c r="M738" t="str">
        <f t="shared" si="83"/>
        <v>Commercio al dettaglio di prodotti surgelati</v>
      </c>
      <c r="N738" t="str">
        <f t="shared" si="82"/>
        <v>G47) Commercio dettaglio; I56) Bar e ristoranti</v>
      </c>
    </row>
    <row r="739" spans="1:14" ht="38.25">
      <c r="A739" s="58" t="s">
        <v>1687</v>
      </c>
      <c r="B739" s="59" t="s">
        <v>1688</v>
      </c>
      <c r="C739">
        <v>6</v>
      </c>
      <c r="D739" t="str">
        <f>+VLOOKUP(AtecoCrisi[[#This Row],[COD. CRISI]],Tabella139[],2,0)</f>
        <v>G45) Commercio autoveicoli; G46) Comm. Ingrosso; D) Distr. Energia/gas</v>
      </c>
      <c r="E739" s="53">
        <f t="shared" si="77"/>
        <v>2.1000000000000001E-2</v>
      </c>
      <c r="F739" s="53">
        <f t="shared" si="78"/>
        <v>6.3E-2</v>
      </c>
      <c r="G739" s="53">
        <f t="shared" si="79"/>
        <v>1.014</v>
      </c>
      <c r="H739" s="53">
        <f t="shared" si="80"/>
        <v>6.0000000000000001E-3</v>
      </c>
      <c r="I739" s="53">
        <f t="shared" si="81"/>
        <v>2.9000000000000001E-2</v>
      </c>
      <c r="L739" t="s">
        <v>1787</v>
      </c>
      <c r="M739" t="str">
        <f t="shared" si="83"/>
        <v>Grandi magazzini</v>
      </c>
      <c r="N739" t="str">
        <f t="shared" si="82"/>
        <v>G47) Commercio dettaglio; I56) Bar e ristoranti</v>
      </c>
    </row>
    <row r="740" spans="1:14" ht="63.75">
      <c r="A740" s="58" t="s">
        <v>1689</v>
      </c>
      <c r="B740" s="59" t="s">
        <v>1690</v>
      </c>
      <c r="C740">
        <v>6</v>
      </c>
      <c r="D740" t="str">
        <f>+VLOOKUP(AtecoCrisi[[#This Row],[COD. CRISI]],Tabella139[],2,0)</f>
        <v>G45) Commercio autoveicoli; G46) Comm. Ingrosso; D) Distr. Energia/gas</v>
      </c>
      <c r="E740" s="53">
        <f t="shared" si="77"/>
        <v>2.1000000000000001E-2</v>
      </c>
      <c r="F740" s="53">
        <f t="shared" si="78"/>
        <v>6.3E-2</v>
      </c>
      <c r="G740" s="53">
        <f t="shared" si="79"/>
        <v>1.014</v>
      </c>
      <c r="H740" s="53">
        <f t="shared" si="80"/>
        <v>6.0000000000000001E-3</v>
      </c>
      <c r="I740" s="53">
        <f t="shared" si="81"/>
        <v>2.9000000000000001E-2</v>
      </c>
      <c r="L740" t="s">
        <v>1789</v>
      </c>
      <c r="M740" t="str">
        <f t="shared" si="83"/>
        <v>Commercio al dettaglio in esercizi non specializzati di computer, periferiche, attrezzature per le telecomunicazioni, elettronica di consumo audio e video, elettrodomestici</v>
      </c>
      <c r="N740" t="str">
        <f t="shared" si="82"/>
        <v>G47) Commercio dettaglio; I56) Bar e ristoranti</v>
      </c>
    </row>
    <row r="741" spans="1:14" ht="76.5">
      <c r="A741" s="58" t="s">
        <v>1691</v>
      </c>
      <c r="B741" s="59" t="s">
        <v>1692</v>
      </c>
      <c r="C741">
        <v>6</v>
      </c>
      <c r="D741" t="str">
        <f>+VLOOKUP(AtecoCrisi[[#This Row],[COD. CRISI]],Tabella139[],2,0)</f>
        <v>G45) Commercio autoveicoli; G46) Comm. Ingrosso; D) Distr. Energia/gas</v>
      </c>
      <c r="E741" s="53">
        <f t="shared" si="77"/>
        <v>2.1000000000000001E-2</v>
      </c>
      <c r="F741" s="53">
        <f t="shared" si="78"/>
        <v>6.3E-2</v>
      </c>
      <c r="G741" s="53">
        <f t="shared" si="79"/>
        <v>1.014</v>
      </c>
      <c r="H741" s="53">
        <f t="shared" si="80"/>
        <v>6.0000000000000001E-3</v>
      </c>
      <c r="I741" s="53">
        <f t="shared" si="81"/>
        <v>2.9000000000000001E-2</v>
      </c>
      <c r="L741" t="s">
        <v>1791</v>
      </c>
      <c r="M741" t="str">
        <f t="shared" si="83"/>
        <v>Empori ed altri negozi non specializzati di vari prodotti non alimentari</v>
      </c>
      <c r="N741" t="str">
        <f t="shared" si="82"/>
        <v>G47) Commercio dettaglio; I56) Bar e ristoranti</v>
      </c>
    </row>
    <row r="742" spans="1:14" ht="63.75">
      <c r="A742" s="58" t="s">
        <v>1693</v>
      </c>
      <c r="B742" s="59" t="s">
        <v>1694</v>
      </c>
      <c r="C742">
        <v>6</v>
      </c>
      <c r="D742" t="str">
        <f>+VLOOKUP(AtecoCrisi[[#This Row],[COD. CRISI]],Tabella139[],2,0)</f>
        <v>G45) Commercio autoveicoli; G46) Comm. Ingrosso; D) Distr. Energia/gas</v>
      </c>
      <c r="E742" s="53">
        <f t="shared" si="77"/>
        <v>2.1000000000000001E-2</v>
      </c>
      <c r="F742" s="53">
        <f t="shared" si="78"/>
        <v>6.3E-2</v>
      </c>
      <c r="G742" s="53">
        <f t="shared" si="79"/>
        <v>1.014</v>
      </c>
      <c r="H742" s="53">
        <f t="shared" si="80"/>
        <v>6.0000000000000001E-3</v>
      </c>
      <c r="I742" s="53">
        <f t="shared" si="81"/>
        <v>2.9000000000000001E-2</v>
      </c>
      <c r="L742" t="s">
        <v>1793</v>
      </c>
      <c r="M742" t="str">
        <f t="shared" si="83"/>
        <v>Commercio al dettaglio di frutta e verdura fresca</v>
      </c>
      <c r="N742" t="str">
        <f t="shared" si="82"/>
        <v>G47) Commercio dettaglio; I56) Bar e ristoranti</v>
      </c>
    </row>
    <row r="743" spans="1:14" ht="89.25">
      <c r="A743" s="58" t="s">
        <v>1695</v>
      </c>
      <c r="B743" s="59" t="s">
        <v>1696</v>
      </c>
      <c r="C743">
        <v>6</v>
      </c>
      <c r="D743" t="str">
        <f>+VLOOKUP(AtecoCrisi[[#This Row],[COD. CRISI]],Tabella139[],2,0)</f>
        <v>G45) Commercio autoveicoli; G46) Comm. Ingrosso; D) Distr. Energia/gas</v>
      </c>
      <c r="E743" s="53">
        <f t="shared" si="77"/>
        <v>2.1000000000000001E-2</v>
      </c>
      <c r="F743" s="53">
        <f t="shared" si="78"/>
        <v>6.3E-2</v>
      </c>
      <c r="G743" s="53">
        <f t="shared" si="79"/>
        <v>1.014</v>
      </c>
      <c r="H743" s="53">
        <f t="shared" si="80"/>
        <v>6.0000000000000001E-3</v>
      </c>
      <c r="I743" s="53">
        <f t="shared" si="81"/>
        <v>2.9000000000000001E-2</v>
      </c>
      <c r="L743" t="s">
        <v>1795</v>
      </c>
      <c r="M743" t="str">
        <f t="shared" si="83"/>
        <v>Commercio al dettaglio di frutta e verdura preparata e conservata</v>
      </c>
      <c r="N743" t="str">
        <f t="shared" si="82"/>
        <v>G47) Commercio dettaglio; I56) Bar e ristoranti</v>
      </c>
    </row>
    <row r="744" spans="1:14" ht="51">
      <c r="A744" s="58" t="s">
        <v>1697</v>
      </c>
      <c r="B744" s="59" t="s">
        <v>1698</v>
      </c>
      <c r="C744">
        <v>6</v>
      </c>
      <c r="D744" t="str">
        <f>+VLOOKUP(AtecoCrisi[[#This Row],[COD. CRISI]],Tabella139[],2,0)</f>
        <v>G45) Commercio autoveicoli; G46) Comm. Ingrosso; D) Distr. Energia/gas</v>
      </c>
      <c r="E744" s="53">
        <f t="shared" si="77"/>
        <v>2.1000000000000001E-2</v>
      </c>
      <c r="F744" s="53">
        <f t="shared" si="78"/>
        <v>6.3E-2</v>
      </c>
      <c r="G744" s="53">
        <f t="shared" si="79"/>
        <v>1.014</v>
      </c>
      <c r="H744" s="53">
        <f t="shared" si="80"/>
        <v>6.0000000000000001E-3</v>
      </c>
      <c r="I744" s="53">
        <f t="shared" si="81"/>
        <v>2.9000000000000001E-2</v>
      </c>
      <c r="L744" t="s">
        <v>1797</v>
      </c>
      <c r="M744" t="str">
        <f t="shared" si="83"/>
        <v>Commercio al dettaglio di carni e di prodotti a base di carne</v>
      </c>
      <c r="N744" t="str">
        <f t="shared" si="82"/>
        <v>G47) Commercio dettaglio; I56) Bar e ristoranti</v>
      </c>
    </row>
    <row r="745" spans="1:14" ht="51">
      <c r="A745" s="58" t="s">
        <v>1699</v>
      </c>
      <c r="B745" s="59" t="s">
        <v>1700</v>
      </c>
      <c r="C745">
        <v>6</v>
      </c>
      <c r="D745" t="str">
        <f>+VLOOKUP(AtecoCrisi[[#This Row],[COD. CRISI]],Tabella139[],2,0)</f>
        <v>G45) Commercio autoveicoli; G46) Comm. Ingrosso; D) Distr. Energia/gas</v>
      </c>
      <c r="E745" s="53">
        <f t="shared" si="77"/>
        <v>2.1000000000000001E-2</v>
      </c>
      <c r="F745" s="53">
        <f t="shared" si="78"/>
        <v>6.3E-2</v>
      </c>
      <c r="G745" s="53">
        <f t="shared" si="79"/>
        <v>1.014</v>
      </c>
      <c r="H745" s="53">
        <f t="shared" si="80"/>
        <v>6.0000000000000001E-3</v>
      </c>
      <c r="I745" s="53">
        <f t="shared" si="81"/>
        <v>2.9000000000000001E-2</v>
      </c>
      <c r="L745" t="s">
        <v>1799</v>
      </c>
      <c r="M745" t="str">
        <f t="shared" si="83"/>
        <v>Commercio al dettaglio di pesci, crostacei e molluschi</v>
      </c>
      <c r="N745" t="str">
        <f t="shared" si="82"/>
        <v>G47) Commercio dettaglio; I56) Bar e ristoranti</v>
      </c>
    </row>
    <row r="746" spans="1:14" ht="102">
      <c r="A746" s="58" t="s">
        <v>1701</v>
      </c>
      <c r="B746" s="59" t="s">
        <v>1702</v>
      </c>
      <c r="C746">
        <v>6</v>
      </c>
      <c r="D746" t="str">
        <f>+VLOOKUP(AtecoCrisi[[#This Row],[COD. CRISI]],Tabella139[],2,0)</f>
        <v>G45) Commercio autoveicoli; G46) Comm. Ingrosso; D) Distr. Energia/gas</v>
      </c>
      <c r="E746" s="53">
        <f t="shared" si="77"/>
        <v>2.1000000000000001E-2</v>
      </c>
      <c r="F746" s="53">
        <f t="shared" si="78"/>
        <v>6.3E-2</v>
      </c>
      <c r="G746" s="53">
        <f t="shared" si="79"/>
        <v>1.014</v>
      </c>
      <c r="H746" s="53">
        <f t="shared" si="80"/>
        <v>6.0000000000000001E-3</v>
      </c>
      <c r="I746" s="53">
        <f t="shared" si="81"/>
        <v>2.9000000000000001E-2</v>
      </c>
      <c r="L746" t="s">
        <v>1801</v>
      </c>
      <c r="M746" t="str">
        <f t="shared" si="83"/>
        <v>Commercio al dettaglio di pane</v>
      </c>
      <c r="N746" t="str">
        <f t="shared" si="82"/>
        <v>G47) Commercio dettaglio; I56) Bar e ristoranti</v>
      </c>
    </row>
    <row r="747" spans="1:14" ht="76.5">
      <c r="A747" s="58" t="s">
        <v>1703</v>
      </c>
      <c r="B747" s="59" t="s">
        <v>1704</v>
      </c>
      <c r="C747">
        <v>6</v>
      </c>
      <c r="D747" t="str">
        <f>+VLOOKUP(AtecoCrisi[[#This Row],[COD. CRISI]],Tabella139[],2,0)</f>
        <v>G45) Commercio autoveicoli; G46) Comm. Ingrosso; D) Distr. Energia/gas</v>
      </c>
      <c r="E747" s="53">
        <f t="shared" si="77"/>
        <v>2.1000000000000001E-2</v>
      </c>
      <c r="F747" s="53">
        <f t="shared" si="78"/>
        <v>6.3E-2</v>
      </c>
      <c r="G747" s="53">
        <f t="shared" si="79"/>
        <v>1.014</v>
      </c>
      <c r="H747" s="53">
        <f t="shared" si="80"/>
        <v>6.0000000000000001E-3</v>
      </c>
      <c r="I747" s="53">
        <f t="shared" si="81"/>
        <v>2.9000000000000001E-2</v>
      </c>
      <c r="L747" t="s">
        <v>1803</v>
      </c>
      <c r="M747" t="str">
        <f t="shared" si="83"/>
        <v>Commercio al dettaglio di torte, dolciumi, confetteria</v>
      </c>
      <c r="N747" t="str">
        <f t="shared" si="82"/>
        <v>G47) Commercio dettaglio; I56) Bar e ristoranti</v>
      </c>
    </row>
    <row r="748" spans="1:14" ht="76.5">
      <c r="A748" s="58" t="s">
        <v>1705</v>
      </c>
      <c r="B748" s="59" t="s">
        <v>1706</v>
      </c>
      <c r="C748">
        <v>6</v>
      </c>
      <c r="D748" t="str">
        <f>+VLOOKUP(AtecoCrisi[[#This Row],[COD. CRISI]],Tabella139[],2,0)</f>
        <v>G45) Commercio autoveicoli; G46) Comm. Ingrosso; D) Distr. Energia/gas</v>
      </c>
      <c r="E748" s="53">
        <f t="shared" si="77"/>
        <v>2.1000000000000001E-2</v>
      </c>
      <c r="F748" s="53">
        <f t="shared" si="78"/>
        <v>6.3E-2</v>
      </c>
      <c r="G748" s="53">
        <f t="shared" si="79"/>
        <v>1.014</v>
      </c>
      <c r="H748" s="53">
        <f t="shared" si="80"/>
        <v>6.0000000000000001E-3</v>
      </c>
      <c r="I748" s="53">
        <f t="shared" si="81"/>
        <v>2.9000000000000001E-2</v>
      </c>
      <c r="L748" t="s">
        <v>1805</v>
      </c>
      <c r="M748" t="str">
        <f t="shared" si="83"/>
        <v>Commercio al dettaglio di bevande</v>
      </c>
      <c r="N748" t="str">
        <f t="shared" si="82"/>
        <v>G47) Commercio dettaglio; I56) Bar e ristoranti</v>
      </c>
    </row>
    <row r="749" spans="1:14" ht="63.75">
      <c r="A749" s="58" t="s">
        <v>1707</v>
      </c>
      <c r="B749" s="59" t="s">
        <v>1708</v>
      </c>
      <c r="C749">
        <v>6</v>
      </c>
      <c r="D749" t="str">
        <f>+VLOOKUP(AtecoCrisi[[#This Row],[COD. CRISI]],Tabella139[],2,0)</f>
        <v>G45) Commercio autoveicoli; G46) Comm. Ingrosso; D) Distr. Energia/gas</v>
      </c>
      <c r="E749" s="53">
        <f t="shared" si="77"/>
        <v>2.1000000000000001E-2</v>
      </c>
      <c r="F749" s="53">
        <f t="shared" si="78"/>
        <v>6.3E-2</v>
      </c>
      <c r="G749" s="53">
        <f t="shared" si="79"/>
        <v>1.014</v>
      </c>
      <c r="H749" s="53">
        <f t="shared" si="80"/>
        <v>6.0000000000000001E-3</v>
      </c>
      <c r="I749" s="53">
        <f t="shared" si="81"/>
        <v>2.9000000000000001E-2</v>
      </c>
      <c r="L749" t="s">
        <v>1807</v>
      </c>
      <c r="M749" t="str">
        <f t="shared" si="83"/>
        <v>Commercio al dettaglio di generi di monopolio (tabaccherie)</v>
      </c>
      <c r="N749" t="str">
        <f t="shared" si="82"/>
        <v>G47) Commercio dettaglio; I56) Bar e ristoranti</v>
      </c>
    </row>
    <row r="750" spans="1:14" ht="89.25">
      <c r="A750" s="58" t="s">
        <v>1709</v>
      </c>
      <c r="B750" s="59" t="s">
        <v>1710</v>
      </c>
      <c r="C750">
        <v>6</v>
      </c>
      <c r="D750" t="str">
        <f>+VLOOKUP(AtecoCrisi[[#This Row],[COD. CRISI]],Tabella139[],2,0)</f>
        <v>G45) Commercio autoveicoli; G46) Comm. Ingrosso; D) Distr. Energia/gas</v>
      </c>
      <c r="E750" s="53">
        <f t="shared" si="77"/>
        <v>2.1000000000000001E-2</v>
      </c>
      <c r="F750" s="53">
        <f t="shared" si="78"/>
        <v>6.3E-2</v>
      </c>
      <c r="G750" s="53">
        <f t="shared" si="79"/>
        <v>1.014</v>
      </c>
      <c r="H750" s="53">
        <f t="shared" si="80"/>
        <v>6.0000000000000001E-3</v>
      </c>
      <c r="I750" s="53">
        <f t="shared" si="81"/>
        <v>2.9000000000000001E-2</v>
      </c>
      <c r="L750" t="s">
        <v>1809</v>
      </c>
      <c r="M750" t="str">
        <f t="shared" si="83"/>
        <v>Commercio al dettaglio di latte e di prodotti lattiero-caseari</v>
      </c>
      <c r="N750" t="str">
        <f t="shared" si="82"/>
        <v>G47) Commercio dettaglio; I56) Bar e ristoranti</v>
      </c>
    </row>
    <row r="751" spans="1:14" ht="51">
      <c r="A751" s="58" t="s">
        <v>1711</v>
      </c>
      <c r="B751" s="59" t="s">
        <v>1712</v>
      </c>
      <c r="C751">
        <v>6</v>
      </c>
      <c r="D751" t="str">
        <f>+VLOOKUP(AtecoCrisi[[#This Row],[COD. CRISI]],Tabella139[],2,0)</f>
        <v>G45) Commercio autoveicoli; G46) Comm. Ingrosso; D) Distr. Energia/gas</v>
      </c>
      <c r="E751" s="53">
        <f t="shared" si="77"/>
        <v>2.1000000000000001E-2</v>
      </c>
      <c r="F751" s="53">
        <f t="shared" si="78"/>
        <v>6.3E-2</v>
      </c>
      <c r="G751" s="53">
        <f t="shared" si="79"/>
        <v>1.014</v>
      </c>
      <c r="H751" s="53">
        <f t="shared" si="80"/>
        <v>6.0000000000000001E-3</v>
      </c>
      <c r="I751" s="53">
        <f t="shared" si="81"/>
        <v>2.9000000000000001E-2</v>
      </c>
      <c r="L751" t="s">
        <v>1811</v>
      </c>
      <c r="M751" t="str">
        <f t="shared" si="83"/>
        <v>Commercio al dettaglio di caffè torrefatto</v>
      </c>
      <c r="N751" t="str">
        <f t="shared" si="82"/>
        <v>G47) Commercio dettaglio; I56) Bar e ristoranti</v>
      </c>
    </row>
    <row r="752" spans="1:14" ht="63.75">
      <c r="A752" s="58" t="s">
        <v>1713</v>
      </c>
      <c r="B752" s="59" t="s">
        <v>1714</v>
      </c>
      <c r="C752">
        <v>6</v>
      </c>
      <c r="D752" t="str">
        <f>+VLOOKUP(AtecoCrisi[[#This Row],[COD. CRISI]],Tabella139[],2,0)</f>
        <v>G45) Commercio autoveicoli; G46) Comm. Ingrosso; D) Distr. Energia/gas</v>
      </c>
      <c r="E752" s="53">
        <f t="shared" si="77"/>
        <v>2.1000000000000001E-2</v>
      </c>
      <c r="F752" s="53">
        <f t="shared" si="78"/>
        <v>6.3E-2</v>
      </c>
      <c r="G752" s="53">
        <f t="shared" si="79"/>
        <v>1.014</v>
      </c>
      <c r="H752" s="53">
        <f t="shared" si="80"/>
        <v>6.0000000000000001E-3</v>
      </c>
      <c r="I752" s="53">
        <f t="shared" si="81"/>
        <v>2.9000000000000001E-2</v>
      </c>
      <c r="L752" t="s">
        <v>1813</v>
      </c>
      <c r="M752" t="str">
        <f t="shared" si="83"/>
        <v>Commercio al dettaglio di prodotti macrobiotici e dietetici</v>
      </c>
      <c r="N752" t="str">
        <f t="shared" si="82"/>
        <v>G47) Commercio dettaglio; I56) Bar e ristoranti</v>
      </c>
    </row>
    <row r="753" spans="1:14" ht="51">
      <c r="A753" s="58" t="s">
        <v>1715</v>
      </c>
      <c r="B753" s="59" t="s">
        <v>1716</v>
      </c>
      <c r="C753">
        <v>6</v>
      </c>
      <c r="D753" t="str">
        <f>+VLOOKUP(AtecoCrisi[[#This Row],[COD. CRISI]],Tabella139[],2,0)</f>
        <v>G45) Commercio autoveicoli; G46) Comm. Ingrosso; D) Distr. Energia/gas</v>
      </c>
      <c r="E753" s="53">
        <f t="shared" si="77"/>
        <v>2.1000000000000001E-2</v>
      </c>
      <c r="F753" s="53">
        <f t="shared" si="78"/>
        <v>6.3E-2</v>
      </c>
      <c r="G753" s="53">
        <f t="shared" si="79"/>
        <v>1.014</v>
      </c>
      <c r="H753" s="53">
        <f t="shared" si="80"/>
        <v>6.0000000000000001E-3</v>
      </c>
      <c r="I753" s="53">
        <f t="shared" si="81"/>
        <v>2.9000000000000001E-2</v>
      </c>
      <c r="L753" t="s">
        <v>1815</v>
      </c>
      <c r="M753" t="str">
        <f t="shared" si="83"/>
        <v>Commercio al dettaglio di altri prodotti alimentari in esercizi specializzati nca</v>
      </c>
      <c r="N753" t="str">
        <f t="shared" si="82"/>
        <v>G47) Commercio dettaglio; I56) Bar e ristoranti</v>
      </c>
    </row>
    <row r="754" spans="1:14" ht="63.75">
      <c r="A754" s="58" t="s">
        <v>1717</v>
      </c>
      <c r="B754" s="59" t="s">
        <v>1718</v>
      </c>
      <c r="C754">
        <v>6</v>
      </c>
      <c r="D754" t="str">
        <f>+VLOOKUP(AtecoCrisi[[#This Row],[COD. CRISI]],Tabella139[],2,0)</f>
        <v>G45) Commercio autoveicoli; G46) Comm. Ingrosso; D) Distr. Energia/gas</v>
      </c>
      <c r="E754" s="53">
        <f t="shared" si="77"/>
        <v>2.1000000000000001E-2</v>
      </c>
      <c r="F754" s="53">
        <f t="shared" si="78"/>
        <v>6.3E-2</v>
      </c>
      <c r="G754" s="53">
        <f t="shared" si="79"/>
        <v>1.014</v>
      </c>
      <c r="H754" s="53">
        <f t="shared" si="80"/>
        <v>6.0000000000000001E-3</v>
      </c>
      <c r="I754" s="53">
        <f t="shared" si="81"/>
        <v>2.9000000000000001E-2</v>
      </c>
      <c r="L754" t="s">
        <v>1817</v>
      </c>
      <c r="M754" t="str">
        <f t="shared" si="83"/>
        <v>Commercio al dettaglio di carburante per autotrazione</v>
      </c>
      <c r="N754" t="str">
        <f t="shared" si="82"/>
        <v>G47) Commercio dettaglio; I56) Bar e ristoranti</v>
      </c>
    </row>
    <row r="755" spans="1:14" ht="63.75">
      <c r="A755" s="58" t="s">
        <v>1719</v>
      </c>
      <c r="B755" s="59" t="s">
        <v>1720</v>
      </c>
      <c r="C755">
        <v>6</v>
      </c>
      <c r="D755" t="str">
        <f>+VLOOKUP(AtecoCrisi[[#This Row],[COD. CRISI]],Tabella139[],2,0)</f>
        <v>G45) Commercio autoveicoli; G46) Comm. Ingrosso; D) Distr. Energia/gas</v>
      </c>
      <c r="E755" s="53">
        <f t="shared" si="77"/>
        <v>2.1000000000000001E-2</v>
      </c>
      <c r="F755" s="53">
        <f t="shared" si="78"/>
        <v>6.3E-2</v>
      </c>
      <c r="G755" s="53">
        <f t="shared" si="79"/>
        <v>1.014</v>
      </c>
      <c r="H755" s="53">
        <f t="shared" si="80"/>
        <v>6.0000000000000001E-3</v>
      </c>
      <c r="I755" s="53">
        <f t="shared" si="81"/>
        <v>2.9000000000000001E-2</v>
      </c>
      <c r="L755" t="s">
        <v>1819</v>
      </c>
      <c r="M755" t="str">
        <f t="shared" si="83"/>
        <v>Commercio al dettaglio di computer, unità periferiche, software e attrezzature per ufficio in esercizi specializzati</v>
      </c>
      <c r="N755" t="str">
        <f t="shared" si="82"/>
        <v>G47) Commercio dettaglio; I56) Bar e ristoranti</v>
      </c>
    </row>
    <row r="756" spans="1:14" ht="76.5">
      <c r="A756" s="58" t="s">
        <v>1721</v>
      </c>
      <c r="B756" s="59" t="s">
        <v>1722</v>
      </c>
      <c r="C756">
        <v>6</v>
      </c>
      <c r="D756" t="str">
        <f>+VLOOKUP(AtecoCrisi[[#This Row],[COD. CRISI]],Tabella139[],2,0)</f>
        <v>G45) Commercio autoveicoli; G46) Comm. Ingrosso; D) Distr. Energia/gas</v>
      </c>
      <c r="E756" s="53">
        <f t="shared" si="77"/>
        <v>2.1000000000000001E-2</v>
      </c>
      <c r="F756" s="53">
        <f t="shared" si="78"/>
        <v>6.3E-2</v>
      </c>
      <c r="G756" s="53">
        <f t="shared" si="79"/>
        <v>1.014</v>
      </c>
      <c r="H756" s="53">
        <f t="shared" si="80"/>
        <v>6.0000000000000001E-3</v>
      </c>
      <c r="I756" s="53">
        <f t="shared" si="81"/>
        <v>2.9000000000000001E-2</v>
      </c>
      <c r="L756" t="s">
        <v>1821</v>
      </c>
      <c r="M756" t="str">
        <f t="shared" si="83"/>
        <v>Commercio al dettaglio di apparecchiature per le telecomunicazioni e la telefonia in esercizi specializzati</v>
      </c>
      <c r="N756" t="str">
        <f t="shared" si="82"/>
        <v>G47) Commercio dettaglio; I56) Bar e ristoranti</v>
      </c>
    </row>
    <row r="757" spans="1:14" ht="76.5">
      <c r="A757" s="58" t="s">
        <v>1723</v>
      </c>
      <c r="B757" s="59" t="s">
        <v>1724</v>
      </c>
      <c r="C757">
        <v>6</v>
      </c>
      <c r="D757" t="str">
        <f>+VLOOKUP(AtecoCrisi[[#This Row],[COD. CRISI]],Tabella139[],2,0)</f>
        <v>G45) Commercio autoveicoli; G46) Comm. Ingrosso; D) Distr. Energia/gas</v>
      </c>
      <c r="E757" s="53">
        <f t="shared" si="77"/>
        <v>2.1000000000000001E-2</v>
      </c>
      <c r="F757" s="53">
        <f t="shared" si="78"/>
        <v>6.3E-2</v>
      </c>
      <c r="G757" s="53">
        <f t="shared" si="79"/>
        <v>1.014</v>
      </c>
      <c r="H757" s="53">
        <f t="shared" si="80"/>
        <v>6.0000000000000001E-3</v>
      </c>
      <c r="I757" s="53">
        <f t="shared" si="81"/>
        <v>2.9000000000000001E-2</v>
      </c>
      <c r="L757" t="s">
        <v>1823</v>
      </c>
      <c r="M757" t="str">
        <f t="shared" si="83"/>
        <v>Commercio al dettaglio di apparecchi audio e video in esercizi specializzati</v>
      </c>
      <c r="N757" t="str">
        <f t="shared" si="82"/>
        <v>G47) Commercio dettaglio; I56) Bar e ristoranti</v>
      </c>
    </row>
    <row r="758" spans="1:14" ht="76.5">
      <c r="A758" s="58" t="s">
        <v>1725</v>
      </c>
      <c r="B758" s="59" t="s">
        <v>1726</v>
      </c>
      <c r="C758">
        <v>6</v>
      </c>
      <c r="D758" t="str">
        <f>+VLOOKUP(AtecoCrisi[[#This Row],[COD. CRISI]],Tabella139[],2,0)</f>
        <v>G45) Commercio autoveicoli; G46) Comm. Ingrosso; D) Distr. Energia/gas</v>
      </c>
      <c r="E758" s="53">
        <f t="shared" si="77"/>
        <v>2.1000000000000001E-2</v>
      </c>
      <c r="F758" s="53">
        <f t="shared" si="78"/>
        <v>6.3E-2</v>
      </c>
      <c r="G758" s="53">
        <f t="shared" si="79"/>
        <v>1.014</v>
      </c>
      <c r="H758" s="53">
        <f t="shared" si="80"/>
        <v>6.0000000000000001E-3</v>
      </c>
      <c r="I758" s="53">
        <f t="shared" si="81"/>
        <v>2.9000000000000001E-2</v>
      </c>
      <c r="L758" t="s">
        <v>1825</v>
      </c>
      <c r="M758" t="str">
        <f t="shared" si="83"/>
        <v>Commercio al dettaglio di tessuti per l'abbigliamento, l'arredamento e di biancheria per la casa</v>
      </c>
      <c r="N758" t="str">
        <f t="shared" si="82"/>
        <v>G47) Commercio dettaglio; I56) Bar e ristoranti</v>
      </c>
    </row>
    <row r="759" spans="1:14" ht="76.5">
      <c r="A759" s="58" t="s">
        <v>1727</v>
      </c>
      <c r="B759" s="59" t="s">
        <v>1728</v>
      </c>
      <c r="C759">
        <v>6</v>
      </c>
      <c r="D759" t="str">
        <f>+VLOOKUP(AtecoCrisi[[#This Row],[COD. CRISI]],Tabella139[],2,0)</f>
        <v>G45) Commercio autoveicoli; G46) Comm. Ingrosso; D) Distr. Energia/gas</v>
      </c>
      <c r="E759" s="53">
        <f t="shared" si="77"/>
        <v>2.1000000000000001E-2</v>
      </c>
      <c r="F759" s="53">
        <f t="shared" si="78"/>
        <v>6.3E-2</v>
      </c>
      <c r="G759" s="53">
        <f t="shared" si="79"/>
        <v>1.014</v>
      </c>
      <c r="H759" s="53">
        <f t="shared" si="80"/>
        <v>6.0000000000000001E-3</v>
      </c>
      <c r="I759" s="53">
        <f t="shared" si="81"/>
        <v>2.9000000000000001E-2</v>
      </c>
      <c r="L759" t="s">
        <v>1827</v>
      </c>
      <c r="M759" t="str">
        <f t="shared" si="83"/>
        <v>Commercio al dettaglio di filati per maglieria e merceria</v>
      </c>
      <c r="N759" t="str">
        <f t="shared" si="82"/>
        <v>G47) Commercio dettaglio; I56) Bar e ristoranti</v>
      </c>
    </row>
    <row r="760" spans="1:14" ht="51">
      <c r="A760" s="58" t="s">
        <v>1729</v>
      </c>
      <c r="B760" s="59" t="s">
        <v>1730</v>
      </c>
      <c r="C760">
        <v>6</v>
      </c>
      <c r="D760" t="str">
        <f>+VLOOKUP(AtecoCrisi[[#This Row],[COD. CRISI]],Tabella139[],2,0)</f>
        <v>G45) Commercio autoveicoli; G46) Comm. Ingrosso; D) Distr. Energia/gas</v>
      </c>
      <c r="E760" s="53">
        <f t="shared" si="77"/>
        <v>2.1000000000000001E-2</v>
      </c>
      <c r="F760" s="53">
        <f t="shared" si="78"/>
        <v>6.3E-2</v>
      </c>
      <c r="G760" s="53">
        <f t="shared" si="79"/>
        <v>1.014</v>
      </c>
      <c r="H760" s="53">
        <f t="shared" si="80"/>
        <v>6.0000000000000001E-3</v>
      </c>
      <c r="I760" s="53">
        <f t="shared" si="81"/>
        <v>2.9000000000000001E-2</v>
      </c>
      <c r="L760" t="s">
        <v>1829</v>
      </c>
      <c r="M760" t="str">
        <f t="shared" si="83"/>
        <v>Commercio al dettaglio di ferramenta, vernici, vetro piano e materiale elettrico e termoidraulico</v>
      </c>
      <c r="N760" t="str">
        <f t="shared" si="82"/>
        <v>G47) Commercio dettaglio; I56) Bar e ristoranti</v>
      </c>
    </row>
    <row r="761" spans="1:14" ht="89.25">
      <c r="A761" s="58" t="s">
        <v>1731</v>
      </c>
      <c r="B761" s="59" t="s">
        <v>1732</v>
      </c>
      <c r="C761">
        <v>6</v>
      </c>
      <c r="D761" t="str">
        <f>+VLOOKUP(AtecoCrisi[[#This Row],[COD. CRISI]],Tabella139[],2,0)</f>
        <v>G45) Commercio autoveicoli; G46) Comm. Ingrosso; D) Distr. Energia/gas</v>
      </c>
      <c r="E761" s="53">
        <f t="shared" si="77"/>
        <v>2.1000000000000001E-2</v>
      </c>
      <c r="F761" s="53">
        <f t="shared" si="78"/>
        <v>6.3E-2</v>
      </c>
      <c r="G761" s="53">
        <f t="shared" si="79"/>
        <v>1.014</v>
      </c>
      <c r="H761" s="53">
        <f t="shared" si="80"/>
        <v>6.0000000000000001E-3</v>
      </c>
      <c r="I761" s="53">
        <f t="shared" si="81"/>
        <v>2.9000000000000001E-2</v>
      </c>
      <c r="L761" t="s">
        <v>1831</v>
      </c>
      <c r="M761" t="str">
        <f t="shared" si="83"/>
        <v>Commercio al dettaglio di articoli igienico-sanitari</v>
      </c>
      <c r="N761" t="str">
        <f t="shared" si="82"/>
        <v>G47) Commercio dettaglio; I56) Bar e ristoranti</v>
      </c>
    </row>
    <row r="762" spans="1:14" ht="89.25">
      <c r="A762" s="58" t="s">
        <v>1733</v>
      </c>
      <c r="B762" s="59" t="s">
        <v>1734</v>
      </c>
      <c r="C762">
        <v>6</v>
      </c>
      <c r="D762" t="str">
        <f>+VLOOKUP(AtecoCrisi[[#This Row],[COD. CRISI]],Tabella139[],2,0)</f>
        <v>G45) Commercio autoveicoli; G46) Comm. Ingrosso; D) Distr. Energia/gas</v>
      </c>
      <c r="E762" s="53">
        <f t="shared" si="77"/>
        <v>2.1000000000000001E-2</v>
      </c>
      <c r="F762" s="53">
        <f t="shared" si="78"/>
        <v>6.3E-2</v>
      </c>
      <c r="G762" s="53">
        <f t="shared" si="79"/>
        <v>1.014</v>
      </c>
      <c r="H762" s="53">
        <f t="shared" si="80"/>
        <v>6.0000000000000001E-3</v>
      </c>
      <c r="I762" s="53">
        <f t="shared" si="81"/>
        <v>2.9000000000000001E-2</v>
      </c>
      <c r="L762" t="s">
        <v>1833</v>
      </c>
      <c r="M762" t="str">
        <f t="shared" si="83"/>
        <v>Commercio al dettaglio di materiali da costruzione, ceramiche e piastrelle</v>
      </c>
      <c r="N762" t="str">
        <f t="shared" si="82"/>
        <v>G47) Commercio dettaglio; I56) Bar e ristoranti</v>
      </c>
    </row>
    <row r="763" spans="1:14" ht="76.5">
      <c r="A763" s="58" t="s">
        <v>1735</v>
      </c>
      <c r="B763" s="59" t="s">
        <v>1736</v>
      </c>
      <c r="C763">
        <v>6</v>
      </c>
      <c r="D763" t="str">
        <f>+VLOOKUP(AtecoCrisi[[#This Row],[COD. CRISI]],Tabella139[],2,0)</f>
        <v>G45) Commercio autoveicoli; G46) Comm. Ingrosso; D) Distr. Energia/gas</v>
      </c>
      <c r="E763" s="53">
        <f t="shared" si="77"/>
        <v>2.1000000000000001E-2</v>
      </c>
      <c r="F763" s="53">
        <f t="shared" si="78"/>
        <v>6.3E-2</v>
      </c>
      <c r="G763" s="53">
        <f t="shared" si="79"/>
        <v>1.014</v>
      </c>
      <c r="H763" s="53">
        <f t="shared" si="80"/>
        <v>6.0000000000000001E-3</v>
      </c>
      <c r="I763" s="53">
        <f t="shared" si="81"/>
        <v>2.9000000000000001E-2</v>
      </c>
      <c r="L763" t="s">
        <v>1835</v>
      </c>
      <c r="M763" t="str">
        <f t="shared" si="83"/>
        <v>Commercio al dettaglio di macchine, attrezzature e prodotti per l'agricoltura; macchine e attrezzature per il giardinaggio</v>
      </c>
      <c r="N763" t="str">
        <f t="shared" si="82"/>
        <v>G47) Commercio dettaglio; I56) Bar e ristoranti</v>
      </c>
    </row>
    <row r="764" spans="1:14" ht="63.75">
      <c r="A764" s="58" t="s">
        <v>1737</v>
      </c>
      <c r="B764" s="59" t="s">
        <v>1738</v>
      </c>
      <c r="C764">
        <v>6</v>
      </c>
      <c r="D764" t="str">
        <f>+VLOOKUP(AtecoCrisi[[#This Row],[COD. CRISI]],Tabella139[],2,0)</f>
        <v>G45) Commercio autoveicoli; G46) Comm. Ingrosso; D) Distr. Energia/gas</v>
      </c>
      <c r="E764" s="53">
        <f t="shared" si="77"/>
        <v>2.1000000000000001E-2</v>
      </c>
      <c r="F764" s="53">
        <f t="shared" si="78"/>
        <v>6.3E-2</v>
      </c>
      <c r="G764" s="53">
        <f t="shared" si="79"/>
        <v>1.014</v>
      </c>
      <c r="H764" s="53">
        <f t="shared" si="80"/>
        <v>6.0000000000000001E-3</v>
      </c>
      <c r="I764" s="53">
        <f t="shared" si="81"/>
        <v>2.9000000000000001E-2</v>
      </c>
      <c r="L764" t="s">
        <v>1837</v>
      </c>
      <c r="M764" t="str">
        <f t="shared" si="83"/>
        <v>Commercio al dettaglio di tende e tendine</v>
      </c>
      <c r="N764" t="str">
        <f t="shared" si="82"/>
        <v>G47) Commercio dettaglio; I56) Bar e ristoranti</v>
      </c>
    </row>
    <row r="765" spans="1:14" ht="76.5">
      <c r="A765" s="58" t="s">
        <v>1739</v>
      </c>
      <c r="B765" s="59" t="s">
        <v>1740</v>
      </c>
      <c r="C765">
        <v>6</v>
      </c>
      <c r="D765" t="str">
        <f>+VLOOKUP(AtecoCrisi[[#This Row],[COD. CRISI]],Tabella139[],2,0)</f>
        <v>G45) Commercio autoveicoli; G46) Comm. Ingrosso; D) Distr. Energia/gas</v>
      </c>
      <c r="E765" s="53">
        <f t="shared" si="77"/>
        <v>2.1000000000000001E-2</v>
      </c>
      <c r="F765" s="53">
        <f t="shared" si="78"/>
        <v>6.3E-2</v>
      </c>
      <c r="G765" s="53">
        <f t="shared" si="79"/>
        <v>1.014</v>
      </c>
      <c r="H765" s="53">
        <f t="shared" si="80"/>
        <v>6.0000000000000001E-3</v>
      </c>
      <c r="I765" s="53">
        <f t="shared" si="81"/>
        <v>2.9000000000000001E-2</v>
      </c>
      <c r="L765" t="s">
        <v>1839</v>
      </c>
      <c r="M765" t="str">
        <f t="shared" si="83"/>
        <v>Commercio al dettaglio di tappeti</v>
      </c>
      <c r="N765" t="str">
        <f t="shared" si="82"/>
        <v>G47) Commercio dettaglio; I56) Bar e ristoranti</v>
      </c>
    </row>
    <row r="766" spans="1:14" ht="51">
      <c r="A766" s="58" t="s">
        <v>1741</v>
      </c>
      <c r="B766" s="59" t="s">
        <v>1742</v>
      </c>
      <c r="C766">
        <v>6</v>
      </c>
      <c r="D766" t="str">
        <f>+VLOOKUP(AtecoCrisi[[#This Row],[COD. CRISI]],Tabella139[],2,0)</f>
        <v>G45) Commercio autoveicoli; G46) Comm. Ingrosso; D) Distr. Energia/gas</v>
      </c>
      <c r="E766" s="53">
        <f t="shared" si="77"/>
        <v>2.1000000000000001E-2</v>
      </c>
      <c r="F766" s="53">
        <f t="shared" si="78"/>
        <v>6.3E-2</v>
      </c>
      <c r="G766" s="53">
        <f t="shared" si="79"/>
        <v>1.014</v>
      </c>
      <c r="H766" s="53">
        <f t="shared" si="80"/>
        <v>6.0000000000000001E-3</v>
      </c>
      <c r="I766" s="53">
        <f t="shared" si="81"/>
        <v>2.9000000000000001E-2</v>
      </c>
      <c r="L766" t="s">
        <v>1841</v>
      </c>
      <c r="M766" t="str">
        <f t="shared" si="83"/>
        <v>Commercio al dettaglio di carta da parati e rivestimenti per pavimenti (moquette e linoleum)</v>
      </c>
      <c r="N766" t="str">
        <f t="shared" si="82"/>
        <v>G47) Commercio dettaglio; I56) Bar e ristoranti</v>
      </c>
    </row>
    <row r="767" spans="1:14" ht="76.5">
      <c r="A767" s="58" t="s">
        <v>1743</v>
      </c>
      <c r="B767" s="59" t="s">
        <v>1744</v>
      </c>
      <c r="C767">
        <v>6</v>
      </c>
      <c r="D767" t="str">
        <f>+VLOOKUP(AtecoCrisi[[#This Row],[COD. CRISI]],Tabella139[],2,0)</f>
        <v>G45) Commercio autoveicoli; G46) Comm. Ingrosso; D) Distr. Energia/gas</v>
      </c>
      <c r="E767" s="53">
        <f t="shared" si="77"/>
        <v>2.1000000000000001E-2</v>
      </c>
      <c r="F767" s="53">
        <f t="shared" si="78"/>
        <v>6.3E-2</v>
      </c>
      <c r="G767" s="53">
        <f t="shared" si="79"/>
        <v>1.014</v>
      </c>
      <c r="H767" s="53">
        <f t="shared" si="80"/>
        <v>6.0000000000000001E-3</v>
      </c>
      <c r="I767" s="53">
        <f t="shared" si="81"/>
        <v>2.9000000000000001E-2</v>
      </c>
      <c r="L767" t="s">
        <v>1843</v>
      </c>
      <c r="M767" t="str">
        <f t="shared" si="83"/>
        <v>Commercio al dettaglio di elettrodomestici in esercizi specializzati</v>
      </c>
      <c r="N767" t="str">
        <f t="shared" si="82"/>
        <v>G47) Commercio dettaglio; I56) Bar e ristoranti</v>
      </c>
    </row>
    <row r="768" spans="1:14" ht="38.25">
      <c r="A768" s="58" t="s">
        <v>1745</v>
      </c>
      <c r="B768" s="59" t="s">
        <v>1746</v>
      </c>
      <c r="C768">
        <v>6</v>
      </c>
      <c r="D768" t="str">
        <f>+VLOOKUP(AtecoCrisi[[#This Row],[COD. CRISI]],Tabella139[],2,0)</f>
        <v>G45) Commercio autoveicoli; G46) Comm. Ingrosso; D) Distr. Energia/gas</v>
      </c>
      <c r="E768" s="53">
        <f t="shared" si="77"/>
        <v>2.1000000000000001E-2</v>
      </c>
      <c r="F768" s="53">
        <f t="shared" si="78"/>
        <v>6.3E-2</v>
      </c>
      <c r="G768" s="53">
        <f t="shared" si="79"/>
        <v>1.014</v>
      </c>
      <c r="H768" s="53">
        <f t="shared" si="80"/>
        <v>6.0000000000000001E-3</v>
      </c>
      <c r="I768" s="53">
        <f t="shared" si="81"/>
        <v>2.9000000000000001E-2</v>
      </c>
      <c r="L768" t="s">
        <v>1845</v>
      </c>
      <c r="M768" t="str">
        <f t="shared" si="83"/>
        <v>Commercio al dettaglio di mobili per la casa</v>
      </c>
      <c r="N768" t="str">
        <f t="shared" si="82"/>
        <v>G47) Commercio dettaglio; I56) Bar e ristoranti</v>
      </c>
    </row>
    <row r="769" spans="1:14" ht="51">
      <c r="A769" s="58" t="s">
        <v>1747</v>
      </c>
      <c r="B769" s="59" t="s">
        <v>1748</v>
      </c>
      <c r="C769">
        <v>6</v>
      </c>
      <c r="D769" t="str">
        <f>+VLOOKUP(AtecoCrisi[[#This Row],[COD. CRISI]],Tabella139[],2,0)</f>
        <v>G45) Commercio autoveicoli; G46) Comm. Ingrosso; D) Distr. Energia/gas</v>
      </c>
      <c r="E769" s="53">
        <f t="shared" si="77"/>
        <v>2.1000000000000001E-2</v>
      </c>
      <c r="F769" s="53">
        <f t="shared" si="78"/>
        <v>6.3E-2</v>
      </c>
      <c r="G769" s="53">
        <f t="shared" si="79"/>
        <v>1.014</v>
      </c>
      <c r="H769" s="53">
        <f t="shared" si="80"/>
        <v>6.0000000000000001E-3</v>
      </c>
      <c r="I769" s="53">
        <f t="shared" si="81"/>
        <v>2.9000000000000001E-2</v>
      </c>
      <c r="L769" t="s">
        <v>1847</v>
      </c>
      <c r="M769" t="str">
        <f t="shared" si="83"/>
        <v>Commercio al dettaglio di utensili per la casa, di cristallerie e vasellame</v>
      </c>
      <c r="N769" t="str">
        <f t="shared" si="82"/>
        <v>G47) Commercio dettaglio; I56) Bar e ristoranti</v>
      </c>
    </row>
    <row r="770" spans="1:14" ht="38.25">
      <c r="A770" s="58" t="s">
        <v>1749</v>
      </c>
      <c r="B770" s="59" t="s">
        <v>1750</v>
      </c>
      <c r="C770">
        <v>6</v>
      </c>
      <c r="D770" t="str">
        <f>+VLOOKUP(AtecoCrisi[[#This Row],[COD. CRISI]],Tabella139[],2,0)</f>
        <v>G45) Commercio autoveicoli; G46) Comm. Ingrosso; D) Distr. Energia/gas</v>
      </c>
      <c r="E770" s="53">
        <f t="shared" ref="E770:E833" si="84">+VLOOKUP(C770,$R$2:$X$11,3,FALSE)</f>
        <v>2.1000000000000001E-2</v>
      </c>
      <c r="F770" s="53">
        <f t="shared" ref="F770:F833" si="85">+VLOOKUP(C770,$R$2:$X$11,4,FALSE)</f>
        <v>6.3E-2</v>
      </c>
      <c r="G770" s="53">
        <f t="shared" ref="G770:G833" si="86">+VLOOKUP(C770,$R$2:$X$11,5,FALSE)</f>
        <v>1.014</v>
      </c>
      <c r="H770" s="53">
        <f t="shared" ref="H770:H833" si="87">+VLOOKUP(C770,$R$2:$X$11,6,FALSE)</f>
        <v>6.0000000000000001E-3</v>
      </c>
      <c r="I770" s="53">
        <f t="shared" ref="I770:I833" si="88">+VLOOKUP(C770,$R$2:$X$11,7,FALSE)</f>
        <v>2.9000000000000001E-2</v>
      </c>
      <c r="L770" t="s">
        <v>1849</v>
      </c>
      <c r="M770" t="str">
        <f t="shared" si="83"/>
        <v>Commercio al dettaglio di articoli per l'illuminazione</v>
      </c>
      <c r="N770" t="str">
        <f t="shared" ref="N770:N833" si="89">+VLOOKUP(L770,A:D,4,0)</f>
        <v>G47) Commercio dettaglio; I56) Bar e ristoranti</v>
      </c>
    </row>
    <row r="771" spans="1:14" ht="51">
      <c r="A771" s="58" t="s">
        <v>1751</v>
      </c>
      <c r="B771" s="59" t="s">
        <v>1752</v>
      </c>
      <c r="C771">
        <v>6</v>
      </c>
      <c r="D771" t="str">
        <f>+VLOOKUP(AtecoCrisi[[#This Row],[COD. CRISI]],Tabella139[],2,0)</f>
        <v>G45) Commercio autoveicoli; G46) Comm. Ingrosso; D) Distr. Energia/gas</v>
      </c>
      <c r="E771" s="53">
        <f t="shared" si="84"/>
        <v>2.1000000000000001E-2</v>
      </c>
      <c r="F771" s="53">
        <f t="shared" si="85"/>
        <v>6.3E-2</v>
      </c>
      <c r="G771" s="53">
        <f t="shared" si="86"/>
        <v>1.014</v>
      </c>
      <c r="H771" s="53">
        <f t="shared" si="87"/>
        <v>6.0000000000000001E-3</v>
      </c>
      <c r="I771" s="53">
        <f t="shared" si="88"/>
        <v>2.9000000000000001E-2</v>
      </c>
      <c r="L771" t="s">
        <v>1851</v>
      </c>
      <c r="M771" t="str">
        <f t="shared" ref="M771:M834" si="90">+VLOOKUP(L771,A:B,2,0)</f>
        <v>Commercio al dettaglio di macchine per cucire e per maglieria per uso domestico</v>
      </c>
      <c r="N771" t="str">
        <f t="shared" si="89"/>
        <v>G47) Commercio dettaglio; I56) Bar e ristoranti</v>
      </c>
    </row>
    <row r="772" spans="1:14" ht="63.75">
      <c r="A772" s="58" t="s">
        <v>1753</v>
      </c>
      <c r="B772" s="59" t="s">
        <v>1754</v>
      </c>
      <c r="C772">
        <v>6</v>
      </c>
      <c r="D772" t="str">
        <f>+VLOOKUP(AtecoCrisi[[#This Row],[COD. CRISI]],Tabella139[],2,0)</f>
        <v>G45) Commercio autoveicoli; G46) Comm. Ingrosso; D) Distr. Energia/gas</v>
      </c>
      <c r="E772" s="53">
        <f t="shared" si="84"/>
        <v>2.1000000000000001E-2</v>
      </c>
      <c r="F772" s="53">
        <f t="shared" si="85"/>
        <v>6.3E-2</v>
      </c>
      <c r="G772" s="53">
        <f t="shared" si="86"/>
        <v>1.014</v>
      </c>
      <c r="H772" s="53">
        <f t="shared" si="87"/>
        <v>6.0000000000000001E-3</v>
      </c>
      <c r="I772" s="53">
        <f t="shared" si="88"/>
        <v>2.9000000000000001E-2</v>
      </c>
      <c r="L772" t="s">
        <v>1853</v>
      </c>
      <c r="M772" t="str">
        <f t="shared" si="90"/>
        <v>Commercio al dettaglio di sistemi di sicurezza</v>
      </c>
      <c r="N772" t="str">
        <f t="shared" si="89"/>
        <v>G47) Commercio dettaglio; I56) Bar e ristoranti</v>
      </c>
    </row>
    <row r="773" spans="1:14" ht="102">
      <c r="A773" s="58" t="s">
        <v>1755</v>
      </c>
      <c r="B773" s="59" t="s">
        <v>1756</v>
      </c>
      <c r="C773">
        <v>6</v>
      </c>
      <c r="D773" t="str">
        <f>+VLOOKUP(AtecoCrisi[[#This Row],[COD. CRISI]],Tabella139[],2,0)</f>
        <v>G45) Commercio autoveicoli; G46) Comm. Ingrosso; D) Distr. Energia/gas</v>
      </c>
      <c r="E773" s="53">
        <f t="shared" si="84"/>
        <v>2.1000000000000001E-2</v>
      </c>
      <c r="F773" s="53">
        <f t="shared" si="85"/>
        <v>6.3E-2</v>
      </c>
      <c r="G773" s="53">
        <f t="shared" si="86"/>
        <v>1.014</v>
      </c>
      <c r="H773" s="53">
        <f t="shared" si="87"/>
        <v>6.0000000000000001E-3</v>
      </c>
      <c r="I773" s="53">
        <f t="shared" si="88"/>
        <v>2.9000000000000001E-2</v>
      </c>
      <c r="L773" t="s">
        <v>1855</v>
      </c>
      <c r="M773" t="str">
        <f t="shared" si="90"/>
        <v>Commercio al dettaglio di strumenti musicali e spartiti</v>
      </c>
      <c r="N773" t="str">
        <f t="shared" si="89"/>
        <v>G47) Commercio dettaglio; I56) Bar e ristoranti</v>
      </c>
    </row>
    <row r="774" spans="1:14" ht="76.5">
      <c r="A774" s="58" t="s">
        <v>1757</v>
      </c>
      <c r="B774" s="59" t="s">
        <v>1758</v>
      </c>
      <c r="C774">
        <v>6</v>
      </c>
      <c r="D774" t="str">
        <f>+VLOOKUP(AtecoCrisi[[#This Row],[COD. CRISI]],Tabella139[],2,0)</f>
        <v>G45) Commercio autoveicoli; G46) Comm. Ingrosso; D) Distr. Energia/gas</v>
      </c>
      <c r="E774" s="53">
        <f t="shared" si="84"/>
        <v>2.1000000000000001E-2</v>
      </c>
      <c r="F774" s="53">
        <f t="shared" si="85"/>
        <v>6.3E-2</v>
      </c>
      <c r="G774" s="53">
        <f t="shared" si="86"/>
        <v>1.014</v>
      </c>
      <c r="H774" s="53">
        <f t="shared" si="87"/>
        <v>6.0000000000000001E-3</v>
      </c>
      <c r="I774" s="53">
        <f t="shared" si="88"/>
        <v>2.9000000000000001E-2</v>
      </c>
      <c r="L774" t="s">
        <v>1857</v>
      </c>
      <c r="M774" t="str">
        <f t="shared" si="90"/>
        <v>Commercio al dettaglio di articoli in legno, sughero, vimini e articoli in plastica per uso domestico</v>
      </c>
      <c r="N774" t="str">
        <f t="shared" si="89"/>
        <v>G47) Commercio dettaglio; I56) Bar e ristoranti</v>
      </c>
    </row>
    <row r="775" spans="1:14" ht="51">
      <c r="A775" s="58" t="s">
        <v>1759</v>
      </c>
      <c r="B775" s="59" t="s">
        <v>1760</v>
      </c>
      <c r="C775">
        <v>6</v>
      </c>
      <c r="D775" t="str">
        <f>+VLOOKUP(AtecoCrisi[[#This Row],[COD. CRISI]],Tabella139[],2,0)</f>
        <v>G45) Commercio autoveicoli; G46) Comm. Ingrosso; D) Distr. Energia/gas</v>
      </c>
      <c r="E775" s="53">
        <f t="shared" si="84"/>
        <v>2.1000000000000001E-2</v>
      </c>
      <c r="F775" s="53">
        <f t="shared" si="85"/>
        <v>6.3E-2</v>
      </c>
      <c r="G775" s="53">
        <f t="shared" si="86"/>
        <v>1.014</v>
      </c>
      <c r="H775" s="53">
        <f t="shared" si="87"/>
        <v>6.0000000000000001E-3</v>
      </c>
      <c r="I775" s="53">
        <f t="shared" si="88"/>
        <v>2.9000000000000001E-2</v>
      </c>
      <c r="L775" t="s">
        <v>1859</v>
      </c>
      <c r="M775" t="str">
        <f t="shared" si="90"/>
        <v>Commercio al dettaglio di altri articoli per uso domestico nca</v>
      </c>
      <c r="N775" t="str">
        <f t="shared" si="89"/>
        <v>G47) Commercio dettaglio; I56) Bar e ristoranti</v>
      </c>
    </row>
    <row r="776" spans="1:14" ht="51">
      <c r="A776" s="58" t="s">
        <v>1761</v>
      </c>
      <c r="B776" s="59" t="s">
        <v>1762</v>
      </c>
      <c r="C776">
        <v>6</v>
      </c>
      <c r="D776" t="str">
        <f>+VLOOKUP(AtecoCrisi[[#This Row],[COD. CRISI]],Tabella139[],2,0)</f>
        <v>G45) Commercio autoveicoli; G46) Comm. Ingrosso; D) Distr. Energia/gas</v>
      </c>
      <c r="E776" s="53">
        <f t="shared" si="84"/>
        <v>2.1000000000000001E-2</v>
      </c>
      <c r="F776" s="53">
        <f t="shared" si="85"/>
        <v>6.3E-2</v>
      </c>
      <c r="G776" s="53">
        <f t="shared" si="86"/>
        <v>1.014</v>
      </c>
      <c r="H776" s="53">
        <f t="shared" si="87"/>
        <v>6.0000000000000001E-3</v>
      </c>
      <c r="I776" s="53">
        <f t="shared" si="88"/>
        <v>2.9000000000000001E-2</v>
      </c>
      <c r="L776" t="s">
        <v>1861</v>
      </c>
      <c r="M776" t="str">
        <f t="shared" si="90"/>
        <v>Commercio al dettaglio di libri nuovi in esercizi specializzati</v>
      </c>
      <c r="N776" t="str">
        <f t="shared" si="89"/>
        <v>G47) Commercio dettaglio; I56) Bar e ristoranti</v>
      </c>
    </row>
    <row r="777" spans="1:14" ht="76.5">
      <c r="A777" s="58" t="s">
        <v>1763</v>
      </c>
      <c r="B777" s="59" t="s">
        <v>1764</v>
      </c>
      <c r="C777">
        <v>6</v>
      </c>
      <c r="D777" t="str">
        <f>+VLOOKUP(AtecoCrisi[[#This Row],[COD. CRISI]],Tabella139[],2,0)</f>
        <v>G45) Commercio autoveicoli; G46) Comm. Ingrosso; D) Distr. Energia/gas</v>
      </c>
      <c r="E777" s="53">
        <f t="shared" si="84"/>
        <v>2.1000000000000001E-2</v>
      </c>
      <c r="F777" s="53">
        <f t="shared" si="85"/>
        <v>6.3E-2</v>
      </c>
      <c r="G777" s="53">
        <f t="shared" si="86"/>
        <v>1.014</v>
      </c>
      <c r="H777" s="53">
        <f t="shared" si="87"/>
        <v>6.0000000000000001E-3</v>
      </c>
      <c r="I777" s="53">
        <f t="shared" si="88"/>
        <v>2.9000000000000001E-2</v>
      </c>
      <c r="L777" t="s">
        <v>1863</v>
      </c>
      <c r="M777" t="str">
        <f t="shared" si="90"/>
        <v>Commercio al dettaglio di giornali, riviste e periodici</v>
      </c>
      <c r="N777" t="str">
        <f t="shared" si="89"/>
        <v>G47) Commercio dettaglio; I56) Bar e ristoranti</v>
      </c>
    </row>
    <row r="778" spans="1:14" ht="38.25">
      <c r="A778" s="58" t="s">
        <v>1765</v>
      </c>
      <c r="B778" s="59" t="s">
        <v>1766</v>
      </c>
      <c r="C778">
        <v>6</v>
      </c>
      <c r="D778" t="str">
        <f>+VLOOKUP(AtecoCrisi[[#This Row],[COD. CRISI]],Tabella139[],2,0)</f>
        <v>G45) Commercio autoveicoli; G46) Comm. Ingrosso; D) Distr. Energia/gas</v>
      </c>
      <c r="E778" s="53">
        <f t="shared" si="84"/>
        <v>2.1000000000000001E-2</v>
      </c>
      <c r="F778" s="53">
        <f t="shared" si="85"/>
        <v>6.3E-2</v>
      </c>
      <c r="G778" s="53">
        <f t="shared" si="86"/>
        <v>1.014</v>
      </c>
      <c r="H778" s="53">
        <f t="shared" si="87"/>
        <v>6.0000000000000001E-3</v>
      </c>
      <c r="I778" s="53">
        <f t="shared" si="88"/>
        <v>2.9000000000000001E-2</v>
      </c>
      <c r="L778" t="s">
        <v>1865</v>
      </c>
      <c r="M778" t="str">
        <f t="shared" si="90"/>
        <v>Commercio al dettaglio di articoli di cartoleria e forniture per ufficio</v>
      </c>
      <c r="N778" t="str">
        <f t="shared" si="89"/>
        <v>G47) Commercio dettaglio; I56) Bar e ristoranti</v>
      </c>
    </row>
    <row r="779" spans="1:14" ht="51">
      <c r="A779" s="58" t="s">
        <v>1767</v>
      </c>
      <c r="B779" s="59" t="s">
        <v>1768</v>
      </c>
      <c r="C779">
        <v>6</v>
      </c>
      <c r="D779" t="str">
        <f>+VLOOKUP(AtecoCrisi[[#This Row],[COD. CRISI]],Tabella139[],2,0)</f>
        <v>G45) Commercio autoveicoli; G46) Comm. Ingrosso; D) Distr. Energia/gas</v>
      </c>
      <c r="E779" s="53">
        <f t="shared" si="84"/>
        <v>2.1000000000000001E-2</v>
      </c>
      <c r="F779" s="53">
        <f t="shared" si="85"/>
        <v>6.3E-2</v>
      </c>
      <c r="G779" s="53">
        <f t="shared" si="86"/>
        <v>1.014</v>
      </c>
      <c r="H779" s="53">
        <f t="shared" si="87"/>
        <v>6.0000000000000001E-3</v>
      </c>
      <c r="I779" s="53">
        <f t="shared" si="88"/>
        <v>2.9000000000000001E-2</v>
      </c>
      <c r="L779" t="s">
        <v>1867</v>
      </c>
      <c r="M779" t="str">
        <f t="shared" si="90"/>
        <v>Commercio al dettaglio di registrazioni musicali e video in esercizi specializzati</v>
      </c>
      <c r="N779" t="str">
        <f t="shared" si="89"/>
        <v>G47) Commercio dettaglio; I56) Bar e ristoranti</v>
      </c>
    </row>
    <row r="780" spans="1:14" ht="89.25">
      <c r="A780" s="58" t="s">
        <v>1769</v>
      </c>
      <c r="B780" s="59" t="s">
        <v>1770</v>
      </c>
      <c r="C780">
        <v>6</v>
      </c>
      <c r="D780" t="str">
        <f>+VLOOKUP(AtecoCrisi[[#This Row],[COD. CRISI]],Tabella139[],2,0)</f>
        <v>G45) Commercio autoveicoli; G46) Comm. Ingrosso; D) Distr. Energia/gas</v>
      </c>
      <c r="E780" s="53">
        <f t="shared" si="84"/>
        <v>2.1000000000000001E-2</v>
      </c>
      <c r="F780" s="53">
        <f t="shared" si="85"/>
        <v>6.3E-2</v>
      </c>
      <c r="G780" s="53">
        <f t="shared" si="86"/>
        <v>1.014</v>
      </c>
      <c r="H780" s="53">
        <f t="shared" si="87"/>
        <v>6.0000000000000001E-3</v>
      </c>
      <c r="I780" s="53">
        <f t="shared" si="88"/>
        <v>2.9000000000000001E-2</v>
      </c>
      <c r="L780" t="s">
        <v>1869</v>
      </c>
      <c r="M780" t="str">
        <f t="shared" si="90"/>
        <v>Commercio al dettaglio di articoli sportivi, biciclette e articoli per il tempo libero</v>
      </c>
      <c r="N780" t="str">
        <f t="shared" si="89"/>
        <v>G47) Commercio dettaglio; I56) Bar e ristoranti</v>
      </c>
    </row>
    <row r="781" spans="1:14" ht="153">
      <c r="A781" s="58" t="s">
        <v>1771</v>
      </c>
      <c r="B781" s="59" t="s">
        <v>1772</v>
      </c>
      <c r="C781">
        <v>6</v>
      </c>
      <c r="D781" t="str">
        <f>+VLOOKUP(AtecoCrisi[[#This Row],[COD. CRISI]],Tabella139[],2,0)</f>
        <v>G45) Commercio autoveicoli; G46) Comm. Ingrosso; D) Distr. Energia/gas</v>
      </c>
      <c r="E781" s="53">
        <f t="shared" si="84"/>
        <v>2.1000000000000001E-2</v>
      </c>
      <c r="F781" s="53">
        <f t="shared" si="85"/>
        <v>6.3E-2</v>
      </c>
      <c r="G781" s="53">
        <f t="shared" si="86"/>
        <v>1.014</v>
      </c>
      <c r="H781" s="53">
        <f t="shared" si="87"/>
        <v>6.0000000000000001E-3</v>
      </c>
      <c r="I781" s="53">
        <f t="shared" si="88"/>
        <v>2.9000000000000001E-2</v>
      </c>
      <c r="L781" t="s">
        <v>1871</v>
      </c>
      <c r="M781" t="str">
        <f t="shared" si="90"/>
        <v>Commercio al dettaglio di natanti e accessori</v>
      </c>
      <c r="N781" t="str">
        <f t="shared" si="89"/>
        <v>G47) Commercio dettaglio; I56) Bar e ristoranti</v>
      </c>
    </row>
    <row r="782" spans="1:14" ht="38.25">
      <c r="A782" s="58" t="s">
        <v>1773</v>
      </c>
      <c r="B782" s="59" t="s">
        <v>1774</v>
      </c>
      <c r="C782">
        <v>6</v>
      </c>
      <c r="D782" t="str">
        <f>+VLOOKUP(AtecoCrisi[[#This Row],[COD. CRISI]],Tabella139[],2,0)</f>
        <v>G45) Commercio autoveicoli; G46) Comm. Ingrosso; D) Distr. Energia/gas</v>
      </c>
      <c r="E782" s="53">
        <f t="shared" si="84"/>
        <v>2.1000000000000001E-2</v>
      </c>
      <c r="F782" s="53">
        <f t="shared" si="85"/>
        <v>6.3E-2</v>
      </c>
      <c r="G782" s="53">
        <f t="shared" si="86"/>
        <v>1.014</v>
      </c>
      <c r="H782" s="53">
        <f t="shared" si="87"/>
        <v>6.0000000000000001E-3</v>
      </c>
      <c r="I782" s="53">
        <f t="shared" si="88"/>
        <v>2.9000000000000001E-2</v>
      </c>
      <c r="L782" t="s">
        <v>1873</v>
      </c>
      <c r="M782" t="str">
        <f t="shared" si="90"/>
        <v>Commercio al dettaglio di giochi e giocattoli (inclusi quelli elettronici)</v>
      </c>
      <c r="N782" t="str">
        <f t="shared" si="89"/>
        <v>G47) Commercio dettaglio; I56) Bar e ristoranti</v>
      </c>
    </row>
    <row r="783" spans="1:14" ht="76.5">
      <c r="A783" s="56" t="s">
        <v>1775</v>
      </c>
      <c r="B783" s="57" t="s">
        <v>1776</v>
      </c>
      <c r="C783">
        <v>7</v>
      </c>
      <c r="D783" t="str">
        <f>+VLOOKUP(AtecoCrisi[[#This Row],[COD. CRISI]],Tabella139[],2,0)</f>
        <v>G47) Commercio dettaglio; I56) Bar e ristoranti</v>
      </c>
      <c r="E783" s="53">
        <f t="shared" si="84"/>
        <v>1.4999999999999999E-2</v>
      </c>
      <c r="F783" s="53">
        <f t="shared" si="85"/>
        <v>4.2000000000000003E-2</v>
      </c>
      <c r="G783" s="53">
        <f t="shared" si="86"/>
        <v>0.89800000000000002</v>
      </c>
      <c r="H783" s="53">
        <f t="shared" si="87"/>
        <v>0.01</v>
      </c>
      <c r="I783" s="53">
        <f t="shared" si="88"/>
        <v>7.8E-2</v>
      </c>
      <c r="L783" t="s">
        <v>1875</v>
      </c>
      <c r="M783" t="str">
        <f t="shared" si="90"/>
        <v>Commercio al dettaglio di confezioni per adulti</v>
      </c>
      <c r="N783" t="str">
        <f t="shared" si="89"/>
        <v>G47) Commercio dettaglio; I56) Bar e ristoranti</v>
      </c>
    </row>
    <row r="784" spans="1:14">
      <c r="A784" s="58" t="s">
        <v>1777</v>
      </c>
      <c r="B784" s="59" t="s">
        <v>1778</v>
      </c>
      <c r="C784">
        <v>7</v>
      </c>
      <c r="D784" t="str">
        <f>+VLOOKUP(AtecoCrisi[[#This Row],[COD. CRISI]],Tabella139[],2,0)</f>
        <v>G47) Commercio dettaglio; I56) Bar e ristoranti</v>
      </c>
      <c r="E784" s="53">
        <f t="shared" si="84"/>
        <v>1.4999999999999999E-2</v>
      </c>
      <c r="F784" s="53">
        <f t="shared" si="85"/>
        <v>4.2000000000000003E-2</v>
      </c>
      <c r="G784" s="53">
        <f t="shared" si="86"/>
        <v>0.89800000000000002</v>
      </c>
      <c r="H784" s="53">
        <f t="shared" si="87"/>
        <v>0.01</v>
      </c>
      <c r="I784" s="53">
        <f t="shared" si="88"/>
        <v>7.8E-2</v>
      </c>
      <c r="L784" t="s">
        <v>1877</v>
      </c>
      <c r="M784" t="str">
        <f t="shared" si="90"/>
        <v>Commercio al dettaglio di confezioni per bambini e neonati</v>
      </c>
      <c r="N784" t="str">
        <f t="shared" si="89"/>
        <v>G47) Commercio dettaglio; I56) Bar e ristoranti</v>
      </c>
    </row>
    <row r="785" spans="1:14">
      <c r="A785" s="58" t="s">
        <v>1779</v>
      </c>
      <c r="B785" s="59" t="s">
        <v>1780</v>
      </c>
      <c r="C785">
        <v>7</v>
      </c>
      <c r="D785" t="str">
        <f>+VLOOKUP(AtecoCrisi[[#This Row],[COD. CRISI]],Tabella139[],2,0)</f>
        <v>G47) Commercio dettaglio; I56) Bar e ristoranti</v>
      </c>
      <c r="E785" s="53">
        <f t="shared" si="84"/>
        <v>1.4999999999999999E-2</v>
      </c>
      <c r="F785" s="53">
        <f t="shared" si="85"/>
        <v>4.2000000000000003E-2</v>
      </c>
      <c r="G785" s="53">
        <f t="shared" si="86"/>
        <v>0.89800000000000002</v>
      </c>
      <c r="H785" s="53">
        <f t="shared" si="87"/>
        <v>0.01</v>
      </c>
      <c r="I785" s="53">
        <f t="shared" si="88"/>
        <v>7.8E-2</v>
      </c>
      <c r="L785" t="s">
        <v>1879</v>
      </c>
      <c r="M785" t="str">
        <f t="shared" si="90"/>
        <v>Commercio al dettaglio di biancheria personale, maglieria, camicie</v>
      </c>
      <c r="N785" t="str">
        <f t="shared" si="89"/>
        <v>G47) Commercio dettaglio; I56) Bar e ristoranti</v>
      </c>
    </row>
    <row r="786" spans="1:14" ht="25.5">
      <c r="A786" s="58" t="s">
        <v>1781</v>
      </c>
      <c r="B786" s="59" t="s">
        <v>1782</v>
      </c>
      <c r="C786">
        <v>7</v>
      </c>
      <c r="D786" t="str">
        <f>+VLOOKUP(AtecoCrisi[[#This Row],[COD. CRISI]],Tabella139[],2,0)</f>
        <v>G47) Commercio dettaglio; I56) Bar e ristoranti</v>
      </c>
      <c r="E786" s="53">
        <f t="shared" si="84"/>
        <v>1.4999999999999999E-2</v>
      </c>
      <c r="F786" s="53">
        <f t="shared" si="85"/>
        <v>4.2000000000000003E-2</v>
      </c>
      <c r="G786" s="53">
        <f t="shared" si="86"/>
        <v>0.89800000000000002</v>
      </c>
      <c r="H786" s="53">
        <f t="shared" si="87"/>
        <v>0.01</v>
      </c>
      <c r="I786" s="53">
        <f t="shared" si="88"/>
        <v>7.8E-2</v>
      </c>
      <c r="L786" t="s">
        <v>1881</v>
      </c>
      <c r="M786" t="str">
        <f t="shared" si="90"/>
        <v>Commercio al dettaglio di pellicce e di abbigliamento in pelle</v>
      </c>
      <c r="N786" t="str">
        <f t="shared" si="89"/>
        <v>G47) Commercio dettaglio; I56) Bar e ristoranti</v>
      </c>
    </row>
    <row r="787" spans="1:14" ht="51">
      <c r="A787" s="58" t="s">
        <v>1783</v>
      </c>
      <c r="B787" s="59" t="s">
        <v>1784</v>
      </c>
      <c r="C787">
        <v>7</v>
      </c>
      <c r="D787" t="str">
        <f>+VLOOKUP(AtecoCrisi[[#This Row],[COD. CRISI]],Tabella139[],2,0)</f>
        <v>G47) Commercio dettaglio; I56) Bar e ristoranti</v>
      </c>
      <c r="E787" s="53">
        <f t="shared" si="84"/>
        <v>1.4999999999999999E-2</v>
      </c>
      <c r="F787" s="53">
        <f t="shared" si="85"/>
        <v>4.2000000000000003E-2</v>
      </c>
      <c r="G787" s="53">
        <f t="shared" si="86"/>
        <v>0.89800000000000002</v>
      </c>
      <c r="H787" s="53">
        <f t="shared" si="87"/>
        <v>0.01</v>
      </c>
      <c r="I787" s="53">
        <f t="shared" si="88"/>
        <v>7.8E-2</v>
      </c>
      <c r="L787" t="s">
        <v>1883</v>
      </c>
      <c r="M787" t="str">
        <f t="shared" si="90"/>
        <v>Commercio al dettaglio di cappelli, ombrelli, guanti e cravatte</v>
      </c>
      <c r="N787" t="str">
        <f t="shared" si="89"/>
        <v>G47) Commercio dettaglio; I56) Bar e ristoranti</v>
      </c>
    </row>
    <row r="788" spans="1:14" ht="38.25">
      <c r="A788" s="58" t="s">
        <v>1785</v>
      </c>
      <c r="B788" s="59" t="s">
        <v>1786</v>
      </c>
      <c r="C788">
        <v>7</v>
      </c>
      <c r="D788" t="str">
        <f>+VLOOKUP(AtecoCrisi[[#This Row],[COD. CRISI]],Tabella139[],2,0)</f>
        <v>G47) Commercio dettaglio; I56) Bar e ristoranti</v>
      </c>
      <c r="E788" s="53">
        <f t="shared" si="84"/>
        <v>1.4999999999999999E-2</v>
      </c>
      <c r="F788" s="53">
        <f t="shared" si="85"/>
        <v>4.2000000000000003E-2</v>
      </c>
      <c r="G788" s="53">
        <f t="shared" si="86"/>
        <v>0.89800000000000002</v>
      </c>
      <c r="H788" s="53">
        <f t="shared" si="87"/>
        <v>0.01</v>
      </c>
      <c r="I788" s="53">
        <f t="shared" si="88"/>
        <v>7.8E-2</v>
      </c>
      <c r="L788" t="s">
        <v>1885</v>
      </c>
      <c r="M788" t="str">
        <f t="shared" si="90"/>
        <v>Commercio al dettaglio di calzature e accessori</v>
      </c>
      <c r="N788" t="str">
        <f t="shared" si="89"/>
        <v>G47) Commercio dettaglio; I56) Bar e ristoranti</v>
      </c>
    </row>
    <row r="789" spans="1:14">
      <c r="A789" s="58" t="s">
        <v>1787</v>
      </c>
      <c r="B789" s="59" t="s">
        <v>1788</v>
      </c>
      <c r="C789">
        <v>7</v>
      </c>
      <c r="D789" t="str">
        <f>+VLOOKUP(AtecoCrisi[[#This Row],[COD. CRISI]],Tabella139[],2,0)</f>
        <v>G47) Commercio dettaglio; I56) Bar e ristoranti</v>
      </c>
      <c r="E789" s="53">
        <f t="shared" si="84"/>
        <v>1.4999999999999999E-2</v>
      </c>
      <c r="F789" s="53">
        <f t="shared" si="85"/>
        <v>4.2000000000000003E-2</v>
      </c>
      <c r="G789" s="53">
        <f t="shared" si="86"/>
        <v>0.89800000000000002</v>
      </c>
      <c r="H789" s="53">
        <f t="shared" si="87"/>
        <v>0.01</v>
      </c>
      <c r="I789" s="53">
        <f t="shared" si="88"/>
        <v>7.8E-2</v>
      </c>
      <c r="L789" t="s">
        <v>1887</v>
      </c>
      <c r="M789" t="str">
        <f t="shared" si="90"/>
        <v>Commercio al dettaglio di articoli di pelletteria e da viaggio</v>
      </c>
      <c r="N789" t="str">
        <f t="shared" si="89"/>
        <v>G47) Commercio dettaglio; I56) Bar e ristoranti</v>
      </c>
    </row>
    <row r="790" spans="1:14" ht="153">
      <c r="A790" s="58" t="s">
        <v>1789</v>
      </c>
      <c r="B790" s="59" t="s">
        <v>1790</v>
      </c>
      <c r="C790">
        <v>7</v>
      </c>
      <c r="D790" t="str">
        <f>+VLOOKUP(AtecoCrisi[[#This Row],[COD. CRISI]],Tabella139[],2,0)</f>
        <v>G47) Commercio dettaglio; I56) Bar e ristoranti</v>
      </c>
      <c r="E790" s="53">
        <f t="shared" si="84"/>
        <v>1.4999999999999999E-2</v>
      </c>
      <c r="F790" s="53">
        <f t="shared" si="85"/>
        <v>4.2000000000000003E-2</v>
      </c>
      <c r="G790" s="53">
        <f t="shared" si="86"/>
        <v>0.89800000000000002</v>
      </c>
      <c r="H790" s="53">
        <f t="shared" si="87"/>
        <v>0.01</v>
      </c>
      <c r="I790" s="53">
        <f t="shared" si="88"/>
        <v>7.8E-2</v>
      </c>
      <c r="L790" t="s">
        <v>1889</v>
      </c>
      <c r="M790" t="str">
        <f t="shared" si="90"/>
        <v>Farmacie</v>
      </c>
      <c r="N790" t="str">
        <f t="shared" si="89"/>
        <v>G47) Commercio dettaglio; I56) Bar e ristoranti</v>
      </c>
    </row>
    <row r="791" spans="1:14" ht="63.75">
      <c r="A791" s="58" t="s">
        <v>1791</v>
      </c>
      <c r="B791" s="59" t="s">
        <v>1792</v>
      </c>
      <c r="C791">
        <v>7</v>
      </c>
      <c r="D791" t="str">
        <f>+VLOOKUP(AtecoCrisi[[#This Row],[COD. CRISI]],Tabella139[],2,0)</f>
        <v>G47) Commercio dettaglio; I56) Bar e ristoranti</v>
      </c>
      <c r="E791" s="53">
        <f t="shared" si="84"/>
        <v>1.4999999999999999E-2</v>
      </c>
      <c r="F791" s="53">
        <f t="shared" si="85"/>
        <v>4.2000000000000003E-2</v>
      </c>
      <c r="G791" s="53">
        <f t="shared" si="86"/>
        <v>0.89800000000000002</v>
      </c>
      <c r="H791" s="53">
        <f t="shared" si="87"/>
        <v>0.01</v>
      </c>
      <c r="I791" s="53">
        <f t="shared" si="88"/>
        <v>7.8E-2</v>
      </c>
      <c r="L791" t="s">
        <v>1891</v>
      </c>
      <c r="M791" t="str">
        <f t="shared" si="90"/>
        <v>Commercio al dettaglio in altri esercizi specializzati di medicinali non soggetti a prescrizione medica</v>
      </c>
      <c r="N791" t="str">
        <f t="shared" si="89"/>
        <v>G47) Commercio dettaglio; I56) Bar e ristoranti</v>
      </c>
    </row>
    <row r="792" spans="1:14" ht="38.25">
      <c r="A792" s="58" t="s">
        <v>1793</v>
      </c>
      <c r="B792" s="59" t="s">
        <v>1794</v>
      </c>
      <c r="C792">
        <v>7</v>
      </c>
      <c r="D792" t="str">
        <f>+VLOOKUP(AtecoCrisi[[#This Row],[COD. CRISI]],Tabella139[],2,0)</f>
        <v>G47) Commercio dettaglio; I56) Bar e ristoranti</v>
      </c>
      <c r="E792" s="53">
        <f t="shared" si="84"/>
        <v>1.4999999999999999E-2</v>
      </c>
      <c r="F792" s="53">
        <f t="shared" si="85"/>
        <v>4.2000000000000003E-2</v>
      </c>
      <c r="G792" s="53">
        <f t="shared" si="86"/>
        <v>0.89800000000000002</v>
      </c>
      <c r="H792" s="53">
        <f t="shared" si="87"/>
        <v>0.01</v>
      </c>
      <c r="I792" s="53">
        <f t="shared" si="88"/>
        <v>7.8E-2</v>
      </c>
      <c r="L792" t="s">
        <v>1893</v>
      </c>
      <c r="M792" t="str">
        <f t="shared" si="90"/>
        <v>Commercio al dettaglio di articoli medicali e ortopedici in esercizi specializzati</v>
      </c>
      <c r="N792" t="str">
        <f t="shared" si="89"/>
        <v>G47) Commercio dettaglio; I56) Bar e ristoranti</v>
      </c>
    </row>
    <row r="793" spans="1:14" ht="51">
      <c r="A793" s="58" t="s">
        <v>1795</v>
      </c>
      <c r="B793" s="59" t="s">
        <v>1796</v>
      </c>
      <c r="C793">
        <v>7</v>
      </c>
      <c r="D793" t="str">
        <f>+VLOOKUP(AtecoCrisi[[#This Row],[COD. CRISI]],Tabella139[],2,0)</f>
        <v>G47) Commercio dettaglio; I56) Bar e ristoranti</v>
      </c>
      <c r="E793" s="53">
        <f t="shared" si="84"/>
        <v>1.4999999999999999E-2</v>
      </c>
      <c r="F793" s="53">
        <f t="shared" si="85"/>
        <v>4.2000000000000003E-2</v>
      </c>
      <c r="G793" s="53">
        <f t="shared" si="86"/>
        <v>0.89800000000000002</v>
      </c>
      <c r="H793" s="53">
        <f t="shared" si="87"/>
        <v>0.01</v>
      </c>
      <c r="I793" s="53">
        <f t="shared" si="88"/>
        <v>7.8E-2</v>
      </c>
      <c r="L793" t="s">
        <v>1895</v>
      </c>
      <c r="M793" t="str">
        <f t="shared" si="90"/>
        <v>Commercio al dettaglio di articoli di profumeria, prodotti per toletta e per l'igiene personale</v>
      </c>
      <c r="N793" t="str">
        <f t="shared" si="89"/>
        <v>G47) Commercio dettaglio; I56) Bar e ristoranti</v>
      </c>
    </row>
    <row r="794" spans="1:14" ht="51">
      <c r="A794" s="58" t="s">
        <v>1797</v>
      </c>
      <c r="B794" s="59" t="s">
        <v>1798</v>
      </c>
      <c r="C794">
        <v>7</v>
      </c>
      <c r="D794" t="str">
        <f>+VLOOKUP(AtecoCrisi[[#This Row],[COD. CRISI]],Tabella139[],2,0)</f>
        <v>G47) Commercio dettaglio; I56) Bar e ristoranti</v>
      </c>
      <c r="E794" s="53">
        <f t="shared" si="84"/>
        <v>1.4999999999999999E-2</v>
      </c>
      <c r="F794" s="53">
        <f t="shared" si="85"/>
        <v>4.2000000000000003E-2</v>
      </c>
      <c r="G794" s="53">
        <f t="shared" si="86"/>
        <v>0.89800000000000002</v>
      </c>
      <c r="H794" s="53">
        <f t="shared" si="87"/>
        <v>0.01</v>
      </c>
      <c r="I794" s="53">
        <f t="shared" si="88"/>
        <v>7.8E-2</v>
      </c>
      <c r="L794" t="s">
        <v>1897</v>
      </c>
      <c r="M794" t="str">
        <f t="shared" si="90"/>
        <v>Erboristerie</v>
      </c>
      <c r="N794" t="str">
        <f t="shared" si="89"/>
        <v>G47) Commercio dettaglio; I56) Bar e ristoranti</v>
      </c>
    </row>
    <row r="795" spans="1:14" ht="51">
      <c r="A795" s="58" t="s">
        <v>1799</v>
      </c>
      <c r="B795" s="59" t="s">
        <v>1800</v>
      </c>
      <c r="C795">
        <v>7</v>
      </c>
      <c r="D795" t="str">
        <f>+VLOOKUP(AtecoCrisi[[#This Row],[COD. CRISI]],Tabella139[],2,0)</f>
        <v>G47) Commercio dettaglio; I56) Bar e ristoranti</v>
      </c>
      <c r="E795" s="53">
        <f t="shared" si="84"/>
        <v>1.4999999999999999E-2</v>
      </c>
      <c r="F795" s="53">
        <f t="shared" si="85"/>
        <v>4.2000000000000003E-2</v>
      </c>
      <c r="G795" s="53">
        <f t="shared" si="86"/>
        <v>0.89800000000000002</v>
      </c>
      <c r="H795" s="53">
        <f t="shared" si="87"/>
        <v>0.01</v>
      </c>
      <c r="I795" s="53">
        <f t="shared" si="88"/>
        <v>7.8E-2</v>
      </c>
      <c r="L795" t="s">
        <v>1899</v>
      </c>
      <c r="M795" t="str">
        <f t="shared" si="90"/>
        <v>Commercio al dettaglio di fiori e piante</v>
      </c>
      <c r="N795" t="str">
        <f t="shared" si="89"/>
        <v>G47) Commercio dettaglio; I56) Bar e ristoranti</v>
      </c>
    </row>
    <row r="796" spans="1:14" ht="25.5">
      <c r="A796" s="58" t="s">
        <v>1801</v>
      </c>
      <c r="B796" s="59" t="s">
        <v>1802</v>
      </c>
      <c r="C796">
        <v>7</v>
      </c>
      <c r="D796" t="str">
        <f>+VLOOKUP(AtecoCrisi[[#This Row],[COD. CRISI]],Tabella139[],2,0)</f>
        <v>G47) Commercio dettaglio; I56) Bar e ristoranti</v>
      </c>
      <c r="E796" s="53">
        <f t="shared" si="84"/>
        <v>1.4999999999999999E-2</v>
      </c>
      <c r="F796" s="53">
        <f t="shared" si="85"/>
        <v>4.2000000000000003E-2</v>
      </c>
      <c r="G796" s="53">
        <f t="shared" si="86"/>
        <v>0.89800000000000002</v>
      </c>
      <c r="H796" s="53">
        <f t="shared" si="87"/>
        <v>0.01</v>
      </c>
      <c r="I796" s="53">
        <f t="shared" si="88"/>
        <v>7.8E-2</v>
      </c>
      <c r="L796" t="s">
        <v>1901</v>
      </c>
      <c r="M796" t="str">
        <f t="shared" si="90"/>
        <v>Commercio al dettaglio di piccoli animali domestici</v>
      </c>
      <c r="N796" t="str">
        <f t="shared" si="89"/>
        <v>G47) Commercio dettaglio; I56) Bar e ristoranti</v>
      </c>
    </row>
    <row r="797" spans="1:14" ht="51">
      <c r="A797" s="58" t="s">
        <v>1803</v>
      </c>
      <c r="B797" s="59" t="s">
        <v>1804</v>
      </c>
      <c r="C797">
        <v>7</v>
      </c>
      <c r="D797" t="str">
        <f>+VLOOKUP(AtecoCrisi[[#This Row],[COD. CRISI]],Tabella139[],2,0)</f>
        <v>G47) Commercio dettaglio; I56) Bar e ristoranti</v>
      </c>
      <c r="E797" s="53">
        <f t="shared" si="84"/>
        <v>1.4999999999999999E-2</v>
      </c>
      <c r="F797" s="53">
        <f t="shared" si="85"/>
        <v>4.2000000000000003E-2</v>
      </c>
      <c r="G797" s="53">
        <f t="shared" si="86"/>
        <v>0.89800000000000002</v>
      </c>
      <c r="H797" s="53">
        <f t="shared" si="87"/>
        <v>0.01</v>
      </c>
      <c r="I797" s="53">
        <f t="shared" si="88"/>
        <v>7.8E-2</v>
      </c>
      <c r="L797" t="s">
        <v>1903</v>
      </c>
      <c r="M797" t="str">
        <f t="shared" si="90"/>
        <v>Commercio al dettaglio di orologi, articoli di gioielleria e argenteria</v>
      </c>
      <c r="N797" t="str">
        <f t="shared" si="89"/>
        <v>G47) Commercio dettaglio; I56) Bar e ristoranti</v>
      </c>
    </row>
    <row r="798" spans="1:14" ht="38.25">
      <c r="A798" s="58" t="s">
        <v>1805</v>
      </c>
      <c r="B798" s="59" t="s">
        <v>1806</v>
      </c>
      <c r="C798">
        <v>7</v>
      </c>
      <c r="D798" t="str">
        <f>+VLOOKUP(AtecoCrisi[[#This Row],[COD. CRISI]],Tabella139[],2,0)</f>
        <v>G47) Commercio dettaglio; I56) Bar e ristoranti</v>
      </c>
      <c r="E798" s="53">
        <f t="shared" si="84"/>
        <v>1.4999999999999999E-2</v>
      </c>
      <c r="F798" s="53">
        <f t="shared" si="85"/>
        <v>4.2000000000000003E-2</v>
      </c>
      <c r="G798" s="53">
        <f t="shared" si="86"/>
        <v>0.89800000000000002</v>
      </c>
      <c r="H798" s="53">
        <f t="shared" si="87"/>
        <v>0.01</v>
      </c>
      <c r="I798" s="53">
        <f t="shared" si="88"/>
        <v>7.8E-2</v>
      </c>
      <c r="L798" t="s">
        <v>1905</v>
      </c>
      <c r="M798" t="str">
        <f t="shared" si="90"/>
        <v>Commercio al dettaglio di mobili per ufficio</v>
      </c>
      <c r="N798" t="str">
        <f t="shared" si="89"/>
        <v>G47) Commercio dettaglio; I56) Bar e ristoranti</v>
      </c>
    </row>
    <row r="799" spans="1:14" ht="51">
      <c r="A799" s="58" t="s">
        <v>1807</v>
      </c>
      <c r="B799" s="59" t="s">
        <v>1808</v>
      </c>
      <c r="C799">
        <v>7</v>
      </c>
      <c r="D799" t="str">
        <f>+VLOOKUP(AtecoCrisi[[#This Row],[COD. CRISI]],Tabella139[],2,0)</f>
        <v>G47) Commercio dettaglio; I56) Bar e ristoranti</v>
      </c>
      <c r="E799" s="53">
        <f t="shared" si="84"/>
        <v>1.4999999999999999E-2</v>
      </c>
      <c r="F799" s="53">
        <f t="shared" si="85"/>
        <v>4.2000000000000003E-2</v>
      </c>
      <c r="G799" s="53">
        <f t="shared" si="86"/>
        <v>0.89800000000000002</v>
      </c>
      <c r="H799" s="53">
        <f t="shared" si="87"/>
        <v>0.01</v>
      </c>
      <c r="I799" s="53">
        <f t="shared" si="88"/>
        <v>7.8E-2</v>
      </c>
      <c r="L799" t="s">
        <v>1907</v>
      </c>
      <c r="M799" t="str">
        <f t="shared" si="90"/>
        <v>Commercio al dettaglio di materiale per ottica e fotografia</v>
      </c>
      <c r="N799" t="str">
        <f t="shared" si="89"/>
        <v>G47) Commercio dettaglio; I56) Bar e ristoranti</v>
      </c>
    </row>
    <row r="800" spans="1:14" ht="51">
      <c r="A800" s="58" t="s">
        <v>1809</v>
      </c>
      <c r="B800" s="59" t="s">
        <v>1810</v>
      </c>
      <c r="C800">
        <v>7</v>
      </c>
      <c r="D800" t="str">
        <f>+VLOOKUP(AtecoCrisi[[#This Row],[COD. CRISI]],Tabella139[],2,0)</f>
        <v>G47) Commercio dettaglio; I56) Bar e ristoranti</v>
      </c>
      <c r="E800" s="53">
        <f t="shared" si="84"/>
        <v>1.4999999999999999E-2</v>
      </c>
      <c r="F800" s="53">
        <f t="shared" si="85"/>
        <v>4.2000000000000003E-2</v>
      </c>
      <c r="G800" s="53">
        <f t="shared" si="86"/>
        <v>0.89800000000000002</v>
      </c>
      <c r="H800" s="53">
        <f t="shared" si="87"/>
        <v>0.01</v>
      </c>
      <c r="I800" s="53">
        <f t="shared" si="88"/>
        <v>7.8E-2</v>
      </c>
      <c r="L800" t="s">
        <v>1909</v>
      </c>
      <c r="M800" t="str">
        <f t="shared" si="90"/>
        <v>Commercio al dettaglio di oggetti d'arte (incluse le gallerie d'arte)</v>
      </c>
      <c r="N800" t="str">
        <f t="shared" si="89"/>
        <v>G47) Commercio dettaglio; I56) Bar e ristoranti</v>
      </c>
    </row>
    <row r="801" spans="1:14" ht="38.25">
      <c r="A801" s="58" t="s">
        <v>1811</v>
      </c>
      <c r="B801" s="59" t="s">
        <v>1812</v>
      </c>
      <c r="C801">
        <v>7</v>
      </c>
      <c r="D801" t="str">
        <f>+VLOOKUP(AtecoCrisi[[#This Row],[COD. CRISI]],Tabella139[],2,0)</f>
        <v>G47) Commercio dettaglio; I56) Bar e ristoranti</v>
      </c>
      <c r="E801" s="53">
        <f t="shared" si="84"/>
        <v>1.4999999999999999E-2</v>
      </c>
      <c r="F801" s="53">
        <f t="shared" si="85"/>
        <v>4.2000000000000003E-2</v>
      </c>
      <c r="G801" s="53">
        <f t="shared" si="86"/>
        <v>0.89800000000000002</v>
      </c>
      <c r="H801" s="53">
        <f t="shared" si="87"/>
        <v>0.01</v>
      </c>
      <c r="I801" s="53">
        <f t="shared" si="88"/>
        <v>7.8E-2</v>
      </c>
      <c r="L801" t="s">
        <v>1911</v>
      </c>
      <c r="M801" t="str">
        <f t="shared" si="90"/>
        <v>Commercio al dettaglio di oggetti d'artigianato</v>
      </c>
      <c r="N801" t="str">
        <f t="shared" si="89"/>
        <v>G47) Commercio dettaglio; I56) Bar e ristoranti</v>
      </c>
    </row>
    <row r="802" spans="1:14" ht="51">
      <c r="A802" s="58" t="s">
        <v>1813</v>
      </c>
      <c r="B802" s="59" t="s">
        <v>1814</v>
      </c>
      <c r="C802">
        <v>7</v>
      </c>
      <c r="D802" t="str">
        <f>+VLOOKUP(AtecoCrisi[[#This Row],[COD. CRISI]],Tabella139[],2,0)</f>
        <v>G47) Commercio dettaglio; I56) Bar e ristoranti</v>
      </c>
      <c r="E802" s="53">
        <f t="shared" si="84"/>
        <v>1.4999999999999999E-2</v>
      </c>
      <c r="F802" s="53">
        <f t="shared" si="85"/>
        <v>4.2000000000000003E-2</v>
      </c>
      <c r="G802" s="53">
        <f t="shared" si="86"/>
        <v>0.89800000000000002</v>
      </c>
      <c r="H802" s="53">
        <f t="shared" si="87"/>
        <v>0.01</v>
      </c>
      <c r="I802" s="53">
        <f t="shared" si="88"/>
        <v>7.8E-2</v>
      </c>
      <c r="L802" t="s">
        <v>1913</v>
      </c>
      <c r="M802" t="str">
        <f t="shared" si="90"/>
        <v>Commercio al dettaglio di arredi sacri ed articoli religiosi</v>
      </c>
      <c r="N802" t="str">
        <f t="shared" si="89"/>
        <v>G47) Commercio dettaglio; I56) Bar e ristoranti</v>
      </c>
    </row>
    <row r="803" spans="1:14" ht="63.75">
      <c r="A803" s="58" t="s">
        <v>1815</v>
      </c>
      <c r="B803" s="59" t="s">
        <v>1816</v>
      </c>
      <c r="C803">
        <v>7</v>
      </c>
      <c r="D803" t="str">
        <f>+VLOOKUP(AtecoCrisi[[#This Row],[COD. CRISI]],Tabella139[],2,0)</f>
        <v>G47) Commercio dettaglio; I56) Bar e ristoranti</v>
      </c>
      <c r="E803" s="53">
        <f t="shared" si="84"/>
        <v>1.4999999999999999E-2</v>
      </c>
      <c r="F803" s="53">
        <f t="shared" si="85"/>
        <v>4.2000000000000003E-2</v>
      </c>
      <c r="G803" s="53">
        <f t="shared" si="86"/>
        <v>0.89800000000000002</v>
      </c>
      <c r="H803" s="53">
        <f t="shared" si="87"/>
        <v>0.01</v>
      </c>
      <c r="I803" s="53">
        <f t="shared" si="88"/>
        <v>7.8E-2</v>
      </c>
      <c r="L803" t="s">
        <v>1915</v>
      </c>
      <c r="M803" t="str">
        <f t="shared" si="90"/>
        <v>Commercio al dettaglio di articoli da regalo e per fumatori</v>
      </c>
      <c r="N803" t="str">
        <f t="shared" si="89"/>
        <v>G47) Commercio dettaglio; I56) Bar e ristoranti</v>
      </c>
    </row>
    <row r="804" spans="1:14" ht="51">
      <c r="A804" s="58" t="s">
        <v>1817</v>
      </c>
      <c r="B804" s="59" t="s">
        <v>1818</v>
      </c>
      <c r="C804">
        <v>7</v>
      </c>
      <c r="D804" t="str">
        <f>+VLOOKUP(AtecoCrisi[[#This Row],[COD. CRISI]],Tabella139[],2,0)</f>
        <v>G47) Commercio dettaglio; I56) Bar e ristoranti</v>
      </c>
      <c r="E804" s="53">
        <f t="shared" si="84"/>
        <v>1.4999999999999999E-2</v>
      </c>
      <c r="F804" s="53">
        <f t="shared" si="85"/>
        <v>4.2000000000000003E-2</v>
      </c>
      <c r="G804" s="53">
        <f t="shared" si="86"/>
        <v>0.89800000000000002</v>
      </c>
      <c r="H804" s="53">
        <f t="shared" si="87"/>
        <v>0.01</v>
      </c>
      <c r="I804" s="53">
        <f t="shared" si="88"/>
        <v>7.8E-2</v>
      </c>
      <c r="L804" t="s">
        <v>1917</v>
      </c>
      <c r="M804" t="str">
        <f t="shared" si="90"/>
        <v>Commercio al dettaglio di bomboniere</v>
      </c>
      <c r="N804" t="str">
        <f t="shared" si="89"/>
        <v>G47) Commercio dettaglio; I56) Bar e ristoranti</v>
      </c>
    </row>
    <row r="805" spans="1:14" ht="102">
      <c r="A805" s="58" t="s">
        <v>1819</v>
      </c>
      <c r="B805" s="59" t="s">
        <v>1820</v>
      </c>
      <c r="C805">
        <v>7</v>
      </c>
      <c r="D805" t="str">
        <f>+VLOOKUP(AtecoCrisi[[#This Row],[COD. CRISI]],Tabella139[],2,0)</f>
        <v>G47) Commercio dettaglio; I56) Bar e ristoranti</v>
      </c>
      <c r="E805" s="53">
        <f t="shared" si="84"/>
        <v>1.4999999999999999E-2</v>
      </c>
      <c r="F805" s="53">
        <f t="shared" si="85"/>
        <v>4.2000000000000003E-2</v>
      </c>
      <c r="G805" s="53">
        <f t="shared" si="86"/>
        <v>0.89800000000000002</v>
      </c>
      <c r="H805" s="53">
        <f t="shared" si="87"/>
        <v>0.01</v>
      </c>
      <c r="I805" s="53">
        <f t="shared" si="88"/>
        <v>7.8E-2</v>
      </c>
      <c r="L805" t="s">
        <v>1919</v>
      </c>
      <c r="M805" t="str">
        <f t="shared" si="90"/>
        <v>Commercio al dettaglio di chincaglieria e bigiotteria (inclusi gli oggetti ricordo e gli articoli di promozione pubblicitaria)</v>
      </c>
      <c r="N805" t="str">
        <f t="shared" si="89"/>
        <v>G47) Commercio dettaglio; I56) Bar e ristoranti</v>
      </c>
    </row>
    <row r="806" spans="1:14" ht="102">
      <c r="A806" s="58" t="s">
        <v>1821</v>
      </c>
      <c r="B806" s="59" t="s">
        <v>1822</v>
      </c>
      <c r="C806">
        <v>7</v>
      </c>
      <c r="D806" t="str">
        <f>+VLOOKUP(AtecoCrisi[[#This Row],[COD. CRISI]],Tabella139[],2,0)</f>
        <v>G47) Commercio dettaglio; I56) Bar e ristoranti</v>
      </c>
      <c r="E806" s="53">
        <f t="shared" si="84"/>
        <v>1.4999999999999999E-2</v>
      </c>
      <c r="F806" s="53">
        <f t="shared" si="85"/>
        <v>4.2000000000000003E-2</v>
      </c>
      <c r="G806" s="53">
        <f t="shared" si="86"/>
        <v>0.89800000000000002</v>
      </c>
      <c r="H806" s="53">
        <f t="shared" si="87"/>
        <v>0.01</v>
      </c>
      <c r="I806" s="53">
        <f t="shared" si="88"/>
        <v>7.8E-2</v>
      </c>
      <c r="L806" t="s">
        <v>1921</v>
      </c>
      <c r="M806" t="str">
        <f t="shared" si="90"/>
        <v>Commercio al dettaglio di articoli per le belle arti</v>
      </c>
      <c r="N806" t="str">
        <f t="shared" si="89"/>
        <v>G47) Commercio dettaglio; I56) Bar e ristoranti</v>
      </c>
    </row>
    <row r="807" spans="1:14" ht="63.75">
      <c r="A807" s="58" t="s">
        <v>1823</v>
      </c>
      <c r="B807" s="59" t="s">
        <v>1824</v>
      </c>
      <c r="C807">
        <v>7</v>
      </c>
      <c r="D807" t="str">
        <f>+VLOOKUP(AtecoCrisi[[#This Row],[COD. CRISI]],Tabella139[],2,0)</f>
        <v>G47) Commercio dettaglio; I56) Bar e ristoranti</v>
      </c>
      <c r="E807" s="53">
        <f t="shared" si="84"/>
        <v>1.4999999999999999E-2</v>
      </c>
      <c r="F807" s="53">
        <f t="shared" si="85"/>
        <v>4.2000000000000003E-2</v>
      </c>
      <c r="G807" s="53">
        <f t="shared" si="86"/>
        <v>0.89800000000000002</v>
      </c>
      <c r="H807" s="53">
        <f t="shared" si="87"/>
        <v>0.01</v>
      </c>
      <c r="I807" s="53">
        <f t="shared" si="88"/>
        <v>7.8E-2</v>
      </c>
      <c r="L807" t="s">
        <v>1923</v>
      </c>
      <c r="M807" t="str">
        <f t="shared" si="90"/>
        <v>Commercio al dettaglio di combustibile per uso domestico e per riscaldamento</v>
      </c>
      <c r="N807" t="str">
        <f t="shared" si="89"/>
        <v>G47) Commercio dettaglio; I56) Bar e ristoranti</v>
      </c>
    </row>
    <row r="808" spans="1:14" ht="89.25">
      <c r="A808" s="58" t="s">
        <v>1825</v>
      </c>
      <c r="B808" s="59" t="s">
        <v>1826</v>
      </c>
      <c r="C808">
        <v>7</v>
      </c>
      <c r="D808" t="str">
        <f>+VLOOKUP(AtecoCrisi[[#This Row],[COD. CRISI]],Tabella139[],2,0)</f>
        <v>G47) Commercio dettaglio; I56) Bar e ristoranti</v>
      </c>
      <c r="E808" s="53">
        <f t="shared" si="84"/>
        <v>1.4999999999999999E-2</v>
      </c>
      <c r="F808" s="53">
        <f t="shared" si="85"/>
        <v>4.2000000000000003E-2</v>
      </c>
      <c r="G808" s="53">
        <f t="shared" si="86"/>
        <v>0.89800000000000002</v>
      </c>
      <c r="H808" s="53">
        <f t="shared" si="87"/>
        <v>0.01</v>
      </c>
      <c r="I808" s="53">
        <f t="shared" si="88"/>
        <v>7.8E-2</v>
      </c>
      <c r="L808" t="s">
        <v>1925</v>
      </c>
      <c r="M808" t="str">
        <f t="shared" si="90"/>
        <v>Commercio al dettaglio di armi e munizioni, articoli militari</v>
      </c>
      <c r="N808" t="str">
        <f t="shared" si="89"/>
        <v>G47) Commercio dettaglio; I56) Bar e ristoranti</v>
      </c>
    </row>
    <row r="809" spans="1:14" ht="51">
      <c r="A809" s="58" t="s">
        <v>1827</v>
      </c>
      <c r="B809" s="59" t="s">
        <v>1828</v>
      </c>
      <c r="C809">
        <v>7</v>
      </c>
      <c r="D809" t="str">
        <f>+VLOOKUP(AtecoCrisi[[#This Row],[COD. CRISI]],Tabella139[],2,0)</f>
        <v>G47) Commercio dettaglio; I56) Bar e ristoranti</v>
      </c>
      <c r="E809" s="53">
        <f t="shared" si="84"/>
        <v>1.4999999999999999E-2</v>
      </c>
      <c r="F809" s="53">
        <f t="shared" si="85"/>
        <v>4.2000000000000003E-2</v>
      </c>
      <c r="G809" s="53">
        <f t="shared" si="86"/>
        <v>0.89800000000000002</v>
      </c>
      <c r="H809" s="53">
        <f t="shared" si="87"/>
        <v>0.01</v>
      </c>
      <c r="I809" s="53">
        <f t="shared" si="88"/>
        <v>7.8E-2</v>
      </c>
      <c r="L809" t="s">
        <v>1927</v>
      </c>
      <c r="M809" t="str">
        <f t="shared" si="90"/>
        <v>Commercio al dettaglio di saponi, detersivi, prodotti per la lucidatura e affini</v>
      </c>
      <c r="N809" t="str">
        <f t="shared" si="89"/>
        <v>G47) Commercio dettaglio; I56) Bar e ristoranti</v>
      </c>
    </row>
    <row r="810" spans="1:14" ht="76.5">
      <c r="A810" s="58" t="s">
        <v>1829</v>
      </c>
      <c r="B810" s="59" t="s">
        <v>1830</v>
      </c>
      <c r="C810">
        <v>7</v>
      </c>
      <c r="D810" t="str">
        <f>+VLOOKUP(AtecoCrisi[[#This Row],[COD. CRISI]],Tabella139[],2,0)</f>
        <v>G47) Commercio dettaglio; I56) Bar e ristoranti</v>
      </c>
      <c r="E810" s="53">
        <f t="shared" si="84"/>
        <v>1.4999999999999999E-2</v>
      </c>
      <c r="F810" s="53">
        <f t="shared" si="85"/>
        <v>4.2000000000000003E-2</v>
      </c>
      <c r="G810" s="53">
        <f t="shared" si="86"/>
        <v>0.89800000000000002</v>
      </c>
      <c r="H810" s="53">
        <f t="shared" si="87"/>
        <v>0.01</v>
      </c>
      <c r="I810" s="53">
        <f t="shared" si="88"/>
        <v>7.8E-2</v>
      </c>
      <c r="L810" t="s">
        <v>1929</v>
      </c>
      <c r="M810" t="str">
        <f t="shared" si="90"/>
        <v>Commercio al dettaglio di filatelia, numismatica e articoli da collezionismo</v>
      </c>
      <c r="N810" t="str">
        <f t="shared" si="89"/>
        <v>G47) Commercio dettaglio; I56) Bar e ristoranti</v>
      </c>
    </row>
    <row r="811" spans="1:14" ht="38.25">
      <c r="A811" s="58" t="s">
        <v>1831</v>
      </c>
      <c r="B811" s="59" t="s">
        <v>1832</v>
      </c>
      <c r="C811">
        <v>7</v>
      </c>
      <c r="D811" t="str">
        <f>+VLOOKUP(AtecoCrisi[[#This Row],[COD. CRISI]],Tabella139[],2,0)</f>
        <v>G47) Commercio dettaglio; I56) Bar e ristoranti</v>
      </c>
      <c r="E811" s="53">
        <f t="shared" si="84"/>
        <v>1.4999999999999999E-2</v>
      </c>
      <c r="F811" s="53">
        <f t="shared" si="85"/>
        <v>4.2000000000000003E-2</v>
      </c>
      <c r="G811" s="53">
        <f t="shared" si="86"/>
        <v>0.89800000000000002</v>
      </c>
      <c r="H811" s="53">
        <f t="shared" si="87"/>
        <v>0.01</v>
      </c>
      <c r="I811" s="53">
        <f t="shared" si="88"/>
        <v>7.8E-2</v>
      </c>
      <c r="L811" t="s">
        <v>1931</v>
      </c>
      <c r="M811" t="str">
        <f t="shared" si="90"/>
        <v>Commercio al dettaglio di spaghi, cordami, tele e sacchi di juta e prodotti per l'imballaggio (esclusi quelli in carta e cartone)</v>
      </c>
      <c r="N811" t="str">
        <f t="shared" si="89"/>
        <v>G47) Commercio dettaglio; I56) Bar e ristoranti</v>
      </c>
    </row>
    <row r="812" spans="1:14" ht="76.5">
      <c r="A812" s="58" t="s">
        <v>1833</v>
      </c>
      <c r="B812" s="59" t="s">
        <v>1834</v>
      </c>
      <c r="C812">
        <v>7</v>
      </c>
      <c r="D812" t="str">
        <f>+VLOOKUP(AtecoCrisi[[#This Row],[COD. CRISI]],Tabella139[],2,0)</f>
        <v>G47) Commercio dettaglio; I56) Bar e ristoranti</v>
      </c>
      <c r="E812" s="53">
        <f t="shared" si="84"/>
        <v>1.4999999999999999E-2</v>
      </c>
      <c r="F812" s="53">
        <f t="shared" si="85"/>
        <v>4.2000000000000003E-2</v>
      </c>
      <c r="G812" s="53">
        <f t="shared" si="86"/>
        <v>0.89800000000000002</v>
      </c>
      <c r="H812" s="53">
        <f t="shared" si="87"/>
        <v>0.01</v>
      </c>
      <c r="I812" s="53">
        <f t="shared" si="88"/>
        <v>7.8E-2</v>
      </c>
      <c r="L812" t="s">
        <v>1933</v>
      </c>
      <c r="M812" t="str">
        <f t="shared" si="90"/>
        <v>Commercio al dettaglio di articoli funerari e cimiteriali</v>
      </c>
      <c r="N812" t="str">
        <f t="shared" si="89"/>
        <v>G47) Commercio dettaglio; I56) Bar e ristoranti</v>
      </c>
    </row>
    <row r="813" spans="1:14" ht="114.75">
      <c r="A813" s="58" t="s">
        <v>1835</v>
      </c>
      <c r="B813" s="59" t="s">
        <v>1836</v>
      </c>
      <c r="C813">
        <v>7</v>
      </c>
      <c r="D813" t="str">
        <f>+VLOOKUP(AtecoCrisi[[#This Row],[COD. CRISI]],Tabella139[],2,0)</f>
        <v>G47) Commercio dettaglio; I56) Bar e ristoranti</v>
      </c>
      <c r="E813" s="53">
        <f t="shared" si="84"/>
        <v>1.4999999999999999E-2</v>
      </c>
      <c r="F813" s="53">
        <f t="shared" si="85"/>
        <v>4.2000000000000003E-2</v>
      </c>
      <c r="G813" s="53">
        <f t="shared" si="86"/>
        <v>0.89800000000000002</v>
      </c>
      <c r="H813" s="53">
        <f t="shared" si="87"/>
        <v>0.01</v>
      </c>
      <c r="I813" s="53">
        <f t="shared" si="88"/>
        <v>7.8E-2</v>
      </c>
      <c r="L813" t="s">
        <v>1935</v>
      </c>
      <c r="M813" t="str">
        <f t="shared" si="90"/>
        <v>Commercio al dettaglio di articoli per adulti (sexy shop)</v>
      </c>
      <c r="N813" t="str">
        <f t="shared" si="89"/>
        <v>G47) Commercio dettaglio; I56) Bar e ristoranti</v>
      </c>
    </row>
    <row r="814" spans="1:14" ht="38.25">
      <c r="A814" s="58" t="s">
        <v>1837</v>
      </c>
      <c r="B814" s="59" t="s">
        <v>1838</v>
      </c>
      <c r="C814">
        <v>7</v>
      </c>
      <c r="D814" t="str">
        <f>+VLOOKUP(AtecoCrisi[[#This Row],[COD. CRISI]],Tabella139[],2,0)</f>
        <v>G47) Commercio dettaglio; I56) Bar e ristoranti</v>
      </c>
      <c r="E814" s="53">
        <f t="shared" si="84"/>
        <v>1.4999999999999999E-2</v>
      </c>
      <c r="F814" s="53">
        <f t="shared" si="85"/>
        <v>4.2000000000000003E-2</v>
      </c>
      <c r="G814" s="53">
        <f t="shared" si="86"/>
        <v>0.89800000000000002</v>
      </c>
      <c r="H814" s="53">
        <f t="shared" si="87"/>
        <v>0.01</v>
      </c>
      <c r="I814" s="53">
        <f t="shared" si="88"/>
        <v>7.8E-2</v>
      </c>
      <c r="L814" t="s">
        <v>1937</v>
      </c>
      <c r="M814" t="str">
        <f t="shared" si="90"/>
        <v>Commercio al dettaglio di altri prodotti non alimentari nca</v>
      </c>
      <c r="N814" t="str">
        <f t="shared" si="89"/>
        <v>G47) Commercio dettaglio; I56) Bar e ristoranti</v>
      </c>
    </row>
    <row r="815" spans="1:14" ht="25.5">
      <c r="A815" s="58" t="s">
        <v>1839</v>
      </c>
      <c r="B815" s="59" t="s">
        <v>1840</v>
      </c>
      <c r="C815">
        <v>7</v>
      </c>
      <c r="D815" t="str">
        <f>+VLOOKUP(AtecoCrisi[[#This Row],[COD. CRISI]],Tabella139[],2,0)</f>
        <v>G47) Commercio dettaglio; I56) Bar e ristoranti</v>
      </c>
      <c r="E815" s="53">
        <f t="shared" si="84"/>
        <v>1.4999999999999999E-2</v>
      </c>
      <c r="F815" s="53">
        <f t="shared" si="85"/>
        <v>4.2000000000000003E-2</v>
      </c>
      <c r="G815" s="53">
        <f t="shared" si="86"/>
        <v>0.89800000000000002</v>
      </c>
      <c r="H815" s="53">
        <f t="shared" si="87"/>
        <v>0.01</v>
      </c>
      <c r="I815" s="53">
        <f t="shared" si="88"/>
        <v>7.8E-2</v>
      </c>
      <c r="L815" t="s">
        <v>1939</v>
      </c>
      <c r="M815" t="str">
        <f t="shared" si="90"/>
        <v>Commercio al dettaglio di libri di seconda mano</v>
      </c>
      <c r="N815" t="str">
        <f t="shared" si="89"/>
        <v>G47) Commercio dettaglio; I56) Bar e ristoranti</v>
      </c>
    </row>
    <row r="816" spans="1:14" ht="89.25">
      <c r="A816" s="58" t="s">
        <v>1841</v>
      </c>
      <c r="B816" s="59" t="s">
        <v>1842</v>
      </c>
      <c r="C816">
        <v>7</v>
      </c>
      <c r="D816" t="str">
        <f>+VLOOKUP(AtecoCrisi[[#This Row],[COD. CRISI]],Tabella139[],2,0)</f>
        <v>G47) Commercio dettaglio; I56) Bar e ristoranti</v>
      </c>
      <c r="E816" s="53">
        <f t="shared" si="84"/>
        <v>1.4999999999999999E-2</v>
      </c>
      <c r="F816" s="53">
        <f t="shared" si="85"/>
        <v>4.2000000000000003E-2</v>
      </c>
      <c r="G816" s="53">
        <f t="shared" si="86"/>
        <v>0.89800000000000002</v>
      </c>
      <c r="H816" s="53">
        <f t="shared" si="87"/>
        <v>0.01</v>
      </c>
      <c r="I816" s="53">
        <f t="shared" si="88"/>
        <v>7.8E-2</v>
      </c>
      <c r="L816" t="s">
        <v>1941</v>
      </c>
      <c r="M816" t="str">
        <f t="shared" si="90"/>
        <v>Commercio al dettaglio di mobili usati e oggetti di antiquariato</v>
      </c>
      <c r="N816" t="str">
        <f t="shared" si="89"/>
        <v>G47) Commercio dettaglio; I56) Bar e ristoranti</v>
      </c>
    </row>
    <row r="817" spans="1:14" ht="63.75">
      <c r="A817" s="58" t="s">
        <v>1843</v>
      </c>
      <c r="B817" s="59" t="s">
        <v>1844</v>
      </c>
      <c r="C817">
        <v>7</v>
      </c>
      <c r="D817" t="str">
        <f>+VLOOKUP(AtecoCrisi[[#This Row],[COD. CRISI]],Tabella139[],2,0)</f>
        <v>G47) Commercio dettaglio; I56) Bar e ristoranti</v>
      </c>
      <c r="E817" s="53">
        <f t="shared" si="84"/>
        <v>1.4999999999999999E-2</v>
      </c>
      <c r="F817" s="53">
        <f t="shared" si="85"/>
        <v>4.2000000000000003E-2</v>
      </c>
      <c r="G817" s="53">
        <f t="shared" si="86"/>
        <v>0.89800000000000002</v>
      </c>
      <c r="H817" s="53">
        <f t="shared" si="87"/>
        <v>0.01</v>
      </c>
      <c r="I817" s="53">
        <f t="shared" si="88"/>
        <v>7.8E-2</v>
      </c>
      <c r="L817" t="s">
        <v>1943</v>
      </c>
      <c r="M817" t="str">
        <f t="shared" si="90"/>
        <v>Commercio al dettaglio di indumenti e altri oggetti usati</v>
      </c>
      <c r="N817" t="str">
        <f t="shared" si="89"/>
        <v>G47) Commercio dettaglio; I56) Bar e ristoranti</v>
      </c>
    </row>
    <row r="818" spans="1:14" ht="38.25">
      <c r="A818" s="58" t="s">
        <v>1845</v>
      </c>
      <c r="B818" s="59" t="s">
        <v>1846</v>
      </c>
      <c r="C818">
        <v>7</v>
      </c>
      <c r="D818" t="str">
        <f>+VLOOKUP(AtecoCrisi[[#This Row],[COD. CRISI]],Tabella139[],2,0)</f>
        <v>G47) Commercio dettaglio; I56) Bar e ristoranti</v>
      </c>
      <c r="E818" s="53">
        <f t="shared" si="84"/>
        <v>1.4999999999999999E-2</v>
      </c>
      <c r="F818" s="53">
        <f t="shared" si="85"/>
        <v>4.2000000000000003E-2</v>
      </c>
      <c r="G818" s="53">
        <f t="shared" si="86"/>
        <v>0.89800000000000002</v>
      </c>
      <c r="H818" s="53">
        <f t="shared" si="87"/>
        <v>0.01</v>
      </c>
      <c r="I818" s="53">
        <f t="shared" si="88"/>
        <v>7.8E-2</v>
      </c>
      <c r="L818" t="s">
        <v>1945</v>
      </c>
      <c r="M818" t="str">
        <f t="shared" si="90"/>
        <v>Case d'asta al dettaglio (escluse aste via internet)</v>
      </c>
      <c r="N818" t="str">
        <f t="shared" si="89"/>
        <v>G47) Commercio dettaglio; I56) Bar e ristoranti</v>
      </c>
    </row>
    <row r="819" spans="1:14" ht="63.75">
      <c r="A819" s="58" t="s">
        <v>1847</v>
      </c>
      <c r="B819" s="59" t="s">
        <v>1848</v>
      </c>
      <c r="C819">
        <v>7</v>
      </c>
      <c r="D819" t="str">
        <f>+VLOOKUP(AtecoCrisi[[#This Row],[COD. CRISI]],Tabella139[],2,0)</f>
        <v>G47) Commercio dettaglio; I56) Bar e ristoranti</v>
      </c>
      <c r="E819" s="53">
        <f t="shared" si="84"/>
        <v>1.4999999999999999E-2</v>
      </c>
      <c r="F819" s="53">
        <f t="shared" si="85"/>
        <v>4.2000000000000003E-2</v>
      </c>
      <c r="G819" s="53">
        <f t="shared" si="86"/>
        <v>0.89800000000000002</v>
      </c>
      <c r="H819" s="53">
        <f t="shared" si="87"/>
        <v>0.01</v>
      </c>
      <c r="I819" s="53">
        <f t="shared" si="88"/>
        <v>7.8E-2</v>
      </c>
      <c r="L819" t="s">
        <v>1947</v>
      </c>
      <c r="M819" t="str">
        <f t="shared" si="90"/>
        <v>Commercio al dettaglio ambulante di prodotti ortofrutticoli</v>
      </c>
      <c r="N819" t="str">
        <f t="shared" si="89"/>
        <v>G47) Commercio dettaglio; I56) Bar e ristoranti</v>
      </c>
    </row>
    <row r="820" spans="1:14" ht="38.25">
      <c r="A820" s="58" t="s">
        <v>1849</v>
      </c>
      <c r="B820" s="59" t="s">
        <v>1850</v>
      </c>
      <c r="C820">
        <v>7</v>
      </c>
      <c r="D820" t="str">
        <f>+VLOOKUP(AtecoCrisi[[#This Row],[COD. CRISI]],Tabella139[],2,0)</f>
        <v>G47) Commercio dettaglio; I56) Bar e ristoranti</v>
      </c>
      <c r="E820" s="53">
        <f t="shared" si="84"/>
        <v>1.4999999999999999E-2</v>
      </c>
      <c r="F820" s="53">
        <f t="shared" si="85"/>
        <v>4.2000000000000003E-2</v>
      </c>
      <c r="G820" s="53">
        <f t="shared" si="86"/>
        <v>0.89800000000000002</v>
      </c>
      <c r="H820" s="53">
        <f t="shared" si="87"/>
        <v>0.01</v>
      </c>
      <c r="I820" s="53">
        <f t="shared" si="88"/>
        <v>7.8E-2</v>
      </c>
      <c r="L820" t="s">
        <v>1949</v>
      </c>
      <c r="M820" t="str">
        <f t="shared" si="90"/>
        <v>Commercio al dettaglio ambulante di prodotti ittici</v>
      </c>
      <c r="N820" t="str">
        <f t="shared" si="89"/>
        <v>G47) Commercio dettaglio; I56) Bar e ristoranti</v>
      </c>
    </row>
    <row r="821" spans="1:14" ht="76.5">
      <c r="A821" s="58" t="s">
        <v>1851</v>
      </c>
      <c r="B821" s="59" t="s">
        <v>1852</v>
      </c>
      <c r="C821">
        <v>7</v>
      </c>
      <c r="D821" t="str">
        <f>+VLOOKUP(AtecoCrisi[[#This Row],[COD. CRISI]],Tabella139[],2,0)</f>
        <v>G47) Commercio dettaglio; I56) Bar e ristoranti</v>
      </c>
      <c r="E821" s="53">
        <f t="shared" si="84"/>
        <v>1.4999999999999999E-2</v>
      </c>
      <c r="F821" s="53">
        <f t="shared" si="85"/>
        <v>4.2000000000000003E-2</v>
      </c>
      <c r="G821" s="53">
        <f t="shared" si="86"/>
        <v>0.89800000000000002</v>
      </c>
      <c r="H821" s="53">
        <f t="shared" si="87"/>
        <v>0.01</v>
      </c>
      <c r="I821" s="53">
        <f t="shared" si="88"/>
        <v>7.8E-2</v>
      </c>
      <c r="L821" t="s">
        <v>1951</v>
      </c>
      <c r="M821" t="str">
        <f t="shared" si="90"/>
        <v>Commercio al dettaglio ambulante di carne</v>
      </c>
      <c r="N821" t="str">
        <f t="shared" si="89"/>
        <v>G47) Commercio dettaglio; I56) Bar e ristoranti</v>
      </c>
    </row>
    <row r="822" spans="1:14" ht="38.25">
      <c r="A822" s="58" t="s">
        <v>1853</v>
      </c>
      <c r="B822" s="59" t="s">
        <v>1854</v>
      </c>
      <c r="C822">
        <v>7</v>
      </c>
      <c r="D822" t="str">
        <f>+VLOOKUP(AtecoCrisi[[#This Row],[COD. CRISI]],Tabella139[],2,0)</f>
        <v>G47) Commercio dettaglio; I56) Bar e ristoranti</v>
      </c>
      <c r="E822" s="53">
        <f t="shared" si="84"/>
        <v>1.4999999999999999E-2</v>
      </c>
      <c r="F822" s="53">
        <f t="shared" si="85"/>
        <v>4.2000000000000003E-2</v>
      </c>
      <c r="G822" s="53">
        <f t="shared" si="86"/>
        <v>0.89800000000000002</v>
      </c>
      <c r="H822" s="53">
        <f t="shared" si="87"/>
        <v>0.01</v>
      </c>
      <c r="I822" s="53">
        <f t="shared" si="88"/>
        <v>7.8E-2</v>
      </c>
      <c r="L822" t="s">
        <v>1953</v>
      </c>
      <c r="M822" t="str">
        <f t="shared" si="90"/>
        <v>Commercio al dettaglio ambulante di altri prodotti alimentari e bevande nca</v>
      </c>
      <c r="N822" t="str">
        <f t="shared" si="89"/>
        <v>G47) Commercio dettaglio; I56) Bar e ristoranti</v>
      </c>
    </row>
    <row r="823" spans="1:14" ht="51">
      <c r="A823" s="58" t="s">
        <v>1855</v>
      </c>
      <c r="B823" s="59" t="s">
        <v>1856</v>
      </c>
      <c r="C823">
        <v>7</v>
      </c>
      <c r="D823" t="str">
        <f>+VLOOKUP(AtecoCrisi[[#This Row],[COD. CRISI]],Tabella139[],2,0)</f>
        <v>G47) Commercio dettaglio; I56) Bar e ristoranti</v>
      </c>
      <c r="E823" s="53">
        <f t="shared" si="84"/>
        <v>1.4999999999999999E-2</v>
      </c>
      <c r="F823" s="53">
        <f t="shared" si="85"/>
        <v>4.2000000000000003E-2</v>
      </c>
      <c r="G823" s="53">
        <f t="shared" si="86"/>
        <v>0.89800000000000002</v>
      </c>
      <c r="H823" s="53">
        <f t="shared" si="87"/>
        <v>0.01</v>
      </c>
      <c r="I823" s="53">
        <f t="shared" si="88"/>
        <v>7.8E-2</v>
      </c>
      <c r="L823" t="s">
        <v>1955</v>
      </c>
      <c r="M823" t="str">
        <f t="shared" si="90"/>
        <v>Commercio al dettaglio ambulante di tessuti, articoli tessili per la casa, articoli di abbigliamento</v>
      </c>
      <c r="N823" t="str">
        <f t="shared" si="89"/>
        <v>G47) Commercio dettaglio; I56) Bar e ristoranti</v>
      </c>
    </row>
    <row r="824" spans="1:14" ht="76.5">
      <c r="A824" s="58" t="s">
        <v>1857</v>
      </c>
      <c r="B824" s="59" t="s">
        <v>1858</v>
      </c>
      <c r="C824">
        <v>7</v>
      </c>
      <c r="D824" t="str">
        <f>+VLOOKUP(AtecoCrisi[[#This Row],[COD. CRISI]],Tabella139[],2,0)</f>
        <v>G47) Commercio dettaglio; I56) Bar e ristoranti</v>
      </c>
      <c r="E824" s="53">
        <f t="shared" si="84"/>
        <v>1.4999999999999999E-2</v>
      </c>
      <c r="F824" s="53">
        <f t="shared" si="85"/>
        <v>4.2000000000000003E-2</v>
      </c>
      <c r="G824" s="53">
        <f t="shared" si="86"/>
        <v>0.89800000000000002</v>
      </c>
      <c r="H824" s="53">
        <f t="shared" si="87"/>
        <v>0.01</v>
      </c>
      <c r="I824" s="53">
        <f t="shared" si="88"/>
        <v>7.8E-2</v>
      </c>
      <c r="L824" t="s">
        <v>1957</v>
      </c>
      <c r="M824" t="str">
        <f t="shared" si="90"/>
        <v>Commercio al dettaglio ambulante di calzature e pelletterie</v>
      </c>
      <c r="N824" t="str">
        <f t="shared" si="89"/>
        <v>G47) Commercio dettaglio; I56) Bar e ristoranti</v>
      </c>
    </row>
    <row r="825" spans="1:14" ht="51">
      <c r="A825" s="58" t="s">
        <v>1859</v>
      </c>
      <c r="B825" s="59" t="s">
        <v>1860</v>
      </c>
      <c r="C825">
        <v>7</v>
      </c>
      <c r="D825" t="str">
        <f>+VLOOKUP(AtecoCrisi[[#This Row],[COD. CRISI]],Tabella139[],2,0)</f>
        <v>G47) Commercio dettaglio; I56) Bar e ristoranti</v>
      </c>
      <c r="E825" s="53">
        <f t="shared" si="84"/>
        <v>1.4999999999999999E-2</v>
      </c>
      <c r="F825" s="53">
        <f t="shared" si="85"/>
        <v>4.2000000000000003E-2</v>
      </c>
      <c r="G825" s="53">
        <f t="shared" si="86"/>
        <v>0.89800000000000002</v>
      </c>
      <c r="H825" s="53">
        <f t="shared" si="87"/>
        <v>0.01</v>
      </c>
      <c r="I825" s="53">
        <f t="shared" si="88"/>
        <v>7.8E-2</v>
      </c>
      <c r="L825" t="s">
        <v>1959</v>
      </c>
      <c r="M825" t="str">
        <f t="shared" si="90"/>
        <v>Commercio al dettaglio ambulante di fiori, piante, bulbi, semi e fertilizzanti</v>
      </c>
      <c r="N825" t="str">
        <f t="shared" si="89"/>
        <v>G47) Commercio dettaglio; I56) Bar e ristoranti</v>
      </c>
    </row>
    <row r="826" spans="1:14" ht="51">
      <c r="A826" s="58" t="s">
        <v>1861</v>
      </c>
      <c r="B826" s="59" t="s">
        <v>1862</v>
      </c>
      <c r="C826">
        <v>7</v>
      </c>
      <c r="D826" t="str">
        <f>+VLOOKUP(AtecoCrisi[[#This Row],[COD. CRISI]],Tabella139[],2,0)</f>
        <v>G47) Commercio dettaglio; I56) Bar e ristoranti</v>
      </c>
      <c r="E826" s="53">
        <f t="shared" si="84"/>
        <v>1.4999999999999999E-2</v>
      </c>
      <c r="F826" s="53">
        <f t="shared" si="85"/>
        <v>4.2000000000000003E-2</v>
      </c>
      <c r="G826" s="53">
        <f t="shared" si="86"/>
        <v>0.89800000000000002</v>
      </c>
      <c r="H826" s="53">
        <f t="shared" si="87"/>
        <v>0.01</v>
      </c>
      <c r="I826" s="53">
        <f t="shared" si="88"/>
        <v>7.8E-2</v>
      </c>
      <c r="L826" t="s">
        <v>1961</v>
      </c>
      <c r="M826" t="str">
        <f t="shared" si="90"/>
        <v>Commercio al dettaglio ambulante di macchine, attrezzature e prodotti per l'agricoltura; attrezzature per il giardinaggio</v>
      </c>
      <c r="N826" t="str">
        <f t="shared" si="89"/>
        <v>G47) Commercio dettaglio; I56) Bar e ristoranti</v>
      </c>
    </row>
    <row r="827" spans="1:14" ht="51">
      <c r="A827" s="58" t="s">
        <v>1863</v>
      </c>
      <c r="B827" s="59" t="s">
        <v>1864</v>
      </c>
      <c r="C827">
        <v>7</v>
      </c>
      <c r="D827" t="str">
        <f>+VLOOKUP(AtecoCrisi[[#This Row],[COD. CRISI]],Tabella139[],2,0)</f>
        <v>G47) Commercio dettaglio; I56) Bar e ristoranti</v>
      </c>
      <c r="E827" s="53">
        <f t="shared" si="84"/>
        <v>1.4999999999999999E-2</v>
      </c>
      <c r="F827" s="53">
        <f t="shared" si="85"/>
        <v>4.2000000000000003E-2</v>
      </c>
      <c r="G827" s="53">
        <f t="shared" si="86"/>
        <v>0.89800000000000002</v>
      </c>
      <c r="H827" s="53">
        <f t="shared" si="87"/>
        <v>0.01</v>
      </c>
      <c r="I827" s="53">
        <f t="shared" si="88"/>
        <v>7.8E-2</v>
      </c>
      <c r="L827" t="s">
        <v>1963</v>
      </c>
      <c r="M827" t="str">
        <f t="shared" si="90"/>
        <v>Commercio al dettaglio ambulante di profumi e cosmetici; saponi, detersivi ed altri detergenti per qualsiasi uso</v>
      </c>
      <c r="N827" t="str">
        <f t="shared" si="89"/>
        <v>G47) Commercio dettaglio; I56) Bar e ristoranti</v>
      </c>
    </row>
    <row r="828" spans="1:14" ht="51">
      <c r="A828" s="58" t="s">
        <v>1865</v>
      </c>
      <c r="B828" s="59" t="s">
        <v>1866</v>
      </c>
      <c r="C828">
        <v>7</v>
      </c>
      <c r="D828" t="str">
        <f>+VLOOKUP(AtecoCrisi[[#This Row],[COD. CRISI]],Tabella139[],2,0)</f>
        <v>G47) Commercio dettaglio; I56) Bar e ristoranti</v>
      </c>
      <c r="E828" s="53">
        <f t="shared" si="84"/>
        <v>1.4999999999999999E-2</v>
      </c>
      <c r="F828" s="53">
        <f t="shared" si="85"/>
        <v>4.2000000000000003E-2</v>
      </c>
      <c r="G828" s="53">
        <f t="shared" si="86"/>
        <v>0.89800000000000002</v>
      </c>
      <c r="H828" s="53">
        <f t="shared" si="87"/>
        <v>0.01</v>
      </c>
      <c r="I828" s="53">
        <f t="shared" si="88"/>
        <v>7.8E-2</v>
      </c>
      <c r="L828" t="s">
        <v>1965</v>
      </c>
      <c r="M828" t="str">
        <f t="shared" si="90"/>
        <v>Commercio al dettaglio ambulante di chincaglieria e bigiotteria</v>
      </c>
      <c r="N828" t="str">
        <f t="shared" si="89"/>
        <v>G47) Commercio dettaglio; I56) Bar e ristoranti</v>
      </c>
    </row>
    <row r="829" spans="1:14" ht="76.5">
      <c r="A829" s="58" t="s">
        <v>1867</v>
      </c>
      <c r="B829" s="59" t="s">
        <v>1868</v>
      </c>
      <c r="C829">
        <v>7</v>
      </c>
      <c r="D829" t="str">
        <f>+VLOOKUP(AtecoCrisi[[#This Row],[COD. CRISI]],Tabella139[],2,0)</f>
        <v>G47) Commercio dettaglio; I56) Bar e ristoranti</v>
      </c>
      <c r="E829" s="53">
        <f t="shared" si="84"/>
        <v>1.4999999999999999E-2</v>
      </c>
      <c r="F829" s="53">
        <f t="shared" si="85"/>
        <v>4.2000000000000003E-2</v>
      </c>
      <c r="G829" s="53">
        <f t="shared" si="86"/>
        <v>0.89800000000000002</v>
      </c>
      <c r="H829" s="53">
        <f t="shared" si="87"/>
        <v>0.01</v>
      </c>
      <c r="I829" s="53">
        <f t="shared" si="88"/>
        <v>7.8E-2</v>
      </c>
      <c r="L829" t="s">
        <v>1967</v>
      </c>
      <c r="M829" t="str">
        <f t="shared" si="90"/>
        <v>Commercio al dettaglio ambulante di arredamenti per giardino; mobili; tappeti e stuoie; articoli casalinghi; elettrodomestici; materiale elettrico</v>
      </c>
      <c r="N829" t="str">
        <f t="shared" si="89"/>
        <v>G47) Commercio dettaglio; I56) Bar e ristoranti</v>
      </c>
    </row>
    <row r="830" spans="1:14" ht="63.75">
      <c r="A830" s="58" t="s">
        <v>1869</v>
      </c>
      <c r="B830" s="59" t="s">
        <v>1870</v>
      </c>
      <c r="C830">
        <v>7</v>
      </c>
      <c r="D830" t="str">
        <f>+VLOOKUP(AtecoCrisi[[#This Row],[COD. CRISI]],Tabella139[],2,0)</f>
        <v>G47) Commercio dettaglio; I56) Bar e ristoranti</v>
      </c>
      <c r="E830" s="53">
        <f t="shared" si="84"/>
        <v>1.4999999999999999E-2</v>
      </c>
      <c r="F830" s="53">
        <f t="shared" si="85"/>
        <v>4.2000000000000003E-2</v>
      </c>
      <c r="G830" s="53">
        <f t="shared" si="86"/>
        <v>0.89800000000000002</v>
      </c>
      <c r="H830" s="53">
        <f t="shared" si="87"/>
        <v>0.01</v>
      </c>
      <c r="I830" s="53">
        <f t="shared" si="88"/>
        <v>7.8E-2</v>
      </c>
      <c r="L830" t="s">
        <v>1969</v>
      </c>
      <c r="M830" t="str">
        <f t="shared" si="90"/>
        <v>Commercio al dettaglio ambulante di altri prodotti nca</v>
      </c>
      <c r="N830" t="str">
        <f t="shared" si="89"/>
        <v>G47) Commercio dettaglio; I56) Bar e ristoranti</v>
      </c>
    </row>
    <row r="831" spans="1:14" ht="38.25">
      <c r="A831" s="58" t="s">
        <v>1871</v>
      </c>
      <c r="B831" s="59" t="s">
        <v>1872</v>
      </c>
      <c r="C831">
        <v>7</v>
      </c>
      <c r="D831" t="str">
        <f>+VLOOKUP(AtecoCrisi[[#This Row],[COD. CRISI]],Tabella139[],2,0)</f>
        <v>G47) Commercio dettaglio; I56) Bar e ristoranti</v>
      </c>
      <c r="E831" s="53">
        <f t="shared" si="84"/>
        <v>1.4999999999999999E-2</v>
      </c>
      <c r="F831" s="53">
        <f t="shared" si="85"/>
        <v>4.2000000000000003E-2</v>
      </c>
      <c r="G831" s="53">
        <f t="shared" si="86"/>
        <v>0.89800000000000002</v>
      </c>
      <c r="H831" s="53">
        <f t="shared" si="87"/>
        <v>0.01</v>
      </c>
      <c r="I831" s="53">
        <f t="shared" si="88"/>
        <v>7.8E-2</v>
      </c>
      <c r="L831" t="s">
        <v>1971</v>
      </c>
      <c r="M831" t="str">
        <f t="shared" si="90"/>
        <v>Commercio al dettaglio di qualsiasi tipo di prodotto effettuato via internet</v>
      </c>
      <c r="N831" t="str">
        <f t="shared" si="89"/>
        <v>G47) Commercio dettaglio; I56) Bar e ristoranti</v>
      </c>
    </row>
    <row r="832" spans="1:14" ht="51">
      <c r="A832" s="58" t="s">
        <v>1873</v>
      </c>
      <c r="B832" s="59" t="s">
        <v>1874</v>
      </c>
      <c r="C832">
        <v>7</v>
      </c>
      <c r="D832" t="str">
        <f>+VLOOKUP(AtecoCrisi[[#This Row],[COD. CRISI]],Tabella139[],2,0)</f>
        <v>G47) Commercio dettaglio; I56) Bar e ristoranti</v>
      </c>
      <c r="E832" s="53">
        <f t="shared" si="84"/>
        <v>1.4999999999999999E-2</v>
      </c>
      <c r="F832" s="53">
        <f t="shared" si="85"/>
        <v>4.2000000000000003E-2</v>
      </c>
      <c r="G832" s="53">
        <f t="shared" si="86"/>
        <v>0.89800000000000002</v>
      </c>
      <c r="H832" s="53">
        <f t="shared" si="87"/>
        <v>0.01</v>
      </c>
      <c r="I832" s="53">
        <f t="shared" si="88"/>
        <v>7.8E-2</v>
      </c>
      <c r="L832" t="s">
        <v>1973</v>
      </c>
      <c r="M832" t="str">
        <f t="shared" si="90"/>
        <v>Commercio al dettaglio di qualsiasi tipo di prodotto effettuato per televisione</v>
      </c>
      <c r="N832" t="str">
        <f t="shared" si="89"/>
        <v>G47) Commercio dettaglio; I56) Bar e ristoranti</v>
      </c>
    </row>
    <row r="833" spans="1:14" ht="51">
      <c r="A833" s="58" t="s">
        <v>1875</v>
      </c>
      <c r="B833" s="59" t="s">
        <v>1876</v>
      </c>
      <c r="C833">
        <v>7</v>
      </c>
      <c r="D833" t="str">
        <f>+VLOOKUP(AtecoCrisi[[#This Row],[COD. CRISI]],Tabella139[],2,0)</f>
        <v>G47) Commercio dettaglio; I56) Bar e ristoranti</v>
      </c>
      <c r="E833" s="53">
        <f t="shared" si="84"/>
        <v>1.4999999999999999E-2</v>
      </c>
      <c r="F833" s="53">
        <f t="shared" si="85"/>
        <v>4.2000000000000003E-2</v>
      </c>
      <c r="G833" s="53">
        <f t="shared" si="86"/>
        <v>0.89800000000000002</v>
      </c>
      <c r="H833" s="53">
        <f t="shared" si="87"/>
        <v>0.01</v>
      </c>
      <c r="I833" s="53">
        <f t="shared" si="88"/>
        <v>7.8E-2</v>
      </c>
      <c r="L833" t="s">
        <v>1975</v>
      </c>
      <c r="M833" t="str">
        <f t="shared" si="90"/>
        <v>Commercio al dettaglio di qualsiasi tipo di prodotto per corrispondenza, radio, telefono</v>
      </c>
      <c r="N833" t="str">
        <f t="shared" si="89"/>
        <v>G47) Commercio dettaglio; I56) Bar e ristoranti</v>
      </c>
    </row>
    <row r="834" spans="1:14" ht="51">
      <c r="A834" s="58" t="s">
        <v>1877</v>
      </c>
      <c r="B834" s="59" t="s">
        <v>1878</v>
      </c>
      <c r="C834">
        <v>7</v>
      </c>
      <c r="D834" t="str">
        <f>+VLOOKUP(AtecoCrisi[[#This Row],[COD. CRISI]],Tabella139[],2,0)</f>
        <v>G47) Commercio dettaglio; I56) Bar e ristoranti</v>
      </c>
      <c r="E834" s="53">
        <f t="shared" ref="E834:E897" si="91">+VLOOKUP(C834,$R$2:$X$11,3,FALSE)</f>
        <v>1.4999999999999999E-2</v>
      </c>
      <c r="F834" s="53">
        <f t="shared" ref="F834:F897" si="92">+VLOOKUP(C834,$R$2:$X$11,4,FALSE)</f>
        <v>4.2000000000000003E-2</v>
      </c>
      <c r="G834" s="53">
        <f t="shared" ref="G834:G897" si="93">+VLOOKUP(C834,$R$2:$X$11,5,FALSE)</f>
        <v>0.89800000000000002</v>
      </c>
      <c r="H834" s="53">
        <f t="shared" ref="H834:H897" si="94">+VLOOKUP(C834,$R$2:$X$11,6,FALSE)</f>
        <v>0.01</v>
      </c>
      <c r="I834" s="53">
        <f t="shared" ref="I834:I897" si="95">+VLOOKUP(C834,$R$2:$X$11,7,FALSE)</f>
        <v>7.8E-2</v>
      </c>
      <c r="L834" t="s">
        <v>1977</v>
      </c>
      <c r="M834" t="str">
        <f t="shared" si="90"/>
        <v>Commercio al dettaglio di prodotti vari, mediante l'intervento di un dimostratore o di un incaricato alla vendita (porta a porta)</v>
      </c>
      <c r="N834" t="str">
        <f t="shared" ref="N834:N897" si="96">+VLOOKUP(L834,A:D,4,0)</f>
        <v>G47) Commercio dettaglio; I56) Bar e ristoranti</v>
      </c>
    </row>
    <row r="835" spans="1:14" ht="63.75">
      <c r="A835" s="58" t="s">
        <v>1879</v>
      </c>
      <c r="B835" s="59" t="s">
        <v>1880</v>
      </c>
      <c r="C835">
        <v>7</v>
      </c>
      <c r="D835" t="str">
        <f>+VLOOKUP(AtecoCrisi[[#This Row],[COD. CRISI]],Tabella139[],2,0)</f>
        <v>G47) Commercio dettaglio; I56) Bar e ristoranti</v>
      </c>
      <c r="E835" s="53">
        <f t="shared" si="91"/>
        <v>1.4999999999999999E-2</v>
      </c>
      <c r="F835" s="53">
        <f t="shared" si="92"/>
        <v>4.2000000000000003E-2</v>
      </c>
      <c r="G835" s="53">
        <f t="shared" si="93"/>
        <v>0.89800000000000002</v>
      </c>
      <c r="H835" s="53">
        <f t="shared" si="94"/>
        <v>0.01</v>
      </c>
      <c r="I835" s="53">
        <f t="shared" si="95"/>
        <v>7.8E-2</v>
      </c>
      <c r="L835" t="s">
        <v>1979</v>
      </c>
      <c r="M835" t="str">
        <f t="shared" ref="M835:M898" si="97">+VLOOKUP(L835,A:B,2,0)</f>
        <v>Commercio effettuato per mezzo di distributori automatici</v>
      </c>
      <c r="N835" t="str">
        <f t="shared" si="96"/>
        <v>G47) Commercio dettaglio; I56) Bar e ristoranti</v>
      </c>
    </row>
    <row r="836" spans="1:14" ht="63.75">
      <c r="A836" s="58" t="s">
        <v>1881</v>
      </c>
      <c r="B836" s="59" t="s">
        <v>1882</v>
      </c>
      <c r="C836">
        <v>7</v>
      </c>
      <c r="D836" t="str">
        <f>+VLOOKUP(AtecoCrisi[[#This Row],[COD. CRISI]],Tabella139[],2,0)</f>
        <v>G47) Commercio dettaglio; I56) Bar e ristoranti</v>
      </c>
      <c r="E836" s="53">
        <f t="shared" si="91"/>
        <v>1.4999999999999999E-2</v>
      </c>
      <c r="F836" s="53">
        <f t="shared" si="92"/>
        <v>4.2000000000000003E-2</v>
      </c>
      <c r="G836" s="53">
        <f t="shared" si="93"/>
        <v>0.89800000000000002</v>
      </c>
      <c r="H836" s="53">
        <f t="shared" si="94"/>
        <v>0.01</v>
      </c>
      <c r="I836" s="53">
        <f t="shared" si="95"/>
        <v>7.8E-2</v>
      </c>
      <c r="L836" t="s">
        <v>1984</v>
      </c>
      <c r="M836" t="str">
        <f t="shared" si="97"/>
        <v>Trasporto ferroviario di passeggeri (interurbano)</v>
      </c>
      <c r="N836" t="str">
        <f t="shared" si="96"/>
        <v>H) Trasporto e magazzinaggio; I55) Hotel</v>
      </c>
    </row>
    <row r="837" spans="1:14" ht="51">
      <c r="A837" s="58" t="s">
        <v>1883</v>
      </c>
      <c r="B837" s="59" t="s">
        <v>1884</v>
      </c>
      <c r="C837">
        <v>7</v>
      </c>
      <c r="D837" t="str">
        <f>+VLOOKUP(AtecoCrisi[[#This Row],[COD. CRISI]],Tabella139[],2,0)</f>
        <v>G47) Commercio dettaglio; I56) Bar e ristoranti</v>
      </c>
      <c r="E837" s="53">
        <f t="shared" si="91"/>
        <v>1.4999999999999999E-2</v>
      </c>
      <c r="F837" s="53">
        <f t="shared" si="92"/>
        <v>4.2000000000000003E-2</v>
      </c>
      <c r="G837" s="53">
        <f t="shared" si="93"/>
        <v>0.89800000000000002</v>
      </c>
      <c r="H837" s="53">
        <f t="shared" si="94"/>
        <v>0.01</v>
      </c>
      <c r="I837" s="53">
        <f t="shared" si="95"/>
        <v>7.8E-2</v>
      </c>
      <c r="L837" t="s">
        <v>1986</v>
      </c>
      <c r="M837" t="str">
        <f t="shared" si="97"/>
        <v>Trasporto ferroviario di merci</v>
      </c>
      <c r="N837" t="str">
        <f t="shared" si="96"/>
        <v>H) Trasporto e magazzinaggio; I55) Hotel</v>
      </c>
    </row>
    <row r="838" spans="1:14" ht="51">
      <c r="A838" s="58" t="s">
        <v>1885</v>
      </c>
      <c r="B838" s="59" t="s">
        <v>1886</v>
      </c>
      <c r="C838">
        <v>7</v>
      </c>
      <c r="D838" t="str">
        <f>+VLOOKUP(AtecoCrisi[[#This Row],[COD. CRISI]],Tabella139[],2,0)</f>
        <v>G47) Commercio dettaglio; I56) Bar e ristoranti</v>
      </c>
      <c r="E838" s="53">
        <f t="shared" si="91"/>
        <v>1.4999999999999999E-2</v>
      </c>
      <c r="F838" s="53">
        <f t="shared" si="92"/>
        <v>4.2000000000000003E-2</v>
      </c>
      <c r="G838" s="53">
        <f t="shared" si="93"/>
        <v>0.89800000000000002</v>
      </c>
      <c r="H838" s="53">
        <f t="shared" si="94"/>
        <v>0.01</v>
      </c>
      <c r="I838" s="53">
        <f t="shared" si="95"/>
        <v>7.8E-2</v>
      </c>
      <c r="L838" t="s">
        <v>1988</v>
      </c>
      <c r="M838" t="str">
        <f t="shared" si="97"/>
        <v>Trasporto terrestre di passeggeri in aree urbane e suburbane</v>
      </c>
      <c r="N838" t="str">
        <f t="shared" si="96"/>
        <v>H) Trasporto e magazzinaggio; I55) Hotel</v>
      </c>
    </row>
    <row r="839" spans="1:14" ht="51">
      <c r="A839" s="58" t="s">
        <v>1887</v>
      </c>
      <c r="B839" s="59" t="s">
        <v>1888</v>
      </c>
      <c r="C839">
        <v>7</v>
      </c>
      <c r="D839" t="str">
        <f>+VLOOKUP(AtecoCrisi[[#This Row],[COD. CRISI]],Tabella139[],2,0)</f>
        <v>G47) Commercio dettaglio; I56) Bar e ristoranti</v>
      </c>
      <c r="E839" s="53">
        <f t="shared" si="91"/>
        <v>1.4999999999999999E-2</v>
      </c>
      <c r="F839" s="53">
        <f t="shared" si="92"/>
        <v>4.2000000000000003E-2</v>
      </c>
      <c r="G839" s="53">
        <f t="shared" si="93"/>
        <v>0.89800000000000002</v>
      </c>
      <c r="H839" s="53">
        <f t="shared" si="94"/>
        <v>0.01</v>
      </c>
      <c r="I839" s="53">
        <f t="shared" si="95"/>
        <v>7.8E-2</v>
      </c>
      <c r="L839" t="s">
        <v>1990</v>
      </c>
      <c r="M839" t="str">
        <f t="shared" si="97"/>
        <v>Trasporto con taxi</v>
      </c>
      <c r="N839" t="str">
        <f t="shared" si="96"/>
        <v>H) Trasporto e magazzinaggio; I55) Hotel</v>
      </c>
    </row>
    <row r="840" spans="1:14">
      <c r="A840" s="58" t="s">
        <v>1889</v>
      </c>
      <c r="B840" s="59" t="s">
        <v>1890</v>
      </c>
      <c r="C840">
        <v>7</v>
      </c>
      <c r="D840" t="str">
        <f>+VLOOKUP(AtecoCrisi[[#This Row],[COD. CRISI]],Tabella139[],2,0)</f>
        <v>G47) Commercio dettaglio; I56) Bar e ristoranti</v>
      </c>
      <c r="E840" s="53">
        <f t="shared" si="91"/>
        <v>1.4999999999999999E-2</v>
      </c>
      <c r="F840" s="53">
        <f t="shared" si="92"/>
        <v>4.2000000000000003E-2</v>
      </c>
      <c r="G840" s="53">
        <f t="shared" si="93"/>
        <v>0.89800000000000002</v>
      </c>
      <c r="H840" s="53">
        <f t="shared" si="94"/>
        <v>0.01</v>
      </c>
      <c r="I840" s="53">
        <f t="shared" si="95"/>
        <v>7.8E-2</v>
      </c>
      <c r="L840" t="s">
        <v>1992</v>
      </c>
      <c r="M840" t="str">
        <f t="shared" si="97"/>
        <v>Trasporto mediante noleggio di autovetture da rimessa con conducente</v>
      </c>
      <c r="N840" t="str">
        <f t="shared" si="96"/>
        <v>H) Trasporto e magazzinaggio; I55) Hotel</v>
      </c>
    </row>
    <row r="841" spans="1:14" ht="102">
      <c r="A841" s="58" t="s">
        <v>1891</v>
      </c>
      <c r="B841" s="59" t="s">
        <v>1892</v>
      </c>
      <c r="C841">
        <v>7</v>
      </c>
      <c r="D841" t="str">
        <f>+VLOOKUP(AtecoCrisi[[#This Row],[COD. CRISI]],Tabella139[],2,0)</f>
        <v>G47) Commercio dettaglio; I56) Bar e ristoranti</v>
      </c>
      <c r="E841" s="53">
        <f t="shared" si="91"/>
        <v>1.4999999999999999E-2</v>
      </c>
      <c r="F841" s="53">
        <f t="shared" si="92"/>
        <v>4.2000000000000003E-2</v>
      </c>
      <c r="G841" s="53">
        <f t="shared" si="93"/>
        <v>0.89800000000000002</v>
      </c>
      <c r="H841" s="53">
        <f t="shared" si="94"/>
        <v>0.01</v>
      </c>
      <c r="I841" s="53">
        <f t="shared" si="95"/>
        <v>7.8E-2</v>
      </c>
      <c r="L841" t="s">
        <v>1994</v>
      </c>
      <c r="M841" t="str">
        <f t="shared" si="97"/>
        <v>Gestioni di funicolari, ski-lift e seggiovie se non facenti parte dei sistemi di transito urbano o suburbano</v>
      </c>
      <c r="N841" t="str">
        <f t="shared" si="96"/>
        <v>H) Trasporto e magazzinaggio; I55) Hotel</v>
      </c>
    </row>
    <row r="842" spans="1:14" ht="76.5">
      <c r="A842" s="58" t="s">
        <v>1893</v>
      </c>
      <c r="B842" s="59" t="s">
        <v>1894</v>
      </c>
      <c r="C842">
        <v>7</v>
      </c>
      <c r="D842" t="str">
        <f>+VLOOKUP(AtecoCrisi[[#This Row],[COD. CRISI]],Tabella139[],2,0)</f>
        <v>G47) Commercio dettaglio; I56) Bar e ristoranti</v>
      </c>
      <c r="E842" s="53">
        <f t="shared" si="91"/>
        <v>1.4999999999999999E-2</v>
      </c>
      <c r="F842" s="53">
        <f t="shared" si="92"/>
        <v>4.2000000000000003E-2</v>
      </c>
      <c r="G842" s="53">
        <f t="shared" si="93"/>
        <v>0.89800000000000002</v>
      </c>
      <c r="H842" s="53">
        <f t="shared" si="94"/>
        <v>0.01</v>
      </c>
      <c r="I842" s="53">
        <f t="shared" si="95"/>
        <v>7.8E-2</v>
      </c>
      <c r="L842" t="s">
        <v>1996</v>
      </c>
      <c r="M842" t="str">
        <f t="shared" si="97"/>
        <v>Altre attività di trasporti terrestri di passeggeri nca</v>
      </c>
      <c r="N842" t="str">
        <f t="shared" si="96"/>
        <v>H) Trasporto e magazzinaggio; I55) Hotel</v>
      </c>
    </row>
    <row r="843" spans="1:14" ht="76.5">
      <c r="A843" s="58" t="s">
        <v>1895</v>
      </c>
      <c r="B843" s="59" t="s">
        <v>1896</v>
      </c>
      <c r="C843">
        <v>7</v>
      </c>
      <c r="D843" t="str">
        <f>+VLOOKUP(AtecoCrisi[[#This Row],[COD. CRISI]],Tabella139[],2,0)</f>
        <v>G47) Commercio dettaglio; I56) Bar e ristoranti</v>
      </c>
      <c r="E843" s="53">
        <f t="shared" si="91"/>
        <v>1.4999999999999999E-2</v>
      </c>
      <c r="F843" s="53">
        <f t="shared" si="92"/>
        <v>4.2000000000000003E-2</v>
      </c>
      <c r="G843" s="53">
        <f t="shared" si="93"/>
        <v>0.89800000000000002</v>
      </c>
      <c r="H843" s="53">
        <f t="shared" si="94"/>
        <v>0.01</v>
      </c>
      <c r="I843" s="53">
        <f t="shared" si="95"/>
        <v>7.8E-2</v>
      </c>
      <c r="L843" t="s">
        <v>1998</v>
      </c>
      <c r="M843" t="str">
        <f t="shared" si="97"/>
        <v>Trasporto di merci su strada</v>
      </c>
      <c r="N843" t="str">
        <f t="shared" si="96"/>
        <v>H) Trasporto e magazzinaggio; I55) Hotel</v>
      </c>
    </row>
    <row r="844" spans="1:14">
      <c r="A844" s="58" t="s">
        <v>1897</v>
      </c>
      <c r="B844" s="59" t="s">
        <v>1898</v>
      </c>
      <c r="C844">
        <v>7</v>
      </c>
      <c r="D844" t="str">
        <f>+VLOOKUP(AtecoCrisi[[#This Row],[COD. CRISI]],Tabella139[],2,0)</f>
        <v>G47) Commercio dettaglio; I56) Bar e ristoranti</v>
      </c>
      <c r="E844" s="53">
        <f t="shared" si="91"/>
        <v>1.4999999999999999E-2</v>
      </c>
      <c r="F844" s="53">
        <f t="shared" si="92"/>
        <v>4.2000000000000003E-2</v>
      </c>
      <c r="G844" s="53">
        <f t="shared" si="93"/>
        <v>0.89800000000000002</v>
      </c>
      <c r="H844" s="53">
        <f t="shared" si="94"/>
        <v>0.01</v>
      </c>
      <c r="I844" s="53">
        <f t="shared" si="95"/>
        <v>7.8E-2</v>
      </c>
      <c r="L844" t="s">
        <v>2000</v>
      </c>
      <c r="M844" t="str">
        <f t="shared" si="97"/>
        <v>Servizi di trasloco</v>
      </c>
      <c r="N844" t="str">
        <f t="shared" si="96"/>
        <v>H) Trasporto e magazzinaggio; I55) Hotel</v>
      </c>
    </row>
    <row r="845" spans="1:14" ht="38.25">
      <c r="A845" s="58" t="s">
        <v>1899</v>
      </c>
      <c r="B845" s="59" t="s">
        <v>1900</v>
      </c>
      <c r="C845">
        <v>7</v>
      </c>
      <c r="D845" t="str">
        <f>+VLOOKUP(AtecoCrisi[[#This Row],[COD. CRISI]],Tabella139[],2,0)</f>
        <v>G47) Commercio dettaglio; I56) Bar e ristoranti</v>
      </c>
      <c r="E845" s="53">
        <f t="shared" si="91"/>
        <v>1.4999999999999999E-2</v>
      </c>
      <c r="F845" s="53">
        <f t="shared" si="92"/>
        <v>4.2000000000000003E-2</v>
      </c>
      <c r="G845" s="53">
        <f t="shared" si="93"/>
        <v>0.89800000000000002</v>
      </c>
      <c r="H845" s="53">
        <f t="shared" si="94"/>
        <v>0.01</v>
      </c>
      <c r="I845" s="53">
        <f t="shared" si="95"/>
        <v>7.8E-2</v>
      </c>
      <c r="L845" t="s">
        <v>2002</v>
      </c>
      <c r="M845" t="str">
        <f t="shared" si="97"/>
        <v>Trasporto mediante condotte di gas</v>
      </c>
      <c r="N845" t="str">
        <f t="shared" si="96"/>
        <v>H) Trasporto e magazzinaggio; I55) Hotel</v>
      </c>
    </row>
    <row r="846" spans="1:14" ht="38.25">
      <c r="A846" s="58" t="s">
        <v>1901</v>
      </c>
      <c r="B846" s="59" t="s">
        <v>1902</v>
      </c>
      <c r="C846">
        <v>7</v>
      </c>
      <c r="D846" t="str">
        <f>+VLOOKUP(AtecoCrisi[[#This Row],[COD. CRISI]],Tabella139[],2,0)</f>
        <v>G47) Commercio dettaglio; I56) Bar e ristoranti</v>
      </c>
      <c r="E846" s="53">
        <f t="shared" si="91"/>
        <v>1.4999999999999999E-2</v>
      </c>
      <c r="F846" s="53">
        <f t="shared" si="92"/>
        <v>4.2000000000000003E-2</v>
      </c>
      <c r="G846" s="53">
        <f t="shared" si="93"/>
        <v>0.89800000000000002</v>
      </c>
      <c r="H846" s="53">
        <f t="shared" si="94"/>
        <v>0.01</v>
      </c>
      <c r="I846" s="53">
        <f t="shared" si="95"/>
        <v>7.8E-2</v>
      </c>
      <c r="L846" t="s">
        <v>2004</v>
      </c>
      <c r="M846" t="str">
        <f t="shared" si="97"/>
        <v>Trasporto mediante condotte di liquidi</v>
      </c>
      <c r="N846" t="str">
        <f t="shared" si="96"/>
        <v>H) Trasporto e magazzinaggio; I55) Hotel</v>
      </c>
    </row>
    <row r="847" spans="1:14" ht="51">
      <c r="A847" s="58" t="s">
        <v>1903</v>
      </c>
      <c r="B847" s="59" t="s">
        <v>1904</v>
      </c>
      <c r="C847">
        <v>7</v>
      </c>
      <c r="D847" t="str">
        <f>+VLOOKUP(AtecoCrisi[[#This Row],[COD. CRISI]],Tabella139[],2,0)</f>
        <v>G47) Commercio dettaglio; I56) Bar e ristoranti</v>
      </c>
      <c r="E847" s="53">
        <f t="shared" si="91"/>
        <v>1.4999999999999999E-2</v>
      </c>
      <c r="F847" s="53">
        <f t="shared" si="92"/>
        <v>4.2000000000000003E-2</v>
      </c>
      <c r="G847" s="53">
        <f t="shared" si="93"/>
        <v>0.89800000000000002</v>
      </c>
      <c r="H847" s="53">
        <f t="shared" si="94"/>
        <v>0.01</v>
      </c>
      <c r="I847" s="53">
        <f t="shared" si="95"/>
        <v>7.8E-2</v>
      </c>
      <c r="L847" t="s">
        <v>2008</v>
      </c>
      <c r="M847" t="str">
        <f t="shared" si="97"/>
        <v>Trasporto marittimo e costiero di passeggeri</v>
      </c>
      <c r="N847" t="str">
        <f t="shared" si="96"/>
        <v>H) Trasporto e magazzinaggio; I55) Hotel</v>
      </c>
    </row>
    <row r="848" spans="1:14" ht="38.25">
      <c r="A848" s="58" t="s">
        <v>1905</v>
      </c>
      <c r="B848" s="59" t="s">
        <v>1906</v>
      </c>
      <c r="C848">
        <v>7</v>
      </c>
      <c r="D848" t="str">
        <f>+VLOOKUP(AtecoCrisi[[#This Row],[COD. CRISI]],Tabella139[],2,0)</f>
        <v>G47) Commercio dettaglio; I56) Bar e ristoranti</v>
      </c>
      <c r="E848" s="53">
        <f t="shared" si="91"/>
        <v>1.4999999999999999E-2</v>
      </c>
      <c r="F848" s="53">
        <f t="shared" si="92"/>
        <v>4.2000000000000003E-2</v>
      </c>
      <c r="G848" s="53">
        <f t="shared" si="93"/>
        <v>0.89800000000000002</v>
      </c>
      <c r="H848" s="53">
        <f t="shared" si="94"/>
        <v>0.01</v>
      </c>
      <c r="I848" s="53">
        <f t="shared" si="95"/>
        <v>7.8E-2</v>
      </c>
      <c r="L848" t="s">
        <v>2010</v>
      </c>
      <c r="M848" t="str">
        <f t="shared" si="97"/>
        <v>Trasporto marittimo e costiero di merci</v>
      </c>
      <c r="N848" t="str">
        <f t="shared" si="96"/>
        <v>H) Trasporto e magazzinaggio; I55) Hotel</v>
      </c>
    </row>
    <row r="849" spans="1:14" ht="51">
      <c r="A849" s="58" t="s">
        <v>1907</v>
      </c>
      <c r="B849" s="59" t="s">
        <v>1908</v>
      </c>
      <c r="C849">
        <v>7</v>
      </c>
      <c r="D849" t="str">
        <f>+VLOOKUP(AtecoCrisi[[#This Row],[COD. CRISI]],Tabella139[],2,0)</f>
        <v>G47) Commercio dettaglio; I56) Bar e ristoranti</v>
      </c>
      <c r="E849" s="53">
        <f t="shared" si="91"/>
        <v>1.4999999999999999E-2</v>
      </c>
      <c r="F849" s="53">
        <f t="shared" si="92"/>
        <v>4.2000000000000003E-2</v>
      </c>
      <c r="G849" s="53">
        <f t="shared" si="93"/>
        <v>0.89800000000000002</v>
      </c>
      <c r="H849" s="53">
        <f t="shared" si="94"/>
        <v>0.01</v>
      </c>
      <c r="I849" s="53">
        <f t="shared" si="95"/>
        <v>7.8E-2</v>
      </c>
      <c r="L849" t="s">
        <v>2012</v>
      </c>
      <c r="M849" t="str">
        <f t="shared" si="97"/>
        <v>Trasporto di passeggeri per vie d'acqua interne (inclusi i trasporti lagunari)</v>
      </c>
      <c r="N849" t="str">
        <f t="shared" si="96"/>
        <v>H) Trasporto e magazzinaggio; I55) Hotel</v>
      </c>
    </row>
    <row r="850" spans="1:14" ht="51">
      <c r="A850" s="58" t="s">
        <v>1909</v>
      </c>
      <c r="B850" s="59" t="s">
        <v>1910</v>
      </c>
      <c r="C850">
        <v>7</v>
      </c>
      <c r="D850" t="str">
        <f>+VLOOKUP(AtecoCrisi[[#This Row],[COD. CRISI]],Tabella139[],2,0)</f>
        <v>G47) Commercio dettaglio; I56) Bar e ristoranti</v>
      </c>
      <c r="E850" s="53">
        <f t="shared" si="91"/>
        <v>1.4999999999999999E-2</v>
      </c>
      <c r="F850" s="53">
        <f t="shared" si="92"/>
        <v>4.2000000000000003E-2</v>
      </c>
      <c r="G850" s="53">
        <f t="shared" si="93"/>
        <v>0.89800000000000002</v>
      </c>
      <c r="H850" s="53">
        <f t="shared" si="94"/>
        <v>0.01</v>
      </c>
      <c r="I850" s="53">
        <f t="shared" si="95"/>
        <v>7.8E-2</v>
      </c>
      <c r="L850" t="s">
        <v>2014</v>
      </c>
      <c r="M850" t="str">
        <f t="shared" si="97"/>
        <v>Trasporto di merci per vie d'acqua interne</v>
      </c>
      <c r="N850" t="str">
        <f t="shared" si="96"/>
        <v>H) Trasporto e magazzinaggio; I55) Hotel</v>
      </c>
    </row>
    <row r="851" spans="1:14" ht="38.25">
      <c r="A851" s="58" t="s">
        <v>1911</v>
      </c>
      <c r="B851" s="59" t="s">
        <v>1912</v>
      </c>
      <c r="C851">
        <v>7</v>
      </c>
      <c r="D851" t="str">
        <f>+VLOOKUP(AtecoCrisi[[#This Row],[COD. CRISI]],Tabella139[],2,0)</f>
        <v>G47) Commercio dettaglio; I56) Bar e ristoranti</v>
      </c>
      <c r="E851" s="53">
        <f t="shared" si="91"/>
        <v>1.4999999999999999E-2</v>
      </c>
      <c r="F851" s="53">
        <f t="shared" si="92"/>
        <v>4.2000000000000003E-2</v>
      </c>
      <c r="G851" s="53">
        <f t="shared" si="93"/>
        <v>0.89800000000000002</v>
      </c>
      <c r="H851" s="53">
        <f t="shared" si="94"/>
        <v>0.01</v>
      </c>
      <c r="I851" s="53">
        <f t="shared" si="95"/>
        <v>7.8E-2</v>
      </c>
      <c r="L851" t="s">
        <v>2018</v>
      </c>
      <c r="M851" t="str">
        <f t="shared" si="97"/>
        <v>Trasporto aereo di linea di passeggeri</v>
      </c>
      <c r="N851" t="str">
        <f t="shared" si="96"/>
        <v>H) Trasporto e magazzinaggio; I55) Hotel</v>
      </c>
    </row>
    <row r="852" spans="1:14" ht="51">
      <c r="A852" s="58" t="s">
        <v>1913</v>
      </c>
      <c r="B852" s="59" t="s">
        <v>1914</v>
      </c>
      <c r="C852">
        <v>7</v>
      </c>
      <c r="D852" t="str">
        <f>+VLOOKUP(AtecoCrisi[[#This Row],[COD. CRISI]],Tabella139[],2,0)</f>
        <v>G47) Commercio dettaglio; I56) Bar e ristoranti</v>
      </c>
      <c r="E852" s="53">
        <f t="shared" si="91"/>
        <v>1.4999999999999999E-2</v>
      </c>
      <c r="F852" s="53">
        <f t="shared" si="92"/>
        <v>4.2000000000000003E-2</v>
      </c>
      <c r="G852" s="53">
        <f t="shared" si="93"/>
        <v>0.89800000000000002</v>
      </c>
      <c r="H852" s="53">
        <f t="shared" si="94"/>
        <v>0.01</v>
      </c>
      <c r="I852" s="53">
        <f t="shared" si="95"/>
        <v>7.8E-2</v>
      </c>
      <c r="L852" t="s">
        <v>2020</v>
      </c>
      <c r="M852" t="str">
        <f t="shared" si="97"/>
        <v>Trasporto aereo non di linea di passeggeri; voli charter</v>
      </c>
      <c r="N852" t="str">
        <f t="shared" si="96"/>
        <v>H) Trasporto e magazzinaggio; I55) Hotel</v>
      </c>
    </row>
    <row r="853" spans="1:14" ht="51">
      <c r="A853" s="58" t="s">
        <v>1915</v>
      </c>
      <c r="B853" s="59" t="s">
        <v>1916</v>
      </c>
      <c r="C853">
        <v>7</v>
      </c>
      <c r="D853" t="str">
        <f>+VLOOKUP(AtecoCrisi[[#This Row],[COD. CRISI]],Tabella139[],2,0)</f>
        <v>G47) Commercio dettaglio; I56) Bar e ristoranti</v>
      </c>
      <c r="E853" s="53">
        <f t="shared" si="91"/>
        <v>1.4999999999999999E-2</v>
      </c>
      <c r="F853" s="53">
        <f t="shared" si="92"/>
        <v>4.2000000000000003E-2</v>
      </c>
      <c r="G853" s="53">
        <f t="shared" si="93"/>
        <v>0.89800000000000002</v>
      </c>
      <c r="H853" s="53">
        <f t="shared" si="94"/>
        <v>0.01</v>
      </c>
      <c r="I853" s="53">
        <f t="shared" si="95"/>
        <v>7.8E-2</v>
      </c>
      <c r="L853" t="s">
        <v>2022</v>
      </c>
      <c r="M853" t="str">
        <f t="shared" si="97"/>
        <v>Trasporto aereo di merci</v>
      </c>
      <c r="N853" t="str">
        <f t="shared" si="96"/>
        <v>H) Trasporto e magazzinaggio; I55) Hotel</v>
      </c>
    </row>
    <row r="854" spans="1:14" ht="38.25">
      <c r="A854" s="58" t="s">
        <v>1917</v>
      </c>
      <c r="B854" s="59" t="s">
        <v>1918</v>
      </c>
      <c r="C854">
        <v>7</v>
      </c>
      <c r="D854" t="str">
        <f>+VLOOKUP(AtecoCrisi[[#This Row],[COD. CRISI]],Tabella139[],2,0)</f>
        <v>G47) Commercio dettaglio; I56) Bar e ristoranti</v>
      </c>
      <c r="E854" s="53">
        <f t="shared" si="91"/>
        <v>1.4999999999999999E-2</v>
      </c>
      <c r="F854" s="53">
        <f t="shared" si="92"/>
        <v>4.2000000000000003E-2</v>
      </c>
      <c r="G854" s="53">
        <f t="shared" si="93"/>
        <v>0.89800000000000002</v>
      </c>
      <c r="H854" s="53">
        <f t="shared" si="94"/>
        <v>0.01</v>
      </c>
      <c r="I854" s="53">
        <f t="shared" si="95"/>
        <v>7.8E-2</v>
      </c>
      <c r="L854" t="s">
        <v>2024</v>
      </c>
      <c r="M854" t="str">
        <f t="shared" si="97"/>
        <v>Trasporto spaziale</v>
      </c>
      <c r="N854" t="str">
        <f t="shared" si="96"/>
        <v>H) Trasporto e magazzinaggio; I55) Hotel</v>
      </c>
    </row>
    <row r="855" spans="1:14" ht="102">
      <c r="A855" s="58" t="s">
        <v>1919</v>
      </c>
      <c r="B855" s="59" t="s">
        <v>1920</v>
      </c>
      <c r="C855">
        <v>7</v>
      </c>
      <c r="D855" t="str">
        <f>+VLOOKUP(AtecoCrisi[[#This Row],[COD. CRISI]],Tabella139[],2,0)</f>
        <v>G47) Commercio dettaglio; I56) Bar e ristoranti</v>
      </c>
      <c r="E855" s="53">
        <f t="shared" si="91"/>
        <v>1.4999999999999999E-2</v>
      </c>
      <c r="F855" s="53">
        <f t="shared" si="92"/>
        <v>4.2000000000000003E-2</v>
      </c>
      <c r="G855" s="53">
        <f t="shared" si="93"/>
        <v>0.89800000000000002</v>
      </c>
      <c r="H855" s="53">
        <f t="shared" si="94"/>
        <v>0.01</v>
      </c>
      <c r="I855" s="53">
        <f t="shared" si="95"/>
        <v>7.8E-2</v>
      </c>
      <c r="L855" t="s">
        <v>2028</v>
      </c>
      <c r="M855" t="str">
        <f t="shared" si="97"/>
        <v>Magazzini di custodia e deposito per conto terzi</v>
      </c>
      <c r="N855" t="str">
        <f t="shared" si="96"/>
        <v>H) Trasporto e magazzinaggio; I55) Hotel</v>
      </c>
    </row>
    <row r="856" spans="1:14" ht="38.25">
      <c r="A856" s="58" t="s">
        <v>1921</v>
      </c>
      <c r="B856" s="59" t="s">
        <v>1922</v>
      </c>
      <c r="C856">
        <v>7</v>
      </c>
      <c r="D856" t="str">
        <f>+VLOOKUP(AtecoCrisi[[#This Row],[COD. CRISI]],Tabella139[],2,0)</f>
        <v>G47) Commercio dettaglio; I56) Bar e ristoranti</v>
      </c>
      <c r="E856" s="53">
        <f t="shared" si="91"/>
        <v>1.4999999999999999E-2</v>
      </c>
      <c r="F856" s="53">
        <f t="shared" si="92"/>
        <v>4.2000000000000003E-2</v>
      </c>
      <c r="G856" s="53">
        <f t="shared" si="93"/>
        <v>0.89800000000000002</v>
      </c>
      <c r="H856" s="53">
        <f t="shared" si="94"/>
        <v>0.01</v>
      </c>
      <c r="I856" s="53">
        <f t="shared" si="95"/>
        <v>7.8E-2</v>
      </c>
      <c r="L856" t="s">
        <v>2030</v>
      </c>
      <c r="M856" t="str">
        <f t="shared" si="97"/>
        <v>Magazzini frigoriferi per conto terzi</v>
      </c>
      <c r="N856" t="str">
        <f t="shared" si="96"/>
        <v>H) Trasporto e magazzinaggio; I55) Hotel</v>
      </c>
    </row>
    <row r="857" spans="1:14" ht="63.75">
      <c r="A857" s="58" t="s">
        <v>1923</v>
      </c>
      <c r="B857" s="59" t="s">
        <v>1924</v>
      </c>
      <c r="C857">
        <v>7</v>
      </c>
      <c r="D857" t="str">
        <f>+VLOOKUP(AtecoCrisi[[#This Row],[COD. CRISI]],Tabella139[],2,0)</f>
        <v>G47) Commercio dettaglio; I56) Bar e ristoranti</v>
      </c>
      <c r="E857" s="53">
        <f t="shared" si="91"/>
        <v>1.4999999999999999E-2</v>
      </c>
      <c r="F857" s="53">
        <f t="shared" si="92"/>
        <v>4.2000000000000003E-2</v>
      </c>
      <c r="G857" s="53">
        <f t="shared" si="93"/>
        <v>0.89800000000000002</v>
      </c>
      <c r="H857" s="53">
        <f t="shared" si="94"/>
        <v>0.01</v>
      </c>
      <c r="I857" s="53">
        <f t="shared" si="95"/>
        <v>7.8E-2</v>
      </c>
      <c r="L857" t="s">
        <v>2032</v>
      </c>
      <c r="M857" t="str">
        <f t="shared" si="97"/>
        <v>Gestione di infrastrutture ferroviarie</v>
      </c>
      <c r="N857" t="str">
        <f t="shared" si="96"/>
        <v>H) Trasporto e magazzinaggio; I55) Hotel</v>
      </c>
    </row>
    <row r="858" spans="1:14" ht="51">
      <c r="A858" s="58" t="s">
        <v>1925</v>
      </c>
      <c r="B858" s="59" t="s">
        <v>1926</v>
      </c>
      <c r="C858">
        <v>7</v>
      </c>
      <c r="D858" t="str">
        <f>+VLOOKUP(AtecoCrisi[[#This Row],[COD. CRISI]],Tabella139[],2,0)</f>
        <v>G47) Commercio dettaglio; I56) Bar e ristoranti</v>
      </c>
      <c r="E858" s="53">
        <f t="shared" si="91"/>
        <v>1.4999999999999999E-2</v>
      </c>
      <c r="F858" s="53">
        <f t="shared" si="92"/>
        <v>4.2000000000000003E-2</v>
      </c>
      <c r="G858" s="53">
        <f t="shared" si="93"/>
        <v>0.89800000000000002</v>
      </c>
      <c r="H858" s="53">
        <f t="shared" si="94"/>
        <v>0.01</v>
      </c>
      <c r="I858" s="53">
        <f t="shared" si="95"/>
        <v>7.8E-2</v>
      </c>
      <c r="L858" t="s">
        <v>2034</v>
      </c>
      <c r="M858" t="str">
        <f t="shared" si="97"/>
        <v>Gestione di strade, ponti, gallerie</v>
      </c>
      <c r="N858" t="str">
        <f t="shared" si="96"/>
        <v>H) Trasporto e magazzinaggio; I55) Hotel</v>
      </c>
    </row>
    <row r="859" spans="1:14" ht="63.75">
      <c r="A859" s="58" t="s">
        <v>1927</v>
      </c>
      <c r="B859" s="59" t="s">
        <v>1928</v>
      </c>
      <c r="C859">
        <v>7</v>
      </c>
      <c r="D859" t="str">
        <f>+VLOOKUP(AtecoCrisi[[#This Row],[COD. CRISI]],Tabella139[],2,0)</f>
        <v>G47) Commercio dettaglio; I56) Bar e ristoranti</v>
      </c>
      <c r="E859" s="53">
        <f t="shared" si="91"/>
        <v>1.4999999999999999E-2</v>
      </c>
      <c r="F859" s="53">
        <f t="shared" si="92"/>
        <v>4.2000000000000003E-2</v>
      </c>
      <c r="G859" s="53">
        <f t="shared" si="93"/>
        <v>0.89800000000000002</v>
      </c>
      <c r="H859" s="53">
        <f t="shared" si="94"/>
        <v>0.01</v>
      </c>
      <c r="I859" s="53">
        <f t="shared" si="95"/>
        <v>7.8E-2</v>
      </c>
      <c r="L859" t="s">
        <v>2036</v>
      </c>
      <c r="M859" t="str">
        <f t="shared" si="97"/>
        <v>Gestione di stazioni per autobus</v>
      </c>
      <c r="N859" t="str">
        <f t="shared" si="96"/>
        <v>H) Trasporto e magazzinaggio; I55) Hotel</v>
      </c>
    </row>
    <row r="860" spans="1:14" ht="76.5">
      <c r="A860" s="58" t="s">
        <v>1929</v>
      </c>
      <c r="B860" s="59" t="s">
        <v>1930</v>
      </c>
      <c r="C860">
        <v>7</v>
      </c>
      <c r="D860" t="str">
        <f>+VLOOKUP(AtecoCrisi[[#This Row],[COD. CRISI]],Tabella139[],2,0)</f>
        <v>G47) Commercio dettaglio; I56) Bar e ristoranti</v>
      </c>
      <c r="E860" s="53">
        <f t="shared" si="91"/>
        <v>1.4999999999999999E-2</v>
      </c>
      <c r="F860" s="53">
        <f t="shared" si="92"/>
        <v>4.2000000000000003E-2</v>
      </c>
      <c r="G860" s="53">
        <f t="shared" si="93"/>
        <v>0.89800000000000002</v>
      </c>
      <c r="H860" s="53">
        <f t="shared" si="94"/>
        <v>0.01</v>
      </c>
      <c r="I860" s="53">
        <f t="shared" si="95"/>
        <v>7.8E-2</v>
      </c>
      <c r="L860" t="s">
        <v>2038</v>
      </c>
      <c r="M860" t="str">
        <f t="shared" si="97"/>
        <v>Gestione di centri di movimentazione merci (interporti)</v>
      </c>
      <c r="N860" t="str">
        <f t="shared" si="96"/>
        <v>H) Trasporto e magazzinaggio; I55) Hotel</v>
      </c>
    </row>
    <row r="861" spans="1:14" ht="102">
      <c r="A861" s="58" t="s">
        <v>1931</v>
      </c>
      <c r="B861" s="59" t="s">
        <v>1932</v>
      </c>
      <c r="C861">
        <v>7</v>
      </c>
      <c r="D861" t="str">
        <f>+VLOOKUP(AtecoCrisi[[#This Row],[COD. CRISI]],Tabella139[],2,0)</f>
        <v>G47) Commercio dettaglio; I56) Bar e ristoranti</v>
      </c>
      <c r="E861" s="53">
        <f t="shared" si="91"/>
        <v>1.4999999999999999E-2</v>
      </c>
      <c r="F861" s="53">
        <f t="shared" si="92"/>
        <v>4.2000000000000003E-2</v>
      </c>
      <c r="G861" s="53">
        <f t="shared" si="93"/>
        <v>0.89800000000000002</v>
      </c>
      <c r="H861" s="53">
        <f t="shared" si="94"/>
        <v>0.01</v>
      </c>
      <c r="I861" s="53">
        <f t="shared" si="95"/>
        <v>7.8E-2</v>
      </c>
      <c r="L861" t="s">
        <v>2040</v>
      </c>
      <c r="M861" t="str">
        <f t="shared" si="97"/>
        <v>Gestione di parcheggi e autorimesse</v>
      </c>
      <c r="N861" t="str">
        <f t="shared" si="96"/>
        <v>H) Trasporto e magazzinaggio; I55) Hotel</v>
      </c>
    </row>
    <row r="862" spans="1:14" ht="51">
      <c r="A862" s="58" t="s">
        <v>1933</v>
      </c>
      <c r="B862" s="59" t="s">
        <v>1934</v>
      </c>
      <c r="C862">
        <v>7</v>
      </c>
      <c r="D862" t="str">
        <f>+VLOOKUP(AtecoCrisi[[#This Row],[COD. CRISI]],Tabella139[],2,0)</f>
        <v>G47) Commercio dettaglio; I56) Bar e ristoranti</v>
      </c>
      <c r="E862" s="53">
        <f t="shared" si="91"/>
        <v>1.4999999999999999E-2</v>
      </c>
      <c r="F862" s="53">
        <f t="shared" si="92"/>
        <v>4.2000000000000003E-2</v>
      </c>
      <c r="G862" s="53">
        <f t="shared" si="93"/>
        <v>0.89800000000000002</v>
      </c>
      <c r="H862" s="53">
        <f t="shared" si="94"/>
        <v>0.01</v>
      </c>
      <c r="I862" s="53">
        <f t="shared" si="95"/>
        <v>7.8E-2</v>
      </c>
      <c r="L862" t="s">
        <v>2042</v>
      </c>
      <c r="M862" t="str">
        <f t="shared" si="97"/>
        <v>Attività di traino e soccorso stradale</v>
      </c>
      <c r="N862" t="str">
        <f t="shared" si="96"/>
        <v>H) Trasporto e magazzinaggio; I55) Hotel</v>
      </c>
    </row>
    <row r="863" spans="1:14" ht="51">
      <c r="A863" s="58" t="s">
        <v>1935</v>
      </c>
      <c r="B863" s="59" t="s">
        <v>1936</v>
      </c>
      <c r="C863">
        <v>7</v>
      </c>
      <c r="D863" t="str">
        <f>+VLOOKUP(AtecoCrisi[[#This Row],[COD. CRISI]],Tabella139[],2,0)</f>
        <v>G47) Commercio dettaglio; I56) Bar e ristoranti</v>
      </c>
      <c r="E863" s="53">
        <f t="shared" si="91"/>
        <v>1.4999999999999999E-2</v>
      </c>
      <c r="F863" s="53">
        <f t="shared" si="92"/>
        <v>4.2000000000000003E-2</v>
      </c>
      <c r="G863" s="53">
        <f t="shared" si="93"/>
        <v>0.89800000000000002</v>
      </c>
      <c r="H863" s="53">
        <f t="shared" si="94"/>
        <v>0.01</v>
      </c>
      <c r="I863" s="53">
        <f t="shared" si="95"/>
        <v>7.8E-2</v>
      </c>
      <c r="L863" t="s">
        <v>2044</v>
      </c>
      <c r="M863" t="str">
        <f t="shared" si="97"/>
        <v>Altre attività connesse ai trasporti terrestri nca</v>
      </c>
      <c r="N863" t="str">
        <f t="shared" si="96"/>
        <v>H) Trasporto e magazzinaggio; I55) Hotel</v>
      </c>
    </row>
    <row r="864" spans="1:14" ht="51">
      <c r="A864" s="58" t="s">
        <v>1937</v>
      </c>
      <c r="B864" s="59" t="s">
        <v>1938</v>
      </c>
      <c r="C864">
        <v>7</v>
      </c>
      <c r="D864" t="str">
        <f>+VLOOKUP(AtecoCrisi[[#This Row],[COD. CRISI]],Tabella139[],2,0)</f>
        <v>G47) Commercio dettaglio; I56) Bar e ristoranti</v>
      </c>
      <c r="E864" s="53">
        <f t="shared" si="91"/>
        <v>1.4999999999999999E-2</v>
      </c>
      <c r="F864" s="53">
        <f t="shared" si="92"/>
        <v>4.2000000000000003E-2</v>
      </c>
      <c r="G864" s="53">
        <f t="shared" si="93"/>
        <v>0.89800000000000002</v>
      </c>
      <c r="H864" s="53">
        <f t="shared" si="94"/>
        <v>0.01</v>
      </c>
      <c r="I864" s="53">
        <f t="shared" si="95"/>
        <v>7.8E-2</v>
      </c>
      <c r="L864" t="s">
        <v>2046</v>
      </c>
      <c r="M864" t="str">
        <f t="shared" si="97"/>
        <v>Liquefazione e rigassificazione di gas a scopo di trasporto marittimo e per vie d'acqua effettuata al di fuori del sito di estrazione</v>
      </c>
      <c r="N864" t="str">
        <f t="shared" si="96"/>
        <v>H) Trasporto e magazzinaggio; I55) Hotel</v>
      </c>
    </row>
    <row r="865" spans="1:14" ht="38.25">
      <c r="A865" s="58" t="s">
        <v>1939</v>
      </c>
      <c r="B865" s="59" t="s">
        <v>1940</v>
      </c>
      <c r="C865">
        <v>7</v>
      </c>
      <c r="D865" t="str">
        <f>+VLOOKUP(AtecoCrisi[[#This Row],[COD. CRISI]],Tabella139[],2,0)</f>
        <v>G47) Commercio dettaglio; I56) Bar e ristoranti</v>
      </c>
      <c r="E865" s="53">
        <f t="shared" si="91"/>
        <v>1.4999999999999999E-2</v>
      </c>
      <c r="F865" s="53">
        <f t="shared" si="92"/>
        <v>4.2000000000000003E-2</v>
      </c>
      <c r="G865" s="53">
        <f t="shared" si="93"/>
        <v>0.89800000000000002</v>
      </c>
      <c r="H865" s="53">
        <f t="shared" si="94"/>
        <v>0.01</v>
      </c>
      <c r="I865" s="53">
        <f t="shared" si="95"/>
        <v>7.8E-2</v>
      </c>
      <c r="L865" t="s">
        <v>2048</v>
      </c>
      <c r="M865" t="str">
        <f t="shared" si="97"/>
        <v>Altre attività dei servizi connessi al trasporto marittimo e per vie d'acqua</v>
      </c>
      <c r="N865" t="str">
        <f t="shared" si="96"/>
        <v>H) Trasporto e magazzinaggio; I55) Hotel</v>
      </c>
    </row>
    <row r="866" spans="1:14" ht="51">
      <c r="A866" s="58" t="s">
        <v>1941</v>
      </c>
      <c r="B866" s="59" t="s">
        <v>1942</v>
      </c>
      <c r="C866">
        <v>7</v>
      </c>
      <c r="D866" t="str">
        <f>+VLOOKUP(AtecoCrisi[[#This Row],[COD. CRISI]],Tabella139[],2,0)</f>
        <v>G47) Commercio dettaglio; I56) Bar e ristoranti</v>
      </c>
      <c r="E866" s="53">
        <f t="shared" si="91"/>
        <v>1.4999999999999999E-2</v>
      </c>
      <c r="F866" s="53">
        <f t="shared" si="92"/>
        <v>4.2000000000000003E-2</v>
      </c>
      <c r="G866" s="53">
        <f t="shared" si="93"/>
        <v>0.89800000000000002</v>
      </c>
      <c r="H866" s="53">
        <f t="shared" si="94"/>
        <v>0.01</v>
      </c>
      <c r="I866" s="53">
        <f t="shared" si="95"/>
        <v>7.8E-2</v>
      </c>
      <c r="L866" t="s">
        <v>2050</v>
      </c>
      <c r="M866" t="str">
        <f t="shared" si="97"/>
        <v>Attività dei servizi connessi al trasporto aereo</v>
      </c>
      <c r="N866" t="str">
        <f t="shared" si="96"/>
        <v>H) Trasporto e magazzinaggio; I55) Hotel</v>
      </c>
    </row>
    <row r="867" spans="1:14" ht="51">
      <c r="A867" s="58" t="s">
        <v>1943</v>
      </c>
      <c r="B867" s="59" t="s">
        <v>1944</v>
      </c>
      <c r="C867">
        <v>7</v>
      </c>
      <c r="D867" t="str">
        <f>+VLOOKUP(AtecoCrisi[[#This Row],[COD. CRISI]],Tabella139[],2,0)</f>
        <v>G47) Commercio dettaglio; I56) Bar e ristoranti</v>
      </c>
      <c r="E867" s="53">
        <f t="shared" si="91"/>
        <v>1.4999999999999999E-2</v>
      </c>
      <c r="F867" s="53">
        <f t="shared" si="92"/>
        <v>4.2000000000000003E-2</v>
      </c>
      <c r="G867" s="53">
        <f t="shared" si="93"/>
        <v>0.89800000000000002</v>
      </c>
      <c r="H867" s="53">
        <f t="shared" si="94"/>
        <v>0.01</v>
      </c>
      <c r="I867" s="53">
        <f t="shared" si="95"/>
        <v>7.8E-2</v>
      </c>
      <c r="L867" t="s">
        <v>2052</v>
      </c>
      <c r="M867" t="str">
        <f t="shared" si="97"/>
        <v>Movimento merci relativo a trasporti aerei</v>
      </c>
      <c r="N867" t="str">
        <f t="shared" si="96"/>
        <v>H) Trasporto e magazzinaggio; I55) Hotel</v>
      </c>
    </row>
    <row r="868" spans="1:14" ht="38.25">
      <c r="A868" s="58" t="s">
        <v>1945</v>
      </c>
      <c r="B868" s="59" t="s">
        <v>1946</v>
      </c>
      <c r="C868">
        <v>7</v>
      </c>
      <c r="D868" t="str">
        <f>+VLOOKUP(AtecoCrisi[[#This Row],[COD. CRISI]],Tabella139[],2,0)</f>
        <v>G47) Commercio dettaglio; I56) Bar e ristoranti</v>
      </c>
      <c r="E868" s="53">
        <f t="shared" si="91"/>
        <v>1.4999999999999999E-2</v>
      </c>
      <c r="F868" s="53">
        <f t="shared" si="92"/>
        <v>4.2000000000000003E-2</v>
      </c>
      <c r="G868" s="53">
        <f t="shared" si="93"/>
        <v>0.89800000000000002</v>
      </c>
      <c r="H868" s="53">
        <f t="shared" si="94"/>
        <v>0.01</v>
      </c>
      <c r="I868" s="53">
        <f t="shared" si="95"/>
        <v>7.8E-2</v>
      </c>
      <c r="L868" t="s">
        <v>2054</v>
      </c>
      <c r="M868" t="str">
        <f t="shared" si="97"/>
        <v>Movimento merci relativo a trasporti marittimi e fluviali</v>
      </c>
      <c r="N868" t="str">
        <f t="shared" si="96"/>
        <v>H) Trasporto e magazzinaggio; I55) Hotel</v>
      </c>
    </row>
    <row r="869" spans="1:14" ht="63.75">
      <c r="A869" s="58" t="s">
        <v>1947</v>
      </c>
      <c r="B869" s="59" t="s">
        <v>1948</v>
      </c>
      <c r="C869">
        <v>7</v>
      </c>
      <c r="D869" t="str">
        <f>+VLOOKUP(AtecoCrisi[[#This Row],[COD. CRISI]],Tabella139[],2,0)</f>
        <v>G47) Commercio dettaglio; I56) Bar e ristoranti</v>
      </c>
      <c r="E869" s="53">
        <f t="shared" si="91"/>
        <v>1.4999999999999999E-2</v>
      </c>
      <c r="F869" s="53">
        <f t="shared" si="92"/>
        <v>4.2000000000000003E-2</v>
      </c>
      <c r="G869" s="53">
        <f t="shared" si="93"/>
        <v>0.89800000000000002</v>
      </c>
      <c r="H869" s="53">
        <f t="shared" si="94"/>
        <v>0.01</v>
      </c>
      <c r="I869" s="53">
        <f t="shared" si="95"/>
        <v>7.8E-2</v>
      </c>
      <c r="L869" t="s">
        <v>2056</v>
      </c>
      <c r="M869" t="str">
        <f t="shared" si="97"/>
        <v>Movimento merci relativo a trasporti ferroviari</v>
      </c>
      <c r="N869" t="str">
        <f t="shared" si="96"/>
        <v>H) Trasporto e magazzinaggio; I55) Hotel</v>
      </c>
    </row>
    <row r="870" spans="1:14" ht="51">
      <c r="A870" s="58" t="s">
        <v>1949</v>
      </c>
      <c r="B870" s="59" t="s">
        <v>1950</v>
      </c>
      <c r="C870">
        <v>7</v>
      </c>
      <c r="D870" t="str">
        <f>+VLOOKUP(AtecoCrisi[[#This Row],[COD. CRISI]],Tabella139[],2,0)</f>
        <v>G47) Commercio dettaglio; I56) Bar e ristoranti</v>
      </c>
      <c r="E870" s="53">
        <f t="shared" si="91"/>
        <v>1.4999999999999999E-2</v>
      </c>
      <c r="F870" s="53">
        <f t="shared" si="92"/>
        <v>4.2000000000000003E-2</v>
      </c>
      <c r="G870" s="53">
        <f t="shared" si="93"/>
        <v>0.89800000000000002</v>
      </c>
      <c r="H870" s="53">
        <f t="shared" si="94"/>
        <v>0.01</v>
      </c>
      <c r="I870" s="53">
        <f t="shared" si="95"/>
        <v>7.8E-2</v>
      </c>
      <c r="L870" t="s">
        <v>2058</v>
      </c>
      <c r="M870" t="str">
        <f t="shared" si="97"/>
        <v>Movimento merci relativo ad altri trasporti terrestri</v>
      </c>
      <c r="N870" t="str">
        <f t="shared" si="96"/>
        <v>H) Trasporto e magazzinaggio; I55) Hotel</v>
      </c>
    </row>
    <row r="871" spans="1:14" ht="38.25">
      <c r="A871" s="58" t="s">
        <v>1951</v>
      </c>
      <c r="B871" s="59" t="s">
        <v>1952</v>
      </c>
      <c r="C871">
        <v>7</v>
      </c>
      <c r="D871" t="str">
        <f>+VLOOKUP(AtecoCrisi[[#This Row],[COD. CRISI]],Tabella139[],2,0)</f>
        <v>G47) Commercio dettaglio; I56) Bar e ristoranti</v>
      </c>
      <c r="E871" s="53">
        <f t="shared" si="91"/>
        <v>1.4999999999999999E-2</v>
      </c>
      <c r="F871" s="53">
        <f t="shared" si="92"/>
        <v>4.2000000000000003E-2</v>
      </c>
      <c r="G871" s="53">
        <f t="shared" si="93"/>
        <v>0.89800000000000002</v>
      </c>
      <c r="H871" s="53">
        <f t="shared" si="94"/>
        <v>0.01</v>
      </c>
      <c r="I871" s="53">
        <f t="shared" si="95"/>
        <v>7.8E-2</v>
      </c>
      <c r="L871" t="s">
        <v>2060</v>
      </c>
      <c r="M871" t="str">
        <f t="shared" si="97"/>
        <v>Spedizionieri e agenzie di operazioni doganali</v>
      </c>
      <c r="N871" t="str">
        <f t="shared" si="96"/>
        <v>H) Trasporto e magazzinaggio; I55) Hotel</v>
      </c>
    </row>
    <row r="872" spans="1:14" ht="63.75">
      <c r="A872" s="58" t="s">
        <v>1953</v>
      </c>
      <c r="B872" s="59" t="s">
        <v>1954</v>
      </c>
      <c r="C872">
        <v>7</v>
      </c>
      <c r="D872" t="str">
        <f>+VLOOKUP(AtecoCrisi[[#This Row],[COD. CRISI]],Tabella139[],2,0)</f>
        <v>G47) Commercio dettaglio; I56) Bar e ristoranti</v>
      </c>
      <c r="E872" s="53">
        <f t="shared" si="91"/>
        <v>1.4999999999999999E-2</v>
      </c>
      <c r="F872" s="53">
        <f t="shared" si="92"/>
        <v>4.2000000000000003E-2</v>
      </c>
      <c r="G872" s="53">
        <f t="shared" si="93"/>
        <v>0.89800000000000002</v>
      </c>
      <c r="H872" s="53">
        <f t="shared" si="94"/>
        <v>0.01</v>
      </c>
      <c r="I872" s="53">
        <f t="shared" si="95"/>
        <v>7.8E-2</v>
      </c>
      <c r="L872" t="s">
        <v>2062</v>
      </c>
      <c r="M872" t="str">
        <f t="shared" si="97"/>
        <v>Intermediari dei trasporti</v>
      </c>
      <c r="N872" t="str">
        <f t="shared" si="96"/>
        <v>H) Trasporto e magazzinaggio; I55) Hotel</v>
      </c>
    </row>
    <row r="873" spans="1:14" ht="89.25">
      <c r="A873" s="58" t="s">
        <v>1955</v>
      </c>
      <c r="B873" s="59" t="s">
        <v>1956</v>
      </c>
      <c r="C873">
        <v>7</v>
      </c>
      <c r="D873" t="str">
        <f>+VLOOKUP(AtecoCrisi[[#This Row],[COD. CRISI]],Tabella139[],2,0)</f>
        <v>G47) Commercio dettaglio; I56) Bar e ristoranti</v>
      </c>
      <c r="E873" s="53">
        <f t="shared" si="91"/>
        <v>1.4999999999999999E-2</v>
      </c>
      <c r="F873" s="53">
        <f t="shared" si="92"/>
        <v>4.2000000000000003E-2</v>
      </c>
      <c r="G873" s="53">
        <f t="shared" si="93"/>
        <v>0.89800000000000002</v>
      </c>
      <c r="H873" s="53">
        <f t="shared" si="94"/>
        <v>0.01</v>
      </c>
      <c r="I873" s="53">
        <f t="shared" si="95"/>
        <v>7.8E-2</v>
      </c>
      <c r="L873" t="s">
        <v>2064</v>
      </c>
      <c r="M873" t="str">
        <f t="shared" si="97"/>
        <v>Servizi logistici relativi alla distribuzione delle merci</v>
      </c>
      <c r="N873" t="str">
        <f t="shared" si="96"/>
        <v>H) Trasporto e magazzinaggio; I55) Hotel</v>
      </c>
    </row>
    <row r="874" spans="1:14" ht="63.75">
      <c r="A874" s="58" t="s">
        <v>1957</v>
      </c>
      <c r="B874" s="59" t="s">
        <v>1958</v>
      </c>
      <c r="C874">
        <v>7</v>
      </c>
      <c r="D874" t="str">
        <f>+VLOOKUP(AtecoCrisi[[#This Row],[COD. CRISI]],Tabella139[],2,0)</f>
        <v>G47) Commercio dettaglio; I56) Bar e ristoranti</v>
      </c>
      <c r="E874" s="53">
        <f t="shared" si="91"/>
        <v>1.4999999999999999E-2</v>
      </c>
      <c r="F874" s="53">
        <f t="shared" si="92"/>
        <v>4.2000000000000003E-2</v>
      </c>
      <c r="G874" s="53">
        <f t="shared" si="93"/>
        <v>0.89800000000000002</v>
      </c>
      <c r="H874" s="53">
        <f t="shared" si="94"/>
        <v>0.01</v>
      </c>
      <c r="I874" s="53">
        <f t="shared" si="95"/>
        <v>7.8E-2</v>
      </c>
      <c r="L874" t="s">
        <v>2068</v>
      </c>
      <c r="M874" t="str">
        <f t="shared" si="97"/>
        <v>Attività postali con obbligo di servizio universale</v>
      </c>
      <c r="N874" t="str">
        <f t="shared" si="96"/>
        <v>H) Trasporto e magazzinaggio; I55) Hotel</v>
      </c>
    </row>
    <row r="875" spans="1:14" ht="63.75">
      <c r="A875" s="58" t="s">
        <v>1959</v>
      </c>
      <c r="B875" s="59" t="s">
        <v>1960</v>
      </c>
      <c r="C875">
        <v>7</v>
      </c>
      <c r="D875" t="str">
        <f>+VLOOKUP(AtecoCrisi[[#This Row],[COD. CRISI]],Tabella139[],2,0)</f>
        <v>G47) Commercio dettaglio; I56) Bar e ristoranti</v>
      </c>
      <c r="E875" s="53">
        <f t="shared" si="91"/>
        <v>1.4999999999999999E-2</v>
      </c>
      <c r="F875" s="53">
        <f t="shared" si="92"/>
        <v>4.2000000000000003E-2</v>
      </c>
      <c r="G875" s="53">
        <f t="shared" si="93"/>
        <v>0.89800000000000002</v>
      </c>
      <c r="H875" s="53">
        <f t="shared" si="94"/>
        <v>0.01</v>
      </c>
      <c r="I875" s="53">
        <f t="shared" si="95"/>
        <v>7.8E-2</v>
      </c>
      <c r="L875" t="s">
        <v>2070</v>
      </c>
      <c r="M875" t="str">
        <f t="shared" si="97"/>
        <v>Altre attività postali e di corriere senza obbligo di servizio universale</v>
      </c>
      <c r="N875" t="str">
        <f t="shared" si="96"/>
        <v>H) Trasporto e magazzinaggio; I55) Hotel</v>
      </c>
    </row>
    <row r="876" spans="1:14" ht="114.75">
      <c r="A876" s="58" t="s">
        <v>1961</v>
      </c>
      <c r="B876" s="59" t="s">
        <v>1962</v>
      </c>
      <c r="C876">
        <v>7</v>
      </c>
      <c r="D876" t="str">
        <f>+VLOOKUP(AtecoCrisi[[#This Row],[COD. CRISI]],Tabella139[],2,0)</f>
        <v>G47) Commercio dettaglio; I56) Bar e ristoranti</v>
      </c>
      <c r="E876" s="53">
        <f t="shared" si="91"/>
        <v>1.4999999999999999E-2</v>
      </c>
      <c r="F876" s="53">
        <f t="shared" si="92"/>
        <v>4.2000000000000003E-2</v>
      </c>
      <c r="G876" s="53">
        <f t="shared" si="93"/>
        <v>0.89800000000000002</v>
      </c>
      <c r="H876" s="53">
        <f t="shared" si="94"/>
        <v>0.01</v>
      </c>
      <c r="I876" s="53">
        <f t="shared" si="95"/>
        <v>7.8E-2</v>
      </c>
      <c r="L876" t="s">
        <v>2075</v>
      </c>
      <c r="M876" t="str">
        <f t="shared" si="97"/>
        <v>Alberghi</v>
      </c>
      <c r="N876" t="str">
        <f t="shared" si="96"/>
        <v>H) Trasporto e magazzinaggio; I55) Hotel</v>
      </c>
    </row>
    <row r="877" spans="1:14" ht="102">
      <c r="A877" s="58" t="s">
        <v>1963</v>
      </c>
      <c r="B877" s="59" t="s">
        <v>1964</v>
      </c>
      <c r="C877">
        <v>7</v>
      </c>
      <c r="D877" t="str">
        <f>+VLOOKUP(AtecoCrisi[[#This Row],[COD. CRISI]],Tabella139[],2,0)</f>
        <v>G47) Commercio dettaglio; I56) Bar e ristoranti</v>
      </c>
      <c r="E877" s="53">
        <f t="shared" si="91"/>
        <v>1.4999999999999999E-2</v>
      </c>
      <c r="F877" s="53">
        <f t="shared" si="92"/>
        <v>4.2000000000000003E-2</v>
      </c>
      <c r="G877" s="53">
        <f t="shared" si="93"/>
        <v>0.89800000000000002</v>
      </c>
      <c r="H877" s="53">
        <f t="shared" si="94"/>
        <v>0.01</v>
      </c>
      <c r="I877" s="53">
        <f t="shared" si="95"/>
        <v>7.8E-2</v>
      </c>
      <c r="L877" t="s">
        <v>2077</v>
      </c>
      <c r="M877" t="str">
        <f t="shared" si="97"/>
        <v>Villaggi turistici</v>
      </c>
      <c r="N877" t="str">
        <f t="shared" si="96"/>
        <v>H) Trasporto e magazzinaggio; I55) Hotel</v>
      </c>
    </row>
    <row r="878" spans="1:14" ht="63.75">
      <c r="A878" s="58" t="s">
        <v>1965</v>
      </c>
      <c r="B878" s="59" t="s">
        <v>1966</v>
      </c>
      <c r="C878">
        <v>7</v>
      </c>
      <c r="D878" t="str">
        <f>+VLOOKUP(AtecoCrisi[[#This Row],[COD. CRISI]],Tabella139[],2,0)</f>
        <v>G47) Commercio dettaglio; I56) Bar e ristoranti</v>
      </c>
      <c r="E878" s="53">
        <f t="shared" si="91"/>
        <v>1.4999999999999999E-2</v>
      </c>
      <c r="F878" s="53">
        <f t="shared" si="92"/>
        <v>4.2000000000000003E-2</v>
      </c>
      <c r="G878" s="53">
        <f t="shared" si="93"/>
        <v>0.89800000000000002</v>
      </c>
      <c r="H878" s="53">
        <f t="shared" si="94"/>
        <v>0.01</v>
      </c>
      <c r="I878" s="53">
        <f t="shared" si="95"/>
        <v>7.8E-2</v>
      </c>
      <c r="L878" t="s">
        <v>2079</v>
      </c>
      <c r="M878" t="str">
        <f t="shared" si="97"/>
        <v>Ostelli della gioventù</v>
      </c>
      <c r="N878" t="str">
        <f t="shared" si="96"/>
        <v>H) Trasporto e magazzinaggio; I55) Hotel</v>
      </c>
    </row>
    <row r="879" spans="1:14" ht="114.75">
      <c r="A879" s="58" t="s">
        <v>1967</v>
      </c>
      <c r="B879" s="59" t="s">
        <v>1968</v>
      </c>
      <c r="C879">
        <v>7</v>
      </c>
      <c r="D879" t="str">
        <f>+VLOOKUP(AtecoCrisi[[#This Row],[COD. CRISI]],Tabella139[],2,0)</f>
        <v>G47) Commercio dettaglio; I56) Bar e ristoranti</v>
      </c>
      <c r="E879" s="53">
        <f t="shared" si="91"/>
        <v>1.4999999999999999E-2</v>
      </c>
      <c r="F879" s="53">
        <f t="shared" si="92"/>
        <v>4.2000000000000003E-2</v>
      </c>
      <c r="G879" s="53">
        <f t="shared" si="93"/>
        <v>0.89800000000000002</v>
      </c>
      <c r="H879" s="53">
        <f t="shared" si="94"/>
        <v>0.01</v>
      </c>
      <c r="I879" s="53">
        <f t="shared" si="95"/>
        <v>7.8E-2</v>
      </c>
      <c r="L879" t="s">
        <v>2081</v>
      </c>
      <c r="M879" t="str">
        <f t="shared" si="97"/>
        <v>Rifugi di montagna</v>
      </c>
      <c r="N879" t="str">
        <f t="shared" si="96"/>
        <v>H) Trasporto e magazzinaggio; I55) Hotel</v>
      </c>
    </row>
    <row r="880" spans="1:14" ht="51">
      <c r="A880" s="58" t="s">
        <v>1969</v>
      </c>
      <c r="B880" s="59" t="s">
        <v>1970</v>
      </c>
      <c r="C880">
        <v>7</v>
      </c>
      <c r="D880" t="str">
        <f>+VLOOKUP(AtecoCrisi[[#This Row],[COD. CRISI]],Tabella139[],2,0)</f>
        <v>G47) Commercio dettaglio; I56) Bar e ristoranti</v>
      </c>
      <c r="E880" s="53">
        <f t="shared" si="91"/>
        <v>1.4999999999999999E-2</v>
      </c>
      <c r="F880" s="53">
        <f t="shared" si="92"/>
        <v>4.2000000000000003E-2</v>
      </c>
      <c r="G880" s="53">
        <f t="shared" si="93"/>
        <v>0.89800000000000002</v>
      </c>
      <c r="H880" s="53">
        <f t="shared" si="94"/>
        <v>0.01</v>
      </c>
      <c r="I880" s="53">
        <f t="shared" si="95"/>
        <v>7.8E-2</v>
      </c>
      <c r="L880" t="s">
        <v>2083</v>
      </c>
      <c r="M880" t="str">
        <f t="shared" si="97"/>
        <v>Colonie marine e montane</v>
      </c>
      <c r="N880" t="str">
        <f t="shared" si="96"/>
        <v>H) Trasporto e magazzinaggio; I55) Hotel</v>
      </c>
    </row>
    <row r="881" spans="1:14" ht="63.75">
      <c r="A881" s="58" t="s">
        <v>1971</v>
      </c>
      <c r="B881" s="59" t="s">
        <v>1972</v>
      </c>
      <c r="C881">
        <v>7</v>
      </c>
      <c r="D881" t="str">
        <f>+VLOOKUP(AtecoCrisi[[#This Row],[COD. CRISI]],Tabella139[],2,0)</f>
        <v>G47) Commercio dettaglio; I56) Bar e ristoranti</v>
      </c>
      <c r="E881" s="53">
        <f t="shared" si="91"/>
        <v>1.4999999999999999E-2</v>
      </c>
      <c r="F881" s="53">
        <f t="shared" si="92"/>
        <v>4.2000000000000003E-2</v>
      </c>
      <c r="G881" s="53">
        <f t="shared" si="93"/>
        <v>0.89800000000000002</v>
      </c>
      <c r="H881" s="53">
        <f t="shared" si="94"/>
        <v>0.01</v>
      </c>
      <c r="I881" s="53">
        <f t="shared" si="95"/>
        <v>7.8E-2</v>
      </c>
      <c r="L881" t="s">
        <v>2085</v>
      </c>
      <c r="M881" t="str">
        <f t="shared" si="97"/>
        <v>Affittacamere per brevi soggiorni, case ed appartamenti per vacanze, bed and breakfast, residence</v>
      </c>
      <c r="N881" t="str">
        <f t="shared" si="96"/>
        <v>H) Trasporto e magazzinaggio; I55) Hotel</v>
      </c>
    </row>
    <row r="882" spans="1:14" ht="63.75">
      <c r="A882" s="58" t="s">
        <v>1973</v>
      </c>
      <c r="B882" s="59" t="s">
        <v>1974</v>
      </c>
      <c r="C882">
        <v>7</v>
      </c>
      <c r="D882" t="str">
        <f>+VLOOKUP(AtecoCrisi[[#This Row],[COD. CRISI]],Tabella139[],2,0)</f>
        <v>G47) Commercio dettaglio; I56) Bar e ristoranti</v>
      </c>
      <c r="E882" s="53">
        <f t="shared" si="91"/>
        <v>1.4999999999999999E-2</v>
      </c>
      <c r="F882" s="53">
        <f t="shared" si="92"/>
        <v>4.2000000000000003E-2</v>
      </c>
      <c r="G882" s="53">
        <f t="shared" si="93"/>
        <v>0.89800000000000002</v>
      </c>
      <c r="H882" s="53">
        <f t="shared" si="94"/>
        <v>0.01</v>
      </c>
      <c r="I882" s="53">
        <f t="shared" si="95"/>
        <v>7.8E-2</v>
      </c>
      <c r="L882" t="s">
        <v>2087</v>
      </c>
      <c r="M882" t="str">
        <f t="shared" si="97"/>
        <v>Attività di alloggio connesse alle aziende agricole</v>
      </c>
      <c r="N882" t="str">
        <f t="shared" si="96"/>
        <v>H) Trasporto e magazzinaggio; I55) Hotel</v>
      </c>
    </row>
    <row r="883" spans="1:14" ht="76.5">
      <c r="A883" s="58" t="s">
        <v>1975</v>
      </c>
      <c r="B883" s="59" t="s">
        <v>1976</v>
      </c>
      <c r="C883">
        <v>7</v>
      </c>
      <c r="D883" t="str">
        <f>+VLOOKUP(AtecoCrisi[[#This Row],[COD. CRISI]],Tabella139[],2,0)</f>
        <v>G47) Commercio dettaglio; I56) Bar e ristoranti</v>
      </c>
      <c r="E883" s="53">
        <f t="shared" si="91"/>
        <v>1.4999999999999999E-2</v>
      </c>
      <c r="F883" s="53">
        <f t="shared" si="92"/>
        <v>4.2000000000000003E-2</v>
      </c>
      <c r="G883" s="53">
        <f t="shared" si="93"/>
        <v>0.89800000000000002</v>
      </c>
      <c r="H883" s="53">
        <f t="shared" si="94"/>
        <v>0.01</v>
      </c>
      <c r="I883" s="53">
        <f t="shared" si="95"/>
        <v>7.8E-2</v>
      </c>
      <c r="L883" t="s">
        <v>2089</v>
      </c>
      <c r="M883" t="str">
        <f t="shared" si="97"/>
        <v>Aree di campeggio e aree attrezzate per camper e roulotte</v>
      </c>
      <c r="N883" t="str">
        <f t="shared" si="96"/>
        <v>H) Trasporto e magazzinaggio; I55) Hotel</v>
      </c>
    </row>
    <row r="884" spans="1:14" ht="102">
      <c r="A884" s="58" t="s">
        <v>1977</v>
      </c>
      <c r="B884" s="59" t="s">
        <v>1978</v>
      </c>
      <c r="C884">
        <v>7</v>
      </c>
      <c r="D884" t="str">
        <f>+VLOOKUP(AtecoCrisi[[#This Row],[COD. CRISI]],Tabella139[],2,0)</f>
        <v>G47) Commercio dettaglio; I56) Bar e ristoranti</v>
      </c>
      <c r="E884" s="53">
        <f t="shared" si="91"/>
        <v>1.4999999999999999E-2</v>
      </c>
      <c r="F884" s="53">
        <f t="shared" si="92"/>
        <v>4.2000000000000003E-2</v>
      </c>
      <c r="G884" s="53">
        <f t="shared" si="93"/>
        <v>0.89800000000000002</v>
      </c>
      <c r="H884" s="53">
        <f t="shared" si="94"/>
        <v>0.01</v>
      </c>
      <c r="I884" s="53">
        <f t="shared" si="95"/>
        <v>7.8E-2</v>
      </c>
      <c r="L884" t="s">
        <v>2091</v>
      </c>
      <c r="M884" t="str">
        <f t="shared" si="97"/>
        <v>Gestione di vagoni letto</v>
      </c>
      <c r="N884" t="str">
        <f t="shared" si="96"/>
        <v>H) Trasporto e magazzinaggio; I55) Hotel</v>
      </c>
    </row>
    <row r="885" spans="1:14" ht="63.75">
      <c r="A885" s="58" t="s">
        <v>1979</v>
      </c>
      <c r="B885" s="59" t="s">
        <v>1980</v>
      </c>
      <c r="C885">
        <v>7</v>
      </c>
      <c r="D885" t="str">
        <f>+VLOOKUP(AtecoCrisi[[#This Row],[COD. CRISI]],Tabella139[],2,0)</f>
        <v>G47) Commercio dettaglio; I56) Bar e ristoranti</v>
      </c>
      <c r="E885" s="53">
        <f t="shared" si="91"/>
        <v>1.4999999999999999E-2</v>
      </c>
      <c r="F885" s="53">
        <f t="shared" si="92"/>
        <v>4.2000000000000003E-2</v>
      </c>
      <c r="G885" s="53">
        <f t="shared" si="93"/>
        <v>0.89800000000000002</v>
      </c>
      <c r="H885" s="53">
        <f t="shared" si="94"/>
        <v>0.01</v>
      </c>
      <c r="I885" s="53">
        <f t="shared" si="95"/>
        <v>7.8E-2</v>
      </c>
      <c r="L885" t="s">
        <v>2093</v>
      </c>
      <c r="M885" t="str">
        <f t="shared" si="97"/>
        <v>Alloggi per studenti e lavoratori con servizi accessori di tipo alberghiero</v>
      </c>
      <c r="N885" t="str">
        <f t="shared" si="96"/>
        <v>H) Trasporto e magazzinaggio; I55) Hotel</v>
      </c>
    </row>
    <row r="886" spans="1:14" ht="63">
      <c r="A886" s="51" t="s">
        <v>11</v>
      </c>
      <c r="B886" s="52" t="s">
        <v>1981</v>
      </c>
      <c r="C886">
        <v>8</v>
      </c>
      <c r="D886" t="str">
        <f>+VLOOKUP(AtecoCrisi[[#This Row],[COD. CRISI]],Tabella139[],2,0)</f>
        <v>H) Trasporto e magazzinaggio; I55) Hotel</v>
      </c>
      <c r="E886" s="53">
        <f t="shared" si="91"/>
        <v>1.4999999999999999E-2</v>
      </c>
      <c r="F886" s="53">
        <f t="shared" si="92"/>
        <v>4.1000000000000002E-2</v>
      </c>
      <c r="G886" s="53">
        <f t="shared" si="93"/>
        <v>0.86</v>
      </c>
      <c r="H886" s="53">
        <f t="shared" si="94"/>
        <v>1.4E-2</v>
      </c>
      <c r="I886" s="53">
        <f t="shared" si="95"/>
        <v>0.10199999999999999</v>
      </c>
      <c r="L886" t="s">
        <v>2097</v>
      </c>
      <c r="M886" t="str">
        <f t="shared" si="97"/>
        <v>Ristorazione con somministrazione</v>
      </c>
      <c r="N886" t="str">
        <f t="shared" si="96"/>
        <v>G47) Commercio dettaglio; I56) Bar e ristoranti</v>
      </c>
    </row>
    <row r="887" spans="1:14" ht="63.75">
      <c r="A887" s="56" t="s">
        <v>1982</v>
      </c>
      <c r="B887" s="57" t="s">
        <v>1983</v>
      </c>
      <c r="C887">
        <v>8</v>
      </c>
      <c r="D887" t="str">
        <f>+VLOOKUP(AtecoCrisi[[#This Row],[COD. CRISI]],Tabella139[],2,0)</f>
        <v>H) Trasporto e magazzinaggio; I55) Hotel</v>
      </c>
      <c r="E887" s="53">
        <f t="shared" si="91"/>
        <v>1.4999999999999999E-2</v>
      </c>
      <c r="F887" s="53">
        <f t="shared" si="92"/>
        <v>4.1000000000000002E-2</v>
      </c>
      <c r="G887" s="53">
        <f t="shared" si="93"/>
        <v>0.86</v>
      </c>
      <c r="H887" s="53">
        <f t="shared" si="94"/>
        <v>1.4E-2</v>
      </c>
      <c r="I887" s="53">
        <f t="shared" si="95"/>
        <v>0.10199999999999999</v>
      </c>
      <c r="L887" t="s">
        <v>2099</v>
      </c>
      <c r="M887" t="str">
        <f t="shared" si="97"/>
        <v>Attività di ristorazione connesse alle aziende agricole</v>
      </c>
      <c r="N887" t="str">
        <f t="shared" si="96"/>
        <v>G47) Commercio dettaglio; I56) Bar e ristoranti</v>
      </c>
    </row>
    <row r="888" spans="1:14" ht="51">
      <c r="A888" s="58" t="s">
        <v>1984</v>
      </c>
      <c r="B888" s="59" t="s">
        <v>1985</v>
      </c>
      <c r="C888">
        <v>8</v>
      </c>
      <c r="D888" t="str">
        <f>+VLOOKUP(AtecoCrisi[[#This Row],[COD. CRISI]],Tabella139[],2,0)</f>
        <v>H) Trasporto e magazzinaggio; I55) Hotel</v>
      </c>
      <c r="E888" s="53">
        <f t="shared" si="91"/>
        <v>1.4999999999999999E-2</v>
      </c>
      <c r="F888" s="53">
        <f t="shared" si="92"/>
        <v>4.1000000000000002E-2</v>
      </c>
      <c r="G888" s="53">
        <f t="shared" si="93"/>
        <v>0.86</v>
      </c>
      <c r="H888" s="53">
        <f t="shared" si="94"/>
        <v>1.4E-2</v>
      </c>
      <c r="I888" s="53">
        <f t="shared" si="95"/>
        <v>0.10199999999999999</v>
      </c>
      <c r="L888" t="s">
        <v>2101</v>
      </c>
      <c r="M888" t="str">
        <f t="shared" si="97"/>
        <v>Ristorazione senza somministrazione con preparazione di cibi da asporto</v>
      </c>
      <c r="N888" t="str">
        <f t="shared" si="96"/>
        <v>G47) Commercio dettaglio; I56) Bar e ristoranti</v>
      </c>
    </row>
    <row r="889" spans="1:14" ht="25.5">
      <c r="A889" s="58" t="s">
        <v>1986</v>
      </c>
      <c r="B889" s="59" t="s">
        <v>1987</v>
      </c>
      <c r="C889">
        <v>8</v>
      </c>
      <c r="D889" t="str">
        <f>+VLOOKUP(AtecoCrisi[[#This Row],[COD. CRISI]],Tabella139[],2,0)</f>
        <v>H) Trasporto e magazzinaggio; I55) Hotel</v>
      </c>
      <c r="E889" s="53">
        <f t="shared" si="91"/>
        <v>1.4999999999999999E-2</v>
      </c>
      <c r="F889" s="53">
        <f t="shared" si="92"/>
        <v>4.1000000000000002E-2</v>
      </c>
      <c r="G889" s="53">
        <f t="shared" si="93"/>
        <v>0.86</v>
      </c>
      <c r="H889" s="53">
        <f t="shared" si="94"/>
        <v>1.4E-2</v>
      </c>
      <c r="I889" s="53">
        <f t="shared" si="95"/>
        <v>0.10199999999999999</v>
      </c>
      <c r="L889" t="s">
        <v>2103</v>
      </c>
      <c r="M889" t="str">
        <f t="shared" si="97"/>
        <v>Gelaterie e pasticcerie</v>
      </c>
      <c r="N889" t="str">
        <f t="shared" si="96"/>
        <v>G47) Commercio dettaglio; I56) Bar e ristoranti</v>
      </c>
    </row>
    <row r="890" spans="1:14" ht="51">
      <c r="A890" s="58" t="s">
        <v>1988</v>
      </c>
      <c r="B890" s="59" t="s">
        <v>1989</v>
      </c>
      <c r="C890">
        <v>8</v>
      </c>
      <c r="D890" t="str">
        <f>+VLOOKUP(AtecoCrisi[[#This Row],[COD. CRISI]],Tabella139[],2,0)</f>
        <v>H) Trasporto e magazzinaggio; I55) Hotel</v>
      </c>
      <c r="E890" s="53">
        <f t="shared" si="91"/>
        <v>1.4999999999999999E-2</v>
      </c>
      <c r="F890" s="53">
        <f t="shared" si="92"/>
        <v>4.1000000000000002E-2</v>
      </c>
      <c r="G890" s="53">
        <f t="shared" si="93"/>
        <v>0.86</v>
      </c>
      <c r="H890" s="53">
        <f t="shared" si="94"/>
        <v>1.4E-2</v>
      </c>
      <c r="I890" s="53">
        <f t="shared" si="95"/>
        <v>0.10199999999999999</v>
      </c>
      <c r="L890" t="s">
        <v>2105</v>
      </c>
      <c r="M890" t="str">
        <f t="shared" si="97"/>
        <v>Gelaterie e pasticcerie ambulanti</v>
      </c>
      <c r="N890" t="str">
        <f t="shared" si="96"/>
        <v>G47) Commercio dettaglio; I56) Bar e ristoranti</v>
      </c>
    </row>
    <row r="891" spans="1:14">
      <c r="A891" s="58" t="s">
        <v>1990</v>
      </c>
      <c r="B891" s="59" t="s">
        <v>1991</v>
      </c>
      <c r="C891">
        <v>8</v>
      </c>
      <c r="D891" t="str">
        <f>+VLOOKUP(AtecoCrisi[[#This Row],[COD. CRISI]],Tabella139[],2,0)</f>
        <v>H) Trasporto e magazzinaggio; I55) Hotel</v>
      </c>
      <c r="E891" s="53">
        <f t="shared" si="91"/>
        <v>1.4999999999999999E-2</v>
      </c>
      <c r="F891" s="53">
        <f t="shared" si="92"/>
        <v>4.1000000000000002E-2</v>
      </c>
      <c r="G891" s="53">
        <f t="shared" si="93"/>
        <v>0.86</v>
      </c>
      <c r="H891" s="53">
        <f t="shared" si="94"/>
        <v>1.4E-2</v>
      </c>
      <c r="I891" s="53">
        <f t="shared" si="95"/>
        <v>0.10199999999999999</v>
      </c>
      <c r="L891" t="s">
        <v>2107</v>
      </c>
      <c r="M891" t="str">
        <f t="shared" si="97"/>
        <v>Ristorazione ambulante</v>
      </c>
      <c r="N891" t="str">
        <f t="shared" si="96"/>
        <v>G47) Commercio dettaglio; I56) Bar e ristoranti</v>
      </c>
    </row>
    <row r="892" spans="1:14" ht="63.75">
      <c r="A892" s="58" t="s">
        <v>1992</v>
      </c>
      <c r="B892" s="59" t="s">
        <v>1993</v>
      </c>
      <c r="C892">
        <v>8</v>
      </c>
      <c r="D892" t="str">
        <f>+VLOOKUP(AtecoCrisi[[#This Row],[COD. CRISI]],Tabella139[],2,0)</f>
        <v>H) Trasporto e magazzinaggio; I55) Hotel</v>
      </c>
      <c r="E892" s="53">
        <f t="shared" si="91"/>
        <v>1.4999999999999999E-2</v>
      </c>
      <c r="F892" s="53">
        <f t="shared" si="92"/>
        <v>4.1000000000000002E-2</v>
      </c>
      <c r="G892" s="53">
        <f t="shared" si="93"/>
        <v>0.86</v>
      </c>
      <c r="H892" s="53">
        <f t="shared" si="94"/>
        <v>1.4E-2</v>
      </c>
      <c r="I892" s="53">
        <f t="shared" si="95"/>
        <v>0.10199999999999999</v>
      </c>
      <c r="L892" t="s">
        <v>2109</v>
      </c>
      <c r="M892" t="str">
        <f t="shared" si="97"/>
        <v>Ristorazione su treni e navi</v>
      </c>
      <c r="N892" t="str">
        <f t="shared" si="96"/>
        <v>G47) Commercio dettaglio; I56) Bar e ristoranti</v>
      </c>
    </row>
    <row r="893" spans="1:14" ht="89.25">
      <c r="A893" s="58" t="s">
        <v>1994</v>
      </c>
      <c r="B893" s="59" t="s">
        <v>1995</v>
      </c>
      <c r="C893">
        <v>8</v>
      </c>
      <c r="D893" t="str">
        <f>+VLOOKUP(AtecoCrisi[[#This Row],[COD. CRISI]],Tabella139[],2,0)</f>
        <v>H) Trasporto e magazzinaggio; I55) Hotel</v>
      </c>
      <c r="E893" s="53">
        <f t="shared" si="91"/>
        <v>1.4999999999999999E-2</v>
      </c>
      <c r="F893" s="53">
        <f t="shared" si="92"/>
        <v>4.1000000000000002E-2</v>
      </c>
      <c r="G893" s="53">
        <f t="shared" si="93"/>
        <v>0.86</v>
      </c>
      <c r="H893" s="53">
        <f t="shared" si="94"/>
        <v>1.4E-2</v>
      </c>
      <c r="I893" s="53">
        <f t="shared" si="95"/>
        <v>0.10199999999999999</v>
      </c>
      <c r="L893" t="s">
        <v>2111</v>
      </c>
      <c r="M893" t="str">
        <f t="shared" si="97"/>
        <v>Catering per eventi, banqueting</v>
      </c>
      <c r="N893" t="str">
        <f t="shared" si="96"/>
        <v>G47) Commercio dettaglio; I56) Bar e ristoranti</v>
      </c>
    </row>
    <row r="894" spans="1:14" ht="38.25">
      <c r="A894" s="58" t="s">
        <v>1996</v>
      </c>
      <c r="B894" s="59" t="s">
        <v>1997</v>
      </c>
      <c r="C894">
        <v>8</v>
      </c>
      <c r="D894" t="str">
        <f>+VLOOKUP(AtecoCrisi[[#This Row],[COD. CRISI]],Tabella139[],2,0)</f>
        <v>H) Trasporto e magazzinaggio; I55) Hotel</v>
      </c>
      <c r="E894" s="53">
        <f t="shared" si="91"/>
        <v>1.4999999999999999E-2</v>
      </c>
      <c r="F894" s="53">
        <f t="shared" si="92"/>
        <v>4.1000000000000002E-2</v>
      </c>
      <c r="G894" s="53">
        <f t="shared" si="93"/>
        <v>0.86</v>
      </c>
      <c r="H894" s="53">
        <f t="shared" si="94"/>
        <v>1.4E-2</v>
      </c>
      <c r="I894" s="53">
        <f t="shared" si="95"/>
        <v>0.10199999999999999</v>
      </c>
      <c r="L894" t="s">
        <v>2113</v>
      </c>
      <c r="M894" t="str">
        <f t="shared" si="97"/>
        <v>Mense</v>
      </c>
      <c r="N894" t="str">
        <f t="shared" si="96"/>
        <v>G47) Commercio dettaglio; I56) Bar e ristoranti</v>
      </c>
    </row>
    <row r="895" spans="1:14" ht="25.5">
      <c r="A895" s="58" t="s">
        <v>1998</v>
      </c>
      <c r="B895" s="59" t="s">
        <v>1999</v>
      </c>
      <c r="C895">
        <v>8</v>
      </c>
      <c r="D895" t="str">
        <f>+VLOOKUP(AtecoCrisi[[#This Row],[COD. CRISI]],Tabella139[],2,0)</f>
        <v>H) Trasporto e magazzinaggio; I55) Hotel</v>
      </c>
      <c r="E895" s="53">
        <f t="shared" si="91"/>
        <v>1.4999999999999999E-2</v>
      </c>
      <c r="F895" s="53">
        <f t="shared" si="92"/>
        <v>4.1000000000000002E-2</v>
      </c>
      <c r="G895" s="53">
        <f t="shared" si="93"/>
        <v>0.86</v>
      </c>
      <c r="H895" s="53">
        <f t="shared" si="94"/>
        <v>1.4E-2</v>
      </c>
      <c r="I895" s="53">
        <f t="shared" si="95"/>
        <v>0.10199999999999999</v>
      </c>
      <c r="L895" t="s">
        <v>2115</v>
      </c>
      <c r="M895" t="str">
        <f t="shared" si="97"/>
        <v>Catering continuativo su base contrattuale</v>
      </c>
      <c r="N895" t="str">
        <f t="shared" si="96"/>
        <v>G47) Commercio dettaglio; I56) Bar e ristoranti</v>
      </c>
    </row>
    <row r="896" spans="1:14">
      <c r="A896" s="58" t="s">
        <v>2000</v>
      </c>
      <c r="B896" s="59" t="s">
        <v>2001</v>
      </c>
      <c r="C896">
        <v>8</v>
      </c>
      <c r="D896" t="str">
        <f>+VLOOKUP(AtecoCrisi[[#This Row],[COD. CRISI]],Tabella139[],2,0)</f>
        <v>H) Trasporto e magazzinaggio; I55) Hotel</v>
      </c>
      <c r="E896" s="53">
        <f t="shared" si="91"/>
        <v>1.4999999999999999E-2</v>
      </c>
      <c r="F896" s="53">
        <f t="shared" si="92"/>
        <v>4.1000000000000002E-2</v>
      </c>
      <c r="G896" s="53">
        <f t="shared" si="93"/>
        <v>0.86</v>
      </c>
      <c r="H896" s="53">
        <f t="shared" si="94"/>
        <v>1.4E-2</v>
      </c>
      <c r="I896" s="53">
        <f t="shared" si="95"/>
        <v>0.10199999999999999</v>
      </c>
      <c r="L896" t="s">
        <v>2117</v>
      </c>
      <c r="M896" t="str">
        <f t="shared" si="97"/>
        <v>Bar e altri esercizi simili senza cucina</v>
      </c>
      <c r="N896" t="str">
        <f t="shared" si="96"/>
        <v>G47) Commercio dettaglio; I56) Bar e ristoranti</v>
      </c>
    </row>
    <row r="897" spans="1:14" ht="38.25">
      <c r="A897" s="58" t="s">
        <v>2002</v>
      </c>
      <c r="B897" s="59" t="s">
        <v>2003</v>
      </c>
      <c r="C897">
        <v>8</v>
      </c>
      <c r="D897" t="str">
        <f>+VLOOKUP(AtecoCrisi[[#This Row],[COD. CRISI]],Tabella139[],2,0)</f>
        <v>H) Trasporto e magazzinaggio; I55) Hotel</v>
      </c>
      <c r="E897" s="53">
        <f t="shared" si="91"/>
        <v>1.4999999999999999E-2</v>
      </c>
      <c r="F897" s="53">
        <f t="shared" si="92"/>
        <v>4.1000000000000002E-2</v>
      </c>
      <c r="G897" s="53">
        <f t="shared" si="93"/>
        <v>0.86</v>
      </c>
      <c r="H897" s="53">
        <f t="shared" si="94"/>
        <v>1.4E-2</v>
      </c>
      <c r="I897" s="53">
        <f t="shared" si="95"/>
        <v>0.10199999999999999</v>
      </c>
      <c r="L897" t="s">
        <v>2123</v>
      </c>
      <c r="M897" t="str">
        <f t="shared" si="97"/>
        <v>Edizione di libri</v>
      </c>
      <c r="N897" t="str">
        <f t="shared" si="96"/>
        <v>JMN) Servizi alle imprese</v>
      </c>
    </row>
    <row r="898" spans="1:14" ht="38.25">
      <c r="A898" s="58" t="s">
        <v>2004</v>
      </c>
      <c r="B898" s="59" t="s">
        <v>2005</v>
      </c>
      <c r="C898">
        <v>8</v>
      </c>
      <c r="D898" t="str">
        <f>+VLOOKUP(AtecoCrisi[[#This Row],[COD. CRISI]],Tabella139[],2,0)</f>
        <v>H) Trasporto e magazzinaggio; I55) Hotel</v>
      </c>
      <c r="E898" s="53">
        <f t="shared" ref="E898:E961" si="98">+VLOOKUP(C898,$R$2:$X$11,3,FALSE)</f>
        <v>1.4999999999999999E-2</v>
      </c>
      <c r="F898" s="53">
        <f t="shared" ref="F898:F961" si="99">+VLOOKUP(C898,$R$2:$X$11,4,FALSE)</f>
        <v>4.1000000000000002E-2</v>
      </c>
      <c r="G898" s="53">
        <f t="shared" ref="G898:G961" si="100">+VLOOKUP(C898,$R$2:$X$11,5,FALSE)</f>
        <v>0.86</v>
      </c>
      <c r="H898" s="53">
        <f t="shared" ref="H898:H961" si="101">+VLOOKUP(C898,$R$2:$X$11,6,FALSE)</f>
        <v>1.4E-2</v>
      </c>
      <c r="I898" s="53">
        <f t="shared" ref="I898:I961" si="102">+VLOOKUP(C898,$R$2:$X$11,7,FALSE)</f>
        <v>0.10199999999999999</v>
      </c>
      <c r="L898" t="s">
        <v>2125</v>
      </c>
      <c r="M898" t="str">
        <f t="shared" si="97"/>
        <v>Pubblicazione di elenchi</v>
      </c>
      <c r="N898" t="str">
        <f t="shared" ref="N898:N961" si="103">+VLOOKUP(L898,A:D,4,0)</f>
        <v>JMN) Servizi alle imprese</v>
      </c>
    </row>
    <row r="899" spans="1:14" ht="51">
      <c r="A899" s="56" t="s">
        <v>2006</v>
      </c>
      <c r="B899" s="57" t="s">
        <v>2007</v>
      </c>
      <c r="C899">
        <v>8</v>
      </c>
      <c r="D899" t="str">
        <f>+VLOOKUP(AtecoCrisi[[#This Row],[COD. CRISI]],Tabella139[],2,0)</f>
        <v>H) Trasporto e magazzinaggio; I55) Hotel</v>
      </c>
      <c r="E899" s="53">
        <f t="shared" si="98"/>
        <v>1.4999999999999999E-2</v>
      </c>
      <c r="F899" s="53">
        <f t="shared" si="99"/>
        <v>4.1000000000000002E-2</v>
      </c>
      <c r="G899" s="53">
        <f t="shared" si="100"/>
        <v>0.86</v>
      </c>
      <c r="H899" s="53">
        <f t="shared" si="101"/>
        <v>1.4E-2</v>
      </c>
      <c r="I899" s="53">
        <f t="shared" si="102"/>
        <v>0.10199999999999999</v>
      </c>
      <c r="L899" t="s">
        <v>2127</v>
      </c>
      <c r="M899" t="str">
        <f t="shared" ref="M899:M962" si="104">+VLOOKUP(L899,A:B,2,0)</f>
        <v>Pubblicazione di mailing list</v>
      </c>
      <c r="N899" t="str">
        <f t="shared" si="103"/>
        <v>JMN) Servizi alle imprese</v>
      </c>
    </row>
    <row r="900" spans="1:14" ht="51">
      <c r="A900" s="58" t="s">
        <v>2008</v>
      </c>
      <c r="B900" s="59" t="s">
        <v>2009</v>
      </c>
      <c r="C900">
        <v>8</v>
      </c>
      <c r="D900" t="str">
        <f>+VLOOKUP(AtecoCrisi[[#This Row],[COD. CRISI]],Tabella139[],2,0)</f>
        <v>H) Trasporto e magazzinaggio; I55) Hotel</v>
      </c>
      <c r="E900" s="53">
        <f t="shared" si="98"/>
        <v>1.4999999999999999E-2</v>
      </c>
      <c r="F900" s="53">
        <f t="shared" si="99"/>
        <v>4.1000000000000002E-2</v>
      </c>
      <c r="G900" s="53">
        <f t="shared" si="100"/>
        <v>0.86</v>
      </c>
      <c r="H900" s="53">
        <f t="shared" si="101"/>
        <v>1.4E-2</v>
      </c>
      <c r="I900" s="53">
        <f t="shared" si="102"/>
        <v>0.10199999999999999</v>
      </c>
      <c r="L900" t="s">
        <v>2129</v>
      </c>
      <c r="M900" t="str">
        <f t="shared" si="104"/>
        <v>Edizione di quotidiani</v>
      </c>
      <c r="N900" t="str">
        <f t="shared" si="103"/>
        <v>JMN) Servizi alle imprese</v>
      </c>
    </row>
    <row r="901" spans="1:14" ht="38.25">
      <c r="A901" s="58" t="s">
        <v>2010</v>
      </c>
      <c r="B901" s="59" t="s">
        <v>2011</v>
      </c>
      <c r="C901">
        <v>8</v>
      </c>
      <c r="D901" t="str">
        <f>+VLOOKUP(AtecoCrisi[[#This Row],[COD. CRISI]],Tabella139[],2,0)</f>
        <v>H) Trasporto e magazzinaggio; I55) Hotel</v>
      </c>
      <c r="E901" s="53">
        <f t="shared" si="98"/>
        <v>1.4999999999999999E-2</v>
      </c>
      <c r="F901" s="53">
        <f t="shared" si="99"/>
        <v>4.1000000000000002E-2</v>
      </c>
      <c r="G901" s="53">
        <f t="shared" si="100"/>
        <v>0.86</v>
      </c>
      <c r="H901" s="53">
        <f t="shared" si="101"/>
        <v>1.4E-2</v>
      </c>
      <c r="I901" s="53">
        <f t="shared" si="102"/>
        <v>0.10199999999999999</v>
      </c>
      <c r="L901" t="s">
        <v>2131</v>
      </c>
      <c r="M901" t="str">
        <f t="shared" si="104"/>
        <v>Edizione di riviste e periodici</v>
      </c>
      <c r="N901" t="str">
        <f t="shared" si="103"/>
        <v>JMN) Servizi alle imprese</v>
      </c>
    </row>
    <row r="902" spans="1:14" ht="63.75">
      <c r="A902" s="58" t="s">
        <v>2012</v>
      </c>
      <c r="B902" s="59" t="s">
        <v>2013</v>
      </c>
      <c r="C902">
        <v>8</v>
      </c>
      <c r="D902" t="str">
        <f>+VLOOKUP(AtecoCrisi[[#This Row],[COD. CRISI]],Tabella139[],2,0)</f>
        <v>H) Trasporto e magazzinaggio; I55) Hotel</v>
      </c>
      <c r="E902" s="53">
        <f t="shared" si="98"/>
        <v>1.4999999999999999E-2</v>
      </c>
      <c r="F902" s="53">
        <f t="shared" si="99"/>
        <v>4.1000000000000002E-2</v>
      </c>
      <c r="G902" s="53">
        <f t="shared" si="100"/>
        <v>0.86</v>
      </c>
      <c r="H902" s="53">
        <f t="shared" si="101"/>
        <v>1.4E-2</v>
      </c>
      <c r="I902" s="53">
        <f t="shared" si="102"/>
        <v>0.10199999999999999</v>
      </c>
      <c r="L902" t="s">
        <v>2133</v>
      </c>
      <c r="M902" t="str">
        <f t="shared" si="104"/>
        <v>Altre attività editoriali</v>
      </c>
      <c r="N902" t="str">
        <f t="shared" si="103"/>
        <v>JMN) Servizi alle imprese</v>
      </c>
    </row>
    <row r="903" spans="1:14" ht="38.25">
      <c r="A903" s="58" t="s">
        <v>2014</v>
      </c>
      <c r="B903" s="59" t="s">
        <v>2015</v>
      </c>
      <c r="C903">
        <v>8</v>
      </c>
      <c r="D903" t="str">
        <f>+VLOOKUP(AtecoCrisi[[#This Row],[COD. CRISI]],Tabella139[],2,0)</f>
        <v>H) Trasporto e magazzinaggio; I55) Hotel</v>
      </c>
      <c r="E903" s="53">
        <f t="shared" si="98"/>
        <v>1.4999999999999999E-2</v>
      </c>
      <c r="F903" s="53">
        <f t="shared" si="99"/>
        <v>4.1000000000000002E-2</v>
      </c>
      <c r="G903" s="53">
        <f t="shared" si="100"/>
        <v>0.86</v>
      </c>
      <c r="H903" s="53">
        <f t="shared" si="101"/>
        <v>1.4E-2</v>
      </c>
      <c r="I903" s="53">
        <f t="shared" si="102"/>
        <v>0.10199999999999999</v>
      </c>
      <c r="L903" t="s">
        <v>2135</v>
      </c>
      <c r="M903" t="str">
        <f t="shared" si="104"/>
        <v>Edizione di giochi per computer</v>
      </c>
      <c r="N903" t="str">
        <f t="shared" si="103"/>
        <v>JMN) Servizi alle imprese</v>
      </c>
    </row>
    <row r="904" spans="1:14" ht="25.5">
      <c r="A904" s="56" t="s">
        <v>2016</v>
      </c>
      <c r="B904" s="57" t="s">
        <v>2017</v>
      </c>
      <c r="C904">
        <v>8</v>
      </c>
      <c r="D904" t="str">
        <f>+VLOOKUP(AtecoCrisi[[#This Row],[COD. CRISI]],Tabella139[],2,0)</f>
        <v>H) Trasporto e magazzinaggio; I55) Hotel</v>
      </c>
      <c r="E904" s="53">
        <f t="shared" si="98"/>
        <v>1.4999999999999999E-2</v>
      </c>
      <c r="F904" s="53">
        <f t="shared" si="99"/>
        <v>4.1000000000000002E-2</v>
      </c>
      <c r="G904" s="53">
        <f t="shared" si="100"/>
        <v>0.86</v>
      </c>
      <c r="H904" s="53">
        <f t="shared" si="101"/>
        <v>1.4E-2</v>
      </c>
      <c r="I904" s="53">
        <f t="shared" si="102"/>
        <v>0.10199999999999999</v>
      </c>
      <c r="L904" t="s">
        <v>2137</v>
      </c>
      <c r="M904" t="str">
        <f t="shared" si="104"/>
        <v>Edizione di altri software a pacchetto (esclusi giochi per computer)</v>
      </c>
      <c r="N904" t="str">
        <f t="shared" si="103"/>
        <v>JMN) Servizi alle imprese</v>
      </c>
    </row>
    <row r="905" spans="1:14" ht="25.5">
      <c r="A905" s="58" t="s">
        <v>2018</v>
      </c>
      <c r="B905" s="59" t="s">
        <v>2019</v>
      </c>
      <c r="C905">
        <v>8</v>
      </c>
      <c r="D905" t="str">
        <f>+VLOOKUP(AtecoCrisi[[#This Row],[COD. CRISI]],Tabella139[],2,0)</f>
        <v>H) Trasporto e magazzinaggio; I55) Hotel</v>
      </c>
      <c r="E905" s="53">
        <f t="shared" si="98"/>
        <v>1.4999999999999999E-2</v>
      </c>
      <c r="F905" s="53">
        <f t="shared" si="99"/>
        <v>4.1000000000000002E-2</v>
      </c>
      <c r="G905" s="53">
        <f t="shared" si="100"/>
        <v>0.86</v>
      </c>
      <c r="H905" s="53">
        <f t="shared" si="101"/>
        <v>1.4E-2</v>
      </c>
      <c r="I905" s="53">
        <f t="shared" si="102"/>
        <v>0.10199999999999999</v>
      </c>
      <c r="L905" t="s">
        <v>2141</v>
      </c>
      <c r="M905" t="str">
        <f t="shared" si="104"/>
        <v>Attività di produzione cinematografica, di video e di programmi televisivi</v>
      </c>
      <c r="N905" t="str">
        <f t="shared" si="103"/>
        <v>JMN) Servizi alle imprese</v>
      </c>
    </row>
    <row r="906" spans="1:14" ht="51">
      <c r="A906" s="58" t="s">
        <v>2020</v>
      </c>
      <c r="B906" s="59" t="s">
        <v>2021</v>
      </c>
      <c r="C906">
        <v>8</v>
      </c>
      <c r="D906" t="str">
        <f>+VLOOKUP(AtecoCrisi[[#This Row],[COD. CRISI]],Tabella139[],2,0)</f>
        <v>H) Trasporto e magazzinaggio; I55) Hotel</v>
      </c>
      <c r="E906" s="53">
        <f t="shared" si="98"/>
        <v>1.4999999999999999E-2</v>
      </c>
      <c r="F906" s="53">
        <f t="shared" si="99"/>
        <v>4.1000000000000002E-2</v>
      </c>
      <c r="G906" s="53">
        <f t="shared" si="100"/>
        <v>0.86</v>
      </c>
      <c r="H906" s="53">
        <f t="shared" si="101"/>
        <v>1.4E-2</v>
      </c>
      <c r="I906" s="53">
        <f t="shared" si="102"/>
        <v>0.10199999999999999</v>
      </c>
      <c r="L906" t="s">
        <v>2143</v>
      </c>
      <c r="M906" t="str">
        <f t="shared" si="104"/>
        <v>Attività di post-produzione cinematografica, di video e di programmi televisivi</v>
      </c>
      <c r="N906" t="str">
        <f t="shared" si="103"/>
        <v>JMN) Servizi alle imprese</v>
      </c>
    </row>
    <row r="907" spans="1:14" ht="25.5">
      <c r="A907" s="58" t="s">
        <v>2022</v>
      </c>
      <c r="B907" s="59" t="s">
        <v>2023</v>
      </c>
      <c r="C907">
        <v>8</v>
      </c>
      <c r="D907" t="str">
        <f>+VLOOKUP(AtecoCrisi[[#This Row],[COD. CRISI]],Tabella139[],2,0)</f>
        <v>H) Trasporto e magazzinaggio; I55) Hotel</v>
      </c>
      <c r="E907" s="53">
        <f t="shared" si="98"/>
        <v>1.4999999999999999E-2</v>
      </c>
      <c r="F907" s="53">
        <f t="shared" si="99"/>
        <v>4.1000000000000002E-2</v>
      </c>
      <c r="G907" s="53">
        <f t="shared" si="100"/>
        <v>0.86</v>
      </c>
      <c r="H907" s="53">
        <f t="shared" si="101"/>
        <v>1.4E-2</v>
      </c>
      <c r="I907" s="53">
        <f t="shared" si="102"/>
        <v>0.10199999999999999</v>
      </c>
      <c r="L907" t="s">
        <v>2145</v>
      </c>
      <c r="M907" t="str">
        <f t="shared" si="104"/>
        <v>Attività di distribuzione cinematografica, di video e di programmi televisivi</v>
      </c>
      <c r="N907" t="str">
        <f t="shared" si="103"/>
        <v>JMN) Servizi alle imprese</v>
      </c>
    </row>
    <row r="908" spans="1:14">
      <c r="A908" s="58" t="s">
        <v>2024</v>
      </c>
      <c r="B908" s="59" t="s">
        <v>2025</v>
      </c>
      <c r="C908">
        <v>8</v>
      </c>
      <c r="D908" t="str">
        <f>+VLOOKUP(AtecoCrisi[[#This Row],[COD. CRISI]],Tabella139[],2,0)</f>
        <v>H) Trasporto e magazzinaggio; I55) Hotel</v>
      </c>
      <c r="E908" s="53">
        <f t="shared" si="98"/>
        <v>1.4999999999999999E-2</v>
      </c>
      <c r="F908" s="53">
        <f t="shared" si="99"/>
        <v>4.1000000000000002E-2</v>
      </c>
      <c r="G908" s="53">
        <f t="shared" si="100"/>
        <v>0.86</v>
      </c>
      <c r="H908" s="53">
        <f t="shared" si="101"/>
        <v>1.4E-2</v>
      </c>
      <c r="I908" s="53">
        <f t="shared" si="102"/>
        <v>0.10199999999999999</v>
      </c>
      <c r="L908" t="s">
        <v>2147</v>
      </c>
      <c r="M908" t="str">
        <f t="shared" si="104"/>
        <v>Attività di proiezione cinematografica</v>
      </c>
      <c r="N908" t="str">
        <f t="shared" si="103"/>
        <v>JMN) Servizi alle imprese</v>
      </c>
    </row>
    <row r="909" spans="1:14" ht="51">
      <c r="A909" s="56" t="s">
        <v>2026</v>
      </c>
      <c r="B909" s="57" t="s">
        <v>2027</v>
      </c>
      <c r="C909">
        <v>8</v>
      </c>
      <c r="D909" t="str">
        <f>+VLOOKUP(AtecoCrisi[[#This Row],[COD. CRISI]],Tabella139[],2,0)</f>
        <v>H) Trasporto e magazzinaggio; I55) Hotel</v>
      </c>
      <c r="E909" s="53">
        <f t="shared" si="98"/>
        <v>1.4999999999999999E-2</v>
      </c>
      <c r="F909" s="53">
        <f t="shared" si="99"/>
        <v>4.1000000000000002E-2</v>
      </c>
      <c r="G909" s="53">
        <f t="shared" si="100"/>
        <v>0.86</v>
      </c>
      <c r="H909" s="53">
        <f t="shared" si="101"/>
        <v>1.4E-2</v>
      </c>
      <c r="I909" s="53">
        <f t="shared" si="102"/>
        <v>0.10199999999999999</v>
      </c>
      <c r="L909" t="s">
        <v>2149</v>
      </c>
      <c r="M909" t="str">
        <f t="shared" si="104"/>
        <v>Edizione di registrazioni sonore</v>
      </c>
      <c r="N909" t="str">
        <f t="shared" si="103"/>
        <v>JMN) Servizi alle imprese</v>
      </c>
    </row>
    <row r="910" spans="1:14" ht="51">
      <c r="A910" s="58" t="s">
        <v>2028</v>
      </c>
      <c r="B910" s="59" t="s">
        <v>2029</v>
      </c>
      <c r="C910">
        <v>8</v>
      </c>
      <c r="D910" t="str">
        <f>+VLOOKUP(AtecoCrisi[[#This Row],[COD. CRISI]],Tabella139[],2,0)</f>
        <v>H) Trasporto e magazzinaggio; I55) Hotel</v>
      </c>
      <c r="E910" s="53">
        <f t="shared" si="98"/>
        <v>1.4999999999999999E-2</v>
      </c>
      <c r="F910" s="53">
        <f t="shared" si="99"/>
        <v>4.1000000000000002E-2</v>
      </c>
      <c r="G910" s="53">
        <f t="shared" si="100"/>
        <v>0.86</v>
      </c>
      <c r="H910" s="53">
        <f t="shared" si="101"/>
        <v>1.4E-2</v>
      </c>
      <c r="I910" s="53">
        <f t="shared" si="102"/>
        <v>0.10199999999999999</v>
      </c>
      <c r="L910" t="s">
        <v>2151</v>
      </c>
      <c r="M910" t="str">
        <f t="shared" si="104"/>
        <v>Edizione di musica stampata</v>
      </c>
      <c r="N910" t="str">
        <f t="shared" si="103"/>
        <v>JMN) Servizi alle imprese</v>
      </c>
    </row>
    <row r="911" spans="1:14" ht="38.25">
      <c r="A911" s="58" t="s">
        <v>2030</v>
      </c>
      <c r="B911" s="59" t="s">
        <v>2031</v>
      </c>
      <c r="C911">
        <v>8</v>
      </c>
      <c r="D911" t="str">
        <f>+VLOOKUP(AtecoCrisi[[#This Row],[COD. CRISI]],Tabella139[],2,0)</f>
        <v>H) Trasporto e magazzinaggio; I55) Hotel</v>
      </c>
      <c r="E911" s="53">
        <f t="shared" si="98"/>
        <v>1.4999999999999999E-2</v>
      </c>
      <c r="F911" s="53">
        <f t="shared" si="99"/>
        <v>4.1000000000000002E-2</v>
      </c>
      <c r="G911" s="53">
        <f t="shared" si="100"/>
        <v>0.86</v>
      </c>
      <c r="H911" s="53">
        <f t="shared" si="101"/>
        <v>1.4E-2</v>
      </c>
      <c r="I911" s="53">
        <f t="shared" si="102"/>
        <v>0.10199999999999999</v>
      </c>
      <c r="L911" t="s">
        <v>2153</v>
      </c>
      <c r="M911" t="str">
        <f t="shared" si="104"/>
        <v>Studi di registrazione sonora</v>
      </c>
      <c r="N911" t="str">
        <f t="shared" si="103"/>
        <v>JMN) Servizi alle imprese</v>
      </c>
    </row>
    <row r="912" spans="1:14" ht="38.25">
      <c r="A912" s="58" t="s">
        <v>2032</v>
      </c>
      <c r="B912" s="59" t="s">
        <v>2033</v>
      </c>
      <c r="C912">
        <v>8</v>
      </c>
      <c r="D912" t="str">
        <f>+VLOOKUP(AtecoCrisi[[#This Row],[COD. CRISI]],Tabella139[],2,0)</f>
        <v>H) Trasporto e magazzinaggio; I55) Hotel</v>
      </c>
      <c r="E912" s="53">
        <f t="shared" si="98"/>
        <v>1.4999999999999999E-2</v>
      </c>
      <c r="F912" s="53">
        <f t="shared" si="99"/>
        <v>4.1000000000000002E-2</v>
      </c>
      <c r="G912" s="53">
        <f t="shared" si="100"/>
        <v>0.86</v>
      </c>
      <c r="H912" s="53">
        <f t="shared" si="101"/>
        <v>1.4E-2</v>
      </c>
      <c r="I912" s="53">
        <f t="shared" si="102"/>
        <v>0.10199999999999999</v>
      </c>
      <c r="L912" t="s">
        <v>2157</v>
      </c>
      <c r="M912" t="str">
        <f t="shared" si="104"/>
        <v>Trasmissioni radiofoniche</v>
      </c>
      <c r="N912" t="str">
        <f t="shared" si="103"/>
        <v>JMN) Servizi alle imprese</v>
      </c>
    </row>
    <row r="913" spans="1:14" ht="25.5">
      <c r="A913" s="58" t="s">
        <v>2034</v>
      </c>
      <c r="B913" s="59" t="s">
        <v>2035</v>
      </c>
      <c r="C913">
        <v>8</v>
      </c>
      <c r="D913" t="str">
        <f>+VLOOKUP(AtecoCrisi[[#This Row],[COD. CRISI]],Tabella139[],2,0)</f>
        <v>H) Trasporto e magazzinaggio; I55) Hotel</v>
      </c>
      <c r="E913" s="53">
        <f t="shared" si="98"/>
        <v>1.4999999999999999E-2</v>
      </c>
      <c r="F913" s="53">
        <f t="shared" si="99"/>
        <v>4.1000000000000002E-2</v>
      </c>
      <c r="G913" s="53">
        <f t="shared" si="100"/>
        <v>0.86</v>
      </c>
      <c r="H913" s="53">
        <f t="shared" si="101"/>
        <v>1.4E-2</v>
      </c>
      <c r="I913" s="53">
        <f t="shared" si="102"/>
        <v>0.10199999999999999</v>
      </c>
      <c r="L913" t="s">
        <v>2159</v>
      </c>
      <c r="M913" t="str">
        <f t="shared" si="104"/>
        <v>Programmazione e trasmissioni televisive</v>
      </c>
      <c r="N913" t="str">
        <f t="shared" si="103"/>
        <v>JMN) Servizi alle imprese</v>
      </c>
    </row>
    <row r="914" spans="1:14" ht="38.25">
      <c r="A914" s="58" t="s">
        <v>2036</v>
      </c>
      <c r="B914" s="59" t="s">
        <v>2037</v>
      </c>
      <c r="C914">
        <v>8</v>
      </c>
      <c r="D914" t="str">
        <f>+VLOOKUP(AtecoCrisi[[#This Row],[COD. CRISI]],Tabella139[],2,0)</f>
        <v>H) Trasporto e magazzinaggio; I55) Hotel</v>
      </c>
      <c r="E914" s="53">
        <f t="shared" si="98"/>
        <v>1.4999999999999999E-2</v>
      </c>
      <c r="F914" s="53">
        <f t="shared" si="99"/>
        <v>4.1000000000000002E-2</v>
      </c>
      <c r="G914" s="53">
        <f t="shared" si="100"/>
        <v>0.86</v>
      </c>
      <c r="H914" s="53">
        <f t="shared" si="101"/>
        <v>1.4E-2</v>
      </c>
      <c r="I914" s="53">
        <f t="shared" si="102"/>
        <v>0.10199999999999999</v>
      </c>
      <c r="L914" t="s">
        <v>2163</v>
      </c>
      <c r="M914" t="str">
        <f t="shared" si="104"/>
        <v>Telecomunicazioni fisse</v>
      </c>
      <c r="N914" t="str">
        <f t="shared" si="103"/>
        <v>JMN) Servizi alle imprese</v>
      </c>
    </row>
    <row r="915" spans="1:14" ht="38.25">
      <c r="A915" s="58" t="s">
        <v>2038</v>
      </c>
      <c r="B915" s="59" t="s">
        <v>2039</v>
      </c>
      <c r="C915">
        <v>8</v>
      </c>
      <c r="D915" t="str">
        <f>+VLOOKUP(AtecoCrisi[[#This Row],[COD. CRISI]],Tabella139[],2,0)</f>
        <v>H) Trasporto e magazzinaggio; I55) Hotel</v>
      </c>
      <c r="E915" s="53">
        <f t="shared" si="98"/>
        <v>1.4999999999999999E-2</v>
      </c>
      <c r="F915" s="53">
        <f t="shared" si="99"/>
        <v>4.1000000000000002E-2</v>
      </c>
      <c r="G915" s="53">
        <f t="shared" si="100"/>
        <v>0.86</v>
      </c>
      <c r="H915" s="53">
        <f t="shared" si="101"/>
        <v>1.4E-2</v>
      </c>
      <c r="I915" s="53">
        <f t="shared" si="102"/>
        <v>0.10199999999999999</v>
      </c>
      <c r="L915" t="s">
        <v>2165</v>
      </c>
      <c r="M915" t="str">
        <f t="shared" si="104"/>
        <v>Telecomunicazioni mobili</v>
      </c>
      <c r="N915" t="str">
        <f t="shared" si="103"/>
        <v>JMN) Servizi alle imprese</v>
      </c>
    </row>
    <row r="916" spans="1:14" ht="38.25">
      <c r="A916" s="58" t="s">
        <v>2040</v>
      </c>
      <c r="B916" s="59" t="s">
        <v>2041</v>
      </c>
      <c r="C916">
        <v>8</v>
      </c>
      <c r="D916" t="str">
        <f>+VLOOKUP(AtecoCrisi[[#This Row],[COD. CRISI]],Tabella139[],2,0)</f>
        <v>H) Trasporto e magazzinaggio; I55) Hotel</v>
      </c>
      <c r="E916" s="53">
        <f t="shared" si="98"/>
        <v>1.4999999999999999E-2</v>
      </c>
      <c r="F916" s="53">
        <f t="shared" si="99"/>
        <v>4.1000000000000002E-2</v>
      </c>
      <c r="G916" s="53">
        <f t="shared" si="100"/>
        <v>0.86</v>
      </c>
      <c r="H916" s="53">
        <f t="shared" si="101"/>
        <v>1.4E-2</v>
      </c>
      <c r="I916" s="53">
        <f t="shared" si="102"/>
        <v>0.10199999999999999</v>
      </c>
      <c r="L916" t="s">
        <v>2167</v>
      </c>
      <c r="M916" t="str">
        <f t="shared" si="104"/>
        <v>Telecomunicazioni satellitari</v>
      </c>
      <c r="N916" t="str">
        <f t="shared" si="103"/>
        <v>JMN) Servizi alle imprese</v>
      </c>
    </row>
    <row r="917" spans="1:14" ht="25.5">
      <c r="A917" s="58" t="s">
        <v>2042</v>
      </c>
      <c r="B917" s="59" t="s">
        <v>2043</v>
      </c>
      <c r="C917">
        <v>8</v>
      </c>
      <c r="D917" t="str">
        <f>+VLOOKUP(AtecoCrisi[[#This Row],[COD. CRISI]],Tabella139[],2,0)</f>
        <v>H) Trasporto e magazzinaggio; I55) Hotel</v>
      </c>
      <c r="E917" s="53">
        <f t="shared" si="98"/>
        <v>1.4999999999999999E-2</v>
      </c>
      <c r="F917" s="53">
        <f t="shared" si="99"/>
        <v>4.1000000000000002E-2</v>
      </c>
      <c r="G917" s="53">
        <f t="shared" si="100"/>
        <v>0.86</v>
      </c>
      <c r="H917" s="53">
        <f t="shared" si="101"/>
        <v>1.4E-2</v>
      </c>
      <c r="I917" s="53">
        <f t="shared" si="102"/>
        <v>0.10199999999999999</v>
      </c>
      <c r="L917" t="s">
        <v>2169</v>
      </c>
      <c r="M917" t="str">
        <f t="shared" si="104"/>
        <v>Erogazione di servizi di accesso ad internet (ISP)</v>
      </c>
      <c r="N917" t="str">
        <f t="shared" si="103"/>
        <v>JMN) Servizi alle imprese</v>
      </c>
    </row>
    <row r="918" spans="1:14" ht="51">
      <c r="A918" s="58" t="s">
        <v>2044</v>
      </c>
      <c r="B918" s="59" t="s">
        <v>2045</v>
      </c>
      <c r="C918">
        <v>8</v>
      </c>
      <c r="D918" t="str">
        <f>+VLOOKUP(AtecoCrisi[[#This Row],[COD. CRISI]],Tabella139[],2,0)</f>
        <v>H) Trasporto e magazzinaggio; I55) Hotel</v>
      </c>
      <c r="E918" s="53">
        <f t="shared" si="98"/>
        <v>1.4999999999999999E-2</v>
      </c>
      <c r="F918" s="53">
        <f t="shared" si="99"/>
        <v>4.1000000000000002E-2</v>
      </c>
      <c r="G918" s="53">
        <f t="shared" si="100"/>
        <v>0.86</v>
      </c>
      <c r="H918" s="53">
        <f t="shared" si="101"/>
        <v>1.4E-2</v>
      </c>
      <c r="I918" s="53">
        <f t="shared" si="102"/>
        <v>0.10199999999999999</v>
      </c>
      <c r="L918" t="s">
        <v>2171</v>
      </c>
      <c r="M918" t="str">
        <f t="shared" si="104"/>
        <v>Posto telefonico pubblico ed Internet Point</v>
      </c>
      <c r="N918" t="str">
        <f t="shared" si="103"/>
        <v>JMN) Servizi alle imprese</v>
      </c>
    </row>
    <row r="919" spans="1:14" ht="102">
      <c r="A919" s="58" t="s">
        <v>2046</v>
      </c>
      <c r="B919" s="59" t="s">
        <v>2047</v>
      </c>
      <c r="C919">
        <v>8</v>
      </c>
      <c r="D919" t="str">
        <f>+VLOOKUP(AtecoCrisi[[#This Row],[COD. CRISI]],Tabella139[],2,0)</f>
        <v>H) Trasporto e magazzinaggio; I55) Hotel</v>
      </c>
      <c r="E919" s="53">
        <f t="shared" si="98"/>
        <v>1.4999999999999999E-2</v>
      </c>
      <c r="F919" s="53">
        <f t="shared" si="99"/>
        <v>4.1000000000000002E-2</v>
      </c>
      <c r="G919" s="53">
        <f t="shared" si="100"/>
        <v>0.86</v>
      </c>
      <c r="H919" s="53">
        <f t="shared" si="101"/>
        <v>1.4E-2</v>
      </c>
      <c r="I919" s="53">
        <f t="shared" si="102"/>
        <v>0.10199999999999999</v>
      </c>
      <c r="L919" t="s">
        <v>2173</v>
      </c>
      <c r="M919" t="str">
        <f t="shared" si="104"/>
        <v>Intermediazione in servizi di telecomunicazione e trasmissione dati</v>
      </c>
      <c r="N919" t="str">
        <f t="shared" si="103"/>
        <v>JMN) Servizi alle imprese</v>
      </c>
    </row>
    <row r="920" spans="1:14" ht="51">
      <c r="A920" s="58" t="s">
        <v>2048</v>
      </c>
      <c r="B920" s="59" t="s">
        <v>2049</v>
      </c>
      <c r="C920">
        <v>8</v>
      </c>
      <c r="D920" t="str">
        <f>+VLOOKUP(AtecoCrisi[[#This Row],[COD. CRISI]],Tabella139[],2,0)</f>
        <v>H) Trasporto e magazzinaggio; I55) Hotel</v>
      </c>
      <c r="E920" s="53">
        <f t="shared" si="98"/>
        <v>1.4999999999999999E-2</v>
      </c>
      <c r="F920" s="53">
        <f t="shared" si="99"/>
        <v>4.1000000000000002E-2</v>
      </c>
      <c r="G920" s="53">
        <f t="shared" si="100"/>
        <v>0.86</v>
      </c>
      <c r="H920" s="53">
        <f t="shared" si="101"/>
        <v>1.4E-2</v>
      </c>
      <c r="I920" s="53">
        <f t="shared" si="102"/>
        <v>0.10199999999999999</v>
      </c>
      <c r="L920" t="s">
        <v>2175</v>
      </c>
      <c r="M920" t="str">
        <f t="shared" si="104"/>
        <v>Altre attività connesse alle telecomunicazioni nca</v>
      </c>
      <c r="N920" t="str">
        <f t="shared" si="103"/>
        <v>JMN) Servizi alle imprese</v>
      </c>
    </row>
    <row r="921" spans="1:14" ht="38.25">
      <c r="A921" s="58" t="s">
        <v>2050</v>
      </c>
      <c r="B921" s="59" t="s">
        <v>2051</v>
      </c>
      <c r="C921">
        <v>8</v>
      </c>
      <c r="D921" t="str">
        <f>+VLOOKUP(AtecoCrisi[[#This Row],[COD. CRISI]],Tabella139[],2,0)</f>
        <v>H) Trasporto e magazzinaggio; I55) Hotel</v>
      </c>
      <c r="E921" s="53">
        <f t="shared" si="98"/>
        <v>1.4999999999999999E-2</v>
      </c>
      <c r="F921" s="53">
        <f t="shared" si="99"/>
        <v>4.1000000000000002E-2</v>
      </c>
      <c r="G921" s="53">
        <f t="shared" si="100"/>
        <v>0.86</v>
      </c>
      <c r="H921" s="53">
        <f t="shared" si="101"/>
        <v>1.4E-2</v>
      </c>
      <c r="I921" s="53">
        <f t="shared" si="102"/>
        <v>0.10199999999999999</v>
      </c>
      <c r="L921" t="s">
        <v>2179</v>
      </c>
      <c r="M921" t="str">
        <f t="shared" si="104"/>
        <v>Produzione di software non connesso all'edizione</v>
      </c>
      <c r="N921" t="str">
        <f t="shared" si="103"/>
        <v>JMN) Servizi alle imprese</v>
      </c>
    </row>
    <row r="922" spans="1:14" ht="38.25">
      <c r="A922" s="58" t="s">
        <v>2052</v>
      </c>
      <c r="B922" s="59" t="s">
        <v>2053</v>
      </c>
      <c r="C922">
        <v>8</v>
      </c>
      <c r="D922" t="str">
        <f>+VLOOKUP(AtecoCrisi[[#This Row],[COD. CRISI]],Tabella139[],2,0)</f>
        <v>H) Trasporto e magazzinaggio; I55) Hotel</v>
      </c>
      <c r="E922" s="53">
        <f t="shared" si="98"/>
        <v>1.4999999999999999E-2</v>
      </c>
      <c r="F922" s="53">
        <f t="shared" si="99"/>
        <v>4.1000000000000002E-2</v>
      </c>
      <c r="G922" s="53">
        <f t="shared" si="100"/>
        <v>0.86</v>
      </c>
      <c r="H922" s="53">
        <f t="shared" si="101"/>
        <v>1.4E-2</v>
      </c>
      <c r="I922" s="53">
        <f t="shared" si="102"/>
        <v>0.10199999999999999</v>
      </c>
      <c r="L922" t="s">
        <v>2181</v>
      </c>
      <c r="M922" t="str">
        <f t="shared" si="104"/>
        <v>Consulenza nel settore delle tecnologie dell'informatica</v>
      </c>
      <c r="N922" t="str">
        <f t="shared" si="103"/>
        <v>JMN) Servizi alle imprese</v>
      </c>
    </row>
    <row r="923" spans="1:14" ht="38.25">
      <c r="A923" s="58" t="s">
        <v>2054</v>
      </c>
      <c r="B923" s="59" t="s">
        <v>2055</v>
      </c>
      <c r="C923">
        <v>8</v>
      </c>
      <c r="D923" t="str">
        <f>+VLOOKUP(AtecoCrisi[[#This Row],[COD. CRISI]],Tabella139[],2,0)</f>
        <v>H) Trasporto e magazzinaggio; I55) Hotel</v>
      </c>
      <c r="E923" s="53">
        <f t="shared" si="98"/>
        <v>1.4999999999999999E-2</v>
      </c>
      <c r="F923" s="53">
        <f t="shared" si="99"/>
        <v>4.1000000000000002E-2</v>
      </c>
      <c r="G923" s="53">
        <f t="shared" si="100"/>
        <v>0.86</v>
      </c>
      <c r="H923" s="53">
        <f t="shared" si="101"/>
        <v>1.4E-2</v>
      </c>
      <c r="I923" s="53">
        <f t="shared" si="102"/>
        <v>0.10199999999999999</v>
      </c>
      <c r="L923" t="s">
        <v>2183</v>
      </c>
      <c r="M923" t="str">
        <f t="shared" si="104"/>
        <v>Gestione di strutture e apparecchiature informatiche hardware - housing (esclusa la riparazione)</v>
      </c>
      <c r="N923" t="str">
        <f t="shared" si="103"/>
        <v>JMN) Servizi alle imprese</v>
      </c>
    </row>
    <row r="924" spans="1:14" ht="38.25">
      <c r="A924" s="58" t="s">
        <v>2056</v>
      </c>
      <c r="B924" s="59" t="s">
        <v>2057</v>
      </c>
      <c r="C924">
        <v>8</v>
      </c>
      <c r="D924" t="str">
        <f>+VLOOKUP(AtecoCrisi[[#This Row],[COD. CRISI]],Tabella139[],2,0)</f>
        <v>H) Trasporto e magazzinaggio; I55) Hotel</v>
      </c>
      <c r="E924" s="53">
        <f t="shared" si="98"/>
        <v>1.4999999999999999E-2</v>
      </c>
      <c r="F924" s="53">
        <f t="shared" si="99"/>
        <v>4.1000000000000002E-2</v>
      </c>
      <c r="G924" s="53">
        <f t="shared" si="100"/>
        <v>0.86</v>
      </c>
      <c r="H924" s="53">
        <f t="shared" si="101"/>
        <v>1.4E-2</v>
      </c>
      <c r="I924" s="53">
        <f t="shared" si="102"/>
        <v>0.10199999999999999</v>
      </c>
      <c r="L924" t="s">
        <v>2185</v>
      </c>
      <c r="M924" t="str">
        <f t="shared" si="104"/>
        <v>Configurazione di personal computer</v>
      </c>
      <c r="N924" t="str">
        <f t="shared" si="103"/>
        <v>JMN) Servizi alle imprese</v>
      </c>
    </row>
    <row r="925" spans="1:14" ht="38.25">
      <c r="A925" s="58" t="s">
        <v>2058</v>
      </c>
      <c r="B925" s="59" t="s">
        <v>2059</v>
      </c>
      <c r="C925">
        <v>8</v>
      </c>
      <c r="D925" t="str">
        <f>+VLOOKUP(AtecoCrisi[[#This Row],[COD. CRISI]],Tabella139[],2,0)</f>
        <v>H) Trasporto e magazzinaggio; I55) Hotel</v>
      </c>
      <c r="E925" s="53">
        <f t="shared" si="98"/>
        <v>1.4999999999999999E-2</v>
      </c>
      <c r="F925" s="53">
        <f t="shared" si="99"/>
        <v>4.1000000000000002E-2</v>
      </c>
      <c r="G925" s="53">
        <f t="shared" si="100"/>
        <v>0.86</v>
      </c>
      <c r="H925" s="53">
        <f t="shared" si="101"/>
        <v>1.4E-2</v>
      </c>
      <c r="I925" s="53">
        <f t="shared" si="102"/>
        <v>0.10199999999999999</v>
      </c>
      <c r="L925" t="s">
        <v>2187</v>
      </c>
      <c r="M925" t="str">
        <f t="shared" si="104"/>
        <v>Altre attività dei servizi connessi alle tecnologie dell'informatica nca</v>
      </c>
      <c r="N925" t="str">
        <f t="shared" si="103"/>
        <v>JMN) Servizi alle imprese</v>
      </c>
    </row>
    <row r="926" spans="1:14" ht="51">
      <c r="A926" s="58" t="s">
        <v>2060</v>
      </c>
      <c r="B926" s="59" t="s">
        <v>2061</v>
      </c>
      <c r="C926">
        <v>8</v>
      </c>
      <c r="D926" t="str">
        <f>+VLOOKUP(AtecoCrisi[[#This Row],[COD. CRISI]],Tabella139[],2,0)</f>
        <v>H) Trasporto e magazzinaggio; I55) Hotel</v>
      </c>
      <c r="E926" s="53">
        <f t="shared" si="98"/>
        <v>1.4999999999999999E-2</v>
      </c>
      <c r="F926" s="53">
        <f t="shared" si="99"/>
        <v>4.1000000000000002E-2</v>
      </c>
      <c r="G926" s="53">
        <f t="shared" si="100"/>
        <v>0.86</v>
      </c>
      <c r="H926" s="53">
        <f t="shared" si="101"/>
        <v>1.4E-2</v>
      </c>
      <c r="I926" s="53">
        <f t="shared" si="102"/>
        <v>0.10199999999999999</v>
      </c>
      <c r="L926" t="s">
        <v>2191</v>
      </c>
      <c r="M926" t="str">
        <f t="shared" si="104"/>
        <v>Elaborazione elettronica di dati contabili (esclusi i Centri di assistenza fiscale - Caf)</v>
      </c>
      <c r="N926" t="str">
        <f t="shared" si="103"/>
        <v>JMN) Servizi alle imprese</v>
      </c>
    </row>
    <row r="927" spans="1:14" ht="25.5">
      <c r="A927" s="58" t="s">
        <v>2062</v>
      </c>
      <c r="B927" s="59" t="s">
        <v>2063</v>
      </c>
      <c r="C927">
        <v>8</v>
      </c>
      <c r="D927" t="str">
        <f>+VLOOKUP(AtecoCrisi[[#This Row],[COD. CRISI]],Tabella139[],2,0)</f>
        <v>H) Trasporto e magazzinaggio; I55) Hotel</v>
      </c>
      <c r="E927" s="53">
        <f t="shared" si="98"/>
        <v>1.4999999999999999E-2</v>
      </c>
      <c r="F927" s="53">
        <f t="shared" si="99"/>
        <v>4.1000000000000002E-2</v>
      </c>
      <c r="G927" s="53">
        <f t="shared" si="100"/>
        <v>0.86</v>
      </c>
      <c r="H927" s="53">
        <f t="shared" si="101"/>
        <v>1.4E-2</v>
      </c>
      <c r="I927" s="53">
        <f t="shared" si="102"/>
        <v>0.10199999999999999</v>
      </c>
      <c r="L927" t="s">
        <v>2193</v>
      </c>
      <c r="M927" t="str">
        <f t="shared" si="104"/>
        <v>Altre elaborazioni elettroniche di dati</v>
      </c>
      <c r="N927" t="str">
        <f t="shared" si="103"/>
        <v>JMN) Servizi alle imprese</v>
      </c>
    </row>
    <row r="928" spans="1:14" ht="51">
      <c r="A928" s="58" t="s">
        <v>2064</v>
      </c>
      <c r="B928" s="59" t="s">
        <v>2065</v>
      </c>
      <c r="C928">
        <v>8</v>
      </c>
      <c r="D928" t="str">
        <f>+VLOOKUP(AtecoCrisi[[#This Row],[COD. CRISI]],Tabella139[],2,0)</f>
        <v>H) Trasporto e magazzinaggio; I55) Hotel</v>
      </c>
      <c r="E928" s="53">
        <f t="shared" si="98"/>
        <v>1.4999999999999999E-2</v>
      </c>
      <c r="F928" s="53">
        <f t="shared" si="99"/>
        <v>4.1000000000000002E-2</v>
      </c>
      <c r="G928" s="53">
        <f t="shared" si="100"/>
        <v>0.86</v>
      </c>
      <c r="H928" s="53">
        <f t="shared" si="101"/>
        <v>1.4E-2</v>
      </c>
      <c r="I928" s="53">
        <f t="shared" si="102"/>
        <v>0.10199999999999999</v>
      </c>
      <c r="L928" t="s">
        <v>2195</v>
      </c>
      <c r="M928" t="str">
        <f t="shared" si="104"/>
        <v>Gestione database (attività delle banche dati)</v>
      </c>
      <c r="N928" t="str">
        <f t="shared" si="103"/>
        <v>JMN) Servizi alle imprese</v>
      </c>
    </row>
    <row r="929" spans="1:14" ht="51">
      <c r="A929" s="56" t="s">
        <v>2066</v>
      </c>
      <c r="B929" s="57" t="s">
        <v>2067</v>
      </c>
      <c r="C929">
        <v>8</v>
      </c>
      <c r="D929" t="str">
        <f>+VLOOKUP(AtecoCrisi[[#This Row],[COD. CRISI]],Tabella139[],2,0)</f>
        <v>H) Trasporto e magazzinaggio; I55) Hotel</v>
      </c>
      <c r="E929" s="53">
        <f t="shared" si="98"/>
        <v>1.4999999999999999E-2</v>
      </c>
      <c r="F929" s="53">
        <f t="shared" si="99"/>
        <v>4.1000000000000002E-2</v>
      </c>
      <c r="G929" s="53">
        <f t="shared" si="100"/>
        <v>0.86</v>
      </c>
      <c r="H929" s="53">
        <f t="shared" si="101"/>
        <v>1.4E-2</v>
      </c>
      <c r="I929" s="53">
        <f t="shared" si="102"/>
        <v>0.10199999999999999</v>
      </c>
      <c r="L929" t="s">
        <v>2197</v>
      </c>
      <c r="M929" t="str">
        <f t="shared" si="104"/>
        <v>Hosting e fornitura di servizi applicativi (ASP)</v>
      </c>
      <c r="N929" t="str">
        <f t="shared" si="103"/>
        <v>JMN) Servizi alle imprese</v>
      </c>
    </row>
    <row r="930" spans="1:14" ht="38.25">
      <c r="A930" s="58" t="s">
        <v>2068</v>
      </c>
      <c r="B930" s="59" t="s">
        <v>2069</v>
      </c>
      <c r="C930">
        <v>8</v>
      </c>
      <c r="D930" t="str">
        <f>+VLOOKUP(AtecoCrisi[[#This Row],[COD. CRISI]],Tabella139[],2,0)</f>
        <v>H) Trasporto e magazzinaggio; I55) Hotel</v>
      </c>
      <c r="E930" s="53">
        <f t="shared" si="98"/>
        <v>1.4999999999999999E-2</v>
      </c>
      <c r="F930" s="53">
        <f t="shared" si="99"/>
        <v>4.1000000000000002E-2</v>
      </c>
      <c r="G930" s="53">
        <f t="shared" si="100"/>
        <v>0.86</v>
      </c>
      <c r="H930" s="53">
        <f t="shared" si="101"/>
        <v>1.4E-2</v>
      </c>
      <c r="I930" s="53">
        <f t="shared" si="102"/>
        <v>0.10199999999999999</v>
      </c>
      <c r="L930" t="s">
        <v>2199</v>
      </c>
      <c r="M930" t="str">
        <f t="shared" si="104"/>
        <v>Portali web</v>
      </c>
      <c r="N930" t="str">
        <f t="shared" si="103"/>
        <v>JMN) Servizi alle imprese</v>
      </c>
    </row>
    <row r="931" spans="1:14" ht="51">
      <c r="A931" s="58" t="s">
        <v>2070</v>
      </c>
      <c r="B931" s="59" t="s">
        <v>2071</v>
      </c>
      <c r="C931">
        <v>8</v>
      </c>
      <c r="D931" t="str">
        <f>+VLOOKUP(AtecoCrisi[[#This Row],[COD. CRISI]],Tabella139[],2,0)</f>
        <v>H) Trasporto e magazzinaggio; I55) Hotel</v>
      </c>
      <c r="E931" s="53">
        <f t="shared" si="98"/>
        <v>1.4999999999999999E-2</v>
      </c>
      <c r="F931" s="53">
        <f t="shared" si="99"/>
        <v>4.1000000000000002E-2</v>
      </c>
      <c r="G931" s="53">
        <f t="shared" si="100"/>
        <v>0.86</v>
      </c>
      <c r="H931" s="53">
        <f t="shared" si="101"/>
        <v>1.4E-2</v>
      </c>
      <c r="I931" s="53">
        <f t="shared" si="102"/>
        <v>0.10199999999999999</v>
      </c>
      <c r="L931" t="s">
        <v>2201</v>
      </c>
      <c r="M931" t="str">
        <f t="shared" si="104"/>
        <v>Attività delle agenzie di stampa</v>
      </c>
      <c r="N931" t="str">
        <f t="shared" si="103"/>
        <v>JMN) Servizi alle imprese</v>
      </c>
    </row>
    <row r="932" spans="1:14" ht="94.5">
      <c r="A932" s="51" t="s">
        <v>0</v>
      </c>
      <c r="B932" s="52" t="s">
        <v>2072</v>
      </c>
      <c r="C932">
        <v>8</v>
      </c>
      <c r="D932" t="str">
        <f>+VLOOKUP(AtecoCrisi[[#This Row],[COD. CRISI]],Tabella139[],2,0)</f>
        <v>H) Trasporto e magazzinaggio; I55) Hotel</v>
      </c>
      <c r="E932" s="53">
        <f t="shared" si="98"/>
        <v>1.4999999999999999E-2</v>
      </c>
      <c r="F932" s="53">
        <f t="shared" si="99"/>
        <v>4.1000000000000002E-2</v>
      </c>
      <c r="G932" s="53">
        <f t="shared" si="100"/>
        <v>0.86</v>
      </c>
      <c r="H932" s="53">
        <f t="shared" si="101"/>
        <v>1.4E-2</v>
      </c>
      <c r="I932" s="53">
        <f t="shared" si="102"/>
        <v>0.10199999999999999</v>
      </c>
      <c r="L932" t="s">
        <v>2203</v>
      </c>
      <c r="M932" t="str">
        <f t="shared" si="104"/>
        <v>Altre attività dei servizi di informazione nca</v>
      </c>
      <c r="N932" t="str">
        <f t="shared" si="103"/>
        <v>JMN) Servizi alle imprese</v>
      </c>
    </row>
    <row r="933" spans="1:14">
      <c r="A933" s="56" t="s">
        <v>2073</v>
      </c>
      <c r="B933" s="57" t="s">
        <v>2074</v>
      </c>
      <c r="C933">
        <v>8</v>
      </c>
      <c r="D933" t="str">
        <f>+VLOOKUP(AtecoCrisi[[#This Row],[COD. CRISI]],Tabella139[],2,0)</f>
        <v>H) Trasporto e magazzinaggio; I55) Hotel</v>
      </c>
      <c r="E933" s="53">
        <f t="shared" si="98"/>
        <v>1.4999999999999999E-2</v>
      </c>
      <c r="F933" s="53">
        <f t="shared" si="99"/>
        <v>4.1000000000000002E-2</v>
      </c>
      <c r="G933" s="53">
        <f t="shared" si="100"/>
        <v>0.86</v>
      </c>
      <c r="H933" s="53">
        <f t="shared" si="101"/>
        <v>1.4E-2</v>
      </c>
      <c r="I933" s="53">
        <f t="shared" si="102"/>
        <v>0.10199999999999999</v>
      </c>
      <c r="L933" t="s">
        <v>2208</v>
      </c>
      <c r="M933" t="str">
        <f t="shared" si="104"/>
        <v>Attività degli studi legali</v>
      </c>
      <c r="N933" t="str">
        <f t="shared" si="103"/>
        <v>JMN) Servizi alle imprese</v>
      </c>
    </row>
    <row r="934" spans="1:14">
      <c r="A934" s="58" t="s">
        <v>2075</v>
      </c>
      <c r="B934" s="59" t="s">
        <v>2076</v>
      </c>
      <c r="C934">
        <v>8</v>
      </c>
      <c r="D934" t="str">
        <f>+VLOOKUP(AtecoCrisi[[#This Row],[COD. CRISI]],Tabella139[],2,0)</f>
        <v>H) Trasporto e magazzinaggio; I55) Hotel</v>
      </c>
      <c r="E934" s="53">
        <f t="shared" si="98"/>
        <v>1.4999999999999999E-2</v>
      </c>
      <c r="F934" s="53">
        <f t="shared" si="99"/>
        <v>4.1000000000000002E-2</v>
      </c>
      <c r="G934" s="53">
        <f t="shared" si="100"/>
        <v>0.86</v>
      </c>
      <c r="H934" s="53">
        <f t="shared" si="101"/>
        <v>1.4E-2</v>
      </c>
      <c r="I934" s="53">
        <f t="shared" si="102"/>
        <v>0.10199999999999999</v>
      </c>
      <c r="L934" t="s">
        <v>2210</v>
      </c>
      <c r="M934" t="str">
        <f t="shared" si="104"/>
        <v>Attività degli studi notarili</v>
      </c>
      <c r="N934" t="str">
        <f t="shared" si="103"/>
        <v>JMN) Servizi alle imprese</v>
      </c>
    </row>
    <row r="935" spans="1:14">
      <c r="A935" s="58" t="s">
        <v>2077</v>
      </c>
      <c r="B935" s="59" t="s">
        <v>2078</v>
      </c>
      <c r="C935">
        <v>8</v>
      </c>
      <c r="D935" t="str">
        <f>+VLOOKUP(AtecoCrisi[[#This Row],[COD. CRISI]],Tabella139[],2,0)</f>
        <v>H) Trasporto e magazzinaggio; I55) Hotel</v>
      </c>
      <c r="E935" s="53">
        <f t="shared" si="98"/>
        <v>1.4999999999999999E-2</v>
      </c>
      <c r="F935" s="53">
        <f t="shared" si="99"/>
        <v>4.1000000000000002E-2</v>
      </c>
      <c r="G935" s="53">
        <f t="shared" si="100"/>
        <v>0.86</v>
      </c>
      <c r="H935" s="53">
        <f t="shared" si="101"/>
        <v>1.4E-2</v>
      </c>
      <c r="I935" s="53">
        <f t="shared" si="102"/>
        <v>0.10199999999999999</v>
      </c>
      <c r="L935" t="s">
        <v>2212</v>
      </c>
      <c r="M935" t="str">
        <f t="shared" si="104"/>
        <v>Servizi forniti da dottori commercialisti</v>
      </c>
      <c r="N935" t="str">
        <f t="shared" si="103"/>
        <v>JMN) Servizi alle imprese</v>
      </c>
    </row>
    <row r="936" spans="1:14" ht="25.5">
      <c r="A936" s="58" t="s">
        <v>2079</v>
      </c>
      <c r="B936" s="59" t="s">
        <v>2080</v>
      </c>
      <c r="C936">
        <v>8</v>
      </c>
      <c r="D936" t="str">
        <f>+VLOOKUP(AtecoCrisi[[#This Row],[COD. CRISI]],Tabella139[],2,0)</f>
        <v>H) Trasporto e magazzinaggio; I55) Hotel</v>
      </c>
      <c r="E936" s="53">
        <f t="shared" si="98"/>
        <v>1.4999999999999999E-2</v>
      </c>
      <c r="F936" s="53">
        <f t="shared" si="99"/>
        <v>4.1000000000000002E-2</v>
      </c>
      <c r="G936" s="53">
        <f t="shared" si="100"/>
        <v>0.86</v>
      </c>
      <c r="H936" s="53">
        <f t="shared" si="101"/>
        <v>1.4E-2</v>
      </c>
      <c r="I936" s="53">
        <f t="shared" si="102"/>
        <v>0.10199999999999999</v>
      </c>
      <c r="L936" t="s">
        <v>2214</v>
      </c>
      <c r="M936" t="str">
        <f t="shared" si="104"/>
        <v>Servizi forniti da ragionieri e periti commerciali</v>
      </c>
      <c r="N936" t="str">
        <f t="shared" si="103"/>
        <v>JMN) Servizi alle imprese</v>
      </c>
    </row>
    <row r="937" spans="1:14">
      <c r="A937" s="58" t="s">
        <v>2081</v>
      </c>
      <c r="B937" s="59" t="s">
        <v>2082</v>
      </c>
      <c r="C937">
        <v>8</v>
      </c>
      <c r="D937" t="str">
        <f>+VLOOKUP(AtecoCrisi[[#This Row],[COD. CRISI]],Tabella139[],2,0)</f>
        <v>H) Trasporto e magazzinaggio; I55) Hotel</v>
      </c>
      <c r="E937" s="53">
        <f t="shared" si="98"/>
        <v>1.4999999999999999E-2</v>
      </c>
      <c r="F937" s="53">
        <f t="shared" si="99"/>
        <v>4.1000000000000002E-2</v>
      </c>
      <c r="G937" s="53">
        <f t="shared" si="100"/>
        <v>0.86</v>
      </c>
      <c r="H937" s="53">
        <f t="shared" si="101"/>
        <v>1.4E-2</v>
      </c>
      <c r="I937" s="53">
        <f t="shared" si="102"/>
        <v>0.10199999999999999</v>
      </c>
      <c r="L937" t="s">
        <v>2216</v>
      </c>
      <c r="M937" t="str">
        <f t="shared" si="104"/>
        <v>Servizi forniti da revisori contabili, periti, consulenti ed altri soggetti che svolgono attività in materia di amministrazione, contabilità e tributi</v>
      </c>
      <c r="N937" t="str">
        <f t="shared" si="103"/>
        <v>JMN) Servizi alle imprese</v>
      </c>
    </row>
    <row r="938" spans="1:14" ht="25.5">
      <c r="A938" s="58" t="s">
        <v>2083</v>
      </c>
      <c r="B938" s="59" t="s">
        <v>2084</v>
      </c>
      <c r="C938">
        <v>8</v>
      </c>
      <c r="D938" t="str">
        <f>+VLOOKUP(AtecoCrisi[[#This Row],[COD. CRISI]],Tabella139[],2,0)</f>
        <v>H) Trasporto e magazzinaggio; I55) Hotel</v>
      </c>
      <c r="E938" s="53">
        <f t="shared" si="98"/>
        <v>1.4999999999999999E-2</v>
      </c>
      <c r="F938" s="53">
        <f t="shared" si="99"/>
        <v>4.1000000000000002E-2</v>
      </c>
      <c r="G938" s="53">
        <f t="shared" si="100"/>
        <v>0.86</v>
      </c>
      <c r="H938" s="53">
        <f t="shared" si="101"/>
        <v>1.4E-2</v>
      </c>
      <c r="I938" s="53">
        <f t="shared" si="102"/>
        <v>0.10199999999999999</v>
      </c>
      <c r="L938" t="s">
        <v>2218</v>
      </c>
      <c r="M938" t="str">
        <f t="shared" si="104"/>
        <v>Attività svolta dai Centri di assistenza fiscale (Caf)</v>
      </c>
      <c r="N938" t="str">
        <f t="shared" si="103"/>
        <v>JMN) Servizi alle imprese</v>
      </c>
    </row>
    <row r="939" spans="1:14" ht="89.25">
      <c r="A939" s="58" t="s">
        <v>2085</v>
      </c>
      <c r="B939" s="59" t="s">
        <v>2086</v>
      </c>
      <c r="C939">
        <v>8</v>
      </c>
      <c r="D939" t="str">
        <f>+VLOOKUP(AtecoCrisi[[#This Row],[COD. CRISI]],Tabella139[],2,0)</f>
        <v>H) Trasporto e magazzinaggio; I55) Hotel</v>
      </c>
      <c r="E939" s="53">
        <f t="shared" si="98"/>
        <v>1.4999999999999999E-2</v>
      </c>
      <c r="F939" s="53">
        <f t="shared" si="99"/>
        <v>4.1000000000000002E-2</v>
      </c>
      <c r="G939" s="53">
        <f t="shared" si="100"/>
        <v>0.86</v>
      </c>
      <c r="H939" s="53">
        <f t="shared" si="101"/>
        <v>1.4E-2</v>
      </c>
      <c r="I939" s="53">
        <f t="shared" si="102"/>
        <v>0.10199999999999999</v>
      </c>
      <c r="L939" t="s">
        <v>2220</v>
      </c>
      <c r="M939" t="str">
        <f t="shared" si="104"/>
        <v>Gestione ed amministrazione del personale per conto terzi</v>
      </c>
      <c r="N939" t="str">
        <f t="shared" si="103"/>
        <v>JMN) Servizi alle imprese</v>
      </c>
    </row>
    <row r="940" spans="1:14" ht="38.25">
      <c r="A940" s="58" t="s">
        <v>2087</v>
      </c>
      <c r="B940" s="59" t="s">
        <v>2088</v>
      </c>
      <c r="C940">
        <v>8</v>
      </c>
      <c r="D940" t="str">
        <f>+VLOOKUP(AtecoCrisi[[#This Row],[COD. CRISI]],Tabella139[],2,0)</f>
        <v>H) Trasporto e magazzinaggio; I55) Hotel</v>
      </c>
      <c r="E940" s="53">
        <f t="shared" si="98"/>
        <v>1.4999999999999999E-2</v>
      </c>
      <c r="F940" s="53">
        <f t="shared" si="99"/>
        <v>4.1000000000000002E-2</v>
      </c>
      <c r="G940" s="53">
        <f t="shared" si="100"/>
        <v>0.86</v>
      </c>
      <c r="H940" s="53">
        <f t="shared" si="101"/>
        <v>1.4E-2</v>
      </c>
      <c r="I940" s="53">
        <f t="shared" si="102"/>
        <v>0.10199999999999999</v>
      </c>
      <c r="L940" t="s">
        <v>2222</v>
      </c>
      <c r="M940" t="str">
        <f t="shared" si="104"/>
        <v>Attività delle società di revisione e certificazione di bilanci</v>
      </c>
      <c r="N940" t="str">
        <f t="shared" si="103"/>
        <v>JMN) Servizi alle imprese</v>
      </c>
    </row>
    <row r="941" spans="1:14" ht="51">
      <c r="A941" s="58" t="s">
        <v>2089</v>
      </c>
      <c r="B941" s="59" t="s">
        <v>2090</v>
      </c>
      <c r="C941">
        <v>8</v>
      </c>
      <c r="D941" t="str">
        <f>+VLOOKUP(AtecoCrisi[[#This Row],[COD. CRISI]],Tabella139[],2,0)</f>
        <v>H) Trasporto e magazzinaggio; I55) Hotel</v>
      </c>
      <c r="E941" s="53">
        <f t="shared" si="98"/>
        <v>1.4999999999999999E-2</v>
      </c>
      <c r="F941" s="53">
        <f t="shared" si="99"/>
        <v>4.1000000000000002E-2</v>
      </c>
      <c r="G941" s="53">
        <f t="shared" si="100"/>
        <v>0.86</v>
      </c>
      <c r="H941" s="53">
        <f t="shared" si="101"/>
        <v>1.4E-2</v>
      </c>
      <c r="I941" s="53">
        <f t="shared" si="102"/>
        <v>0.10199999999999999</v>
      </c>
      <c r="L941" t="s">
        <v>2224</v>
      </c>
      <c r="M941" t="str">
        <f t="shared" si="104"/>
        <v>Attività dei consulenti del lavoro</v>
      </c>
      <c r="N941" t="str">
        <f t="shared" si="103"/>
        <v>JMN) Servizi alle imprese</v>
      </c>
    </row>
    <row r="942" spans="1:14" ht="25.5">
      <c r="A942" s="58" t="s">
        <v>2091</v>
      </c>
      <c r="B942" s="59" t="s">
        <v>2092</v>
      </c>
      <c r="C942">
        <v>8</v>
      </c>
      <c r="D942" t="str">
        <f>+VLOOKUP(AtecoCrisi[[#This Row],[COD. CRISI]],Tabella139[],2,0)</f>
        <v>H) Trasporto e magazzinaggio; I55) Hotel</v>
      </c>
      <c r="E942" s="53">
        <f t="shared" si="98"/>
        <v>1.4999999999999999E-2</v>
      </c>
      <c r="F942" s="53">
        <f t="shared" si="99"/>
        <v>4.1000000000000002E-2</v>
      </c>
      <c r="G942" s="53">
        <f t="shared" si="100"/>
        <v>0.86</v>
      </c>
      <c r="H942" s="53">
        <f t="shared" si="101"/>
        <v>1.4E-2</v>
      </c>
      <c r="I942" s="53">
        <f t="shared" si="102"/>
        <v>0.10199999999999999</v>
      </c>
      <c r="L942" t="s">
        <v>2228</v>
      </c>
      <c r="M942" t="str">
        <f t="shared" si="104"/>
        <v>Attività delle holding impegnate nelle attività gestionali (holding operative)</v>
      </c>
      <c r="N942" t="str">
        <f t="shared" si="103"/>
        <v>JMN) Servizi alle imprese</v>
      </c>
    </row>
    <row r="943" spans="1:14" ht="63.75">
      <c r="A943" s="58" t="s">
        <v>2093</v>
      </c>
      <c r="B943" s="59" t="s">
        <v>2094</v>
      </c>
      <c r="C943">
        <v>8</v>
      </c>
      <c r="D943" t="str">
        <f>+VLOOKUP(AtecoCrisi[[#This Row],[COD. CRISI]],Tabella139[],2,0)</f>
        <v>H) Trasporto e magazzinaggio; I55) Hotel</v>
      </c>
      <c r="E943" s="53">
        <f t="shared" si="98"/>
        <v>1.4999999999999999E-2</v>
      </c>
      <c r="F943" s="53">
        <f t="shared" si="99"/>
        <v>4.1000000000000002E-2</v>
      </c>
      <c r="G943" s="53">
        <f t="shared" si="100"/>
        <v>0.86</v>
      </c>
      <c r="H943" s="53">
        <f t="shared" si="101"/>
        <v>1.4E-2</v>
      </c>
      <c r="I943" s="53">
        <f t="shared" si="102"/>
        <v>0.10199999999999999</v>
      </c>
      <c r="L943" t="s">
        <v>2230</v>
      </c>
      <c r="M943" t="str">
        <f t="shared" si="104"/>
        <v>Pubbliche relazioni e comunicazione</v>
      </c>
      <c r="N943" t="str">
        <f t="shared" si="103"/>
        <v>JMN) Servizi alle imprese</v>
      </c>
    </row>
    <row r="944" spans="1:14" ht="38.25">
      <c r="A944" s="56" t="s">
        <v>2095</v>
      </c>
      <c r="B944" s="57" t="s">
        <v>2096</v>
      </c>
      <c r="C944">
        <v>7</v>
      </c>
      <c r="D944" t="str">
        <f>+VLOOKUP(AtecoCrisi[[#This Row],[COD. CRISI]],Tabella139[],2,0)</f>
        <v>G47) Commercio dettaglio; I56) Bar e ristoranti</v>
      </c>
      <c r="E944" s="53">
        <f t="shared" si="98"/>
        <v>1.4999999999999999E-2</v>
      </c>
      <c r="F944" s="53">
        <f t="shared" si="99"/>
        <v>4.2000000000000003E-2</v>
      </c>
      <c r="G944" s="53">
        <f t="shared" si="100"/>
        <v>0.89800000000000002</v>
      </c>
      <c r="H944" s="53">
        <f t="shared" si="101"/>
        <v>0.01</v>
      </c>
      <c r="I944" s="53">
        <f t="shared" si="102"/>
        <v>7.8E-2</v>
      </c>
      <c r="L944" t="s">
        <v>2232</v>
      </c>
      <c r="M944" t="str">
        <f t="shared" si="104"/>
        <v>Attività di consulenza per la gestione della logistica aziendale</v>
      </c>
      <c r="N944" t="str">
        <f t="shared" si="103"/>
        <v>JMN) Servizi alle imprese</v>
      </c>
    </row>
    <row r="945" spans="1:14" ht="25.5">
      <c r="A945" s="58" t="s">
        <v>2097</v>
      </c>
      <c r="B945" s="59" t="s">
        <v>2098</v>
      </c>
      <c r="C945">
        <v>7</v>
      </c>
      <c r="D945" t="str">
        <f>+VLOOKUP(AtecoCrisi[[#This Row],[COD. CRISI]],Tabella139[],2,0)</f>
        <v>G47) Commercio dettaglio; I56) Bar e ristoranti</v>
      </c>
      <c r="E945" s="53">
        <f t="shared" si="98"/>
        <v>1.4999999999999999E-2</v>
      </c>
      <c r="F945" s="53">
        <f t="shared" si="99"/>
        <v>4.2000000000000003E-2</v>
      </c>
      <c r="G945" s="53">
        <f t="shared" si="100"/>
        <v>0.89800000000000002</v>
      </c>
      <c r="H945" s="53">
        <f t="shared" si="101"/>
        <v>0.01</v>
      </c>
      <c r="I945" s="53">
        <f t="shared" si="102"/>
        <v>7.8E-2</v>
      </c>
      <c r="L945" t="s">
        <v>2234</v>
      </c>
      <c r="M945" t="str">
        <f t="shared" si="104"/>
        <v>Altre attività di consulenza imprenditoriale e altra consulenza amministrativo-gestionale e pianificazione aziendale</v>
      </c>
      <c r="N945" t="str">
        <f t="shared" si="103"/>
        <v>JMN) Servizi alle imprese</v>
      </c>
    </row>
    <row r="946" spans="1:14" ht="51">
      <c r="A946" s="58" t="s">
        <v>2099</v>
      </c>
      <c r="B946" s="59" t="s">
        <v>2100</v>
      </c>
      <c r="C946">
        <v>7</v>
      </c>
      <c r="D946" t="str">
        <f>+VLOOKUP(AtecoCrisi[[#This Row],[COD. CRISI]],Tabella139[],2,0)</f>
        <v>G47) Commercio dettaglio; I56) Bar e ristoranti</v>
      </c>
      <c r="E946" s="53">
        <f t="shared" si="98"/>
        <v>1.4999999999999999E-2</v>
      </c>
      <c r="F946" s="53">
        <f t="shared" si="99"/>
        <v>4.2000000000000003E-2</v>
      </c>
      <c r="G946" s="53">
        <f t="shared" si="100"/>
        <v>0.89800000000000002</v>
      </c>
      <c r="H946" s="53">
        <f t="shared" si="101"/>
        <v>0.01</v>
      </c>
      <c r="I946" s="53">
        <f t="shared" si="102"/>
        <v>7.8E-2</v>
      </c>
      <c r="L946" t="s">
        <v>2238</v>
      </c>
      <c r="M946" t="str">
        <f t="shared" si="104"/>
        <v>Attività degli studi di architettura</v>
      </c>
      <c r="N946" t="str">
        <f t="shared" si="103"/>
        <v>JMN) Servizi alle imprese</v>
      </c>
    </row>
    <row r="947" spans="1:14" ht="63.75">
      <c r="A947" s="58" t="s">
        <v>2101</v>
      </c>
      <c r="B947" s="59" t="s">
        <v>2102</v>
      </c>
      <c r="C947">
        <v>7</v>
      </c>
      <c r="D947" t="str">
        <f>+VLOOKUP(AtecoCrisi[[#This Row],[COD. CRISI]],Tabella139[],2,0)</f>
        <v>G47) Commercio dettaglio; I56) Bar e ristoranti</v>
      </c>
      <c r="E947" s="53">
        <f t="shared" si="98"/>
        <v>1.4999999999999999E-2</v>
      </c>
      <c r="F947" s="53">
        <f t="shared" si="99"/>
        <v>4.2000000000000003E-2</v>
      </c>
      <c r="G947" s="53">
        <f t="shared" si="100"/>
        <v>0.89800000000000002</v>
      </c>
      <c r="H947" s="53">
        <f t="shared" si="101"/>
        <v>0.01</v>
      </c>
      <c r="I947" s="53">
        <f t="shared" si="102"/>
        <v>7.8E-2</v>
      </c>
      <c r="L947" t="s">
        <v>2240</v>
      </c>
      <c r="M947" t="str">
        <f t="shared" si="104"/>
        <v>Attività degli studi di ingegneria</v>
      </c>
      <c r="N947" t="str">
        <f t="shared" si="103"/>
        <v>JMN) Servizi alle imprese</v>
      </c>
    </row>
    <row r="948" spans="1:14" ht="25.5">
      <c r="A948" s="58" t="s">
        <v>2103</v>
      </c>
      <c r="B948" s="59" t="s">
        <v>2104</v>
      </c>
      <c r="C948">
        <v>7</v>
      </c>
      <c r="D948" t="str">
        <f>+VLOOKUP(AtecoCrisi[[#This Row],[COD. CRISI]],Tabella139[],2,0)</f>
        <v>G47) Commercio dettaglio; I56) Bar e ristoranti</v>
      </c>
      <c r="E948" s="53">
        <f t="shared" si="98"/>
        <v>1.4999999999999999E-2</v>
      </c>
      <c r="F948" s="53">
        <f t="shared" si="99"/>
        <v>4.2000000000000003E-2</v>
      </c>
      <c r="G948" s="53">
        <f t="shared" si="100"/>
        <v>0.89800000000000002</v>
      </c>
      <c r="H948" s="53">
        <f t="shared" si="101"/>
        <v>0.01</v>
      </c>
      <c r="I948" s="53">
        <f t="shared" si="102"/>
        <v>7.8E-2</v>
      </c>
      <c r="L948" t="s">
        <v>2242</v>
      </c>
      <c r="M948" t="str">
        <f t="shared" si="104"/>
        <v>Servizi di progettazione di ingegneria integrata</v>
      </c>
      <c r="N948" t="str">
        <f t="shared" si="103"/>
        <v>JMN) Servizi alle imprese</v>
      </c>
    </row>
    <row r="949" spans="1:14" ht="38.25">
      <c r="A949" s="58" t="s">
        <v>2105</v>
      </c>
      <c r="B949" s="59" t="s">
        <v>2106</v>
      </c>
      <c r="C949">
        <v>7</v>
      </c>
      <c r="D949" t="str">
        <f>+VLOOKUP(AtecoCrisi[[#This Row],[COD. CRISI]],Tabella139[],2,0)</f>
        <v>G47) Commercio dettaglio; I56) Bar e ristoranti</v>
      </c>
      <c r="E949" s="53">
        <f t="shared" si="98"/>
        <v>1.4999999999999999E-2</v>
      </c>
      <c r="F949" s="53">
        <f t="shared" si="99"/>
        <v>4.2000000000000003E-2</v>
      </c>
      <c r="G949" s="53">
        <f t="shared" si="100"/>
        <v>0.89800000000000002</v>
      </c>
      <c r="H949" s="53">
        <f t="shared" si="101"/>
        <v>0.01</v>
      </c>
      <c r="I949" s="53">
        <f t="shared" si="102"/>
        <v>7.8E-2</v>
      </c>
      <c r="L949" t="s">
        <v>2244</v>
      </c>
      <c r="M949" t="str">
        <f t="shared" si="104"/>
        <v>Attività tecniche svolte da geometri</v>
      </c>
      <c r="N949" t="str">
        <f t="shared" si="103"/>
        <v>JMN) Servizi alle imprese</v>
      </c>
    </row>
    <row r="950" spans="1:14" ht="25.5">
      <c r="A950" s="58" t="s">
        <v>2107</v>
      </c>
      <c r="B950" s="59" t="s">
        <v>2108</v>
      </c>
      <c r="C950">
        <v>7</v>
      </c>
      <c r="D950" t="str">
        <f>+VLOOKUP(AtecoCrisi[[#This Row],[COD. CRISI]],Tabella139[],2,0)</f>
        <v>G47) Commercio dettaglio; I56) Bar e ristoranti</v>
      </c>
      <c r="E950" s="53">
        <f t="shared" si="98"/>
        <v>1.4999999999999999E-2</v>
      </c>
      <c r="F950" s="53">
        <f t="shared" si="99"/>
        <v>4.2000000000000003E-2</v>
      </c>
      <c r="G950" s="53">
        <f t="shared" si="100"/>
        <v>0.89800000000000002</v>
      </c>
      <c r="H950" s="53">
        <f t="shared" si="101"/>
        <v>0.01</v>
      </c>
      <c r="I950" s="53">
        <f t="shared" si="102"/>
        <v>7.8E-2</v>
      </c>
      <c r="L950" t="s">
        <v>2246</v>
      </c>
      <c r="M950" t="str">
        <f t="shared" si="104"/>
        <v>Attività di cartografia e aerofotogrammetria</v>
      </c>
      <c r="N950" t="str">
        <f t="shared" si="103"/>
        <v>JMN) Servizi alle imprese</v>
      </c>
    </row>
    <row r="951" spans="1:14" ht="25.5">
      <c r="A951" s="58" t="s">
        <v>2109</v>
      </c>
      <c r="B951" s="59" t="s">
        <v>2110</v>
      </c>
      <c r="C951">
        <v>7</v>
      </c>
      <c r="D951" t="str">
        <f>+VLOOKUP(AtecoCrisi[[#This Row],[COD. CRISI]],Tabella139[],2,0)</f>
        <v>G47) Commercio dettaglio; I56) Bar e ristoranti</v>
      </c>
      <c r="E951" s="53">
        <f t="shared" si="98"/>
        <v>1.4999999999999999E-2</v>
      </c>
      <c r="F951" s="53">
        <f t="shared" si="99"/>
        <v>4.2000000000000003E-2</v>
      </c>
      <c r="G951" s="53">
        <f t="shared" si="100"/>
        <v>0.89800000000000002</v>
      </c>
      <c r="H951" s="53">
        <f t="shared" si="101"/>
        <v>0.01</v>
      </c>
      <c r="I951" s="53">
        <f t="shared" si="102"/>
        <v>7.8E-2</v>
      </c>
      <c r="L951" t="s">
        <v>2248</v>
      </c>
      <c r="M951" t="str">
        <f t="shared" si="104"/>
        <v>Attività di studio geologico e di prospezione geognostica e mineraria</v>
      </c>
      <c r="N951" t="str">
        <f t="shared" si="103"/>
        <v>JMN) Servizi alle imprese</v>
      </c>
    </row>
    <row r="952" spans="1:14" ht="25.5">
      <c r="A952" s="58" t="s">
        <v>2111</v>
      </c>
      <c r="B952" s="59" t="s">
        <v>2112</v>
      </c>
      <c r="C952">
        <v>7</v>
      </c>
      <c r="D952" t="str">
        <f>+VLOOKUP(AtecoCrisi[[#This Row],[COD. CRISI]],Tabella139[],2,0)</f>
        <v>G47) Commercio dettaglio; I56) Bar e ristoranti</v>
      </c>
      <c r="E952" s="53">
        <f t="shared" si="98"/>
        <v>1.4999999999999999E-2</v>
      </c>
      <c r="F952" s="53">
        <f t="shared" si="99"/>
        <v>4.2000000000000003E-2</v>
      </c>
      <c r="G952" s="53">
        <f t="shared" si="100"/>
        <v>0.89800000000000002</v>
      </c>
      <c r="H952" s="53">
        <f t="shared" si="101"/>
        <v>0.01</v>
      </c>
      <c r="I952" s="53">
        <f t="shared" si="102"/>
        <v>7.8E-2</v>
      </c>
      <c r="L952" t="s">
        <v>2250</v>
      </c>
      <c r="M952" t="str">
        <f t="shared" si="104"/>
        <v>Collaudi e analisi tecniche di prodotti</v>
      </c>
      <c r="N952" t="str">
        <f t="shared" si="103"/>
        <v>JMN) Servizi alle imprese</v>
      </c>
    </row>
    <row r="953" spans="1:14">
      <c r="A953" s="58" t="s">
        <v>2113</v>
      </c>
      <c r="B953" s="59" t="s">
        <v>2114</v>
      </c>
      <c r="C953">
        <v>7</v>
      </c>
      <c r="D953" t="str">
        <f>+VLOOKUP(AtecoCrisi[[#This Row],[COD. CRISI]],Tabella139[],2,0)</f>
        <v>G47) Commercio dettaglio; I56) Bar e ristoranti</v>
      </c>
      <c r="E953" s="53">
        <f t="shared" si="98"/>
        <v>1.4999999999999999E-2</v>
      </c>
      <c r="F953" s="53">
        <f t="shared" si="99"/>
        <v>4.2000000000000003E-2</v>
      </c>
      <c r="G953" s="53">
        <f t="shared" si="100"/>
        <v>0.89800000000000002</v>
      </c>
      <c r="H953" s="53">
        <f t="shared" si="101"/>
        <v>0.01</v>
      </c>
      <c r="I953" s="53">
        <f t="shared" si="102"/>
        <v>7.8E-2</v>
      </c>
      <c r="L953" t="s">
        <v>2252</v>
      </c>
      <c r="M953" t="str">
        <f t="shared" si="104"/>
        <v>Controllo di qualità e certificazione di prodotti, processi e sistemi</v>
      </c>
      <c r="N953" t="str">
        <f t="shared" si="103"/>
        <v>JMN) Servizi alle imprese</v>
      </c>
    </row>
    <row r="954" spans="1:14" ht="38.25">
      <c r="A954" s="58" t="s">
        <v>2115</v>
      </c>
      <c r="B954" s="59" t="s">
        <v>2116</v>
      </c>
      <c r="C954">
        <v>7</v>
      </c>
      <c r="D954" t="str">
        <f>+VLOOKUP(AtecoCrisi[[#This Row],[COD. CRISI]],Tabella139[],2,0)</f>
        <v>G47) Commercio dettaglio; I56) Bar e ristoranti</v>
      </c>
      <c r="E954" s="53">
        <f t="shared" si="98"/>
        <v>1.4999999999999999E-2</v>
      </c>
      <c r="F954" s="53">
        <f t="shared" si="99"/>
        <v>4.2000000000000003E-2</v>
      </c>
      <c r="G954" s="53">
        <f t="shared" si="100"/>
        <v>0.89800000000000002</v>
      </c>
      <c r="H954" s="53">
        <f t="shared" si="101"/>
        <v>0.01</v>
      </c>
      <c r="I954" s="53">
        <f t="shared" si="102"/>
        <v>7.8E-2</v>
      </c>
      <c r="L954" t="s">
        <v>2254</v>
      </c>
      <c r="M954" t="str">
        <f t="shared" si="104"/>
        <v>Attività per la tutela di beni di produzione controllata</v>
      </c>
      <c r="N954" t="str">
        <f t="shared" si="103"/>
        <v>JMN) Servizi alle imprese</v>
      </c>
    </row>
    <row r="955" spans="1:14" ht="38.25">
      <c r="A955" s="58" t="s">
        <v>2117</v>
      </c>
      <c r="B955" s="59" t="s">
        <v>2118</v>
      </c>
      <c r="C955">
        <v>7</v>
      </c>
      <c r="D955" t="str">
        <f>+VLOOKUP(AtecoCrisi[[#This Row],[COD. CRISI]],Tabella139[],2,0)</f>
        <v>G47) Commercio dettaglio; I56) Bar e ristoranti</v>
      </c>
      <c r="E955" s="53">
        <f t="shared" si="98"/>
        <v>1.4999999999999999E-2</v>
      </c>
      <c r="F955" s="53">
        <f t="shared" si="99"/>
        <v>4.2000000000000003E-2</v>
      </c>
      <c r="G955" s="53">
        <f t="shared" si="100"/>
        <v>0.89800000000000002</v>
      </c>
      <c r="H955" s="53">
        <f t="shared" si="101"/>
        <v>0.01</v>
      </c>
      <c r="I955" s="53">
        <f t="shared" si="102"/>
        <v>7.8E-2</v>
      </c>
      <c r="L955" t="s">
        <v>2258</v>
      </c>
      <c r="M955" t="str">
        <f t="shared" si="104"/>
        <v>Ricerca e sviluppo sperimentale nel campo delle biotecnologie</v>
      </c>
      <c r="N955" t="str">
        <f t="shared" si="103"/>
        <v>JMN) Servizi alle imprese</v>
      </c>
    </row>
    <row r="956" spans="1:14" ht="78.75">
      <c r="A956" s="51" t="s">
        <v>2119</v>
      </c>
      <c r="B956" s="52" t="s">
        <v>2120</v>
      </c>
      <c r="C956">
        <v>9</v>
      </c>
      <c r="D956" t="str">
        <f>+VLOOKUP(AtecoCrisi[[#This Row],[COD. CRISI]],Tabella139[],2,0)</f>
        <v>JMN) Servizi alle imprese</v>
      </c>
      <c r="E956" s="53">
        <f t="shared" si="98"/>
        <v>1.7999999999999999E-2</v>
      </c>
      <c r="F956" s="53">
        <f t="shared" si="99"/>
        <v>5.1999999999999998E-2</v>
      </c>
      <c r="G956" s="53">
        <f t="shared" si="100"/>
        <v>0.95399999999999996</v>
      </c>
      <c r="H956" s="53">
        <f t="shared" si="101"/>
        <v>1.7000000000000001E-2</v>
      </c>
      <c r="I956" s="53">
        <f t="shared" si="102"/>
        <v>0.11899999999999999</v>
      </c>
      <c r="L956" t="s">
        <v>2260</v>
      </c>
      <c r="M956" t="str">
        <f t="shared" si="104"/>
        <v>Ricerca e sviluppo sperimentale nel campo della geologia</v>
      </c>
      <c r="N956" t="str">
        <f t="shared" si="103"/>
        <v>JMN) Servizi alle imprese</v>
      </c>
    </row>
    <row r="957" spans="1:14" ht="25.5">
      <c r="A957" s="56" t="s">
        <v>2121</v>
      </c>
      <c r="B957" s="57" t="s">
        <v>2122</v>
      </c>
      <c r="C957">
        <v>9</v>
      </c>
      <c r="D957" t="str">
        <f>+VLOOKUP(AtecoCrisi[[#This Row],[COD. CRISI]],Tabella139[],2,0)</f>
        <v>JMN) Servizi alle imprese</v>
      </c>
      <c r="E957" s="53">
        <f t="shared" si="98"/>
        <v>1.7999999999999999E-2</v>
      </c>
      <c r="F957" s="53">
        <f t="shared" si="99"/>
        <v>5.1999999999999998E-2</v>
      </c>
      <c r="G957" s="53">
        <f t="shared" si="100"/>
        <v>0.95399999999999996</v>
      </c>
      <c r="H957" s="53">
        <f t="shared" si="101"/>
        <v>1.7000000000000001E-2</v>
      </c>
      <c r="I957" s="53">
        <f t="shared" si="102"/>
        <v>0.11899999999999999</v>
      </c>
      <c r="L957" t="s">
        <v>2262</v>
      </c>
      <c r="M957" t="str">
        <f t="shared" si="104"/>
        <v>Ricerca e sviluppo sperimentale nel campo delle altre scienze naturali e dell'ingegneria</v>
      </c>
      <c r="N957" t="str">
        <f t="shared" si="103"/>
        <v>JMN) Servizi alle imprese</v>
      </c>
    </row>
    <row r="958" spans="1:14">
      <c r="A958" s="58" t="s">
        <v>2123</v>
      </c>
      <c r="B958" s="59" t="s">
        <v>2124</v>
      </c>
      <c r="C958">
        <v>9</v>
      </c>
      <c r="D958" t="str">
        <f>+VLOOKUP(AtecoCrisi[[#This Row],[COD. CRISI]],Tabella139[],2,0)</f>
        <v>JMN) Servizi alle imprese</v>
      </c>
      <c r="E958" s="53">
        <f t="shared" si="98"/>
        <v>1.7999999999999999E-2</v>
      </c>
      <c r="F958" s="53">
        <f t="shared" si="99"/>
        <v>5.1999999999999998E-2</v>
      </c>
      <c r="G958" s="53">
        <f t="shared" si="100"/>
        <v>0.95399999999999996</v>
      </c>
      <c r="H958" s="53">
        <f t="shared" si="101"/>
        <v>1.7000000000000001E-2</v>
      </c>
      <c r="I958" s="53">
        <f t="shared" si="102"/>
        <v>0.11899999999999999</v>
      </c>
      <c r="L958" t="s">
        <v>2264</v>
      </c>
      <c r="M958" t="str">
        <f t="shared" si="104"/>
        <v>Ricerca e sviluppo sperimentale nel campo delle scienze sociali e umanistiche</v>
      </c>
      <c r="N958" t="str">
        <f t="shared" si="103"/>
        <v>JMN) Servizi alle imprese</v>
      </c>
    </row>
    <row r="959" spans="1:14" ht="25.5">
      <c r="A959" s="58" t="s">
        <v>2125</v>
      </c>
      <c r="B959" s="59" t="s">
        <v>2126</v>
      </c>
      <c r="C959">
        <v>9</v>
      </c>
      <c r="D959" t="str">
        <f>+VLOOKUP(AtecoCrisi[[#This Row],[COD. CRISI]],Tabella139[],2,0)</f>
        <v>JMN) Servizi alle imprese</v>
      </c>
      <c r="E959" s="53">
        <f t="shared" si="98"/>
        <v>1.7999999999999999E-2</v>
      </c>
      <c r="F959" s="53">
        <f t="shared" si="99"/>
        <v>5.1999999999999998E-2</v>
      </c>
      <c r="G959" s="53">
        <f t="shared" si="100"/>
        <v>0.95399999999999996</v>
      </c>
      <c r="H959" s="53">
        <f t="shared" si="101"/>
        <v>1.7000000000000001E-2</v>
      </c>
      <c r="I959" s="53">
        <f t="shared" si="102"/>
        <v>0.11899999999999999</v>
      </c>
      <c r="L959" t="s">
        <v>2268</v>
      </c>
      <c r="M959" t="str">
        <f t="shared" si="104"/>
        <v>Ideazione di campagne pubblicitarie</v>
      </c>
      <c r="N959" t="str">
        <f t="shared" si="103"/>
        <v>JMN) Servizi alle imprese</v>
      </c>
    </row>
    <row r="960" spans="1:14" ht="25.5">
      <c r="A960" s="58" t="s">
        <v>2127</v>
      </c>
      <c r="B960" s="59" t="s">
        <v>2128</v>
      </c>
      <c r="C960">
        <v>9</v>
      </c>
      <c r="D960" t="str">
        <f>+VLOOKUP(AtecoCrisi[[#This Row],[COD. CRISI]],Tabella139[],2,0)</f>
        <v>JMN) Servizi alle imprese</v>
      </c>
      <c r="E960" s="53">
        <f t="shared" si="98"/>
        <v>1.7999999999999999E-2</v>
      </c>
      <c r="F960" s="53">
        <f t="shared" si="99"/>
        <v>5.1999999999999998E-2</v>
      </c>
      <c r="G960" s="53">
        <f t="shared" si="100"/>
        <v>0.95399999999999996</v>
      </c>
      <c r="H960" s="53">
        <f t="shared" si="101"/>
        <v>1.7000000000000001E-2</v>
      </c>
      <c r="I960" s="53">
        <f t="shared" si="102"/>
        <v>0.11899999999999999</v>
      </c>
      <c r="L960" t="s">
        <v>2270</v>
      </c>
      <c r="M960" t="str">
        <f t="shared" si="104"/>
        <v>Conduzione di campagne di marketing e altri servizi pubblicitari</v>
      </c>
      <c r="N960" t="str">
        <f t="shared" si="103"/>
        <v>JMN) Servizi alle imprese</v>
      </c>
    </row>
    <row r="961" spans="1:14" ht="25.5">
      <c r="A961" s="58" t="s">
        <v>2129</v>
      </c>
      <c r="B961" s="59" t="s">
        <v>2130</v>
      </c>
      <c r="C961">
        <v>9</v>
      </c>
      <c r="D961" t="str">
        <f>+VLOOKUP(AtecoCrisi[[#This Row],[COD. CRISI]],Tabella139[],2,0)</f>
        <v>JMN) Servizi alle imprese</v>
      </c>
      <c r="E961" s="53">
        <f t="shared" si="98"/>
        <v>1.7999999999999999E-2</v>
      </c>
      <c r="F961" s="53">
        <f t="shared" si="99"/>
        <v>5.1999999999999998E-2</v>
      </c>
      <c r="G961" s="53">
        <f t="shared" si="100"/>
        <v>0.95399999999999996</v>
      </c>
      <c r="H961" s="53">
        <f t="shared" si="101"/>
        <v>1.7000000000000001E-2</v>
      </c>
      <c r="I961" s="53">
        <f t="shared" si="102"/>
        <v>0.11899999999999999</v>
      </c>
      <c r="L961" t="s">
        <v>2272</v>
      </c>
      <c r="M961" t="str">
        <f t="shared" si="104"/>
        <v>Attività delle concessionarie e degli altri intermediari di servizi pubblicitari</v>
      </c>
      <c r="N961" t="str">
        <f t="shared" si="103"/>
        <v>JMN) Servizi alle imprese</v>
      </c>
    </row>
    <row r="962" spans="1:14" ht="25.5">
      <c r="A962" s="58" t="s">
        <v>2131</v>
      </c>
      <c r="B962" s="59" t="s">
        <v>2132</v>
      </c>
      <c r="C962">
        <v>9</v>
      </c>
      <c r="D962" t="str">
        <f>+VLOOKUP(AtecoCrisi[[#This Row],[COD. CRISI]],Tabella139[],2,0)</f>
        <v>JMN) Servizi alle imprese</v>
      </c>
      <c r="E962" s="53">
        <f t="shared" ref="E962:E998" si="105">+VLOOKUP(C962,$R$2:$X$11,3,FALSE)</f>
        <v>1.7999999999999999E-2</v>
      </c>
      <c r="F962" s="53">
        <f t="shared" ref="F962:F998" si="106">+VLOOKUP(C962,$R$2:$X$11,4,FALSE)</f>
        <v>5.1999999999999998E-2</v>
      </c>
      <c r="G962" s="53">
        <f t="shared" ref="G962:G998" si="107">+VLOOKUP(C962,$R$2:$X$11,5,FALSE)</f>
        <v>0.95399999999999996</v>
      </c>
      <c r="H962" s="53">
        <f t="shared" ref="H962:H998" si="108">+VLOOKUP(C962,$R$2:$X$11,6,FALSE)</f>
        <v>1.7000000000000001E-2</v>
      </c>
      <c r="I962" s="53">
        <f t="shared" ref="I962:I998" si="109">+VLOOKUP(C962,$R$2:$X$11,7,FALSE)</f>
        <v>0.11899999999999999</v>
      </c>
      <c r="L962" t="s">
        <v>2274</v>
      </c>
      <c r="M962" t="str">
        <f t="shared" si="104"/>
        <v>Ricerche di mercato e sondaggi di opinione</v>
      </c>
      <c r="N962" t="str">
        <f t="shared" ref="N962:N1025" si="110">+VLOOKUP(L962,A:D,4,0)</f>
        <v>JMN) Servizi alle imprese</v>
      </c>
    </row>
    <row r="963" spans="1:14" ht="25.5">
      <c r="A963" s="58" t="s">
        <v>2133</v>
      </c>
      <c r="B963" s="59" t="s">
        <v>2134</v>
      </c>
      <c r="C963">
        <v>9</v>
      </c>
      <c r="D963" t="str">
        <f>+VLOOKUP(AtecoCrisi[[#This Row],[COD. CRISI]],Tabella139[],2,0)</f>
        <v>JMN) Servizi alle imprese</v>
      </c>
      <c r="E963" s="53">
        <f t="shared" si="105"/>
        <v>1.7999999999999999E-2</v>
      </c>
      <c r="F963" s="53">
        <f t="shared" si="106"/>
        <v>5.1999999999999998E-2</v>
      </c>
      <c r="G963" s="53">
        <f t="shared" si="107"/>
        <v>0.95399999999999996</v>
      </c>
      <c r="H963" s="53">
        <f t="shared" si="108"/>
        <v>1.7000000000000001E-2</v>
      </c>
      <c r="I963" s="53">
        <f t="shared" si="109"/>
        <v>0.11899999999999999</v>
      </c>
      <c r="L963" t="s">
        <v>2278</v>
      </c>
      <c r="M963" t="str">
        <f t="shared" ref="M963:M1026" si="111">+VLOOKUP(L963,A:B,2,0)</f>
        <v>Attività di design di moda e design industriale</v>
      </c>
      <c r="N963" t="str">
        <f t="shared" si="110"/>
        <v>JMN) Servizi alle imprese</v>
      </c>
    </row>
    <row r="964" spans="1:14" ht="25.5">
      <c r="A964" s="58" t="s">
        <v>2135</v>
      </c>
      <c r="B964" s="59" t="s">
        <v>2136</v>
      </c>
      <c r="C964">
        <v>9</v>
      </c>
      <c r="D964" t="str">
        <f>+VLOOKUP(AtecoCrisi[[#This Row],[COD. CRISI]],Tabella139[],2,0)</f>
        <v>JMN) Servizi alle imprese</v>
      </c>
      <c r="E964" s="53">
        <f t="shared" si="105"/>
        <v>1.7999999999999999E-2</v>
      </c>
      <c r="F964" s="53">
        <f t="shared" si="106"/>
        <v>5.1999999999999998E-2</v>
      </c>
      <c r="G964" s="53">
        <f t="shared" si="107"/>
        <v>0.95399999999999996</v>
      </c>
      <c r="H964" s="53">
        <f t="shared" si="108"/>
        <v>1.7000000000000001E-2</v>
      </c>
      <c r="I964" s="53">
        <f t="shared" si="109"/>
        <v>0.11899999999999999</v>
      </c>
      <c r="L964" t="s">
        <v>2280</v>
      </c>
      <c r="M964" t="str">
        <f t="shared" si="111"/>
        <v>Attività dei disegnatori grafici di pagine web</v>
      </c>
      <c r="N964" t="str">
        <f t="shared" si="110"/>
        <v>JMN) Servizi alle imprese</v>
      </c>
    </row>
    <row r="965" spans="1:14" ht="63.75">
      <c r="A965" s="58" t="s">
        <v>2137</v>
      </c>
      <c r="B965" s="59" t="s">
        <v>2138</v>
      </c>
      <c r="C965">
        <v>9</v>
      </c>
      <c r="D965" t="str">
        <f>+VLOOKUP(AtecoCrisi[[#This Row],[COD. CRISI]],Tabella139[],2,0)</f>
        <v>JMN) Servizi alle imprese</v>
      </c>
      <c r="E965" s="53">
        <f t="shared" si="105"/>
        <v>1.7999999999999999E-2</v>
      </c>
      <c r="F965" s="53">
        <f t="shared" si="106"/>
        <v>5.1999999999999998E-2</v>
      </c>
      <c r="G965" s="53">
        <f t="shared" si="107"/>
        <v>0.95399999999999996</v>
      </c>
      <c r="H965" s="53">
        <f t="shared" si="108"/>
        <v>1.7000000000000001E-2</v>
      </c>
      <c r="I965" s="53">
        <f t="shared" si="109"/>
        <v>0.11899999999999999</v>
      </c>
      <c r="L965" t="s">
        <v>2282</v>
      </c>
      <c r="M965" t="str">
        <f t="shared" si="111"/>
        <v>Altre attività dei disegnatori grafici</v>
      </c>
      <c r="N965" t="str">
        <f t="shared" si="110"/>
        <v>JMN) Servizi alle imprese</v>
      </c>
    </row>
    <row r="966" spans="1:14" ht="114.75">
      <c r="A966" s="56" t="s">
        <v>2139</v>
      </c>
      <c r="B966" s="57" t="s">
        <v>2140</v>
      </c>
      <c r="C966">
        <v>9</v>
      </c>
      <c r="D966" t="str">
        <f>+VLOOKUP(AtecoCrisi[[#This Row],[COD. CRISI]],Tabella139[],2,0)</f>
        <v>JMN) Servizi alle imprese</v>
      </c>
      <c r="E966" s="53">
        <f t="shared" si="105"/>
        <v>1.7999999999999999E-2</v>
      </c>
      <c r="F966" s="53">
        <f t="shared" si="106"/>
        <v>5.1999999999999998E-2</v>
      </c>
      <c r="G966" s="53">
        <f t="shared" si="107"/>
        <v>0.95399999999999996</v>
      </c>
      <c r="H966" s="53">
        <f t="shared" si="108"/>
        <v>1.7000000000000001E-2</v>
      </c>
      <c r="I966" s="53">
        <f t="shared" si="109"/>
        <v>0.11899999999999999</v>
      </c>
      <c r="L966" t="s">
        <v>2284</v>
      </c>
      <c r="M966" t="str">
        <f t="shared" si="111"/>
        <v>Attività dei disegnatori tecnici</v>
      </c>
      <c r="N966" t="str">
        <f t="shared" si="110"/>
        <v>JMN) Servizi alle imprese</v>
      </c>
    </row>
    <row r="967" spans="1:14" ht="76.5">
      <c r="A967" s="58" t="s">
        <v>2141</v>
      </c>
      <c r="B967" s="59" t="s">
        <v>2142</v>
      </c>
      <c r="C967">
        <v>9</v>
      </c>
      <c r="D967" t="str">
        <f>+VLOOKUP(AtecoCrisi[[#This Row],[COD. CRISI]],Tabella139[],2,0)</f>
        <v>JMN) Servizi alle imprese</v>
      </c>
      <c r="E967" s="53">
        <f t="shared" si="105"/>
        <v>1.7999999999999999E-2</v>
      </c>
      <c r="F967" s="53">
        <f t="shared" si="106"/>
        <v>5.1999999999999998E-2</v>
      </c>
      <c r="G967" s="53">
        <f t="shared" si="107"/>
        <v>0.95399999999999996</v>
      </c>
      <c r="H967" s="53">
        <f t="shared" si="108"/>
        <v>1.7000000000000001E-2</v>
      </c>
      <c r="I967" s="53">
        <f t="shared" si="109"/>
        <v>0.11899999999999999</v>
      </c>
      <c r="L967" t="s">
        <v>2286</v>
      </c>
      <c r="M967" t="str">
        <f t="shared" si="111"/>
        <v>Altre attività di design</v>
      </c>
      <c r="N967" t="str">
        <f t="shared" si="110"/>
        <v>JMN) Servizi alle imprese</v>
      </c>
    </row>
    <row r="968" spans="1:14" ht="76.5">
      <c r="A968" s="58" t="s">
        <v>2143</v>
      </c>
      <c r="B968" s="59" t="s">
        <v>2144</v>
      </c>
      <c r="C968">
        <v>9</v>
      </c>
      <c r="D968" t="str">
        <f>+VLOOKUP(AtecoCrisi[[#This Row],[COD. CRISI]],Tabella139[],2,0)</f>
        <v>JMN) Servizi alle imprese</v>
      </c>
      <c r="E968" s="53">
        <f t="shared" si="105"/>
        <v>1.7999999999999999E-2</v>
      </c>
      <c r="F968" s="53">
        <f t="shared" si="106"/>
        <v>5.1999999999999998E-2</v>
      </c>
      <c r="G968" s="53">
        <f t="shared" si="107"/>
        <v>0.95399999999999996</v>
      </c>
      <c r="H968" s="53">
        <f t="shared" si="108"/>
        <v>1.7000000000000001E-2</v>
      </c>
      <c r="I968" s="53">
        <f t="shared" si="109"/>
        <v>0.11899999999999999</v>
      </c>
      <c r="L968" t="s">
        <v>2288</v>
      </c>
      <c r="M968" t="str">
        <f t="shared" si="111"/>
        <v>Attività di fotoreporter</v>
      </c>
      <c r="N968" t="str">
        <f t="shared" si="110"/>
        <v>JMN) Servizi alle imprese</v>
      </c>
    </row>
    <row r="969" spans="1:14" ht="76.5">
      <c r="A969" s="58" t="s">
        <v>2145</v>
      </c>
      <c r="B969" s="59" t="s">
        <v>2146</v>
      </c>
      <c r="C969">
        <v>9</v>
      </c>
      <c r="D969" t="str">
        <f>+VLOOKUP(AtecoCrisi[[#This Row],[COD. CRISI]],Tabella139[],2,0)</f>
        <v>JMN) Servizi alle imprese</v>
      </c>
      <c r="E969" s="53">
        <f t="shared" si="105"/>
        <v>1.7999999999999999E-2</v>
      </c>
      <c r="F969" s="53">
        <f t="shared" si="106"/>
        <v>5.1999999999999998E-2</v>
      </c>
      <c r="G969" s="53">
        <f t="shared" si="107"/>
        <v>0.95399999999999996</v>
      </c>
      <c r="H969" s="53">
        <f t="shared" si="108"/>
        <v>1.7000000000000001E-2</v>
      </c>
      <c r="I969" s="53">
        <f t="shared" si="109"/>
        <v>0.11899999999999999</v>
      </c>
      <c r="L969" t="s">
        <v>2290</v>
      </c>
      <c r="M969" t="str">
        <f t="shared" si="111"/>
        <v>Attività di riprese aeree nel campo della fotografia</v>
      </c>
      <c r="N969" t="str">
        <f t="shared" si="110"/>
        <v>JMN) Servizi alle imprese</v>
      </c>
    </row>
    <row r="970" spans="1:14" ht="38.25">
      <c r="A970" s="58" t="s">
        <v>2147</v>
      </c>
      <c r="B970" s="59" t="s">
        <v>2148</v>
      </c>
      <c r="C970">
        <v>9</v>
      </c>
      <c r="D970" t="str">
        <f>+VLOOKUP(AtecoCrisi[[#This Row],[COD. CRISI]],Tabella139[],2,0)</f>
        <v>JMN) Servizi alle imprese</v>
      </c>
      <c r="E970" s="53">
        <f t="shared" si="105"/>
        <v>1.7999999999999999E-2</v>
      </c>
      <c r="F970" s="53">
        <f t="shared" si="106"/>
        <v>5.1999999999999998E-2</v>
      </c>
      <c r="G970" s="53">
        <f t="shared" si="107"/>
        <v>0.95399999999999996</v>
      </c>
      <c r="H970" s="53">
        <f t="shared" si="108"/>
        <v>1.7000000000000001E-2</v>
      </c>
      <c r="I970" s="53">
        <f t="shared" si="109"/>
        <v>0.11899999999999999</v>
      </c>
      <c r="L970" t="s">
        <v>2292</v>
      </c>
      <c r="M970" t="str">
        <f t="shared" si="111"/>
        <v>Altre attività di riprese fotografiche</v>
      </c>
      <c r="N970" t="str">
        <f t="shared" si="110"/>
        <v>JMN) Servizi alle imprese</v>
      </c>
    </row>
    <row r="971" spans="1:14" ht="38.25">
      <c r="A971" s="58" t="s">
        <v>2149</v>
      </c>
      <c r="B971" s="59" t="s">
        <v>2150</v>
      </c>
      <c r="C971">
        <v>9</v>
      </c>
      <c r="D971" t="str">
        <f>+VLOOKUP(AtecoCrisi[[#This Row],[COD. CRISI]],Tabella139[],2,0)</f>
        <v>JMN) Servizi alle imprese</v>
      </c>
      <c r="E971" s="53">
        <f t="shared" si="105"/>
        <v>1.7999999999999999E-2</v>
      </c>
      <c r="F971" s="53">
        <f t="shared" si="106"/>
        <v>5.1999999999999998E-2</v>
      </c>
      <c r="G971" s="53">
        <f t="shared" si="107"/>
        <v>0.95399999999999996</v>
      </c>
      <c r="H971" s="53">
        <f t="shared" si="108"/>
        <v>1.7000000000000001E-2</v>
      </c>
      <c r="I971" s="53">
        <f t="shared" si="109"/>
        <v>0.11899999999999999</v>
      </c>
      <c r="L971" t="s">
        <v>2294</v>
      </c>
      <c r="M971" t="str">
        <f t="shared" si="111"/>
        <v>Laboratori fotografici per lo sviluppo e la stampa</v>
      </c>
      <c r="N971" t="str">
        <f t="shared" si="110"/>
        <v>JMN) Servizi alle imprese</v>
      </c>
    </row>
    <row r="972" spans="1:14" ht="25.5">
      <c r="A972" s="58" t="s">
        <v>2151</v>
      </c>
      <c r="B972" s="59" t="s">
        <v>2152</v>
      </c>
      <c r="C972">
        <v>9</v>
      </c>
      <c r="D972" t="str">
        <f>+VLOOKUP(AtecoCrisi[[#This Row],[COD. CRISI]],Tabella139[],2,0)</f>
        <v>JMN) Servizi alle imprese</v>
      </c>
      <c r="E972" s="53">
        <f t="shared" si="105"/>
        <v>1.7999999999999999E-2</v>
      </c>
      <c r="F972" s="53">
        <f t="shared" si="106"/>
        <v>5.1999999999999998E-2</v>
      </c>
      <c r="G972" s="53">
        <f t="shared" si="107"/>
        <v>0.95399999999999996</v>
      </c>
      <c r="H972" s="53">
        <f t="shared" si="108"/>
        <v>1.7000000000000001E-2</v>
      </c>
      <c r="I972" s="53">
        <f t="shared" si="109"/>
        <v>0.11899999999999999</v>
      </c>
      <c r="L972" t="s">
        <v>2296</v>
      </c>
      <c r="M972" t="str">
        <f t="shared" si="111"/>
        <v>Traduzione e interpretariato</v>
      </c>
      <c r="N972" t="str">
        <f t="shared" si="110"/>
        <v>JMN) Servizi alle imprese</v>
      </c>
    </row>
    <row r="973" spans="1:14" ht="38.25">
      <c r="A973" s="58" t="s">
        <v>2153</v>
      </c>
      <c r="B973" s="59" t="s">
        <v>2154</v>
      </c>
      <c r="C973">
        <v>9</v>
      </c>
      <c r="D973" t="str">
        <f>+VLOOKUP(AtecoCrisi[[#This Row],[COD. CRISI]],Tabella139[],2,0)</f>
        <v>JMN) Servizi alle imprese</v>
      </c>
      <c r="E973" s="53">
        <f t="shared" si="105"/>
        <v>1.7999999999999999E-2</v>
      </c>
      <c r="F973" s="53">
        <f t="shared" si="106"/>
        <v>5.1999999999999998E-2</v>
      </c>
      <c r="G973" s="53">
        <f t="shared" si="107"/>
        <v>0.95399999999999996</v>
      </c>
      <c r="H973" s="53">
        <f t="shared" si="108"/>
        <v>1.7000000000000001E-2</v>
      </c>
      <c r="I973" s="53">
        <f t="shared" si="109"/>
        <v>0.11899999999999999</v>
      </c>
      <c r="L973" t="s">
        <v>2298</v>
      </c>
      <c r="M973" t="str">
        <f t="shared" si="111"/>
        <v>Consulenza agraria fornita da agronomi</v>
      </c>
      <c r="N973" t="str">
        <f t="shared" si="110"/>
        <v>JMN) Servizi alle imprese</v>
      </c>
    </row>
    <row r="974" spans="1:14" ht="51">
      <c r="A974" s="56" t="s">
        <v>2155</v>
      </c>
      <c r="B974" s="57" t="s">
        <v>2156</v>
      </c>
      <c r="C974">
        <v>9</v>
      </c>
      <c r="D974" t="str">
        <f>+VLOOKUP(AtecoCrisi[[#This Row],[COD. CRISI]],Tabella139[],2,0)</f>
        <v>JMN) Servizi alle imprese</v>
      </c>
      <c r="E974" s="53">
        <f t="shared" si="105"/>
        <v>1.7999999999999999E-2</v>
      </c>
      <c r="F974" s="53">
        <f t="shared" si="106"/>
        <v>5.1999999999999998E-2</v>
      </c>
      <c r="G974" s="53">
        <f t="shared" si="107"/>
        <v>0.95399999999999996</v>
      </c>
      <c r="H974" s="53">
        <f t="shared" si="108"/>
        <v>1.7000000000000001E-2</v>
      </c>
      <c r="I974" s="53">
        <f t="shared" si="109"/>
        <v>0.11899999999999999</v>
      </c>
      <c r="L974" t="s">
        <v>2300</v>
      </c>
      <c r="M974" t="str">
        <f t="shared" si="111"/>
        <v>Consulenza agraria fornita da agrotecnici e periti agrari</v>
      </c>
      <c r="N974" t="str">
        <f t="shared" si="110"/>
        <v>JMN) Servizi alle imprese</v>
      </c>
    </row>
    <row r="975" spans="1:14" ht="25.5">
      <c r="A975" s="58" t="s">
        <v>2157</v>
      </c>
      <c r="B975" s="59" t="s">
        <v>2158</v>
      </c>
      <c r="C975">
        <v>9</v>
      </c>
      <c r="D975" t="str">
        <f>+VLOOKUP(AtecoCrisi[[#This Row],[COD. CRISI]],Tabella139[],2,0)</f>
        <v>JMN) Servizi alle imprese</v>
      </c>
      <c r="E975" s="53">
        <f t="shared" si="105"/>
        <v>1.7999999999999999E-2</v>
      </c>
      <c r="F975" s="53">
        <f t="shared" si="106"/>
        <v>5.1999999999999998E-2</v>
      </c>
      <c r="G975" s="53">
        <f t="shared" si="107"/>
        <v>0.95399999999999996</v>
      </c>
      <c r="H975" s="53">
        <f t="shared" si="108"/>
        <v>1.7000000000000001E-2</v>
      </c>
      <c r="I975" s="53">
        <f t="shared" si="109"/>
        <v>0.11899999999999999</v>
      </c>
      <c r="L975" t="s">
        <v>2302</v>
      </c>
      <c r="M975" t="str">
        <f t="shared" si="111"/>
        <v>Consulenza sulla sicurezza ed igiene dei posti di lavoro</v>
      </c>
      <c r="N975" t="str">
        <f t="shared" si="110"/>
        <v>JMN) Servizi alle imprese</v>
      </c>
    </row>
    <row r="976" spans="1:14" ht="38.25">
      <c r="A976" s="58" t="s">
        <v>2159</v>
      </c>
      <c r="B976" s="59" t="s">
        <v>2160</v>
      </c>
      <c r="C976">
        <v>9</v>
      </c>
      <c r="D976" t="str">
        <f>+VLOOKUP(AtecoCrisi[[#This Row],[COD. CRISI]],Tabella139[],2,0)</f>
        <v>JMN) Servizi alle imprese</v>
      </c>
      <c r="E976" s="53">
        <f t="shared" si="105"/>
        <v>1.7999999999999999E-2</v>
      </c>
      <c r="F976" s="53">
        <f t="shared" si="106"/>
        <v>5.1999999999999998E-2</v>
      </c>
      <c r="G976" s="53">
        <f t="shared" si="107"/>
        <v>0.95399999999999996</v>
      </c>
      <c r="H976" s="53">
        <f t="shared" si="108"/>
        <v>1.7000000000000001E-2</v>
      </c>
      <c r="I976" s="53">
        <f t="shared" si="109"/>
        <v>0.11899999999999999</v>
      </c>
      <c r="L976" t="s">
        <v>2304</v>
      </c>
      <c r="M976" t="str">
        <f t="shared" si="111"/>
        <v>Altra attività di consulenza in materia di sicurezza</v>
      </c>
      <c r="N976" t="str">
        <f t="shared" si="110"/>
        <v>JMN) Servizi alle imprese</v>
      </c>
    </row>
    <row r="977" spans="1:14" ht="25.5">
      <c r="A977" s="56" t="s">
        <v>2161</v>
      </c>
      <c r="B977" s="57" t="s">
        <v>2162</v>
      </c>
      <c r="C977">
        <v>9</v>
      </c>
      <c r="D977" t="str">
        <f>+VLOOKUP(AtecoCrisi[[#This Row],[COD. CRISI]],Tabella139[],2,0)</f>
        <v>JMN) Servizi alle imprese</v>
      </c>
      <c r="E977" s="53">
        <f t="shared" si="105"/>
        <v>1.7999999999999999E-2</v>
      </c>
      <c r="F977" s="53">
        <f t="shared" si="106"/>
        <v>5.1999999999999998E-2</v>
      </c>
      <c r="G977" s="53">
        <f t="shared" si="107"/>
        <v>0.95399999999999996</v>
      </c>
      <c r="H977" s="53">
        <f t="shared" si="108"/>
        <v>1.7000000000000001E-2</v>
      </c>
      <c r="I977" s="53">
        <f t="shared" si="109"/>
        <v>0.11899999999999999</v>
      </c>
      <c r="L977" t="s">
        <v>2306</v>
      </c>
      <c r="M977" t="str">
        <f t="shared" si="111"/>
        <v>Attività tecniche svolte da periti industriali</v>
      </c>
      <c r="N977" t="str">
        <f t="shared" si="110"/>
        <v>JMN) Servizi alle imprese</v>
      </c>
    </row>
    <row r="978" spans="1:14" ht="25.5">
      <c r="A978" s="58" t="s">
        <v>2163</v>
      </c>
      <c r="B978" s="59" t="s">
        <v>2164</v>
      </c>
      <c r="C978">
        <v>9</v>
      </c>
      <c r="D978" t="str">
        <f>+VLOOKUP(AtecoCrisi[[#This Row],[COD. CRISI]],Tabella139[],2,0)</f>
        <v>JMN) Servizi alle imprese</v>
      </c>
      <c r="E978" s="53">
        <f t="shared" si="105"/>
        <v>1.7999999999999999E-2</v>
      </c>
      <c r="F978" s="53">
        <f t="shared" si="106"/>
        <v>5.1999999999999998E-2</v>
      </c>
      <c r="G978" s="53">
        <f t="shared" si="107"/>
        <v>0.95399999999999996</v>
      </c>
      <c r="H978" s="53">
        <f t="shared" si="108"/>
        <v>1.7000000000000001E-2</v>
      </c>
      <c r="I978" s="53">
        <f t="shared" si="109"/>
        <v>0.11899999999999999</v>
      </c>
      <c r="L978" t="s">
        <v>2308</v>
      </c>
      <c r="M978" t="str">
        <f t="shared" si="111"/>
        <v>Attività riguardanti le previsioni meteorologiche</v>
      </c>
      <c r="N978" t="str">
        <f t="shared" si="110"/>
        <v>JMN) Servizi alle imprese</v>
      </c>
    </row>
    <row r="979" spans="1:14" ht="25.5">
      <c r="A979" s="58" t="s">
        <v>2165</v>
      </c>
      <c r="B979" s="59" t="s">
        <v>2166</v>
      </c>
      <c r="C979">
        <v>9</v>
      </c>
      <c r="D979" t="str">
        <f>+VLOOKUP(AtecoCrisi[[#This Row],[COD. CRISI]],Tabella139[],2,0)</f>
        <v>JMN) Servizi alle imprese</v>
      </c>
      <c r="E979" s="53">
        <f t="shared" si="105"/>
        <v>1.7999999999999999E-2</v>
      </c>
      <c r="F979" s="53">
        <f t="shared" si="106"/>
        <v>5.1999999999999998E-2</v>
      </c>
      <c r="G979" s="53">
        <f t="shared" si="107"/>
        <v>0.95399999999999996</v>
      </c>
      <c r="H979" s="53">
        <f t="shared" si="108"/>
        <v>1.7000000000000001E-2</v>
      </c>
      <c r="I979" s="53">
        <f t="shared" si="109"/>
        <v>0.11899999999999999</v>
      </c>
      <c r="L979" t="s">
        <v>2310</v>
      </c>
      <c r="M979" t="str">
        <f t="shared" si="111"/>
        <v>Altre attività di consulenza tecnica nca</v>
      </c>
      <c r="N979" t="str">
        <f t="shared" si="110"/>
        <v>JMN) Servizi alle imprese</v>
      </c>
    </row>
    <row r="980" spans="1:14" ht="25.5">
      <c r="A980" s="58" t="s">
        <v>2167</v>
      </c>
      <c r="B980" s="59" t="s">
        <v>2168</v>
      </c>
      <c r="C980">
        <v>9</v>
      </c>
      <c r="D980" t="str">
        <f>+VLOOKUP(AtecoCrisi[[#This Row],[COD. CRISI]],Tabella139[],2,0)</f>
        <v>JMN) Servizi alle imprese</v>
      </c>
      <c r="E980" s="53">
        <f t="shared" si="105"/>
        <v>1.7999999999999999E-2</v>
      </c>
      <c r="F980" s="53">
        <f t="shared" si="106"/>
        <v>5.1999999999999998E-2</v>
      </c>
      <c r="G980" s="53">
        <f t="shared" si="107"/>
        <v>0.95399999999999996</v>
      </c>
      <c r="H980" s="53">
        <f t="shared" si="108"/>
        <v>1.7000000000000001E-2</v>
      </c>
      <c r="I980" s="53">
        <f t="shared" si="109"/>
        <v>0.11899999999999999</v>
      </c>
      <c r="L980" t="s">
        <v>2312</v>
      </c>
      <c r="M980" t="str">
        <f t="shared" si="111"/>
        <v>Agenzie ed agenti o procuratori per lo spettacolo e lo sport</v>
      </c>
      <c r="N980" t="str">
        <f t="shared" si="110"/>
        <v>JMN) Servizi alle imprese</v>
      </c>
    </row>
    <row r="981" spans="1:14" ht="38.25">
      <c r="A981" s="58" t="s">
        <v>2169</v>
      </c>
      <c r="B981" s="59" t="s">
        <v>2170</v>
      </c>
      <c r="C981">
        <v>9</v>
      </c>
      <c r="D981" t="str">
        <f>+VLOOKUP(AtecoCrisi[[#This Row],[COD. CRISI]],Tabella139[],2,0)</f>
        <v>JMN) Servizi alle imprese</v>
      </c>
      <c r="E981" s="53">
        <f t="shared" si="105"/>
        <v>1.7999999999999999E-2</v>
      </c>
      <c r="F981" s="53">
        <f t="shared" si="106"/>
        <v>5.1999999999999998E-2</v>
      </c>
      <c r="G981" s="53">
        <f t="shared" si="107"/>
        <v>0.95399999999999996</v>
      </c>
      <c r="H981" s="53">
        <f t="shared" si="108"/>
        <v>1.7000000000000001E-2</v>
      </c>
      <c r="I981" s="53">
        <f t="shared" si="109"/>
        <v>0.11899999999999999</v>
      </c>
      <c r="L981" t="s">
        <v>2314</v>
      </c>
      <c r="M981" t="str">
        <f t="shared" si="111"/>
        <v>Altre attività professionali nca</v>
      </c>
      <c r="N981" t="str">
        <f t="shared" si="110"/>
        <v>JMN) Servizi alle imprese</v>
      </c>
    </row>
    <row r="982" spans="1:14" ht="38.25">
      <c r="A982" s="58" t="s">
        <v>2171</v>
      </c>
      <c r="B982" s="59" t="s">
        <v>2172</v>
      </c>
      <c r="C982">
        <v>9</v>
      </c>
      <c r="D982" t="str">
        <f>+VLOOKUP(AtecoCrisi[[#This Row],[COD. CRISI]],Tabella139[],2,0)</f>
        <v>JMN) Servizi alle imprese</v>
      </c>
      <c r="E982" s="53">
        <f t="shared" si="105"/>
        <v>1.7999999999999999E-2</v>
      </c>
      <c r="F982" s="53">
        <f t="shared" si="106"/>
        <v>5.1999999999999998E-2</v>
      </c>
      <c r="G982" s="53">
        <f t="shared" si="107"/>
        <v>0.95399999999999996</v>
      </c>
      <c r="H982" s="53">
        <f t="shared" si="108"/>
        <v>1.7000000000000001E-2</v>
      </c>
      <c r="I982" s="53">
        <f t="shared" si="109"/>
        <v>0.11899999999999999</v>
      </c>
      <c r="L982" t="s">
        <v>2318</v>
      </c>
      <c r="M982" t="str">
        <f t="shared" si="111"/>
        <v>Servizi veterinari</v>
      </c>
      <c r="N982" t="str">
        <f t="shared" si="110"/>
        <v>JMN) Servizi alle imprese</v>
      </c>
    </row>
    <row r="983" spans="1:14" ht="51">
      <c r="A983" s="58" t="s">
        <v>2173</v>
      </c>
      <c r="B983" s="59" t="s">
        <v>2174</v>
      </c>
      <c r="C983">
        <v>9</v>
      </c>
      <c r="D983" t="str">
        <f>+VLOOKUP(AtecoCrisi[[#This Row],[COD. CRISI]],Tabella139[],2,0)</f>
        <v>JMN) Servizi alle imprese</v>
      </c>
      <c r="E983" s="53">
        <f t="shared" si="105"/>
        <v>1.7999999999999999E-2</v>
      </c>
      <c r="F983" s="53">
        <f t="shared" si="106"/>
        <v>5.1999999999999998E-2</v>
      </c>
      <c r="G983" s="53">
        <f t="shared" si="107"/>
        <v>0.95399999999999996</v>
      </c>
      <c r="H983" s="53">
        <f t="shared" si="108"/>
        <v>1.7000000000000001E-2</v>
      </c>
      <c r="I983" s="53">
        <f t="shared" si="109"/>
        <v>0.11899999999999999</v>
      </c>
      <c r="L983" t="s">
        <v>2324</v>
      </c>
      <c r="M983" t="str">
        <f t="shared" si="111"/>
        <v>Noleggio di autovetture ed autoveicoli leggeri</v>
      </c>
      <c r="N983" t="str">
        <f t="shared" si="110"/>
        <v>JMN) Servizi alle imprese</v>
      </c>
    </row>
    <row r="984" spans="1:14" ht="51">
      <c r="A984" s="58" t="s">
        <v>2175</v>
      </c>
      <c r="B984" s="59" t="s">
        <v>2176</v>
      </c>
      <c r="C984">
        <v>9</v>
      </c>
      <c r="D984" t="str">
        <f>+VLOOKUP(AtecoCrisi[[#This Row],[COD. CRISI]],Tabella139[],2,0)</f>
        <v>JMN) Servizi alle imprese</v>
      </c>
      <c r="E984" s="53">
        <f t="shared" si="105"/>
        <v>1.7999999999999999E-2</v>
      </c>
      <c r="F984" s="53">
        <f t="shared" si="106"/>
        <v>5.1999999999999998E-2</v>
      </c>
      <c r="G984" s="53">
        <f t="shared" si="107"/>
        <v>0.95399999999999996</v>
      </c>
      <c r="H984" s="53">
        <f t="shared" si="108"/>
        <v>1.7000000000000001E-2</v>
      </c>
      <c r="I984" s="53">
        <f t="shared" si="109"/>
        <v>0.11899999999999999</v>
      </c>
      <c r="L984" t="s">
        <v>2326</v>
      </c>
      <c r="M984" t="str">
        <f t="shared" si="111"/>
        <v>Noleggio di autocarri e di altri veicoli pesanti</v>
      </c>
      <c r="N984" t="str">
        <f t="shared" si="110"/>
        <v>JMN) Servizi alle imprese</v>
      </c>
    </row>
    <row r="985" spans="1:14" ht="76.5">
      <c r="A985" s="56" t="s">
        <v>2177</v>
      </c>
      <c r="B985" s="57" t="s">
        <v>2178</v>
      </c>
      <c r="C985">
        <v>9</v>
      </c>
      <c r="D985" t="str">
        <f>+VLOOKUP(AtecoCrisi[[#This Row],[COD. CRISI]],Tabella139[],2,0)</f>
        <v>JMN) Servizi alle imprese</v>
      </c>
      <c r="E985" s="53">
        <f t="shared" si="105"/>
        <v>1.7999999999999999E-2</v>
      </c>
      <c r="F985" s="53">
        <f t="shared" si="106"/>
        <v>5.1999999999999998E-2</v>
      </c>
      <c r="G985" s="53">
        <f t="shared" si="107"/>
        <v>0.95399999999999996</v>
      </c>
      <c r="H985" s="53">
        <f t="shared" si="108"/>
        <v>1.7000000000000001E-2</v>
      </c>
      <c r="I985" s="53">
        <f t="shared" si="109"/>
        <v>0.11899999999999999</v>
      </c>
      <c r="L985" t="s">
        <v>2328</v>
      </c>
      <c r="M985" t="str">
        <f t="shared" si="111"/>
        <v>Noleggio di biciclette</v>
      </c>
      <c r="N985" t="str">
        <f t="shared" si="110"/>
        <v>JMN) Servizi alle imprese</v>
      </c>
    </row>
    <row r="986" spans="1:14" ht="51">
      <c r="A986" s="58" t="s">
        <v>2179</v>
      </c>
      <c r="B986" s="59" t="s">
        <v>2180</v>
      </c>
      <c r="C986">
        <v>9</v>
      </c>
      <c r="D986" t="str">
        <f>+VLOOKUP(AtecoCrisi[[#This Row],[COD. CRISI]],Tabella139[],2,0)</f>
        <v>JMN) Servizi alle imprese</v>
      </c>
      <c r="E986" s="53">
        <f t="shared" si="105"/>
        <v>1.7999999999999999E-2</v>
      </c>
      <c r="F986" s="53">
        <f t="shared" si="106"/>
        <v>5.1999999999999998E-2</v>
      </c>
      <c r="G986" s="53">
        <f t="shared" si="107"/>
        <v>0.95399999999999996</v>
      </c>
      <c r="H986" s="53">
        <f t="shared" si="108"/>
        <v>1.7000000000000001E-2</v>
      </c>
      <c r="I986" s="53">
        <f t="shared" si="109"/>
        <v>0.11899999999999999</v>
      </c>
      <c r="L986" t="s">
        <v>2330</v>
      </c>
      <c r="M986" t="str">
        <f t="shared" si="111"/>
        <v>Noleggio senza equipaggio di imbarcazioni da diporto (inclusi i pedalò)</v>
      </c>
      <c r="N986" t="str">
        <f t="shared" si="110"/>
        <v>JMN) Servizi alle imprese</v>
      </c>
    </row>
    <row r="987" spans="1:14" ht="51">
      <c r="A987" s="58" t="s">
        <v>2181</v>
      </c>
      <c r="B987" s="59" t="s">
        <v>2182</v>
      </c>
      <c r="C987">
        <v>9</v>
      </c>
      <c r="D987" t="str">
        <f>+VLOOKUP(AtecoCrisi[[#This Row],[COD. CRISI]],Tabella139[],2,0)</f>
        <v>JMN) Servizi alle imprese</v>
      </c>
      <c r="E987" s="53">
        <f t="shared" si="105"/>
        <v>1.7999999999999999E-2</v>
      </c>
      <c r="F987" s="53">
        <f t="shared" si="106"/>
        <v>5.1999999999999998E-2</v>
      </c>
      <c r="G987" s="53">
        <f t="shared" si="107"/>
        <v>0.95399999999999996</v>
      </c>
      <c r="H987" s="53">
        <f t="shared" si="108"/>
        <v>1.7000000000000001E-2</v>
      </c>
      <c r="I987" s="53">
        <f t="shared" si="109"/>
        <v>0.11899999999999999</v>
      </c>
      <c r="L987" t="s">
        <v>2332</v>
      </c>
      <c r="M987" t="str">
        <f t="shared" si="111"/>
        <v>Noleggio di altre attrezzature sportive e ricreative</v>
      </c>
      <c r="N987" t="str">
        <f t="shared" si="110"/>
        <v>JMN) Servizi alle imprese</v>
      </c>
    </row>
    <row r="988" spans="1:14" ht="89.25">
      <c r="A988" s="58" t="s">
        <v>2183</v>
      </c>
      <c r="B988" s="59" t="s">
        <v>2184</v>
      </c>
      <c r="C988">
        <v>9</v>
      </c>
      <c r="D988" t="str">
        <f>+VLOOKUP(AtecoCrisi[[#This Row],[COD. CRISI]],Tabella139[],2,0)</f>
        <v>JMN) Servizi alle imprese</v>
      </c>
      <c r="E988" s="53">
        <f t="shared" si="105"/>
        <v>1.7999999999999999E-2</v>
      </c>
      <c r="F988" s="53">
        <f t="shared" si="106"/>
        <v>5.1999999999999998E-2</v>
      </c>
      <c r="G988" s="53">
        <f t="shared" si="107"/>
        <v>0.95399999999999996</v>
      </c>
      <c r="H988" s="53">
        <f t="shared" si="108"/>
        <v>1.7000000000000001E-2</v>
      </c>
      <c r="I988" s="53">
        <f t="shared" si="109"/>
        <v>0.11899999999999999</v>
      </c>
      <c r="L988" t="s">
        <v>2334</v>
      </c>
      <c r="M988" t="str">
        <f t="shared" si="111"/>
        <v>Noleggio di videocassette, Cd, Dvd e dischi contenenti audiovisivi o videogame</v>
      </c>
      <c r="N988" t="str">
        <f t="shared" si="110"/>
        <v>JMN) Servizi alle imprese</v>
      </c>
    </row>
    <row r="989" spans="1:14" ht="25.5">
      <c r="A989" s="58" t="s">
        <v>2185</v>
      </c>
      <c r="B989" s="59" t="s">
        <v>2186</v>
      </c>
      <c r="C989">
        <v>9</v>
      </c>
      <c r="D989" t="str">
        <f>+VLOOKUP(AtecoCrisi[[#This Row],[COD. CRISI]],Tabella139[],2,0)</f>
        <v>JMN) Servizi alle imprese</v>
      </c>
      <c r="E989" s="53">
        <f t="shared" si="105"/>
        <v>1.7999999999999999E-2</v>
      </c>
      <c r="F989" s="53">
        <f t="shared" si="106"/>
        <v>5.1999999999999998E-2</v>
      </c>
      <c r="G989" s="53">
        <f t="shared" si="107"/>
        <v>0.95399999999999996</v>
      </c>
      <c r="H989" s="53">
        <f t="shared" si="108"/>
        <v>1.7000000000000001E-2</v>
      </c>
      <c r="I989" s="53">
        <f t="shared" si="109"/>
        <v>0.11899999999999999</v>
      </c>
      <c r="L989" t="s">
        <v>2336</v>
      </c>
      <c r="M989" t="str">
        <f t="shared" si="111"/>
        <v>Noleggio di biancheria da tavola, da letto, da bagno e di articoli di vestiario</v>
      </c>
      <c r="N989" t="str">
        <f t="shared" si="110"/>
        <v>JMN) Servizi alle imprese</v>
      </c>
    </row>
    <row r="990" spans="1:14" ht="51">
      <c r="A990" s="58" t="s">
        <v>2187</v>
      </c>
      <c r="B990" s="59" t="s">
        <v>2188</v>
      </c>
      <c r="C990">
        <v>9</v>
      </c>
      <c r="D990" t="str">
        <f>+VLOOKUP(AtecoCrisi[[#This Row],[COD. CRISI]],Tabella139[],2,0)</f>
        <v>JMN) Servizi alle imprese</v>
      </c>
      <c r="E990" s="53">
        <f t="shared" si="105"/>
        <v>1.7999999999999999E-2</v>
      </c>
      <c r="F990" s="53">
        <f t="shared" si="106"/>
        <v>5.1999999999999998E-2</v>
      </c>
      <c r="G990" s="53">
        <f t="shared" si="107"/>
        <v>0.95399999999999996</v>
      </c>
      <c r="H990" s="53">
        <f t="shared" si="108"/>
        <v>1.7000000000000001E-2</v>
      </c>
      <c r="I990" s="53">
        <f t="shared" si="109"/>
        <v>0.11899999999999999</v>
      </c>
      <c r="L990" t="s">
        <v>2338</v>
      </c>
      <c r="M990" t="str">
        <f t="shared" si="111"/>
        <v>Noleggio di altri beni per uso personale e domestico nca (escluse le attrezzature sportive e ricreative)</v>
      </c>
      <c r="N990" t="str">
        <f t="shared" si="110"/>
        <v>JMN) Servizi alle imprese</v>
      </c>
    </row>
    <row r="991" spans="1:14" ht="63.75">
      <c r="A991" s="56" t="s">
        <v>2189</v>
      </c>
      <c r="B991" s="57" t="s">
        <v>2190</v>
      </c>
      <c r="C991">
        <v>9</v>
      </c>
      <c r="D991" t="str">
        <f>+VLOOKUP(AtecoCrisi[[#This Row],[COD. CRISI]],Tabella139[],2,0)</f>
        <v>JMN) Servizi alle imprese</v>
      </c>
      <c r="E991" s="53">
        <f t="shared" si="105"/>
        <v>1.7999999999999999E-2</v>
      </c>
      <c r="F991" s="53">
        <f t="shared" si="106"/>
        <v>5.1999999999999998E-2</v>
      </c>
      <c r="G991" s="53">
        <f t="shared" si="107"/>
        <v>0.95399999999999996</v>
      </c>
      <c r="H991" s="53">
        <f t="shared" si="108"/>
        <v>1.7000000000000001E-2</v>
      </c>
      <c r="I991" s="53">
        <f t="shared" si="109"/>
        <v>0.11899999999999999</v>
      </c>
      <c r="L991" t="s">
        <v>2340</v>
      </c>
      <c r="M991" t="str">
        <f t="shared" si="111"/>
        <v>Noleggio di macchine e attrezzature agricole</v>
      </c>
      <c r="N991" t="str">
        <f t="shared" si="110"/>
        <v>JMN) Servizi alle imprese</v>
      </c>
    </row>
    <row r="992" spans="1:14" ht="76.5">
      <c r="A992" s="58" t="s">
        <v>2191</v>
      </c>
      <c r="B992" s="59" t="s">
        <v>2192</v>
      </c>
      <c r="C992">
        <v>9</v>
      </c>
      <c r="D992" t="str">
        <f>+VLOOKUP(AtecoCrisi[[#This Row],[COD. CRISI]],Tabella139[],2,0)</f>
        <v>JMN) Servizi alle imprese</v>
      </c>
      <c r="E992" s="53">
        <f t="shared" si="105"/>
        <v>1.7999999999999999E-2</v>
      </c>
      <c r="F992" s="53">
        <f t="shared" si="106"/>
        <v>5.1999999999999998E-2</v>
      </c>
      <c r="G992" s="53">
        <f t="shared" si="107"/>
        <v>0.95399999999999996</v>
      </c>
      <c r="H992" s="53">
        <f t="shared" si="108"/>
        <v>1.7000000000000001E-2</v>
      </c>
      <c r="I992" s="53">
        <f t="shared" si="109"/>
        <v>0.11899999999999999</v>
      </c>
      <c r="L992" t="s">
        <v>2342</v>
      </c>
      <c r="M992" t="str">
        <f t="shared" si="111"/>
        <v>Noleggio di macchine e attrezzature per lavori edili e di genio civile</v>
      </c>
      <c r="N992" t="str">
        <f t="shared" si="110"/>
        <v>JMN) Servizi alle imprese</v>
      </c>
    </row>
    <row r="993" spans="1:14" ht="25.5">
      <c r="A993" s="58" t="s">
        <v>2193</v>
      </c>
      <c r="B993" s="59" t="s">
        <v>2194</v>
      </c>
      <c r="C993">
        <v>9</v>
      </c>
      <c r="D993" t="str">
        <f>+VLOOKUP(AtecoCrisi[[#This Row],[COD. CRISI]],Tabella139[],2,0)</f>
        <v>JMN) Servizi alle imprese</v>
      </c>
      <c r="E993" s="53">
        <f t="shared" si="105"/>
        <v>1.7999999999999999E-2</v>
      </c>
      <c r="F993" s="53">
        <f t="shared" si="106"/>
        <v>5.1999999999999998E-2</v>
      </c>
      <c r="G993" s="53">
        <f t="shared" si="107"/>
        <v>0.95399999999999996</v>
      </c>
      <c r="H993" s="53">
        <f t="shared" si="108"/>
        <v>1.7000000000000001E-2</v>
      </c>
      <c r="I993" s="53">
        <f t="shared" si="109"/>
        <v>0.11899999999999999</v>
      </c>
      <c r="L993" t="s">
        <v>2344</v>
      </c>
      <c r="M993" t="str">
        <f t="shared" si="111"/>
        <v>Noleggio di macchine e attrezzature per ufficio (inclusi i computer)</v>
      </c>
      <c r="N993" t="str">
        <f t="shared" si="110"/>
        <v>JMN) Servizi alle imprese</v>
      </c>
    </row>
    <row r="994" spans="1:14" ht="38.25">
      <c r="A994" s="58" t="s">
        <v>2195</v>
      </c>
      <c r="B994" s="59" t="s">
        <v>2196</v>
      </c>
      <c r="C994">
        <v>9</v>
      </c>
      <c r="D994" t="str">
        <f>+VLOOKUP(AtecoCrisi[[#This Row],[COD. CRISI]],Tabella139[],2,0)</f>
        <v>JMN) Servizi alle imprese</v>
      </c>
      <c r="E994" s="53">
        <f t="shared" si="105"/>
        <v>1.7999999999999999E-2</v>
      </c>
      <c r="F994" s="53">
        <f t="shared" si="106"/>
        <v>5.1999999999999998E-2</v>
      </c>
      <c r="G994" s="53">
        <f t="shared" si="107"/>
        <v>0.95399999999999996</v>
      </c>
      <c r="H994" s="53">
        <f t="shared" si="108"/>
        <v>1.7000000000000001E-2</v>
      </c>
      <c r="I994" s="53">
        <f t="shared" si="109"/>
        <v>0.11899999999999999</v>
      </c>
      <c r="L994" t="s">
        <v>2346</v>
      </c>
      <c r="M994" t="str">
        <f t="shared" si="111"/>
        <v>Noleggio di mezzi di trasporto marittimo e fluviale</v>
      </c>
      <c r="N994" t="str">
        <f t="shared" si="110"/>
        <v>JMN) Servizi alle imprese</v>
      </c>
    </row>
    <row r="995" spans="1:14" ht="38.25">
      <c r="A995" s="58" t="s">
        <v>2197</v>
      </c>
      <c r="B995" s="59" t="s">
        <v>2198</v>
      </c>
      <c r="C995">
        <v>9</v>
      </c>
      <c r="D995" t="str">
        <f>+VLOOKUP(AtecoCrisi[[#This Row],[COD. CRISI]],Tabella139[],2,0)</f>
        <v>JMN) Servizi alle imprese</v>
      </c>
      <c r="E995" s="53">
        <f t="shared" si="105"/>
        <v>1.7999999999999999E-2</v>
      </c>
      <c r="F995" s="53">
        <f t="shared" si="106"/>
        <v>5.1999999999999998E-2</v>
      </c>
      <c r="G995" s="53">
        <f t="shared" si="107"/>
        <v>0.95399999999999996</v>
      </c>
      <c r="H995" s="53">
        <f t="shared" si="108"/>
        <v>1.7000000000000001E-2</v>
      </c>
      <c r="I995" s="53">
        <f t="shared" si="109"/>
        <v>0.11899999999999999</v>
      </c>
      <c r="L995" t="s">
        <v>2348</v>
      </c>
      <c r="M995" t="str">
        <f t="shared" si="111"/>
        <v>Noleggio di mezzi di trasporto aereo</v>
      </c>
      <c r="N995" t="str">
        <f t="shared" si="110"/>
        <v>JMN) Servizi alle imprese</v>
      </c>
    </row>
    <row r="996" spans="1:14">
      <c r="A996" s="58" t="s">
        <v>2199</v>
      </c>
      <c r="B996" s="59" t="s">
        <v>2200</v>
      </c>
      <c r="C996">
        <v>9</v>
      </c>
      <c r="D996" t="str">
        <f>+VLOOKUP(AtecoCrisi[[#This Row],[COD. CRISI]],Tabella139[],2,0)</f>
        <v>JMN) Servizi alle imprese</v>
      </c>
      <c r="E996" s="53">
        <f t="shared" si="105"/>
        <v>1.7999999999999999E-2</v>
      </c>
      <c r="F996" s="53">
        <f t="shared" si="106"/>
        <v>5.1999999999999998E-2</v>
      </c>
      <c r="G996" s="53">
        <f t="shared" si="107"/>
        <v>0.95399999999999996</v>
      </c>
      <c r="H996" s="53">
        <f t="shared" si="108"/>
        <v>1.7000000000000001E-2</v>
      </c>
      <c r="I996" s="53">
        <f t="shared" si="109"/>
        <v>0.11899999999999999</v>
      </c>
      <c r="L996" t="s">
        <v>2350</v>
      </c>
      <c r="M996" t="str">
        <f t="shared" si="111"/>
        <v>Noleggio di altri mezzi di trasporto terrestri</v>
      </c>
      <c r="N996" t="str">
        <f t="shared" si="110"/>
        <v>JMN) Servizi alle imprese</v>
      </c>
    </row>
    <row r="997" spans="1:14" ht="25.5">
      <c r="A997" s="58" t="s">
        <v>2201</v>
      </c>
      <c r="B997" s="59" t="s">
        <v>2202</v>
      </c>
      <c r="C997">
        <v>9</v>
      </c>
      <c r="D997" t="str">
        <f>+VLOOKUP(AtecoCrisi[[#This Row],[COD. CRISI]],Tabella139[],2,0)</f>
        <v>JMN) Servizi alle imprese</v>
      </c>
      <c r="E997" s="53">
        <f t="shared" si="105"/>
        <v>1.7999999999999999E-2</v>
      </c>
      <c r="F997" s="53">
        <f t="shared" si="106"/>
        <v>5.1999999999999998E-2</v>
      </c>
      <c r="G997" s="53">
        <f t="shared" si="107"/>
        <v>0.95399999999999996</v>
      </c>
      <c r="H997" s="53">
        <f t="shared" si="108"/>
        <v>1.7000000000000001E-2</v>
      </c>
      <c r="I997" s="53">
        <f t="shared" si="109"/>
        <v>0.11899999999999999</v>
      </c>
      <c r="L997" t="s">
        <v>2352</v>
      </c>
      <c r="M997" t="str">
        <f t="shared" si="111"/>
        <v>Noleggio di container adibiti ad alloggi o ad uffici</v>
      </c>
      <c r="N997" t="str">
        <f t="shared" si="110"/>
        <v>JMN) Servizi alle imprese</v>
      </c>
    </row>
    <row r="998" spans="1:14" ht="38.25">
      <c r="A998" s="58" t="s">
        <v>2203</v>
      </c>
      <c r="B998" s="59" t="s">
        <v>2204</v>
      </c>
      <c r="C998">
        <v>9</v>
      </c>
      <c r="D998" t="str">
        <f>+VLOOKUP(AtecoCrisi[[#This Row],[COD. CRISI]],Tabella139[],2,0)</f>
        <v>JMN) Servizi alle imprese</v>
      </c>
      <c r="E998" s="53">
        <f t="shared" si="105"/>
        <v>1.7999999999999999E-2</v>
      </c>
      <c r="F998" s="53">
        <f t="shared" si="106"/>
        <v>5.1999999999999998E-2</v>
      </c>
      <c r="G998" s="53">
        <f t="shared" si="107"/>
        <v>0.95399999999999996</v>
      </c>
      <c r="H998" s="53">
        <f t="shared" si="108"/>
        <v>1.7000000000000001E-2</v>
      </c>
      <c r="I998" s="53">
        <f t="shared" si="109"/>
        <v>0.11899999999999999</v>
      </c>
      <c r="L998" t="s">
        <v>2354</v>
      </c>
      <c r="M998" t="str">
        <f t="shared" si="111"/>
        <v>Noleggio di container per diverse modalità di trasporto</v>
      </c>
      <c r="N998" t="str">
        <f t="shared" si="110"/>
        <v>JMN) Servizi alle imprese</v>
      </c>
    </row>
    <row r="999" spans="1:14" ht="94.5">
      <c r="A999" s="51" t="s">
        <v>2</v>
      </c>
      <c r="B999" s="52" t="s">
        <v>2205</v>
      </c>
      <c r="C999">
        <v>9</v>
      </c>
      <c r="D999" t="str">
        <f>+VLOOKUP(AtecoCrisi[[#This Row],[COD. CRISI]],Tabella139[],2,0)</f>
        <v>JMN) Servizi alle imprese</v>
      </c>
      <c r="E999" s="53">
        <f t="shared" ref="E999:E1039" si="112">+VLOOKUP(C999,$R$2:$X$11,3,FALSE)</f>
        <v>1.7999999999999999E-2</v>
      </c>
      <c r="F999" s="53">
        <f t="shared" ref="F999:F1039" si="113">+VLOOKUP(C999,$R$2:$X$11,4,FALSE)</f>
        <v>5.1999999999999998E-2</v>
      </c>
      <c r="G999" s="53">
        <f t="shared" ref="G999:G1039" si="114">+VLOOKUP(C999,$R$2:$X$11,5,FALSE)</f>
        <v>0.95399999999999996</v>
      </c>
      <c r="H999" s="53">
        <f t="shared" ref="H999:H1039" si="115">+VLOOKUP(C999,$R$2:$X$11,6,FALSE)</f>
        <v>1.7000000000000001E-2</v>
      </c>
      <c r="I999" s="53">
        <f t="shared" ref="I999:I1039" si="116">+VLOOKUP(C999,$R$2:$X$11,7,FALSE)</f>
        <v>0.11899999999999999</v>
      </c>
      <c r="L999" t="s">
        <v>2356</v>
      </c>
      <c r="M999" t="str">
        <f t="shared" si="111"/>
        <v>Noleggio senza operatore di attrezzature di sollevamento e movimentazione merci: carrelli elevatori, pallet eccetera</v>
      </c>
      <c r="N999" t="str">
        <f t="shared" si="110"/>
        <v>JMN) Servizi alle imprese</v>
      </c>
    </row>
    <row r="1000" spans="1:14" ht="25.5">
      <c r="A1000" s="56" t="s">
        <v>2206</v>
      </c>
      <c r="B1000" s="57" t="s">
        <v>2207</v>
      </c>
      <c r="C1000">
        <v>9</v>
      </c>
      <c r="D1000" t="str">
        <f>+VLOOKUP(AtecoCrisi[[#This Row],[COD. CRISI]],Tabella139[],2,0)</f>
        <v>JMN) Servizi alle imprese</v>
      </c>
      <c r="E1000" s="53">
        <f t="shared" si="112"/>
        <v>1.7999999999999999E-2</v>
      </c>
      <c r="F1000" s="53">
        <f t="shared" si="113"/>
        <v>5.1999999999999998E-2</v>
      </c>
      <c r="G1000" s="53">
        <f t="shared" si="114"/>
        <v>0.95399999999999996</v>
      </c>
      <c r="H1000" s="53">
        <f t="shared" si="115"/>
        <v>1.7000000000000001E-2</v>
      </c>
      <c r="I1000" s="53">
        <f t="shared" si="116"/>
        <v>0.11899999999999999</v>
      </c>
      <c r="L1000" t="s">
        <v>2358</v>
      </c>
      <c r="M1000" t="str">
        <f t="shared" si="111"/>
        <v>Noleggio di strutture ed attrezzature per manifestazioni e spettacoli: impianti luce ed audio senza operatore, palchi, stand ed addobbi luminosi</v>
      </c>
      <c r="N1000" t="str">
        <f t="shared" si="110"/>
        <v>JMN) Servizi alle imprese</v>
      </c>
    </row>
    <row r="1001" spans="1:14" ht="25.5">
      <c r="A1001" s="58" t="s">
        <v>2208</v>
      </c>
      <c r="B1001" s="59" t="s">
        <v>2209</v>
      </c>
      <c r="C1001">
        <v>9</v>
      </c>
      <c r="D1001" t="str">
        <f>+VLOOKUP(AtecoCrisi[[#This Row],[COD. CRISI]],Tabella139[],2,0)</f>
        <v>JMN) Servizi alle imprese</v>
      </c>
      <c r="E1001" s="53">
        <f t="shared" si="112"/>
        <v>1.7999999999999999E-2</v>
      </c>
      <c r="F1001" s="53">
        <f t="shared" si="113"/>
        <v>5.1999999999999998E-2</v>
      </c>
      <c r="G1001" s="53">
        <f t="shared" si="114"/>
        <v>0.95399999999999996</v>
      </c>
      <c r="H1001" s="53">
        <f t="shared" si="115"/>
        <v>1.7000000000000001E-2</v>
      </c>
      <c r="I1001" s="53">
        <f t="shared" si="116"/>
        <v>0.11899999999999999</v>
      </c>
      <c r="L1001" t="s">
        <v>2360</v>
      </c>
      <c r="M1001" t="str">
        <f t="shared" si="111"/>
        <v>Noleggio senza operatore di altre macchine ed attrezzature nca</v>
      </c>
      <c r="N1001" t="str">
        <f t="shared" si="110"/>
        <v>JMN) Servizi alle imprese</v>
      </c>
    </row>
    <row r="1002" spans="1:14" ht="25.5">
      <c r="A1002" s="58" t="s">
        <v>2210</v>
      </c>
      <c r="B1002" s="59" t="s">
        <v>2211</v>
      </c>
      <c r="C1002">
        <v>9</v>
      </c>
      <c r="D1002" t="str">
        <f>+VLOOKUP(AtecoCrisi[[#This Row],[COD. CRISI]],Tabella139[],2,0)</f>
        <v>JMN) Servizi alle imprese</v>
      </c>
      <c r="E1002" s="53">
        <f t="shared" si="112"/>
        <v>1.7999999999999999E-2</v>
      </c>
      <c r="F1002" s="53">
        <f t="shared" si="113"/>
        <v>5.1999999999999998E-2</v>
      </c>
      <c r="G1002" s="53">
        <f t="shared" si="114"/>
        <v>0.95399999999999996</v>
      </c>
      <c r="H1002" s="53">
        <f t="shared" si="115"/>
        <v>1.7000000000000001E-2</v>
      </c>
      <c r="I1002" s="53">
        <f t="shared" si="116"/>
        <v>0.11899999999999999</v>
      </c>
      <c r="L1002" t="s">
        <v>2362</v>
      </c>
      <c r="M1002" t="str">
        <f t="shared" si="111"/>
        <v>Concessione dei diritti di sfruttamento di proprietà intellettuale e prodotti simili (escluse le opere protette dal copyright)</v>
      </c>
      <c r="N1002" t="str">
        <f t="shared" si="110"/>
        <v>JMN) Servizi alle imprese</v>
      </c>
    </row>
    <row r="1003" spans="1:14" ht="38.25">
      <c r="A1003" s="58" t="s">
        <v>2212</v>
      </c>
      <c r="B1003" s="59" t="s">
        <v>2213</v>
      </c>
      <c r="C1003">
        <v>9</v>
      </c>
      <c r="D1003" t="str">
        <f>+VLOOKUP(AtecoCrisi[[#This Row],[COD. CRISI]],Tabella139[],2,0)</f>
        <v>JMN) Servizi alle imprese</v>
      </c>
      <c r="E1003" s="53">
        <f t="shared" si="112"/>
        <v>1.7999999999999999E-2</v>
      </c>
      <c r="F1003" s="53">
        <f t="shared" si="113"/>
        <v>5.1999999999999998E-2</v>
      </c>
      <c r="G1003" s="53">
        <f t="shared" si="114"/>
        <v>0.95399999999999996</v>
      </c>
      <c r="H1003" s="53">
        <f t="shared" si="115"/>
        <v>1.7000000000000001E-2</v>
      </c>
      <c r="I1003" s="53">
        <f t="shared" si="116"/>
        <v>0.11899999999999999</v>
      </c>
      <c r="L1003" t="s">
        <v>2366</v>
      </c>
      <c r="M1003" t="str">
        <f t="shared" si="111"/>
        <v>Servizi di ricerca, selezione, collocamento e supporto per il ricollocamento di personale</v>
      </c>
      <c r="N1003" t="str">
        <f t="shared" si="110"/>
        <v>JMN) Servizi alle imprese</v>
      </c>
    </row>
    <row r="1004" spans="1:14" ht="38.25">
      <c r="A1004" s="58" t="s">
        <v>2214</v>
      </c>
      <c r="B1004" s="59" t="s">
        <v>2215</v>
      </c>
      <c r="C1004">
        <v>9</v>
      </c>
      <c r="D1004" t="str">
        <f>+VLOOKUP(AtecoCrisi[[#This Row],[COD. CRISI]],Tabella139[],2,0)</f>
        <v>JMN) Servizi alle imprese</v>
      </c>
      <c r="E1004" s="53">
        <f t="shared" si="112"/>
        <v>1.7999999999999999E-2</v>
      </c>
      <c r="F1004" s="53">
        <f t="shared" si="113"/>
        <v>5.1999999999999998E-2</v>
      </c>
      <c r="G1004" s="53">
        <f t="shared" si="114"/>
        <v>0.95399999999999996</v>
      </c>
      <c r="H1004" s="53">
        <f t="shared" si="115"/>
        <v>1.7000000000000001E-2</v>
      </c>
      <c r="I1004" s="53">
        <f t="shared" si="116"/>
        <v>0.11899999999999999</v>
      </c>
      <c r="L1004" t="s">
        <v>2368</v>
      </c>
      <c r="M1004" t="str">
        <f t="shared" si="111"/>
        <v>Attività delle agenzie di fornitura di lavoro temporaneo (interinale)</v>
      </c>
      <c r="N1004" t="str">
        <f t="shared" si="110"/>
        <v>JMN) Servizi alle imprese</v>
      </c>
    </row>
    <row r="1005" spans="1:14" ht="114.75">
      <c r="A1005" s="58" t="s">
        <v>2216</v>
      </c>
      <c r="B1005" s="59" t="s">
        <v>2217</v>
      </c>
      <c r="C1005">
        <v>9</v>
      </c>
      <c r="D1005" t="str">
        <f>+VLOOKUP(AtecoCrisi[[#This Row],[COD. CRISI]],Tabella139[],2,0)</f>
        <v>JMN) Servizi alle imprese</v>
      </c>
      <c r="E1005" s="53">
        <f t="shared" si="112"/>
        <v>1.7999999999999999E-2</v>
      </c>
      <c r="F1005" s="53">
        <f t="shared" si="113"/>
        <v>5.1999999999999998E-2</v>
      </c>
      <c r="G1005" s="53">
        <f t="shared" si="114"/>
        <v>0.95399999999999996</v>
      </c>
      <c r="H1005" s="53">
        <f t="shared" si="115"/>
        <v>1.7000000000000001E-2</v>
      </c>
      <c r="I1005" s="53">
        <f t="shared" si="116"/>
        <v>0.11899999999999999</v>
      </c>
      <c r="L1005" t="s">
        <v>2370</v>
      </c>
      <c r="M1005" t="str">
        <f t="shared" si="111"/>
        <v>Altre attività di fornitura e gestione di risorse umane (staff leasing)</v>
      </c>
      <c r="N1005" t="str">
        <f t="shared" si="110"/>
        <v>JMN) Servizi alle imprese</v>
      </c>
    </row>
    <row r="1006" spans="1:14" ht="51">
      <c r="A1006" s="58" t="s">
        <v>2218</v>
      </c>
      <c r="B1006" s="59" t="s">
        <v>2219</v>
      </c>
      <c r="C1006">
        <v>9</v>
      </c>
      <c r="D1006" t="str">
        <f>+VLOOKUP(AtecoCrisi[[#This Row],[COD. CRISI]],Tabella139[],2,0)</f>
        <v>JMN) Servizi alle imprese</v>
      </c>
      <c r="E1006" s="53">
        <f t="shared" si="112"/>
        <v>1.7999999999999999E-2</v>
      </c>
      <c r="F1006" s="53">
        <f t="shared" si="113"/>
        <v>5.1999999999999998E-2</v>
      </c>
      <c r="G1006" s="53">
        <f t="shared" si="114"/>
        <v>0.95399999999999996</v>
      </c>
      <c r="H1006" s="53">
        <f t="shared" si="115"/>
        <v>1.7000000000000001E-2</v>
      </c>
      <c r="I1006" s="53">
        <f t="shared" si="116"/>
        <v>0.11899999999999999</v>
      </c>
      <c r="L1006" t="s">
        <v>2374</v>
      </c>
      <c r="M1006" t="str">
        <f t="shared" si="111"/>
        <v>Attività delle agenzie di viaggio</v>
      </c>
      <c r="N1006" t="str">
        <f t="shared" si="110"/>
        <v>JMN) Servizi alle imprese</v>
      </c>
    </row>
    <row r="1007" spans="1:14" ht="51">
      <c r="A1007" s="58" t="s">
        <v>2220</v>
      </c>
      <c r="B1007" s="59" t="s">
        <v>2221</v>
      </c>
      <c r="C1007">
        <v>9</v>
      </c>
      <c r="D1007" t="str">
        <f>+VLOOKUP(AtecoCrisi[[#This Row],[COD. CRISI]],Tabella139[],2,0)</f>
        <v>JMN) Servizi alle imprese</v>
      </c>
      <c r="E1007" s="53">
        <f t="shared" si="112"/>
        <v>1.7999999999999999E-2</v>
      </c>
      <c r="F1007" s="53">
        <f t="shared" si="113"/>
        <v>5.1999999999999998E-2</v>
      </c>
      <c r="G1007" s="53">
        <f t="shared" si="114"/>
        <v>0.95399999999999996</v>
      </c>
      <c r="H1007" s="53">
        <f t="shared" si="115"/>
        <v>1.7000000000000001E-2</v>
      </c>
      <c r="I1007" s="53">
        <f t="shared" si="116"/>
        <v>0.11899999999999999</v>
      </c>
      <c r="L1007" t="s">
        <v>2376</v>
      </c>
      <c r="M1007" t="str">
        <f t="shared" si="111"/>
        <v>Attività dei tour operator</v>
      </c>
      <c r="N1007" t="str">
        <f t="shared" si="110"/>
        <v>JMN) Servizi alle imprese</v>
      </c>
    </row>
    <row r="1008" spans="1:14" ht="51">
      <c r="A1008" s="58" t="s">
        <v>2222</v>
      </c>
      <c r="B1008" s="59" t="s">
        <v>2223</v>
      </c>
      <c r="C1008">
        <v>9</v>
      </c>
      <c r="D1008" t="str">
        <f>+VLOOKUP(AtecoCrisi[[#This Row],[COD. CRISI]],Tabella139[],2,0)</f>
        <v>JMN) Servizi alle imprese</v>
      </c>
      <c r="E1008" s="53">
        <f t="shared" si="112"/>
        <v>1.7999999999999999E-2</v>
      </c>
      <c r="F1008" s="53">
        <f t="shared" si="113"/>
        <v>5.1999999999999998E-2</v>
      </c>
      <c r="G1008" s="53">
        <f t="shared" si="114"/>
        <v>0.95399999999999996</v>
      </c>
      <c r="H1008" s="53">
        <f t="shared" si="115"/>
        <v>1.7000000000000001E-2</v>
      </c>
      <c r="I1008" s="53">
        <f t="shared" si="116"/>
        <v>0.11899999999999999</v>
      </c>
      <c r="L1008" t="s">
        <v>2378</v>
      </c>
      <c r="M1008" t="str">
        <f t="shared" si="111"/>
        <v>Servizi di biglietteria per eventi teatrali, sportivi ed altri eventi ricreativi e d'intrattenimento</v>
      </c>
      <c r="N1008" t="str">
        <f t="shared" si="110"/>
        <v>JMN) Servizi alle imprese</v>
      </c>
    </row>
    <row r="1009" spans="1:14" ht="38.25">
      <c r="A1009" s="58" t="s">
        <v>2224</v>
      </c>
      <c r="B1009" s="59" t="s">
        <v>2225</v>
      </c>
      <c r="C1009">
        <v>9</v>
      </c>
      <c r="D1009" t="str">
        <f>+VLOOKUP(AtecoCrisi[[#This Row],[COD. CRISI]],Tabella139[],2,0)</f>
        <v>JMN) Servizi alle imprese</v>
      </c>
      <c r="E1009" s="53">
        <f t="shared" si="112"/>
        <v>1.7999999999999999E-2</v>
      </c>
      <c r="F1009" s="53">
        <f t="shared" si="113"/>
        <v>5.1999999999999998E-2</v>
      </c>
      <c r="G1009" s="53">
        <f t="shared" si="114"/>
        <v>0.95399999999999996</v>
      </c>
      <c r="H1009" s="53">
        <f t="shared" si="115"/>
        <v>1.7000000000000001E-2</v>
      </c>
      <c r="I1009" s="53">
        <f t="shared" si="116"/>
        <v>0.11899999999999999</v>
      </c>
      <c r="L1009" t="s">
        <v>2380</v>
      </c>
      <c r="M1009" t="str">
        <f t="shared" si="111"/>
        <v>Altri servizi di prenotazione e altre attività di assistenza turistica non svolte dalle agenzie di viaggio nca</v>
      </c>
      <c r="N1009" t="str">
        <f t="shared" si="110"/>
        <v>JMN) Servizi alle imprese</v>
      </c>
    </row>
    <row r="1010" spans="1:14" ht="63.75">
      <c r="A1010" s="56" t="s">
        <v>2226</v>
      </c>
      <c r="B1010" s="57" t="s">
        <v>2227</v>
      </c>
      <c r="C1010">
        <v>9</v>
      </c>
      <c r="D1010" t="str">
        <f>+VLOOKUP(AtecoCrisi[[#This Row],[COD. CRISI]],Tabella139[],2,0)</f>
        <v>JMN) Servizi alle imprese</v>
      </c>
      <c r="E1010" s="53">
        <f t="shared" si="112"/>
        <v>1.7999999999999999E-2</v>
      </c>
      <c r="F1010" s="53">
        <f t="shared" si="113"/>
        <v>5.1999999999999998E-2</v>
      </c>
      <c r="G1010" s="53">
        <f t="shared" si="114"/>
        <v>0.95399999999999996</v>
      </c>
      <c r="H1010" s="53">
        <f t="shared" si="115"/>
        <v>1.7000000000000001E-2</v>
      </c>
      <c r="I1010" s="53">
        <f t="shared" si="116"/>
        <v>0.11899999999999999</v>
      </c>
      <c r="L1010" t="s">
        <v>2382</v>
      </c>
      <c r="M1010" t="str">
        <f t="shared" si="111"/>
        <v>Attività delle guide e degli accompagnatori turistici</v>
      </c>
      <c r="N1010" t="str">
        <f t="shared" si="110"/>
        <v>JMN) Servizi alle imprese</v>
      </c>
    </row>
    <row r="1011" spans="1:14" ht="63.75">
      <c r="A1011" s="58" t="s">
        <v>2228</v>
      </c>
      <c r="B1011" s="59" t="s">
        <v>2229</v>
      </c>
      <c r="C1011">
        <v>9</v>
      </c>
      <c r="D1011" t="str">
        <f>+VLOOKUP(AtecoCrisi[[#This Row],[COD. CRISI]],Tabella139[],2,0)</f>
        <v>JMN) Servizi alle imprese</v>
      </c>
      <c r="E1011" s="53">
        <f t="shared" si="112"/>
        <v>1.7999999999999999E-2</v>
      </c>
      <c r="F1011" s="53">
        <f t="shared" si="113"/>
        <v>5.1999999999999998E-2</v>
      </c>
      <c r="G1011" s="53">
        <f t="shared" si="114"/>
        <v>0.95399999999999996</v>
      </c>
      <c r="H1011" s="53">
        <f t="shared" si="115"/>
        <v>1.7000000000000001E-2</v>
      </c>
      <c r="I1011" s="53">
        <f t="shared" si="116"/>
        <v>0.11899999999999999</v>
      </c>
      <c r="L1011" t="s">
        <v>2386</v>
      </c>
      <c r="M1011" t="str">
        <f t="shared" si="111"/>
        <v>Servizi di vigilanza privata</v>
      </c>
      <c r="N1011" t="str">
        <f t="shared" si="110"/>
        <v>JMN) Servizi alle imprese</v>
      </c>
    </row>
    <row r="1012" spans="1:14" ht="25.5">
      <c r="A1012" s="58" t="s">
        <v>2230</v>
      </c>
      <c r="B1012" s="59" t="s">
        <v>2231</v>
      </c>
      <c r="C1012">
        <v>9</v>
      </c>
      <c r="D1012" t="str">
        <f>+VLOOKUP(AtecoCrisi[[#This Row],[COD. CRISI]],Tabella139[],2,0)</f>
        <v>JMN) Servizi alle imprese</v>
      </c>
      <c r="E1012" s="53">
        <f t="shared" si="112"/>
        <v>1.7999999999999999E-2</v>
      </c>
      <c r="F1012" s="53">
        <f t="shared" si="113"/>
        <v>5.1999999999999998E-2</v>
      </c>
      <c r="G1012" s="53">
        <f t="shared" si="114"/>
        <v>0.95399999999999996</v>
      </c>
      <c r="H1012" s="53">
        <f t="shared" si="115"/>
        <v>1.7000000000000001E-2</v>
      </c>
      <c r="I1012" s="53">
        <f t="shared" si="116"/>
        <v>0.11899999999999999</v>
      </c>
      <c r="L1012" t="s">
        <v>2388</v>
      </c>
      <c r="M1012" t="str">
        <f t="shared" si="111"/>
        <v>Servizi connessi ai sistemi di vigilanza</v>
      </c>
      <c r="N1012" t="str">
        <f t="shared" si="110"/>
        <v>JMN) Servizi alle imprese</v>
      </c>
    </row>
    <row r="1013" spans="1:14" ht="51">
      <c r="A1013" s="58" t="s">
        <v>2232</v>
      </c>
      <c r="B1013" s="59" t="s">
        <v>2233</v>
      </c>
      <c r="C1013">
        <v>9</v>
      </c>
      <c r="D1013" t="str">
        <f>+VLOOKUP(AtecoCrisi[[#This Row],[COD. CRISI]],Tabella139[],2,0)</f>
        <v>JMN) Servizi alle imprese</v>
      </c>
      <c r="E1013" s="53">
        <f t="shared" si="112"/>
        <v>1.7999999999999999E-2</v>
      </c>
      <c r="F1013" s="53">
        <f t="shared" si="113"/>
        <v>5.1999999999999998E-2</v>
      </c>
      <c r="G1013" s="53">
        <f t="shared" si="114"/>
        <v>0.95399999999999996</v>
      </c>
      <c r="H1013" s="53">
        <f t="shared" si="115"/>
        <v>1.7000000000000001E-2</v>
      </c>
      <c r="I1013" s="53">
        <f t="shared" si="116"/>
        <v>0.11899999999999999</v>
      </c>
      <c r="L1013" t="s">
        <v>2390</v>
      </c>
      <c r="M1013" t="str">
        <f t="shared" si="111"/>
        <v>Servizi di investigazione privata</v>
      </c>
      <c r="N1013" t="str">
        <f t="shared" si="110"/>
        <v>JMN) Servizi alle imprese</v>
      </c>
    </row>
    <row r="1014" spans="1:14" ht="102">
      <c r="A1014" s="58" t="s">
        <v>2234</v>
      </c>
      <c r="B1014" s="59" t="s">
        <v>2235</v>
      </c>
      <c r="C1014">
        <v>9</v>
      </c>
      <c r="D1014" t="str">
        <f>+VLOOKUP(AtecoCrisi[[#This Row],[COD. CRISI]],Tabella139[],2,0)</f>
        <v>JMN) Servizi alle imprese</v>
      </c>
      <c r="E1014" s="53">
        <f t="shared" si="112"/>
        <v>1.7999999999999999E-2</v>
      </c>
      <c r="F1014" s="53">
        <f t="shared" si="113"/>
        <v>5.1999999999999998E-2</v>
      </c>
      <c r="G1014" s="53">
        <f t="shared" si="114"/>
        <v>0.95399999999999996</v>
      </c>
      <c r="H1014" s="53">
        <f t="shared" si="115"/>
        <v>1.7000000000000001E-2</v>
      </c>
      <c r="I1014" s="53">
        <f t="shared" si="116"/>
        <v>0.11899999999999999</v>
      </c>
      <c r="L1014" t="s">
        <v>2394</v>
      </c>
      <c r="M1014" t="str">
        <f t="shared" si="111"/>
        <v>Servizi integrati di gestione agli edifici</v>
      </c>
      <c r="N1014" t="str">
        <f t="shared" si="110"/>
        <v>JMN) Servizi alle imprese</v>
      </c>
    </row>
    <row r="1015" spans="1:14" ht="89.25">
      <c r="A1015" s="56" t="s">
        <v>2236</v>
      </c>
      <c r="B1015" s="57" t="s">
        <v>2237</v>
      </c>
      <c r="C1015">
        <v>9</v>
      </c>
      <c r="D1015" t="str">
        <f>+VLOOKUP(AtecoCrisi[[#This Row],[COD. CRISI]],Tabella139[],2,0)</f>
        <v>JMN) Servizi alle imprese</v>
      </c>
      <c r="E1015" s="53">
        <f t="shared" si="112"/>
        <v>1.7999999999999999E-2</v>
      </c>
      <c r="F1015" s="53">
        <f t="shared" si="113"/>
        <v>5.1999999999999998E-2</v>
      </c>
      <c r="G1015" s="53">
        <f t="shared" si="114"/>
        <v>0.95399999999999996</v>
      </c>
      <c r="H1015" s="53">
        <f t="shared" si="115"/>
        <v>1.7000000000000001E-2</v>
      </c>
      <c r="I1015" s="53">
        <f t="shared" si="116"/>
        <v>0.11899999999999999</v>
      </c>
      <c r="L1015" t="s">
        <v>2396</v>
      </c>
      <c r="M1015" t="str">
        <f t="shared" si="111"/>
        <v>Pulizia generale (non specializzata) di edifici</v>
      </c>
      <c r="N1015" t="str">
        <f t="shared" si="110"/>
        <v>JMN) Servizi alle imprese</v>
      </c>
    </row>
    <row r="1016" spans="1:14" ht="25.5">
      <c r="A1016" s="58" t="s">
        <v>2238</v>
      </c>
      <c r="B1016" s="59" t="s">
        <v>2239</v>
      </c>
      <c r="C1016">
        <v>9</v>
      </c>
      <c r="D1016" t="str">
        <f>+VLOOKUP(AtecoCrisi[[#This Row],[COD. CRISI]],Tabella139[],2,0)</f>
        <v>JMN) Servizi alle imprese</v>
      </c>
      <c r="E1016" s="53">
        <f t="shared" si="112"/>
        <v>1.7999999999999999E-2</v>
      </c>
      <c r="F1016" s="53">
        <f t="shared" si="113"/>
        <v>5.1999999999999998E-2</v>
      </c>
      <c r="G1016" s="53">
        <f t="shared" si="114"/>
        <v>0.95399999999999996</v>
      </c>
      <c r="H1016" s="53">
        <f t="shared" si="115"/>
        <v>1.7000000000000001E-2</v>
      </c>
      <c r="I1016" s="53">
        <f t="shared" si="116"/>
        <v>0.11899999999999999</v>
      </c>
      <c r="L1016" t="s">
        <v>2398</v>
      </c>
      <c r="M1016" t="str">
        <f t="shared" si="111"/>
        <v>Attività di sterilizzazione di attrezzature medico sanitarie</v>
      </c>
      <c r="N1016" t="str">
        <f t="shared" si="110"/>
        <v>JMN) Servizi alle imprese</v>
      </c>
    </row>
    <row r="1017" spans="1:14" ht="25.5">
      <c r="A1017" s="58" t="s">
        <v>2240</v>
      </c>
      <c r="B1017" s="59" t="s">
        <v>2241</v>
      </c>
      <c r="C1017">
        <v>9</v>
      </c>
      <c r="D1017" t="str">
        <f>+VLOOKUP(AtecoCrisi[[#This Row],[COD. CRISI]],Tabella139[],2,0)</f>
        <v>JMN) Servizi alle imprese</v>
      </c>
      <c r="E1017" s="53">
        <f t="shared" si="112"/>
        <v>1.7999999999999999E-2</v>
      </c>
      <c r="F1017" s="53">
        <f t="shared" si="113"/>
        <v>5.1999999999999998E-2</v>
      </c>
      <c r="G1017" s="53">
        <f t="shared" si="114"/>
        <v>0.95399999999999996</v>
      </c>
      <c r="H1017" s="53">
        <f t="shared" si="115"/>
        <v>1.7000000000000001E-2</v>
      </c>
      <c r="I1017" s="53">
        <f t="shared" si="116"/>
        <v>0.11899999999999999</v>
      </c>
      <c r="L1017" t="s">
        <v>2400</v>
      </c>
      <c r="M1017" t="str">
        <f t="shared" si="111"/>
        <v>Altre attività di pulizia specializzata di edifici e di impianti e macchinari industriali</v>
      </c>
      <c r="N1017" t="str">
        <f t="shared" si="110"/>
        <v>JMN) Servizi alle imprese</v>
      </c>
    </row>
    <row r="1018" spans="1:14" ht="51">
      <c r="A1018" s="58" t="s">
        <v>2242</v>
      </c>
      <c r="B1018" s="59" t="s">
        <v>2243</v>
      </c>
      <c r="C1018">
        <v>9</v>
      </c>
      <c r="D1018" t="str">
        <f>+VLOOKUP(AtecoCrisi[[#This Row],[COD. CRISI]],Tabella139[],2,0)</f>
        <v>JMN) Servizi alle imprese</v>
      </c>
      <c r="E1018" s="53">
        <f t="shared" si="112"/>
        <v>1.7999999999999999E-2</v>
      </c>
      <c r="F1018" s="53">
        <f t="shared" si="113"/>
        <v>5.1999999999999998E-2</v>
      </c>
      <c r="G1018" s="53">
        <f t="shared" si="114"/>
        <v>0.95399999999999996</v>
      </c>
      <c r="H1018" s="53">
        <f t="shared" si="115"/>
        <v>1.7000000000000001E-2</v>
      </c>
      <c r="I1018" s="53">
        <f t="shared" si="116"/>
        <v>0.11899999999999999</v>
      </c>
      <c r="L1018" t="s">
        <v>2402</v>
      </c>
      <c r="M1018" t="str">
        <f t="shared" si="111"/>
        <v>Servizi di disinfestazione</v>
      </c>
      <c r="N1018" t="str">
        <f t="shared" si="110"/>
        <v>JMN) Servizi alle imprese</v>
      </c>
    </row>
    <row r="1019" spans="1:14" ht="25.5">
      <c r="A1019" s="58" t="s">
        <v>2244</v>
      </c>
      <c r="B1019" s="59" t="s">
        <v>2245</v>
      </c>
      <c r="C1019">
        <v>9</v>
      </c>
      <c r="D1019" t="str">
        <f>+VLOOKUP(AtecoCrisi[[#This Row],[COD. CRISI]],Tabella139[],2,0)</f>
        <v>JMN) Servizi alle imprese</v>
      </c>
      <c r="E1019" s="53">
        <f t="shared" si="112"/>
        <v>1.7999999999999999E-2</v>
      </c>
      <c r="F1019" s="53">
        <f t="shared" si="113"/>
        <v>5.1999999999999998E-2</v>
      </c>
      <c r="G1019" s="53">
        <f t="shared" si="114"/>
        <v>0.95399999999999996</v>
      </c>
      <c r="H1019" s="53">
        <f t="shared" si="115"/>
        <v>1.7000000000000001E-2</v>
      </c>
      <c r="I1019" s="53">
        <f t="shared" si="116"/>
        <v>0.11899999999999999</v>
      </c>
      <c r="L1019" t="s">
        <v>2404</v>
      </c>
      <c r="M1019" t="str">
        <f t="shared" si="111"/>
        <v>Pulizia e lavaggio di aree pubbliche, rimozione di neve e ghiaccio</v>
      </c>
      <c r="N1019" t="str">
        <f t="shared" si="110"/>
        <v>JMN) Servizi alle imprese</v>
      </c>
    </row>
    <row r="1020" spans="1:14" ht="51">
      <c r="A1020" s="58" t="s">
        <v>2246</v>
      </c>
      <c r="B1020" s="59" t="s">
        <v>2247</v>
      </c>
      <c r="C1020">
        <v>9</v>
      </c>
      <c r="D1020" t="str">
        <f>+VLOOKUP(AtecoCrisi[[#This Row],[COD. CRISI]],Tabella139[],2,0)</f>
        <v>JMN) Servizi alle imprese</v>
      </c>
      <c r="E1020" s="53">
        <f t="shared" si="112"/>
        <v>1.7999999999999999E-2</v>
      </c>
      <c r="F1020" s="53">
        <f t="shared" si="113"/>
        <v>5.1999999999999998E-2</v>
      </c>
      <c r="G1020" s="53">
        <f t="shared" si="114"/>
        <v>0.95399999999999996</v>
      </c>
      <c r="H1020" s="53">
        <f t="shared" si="115"/>
        <v>1.7000000000000001E-2</v>
      </c>
      <c r="I1020" s="53">
        <f t="shared" si="116"/>
        <v>0.11899999999999999</v>
      </c>
      <c r="L1020" t="s">
        <v>2406</v>
      </c>
      <c r="M1020" t="str">
        <f t="shared" si="111"/>
        <v>Altre attività di pulizia nca</v>
      </c>
      <c r="N1020" t="str">
        <f t="shared" si="110"/>
        <v>JMN) Servizi alle imprese</v>
      </c>
    </row>
    <row r="1021" spans="1:14" ht="63.75">
      <c r="A1021" s="58" t="s">
        <v>2248</v>
      </c>
      <c r="B1021" s="59" t="s">
        <v>2249</v>
      </c>
      <c r="C1021">
        <v>9</v>
      </c>
      <c r="D1021" t="str">
        <f>+VLOOKUP(AtecoCrisi[[#This Row],[COD. CRISI]],Tabella139[],2,0)</f>
        <v>JMN) Servizi alle imprese</v>
      </c>
      <c r="E1021" s="53">
        <f t="shared" si="112"/>
        <v>1.7999999999999999E-2</v>
      </c>
      <c r="F1021" s="53">
        <f t="shared" si="113"/>
        <v>5.1999999999999998E-2</v>
      </c>
      <c r="G1021" s="53">
        <f t="shared" si="114"/>
        <v>0.95399999999999996</v>
      </c>
      <c r="H1021" s="53">
        <f t="shared" si="115"/>
        <v>1.7000000000000001E-2</v>
      </c>
      <c r="I1021" s="53">
        <f t="shared" si="116"/>
        <v>0.11899999999999999</v>
      </c>
      <c r="L1021" t="s">
        <v>2408</v>
      </c>
      <c r="M1021" t="str">
        <f t="shared" si="111"/>
        <v>Cura e manutenzione del paesaggio (inclusi parchi, giardini e aiuole)</v>
      </c>
      <c r="N1021" t="str">
        <f t="shared" si="110"/>
        <v>JMN) Servizi alle imprese</v>
      </c>
    </row>
    <row r="1022" spans="1:14" ht="25.5">
      <c r="A1022" s="58" t="s">
        <v>2250</v>
      </c>
      <c r="B1022" s="59" t="s">
        <v>2251</v>
      </c>
      <c r="C1022">
        <v>9</v>
      </c>
      <c r="D1022" t="str">
        <f>+VLOOKUP(AtecoCrisi[[#This Row],[COD. CRISI]],Tabella139[],2,0)</f>
        <v>JMN) Servizi alle imprese</v>
      </c>
      <c r="E1022" s="53">
        <f t="shared" si="112"/>
        <v>1.7999999999999999E-2</v>
      </c>
      <c r="F1022" s="53">
        <f t="shared" si="113"/>
        <v>5.1999999999999998E-2</v>
      </c>
      <c r="G1022" s="53">
        <f t="shared" si="114"/>
        <v>0.95399999999999996</v>
      </c>
      <c r="H1022" s="53">
        <f t="shared" si="115"/>
        <v>1.7000000000000001E-2</v>
      </c>
      <c r="I1022" s="53">
        <f t="shared" si="116"/>
        <v>0.11899999999999999</v>
      </c>
      <c r="L1022" t="s">
        <v>2412</v>
      </c>
      <c r="M1022" t="str">
        <f t="shared" si="111"/>
        <v>Servizi integrati di supporto per le funzioni d'ufficio</v>
      </c>
      <c r="N1022" t="str">
        <f t="shared" si="110"/>
        <v>JMN) Servizi alle imprese</v>
      </c>
    </row>
    <row r="1023" spans="1:14" ht="51">
      <c r="A1023" s="58" t="s">
        <v>2252</v>
      </c>
      <c r="B1023" s="59" t="s">
        <v>2253</v>
      </c>
      <c r="C1023">
        <v>9</v>
      </c>
      <c r="D1023" t="str">
        <f>+VLOOKUP(AtecoCrisi[[#This Row],[COD. CRISI]],Tabella139[],2,0)</f>
        <v>JMN) Servizi alle imprese</v>
      </c>
      <c r="E1023" s="53">
        <f t="shared" si="112"/>
        <v>1.7999999999999999E-2</v>
      </c>
      <c r="F1023" s="53">
        <f t="shared" si="113"/>
        <v>5.1999999999999998E-2</v>
      </c>
      <c r="G1023" s="53">
        <f t="shared" si="114"/>
        <v>0.95399999999999996</v>
      </c>
      <c r="H1023" s="53">
        <f t="shared" si="115"/>
        <v>1.7000000000000001E-2</v>
      </c>
      <c r="I1023" s="53">
        <f t="shared" si="116"/>
        <v>0.11899999999999999</v>
      </c>
      <c r="L1023" t="s">
        <v>2414</v>
      </c>
      <c r="M1023" t="str">
        <f t="shared" si="111"/>
        <v>Gestione di uffici temporanei, uffici residence</v>
      </c>
      <c r="N1023" t="str">
        <f t="shared" si="110"/>
        <v>JMN) Servizi alle imprese</v>
      </c>
    </row>
    <row r="1024" spans="1:14" ht="51">
      <c r="A1024" s="58" t="s">
        <v>2254</v>
      </c>
      <c r="B1024" s="59" t="s">
        <v>2255</v>
      </c>
      <c r="C1024">
        <v>9</v>
      </c>
      <c r="D1024" t="str">
        <f>+VLOOKUP(AtecoCrisi[[#This Row],[COD. CRISI]],Tabella139[],2,0)</f>
        <v>JMN) Servizi alle imprese</v>
      </c>
      <c r="E1024" s="53">
        <f t="shared" si="112"/>
        <v>1.7999999999999999E-2</v>
      </c>
      <c r="F1024" s="53">
        <f t="shared" si="113"/>
        <v>5.1999999999999998E-2</v>
      </c>
      <c r="G1024" s="53">
        <f t="shared" si="114"/>
        <v>0.95399999999999996</v>
      </c>
      <c r="H1024" s="53">
        <f t="shared" si="115"/>
        <v>1.7000000000000001E-2</v>
      </c>
      <c r="I1024" s="53">
        <f t="shared" si="116"/>
        <v>0.11899999999999999</v>
      </c>
      <c r="L1024" t="s">
        <v>2416</v>
      </c>
      <c r="M1024" t="str">
        <f t="shared" si="111"/>
        <v>Spedizione di materiale propagandistico, compilazione e gestione di indirizzi</v>
      </c>
      <c r="N1024" t="str">
        <f t="shared" si="110"/>
        <v>JMN) Servizi alle imprese</v>
      </c>
    </row>
    <row r="1025" spans="1:14" ht="38.25">
      <c r="A1025" s="56" t="s">
        <v>2256</v>
      </c>
      <c r="B1025" s="57" t="s">
        <v>2257</v>
      </c>
      <c r="C1025">
        <v>9</v>
      </c>
      <c r="D1025" t="str">
        <f>+VLOOKUP(AtecoCrisi[[#This Row],[COD. CRISI]],Tabella139[],2,0)</f>
        <v>JMN) Servizi alle imprese</v>
      </c>
      <c r="E1025" s="53">
        <f t="shared" si="112"/>
        <v>1.7999999999999999E-2</v>
      </c>
      <c r="F1025" s="53">
        <f t="shared" si="113"/>
        <v>5.1999999999999998E-2</v>
      </c>
      <c r="G1025" s="53">
        <f t="shared" si="114"/>
        <v>0.95399999999999996</v>
      </c>
      <c r="H1025" s="53">
        <f t="shared" si="115"/>
        <v>1.7000000000000001E-2</v>
      </c>
      <c r="I1025" s="53">
        <f t="shared" si="116"/>
        <v>0.11899999999999999</v>
      </c>
      <c r="L1025" t="s">
        <v>2418</v>
      </c>
      <c r="M1025" t="str">
        <f t="shared" si="111"/>
        <v>Servizi di fotocopiatura, preparazione di documenti e altre attività di supporto specializzate per le funzioni d'ufficio</v>
      </c>
      <c r="N1025" t="str">
        <f t="shared" si="110"/>
        <v>JMN) Servizi alle imprese</v>
      </c>
    </row>
    <row r="1026" spans="1:14" ht="51">
      <c r="A1026" s="58" t="s">
        <v>2258</v>
      </c>
      <c r="B1026" s="59" t="s">
        <v>2259</v>
      </c>
      <c r="C1026">
        <v>9</v>
      </c>
      <c r="D1026" t="str">
        <f>+VLOOKUP(AtecoCrisi[[#This Row],[COD. CRISI]],Tabella139[],2,0)</f>
        <v>JMN) Servizi alle imprese</v>
      </c>
      <c r="E1026" s="53">
        <f t="shared" si="112"/>
        <v>1.7999999999999999E-2</v>
      </c>
      <c r="F1026" s="53">
        <f t="shared" si="113"/>
        <v>5.1999999999999998E-2</v>
      </c>
      <c r="G1026" s="53">
        <f t="shared" si="114"/>
        <v>0.95399999999999996</v>
      </c>
      <c r="H1026" s="53">
        <f t="shared" si="115"/>
        <v>1.7000000000000001E-2</v>
      </c>
      <c r="I1026" s="53">
        <f t="shared" si="116"/>
        <v>0.11899999999999999</v>
      </c>
      <c r="L1026" t="s">
        <v>2420</v>
      </c>
      <c r="M1026" t="str">
        <f t="shared" si="111"/>
        <v>Attività dei call center</v>
      </c>
      <c r="N1026" t="str">
        <f t="shared" ref="N1026:N1089" si="117">+VLOOKUP(L1026,A:D,4,0)</f>
        <v>JMN) Servizi alle imprese</v>
      </c>
    </row>
    <row r="1027" spans="1:14" ht="51">
      <c r="A1027" s="58" t="s">
        <v>2260</v>
      </c>
      <c r="B1027" s="59" t="s">
        <v>2261</v>
      </c>
      <c r="C1027">
        <v>9</v>
      </c>
      <c r="D1027" t="str">
        <f>+VLOOKUP(AtecoCrisi[[#This Row],[COD. CRISI]],Tabella139[],2,0)</f>
        <v>JMN) Servizi alle imprese</v>
      </c>
      <c r="E1027" s="53">
        <f t="shared" si="112"/>
        <v>1.7999999999999999E-2</v>
      </c>
      <c r="F1027" s="53">
        <f t="shared" si="113"/>
        <v>5.1999999999999998E-2</v>
      </c>
      <c r="G1027" s="53">
        <f t="shared" si="114"/>
        <v>0.95399999999999996</v>
      </c>
      <c r="H1027" s="53">
        <f t="shared" si="115"/>
        <v>1.7000000000000001E-2</v>
      </c>
      <c r="I1027" s="53">
        <f t="shared" si="116"/>
        <v>0.11899999999999999</v>
      </c>
      <c r="L1027" t="s">
        <v>2422</v>
      </c>
      <c r="M1027" t="str">
        <f t="shared" ref="M1027:M1090" si="118">+VLOOKUP(L1027,A:B,2,0)</f>
        <v>Organizzazione di convegni e fiere</v>
      </c>
      <c r="N1027" t="str">
        <f t="shared" si="117"/>
        <v>JMN) Servizi alle imprese</v>
      </c>
    </row>
    <row r="1028" spans="1:14" ht="63.75">
      <c r="A1028" s="58" t="s">
        <v>2262</v>
      </c>
      <c r="B1028" s="59" t="s">
        <v>2263</v>
      </c>
      <c r="C1028">
        <v>9</v>
      </c>
      <c r="D1028" t="str">
        <f>+VLOOKUP(AtecoCrisi[[#This Row],[COD. CRISI]],Tabella139[],2,0)</f>
        <v>JMN) Servizi alle imprese</v>
      </c>
      <c r="E1028" s="53">
        <f t="shared" si="112"/>
        <v>1.7999999999999999E-2</v>
      </c>
      <c r="F1028" s="53">
        <f t="shared" si="113"/>
        <v>5.1999999999999998E-2</v>
      </c>
      <c r="G1028" s="53">
        <f t="shared" si="114"/>
        <v>0.95399999999999996</v>
      </c>
      <c r="H1028" s="53">
        <f t="shared" si="115"/>
        <v>1.7000000000000001E-2</v>
      </c>
      <c r="I1028" s="53">
        <f t="shared" si="116"/>
        <v>0.11899999999999999</v>
      </c>
      <c r="L1028" t="s">
        <v>2424</v>
      </c>
      <c r="M1028" t="str">
        <f t="shared" si="118"/>
        <v>Attività di agenzie di recupero crediti</v>
      </c>
      <c r="N1028" t="str">
        <f t="shared" si="117"/>
        <v>JMN) Servizi alle imprese</v>
      </c>
    </row>
    <row r="1029" spans="1:14" ht="63.75">
      <c r="A1029" s="58" t="s">
        <v>2264</v>
      </c>
      <c r="B1029" s="59" t="s">
        <v>2265</v>
      </c>
      <c r="C1029">
        <v>9</v>
      </c>
      <c r="D1029" t="str">
        <f>+VLOOKUP(AtecoCrisi[[#This Row],[COD. CRISI]],Tabella139[],2,0)</f>
        <v>JMN) Servizi alle imprese</v>
      </c>
      <c r="E1029" s="53">
        <f t="shared" si="112"/>
        <v>1.7999999999999999E-2</v>
      </c>
      <c r="F1029" s="53">
        <f t="shared" si="113"/>
        <v>5.1999999999999998E-2</v>
      </c>
      <c r="G1029" s="53">
        <f t="shared" si="114"/>
        <v>0.95399999999999996</v>
      </c>
      <c r="H1029" s="53">
        <f t="shared" si="115"/>
        <v>1.7000000000000001E-2</v>
      </c>
      <c r="I1029" s="53">
        <f t="shared" si="116"/>
        <v>0.11899999999999999</v>
      </c>
      <c r="L1029" t="s">
        <v>2426</v>
      </c>
      <c r="M1029" t="str">
        <f t="shared" si="118"/>
        <v>Agenzie di informazioni commerciali</v>
      </c>
      <c r="N1029" t="str">
        <f t="shared" si="117"/>
        <v>JMN) Servizi alle imprese</v>
      </c>
    </row>
    <row r="1030" spans="1:14" ht="38.25">
      <c r="A1030" s="56" t="s">
        <v>2266</v>
      </c>
      <c r="B1030" s="57" t="s">
        <v>2267</v>
      </c>
      <c r="C1030">
        <v>9</v>
      </c>
      <c r="D1030" t="str">
        <f>+VLOOKUP(AtecoCrisi[[#This Row],[COD. CRISI]],Tabella139[],2,0)</f>
        <v>JMN) Servizi alle imprese</v>
      </c>
      <c r="E1030" s="53">
        <f t="shared" si="112"/>
        <v>1.7999999999999999E-2</v>
      </c>
      <c r="F1030" s="53">
        <f t="shared" si="113"/>
        <v>5.1999999999999998E-2</v>
      </c>
      <c r="G1030" s="53">
        <f t="shared" si="114"/>
        <v>0.95399999999999996</v>
      </c>
      <c r="H1030" s="53">
        <f t="shared" si="115"/>
        <v>1.7000000000000001E-2</v>
      </c>
      <c r="I1030" s="53">
        <f t="shared" si="116"/>
        <v>0.11899999999999999</v>
      </c>
      <c r="L1030" t="s">
        <v>2428</v>
      </c>
      <c r="M1030" t="str">
        <f t="shared" si="118"/>
        <v>Imballaggio e confezionamento di generi alimentari</v>
      </c>
      <c r="N1030" t="str">
        <f t="shared" si="117"/>
        <v>JMN) Servizi alle imprese</v>
      </c>
    </row>
    <row r="1031" spans="1:14" ht="38.25">
      <c r="A1031" s="58" t="s">
        <v>2268</v>
      </c>
      <c r="B1031" s="59" t="s">
        <v>2269</v>
      </c>
      <c r="C1031">
        <v>9</v>
      </c>
      <c r="D1031" t="str">
        <f>+VLOOKUP(AtecoCrisi[[#This Row],[COD. CRISI]],Tabella139[],2,0)</f>
        <v>JMN) Servizi alle imprese</v>
      </c>
      <c r="E1031" s="53">
        <f t="shared" si="112"/>
        <v>1.7999999999999999E-2</v>
      </c>
      <c r="F1031" s="53">
        <f t="shared" si="113"/>
        <v>5.1999999999999998E-2</v>
      </c>
      <c r="G1031" s="53">
        <f t="shared" si="114"/>
        <v>0.95399999999999996</v>
      </c>
      <c r="H1031" s="53">
        <f t="shared" si="115"/>
        <v>1.7000000000000001E-2</v>
      </c>
      <c r="I1031" s="53">
        <f t="shared" si="116"/>
        <v>0.11899999999999999</v>
      </c>
      <c r="L1031" t="s">
        <v>2430</v>
      </c>
      <c r="M1031" t="str">
        <f t="shared" si="118"/>
        <v>Imballaggio e confezionamento di generi non alimentari</v>
      </c>
      <c r="N1031" t="str">
        <f t="shared" si="117"/>
        <v>JMN) Servizi alle imprese</v>
      </c>
    </row>
    <row r="1032" spans="1:14" ht="51">
      <c r="A1032" s="58" t="s">
        <v>2270</v>
      </c>
      <c r="B1032" s="59" t="s">
        <v>2271</v>
      </c>
      <c r="C1032">
        <v>9</v>
      </c>
      <c r="D1032" t="str">
        <f>+VLOOKUP(AtecoCrisi[[#This Row],[COD. CRISI]],Tabella139[],2,0)</f>
        <v>JMN) Servizi alle imprese</v>
      </c>
      <c r="E1032" s="53">
        <f t="shared" si="112"/>
        <v>1.7999999999999999E-2</v>
      </c>
      <c r="F1032" s="53">
        <f t="shared" si="113"/>
        <v>5.1999999999999998E-2</v>
      </c>
      <c r="G1032" s="53">
        <f t="shared" si="114"/>
        <v>0.95399999999999996</v>
      </c>
      <c r="H1032" s="53">
        <f t="shared" si="115"/>
        <v>1.7000000000000001E-2</v>
      </c>
      <c r="I1032" s="53">
        <f t="shared" si="116"/>
        <v>0.11899999999999999</v>
      </c>
      <c r="L1032" t="s">
        <v>2432</v>
      </c>
      <c r="M1032" t="str">
        <f t="shared" si="118"/>
        <v>Imprese di gestione esattoriale</v>
      </c>
      <c r="N1032" t="str">
        <f t="shared" si="117"/>
        <v>JMN) Servizi alle imprese</v>
      </c>
    </row>
    <row r="1033" spans="1:14" ht="63.75">
      <c r="A1033" s="58" t="s">
        <v>2272</v>
      </c>
      <c r="B1033" s="59" t="s">
        <v>2273</v>
      </c>
      <c r="C1033">
        <v>9</v>
      </c>
      <c r="D1033" t="str">
        <f>+VLOOKUP(AtecoCrisi[[#This Row],[COD. CRISI]],Tabella139[],2,0)</f>
        <v>JMN) Servizi alle imprese</v>
      </c>
      <c r="E1033" s="53">
        <f t="shared" si="112"/>
        <v>1.7999999999999999E-2</v>
      </c>
      <c r="F1033" s="53">
        <f t="shared" si="113"/>
        <v>5.1999999999999998E-2</v>
      </c>
      <c r="G1033" s="53">
        <f t="shared" si="114"/>
        <v>0.95399999999999996</v>
      </c>
      <c r="H1033" s="53">
        <f t="shared" si="115"/>
        <v>1.7000000000000001E-2</v>
      </c>
      <c r="I1033" s="53">
        <f t="shared" si="116"/>
        <v>0.11899999999999999</v>
      </c>
      <c r="L1033" t="s">
        <v>2434</v>
      </c>
      <c r="M1033" t="str">
        <f t="shared" si="118"/>
        <v>Agenzie di distribuzione di libri, giornali e riviste</v>
      </c>
      <c r="N1033" t="str">
        <f t="shared" si="117"/>
        <v>JMN) Servizi alle imprese</v>
      </c>
    </row>
    <row r="1034" spans="1:14" ht="51">
      <c r="A1034" s="58" t="s">
        <v>2274</v>
      </c>
      <c r="B1034" s="59" t="s">
        <v>2275</v>
      </c>
      <c r="C1034">
        <v>9</v>
      </c>
      <c r="D1034" t="str">
        <f>+VLOOKUP(AtecoCrisi[[#This Row],[COD. CRISI]],Tabella139[],2,0)</f>
        <v>JMN) Servizi alle imprese</v>
      </c>
      <c r="E1034" s="53">
        <f t="shared" si="112"/>
        <v>1.7999999999999999E-2</v>
      </c>
      <c r="F1034" s="53">
        <f t="shared" si="113"/>
        <v>5.1999999999999998E-2</v>
      </c>
      <c r="G1034" s="53">
        <f t="shared" si="114"/>
        <v>0.95399999999999996</v>
      </c>
      <c r="H1034" s="53">
        <f t="shared" si="115"/>
        <v>1.7000000000000001E-2</v>
      </c>
      <c r="I1034" s="53">
        <f t="shared" si="116"/>
        <v>0.11899999999999999</v>
      </c>
      <c r="L1034" t="s">
        <v>2436</v>
      </c>
      <c r="M1034" t="str">
        <f t="shared" si="118"/>
        <v>Servizi di gestione di pubblici mercati e pese pubbliche</v>
      </c>
      <c r="N1034" t="str">
        <f t="shared" si="117"/>
        <v>JMN) Servizi alle imprese</v>
      </c>
    </row>
    <row r="1035" spans="1:14" ht="51">
      <c r="A1035" s="56" t="s">
        <v>2276</v>
      </c>
      <c r="B1035" s="57" t="s">
        <v>2277</v>
      </c>
      <c r="C1035">
        <v>9</v>
      </c>
      <c r="D1035" t="str">
        <f>+VLOOKUP(AtecoCrisi[[#This Row],[COD. CRISI]],Tabella139[],2,0)</f>
        <v>JMN) Servizi alle imprese</v>
      </c>
      <c r="E1035" s="53">
        <f t="shared" si="112"/>
        <v>1.7999999999999999E-2</v>
      </c>
      <c r="F1035" s="53">
        <f t="shared" si="113"/>
        <v>5.1999999999999998E-2</v>
      </c>
      <c r="G1035" s="53">
        <f t="shared" si="114"/>
        <v>0.95399999999999996</v>
      </c>
      <c r="H1035" s="53">
        <f t="shared" si="115"/>
        <v>1.7000000000000001E-2</v>
      </c>
      <c r="I1035" s="53">
        <f t="shared" si="116"/>
        <v>0.11899999999999999</v>
      </c>
      <c r="L1035" t="s">
        <v>2438</v>
      </c>
      <c r="M1035" t="str">
        <f t="shared" si="118"/>
        <v>Richiesta certificati e disbrigo pratiche</v>
      </c>
      <c r="N1035" t="str">
        <f t="shared" si="117"/>
        <v>JMN) Servizi alle imprese</v>
      </c>
    </row>
    <row r="1036" spans="1:14" ht="38.25">
      <c r="A1036" s="58" t="s">
        <v>2278</v>
      </c>
      <c r="B1036" s="59" t="s">
        <v>2279</v>
      </c>
      <c r="C1036">
        <v>9</v>
      </c>
      <c r="D1036" t="str">
        <f>+VLOOKUP(AtecoCrisi[[#This Row],[COD. CRISI]],Tabella139[],2,0)</f>
        <v>JMN) Servizi alle imprese</v>
      </c>
      <c r="E1036" s="53">
        <f t="shared" si="112"/>
        <v>1.7999999999999999E-2</v>
      </c>
      <c r="F1036" s="53">
        <f t="shared" si="113"/>
        <v>5.1999999999999998E-2</v>
      </c>
      <c r="G1036" s="53">
        <f t="shared" si="114"/>
        <v>0.95399999999999996</v>
      </c>
      <c r="H1036" s="53">
        <f t="shared" si="115"/>
        <v>1.7000000000000001E-2</v>
      </c>
      <c r="I1036" s="53">
        <f t="shared" si="116"/>
        <v>0.11899999999999999</v>
      </c>
      <c r="L1036" t="s">
        <v>2440</v>
      </c>
      <c r="M1036" t="str">
        <f t="shared" si="118"/>
        <v>Servizi di stenotipia</v>
      </c>
      <c r="N1036" t="str">
        <f t="shared" si="117"/>
        <v>JMN) Servizi alle imprese</v>
      </c>
    </row>
    <row r="1037" spans="1:14" ht="38.25">
      <c r="A1037" s="58" t="s">
        <v>2280</v>
      </c>
      <c r="B1037" s="59" t="s">
        <v>2281</v>
      </c>
      <c r="C1037">
        <v>9</v>
      </c>
      <c r="D1037" t="str">
        <f>+VLOOKUP(AtecoCrisi[[#This Row],[COD. CRISI]],Tabella139[],2,0)</f>
        <v>JMN) Servizi alle imprese</v>
      </c>
      <c r="E1037" s="53">
        <f t="shared" si="112"/>
        <v>1.7999999999999999E-2</v>
      </c>
      <c r="F1037" s="53">
        <f t="shared" si="113"/>
        <v>5.1999999999999998E-2</v>
      </c>
      <c r="G1037" s="53">
        <f t="shared" si="114"/>
        <v>0.95399999999999996</v>
      </c>
      <c r="H1037" s="53">
        <f t="shared" si="115"/>
        <v>1.7000000000000001E-2</v>
      </c>
      <c r="I1037" s="53">
        <f t="shared" si="116"/>
        <v>0.11899999999999999</v>
      </c>
      <c r="L1037" t="s">
        <v>2442</v>
      </c>
      <c r="M1037" t="str">
        <f t="shared" si="118"/>
        <v>Altri servizi di sostegno alle imprese nca</v>
      </c>
      <c r="N1037" t="str">
        <f t="shared" si="117"/>
        <v>JMN) Servizi alle imprese</v>
      </c>
    </row>
    <row r="1038" spans="1:14" ht="25.5">
      <c r="A1038" s="58" t="s">
        <v>2282</v>
      </c>
      <c r="B1038" s="59" t="s">
        <v>2283</v>
      </c>
      <c r="C1038">
        <v>9</v>
      </c>
      <c r="D1038" t="str">
        <f>+VLOOKUP(AtecoCrisi[[#This Row],[COD. CRISI]],Tabella139[],2,0)</f>
        <v>JMN) Servizi alle imprese</v>
      </c>
      <c r="E1038" s="53">
        <f t="shared" si="112"/>
        <v>1.7999999999999999E-2</v>
      </c>
      <c r="F1038" s="53">
        <f t="shared" si="113"/>
        <v>5.1999999999999998E-2</v>
      </c>
      <c r="G1038" s="53">
        <f t="shared" si="114"/>
        <v>0.95399999999999996</v>
      </c>
      <c r="H1038" s="53">
        <f t="shared" si="115"/>
        <v>1.7000000000000001E-2</v>
      </c>
      <c r="I1038" s="53">
        <f t="shared" si="116"/>
        <v>0.11899999999999999</v>
      </c>
      <c r="L1038" t="s">
        <v>2447</v>
      </c>
      <c r="M1038" t="str">
        <f t="shared" si="118"/>
        <v>Attività degli organi legislativi ed esecutivi, centrali e locali; amministrazione finanziaria; amministrazioni regionali, provinciali e comunali</v>
      </c>
      <c r="N1038" t="e">
        <f t="shared" si="117"/>
        <v>#N/A</v>
      </c>
    </row>
    <row r="1039" spans="1:14" ht="25.5">
      <c r="A1039" s="58" t="s">
        <v>2284</v>
      </c>
      <c r="B1039" s="59" t="s">
        <v>2285</v>
      </c>
      <c r="C1039">
        <v>9</v>
      </c>
      <c r="D1039" t="str">
        <f>+VLOOKUP(AtecoCrisi[[#This Row],[COD. CRISI]],Tabella139[],2,0)</f>
        <v>JMN) Servizi alle imprese</v>
      </c>
      <c r="E1039" s="53">
        <f t="shared" si="112"/>
        <v>1.7999999999999999E-2</v>
      </c>
      <c r="F1039" s="53">
        <f t="shared" si="113"/>
        <v>5.1999999999999998E-2</v>
      </c>
      <c r="G1039" s="53">
        <f t="shared" si="114"/>
        <v>0.95399999999999996</v>
      </c>
      <c r="H1039" s="53">
        <f t="shared" si="115"/>
        <v>1.7000000000000001E-2</v>
      </c>
      <c r="I1039" s="53">
        <f t="shared" si="116"/>
        <v>0.11899999999999999</v>
      </c>
      <c r="L1039" t="s">
        <v>2449</v>
      </c>
      <c r="M1039" t="str">
        <f t="shared" si="118"/>
        <v>Attività di pianificazione generale e servizi statistici generali</v>
      </c>
      <c r="N1039" t="e">
        <f t="shared" si="117"/>
        <v>#N/A</v>
      </c>
    </row>
    <row r="1040" spans="1:14" ht="25.5">
      <c r="A1040" s="58" t="s">
        <v>2286</v>
      </c>
      <c r="B1040" s="59" t="s">
        <v>2287</v>
      </c>
      <c r="C1040">
        <v>9</v>
      </c>
      <c r="D1040" t="str">
        <f>+VLOOKUP(AtecoCrisi[[#This Row],[COD. CRISI]],Tabella139[],2,0)</f>
        <v>JMN) Servizi alle imprese</v>
      </c>
      <c r="E1040" s="53">
        <f t="shared" ref="E1040:E1103" si="119">+VLOOKUP(C1040,$R$2:$X$11,3,FALSE)</f>
        <v>1.7999999999999999E-2</v>
      </c>
      <c r="F1040" s="53">
        <f t="shared" ref="F1040:F1103" si="120">+VLOOKUP(C1040,$R$2:$X$11,4,FALSE)</f>
        <v>5.1999999999999998E-2</v>
      </c>
      <c r="G1040" s="53">
        <f t="shared" ref="G1040:G1103" si="121">+VLOOKUP(C1040,$R$2:$X$11,5,FALSE)</f>
        <v>0.95399999999999996</v>
      </c>
      <c r="H1040" s="53">
        <f t="shared" ref="H1040:H1103" si="122">+VLOOKUP(C1040,$R$2:$X$11,6,FALSE)</f>
        <v>1.7000000000000001E-2</v>
      </c>
      <c r="I1040" s="53">
        <f t="shared" ref="I1040:I1103" si="123">+VLOOKUP(C1040,$R$2:$X$11,7,FALSE)</f>
        <v>0.11899999999999999</v>
      </c>
      <c r="L1040" t="s">
        <v>2451</v>
      </c>
      <c r="M1040" t="str">
        <f t="shared" si="118"/>
        <v>Regolamentazione dell'attività degli organismi preposti alla sanità</v>
      </c>
      <c r="N1040" t="e">
        <f t="shared" si="117"/>
        <v>#N/A</v>
      </c>
    </row>
    <row r="1041" spans="1:14" ht="25.5">
      <c r="A1041" s="58" t="s">
        <v>2288</v>
      </c>
      <c r="B1041" s="59" t="s">
        <v>2289</v>
      </c>
      <c r="C1041">
        <v>9</v>
      </c>
      <c r="D1041" t="str">
        <f>+VLOOKUP(AtecoCrisi[[#This Row],[COD. CRISI]],Tabella139[],2,0)</f>
        <v>JMN) Servizi alle imprese</v>
      </c>
      <c r="E1041" s="53">
        <f t="shared" si="119"/>
        <v>1.7999999999999999E-2</v>
      </c>
      <c r="F1041" s="53">
        <f t="shared" si="120"/>
        <v>5.1999999999999998E-2</v>
      </c>
      <c r="G1041" s="53">
        <f t="shared" si="121"/>
        <v>0.95399999999999996</v>
      </c>
      <c r="H1041" s="53">
        <f t="shared" si="122"/>
        <v>1.7000000000000001E-2</v>
      </c>
      <c r="I1041" s="53">
        <f t="shared" si="123"/>
        <v>0.11899999999999999</v>
      </c>
      <c r="L1041" t="s">
        <v>2453</v>
      </c>
      <c r="M1041" t="str">
        <f t="shared" si="118"/>
        <v>Regolamentazione dell'attività degli organismi preposti all'istruzione</v>
      </c>
      <c r="N1041" t="e">
        <f t="shared" si="117"/>
        <v>#N/A</v>
      </c>
    </row>
    <row r="1042" spans="1:14" ht="38.25">
      <c r="A1042" s="58" t="s">
        <v>2290</v>
      </c>
      <c r="B1042" s="59" t="s">
        <v>2291</v>
      </c>
      <c r="C1042">
        <v>9</v>
      </c>
      <c r="D1042" t="str">
        <f>+VLOOKUP(AtecoCrisi[[#This Row],[COD. CRISI]],Tabella139[],2,0)</f>
        <v>JMN) Servizi alle imprese</v>
      </c>
      <c r="E1042" s="53">
        <f t="shared" si="119"/>
        <v>1.7999999999999999E-2</v>
      </c>
      <c r="F1042" s="53">
        <f t="shared" si="120"/>
        <v>5.1999999999999998E-2</v>
      </c>
      <c r="G1042" s="53">
        <f t="shared" si="121"/>
        <v>0.95399999999999996</v>
      </c>
      <c r="H1042" s="53">
        <f t="shared" si="122"/>
        <v>1.7000000000000001E-2</v>
      </c>
      <c r="I1042" s="53">
        <f t="shared" si="123"/>
        <v>0.11899999999999999</v>
      </c>
      <c r="L1042" t="s">
        <v>2455</v>
      </c>
      <c r="M1042" t="str">
        <f t="shared" si="118"/>
        <v>Regolamentazione dell'attività degli organismi preposti alla gestione di progetti per l'edilizia abitativa e l'assetto del territorio e per la tutela dell'ambiente</v>
      </c>
      <c r="N1042" t="e">
        <f t="shared" si="117"/>
        <v>#N/A</v>
      </c>
    </row>
    <row r="1043" spans="1:14" ht="25.5">
      <c r="A1043" s="58" t="s">
        <v>2292</v>
      </c>
      <c r="B1043" s="59" t="s">
        <v>2293</v>
      </c>
      <c r="C1043">
        <v>9</v>
      </c>
      <c r="D1043" t="str">
        <f>+VLOOKUP(AtecoCrisi[[#This Row],[COD. CRISI]],Tabella139[],2,0)</f>
        <v>JMN) Servizi alle imprese</v>
      </c>
      <c r="E1043" s="53">
        <f t="shared" si="119"/>
        <v>1.7999999999999999E-2</v>
      </c>
      <c r="F1043" s="53">
        <f t="shared" si="120"/>
        <v>5.1999999999999998E-2</v>
      </c>
      <c r="G1043" s="53">
        <f t="shared" si="121"/>
        <v>0.95399999999999996</v>
      </c>
      <c r="H1043" s="53">
        <f t="shared" si="122"/>
        <v>1.7000000000000001E-2</v>
      </c>
      <c r="I1043" s="53">
        <f t="shared" si="123"/>
        <v>0.11899999999999999</v>
      </c>
      <c r="L1043" t="s">
        <v>2457</v>
      </c>
      <c r="M1043" t="str">
        <f t="shared" si="118"/>
        <v>Regolamentazione dell'attività degli organismi preposti ai servizi ricreativi, culturali e sociali vari</v>
      </c>
      <c r="N1043" t="e">
        <f t="shared" si="117"/>
        <v>#N/A</v>
      </c>
    </row>
    <row r="1044" spans="1:14" ht="51">
      <c r="A1044" s="58" t="s">
        <v>2294</v>
      </c>
      <c r="B1044" s="59" t="s">
        <v>2295</v>
      </c>
      <c r="C1044">
        <v>9</v>
      </c>
      <c r="D1044" t="str">
        <f>+VLOOKUP(AtecoCrisi[[#This Row],[COD. CRISI]],Tabella139[],2,0)</f>
        <v>JMN) Servizi alle imprese</v>
      </c>
      <c r="E1044" s="53">
        <f t="shared" si="119"/>
        <v>1.7999999999999999E-2</v>
      </c>
      <c r="F1044" s="53">
        <f t="shared" si="120"/>
        <v>5.1999999999999998E-2</v>
      </c>
      <c r="G1044" s="53">
        <f t="shared" si="121"/>
        <v>0.95399999999999996</v>
      </c>
      <c r="H1044" s="53">
        <f t="shared" si="122"/>
        <v>1.7000000000000001E-2</v>
      </c>
      <c r="I1044" s="53">
        <f t="shared" si="123"/>
        <v>0.11899999999999999</v>
      </c>
      <c r="L1044" t="s">
        <v>2459</v>
      </c>
      <c r="M1044" t="str">
        <f t="shared" si="118"/>
        <v>Regolamentazione degli affari concernenti i combustibili e l'energia</v>
      </c>
      <c r="N1044" t="e">
        <f t="shared" si="117"/>
        <v>#N/A</v>
      </c>
    </row>
    <row r="1045" spans="1:14" ht="25.5">
      <c r="A1045" s="58" t="s">
        <v>2296</v>
      </c>
      <c r="B1045" s="59" t="s">
        <v>2297</v>
      </c>
      <c r="C1045">
        <v>9</v>
      </c>
      <c r="D1045" t="str">
        <f>+VLOOKUP(AtecoCrisi[[#This Row],[COD. CRISI]],Tabella139[],2,0)</f>
        <v>JMN) Servizi alle imprese</v>
      </c>
      <c r="E1045" s="53">
        <f t="shared" si="119"/>
        <v>1.7999999999999999E-2</v>
      </c>
      <c r="F1045" s="53">
        <f t="shared" si="120"/>
        <v>5.1999999999999998E-2</v>
      </c>
      <c r="G1045" s="53">
        <f t="shared" si="121"/>
        <v>0.95399999999999996</v>
      </c>
      <c r="H1045" s="53">
        <f t="shared" si="122"/>
        <v>1.7000000000000001E-2</v>
      </c>
      <c r="I1045" s="53">
        <f t="shared" si="123"/>
        <v>0.11899999999999999</v>
      </c>
      <c r="L1045" t="s">
        <v>2461</v>
      </c>
      <c r="M1045" t="str">
        <f t="shared" si="118"/>
        <v>Regolamentazione degli affari e servizi concernenti l'agricoltura, silvicoltura, caccia e pesca</v>
      </c>
      <c r="N1045" t="e">
        <f t="shared" si="117"/>
        <v>#N/A</v>
      </c>
    </row>
    <row r="1046" spans="1:14" ht="38.25">
      <c r="A1046" s="58" t="s">
        <v>2298</v>
      </c>
      <c r="B1046" s="59" t="s">
        <v>2299</v>
      </c>
      <c r="C1046">
        <v>9</v>
      </c>
      <c r="D1046" t="str">
        <f>+VLOOKUP(AtecoCrisi[[#This Row],[COD. CRISI]],Tabella139[],2,0)</f>
        <v>JMN) Servizi alle imprese</v>
      </c>
      <c r="E1046" s="53">
        <f t="shared" si="119"/>
        <v>1.7999999999999999E-2</v>
      </c>
      <c r="F1046" s="53">
        <f t="shared" si="120"/>
        <v>5.1999999999999998E-2</v>
      </c>
      <c r="G1046" s="53">
        <f t="shared" si="121"/>
        <v>0.95399999999999996</v>
      </c>
      <c r="H1046" s="53">
        <f t="shared" si="122"/>
        <v>1.7000000000000001E-2</v>
      </c>
      <c r="I1046" s="53">
        <f t="shared" si="123"/>
        <v>0.11899999999999999</v>
      </c>
      <c r="L1046" t="s">
        <v>2463</v>
      </c>
      <c r="M1046" t="str">
        <f t="shared" si="118"/>
        <v>Regolamentazione degli affari e dei servizi concernenti le industrie estrattive e le risorse minerarie (eccetto i combustibili) le industrie manifatturiere, le costruzioni e le opere pubbliche ad eccezione delle strade e opere per la navigazione</v>
      </c>
      <c r="N1046" t="e">
        <f t="shared" si="117"/>
        <v>#N/A</v>
      </c>
    </row>
    <row r="1047" spans="1:14" ht="51">
      <c r="A1047" s="58" t="s">
        <v>2300</v>
      </c>
      <c r="B1047" s="59" t="s">
        <v>2301</v>
      </c>
      <c r="C1047">
        <v>9</v>
      </c>
      <c r="D1047" t="str">
        <f>+VLOOKUP(AtecoCrisi[[#This Row],[COD. CRISI]],Tabella139[],2,0)</f>
        <v>JMN) Servizi alle imprese</v>
      </c>
      <c r="E1047" s="53">
        <f t="shared" si="119"/>
        <v>1.7999999999999999E-2</v>
      </c>
      <c r="F1047" s="53">
        <f t="shared" si="120"/>
        <v>5.1999999999999998E-2</v>
      </c>
      <c r="G1047" s="53">
        <f t="shared" si="121"/>
        <v>0.95399999999999996</v>
      </c>
      <c r="H1047" s="53">
        <f t="shared" si="122"/>
        <v>1.7000000000000001E-2</v>
      </c>
      <c r="I1047" s="53">
        <f t="shared" si="123"/>
        <v>0.11899999999999999</v>
      </c>
      <c r="L1047" t="s">
        <v>2465</v>
      </c>
      <c r="M1047" t="str">
        <f t="shared" si="118"/>
        <v>Regolamentazione degli affari e servizi concernenti la costruzione di strade</v>
      </c>
      <c r="N1047" t="e">
        <f t="shared" si="117"/>
        <v>#N/A</v>
      </c>
    </row>
    <row r="1048" spans="1:14" ht="51">
      <c r="A1048" s="58" t="s">
        <v>2302</v>
      </c>
      <c r="B1048" s="59" t="s">
        <v>2303</v>
      </c>
      <c r="C1048">
        <v>9</v>
      </c>
      <c r="D1048" t="str">
        <f>+VLOOKUP(AtecoCrisi[[#This Row],[COD. CRISI]],Tabella139[],2,0)</f>
        <v>JMN) Servizi alle imprese</v>
      </c>
      <c r="E1048" s="53">
        <f t="shared" si="119"/>
        <v>1.7999999999999999E-2</v>
      </c>
      <c r="F1048" s="53">
        <f t="shared" si="120"/>
        <v>5.1999999999999998E-2</v>
      </c>
      <c r="G1048" s="53">
        <f t="shared" si="121"/>
        <v>0.95399999999999996</v>
      </c>
      <c r="H1048" s="53">
        <f t="shared" si="122"/>
        <v>1.7000000000000001E-2</v>
      </c>
      <c r="I1048" s="53">
        <f t="shared" si="123"/>
        <v>0.11899999999999999</v>
      </c>
      <c r="L1048" t="s">
        <v>2467</v>
      </c>
      <c r="M1048" t="str">
        <f t="shared" si="118"/>
        <v>Regolamentazione degli affari e servizi concernenti la costruzione di opere per la navigazione interna e marittima</v>
      </c>
      <c r="N1048" t="e">
        <f t="shared" si="117"/>
        <v>#N/A</v>
      </c>
    </row>
    <row r="1049" spans="1:14" ht="51">
      <c r="A1049" s="58" t="s">
        <v>2304</v>
      </c>
      <c r="B1049" s="59" t="s">
        <v>2305</v>
      </c>
      <c r="C1049">
        <v>9</v>
      </c>
      <c r="D1049" t="str">
        <f>+VLOOKUP(AtecoCrisi[[#This Row],[COD. CRISI]],Tabella139[],2,0)</f>
        <v>JMN) Servizi alle imprese</v>
      </c>
      <c r="E1049" s="53">
        <f t="shared" si="119"/>
        <v>1.7999999999999999E-2</v>
      </c>
      <c r="F1049" s="53">
        <f t="shared" si="120"/>
        <v>5.1999999999999998E-2</v>
      </c>
      <c r="G1049" s="53">
        <f t="shared" si="121"/>
        <v>0.95399999999999996</v>
      </c>
      <c r="H1049" s="53">
        <f t="shared" si="122"/>
        <v>1.7000000000000001E-2</v>
      </c>
      <c r="I1049" s="53">
        <f t="shared" si="123"/>
        <v>0.11899999999999999</v>
      </c>
      <c r="L1049" t="s">
        <v>2469</v>
      </c>
      <c r="M1049" t="str">
        <f t="shared" si="118"/>
        <v>Regolamentazione degli affari e servizi concernenti i trasporti e le comunicazioni</v>
      </c>
      <c r="N1049" t="e">
        <f t="shared" si="117"/>
        <v>#N/A</v>
      </c>
    </row>
    <row r="1050" spans="1:14" ht="38.25">
      <c r="A1050" s="58" t="s">
        <v>2306</v>
      </c>
      <c r="B1050" s="59" t="s">
        <v>2307</v>
      </c>
      <c r="C1050">
        <v>9</v>
      </c>
      <c r="D1050" t="str">
        <f>+VLOOKUP(AtecoCrisi[[#This Row],[COD. CRISI]],Tabella139[],2,0)</f>
        <v>JMN) Servizi alle imprese</v>
      </c>
      <c r="E1050" s="53">
        <f t="shared" si="119"/>
        <v>1.7999999999999999E-2</v>
      </c>
      <c r="F1050" s="53">
        <f t="shared" si="120"/>
        <v>5.1999999999999998E-2</v>
      </c>
      <c r="G1050" s="53">
        <f t="shared" si="121"/>
        <v>0.95399999999999996</v>
      </c>
      <c r="H1050" s="53">
        <f t="shared" si="122"/>
        <v>1.7000000000000001E-2</v>
      </c>
      <c r="I1050" s="53">
        <f t="shared" si="123"/>
        <v>0.11899999999999999</v>
      </c>
      <c r="L1050" t="s">
        <v>2471</v>
      </c>
      <c r="M1050" t="str">
        <f t="shared" si="118"/>
        <v>Regolamentazione degli affari e servizi concernenti il commercio interno</v>
      </c>
      <c r="N1050" t="e">
        <f t="shared" si="117"/>
        <v>#N/A</v>
      </c>
    </row>
    <row r="1051" spans="1:14" ht="38.25">
      <c r="A1051" s="58" t="s">
        <v>2308</v>
      </c>
      <c r="B1051" s="59" t="s">
        <v>2309</v>
      </c>
      <c r="C1051">
        <v>9</v>
      </c>
      <c r="D1051" t="str">
        <f>+VLOOKUP(AtecoCrisi[[#This Row],[COD. CRISI]],Tabella139[],2,0)</f>
        <v>JMN) Servizi alle imprese</v>
      </c>
      <c r="E1051" s="53">
        <f t="shared" si="119"/>
        <v>1.7999999999999999E-2</v>
      </c>
      <c r="F1051" s="53">
        <f t="shared" si="120"/>
        <v>5.1999999999999998E-2</v>
      </c>
      <c r="G1051" s="53">
        <f t="shared" si="121"/>
        <v>0.95399999999999996</v>
      </c>
      <c r="H1051" s="53">
        <f t="shared" si="122"/>
        <v>1.7000000000000001E-2</v>
      </c>
      <c r="I1051" s="53">
        <f t="shared" si="123"/>
        <v>0.11899999999999999</v>
      </c>
      <c r="L1051" t="s">
        <v>2473</v>
      </c>
      <c r="M1051" t="str">
        <f t="shared" si="118"/>
        <v>Regolamentazione degli affari e servizi concernenti il turismo</v>
      </c>
      <c r="N1051" t="e">
        <f t="shared" si="117"/>
        <v>#N/A</v>
      </c>
    </row>
    <row r="1052" spans="1:14" ht="38.25">
      <c r="A1052" s="58" t="s">
        <v>2310</v>
      </c>
      <c r="B1052" s="59" t="s">
        <v>2311</v>
      </c>
      <c r="C1052">
        <v>9</v>
      </c>
      <c r="D1052" t="str">
        <f>+VLOOKUP(AtecoCrisi[[#This Row],[COD. CRISI]],Tabella139[],2,0)</f>
        <v>JMN) Servizi alle imprese</v>
      </c>
      <c r="E1052" s="53">
        <f t="shared" si="119"/>
        <v>1.7999999999999999E-2</v>
      </c>
      <c r="F1052" s="53">
        <f t="shared" si="120"/>
        <v>5.1999999999999998E-2</v>
      </c>
      <c r="G1052" s="53">
        <f t="shared" si="121"/>
        <v>0.95399999999999996</v>
      </c>
      <c r="H1052" s="53">
        <f t="shared" si="122"/>
        <v>1.7000000000000001E-2</v>
      </c>
      <c r="I1052" s="53">
        <f t="shared" si="123"/>
        <v>0.11899999999999999</v>
      </c>
      <c r="L1052" t="s">
        <v>2475</v>
      </c>
      <c r="M1052" t="str">
        <f t="shared" si="118"/>
        <v>Regolamentazione di altri affari e servizi economici</v>
      </c>
      <c r="N1052" t="e">
        <f t="shared" si="117"/>
        <v>#N/A</v>
      </c>
    </row>
    <row r="1053" spans="1:14" ht="51">
      <c r="A1053" s="58" t="s">
        <v>2312</v>
      </c>
      <c r="B1053" s="59" t="s">
        <v>2313</v>
      </c>
      <c r="C1053">
        <v>9</v>
      </c>
      <c r="D1053" t="str">
        <f>+VLOOKUP(AtecoCrisi[[#This Row],[COD. CRISI]],Tabella139[],2,0)</f>
        <v>JMN) Servizi alle imprese</v>
      </c>
      <c r="E1053" s="53">
        <f t="shared" si="119"/>
        <v>1.7999999999999999E-2</v>
      </c>
      <c r="F1053" s="53">
        <f t="shared" si="120"/>
        <v>5.1999999999999998E-2</v>
      </c>
      <c r="G1053" s="53">
        <f t="shared" si="121"/>
        <v>0.95399999999999996</v>
      </c>
      <c r="H1053" s="53">
        <f t="shared" si="122"/>
        <v>1.7000000000000001E-2</v>
      </c>
      <c r="I1053" s="53">
        <f t="shared" si="123"/>
        <v>0.11899999999999999</v>
      </c>
      <c r="L1053" t="s">
        <v>2477</v>
      </c>
      <c r="M1053" t="str">
        <f t="shared" si="118"/>
        <v>Affari esteri</v>
      </c>
      <c r="N1053" t="e">
        <f t="shared" si="117"/>
        <v>#N/A</v>
      </c>
    </row>
    <row r="1054" spans="1:14" ht="25.5">
      <c r="A1054" s="58" t="s">
        <v>2314</v>
      </c>
      <c r="B1054" s="59" t="s">
        <v>2315</v>
      </c>
      <c r="C1054">
        <v>9</v>
      </c>
      <c r="D1054" t="str">
        <f>+VLOOKUP(AtecoCrisi[[#This Row],[COD. CRISI]],Tabella139[],2,0)</f>
        <v>JMN) Servizi alle imprese</v>
      </c>
      <c r="E1054" s="53">
        <f t="shared" si="119"/>
        <v>1.7999999999999999E-2</v>
      </c>
      <c r="F1054" s="53">
        <f t="shared" si="120"/>
        <v>5.1999999999999998E-2</v>
      </c>
      <c r="G1054" s="53">
        <f t="shared" si="121"/>
        <v>0.95399999999999996</v>
      </c>
      <c r="H1054" s="53">
        <f t="shared" si="122"/>
        <v>1.7000000000000001E-2</v>
      </c>
      <c r="I1054" s="53">
        <f t="shared" si="123"/>
        <v>0.11899999999999999</v>
      </c>
      <c r="L1054" t="s">
        <v>2479</v>
      </c>
      <c r="M1054" t="str">
        <f t="shared" si="118"/>
        <v>Difesa nazionale</v>
      </c>
      <c r="N1054" t="e">
        <f t="shared" si="117"/>
        <v>#N/A</v>
      </c>
    </row>
    <row r="1055" spans="1:14" ht="25.5">
      <c r="A1055" s="56" t="s">
        <v>2316</v>
      </c>
      <c r="B1055" s="57" t="s">
        <v>2317</v>
      </c>
      <c r="C1055">
        <v>9</v>
      </c>
      <c r="D1055" t="str">
        <f>+VLOOKUP(AtecoCrisi[[#This Row],[COD. CRISI]],Tabella139[],2,0)</f>
        <v>JMN) Servizi alle imprese</v>
      </c>
      <c r="E1055" s="53">
        <f t="shared" si="119"/>
        <v>1.7999999999999999E-2</v>
      </c>
      <c r="F1055" s="53">
        <f t="shared" si="120"/>
        <v>5.1999999999999998E-2</v>
      </c>
      <c r="G1055" s="53">
        <f t="shared" si="121"/>
        <v>0.95399999999999996</v>
      </c>
      <c r="H1055" s="53">
        <f t="shared" si="122"/>
        <v>1.7000000000000001E-2</v>
      </c>
      <c r="I1055" s="53">
        <f t="shared" si="123"/>
        <v>0.11899999999999999</v>
      </c>
      <c r="L1055" t="s">
        <v>2481</v>
      </c>
      <c r="M1055" t="str">
        <f t="shared" si="118"/>
        <v>Giustizia ed attività giudiziarie</v>
      </c>
      <c r="N1055" t="e">
        <f t="shared" si="117"/>
        <v>#N/A</v>
      </c>
    </row>
    <row r="1056" spans="1:14">
      <c r="A1056" s="58" t="s">
        <v>2318</v>
      </c>
      <c r="B1056" s="59" t="s">
        <v>2319</v>
      </c>
      <c r="C1056">
        <v>9</v>
      </c>
      <c r="D1056" t="str">
        <f>+VLOOKUP(AtecoCrisi[[#This Row],[COD. CRISI]],Tabella139[],2,0)</f>
        <v>JMN) Servizi alle imprese</v>
      </c>
      <c r="E1056" s="53">
        <f t="shared" si="119"/>
        <v>1.7999999999999999E-2</v>
      </c>
      <c r="F1056" s="53">
        <f t="shared" si="120"/>
        <v>5.1999999999999998E-2</v>
      </c>
      <c r="G1056" s="53">
        <f t="shared" si="121"/>
        <v>0.95399999999999996</v>
      </c>
      <c r="H1056" s="53">
        <f t="shared" si="122"/>
        <v>1.7000000000000001E-2</v>
      </c>
      <c r="I1056" s="53">
        <f t="shared" si="123"/>
        <v>0.11899999999999999</v>
      </c>
      <c r="L1056" t="s">
        <v>2483</v>
      </c>
      <c r="M1056" t="str">
        <f t="shared" si="118"/>
        <v>Ordine pubblico e sicurezza nazionale</v>
      </c>
      <c r="N1056" t="e">
        <f t="shared" si="117"/>
        <v>#N/A</v>
      </c>
    </row>
    <row r="1057" spans="1:14" ht="110.25">
      <c r="A1057" s="51" t="s">
        <v>2320</v>
      </c>
      <c r="B1057" s="52" t="s">
        <v>2321</v>
      </c>
      <c r="C1057">
        <v>9</v>
      </c>
      <c r="D1057" t="str">
        <f>+VLOOKUP(AtecoCrisi[[#This Row],[COD. CRISI]],Tabella139[],2,0)</f>
        <v>JMN) Servizi alle imprese</v>
      </c>
      <c r="E1057" s="53">
        <f t="shared" si="119"/>
        <v>1.7999999999999999E-2</v>
      </c>
      <c r="F1057" s="53">
        <f t="shared" si="120"/>
        <v>5.1999999999999998E-2</v>
      </c>
      <c r="G1057" s="53">
        <f t="shared" si="121"/>
        <v>0.95399999999999996</v>
      </c>
      <c r="H1057" s="53">
        <f t="shared" si="122"/>
        <v>1.7000000000000001E-2</v>
      </c>
      <c r="I1057" s="53">
        <f t="shared" si="123"/>
        <v>0.11899999999999999</v>
      </c>
      <c r="L1057" t="s">
        <v>2485</v>
      </c>
      <c r="M1057" t="str">
        <f t="shared" si="118"/>
        <v>Attività dei vigili del fuoco</v>
      </c>
      <c r="N1057" t="e">
        <f t="shared" si="117"/>
        <v>#N/A</v>
      </c>
    </row>
    <row r="1058" spans="1:14" ht="51">
      <c r="A1058" s="56" t="s">
        <v>2322</v>
      </c>
      <c r="B1058" s="57" t="s">
        <v>2323</v>
      </c>
      <c r="C1058">
        <v>9</v>
      </c>
      <c r="D1058" t="str">
        <f>+VLOOKUP(AtecoCrisi[[#This Row],[COD. CRISI]],Tabella139[],2,0)</f>
        <v>JMN) Servizi alle imprese</v>
      </c>
      <c r="E1058" s="53">
        <f t="shared" si="119"/>
        <v>1.7999999999999999E-2</v>
      </c>
      <c r="F1058" s="53">
        <f t="shared" si="120"/>
        <v>5.1999999999999998E-2</v>
      </c>
      <c r="G1058" s="53">
        <f t="shared" si="121"/>
        <v>0.95399999999999996</v>
      </c>
      <c r="H1058" s="53">
        <f t="shared" si="122"/>
        <v>1.7000000000000001E-2</v>
      </c>
      <c r="I1058" s="53">
        <f t="shared" si="123"/>
        <v>0.11899999999999999</v>
      </c>
      <c r="L1058" t="s">
        <v>2487</v>
      </c>
      <c r="M1058" t="str">
        <f t="shared" si="118"/>
        <v>Attività di protezione civile</v>
      </c>
      <c r="N1058" t="e">
        <f t="shared" si="117"/>
        <v>#N/A</v>
      </c>
    </row>
    <row r="1059" spans="1:14" ht="38.25">
      <c r="A1059" s="58" t="s">
        <v>2324</v>
      </c>
      <c r="B1059" s="59" t="s">
        <v>2325</v>
      </c>
      <c r="C1059">
        <v>9</v>
      </c>
      <c r="D1059" t="str">
        <f>+VLOOKUP(AtecoCrisi[[#This Row],[COD. CRISI]],Tabella139[],2,0)</f>
        <v>JMN) Servizi alle imprese</v>
      </c>
      <c r="E1059" s="53">
        <f t="shared" si="119"/>
        <v>1.7999999999999999E-2</v>
      </c>
      <c r="F1059" s="53">
        <f t="shared" si="120"/>
        <v>5.1999999999999998E-2</v>
      </c>
      <c r="G1059" s="53">
        <f t="shared" si="121"/>
        <v>0.95399999999999996</v>
      </c>
      <c r="H1059" s="53">
        <f t="shared" si="122"/>
        <v>1.7000000000000001E-2</v>
      </c>
      <c r="I1059" s="53">
        <f t="shared" si="123"/>
        <v>0.11899999999999999</v>
      </c>
      <c r="L1059" t="s">
        <v>2489</v>
      </c>
      <c r="M1059" t="str">
        <f t="shared" si="118"/>
        <v>Assicurazione sociale obbligatoria</v>
      </c>
      <c r="N1059" t="e">
        <f t="shared" si="117"/>
        <v>#N/A</v>
      </c>
    </row>
    <row r="1060" spans="1:14" ht="38.25">
      <c r="A1060" s="58" t="s">
        <v>2326</v>
      </c>
      <c r="B1060" s="59" t="s">
        <v>2327</v>
      </c>
      <c r="C1060">
        <v>9</v>
      </c>
      <c r="D1060" t="str">
        <f>+VLOOKUP(AtecoCrisi[[#This Row],[COD. CRISI]],Tabella139[],2,0)</f>
        <v>JMN) Servizi alle imprese</v>
      </c>
      <c r="E1060" s="53">
        <f t="shared" si="119"/>
        <v>1.7999999999999999E-2</v>
      </c>
      <c r="F1060" s="53">
        <f t="shared" si="120"/>
        <v>5.1999999999999998E-2</v>
      </c>
      <c r="G1060" s="53">
        <f t="shared" si="121"/>
        <v>0.95399999999999996</v>
      </c>
      <c r="H1060" s="53">
        <f t="shared" si="122"/>
        <v>1.7000000000000001E-2</v>
      </c>
      <c r="I1060" s="53">
        <f t="shared" si="123"/>
        <v>0.11899999999999999</v>
      </c>
      <c r="L1060" t="s">
        <v>2494</v>
      </c>
      <c r="M1060" t="str">
        <f t="shared" si="118"/>
        <v>Istruzione di grado preparatorio: scuole dell'infanzia, scuole speciali collegate a quelle primarie</v>
      </c>
      <c r="N1060" t="str">
        <f t="shared" si="117"/>
        <v>PQRS) Servizi alle persone</v>
      </c>
    </row>
    <row r="1061" spans="1:14" ht="25.5">
      <c r="A1061" s="58" t="s">
        <v>2328</v>
      </c>
      <c r="B1061" s="59" t="s">
        <v>2329</v>
      </c>
      <c r="C1061">
        <v>9</v>
      </c>
      <c r="D1061" t="str">
        <f>+VLOOKUP(AtecoCrisi[[#This Row],[COD. CRISI]],Tabella139[],2,0)</f>
        <v>JMN) Servizi alle imprese</v>
      </c>
      <c r="E1061" s="53">
        <f t="shared" si="119"/>
        <v>1.7999999999999999E-2</v>
      </c>
      <c r="F1061" s="53">
        <f t="shared" si="120"/>
        <v>5.1999999999999998E-2</v>
      </c>
      <c r="G1061" s="53">
        <f t="shared" si="121"/>
        <v>0.95399999999999996</v>
      </c>
      <c r="H1061" s="53">
        <f t="shared" si="122"/>
        <v>1.7000000000000001E-2</v>
      </c>
      <c r="I1061" s="53">
        <f t="shared" si="123"/>
        <v>0.11899999999999999</v>
      </c>
      <c r="L1061" t="s">
        <v>2496</v>
      </c>
      <c r="M1061" t="str">
        <f t="shared" si="118"/>
        <v>Istruzione primaria: scuole elementari</v>
      </c>
      <c r="N1061" t="str">
        <f t="shared" si="117"/>
        <v>PQRS) Servizi alle persone</v>
      </c>
    </row>
    <row r="1062" spans="1:14" ht="63.75">
      <c r="A1062" s="58" t="s">
        <v>2330</v>
      </c>
      <c r="B1062" s="59" t="s">
        <v>2331</v>
      </c>
      <c r="C1062">
        <v>9</v>
      </c>
      <c r="D1062" t="str">
        <f>+VLOOKUP(AtecoCrisi[[#This Row],[COD. CRISI]],Tabella139[],2,0)</f>
        <v>JMN) Servizi alle imprese</v>
      </c>
      <c r="E1062" s="53">
        <f t="shared" si="119"/>
        <v>1.7999999999999999E-2</v>
      </c>
      <c r="F1062" s="53">
        <f t="shared" si="120"/>
        <v>5.1999999999999998E-2</v>
      </c>
      <c r="G1062" s="53">
        <f t="shared" si="121"/>
        <v>0.95399999999999996</v>
      </c>
      <c r="H1062" s="53">
        <f t="shared" si="122"/>
        <v>1.7000000000000001E-2</v>
      </c>
      <c r="I1062" s="53">
        <f t="shared" si="123"/>
        <v>0.11899999999999999</v>
      </c>
      <c r="L1062" t="s">
        <v>2498</v>
      </c>
      <c r="M1062" t="str">
        <f t="shared" si="118"/>
        <v>Istruzione secondaria di primo grado: scuole medie</v>
      </c>
      <c r="N1062" t="str">
        <f t="shared" si="117"/>
        <v>PQRS) Servizi alle persone</v>
      </c>
    </row>
    <row r="1063" spans="1:14" ht="38.25">
      <c r="A1063" s="58" t="s">
        <v>2332</v>
      </c>
      <c r="B1063" s="59" t="s">
        <v>2333</v>
      </c>
      <c r="C1063">
        <v>9</v>
      </c>
      <c r="D1063" t="str">
        <f>+VLOOKUP(AtecoCrisi[[#This Row],[COD. CRISI]],Tabella139[],2,0)</f>
        <v>JMN) Servizi alle imprese</v>
      </c>
      <c r="E1063" s="53">
        <f t="shared" si="119"/>
        <v>1.7999999999999999E-2</v>
      </c>
      <c r="F1063" s="53">
        <f t="shared" si="120"/>
        <v>5.1999999999999998E-2</v>
      </c>
      <c r="G1063" s="53">
        <f t="shared" si="121"/>
        <v>0.95399999999999996</v>
      </c>
      <c r="H1063" s="53">
        <f t="shared" si="122"/>
        <v>1.7000000000000001E-2</v>
      </c>
      <c r="I1063" s="53">
        <f t="shared" si="123"/>
        <v>0.11899999999999999</v>
      </c>
      <c r="L1063" t="s">
        <v>2500</v>
      </c>
      <c r="M1063" t="str">
        <f t="shared" si="118"/>
        <v>Istruzione secondaria di secondo grado di formazione generale: licei</v>
      </c>
      <c r="N1063" t="str">
        <f t="shared" si="117"/>
        <v>PQRS) Servizi alle persone</v>
      </c>
    </row>
    <row r="1064" spans="1:14" ht="76.5">
      <c r="A1064" s="58" t="s">
        <v>2334</v>
      </c>
      <c r="B1064" s="59" t="s">
        <v>2335</v>
      </c>
      <c r="C1064">
        <v>9</v>
      </c>
      <c r="D1064" t="str">
        <f>+VLOOKUP(AtecoCrisi[[#This Row],[COD. CRISI]],Tabella139[],2,0)</f>
        <v>JMN) Servizi alle imprese</v>
      </c>
      <c r="E1064" s="53">
        <f t="shared" si="119"/>
        <v>1.7999999999999999E-2</v>
      </c>
      <c r="F1064" s="53">
        <f t="shared" si="120"/>
        <v>5.1999999999999998E-2</v>
      </c>
      <c r="G1064" s="53">
        <f t="shared" si="121"/>
        <v>0.95399999999999996</v>
      </c>
      <c r="H1064" s="53">
        <f t="shared" si="122"/>
        <v>1.7000000000000001E-2</v>
      </c>
      <c r="I1064" s="53">
        <f t="shared" si="123"/>
        <v>0.11899999999999999</v>
      </c>
      <c r="L1064" t="s">
        <v>2502</v>
      </c>
      <c r="M1064" t="str">
        <f t="shared" si="118"/>
        <v>Scuole di vela e navigazione che rilasciano brevetti o patenti commerciali</v>
      </c>
      <c r="N1064" t="str">
        <f t="shared" si="117"/>
        <v>PQRS) Servizi alle persone</v>
      </c>
    </row>
    <row r="1065" spans="1:14" ht="63.75">
      <c r="A1065" s="58" t="s">
        <v>2336</v>
      </c>
      <c r="B1065" s="59" t="s">
        <v>2337</v>
      </c>
      <c r="C1065">
        <v>9</v>
      </c>
      <c r="D1065" t="str">
        <f>+VLOOKUP(AtecoCrisi[[#This Row],[COD. CRISI]],Tabella139[],2,0)</f>
        <v>JMN) Servizi alle imprese</v>
      </c>
      <c r="E1065" s="53">
        <f t="shared" si="119"/>
        <v>1.7999999999999999E-2</v>
      </c>
      <c r="F1065" s="53">
        <f t="shared" si="120"/>
        <v>5.1999999999999998E-2</v>
      </c>
      <c r="G1065" s="53">
        <f t="shared" si="121"/>
        <v>0.95399999999999996</v>
      </c>
      <c r="H1065" s="53">
        <f t="shared" si="122"/>
        <v>1.7000000000000001E-2</v>
      </c>
      <c r="I1065" s="53">
        <f t="shared" si="123"/>
        <v>0.11899999999999999</v>
      </c>
      <c r="L1065" t="s">
        <v>2504</v>
      </c>
      <c r="M1065" t="str">
        <f t="shared" si="118"/>
        <v>Scuole di volo che rilasciano brevetti o patenti commerciali</v>
      </c>
      <c r="N1065" t="str">
        <f t="shared" si="117"/>
        <v>PQRS) Servizi alle persone</v>
      </c>
    </row>
    <row r="1066" spans="1:14" ht="102">
      <c r="A1066" s="58" t="s">
        <v>2338</v>
      </c>
      <c r="B1066" s="59" t="s">
        <v>2339</v>
      </c>
      <c r="C1066">
        <v>9</v>
      </c>
      <c r="D1066" t="str">
        <f>+VLOOKUP(AtecoCrisi[[#This Row],[COD. CRISI]],Tabella139[],2,0)</f>
        <v>JMN) Servizi alle imprese</v>
      </c>
      <c r="E1066" s="53">
        <f t="shared" si="119"/>
        <v>1.7999999999999999E-2</v>
      </c>
      <c r="F1066" s="53">
        <f t="shared" si="120"/>
        <v>5.1999999999999998E-2</v>
      </c>
      <c r="G1066" s="53">
        <f t="shared" si="121"/>
        <v>0.95399999999999996</v>
      </c>
      <c r="H1066" s="53">
        <f t="shared" si="122"/>
        <v>1.7000000000000001E-2</v>
      </c>
      <c r="I1066" s="53">
        <f t="shared" si="123"/>
        <v>0.11899999999999999</v>
      </c>
      <c r="L1066" t="s">
        <v>2506</v>
      </c>
      <c r="M1066" t="str">
        <f t="shared" si="118"/>
        <v>Scuole di guida professionale per autisti, ad esempio di autocarri, di autobus e di pullman</v>
      </c>
      <c r="N1066" t="str">
        <f t="shared" si="117"/>
        <v>PQRS) Servizi alle persone</v>
      </c>
    </row>
    <row r="1067" spans="1:14" ht="51">
      <c r="A1067" s="58" t="s">
        <v>2340</v>
      </c>
      <c r="B1067" s="59" t="s">
        <v>2341</v>
      </c>
      <c r="C1067">
        <v>9</v>
      </c>
      <c r="D1067" t="str">
        <f>+VLOOKUP(AtecoCrisi[[#This Row],[COD. CRISI]],Tabella139[],2,0)</f>
        <v>JMN) Servizi alle imprese</v>
      </c>
      <c r="E1067" s="53">
        <f t="shared" si="119"/>
        <v>1.7999999999999999E-2</v>
      </c>
      <c r="F1067" s="53">
        <f t="shared" si="120"/>
        <v>5.1999999999999998E-2</v>
      </c>
      <c r="G1067" s="53">
        <f t="shared" si="121"/>
        <v>0.95399999999999996</v>
      </c>
      <c r="H1067" s="53">
        <f t="shared" si="122"/>
        <v>1.7000000000000001E-2</v>
      </c>
      <c r="I1067" s="53">
        <f t="shared" si="123"/>
        <v>0.11899999999999999</v>
      </c>
      <c r="L1067" t="s">
        <v>2508</v>
      </c>
      <c r="M1067" t="str">
        <f t="shared" si="118"/>
        <v>Altra istruzione secondaria di secondo grado di formazione tecnica, professionale e artistica</v>
      </c>
      <c r="N1067" t="str">
        <f t="shared" si="117"/>
        <v>PQRS) Servizi alle persone</v>
      </c>
    </row>
    <row r="1068" spans="1:14" ht="63.75">
      <c r="A1068" s="58" t="s">
        <v>2342</v>
      </c>
      <c r="B1068" s="59" t="s">
        <v>2343</v>
      </c>
      <c r="C1068">
        <v>9</v>
      </c>
      <c r="D1068" t="str">
        <f>+VLOOKUP(AtecoCrisi[[#This Row],[COD. CRISI]],Tabella139[],2,0)</f>
        <v>JMN) Servizi alle imprese</v>
      </c>
      <c r="E1068" s="53">
        <f t="shared" si="119"/>
        <v>1.7999999999999999E-2</v>
      </c>
      <c r="F1068" s="53">
        <f t="shared" si="120"/>
        <v>5.1999999999999998E-2</v>
      </c>
      <c r="G1068" s="53">
        <f t="shared" si="121"/>
        <v>0.95399999999999996</v>
      </c>
      <c r="H1068" s="53">
        <f t="shared" si="122"/>
        <v>1.7000000000000001E-2</v>
      </c>
      <c r="I1068" s="53">
        <f t="shared" si="123"/>
        <v>0.11899999999999999</v>
      </c>
      <c r="L1068" t="s">
        <v>2510</v>
      </c>
      <c r="M1068" t="str">
        <f t="shared" si="118"/>
        <v>Istruzione e formazione tecnica superiore (IFTS)</v>
      </c>
      <c r="N1068" t="str">
        <f t="shared" si="117"/>
        <v>PQRS) Servizi alle persone</v>
      </c>
    </row>
    <row r="1069" spans="1:14" ht="63.75">
      <c r="A1069" s="58" t="s">
        <v>2344</v>
      </c>
      <c r="B1069" s="59" t="s">
        <v>2345</v>
      </c>
      <c r="C1069">
        <v>9</v>
      </c>
      <c r="D1069" t="str">
        <f>+VLOOKUP(AtecoCrisi[[#This Row],[COD. CRISI]],Tabella139[],2,0)</f>
        <v>JMN) Servizi alle imprese</v>
      </c>
      <c r="E1069" s="53">
        <f t="shared" si="119"/>
        <v>1.7999999999999999E-2</v>
      </c>
      <c r="F1069" s="53">
        <f t="shared" si="120"/>
        <v>5.1999999999999998E-2</v>
      </c>
      <c r="G1069" s="53">
        <f t="shared" si="121"/>
        <v>0.95399999999999996</v>
      </c>
      <c r="H1069" s="53">
        <f t="shared" si="122"/>
        <v>1.7000000000000001E-2</v>
      </c>
      <c r="I1069" s="53">
        <f t="shared" si="123"/>
        <v>0.11899999999999999</v>
      </c>
      <c r="L1069" t="s">
        <v>2512</v>
      </c>
      <c r="M1069" t="str">
        <f t="shared" si="118"/>
        <v>Istruzione universitaria e post-universitaria; accademie e conservatori</v>
      </c>
      <c r="N1069" t="str">
        <f t="shared" si="117"/>
        <v>PQRS) Servizi alle persone</v>
      </c>
    </row>
    <row r="1070" spans="1:14" ht="38.25">
      <c r="A1070" s="58" t="s">
        <v>2346</v>
      </c>
      <c r="B1070" s="59" t="s">
        <v>2347</v>
      </c>
      <c r="C1070">
        <v>9</v>
      </c>
      <c r="D1070" t="str">
        <f>+VLOOKUP(AtecoCrisi[[#This Row],[COD. CRISI]],Tabella139[],2,0)</f>
        <v>JMN) Servizi alle imprese</v>
      </c>
      <c r="E1070" s="53">
        <f t="shared" si="119"/>
        <v>1.7999999999999999E-2</v>
      </c>
      <c r="F1070" s="53">
        <f t="shared" si="120"/>
        <v>5.1999999999999998E-2</v>
      </c>
      <c r="G1070" s="53">
        <f t="shared" si="121"/>
        <v>0.95399999999999996</v>
      </c>
      <c r="H1070" s="53">
        <f t="shared" si="122"/>
        <v>1.7000000000000001E-2</v>
      </c>
      <c r="I1070" s="53">
        <f t="shared" si="123"/>
        <v>0.11899999999999999</v>
      </c>
      <c r="L1070" t="s">
        <v>2514</v>
      </c>
      <c r="M1070" t="str">
        <f t="shared" si="118"/>
        <v>Corsi sportivi e ricreativi</v>
      </c>
      <c r="N1070" t="str">
        <f t="shared" si="117"/>
        <v>PQRS) Servizi alle persone</v>
      </c>
    </row>
    <row r="1071" spans="1:14" ht="25.5">
      <c r="A1071" s="58" t="s">
        <v>2348</v>
      </c>
      <c r="B1071" s="59" t="s">
        <v>2349</v>
      </c>
      <c r="C1071">
        <v>9</v>
      </c>
      <c r="D1071" t="str">
        <f>+VLOOKUP(AtecoCrisi[[#This Row],[COD. CRISI]],Tabella139[],2,0)</f>
        <v>JMN) Servizi alle imprese</v>
      </c>
      <c r="E1071" s="53">
        <f t="shared" si="119"/>
        <v>1.7999999999999999E-2</v>
      </c>
      <c r="F1071" s="53">
        <f t="shared" si="120"/>
        <v>5.1999999999999998E-2</v>
      </c>
      <c r="G1071" s="53">
        <f t="shared" si="121"/>
        <v>0.95399999999999996</v>
      </c>
      <c r="H1071" s="53">
        <f t="shared" si="122"/>
        <v>1.7000000000000001E-2</v>
      </c>
      <c r="I1071" s="53">
        <f t="shared" si="123"/>
        <v>0.11899999999999999</v>
      </c>
      <c r="L1071" t="s">
        <v>2516</v>
      </c>
      <c r="M1071" t="str">
        <f t="shared" si="118"/>
        <v>Corsi di danza</v>
      </c>
      <c r="N1071" t="str">
        <f t="shared" si="117"/>
        <v>PQRS) Servizi alle persone</v>
      </c>
    </row>
    <row r="1072" spans="1:14" ht="38.25">
      <c r="A1072" s="58" t="s">
        <v>2350</v>
      </c>
      <c r="B1072" s="59" t="s">
        <v>2351</v>
      </c>
      <c r="C1072">
        <v>9</v>
      </c>
      <c r="D1072" t="str">
        <f>+VLOOKUP(AtecoCrisi[[#This Row],[COD. CRISI]],Tabella139[],2,0)</f>
        <v>JMN) Servizi alle imprese</v>
      </c>
      <c r="E1072" s="53">
        <f t="shared" si="119"/>
        <v>1.7999999999999999E-2</v>
      </c>
      <c r="F1072" s="53">
        <f t="shared" si="120"/>
        <v>5.1999999999999998E-2</v>
      </c>
      <c r="G1072" s="53">
        <f t="shared" si="121"/>
        <v>0.95399999999999996</v>
      </c>
      <c r="H1072" s="53">
        <f t="shared" si="122"/>
        <v>1.7000000000000001E-2</v>
      </c>
      <c r="I1072" s="53">
        <f t="shared" si="123"/>
        <v>0.11899999999999999</v>
      </c>
      <c r="L1072" t="s">
        <v>2518</v>
      </c>
      <c r="M1072" t="str">
        <f t="shared" si="118"/>
        <v>Altra formazione culturale</v>
      </c>
      <c r="N1072" t="str">
        <f t="shared" si="117"/>
        <v>PQRS) Servizi alle persone</v>
      </c>
    </row>
    <row r="1073" spans="1:14" ht="38.25">
      <c r="A1073" s="58" t="s">
        <v>2352</v>
      </c>
      <c r="B1073" s="59" t="s">
        <v>2353</v>
      </c>
      <c r="C1073">
        <v>9</v>
      </c>
      <c r="D1073" t="str">
        <f>+VLOOKUP(AtecoCrisi[[#This Row],[COD. CRISI]],Tabella139[],2,0)</f>
        <v>JMN) Servizi alle imprese</v>
      </c>
      <c r="E1073" s="53">
        <f t="shared" si="119"/>
        <v>1.7999999999999999E-2</v>
      </c>
      <c r="F1073" s="53">
        <f t="shared" si="120"/>
        <v>5.1999999999999998E-2</v>
      </c>
      <c r="G1073" s="53">
        <f t="shared" si="121"/>
        <v>0.95399999999999996</v>
      </c>
      <c r="H1073" s="53">
        <f t="shared" si="122"/>
        <v>1.7000000000000001E-2</v>
      </c>
      <c r="I1073" s="53">
        <f t="shared" si="123"/>
        <v>0.11899999999999999</v>
      </c>
      <c r="L1073" t="s">
        <v>2520</v>
      </c>
      <c r="M1073" t="str">
        <f t="shared" si="118"/>
        <v>Autoscuole, scuole di pilotaggio e nautiche</v>
      </c>
      <c r="N1073" t="str">
        <f t="shared" si="117"/>
        <v>PQRS) Servizi alle persone</v>
      </c>
    </row>
    <row r="1074" spans="1:14" ht="51">
      <c r="A1074" s="58" t="s">
        <v>2354</v>
      </c>
      <c r="B1074" s="59" t="s">
        <v>2355</v>
      </c>
      <c r="C1074">
        <v>9</v>
      </c>
      <c r="D1074" t="str">
        <f>+VLOOKUP(AtecoCrisi[[#This Row],[COD. CRISI]],Tabella139[],2,0)</f>
        <v>JMN) Servizi alle imprese</v>
      </c>
      <c r="E1074" s="53">
        <f t="shared" si="119"/>
        <v>1.7999999999999999E-2</v>
      </c>
      <c r="F1074" s="53">
        <f t="shared" si="120"/>
        <v>5.1999999999999998E-2</v>
      </c>
      <c r="G1074" s="53">
        <f t="shared" si="121"/>
        <v>0.95399999999999996</v>
      </c>
      <c r="H1074" s="53">
        <f t="shared" si="122"/>
        <v>1.7000000000000001E-2</v>
      </c>
      <c r="I1074" s="53">
        <f t="shared" si="123"/>
        <v>0.11899999999999999</v>
      </c>
      <c r="L1074" t="s">
        <v>2522</v>
      </c>
      <c r="M1074" t="str">
        <f t="shared" si="118"/>
        <v>Università popolare</v>
      </c>
      <c r="N1074" t="str">
        <f t="shared" si="117"/>
        <v>PQRS) Servizi alle persone</v>
      </c>
    </row>
    <row r="1075" spans="1:14" ht="102">
      <c r="A1075" s="58" t="s">
        <v>2356</v>
      </c>
      <c r="B1075" s="59" t="s">
        <v>2357</v>
      </c>
      <c r="C1075">
        <v>9</v>
      </c>
      <c r="D1075" t="str">
        <f>+VLOOKUP(AtecoCrisi[[#This Row],[COD. CRISI]],Tabella139[],2,0)</f>
        <v>JMN) Servizi alle imprese</v>
      </c>
      <c r="E1075" s="53">
        <f t="shared" si="119"/>
        <v>1.7999999999999999E-2</v>
      </c>
      <c r="F1075" s="53">
        <f t="shared" si="120"/>
        <v>5.1999999999999998E-2</v>
      </c>
      <c r="G1075" s="53">
        <f t="shared" si="121"/>
        <v>0.95399999999999996</v>
      </c>
      <c r="H1075" s="53">
        <f t="shared" si="122"/>
        <v>1.7000000000000001E-2</v>
      </c>
      <c r="I1075" s="53">
        <f t="shared" si="123"/>
        <v>0.11899999999999999</v>
      </c>
      <c r="L1075" t="s">
        <v>2524</v>
      </c>
      <c r="M1075" t="str">
        <f t="shared" si="118"/>
        <v>Corsi di formazione e corsi di aggiornamento professionale</v>
      </c>
      <c r="N1075" t="str">
        <f t="shared" si="117"/>
        <v>PQRS) Servizi alle persone</v>
      </c>
    </row>
    <row r="1076" spans="1:14" ht="114.75">
      <c r="A1076" s="58" t="s">
        <v>2358</v>
      </c>
      <c r="B1076" s="59" t="s">
        <v>2359</v>
      </c>
      <c r="C1076">
        <v>9</v>
      </c>
      <c r="D1076" t="str">
        <f>+VLOOKUP(AtecoCrisi[[#This Row],[COD. CRISI]],Tabella139[],2,0)</f>
        <v>JMN) Servizi alle imprese</v>
      </c>
      <c r="E1076" s="53">
        <f t="shared" si="119"/>
        <v>1.7999999999999999E-2</v>
      </c>
      <c r="F1076" s="53">
        <f t="shared" si="120"/>
        <v>5.1999999999999998E-2</v>
      </c>
      <c r="G1076" s="53">
        <f t="shared" si="121"/>
        <v>0.95399999999999996</v>
      </c>
      <c r="H1076" s="53">
        <f t="shared" si="122"/>
        <v>1.7000000000000001E-2</v>
      </c>
      <c r="I1076" s="53">
        <f t="shared" si="123"/>
        <v>0.11899999999999999</v>
      </c>
      <c r="L1076" t="s">
        <v>2526</v>
      </c>
      <c r="M1076" t="str">
        <f t="shared" si="118"/>
        <v>Scuole e corsi di lingua</v>
      </c>
      <c r="N1076" t="str">
        <f t="shared" si="117"/>
        <v>PQRS) Servizi alle persone</v>
      </c>
    </row>
    <row r="1077" spans="1:14" ht="51">
      <c r="A1077" s="58" t="s">
        <v>2360</v>
      </c>
      <c r="B1077" s="59" t="s">
        <v>2361</v>
      </c>
      <c r="C1077">
        <v>9</v>
      </c>
      <c r="D1077" t="str">
        <f>+VLOOKUP(AtecoCrisi[[#This Row],[COD. CRISI]],Tabella139[],2,0)</f>
        <v>JMN) Servizi alle imprese</v>
      </c>
      <c r="E1077" s="53">
        <f t="shared" si="119"/>
        <v>1.7999999999999999E-2</v>
      </c>
      <c r="F1077" s="53">
        <f t="shared" si="120"/>
        <v>5.1999999999999998E-2</v>
      </c>
      <c r="G1077" s="53">
        <f t="shared" si="121"/>
        <v>0.95399999999999996</v>
      </c>
      <c r="H1077" s="53">
        <f t="shared" si="122"/>
        <v>1.7000000000000001E-2</v>
      </c>
      <c r="I1077" s="53">
        <f t="shared" si="123"/>
        <v>0.11899999999999999</v>
      </c>
      <c r="L1077" t="s">
        <v>2528</v>
      </c>
      <c r="M1077" t="str">
        <f t="shared" si="118"/>
        <v>Altri servizi di istruzione nca</v>
      </c>
      <c r="N1077" t="str">
        <f t="shared" si="117"/>
        <v>PQRS) Servizi alle persone</v>
      </c>
    </row>
    <row r="1078" spans="1:14" ht="114.75">
      <c r="A1078" s="58" t="s">
        <v>2362</v>
      </c>
      <c r="B1078" s="59" t="s">
        <v>2363</v>
      </c>
      <c r="C1078">
        <v>9</v>
      </c>
      <c r="D1078" t="str">
        <f>+VLOOKUP(AtecoCrisi[[#This Row],[COD. CRISI]],Tabella139[],2,0)</f>
        <v>JMN) Servizi alle imprese</v>
      </c>
      <c r="E1078" s="53">
        <f t="shared" si="119"/>
        <v>1.7999999999999999E-2</v>
      </c>
      <c r="F1078" s="53">
        <f t="shared" si="120"/>
        <v>5.1999999999999998E-2</v>
      </c>
      <c r="G1078" s="53">
        <f t="shared" si="121"/>
        <v>0.95399999999999996</v>
      </c>
      <c r="H1078" s="53">
        <f t="shared" si="122"/>
        <v>1.7000000000000001E-2</v>
      </c>
      <c r="I1078" s="53">
        <f t="shared" si="123"/>
        <v>0.11899999999999999</v>
      </c>
      <c r="L1078" t="s">
        <v>2530</v>
      </c>
      <c r="M1078" t="str">
        <f t="shared" si="118"/>
        <v>Consulenza scolastica e servizi di orientamento scolastico</v>
      </c>
      <c r="N1078" t="str">
        <f t="shared" si="117"/>
        <v>PQRS) Servizi alle persone</v>
      </c>
    </row>
    <row r="1079" spans="1:14" ht="63.75">
      <c r="A1079" s="56" t="s">
        <v>2364</v>
      </c>
      <c r="B1079" s="57" t="s">
        <v>2365</v>
      </c>
      <c r="C1079">
        <v>9</v>
      </c>
      <c r="D1079" t="str">
        <f>+VLOOKUP(AtecoCrisi[[#This Row],[COD. CRISI]],Tabella139[],2,0)</f>
        <v>JMN) Servizi alle imprese</v>
      </c>
      <c r="E1079" s="53">
        <f t="shared" si="119"/>
        <v>1.7999999999999999E-2</v>
      </c>
      <c r="F1079" s="53">
        <f t="shared" si="120"/>
        <v>5.1999999999999998E-2</v>
      </c>
      <c r="G1079" s="53">
        <f t="shared" si="121"/>
        <v>0.95399999999999996</v>
      </c>
      <c r="H1079" s="53">
        <f t="shared" si="122"/>
        <v>1.7000000000000001E-2</v>
      </c>
      <c r="I1079" s="53">
        <f t="shared" si="123"/>
        <v>0.11899999999999999</v>
      </c>
      <c r="L1079" t="s">
        <v>2532</v>
      </c>
      <c r="M1079" t="str">
        <f t="shared" si="118"/>
        <v>Altre attività di supporto all'istruzione</v>
      </c>
      <c r="N1079" t="str">
        <f t="shared" si="117"/>
        <v>PQRS) Servizi alle persone</v>
      </c>
    </row>
    <row r="1080" spans="1:14" ht="76.5">
      <c r="A1080" s="58" t="s">
        <v>2366</v>
      </c>
      <c r="B1080" s="59" t="s">
        <v>2367</v>
      </c>
      <c r="C1080">
        <v>9</v>
      </c>
      <c r="D1080" t="str">
        <f>+VLOOKUP(AtecoCrisi[[#This Row],[COD. CRISI]],Tabella139[],2,0)</f>
        <v>JMN) Servizi alle imprese</v>
      </c>
      <c r="E1080" s="53">
        <f t="shared" si="119"/>
        <v>1.7999999999999999E-2</v>
      </c>
      <c r="F1080" s="53">
        <f t="shared" si="120"/>
        <v>5.1999999999999998E-2</v>
      </c>
      <c r="G1080" s="53">
        <f t="shared" si="121"/>
        <v>0.95399999999999996</v>
      </c>
      <c r="H1080" s="53">
        <f t="shared" si="122"/>
        <v>1.7000000000000001E-2</v>
      </c>
      <c r="I1080" s="53">
        <f t="shared" si="123"/>
        <v>0.11899999999999999</v>
      </c>
      <c r="L1080" t="s">
        <v>2538</v>
      </c>
      <c r="M1080" t="str">
        <f t="shared" si="118"/>
        <v>Ospedali e case di cura generici</v>
      </c>
      <c r="N1080" t="str">
        <f t="shared" si="117"/>
        <v>PQRS) Servizi alle persone</v>
      </c>
    </row>
    <row r="1081" spans="1:14" ht="63.75">
      <c r="A1081" s="58" t="s">
        <v>2368</v>
      </c>
      <c r="B1081" s="59" t="s">
        <v>2369</v>
      </c>
      <c r="C1081">
        <v>9</v>
      </c>
      <c r="D1081" t="str">
        <f>+VLOOKUP(AtecoCrisi[[#This Row],[COD. CRISI]],Tabella139[],2,0)</f>
        <v>JMN) Servizi alle imprese</v>
      </c>
      <c r="E1081" s="53">
        <f t="shared" si="119"/>
        <v>1.7999999999999999E-2</v>
      </c>
      <c r="F1081" s="53">
        <f t="shared" si="120"/>
        <v>5.1999999999999998E-2</v>
      </c>
      <c r="G1081" s="53">
        <f t="shared" si="121"/>
        <v>0.95399999999999996</v>
      </c>
      <c r="H1081" s="53">
        <f t="shared" si="122"/>
        <v>1.7000000000000001E-2</v>
      </c>
      <c r="I1081" s="53">
        <f t="shared" si="123"/>
        <v>0.11899999999999999</v>
      </c>
      <c r="L1081" t="s">
        <v>2540</v>
      </c>
      <c r="M1081" t="str">
        <f t="shared" si="118"/>
        <v>Ospedali e case di cura specialistici</v>
      </c>
      <c r="N1081" t="str">
        <f t="shared" si="117"/>
        <v>PQRS) Servizi alle persone</v>
      </c>
    </row>
    <row r="1082" spans="1:14" ht="51">
      <c r="A1082" s="58" t="s">
        <v>2370</v>
      </c>
      <c r="B1082" s="59" t="s">
        <v>2371</v>
      </c>
      <c r="C1082">
        <v>9</v>
      </c>
      <c r="D1082" t="str">
        <f>+VLOOKUP(AtecoCrisi[[#This Row],[COD. CRISI]],Tabella139[],2,0)</f>
        <v>JMN) Servizi alle imprese</v>
      </c>
      <c r="E1082" s="53">
        <f t="shared" si="119"/>
        <v>1.7999999999999999E-2</v>
      </c>
      <c r="F1082" s="53">
        <f t="shared" si="120"/>
        <v>5.1999999999999998E-2</v>
      </c>
      <c r="G1082" s="53">
        <f t="shared" si="121"/>
        <v>0.95399999999999996</v>
      </c>
      <c r="H1082" s="53">
        <f t="shared" si="122"/>
        <v>1.7000000000000001E-2</v>
      </c>
      <c r="I1082" s="53">
        <f t="shared" si="123"/>
        <v>0.11899999999999999</v>
      </c>
      <c r="L1082" t="s">
        <v>2542</v>
      </c>
      <c r="M1082" t="str">
        <f t="shared" si="118"/>
        <v>Istituti, cliniche e policlinici universitari</v>
      </c>
      <c r="N1082" t="str">
        <f t="shared" si="117"/>
        <v>PQRS) Servizi alle persone</v>
      </c>
    </row>
    <row r="1083" spans="1:14" ht="127.5">
      <c r="A1083" s="56" t="s">
        <v>2372</v>
      </c>
      <c r="B1083" s="57" t="s">
        <v>2373</v>
      </c>
      <c r="C1083">
        <v>9</v>
      </c>
      <c r="D1083" t="str">
        <f>+VLOOKUP(AtecoCrisi[[#This Row],[COD. CRISI]],Tabella139[],2,0)</f>
        <v>JMN) Servizi alle imprese</v>
      </c>
      <c r="E1083" s="53">
        <f t="shared" si="119"/>
        <v>1.7999999999999999E-2</v>
      </c>
      <c r="F1083" s="53">
        <f t="shared" si="120"/>
        <v>5.1999999999999998E-2</v>
      </c>
      <c r="G1083" s="53">
        <f t="shared" si="121"/>
        <v>0.95399999999999996</v>
      </c>
      <c r="H1083" s="53">
        <f t="shared" si="122"/>
        <v>1.7000000000000001E-2</v>
      </c>
      <c r="I1083" s="53">
        <f t="shared" si="123"/>
        <v>0.11899999999999999</v>
      </c>
      <c r="L1083" t="s">
        <v>2544</v>
      </c>
      <c r="M1083" t="str">
        <f t="shared" si="118"/>
        <v>Ospedali e case di cura per lunga degenza</v>
      </c>
      <c r="N1083" t="str">
        <f t="shared" si="117"/>
        <v>PQRS) Servizi alle persone</v>
      </c>
    </row>
    <row r="1084" spans="1:14" ht="25.5">
      <c r="A1084" s="58" t="s">
        <v>2374</v>
      </c>
      <c r="B1084" s="59" t="s">
        <v>2375</v>
      </c>
      <c r="C1084">
        <v>9</v>
      </c>
      <c r="D1084" t="str">
        <f>+VLOOKUP(AtecoCrisi[[#This Row],[COD. CRISI]],Tabella139[],2,0)</f>
        <v>JMN) Servizi alle imprese</v>
      </c>
      <c r="E1084" s="53">
        <f t="shared" si="119"/>
        <v>1.7999999999999999E-2</v>
      </c>
      <c r="F1084" s="53">
        <f t="shared" si="120"/>
        <v>5.1999999999999998E-2</v>
      </c>
      <c r="G1084" s="53">
        <f t="shared" si="121"/>
        <v>0.95399999999999996</v>
      </c>
      <c r="H1084" s="53">
        <f t="shared" si="122"/>
        <v>1.7000000000000001E-2</v>
      </c>
      <c r="I1084" s="53">
        <f t="shared" si="123"/>
        <v>0.11899999999999999</v>
      </c>
      <c r="L1084" t="s">
        <v>2546</v>
      </c>
      <c r="M1084" t="str">
        <f t="shared" si="118"/>
        <v>Servizi degli studi medici di medicina generale</v>
      </c>
      <c r="N1084" t="str">
        <f t="shared" si="117"/>
        <v>PQRS) Servizi alle persone</v>
      </c>
    </row>
    <row r="1085" spans="1:14" ht="25.5">
      <c r="A1085" s="58" t="s">
        <v>2376</v>
      </c>
      <c r="B1085" s="59" t="s">
        <v>2377</v>
      </c>
      <c r="C1085">
        <v>9</v>
      </c>
      <c r="D1085" t="str">
        <f>+VLOOKUP(AtecoCrisi[[#This Row],[COD. CRISI]],Tabella139[],2,0)</f>
        <v>JMN) Servizi alle imprese</v>
      </c>
      <c r="E1085" s="53">
        <f t="shared" si="119"/>
        <v>1.7999999999999999E-2</v>
      </c>
      <c r="F1085" s="53">
        <f t="shared" si="120"/>
        <v>5.1999999999999998E-2</v>
      </c>
      <c r="G1085" s="53">
        <f t="shared" si="121"/>
        <v>0.95399999999999996</v>
      </c>
      <c r="H1085" s="53">
        <f t="shared" si="122"/>
        <v>1.7000000000000001E-2</v>
      </c>
      <c r="I1085" s="53">
        <f t="shared" si="123"/>
        <v>0.11899999999999999</v>
      </c>
      <c r="L1085" t="s">
        <v>2548</v>
      </c>
      <c r="M1085" t="str">
        <f t="shared" si="118"/>
        <v>Prestazioni sanitarie svolte da chirurghi</v>
      </c>
      <c r="N1085" t="str">
        <f t="shared" si="117"/>
        <v>PQRS) Servizi alle persone</v>
      </c>
    </row>
    <row r="1086" spans="1:14" ht="76.5">
      <c r="A1086" s="58" t="s">
        <v>2378</v>
      </c>
      <c r="B1086" s="59" t="s">
        <v>2379</v>
      </c>
      <c r="C1086">
        <v>9</v>
      </c>
      <c r="D1086" t="str">
        <f>+VLOOKUP(AtecoCrisi[[#This Row],[COD. CRISI]],Tabella139[],2,0)</f>
        <v>JMN) Servizi alle imprese</v>
      </c>
      <c r="E1086" s="53">
        <f t="shared" si="119"/>
        <v>1.7999999999999999E-2</v>
      </c>
      <c r="F1086" s="53">
        <f t="shared" si="120"/>
        <v>5.1999999999999998E-2</v>
      </c>
      <c r="G1086" s="53">
        <f t="shared" si="121"/>
        <v>0.95399999999999996</v>
      </c>
      <c r="H1086" s="53">
        <f t="shared" si="122"/>
        <v>1.7000000000000001E-2</v>
      </c>
      <c r="I1086" s="53">
        <f t="shared" si="123"/>
        <v>0.11899999999999999</v>
      </c>
      <c r="L1086" t="s">
        <v>2550</v>
      </c>
      <c r="M1086" t="str">
        <f t="shared" si="118"/>
        <v>Ambulatori e poliambulatori del Servizio Sanitario Nazionale</v>
      </c>
      <c r="N1086" t="str">
        <f t="shared" si="117"/>
        <v>PQRS) Servizi alle persone</v>
      </c>
    </row>
    <row r="1087" spans="1:14" ht="89.25">
      <c r="A1087" s="58" t="s">
        <v>2380</v>
      </c>
      <c r="B1087" s="59" t="s">
        <v>2381</v>
      </c>
      <c r="C1087">
        <v>9</v>
      </c>
      <c r="D1087" t="str">
        <f>+VLOOKUP(AtecoCrisi[[#This Row],[COD. CRISI]],Tabella139[],2,0)</f>
        <v>JMN) Servizi alle imprese</v>
      </c>
      <c r="E1087" s="53">
        <f t="shared" si="119"/>
        <v>1.7999999999999999E-2</v>
      </c>
      <c r="F1087" s="53">
        <f t="shared" si="120"/>
        <v>5.1999999999999998E-2</v>
      </c>
      <c r="G1087" s="53">
        <f t="shared" si="121"/>
        <v>0.95399999999999996</v>
      </c>
      <c r="H1087" s="53">
        <f t="shared" si="122"/>
        <v>1.7000000000000001E-2</v>
      </c>
      <c r="I1087" s="53">
        <f t="shared" si="123"/>
        <v>0.11899999999999999</v>
      </c>
      <c r="L1087" t="s">
        <v>2552</v>
      </c>
      <c r="M1087" t="str">
        <f t="shared" si="118"/>
        <v>Attività dei centri di radioterapia</v>
      </c>
      <c r="N1087" t="str">
        <f t="shared" si="117"/>
        <v>PQRS) Servizi alle persone</v>
      </c>
    </row>
    <row r="1088" spans="1:14" ht="51">
      <c r="A1088" s="58" t="s">
        <v>2382</v>
      </c>
      <c r="B1088" s="59" t="s">
        <v>2383</v>
      </c>
      <c r="C1088">
        <v>9</v>
      </c>
      <c r="D1088" t="str">
        <f>+VLOOKUP(AtecoCrisi[[#This Row],[COD. CRISI]],Tabella139[],2,0)</f>
        <v>JMN) Servizi alle imprese</v>
      </c>
      <c r="E1088" s="53">
        <f t="shared" si="119"/>
        <v>1.7999999999999999E-2</v>
      </c>
      <c r="F1088" s="53">
        <f t="shared" si="120"/>
        <v>5.1999999999999998E-2</v>
      </c>
      <c r="G1088" s="53">
        <f t="shared" si="121"/>
        <v>0.95399999999999996</v>
      </c>
      <c r="H1088" s="53">
        <f t="shared" si="122"/>
        <v>1.7000000000000001E-2</v>
      </c>
      <c r="I1088" s="53">
        <f t="shared" si="123"/>
        <v>0.11899999999999999</v>
      </c>
      <c r="L1088" t="s">
        <v>2554</v>
      </c>
      <c r="M1088" t="str">
        <f t="shared" si="118"/>
        <v>Attività dei centri di dialisi</v>
      </c>
      <c r="N1088" t="str">
        <f t="shared" si="117"/>
        <v>PQRS) Servizi alle persone</v>
      </c>
    </row>
    <row r="1089" spans="1:14" ht="38.25">
      <c r="A1089" s="56" t="s">
        <v>2384</v>
      </c>
      <c r="B1089" s="57" t="s">
        <v>2385</v>
      </c>
      <c r="C1089">
        <v>9</v>
      </c>
      <c r="D1089" t="str">
        <f>+VLOOKUP(AtecoCrisi[[#This Row],[COD. CRISI]],Tabella139[],2,0)</f>
        <v>JMN) Servizi alle imprese</v>
      </c>
      <c r="E1089" s="53">
        <f t="shared" si="119"/>
        <v>1.7999999999999999E-2</v>
      </c>
      <c r="F1089" s="53">
        <f t="shared" si="120"/>
        <v>5.1999999999999998E-2</v>
      </c>
      <c r="G1089" s="53">
        <f t="shared" si="121"/>
        <v>0.95399999999999996</v>
      </c>
      <c r="H1089" s="53">
        <f t="shared" si="122"/>
        <v>1.7000000000000001E-2</v>
      </c>
      <c r="I1089" s="53">
        <f t="shared" si="123"/>
        <v>0.11899999999999999</v>
      </c>
      <c r="L1089" t="s">
        <v>2556</v>
      </c>
      <c r="M1089" t="str">
        <f t="shared" si="118"/>
        <v>Studi di omeopatia e di agopuntura</v>
      </c>
      <c r="N1089" t="str">
        <f t="shared" si="117"/>
        <v>PQRS) Servizi alle persone</v>
      </c>
    </row>
    <row r="1090" spans="1:14" ht="25.5">
      <c r="A1090" s="58" t="s">
        <v>2386</v>
      </c>
      <c r="B1090" s="59" t="s">
        <v>2387</v>
      </c>
      <c r="C1090">
        <v>9</v>
      </c>
      <c r="D1090" t="str">
        <f>+VLOOKUP(AtecoCrisi[[#This Row],[COD. CRISI]],Tabella139[],2,0)</f>
        <v>JMN) Servizi alle imprese</v>
      </c>
      <c r="E1090" s="53">
        <f t="shared" si="119"/>
        <v>1.7999999999999999E-2</v>
      </c>
      <c r="F1090" s="53">
        <f t="shared" si="120"/>
        <v>5.1999999999999998E-2</v>
      </c>
      <c r="G1090" s="53">
        <f t="shared" si="121"/>
        <v>0.95399999999999996</v>
      </c>
      <c r="H1090" s="53">
        <f t="shared" si="122"/>
        <v>1.7000000000000001E-2</v>
      </c>
      <c r="I1090" s="53">
        <f t="shared" si="123"/>
        <v>0.11899999999999999</v>
      </c>
      <c r="L1090" t="s">
        <v>2558</v>
      </c>
      <c r="M1090" t="str">
        <f t="shared" si="118"/>
        <v>Centri di medicina estetica</v>
      </c>
      <c r="N1090" t="str">
        <f t="shared" ref="N1090:N1153" si="124">+VLOOKUP(L1090,A:D,4,0)</f>
        <v>PQRS) Servizi alle persone</v>
      </c>
    </row>
    <row r="1091" spans="1:14" ht="25.5">
      <c r="A1091" s="58" t="s">
        <v>2388</v>
      </c>
      <c r="B1091" s="59" t="s">
        <v>2389</v>
      </c>
      <c r="C1091">
        <v>9</v>
      </c>
      <c r="D1091" t="str">
        <f>+VLOOKUP(AtecoCrisi[[#This Row],[COD. CRISI]],Tabella139[],2,0)</f>
        <v>JMN) Servizi alle imprese</v>
      </c>
      <c r="E1091" s="53">
        <f t="shared" si="119"/>
        <v>1.7999999999999999E-2</v>
      </c>
      <c r="F1091" s="53">
        <f t="shared" si="120"/>
        <v>5.1999999999999998E-2</v>
      </c>
      <c r="G1091" s="53">
        <f t="shared" si="121"/>
        <v>0.95399999999999996</v>
      </c>
      <c r="H1091" s="53">
        <f t="shared" si="122"/>
        <v>1.7000000000000001E-2</v>
      </c>
      <c r="I1091" s="53">
        <f t="shared" si="123"/>
        <v>0.11899999999999999</v>
      </c>
      <c r="L1091" t="s">
        <v>2560</v>
      </c>
      <c r="M1091" t="str">
        <f t="shared" ref="M1091:M1154" si="125">+VLOOKUP(L1091,A:B,2,0)</f>
        <v>Altri studi medici specialistici e poliambulatori</v>
      </c>
      <c r="N1091" t="str">
        <f t="shared" si="124"/>
        <v>PQRS) Servizi alle persone</v>
      </c>
    </row>
    <row r="1092" spans="1:14" ht="38.25">
      <c r="A1092" s="58" t="s">
        <v>2390</v>
      </c>
      <c r="B1092" s="59" t="s">
        <v>2391</v>
      </c>
      <c r="C1092">
        <v>9</v>
      </c>
      <c r="D1092" t="str">
        <f>+VLOOKUP(AtecoCrisi[[#This Row],[COD. CRISI]],Tabella139[],2,0)</f>
        <v>JMN) Servizi alle imprese</v>
      </c>
      <c r="E1092" s="53">
        <f t="shared" si="119"/>
        <v>1.7999999999999999E-2</v>
      </c>
      <c r="F1092" s="53">
        <f t="shared" si="120"/>
        <v>5.1999999999999998E-2</v>
      </c>
      <c r="G1092" s="53">
        <f t="shared" si="121"/>
        <v>0.95399999999999996</v>
      </c>
      <c r="H1092" s="53">
        <f t="shared" si="122"/>
        <v>1.7000000000000001E-2</v>
      </c>
      <c r="I1092" s="53">
        <f t="shared" si="123"/>
        <v>0.11899999999999999</v>
      </c>
      <c r="L1092" t="s">
        <v>2562</v>
      </c>
      <c r="M1092" t="str">
        <f t="shared" si="125"/>
        <v>Attività degli studi odontoiatrici</v>
      </c>
      <c r="N1092" t="str">
        <f t="shared" si="124"/>
        <v>PQRS) Servizi alle persone</v>
      </c>
    </row>
    <row r="1093" spans="1:14" ht="51">
      <c r="A1093" s="56" t="s">
        <v>2392</v>
      </c>
      <c r="B1093" s="57" t="s">
        <v>2393</v>
      </c>
      <c r="C1093">
        <v>9</v>
      </c>
      <c r="D1093" t="str">
        <f>+VLOOKUP(AtecoCrisi[[#This Row],[COD. CRISI]],Tabella139[],2,0)</f>
        <v>JMN) Servizi alle imprese</v>
      </c>
      <c r="E1093" s="53">
        <f t="shared" si="119"/>
        <v>1.7999999999999999E-2</v>
      </c>
      <c r="F1093" s="53">
        <f t="shared" si="120"/>
        <v>5.1999999999999998E-2</v>
      </c>
      <c r="G1093" s="53">
        <f t="shared" si="121"/>
        <v>0.95399999999999996</v>
      </c>
      <c r="H1093" s="53">
        <f t="shared" si="122"/>
        <v>1.7000000000000001E-2</v>
      </c>
      <c r="I1093" s="53">
        <f t="shared" si="123"/>
        <v>0.11899999999999999</v>
      </c>
      <c r="L1093" t="s">
        <v>2564</v>
      </c>
      <c r="M1093" t="str">
        <f t="shared" si="125"/>
        <v>Laboratori radiografici</v>
      </c>
      <c r="N1093" t="str">
        <f t="shared" si="124"/>
        <v>PQRS) Servizi alle persone</v>
      </c>
    </row>
    <row r="1094" spans="1:14" ht="25.5">
      <c r="A1094" s="58" t="s">
        <v>2394</v>
      </c>
      <c r="B1094" s="59" t="s">
        <v>2395</v>
      </c>
      <c r="C1094">
        <v>9</v>
      </c>
      <c r="D1094" t="str">
        <f>+VLOOKUP(AtecoCrisi[[#This Row],[COD. CRISI]],Tabella139[],2,0)</f>
        <v>JMN) Servizi alle imprese</v>
      </c>
      <c r="E1094" s="53">
        <f t="shared" si="119"/>
        <v>1.7999999999999999E-2</v>
      </c>
      <c r="F1094" s="53">
        <f t="shared" si="120"/>
        <v>5.1999999999999998E-2</v>
      </c>
      <c r="G1094" s="53">
        <f t="shared" si="121"/>
        <v>0.95399999999999996</v>
      </c>
      <c r="H1094" s="53">
        <f t="shared" si="122"/>
        <v>1.7000000000000001E-2</v>
      </c>
      <c r="I1094" s="53">
        <f t="shared" si="123"/>
        <v>0.11899999999999999</v>
      </c>
      <c r="L1094" t="s">
        <v>2566</v>
      </c>
      <c r="M1094" t="str">
        <f t="shared" si="125"/>
        <v>Laboratori di analisi cliniche</v>
      </c>
      <c r="N1094" t="str">
        <f t="shared" si="124"/>
        <v>PQRS) Servizi alle persone</v>
      </c>
    </row>
    <row r="1095" spans="1:14" ht="38.25">
      <c r="A1095" s="58" t="s">
        <v>2396</v>
      </c>
      <c r="B1095" s="59" t="s">
        <v>2397</v>
      </c>
      <c r="C1095">
        <v>9</v>
      </c>
      <c r="D1095" t="str">
        <f>+VLOOKUP(AtecoCrisi[[#This Row],[COD. CRISI]],Tabella139[],2,0)</f>
        <v>JMN) Servizi alle imprese</v>
      </c>
      <c r="E1095" s="53">
        <f t="shared" si="119"/>
        <v>1.7999999999999999E-2</v>
      </c>
      <c r="F1095" s="53">
        <f t="shared" si="120"/>
        <v>5.1999999999999998E-2</v>
      </c>
      <c r="G1095" s="53">
        <f t="shared" si="121"/>
        <v>0.95399999999999996</v>
      </c>
      <c r="H1095" s="53">
        <f t="shared" si="122"/>
        <v>1.7000000000000001E-2</v>
      </c>
      <c r="I1095" s="53">
        <f t="shared" si="123"/>
        <v>0.11899999999999999</v>
      </c>
      <c r="L1095" t="s">
        <v>2568</v>
      </c>
      <c r="M1095" t="str">
        <f t="shared" si="125"/>
        <v>Laboratori di igiene e profilassi</v>
      </c>
      <c r="N1095" t="str">
        <f t="shared" si="124"/>
        <v>PQRS) Servizi alle persone</v>
      </c>
    </row>
    <row r="1096" spans="1:14" ht="51">
      <c r="A1096" s="58" t="s">
        <v>2398</v>
      </c>
      <c r="B1096" s="59" t="s">
        <v>2399</v>
      </c>
      <c r="C1096">
        <v>9</v>
      </c>
      <c r="D1096" t="str">
        <f>+VLOOKUP(AtecoCrisi[[#This Row],[COD. CRISI]],Tabella139[],2,0)</f>
        <v>JMN) Servizi alle imprese</v>
      </c>
      <c r="E1096" s="53">
        <f t="shared" si="119"/>
        <v>1.7999999999999999E-2</v>
      </c>
      <c r="F1096" s="53">
        <f t="shared" si="120"/>
        <v>5.1999999999999998E-2</v>
      </c>
      <c r="G1096" s="53">
        <f t="shared" si="121"/>
        <v>0.95399999999999996</v>
      </c>
      <c r="H1096" s="53">
        <f t="shared" si="122"/>
        <v>1.7000000000000001E-2</v>
      </c>
      <c r="I1096" s="53">
        <f t="shared" si="123"/>
        <v>0.11899999999999999</v>
      </c>
      <c r="L1096" t="s">
        <v>2570</v>
      </c>
      <c r="M1096" t="str">
        <f t="shared" si="125"/>
        <v>Fisioterapia</v>
      </c>
      <c r="N1096" t="str">
        <f t="shared" si="124"/>
        <v>PQRS) Servizi alle persone</v>
      </c>
    </row>
    <row r="1097" spans="1:14" ht="76.5">
      <c r="A1097" s="58" t="s">
        <v>2400</v>
      </c>
      <c r="B1097" s="59" t="s">
        <v>2401</v>
      </c>
      <c r="C1097">
        <v>9</v>
      </c>
      <c r="D1097" t="str">
        <f>+VLOOKUP(AtecoCrisi[[#This Row],[COD. CRISI]],Tabella139[],2,0)</f>
        <v>JMN) Servizi alle imprese</v>
      </c>
      <c r="E1097" s="53">
        <f t="shared" si="119"/>
        <v>1.7999999999999999E-2</v>
      </c>
      <c r="F1097" s="53">
        <f t="shared" si="120"/>
        <v>5.1999999999999998E-2</v>
      </c>
      <c r="G1097" s="53">
        <f t="shared" si="121"/>
        <v>0.95399999999999996</v>
      </c>
      <c r="H1097" s="53">
        <f t="shared" si="122"/>
        <v>1.7000000000000001E-2</v>
      </c>
      <c r="I1097" s="53">
        <f t="shared" si="123"/>
        <v>0.11899999999999999</v>
      </c>
      <c r="L1097" t="s">
        <v>2572</v>
      </c>
      <c r="M1097" t="str">
        <f t="shared" si="125"/>
        <v>Altre attività paramediche indipendenti nca</v>
      </c>
      <c r="N1097" t="str">
        <f t="shared" si="124"/>
        <v>PQRS) Servizi alle persone</v>
      </c>
    </row>
    <row r="1098" spans="1:14" ht="25.5">
      <c r="A1098" s="58" t="s">
        <v>2402</v>
      </c>
      <c r="B1098" s="59" t="s">
        <v>2403</v>
      </c>
      <c r="C1098">
        <v>9</v>
      </c>
      <c r="D1098" t="str">
        <f>+VLOOKUP(AtecoCrisi[[#This Row],[COD. CRISI]],Tabella139[],2,0)</f>
        <v>JMN) Servizi alle imprese</v>
      </c>
      <c r="E1098" s="53">
        <f t="shared" si="119"/>
        <v>1.7999999999999999E-2</v>
      </c>
      <c r="F1098" s="53">
        <f t="shared" si="120"/>
        <v>5.1999999999999998E-2</v>
      </c>
      <c r="G1098" s="53">
        <f t="shared" si="121"/>
        <v>0.95399999999999996</v>
      </c>
      <c r="H1098" s="53">
        <f t="shared" si="122"/>
        <v>1.7000000000000001E-2</v>
      </c>
      <c r="I1098" s="53">
        <f t="shared" si="123"/>
        <v>0.11899999999999999</v>
      </c>
      <c r="L1098" t="s">
        <v>2574</v>
      </c>
      <c r="M1098" t="str">
        <f t="shared" si="125"/>
        <v>Attività svolta da psicologi</v>
      </c>
      <c r="N1098" t="str">
        <f t="shared" si="124"/>
        <v>PQRS) Servizi alle persone</v>
      </c>
    </row>
    <row r="1099" spans="1:14" ht="51">
      <c r="A1099" s="58" t="s">
        <v>2404</v>
      </c>
      <c r="B1099" s="59" t="s">
        <v>2405</v>
      </c>
      <c r="C1099">
        <v>9</v>
      </c>
      <c r="D1099" t="str">
        <f>+VLOOKUP(AtecoCrisi[[#This Row],[COD. CRISI]],Tabella139[],2,0)</f>
        <v>JMN) Servizi alle imprese</v>
      </c>
      <c r="E1099" s="53">
        <f t="shared" si="119"/>
        <v>1.7999999999999999E-2</v>
      </c>
      <c r="F1099" s="53">
        <f t="shared" si="120"/>
        <v>5.1999999999999998E-2</v>
      </c>
      <c r="G1099" s="53">
        <f t="shared" si="121"/>
        <v>0.95399999999999996</v>
      </c>
      <c r="H1099" s="53">
        <f t="shared" si="122"/>
        <v>1.7000000000000001E-2</v>
      </c>
      <c r="I1099" s="53">
        <f t="shared" si="123"/>
        <v>0.11899999999999999</v>
      </c>
      <c r="L1099" t="s">
        <v>2576</v>
      </c>
      <c r="M1099" t="str">
        <f t="shared" si="125"/>
        <v>Attività degli ambulatori tricologici</v>
      </c>
      <c r="N1099" t="str">
        <f t="shared" si="124"/>
        <v>PQRS) Servizi alle persone</v>
      </c>
    </row>
    <row r="1100" spans="1:14" ht="25.5">
      <c r="A1100" s="58" t="s">
        <v>2406</v>
      </c>
      <c r="B1100" s="59" t="s">
        <v>2407</v>
      </c>
      <c r="C1100">
        <v>9</v>
      </c>
      <c r="D1100" t="str">
        <f>+VLOOKUP(AtecoCrisi[[#This Row],[COD. CRISI]],Tabella139[],2,0)</f>
        <v>JMN) Servizi alle imprese</v>
      </c>
      <c r="E1100" s="53">
        <f t="shared" si="119"/>
        <v>1.7999999999999999E-2</v>
      </c>
      <c r="F1100" s="53">
        <f t="shared" si="120"/>
        <v>5.1999999999999998E-2</v>
      </c>
      <c r="G1100" s="53">
        <f t="shared" si="121"/>
        <v>0.95399999999999996</v>
      </c>
      <c r="H1100" s="53">
        <f t="shared" si="122"/>
        <v>1.7000000000000001E-2</v>
      </c>
      <c r="I1100" s="53">
        <f t="shared" si="123"/>
        <v>0.11899999999999999</v>
      </c>
      <c r="L1100" t="s">
        <v>2578</v>
      </c>
      <c r="M1100" t="str">
        <f t="shared" si="125"/>
        <v>Servizi di ambulanza, delle banche del sangue e altri servizi sanitari nca</v>
      </c>
      <c r="N1100" t="str">
        <f t="shared" si="124"/>
        <v>PQRS) Servizi alle persone</v>
      </c>
    </row>
    <row r="1101" spans="1:14" ht="63.75">
      <c r="A1101" s="58" t="s">
        <v>2408</v>
      </c>
      <c r="B1101" s="59" t="s">
        <v>2409</v>
      </c>
      <c r="C1101">
        <v>9</v>
      </c>
      <c r="D1101" t="str">
        <f>+VLOOKUP(AtecoCrisi[[#This Row],[COD. CRISI]],Tabella139[],2,0)</f>
        <v>JMN) Servizi alle imprese</v>
      </c>
      <c r="E1101" s="53">
        <f t="shared" si="119"/>
        <v>1.7999999999999999E-2</v>
      </c>
      <c r="F1101" s="53">
        <f t="shared" si="120"/>
        <v>5.1999999999999998E-2</v>
      </c>
      <c r="G1101" s="53">
        <f t="shared" si="121"/>
        <v>0.95399999999999996</v>
      </c>
      <c r="H1101" s="53">
        <f t="shared" si="122"/>
        <v>1.7000000000000001E-2</v>
      </c>
      <c r="I1101" s="53">
        <f t="shared" si="123"/>
        <v>0.11899999999999999</v>
      </c>
      <c r="L1101" t="s">
        <v>2582</v>
      </c>
      <c r="M1101" t="str">
        <f t="shared" si="125"/>
        <v>Strutture di assistenza infermieristica residenziale per anziani</v>
      </c>
      <c r="N1101" t="str">
        <f t="shared" si="124"/>
        <v>PQRS) Servizi alle persone</v>
      </c>
    </row>
    <row r="1102" spans="1:14" ht="89.25">
      <c r="A1102" s="56" t="s">
        <v>2410</v>
      </c>
      <c r="B1102" s="57" t="s">
        <v>2411</v>
      </c>
      <c r="C1102">
        <v>9</v>
      </c>
      <c r="D1102" t="str">
        <f>+VLOOKUP(AtecoCrisi[[#This Row],[COD. CRISI]],Tabella139[],2,0)</f>
        <v>JMN) Servizi alle imprese</v>
      </c>
      <c r="E1102" s="53">
        <f t="shared" si="119"/>
        <v>1.7999999999999999E-2</v>
      </c>
      <c r="F1102" s="53">
        <f t="shared" si="120"/>
        <v>5.1999999999999998E-2</v>
      </c>
      <c r="G1102" s="53">
        <f t="shared" si="121"/>
        <v>0.95399999999999996</v>
      </c>
      <c r="H1102" s="53">
        <f t="shared" si="122"/>
        <v>1.7000000000000001E-2</v>
      </c>
      <c r="I1102" s="53">
        <f t="shared" si="123"/>
        <v>0.11899999999999999</v>
      </c>
      <c r="L1102" t="s">
        <v>2584</v>
      </c>
      <c r="M1102" t="str">
        <f t="shared" si="125"/>
        <v>Strutture di assistenza residenziale per persone affette da ritardi mentali, disturbi mentali o che abusano di sostanze stupefacenti</v>
      </c>
      <c r="N1102" t="str">
        <f t="shared" si="124"/>
        <v>PQRS) Servizi alle persone</v>
      </c>
    </row>
    <row r="1103" spans="1:14" ht="38.25">
      <c r="A1103" s="58" t="s">
        <v>2412</v>
      </c>
      <c r="B1103" s="59" t="s">
        <v>2413</v>
      </c>
      <c r="C1103">
        <v>9</v>
      </c>
      <c r="D1103" t="str">
        <f>+VLOOKUP(AtecoCrisi[[#This Row],[COD. CRISI]],Tabella139[],2,0)</f>
        <v>JMN) Servizi alle imprese</v>
      </c>
      <c r="E1103" s="53">
        <f t="shared" si="119"/>
        <v>1.7999999999999999E-2</v>
      </c>
      <c r="F1103" s="53">
        <f t="shared" si="120"/>
        <v>5.1999999999999998E-2</v>
      </c>
      <c r="G1103" s="53">
        <f t="shared" si="121"/>
        <v>0.95399999999999996</v>
      </c>
      <c r="H1103" s="53">
        <f t="shared" si="122"/>
        <v>1.7000000000000001E-2</v>
      </c>
      <c r="I1103" s="53">
        <f t="shared" si="123"/>
        <v>0.11899999999999999</v>
      </c>
      <c r="L1103" t="s">
        <v>2586</v>
      </c>
      <c r="M1103" t="str">
        <f t="shared" si="125"/>
        <v>Strutture di assistenza residenziale per anziani e disabili</v>
      </c>
      <c r="N1103" t="str">
        <f t="shared" si="124"/>
        <v>PQRS) Servizi alle persone</v>
      </c>
    </row>
    <row r="1104" spans="1:14" ht="38.25">
      <c r="A1104" s="58" t="s">
        <v>2414</v>
      </c>
      <c r="B1104" s="59" t="s">
        <v>2415</v>
      </c>
      <c r="C1104">
        <v>9</v>
      </c>
      <c r="D1104" t="str">
        <f>+VLOOKUP(AtecoCrisi[[#This Row],[COD. CRISI]],Tabella139[],2,0)</f>
        <v>JMN) Servizi alle imprese</v>
      </c>
      <c r="E1104" s="53">
        <f t="shared" ref="E1104:E1167" si="126">+VLOOKUP(C1104,$R$2:$X$11,3,FALSE)</f>
        <v>1.7999999999999999E-2</v>
      </c>
      <c r="F1104" s="53">
        <f t="shared" ref="F1104:F1167" si="127">+VLOOKUP(C1104,$R$2:$X$11,4,FALSE)</f>
        <v>5.1999999999999998E-2</v>
      </c>
      <c r="G1104" s="53">
        <f t="shared" ref="G1104:G1167" si="128">+VLOOKUP(C1104,$R$2:$X$11,5,FALSE)</f>
        <v>0.95399999999999996</v>
      </c>
      <c r="H1104" s="53">
        <f t="shared" ref="H1104:H1167" si="129">+VLOOKUP(C1104,$R$2:$X$11,6,FALSE)</f>
        <v>1.7000000000000001E-2</v>
      </c>
      <c r="I1104" s="53">
        <f t="shared" ref="I1104:I1167" si="130">+VLOOKUP(C1104,$R$2:$X$11,7,FALSE)</f>
        <v>0.11899999999999999</v>
      </c>
      <c r="L1104" t="s">
        <v>2588</v>
      </c>
      <c r="M1104" t="str">
        <f t="shared" si="125"/>
        <v>Altre strutture di assistenza sociale residenziale</v>
      </c>
      <c r="N1104" t="str">
        <f t="shared" si="124"/>
        <v>PQRS) Servizi alle persone</v>
      </c>
    </row>
    <row r="1105" spans="1:14" ht="76.5">
      <c r="A1105" s="58" t="s">
        <v>2416</v>
      </c>
      <c r="B1105" s="59" t="s">
        <v>2417</v>
      </c>
      <c r="C1105">
        <v>9</v>
      </c>
      <c r="D1105" t="str">
        <f>+VLOOKUP(AtecoCrisi[[#This Row],[COD. CRISI]],Tabella139[],2,0)</f>
        <v>JMN) Servizi alle imprese</v>
      </c>
      <c r="E1105" s="53">
        <f t="shared" si="126"/>
        <v>1.7999999999999999E-2</v>
      </c>
      <c r="F1105" s="53">
        <f t="shared" si="127"/>
        <v>5.1999999999999998E-2</v>
      </c>
      <c r="G1105" s="53">
        <f t="shared" si="128"/>
        <v>0.95399999999999996</v>
      </c>
      <c r="H1105" s="53">
        <f t="shared" si="129"/>
        <v>1.7000000000000001E-2</v>
      </c>
      <c r="I1105" s="53">
        <f t="shared" si="130"/>
        <v>0.11899999999999999</v>
      </c>
      <c r="L1105" t="s">
        <v>2592</v>
      </c>
      <c r="M1105" t="str">
        <f t="shared" si="125"/>
        <v>Assistenza sociale non residenziale per anziani e disabili</v>
      </c>
      <c r="N1105" t="str">
        <f t="shared" si="124"/>
        <v>PQRS) Servizi alle persone</v>
      </c>
    </row>
    <row r="1106" spans="1:14" ht="89.25">
      <c r="A1106" s="58" t="s">
        <v>2418</v>
      </c>
      <c r="B1106" s="59" t="s">
        <v>2419</v>
      </c>
      <c r="C1106">
        <v>9</v>
      </c>
      <c r="D1106" t="str">
        <f>+VLOOKUP(AtecoCrisi[[#This Row],[COD. CRISI]],Tabella139[],2,0)</f>
        <v>JMN) Servizi alle imprese</v>
      </c>
      <c r="E1106" s="53">
        <f t="shared" si="126"/>
        <v>1.7999999999999999E-2</v>
      </c>
      <c r="F1106" s="53">
        <f t="shared" si="127"/>
        <v>5.1999999999999998E-2</v>
      </c>
      <c r="G1106" s="53">
        <f t="shared" si="128"/>
        <v>0.95399999999999996</v>
      </c>
      <c r="H1106" s="53">
        <f t="shared" si="129"/>
        <v>1.7000000000000001E-2</v>
      </c>
      <c r="I1106" s="53">
        <f t="shared" si="130"/>
        <v>0.11899999999999999</v>
      </c>
      <c r="L1106" t="s">
        <v>2594</v>
      </c>
      <c r="M1106" t="str">
        <f t="shared" si="125"/>
        <v>Servizi di asili nido; assistenza diurna per minori disabili</v>
      </c>
      <c r="N1106" t="str">
        <f t="shared" si="124"/>
        <v>PQRS) Servizi alle persone</v>
      </c>
    </row>
    <row r="1107" spans="1:14" ht="25.5">
      <c r="A1107" s="58" t="s">
        <v>2420</v>
      </c>
      <c r="B1107" s="59" t="s">
        <v>2421</v>
      </c>
      <c r="C1107">
        <v>9</v>
      </c>
      <c r="D1107" t="str">
        <f>+VLOOKUP(AtecoCrisi[[#This Row],[COD. CRISI]],Tabella139[],2,0)</f>
        <v>JMN) Servizi alle imprese</v>
      </c>
      <c r="E1107" s="53">
        <f t="shared" si="126"/>
        <v>1.7999999999999999E-2</v>
      </c>
      <c r="F1107" s="53">
        <f t="shared" si="127"/>
        <v>5.1999999999999998E-2</v>
      </c>
      <c r="G1107" s="53">
        <f t="shared" si="128"/>
        <v>0.95399999999999996</v>
      </c>
      <c r="H1107" s="53">
        <f t="shared" si="129"/>
        <v>1.7000000000000001E-2</v>
      </c>
      <c r="I1107" s="53">
        <f t="shared" si="130"/>
        <v>0.11899999999999999</v>
      </c>
      <c r="L1107" t="s">
        <v>2596</v>
      </c>
      <c r="M1107" t="str">
        <f t="shared" si="125"/>
        <v>Altre attività di assistenza sociale non residenziale nca</v>
      </c>
      <c r="N1107" t="str">
        <f t="shared" si="124"/>
        <v>PQRS) Servizi alle persone</v>
      </c>
    </row>
    <row r="1108" spans="1:14" ht="25.5">
      <c r="A1108" s="58" t="s">
        <v>2422</v>
      </c>
      <c r="B1108" s="59" t="s">
        <v>2423</v>
      </c>
      <c r="C1108">
        <v>9</v>
      </c>
      <c r="D1108" t="str">
        <f>+VLOOKUP(AtecoCrisi[[#This Row],[COD. CRISI]],Tabella139[],2,0)</f>
        <v>JMN) Servizi alle imprese</v>
      </c>
      <c r="E1108" s="53">
        <f t="shared" si="126"/>
        <v>1.7999999999999999E-2</v>
      </c>
      <c r="F1108" s="53">
        <f t="shared" si="127"/>
        <v>5.1999999999999998E-2</v>
      </c>
      <c r="G1108" s="53">
        <f t="shared" si="128"/>
        <v>0.95399999999999996</v>
      </c>
      <c r="H1108" s="53">
        <f t="shared" si="129"/>
        <v>1.7000000000000001E-2</v>
      </c>
      <c r="I1108" s="53">
        <f t="shared" si="130"/>
        <v>0.11899999999999999</v>
      </c>
      <c r="L1108" t="s">
        <v>2602</v>
      </c>
      <c r="M1108" t="str">
        <f t="shared" si="125"/>
        <v>Attività nel campo della recitazione</v>
      </c>
      <c r="N1108" t="str">
        <f t="shared" si="124"/>
        <v>PQRS) Servizi alle persone</v>
      </c>
    </row>
    <row r="1109" spans="1:14" ht="25.5">
      <c r="A1109" s="58" t="s">
        <v>2424</v>
      </c>
      <c r="B1109" s="59" t="s">
        <v>2425</v>
      </c>
      <c r="C1109">
        <v>9</v>
      </c>
      <c r="D1109" t="str">
        <f>+VLOOKUP(AtecoCrisi[[#This Row],[COD. CRISI]],Tabella139[],2,0)</f>
        <v>JMN) Servizi alle imprese</v>
      </c>
      <c r="E1109" s="53">
        <f t="shared" si="126"/>
        <v>1.7999999999999999E-2</v>
      </c>
      <c r="F1109" s="53">
        <f t="shared" si="127"/>
        <v>5.1999999999999998E-2</v>
      </c>
      <c r="G1109" s="53">
        <f t="shared" si="128"/>
        <v>0.95399999999999996</v>
      </c>
      <c r="H1109" s="53">
        <f t="shared" si="129"/>
        <v>1.7000000000000001E-2</v>
      </c>
      <c r="I1109" s="53">
        <f t="shared" si="130"/>
        <v>0.11899999999999999</v>
      </c>
      <c r="L1109" t="s">
        <v>2604</v>
      </c>
      <c r="M1109" t="str">
        <f t="shared" si="125"/>
        <v>Altre rappresentazioni artistiche</v>
      </c>
      <c r="N1109" t="str">
        <f t="shared" si="124"/>
        <v>PQRS) Servizi alle persone</v>
      </c>
    </row>
    <row r="1110" spans="1:14" ht="38.25">
      <c r="A1110" s="58" t="s">
        <v>2426</v>
      </c>
      <c r="B1110" s="59" t="s">
        <v>2427</v>
      </c>
      <c r="C1110">
        <v>9</v>
      </c>
      <c r="D1110" t="str">
        <f>+VLOOKUP(AtecoCrisi[[#This Row],[COD. CRISI]],Tabella139[],2,0)</f>
        <v>JMN) Servizi alle imprese</v>
      </c>
      <c r="E1110" s="53">
        <f t="shared" si="126"/>
        <v>1.7999999999999999E-2</v>
      </c>
      <c r="F1110" s="53">
        <f t="shared" si="127"/>
        <v>5.1999999999999998E-2</v>
      </c>
      <c r="G1110" s="53">
        <f t="shared" si="128"/>
        <v>0.95399999999999996</v>
      </c>
      <c r="H1110" s="53">
        <f t="shared" si="129"/>
        <v>1.7000000000000001E-2</v>
      </c>
      <c r="I1110" s="53">
        <f t="shared" si="130"/>
        <v>0.11899999999999999</v>
      </c>
      <c r="L1110" t="s">
        <v>2606</v>
      </c>
      <c r="M1110" t="str">
        <f t="shared" si="125"/>
        <v>Noleggio con operatore di strutture ed attrezzature per manifestazioni e spettacoli</v>
      </c>
      <c r="N1110" t="str">
        <f t="shared" si="124"/>
        <v>PQRS) Servizi alle persone</v>
      </c>
    </row>
    <row r="1111" spans="1:14" ht="38.25">
      <c r="A1111" s="58" t="s">
        <v>2428</v>
      </c>
      <c r="B1111" s="59" t="s">
        <v>2429</v>
      </c>
      <c r="C1111">
        <v>9</v>
      </c>
      <c r="D1111" t="str">
        <f>+VLOOKUP(AtecoCrisi[[#This Row],[COD. CRISI]],Tabella139[],2,0)</f>
        <v>JMN) Servizi alle imprese</v>
      </c>
      <c r="E1111" s="53">
        <f t="shared" si="126"/>
        <v>1.7999999999999999E-2</v>
      </c>
      <c r="F1111" s="53">
        <f t="shared" si="127"/>
        <v>5.1999999999999998E-2</v>
      </c>
      <c r="G1111" s="53">
        <f t="shared" si="128"/>
        <v>0.95399999999999996</v>
      </c>
      <c r="H1111" s="53">
        <f t="shared" si="129"/>
        <v>1.7000000000000001E-2</v>
      </c>
      <c r="I1111" s="53">
        <f t="shared" si="130"/>
        <v>0.11899999999999999</v>
      </c>
      <c r="L1111" t="s">
        <v>2608</v>
      </c>
      <c r="M1111" t="str">
        <f t="shared" si="125"/>
        <v>Attività nel campo della regia</v>
      </c>
      <c r="N1111" t="str">
        <f t="shared" si="124"/>
        <v>PQRS) Servizi alle persone</v>
      </c>
    </row>
    <row r="1112" spans="1:14" ht="51">
      <c r="A1112" s="58" t="s">
        <v>2430</v>
      </c>
      <c r="B1112" s="59" t="s">
        <v>2431</v>
      </c>
      <c r="C1112">
        <v>9</v>
      </c>
      <c r="D1112" t="str">
        <f>+VLOOKUP(AtecoCrisi[[#This Row],[COD. CRISI]],Tabella139[],2,0)</f>
        <v>JMN) Servizi alle imprese</v>
      </c>
      <c r="E1112" s="53">
        <f t="shared" si="126"/>
        <v>1.7999999999999999E-2</v>
      </c>
      <c r="F1112" s="53">
        <f t="shared" si="127"/>
        <v>5.1999999999999998E-2</v>
      </c>
      <c r="G1112" s="53">
        <f t="shared" si="128"/>
        <v>0.95399999999999996</v>
      </c>
      <c r="H1112" s="53">
        <f t="shared" si="129"/>
        <v>1.7000000000000001E-2</v>
      </c>
      <c r="I1112" s="53">
        <f t="shared" si="130"/>
        <v>0.11899999999999999</v>
      </c>
      <c r="L1112" t="s">
        <v>2610</v>
      </c>
      <c r="M1112" t="str">
        <f t="shared" si="125"/>
        <v>Altre attività di supporto alle rappresentazioni artistiche</v>
      </c>
      <c r="N1112" t="str">
        <f t="shared" si="124"/>
        <v>PQRS) Servizi alle persone</v>
      </c>
    </row>
    <row r="1113" spans="1:14" ht="38.25">
      <c r="A1113" s="58" t="s">
        <v>2432</v>
      </c>
      <c r="B1113" s="59" t="s">
        <v>2433</v>
      </c>
      <c r="C1113">
        <v>9</v>
      </c>
      <c r="D1113" t="str">
        <f>+VLOOKUP(AtecoCrisi[[#This Row],[COD. CRISI]],Tabella139[],2,0)</f>
        <v>JMN) Servizi alle imprese</v>
      </c>
      <c r="E1113" s="53">
        <f t="shared" si="126"/>
        <v>1.7999999999999999E-2</v>
      </c>
      <c r="F1113" s="53">
        <f t="shared" si="127"/>
        <v>5.1999999999999998E-2</v>
      </c>
      <c r="G1113" s="53">
        <f t="shared" si="128"/>
        <v>0.95399999999999996</v>
      </c>
      <c r="H1113" s="53">
        <f t="shared" si="129"/>
        <v>1.7000000000000001E-2</v>
      </c>
      <c r="I1113" s="53">
        <f t="shared" si="130"/>
        <v>0.11899999999999999</v>
      </c>
      <c r="L1113" t="s">
        <v>2612</v>
      </c>
      <c r="M1113" t="str">
        <f t="shared" si="125"/>
        <v>Attività dei giornalisti indipendenti</v>
      </c>
      <c r="N1113" t="str">
        <f t="shared" si="124"/>
        <v>PQRS) Servizi alle persone</v>
      </c>
    </row>
    <row r="1114" spans="1:14" ht="51">
      <c r="A1114" s="58" t="s">
        <v>2434</v>
      </c>
      <c r="B1114" s="59" t="s">
        <v>2435</v>
      </c>
      <c r="C1114">
        <v>9</v>
      </c>
      <c r="D1114" t="str">
        <f>+VLOOKUP(AtecoCrisi[[#This Row],[COD. CRISI]],Tabella139[],2,0)</f>
        <v>JMN) Servizi alle imprese</v>
      </c>
      <c r="E1114" s="53">
        <f t="shared" si="126"/>
        <v>1.7999999999999999E-2</v>
      </c>
      <c r="F1114" s="53">
        <f t="shared" si="127"/>
        <v>5.1999999999999998E-2</v>
      </c>
      <c r="G1114" s="53">
        <f t="shared" si="128"/>
        <v>0.95399999999999996</v>
      </c>
      <c r="H1114" s="53">
        <f t="shared" si="129"/>
        <v>1.7000000000000001E-2</v>
      </c>
      <c r="I1114" s="53">
        <f t="shared" si="130"/>
        <v>0.11899999999999999</v>
      </c>
      <c r="L1114" t="s">
        <v>2614</v>
      </c>
      <c r="M1114" t="str">
        <f t="shared" si="125"/>
        <v>Attività di conservazione e restauro di opere d'arte</v>
      </c>
      <c r="N1114" t="str">
        <f t="shared" si="124"/>
        <v>PQRS) Servizi alle persone</v>
      </c>
    </row>
    <row r="1115" spans="1:14" ht="38.25">
      <c r="A1115" s="58" t="s">
        <v>2436</v>
      </c>
      <c r="B1115" s="59" t="s">
        <v>2437</v>
      </c>
      <c r="C1115">
        <v>9</v>
      </c>
      <c r="D1115" t="str">
        <f>+VLOOKUP(AtecoCrisi[[#This Row],[COD. CRISI]],Tabella139[],2,0)</f>
        <v>JMN) Servizi alle imprese</v>
      </c>
      <c r="E1115" s="53">
        <f t="shared" si="126"/>
        <v>1.7999999999999999E-2</v>
      </c>
      <c r="F1115" s="53">
        <f t="shared" si="127"/>
        <v>5.1999999999999998E-2</v>
      </c>
      <c r="G1115" s="53">
        <f t="shared" si="128"/>
        <v>0.95399999999999996</v>
      </c>
      <c r="H1115" s="53">
        <f t="shared" si="129"/>
        <v>1.7000000000000001E-2</v>
      </c>
      <c r="I1115" s="53">
        <f t="shared" si="130"/>
        <v>0.11899999999999999</v>
      </c>
      <c r="L1115" t="s">
        <v>2616</v>
      </c>
      <c r="M1115" t="str">
        <f t="shared" si="125"/>
        <v>Altre creazioni artistiche e letterarie</v>
      </c>
      <c r="N1115" t="str">
        <f t="shared" si="124"/>
        <v>PQRS) Servizi alle persone</v>
      </c>
    </row>
    <row r="1116" spans="1:14" ht="25.5">
      <c r="A1116" s="58" t="s">
        <v>2438</v>
      </c>
      <c r="B1116" s="59" t="s">
        <v>2439</v>
      </c>
      <c r="C1116">
        <v>9</v>
      </c>
      <c r="D1116" t="str">
        <f>+VLOOKUP(AtecoCrisi[[#This Row],[COD. CRISI]],Tabella139[],2,0)</f>
        <v>JMN) Servizi alle imprese</v>
      </c>
      <c r="E1116" s="53">
        <f t="shared" si="126"/>
        <v>1.7999999999999999E-2</v>
      </c>
      <c r="F1116" s="53">
        <f t="shared" si="127"/>
        <v>5.1999999999999998E-2</v>
      </c>
      <c r="G1116" s="53">
        <f t="shared" si="128"/>
        <v>0.95399999999999996</v>
      </c>
      <c r="H1116" s="53">
        <f t="shared" si="129"/>
        <v>1.7000000000000001E-2</v>
      </c>
      <c r="I1116" s="53">
        <f t="shared" si="130"/>
        <v>0.11899999999999999</v>
      </c>
      <c r="L1116" t="s">
        <v>2618</v>
      </c>
      <c r="M1116" t="str">
        <f t="shared" si="125"/>
        <v>Gestione di teatri, sale da concerto e altre strutture artistiche</v>
      </c>
      <c r="N1116" t="str">
        <f t="shared" si="124"/>
        <v>PQRS) Servizi alle persone</v>
      </c>
    </row>
    <row r="1117" spans="1:14" ht="25.5">
      <c r="A1117" s="58" t="s">
        <v>2440</v>
      </c>
      <c r="B1117" s="59" t="s">
        <v>2441</v>
      </c>
      <c r="C1117">
        <v>9</v>
      </c>
      <c r="D1117" t="str">
        <f>+VLOOKUP(AtecoCrisi[[#This Row],[COD. CRISI]],Tabella139[],2,0)</f>
        <v>JMN) Servizi alle imprese</v>
      </c>
      <c r="E1117" s="53">
        <f t="shared" si="126"/>
        <v>1.7999999999999999E-2</v>
      </c>
      <c r="F1117" s="53">
        <f t="shared" si="127"/>
        <v>5.1999999999999998E-2</v>
      </c>
      <c r="G1117" s="53">
        <f t="shared" si="128"/>
        <v>0.95399999999999996</v>
      </c>
      <c r="H1117" s="53">
        <f t="shared" si="129"/>
        <v>1.7000000000000001E-2</v>
      </c>
      <c r="I1117" s="53">
        <f t="shared" si="130"/>
        <v>0.11899999999999999</v>
      </c>
      <c r="L1117" t="s">
        <v>2622</v>
      </c>
      <c r="M1117" t="str">
        <f t="shared" si="125"/>
        <v>Attività di biblioteche ed archivi</v>
      </c>
      <c r="N1117" t="str">
        <f t="shared" si="124"/>
        <v>PQRS) Servizi alle persone</v>
      </c>
    </row>
    <row r="1118" spans="1:14" ht="38.25">
      <c r="A1118" s="58" t="s">
        <v>2442</v>
      </c>
      <c r="B1118" s="59" t="s">
        <v>2443</v>
      </c>
      <c r="C1118">
        <v>9</v>
      </c>
      <c r="D1118" t="str">
        <f>+VLOOKUP(AtecoCrisi[[#This Row],[COD. CRISI]],Tabella139[],2,0)</f>
        <v>JMN) Servizi alle imprese</v>
      </c>
      <c r="E1118" s="53">
        <f t="shared" si="126"/>
        <v>1.7999999999999999E-2</v>
      </c>
      <c r="F1118" s="53">
        <f t="shared" si="127"/>
        <v>5.1999999999999998E-2</v>
      </c>
      <c r="G1118" s="53">
        <f t="shared" si="128"/>
        <v>0.95399999999999996</v>
      </c>
      <c r="H1118" s="53">
        <f t="shared" si="129"/>
        <v>1.7000000000000001E-2</v>
      </c>
      <c r="I1118" s="53">
        <f t="shared" si="130"/>
        <v>0.11899999999999999</v>
      </c>
      <c r="L1118" t="s">
        <v>2624</v>
      </c>
      <c r="M1118" t="str">
        <f t="shared" si="125"/>
        <v>Attività di musei</v>
      </c>
      <c r="N1118" t="str">
        <f t="shared" si="124"/>
        <v>PQRS) Servizi alle persone</v>
      </c>
    </row>
    <row r="1119" spans="1:14" ht="141.75">
      <c r="A1119" s="51" t="s">
        <v>2444</v>
      </c>
      <c r="B1119" s="52" t="s">
        <v>2445</v>
      </c>
      <c r="D1119" t="e">
        <f>+VLOOKUP(AtecoCrisi[[#This Row],[COD. CRISI]],Tabella139[],2,0)</f>
        <v>#N/A</v>
      </c>
      <c r="E1119" s="53" t="e">
        <f t="shared" si="126"/>
        <v>#N/A</v>
      </c>
      <c r="F1119" s="53" t="e">
        <f t="shared" si="127"/>
        <v>#N/A</v>
      </c>
      <c r="G1119" s="53" t="e">
        <f t="shared" si="128"/>
        <v>#N/A</v>
      </c>
      <c r="H1119" s="53" t="e">
        <f t="shared" si="129"/>
        <v>#N/A</v>
      </c>
      <c r="I1119" s="53" t="e">
        <f t="shared" si="130"/>
        <v>#N/A</v>
      </c>
      <c r="L1119" t="s">
        <v>2626</v>
      </c>
      <c r="M1119" t="str">
        <f t="shared" si="125"/>
        <v>Gestione di luoghi e monumenti storici e attrazioni simili</v>
      </c>
      <c r="N1119" t="str">
        <f t="shared" si="124"/>
        <v>PQRS) Servizi alle persone</v>
      </c>
    </row>
    <row r="1120" spans="1:14" ht="76.5">
      <c r="A1120" s="56" t="s">
        <v>2446</v>
      </c>
      <c r="B1120" s="57" t="s">
        <v>2445</v>
      </c>
      <c r="D1120" t="e">
        <f>+VLOOKUP(AtecoCrisi[[#This Row],[COD. CRISI]],Tabella139[],2,0)</f>
        <v>#N/A</v>
      </c>
      <c r="E1120" s="53" t="e">
        <f t="shared" si="126"/>
        <v>#N/A</v>
      </c>
      <c r="F1120" s="53" t="e">
        <f t="shared" si="127"/>
        <v>#N/A</v>
      </c>
      <c r="G1120" s="53" t="e">
        <f t="shared" si="128"/>
        <v>#N/A</v>
      </c>
      <c r="H1120" s="53" t="e">
        <f t="shared" si="129"/>
        <v>#N/A</v>
      </c>
      <c r="I1120" s="53" t="e">
        <f t="shared" si="130"/>
        <v>#N/A</v>
      </c>
      <c r="L1120" t="s">
        <v>2628</v>
      </c>
      <c r="M1120" t="str">
        <f t="shared" si="125"/>
        <v>Attività degli orti botanici, dei giardini zoologici e delle riserve naturali</v>
      </c>
      <c r="N1120" t="str">
        <f t="shared" si="124"/>
        <v>PQRS) Servizi alle persone</v>
      </c>
    </row>
    <row r="1121" spans="1:14" ht="127.5">
      <c r="A1121" s="58" t="s">
        <v>2447</v>
      </c>
      <c r="B1121" s="59" t="s">
        <v>2448</v>
      </c>
      <c r="D1121" t="e">
        <f>+VLOOKUP(AtecoCrisi[[#This Row],[COD. CRISI]],Tabella139[],2,0)</f>
        <v>#N/A</v>
      </c>
      <c r="E1121" s="53" t="e">
        <f t="shared" si="126"/>
        <v>#N/A</v>
      </c>
      <c r="F1121" s="53" t="e">
        <f t="shared" si="127"/>
        <v>#N/A</v>
      </c>
      <c r="G1121" s="53" t="e">
        <f t="shared" si="128"/>
        <v>#N/A</v>
      </c>
      <c r="H1121" s="53" t="e">
        <f t="shared" si="129"/>
        <v>#N/A</v>
      </c>
      <c r="I1121" s="53" t="e">
        <f t="shared" si="130"/>
        <v>#N/A</v>
      </c>
      <c r="L1121" t="s">
        <v>2632</v>
      </c>
      <c r="M1121" t="str">
        <f t="shared" si="125"/>
        <v>Ricevitorie del Lotto, SuperEnalotto, Totocalcio eccetera</v>
      </c>
      <c r="N1121" t="str">
        <f t="shared" si="124"/>
        <v>PQRS) Servizi alle persone</v>
      </c>
    </row>
    <row r="1122" spans="1:14" ht="51">
      <c r="A1122" s="58" t="s">
        <v>2449</v>
      </c>
      <c r="B1122" s="59" t="s">
        <v>2450</v>
      </c>
      <c r="D1122" t="e">
        <f>+VLOOKUP(AtecoCrisi[[#This Row],[COD. CRISI]],Tabella139[],2,0)</f>
        <v>#N/A</v>
      </c>
      <c r="E1122" s="53" t="e">
        <f t="shared" si="126"/>
        <v>#N/A</v>
      </c>
      <c r="F1122" s="53" t="e">
        <f t="shared" si="127"/>
        <v>#N/A</v>
      </c>
      <c r="G1122" s="53" t="e">
        <f t="shared" si="128"/>
        <v>#N/A</v>
      </c>
      <c r="H1122" s="53" t="e">
        <f t="shared" si="129"/>
        <v>#N/A</v>
      </c>
      <c r="I1122" s="53" t="e">
        <f t="shared" si="130"/>
        <v>#N/A</v>
      </c>
      <c r="L1122" t="s">
        <v>2634</v>
      </c>
      <c r="M1122" t="str">
        <f t="shared" si="125"/>
        <v>Gestione di apparecchi che consentono vincite in denaro funzionanti a moneta o a gettone</v>
      </c>
      <c r="N1122" t="str">
        <f t="shared" si="124"/>
        <v>PQRS) Servizi alle persone</v>
      </c>
    </row>
    <row r="1123" spans="1:14" ht="51">
      <c r="A1123" s="58" t="s">
        <v>2451</v>
      </c>
      <c r="B1123" s="59" t="s">
        <v>2452</v>
      </c>
      <c r="D1123" t="e">
        <f>+VLOOKUP(AtecoCrisi[[#This Row],[COD. CRISI]],Tabella139[],2,0)</f>
        <v>#N/A</v>
      </c>
      <c r="E1123" s="53" t="e">
        <f t="shared" si="126"/>
        <v>#N/A</v>
      </c>
      <c r="F1123" s="53" t="e">
        <f t="shared" si="127"/>
        <v>#N/A</v>
      </c>
      <c r="G1123" s="53" t="e">
        <f t="shared" si="128"/>
        <v>#N/A</v>
      </c>
      <c r="H1123" s="53" t="e">
        <f t="shared" si="129"/>
        <v>#N/A</v>
      </c>
      <c r="I1123" s="53" t="e">
        <f t="shared" si="130"/>
        <v>#N/A</v>
      </c>
      <c r="L1123" t="s">
        <v>2636</v>
      </c>
      <c r="M1123" t="str">
        <f t="shared" si="125"/>
        <v>Altre attività connesse con le lotterie e le scommesse</v>
      </c>
      <c r="N1123" t="str">
        <f t="shared" si="124"/>
        <v>PQRS) Servizi alle persone</v>
      </c>
    </row>
    <row r="1124" spans="1:14" ht="51">
      <c r="A1124" s="58" t="s">
        <v>2453</v>
      </c>
      <c r="B1124" s="59" t="s">
        <v>2454</v>
      </c>
      <c r="D1124" t="e">
        <f>+VLOOKUP(AtecoCrisi[[#This Row],[COD. CRISI]],Tabella139[],2,0)</f>
        <v>#N/A</v>
      </c>
      <c r="E1124" s="53" t="e">
        <f t="shared" si="126"/>
        <v>#N/A</v>
      </c>
      <c r="F1124" s="53" t="e">
        <f t="shared" si="127"/>
        <v>#N/A</v>
      </c>
      <c r="G1124" s="53" t="e">
        <f t="shared" si="128"/>
        <v>#N/A</v>
      </c>
      <c r="H1124" s="53" t="e">
        <f t="shared" si="129"/>
        <v>#N/A</v>
      </c>
      <c r="I1124" s="53" t="e">
        <f t="shared" si="130"/>
        <v>#N/A</v>
      </c>
      <c r="L1124" t="s">
        <v>2640</v>
      </c>
      <c r="M1124" t="str">
        <f t="shared" si="125"/>
        <v>Gestione di stadi</v>
      </c>
      <c r="N1124" t="str">
        <f t="shared" si="124"/>
        <v>PQRS) Servizi alle persone</v>
      </c>
    </row>
    <row r="1125" spans="1:14" ht="127.5">
      <c r="A1125" s="58" t="s">
        <v>2455</v>
      </c>
      <c r="B1125" s="59" t="s">
        <v>2456</v>
      </c>
      <c r="D1125" t="e">
        <f>+VLOOKUP(AtecoCrisi[[#This Row],[COD. CRISI]],Tabella139[],2,0)</f>
        <v>#N/A</v>
      </c>
      <c r="E1125" s="53" t="e">
        <f t="shared" si="126"/>
        <v>#N/A</v>
      </c>
      <c r="F1125" s="53" t="e">
        <f t="shared" si="127"/>
        <v>#N/A</v>
      </c>
      <c r="G1125" s="53" t="e">
        <f t="shared" si="128"/>
        <v>#N/A</v>
      </c>
      <c r="H1125" s="53" t="e">
        <f t="shared" si="129"/>
        <v>#N/A</v>
      </c>
      <c r="I1125" s="53" t="e">
        <f t="shared" si="130"/>
        <v>#N/A</v>
      </c>
      <c r="L1125" t="s">
        <v>2642</v>
      </c>
      <c r="M1125" t="str">
        <f t="shared" si="125"/>
        <v>Gestione di piscine</v>
      </c>
      <c r="N1125" t="str">
        <f t="shared" si="124"/>
        <v>PQRS) Servizi alle persone</v>
      </c>
    </row>
    <row r="1126" spans="1:14" ht="76.5">
      <c r="A1126" s="58" t="s">
        <v>2457</v>
      </c>
      <c r="B1126" s="59" t="s">
        <v>2458</v>
      </c>
      <c r="D1126" t="e">
        <f>+VLOOKUP(AtecoCrisi[[#This Row],[COD. CRISI]],Tabella139[],2,0)</f>
        <v>#N/A</v>
      </c>
      <c r="E1126" s="53" t="e">
        <f t="shared" si="126"/>
        <v>#N/A</v>
      </c>
      <c r="F1126" s="53" t="e">
        <f t="shared" si="127"/>
        <v>#N/A</v>
      </c>
      <c r="G1126" s="53" t="e">
        <f t="shared" si="128"/>
        <v>#N/A</v>
      </c>
      <c r="H1126" s="53" t="e">
        <f t="shared" si="129"/>
        <v>#N/A</v>
      </c>
      <c r="I1126" s="53" t="e">
        <f t="shared" si="130"/>
        <v>#N/A</v>
      </c>
      <c r="L1126" t="s">
        <v>2644</v>
      </c>
      <c r="M1126" t="str">
        <f t="shared" si="125"/>
        <v>Gestione di impianti sportivi polivalenti</v>
      </c>
      <c r="N1126" t="str">
        <f t="shared" si="124"/>
        <v>PQRS) Servizi alle persone</v>
      </c>
    </row>
    <row r="1127" spans="1:14" ht="63.75">
      <c r="A1127" s="58" t="s">
        <v>2459</v>
      </c>
      <c r="B1127" s="59" t="s">
        <v>2460</v>
      </c>
      <c r="D1127" t="e">
        <f>+VLOOKUP(AtecoCrisi[[#This Row],[COD. CRISI]],Tabella139[],2,0)</f>
        <v>#N/A</v>
      </c>
      <c r="E1127" s="53" t="e">
        <f t="shared" si="126"/>
        <v>#N/A</v>
      </c>
      <c r="F1127" s="53" t="e">
        <f t="shared" si="127"/>
        <v>#N/A</v>
      </c>
      <c r="G1127" s="53" t="e">
        <f t="shared" si="128"/>
        <v>#N/A</v>
      </c>
      <c r="H1127" s="53" t="e">
        <f t="shared" si="129"/>
        <v>#N/A</v>
      </c>
      <c r="I1127" s="53" t="e">
        <f t="shared" si="130"/>
        <v>#N/A</v>
      </c>
      <c r="L1127" t="s">
        <v>2646</v>
      </c>
      <c r="M1127" t="str">
        <f t="shared" si="125"/>
        <v>Gestione di altri impianti sportivi nca</v>
      </c>
      <c r="N1127" t="str">
        <f t="shared" si="124"/>
        <v>PQRS) Servizi alle persone</v>
      </c>
    </row>
    <row r="1128" spans="1:14" ht="76.5">
      <c r="A1128" s="58" t="s">
        <v>2461</v>
      </c>
      <c r="B1128" s="59" t="s">
        <v>2462</v>
      </c>
      <c r="D1128" t="e">
        <f>+VLOOKUP(AtecoCrisi[[#This Row],[COD. CRISI]],Tabella139[],2,0)</f>
        <v>#N/A</v>
      </c>
      <c r="E1128" s="53" t="e">
        <f t="shared" si="126"/>
        <v>#N/A</v>
      </c>
      <c r="F1128" s="53" t="e">
        <f t="shared" si="127"/>
        <v>#N/A</v>
      </c>
      <c r="G1128" s="53" t="e">
        <f t="shared" si="128"/>
        <v>#N/A</v>
      </c>
      <c r="H1128" s="53" t="e">
        <f t="shared" si="129"/>
        <v>#N/A</v>
      </c>
      <c r="I1128" s="53" t="e">
        <f t="shared" si="130"/>
        <v>#N/A</v>
      </c>
      <c r="L1128" t="s">
        <v>2648</v>
      </c>
      <c r="M1128" t="str">
        <f t="shared" si="125"/>
        <v>Attività di club sportivi</v>
      </c>
      <c r="N1128" t="str">
        <f t="shared" si="124"/>
        <v>PQRS) Servizi alle persone</v>
      </c>
    </row>
    <row r="1129" spans="1:14" ht="191.25">
      <c r="A1129" s="58" t="s">
        <v>2463</v>
      </c>
      <c r="B1129" s="59" t="s">
        <v>2464</v>
      </c>
      <c r="D1129" t="e">
        <f>+VLOOKUP(AtecoCrisi[[#This Row],[COD. CRISI]],Tabella139[],2,0)</f>
        <v>#N/A</v>
      </c>
      <c r="E1129" s="53" t="e">
        <f t="shared" si="126"/>
        <v>#N/A</v>
      </c>
      <c r="F1129" s="53" t="e">
        <f t="shared" si="127"/>
        <v>#N/A</v>
      </c>
      <c r="G1129" s="53" t="e">
        <f t="shared" si="128"/>
        <v>#N/A</v>
      </c>
      <c r="H1129" s="53" t="e">
        <f t="shared" si="129"/>
        <v>#N/A</v>
      </c>
      <c r="I1129" s="53" t="e">
        <f t="shared" si="130"/>
        <v>#N/A</v>
      </c>
      <c r="L1129" t="s">
        <v>2650</v>
      </c>
      <c r="M1129" t="str">
        <f t="shared" si="125"/>
        <v>Gestione di palestre</v>
      </c>
      <c r="N1129" t="str">
        <f t="shared" si="124"/>
        <v>PQRS) Servizi alle persone</v>
      </c>
    </row>
    <row r="1130" spans="1:14" ht="63.75">
      <c r="A1130" s="58" t="s">
        <v>2465</v>
      </c>
      <c r="B1130" s="59" t="s">
        <v>2466</v>
      </c>
      <c r="D1130" t="e">
        <f>+VLOOKUP(AtecoCrisi[[#This Row],[COD. CRISI]],Tabella139[],2,0)</f>
        <v>#N/A</v>
      </c>
      <c r="E1130" s="53" t="e">
        <f t="shared" si="126"/>
        <v>#N/A</v>
      </c>
      <c r="F1130" s="53" t="e">
        <f t="shared" si="127"/>
        <v>#N/A</v>
      </c>
      <c r="G1130" s="53" t="e">
        <f t="shared" si="128"/>
        <v>#N/A</v>
      </c>
      <c r="H1130" s="53" t="e">
        <f t="shared" si="129"/>
        <v>#N/A</v>
      </c>
      <c r="I1130" s="53" t="e">
        <f t="shared" si="130"/>
        <v>#N/A</v>
      </c>
      <c r="L1130" t="s">
        <v>2652</v>
      </c>
      <c r="M1130" t="str">
        <f t="shared" si="125"/>
        <v>Enti e organizzazioni sportive, promozione di eventi sportivi</v>
      </c>
      <c r="N1130" t="str">
        <f t="shared" si="124"/>
        <v>PQRS) Servizi alle persone</v>
      </c>
    </row>
    <row r="1131" spans="1:14" ht="89.25">
      <c r="A1131" s="58" t="s">
        <v>2467</v>
      </c>
      <c r="B1131" s="59" t="s">
        <v>2468</v>
      </c>
      <c r="D1131" t="e">
        <f>+VLOOKUP(AtecoCrisi[[#This Row],[COD. CRISI]],Tabella139[],2,0)</f>
        <v>#N/A</v>
      </c>
      <c r="E1131" s="53" t="e">
        <f t="shared" si="126"/>
        <v>#N/A</v>
      </c>
      <c r="F1131" s="53" t="e">
        <f t="shared" si="127"/>
        <v>#N/A</v>
      </c>
      <c r="G1131" s="53" t="e">
        <f t="shared" si="128"/>
        <v>#N/A</v>
      </c>
      <c r="H1131" s="53" t="e">
        <f t="shared" si="129"/>
        <v>#N/A</v>
      </c>
      <c r="I1131" s="53" t="e">
        <f t="shared" si="130"/>
        <v>#N/A</v>
      </c>
      <c r="L1131" t="s">
        <v>2654</v>
      </c>
      <c r="M1131" t="str">
        <f t="shared" si="125"/>
        <v>Ricarica di bombole per attività subacquee</v>
      </c>
      <c r="N1131" t="str">
        <f t="shared" si="124"/>
        <v>PQRS) Servizi alle persone</v>
      </c>
    </row>
    <row r="1132" spans="1:14" ht="63.75">
      <c r="A1132" s="58" t="s">
        <v>2469</v>
      </c>
      <c r="B1132" s="59" t="s">
        <v>2470</v>
      </c>
      <c r="D1132" t="e">
        <f>+VLOOKUP(AtecoCrisi[[#This Row],[COD. CRISI]],Tabella139[],2,0)</f>
        <v>#N/A</v>
      </c>
      <c r="E1132" s="53" t="e">
        <f t="shared" si="126"/>
        <v>#N/A</v>
      </c>
      <c r="F1132" s="53" t="e">
        <f t="shared" si="127"/>
        <v>#N/A</v>
      </c>
      <c r="G1132" s="53" t="e">
        <f t="shared" si="128"/>
        <v>#N/A</v>
      </c>
      <c r="H1132" s="53" t="e">
        <f t="shared" si="129"/>
        <v>#N/A</v>
      </c>
      <c r="I1132" s="53" t="e">
        <f t="shared" si="130"/>
        <v>#N/A</v>
      </c>
      <c r="L1132" t="s">
        <v>2656</v>
      </c>
      <c r="M1132" t="str">
        <f t="shared" si="125"/>
        <v>Attività delle guide alpine</v>
      </c>
      <c r="N1132" t="str">
        <f t="shared" si="124"/>
        <v>PQRS) Servizi alle persone</v>
      </c>
    </row>
    <row r="1133" spans="1:14" ht="51">
      <c r="A1133" s="58" t="s">
        <v>2471</v>
      </c>
      <c r="B1133" s="59" t="s">
        <v>2472</v>
      </c>
      <c r="D1133" t="e">
        <f>+VLOOKUP(AtecoCrisi[[#This Row],[COD. CRISI]],Tabella139[],2,0)</f>
        <v>#N/A</v>
      </c>
      <c r="E1133" s="53" t="e">
        <f t="shared" si="126"/>
        <v>#N/A</v>
      </c>
      <c r="F1133" s="53" t="e">
        <f t="shared" si="127"/>
        <v>#N/A</v>
      </c>
      <c r="G1133" s="53" t="e">
        <f t="shared" si="128"/>
        <v>#N/A</v>
      </c>
      <c r="H1133" s="53" t="e">
        <f t="shared" si="129"/>
        <v>#N/A</v>
      </c>
      <c r="I1133" s="53" t="e">
        <f t="shared" si="130"/>
        <v>#N/A</v>
      </c>
      <c r="L1133" t="s">
        <v>2658</v>
      </c>
      <c r="M1133" t="str">
        <f t="shared" si="125"/>
        <v>Altre attività sportive nca</v>
      </c>
      <c r="N1133" t="str">
        <f t="shared" si="124"/>
        <v>PQRS) Servizi alle persone</v>
      </c>
    </row>
    <row r="1134" spans="1:14" ht="51">
      <c r="A1134" s="58" t="s">
        <v>2473</v>
      </c>
      <c r="B1134" s="59" t="s">
        <v>2474</v>
      </c>
      <c r="D1134" t="e">
        <f>+VLOOKUP(AtecoCrisi[[#This Row],[COD. CRISI]],Tabella139[],2,0)</f>
        <v>#N/A</v>
      </c>
      <c r="E1134" s="53" t="e">
        <f t="shared" si="126"/>
        <v>#N/A</v>
      </c>
      <c r="F1134" s="53" t="e">
        <f t="shared" si="127"/>
        <v>#N/A</v>
      </c>
      <c r="G1134" s="53" t="e">
        <f t="shared" si="128"/>
        <v>#N/A</v>
      </c>
      <c r="H1134" s="53" t="e">
        <f t="shared" si="129"/>
        <v>#N/A</v>
      </c>
      <c r="I1134" s="53" t="e">
        <f t="shared" si="130"/>
        <v>#N/A</v>
      </c>
      <c r="L1134" t="s">
        <v>2660</v>
      </c>
      <c r="M1134" t="str">
        <f t="shared" si="125"/>
        <v>Parchi di divertimento e parchi tematici</v>
      </c>
      <c r="N1134" t="str">
        <f t="shared" si="124"/>
        <v>PQRS) Servizi alle persone</v>
      </c>
    </row>
    <row r="1135" spans="1:14" ht="38.25">
      <c r="A1135" s="58" t="s">
        <v>2475</v>
      </c>
      <c r="B1135" s="59" t="s">
        <v>2476</v>
      </c>
      <c r="D1135" t="e">
        <f>+VLOOKUP(AtecoCrisi[[#This Row],[COD. CRISI]],Tabella139[],2,0)</f>
        <v>#N/A</v>
      </c>
      <c r="E1135" s="53" t="e">
        <f t="shared" si="126"/>
        <v>#N/A</v>
      </c>
      <c r="F1135" s="53" t="e">
        <f t="shared" si="127"/>
        <v>#N/A</v>
      </c>
      <c r="G1135" s="53" t="e">
        <f t="shared" si="128"/>
        <v>#N/A</v>
      </c>
      <c r="H1135" s="53" t="e">
        <f t="shared" si="129"/>
        <v>#N/A</v>
      </c>
      <c r="I1135" s="53" t="e">
        <f t="shared" si="130"/>
        <v>#N/A</v>
      </c>
      <c r="L1135" t="s">
        <v>2662</v>
      </c>
      <c r="M1135" t="str">
        <f t="shared" si="125"/>
        <v>Discoteche, sale da ballo night-club e simili</v>
      </c>
      <c r="N1135" t="str">
        <f t="shared" si="124"/>
        <v>PQRS) Servizi alle persone</v>
      </c>
    </row>
    <row r="1136" spans="1:14">
      <c r="A1136" s="58" t="s">
        <v>2477</v>
      </c>
      <c r="B1136" s="59" t="s">
        <v>2478</v>
      </c>
      <c r="D1136" t="e">
        <f>+VLOOKUP(AtecoCrisi[[#This Row],[COD. CRISI]],Tabella139[],2,0)</f>
        <v>#N/A</v>
      </c>
      <c r="E1136" s="53" t="e">
        <f t="shared" si="126"/>
        <v>#N/A</v>
      </c>
      <c r="F1136" s="53" t="e">
        <f t="shared" si="127"/>
        <v>#N/A</v>
      </c>
      <c r="G1136" s="53" t="e">
        <f t="shared" si="128"/>
        <v>#N/A</v>
      </c>
      <c r="H1136" s="53" t="e">
        <f t="shared" si="129"/>
        <v>#N/A</v>
      </c>
      <c r="I1136" s="53" t="e">
        <f t="shared" si="130"/>
        <v>#N/A</v>
      </c>
      <c r="L1136" t="s">
        <v>2664</v>
      </c>
      <c r="M1136" t="str">
        <f t="shared" si="125"/>
        <v>Gestione di stabilimenti balneari: marittimi, lacuali e fluviali</v>
      </c>
      <c r="N1136" t="str">
        <f t="shared" si="124"/>
        <v>PQRS) Servizi alle persone</v>
      </c>
    </row>
    <row r="1137" spans="1:14">
      <c r="A1137" s="58" t="s">
        <v>2479</v>
      </c>
      <c r="B1137" s="59" t="s">
        <v>2480</v>
      </c>
      <c r="D1137" t="e">
        <f>+VLOOKUP(AtecoCrisi[[#This Row],[COD. CRISI]],Tabella139[],2,0)</f>
        <v>#N/A</v>
      </c>
      <c r="E1137" s="53" t="e">
        <f t="shared" si="126"/>
        <v>#N/A</v>
      </c>
      <c r="F1137" s="53" t="e">
        <f t="shared" si="127"/>
        <v>#N/A</v>
      </c>
      <c r="G1137" s="53" t="e">
        <f t="shared" si="128"/>
        <v>#N/A</v>
      </c>
      <c r="H1137" s="53" t="e">
        <f t="shared" si="129"/>
        <v>#N/A</v>
      </c>
      <c r="I1137" s="53" t="e">
        <f t="shared" si="130"/>
        <v>#N/A</v>
      </c>
      <c r="L1137" t="s">
        <v>2666</v>
      </c>
      <c r="M1137" t="str">
        <f t="shared" si="125"/>
        <v>Sale giochi e biliardi</v>
      </c>
      <c r="N1137" t="str">
        <f t="shared" si="124"/>
        <v>PQRS) Servizi alle persone</v>
      </c>
    </row>
    <row r="1138" spans="1:14" ht="25.5">
      <c r="A1138" s="58" t="s">
        <v>2481</v>
      </c>
      <c r="B1138" s="59" t="s">
        <v>2482</v>
      </c>
      <c r="D1138" t="e">
        <f>+VLOOKUP(AtecoCrisi[[#This Row],[COD. CRISI]],Tabella139[],2,0)</f>
        <v>#N/A</v>
      </c>
      <c r="E1138" s="53" t="e">
        <f t="shared" si="126"/>
        <v>#N/A</v>
      </c>
      <c r="F1138" s="53" t="e">
        <f t="shared" si="127"/>
        <v>#N/A</v>
      </c>
      <c r="G1138" s="53" t="e">
        <f t="shared" si="128"/>
        <v>#N/A</v>
      </c>
      <c r="H1138" s="53" t="e">
        <f t="shared" si="129"/>
        <v>#N/A</v>
      </c>
      <c r="I1138" s="53" t="e">
        <f t="shared" si="130"/>
        <v>#N/A</v>
      </c>
      <c r="L1138" t="s">
        <v>2668</v>
      </c>
      <c r="M1138" t="str">
        <f t="shared" si="125"/>
        <v>Altre attività di intrattenimento e di divertimento nca</v>
      </c>
      <c r="N1138" t="str">
        <f t="shared" si="124"/>
        <v>PQRS) Servizi alle persone</v>
      </c>
    </row>
    <row r="1139" spans="1:14" ht="38.25">
      <c r="A1139" s="58" t="s">
        <v>2483</v>
      </c>
      <c r="B1139" s="59" t="s">
        <v>2484</v>
      </c>
      <c r="D1139" t="e">
        <f>+VLOOKUP(AtecoCrisi[[#This Row],[COD. CRISI]],Tabella139[],2,0)</f>
        <v>#N/A</v>
      </c>
      <c r="E1139" s="53" t="e">
        <f t="shared" si="126"/>
        <v>#N/A</v>
      </c>
      <c r="F1139" s="53" t="e">
        <f t="shared" si="127"/>
        <v>#N/A</v>
      </c>
      <c r="G1139" s="53" t="e">
        <f t="shared" si="128"/>
        <v>#N/A</v>
      </c>
      <c r="H1139" s="53" t="e">
        <f t="shared" si="129"/>
        <v>#N/A</v>
      </c>
      <c r="I1139" s="53" t="e">
        <f t="shared" si="130"/>
        <v>#N/A</v>
      </c>
      <c r="L1139" t="s">
        <v>2674</v>
      </c>
      <c r="M1139" t="str">
        <f t="shared" si="125"/>
        <v>Attività di organizzazione di datori di lavoro, federazioni di industria, commercio, artigianato e servizi, associazioni, unioni, federazioni fra istituzioni</v>
      </c>
      <c r="N1139" t="str">
        <f t="shared" si="124"/>
        <v>PQRS) Servizi alle persone</v>
      </c>
    </row>
    <row r="1140" spans="1:14" ht="25.5">
      <c r="A1140" s="58" t="s">
        <v>2485</v>
      </c>
      <c r="B1140" s="59" t="s">
        <v>2486</v>
      </c>
      <c r="D1140" t="e">
        <f>+VLOOKUP(AtecoCrisi[[#This Row],[COD. CRISI]],Tabella139[],2,0)</f>
        <v>#N/A</v>
      </c>
      <c r="E1140" s="53" t="e">
        <f t="shared" si="126"/>
        <v>#N/A</v>
      </c>
      <c r="F1140" s="53" t="e">
        <f t="shared" si="127"/>
        <v>#N/A</v>
      </c>
      <c r="G1140" s="53" t="e">
        <f t="shared" si="128"/>
        <v>#N/A</v>
      </c>
      <c r="H1140" s="53" t="e">
        <f t="shared" si="129"/>
        <v>#N/A</v>
      </c>
      <c r="I1140" s="53" t="e">
        <f t="shared" si="130"/>
        <v>#N/A</v>
      </c>
      <c r="L1140" t="s">
        <v>2676</v>
      </c>
      <c r="M1140" t="str">
        <f t="shared" si="125"/>
        <v>Attività di federazioni e consigli di ordini e collegi professionali</v>
      </c>
      <c r="N1140" t="str">
        <f t="shared" si="124"/>
        <v>PQRS) Servizi alle persone</v>
      </c>
    </row>
    <row r="1141" spans="1:14" ht="25.5">
      <c r="A1141" s="58" t="s">
        <v>2487</v>
      </c>
      <c r="B1141" s="59" t="s">
        <v>2488</v>
      </c>
      <c r="D1141" t="e">
        <f>+VLOOKUP(AtecoCrisi[[#This Row],[COD. CRISI]],Tabella139[],2,0)</f>
        <v>#N/A</v>
      </c>
      <c r="E1141" s="53" t="e">
        <f t="shared" si="126"/>
        <v>#N/A</v>
      </c>
      <c r="F1141" s="53" t="e">
        <f t="shared" si="127"/>
        <v>#N/A</v>
      </c>
      <c r="G1141" s="53" t="e">
        <f t="shared" si="128"/>
        <v>#N/A</v>
      </c>
      <c r="H1141" s="53" t="e">
        <f t="shared" si="129"/>
        <v>#N/A</v>
      </c>
      <c r="I1141" s="53" t="e">
        <f t="shared" si="130"/>
        <v>#N/A</v>
      </c>
      <c r="L1141" t="s">
        <v>2678</v>
      </c>
      <c r="M1141" t="str">
        <f t="shared" si="125"/>
        <v>Attività di associazioni professionali</v>
      </c>
      <c r="N1141" t="str">
        <f t="shared" si="124"/>
        <v>PQRS) Servizi alle persone</v>
      </c>
    </row>
    <row r="1142" spans="1:14" ht="38.25">
      <c r="A1142" s="58" t="s">
        <v>2489</v>
      </c>
      <c r="B1142" s="59" t="s">
        <v>2490</v>
      </c>
      <c r="D1142" t="e">
        <f>+VLOOKUP(AtecoCrisi[[#This Row],[COD. CRISI]],Tabella139[],2,0)</f>
        <v>#N/A</v>
      </c>
      <c r="E1142" s="53" t="e">
        <f t="shared" si="126"/>
        <v>#N/A</v>
      </c>
      <c r="F1142" s="53" t="e">
        <f t="shared" si="127"/>
        <v>#N/A</v>
      </c>
      <c r="G1142" s="53" t="e">
        <f t="shared" si="128"/>
        <v>#N/A</v>
      </c>
      <c r="H1142" s="53" t="e">
        <f t="shared" si="129"/>
        <v>#N/A</v>
      </c>
      <c r="I1142" s="53" t="e">
        <f t="shared" si="130"/>
        <v>#N/A</v>
      </c>
      <c r="L1142" t="s">
        <v>2680</v>
      </c>
      <c r="M1142" t="str">
        <f t="shared" si="125"/>
        <v>Attività dei sindacati di lavoratori dipendenti</v>
      </c>
      <c r="N1142" t="str">
        <f t="shared" si="124"/>
        <v>PQRS) Servizi alle persone</v>
      </c>
    </row>
    <row r="1143" spans="1:14" ht="15.75">
      <c r="A1143" s="51" t="s">
        <v>2491</v>
      </c>
      <c r="B1143" s="52" t="s">
        <v>2492</v>
      </c>
      <c r="C1143">
        <v>10</v>
      </c>
      <c r="D1143" t="str">
        <f>+VLOOKUP(AtecoCrisi[[#This Row],[COD. CRISI]],Tabella139[],2,0)</f>
        <v>PQRS) Servizi alle persone</v>
      </c>
      <c r="E1143" s="53">
        <f t="shared" si="126"/>
        <v>2.7E-2</v>
      </c>
      <c r="F1143" s="53">
        <f t="shared" si="127"/>
        <v>2.3E-2</v>
      </c>
      <c r="G1143" s="53">
        <f t="shared" si="128"/>
        <v>0.69799999999999995</v>
      </c>
      <c r="H1143" s="53">
        <f t="shared" si="129"/>
        <v>5.0000000000000001E-3</v>
      </c>
      <c r="I1143" s="53">
        <f t="shared" si="130"/>
        <v>0.14599999999999999</v>
      </c>
      <c r="L1143" t="s">
        <v>2682</v>
      </c>
      <c r="M1143" t="str">
        <f t="shared" si="125"/>
        <v>Attività delle organizzazioni religiose nell'esercizio del culto</v>
      </c>
      <c r="N1143" t="str">
        <f t="shared" si="124"/>
        <v>PQRS) Servizi alle persone</v>
      </c>
    </row>
    <row r="1144" spans="1:14">
      <c r="A1144" s="56" t="s">
        <v>2493</v>
      </c>
      <c r="B1144" s="57" t="s">
        <v>2492</v>
      </c>
      <c r="C1144">
        <v>10</v>
      </c>
      <c r="D1144" t="str">
        <f>+VLOOKUP(AtecoCrisi[[#This Row],[COD. CRISI]],Tabella139[],2,0)</f>
        <v>PQRS) Servizi alle persone</v>
      </c>
      <c r="E1144" s="53">
        <f t="shared" si="126"/>
        <v>2.7E-2</v>
      </c>
      <c r="F1144" s="53">
        <f t="shared" si="127"/>
        <v>2.3E-2</v>
      </c>
      <c r="G1144" s="53">
        <f t="shared" si="128"/>
        <v>0.69799999999999995</v>
      </c>
      <c r="H1144" s="53">
        <f t="shared" si="129"/>
        <v>5.0000000000000001E-3</v>
      </c>
      <c r="I1144" s="53">
        <f t="shared" si="130"/>
        <v>0.14599999999999999</v>
      </c>
      <c r="L1144" t="s">
        <v>2684</v>
      </c>
      <c r="M1144" t="str">
        <f t="shared" si="125"/>
        <v>Attività dei partiti e delle associazioni politiche</v>
      </c>
      <c r="N1144" t="str">
        <f t="shared" si="124"/>
        <v>PQRS) Servizi alle persone</v>
      </c>
    </row>
    <row r="1145" spans="1:14" ht="89.25">
      <c r="A1145" s="58" t="s">
        <v>2494</v>
      </c>
      <c r="B1145" s="59" t="s">
        <v>2495</v>
      </c>
      <c r="C1145">
        <v>10</v>
      </c>
      <c r="D1145" t="str">
        <f>+VLOOKUP(AtecoCrisi[[#This Row],[COD. CRISI]],Tabella139[],2,0)</f>
        <v>PQRS) Servizi alle persone</v>
      </c>
      <c r="E1145" s="53">
        <f t="shared" si="126"/>
        <v>2.7E-2</v>
      </c>
      <c r="F1145" s="53">
        <f t="shared" si="127"/>
        <v>2.3E-2</v>
      </c>
      <c r="G1145" s="53">
        <f t="shared" si="128"/>
        <v>0.69799999999999995</v>
      </c>
      <c r="H1145" s="53">
        <f t="shared" si="129"/>
        <v>5.0000000000000001E-3</v>
      </c>
      <c r="I1145" s="53">
        <f t="shared" si="130"/>
        <v>0.14599999999999999</v>
      </c>
      <c r="L1145" t="s">
        <v>2686</v>
      </c>
      <c r="M1145" t="str">
        <f t="shared" si="125"/>
        <v>Attività di organizzazioni per la tutela degli interessi e dei diritti dei cittadini</v>
      </c>
      <c r="N1145" t="str">
        <f t="shared" si="124"/>
        <v>PQRS) Servizi alle persone</v>
      </c>
    </row>
    <row r="1146" spans="1:14" ht="25.5">
      <c r="A1146" s="58" t="s">
        <v>2496</v>
      </c>
      <c r="B1146" s="59" t="s">
        <v>2497</v>
      </c>
      <c r="C1146">
        <v>10</v>
      </c>
      <c r="D1146" t="str">
        <f>+VLOOKUP(AtecoCrisi[[#This Row],[COD. CRISI]],Tabella139[],2,0)</f>
        <v>PQRS) Servizi alle persone</v>
      </c>
      <c r="E1146" s="53">
        <f t="shared" si="126"/>
        <v>2.7E-2</v>
      </c>
      <c r="F1146" s="53">
        <f t="shared" si="127"/>
        <v>2.3E-2</v>
      </c>
      <c r="G1146" s="53">
        <f t="shared" si="128"/>
        <v>0.69799999999999995</v>
      </c>
      <c r="H1146" s="53">
        <f t="shared" si="129"/>
        <v>5.0000000000000001E-3</v>
      </c>
      <c r="I1146" s="53">
        <f t="shared" si="130"/>
        <v>0.14599999999999999</v>
      </c>
      <c r="L1146" t="s">
        <v>2688</v>
      </c>
      <c r="M1146" t="str">
        <f t="shared" si="125"/>
        <v>Attività di organizzazioni che perseguono fini culturali, ricreativi e la coltivazione di hobby</v>
      </c>
      <c r="N1146" t="str">
        <f t="shared" si="124"/>
        <v>PQRS) Servizi alle persone</v>
      </c>
    </row>
    <row r="1147" spans="1:14" ht="51">
      <c r="A1147" s="58" t="s">
        <v>2498</v>
      </c>
      <c r="B1147" s="59" t="s">
        <v>2499</v>
      </c>
      <c r="C1147">
        <v>10</v>
      </c>
      <c r="D1147" t="str">
        <f>+VLOOKUP(AtecoCrisi[[#This Row],[COD. CRISI]],Tabella139[],2,0)</f>
        <v>PQRS) Servizi alle persone</v>
      </c>
      <c r="E1147" s="53">
        <f t="shared" si="126"/>
        <v>2.7E-2</v>
      </c>
      <c r="F1147" s="53">
        <f t="shared" si="127"/>
        <v>2.3E-2</v>
      </c>
      <c r="G1147" s="53">
        <f t="shared" si="128"/>
        <v>0.69799999999999995</v>
      </c>
      <c r="H1147" s="53">
        <f t="shared" si="129"/>
        <v>5.0000000000000001E-3</v>
      </c>
      <c r="I1147" s="53">
        <f t="shared" si="130"/>
        <v>0.14599999999999999</v>
      </c>
      <c r="L1147" t="s">
        <v>2690</v>
      </c>
      <c r="M1147" t="str">
        <f t="shared" si="125"/>
        <v>Attività di organizzazioni patriottiche e associazioni combattentistiche</v>
      </c>
      <c r="N1147" t="str">
        <f t="shared" si="124"/>
        <v>PQRS) Servizi alle persone</v>
      </c>
    </row>
    <row r="1148" spans="1:14" ht="63.75">
      <c r="A1148" s="58" t="s">
        <v>2500</v>
      </c>
      <c r="B1148" s="59" t="s">
        <v>2501</v>
      </c>
      <c r="C1148">
        <v>10</v>
      </c>
      <c r="D1148" t="str">
        <f>+VLOOKUP(AtecoCrisi[[#This Row],[COD. CRISI]],Tabella139[],2,0)</f>
        <v>PQRS) Servizi alle persone</v>
      </c>
      <c r="E1148" s="53">
        <f t="shared" si="126"/>
        <v>2.7E-2</v>
      </c>
      <c r="F1148" s="53">
        <f t="shared" si="127"/>
        <v>2.3E-2</v>
      </c>
      <c r="G1148" s="53">
        <f t="shared" si="128"/>
        <v>0.69799999999999995</v>
      </c>
      <c r="H1148" s="53">
        <f t="shared" si="129"/>
        <v>5.0000000000000001E-3</v>
      </c>
      <c r="I1148" s="53">
        <f t="shared" si="130"/>
        <v>0.14599999999999999</v>
      </c>
      <c r="L1148" t="s">
        <v>2692</v>
      </c>
      <c r="M1148" t="str">
        <f t="shared" si="125"/>
        <v>Attività di organizzazioni per la cooperazione e la solidarietà internazionale</v>
      </c>
      <c r="N1148" t="str">
        <f t="shared" si="124"/>
        <v>PQRS) Servizi alle persone</v>
      </c>
    </row>
    <row r="1149" spans="1:14" ht="63.75">
      <c r="A1149" s="58" t="s">
        <v>2502</v>
      </c>
      <c r="B1149" s="59" t="s">
        <v>2503</v>
      </c>
      <c r="C1149">
        <v>10</v>
      </c>
      <c r="D1149" t="str">
        <f>+VLOOKUP(AtecoCrisi[[#This Row],[COD. CRISI]],Tabella139[],2,0)</f>
        <v>PQRS) Servizi alle persone</v>
      </c>
      <c r="E1149" s="53">
        <f t="shared" si="126"/>
        <v>2.7E-2</v>
      </c>
      <c r="F1149" s="53">
        <f t="shared" si="127"/>
        <v>2.3E-2</v>
      </c>
      <c r="G1149" s="53">
        <f t="shared" si="128"/>
        <v>0.69799999999999995</v>
      </c>
      <c r="H1149" s="53">
        <f t="shared" si="129"/>
        <v>5.0000000000000001E-3</v>
      </c>
      <c r="I1149" s="53">
        <f t="shared" si="130"/>
        <v>0.14599999999999999</v>
      </c>
      <c r="L1149" t="s">
        <v>2694</v>
      </c>
      <c r="M1149" t="str">
        <f t="shared" si="125"/>
        <v>Attività di organizzazioni per la filantropia</v>
      </c>
      <c r="N1149" t="str">
        <f t="shared" si="124"/>
        <v>PQRS) Servizi alle persone</v>
      </c>
    </row>
    <row r="1150" spans="1:14" ht="51">
      <c r="A1150" s="58" t="s">
        <v>2504</v>
      </c>
      <c r="B1150" s="59" t="s">
        <v>2505</v>
      </c>
      <c r="C1150">
        <v>10</v>
      </c>
      <c r="D1150" t="str">
        <f>+VLOOKUP(AtecoCrisi[[#This Row],[COD. CRISI]],Tabella139[],2,0)</f>
        <v>PQRS) Servizi alle persone</v>
      </c>
      <c r="E1150" s="53">
        <f t="shared" si="126"/>
        <v>2.7E-2</v>
      </c>
      <c r="F1150" s="53">
        <f t="shared" si="127"/>
        <v>2.3E-2</v>
      </c>
      <c r="G1150" s="53">
        <f t="shared" si="128"/>
        <v>0.69799999999999995</v>
      </c>
      <c r="H1150" s="53">
        <f t="shared" si="129"/>
        <v>5.0000000000000001E-3</v>
      </c>
      <c r="I1150" s="53">
        <f t="shared" si="130"/>
        <v>0.14599999999999999</v>
      </c>
      <c r="L1150" t="s">
        <v>2696</v>
      </c>
      <c r="M1150" t="str">
        <f t="shared" si="125"/>
        <v>Attività di organizzazioni per la promozione e la difesa degli animali e dell'ambiente</v>
      </c>
      <c r="N1150" t="str">
        <f t="shared" si="124"/>
        <v>PQRS) Servizi alle persone</v>
      </c>
    </row>
    <row r="1151" spans="1:14" ht="76.5">
      <c r="A1151" s="58" t="s">
        <v>2506</v>
      </c>
      <c r="B1151" s="59" t="s">
        <v>2507</v>
      </c>
      <c r="C1151">
        <v>10</v>
      </c>
      <c r="D1151" t="str">
        <f>+VLOOKUP(AtecoCrisi[[#This Row],[COD. CRISI]],Tabella139[],2,0)</f>
        <v>PQRS) Servizi alle persone</v>
      </c>
      <c r="E1151" s="53">
        <f t="shared" si="126"/>
        <v>2.7E-2</v>
      </c>
      <c r="F1151" s="53">
        <f t="shared" si="127"/>
        <v>2.3E-2</v>
      </c>
      <c r="G1151" s="53">
        <f t="shared" si="128"/>
        <v>0.69799999999999995</v>
      </c>
      <c r="H1151" s="53">
        <f t="shared" si="129"/>
        <v>5.0000000000000001E-3</v>
      </c>
      <c r="I1151" s="53">
        <f t="shared" si="130"/>
        <v>0.14599999999999999</v>
      </c>
      <c r="L1151" t="s">
        <v>2698</v>
      </c>
      <c r="M1151" t="str">
        <f t="shared" si="125"/>
        <v>Attività di altre organizzazioni associative nca</v>
      </c>
      <c r="N1151" t="str">
        <f t="shared" si="124"/>
        <v>PQRS) Servizi alle persone</v>
      </c>
    </row>
    <row r="1152" spans="1:14" ht="89.25">
      <c r="A1152" s="58" t="s">
        <v>2508</v>
      </c>
      <c r="B1152" s="59" t="s">
        <v>2509</v>
      </c>
      <c r="C1152">
        <v>10</v>
      </c>
      <c r="D1152" t="str">
        <f>+VLOOKUP(AtecoCrisi[[#This Row],[COD. CRISI]],Tabella139[],2,0)</f>
        <v>PQRS) Servizi alle persone</v>
      </c>
      <c r="E1152" s="53">
        <f t="shared" si="126"/>
        <v>2.7E-2</v>
      </c>
      <c r="F1152" s="53">
        <f t="shared" si="127"/>
        <v>2.3E-2</v>
      </c>
      <c r="G1152" s="53">
        <f t="shared" si="128"/>
        <v>0.69799999999999995</v>
      </c>
      <c r="H1152" s="53">
        <f t="shared" si="129"/>
        <v>5.0000000000000001E-3</v>
      </c>
      <c r="I1152" s="53">
        <f t="shared" si="130"/>
        <v>0.14599999999999999</v>
      </c>
      <c r="L1152" t="s">
        <v>2702</v>
      </c>
      <c r="M1152" t="str">
        <f t="shared" si="125"/>
        <v>Riparazione e manutenzione di computer e periferiche</v>
      </c>
      <c r="N1152" t="str">
        <f t="shared" si="124"/>
        <v>PQRS) Servizi alle persone</v>
      </c>
    </row>
    <row r="1153" spans="1:14" ht="38.25">
      <c r="A1153" s="58" t="s">
        <v>2510</v>
      </c>
      <c r="B1153" s="59" t="s">
        <v>2511</v>
      </c>
      <c r="C1153">
        <v>10</v>
      </c>
      <c r="D1153" t="str">
        <f>+VLOOKUP(AtecoCrisi[[#This Row],[COD. CRISI]],Tabella139[],2,0)</f>
        <v>PQRS) Servizi alle persone</v>
      </c>
      <c r="E1153" s="53">
        <f t="shared" si="126"/>
        <v>2.7E-2</v>
      </c>
      <c r="F1153" s="53">
        <f t="shared" si="127"/>
        <v>2.3E-2</v>
      </c>
      <c r="G1153" s="53">
        <f t="shared" si="128"/>
        <v>0.69799999999999995</v>
      </c>
      <c r="H1153" s="53">
        <f t="shared" si="129"/>
        <v>5.0000000000000001E-3</v>
      </c>
      <c r="I1153" s="53">
        <f t="shared" si="130"/>
        <v>0.14599999999999999</v>
      </c>
      <c r="L1153" t="s">
        <v>2704</v>
      </c>
      <c r="M1153" t="str">
        <f t="shared" si="125"/>
        <v>Riparazione e manutenzione di telefoni fissi, cordless e cellulari</v>
      </c>
      <c r="N1153" t="str">
        <f t="shared" si="124"/>
        <v>PQRS) Servizi alle persone</v>
      </c>
    </row>
    <row r="1154" spans="1:14" ht="63.75">
      <c r="A1154" s="58" t="s">
        <v>2512</v>
      </c>
      <c r="B1154" s="59" t="s">
        <v>2513</v>
      </c>
      <c r="C1154">
        <v>10</v>
      </c>
      <c r="D1154" t="str">
        <f>+VLOOKUP(AtecoCrisi[[#This Row],[COD. CRISI]],Tabella139[],2,0)</f>
        <v>PQRS) Servizi alle persone</v>
      </c>
      <c r="E1154" s="53">
        <f t="shared" si="126"/>
        <v>2.7E-2</v>
      </c>
      <c r="F1154" s="53">
        <f t="shared" si="127"/>
        <v>2.3E-2</v>
      </c>
      <c r="G1154" s="53">
        <f t="shared" si="128"/>
        <v>0.69799999999999995</v>
      </c>
      <c r="H1154" s="53">
        <f t="shared" si="129"/>
        <v>5.0000000000000001E-3</v>
      </c>
      <c r="I1154" s="53">
        <f t="shared" si="130"/>
        <v>0.14599999999999999</v>
      </c>
      <c r="L1154" t="s">
        <v>2706</v>
      </c>
      <c r="M1154" t="str">
        <f t="shared" si="125"/>
        <v>Riparazione e manutenzione di altre apparecchiature per le comunicazioni</v>
      </c>
      <c r="N1154" t="str">
        <f t="shared" ref="N1154:N1184" si="131">+VLOOKUP(L1154,A:D,4,0)</f>
        <v>PQRS) Servizi alle persone</v>
      </c>
    </row>
    <row r="1155" spans="1:14" ht="25.5">
      <c r="A1155" s="58" t="s">
        <v>2514</v>
      </c>
      <c r="B1155" s="59" t="s">
        <v>2515</v>
      </c>
      <c r="C1155">
        <v>10</v>
      </c>
      <c r="D1155" t="str">
        <f>+VLOOKUP(AtecoCrisi[[#This Row],[COD. CRISI]],Tabella139[],2,0)</f>
        <v>PQRS) Servizi alle persone</v>
      </c>
      <c r="E1155" s="53">
        <f t="shared" si="126"/>
        <v>2.7E-2</v>
      </c>
      <c r="F1155" s="53">
        <f t="shared" si="127"/>
        <v>2.3E-2</v>
      </c>
      <c r="G1155" s="53">
        <f t="shared" si="128"/>
        <v>0.69799999999999995</v>
      </c>
      <c r="H1155" s="53">
        <f t="shared" si="129"/>
        <v>5.0000000000000001E-3</v>
      </c>
      <c r="I1155" s="53">
        <f t="shared" si="130"/>
        <v>0.14599999999999999</v>
      </c>
      <c r="L1155" t="s">
        <v>2708</v>
      </c>
      <c r="M1155" t="str">
        <f t="shared" ref="M1155:M1184" si="132">+VLOOKUP(L1155,A:B,2,0)</f>
        <v>Riparazione di prodotti elettronici di consumo audio e video</v>
      </c>
      <c r="N1155" t="str">
        <f t="shared" si="131"/>
        <v>PQRS) Servizi alle persone</v>
      </c>
    </row>
    <row r="1156" spans="1:14">
      <c r="A1156" s="58" t="s">
        <v>2516</v>
      </c>
      <c r="B1156" s="59" t="s">
        <v>2517</v>
      </c>
      <c r="C1156">
        <v>10</v>
      </c>
      <c r="D1156" t="str">
        <f>+VLOOKUP(AtecoCrisi[[#This Row],[COD. CRISI]],Tabella139[],2,0)</f>
        <v>PQRS) Servizi alle persone</v>
      </c>
      <c r="E1156" s="53">
        <f t="shared" si="126"/>
        <v>2.7E-2</v>
      </c>
      <c r="F1156" s="53">
        <f t="shared" si="127"/>
        <v>2.3E-2</v>
      </c>
      <c r="G1156" s="53">
        <f t="shared" si="128"/>
        <v>0.69799999999999995</v>
      </c>
      <c r="H1156" s="53">
        <f t="shared" si="129"/>
        <v>5.0000000000000001E-3</v>
      </c>
      <c r="I1156" s="53">
        <f t="shared" si="130"/>
        <v>0.14599999999999999</v>
      </c>
      <c r="L1156" t="s">
        <v>2710</v>
      </c>
      <c r="M1156" t="str">
        <f t="shared" si="132"/>
        <v>Riparazione di elettrodomestici e di articoli per la casa</v>
      </c>
      <c r="N1156" t="str">
        <f t="shared" si="131"/>
        <v>PQRS) Servizi alle persone</v>
      </c>
    </row>
    <row r="1157" spans="1:14" ht="25.5">
      <c r="A1157" s="58" t="s">
        <v>2518</v>
      </c>
      <c r="B1157" s="59" t="s">
        <v>2519</v>
      </c>
      <c r="C1157">
        <v>10</v>
      </c>
      <c r="D1157" t="str">
        <f>+VLOOKUP(AtecoCrisi[[#This Row],[COD. CRISI]],Tabella139[],2,0)</f>
        <v>PQRS) Servizi alle persone</v>
      </c>
      <c r="E1157" s="53">
        <f t="shared" si="126"/>
        <v>2.7E-2</v>
      </c>
      <c r="F1157" s="53">
        <f t="shared" si="127"/>
        <v>2.3E-2</v>
      </c>
      <c r="G1157" s="53">
        <f t="shared" si="128"/>
        <v>0.69799999999999995</v>
      </c>
      <c r="H1157" s="53">
        <f t="shared" si="129"/>
        <v>5.0000000000000001E-3</v>
      </c>
      <c r="I1157" s="53">
        <f t="shared" si="130"/>
        <v>0.14599999999999999</v>
      </c>
      <c r="L1157" t="s">
        <v>2712</v>
      </c>
      <c r="M1157" t="str">
        <f t="shared" si="132"/>
        <v>Riparazione di articoli per il giardinaggio</v>
      </c>
      <c r="N1157" t="str">
        <f t="shared" si="131"/>
        <v>PQRS) Servizi alle persone</v>
      </c>
    </row>
    <row r="1158" spans="1:14" ht="51">
      <c r="A1158" s="58" t="s">
        <v>2520</v>
      </c>
      <c r="B1158" s="59" t="s">
        <v>2521</v>
      </c>
      <c r="C1158">
        <v>10</v>
      </c>
      <c r="D1158" t="str">
        <f>+VLOOKUP(AtecoCrisi[[#This Row],[COD. CRISI]],Tabella139[],2,0)</f>
        <v>PQRS) Servizi alle persone</v>
      </c>
      <c r="E1158" s="53">
        <f t="shared" si="126"/>
        <v>2.7E-2</v>
      </c>
      <c r="F1158" s="53">
        <f t="shared" si="127"/>
        <v>2.3E-2</v>
      </c>
      <c r="G1158" s="53">
        <f t="shared" si="128"/>
        <v>0.69799999999999995</v>
      </c>
      <c r="H1158" s="53">
        <f t="shared" si="129"/>
        <v>5.0000000000000001E-3</v>
      </c>
      <c r="I1158" s="53">
        <f t="shared" si="130"/>
        <v>0.14599999999999999</v>
      </c>
      <c r="L1158" t="s">
        <v>2714</v>
      </c>
      <c r="M1158" t="str">
        <f t="shared" si="132"/>
        <v>Riparazione di calzature e articoli da viaggio in pelle, cuoio o in altri materiali simili</v>
      </c>
      <c r="N1158" t="str">
        <f t="shared" si="131"/>
        <v>PQRS) Servizi alle persone</v>
      </c>
    </row>
    <row r="1159" spans="1:14">
      <c r="A1159" s="58" t="s">
        <v>2522</v>
      </c>
      <c r="B1159" s="59" t="s">
        <v>2523</v>
      </c>
      <c r="C1159">
        <v>10</v>
      </c>
      <c r="D1159" t="str">
        <f>+VLOOKUP(AtecoCrisi[[#This Row],[COD. CRISI]],Tabella139[],2,0)</f>
        <v>PQRS) Servizi alle persone</v>
      </c>
      <c r="E1159" s="53">
        <f t="shared" si="126"/>
        <v>2.7E-2</v>
      </c>
      <c r="F1159" s="53">
        <f t="shared" si="127"/>
        <v>2.3E-2</v>
      </c>
      <c r="G1159" s="53">
        <f t="shared" si="128"/>
        <v>0.69799999999999995</v>
      </c>
      <c r="H1159" s="53">
        <f t="shared" si="129"/>
        <v>5.0000000000000001E-3</v>
      </c>
      <c r="I1159" s="53">
        <f t="shared" si="130"/>
        <v>0.14599999999999999</v>
      </c>
      <c r="L1159" t="s">
        <v>2716</v>
      </c>
      <c r="M1159" t="str">
        <f t="shared" si="132"/>
        <v>Riparazione di mobili e di oggetti di arredamento</v>
      </c>
      <c r="N1159" t="str">
        <f t="shared" si="131"/>
        <v>PQRS) Servizi alle persone</v>
      </c>
    </row>
    <row r="1160" spans="1:14" ht="51">
      <c r="A1160" s="58" t="s">
        <v>2524</v>
      </c>
      <c r="B1160" s="59" t="s">
        <v>2525</v>
      </c>
      <c r="C1160">
        <v>10</v>
      </c>
      <c r="D1160" t="str">
        <f>+VLOOKUP(AtecoCrisi[[#This Row],[COD. CRISI]],Tabella139[],2,0)</f>
        <v>PQRS) Servizi alle persone</v>
      </c>
      <c r="E1160" s="53">
        <f t="shared" si="126"/>
        <v>2.7E-2</v>
      </c>
      <c r="F1160" s="53">
        <f t="shared" si="127"/>
        <v>2.3E-2</v>
      </c>
      <c r="G1160" s="53">
        <f t="shared" si="128"/>
        <v>0.69799999999999995</v>
      </c>
      <c r="H1160" s="53">
        <f t="shared" si="129"/>
        <v>5.0000000000000001E-3</v>
      </c>
      <c r="I1160" s="53">
        <f t="shared" si="130"/>
        <v>0.14599999999999999</v>
      </c>
      <c r="L1160" t="s">
        <v>2718</v>
      </c>
      <c r="M1160" t="str">
        <f t="shared" si="132"/>
        <v>Laboratori di tappezzeria</v>
      </c>
      <c r="N1160" t="str">
        <f t="shared" si="131"/>
        <v>PQRS) Servizi alle persone</v>
      </c>
    </row>
    <row r="1161" spans="1:14" ht="25.5">
      <c r="A1161" s="58" t="s">
        <v>2526</v>
      </c>
      <c r="B1161" s="59" t="s">
        <v>2527</v>
      </c>
      <c r="C1161">
        <v>10</v>
      </c>
      <c r="D1161" t="str">
        <f>+VLOOKUP(AtecoCrisi[[#This Row],[COD. CRISI]],Tabella139[],2,0)</f>
        <v>PQRS) Servizi alle persone</v>
      </c>
      <c r="E1161" s="53">
        <f t="shared" si="126"/>
        <v>2.7E-2</v>
      </c>
      <c r="F1161" s="53">
        <f t="shared" si="127"/>
        <v>2.3E-2</v>
      </c>
      <c r="G1161" s="53">
        <f t="shared" si="128"/>
        <v>0.69799999999999995</v>
      </c>
      <c r="H1161" s="53">
        <f t="shared" si="129"/>
        <v>5.0000000000000001E-3</v>
      </c>
      <c r="I1161" s="53">
        <f t="shared" si="130"/>
        <v>0.14599999999999999</v>
      </c>
      <c r="L1161" t="s">
        <v>2720</v>
      </c>
      <c r="M1161" t="str">
        <f t="shared" si="132"/>
        <v>Riparazione di orologi e di gioielli</v>
      </c>
      <c r="N1161" t="str">
        <f t="shared" si="131"/>
        <v>PQRS) Servizi alle persone</v>
      </c>
    </row>
    <row r="1162" spans="1:14" ht="25.5">
      <c r="A1162" s="58" t="s">
        <v>2528</v>
      </c>
      <c r="B1162" s="59" t="s">
        <v>2529</v>
      </c>
      <c r="C1162">
        <v>10</v>
      </c>
      <c r="D1162" t="str">
        <f>+VLOOKUP(AtecoCrisi[[#This Row],[COD. CRISI]],Tabella139[],2,0)</f>
        <v>PQRS) Servizi alle persone</v>
      </c>
      <c r="E1162" s="53">
        <f t="shared" si="126"/>
        <v>2.7E-2</v>
      </c>
      <c r="F1162" s="53">
        <f t="shared" si="127"/>
        <v>2.3E-2</v>
      </c>
      <c r="G1162" s="53">
        <f t="shared" si="128"/>
        <v>0.69799999999999995</v>
      </c>
      <c r="H1162" s="53">
        <f t="shared" si="129"/>
        <v>5.0000000000000001E-3</v>
      </c>
      <c r="I1162" s="53">
        <f t="shared" si="130"/>
        <v>0.14599999999999999</v>
      </c>
      <c r="L1162" t="s">
        <v>2722</v>
      </c>
      <c r="M1162" t="str">
        <f t="shared" si="132"/>
        <v>Riparazione di strumenti musicali</v>
      </c>
      <c r="N1162" t="str">
        <f t="shared" si="131"/>
        <v>PQRS) Servizi alle persone</v>
      </c>
    </row>
    <row r="1163" spans="1:14" ht="51">
      <c r="A1163" s="58" t="s">
        <v>2530</v>
      </c>
      <c r="B1163" s="59" t="s">
        <v>2531</v>
      </c>
      <c r="C1163">
        <v>10</v>
      </c>
      <c r="D1163" t="str">
        <f>+VLOOKUP(AtecoCrisi[[#This Row],[COD. CRISI]],Tabella139[],2,0)</f>
        <v>PQRS) Servizi alle persone</v>
      </c>
      <c r="E1163" s="53">
        <f t="shared" si="126"/>
        <v>2.7E-2</v>
      </c>
      <c r="F1163" s="53">
        <f t="shared" si="127"/>
        <v>2.3E-2</v>
      </c>
      <c r="G1163" s="53">
        <f t="shared" si="128"/>
        <v>0.69799999999999995</v>
      </c>
      <c r="H1163" s="53">
        <f t="shared" si="129"/>
        <v>5.0000000000000001E-3</v>
      </c>
      <c r="I1163" s="53">
        <f t="shared" si="130"/>
        <v>0.14599999999999999</v>
      </c>
      <c r="L1163" t="s">
        <v>2724</v>
      </c>
      <c r="M1163" t="str">
        <f t="shared" si="132"/>
        <v>Riparazione di articoli sportivi (escluse le armi sportive) e attrezzature da campeggio (incluse le biciclette)</v>
      </c>
      <c r="N1163" t="str">
        <f t="shared" si="131"/>
        <v>PQRS) Servizi alle persone</v>
      </c>
    </row>
    <row r="1164" spans="1:14" ht="38.25">
      <c r="A1164" s="58" t="s">
        <v>2532</v>
      </c>
      <c r="B1164" s="59" t="s">
        <v>2533</v>
      </c>
      <c r="C1164">
        <v>10</v>
      </c>
      <c r="D1164" t="str">
        <f>+VLOOKUP(AtecoCrisi[[#This Row],[COD. CRISI]],Tabella139[],2,0)</f>
        <v>PQRS) Servizi alle persone</v>
      </c>
      <c r="E1164" s="53">
        <f t="shared" si="126"/>
        <v>2.7E-2</v>
      </c>
      <c r="F1164" s="53">
        <f t="shared" si="127"/>
        <v>2.3E-2</v>
      </c>
      <c r="G1164" s="53">
        <f t="shared" si="128"/>
        <v>0.69799999999999995</v>
      </c>
      <c r="H1164" s="53">
        <f t="shared" si="129"/>
        <v>5.0000000000000001E-3</v>
      </c>
      <c r="I1164" s="53">
        <f t="shared" si="130"/>
        <v>0.14599999999999999</v>
      </c>
      <c r="L1164" t="s">
        <v>2726</v>
      </c>
      <c r="M1164" t="str">
        <f t="shared" si="132"/>
        <v>Modifica e riparazione di articoli di vestiario non effettuate dalle sartorie</v>
      </c>
      <c r="N1164" t="str">
        <f t="shared" si="131"/>
        <v>PQRS) Servizi alle persone</v>
      </c>
    </row>
    <row r="1165" spans="1:14" ht="47.25">
      <c r="A1165" s="51" t="s">
        <v>2534</v>
      </c>
      <c r="B1165" s="52" t="s">
        <v>2535</v>
      </c>
      <c r="C1165">
        <v>10</v>
      </c>
      <c r="D1165" t="str">
        <f>+VLOOKUP(AtecoCrisi[[#This Row],[COD. CRISI]],Tabella139[],2,0)</f>
        <v>PQRS) Servizi alle persone</v>
      </c>
      <c r="E1165" s="53">
        <f t="shared" si="126"/>
        <v>2.7E-2</v>
      </c>
      <c r="F1165" s="53">
        <f t="shared" si="127"/>
        <v>2.3E-2</v>
      </c>
      <c r="G1165" s="53">
        <f t="shared" si="128"/>
        <v>0.69799999999999995</v>
      </c>
      <c r="H1165" s="53">
        <f t="shared" si="129"/>
        <v>5.0000000000000001E-3</v>
      </c>
      <c r="I1165" s="53">
        <f t="shared" si="130"/>
        <v>0.14599999999999999</v>
      </c>
      <c r="L1165" t="s">
        <v>2728</v>
      </c>
      <c r="M1165" t="str">
        <f t="shared" si="132"/>
        <v>Servizi di riparazioni rapide, duplicazione chiavi, affilatura coltelli, stampa immediata su articoli tessili, incisioni rapide su metallo non prezioso</v>
      </c>
      <c r="N1165" t="str">
        <f t="shared" si="131"/>
        <v>PQRS) Servizi alle persone</v>
      </c>
    </row>
    <row r="1166" spans="1:14" ht="25.5">
      <c r="A1166" s="56" t="s">
        <v>2536</v>
      </c>
      <c r="B1166" s="57" t="s">
        <v>2537</v>
      </c>
      <c r="C1166">
        <v>10</v>
      </c>
      <c r="D1166" t="str">
        <f>+VLOOKUP(AtecoCrisi[[#This Row],[COD. CRISI]],Tabella139[],2,0)</f>
        <v>PQRS) Servizi alle persone</v>
      </c>
      <c r="E1166" s="53">
        <f t="shared" si="126"/>
        <v>2.7E-2</v>
      </c>
      <c r="F1166" s="53">
        <f t="shared" si="127"/>
        <v>2.3E-2</v>
      </c>
      <c r="G1166" s="53">
        <f t="shared" si="128"/>
        <v>0.69799999999999995</v>
      </c>
      <c r="H1166" s="53">
        <f t="shared" si="129"/>
        <v>5.0000000000000001E-3</v>
      </c>
      <c r="I1166" s="53">
        <f t="shared" si="130"/>
        <v>0.14599999999999999</v>
      </c>
      <c r="L1166" t="s">
        <v>2730</v>
      </c>
      <c r="M1166" t="str">
        <f t="shared" si="132"/>
        <v>Riparazione di altri beni di consumo per uso personale e per la casa nca</v>
      </c>
      <c r="N1166" t="str">
        <f t="shared" si="131"/>
        <v>PQRS) Servizi alle persone</v>
      </c>
    </row>
    <row r="1167" spans="1:14" ht="25.5">
      <c r="A1167" s="58" t="s">
        <v>2538</v>
      </c>
      <c r="B1167" s="59" t="s">
        <v>2539</v>
      </c>
      <c r="C1167">
        <v>10</v>
      </c>
      <c r="D1167" t="str">
        <f>+VLOOKUP(AtecoCrisi[[#This Row],[COD. CRISI]],Tabella139[],2,0)</f>
        <v>PQRS) Servizi alle persone</v>
      </c>
      <c r="E1167" s="53">
        <f t="shared" si="126"/>
        <v>2.7E-2</v>
      </c>
      <c r="F1167" s="53">
        <f t="shared" si="127"/>
        <v>2.3E-2</v>
      </c>
      <c r="G1167" s="53">
        <f t="shared" si="128"/>
        <v>0.69799999999999995</v>
      </c>
      <c r="H1167" s="53">
        <f t="shared" si="129"/>
        <v>5.0000000000000001E-3</v>
      </c>
      <c r="I1167" s="53">
        <f t="shared" si="130"/>
        <v>0.14599999999999999</v>
      </c>
      <c r="L1167" t="s">
        <v>2734</v>
      </c>
      <c r="M1167" t="str">
        <f t="shared" si="132"/>
        <v>Attività delle lavanderie industriali</v>
      </c>
      <c r="N1167" t="str">
        <f t="shared" si="131"/>
        <v>PQRS) Servizi alle persone</v>
      </c>
    </row>
    <row r="1168" spans="1:14" ht="25.5">
      <c r="A1168" s="58" t="s">
        <v>2540</v>
      </c>
      <c r="B1168" s="59" t="s">
        <v>2541</v>
      </c>
      <c r="C1168">
        <v>10</v>
      </c>
      <c r="D1168" t="str">
        <f>+VLOOKUP(AtecoCrisi[[#This Row],[COD. CRISI]],Tabella139[],2,0)</f>
        <v>PQRS) Servizi alle persone</v>
      </c>
      <c r="E1168" s="53">
        <f t="shared" ref="E1168:E1231" si="133">+VLOOKUP(C1168,$R$2:$X$11,3,FALSE)</f>
        <v>2.7E-2</v>
      </c>
      <c r="F1168" s="53">
        <f t="shared" ref="F1168:F1231" si="134">+VLOOKUP(C1168,$R$2:$X$11,4,FALSE)</f>
        <v>2.3E-2</v>
      </c>
      <c r="G1168" s="53">
        <f t="shared" ref="G1168:G1231" si="135">+VLOOKUP(C1168,$R$2:$X$11,5,FALSE)</f>
        <v>0.69799999999999995</v>
      </c>
      <c r="H1168" s="53">
        <f t="shared" ref="H1168:H1231" si="136">+VLOOKUP(C1168,$R$2:$X$11,6,FALSE)</f>
        <v>5.0000000000000001E-3</v>
      </c>
      <c r="I1168" s="53">
        <f t="shared" ref="I1168:I1231" si="137">+VLOOKUP(C1168,$R$2:$X$11,7,FALSE)</f>
        <v>0.14599999999999999</v>
      </c>
      <c r="L1168" t="s">
        <v>2736</v>
      </c>
      <c r="M1168" t="str">
        <f t="shared" si="132"/>
        <v>Altre lavanderie, tintorie</v>
      </c>
      <c r="N1168" t="str">
        <f t="shared" si="131"/>
        <v>PQRS) Servizi alle persone</v>
      </c>
    </row>
    <row r="1169" spans="1:14" ht="38.25">
      <c r="A1169" s="58" t="s">
        <v>2542</v>
      </c>
      <c r="B1169" s="59" t="s">
        <v>2543</v>
      </c>
      <c r="C1169">
        <v>10</v>
      </c>
      <c r="D1169" t="str">
        <f>+VLOOKUP(AtecoCrisi[[#This Row],[COD. CRISI]],Tabella139[],2,0)</f>
        <v>PQRS) Servizi alle persone</v>
      </c>
      <c r="E1169" s="53">
        <f t="shared" si="133"/>
        <v>2.7E-2</v>
      </c>
      <c r="F1169" s="53">
        <f t="shared" si="134"/>
        <v>2.3E-2</v>
      </c>
      <c r="G1169" s="53">
        <f t="shared" si="135"/>
        <v>0.69799999999999995</v>
      </c>
      <c r="H1169" s="53">
        <f t="shared" si="136"/>
        <v>5.0000000000000001E-3</v>
      </c>
      <c r="I1169" s="53">
        <f t="shared" si="137"/>
        <v>0.14599999999999999</v>
      </c>
      <c r="L1169" t="s">
        <v>2738</v>
      </c>
      <c r="M1169" t="str">
        <f t="shared" si="132"/>
        <v>Servizi dei saloni di barbiere e parrucchiere</v>
      </c>
      <c r="N1169" t="str">
        <f t="shared" si="131"/>
        <v>PQRS) Servizi alle persone</v>
      </c>
    </row>
    <row r="1170" spans="1:14" ht="38.25">
      <c r="A1170" s="58" t="s">
        <v>2544</v>
      </c>
      <c r="B1170" s="59" t="s">
        <v>2545</v>
      </c>
      <c r="C1170">
        <v>10</v>
      </c>
      <c r="D1170" t="str">
        <f>+VLOOKUP(AtecoCrisi[[#This Row],[COD. CRISI]],Tabella139[],2,0)</f>
        <v>PQRS) Servizi alle persone</v>
      </c>
      <c r="E1170" s="53">
        <f t="shared" si="133"/>
        <v>2.7E-2</v>
      </c>
      <c r="F1170" s="53">
        <f t="shared" si="134"/>
        <v>2.3E-2</v>
      </c>
      <c r="G1170" s="53">
        <f t="shared" si="135"/>
        <v>0.69799999999999995</v>
      </c>
      <c r="H1170" s="53">
        <f t="shared" si="136"/>
        <v>5.0000000000000001E-3</v>
      </c>
      <c r="I1170" s="53">
        <f t="shared" si="137"/>
        <v>0.14599999999999999</v>
      </c>
      <c r="L1170" t="s">
        <v>2740</v>
      </c>
      <c r="M1170" t="str">
        <f t="shared" si="132"/>
        <v>Servizi degli istituti di bellezza</v>
      </c>
      <c r="N1170" t="str">
        <f t="shared" si="131"/>
        <v>PQRS) Servizi alle persone</v>
      </c>
    </row>
    <row r="1171" spans="1:14" ht="38.25">
      <c r="A1171" s="58" t="s">
        <v>2546</v>
      </c>
      <c r="B1171" s="59" t="s">
        <v>2547</v>
      </c>
      <c r="C1171">
        <v>10</v>
      </c>
      <c r="D1171" t="str">
        <f>+VLOOKUP(AtecoCrisi[[#This Row],[COD. CRISI]],Tabella139[],2,0)</f>
        <v>PQRS) Servizi alle persone</v>
      </c>
      <c r="E1171" s="53">
        <f t="shared" si="133"/>
        <v>2.7E-2</v>
      </c>
      <c r="F1171" s="53">
        <f t="shared" si="134"/>
        <v>2.3E-2</v>
      </c>
      <c r="G1171" s="53">
        <f t="shared" si="135"/>
        <v>0.69799999999999995</v>
      </c>
      <c r="H1171" s="53">
        <f t="shared" si="136"/>
        <v>5.0000000000000001E-3</v>
      </c>
      <c r="I1171" s="53">
        <f t="shared" si="137"/>
        <v>0.14599999999999999</v>
      </c>
      <c r="L1171" t="s">
        <v>2742</v>
      </c>
      <c r="M1171" t="str">
        <f t="shared" si="132"/>
        <v>Servizi di manicure e pedicure</v>
      </c>
      <c r="N1171" t="str">
        <f t="shared" si="131"/>
        <v>PQRS) Servizi alle persone</v>
      </c>
    </row>
    <row r="1172" spans="1:14" ht="38.25">
      <c r="A1172" s="58" t="s">
        <v>2548</v>
      </c>
      <c r="B1172" s="59" t="s">
        <v>2549</v>
      </c>
      <c r="C1172">
        <v>10</v>
      </c>
      <c r="D1172" t="str">
        <f>+VLOOKUP(AtecoCrisi[[#This Row],[COD. CRISI]],Tabella139[],2,0)</f>
        <v>PQRS) Servizi alle persone</v>
      </c>
      <c r="E1172" s="53">
        <f t="shared" si="133"/>
        <v>2.7E-2</v>
      </c>
      <c r="F1172" s="53">
        <f t="shared" si="134"/>
        <v>2.3E-2</v>
      </c>
      <c r="G1172" s="53">
        <f t="shared" si="135"/>
        <v>0.69799999999999995</v>
      </c>
      <c r="H1172" s="53">
        <f t="shared" si="136"/>
        <v>5.0000000000000001E-3</v>
      </c>
      <c r="I1172" s="53">
        <f t="shared" si="137"/>
        <v>0.14599999999999999</v>
      </c>
      <c r="L1172" t="s">
        <v>2744</v>
      </c>
      <c r="M1172" t="str">
        <f t="shared" si="132"/>
        <v>Servizi di pompe funebri e attività connesse</v>
      </c>
      <c r="N1172" t="str">
        <f t="shared" si="131"/>
        <v>PQRS) Servizi alle persone</v>
      </c>
    </row>
    <row r="1173" spans="1:14" ht="51">
      <c r="A1173" s="58" t="s">
        <v>2550</v>
      </c>
      <c r="B1173" s="59" t="s">
        <v>2551</v>
      </c>
      <c r="C1173">
        <v>10</v>
      </c>
      <c r="D1173" t="str">
        <f>+VLOOKUP(AtecoCrisi[[#This Row],[COD. CRISI]],Tabella139[],2,0)</f>
        <v>PQRS) Servizi alle persone</v>
      </c>
      <c r="E1173" s="53">
        <f t="shared" si="133"/>
        <v>2.7E-2</v>
      </c>
      <c r="F1173" s="53">
        <f t="shared" si="134"/>
        <v>2.3E-2</v>
      </c>
      <c r="G1173" s="53">
        <f t="shared" si="135"/>
        <v>0.69799999999999995</v>
      </c>
      <c r="H1173" s="53">
        <f t="shared" si="136"/>
        <v>5.0000000000000001E-3</v>
      </c>
      <c r="I1173" s="53">
        <f t="shared" si="137"/>
        <v>0.14599999999999999</v>
      </c>
      <c r="L1173" t="s">
        <v>2746</v>
      </c>
      <c r="M1173" t="str">
        <f t="shared" si="132"/>
        <v>Servizi di centri per il benessere fisico (esclusi gli stabilimenti termali)</v>
      </c>
      <c r="N1173" t="str">
        <f t="shared" si="131"/>
        <v>PQRS) Servizi alle persone</v>
      </c>
    </row>
    <row r="1174" spans="1:14" ht="25.5">
      <c r="A1174" s="58" t="s">
        <v>2552</v>
      </c>
      <c r="B1174" s="59" t="s">
        <v>2553</v>
      </c>
      <c r="C1174">
        <v>10</v>
      </c>
      <c r="D1174" t="str">
        <f>+VLOOKUP(AtecoCrisi[[#This Row],[COD. CRISI]],Tabella139[],2,0)</f>
        <v>PQRS) Servizi alle persone</v>
      </c>
      <c r="E1174" s="53">
        <f t="shared" si="133"/>
        <v>2.7E-2</v>
      </c>
      <c r="F1174" s="53">
        <f t="shared" si="134"/>
        <v>2.3E-2</v>
      </c>
      <c r="G1174" s="53">
        <f t="shared" si="135"/>
        <v>0.69799999999999995</v>
      </c>
      <c r="H1174" s="53">
        <f t="shared" si="136"/>
        <v>5.0000000000000001E-3</v>
      </c>
      <c r="I1174" s="53">
        <f t="shared" si="137"/>
        <v>0.14599999999999999</v>
      </c>
      <c r="L1174" t="s">
        <v>2748</v>
      </c>
      <c r="M1174" t="str">
        <f t="shared" si="132"/>
        <v>Stabilimenti termali</v>
      </c>
      <c r="N1174" t="str">
        <f t="shared" si="131"/>
        <v>PQRS) Servizi alle persone</v>
      </c>
    </row>
    <row r="1175" spans="1:14" ht="25.5">
      <c r="A1175" s="58" t="s">
        <v>2554</v>
      </c>
      <c r="B1175" s="59" t="s">
        <v>2555</v>
      </c>
      <c r="C1175">
        <v>10</v>
      </c>
      <c r="D1175" t="str">
        <f>+VLOOKUP(AtecoCrisi[[#This Row],[COD. CRISI]],Tabella139[],2,0)</f>
        <v>PQRS) Servizi alle persone</v>
      </c>
      <c r="E1175" s="53">
        <f t="shared" si="133"/>
        <v>2.7E-2</v>
      </c>
      <c r="F1175" s="53">
        <f t="shared" si="134"/>
        <v>2.3E-2</v>
      </c>
      <c r="G1175" s="53">
        <f t="shared" si="135"/>
        <v>0.69799999999999995</v>
      </c>
      <c r="H1175" s="53">
        <f t="shared" si="136"/>
        <v>5.0000000000000001E-3</v>
      </c>
      <c r="I1175" s="53">
        <f t="shared" si="137"/>
        <v>0.14599999999999999</v>
      </c>
      <c r="L1175" t="s">
        <v>2750</v>
      </c>
      <c r="M1175" t="str">
        <f t="shared" si="132"/>
        <v>Attività di sgombero di cantine, solai e garage</v>
      </c>
      <c r="N1175" t="str">
        <f t="shared" si="131"/>
        <v>PQRS) Servizi alle persone</v>
      </c>
    </row>
    <row r="1176" spans="1:14" ht="25.5">
      <c r="A1176" s="58" t="s">
        <v>2556</v>
      </c>
      <c r="B1176" s="59" t="s">
        <v>2557</v>
      </c>
      <c r="C1176">
        <v>10</v>
      </c>
      <c r="D1176" t="str">
        <f>+VLOOKUP(AtecoCrisi[[#This Row],[COD. CRISI]],Tabella139[],2,0)</f>
        <v>PQRS) Servizi alle persone</v>
      </c>
      <c r="E1176" s="53">
        <f t="shared" si="133"/>
        <v>2.7E-2</v>
      </c>
      <c r="F1176" s="53">
        <f t="shared" si="134"/>
        <v>2.3E-2</v>
      </c>
      <c r="G1176" s="53">
        <f t="shared" si="135"/>
        <v>0.69799999999999995</v>
      </c>
      <c r="H1176" s="53">
        <f t="shared" si="136"/>
        <v>5.0000000000000001E-3</v>
      </c>
      <c r="I1176" s="53">
        <f t="shared" si="137"/>
        <v>0.14599999999999999</v>
      </c>
      <c r="L1176" t="s">
        <v>2752</v>
      </c>
      <c r="M1176" t="str">
        <f t="shared" si="132"/>
        <v>Attività di tatuaggio e piercing</v>
      </c>
      <c r="N1176" t="str">
        <f t="shared" si="131"/>
        <v>PQRS) Servizi alle persone</v>
      </c>
    </row>
    <row r="1177" spans="1:14" ht="25.5">
      <c r="A1177" s="58" t="s">
        <v>2558</v>
      </c>
      <c r="B1177" s="59" t="s">
        <v>2559</v>
      </c>
      <c r="C1177">
        <v>10</v>
      </c>
      <c r="D1177" t="str">
        <f>+VLOOKUP(AtecoCrisi[[#This Row],[COD. CRISI]],Tabella139[],2,0)</f>
        <v>PQRS) Servizi alle persone</v>
      </c>
      <c r="E1177" s="53">
        <f t="shared" si="133"/>
        <v>2.7E-2</v>
      </c>
      <c r="F1177" s="53">
        <f t="shared" si="134"/>
        <v>2.3E-2</v>
      </c>
      <c r="G1177" s="53">
        <f t="shared" si="135"/>
        <v>0.69799999999999995</v>
      </c>
      <c r="H1177" s="53">
        <f t="shared" si="136"/>
        <v>5.0000000000000001E-3</v>
      </c>
      <c r="I1177" s="53">
        <f t="shared" si="137"/>
        <v>0.14599999999999999</v>
      </c>
      <c r="L1177" t="s">
        <v>2754</v>
      </c>
      <c r="M1177" t="str">
        <f t="shared" si="132"/>
        <v>Agenzie matrimoniali e d'incontro</v>
      </c>
      <c r="N1177" t="str">
        <f t="shared" si="131"/>
        <v>PQRS) Servizi alle persone</v>
      </c>
    </row>
    <row r="1178" spans="1:14" ht="38.25">
      <c r="A1178" s="58" t="s">
        <v>2560</v>
      </c>
      <c r="B1178" s="59" t="s">
        <v>2561</v>
      </c>
      <c r="C1178">
        <v>10</v>
      </c>
      <c r="D1178" t="str">
        <f>+VLOOKUP(AtecoCrisi[[#This Row],[COD. CRISI]],Tabella139[],2,0)</f>
        <v>PQRS) Servizi alle persone</v>
      </c>
      <c r="E1178" s="53">
        <f t="shared" si="133"/>
        <v>2.7E-2</v>
      </c>
      <c r="F1178" s="53">
        <f t="shared" si="134"/>
        <v>2.3E-2</v>
      </c>
      <c r="G1178" s="53">
        <f t="shared" si="135"/>
        <v>0.69799999999999995</v>
      </c>
      <c r="H1178" s="53">
        <f t="shared" si="136"/>
        <v>5.0000000000000001E-3</v>
      </c>
      <c r="I1178" s="53">
        <f t="shared" si="137"/>
        <v>0.14599999999999999</v>
      </c>
      <c r="L1178" t="s">
        <v>2756</v>
      </c>
      <c r="M1178" t="str">
        <f t="shared" si="132"/>
        <v>Servizi di cura degli animali da compagnia (esclusi i servizi veterinari)</v>
      </c>
      <c r="N1178" t="str">
        <f t="shared" si="131"/>
        <v>PQRS) Servizi alle persone</v>
      </c>
    </row>
    <row r="1179" spans="1:14" ht="25.5">
      <c r="A1179" s="58" t="s">
        <v>2562</v>
      </c>
      <c r="B1179" s="59" t="s">
        <v>2563</v>
      </c>
      <c r="C1179">
        <v>10</v>
      </c>
      <c r="D1179" t="str">
        <f>+VLOOKUP(AtecoCrisi[[#This Row],[COD. CRISI]],Tabella139[],2,0)</f>
        <v>PQRS) Servizi alle persone</v>
      </c>
      <c r="E1179" s="53">
        <f t="shared" si="133"/>
        <v>2.7E-2</v>
      </c>
      <c r="F1179" s="53">
        <f t="shared" si="134"/>
        <v>2.3E-2</v>
      </c>
      <c r="G1179" s="53">
        <f t="shared" si="135"/>
        <v>0.69799999999999995</v>
      </c>
      <c r="H1179" s="53">
        <f t="shared" si="136"/>
        <v>5.0000000000000001E-3</v>
      </c>
      <c r="I1179" s="53">
        <f t="shared" si="137"/>
        <v>0.14599999999999999</v>
      </c>
      <c r="L1179" t="s">
        <v>2758</v>
      </c>
      <c r="M1179" t="str">
        <f t="shared" si="132"/>
        <v>Organizzazione di feste e cerimonie</v>
      </c>
      <c r="N1179" t="str">
        <f t="shared" si="131"/>
        <v>PQRS) Servizi alle persone</v>
      </c>
    </row>
    <row r="1180" spans="1:14" ht="25.5">
      <c r="A1180" s="58" t="s">
        <v>2564</v>
      </c>
      <c r="B1180" s="59" t="s">
        <v>2565</v>
      </c>
      <c r="C1180">
        <v>10</v>
      </c>
      <c r="D1180" t="str">
        <f>+VLOOKUP(AtecoCrisi[[#This Row],[COD. CRISI]],Tabella139[],2,0)</f>
        <v>PQRS) Servizi alle persone</v>
      </c>
      <c r="E1180" s="53">
        <f t="shared" si="133"/>
        <v>2.7E-2</v>
      </c>
      <c r="F1180" s="53">
        <f t="shared" si="134"/>
        <v>2.3E-2</v>
      </c>
      <c r="G1180" s="53">
        <f t="shared" si="135"/>
        <v>0.69799999999999995</v>
      </c>
      <c r="H1180" s="53">
        <f t="shared" si="136"/>
        <v>5.0000000000000001E-3</v>
      </c>
      <c r="I1180" s="53">
        <f t="shared" si="137"/>
        <v>0.14599999999999999</v>
      </c>
      <c r="L1180" t="s">
        <v>2760</v>
      </c>
      <c r="M1180" t="str">
        <f t="shared" si="132"/>
        <v>Altre attività di servizi per la persona nca</v>
      </c>
      <c r="N1180" t="str">
        <f t="shared" si="131"/>
        <v>PQRS) Servizi alle persone</v>
      </c>
    </row>
    <row r="1181" spans="1:14" ht="25.5">
      <c r="A1181" s="58" t="s">
        <v>2566</v>
      </c>
      <c r="B1181" s="59" t="s">
        <v>2567</v>
      </c>
      <c r="C1181">
        <v>10</v>
      </c>
      <c r="D1181" t="str">
        <f>+VLOOKUP(AtecoCrisi[[#This Row],[COD. CRISI]],Tabella139[],2,0)</f>
        <v>PQRS) Servizi alle persone</v>
      </c>
      <c r="E1181" s="53">
        <f t="shared" si="133"/>
        <v>2.7E-2</v>
      </c>
      <c r="F1181" s="53">
        <f t="shared" si="134"/>
        <v>2.3E-2</v>
      </c>
      <c r="G1181" s="53">
        <f t="shared" si="135"/>
        <v>0.69799999999999995</v>
      </c>
      <c r="H1181" s="53">
        <f t="shared" si="136"/>
        <v>5.0000000000000001E-3</v>
      </c>
      <c r="I1181" s="53">
        <f t="shared" si="137"/>
        <v>0.14599999999999999</v>
      </c>
      <c r="L1181" t="s">
        <v>2766</v>
      </c>
      <c r="M1181" t="str">
        <f t="shared" si="132"/>
        <v>Attività di famiglie e convivenze come datori di lavoro per personale domestico</v>
      </c>
      <c r="N1181" t="e">
        <f t="shared" si="131"/>
        <v>#N/A</v>
      </c>
    </row>
    <row r="1182" spans="1:14" ht="25.5">
      <c r="A1182" s="58" t="s">
        <v>2568</v>
      </c>
      <c r="B1182" s="59" t="s">
        <v>2569</v>
      </c>
      <c r="C1182">
        <v>10</v>
      </c>
      <c r="D1182" t="str">
        <f>+VLOOKUP(AtecoCrisi[[#This Row],[COD. CRISI]],Tabella139[],2,0)</f>
        <v>PQRS) Servizi alle persone</v>
      </c>
      <c r="E1182" s="53">
        <f t="shared" si="133"/>
        <v>2.7E-2</v>
      </c>
      <c r="F1182" s="53">
        <f t="shared" si="134"/>
        <v>2.3E-2</v>
      </c>
      <c r="G1182" s="53">
        <f t="shared" si="135"/>
        <v>0.69799999999999995</v>
      </c>
      <c r="H1182" s="53">
        <f t="shared" si="136"/>
        <v>5.0000000000000001E-3</v>
      </c>
      <c r="I1182" s="53">
        <f t="shared" si="137"/>
        <v>0.14599999999999999</v>
      </c>
      <c r="L1182" t="s">
        <v>2770</v>
      </c>
      <c r="M1182" t="str">
        <f t="shared" si="132"/>
        <v>Produzione di beni indifferenziati per uso proprio da parte di famiglie e convivenze</v>
      </c>
      <c r="N1182" t="e">
        <f t="shared" si="131"/>
        <v>#N/A</v>
      </c>
    </row>
    <row r="1183" spans="1:14">
      <c r="A1183" s="58" t="s">
        <v>2570</v>
      </c>
      <c r="B1183" s="59" t="s">
        <v>2571</v>
      </c>
      <c r="C1183">
        <v>10</v>
      </c>
      <c r="D1183" t="str">
        <f>+VLOOKUP(AtecoCrisi[[#This Row],[COD. CRISI]],Tabella139[],2,0)</f>
        <v>PQRS) Servizi alle persone</v>
      </c>
      <c r="E1183" s="53">
        <f t="shared" si="133"/>
        <v>2.7E-2</v>
      </c>
      <c r="F1183" s="53">
        <f t="shared" si="134"/>
        <v>2.3E-2</v>
      </c>
      <c r="G1183" s="53">
        <f t="shared" si="135"/>
        <v>0.69799999999999995</v>
      </c>
      <c r="H1183" s="53">
        <f t="shared" si="136"/>
        <v>5.0000000000000001E-3</v>
      </c>
      <c r="I1183" s="53">
        <f t="shared" si="137"/>
        <v>0.14599999999999999</v>
      </c>
      <c r="L1183" t="s">
        <v>2772</v>
      </c>
      <c r="M1183" t="str">
        <f t="shared" si="132"/>
        <v>Produzione di servizi indifferenziati per uso proprio da parte di famiglie e convivenze</v>
      </c>
      <c r="N1183" t="e">
        <f t="shared" si="131"/>
        <v>#N/A</v>
      </c>
    </row>
    <row r="1184" spans="1:14" ht="38.25">
      <c r="A1184" s="58" t="s">
        <v>2572</v>
      </c>
      <c r="B1184" s="59" t="s">
        <v>2573</v>
      </c>
      <c r="C1184">
        <v>10</v>
      </c>
      <c r="D1184" t="str">
        <f>+VLOOKUP(AtecoCrisi[[#This Row],[COD. CRISI]],Tabella139[],2,0)</f>
        <v>PQRS) Servizi alle persone</v>
      </c>
      <c r="E1184" s="53">
        <f t="shared" si="133"/>
        <v>2.7E-2</v>
      </c>
      <c r="F1184" s="53">
        <f t="shared" si="134"/>
        <v>2.3E-2</v>
      </c>
      <c r="G1184" s="53">
        <f t="shared" si="135"/>
        <v>0.69799999999999995</v>
      </c>
      <c r="H1184" s="53">
        <f t="shared" si="136"/>
        <v>5.0000000000000001E-3</v>
      </c>
      <c r="I1184" s="53">
        <f t="shared" si="137"/>
        <v>0.14599999999999999</v>
      </c>
      <c r="L1184" t="s">
        <v>2777</v>
      </c>
      <c r="M1184" t="str">
        <f t="shared" si="132"/>
        <v>Organizzazioni ed organismi extraterritoriali</v>
      </c>
      <c r="N1184" t="e">
        <f t="shared" si="131"/>
        <v>#N/A</v>
      </c>
    </row>
    <row r="1185" spans="1:9" ht="25.5">
      <c r="A1185" s="58" t="s">
        <v>2574</v>
      </c>
      <c r="B1185" s="59" t="s">
        <v>2575</v>
      </c>
      <c r="C1185">
        <v>10</v>
      </c>
      <c r="D1185" t="str">
        <f>+VLOOKUP(AtecoCrisi[[#This Row],[COD. CRISI]],Tabella139[],2,0)</f>
        <v>PQRS) Servizi alle persone</v>
      </c>
      <c r="E1185" s="53">
        <f t="shared" si="133"/>
        <v>2.7E-2</v>
      </c>
      <c r="F1185" s="53">
        <f t="shared" si="134"/>
        <v>2.3E-2</v>
      </c>
      <c r="G1185" s="53">
        <f t="shared" si="135"/>
        <v>0.69799999999999995</v>
      </c>
      <c r="H1185" s="53">
        <f t="shared" si="136"/>
        <v>5.0000000000000001E-3</v>
      </c>
      <c r="I1185" s="53">
        <f t="shared" si="137"/>
        <v>0.14599999999999999</v>
      </c>
    </row>
    <row r="1186" spans="1:9" ht="38.25">
      <c r="A1186" s="58" t="s">
        <v>2576</v>
      </c>
      <c r="B1186" s="59" t="s">
        <v>2577</v>
      </c>
      <c r="C1186">
        <v>10</v>
      </c>
      <c r="D1186" t="str">
        <f>+VLOOKUP(AtecoCrisi[[#This Row],[COD. CRISI]],Tabella139[],2,0)</f>
        <v>PQRS) Servizi alle persone</v>
      </c>
      <c r="E1186" s="53">
        <f t="shared" si="133"/>
        <v>2.7E-2</v>
      </c>
      <c r="F1186" s="53">
        <f t="shared" si="134"/>
        <v>2.3E-2</v>
      </c>
      <c r="G1186" s="53">
        <f t="shared" si="135"/>
        <v>0.69799999999999995</v>
      </c>
      <c r="H1186" s="53">
        <f t="shared" si="136"/>
        <v>5.0000000000000001E-3</v>
      </c>
      <c r="I1186" s="53">
        <f t="shared" si="137"/>
        <v>0.14599999999999999</v>
      </c>
    </row>
    <row r="1187" spans="1:9" ht="63.75">
      <c r="A1187" s="58" t="s">
        <v>2578</v>
      </c>
      <c r="B1187" s="59" t="s">
        <v>2579</v>
      </c>
      <c r="C1187">
        <v>10</v>
      </c>
      <c r="D1187" t="str">
        <f>+VLOOKUP(AtecoCrisi[[#This Row],[COD. CRISI]],Tabella139[],2,0)</f>
        <v>PQRS) Servizi alle persone</v>
      </c>
      <c r="E1187" s="53">
        <f t="shared" si="133"/>
        <v>2.7E-2</v>
      </c>
      <c r="F1187" s="53">
        <f t="shared" si="134"/>
        <v>2.3E-2</v>
      </c>
      <c r="G1187" s="53">
        <f t="shared" si="135"/>
        <v>0.69799999999999995</v>
      </c>
      <c r="H1187" s="53">
        <f t="shared" si="136"/>
        <v>5.0000000000000001E-3</v>
      </c>
      <c r="I1187" s="53">
        <f t="shared" si="137"/>
        <v>0.14599999999999999</v>
      </c>
    </row>
    <row r="1188" spans="1:9" ht="51">
      <c r="A1188" s="56" t="s">
        <v>2580</v>
      </c>
      <c r="B1188" s="57" t="s">
        <v>2581</v>
      </c>
      <c r="C1188">
        <v>10</v>
      </c>
      <c r="D1188" t="str">
        <f>+VLOOKUP(AtecoCrisi[[#This Row],[COD. CRISI]],Tabella139[],2,0)</f>
        <v>PQRS) Servizi alle persone</v>
      </c>
      <c r="E1188" s="53">
        <f t="shared" si="133"/>
        <v>2.7E-2</v>
      </c>
      <c r="F1188" s="53">
        <f t="shared" si="134"/>
        <v>2.3E-2</v>
      </c>
      <c r="G1188" s="53">
        <f t="shared" si="135"/>
        <v>0.69799999999999995</v>
      </c>
      <c r="H1188" s="53">
        <f t="shared" si="136"/>
        <v>5.0000000000000001E-3</v>
      </c>
      <c r="I1188" s="53">
        <f t="shared" si="137"/>
        <v>0.14599999999999999</v>
      </c>
    </row>
    <row r="1189" spans="1:9" ht="63.75">
      <c r="A1189" s="58" t="s">
        <v>2582</v>
      </c>
      <c r="B1189" s="59" t="s">
        <v>2583</v>
      </c>
      <c r="C1189">
        <v>10</v>
      </c>
      <c r="D1189" t="str">
        <f>+VLOOKUP(AtecoCrisi[[#This Row],[COD. CRISI]],Tabella139[],2,0)</f>
        <v>PQRS) Servizi alle persone</v>
      </c>
      <c r="E1189" s="53">
        <f t="shared" si="133"/>
        <v>2.7E-2</v>
      </c>
      <c r="F1189" s="53">
        <f t="shared" si="134"/>
        <v>2.3E-2</v>
      </c>
      <c r="G1189" s="53">
        <f t="shared" si="135"/>
        <v>0.69799999999999995</v>
      </c>
      <c r="H1189" s="53">
        <f t="shared" si="136"/>
        <v>5.0000000000000001E-3</v>
      </c>
      <c r="I1189" s="53">
        <f t="shared" si="137"/>
        <v>0.14599999999999999</v>
      </c>
    </row>
    <row r="1190" spans="1:9" ht="114.75">
      <c r="A1190" s="58" t="s">
        <v>2584</v>
      </c>
      <c r="B1190" s="59" t="s">
        <v>2585</v>
      </c>
      <c r="C1190">
        <v>10</v>
      </c>
      <c r="D1190" t="str">
        <f>+VLOOKUP(AtecoCrisi[[#This Row],[COD. CRISI]],Tabella139[],2,0)</f>
        <v>PQRS) Servizi alle persone</v>
      </c>
      <c r="E1190" s="53">
        <f t="shared" si="133"/>
        <v>2.7E-2</v>
      </c>
      <c r="F1190" s="53">
        <f t="shared" si="134"/>
        <v>2.3E-2</v>
      </c>
      <c r="G1190" s="53">
        <f t="shared" si="135"/>
        <v>0.69799999999999995</v>
      </c>
      <c r="H1190" s="53">
        <f t="shared" si="136"/>
        <v>5.0000000000000001E-3</v>
      </c>
      <c r="I1190" s="53">
        <f t="shared" si="137"/>
        <v>0.14599999999999999</v>
      </c>
    </row>
    <row r="1191" spans="1:9" ht="51">
      <c r="A1191" s="58" t="s">
        <v>2586</v>
      </c>
      <c r="B1191" s="59" t="s">
        <v>2587</v>
      </c>
      <c r="C1191">
        <v>10</v>
      </c>
      <c r="D1191" t="str">
        <f>+VLOOKUP(AtecoCrisi[[#This Row],[COD. CRISI]],Tabella139[],2,0)</f>
        <v>PQRS) Servizi alle persone</v>
      </c>
      <c r="E1191" s="53">
        <f t="shared" si="133"/>
        <v>2.7E-2</v>
      </c>
      <c r="F1191" s="53">
        <f t="shared" si="134"/>
        <v>2.3E-2</v>
      </c>
      <c r="G1191" s="53">
        <f t="shared" si="135"/>
        <v>0.69799999999999995</v>
      </c>
      <c r="H1191" s="53">
        <f t="shared" si="136"/>
        <v>5.0000000000000001E-3</v>
      </c>
      <c r="I1191" s="53">
        <f t="shared" si="137"/>
        <v>0.14599999999999999</v>
      </c>
    </row>
    <row r="1192" spans="1:9" ht="38.25">
      <c r="A1192" s="58" t="s">
        <v>2588</v>
      </c>
      <c r="B1192" s="59" t="s">
        <v>2589</v>
      </c>
      <c r="C1192">
        <v>10</v>
      </c>
      <c r="D1192" t="str">
        <f>+VLOOKUP(AtecoCrisi[[#This Row],[COD. CRISI]],Tabella139[],2,0)</f>
        <v>PQRS) Servizi alle persone</v>
      </c>
      <c r="E1192" s="53">
        <f t="shared" si="133"/>
        <v>2.7E-2</v>
      </c>
      <c r="F1192" s="53">
        <f t="shared" si="134"/>
        <v>2.3E-2</v>
      </c>
      <c r="G1192" s="53">
        <f t="shared" si="135"/>
        <v>0.69799999999999995</v>
      </c>
      <c r="H1192" s="53">
        <f t="shared" si="136"/>
        <v>5.0000000000000001E-3</v>
      </c>
      <c r="I1192" s="53">
        <f t="shared" si="137"/>
        <v>0.14599999999999999</v>
      </c>
    </row>
    <row r="1193" spans="1:9" ht="38.25">
      <c r="A1193" s="56" t="s">
        <v>2590</v>
      </c>
      <c r="B1193" s="57" t="s">
        <v>2591</v>
      </c>
      <c r="C1193">
        <v>10</v>
      </c>
      <c r="D1193" t="str">
        <f>+VLOOKUP(AtecoCrisi[[#This Row],[COD. CRISI]],Tabella139[],2,0)</f>
        <v>PQRS) Servizi alle persone</v>
      </c>
      <c r="E1193" s="53">
        <f t="shared" si="133"/>
        <v>2.7E-2</v>
      </c>
      <c r="F1193" s="53">
        <f t="shared" si="134"/>
        <v>2.3E-2</v>
      </c>
      <c r="G1193" s="53">
        <f t="shared" si="135"/>
        <v>0.69799999999999995</v>
      </c>
      <c r="H1193" s="53">
        <f t="shared" si="136"/>
        <v>5.0000000000000001E-3</v>
      </c>
      <c r="I1193" s="53">
        <f t="shared" si="137"/>
        <v>0.14599999999999999</v>
      </c>
    </row>
    <row r="1194" spans="1:9" ht="51">
      <c r="A1194" s="58" t="s">
        <v>2592</v>
      </c>
      <c r="B1194" s="59" t="s">
        <v>2593</v>
      </c>
      <c r="C1194">
        <v>10</v>
      </c>
      <c r="D1194" t="str">
        <f>+VLOOKUP(AtecoCrisi[[#This Row],[COD. CRISI]],Tabella139[],2,0)</f>
        <v>PQRS) Servizi alle persone</v>
      </c>
      <c r="E1194" s="53">
        <f t="shared" si="133"/>
        <v>2.7E-2</v>
      </c>
      <c r="F1194" s="53">
        <f t="shared" si="134"/>
        <v>2.3E-2</v>
      </c>
      <c r="G1194" s="53">
        <f t="shared" si="135"/>
        <v>0.69799999999999995</v>
      </c>
      <c r="H1194" s="53">
        <f t="shared" si="136"/>
        <v>5.0000000000000001E-3</v>
      </c>
      <c r="I1194" s="53">
        <f t="shared" si="137"/>
        <v>0.14599999999999999</v>
      </c>
    </row>
    <row r="1195" spans="1:9" ht="51">
      <c r="A1195" s="58" t="s">
        <v>2594</v>
      </c>
      <c r="B1195" s="59" t="s">
        <v>2595</v>
      </c>
      <c r="C1195">
        <v>10</v>
      </c>
      <c r="D1195" t="str">
        <f>+VLOOKUP(AtecoCrisi[[#This Row],[COD. CRISI]],Tabella139[],2,0)</f>
        <v>PQRS) Servizi alle persone</v>
      </c>
      <c r="E1195" s="53">
        <f t="shared" si="133"/>
        <v>2.7E-2</v>
      </c>
      <c r="F1195" s="53">
        <f t="shared" si="134"/>
        <v>2.3E-2</v>
      </c>
      <c r="G1195" s="53">
        <f t="shared" si="135"/>
        <v>0.69799999999999995</v>
      </c>
      <c r="H1195" s="53">
        <f t="shared" si="136"/>
        <v>5.0000000000000001E-3</v>
      </c>
      <c r="I1195" s="53">
        <f t="shared" si="137"/>
        <v>0.14599999999999999</v>
      </c>
    </row>
    <row r="1196" spans="1:9" ht="51">
      <c r="A1196" s="58" t="s">
        <v>2596</v>
      </c>
      <c r="B1196" s="59" t="s">
        <v>2597</v>
      </c>
      <c r="C1196">
        <v>10</v>
      </c>
      <c r="D1196" t="str">
        <f>+VLOOKUP(AtecoCrisi[[#This Row],[COD. CRISI]],Tabella139[],2,0)</f>
        <v>PQRS) Servizi alle persone</v>
      </c>
      <c r="E1196" s="53">
        <f t="shared" si="133"/>
        <v>2.7E-2</v>
      </c>
      <c r="F1196" s="53">
        <f t="shared" si="134"/>
        <v>2.3E-2</v>
      </c>
      <c r="G1196" s="53">
        <f t="shared" si="135"/>
        <v>0.69799999999999995</v>
      </c>
      <c r="H1196" s="53">
        <f t="shared" si="136"/>
        <v>5.0000000000000001E-3</v>
      </c>
      <c r="I1196" s="53">
        <f t="shared" si="137"/>
        <v>0.14599999999999999</v>
      </c>
    </row>
    <row r="1197" spans="1:9" ht="110.25">
      <c r="A1197" s="51" t="s">
        <v>2598</v>
      </c>
      <c r="B1197" s="52" t="s">
        <v>2599</v>
      </c>
      <c r="C1197">
        <v>10</v>
      </c>
      <c r="D1197" t="str">
        <f>+VLOOKUP(AtecoCrisi[[#This Row],[COD. CRISI]],Tabella139[],2,0)</f>
        <v>PQRS) Servizi alle persone</v>
      </c>
      <c r="E1197" s="53">
        <f t="shared" si="133"/>
        <v>2.7E-2</v>
      </c>
      <c r="F1197" s="53">
        <f t="shared" si="134"/>
        <v>2.3E-2</v>
      </c>
      <c r="G1197" s="53">
        <f t="shared" si="135"/>
        <v>0.69799999999999995</v>
      </c>
      <c r="H1197" s="53">
        <f t="shared" si="136"/>
        <v>5.0000000000000001E-3</v>
      </c>
      <c r="I1197" s="53">
        <f t="shared" si="137"/>
        <v>0.14599999999999999</v>
      </c>
    </row>
    <row r="1198" spans="1:9" ht="63.75">
      <c r="A1198" s="56" t="s">
        <v>2600</v>
      </c>
      <c r="B1198" s="57" t="s">
        <v>2601</v>
      </c>
      <c r="C1198">
        <v>10</v>
      </c>
      <c r="D1198" t="str">
        <f>+VLOOKUP(AtecoCrisi[[#This Row],[COD. CRISI]],Tabella139[],2,0)</f>
        <v>PQRS) Servizi alle persone</v>
      </c>
      <c r="E1198" s="53">
        <f t="shared" si="133"/>
        <v>2.7E-2</v>
      </c>
      <c r="F1198" s="53">
        <f t="shared" si="134"/>
        <v>2.3E-2</v>
      </c>
      <c r="G1198" s="53">
        <f t="shared" si="135"/>
        <v>0.69799999999999995</v>
      </c>
      <c r="H1198" s="53">
        <f t="shared" si="136"/>
        <v>5.0000000000000001E-3</v>
      </c>
      <c r="I1198" s="53">
        <f t="shared" si="137"/>
        <v>0.14599999999999999</v>
      </c>
    </row>
    <row r="1199" spans="1:9" ht="25.5">
      <c r="A1199" s="58" t="s">
        <v>2602</v>
      </c>
      <c r="B1199" s="59" t="s">
        <v>2603</v>
      </c>
      <c r="C1199">
        <v>10</v>
      </c>
      <c r="D1199" t="str">
        <f>+VLOOKUP(AtecoCrisi[[#This Row],[COD. CRISI]],Tabella139[],2,0)</f>
        <v>PQRS) Servizi alle persone</v>
      </c>
      <c r="E1199" s="53">
        <f t="shared" si="133"/>
        <v>2.7E-2</v>
      </c>
      <c r="F1199" s="53">
        <f t="shared" si="134"/>
        <v>2.3E-2</v>
      </c>
      <c r="G1199" s="53">
        <f t="shared" si="135"/>
        <v>0.69799999999999995</v>
      </c>
      <c r="H1199" s="53">
        <f t="shared" si="136"/>
        <v>5.0000000000000001E-3</v>
      </c>
      <c r="I1199" s="53">
        <f t="shared" si="137"/>
        <v>0.14599999999999999</v>
      </c>
    </row>
    <row r="1200" spans="1:9" ht="38.25">
      <c r="A1200" s="58" t="s">
        <v>2604</v>
      </c>
      <c r="B1200" s="59" t="s">
        <v>2605</v>
      </c>
      <c r="C1200">
        <v>10</v>
      </c>
      <c r="D1200" t="str">
        <f>+VLOOKUP(AtecoCrisi[[#This Row],[COD. CRISI]],Tabella139[],2,0)</f>
        <v>PQRS) Servizi alle persone</v>
      </c>
      <c r="E1200" s="53">
        <f t="shared" si="133"/>
        <v>2.7E-2</v>
      </c>
      <c r="F1200" s="53">
        <f t="shared" si="134"/>
        <v>2.3E-2</v>
      </c>
      <c r="G1200" s="53">
        <f t="shared" si="135"/>
        <v>0.69799999999999995</v>
      </c>
      <c r="H1200" s="53">
        <f t="shared" si="136"/>
        <v>5.0000000000000001E-3</v>
      </c>
      <c r="I1200" s="53">
        <f t="shared" si="137"/>
        <v>0.14599999999999999</v>
      </c>
    </row>
    <row r="1201" spans="1:9" ht="76.5">
      <c r="A1201" s="58" t="s">
        <v>2606</v>
      </c>
      <c r="B1201" s="59" t="s">
        <v>2607</v>
      </c>
      <c r="C1201">
        <v>10</v>
      </c>
      <c r="D1201" t="str">
        <f>+VLOOKUP(AtecoCrisi[[#This Row],[COD. CRISI]],Tabella139[],2,0)</f>
        <v>PQRS) Servizi alle persone</v>
      </c>
      <c r="E1201" s="53">
        <f t="shared" si="133"/>
        <v>2.7E-2</v>
      </c>
      <c r="F1201" s="53">
        <f t="shared" si="134"/>
        <v>2.3E-2</v>
      </c>
      <c r="G1201" s="53">
        <f t="shared" si="135"/>
        <v>0.69799999999999995</v>
      </c>
      <c r="H1201" s="53">
        <f t="shared" si="136"/>
        <v>5.0000000000000001E-3</v>
      </c>
      <c r="I1201" s="53">
        <f t="shared" si="137"/>
        <v>0.14599999999999999</v>
      </c>
    </row>
    <row r="1202" spans="1:9" ht="25.5">
      <c r="A1202" s="58" t="s">
        <v>2608</v>
      </c>
      <c r="B1202" s="59" t="s">
        <v>2609</v>
      </c>
      <c r="C1202">
        <v>10</v>
      </c>
      <c r="D1202" t="str">
        <f>+VLOOKUP(AtecoCrisi[[#This Row],[COD. CRISI]],Tabella139[],2,0)</f>
        <v>PQRS) Servizi alle persone</v>
      </c>
      <c r="E1202" s="53">
        <f t="shared" si="133"/>
        <v>2.7E-2</v>
      </c>
      <c r="F1202" s="53">
        <f t="shared" si="134"/>
        <v>2.3E-2</v>
      </c>
      <c r="G1202" s="53">
        <f t="shared" si="135"/>
        <v>0.69799999999999995</v>
      </c>
      <c r="H1202" s="53">
        <f t="shared" si="136"/>
        <v>5.0000000000000001E-3</v>
      </c>
      <c r="I1202" s="53">
        <f t="shared" si="137"/>
        <v>0.14599999999999999</v>
      </c>
    </row>
    <row r="1203" spans="1:9" ht="51">
      <c r="A1203" s="58" t="s">
        <v>2610</v>
      </c>
      <c r="B1203" s="59" t="s">
        <v>2611</v>
      </c>
      <c r="C1203">
        <v>10</v>
      </c>
      <c r="D1203" t="str">
        <f>+VLOOKUP(AtecoCrisi[[#This Row],[COD. CRISI]],Tabella139[],2,0)</f>
        <v>PQRS) Servizi alle persone</v>
      </c>
      <c r="E1203" s="53">
        <f t="shared" si="133"/>
        <v>2.7E-2</v>
      </c>
      <c r="F1203" s="53">
        <f t="shared" si="134"/>
        <v>2.3E-2</v>
      </c>
      <c r="G1203" s="53">
        <f t="shared" si="135"/>
        <v>0.69799999999999995</v>
      </c>
      <c r="H1203" s="53">
        <f t="shared" si="136"/>
        <v>5.0000000000000001E-3</v>
      </c>
      <c r="I1203" s="53">
        <f t="shared" si="137"/>
        <v>0.14599999999999999</v>
      </c>
    </row>
    <row r="1204" spans="1:9" ht="38.25">
      <c r="A1204" s="58" t="s">
        <v>2612</v>
      </c>
      <c r="B1204" s="59" t="s">
        <v>2613</v>
      </c>
      <c r="C1204">
        <v>10</v>
      </c>
      <c r="D1204" t="str">
        <f>+VLOOKUP(AtecoCrisi[[#This Row],[COD. CRISI]],Tabella139[],2,0)</f>
        <v>PQRS) Servizi alle persone</v>
      </c>
      <c r="E1204" s="53">
        <f t="shared" si="133"/>
        <v>2.7E-2</v>
      </c>
      <c r="F1204" s="53">
        <f t="shared" si="134"/>
        <v>2.3E-2</v>
      </c>
      <c r="G1204" s="53">
        <f t="shared" si="135"/>
        <v>0.69799999999999995</v>
      </c>
      <c r="H1204" s="53">
        <f t="shared" si="136"/>
        <v>5.0000000000000001E-3</v>
      </c>
      <c r="I1204" s="53">
        <f t="shared" si="137"/>
        <v>0.14599999999999999</v>
      </c>
    </row>
    <row r="1205" spans="1:9" ht="51">
      <c r="A1205" s="58" t="s">
        <v>2614</v>
      </c>
      <c r="B1205" s="59" t="s">
        <v>2615</v>
      </c>
      <c r="C1205">
        <v>10</v>
      </c>
      <c r="D1205" t="str">
        <f>+VLOOKUP(AtecoCrisi[[#This Row],[COD. CRISI]],Tabella139[],2,0)</f>
        <v>PQRS) Servizi alle persone</v>
      </c>
      <c r="E1205" s="53">
        <f t="shared" si="133"/>
        <v>2.7E-2</v>
      </c>
      <c r="F1205" s="53">
        <f t="shared" si="134"/>
        <v>2.3E-2</v>
      </c>
      <c r="G1205" s="53">
        <f t="shared" si="135"/>
        <v>0.69799999999999995</v>
      </c>
      <c r="H1205" s="53">
        <f t="shared" si="136"/>
        <v>5.0000000000000001E-3</v>
      </c>
      <c r="I1205" s="53">
        <f t="shared" si="137"/>
        <v>0.14599999999999999</v>
      </c>
    </row>
    <row r="1206" spans="1:9" ht="38.25">
      <c r="A1206" s="58" t="s">
        <v>2616</v>
      </c>
      <c r="B1206" s="59" t="s">
        <v>2617</v>
      </c>
      <c r="C1206">
        <v>10</v>
      </c>
      <c r="D1206" t="str">
        <f>+VLOOKUP(AtecoCrisi[[#This Row],[COD. CRISI]],Tabella139[],2,0)</f>
        <v>PQRS) Servizi alle persone</v>
      </c>
      <c r="E1206" s="53">
        <f t="shared" si="133"/>
        <v>2.7E-2</v>
      </c>
      <c r="F1206" s="53">
        <f t="shared" si="134"/>
        <v>2.3E-2</v>
      </c>
      <c r="G1206" s="53">
        <f t="shared" si="135"/>
        <v>0.69799999999999995</v>
      </c>
      <c r="H1206" s="53">
        <f t="shared" si="136"/>
        <v>5.0000000000000001E-3</v>
      </c>
      <c r="I1206" s="53">
        <f t="shared" si="137"/>
        <v>0.14599999999999999</v>
      </c>
    </row>
    <row r="1207" spans="1:9" ht="51">
      <c r="A1207" s="58" t="s">
        <v>2618</v>
      </c>
      <c r="B1207" s="59" t="s">
        <v>2619</v>
      </c>
      <c r="C1207">
        <v>10</v>
      </c>
      <c r="D1207" t="str">
        <f>+VLOOKUP(AtecoCrisi[[#This Row],[COD. CRISI]],Tabella139[],2,0)</f>
        <v>PQRS) Servizi alle persone</v>
      </c>
      <c r="E1207" s="53">
        <f t="shared" si="133"/>
        <v>2.7E-2</v>
      </c>
      <c r="F1207" s="53">
        <f t="shared" si="134"/>
        <v>2.3E-2</v>
      </c>
      <c r="G1207" s="53">
        <f t="shared" si="135"/>
        <v>0.69799999999999995</v>
      </c>
      <c r="H1207" s="53">
        <f t="shared" si="136"/>
        <v>5.0000000000000001E-3</v>
      </c>
      <c r="I1207" s="53">
        <f t="shared" si="137"/>
        <v>0.14599999999999999</v>
      </c>
    </row>
    <row r="1208" spans="1:9" ht="76.5">
      <c r="A1208" s="56" t="s">
        <v>2620</v>
      </c>
      <c r="B1208" s="57" t="s">
        <v>2621</v>
      </c>
      <c r="C1208">
        <v>10</v>
      </c>
      <c r="D1208" t="str">
        <f>+VLOOKUP(AtecoCrisi[[#This Row],[COD. CRISI]],Tabella139[],2,0)</f>
        <v>PQRS) Servizi alle persone</v>
      </c>
      <c r="E1208" s="53">
        <f t="shared" si="133"/>
        <v>2.7E-2</v>
      </c>
      <c r="F1208" s="53">
        <f t="shared" si="134"/>
        <v>2.3E-2</v>
      </c>
      <c r="G1208" s="53">
        <f t="shared" si="135"/>
        <v>0.69799999999999995</v>
      </c>
      <c r="H1208" s="53">
        <f t="shared" si="136"/>
        <v>5.0000000000000001E-3</v>
      </c>
      <c r="I1208" s="53">
        <f t="shared" si="137"/>
        <v>0.14599999999999999</v>
      </c>
    </row>
    <row r="1209" spans="1:9" ht="38.25">
      <c r="A1209" s="58" t="s">
        <v>2622</v>
      </c>
      <c r="B1209" s="59" t="s">
        <v>2623</v>
      </c>
      <c r="C1209">
        <v>10</v>
      </c>
      <c r="D1209" t="str">
        <f>+VLOOKUP(AtecoCrisi[[#This Row],[COD. CRISI]],Tabella139[],2,0)</f>
        <v>PQRS) Servizi alle persone</v>
      </c>
      <c r="E1209" s="53">
        <f t="shared" si="133"/>
        <v>2.7E-2</v>
      </c>
      <c r="F1209" s="53">
        <f t="shared" si="134"/>
        <v>2.3E-2</v>
      </c>
      <c r="G1209" s="53">
        <f t="shared" si="135"/>
        <v>0.69799999999999995</v>
      </c>
      <c r="H1209" s="53">
        <f t="shared" si="136"/>
        <v>5.0000000000000001E-3</v>
      </c>
      <c r="I1209" s="53">
        <f t="shared" si="137"/>
        <v>0.14599999999999999</v>
      </c>
    </row>
    <row r="1210" spans="1:9">
      <c r="A1210" s="58" t="s">
        <v>2624</v>
      </c>
      <c r="B1210" s="59" t="s">
        <v>2625</v>
      </c>
      <c r="C1210">
        <v>10</v>
      </c>
      <c r="D1210" t="str">
        <f>+VLOOKUP(AtecoCrisi[[#This Row],[COD. CRISI]],Tabella139[],2,0)</f>
        <v>PQRS) Servizi alle persone</v>
      </c>
      <c r="E1210" s="53">
        <f t="shared" si="133"/>
        <v>2.7E-2</v>
      </c>
      <c r="F1210" s="53">
        <f t="shared" si="134"/>
        <v>2.3E-2</v>
      </c>
      <c r="G1210" s="53">
        <f t="shared" si="135"/>
        <v>0.69799999999999995</v>
      </c>
      <c r="H1210" s="53">
        <f t="shared" si="136"/>
        <v>5.0000000000000001E-3</v>
      </c>
      <c r="I1210" s="53">
        <f t="shared" si="137"/>
        <v>0.14599999999999999</v>
      </c>
    </row>
    <row r="1211" spans="1:9" ht="51">
      <c r="A1211" s="58" t="s">
        <v>2626</v>
      </c>
      <c r="B1211" s="59" t="s">
        <v>2627</v>
      </c>
      <c r="C1211">
        <v>10</v>
      </c>
      <c r="D1211" t="str">
        <f>+VLOOKUP(AtecoCrisi[[#This Row],[COD. CRISI]],Tabella139[],2,0)</f>
        <v>PQRS) Servizi alle persone</v>
      </c>
      <c r="E1211" s="53">
        <f t="shared" si="133"/>
        <v>2.7E-2</v>
      </c>
      <c r="F1211" s="53">
        <f t="shared" si="134"/>
        <v>2.3E-2</v>
      </c>
      <c r="G1211" s="53">
        <f t="shared" si="135"/>
        <v>0.69799999999999995</v>
      </c>
      <c r="H1211" s="53">
        <f t="shared" si="136"/>
        <v>5.0000000000000001E-3</v>
      </c>
      <c r="I1211" s="53">
        <f t="shared" si="137"/>
        <v>0.14599999999999999</v>
      </c>
    </row>
    <row r="1212" spans="1:9" ht="63.75">
      <c r="A1212" s="58" t="s">
        <v>2628</v>
      </c>
      <c r="B1212" s="59" t="s">
        <v>2629</v>
      </c>
      <c r="C1212">
        <v>10</v>
      </c>
      <c r="D1212" t="str">
        <f>+VLOOKUP(AtecoCrisi[[#This Row],[COD. CRISI]],Tabella139[],2,0)</f>
        <v>PQRS) Servizi alle persone</v>
      </c>
      <c r="E1212" s="53">
        <f t="shared" si="133"/>
        <v>2.7E-2</v>
      </c>
      <c r="F1212" s="53">
        <f t="shared" si="134"/>
        <v>2.3E-2</v>
      </c>
      <c r="G1212" s="53">
        <f t="shared" si="135"/>
        <v>0.69799999999999995</v>
      </c>
      <c r="H1212" s="53">
        <f t="shared" si="136"/>
        <v>5.0000000000000001E-3</v>
      </c>
      <c r="I1212" s="53">
        <f t="shared" si="137"/>
        <v>0.14599999999999999</v>
      </c>
    </row>
    <row r="1213" spans="1:9" ht="63.75">
      <c r="A1213" s="56" t="s">
        <v>2630</v>
      </c>
      <c r="B1213" s="57" t="s">
        <v>2631</v>
      </c>
      <c r="C1213">
        <v>10</v>
      </c>
      <c r="D1213" t="str">
        <f>+VLOOKUP(AtecoCrisi[[#This Row],[COD. CRISI]],Tabella139[],2,0)</f>
        <v>PQRS) Servizi alle persone</v>
      </c>
      <c r="E1213" s="53">
        <f t="shared" si="133"/>
        <v>2.7E-2</v>
      </c>
      <c r="F1213" s="53">
        <f t="shared" si="134"/>
        <v>2.3E-2</v>
      </c>
      <c r="G1213" s="53">
        <f t="shared" si="135"/>
        <v>0.69799999999999995</v>
      </c>
      <c r="H1213" s="53">
        <f t="shared" si="136"/>
        <v>5.0000000000000001E-3</v>
      </c>
      <c r="I1213" s="53">
        <f t="shared" si="137"/>
        <v>0.14599999999999999</v>
      </c>
    </row>
    <row r="1214" spans="1:9" ht="63.75">
      <c r="A1214" s="58" t="s">
        <v>2632</v>
      </c>
      <c r="B1214" s="59" t="s">
        <v>2633</v>
      </c>
      <c r="C1214">
        <v>10</v>
      </c>
      <c r="D1214" t="str">
        <f>+VLOOKUP(AtecoCrisi[[#This Row],[COD. CRISI]],Tabella139[],2,0)</f>
        <v>PQRS) Servizi alle persone</v>
      </c>
      <c r="E1214" s="53">
        <f t="shared" si="133"/>
        <v>2.7E-2</v>
      </c>
      <c r="F1214" s="53">
        <f t="shared" si="134"/>
        <v>2.3E-2</v>
      </c>
      <c r="G1214" s="53">
        <f t="shared" si="135"/>
        <v>0.69799999999999995</v>
      </c>
      <c r="H1214" s="53">
        <f t="shared" si="136"/>
        <v>5.0000000000000001E-3</v>
      </c>
      <c r="I1214" s="53">
        <f t="shared" si="137"/>
        <v>0.14599999999999999</v>
      </c>
    </row>
    <row r="1215" spans="1:9" ht="89.25">
      <c r="A1215" s="58" t="s">
        <v>2634</v>
      </c>
      <c r="B1215" s="59" t="s">
        <v>2635</v>
      </c>
      <c r="C1215">
        <v>10</v>
      </c>
      <c r="D1215" t="str">
        <f>+VLOOKUP(AtecoCrisi[[#This Row],[COD. CRISI]],Tabella139[],2,0)</f>
        <v>PQRS) Servizi alle persone</v>
      </c>
      <c r="E1215" s="53">
        <f t="shared" si="133"/>
        <v>2.7E-2</v>
      </c>
      <c r="F1215" s="53">
        <f t="shared" si="134"/>
        <v>2.3E-2</v>
      </c>
      <c r="G1215" s="53">
        <f t="shared" si="135"/>
        <v>0.69799999999999995</v>
      </c>
      <c r="H1215" s="53">
        <f t="shared" si="136"/>
        <v>5.0000000000000001E-3</v>
      </c>
      <c r="I1215" s="53">
        <f t="shared" si="137"/>
        <v>0.14599999999999999</v>
      </c>
    </row>
    <row r="1216" spans="1:9" ht="51">
      <c r="A1216" s="58" t="s">
        <v>2636</v>
      </c>
      <c r="B1216" s="59" t="s">
        <v>2637</v>
      </c>
      <c r="C1216">
        <v>10</v>
      </c>
      <c r="D1216" t="str">
        <f>+VLOOKUP(AtecoCrisi[[#This Row],[COD. CRISI]],Tabella139[],2,0)</f>
        <v>PQRS) Servizi alle persone</v>
      </c>
      <c r="E1216" s="53">
        <f t="shared" si="133"/>
        <v>2.7E-2</v>
      </c>
      <c r="F1216" s="53">
        <f t="shared" si="134"/>
        <v>2.3E-2</v>
      </c>
      <c r="G1216" s="53">
        <f t="shared" si="135"/>
        <v>0.69799999999999995</v>
      </c>
      <c r="H1216" s="53">
        <f t="shared" si="136"/>
        <v>5.0000000000000001E-3</v>
      </c>
      <c r="I1216" s="53">
        <f t="shared" si="137"/>
        <v>0.14599999999999999</v>
      </c>
    </row>
    <row r="1217" spans="1:9" ht="63.75">
      <c r="A1217" s="56" t="s">
        <v>2638</v>
      </c>
      <c r="B1217" s="57" t="s">
        <v>2639</v>
      </c>
      <c r="C1217">
        <v>10</v>
      </c>
      <c r="D1217" t="str">
        <f>+VLOOKUP(AtecoCrisi[[#This Row],[COD. CRISI]],Tabella139[],2,0)</f>
        <v>PQRS) Servizi alle persone</v>
      </c>
      <c r="E1217" s="53">
        <f t="shared" si="133"/>
        <v>2.7E-2</v>
      </c>
      <c r="F1217" s="53">
        <f t="shared" si="134"/>
        <v>2.3E-2</v>
      </c>
      <c r="G1217" s="53">
        <f t="shared" si="135"/>
        <v>0.69799999999999995</v>
      </c>
      <c r="H1217" s="53">
        <f t="shared" si="136"/>
        <v>5.0000000000000001E-3</v>
      </c>
      <c r="I1217" s="53">
        <f t="shared" si="137"/>
        <v>0.14599999999999999</v>
      </c>
    </row>
    <row r="1218" spans="1:9">
      <c r="A1218" s="58" t="s">
        <v>2640</v>
      </c>
      <c r="B1218" s="59" t="s">
        <v>2641</v>
      </c>
      <c r="C1218">
        <v>10</v>
      </c>
      <c r="D1218" t="str">
        <f>+VLOOKUP(AtecoCrisi[[#This Row],[COD. CRISI]],Tabella139[],2,0)</f>
        <v>PQRS) Servizi alle persone</v>
      </c>
      <c r="E1218" s="53">
        <f t="shared" si="133"/>
        <v>2.7E-2</v>
      </c>
      <c r="F1218" s="53">
        <f t="shared" si="134"/>
        <v>2.3E-2</v>
      </c>
      <c r="G1218" s="53">
        <f t="shared" si="135"/>
        <v>0.69799999999999995</v>
      </c>
      <c r="H1218" s="53">
        <f t="shared" si="136"/>
        <v>5.0000000000000001E-3</v>
      </c>
      <c r="I1218" s="53">
        <f t="shared" si="137"/>
        <v>0.14599999999999999</v>
      </c>
    </row>
    <row r="1219" spans="1:9" ht="25.5">
      <c r="A1219" s="58" t="s">
        <v>2642</v>
      </c>
      <c r="B1219" s="59" t="s">
        <v>2643</v>
      </c>
      <c r="C1219">
        <v>10</v>
      </c>
      <c r="D1219" t="str">
        <f>+VLOOKUP(AtecoCrisi[[#This Row],[COD. CRISI]],Tabella139[],2,0)</f>
        <v>PQRS) Servizi alle persone</v>
      </c>
      <c r="E1219" s="53">
        <f t="shared" si="133"/>
        <v>2.7E-2</v>
      </c>
      <c r="F1219" s="53">
        <f t="shared" si="134"/>
        <v>2.3E-2</v>
      </c>
      <c r="G1219" s="53">
        <f t="shared" si="135"/>
        <v>0.69799999999999995</v>
      </c>
      <c r="H1219" s="53">
        <f t="shared" si="136"/>
        <v>5.0000000000000001E-3</v>
      </c>
      <c r="I1219" s="53">
        <f t="shared" si="137"/>
        <v>0.14599999999999999</v>
      </c>
    </row>
    <row r="1220" spans="1:9" ht="38.25">
      <c r="A1220" s="58" t="s">
        <v>2644</v>
      </c>
      <c r="B1220" s="59" t="s">
        <v>2645</v>
      </c>
      <c r="C1220">
        <v>10</v>
      </c>
      <c r="D1220" t="str">
        <f>+VLOOKUP(AtecoCrisi[[#This Row],[COD. CRISI]],Tabella139[],2,0)</f>
        <v>PQRS) Servizi alle persone</v>
      </c>
      <c r="E1220" s="53">
        <f t="shared" si="133"/>
        <v>2.7E-2</v>
      </c>
      <c r="F1220" s="53">
        <f t="shared" si="134"/>
        <v>2.3E-2</v>
      </c>
      <c r="G1220" s="53">
        <f t="shared" si="135"/>
        <v>0.69799999999999995</v>
      </c>
      <c r="H1220" s="53">
        <f t="shared" si="136"/>
        <v>5.0000000000000001E-3</v>
      </c>
      <c r="I1220" s="53">
        <f t="shared" si="137"/>
        <v>0.14599999999999999</v>
      </c>
    </row>
    <row r="1221" spans="1:9" ht="38.25">
      <c r="A1221" s="58" t="s">
        <v>2646</v>
      </c>
      <c r="B1221" s="59" t="s">
        <v>2647</v>
      </c>
      <c r="C1221">
        <v>10</v>
      </c>
      <c r="D1221" t="str">
        <f>+VLOOKUP(AtecoCrisi[[#This Row],[COD. CRISI]],Tabella139[],2,0)</f>
        <v>PQRS) Servizi alle persone</v>
      </c>
      <c r="E1221" s="53">
        <f t="shared" si="133"/>
        <v>2.7E-2</v>
      </c>
      <c r="F1221" s="53">
        <f t="shared" si="134"/>
        <v>2.3E-2</v>
      </c>
      <c r="G1221" s="53">
        <f t="shared" si="135"/>
        <v>0.69799999999999995</v>
      </c>
      <c r="H1221" s="53">
        <f t="shared" si="136"/>
        <v>5.0000000000000001E-3</v>
      </c>
      <c r="I1221" s="53">
        <f t="shared" si="137"/>
        <v>0.14599999999999999</v>
      </c>
    </row>
    <row r="1222" spans="1:9" ht="25.5">
      <c r="A1222" s="58" t="s">
        <v>2648</v>
      </c>
      <c r="B1222" s="59" t="s">
        <v>2649</v>
      </c>
      <c r="C1222">
        <v>10</v>
      </c>
      <c r="D1222" t="str">
        <f>+VLOOKUP(AtecoCrisi[[#This Row],[COD. CRISI]],Tabella139[],2,0)</f>
        <v>PQRS) Servizi alle persone</v>
      </c>
      <c r="E1222" s="53">
        <f t="shared" si="133"/>
        <v>2.7E-2</v>
      </c>
      <c r="F1222" s="53">
        <f t="shared" si="134"/>
        <v>2.3E-2</v>
      </c>
      <c r="G1222" s="53">
        <f t="shared" si="135"/>
        <v>0.69799999999999995</v>
      </c>
      <c r="H1222" s="53">
        <f t="shared" si="136"/>
        <v>5.0000000000000001E-3</v>
      </c>
      <c r="I1222" s="53">
        <f t="shared" si="137"/>
        <v>0.14599999999999999</v>
      </c>
    </row>
    <row r="1223" spans="1:9" ht="25.5">
      <c r="A1223" s="58" t="s">
        <v>2650</v>
      </c>
      <c r="B1223" s="59" t="s">
        <v>2651</v>
      </c>
      <c r="C1223">
        <v>10</v>
      </c>
      <c r="D1223" t="str">
        <f>+VLOOKUP(AtecoCrisi[[#This Row],[COD. CRISI]],Tabella139[],2,0)</f>
        <v>PQRS) Servizi alle persone</v>
      </c>
      <c r="E1223" s="53">
        <f t="shared" si="133"/>
        <v>2.7E-2</v>
      </c>
      <c r="F1223" s="53">
        <f t="shared" si="134"/>
        <v>2.3E-2</v>
      </c>
      <c r="G1223" s="53">
        <f t="shared" si="135"/>
        <v>0.69799999999999995</v>
      </c>
      <c r="H1223" s="53">
        <f t="shared" si="136"/>
        <v>5.0000000000000001E-3</v>
      </c>
      <c r="I1223" s="53">
        <f t="shared" si="137"/>
        <v>0.14599999999999999</v>
      </c>
    </row>
    <row r="1224" spans="1:9" ht="63.75">
      <c r="A1224" s="58" t="s">
        <v>2652</v>
      </c>
      <c r="B1224" s="59" t="s">
        <v>2653</v>
      </c>
      <c r="C1224">
        <v>10</v>
      </c>
      <c r="D1224" t="str">
        <f>+VLOOKUP(AtecoCrisi[[#This Row],[COD. CRISI]],Tabella139[],2,0)</f>
        <v>PQRS) Servizi alle persone</v>
      </c>
      <c r="E1224" s="53">
        <f t="shared" si="133"/>
        <v>2.7E-2</v>
      </c>
      <c r="F1224" s="53">
        <f t="shared" si="134"/>
        <v>2.3E-2</v>
      </c>
      <c r="G1224" s="53">
        <f t="shared" si="135"/>
        <v>0.69799999999999995</v>
      </c>
      <c r="H1224" s="53">
        <f t="shared" si="136"/>
        <v>5.0000000000000001E-3</v>
      </c>
      <c r="I1224" s="53">
        <f t="shared" si="137"/>
        <v>0.14599999999999999</v>
      </c>
    </row>
    <row r="1225" spans="1:9" ht="38.25">
      <c r="A1225" s="58" t="s">
        <v>2654</v>
      </c>
      <c r="B1225" s="59" t="s">
        <v>2655</v>
      </c>
      <c r="C1225">
        <v>10</v>
      </c>
      <c r="D1225" t="str">
        <f>+VLOOKUP(AtecoCrisi[[#This Row],[COD. CRISI]],Tabella139[],2,0)</f>
        <v>PQRS) Servizi alle persone</v>
      </c>
      <c r="E1225" s="53">
        <f t="shared" si="133"/>
        <v>2.7E-2</v>
      </c>
      <c r="F1225" s="53">
        <f t="shared" si="134"/>
        <v>2.3E-2</v>
      </c>
      <c r="G1225" s="53">
        <f t="shared" si="135"/>
        <v>0.69799999999999995</v>
      </c>
      <c r="H1225" s="53">
        <f t="shared" si="136"/>
        <v>5.0000000000000001E-3</v>
      </c>
      <c r="I1225" s="53">
        <f t="shared" si="137"/>
        <v>0.14599999999999999</v>
      </c>
    </row>
    <row r="1226" spans="1:9" ht="25.5">
      <c r="A1226" s="58" t="s">
        <v>2656</v>
      </c>
      <c r="B1226" s="59" t="s">
        <v>2657</v>
      </c>
      <c r="C1226">
        <v>10</v>
      </c>
      <c r="D1226" t="str">
        <f>+VLOOKUP(AtecoCrisi[[#This Row],[COD. CRISI]],Tabella139[],2,0)</f>
        <v>PQRS) Servizi alle persone</v>
      </c>
      <c r="E1226" s="53">
        <f t="shared" si="133"/>
        <v>2.7E-2</v>
      </c>
      <c r="F1226" s="53">
        <f t="shared" si="134"/>
        <v>2.3E-2</v>
      </c>
      <c r="G1226" s="53">
        <f t="shared" si="135"/>
        <v>0.69799999999999995</v>
      </c>
      <c r="H1226" s="53">
        <f t="shared" si="136"/>
        <v>5.0000000000000001E-3</v>
      </c>
      <c r="I1226" s="53">
        <f t="shared" si="137"/>
        <v>0.14599999999999999</v>
      </c>
    </row>
    <row r="1227" spans="1:9" ht="25.5">
      <c r="A1227" s="58" t="s">
        <v>2658</v>
      </c>
      <c r="B1227" s="59" t="s">
        <v>2659</v>
      </c>
      <c r="C1227">
        <v>10</v>
      </c>
      <c r="D1227" t="str">
        <f>+VLOOKUP(AtecoCrisi[[#This Row],[COD. CRISI]],Tabella139[],2,0)</f>
        <v>PQRS) Servizi alle persone</v>
      </c>
      <c r="E1227" s="53">
        <f t="shared" si="133"/>
        <v>2.7E-2</v>
      </c>
      <c r="F1227" s="53">
        <f t="shared" si="134"/>
        <v>2.3E-2</v>
      </c>
      <c r="G1227" s="53">
        <f t="shared" si="135"/>
        <v>0.69799999999999995</v>
      </c>
      <c r="H1227" s="53">
        <f t="shared" si="136"/>
        <v>5.0000000000000001E-3</v>
      </c>
      <c r="I1227" s="53">
        <f t="shared" si="137"/>
        <v>0.14599999999999999</v>
      </c>
    </row>
    <row r="1228" spans="1:9" ht="38.25">
      <c r="A1228" s="58" t="s">
        <v>2660</v>
      </c>
      <c r="B1228" s="59" t="s">
        <v>2661</v>
      </c>
      <c r="C1228">
        <v>10</v>
      </c>
      <c r="D1228" t="str">
        <f>+VLOOKUP(AtecoCrisi[[#This Row],[COD. CRISI]],Tabella139[],2,0)</f>
        <v>PQRS) Servizi alle persone</v>
      </c>
      <c r="E1228" s="53">
        <f t="shared" si="133"/>
        <v>2.7E-2</v>
      </c>
      <c r="F1228" s="53">
        <f t="shared" si="134"/>
        <v>2.3E-2</v>
      </c>
      <c r="G1228" s="53">
        <f t="shared" si="135"/>
        <v>0.69799999999999995</v>
      </c>
      <c r="H1228" s="53">
        <f t="shared" si="136"/>
        <v>5.0000000000000001E-3</v>
      </c>
      <c r="I1228" s="53">
        <f t="shared" si="137"/>
        <v>0.14599999999999999</v>
      </c>
    </row>
    <row r="1229" spans="1:9" ht="38.25">
      <c r="A1229" s="58" t="s">
        <v>2662</v>
      </c>
      <c r="B1229" s="59" t="s">
        <v>2663</v>
      </c>
      <c r="C1229">
        <v>10</v>
      </c>
      <c r="D1229" t="str">
        <f>+VLOOKUP(AtecoCrisi[[#This Row],[COD. CRISI]],Tabella139[],2,0)</f>
        <v>PQRS) Servizi alle persone</v>
      </c>
      <c r="E1229" s="53">
        <f t="shared" si="133"/>
        <v>2.7E-2</v>
      </c>
      <c r="F1229" s="53">
        <f t="shared" si="134"/>
        <v>2.3E-2</v>
      </c>
      <c r="G1229" s="53">
        <f t="shared" si="135"/>
        <v>0.69799999999999995</v>
      </c>
      <c r="H1229" s="53">
        <f t="shared" si="136"/>
        <v>5.0000000000000001E-3</v>
      </c>
      <c r="I1229" s="53">
        <f t="shared" si="137"/>
        <v>0.14599999999999999</v>
      </c>
    </row>
    <row r="1230" spans="1:9" ht="51">
      <c r="A1230" s="58" t="s">
        <v>2664</v>
      </c>
      <c r="B1230" s="59" t="s">
        <v>2665</v>
      </c>
      <c r="C1230">
        <v>10</v>
      </c>
      <c r="D1230" t="str">
        <f>+VLOOKUP(AtecoCrisi[[#This Row],[COD. CRISI]],Tabella139[],2,0)</f>
        <v>PQRS) Servizi alle persone</v>
      </c>
      <c r="E1230" s="53">
        <f t="shared" si="133"/>
        <v>2.7E-2</v>
      </c>
      <c r="F1230" s="53">
        <f t="shared" si="134"/>
        <v>2.3E-2</v>
      </c>
      <c r="G1230" s="53">
        <f t="shared" si="135"/>
        <v>0.69799999999999995</v>
      </c>
      <c r="H1230" s="53">
        <f t="shared" si="136"/>
        <v>5.0000000000000001E-3</v>
      </c>
      <c r="I1230" s="53">
        <f t="shared" si="137"/>
        <v>0.14599999999999999</v>
      </c>
    </row>
    <row r="1231" spans="1:9" ht="25.5">
      <c r="A1231" s="58" t="s">
        <v>2666</v>
      </c>
      <c r="B1231" s="59" t="s">
        <v>2667</v>
      </c>
      <c r="C1231">
        <v>10</v>
      </c>
      <c r="D1231" t="str">
        <f>+VLOOKUP(AtecoCrisi[[#This Row],[COD. CRISI]],Tabella139[],2,0)</f>
        <v>PQRS) Servizi alle persone</v>
      </c>
      <c r="E1231" s="53">
        <f t="shared" si="133"/>
        <v>2.7E-2</v>
      </c>
      <c r="F1231" s="53">
        <f t="shared" si="134"/>
        <v>2.3E-2</v>
      </c>
      <c r="G1231" s="53">
        <f t="shared" si="135"/>
        <v>0.69799999999999995</v>
      </c>
      <c r="H1231" s="53">
        <f t="shared" si="136"/>
        <v>5.0000000000000001E-3</v>
      </c>
      <c r="I1231" s="53">
        <f t="shared" si="137"/>
        <v>0.14599999999999999</v>
      </c>
    </row>
    <row r="1232" spans="1:9" ht="38.25">
      <c r="A1232" s="58" t="s">
        <v>2668</v>
      </c>
      <c r="B1232" s="59" t="s">
        <v>2669</v>
      </c>
      <c r="C1232">
        <v>10</v>
      </c>
      <c r="D1232" t="str">
        <f>+VLOOKUP(AtecoCrisi[[#This Row],[COD. CRISI]],Tabella139[],2,0)</f>
        <v>PQRS) Servizi alle persone</v>
      </c>
      <c r="E1232" s="53">
        <f t="shared" ref="E1232:E1287" si="138">+VLOOKUP(C1232,$R$2:$X$11,3,FALSE)</f>
        <v>2.7E-2</v>
      </c>
      <c r="F1232" s="53">
        <f t="shared" ref="F1232:F1287" si="139">+VLOOKUP(C1232,$R$2:$X$11,4,FALSE)</f>
        <v>2.3E-2</v>
      </c>
      <c r="G1232" s="53">
        <f t="shared" ref="G1232:G1287" si="140">+VLOOKUP(C1232,$R$2:$X$11,5,FALSE)</f>
        <v>0.69799999999999995</v>
      </c>
      <c r="H1232" s="53">
        <f t="shared" ref="H1232:H1287" si="141">+VLOOKUP(C1232,$R$2:$X$11,6,FALSE)</f>
        <v>5.0000000000000001E-3</v>
      </c>
      <c r="I1232" s="53">
        <f t="shared" ref="I1232:I1287" si="142">+VLOOKUP(C1232,$R$2:$X$11,7,FALSE)</f>
        <v>0.14599999999999999</v>
      </c>
    </row>
    <row r="1233" spans="1:9" ht="47.25">
      <c r="A1233" s="51" t="s">
        <v>2670</v>
      </c>
      <c r="B1233" s="52" t="s">
        <v>2671</v>
      </c>
      <c r="C1233">
        <v>10</v>
      </c>
      <c r="D1233" t="str">
        <f>+VLOOKUP(AtecoCrisi[[#This Row],[COD. CRISI]],Tabella139[],2,0)</f>
        <v>PQRS) Servizi alle persone</v>
      </c>
      <c r="E1233" s="53">
        <f t="shared" si="138"/>
        <v>2.7E-2</v>
      </c>
      <c r="F1233" s="53">
        <f t="shared" si="139"/>
        <v>2.3E-2</v>
      </c>
      <c r="G1233" s="53">
        <f t="shared" si="140"/>
        <v>0.69799999999999995</v>
      </c>
      <c r="H1233" s="53">
        <f t="shared" si="141"/>
        <v>5.0000000000000001E-3</v>
      </c>
      <c r="I1233" s="53">
        <f t="shared" si="142"/>
        <v>0.14599999999999999</v>
      </c>
    </row>
    <row r="1234" spans="1:9" ht="38.25">
      <c r="A1234" s="56" t="s">
        <v>2672</v>
      </c>
      <c r="B1234" s="57" t="s">
        <v>2673</v>
      </c>
      <c r="C1234">
        <v>10</v>
      </c>
      <c r="D1234" t="str">
        <f>+VLOOKUP(AtecoCrisi[[#This Row],[COD. CRISI]],Tabella139[],2,0)</f>
        <v>PQRS) Servizi alle persone</v>
      </c>
      <c r="E1234" s="53">
        <f t="shared" si="138"/>
        <v>2.7E-2</v>
      </c>
      <c r="F1234" s="53">
        <f t="shared" si="139"/>
        <v>2.3E-2</v>
      </c>
      <c r="G1234" s="53">
        <f t="shared" si="140"/>
        <v>0.69799999999999995</v>
      </c>
      <c r="H1234" s="53">
        <f t="shared" si="141"/>
        <v>5.0000000000000001E-3</v>
      </c>
      <c r="I1234" s="53">
        <f t="shared" si="142"/>
        <v>0.14599999999999999</v>
      </c>
    </row>
    <row r="1235" spans="1:9" ht="140.25">
      <c r="A1235" s="58" t="s">
        <v>2674</v>
      </c>
      <c r="B1235" s="59" t="s">
        <v>2675</v>
      </c>
      <c r="C1235">
        <v>10</v>
      </c>
      <c r="D1235" t="str">
        <f>+VLOOKUP(AtecoCrisi[[#This Row],[COD. CRISI]],Tabella139[],2,0)</f>
        <v>PQRS) Servizi alle persone</v>
      </c>
      <c r="E1235" s="53">
        <f t="shared" si="138"/>
        <v>2.7E-2</v>
      </c>
      <c r="F1235" s="53">
        <f t="shared" si="139"/>
        <v>2.3E-2</v>
      </c>
      <c r="G1235" s="53">
        <f t="shared" si="140"/>
        <v>0.69799999999999995</v>
      </c>
      <c r="H1235" s="53">
        <f t="shared" si="141"/>
        <v>5.0000000000000001E-3</v>
      </c>
      <c r="I1235" s="53">
        <f t="shared" si="142"/>
        <v>0.14599999999999999</v>
      </c>
    </row>
    <row r="1236" spans="1:9" ht="63.75">
      <c r="A1236" s="58" t="s">
        <v>2676</v>
      </c>
      <c r="B1236" s="59" t="s">
        <v>2677</v>
      </c>
      <c r="C1236">
        <v>10</v>
      </c>
      <c r="D1236" t="str">
        <f>+VLOOKUP(AtecoCrisi[[#This Row],[COD. CRISI]],Tabella139[],2,0)</f>
        <v>PQRS) Servizi alle persone</v>
      </c>
      <c r="E1236" s="53">
        <f t="shared" si="138"/>
        <v>2.7E-2</v>
      </c>
      <c r="F1236" s="53">
        <f t="shared" si="139"/>
        <v>2.3E-2</v>
      </c>
      <c r="G1236" s="53">
        <f t="shared" si="140"/>
        <v>0.69799999999999995</v>
      </c>
      <c r="H1236" s="53">
        <f t="shared" si="141"/>
        <v>5.0000000000000001E-3</v>
      </c>
      <c r="I1236" s="53">
        <f t="shared" si="142"/>
        <v>0.14599999999999999</v>
      </c>
    </row>
    <row r="1237" spans="1:9" ht="38.25">
      <c r="A1237" s="58" t="s">
        <v>2678</v>
      </c>
      <c r="B1237" s="59" t="s">
        <v>2679</v>
      </c>
      <c r="C1237">
        <v>10</v>
      </c>
      <c r="D1237" t="str">
        <f>+VLOOKUP(AtecoCrisi[[#This Row],[COD. CRISI]],Tabella139[],2,0)</f>
        <v>PQRS) Servizi alle persone</v>
      </c>
      <c r="E1237" s="53">
        <f t="shared" si="138"/>
        <v>2.7E-2</v>
      </c>
      <c r="F1237" s="53">
        <f t="shared" si="139"/>
        <v>2.3E-2</v>
      </c>
      <c r="G1237" s="53">
        <f t="shared" si="140"/>
        <v>0.69799999999999995</v>
      </c>
      <c r="H1237" s="53">
        <f t="shared" si="141"/>
        <v>5.0000000000000001E-3</v>
      </c>
      <c r="I1237" s="53">
        <f t="shared" si="142"/>
        <v>0.14599999999999999</v>
      </c>
    </row>
    <row r="1238" spans="1:9" ht="51">
      <c r="A1238" s="58" t="s">
        <v>2680</v>
      </c>
      <c r="B1238" s="59" t="s">
        <v>2681</v>
      </c>
      <c r="C1238">
        <v>10</v>
      </c>
      <c r="D1238" t="str">
        <f>+VLOOKUP(AtecoCrisi[[#This Row],[COD. CRISI]],Tabella139[],2,0)</f>
        <v>PQRS) Servizi alle persone</v>
      </c>
      <c r="E1238" s="53">
        <f t="shared" si="138"/>
        <v>2.7E-2</v>
      </c>
      <c r="F1238" s="53">
        <f t="shared" si="139"/>
        <v>2.3E-2</v>
      </c>
      <c r="G1238" s="53">
        <f t="shared" si="140"/>
        <v>0.69799999999999995</v>
      </c>
      <c r="H1238" s="53">
        <f t="shared" si="141"/>
        <v>5.0000000000000001E-3</v>
      </c>
      <c r="I1238" s="53">
        <f t="shared" si="142"/>
        <v>0.14599999999999999</v>
      </c>
    </row>
    <row r="1239" spans="1:9" ht="63.75">
      <c r="A1239" s="58" t="s">
        <v>2682</v>
      </c>
      <c r="B1239" s="59" t="s">
        <v>2683</v>
      </c>
      <c r="C1239">
        <v>10</v>
      </c>
      <c r="D1239" t="str">
        <f>+VLOOKUP(AtecoCrisi[[#This Row],[COD. CRISI]],Tabella139[],2,0)</f>
        <v>PQRS) Servizi alle persone</v>
      </c>
      <c r="E1239" s="53">
        <f t="shared" si="138"/>
        <v>2.7E-2</v>
      </c>
      <c r="F1239" s="53">
        <f t="shared" si="139"/>
        <v>2.3E-2</v>
      </c>
      <c r="G1239" s="53">
        <f t="shared" si="140"/>
        <v>0.69799999999999995</v>
      </c>
      <c r="H1239" s="53">
        <f t="shared" si="141"/>
        <v>5.0000000000000001E-3</v>
      </c>
      <c r="I1239" s="53">
        <f t="shared" si="142"/>
        <v>0.14599999999999999</v>
      </c>
    </row>
    <row r="1240" spans="1:9" ht="38.25">
      <c r="A1240" s="58" t="s">
        <v>2684</v>
      </c>
      <c r="B1240" s="59" t="s">
        <v>2685</v>
      </c>
      <c r="C1240">
        <v>10</v>
      </c>
      <c r="D1240" t="str">
        <f>+VLOOKUP(AtecoCrisi[[#This Row],[COD. CRISI]],Tabella139[],2,0)</f>
        <v>PQRS) Servizi alle persone</v>
      </c>
      <c r="E1240" s="53">
        <f t="shared" si="138"/>
        <v>2.7E-2</v>
      </c>
      <c r="F1240" s="53">
        <f t="shared" si="139"/>
        <v>2.3E-2</v>
      </c>
      <c r="G1240" s="53">
        <f t="shared" si="140"/>
        <v>0.69799999999999995</v>
      </c>
      <c r="H1240" s="53">
        <f t="shared" si="141"/>
        <v>5.0000000000000001E-3</v>
      </c>
      <c r="I1240" s="53">
        <f t="shared" si="142"/>
        <v>0.14599999999999999</v>
      </c>
    </row>
    <row r="1241" spans="1:9" ht="63.75">
      <c r="A1241" s="58" t="s">
        <v>2686</v>
      </c>
      <c r="B1241" s="59" t="s">
        <v>2687</v>
      </c>
      <c r="C1241">
        <v>10</v>
      </c>
      <c r="D1241" t="str">
        <f>+VLOOKUP(AtecoCrisi[[#This Row],[COD. CRISI]],Tabella139[],2,0)</f>
        <v>PQRS) Servizi alle persone</v>
      </c>
      <c r="E1241" s="53">
        <f t="shared" si="138"/>
        <v>2.7E-2</v>
      </c>
      <c r="F1241" s="53">
        <f t="shared" si="139"/>
        <v>2.3E-2</v>
      </c>
      <c r="G1241" s="53">
        <f t="shared" si="140"/>
        <v>0.69799999999999995</v>
      </c>
      <c r="H1241" s="53">
        <f t="shared" si="141"/>
        <v>5.0000000000000001E-3</v>
      </c>
      <c r="I1241" s="53">
        <f t="shared" si="142"/>
        <v>0.14599999999999999</v>
      </c>
    </row>
    <row r="1242" spans="1:9" ht="76.5">
      <c r="A1242" s="58" t="s">
        <v>2688</v>
      </c>
      <c r="B1242" s="59" t="s">
        <v>2689</v>
      </c>
      <c r="C1242">
        <v>10</v>
      </c>
      <c r="D1242" t="str">
        <f>+VLOOKUP(AtecoCrisi[[#This Row],[COD. CRISI]],Tabella139[],2,0)</f>
        <v>PQRS) Servizi alle persone</v>
      </c>
      <c r="E1242" s="53">
        <f t="shared" si="138"/>
        <v>2.7E-2</v>
      </c>
      <c r="F1242" s="53">
        <f t="shared" si="139"/>
        <v>2.3E-2</v>
      </c>
      <c r="G1242" s="53">
        <f t="shared" si="140"/>
        <v>0.69799999999999995</v>
      </c>
      <c r="H1242" s="53">
        <f t="shared" si="141"/>
        <v>5.0000000000000001E-3</v>
      </c>
      <c r="I1242" s="53">
        <f t="shared" si="142"/>
        <v>0.14599999999999999</v>
      </c>
    </row>
    <row r="1243" spans="1:9" ht="63.75">
      <c r="A1243" s="58" t="s">
        <v>2690</v>
      </c>
      <c r="B1243" s="59" t="s">
        <v>2691</v>
      </c>
      <c r="C1243">
        <v>10</v>
      </c>
      <c r="D1243" t="str">
        <f>+VLOOKUP(AtecoCrisi[[#This Row],[COD. CRISI]],Tabella139[],2,0)</f>
        <v>PQRS) Servizi alle persone</v>
      </c>
      <c r="E1243" s="53">
        <f t="shared" si="138"/>
        <v>2.7E-2</v>
      </c>
      <c r="F1243" s="53">
        <f t="shared" si="139"/>
        <v>2.3E-2</v>
      </c>
      <c r="G1243" s="53">
        <f t="shared" si="140"/>
        <v>0.69799999999999995</v>
      </c>
      <c r="H1243" s="53">
        <f t="shared" si="141"/>
        <v>5.0000000000000001E-3</v>
      </c>
      <c r="I1243" s="53">
        <f t="shared" si="142"/>
        <v>0.14599999999999999</v>
      </c>
    </row>
    <row r="1244" spans="1:9" ht="63.75">
      <c r="A1244" s="58" t="s">
        <v>2692</v>
      </c>
      <c r="B1244" s="59" t="s">
        <v>2693</v>
      </c>
      <c r="C1244">
        <v>10</v>
      </c>
      <c r="D1244" t="str">
        <f>+VLOOKUP(AtecoCrisi[[#This Row],[COD. CRISI]],Tabella139[],2,0)</f>
        <v>PQRS) Servizi alle persone</v>
      </c>
      <c r="E1244" s="53">
        <f t="shared" si="138"/>
        <v>2.7E-2</v>
      </c>
      <c r="F1244" s="53">
        <f t="shared" si="139"/>
        <v>2.3E-2</v>
      </c>
      <c r="G1244" s="53">
        <f t="shared" si="140"/>
        <v>0.69799999999999995</v>
      </c>
      <c r="H1244" s="53">
        <f t="shared" si="141"/>
        <v>5.0000000000000001E-3</v>
      </c>
      <c r="I1244" s="53">
        <f t="shared" si="142"/>
        <v>0.14599999999999999</v>
      </c>
    </row>
    <row r="1245" spans="1:9" ht="38.25">
      <c r="A1245" s="58" t="s">
        <v>2694</v>
      </c>
      <c r="B1245" s="59" t="s">
        <v>2695</v>
      </c>
      <c r="C1245">
        <v>10</v>
      </c>
      <c r="D1245" t="str">
        <f>+VLOOKUP(AtecoCrisi[[#This Row],[COD. CRISI]],Tabella139[],2,0)</f>
        <v>PQRS) Servizi alle persone</v>
      </c>
      <c r="E1245" s="53">
        <f t="shared" si="138"/>
        <v>2.7E-2</v>
      </c>
      <c r="F1245" s="53">
        <f t="shared" si="139"/>
        <v>2.3E-2</v>
      </c>
      <c r="G1245" s="53">
        <f t="shared" si="140"/>
        <v>0.69799999999999995</v>
      </c>
      <c r="H1245" s="53">
        <f t="shared" si="141"/>
        <v>5.0000000000000001E-3</v>
      </c>
      <c r="I1245" s="53">
        <f t="shared" si="142"/>
        <v>0.14599999999999999</v>
      </c>
    </row>
    <row r="1246" spans="1:9" ht="63.75">
      <c r="A1246" s="58" t="s">
        <v>2696</v>
      </c>
      <c r="B1246" s="59" t="s">
        <v>2697</v>
      </c>
      <c r="C1246">
        <v>10</v>
      </c>
      <c r="D1246" t="str">
        <f>+VLOOKUP(AtecoCrisi[[#This Row],[COD. CRISI]],Tabella139[],2,0)</f>
        <v>PQRS) Servizi alle persone</v>
      </c>
      <c r="E1246" s="53">
        <f t="shared" si="138"/>
        <v>2.7E-2</v>
      </c>
      <c r="F1246" s="53">
        <f t="shared" si="139"/>
        <v>2.3E-2</v>
      </c>
      <c r="G1246" s="53">
        <f t="shared" si="140"/>
        <v>0.69799999999999995</v>
      </c>
      <c r="H1246" s="53">
        <f t="shared" si="141"/>
        <v>5.0000000000000001E-3</v>
      </c>
      <c r="I1246" s="53">
        <f t="shared" si="142"/>
        <v>0.14599999999999999</v>
      </c>
    </row>
    <row r="1247" spans="1:9" ht="38.25">
      <c r="A1247" s="58" t="s">
        <v>2698</v>
      </c>
      <c r="B1247" s="59" t="s">
        <v>2699</v>
      </c>
      <c r="C1247">
        <v>10</v>
      </c>
      <c r="D1247" t="str">
        <f>+VLOOKUP(AtecoCrisi[[#This Row],[COD. CRISI]],Tabella139[],2,0)</f>
        <v>PQRS) Servizi alle persone</v>
      </c>
      <c r="E1247" s="53">
        <f t="shared" si="138"/>
        <v>2.7E-2</v>
      </c>
      <c r="F1247" s="53">
        <f t="shared" si="139"/>
        <v>2.3E-2</v>
      </c>
      <c r="G1247" s="53">
        <f t="shared" si="140"/>
        <v>0.69799999999999995</v>
      </c>
      <c r="H1247" s="53">
        <f t="shared" si="141"/>
        <v>5.0000000000000001E-3</v>
      </c>
      <c r="I1247" s="53">
        <f t="shared" si="142"/>
        <v>0.14599999999999999</v>
      </c>
    </row>
    <row r="1248" spans="1:9" ht="63.75">
      <c r="A1248" s="56" t="s">
        <v>2700</v>
      </c>
      <c r="B1248" s="57" t="s">
        <v>2701</v>
      </c>
      <c r="C1248">
        <v>10</v>
      </c>
      <c r="D1248" t="str">
        <f>+VLOOKUP(AtecoCrisi[[#This Row],[COD. CRISI]],Tabella139[],2,0)</f>
        <v>PQRS) Servizi alle persone</v>
      </c>
      <c r="E1248" s="53">
        <f t="shared" si="138"/>
        <v>2.7E-2</v>
      </c>
      <c r="F1248" s="53">
        <f t="shared" si="139"/>
        <v>2.3E-2</v>
      </c>
      <c r="G1248" s="53">
        <f t="shared" si="140"/>
        <v>0.69799999999999995</v>
      </c>
      <c r="H1248" s="53">
        <f t="shared" si="141"/>
        <v>5.0000000000000001E-3</v>
      </c>
      <c r="I1248" s="53">
        <f t="shared" si="142"/>
        <v>0.14599999999999999</v>
      </c>
    </row>
    <row r="1249" spans="1:9" ht="51">
      <c r="A1249" s="58" t="s">
        <v>2702</v>
      </c>
      <c r="B1249" s="59" t="s">
        <v>2703</v>
      </c>
      <c r="C1249">
        <v>10</v>
      </c>
      <c r="D1249" t="str">
        <f>+VLOOKUP(AtecoCrisi[[#This Row],[COD. CRISI]],Tabella139[],2,0)</f>
        <v>PQRS) Servizi alle persone</v>
      </c>
      <c r="E1249" s="53">
        <f t="shared" si="138"/>
        <v>2.7E-2</v>
      </c>
      <c r="F1249" s="53">
        <f t="shared" si="139"/>
        <v>2.3E-2</v>
      </c>
      <c r="G1249" s="53">
        <f t="shared" si="140"/>
        <v>0.69799999999999995</v>
      </c>
      <c r="H1249" s="53">
        <f t="shared" si="141"/>
        <v>5.0000000000000001E-3</v>
      </c>
      <c r="I1249" s="53">
        <f t="shared" si="142"/>
        <v>0.14599999999999999</v>
      </c>
    </row>
    <row r="1250" spans="1:9" ht="51">
      <c r="A1250" s="58" t="s">
        <v>2704</v>
      </c>
      <c r="B1250" s="59" t="s">
        <v>2705</v>
      </c>
      <c r="C1250">
        <v>10</v>
      </c>
      <c r="D1250" t="str">
        <f>+VLOOKUP(AtecoCrisi[[#This Row],[COD. CRISI]],Tabella139[],2,0)</f>
        <v>PQRS) Servizi alle persone</v>
      </c>
      <c r="E1250" s="53">
        <f t="shared" si="138"/>
        <v>2.7E-2</v>
      </c>
      <c r="F1250" s="53">
        <f t="shared" si="139"/>
        <v>2.3E-2</v>
      </c>
      <c r="G1250" s="53">
        <f t="shared" si="140"/>
        <v>0.69799999999999995</v>
      </c>
      <c r="H1250" s="53">
        <f t="shared" si="141"/>
        <v>5.0000000000000001E-3</v>
      </c>
      <c r="I1250" s="53">
        <f t="shared" si="142"/>
        <v>0.14599999999999999</v>
      </c>
    </row>
    <row r="1251" spans="1:9" ht="76.5">
      <c r="A1251" s="58" t="s">
        <v>2706</v>
      </c>
      <c r="B1251" s="59" t="s">
        <v>2707</v>
      </c>
      <c r="C1251">
        <v>10</v>
      </c>
      <c r="D1251" t="str">
        <f>+VLOOKUP(AtecoCrisi[[#This Row],[COD. CRISI]],Tabella139[],2,0)</f>
        <v>PQRS) Servizi alle persone</v>
      </c>
      <c r="E1251" s="53">
        <f t="shared" si="138"/>
        <v>2.7E-2</v>
      </c>
      <c r="F1251" s="53">
        <f t="shared" si="139"/>
        <v>2.3E-2</v>
      </c>
      <c r="G1251" s="53">
        <f t="shared" si="140"/>
        <v>0.69799999999999995</v>
      </c>
      <c r="H1251" s="53">
        <f t="shared" si="141"/>
        <v>5.0000000000000001E-3</v>
      </c>
      <c r="I1251" s="53">
        <f t="shared" si="142"/>
        <v>0.14599999999999999</v>
      </c>
    </row>
    <row r="1252" spans="1:9" ht="51">
      <c r="A1252" s="58" t="s">
        <v>2708</v>
      </c>
      <c r="B1252" s="59" t="s">
        <v>2709</v>
      </c>
      <c r="C1252">
        <v>10</v>
      </c>
      <c r="D1252" t="str">
        <f>+VLOOKUP(AtecoCrisi[[#This Row],[COD. CRISI]],Tabella139[],2,0)</f>
        <v>PQRS) Servizi alle persone</v>
      </c>
      <c r="E1252" s="53">
        <f t="shared" si="138"/>
        <v>2.7E-2</v>
      </c>
      <c r="F1252" s="53">
        <f t="shared" si="139"/>
        <v>2.3E-2</v>
      </c>
      <c r="G1252" s="53">
        <f t="shared" si="140"/>
        <v>0.69799999999999995</v>
      </c>
      <c r="H1252" s="53">
        <f t="shared" si="141"/>
        <v>5.0000000000000001E-3</v>
      </c>
      <c r="I1252" s="53">
        <f t="shared" si="142"/>
        <v>0.14599999999999999</v>
      </c>
    </row>
    <row r="1253" spans="1:9" ht="51">
      <c r="A1253" s="58" t="s">
        <v>2710</v>
      </c>
      <c r="B1253" s="59" t="s">
        <v>2711</v>
      </c>
      <c r="C1253">
        <v>10</v>
      </c>
      <c r="D1253" t="str">
        <f>+VLOOKUP(AtecoCrisi[[#This Row],[COD. CRISI]],Tabella139[],2,0)</f>
        <v>PQRS) Servizi alle persone</v>
      </c>
      <c r="E1253" s="53">
        <f t="shared" si="138"/>
        <v>2.7E-2</v>
      </c>
      <c r="F1253" s="53">
        <f t="shared" si="139"/>
        <v>2.3E-2</v>
      </c>
      <c r="G1253" s="53">
        <f t="shared" si="140"/>
        <v>0.69799999999999995</v>
      </c>
      <c r="H1253" s="53">
        <f t="shared" si="141"/>
        <v>5.0000000000000001E-3</v>
      </c>
      <c r="I1253" s="53">
        <f t="shared" si="142"/>
        <v>0.14599999999999999</v>
      </c>
    </row>
    <row r="1254" spans="1:9" ht="38.25">
      <c r="A1254" s="58" t="s">
        <v>2712</v>
      </c>
      <c r="B1254" s="59" t="s">
        <v>2713</v>
      </c>
      <c r="C1254">
        <v>10</v>
      </c>
      <c r="D1254" t="str">
        <f>+VLOOKUP(AtecoCrisi[[#This Row],[COD. CRISI]],Tabella139[],2,0)</f>
        <v>PQRS) Servizi alle persone</v>
      </c>
      <c r="E1254" s="53">
        <f t="shared" si="138"/>
        <v>2.7E-2</v>
      </c>
      <c r="F1254" s="53">
        <f t="shared" si="139"/>
        <v>2.3E-2</v>
      </c>
      <c r="G1254" s="53">
        <f t="shared" si="140"/>
        <v>0.69799999999999995</v>
      </c>
      <c r="H1254" s="53">
        <f t="shared" si="141"/>
        <v>5.0000000000000001E-3</v>
      </c>
      <c r="I1254" s="53">
        <f t="shared" si="142"/>
        <v>0.14599999999999999</v>
      </c>
    </row>
    <row r="1255" spans="1:9" ht="63.75">
      <c r="A1255" s="58" t="s">
        <v>2714</v>
      </c>
      <c r="B1255" s="59" t="s">
        <v>2715</v>
      </c>
      <c r="C1255">
        <v>10</v>
      </c>
      <c r="D1255" t="str">
        <f>+VLOOKUP(AtecoCrisi[[#This Row],[COD. CRISI]],Tabella139[],2,0)</f>
        <v>PQRS) Servizi alle persone</v>
      </c>
      <c r="E1255" s="53">
        <f t="shared" si="138"/>
        <v>2.7E-2</v>
      </c>
      <c r="F1255" s="53">
        <f t="shared" si="139"/>
        <v>2.3E-2</v>
      </c>
      <c r="G1255" s="53">
        <f t="shared" si="140"/>
        <v>0.69799999999999995</v>
      </c>
      <c r="H1255" s="53">
        <f t="shared" si="141"/>
        <v>5.0000000000000001E-3</v>
      </c>
      <c r="I1255" s="53">
        <f t="shared" si="142"/>
        <v>0.14599999999999999</v>
      </c>
    </row>
    <row r="1256" spans="1:9" ht="38.25">
      <c r="A1256" s="58" t="s">
        <v>2716</v>
      </c>
      <c r="B1256" s="59" t="s">
        <v>2717</v>
      </c>
      <c r="C1256">
        <v>10</v>
      </c>
      <c r="D1256" t="str">
        <f>+VLOOKUP(AtecoCrisi[[#This Row],[COD. CRISI]],Tabella139[],2,0)</f>
        <v>PQRS) Servizi alle persone</v>
      </c>
      <c r="E1256" s="53">
        <f t="shared" si="138"/>
        <v>2.7E-2</v>
      </c>
      <c r="F1256" s="53">
        <f t="shared" si="139"/>
        <v>2.3E-2</v>
      </c>
      <c r="G1256" s="53">
        <f t="shared" si="140"/>
        <v>0.69799999999999995</v>
      </c>
      <c r="H1256" s="53">
        <f t="shared" si="141"/>
        <v>5.0000000000000001E-3</v>
      </c>
      <c r="I1256" s="53">
        <f t="shared" si="142"/>
        <v>0.14599999999999999</v>
      </c>
    </row>
    <row r="1257" spans="1:9" ht="25.5">
      <c r="A1257" s="58" t="s">
        <v>2718</v>
      </c>
      <c r="B1257" s="59" t="s">
        <v>2719</v>
      </c>
      <c r="C1257">
        <v>10</v>
      </c>
      <c r="D1257" t="str">
        <f>+VLOOKUP(AtecoCrisi[[#This Row],[COD. CRISI]],Tabella139[],2,0)</f>
        <v>PQRS) Servizi alle persone</v>
      </c>
      <c r="E1257" s="53">
        <f t="shared" si="138"/>
        <v>2.7E-2</v>
      </c>
      <c r="F1257" s="53">
        <f t="shared" si="139"/>
        <v>2.3E-2</v>
      </c>
      <c r="G1257" s="53">
        <f t="shared" si="140"/>
        <v>0.69799999999999995</v>
      </c>
      <c r="H1257" s="53">
        <f t="shared" si="141"/>
        <v>5.0000000000000001E-3</v>
      </c>
      <c r="I1257" s="53">
        <f t="shared" si="142"/>
        <v>0.14599999999999999</v>
      </c>
    </row>
    <row r="1258" spans="1:9" ht="25.5">
      <c r="A1258" s="58" t="s">
        <v>2720</v>
      </c>
      <c r="B1258" s="59" t="s">
        <v>2721</v>
      </c>
      <c r="C1258">
        <v>10</v>
      </c>
      <c r="D1258" t="str">
        <f>+VLOOKUP(AtecoCrisi[[#This Row],[COD. CRISI]],Tabella139[],2,0)</f>
        <v>PQRS) Servizi alle persone</v>
      </c>
      <c r="E1258" s="53">
        <f t="shared" si="138"/>
        <v>2.7E-2</v>
      </c>
      <c r="F1258" s="53">
        <f t="shared" si="139"/>
        <v>2.3E-2</v>
      </c>
      <c r="G1258" s="53">
        <f t="shared" si="140"/>
        <v>0.69799999999999995</v>
      </c>
      <c r="H1258" s="53">
        <f t="shared" si="141"/>
        <v>5.0000000000000001E-3</v>
      </c>
      <c r="I1258" s="53">
        <f t="shared" si="142"/>
        <v>0.14599999999999999</v>
      </c>
    </row>
    <row r="1259" spans="1:9" ht="25.5">
      <c r="A1259" s="58" t="s">
        <v>2722</v>
      </c>
      <c r="B1259" s="59" t="s">
        <v>2723</v>
      </c>
      <c r="C1259">
        <v>10</v>
      </c>
      <c r="D1259" t="str">
        <f>+VLOOKUP(AtecoCrisi[[#This Row],[COD. CRISI]],Tabella139[],2,0)</f>
        <v>PQRS) Servizi alle persone</v>
      </c>
      <c r="E1259" s="53">
        <f t="shared" si="138"/>
        <v>2.7E-2</v>
      </c>
      <c r="F1259" s="53">
        <f t="shared" si="139"/>
        <v>2.3E-2</v>
      </c>
      <c r="G1259" s="53">
        <f t="shared" si="140"/>
        <v>0.69799999999999995</v>
      </c>
      <c r="H1259" s="53">
        <f t="shared" si="141"/>
        <v>5.0000000000000001E-3</v>
      </c>
      <c r="I1259" s="53">
        <f t="shared" si="142"/>
        <v>0.14599999999999999</v>
      </c>
    </row>
    <row r="1260" spans="1:9" ht="102">
      <c r="A1260" s="58" t="s">
        <v>2724</v>
      </c>
      <c r="B1260" s="59" t="s">
        <v>2725</v>
      </c>
      <c r="C1260">
        <v>10</v>
      </c>
      <c r="D1260" t="str">
        <f>+VLOOKUP(AtecoCrisi[[#This Row],[COD. CRISI]],Tabella139[],2,0)</f>
        <v>PQRS) Servizi alle persone</v>
      </c>
      <c r="E1260" s="53">
        <f t="shared" si="138"/>
        <v>2.7E-2</v>
      </c>
      <c r="F1260" s="53">
        <f t="shared" si="139"/>
        <v>2.3E-2</v>
      </c>
      <c r="G1260" s="53">
        <f t="shared" si="140"/>
        <v>0.69799999999999995</v>
      </c>
      <c r="H1260" s="53">
        <f t="shared" si="141"/>
        <v>5.0000000000000001E-3</v>
      </c>
      <c r="I1260" s="53">
        <f t="shared" si="142"/>
        <v>0.14599999999999999</v>
      </c>
    </row>
    <row r="1261" spans="1:9" ht="63.75">
      <c r="A1261" s="58" t="s">
        <v>2726</v>
      </c>
      <c r="B1261" s="59" t="s">
        <v>2727</v>
      </c>
      <c r="C1261">
        <v>10</v>
      </c>
      <c r="D1261" t="str">
        <f>+VLOOKUP(AtecoCrisi[[#This Row],[COD. CRISI]],Tabella139[],2,0)</f>
        <v>PQRS) Servizi alle persone</v>
      </c>
      <c r="E1261" s="53">
        <f t="shared" si="138"/>
        <v>2.7E-2</v>
      </c>
      <c r="F1261" s="53">
        <f t="shared" si="139"/>
        <v>2.3E-2</v>
      </c>
      <c r="G1261" s="53">
        <f t="shared" si="140"/>
        <v>0.69799999999999995</v>
      </c>
      <c r="H1261" s="53">
        <f t="shared" si="141"/>
        <v>5.0000000000000001E-3</v>
      </c>
      <c r="I1261" s="53">
        <f t="shared" si="142"/>
        <v>0.14599999999999999</v>
      </c>
    </row>
    <row r="1262" spans="1:9" ht="127.5">
      <c r="A1262" s="58" t="s">
        <v>2728</v>
      </c>
      <c r="B1262" s="59" t="s">
        <v>2729</v>
      </c>
      <c r="C1262">
        <v>10</v>
      </c>
      <c r="D1262" t="str">
        <f>+VLOOKUP(AtecoCrisi[[#This Row],[COD. CRISI]],Tabella139[],2,0)</f>
        <v>PQRS) Servizi alle persone</v>
      </c>
      <c r="E1262" s="53">
        <f t="shared" si="138"/>
        <v>2.7E-2</v>
      </c>
      <c r="F1262" s="53">
        <f t="shared" si="139"/>
        <v>2.3E-2</v>
      </c>
      <c r="G1262" s="53">
        <f t="shared" si="140"/>
        <v>0.69799999999999995</v>
      </c>
      <c r="H1262" s="53">
        <f t="shared" si="141"/>
        <v>5.0000000000000001E-3</v>
      </c>
      <c r="I1262" s="53">
        <f t="shared" si="142"/>
        <v>0.14599999999999999</v>
      </c>
    </row>
    <row r="1263" spans="1:9" ht="51">
      <c r="A1263" s="58" t="s">
        <v>2730</v>
      </c>
      <c r="B1263" s="59" t="s">
        <v>2731</v>
      </c>
      <c r="C1263">
        <v>10</v>
      </c>
      <c r="D1263" t="str">
        <f>+VLOOKUP(AtecoCrisi[[#This Row],[COD. CRISI]],Tabella139[],2,0)</f>
        <v>PQRS) Servizi alle persone</v>
      </c>
      <c r="E1263" s="53">
        <f t="shared" si="138"/>
        <v>2.7E-2</v>
      </c>
      <c r="F1263" s="53">
        <f t="shared" si="139"/>
        <v>2.3E-2</v>
      </c>
      <c r="G1263" s="53">
        <f t="shared" si="140"/>
        <v>0.69799999999999995</v>
      </c>
      <c r="H1263" s="53">
        <f t="shared" si="141"/>
        <v>5.0000000000000001E-3</v>
      </c>
      <c r="I1263" s="53">
        <f t="shared" si="142"/>
        <v>0.14599999999999999</v>
      </c>
    </row>
    <row r="1264" spans="1:9" ht="38.25">
      <c r="A1264" s="56" t="s">
        <v>2732</v>
      </c>
      <c r="B1264" s="57" t="s">
        <v>2733</v>
      </c>
      <c r="C1264">
        <v>10</v>
      </c>
      <c r="D1264" t="str">
        <f>+VLOOKUP(AtecoCrisi[[#This Row],[COD. CRISI]],Tabella139[],2,0)</f>
        <v>PQRS) Servizi alle persone</v>
      </c>
      <c r="E1264" s="53">
        <f t="shared" si="138"/>
        <v>2.7E-2</v>
      </c>
      <c r="F1264" s="53">
        <f t="shared" si="139"/>
        <v>2.3E-2</v>
      </c>
      <c r="G1264" s="53">
        <f t="shared" si="140"/>
        <v>0.69799999999999995</v>
      </c>
      <c r="H1264" s="53">
        <f t="shared" si="141"/>
        <v>5.0000000000000001E-3</v>
      </c>
      <c r="I1264" s="53">
        <f t="shared" si="142"/>
        <v>0.14599999999999999</v>
      </c>
    </row>
    <row r="1265" spans="1:9" ht="38.25">
      <c r="A1265" s="58" t="s">
        <v>2734</v>
      </c>
      <c r="B1265" s="59" t="s">
        <v>2735</v>
      </c>
      <c r="C1265">
        <v>10</v>
      </c>
      <c r="D1265" t="str">
        <f>+VLOOKUP(AtecoCrisi[[#This Row],[COD. CRISI]],Tabella139[],2,0)</f>
        <v>PQRS) Servizi alle persone</v>
      </c>
      <c r="E1265" s="53">
        <f t="shared" si="138"/>
        <v>2.7E-2</v>
      </c>
      <c r="F1265" s="53">
        <f t="shared" si="139"/>
        <v>2.3E-2</v>
      </c>
      <c r="G1265" s="53">
        <f t="shared" si="140"/>
        <v>0.69799999999999995</v>
      </c>
      <c r="H1265" s="53">
        <f t="shared" si="141"/>
        <v>5.0000000000000001E-3</v>
      </c>
      <c r="I1265" s="53">
        <f t="shared" si="142"/>
        <v>0.14599999999999999</v>
      </c>
    </row>
    <row r="1266" spans="1:9" ht="25.5">
      <c r="A1266" s="58" t="s">
        <v>2736</v>
      </c>
      <c r="B1266" s="59" t="s">
        <v>2737</v>
      </c>
      <c r="C1266">
        <v>10</v>
      </c>
      <c r="D1266" t="str">
        <f>+VLOOKUP(AtecoCrisi[[#This Row],[COD. CRISI]],Tabella139[],2,0)</f>
        <v>PQRS) Servizi alle persone</v>
      </c>
      <c r="E1266" s="53">
        <f t="shared" si="138"/>
        <v>2.7E-2</v>
      </c>
      <c r="F1266" s="53">
        <f t="shared" si="139"/>
        <v>2.3E-2</v>
      </c>
      <c r="G1266" s="53">
        <f t="shared" si="140"/>
        <v>0.69799999999999995</v>
      </c>
      <c r="H1266" s="53">
        <f t="shared" si="141"/>
        <v>5.0000000000000001E-3</v>
      </c>
      <c r="I1266" s="53">
        <f t="shared" si="142"/>
        <v>0.14599999999999999</v>
      </c>
    </row>
    <row r="1267" spans="1:9" ht="38.25">
      <c r="A1267" s="58" t="s">
        <v>2738</v>
      </c>
      <c r="B1267" s="59" t="s">
        <v>2739</v>
      </c>
      <c r="C1267">
        <v>10</v>
      </c>
      <c r="D1267" t="str">
        <f>+VLOOKUP(AtecoCrisi[[#This Row],[COD. CRISI]],Tabella139[],2,0)</f>
        <v>PQRS) Servizi alle persone</v>
      </c>
      <c r="E1267" s="53">
        <f t="shared" si="138"/>
        <v>2.7E-2</v>
      </c>
      <c r="F1267" s="53">
        <f t="shared" si="139"/>
        <v>2.3E-2</v>
      </c>
      <c r="G1267" s="53">
        <f t="shared" si="140"/>
        <v>0.69799999999999995</v>
      </c>
      <c r="H1267" s="53">
        <f t="shared" si="141"/>
        <v>5.0000000000000001E-3</v>
      </c>
      <c r="I1267" s="53">
        <f t="shared" si="142"/>
        <v>0.14599999999999999</v>
      </c>
    </row>
    <row r="1268" spans="1:9" ht="25.5">
      <c r="A1268" s="58" t="s">
        <v>2740</v>
      </c>
      <c r="B1268" s="59" t="s">
        <v>2741</v>
      </c>
      <c r="C1268">
        <v>10</v>
      </c>
      <c r="D1268" t="str">
        <f>+VLOOKUP(AtecoCrisi[[#This Row],[COD. CRISI]],Tabella139[],2,0)</f>
        <v>PQRS) Servizi alle persone</v>
      </c>
      <c r="E1268" s="53">
        <f t="shared" si="138"/>
        <v>2.7E-2</v>
      </c>
      <c r="F1268" s="53">
        <f t="shared" si="139"/>
        <v>2.3E-2</v>
      </c>
      <c r="G1268" s="53">
        <f t="shared" si="140"/>
        <v>0.69799999999999995</v>
      </c>
      <c r="H1268" s="53">
        <f t="shared" si="141"/>
        <v>5.0000000000000001E-3</v>
      </c>
      <c r="I1268" s="53">
        <f t="shared" si="142"/>
        <v>0.14599999999999999</v>
      </c>
    </row>
    <row r="1269" spans="1:9" ht="25.5">
      <c r="A1269" s="58" t="s">
        <v>2742</v>
      </c>
      <c r="B1269" s="59" t="s">
        <v>2743</v>
      </c>
      <c r="C1269">
        <v>10</v>
      </c>
      <c r="D1269" t="str">
        <f>+VLOOKUP(AtecoCrisi[[#This Row],[COD. CRISI]],Tabella139[],2,0)</f>
        <v>PQRS) Servizi alle persone</v>
      </c>
      <c r="E1269" s="53">
        <f t="shared" si="138"/>
        <v>2.7E-2</v>
      </c>
      <c r="F1269" s="53">
        <f t="shared" si="139"/>
        <v>2.3E-2</v>
      </c>
      <c r="G1269" s="53">
        <f t="shared" si="140"/>
        <v>0.69799999999999995</v>
      </c>
      <c r="H1269" s="53">
        <f t="shared" si="141"/>
        <v>5.0000000000000001E-3</v>
      </c>
      <c r="I1269" s="53">
        <f t="shared" si="142"/>
        <v>0.14599999999999999</v>
      </c>
    </row>
    <row r="1270" spans="1:9" ht="38.25">
      <c r="A1270" s="58" t="s">
        <v>2744</v>
      </c>
      <c r="B1270" s="59" t="s">
        <v>2745</v>
      </c>
      <c r="C1270">
        <v>10</v>
      </c>
      <c r="D1270" t="str">
        <f>+VLOOKUP(AtecoCrisi[[#This Row],[COD. CRISI]],Tabella139[],2,0)</f>
        <v>PQRS) Servizi alle persone</v>
      </c>
      <c r="E1270" s="53">
        <f t="shared" si="138"/>
        <v>2.7E-2</v>
      </c>
      <c r="F1270" s="53">
        <f t="shared" si="139"/>
        <v>2.3E-2</v>
      </c>
      <c r="G1270" s="53">
        <f t="shared" si="140"/>
        <v>0.69799999999999995</v>
      </c>
      <c r="H1270" s="53">
        <f t="shared" si="141"/>
        <v>5.0000000000000001E-3</v>
      </c>
      <c r="I1270" s="53">
        <f t="shared" si="142"/>
        <v>0.14599999999999999</v>
      </c>
    </row>
    <row r="1271" spans="1:9" ht="63.75">
      <c r="A1271" s="58" t="s">
        <v>2746</v>
      </c>
      <c r="B1271" s="59" t="s">
        <v>2747</v>
      </c>
      <c r="C1271">
        <v>10</v>
      </c>
      <c r="D1271" t="str">
        <f>+VLOOKUP(AtecoCrisi[[#This Row],[COD. CRISI]],Tabella139[],2,0)</f>
        <v>PQRS) Servizi alle persone</v>
      </c>
      <c r="E1271" s="53">
        <f t="shared" si="138"/>
        <v>2.7E-2</v>
      </c>
      <c r="F1271" s="53">
        <f t="shared" si="139"/>
        <v>2.3E-2</v>
      </c>
      <c r="G1271" s="53">
        <f t="shared" si="140"/>
        <v>0.69799999999999995</v>
      </c>
      <c r="H1271" s="53">
        <f t="shared" si="141"/>
        <v>5.0000000000000001E-3</v>
      </c>
      <c r="I1271" s="53">
        <f t="shared" si="142"/>
        <v>0.14599999999999999</v>
      </c>
    </row>
    <row r="1272" spans="1:9" ht="25.5">
      <c r="A1272" s="58" t="s">
        <v>2748</v>
      </c>
      <c r="B1272" s="59" t="s">
        <v>2749</v>
      </c>
      <c r="C1272">
        <v>10</v>
      </c>
      <c r="D1272" t="str">
        <f>+VLOOKUP(AtecoCrisi[[#This Row],[COD. CRISI]],Tabella139[],2,0)</f>
        <v>PQRS) Servizi alle persone</v>
      </c>
      <c r="E1272" s="53">
        <f t="shared" si="138"/>
        <v>2.7E-2</v>
      </c>
      <c r="F1272" s="53">
        <f t="shared" si="139"/>
        <v>2.3E-2</v>
      </c>
      <c r="G1272" s="53">
        <f t="shared" si="140"/>
        <v>0.69799999999999995</v>
      </c>
      <c r="H1272" s="53">
        <f t="shared" si="141"/>
        <v>5.0000000000000001E-3</v>
      </c>
      <c r="I1272" s="53">
        <f t="shared" si="142"/>
        <v>0.14599999999999999</v>
      </c>
    </row>
    <row r="1273" spans="1:9" ht="51">
      <c r="A1273" s="58" t="s">
        <v>2750</v>
      </c>
      <c r="B1273" s="59" t="s">
        <v>2751</v>
      </c>
      <c r="C1273">
        <v>10</v>
      </c>
      <c r="D1273" t="str">
        <f>+VLOOKUP(AtecoCrisi[[#This Row],[COD. CRISI]],Tabella139[],2,0)</f>
        <v>PQRS) Servizi alle persone</v>
      </c>
      <c r="E1273" s="53">
        <f t="shared" si="138"/>
        <v>2.7E-2</v>
      </c>
      <c r="F1273" s="53">
        <f t="shared" si="139"/>
        <v>2.3E-2</v>
      </c>
      <c r="G1273" s="53">
        <f t="shared" si="140"/>
        <v>0.69799999999999995</v>
      </c>
      <c r="H1273" s="53">
        <f t="shared" si="141"/>
        <v>5.0000000000000001E-3</v>
      </c>
      <c r="I1273" s="53">
        <f t="shared" si="142"/>
        <v>0.14599999999999999</v>
      </c>
    </row>
    <row r="1274" spans="1:9" ht="25.5">
      <c r="A1274" s="58" t="s">
        <v>2752</v>
      </c>
      <c r="B1274" s="59" t="s">
        <v>2753</v>
      </c>
      <c r="C1274">
        <v>10</v>
      </c>
      <c r="D1274" t="str">
        <f>+VLOOKUP(AtecoCrisi[[#This Row],[COD. CRISI]],Tabella139[],2,0)</f>
        <v>PQRS) Servizi alle persone</v>
      </c>
      <c r="E1274" s="53">
        <f t="shared" si="138"/>
        <v>2.7E-2</v>
      </c>
      <c r="F1274" s="53">
        <f t="shared" si="139"/>
        <v>2.3E-2</v>
      </c>
      <c r="G1274" s="53">
        <f t="shared" si="140"/>
        <v>0.69799999999999995</v>
      </c>
      <c r="H1274" s="53">
        <f t="shared" si="141"/>
        <v>5.0000000000000001E-3</v>
      </c>
      <c r="I1274" s="53">
        <f t="shared" si="142"/>
        <v>0.14599999999999999</v>
      </c>
    </row>
    <row r="1275" spans="1:9" ht="38.25">
      <c r="A1275" s="58" t="s">
        <v>2754</v>
      </c>
      <c r="B1275" s="59" t="s">
        <v>2755</v>
      </c>
      <c r="C1275">
        <v>10</v>
      </c>
      <c r="D1275" t="str">
        <f>+VLOOKUP(AtecoCrisi[[#This Row],[COD. CRISI]],Tabella139[],2,0)</f>
        <v>PQRS) Servizi alle persone</v>
      </c>
      <c r="E1275" s="53">
        <f t="shared" si="138"/>
        <v>2.7E-2</v>
      </c>
      <c r="F1275" s="53">
        <f t="shared" si="139"/>
        <v>2.3E-2</v>
      </c>
      <c r="G1275" s="53">
        <f t="shared" si="140"/>
        <v>0.69799999999999995</v>
      </c>
      <c r="H1275" s="53">
        <f t="shared" si="141"/>
        <v>5.0000000000000001E-3</v>
      </c>
      <c r="I1275" s="53">
        <f t="shared" si="142"/>
        <v>0.14599999999999999</v>
      </c>
    </row>
    <row r="1276" spans="1:9" ht="63.75">
      <c r="A1276" s="58" t="s">
        <v>2756</v>
      </c>
      <c r="B1276" s="59" t="s">
        <v>2757</v>
      </c>
      <c r="C1276">
        <v>10</v>
      </c>
      <c r="D1276" t="str">
        <f>+VLOOKUP(AtecoCrisi[[#This Row],[COD. CRISI]],Tabella139[],2,0)</f>
        <v>PQRS) Servizi alle persone</v>
      </c>
      <c r="E1276" s="53">
        <f t="shared" si="138"/>
        <v>2.7E-2</v>
      </c>
      <c r="F1276" s="53">
        <f t="shared" si="139"/>
        <v>2.3E-2</v>
      </c>
      <c r="G1276" s="53">
        <f t="shared" si="140"/>
        <v>0.69799999999999995</v>
      </c>
      <c r="H1276" s="53">
        <f t="shared" si="141"/>
        <v>5.0000000000000001E-3</v>
      </c>
      <c r="I1276" s="53">
        <f t="shared" si="142"/>
        <v>0.14599999999999999</v>
      </c>
    </row>
    <row r="1277" spans="1:9" ht="25.5">
      <c r="A1277" s="58" t="s">
        <v>2758</v>
      </c>
      <c r="B1277" s="59" t="s">
        <v>2759</v>
      </c>
      <c r="C1277">
        <v>10</v>
      </c>
      <c r="D1277" t="str">
        <f>+VLOOKUP(AtecoCrisi[[#This Row],[COD. CRISI]],Tabella139[],2,0)</f>
        <v>PQRS) Servizi alle persone</v>
      </c>
      <c r="E1277" s="53">
        <f t="shared" si="138"/>
        <v>2.7E-2</v>
      </c>
      <c r="F1277" s="53">
        <f t="shared" si="139"/>
        <v>2.3E-2</v>
      </c>
      <c r="G1277" s="53">
        <f t="shared" si="140"/>
        <v>0.69799999999999995</v>
      </c>
      <c r="H1277" s="53">
        <f t="shared" si="141"/>
        <v>5.0000000000000001E-3</v>
      </c>
      <c r="I1277" s="53">
        <f t="shared" si="142"/>
        <v>0.14599999999999999</v>
      </c>
    </row>
    <row r="1278" spans="1:9" ht="38.25">
      <c r="A1278" s="58" t="s">
        <v>2760</v>
      </c>
      <c r="B1278" s="59" t="s">
        <v>2761</v>
      </c>
      <c r="C1278">
        <v>10</v>
      </c>
      <c r="D1278" t="str">
        <f>+VLOOKUP(AtecoCrisi[[#This Row],[COD. CRISI]],Tabella139[],2,0)</f>
        <v>PQRS) Servizi alle persone</v>
      </c>
      <c r="E1278" s="53">
        <f t="shared" si="138"/>
        <v>2.7E-2</v>
      </c>
      <c r="F1278" s="53">
        <f t="shared" si="139"/>
        <v>2.3E-2</v>
      </c>
      <c r="G1278" s="53">
        <f t="shared" si="140"/>
        <v>0.69799999999999995</v>
      </c>
      <c r="H1278" s="53">
        <f t="shared" si="141"/>
        <v>5.0000000000000001E-3</v>
      </c>
      <c r="I1278" s="53">
        <f t="shared" si="142"/>
        <v>0.14599999999999999</v>
      </c>
    </row>
    <row r="1279" spans="1:9" ht="267.75">
      <c r="A1279" s="51" t="s">
        <v>2762</v>
      </c>
      <c r="B1279" s="52" t="s">
        <v>2763</v>
      </c>
      <c r="D1279" t="e">
        <f>+VLOOKUP(AtecoCrisi[[#This Row],[COD. CRISI]],Tabella139[],2,0)</f>
        <v>#N/A</v>
      </c>
      <c r="E1279" s="53" t="e">
        <f t="shared" si="138"/>
        <v>#N/A</v>
      </c>
      <c r="F1279" s="53" t="e">
        <f t="shared" si="139"/>
        <v>#N/A</v>
      </c>
      <c r="G1279" s="53" t="e">
        <f t="shared" si="140"/>
        <v>#N/A</v>
      </c>
      <c r="H1279" s="53" t="e">
        <f t="shared" si="141"/>
        <v>#N/A</v>
      </c>
      <c r="I1279" s="53" t="e">
        <f t="shared" si="142"/>
        <v>#N/A</v>
      </c>
    </row>
    <row r="1280" spans="1:9" ht="89.25">
      <c r="A1280" s="56" t="s">
        <v>2764</v>
      </c>
      <c r="B1280" s="57" t="s">
        <v>2765</v>
      </c>
      <c r="D1280" t="e">
        <f>+VLOOKUP(AtecoCrisi[[#This Row],[COD. CRISI]],Tabella139[],2,0)</f>
        <v>#N/A</v>
      </c>
      <c r="E1280" s="53" t="e">
        <f t="shared" si="138"/>
        <v>#N/A</v>
      </c>
      <c r="F1280" s="53" t="e">
        <f t="shared" si="139"/>
        <v>#N/A</v>
      </c>
      <c r="G1280" s="53" t="e">
        <f t="shared" si="140"/>
        <v>#N/A</v>
      </c>
      <c r="H1280" s="53" t="e">
        <f t="shared" si="141"/>
        <v>#N/A</v>
      </c>
      <c r="I1280" s="53" t="e">
        <f t="shared" si="142"/>
        <v>#N/A</v>
      </c>
    </row>
    <row r="1281" spans="1:9" ht="63.75">
      <c r="A1281" s="58" t="s">
        <v>2766</v>
      </c>
      <c r="B1281" s="59" t="s">
        <v>2767</v>
      </c>
      <c r="D1281" t="e">
        <f>+VLOOKUP(AtecoCrisi[[#This Row],[COD. CRISI]],Tabella139[],2,0)</f>
        <v>#N/A</v>
      </c>
      <c r="E1281" s="53" t="e">
        <f t="shared" si="138"/>
        <v>#N/A</v>
      </c>
      <c r="F1281" s="53" t="e">
        <f t="shared" si="139"/>
        <v>#N/A</v>
      </c>
      <c r="G1281" s="53" t="e">
        <f t="shared" si="140"/>
        <v>#N/A</v>
      </c>
      <c r="H1281" s="53" t="e">
        <f t="shared" si="141"/>
        <v>#N/A</v>
      </c>
      <c r="I1281" s="53" t="e">
        <f t="shared" si="142"/>
        <v>#N/A</v>
      </c>
    </row>
    <row r="1282" spans="1:9" ht="102">
      <c r="A1282" s="56" t="s">
        <v>2768</v>
      </c>
      <c r="B1282" s="57" t="s">
        <v>2769</v>
      </c>
      <c r="D1282" t="e">
        <f>+VLOOKUP(AtecoCrisi[[#This Row],[COD. CRISI]],Tabella139[],2,0)</f>
        <v>#N/A</v>
      </c>
      <c r="E1282" s="53" t="e">
        <f t="shared" si="138"/>
        <v>#N/A</v>
      </c>
      <c r="F1282" s="53" t="e">
        <f t="shared" si="139"/>
        <v>#N/A</v>
      </c>
      <c r="G1282" s="53" t="e">
        <f t="shared" si="140"/>
        <v>#N/A</v>
      </c>
      <c r="H1282" s="53" t="e">
        <f t="shared" si="141"/>
        <v>#N/A</v>
      </c>
      <c r="I1282" s="53" t="e">
        <f t="shared" si="142"/>
        <v>#N/A</v>
      </c>
    </row>
    <row r="1283" spans="1:9" ht="63.75">
      <c r="A1283" s="58" t="s">
        <v>2770</v>
      </c>
      <c r="B1283" s="59" t="s">
        <v>2771</v>
      </c>
      <c r="D1283" t="e">
        <f>+VLOOKUP(AtecoCrisi[[#This Row],[COD. CRISI]],Tabella139[],2,0)</f>
        <v>#N/A</v>
      </c>
      <c r="E1283" s="53" t="e">
        <f t="shared" si="138"/>
        <v>#N/A</v>
      </c>
      <c r="F1283" s="53" t="e">
        <f t="shared" si="139"/>
        <v>#N/A</v>
      </c>
      <c r="G1283" s="53" t="e">
        <f t="shared" si="140"/>
        <v>#N/A</v>
      </c>
      <c r="H1283" s="53" t="e">
        <f t="shared" si="141"/>
        <v>#N/A</v>
      </c>
      <c r="I1283" s="53" t="e">
        <f t="shared" si="142"/>
        <v>#N/A</v>
      </c>
    </row>
    <row r="1284" spans="1:9" ht="76.5">
      <c r="A1284" s="58" t="s">
        <v>2772</v>
      </c>
      <c r="B1284" s="59" t="s">
        <v>2773</v>
      </c>
      <c r="D1284" t="e">
        <f>+VLOOKUP(AtecoCrisi[[#This Row],[COD. CRISI]],Tabella139[],2,0)</f>
        <v>#N/A</v>
      </c>
      <c r="E1284" s="53" t="e">
        <f t="shared" si="138"/>
        <v>#N/A</v>
      </c>
      <c r="F1284" s="53" t="e">
        <f t="shared" si="139"/>
        <v>#N/A</v>
      </c>
      <c r="G1284" s="53" t="e">
        <f t="shared" si="140"/>
        <v>#N/A</v>
      </c>
      <c r="H1284" s="53" t="e">
        <f t="shared" si="141"/>
        <v>#N/A</v>
      </c>
      <c r="I1284" s="53" t="e">
        <f t="shared" si="142"/>
        <v>#N/A</v>
      </c>
    </row>
    <row r="1285" spans="1:9" ht="78.75">
      <c r="A1285" s="51" t="s">
        <v>2774</v>
      </c>
      <c r="B1285" s="52" t="s">
        <v>2775</v>
      </c>
      <c r="D1285" t="e">
        <f>+VLOOKUP(AtecoCrisi[[#This Row],[COD. CRISI]],Tabella139[],2,0)</f>
        <v>#N/A</v>
      </c>
      <c r="E1285" s="53" t="e">
        <f t="shared" si="138"/>
        <v>#N/A</v>
      </c>
      <c r="F1285" s="53" t="e">
        <f t="shared" si="139"/>
        <v>#N/A</v>
      </c>
      <c r="G1285" s="53" t="e">
        <f t="shared" si="140"/>
        <v>#N/A</v>
      </c>
      <c r="H1285" s="53" t="e">
        <f t="shared" si="141"/>
        <v>#N/A</v>
      </c>
      <c r="I1285" s="53" t="e">
        <f t="shared" si="142"/>
        <v>#N/A</v>
      </c>
    </row>
    <row r="1286" spans="1:9" ht="51">
      <c r="A1286" s="56" t="s">
        <v>2776</v>
      </c>
      <c r="B1286" s="57" t="s">
        <v>2775</v>
      </c>
      <c r="D1286" t="e">
        <f>+VLOOKUP(AtecoCrisi[[#This Row],[COD. CRISI]],Tabella139[],2,0)</f>
        <v>#N/A</v>
      </c>
      <c r="E1286" s="53" t="e">
        <f t="shared" si="138"/>
        <v>#N/A</v>
      </c>
      <c r="F1286" s="53" t="e">
        <f t="shared" si="139"/>
        <v>#N/A</v>
      </c>
      <c r="G1286" s="53" t="e">
        <f t="shared" si="140"/>
        <v>#N/A</v>
      </c>
      <c r="H1286" s="53" t="e">
        <f t="shared" si="141"/>
        <v>#N/A</v>
      </c>
      <c r="I1286" s="53" t="e">
        <f t="shared" si="142"/>
        <v>#N/A</v>
      </c>
    </row>
    <row r="1287" spans="1:9" ht="38.25">
      <c r="A1287" s="58" t="s">
        <v>2777</v>
      </c>
      <c r="B1287" s="59" t="s">
        <v>2778</v>
      </c>
      <c r="D1287" t="e">
        <f>+VLOOKUP(AtecoCrisi[[#This Row],[COD. CRISI]],Tabella139[],2,0)</f>
        <v>#N/A</v>
      </c>
      <c r="E1287" s="53" t="e">
        <f t="shared" si="138"/>
        <v>#N/A</v>
      </c>
      <c r="F1287" s="53" t="e">
        <f t="shared" si="139"/>
        <v>#N/A</v>
      </c>
      <c r="G1287" s="53" t="e">
        <f t="shared" si="140"/>
        <v>#N/A</v>
      </c>
      <c r="H1287" s="53" t="e">
        <f t="shared" si="141"/>
        <v>#N/A</v>
      </c>
      <c r="I1287" s="53" t="e">
        <f t="shared" si="142"/>
        <v>#N/A</v>
      </c>
    </row>
    <row r="1288" spans="1:9" hidden="1"/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B2E99503D3AD4DA2231F0D240043DD" ma:contentTypeVersion="18" ma:contentTypeDescription="Creare un nuovo documento." ma:contentTypeScope="" ma:versionID="57b8045e8abefa85dedc7991371a38b2">
  <xsd:schema xmlns:xsd="http://www.w3.org/2001/XMLSchema" xmlns:xs="http://www.w3.org/2001/XMLSchema" xmlns:p="http://schemas.microsoft.com/office/2006/metadata/properties" xmlns:ns2="77a3f60d-3740-4b8f-aea2-18b203205ead" xmlns:ns3="6c014026-a0ef-45dc-9ca9-ac355db24e99" targetNamespace="http://schemas.microsoft.com/office/2006/metadata/properties" ma:root="true" ma:fieldsID="f5ecd2ee382a35af39c71524ba84a011" ns2:_="" ns3:_="">
    <xsd:import namespace="77a3f60d-3740-4b8f-aea2-18b203205ead"/>
    <xsd:import namespace="6c014026-a0ef-45dc-9ca9-ac355db24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3f60d-3740-4b8f-aea2-18b203205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bbff36a2-fd21-4e1e-a182-03a870c0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14026-a0ef-45dc-9ca9-ac355db24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17ed12-4c7d-4ce0-86b8-91d9357e9166}" ma:internalName="TaxCatchAll" ma:showField="CatchAllData" ma:web="6c014026-a0ef-45dc-9ca9-ac355db24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014026-a0ef-45dc-9ca9-ac355db24e99" xsi:nil="true"/>
    <lcf76f155ced4ddcb4097134ff3c332f xmlns="77a3f60d-3740-4b8f-aea2-18b203205ead">
      <Terms xmlns="http://schemas.microsoft.com/office/infopath/2007/PartnerControls"/>
    </lcf76f155ced4ddcb4097134ff3c332f>
  </documentManagement>
</p:properties>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4A67E7-B9DB-4865-9204-690FFD31144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EE8360C-D20F-4173-97F7-8FF1340414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a3f60d-3740-4b8f-aea2-18b203205ead"/>
    <ds:schemaRef ds:uri="6c014026-a0ef-45dc-9ca9-ac355db24e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B349E2-F5EA-4374-BF2F-A2D1D48FD3C9}">
  <ds:schemaRefs>
    <ds:schemaRef ds:uri="http://www.w3.org/XML/1998/namespace"/>
    <ds:schemaRef ds:uri="http://purl.org/dc/terms/"/>
    <ds:schemaRef ds:uri="http://purl.org/dc/elements/1.1/"/>
    <ds:schemaRef ds:uri="77a3f60d-3740-4b8f-aea2-18b203205ead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c014026-a0ef-45dc-9ca9-ac355db24e99"/>
  </ds:schemaRefs>
</ds:datastoreItem>
</file>

<file path=customXml/itemProps4.xml><?xml version="1.0" encoding="utf-8"?>
<ds:datastoreItem xmlns:ds="http://schemas.openxmlformats.org/officeDocument/2006/customXml" ds:itemID="{832CCFD8-AF38-4184-8120-D01A9974E33A}">
  <ds:schemaRefs>
    <ds:schemaRef ds:uri="http://schemas.microsoft.com/PowerBIAddIn"/>
  </ds:schemaRefs>
</ds:datastoreItem>
</file>

<file path=customXml/itemProps5.xml><?xml version="1.0" encoding="utf-8"?>
<ds:datastoreItem xmlns:ds="http://schemas.openxmlformats.org/officeDocument/2006/customXml" ds:itemID="{4C3E9F26-C5E1-4384-A450-08C537E3D4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6</vt:i4>
      </vt:variant>
    </vt:vector>
  </HeadingPairs>
  <TitlesOfParts>
    <vt:vector size="9" baseType="lpstr">
      <vt:lpstr>TabelleCompilate</vt:lpstr>
      <vt:lpstr>Score</vt:lpstr>
      <vt:lpstr>ATECO</vt:lpstr>
      <vt:lpstr>a</vt:lpstr>
      <vt:lpstr>Score!Area_stampa</vt:lpstr>
      <vt:lpstr>ATE</vt:lpstr>
      <vt:lpstr>cemcc</vt:lpstr>
      <vt:lpstr>rateco</vt:lpstr>
      <vt:lpstr>SETT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</dc:creator>
  <cp:lastModifiedBy>Alessandro Pastore</cp:lastModifiedBy>
  <cp:revision/>
  <cp:lastPrinted>2019-03-04T17:08:53Z</cp:lastPrinted>
  <dcterms:created xsi:type="dcterms:W3CDTF">2012-07-12T16:14:36Z</dcterms:created>
  <dcterms:modified xsi:type="dcterms:W3CDTF">2025-02-11T14:20:56Z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0x01010049B2E99503D3AD4DA2231F0D240043DD</vt:lpwstr>
  </property>
  <property fmtid="{D5CDD505-2E9C-101B-9397-08002B2CF9AE}" pid="4" name="MediaServiceImageTags">
    <vt:lpwstr/>
  </property>
</Properties>
</file>