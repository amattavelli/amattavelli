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Y:\Clienti\IL Sole24ore\TOOLS\FINITI\ANALISIBIL\"/>
    </mc:Choice>
  </mc:AlternateContent>
  <xr:revisionPtr revIDLastSave="0" documentId="13_ncr:1_{B3B298A8-A0C8-4512-9E20-8FCEFA3D3BFF}" xr6:coauthVersionLast="47" xr6:coauthVersionMax="47" xr10:uidLastSave="{00000000-0000-0000-0000-000000000000}"/>
  <bookViews>
    <workbookView xWindow="45972" yWindow="8652" windowWidth="30936" windowHeight="16776" activeTab="1" xr2:uid="{1617A5C1-47FE-4F81-AABF-A72344E543F6}"/>
  </bookViews>
  <sheets>
    <sheet name="Foglio2" sheetId="3" r:id="rId1"/>
    <sheet name="Tabella1" sheetId="2" r:id="rId2"/>
    <sheet name="Foglio1" sheetId="1" r:id="rId3"/>
  </sheets>
  <definedNames>
    <definedName name="DatiEsterni_1" localSheetId="1" hidden="1">Tabella1!$A$1:$H$879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42" i="2" l="1"/>
  <c r="S22" i="2"/>
  <c r="S9" i="2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2" i="1"/>
  <c r="N3" i="2" l="1"/>
  <c r="N4" i="2"/>
  <c r="N5" i="2"/>
  <c r="N6" i="2"/>
  <c r="N7" i="2"/>
  <c r="N8" i="2"/>
  <c r="P8" i="2" s="1"/>
  <c r="N9" i="2"/>
  <c r="O9" i="2" s="1"/>
  <c r="N10" i="2"/>
  <c r="N11" i="2"/>
  <c r="N12" i="2"/>
  <c r="N13" i="2"/>
  <c r="N14" i="2"/>
  <c r="N15" i="2"/>
  <c r="N16" i="2"/>
  <c r="P16" i="2" s="1"/>
  <c r="N17" i="2"/>
  <c r="O17" i="2" s="1"/>
  <c r="N18" i="2"/>
  <c r="N19" i="2"/>
  <c r="N20" i="2"/>
  <c r="N21" i="2"/>
  <c r="N22" i="2"/>
  <c r="N23" i="2"/>
  <c r="N24" i="2"/>
  <c r="P24" i="2" s="1"/>
  <c r="N25" i="2"/>
  <c r="O25" i="2" s="1"/>
  <c r="N26" i="2"/>
  <c r="N27" i="2"/>
  <c r="N28" i="2"/>
  <c r="N29" i="2"/>
  <c r="N30" i="2"/>
  <c r="N31" i="2"/>
  <c r="N32" i="2"/>
  <c r="P32" i="2" s="1"/>
  <c r="N33" i="2"/>
  <c r="O33" i="2" s="1"/>
  <c r="N34" i="2"/>
  <c r="N35" i="2"/>
  <c r="N36" i="2"/>
  <c r="N37" i="2"/>
  <c r="N38" i="2"/>
  <c r="N39" i="2"/>
  <c r="N40" i="2"/>
  <c r="P40" i="2" s="1"/>
  <c r="N41" i="2"/>
  <c r="O41" i="2" s="1"/>
  <c r="N42" i="2"/>
  <c r="N2" i="2"/>
  <c r="M2" i="2" a="1"/>
  <c r="M2" i="2" s="1"/>
  <c r="P3" i="2"/>
  <c r="Q3" i="2"/>
  <c r="R3" i="2"/>
  <c r="P4" i="2"/>
  <c r="Q4" i="2"/>
  <c r="R4" i="2"/>
  <c r="P5" i="2"/>
  <c r="Q5" i="2"/>
  <c r="R5" i="2"/>
  <c r="P6" i="2"/>
  <c r="Q6" i="2"/>
  <c r="R6" i="2"/>
  <c r="P7" i="2"/>
  <c r="Q7" i="2"/>
  <c r="R7" i="2"/>
  <c r="R9" i="2"/>
  <c r="P10" i="2"/>
  <c r="Q10" i="2"/>
  <c r="R10" i="2"/>
  <c r="P11" i="2"/>
  <c r="Q11" i="2"/>
  <c r="R11" i="2"/>
  <c r="P12" i="2"/>
  <c r="Q12" i="2"/>
  <c r="R12" i="2"/>
  <c r="P13" i="2"/>
  <c r="Q13" i="2"/>
  <c r="R13" i="2"/>
  <c r="P14" i="2"/>
  <c r="Q14" i="2"/>
  <c r="R14" i="2"/>
  <c r="P15" i="2"/>
  <c r="Q15" i="2"/>
  <c r="R15" i="2"/>
  <c r="R17" i="2"/>
  <c r="P18" i="2"/>
  <c r="Q18" i="2"/>
  <c r="R18" i="2"/>
  <c r="P19" i="2"/>
  <c r="Q19" i="2"/>
  <c r="R19" i="2"/>
  <c r="P20" i="2"/>
  <c r="Q20" i="2"/>
  <c r="R20" i="2"/>
  <c r="P21" i="2"/>
  <c r="Q21" i="2"/>
  <c r="R21" i="2"/>
  <c r="P22" i="2"/>
  <c r="Q22" i="2"/>
  <c r="R22" i="2"/>
  <c r="P23" i="2"/>
  <c r="Q23" i="2"/>
  <c r="R23" i="2"/>
  <c r="R25" i="2"/>
  <c r="P26" i="2"/>
  <c r="Q26" i="2"/>
  <c r="R26" i="2"/>
  <c r="P27" i="2"/>
  <c r="Q27" i="2"/>
  <c r="R27" i="2"/>
  <c r="P28" i="2"/>
  <c r="Q28" i="2"/>
  <c r="R28" i="2"/>
  <c r="P29" i="2"/>
  <c r="Q29" i="2"/>
  <c r="R29" i="2"/>
  <c r="P30" i="2"/>
  <c r="Q30" i="2"/>
  <c r="R30" i="2"/>
  <c r="P31" i="2"/>
  <c r="Q31" i="2"/>
  <c r="R31" i="2"/>
  <c r="R33" i="2"/>
  <c r="P34" i="2"/>
  <c r="Q34" i="2"/>
  <c r="R34" i="2"/>
  <c r="P35" i="2"/>
  <c r="Q35" i="2"/>
  <c r="R35" i="2"/>
  <c r="P36" i="2"/>
  <c r="Q36" i="2"/>
  <c r="R36" i="2"/>
  <c r="P37" i="2"/>
  <c r="Q37" i="2"/>
  <c r="R37" i="2"/>
  <c r="P38" i="2"/>
  <c r="Q38" i="2"/>
  <c r="R38" i="2"/>
  <c r="P39" i="2"/>
  <c r="Q39" i="2"/>
  <c r="R39" i="2"/>
  <c r="R41" i="2"/>
  <c r="P42" i="2"/>
  <c r="Q42" i="2"/>
  <c r="R42" i="2"/>
  <c r="R2" i="2"/>
  <c r="Q2" i="2"/>
  <c r="P2" i="2"/>
  <c r="O3" i="2"/>
  <c r="O4" i="2"/>
  <c r="O5" i="2"/>
  <c r="O6" i="2"/>
  <c r="O7" i="2"/>
  <c r="O10" i="2"/>
  <c r="O11" i="2"/>
  <c r="O12" i="2"/>
  <c r="O13" i="2"/>
  <c r="O14" i="2"/>
  <c r="O15" i="2"/>
  <c r="O18" i="2"/>
  <c r="O19" i="2"/>
  <c r="O20" i="2"/>
  <c r="O21" i="2"/>
  <c r="O22" i="2"/>
  <c r="O23" i="2"/>
  <c r="O26" i="2"/>
  <c r="O27" i="2"/>
  <c r="O28" i="2"/>
  <c r="O29" i="2"/>
  <c r="O30" i="2"/>
  <c r="O31" i="2"/>
  <c r="O34" i="2"/>
  <c r="O35" i="2"/>
  <c r="O36" i="2"/>
  <c r="O37" i="2"/>
  <c r="O38" i="2"/>
  <c r="O39" i="2"/>
  <c r="O42" i="2"/>
  <c r="O2" i="2"/>
  <c r="O1" i="2" a="1"/>
  <c r="O1" i="2" s="1"/>
  <c r="Q41" i="2" l="1"/>
  <c r="Q33" i="2"/>
  <c r="Q25" i="2"/>
  <c r="Q17" i="2"/>
  <c r="Q9" i="2"/>
  <c r="P41" i="2"/>
  <c r="P33" i="2"/>
  <c r="P25" i="2"/>
  <c r="P17" i="2"/>
  <c r="P9" i="2"/>
  <c r="R40" i="2"/>
  <c r="R32" i="2"/>
  <c r="R24" i="2"/>
  <c r="R16" i="2"/>
  <c r="R8" i="2"/>
  <c r="O40" i="2"/>
  <c r="O32" i="2"/>
  <c r="O24" i="2"/>
  <c r="O16" i="2"/>
  <c r="O8" i="2"/>
  <c r="Q40" i="2"/>
  <c r="Q32" i="2"/>
  <c r="Q24" i="2"/>
  <c r="Q16" i="2"/>
  <c r="Q8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F0FCF3-4D46-4195-9232-6ACC0E3D3851}" keepAlive="1" name="Query - Tabella1" description="Connessione alla query 'Tabella1' nella cartella di lavoro." type="5" refreshedVersion="8" background="1" saveData="1">
    <dbPr connection="Provider=Microsoft.Mashup.OleDb.1;Data Source=$Workbook$;Location=Tabella1;Extended Properties=&quot;&quot;" command="SELECT * FROM [Tabella1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<sst xmlns="http://schemas.openxmlformats.org/spreadsheetml/2006/main" count="7346" uniqueCount="805">
  <si>
    <t>CodConto</t>
  </si>
  <si>
    <t>Descr</t>
  </si>
  <si>
    <t>DATA</t>
  </si>
  <si>
    <t>Impo</t>
  </si>
  <si>
    <t>Cod</t>
  </si>
  <si>
    <t>DescrBil2</t>
  </si>
  <si>
    <t>06/0010/0015</t>
  </si>
  <si>
    <t xml:space="preserve">MACCHINARI                      </t>
  </si>
  <si>
    <t>II -IMMOBILIZZAZIONI MATERIALI:</t>
  </si>
  <si>
    <t>IMMOBILIZZ. MATERIALI</t>
  </si>
  <si>
    <t>06/0015/0005</t>
  </si>
  <si>
    <t xml:space="preserve">ATTREZZAT. IND.LI E COMM.LI     </t>
  </si>
  <si>
    <t>06/0025/0025</t>
  </si>
  <si>
    <t xml:space="preserve">AUTOVETTURE                     </t>
  </si>
  <si>
    <t>06/0030/0040</t>
  </si>
  <si>
    <t>ARREDI UFFICIO</t>
  </si>
  <si>
    <t>06/0020/0005</t>
  </si>
  <si>
    <t>MACCHINE UFFICIO ELETTRONICHE</t>
  </si>
  <si>
    <t>06/0030/0046</t>
  </si>
  <si>
    <t>TELEFONI CELLULARI</t>
  </si>
  <si>
    <t>06/0030/0047</t>
  </si>
  <si>
    <t>TELEFONIA</t>
  </si>
  <si>
    <t>06/0030/0048</t>
  </si>
  <si>
    <t>FAX</t>
  </si>
  <si>
    <t>06/0005/0015</t>
  </si>
  <si>
    <t xml:space="preserve">FABBRICATI IND.LI. E COMM.LI    </t>
  </si>
  <si>
    <t>06/0015/0006</t>
  </si>
  <si>
    <t>SICUREZZA SUL LAVORO 626</t>
  </si>
  <si>
    <t>06/0005/0020</t>
  </si>
  <si>
    <t xml:space="preserve">COSTRUZIONI LEGGERE             </t>
  </si>
  <si>
    <t>06/0030/0045</t>
  </si>
  <si>
    <t>ARREDI LABORATORIO</t>
  </si>
  <si>
    <t>06/0030/0051</t>
  </si>
  <si>
    <t>CLIMATIZZATORI</t>
  </si>
  <si>
    <t>06/0030/0052</t>
  </si>
  <si>
    <t>IMPIANTI ELETTRICI</t>
  </si>
  <si>
    <t>06/0030/0053</t>
  </si>
  <si>
    <t>MIGLIORIE SU BENI TERZI</t>
  </si>
  <si>
    <t>06/0030/0054</t>
  </si>
  <si>
    <t>BANCHI DI COLLAUDO</t>
  </si>
  <si>
    <t>06/0030/0049</t>
  </si>
  <si>
    <t>TIMBRATORE</t>
  </si>
  <si>
    <t>06/0005/0005</t>
  </si>
  <si>
    <t xml:space="preserve">TERRENI                         </t>
  </si>
  <si>
    <t>03/0010/0006</t>
  </si>
  <si>
    <t>STUDI DI PROGETTAZIONE</t>
  </si>
  <si>
    <t>I -IMMOBILIZZAZIONI  IMMATERIALI:</t>
  </si>
  <si>
    <t xml:space="preserve">IMMOBILIZZ. IMMATERIALI </t>
  </si>
  <si>
    <t>06/0015/0000</t>
  </si>
  <si>
    <t xml:space="preserve">ATTREZZATURE IND.LI E COMM.LI   </t>
  </si>
  <si>
    <t>03/0010/0007</t>
  </si>
  <si>
    <t>PROGRAMMI COMPUTER</t>
  </si>
  <si>
    <t>03/0010/0010</t>
  </si>
  <si>
    <t>CERTIFICAZIONE QUALITA'</t>
  </si>
  <si>
    <t>03/0010/0008</t>
  </si>
  <si>
    <t>SITO INTERNET</t>
  </si>
  <si>
    <t>03/0010/0005</t>
  </si>
  <si>
    <t>COSTI DI RIC.,SVIL.,PUBB. DA AMM</t>
  </si>
  <si>
    <t>03/0010/0009</t>
  </si>
  <si>
    <t>SVILUPPO PRODOTTI</t>
  </si>
  <si>
    <t>14</t>
  </si>
  <si>
    <t>CLIENTI</t>
  </si>
  <si>
    <t>Esigibili entro l'esercizio successivo</t>
  </si>
  <si>
    <t xml:space="preserve">CREDITI COMMERCIALI </t>
  </si>
  <si>
    <t>24/0015/0005</t>
  </si>
  <si>
    <t xml:space="preserve">DENARO IN CASSA                 </t>
  </si>
  <si>
    <t>IV -DISPONIBILITÀ LIQUIDE:</t>
  </si>
  <si>
    <t xml:space="preserve">CASSA E BANCHE </t>
  </si>
  <si>
    <t>24/0005/0002</t>
  </si>
  <si>
    <t>UBI BANCA SPA</t>
  </si>
  <si>
    <t>Esigibili entro l'esercizio successivo :</t>
  </si>
  <si>
    <t>DEBITI VS. BANCHE</t>
  </si>
  <si>
    <t>24/0005/0012</t>
  </si>
  <si>
    <t>UBI BANCA S.B.F</t>
  </si>
  <si>
    <t>24/0005/0001</t>
  </si>
  <si>
    <t>UNICREDIT BANCA</t>
  </si>
  <si>
    <t>24/0005/0011</t>
  </si>
  <si>
    <t>UNICREDIT S.B.F</t>
  </si>
  <si>
    <t>10/000018</t>
  </si>
  <si>
    <t xml:space="preserve">CartaSì Nebuloni 2637                    </t>
  </si>
  <si>
    <t>10/000020</t>
  </si>
  <si>
    <t xml:space="preserve">BANCA NAZIONALE DEL LAVORO               </t>
  </si>
  <si>
    <t>24/0005/0015</t>
  </si>
  <si>
    <t>FINANZ. ESTERO UNICREDIT</t>
  </si>
  <si>
    <t>24/0005/0004</t>
  </si>
  <si>
    <t>BANCA DESIO E DELLA BRIANZA SPA</t>
  </si>
  <si>
    <t>24/0005/0014</t>
  </si>
  <si>
    <t>BANCO DESIO S.B.F.</t>
  </si>
  <si>
    <t>15/0005/0050</t>
  </si>
  <si>
    <t xml:space="preserve">CARTE DI CREDITO                </t>
  </si>
  <si>
    <t>24/0005/0020</t>
  </si>
  <si>
    <t>UNICREDIT C/FATTURE ANTICIPATE</t>
  </si>
  <si>
    <t>24/0005/0018</t>
  </si>
  <si>
    <t>FINANZ. ESTERO BANCO DESIO</t>
  </si>
  <si>
    <t>24/0005/0003</t>
  </si>
  <si>
    <t>BANCA REALE</t>
  </si>
  <si>
    <t>24/0005/0013</t>
  </si>
  <si>
    <t>BANCA REALE S.B.F.</t>
  </si>
  <si>
    <t>24/0005/0019</t>
  </si>
  <si>
    <t>REALE C/FATTURE ANTICIPATE</t>
  </si>
  <si>
    <t>24/0005/0017</t>
  </si>
  <si>
    <t>FINANZ. ESTERO BANCA REALE</t>
  </si>
  <si>
    <t>24/0005/0016</t>
  </si>
  <si>
    <t>FINANZ. ESTERO UBI</t>
  </si>
  <si>
    <t>24/0005/0010</t>
  </si>
  <si>
    <t>UNICREDIT C/ANT. FT PMR</t>
  </si>
  <si>
    <t>24/0005/0033</t>
  </si>
  <si>
    <t>CARTASI' FAVERO 1582 REALE</t>
  </si>
  <si>
    <t>24/0005/0034</t>
  </si>
  <si>
    <t>CARTASI' SALOGNI 076 REALE</t>
  </si>
  <si>
    <t>18/0030/0010</t>
  </si>
  <si>
    <t>CREDITI V/SOCI</t>
  </si>
  <si>
    <t>ALTRI CREDITI E RATEI E RISC.</t>
  </si>
  <si>
    <t>48/0005/0005</t>
  </si>
  <si>
    <t>ERARIO C/IRAP</t>
  </si>
  <si>
    <t>48/0005/0015</t>
  </si>
  <si>
    <t>ERARIO C/IMPOSTA SOST. RIV. TFR</t>
  </si>
  <si>
    <t>09/0010/0030</t>
  </si>
  <si>
    <t>DEPOSITI CAUZIONALI SU CONTRATTI</t>
  </si>
  <si>
    <t>48/0005/0010</t>
  </si>
  <si>
    <t>ERARIO C/IRES</t>
  </si>
  <si>
    <t>18/0045/0093</t>
  </si>
  <si>
    <t>QUOTE SOCIALI ARTIGIANFIDI</t>
  </si>
  <si>
    <t>11/000011</t>
  </si>
  <si>
    <t xml:space="preserve">Polizza Vita CreditRas N.3.113.326 UNICR </t>
  </si>
  <si>
    <t>18/0045/0051</t>
  </si>
  <si>
    <t>POLIZZA VITA 3223567 IMPRESA PLUS</t>
  </si>
  <si>
    <t>18/0045/0050</t>
  </si>
  <si>
    <t>POLIZZA VITA 3359864 UNIBONUS PLUS 2012</t>
  </si>
  <si>
    <t>11/0020/0010</t>
  </si>
  <si>
    <t xml:space="preserve">MERCI                           </t>
  </si>
  <si>
    <t>I -RIMANENZE:</t>
  </si>
  <si>
    <t>PRODOTTI FINITI E SL</t>
  </si>
  <si>
    <t>26/0010/0005</t>
  </si>
  <si>
    <t xml:space="preserve">RISCONTI ATTIVI                 </t>
  </si>
  <si>
    <t>D) RATEI  E  RISCONTI  ATTIVI:</t>
  </si>
  <si>
    <t>14/000008</t>
  </si>
  <si>
    <t xml:space="preserve">Cred.Soff. SERTAM SRL                    </t>
  </si>
  <si>
    <t>Esigibili oltre l'esercizio successivo</t>
  </si>
  <si>
    <t>14/000012</t>
  </si>
  <si>
    <t>Cred.Soff. TESI SRL</t>
  </si>
  <si>
    <t>14/000013</t>
  </si>
  <si>
    <t>Cred.Soff. LGT SRL</t>
  </si>
  <si>
    <t>14/000014</t>
  </si>
  <si>
    <t>Cred.Soff. TECNOWELDING SRL</t>
  </si>
  <si>
    <t>14/000015</t>
  </si>
  <si>
    <t>Cred.Soff. E.T.T.2 SRL</t>
  </si>
  <si>
    <t>40</t>
  </si>
  <si>
    <t>DEBITI V/FORNITORI</t>
  </si>
  <si>
    <t>FORNITORI</t>
  </si>
  <si>
    <t>41/0005/0005</t>
  </si>
  <si>
    <t xml:space="preserve">FATTURE DA RICEVERE             </t>
  </si>
  <si>
    <t>48/0005/0085</t>
  </si>
  <si>
    <t xml:space="preserve">ERARIO C/RIT. LAVORO AUTONOMO   </t>
  </si>
  <si>
    <t>DEBITI TRIBUTARI E CONTRIBUTIVI</t>
  </si>
  <si>
    <t>52/0005/0055</t>
  </si>
  <si>
    <t xml:space="preserve">DIPENDENTI C/RETRIBUZIONI       </t>
  </si>
  <si>
    <t>ALTRE PASSIVITA' E RATEI E RISC</t>
  </si>
  <si>
    <t>48/0005/0115</t>
  </si>
  <si>
    <t>DEBITI IRPEF LAVORAT. DIPENDENTE</t>
  </si>
  <si>
    <t>50/0005/0010</t>
  </si>
  <si>
    <t xml:space="preserve">INPS C/CONTR. SOC. LAV. AUT.    </t>
  </si>
  <si>
    <t>48/0005/0105</t>
  </si>
  <si>
    <t xml:space="preserve">REGIONI C/RIT. ADDIZ. IRPEF     </t>
  </si>
  <si>
    <t>48/0005/0110</t>
  </si>
  <si>
    <t xml:space="preserve">COMUNI C/RIT. ADDIZ. IRPEF      </t>
  </si>
  <si>
    <t>52/0005/0080</t>
  </si>
  <si>
    <t xml:space="preserve">COLLABORATORI C/COMPENSI        </t>
  </si>
  <si>
    <t>22/000031</t>
  </si>
  <si>
    <t xml:space="preserve">Finanz.055-000-3857912 UNIC ristrutt fab </t>
  </si>
  <si>
    <t>22/000037</t>
  </si>
  <si>
    <t>Finaz.055-000-4466226 UNICR</t>
  </si>
  <si>
    <t>22/000038</t>
  </si>
  <si>
    <t>Finanz. 055-000-4466219 UNICREDIT</t>
  </si>
  <si>
    <t>22/000042</t>
  </si>
  <si>
    <t>IRES Da ravvedere</t>
  </si>
  <si>
    <t>22/000043</t>
  </si>
  <si>
    <t>IRAP Da ravvedere</t>
  </si>
  <si>
    <t>22/000041</t>
  </si>
  <si>
    <t>Finanz. 055-000-3857912 ENTRO</t>
  </si>
  <si>
    <t>48/0005/0040</t>
  </si>
  <si>
    <t xml:space="preserve">ERARIO C/IVA                    </t>
  </si>
  <si>
    <t>31/0005/0005</t>
  </si>
  <si>
    <t xml:space="preserve">DEBITI P/T.F.R.                 </t>
  </si>
  <si>
    <t>C) TRATTAMENTO DI FINE RAPPORTO DI LAVORO SUBORDINATO</t>
  </si>
  <si>
    <t>TFR</t>
  </si>
  <si>
    <t>50/0005/0037</t>
  </si>
  <si>
    <t>FONDO METASALUTE C/CONTRIBUTI</t>
  </si>
  <si>
    <t>FONDI RISCHI</t>
  </si>
  <si>
    <t>07/0010/0015</t>
  </si>
  <si>
    <t xml:space="preserve">F/AMM MACCHINARI                </t>
  </si>
  <si>
    <t>FDO IMM. MAT.</t>
  </si>
  <si>
    <t>07/0015/0005</t>
  </si>
  <si>
    <t>F/AMM ATTREZ. IND.LI E COMM.LI</t>
  </si>
  <si>
    <t>07/0025/0015</t>
  </si>
  <si>
    <t>F/AMM. AUTOCARRI/AUTOVETTURE</t>
  </si>
  <si>
    <t>07/0030/0040</t>
  </si>
  <si>
    <t>F/AMM. ARREDI LABORATORIO</t>
  </si>
  <si>
    <t>07/0020/0005</t>
  </si>
  <si>
    <t>F/AMM MOBILI E MACCH. ORD. D'UFF</t>
  </si>
  <si>
    <t>07/0005/0015</t>
  </si>
  <si>
    <t xml:space="preserve">F/AMM FABBR. IND.LI E COMM.LI.  </t>
  </si>
  <si>
    <t>07/0030/0044</t>
  </si>
  <si>
    <t>F/AMM. CELLULARI</t>
  </si>
  <si>
    <t>07/0005/0020</t>
  </si>
  <si>
    <t xml:space="preserve">F/AMM COSTRUZIONI LEGGERE       </t>
  </si>
  <si>
    <t>07/0030/0048</t>
  </si>
  <si>
    <t>F/AMM. SICUREZZA SUL LAVORO</t>
  </si>
  <si>
    <t>07/0030/0042</t>
  </si>
  <si>
    <t>F/AMM. TELEFONIA</t>
  </si>
  <si>
    <t>07/0030/0043</t>
  </si>
  <si>
    <t>F/AMM. FAX</t>
  </si>
  <si>
    <t>07/0030/0041</t>
  </si>
  <si>
    <t>F/AMM. CLIMATIZZATORI</t>
  </si>
  <si>
    <t>07/0030/0045</t>
  </si>
  <si>
    <t>F/AMM. IMPIANTI ELETTRICI</t>
  </si>
  <si>
    <t>07/0030/0046</t>
  </si>
  <si>
    <t>F/AMM. MIGLIORIE SU BENI DI TERZI</t>
  </si>
  <si>
    <t>07/0015/0006</t>
  </si>
  <si>
    <t>F/AMM BANCHI DI COLLAUDO</t>
  </si>
  <si>
    <t>07/0030/0047</t>
  </si>
  <si>
    <t>F/AMM. TIMBRATORE</t>
  </si>
  <si>
    <t>16/0010/0010</t>
  </si>
  <si>
    <t>F/DO RISCHI SU CREDITI V.CLIENTI</t>
  </si>
  <si>
    <t>16/0010/0012</t>
  </si>
  <si>
    <t>F/DO RISCHI SU CREDITI V.CLIENTI &lt; 2.500</t>
  </si>
  <si>
    <t>54/0005/0005</t>
  </si>
  <si>
    <t xml:space="preserve">RATEI PASSIVI                   </t>
  </si>
  <si>
    <t>E) RATEI  E  RISCONTI  PASSIVI:</t>
  </si>
  <si>
    <t>28/0040/0005</t>
  </si>
  <si>
    <t xml:space="preserve">UTILI PORTATI A NUOVO           </t>
  </si>
  <si>
    <t>VIII -UTILI (PERDITE) PORTATI A NUOVO</t>
  </si>
  <si>
    <t>RISULTATI ES. PRECEDENTI</t>
  </si>
  <si>
    <t>28/0005/0005</t>
  </si>
  <si>
    <t xml:space="preserve">CAPITALE SOCIALE                </t>
  </si>
  <si>
    <t>I -CAPITALE</t>
  </si>
  <si>
    <t>CAPITALE</t>
  </si>
  <si>
    <t>28/0020/0005</t>
  </si>
  <si>
    <t xml:space="preserve">RISERVA LEGALE                  </t>
  </si>
  <si>
    <t>IV -RISERVA LEGALE</t>
  </si>
  <si>
    <t>RISERVA LEGALE</t>
  </si>
  <si>
    <t>28/0035/0005</t>
  </si>
  <si>
    <t xml:space="preserve">RISERVA STRAORDINARIA           </t>
  </si>
  <si>
    <t>a) Riserva Straordinaria</t>
  </si>
  <si>
    <t>ALTRE RISERVE</t>
  </si>
  <si>
    <t>80/0025/0005</t>
  </si>
  <si>
    <t xml:space="preserve">MERCI C/RIM. INIZIALI           </t>
  </si>
  <si>
    <t>11) variazione delle rimanenze di materie prime, sussidiarie, di consumo e merci</t>
  </si>
  <si>
    <t>VARIAZIONE RIMANENZE MP E MERCI</t>
  </si>
  <si>
    <t>66/0025/0005</t>
  </si>
  <si>
    <t xml:space="preserve">MERCI C/ACQUISTI                </t>
  </si>
  <si>
    <t>6) per materie prime, sussidiarie, di consumo e di merci</t>
  </si>
  <si>
    <t>COSTI PER MATERIE PRIME SUSS. E DI CONS. E DI MERCI</t>
  </si>
  <si>
    <t>66/0005/0005</t>
  </si>
  <si>
    <t xml:space="preserve">MATERIE PRIME C/ACQUISTI        </t>
  </si>
  <si>
    <t>66/0015/0005</t>
  </si>
  <si>
    <t xml:space="preserve">SEMILAVORATI C/ACQUISTI         </t>
  </si>
  <si>
    <t>66/0005/0000</t>
  </si>
  <si>
    <t xml:space="preserve">MATERIE PRIME                   </t>
  </si>
  <si>
    <t>66/0020/0005</t>
  </si>
  <si>
    <t xml:space="preserve">MATERIE DI CONSUMO C/ACQUISTI   </t>
  </si>
  <si>
    <t>68/0005/0020</t>
  </si>
  <si>
    <t xml:space="preserve">LAVORAZIONI DI TERZI            </t>
  </si>
  <si>
    <t>7) per servizi</t>
  </si>
  <si>
    <t>66/0005/0009</t>
  </si>
  <si>
    <t>MERCI C/ACQUISTI CEE</t>
  </si>
  <si>
    <t>66/0005/0008</t>
  </si>
  <si>
    <t>MERCI C/ACQUISTI EXTRACEE</t>
  </si>
  <si>
    <t>68/0005/0391</t>
  </si>
  <si>
    <t>CONSULENZE TECNICHE</t>
  </si>
  <si>
    <t>COSTI FISSI INDUSTRIALI</t>
  </si>
  <si>
    <t>68/0005/0005</t>
  </si>
  <si>
    <t>SPESE DI TRASPORTO</t>
  </si>
  <si>
    <t>COSTI VARIABILI INDUSTRIALI</t>
  </si>
  <si>
    <t>68/0005/0280</t>
  </si>
  <si>
    <t xml:space="preserve">PROVVIGIONI A INTERMEDIARI      </t>
  </si>
  <si>
    <t>50/0005/0030</t>
  </si>
  <si>
    <t xml:space="preserve">ENASARCO C/CONTRIBUTI           </t>
  </si>
  <si>
    <t>68/0005/0025</t>
  </si>
  <si>
    <t xml:space="preserve">ENERGIA ELETTRICA               </t>
  </si>
  <si>
    <t>68/0005/0320</t>
  </si>
  <si>
    <t>SPESE TELEFONICHE</t>
  </si>
  <si>
    <t>COSTI FISSI COMMERCIALI</t>
  </si>
  <si>
    <t>68/0005/0040</t>
  </si>
  <si>
    <t xml:space="preserve">GAS RISCALDAMENTO               </t>
  </si>
  <si>
    <t>68/0005/0346</t>
  </si>
  <si>
    <t xml:space="preserve">SPESE PER VIAGGI                </t>
  </si>
  <si>
    <t>68/0005/0082</t>
  </si>
  <si>
    <t>TASSA VIDIMAZIONE LIBRI SOCIALI</t>
  </si>
  <si>
    <t>14) oneri diversi di gestione.</t>
  </si>
  <si>
    <t>ALTRI COSTI E ONERI DIVERSI</t>
  </si>
  <si>
    <t>68/0005/0290</t>
  </si>
  <si>
    <t xml:space="preserve">PUBBLICITA'                     </t>
  </si>
  <si>
    <t>68/0005/0132</t>
  </si>
  <si>
    <t xml:space="preserve">SERVIZI DI PULIZIA              </t>
  </si>
  <si>
    <t>68/0005/0385</t>
  </si>
  <si>
    <t>TENUTA PAGHE,CONT.,DICH.DA IMPRES.</t>
  </si>
  <si>
    <t>68/0005/0310</t>
  </si>
  <si>
    <t xml:space="preserve">SPESE LEGALI                    </t>
  </si>
  <si>
    <t>84/0010/0065</t>
  </si>
  <si>
    <t>OMAGGI CLIENTI E ART. PROMOZ. DEDUC.</t>
  </si>
  <si>
    <t>68/0005/0407</t>
  </si>
  <si>
    <t>ALTRI COSTI PER SERVIZI</t>
  </si>
  <si>
    <t>68/0005/0026</t>
  </si>
  <si>
    <t>SPESE INTERNET</t>
  </si>
  <si>
    <t>43/000022</t>
  </si>
  <si>
    <t xml:space="preserve">Spese per adeguamento euro               </t>
  </si>
  <si>
    <t>68/0005/0325</t>
  </si>
  <si>
    <t xml:space="preserve">SPESE CELLULARI                 </t>
  </si>
  <si>
    <t>68/0005/0395</t>
  </si>
  <si>
    <t>PRIVACY</t>
  </si>
  <si>
    <t>84/0010/0025</t>
  </si>
  <si>
    <t>OMAGGI A DIPENDENTI</t>
  </si>
  <si>
    <t>e) altri costi</t>
  </si>
  <si>
    <t>COSTO DEL LAVORO DIRETTO</t>
  </si>
  <si>
    <t>72/0005/0010</t>
  </si>
  <si>
    <t xml:space="preserve">SALARI E STIPENDI               </t>
  </si>
  <si>
    <t>a) salari e stipendi</t>
  </si>
  <si>
    <t>72/0015/0005</t>
  </si>
  <si>
    <t>ONERI SOCIALI INPS</t>
  </si>
  <si>
    <t>b) oneri sociali</t>
  </si>
  <si>
    <t>72/0015/0025</t>
  </si>
  <si>
    <t>ONERI SOCIALI INAIL</t>
  </si>
  <si>
    <t>72/0020/0005</t>
  </si>
  <si>
    <t xml:space="preserve">c) trattamento di fine rapporto </t>
  </si>
  <si>
    <t>ACC. TFR</t>
  </si>
  <si>
    <t>68/0005/0199</t>
  </si>
  <si>
    <t>CONT.INPS AMM-CO.CO.CO.(spa-srl)</t>
  </si>
  <si>
    <t>AMMINISTRATORI E COLLABORATORI</t>
  </si>
  <si>
    <t>72/0005/0040</t>
  </si>
  <si>
    <t>STIPENDI AMMINISTRATORI SOCI</t>
  </si>
  <si>
    <t>CONTM</t>
  </si>
  <si>
    <t>CONTRIBUTI METASALUTE</t>
  </si>
  <si>
    <t>88/0020/0095</t>
  </si>
  <si>
    <t xml:space="preserve">PERDITE SU CAMBI                </t>
  </si>
  <si>
    <t>17 - bis) utili e perdite su cambi</t>
  </si>
  <si>
    <t>COSTI NON OPERATIVI</t>
  </si>
  <si>
    <t>88/0020/0010</t>
  </si>
  <si>
    <t>INTERESSI PASSIVI BANCARI</t>
  </si>
  <si>
    <t>5) da altri</t>
  </si>
  <si>
    <t>ONERI FINANZIARI</t>
  </si>
  <si>
    <t>88/0020/0015</t>
  </si>
  <si>
    <t xml:space="preserve">INTERESSI PASSIVI SU MUTUI      </t>
  </si>
  <si>
    <t>68/0005/0371</t>
  </si>
  <si>
    <t>INT. PASSIVI FINANZIAMENTI IMP/EXP</t>
  </si>
  <si>
    <t>68/0005/0370</t>
  </si>
  <si>
    <t xml:space="preserve">ONERI BANCARI                   </t>
  </si>
  <si>
    <t>68/0005/0380</t>
  </si>
  <si>
    <t>COMM. DI ISTRUTTORIA</t>
  </si>
  <si>
    <t>88/0020/0036</t>
  </si>
  <si>
    <t>INTERESSI RATEAZIONE IMPOSTE</t>
  </si>
  <si>
    <t>88/0020/0038</t>
  </si>
  <si>
    <t>INTERESSI DI MORA</t>
  </si>
  <si>
    <t>84/0010/0050</t>
  </si>
  <si>
    <t xml:space="preserve">SOPRAVVENIENZ. PASSIVE ORD.DED. </t>
  </si>
  <si>
    <t>84/0010/0055</t>
  </si>
  <si>
    <t>SOPRAV. PASSIVE ORD.INDEDUCIBILI</t>
  </si>
  <si>
    <t>75/0010/0015</t>
  </si>
  <si>
    <t xml:space="preserve">AMM.TO ORD. MACC. DEDUCIB.      </t>
  </si>
  <si>
    <t>b) ammortamento delle immobilizzazioni materialiammortamento delle immobilizzazioni materiali</t>
  </si>
  <si>
    <t>AMMORTAMENTI</t>
  </si>
  <si>
    <t>75/0015/0005</t>
  </si>
  <si>
    <t>AMM.TO ORD.ATT.IND.LI E COMM.DED</t>
  </si>
  <si>
    <t>75/0025/0015</t>
  </si>
  <si>
    <t xml:space="preserve">AMM.ORD.AUTOCARRI/AUTOVET.DED.  </t>
  </si>
  <si>
    <t>75/0030/0040</t>
  </si>
  <si>
    <t xml:space="preserve">AMM.TO ORD.ARREDAMENTO DED.     </t>
  </si>
  <si>
    <t>75/0020/0010</t>
  </si>
  <si>
    <t xml:space="preserve">AMM.TO ORD.MAC.ELETTROM.UF.DED. </t>
  </si>
  <si>
    <t>74/0010/0006</t>
  </si>
  <si>
    <t>AMM.TO IMM. SICUREZZA SUL LAVORO</t>
  </si>
  <si>
    <t>75/0020/0007</t>
  </si>
  <si>
    <t>AMM.TO ORD. TELEFONIA</t>
  </si>
  <si>
    <t>75/0020/0012</t>
  </si>
  <si>
    <t>AMM.TO ORD. TELEFONI CELLULARI</t>
  </si>
  <si>
    <t>75/0005/0020</t>
  </si>
  <si>
    <t xml:space="preserve">AMM.TO ORD. COST.LEGG. DEDUCIB. </t>
  </si>
  <si>
    <t>75/0020/0008</t>
  </si>
  <si>
    <t>AMM.TO ORD. ARREDI LABORATORIO</t>
  </si>
  <si>
    <t>74/0035/0005</t>
  </si>
  <si>
    <t xml:space="preserve">AMM.LAV. STRAORD.BENI DI TERZI  </t>
  </si>
  <si>
    <t>75/0005/0015</t>
  </si>
  <si>
    <t>AMM.TO ORD.FABB.IND.LI E COM.DED</t>
  </si>
  <si>
    <t>52/000007</t>
  </si>
  <si>
    <t xml:space="preserve">Quota am. master per circuiti stampati   </t>
  </si>
  <si>
    <t>a) ammortamento delle immobilizzazioni immaterialiammortamento delle immobilizzazioni immateriali</t>
  </si>
  <si>
    <t>74/0035/0016</t>
  </si>
  <si>
    <t>AMM.TO ORD. ATTREZZ. PER TEST ELETTRICO</t>
  </si>
  <si>
    <t>74/0020/0015</t>
  </si>
  <si>
    <t xml:space="preserve">AMM.TO LIC.USO SOFT.A TEMP.DET. </t>
  </si>
  <si>
    <t>74/0010/0005</t>
  </si>
  <si>
    <t>AMM.TO COSTI DI RIC.  E DI SVIL.</t>
  </si>
  <si>
    <t>74/0035/0017</t>
  </si>
  <si>
    <t>AMM.TO ORD. CERTIFICAZIONE QUALITA'</t>
  </si>
  <si>
    <t>74/0035/0018</t>
  </si>
  <si>
    <t>AMM.TO ORD. SITO INTERNET</t>
  </si>
  <si>
    <t>52/000017</t>
  </si>
  <si>
    <t xml:space="preserve">Quota amm. Librerie Grafiche             </t>
  </si>
  <si>
    <t>78/0010/0010</t>
  </si>
  <si>
    <t>ACC.TO P/RISCHI SU CRED.V/CLIENT</t>
  </si>
  <si>
    <t>12) accantonamenti per rischi;</t>
  </si>
  <si>
    <t>ACCANTONAMENTI</t>
  </si>
  <si>
    <t>78/0010/0012</t>
  </si>
  <si>
    <t>ACC. F.DO CREDITI &lt; 2.500 EURO</t>
  </si>
  <si>
    <t>68/0005/0057</t>
  </si>
  <si>
    <t>MANUTENZIONI E RIPARAZIONI</t>
  </si>
  <si>
    <t>68/0005/0052</t>
  </si>
  <si>
    <t>CANONE DI MANUTENZIONE PERIODICA</t>
  </si>
  <si>
    <t>70/0005/0101</t>
  </si>
  <si>
    <t xml:space="preserve">NOLEGGIO DEDUCIBILE             </t>
  </si>
  <si>
    <t>8) per godimento di beni di terzi</t>
  </si>
  <si>
    <t>AFFITTI LEASING NOLEGGI</t>
  </si>
  <si>
    <t>70/0010/0012</t>
  </si>
  <si>
    <t>Canone Loc. Immobili BNL</t>
  </si>
  <si>
    <t>57/000015</t>
  </si>
  <si>
    <t xml:space="preserve">Canone Leasing n. AS1297984              </t>
  </si>
  <si>
    <t>59/000026</t>
  </si>
  <si>
    <t xml:space="preserve">Noleggio contr. n.11/0096                </t>
  </si>
  <si>
    <t>70/0010/0011</t>
  </si>
  <si>
    <t>Canone Locazione Mobili Ufficio</t>
  </si>
  <si>
    <t>84/0010/0090</t>
  </si>
  <si>
    <t xml:space="preserve">ABBUONI/ARROTONDAMENTI PASSIVI  </t>
  </si>
  <si>
    <t xml:space="preserve">RICAVI </t>
  </si>
  <si>
    <t>66/0030/0010</t>
  </si>
  <si>
    <t xml:space="preserve">IMBALLAGGI C/ACQUISTI           </t>
  </si>
  <si>
    <t>66/0030/0025</t>
  </si>
  <si>
    <t xml:space="preserve">CANCELLERIA                     </t>
  </si>
  <si>
    <t>68/0005/0330</t>
  </si>
  <si>
    <t xml:space="preserve">SPESE POSTALI E DI AFFRANCATURA </t>
  </si>
  <si>
    <t>84/0005/0070</t>
  </si>
  <si>
    <t xml:space="preserve">DIRITTI CAMERALI                </t>
  </si>
  <si>
    <t>68/0005/0035</t>
  </si>
  <si>
    <t>QUOTE ASSOCIATIVE</t>
  </si>
  <si>
    <t>68/0005/0015</t>
  </si>
  <si>
    <t>SPESE DOGANALI</t>
  </si>
  <si>
    <t>68/0005/0050</t>
  </si>
  <si>
    <t xml:space="preserve">SPESE CONDOMINIALI              </t>
  </si>
  <si>
    <t>68/0005/0300</t>
  </si>
  <si>
    <t xml:space="preserve">MOSTRE E FIERE                  </t>
  </si>
  <si>
    <t>84/0010/0035</t>
  </si>
  <si>
    <t xml:space="preserve">MULTE E AMMENDE INDEDUCIBILI    </t>
  </si>
  <si>
    <t>68/0005/0355</t>
  </si>
  <si>
    <t xml:space="preserve">RICERCA,ADDESTRAM.E FORMAZIONE  </t>
  </si>
  <si>
    <t>68/0005/0150</t>
  </si>
  <si>
    <t>COMP.AMM.-CO.CO.CO.(SOCIspa-srl)</t>
  </si>
  <si>
    <t>Quote Sociali LODI</t>
  </si>
  <si>
    <t>68/0005/0341</t>
  </si>
  <si>
    <t>SPESE ALBERGHI E RISTORANTI</t>
  </si>
  <si>
    <t>84/0010/0021</t>
  </si>
  <si>
    <t>BEVANDE UFFICIO</t>
  </si>
  <si>
    <t>68/0005/0110</t>
  </si>
  <si>
    <t xml:space="preserve">ASSICURAZIONI R.C.A.            </t>
  </si>
  <si>
    <t>68/0005/0053</t>
  </si>
  <si>
    <t>ASSICURAZIONI DIVERSE</t>
  </si>
  <si>
    <t>84/0005/0040</t>
  </si>
  <si>
    <t xml:space="preserve">TASSE DI PROPRIETA' AUTOVEICOLI </t>
  </si>
  <si>
    <t>66/0030/0035</t>
  </si>
  <si>
    <t xml:space="preserve">CARBURANTI E LUBRIFICANTI       </t>
  </si>
  <si>
    <t>68/0005/0095</t>
  </si>
  <si>
    <t xml:space="preserve">ALTRI ONERI P/AUTOMEZZI         </t>
  </si>
  <si>
    <t>68/0005/0080</t>
  </si>
  <si>
    <t xml:space="preserve">PEDAGGI AUTOSTRADALI            </t>
  </si>
  <si>
    <t>84/0005/0045</t>
  </si>
  <si>
    <t xml:space="preserve">TASSA SUI RIFIUTI               </t>
  </si>
  <si>
    <t>84/0005/0010</t>
  </si>
  <si>
    <t xml:space="preserve">IMPOSTA COM.SUGLI IMM.-ICI      </t>
  </si>
  <si>
    <t>84/0010/0006</t>
  </si>
  <si>
    <t xml:space="preserve">PERDITE SU CREDITI INDEDUCIBILI </t>
  </si>
  <si>
    <t>96/0005/0015</t>
  </si>
  <si>
    <t xml:space="preserve">IRES DELL'ESERCIZIO            </t>
  </si>
  <si>
    <t>a) imposte correnti</t>
  </si>
  <si>
    <t>IMPOSTE</t>
  </si>
  <si>
    <t>96/0005/0010</t>
  </si>
  <si>
    <t xml:space="preserve">IRAP DELL'ESERCIZIO             </t>
  </si>
  <si>
    <t>58/0005/0010</t>
  </si>
  <si>
    <t xml:space="preserve">MERCI C/VENDITE                 </t>
  </si>
  <si>
    <t>1) ricavi delle vendite e delle prestazioni;</t>
  </si>
  <si>
    <t>58/0005/0012</t>
  </si>
  <si>
    <t>MERCI C/VENDITE EXTRACEE</t>
  </si>
  <si>
    <t>58/0005/0011</t>
  </si>
  <si>
    <t>MERCI C/VENDITE CEE</t>
  </si>
  <si>
    <t>58/0005/0490</t>
  </si>
  <si>
    <t xml:space="preserve">ALTRI RICAVI DELLE VENDITE      </t>
  </si>
  <si>
    <t>ALTRI RICAVI</t>
  </si>
  <si>
    <t>64/0005/0115</t>
  </si>
  <si>
    <t xml:space="preserve">SOPRAVVENIENZE ORDINARIE ATTIVE </t>
  </si>
  <si>
    <t>5) altri ricavi e proventi:</t>
  </si>
  <si>
    <t>PROVENTI NON OPERATIVI</t>
  </si>
  <si>
    <t>62/0005/0006</t>
  </si>
  <si>
    <t>PROVENTI PER COSTI CAPITALIZZATI R&amp;S</t>
  </si>
  <si>
    <t>4) incrementi di immobilizzazioni per lavori interni;</t>
  </si>
  <si>
    <t>CONTRIBUTI IN CONTO ESERCIZIO</t>
  </si>
  <si>
    <t>94/0010/0010</t>
  </si>
  <si>
    <t xml:space="preserve">SOPPR.ATT.EST.ALL'ATT.NON TASS. </t>
  </si>
  <si>
    <t>80/0025/0010</t>
  </si>
  <si>
    <t xml:space="preserve">MERCI C/RIM. FINALI             </t>
  </si>
  <si>
    <t>64/0010/0025</t>
  </si>
  <si>
    <t xml:space="preserve">CONT.C/CRED.D'IMP.TASSABILI     </t>
  </si>
  <si>
    <t>5a) contributi in conto esercizio</t>
  </si>
  <si>
    <t>87/0020/0060</t>
  </si>
  <si>
    <t xml:space="preserve">UTILI SU CAMBI                  </t>
  </si>
  <si>
    <t>58/0005/0225</t>
  </si>
  <si>
    <t xml:space="preserve">ABBUONI SU VENDITE              </t>
  </si>
  <si>
    <t>58/0005/0500</t>
  </si>
  <si>
    <t>RIMBORSI SPESE DI TRASPORTO</t>
  </si>
  <si>
    <t>78/000011</t>
  </si>
  <si>
    <t xml:space="preserve">Rimborso Prestito Uso Automezzo          </t>
  </si>
  <si>
    <t xml:space="preserve">Librerie Grafiche                        </t>
  </si>
  <si>
    <t xml:space="preserve">CartaSì Pandolfi 6729                    </t>
  </si>
  <si>
    <t xml:space="preserve">Anticipi Fatture BNL                     </t>
  </si>
  <si>
    <t xml:space="preserve">RATEI ATTIVI                    </t>
  </si>
  <si>
    <t xml:space="preserve">Finanz. chirografico BNL                 </t>
  </si>
  <si>
    <t>Finanz 01040563 Scorte Mag BPCI</t>
  </si>
  <si>
    <t>Finanz 13/2013 N. 01049547</t>
  </si>
  <si>
    <t>DEBITI VS BANCHE A MEDIO LUNGO T.</t>
  </si>
  <si>
    <t>07/0025/0025</t>
  </si>
  <si>
    <t xml:space="preserve">F/AMM. AUTOVETTURE              </t>
  </si>
  <si>
    <t>07/0020/0010</t>
  </si>
  <si>
    <t xml:space="preserve">F/AMM MACCH. ELETTROM. D'UFF.   </t>
  </si>
  <si>
    <t>07/0010/0010</t>
  </si>
  <si>
    <t xml:space="preserve">F/AMM IMPIANTI SPECIFICI        </t>
  </si>
  <si>
    <t>84/0010/0070</t>
  </si>
  <si>
    <t>OMAGGI A CLIENTI &gt; 50 EURO</t>
  </si>
  <si>
    <t xml:space="preserve">Borse di Studio                          </t>
  </si>
  <si>
    <t>88/0020/0035</t>
  </si>
  <si>
    <t xml:space="preserve">INT.PASS.V/FORNITORI            </t>
  </si>
  <si>
    <t xml:space="preserve">MINUSV. ORDINARIE DEDUCIBILI    </t>
  </si>
  <si>
    <t>AMM.TO ORD. TIMBRATORE</t>
  </si>
  <si>
    <t xml:space="preserve">Quota am. telai serigrafici              </t>
  </si>
  <si>
    <t xml:space="preserve">Can.Loc.Immob.n.20590402                 </t>
  </si>
  <si>
    <t xml:space="preserve">Canoni Leasing n. AS/00914891            </t>
  </si>
  <si>
    <t xml:space="preserve">Noleggio contr. n.06/0087                </t>
  </si>
  <si>
    <t>84/0010/0091</t>
  </si>
  <si>
    <t xml:space="preserve">SCONTI PASSIVI                  </t>
  </si>
  <si>
    <t>84/0010/0015</t>
  </si>
  <si>
    <t xml:space="preserve">ABBONAMENTI RIVISTE,GIORNALI    </t>
  </si>
  <si>
    <t>84/0010/0005</t>
  </si>
  <si>
    <t xml:space="preserve">PERDITE SU CREDITI              </t>
  </si>
  <si>
    <t xml:space="preserve">RICAVI C/CESSIONE BENI USATI    </t>
  </si>
  <si>
    <t>15/0005/0005</t>
  </si>
  <si>
    <t>EFFETTI ATTIVI UNICREDIT</t>
  </si>
  <si>
    <t>18/0020/0037</t>
  </si>
  <si>
    <t>ERARIO C/ACCONTI IRES</t>
  </si>
  <si>
    <t>18/0020/0090</t>
  </si>
  <si>
    <t xml:space="preserve">ALTRI CREDITI TRIBUTARI         </t>
  </si>
  <si>
    <t>18/0020/0091</t>
  </si>
  <si>
    <t>CREDITI IMPOSTA R&amp;S</t>
  </si>
  <si>
    <t>52/0005/0290</t>
  </si>
  <si>
    <t xml:space="preserve">DEBITI DIVERSI                  </t>
  </si>
  <si>
    <t>50/0005/0035</t>
  </si>
  <si>
    <t>ALLEATA PREVIDENZA C/CONTRIBUTI</t>
  </si>
  <si>
    <t>22/000045</t>
  </si>
  <si>
    <t>DEBITI INPS DA RAVVE</t>
  </si>
  <si>
    <t>DEBITI TRIB. E CONTRIB. RATEIZZATI OLTRE ES.</t>
  </si>
  <si>
    <t>34/0005/0048</t>
  </si>
  <si>
    <t>FINANZ. UBI TFR 004/01008960</t>
  </si>
  <si>
    <t>34/0005/0047</t>
  </si>
  <si>
    <t>FINANZ. UNICREDIT 4602498/000</t>
  </si>
  <si>
    <t>68/0005/0362</t>
  </si>
  <si>
    <t>PROVE DI LABORATORIO</t>
  </si>
  <si>
    <t>72/0010/0050</t>
  </si>
  <si>
    <t xml:space="preserve">LAVORO INTERINALE-COOP ED.      </t>
  </si>
  <si>
    <t>84/0010/0193</t>
  </si>
  <si>
    <t>CONTRIBUTO CONAI</t>
  </si>
  <si>
    <t>75/0025/0018</t>
  </si>
  <si>
    <t>AMM.TO ORD. FAX</t>
  </si>
  <si>
    <t>75/0025/0017</t>
  </si>
  <si>
    <t>AMM.TO ORD. CLIMATIZZATORE</t>
  </si>
  <si>
    <t>70/0010/0005</t>
  </si>
  <si>
    <t>LEASING 7061632 JAGUAR</t>
  </si>
  <si>
    <t>24/0015/0010</t>
  </si>
  <si>
    <t xml:space="preserve">VALORI BOLLATI                  </t>
  </si>
  <si>
    <t>86/0015/0050</t>
  </si>
  <si>
    <t>PLUSVALENZE PEX - ART.87</t>
  </si>
  <si>
    <t>64/0005/0117</t>
  </si>
  <si>
    <t>SOPR.ORD.ATTIVE DA RATEIZZARE</t>
  </si>
  <si>
    <t>06/0025/0015</t>
  </si>
  <si>
    <t>AUTOCARRI/AUTOVETTURE</t>
  </si>
  <si>
    <t>03/0035/0006</t>
  </si>
  <si>
    <t>SOFT. ATTREZZATURE PER TEST ELETTRICO</t>
  </si>
  <si>
    <t>03/0010/0011</t>
  </si>
  <si>
    <t>COSTI R&amp;S</t>
  </si>
  <si>
    <t>24/0005/0031</t>
  </si>
  <si>
    <t>Prepagata n 1568 REALE 698</t>
  </si>
  <si>
    <t>24/0005/0030</t>
  </si>
  <si>
    <t>Prepagata n 2550 REALE 680</t>
  </si>
  <si>
    <t>24/0005/0032</t>
  </si>
  <si>
    <t>CARTASI' GRIMOLDI 2693 REALE</t>
  </si>
  <si>
    <t>18/0040/0040</t>
  </si>
  <si>
    <t xml:space="preserve">NOTE CREDITO DA RICEVERE        </t>
  </si>
  <si>
    <t>50/0005/0036</t>
  </si>
  <si>
    <t>FONDO COMETA C/CONTRIBUTI</t>
  </si>
  <si>
    <t>34/0005/0045</t>
  </si>
  <si>
    <t>FINANZ. 4945614 UNICREDIT</t>
  </si>
  <si>
    <t>34/0005/0046</t>
  </si>
  <si>
    <t>FINANZ. REALE 10208680 Gestionale</t>
  </si>
  <si>
    <t>Esigibili oltre l'esercizio successivo:</t>
  </si>
  <si>
    <t>34/0005/0291</t>
  </si>
  <si>
    <t>FINANZ. 13°/2016 DESIO</t>
  </si>
  <si>
    <t>34/0005/0050</t>
  </si>
  <si>
    <t>FINANZ. 8745080 CLIO UBI</t>
  </si>
  <si>
    <t>52/0005/0065</t>
  </si>
  <si>
    <t>DIPENDENTI C/LIQUIDAZIONE</t>
  </si>
  <si>
    <t>34/0005/0292</t>
  </si>
  <si>
    <t>FINANZ. 4945614/16 UNICREDIT</t>
  </si>
  <si>
    <t>34/0005/0051</t>
  </si>
  <si>
    <t>FINANZ. REALE 10208680 ENTRO 2 ANNI SUCC</t>
  </si>
  <si>
    <t>34/0005/0049</t>
  </si>
  <si>
    <t>FINANZ. 13°/2016 DESIO ENTRO</t>
  </si>
  <si>
    <t>34/0005/0005</t>
  </si>
  <si>
    <t>MUTUO IPOTECARIO 99432 DESIO</t>
  </si>
  <si>
    <t>68/0005/0372</t>
  </si>
  <si>
    <t>SPESE PER ATTO DI CESSIONE</t>
  </si>
  <si>
    <t>68/0005/0281</t>
  </si>
  <si>
    <t>PROVVIGIONI PASSIVE ESTERE</t>
  </si>
  <si>
    <t>COSTI VARIABILI COMMERCIALI</t>
  </si>
  <si>
    <t>72/0005/0020</t>
  </si>
  <si>
    <t xml:space="preserve">SAL. E STIP.PERS.DI FORMAZ.LAV. </t>
  </si>
  <si>
    <t>70/0005/0000</t>
  </si>
  <si>
    <t xml:space="preserve">AFFITTI E LOCAZIONI             </t>
  </si>
  <si>
    <t>84/0005/0020</t>
  </si>
  <si>
    <t xml:space="preserve">IMPOSTA DI REGISTRO             </t>
  </si>
  <si>
    <t>c) da titoli iscritti nell'attivo circolante che non costituiscono partecipazioni</t>
  </si>
  <si>
    <t>94/0010/0111</t>
  </si>
  <si>
    <t>INDENNIZZI ESER.PREC. TASS. IRAP</t>
  </si>
  <si>
    <t>64/0005/0121</t>
  </si>
  <si>
    <t>RISARC. RCA ASSICURAZ.</t>
  </si>
  <si>
    <t>03/0020/0015</t>
  </si>
  <si>
    <t>GESTIONALE</t>
  </si>
  <si>
    <t>TERRENI</t>
  </si>
  <si>
    <t>FABBRICATI IND.LI. E COMM.LI</t>
  </si>
  <si>
    <t>COSTRUZIONI LEGGERE</t>
  </si>
  <si>
    <t>MACCHINARI</t>
  </si>
  <si>
    <t>ATTREZZAT. IND.LI E COMM.LI</t>
  </si>
  <si>
    <t>F/AMM FABBR. IND.LI E COMM.LI.</t>
  </si>
  <si>
    <t>F/AMM COSTRUZIONI LEGGERE</t>
  </si>
  <si>
    <t>F/AMM MACCHINARI</t>
  </si>
  <si>
    <t>F/AMM MACCH. ELETTROM. D'UFF.</t>
  </si>
  <si>
    <t>11/0005/0005</t>
  </si>
  <si>
    <t>MATERIE PRIME</t>
  </si>
  <si>
    <t>11/0005/0015</t>
  </si>
  <si>
    <t>MATERIE DI CONSUMO</t>
  </si>
  <si>
    <t>MERCI</t>
  </si>
  <si>
    <t>15/0005/0006</t>
  </si>
  <si>
    <t>EFFETTI ATTIVI UBI BANCA</t>
  </si>
  <si>
    <t>15/0005/0007</t>
  </si>
  <si>
    <t>EFFETTI ATTIVI REALE</t>
  </si>
  <si>
    <t>15/0005/0008</t>
  </si>
  <si>
    <t>EFFETTI ATTIVI BANCO DESIO</t>
  </si>
  <si>
    <t>15/0005/0045</t>
  </si>
  <si>
    <t>FATTURE DA EMETTERE</t>
  </si>
  <si>
    <t>18/0035/0015</t>
  </si>
  <si>
    <t>DIPENDENTI C/ANTICIPI SU TFR</t>
  </si>
  <si>
    <t>ACCONTI</t>
  </si>
  <si>
    <t>NOTE CREDITO DA RICEVERE</t>
  </si>
  <si>
    <t>18/0045/0054</t>
  </si>
  <si>
    <t>PIANO ACCUMULO REALE TITOLI MORGAN STANL</t>
  </si>
  <si>
    <t xml:space="preserve">ALTRE ATTIVITA' CIRCOLANTI </t>
  </si>
  <si>
    <t>24/0005/0035</t>
  </si>
  <si>
    <t>CARTASI' FAVERO 0294 DESIO</t>
  </si>
  <si>
    <t>DENARO IN CASSA</t>
  </si>
  <si>
    <t>RISCONTI ATTIVI</t>
  </si>
  <si>
    <t>CAPITALE SOCIALE</t>
  </si>
  <si>
    <t>RISERVA STRAORDINARIA</t>
  </si>
  <si>
    <t>28/0045/0005</t>
  </si>
  <si>
    <t>UTILE DI ESERCIZIO</t>
  </si>
  <si>
    <t>DEBITI P/T.F.R.</t>
  </si>
  <si>
    <t>34/0005/0054</t>
  </si>
  <si>
    <t>FINANZ. 9818930 DACIA UBI</t>
  </si>
  <si>
    <t>38/0005/0005</t>
  </si>
  <si>
    <t>CLIENTI C/ANTICIPI</t>
  </si>
  <si>
    <t>FATTURE DA RICEVERE</t>
  </si>
  <si>
    <t>41/0005/0500</t>
  </si>
  <si>
    <t>SPEDIZIONIERE C/SPESE ANTICIPATE</t>
  </si>
  <si>
    <t>ERARIO C/IVA</t>
  </si>
  <si>
    <t>48/0005/0056</t>
  </si>
  <si>
    <t>IVA DOGANALE</t>
  </si>
  <si>
    <t>ERARIO C/RIT. LAVORO AUTONOMO</t>
  </si>
  <si>
    <t>REGIONI C/RIT. ADDIZ. IRPEF</t>
  </si>
  <si>
    <t>COMUNI C/RIT. ADDIZ. IRPEF</t>
  </si>
  <si>
    <t>50/0005/0005</t>
  </si>
  <si>
    <t>INPS C/CONTRIBUTI SOC. LAV. DIP.</t>
  </si>
  <si>
    <t>INPS C/CONTR. SOC. LAV. AUT.</t>
  </si>
  <si>
    <t>52/0005/0005</t>
  </si>
  <si>
    <t>AMMINISTRATORI C/COMPENSI</t>
  </si>
  <si>
    <t>DIPENDENTI C/RETRIBUZIONI</t>
  </si>
  <si>
    <t>52/0005/0070</t>
  </si>
  <si>
    <t>RITENUTE SINDACALI</t>
  </si>
  <si>
    <t>DEBITI DIVERSI</t>
  </si>
  <si>
    <t>52/0005/0501</t>
  </si>
  <si>
    <t>IMPONIBILE DOGANALE.</t>
  </si>
  <si>
    <t>RATEI PASSIVI</t>
  </si>
  <si>
    <t>55/0005/0005</t>
  </si>
  <si>
    <t>BILANCIO DI APERTURA</t>
  </si>
  <si>
    <t>MERCI C/VENDITE</t>
  </si>
  <si>
    <t>58/0005/0215</t>
  </si>
  <si>
    <t>RESI SU VENDITE</t>
  </si>
  <si>
    <t>ALTRI RICAVI DELLE VENDITE</t>
  </si>
  <si>
    <t>58/0010/0005</t>
  </si>
  <si>
    <t>RICAVI PER PRESTAZ. DI SERVIZI</t>
  </si>
  <si>
    <t>64/0005/0100</t>
  </si>
  <si>
    <t>ABBUONI/ARROTONDAMENTI ATTIVI</t>
  </si>
  <si>
    <t>64/0005/0390</t>
  </si>
  <si>
    <t>ALTRI RICAVI E PROVENTI VARI</t>
  </si>
  <si>
    <t>MATERIE PRIME C/ACQUISTI</t>
  </si>
  <si>
    <t>66/0005/0007</t>
  </si>
  <si>
    <t>MATERIE PRIME C/ACQUISTI EXTRACEE</t>
  </si>
  <si>
    <t>MERCI C/ACQUISTI</t>
  </si>
  <si>
    <t>66/0030/0015</t>
  </si>
  <si>
    <t>MATERIALE DI PULIZIA</t>
  </si>
  <si>
    <t>CANCELLERIA</t>
  </si>
  <si>
    <t>66/0030/0030</t>
  </si>
  <si>
    <t>MATERIALE PUBBLICITARIO</t>
  </si>
  <si>
    <t>CARBURANTI E LUBRIFICANTI</t>
  </si>
  <si>
    <t>66/0030/0055</t>
  </si>
  <si>
    <t>SPESE ACCESS. ACQ. (ST. SETT:COSTI SERV)</t>
  </si>
  <si>
    <t>ENERGIA ELETTRICA</t>
  </si>
  <si>
    <t>GAS RISCALDAMENTO</t>
  </si>
  <si>
    <t>68/0005/0045</t>
  </si>
  <si>
    <t>ACQUA</t>
  </si>
  <si>
    <t>SPESE CONDOMINIALI</t>
  </si>
  <si>
    <t>68/0005/0051</t>
  </si>
  <si>
    <t>COSTO PER SICUREZZA SUL LAVORO</t>
  </si>
  <si>
    <t>PEDAGGI AUTOSTRADALI</t>
  </si>
  <si>
    <t>ALTRI ONERI P/AUTOMEZZI</t>
  </si>
  <si>
    <t>SERVIZI DI PULIZIA</t>
  </si>
  <si>
    <t>PROVVIGIONI A INTERMEDIARI</t>
  </si>
  <si>
    <t>PUBBLICITA'</t>
  </si>
  <si>
    <t>MOSTRE E FIERE</t>
  </si>
  <si>
    <t>SPESE LEGALI</t>
  </si>
  <si>
    <t>SPESE CELLULARI</t>
  </si>
  <si>
    <t>SPESE PER VIAGGI</t>
  </si>
  <si>
    <t>ONERI BANCARI</t>
  </si>
  <si>
    <t>68/0005/0375</t>
  </si>
  <si>
    <t>FORMALITA' AMMINISTRATIVE</t>
  </si>
  <si>
    <t>68/0010/0045</t>
  </si>
  <si>
    <t>SPESE AGG. E MANUT. SOFTWARE</t>
  </si>
  <si>
    <t>70/0010/0013</t>
  </si>
  <si>
    <t>Canone Loc. Operativo Centralino Telefon</t>
  </si>
  <si>
    <t>70/0010/0014</t>
  </si>
  <si>
    <t>Canone Loc. Oper. Stampante/scanner</t>
  </si>
  <si>
    <t>SALARI E STIPENDI</t>
  </si>
  <si>
    <t>SAL. E STIP.PERS.DI FORMAZ.LAV.</t>
  </si>
  <si>
    <t>TASSE DI PROPRIETA' AUTOVEICOLI</t>
  </si>
  <si>
    <t>MULTE E AMMENDE INDEDUCIBILI</t>
  </si>
  <si>
    <t>SOPRAVVENIENZ. PASSIVE ORD.DED.</t>
  </si>
  <si>
    <t>ABBUONI/ARROTONDAMENTI PASSIVI</t>
  </si>
  <si>
    <t>INTERESSI PASSIVI SU MUTUI</t>
  </si>
  <si>
    <t>INT.PASS.V/FORNITORI</t>
  </si>
  <si>
    <t>Totale complessivo</t>
  </si>
  <si>
    <t>Somma di Impo</t>
  </si>
  <si>
    <t>CodCee</t>
  </si>
  <si>
    <t>DescrCEE</t>
  </si>
  <si>
    <t>20</t>
  </si>
  <si>
    <t>10</t>
  </si>
  <si>
    <t>50</t>
  </si>
  <si>
    <t>80</t>
  </si>
  <si>
    <t>220</t>
  </si>
  <si>
    <t>54</t>
  </si>
  <si>
    <t>210</t>
  </si>
  <si>
    <t>230</t>
  </si>
  <si>
    <t>240</t>
  </si>
  <si>
    <t>170</t>
  </si>
  <si>
    <t>160</t>
  </si>
  <si>
    <t>22</t>
  </si>
  <si>
    <t>140</t>
  </si>
  <si>
    <t>90</t>
  </si>
  <si>
    <t>110</t>
  </si>
  <si>
    <t>120</t>
  </si>
  <si>
    <t>340</t>
  </si>
  <si>
    <t>330</t>
  </si>
  <si>
    <t>360</t>
  </si>
  <si>
    <t>380</t>
  </si>
  <si>
    <t>390</t>
  </si>
  <si>
    <t>400</t>
  </si>
  <si>
    <t>450</t>
  </si>
  <si>
    <t>430</t>
  </si>
  <si>
    <t>410</t>
  </si>
  <si>
    <t>415</t>
  </si>
  <si>
    <t>370</t>
  </si>
  <si>
    <t>300</t>
  </si>
  <si>
    <t>460</t>
  </si>
  <si>
    <t>320</t>
  </si>
  <si>
    <t>440</t>
  </si>
  <si>
    <t>315</t>
  </si>
  <si>
    <t>190</t>
  </si>
  <si>
    <t>180</t>
  </si>
  <si>
    <t>200</t>
  </si>
  <si>
    <t>70</t>
  </si>
  <si>
    <t>520</t>
  </si>
  <si>
    <t>530</t>
  </si>
  <si>
    <t>550</t>
  </si>
  <si>
    <t>540</t>
  </si>
  <si>
    <t>595</t>
  </si>
  <si>
    <t>600</t>
  </si>
  <si>
    <t>570</t>
  </si>
  <si>
    <t>620</t>
  </si>
  <si>
    <t>610</t>
  </si>
  <si>
    <t>580</t>
  </si>
  <si>
    <t>603</t>
  </si>
  <si>
    <t>560</t>
  </si>
  <si>
    <t>500</t>
  </si>
  <si>
    <t>630</t>
  </si>
  <si>
    <t>525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</si>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</sst>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6D2B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43" fontId="0" fillId="0" borderId="0" xfId="1" applyFont="1"/>
    <xf numFmtId="0" fontId="0" fillId="2" borderId="0" xfId="0" applyFill="1"/>
    <xf numFmtId="0" fontId="0" fillId="0" borderId="0" xfId="0" pivotButton="1"/>
    <xf numFmtId="43" fontId="0" fillId="0" borderId="0" xfId="0" applyNumberFormat="1"/>
    <xf numFmtId="2" fontId="0" fillId="0" borderId="0" xfId="0" applyNumberFormat="1"/>
    <xf numFmtId="4" fontId="0" fillId="0" borderId="0" xfId="0" applyNumberFormat="1"/>
    <xf numFmtId="14" fontId="3" fillId="0" borderId="0" xfId="0" applyNumberFormat="1" applyFont="1"/>
  </cellXfs>
  <cellStyles count="2">
    <cellStyle name="Migliaia" xfId="1" builtinId="3"/>
    <cellStyle name="Normale" xfId="0" builtinId="0"/>
  </cellStyles>
  <dxfs count="8">
    <dxf>
      <numFmt numFmtId="0" formatCode="General"/>
    </dxf>
    <dxf>
      <numFmt numFmtId="2" formatCode="0.00"/>
    </dxf>
    <dxf>
      <numFmt numFmtId="0" formatCode="General"/>
    </dxf>
    <dxf>
      <numFmt numFmtId="2" formatCode="0.00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eetMetadata" Target="metadata.xml"/><Relationship Id="rId14" Type="http://schemas.openxmlformats.org/officeDocument/2006/relationships/customXml" Target="../customXml/item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ssandro Pastore" refreshedDate="46092.485013078702" createdVersion="8" refreshedVersion="8" minRefreshableVersion="3" recordCount="878" xr:uid="{499956BF-8C4D-4254-97B3-309C8D80612A}">
  <cacheSource type="worksheet">
    <worksheetSource name="Tabella1"/>
  </cacheSource>
  <cacheFields count="8">
    <cacheField name="CodConto" numFmtId="0">
      <sharedItems/>
    </cacheField>
    <cacheField name="Descr" numFmtId="0">
      <sharedItems/>
    </cacheField>
    <cacheField name="Impo" numFmtId="43">
      <sharedItems containsSemiMixedTypes="0" containsString="0" containsNumber="1" minValue="-1631052.2100000004" maxValue="702399.96"/>
    </cacheField>
    <cacheField name="DATA" numFmtId="14">
      <sharedItems containsSemiMixedTypes="0" containsNonDate="0" containsDate="1" containsString="0" minDate="2014-12-31T00:00:00" maxDate="2025-07-01T00:00:00" count="8">
        <d v="2022-12-31T00:00:00"/>
        <d v="2023-12-31T00:00:00"/>
        <d v="2024-12-31T00:00:00"/>
        <d v="2025-06-30T00:00:00"/>
        <d v="2014-12-31T00:00:00" u="1"/>
        <d v="2015-12-31T00:00:00" u="1"/>
        <d v="2016-12-31T00:00:00" u="1"/>
        <d v="2017-06-30T00:00:00" u="1"/>
      </sharedItems>
    </cacheField>
    <cacheField name="CodCee" numFmtId="2">
      <sharedItems containsSemiMixedTypes="0" containsString="0" containsNumber="1" containsInteger="1" minValue="16" maxValue="482" count="36">
        <n v="32"/>
        <n v="16"/>
        <n v="101"/>
        <n v="130"/>
        <n v="246"/>
        <n v="91"/>
        <n v="135"/>
        <n v="110"/>
        <n v="240"/>
        <n v="290"/>
        <n v="220"/>
        <n v="171"/>
        <n v="180"/>
        <n v="211"/>
        <n v="351"/>
        <n v="331"/>
        <n v="332"/>
        <n v="358"/>
        <n v="339"/>
        <n v="335"/>
        <n v="336"/>
        <n v="337"/>
        <n v="425"/>
        <n v="420"/>
        <n v="347"/>
        <n v="346"/>
        <n v="356"/>
        <n v="333"/>
        <n v="482"/>
        <n v="311"/>
        <n v="321"/>
        <n v="320"/>
        <n v="322"/>
        <n v="266"/>
        <n v="395"/>
        <n v="386"/>
      </sharedItems>
    </cacheField>
    <cacheField name="DescrCEE" numFmtId="0">
      <sharedItems count="35">
        <s v="II -IMMOBILIZZAZIONI MATERIALI:"/>
        <s v="I -IMMOBILIZZAZIONI  IMMATERIALI:"/>
        <s v="Esigibili entro l'esercizio successivo"/>
        <s v="IV -DISPONIBILITÀ LIQUIDE:"/>
        <s v="Esigibili entro l'esercizio successivo :"/>
        <s v="I -RIMANENZE:"/>
        <s v="D) RATEI  E  RISCONTI  ATTIVI:"/>
        <s v="Esigibili oltre l'esercizio successivo"/>
        <s v="C) TRATTAMENTO DI FINE RAPPORTO DI LAVORO SUBORDINATO"/>
        <s v="E) RATEI  E  RISCONTI  PASSIVI:"/>
        <s v="VIII -UTILI (PERDITE) PORTATI A NUOVO"/>
        <s v="I -CAPITALE"/>
        <s v="IV -RISERVA LEGALE"/>
        <s v="a) Riserva Straordinaria"/>
        <s v="11) variazione delle rimanenze di materie prime, sussidiarie, di consumo e merci"/>
        <s v="6) per materie prime, sussidiarie, di consumo e di merci"/>
        <s v="7) per servizi"/>
        <s v="14) oneri diversi di gestione."/>
        <s v="e) altri costi"/>
        <s v="a) salari e stipendi"/>
        <s v="b) oneri sociali"/>
        <s v="c) trattamento di fine rapporto "/>
        <s v="17 - bis) utili e perdite su cambi"/>
        <s v="5) da altri"/>
        <s v="b) ammortamento delle immobilizzazioni materialiammortamento delle immobilizzazioni materiali"/>
        <s v="a) ammortamento delle immobilizzazioni immaterialiammortamento delle immobilizzazioni immateriali"/>
        <s v="12) accantonamenti per rischi;"/>
        <s v="8) per godimento di beni di terzi"/>
        <s v="a) imposte correnti"/>
        <s v="1) ricavi delle vendite e delle prestazioni;"/>
        <s v="5) altri ricavi e proventi:"/>
        <s v="4) incrementi di immobilizzazioni per lavori interni;"/>
        <s v="5a) contributi in conto esercizio"/>
        <s v="Esigibili oltre l'esercizio successivo:"/>
        <s v="c) da titoli iscritti nell'attivo circolante che non costituiscono partecipazioni"/>
      </sharedItems>
    </cacheField>
    <cacheField name="Cod" numFmtId="2">
      <sharedItems containsSemiMixedTypes="0" containsString="0" containsNumber="1" containsInteger="1" minValue="10" maxValue="460"/>
    </cacheField>
    <cacheField name="DescrBil2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8">
  <r>
    <s v="06/0010/0015"/>
    <s v="MACCHINARI                      "/>
    <n v="5000"/>
    <x v="0"/>
    <x v="0"/>
    <x v="0"/>
    <n v="20"/>
    <s v="IMMOBILIZZ. MATERIALI"/>
  </r>
  <r>
    <s v="06/0015/0005"/>
    <s v="ATTREZZAT. IND.LI E COMM.LI     "/>
    <n v="20602.280000000002"/>
    <x v="0"/>
    <x v="0"/>
    <x v="0"/>
    <n v="20"/>
    <s v="IMMOBILIZZ. MATERIALI"/>
  </r>
  <r>
    <s v="06/0025/0025"/>
    <s v="AUTOVETTURE                     "/>
    <n v="31710.99"/>
    <x v="0"/>
    <x v="0"/>
    <x v="0"/>
    <n v="20"/>
    <s v="IMMOBILIZZ. MATERIALI"/>
  </r>
  <r>
    <s v="06/0030/0040"/>
    <s v="ARREDI UFFICIO"/>
    <n v="7592.62"/>
    <x v="0"/>
    <x v="0"/>
    <x v="0"/>
    <n v="20"/>
    <s v="IMMOBILIZZ. MATERIALI"/>
  </r>
  <r>
    <s v="06/0020/0005"/>
    <s v="MACCHINE UFFICIO ELETTRONICHE"/>
    <n v="42547.01"/>
    <x v="0"/>
    <x v="0"/>
    <x v="0"/>
    <n v="20"/>
    <s v="IMMOBILIZZ. MATERIALI"/>
  </r>
  <r>
    <s v="06/0030/0046"/>
    <s v="TELEFONI CELLULARI"/>
    <n v="3612.99"/>
    <x v="0"/>
    <x v="0"/>
    <x v="0"/>
    <n v="20"/>
    <s v="IMMOBILIZZ. MATERIALI"/>
  </r>
  <r>
    <s v="06/0030/0047"/>
    <s v="TELEFONIA"/>
    <n v="224.57"/>
    <x v="0"/>
    <x v="0"/>
    <x v="0"/>
    <n v="20"/>
    <s v="IMMOBILIZZ. MATERIALI"/>
  </r>
  <r>
    <s v="06/0030/0048"/>
    <s v="FAX"/>
    <n v="496.69000000000005"/>
    <x v="0"/>
    <x v="0"/>
    <x v="0"/>
    <n v="20"/>
    <s v="IMMOBILIZZ. MATERIALI"/>
  </r>
  <r>
    <s v="06/0005/0015"/>
    <s v="FABBRICATI IND.LI. E COMM.LI    "/>
    <n v="14700"/>
    <x v="0"/>
    <x v="0"/>
    <x v="0"/>
    <n v="20"/>
    <s v="IMMOBILIZZ. MATERIALI"/>
  </r>
  <r>
    <s v="06/0015/0006"/>
    <s v="SICUREZZA SUL LAVORO 626"/>
    <n v="9647.16"/>
    <x v="0"/>
    <x v="0"/>
    <x v="0"/>
    <n v="20"/>
    <s v="IMMOBILIZZ. MATERIALI"/>
  </r>
  <r>
    <s v="06/0005/0020"/>
    <s v="COSTRUZIONI LEGGERE             "/>
    <n v="28492.37"/>
    <x v="0"/>
    <x v="0"/>
    <x v="0"/>
    <n v="20"/>
    <s v="IMMOBILIZZ. MATERIALI"/>
  </r>
  <r>
    <s v="06/0030/0045"/>
    <s v="ARREDI LABORATORIO"/>
    <n v="5343.01"/>
    <x v="0"/>
    <x v="0"/>
    <x v="0"/>
    <n v="20"/>
    <s v="IMMOBILIZZ. MATERIALI"/>
  </r>
  <r>
    <s v="06/0030/0051"/>
    <s v="CLIMATIZZATORI"/>
    <n v="3324.17"/>
    <x v="0"/>
    <x v="0"/>
    <x v="0"/>
    <n v="20"/>
    <s v="IMMOBILIZZ. MATERIALI"/>
  </r>
  <r>
    <s v="06/0030/0052"/>
    <s v="IMPIANTI ELETTRICI"/>
    <n v="1005"/>
    <x v="0"/>
    <x v="0"/>
    <x v="0"/>
    <n v="20"/>
    <s v="IMMOBILIZZ. MATERIALI"/>
  </r>
  <r>
    <s v="06/0030/0053"/>
    <s v="MIGLIORIE SU BENI TERZI"/>
    <n v="131641.22999999998"/>
    <x v="0"/>
    <x v="0"/>
    <x v="0"/>
    <n v="20"/>
    <s v="IMMOBILIZZ. MATERIALI"/>
  </r>
  <r>
    <s v="06/0030/0054"/>
    <s v="BANCHI DI COLLAUDO"/>
    <n v="20776"/>
    <x v="0"/>
    <x v="0"/>
    <x v="0"/>
    <n v="20"/>
    <s v="IMMOBILIZZ. MATERIALI"/>
  </r>
  <r>
    <s v="06/0030/0049"/>
    <s v="TIMBRATORE"/>
    <n v="348"/>
    <x v="0"/>
    <x v="0"/>
    <x v="0"/>
    <n v="20"/>
    <s v="IMMOBILIZZ. MATERIALI"/>
  </r>
  <r>
    <s v="06/0005/0005"/>
    <s v="TERRENI                         "/>
    <n v="6300"/>
    <x v="0"/>
    <x v="0"/>
    <x v="0"/>
    <n v="20"/>
    <s v="IMMOBILIZZ. MATERIALI"/>
  </r>
  <r>
    <s v="03/0010/0006"/>
    <s v="STUDI DI PROGETTAZIONE"/>
    <n v="20175.2"/>
    <x v="0"/>
    <x v="1"/>
    <x v="1"/>
    <n v="10"/>
    <s v="IMMOBILIZZ. IMMATERIALI "/>
  </r>
  <r>
    <s v="06/0015/0000"/>
    <s v="ATTREZZATURE IND.LI E COMM.LI   "/>
    <n v="251.84999999999997"/>
    <x v="0"/>
    <x v="1"/>
    <x v="1"/>
    <n v="10"/>
    <s v="IMMOBILIZZ. IMMATERIALI "/>
  </r>
  <r>
    <s v="03/0010/0007"/>
    <s v="PROGRAMMI COMPUTER"/>
    <n v="1162.3600000000001"/>
    <x v="0"/>
    <x v="1"/>
    <x v="1"/>
    <n v="10"/>
    <s v="IMMOBILIZZ. IMMATERIALI "/>
  </r>
  <r>
    <s v="03/0010/0010"/>
    <s v="CERTIFICAZIONE QUALITA'"/>
    <n v="4772.2"/>
    <x v="0"/>
    <x v="1"/>
    <x v="1"/>
    <n v="10"/>
    <s v="IMMOBILIZZ. IMMATERIALI "/>
  </r>
  <r>
    <s v="03/0010/0008"/>
    <s v="SITO INTERNET"/>
    <n v="3529.6"/>
    <x v="0"/>
    <x v="1"/>
    <x v="1"/>
    <n v="10"/>
    <s v="IMMOBILIZZ. IMMATERIALI "/>
  </r>
  <r>
    <s v="03/0010/0005"/>
    <s v="COSTI DI RIC.,SVIL.,PUBB. DA AMM"/>
    <n v="233442.32"/>
    <x v="0"/>
    <x v="1"/>
    <x v="1"/>
    <n v="10"/>
    <s v="IMMOBILIZZ. IMMATERIALI "/>
  </r>
  <r>
    <s v="03/0010/0009"/>
    <s v="SVILUPPO PRODOTTI"/>
    <n v="3726"/>
    <x v="0"/>
    <x v="1"/>
    <x v="1"/>
    <n v="10"/>
    <s v="IMMOBILIZZ. IMMATERIALI "/>
  </r>
  <r>
    <s v="14"/>
    <s v="CLIENTI"/>
    <n v="316419.74000000022"/>
    <x v="0"/>
    <x v="2"/>
    <x v="2"/>
    <n v="50"/>
    <s v="CREDITI COMMERCIALI "/>
  </r>
  <r>
    <s v="24/0015/0005"/>
    <s v="DENARO IN CASSA                 "/>
    <n v="72.339999999999861"/>
    <x v="0"/>
    <x v="3"/>
    <x v="3"/>
    <n v="80"/>
    <s v="CASSA E BANCHE "/>
  </r>
  <r>
    <s v="24/0005/0002"/>
    <s v="UBI BANCA SPA"/>
    <n v="-177369.96000000005"/>
    <x v="0"/>
    <x v="4"/>
    <x v="4"/>
    <n v="220"/>
    <s v="DEBITI VS. BANCHE"/>
  </r>
  <r>
    <s v="24/0005/0012"/>
    <s v="UBI BANCA S.B.F"/>
    <n v="174445.68000000002"/>
    <x v="0"/>
    <x v="2"/>
    <x v="2"/>
    <n v="50"/>
    <s v="CREDITI COMMERCIALI "/>
  </r>
  <r>
    <s v="24/0005/0001"/>
    <s v="UNICREDIT BANCA"/>
    <n v="-207020.18000000008"/>
    <x v="0"/>
    <x v="4"/>
    <x v="4"/>
    <n v="220"/>
    <s v="DEBITI VS. BANCHE"/>
  </r>
  <r>
    <s v="24/0005/0011"/>
    <s v="UNICREDIT S.B.F"/>
    <n v="130506.02000000002"/>
    <x v="0"/>
    <x v="2"/>
    <x v="2"/>
    <n v="50"/>
    <s v="CREDITI COMMERCIALI "/>
  </r>
  <r>
    <s v="10/000018"/>
    <s v="CartaSì Nebuloni 2637                    "/>
    <n v="-475.78"/>
    <x v="0"/>
    <x v="4"/>
    <x v="4"/>
    <n v="220"/>
    <s v="DEBITI VS. BANCHE"/>
  </r>
  <r>
    <s v="10/000020"/>
    <s v="BANCA NAZIONALE DEL LAVORO               "/>
    <n v="-4821.9500000000007"/>
    <x v="0"/>
    <x v="4"/>
    <x v="4"/>
    <n v="220"/>
    <s v="DEBITI VS. BANCHE"/>
  </r>
  <r>
    <s v="24/0005/0015"/>
    <s v="FINANZ. ESTERO UNICREDIT"/>
    <n v="-125385.88999999993"/>
    <x v="0"/>
    <x v="4"/>
    <x v="4"/>
    <n v="220"/>
    <s v="DEBITI VS. BANCHE"/>
  </r>
  <r>
    <s v="24/0005/0004"/>
    <s v="BANCA DESIO E DELLA BRIANZA SPA"/>
    <n v="-109249.69000000003"/>
    <x v="0"/>
    <x v="4"/>
    <x v="4"/>
    <n v="220"/>
    <s v="DEBITI VS. BANCHE"/>
  </r>
  <r>
    <s v="24/0005/0014"/>
    <s v="BANCO DESIO S.B.F."/>
    <n v="96702.69"/>
    <x v="0"/>
    <x v="2"/>
    <x v="2"/>
    <n v="50"/>
    <s v="CREDITI COMMERCIALI "/>
  </r>
  <r>
    <s v="15/0005/0050"/>
    <s v="CARTE DI CREDITO                "/>
    <n v="-2290"/>
    <x v="0"/>
    <x v="4"/>
    <x v="4"/>
    <n v="220"/>
    <s v="DEBITI VS. BANCHE"/>
  </r>
  <r>
    <s v="24/0005/0020"/>
    <s v="UNICREDIT C/FATTURE ANTICIPATE"/>
    <n v="-12117.249999999993"/>
    <x v="0"/>
    <x v="4"/>
    <x v="4"/>
    <n v="50"/>
    <s v="CREDITI COMMERCIALI "/>
  </r>
  <r>
    <s v="24/0005/0018"/>
    <s v="FINANZ. ESTERO BANCO DESIO"/>
    <n v="-7065.4299999999994"/>
    <x v="0"/>
    <x v="4"/>
    <x v="4"/>
    <n v="220"/>
    <s v="DEBITI VS. BANCHE"/>
  </r>
  <r>
    <s v="24/0005/0003"/>
    <s v="BANCA REALE"/>
    <n v="-68008.719999999972"/>
    <x v="0"/>
    <x v="4"/>
    <x v="4"/>
    <n v="220"/>
    <s v="DEBITI VS. BANCHE"/>
  </r>
  <r>
    <s v="24/0005/0013"/>
    <s v="BANCA REALE S.B.F."/>
    <n v="59493.929999999971"/>
    <x v="0"/>
    <x v="2"/>
    <x v="2"/>
    <n v="50"/>
    <s v="CREDITI COMMERCIALI "/>
  </r>
  <r>
    <s v="24/0005/0019"/>
    <s v="REALE C/FATTURE ANTICIPATE"/>
    <n v="-6664.0299999999979"/>
    <x v="0"/>
    <x v="4"/>
    <x v="4"/>
    <n v="50"/>
    <s v="CREDITI COMMERCIALI "/>
  </r>
  <r>
    <s v="24/0005/0017"/>
    <s v="FINANZ. ESTERO BANCA REALE"/>
    <n v="-15806.660000000002"/>
    <x v="0"/>
    <x v="4"/>
    <x v="4"/>
    <n v="50"/>
    <s v="CREDITI COMMERCIALI "/>
  </r>
  <r>
    <s v="24/0005/0016"/>
    <s v="FINANZ. ESTERO UBI"/>
    <n v="-28301.17"/>
    <x v="0"/>
    <x v="4"/>
    <x v="4"/>
    <n v="220"/>
    <s v="DEBITI VS. BANCHE"/>
  </r>
  <r>
    <s v="24/0005/0010"/>
    <s v="UNICREDIT C/ANT. FT PMR"/>
    <n v="-30044.73000000001"/>
    <x v="0"/>
    <x v="4"/>
    <x v="4"/>
    <n v="220"/>
    <s v="DEBITI VS. BANCHE"/>
  </r>
  <r>
    <s v="24/0005/0033"/>
    <s v="CARTASI' FAVERO 1582 REALE"/>
    <n v="-331.93"/>
    <x v="0"/>
    <x v="4"/>
    <x v="4"/>
    <n v="220"/>
    <s v="DEBITI VS. BANCHE"/>
  </r>
  <r>
    <s v="24/0005/0034"/>
    <s v="CARTASI' SALOGNI 076 REALE"/>
    <n v="-181.54"/>
    <x v="0"/>
    <x v="4"/>
    <x v="4"/>
    <n v="220"/>
    <s v="DEBITI VS. BANCHE"/>
  </r>
  <r>
    <s v="18/0030/0010"/>
    <s v="CREDITI V/SOCI"/>
    <n v="164353.34"/>
    <x v="0"/>
    <x v="2"/>
    <x v="2"/>
    <n v="60"/>
    <s v="ALTRI CREDITI E RATEI E RISC."/>
  </r>
  <r>
    <s v="48/0005/0005"/>
    <s v="ERARIO C/IRAP"/>
    <n v="-4875.8899999999994"/>
    <x v="0"/>
    <x v="2"/>
    <x v="2"/>
    <n v="60"/>
    <s v="ALTRI CREDITI E RATEI E RISC."/>
  </r>
  <r>
    <s v="48/0005/0015"/>
    <s v="ERARIO C/IMPOSTA SOST. RIV. TFR"/>
    <n v="97.52000000000001"/>
    <x v="0"/>
    <x v="2"/>
    <x v="2"/>
    <n v="60"/>
    <s v="ALTRI CREDITI E RATEI E RISC."/>
  </r>
  <r>
    <s v="09/0010/0030"/>
    <s v="DEPOSITI CAUZIONALI SU CONTRATTI"/>
    <n v="562.63000000000011"/>
    <x v="0"/>
    <x v="2"/>
    <x v="2"/>
    <n v="60"/>
    <s v="ALTRI CREDITI E RATEI E RISC."/>
  </r>
  <r>
    <s v="48/0005/0010"/>
    <s v="ERARIO C/IRES"/>
    <n v="-35944.629999999997"/>
    <x v="0"/>
    <x v="2"/>
    <x v="2"/>
    <n v="60"/>
    <s v="ALTRI CREDITI E RATEI E RISC."/>
  </r>
  <r>
    <s v="18/0045/0093"/>
    <s v="QUOTE SOCIALI ARTIGIANFIDI"/>
    <n v="180.74"/>
    <x v="0"/>
    <x v="2"/>
    <x v="2"/>
    <n v="60"/>
    <s v="ALTRI CREDITI E RATEI E RISC."/>
  </r>
  <r>
    <s v="11/000011"/>
    <s v="Polizza Vita CreditRas N.3.113.326 UNICR "/>
    <n v="36000.119999999995"/>
    <x v="0"/>
    <x v="2"/>
    <x v="2"/>
    <n v="60"/>
    <s v="ALTRI CREDITI E RATEI E RISC."/>
  </r>
  <r>
    <s v="18/0045/0051"/>
    <s v="POLIZZA VITA 3223567 IMPRESA PLUS"/>
    <n v="21000"/>
    <x v="0"/>
    <x v="2"/>
    <x v="2"/>
    <n v="60"/>
    <s v="ALTRI CREDITI E RATEI E RISC."/>
  </r>
  <r>
    <s v="18/0045/0050"/>
    <s v="POLIZZA VITA 3359864 UNIBONUS PLUS 2012"/>
    <n v="9000"/>
    <x v="0"/>
    <x v="2"/>
    <x v="2"/>
    <n v="60"/>
    <s v="ALTRI CREDITI E RATEI E RISC."/>
  </r>
  <r>
    <s v="11/0020/0010"/>
    <s v="MERCI                           "/>
    <n v="438998.74"/>
    <x v="0"/>
    <x v="5"/>
    <x v="5"/>
    <n v="36"/>
    <s v="PRODOTTI FINITI E SL"/>
  </r>
  <r>
    <s v="26/0010/0005"/>
    <s v="RISCONTI ATTIVI                 "/>
    <n v="24660.07"/>
    <x v="0"/>
    <x v="6"/>
    <x v="6"/>
    <n v="60"/>
    <s v="ALTRI CREDITI E RATEI E RISC."/>
  </r>
  <r>
    <s v="14/000008"/>
    <s v="Cred.Soff. SERTAM SRL                    "/>
    <n v="13930"/>
    <x v="0"/>
    <x v="7"/>
    <x v="7"/>
    <n v="50"/>
    <s v="CREDITI COMMERCIALI "/>
  </r>
  <r>
    <s v="14/000012"/>
    <s v="Cred.Soff. TESI SRL"/>
    <n v="1871.7"/>
    <x v="0"/>
    <x v="7"/>
    <x v="7"/>
    <n v="50"/>
    <s v="CREDITI COMMERCIALI "/>
  </r>
  <r>
    <s v="14/000013"/>
    <s v="Cred.Soff. LGT SRL"/>
    <n v="1443.75"/>
    <x v="0"/>
    <x v="7"/>
    <x v="7"/>
    <n v="50"/>
    <s v="CREDITI COMMERCIALI "/>
  </r>
  <r>
    <s v="14/000014"/>
    <s v="Cred.Soff. TECNOWELDING SRL"/>
    <n v="3010.67"/>
    <x v="0"/>
    <x v="7"/>
    <x v="7"/>
    <n v="50"/>
    <s v="CREDITI COMMERCIALI "/>
  </r>
  <r>
    <s v="14/000015"/>
    <s v="Cred.Soff. E.T.T.2 SRL"/>
    <n v="435.6"/>
    <x v="0"/>
    <x v="7"/>
    <x v="7"/>
    <n v="50"/>
    <s v="CREDITI COMMERCIALI "/>
  </r>
  <r>
    <s v="40"/>
    <s v="DEBITI V/FORNITORI"/>
    <n v="-383539.05999999988"/>
    <x v="0"/>
    <x v="4"/>
    <x v="4"/>
    <n v="210"/>
    <s v="FORNITORI"/>
  </r>
  <r>
    <s v="41/0005/0005"/>
    <s v="FATTURE DA RICEVERE             "/>
    <n v="-28279.420000000002"/>
    <x v="0"/>
    <x v="4"/>
    <x v="4"/>
    <n v="210"/>
    <s v="FORNITORI"/>
  </r>
  <r>
    <s v="48/0005/0085"/>
    <s v="ERARIO C/RIT. LAVORO AUTONOMO   "/>
    <n v="-3775.3699999999994"/>
    <x v="0"/>
    <x v="4"/>
    <x v="4"/>
    <n v="230"/>
    <s v="DEBITI TRIBUTARI E CONTRIBUTIVI"/>
  </r>
  <r>
    <s v="52/0005/0055"/>
    <s v="DIPENDENTI C/RETRIBUZIONI       "/>
    <n v="-18520"/>
    <x v="0"/>
    <x v="4"/>
    <x v="4"/>
    <n v="240"/>
    <s v="ALTRE PASSIVITA' E RATEI E RISC"/>
  </r>
  <r>
    <s v="48/0005/0115"/>
    <s v="DEBITI IRPEF LAVORAT. DIPENDENTE"/>
    <n v="-9178.5800000000036"/>
    <x v="0"/>
    <x v="4"/>
    <x v="4"/>
    <n v="230"/>
    <s v="DEBITI TRIBUTARI E CONTRIBUTIVI"/>
  </r>
  <r>
    <s v="50/0005/0010"/>
    <s v="INPS C/CONTR. SOC. LAV. AUT.    "/>
    <n v="-843.22000000000025"/>
    <x v="0"/>
    <x v="4"/>
    <x v="4"/>
    <n v="230"/>
    <s v="DEBITI TRIBUTARI E CONTRIBUTIVI"/>
  </r>
  <r>
    <s v="48/0005/0105"/>
    <s v="REGIONI C/RIT. ADDIZ. IRPEF     "/>
    <n v="-1048.77"/>
    <x v="0"/>
    <x v="4"/>
    <x v="4"/>
    <n v="230"/>
    <s v="DEBITI TRIBUTARI E CONTRIBUTIVI"/>
  </r>
  <r>
    <s v="48/0005/0110"/>
    <s v="COMUNI C/RIT. ADDIZ. IRPEF      "/>
    <n v="-418.73000000000013"/>
    <x v="0"/>
    <x v="4"/>
    <x v="4"/>
    <n v="230"/>
    <s v="DEBITI TRIBUTARI E CONTRIBUTIVI"/>
  </r>
  <r>
    <s v="52/0005/0080"/>
    <s v="COLLABORATORI C/COMPENSI        "/>
    <n v="-4024"/>
    <x v="0"/>
    <x v="4"/>
    <x v="4"/>
    <n v="240"/>
    <s v="ALTRE PASSIVITA' E RATEI E RISC"/>
  </r>
  <r>
    <s v="22/000031"/>
    <s v="Finanz.055-000-3857912 UNIC ristrutt fab "/>
    <n v="-13289.729999999992"/>
    <x v="0"/>
    <x v="4"/>
    <x v="4"/>
    <n v="220"/>
    <s v="DEBITI VS. BANCHE"/>
  </r>
  <r>
    <s v="22/000037"/>
    <s v="Finaz.055-000-4466226 UNICR"/>
    <n v="-20958.91"/>
    <x v="0"/>
    <x v="4"/>
    <x v="4"/>
    <n v="220"/>
    <s v="DEBITI VS. BANCHE"/>
  </r>
  <r>
    <s v="22/000038"/>
    <s v="Finanz. 055-000-4466219 UNICREDIT"/>
    <n v="-10138.41"/>
    <x v="0"/>
    <x v="4"/>
    <x v="4"/>
    <n v="220"/>
    <s v="DEBITI VS. BANCHE"/>
  </r>
  <r>
    <s v="22/000042"/>
    <s v="IRES Da ravvedere"/>
    <n v="-8607"/>
    <x v="0"/>
    <x v="4"/>
    <x v="4"/>
    <n v="230"/>
    <s v="DEBITI TRIBUTARI E CONTRIBUTIVI"/>
  </r>
  <r>
    <s v="22/000043"/>
    <s v="IRAP Da ravvedere"/>
    <n v="-7058.31"/>
    <x v="0"/>
    <x v="4"/>
    <x v="4"/>
    <n v="230"/>
    <s v="DEBITI TRIBUTARI E CONTRIBUTIVI"/>
  </r>
  <r>
    <s v="22/000041"/>
    <s v="Finanz. 055-000-3857912 ENTRO"/>
    <n v="-27791.56"/>
    <x v="0"/>
    <x v="4"/>
    <x v="4"/>
    <n v="220"/>
    <s v="DEBITI VS. BANCHE"/>
  </r>
  <r>
    <s v="48/0005/0040"/>
    <s v="ERARIO C/IVA                    "/>
    <n v="43034.999999999985"/>
    <x v="0"/>
    <x v="2"/>
    <x v="2"/>
    <n v="60"/>
    <s v="ALTRI CREDITI E RATEI E RISC."/>
  </r>
  <r>
    <s v="31/0005/0005"/>
    <s v="DEBITI P/T.F.R.                 "/>
    <n v="-224250.58"/>
    <x v="0"/>
    <x v="8"/>
    <x v="8"/>
    <n v="170"/>
    <s v="TFR"/>
  </r>
  <r>
    <s v="50/0005/0037"/>
    <s v="FONDO METASALUTE C/CONTRIBUTI"/>
    <n v="439"/>
    <x v="0"/>
    <x v="4"/>
    <x v="4"/>
    <n v="160"/>
    <s v="FONDI RISCHI"/>
  </r>
  <r>
    <s v="07/0010/0015"/>
    <s v="F/AMM MACCHINARI                "/>
    <n v="-1500"/>
    <x v="0"/>
    <x v="0"/>
    <x v="0"/>
    <n v="22"/>
    <s v="FDO IMM. MAT."/>
  </r>
  <r>
    <s v="07/0015/0005"/>
    <s v="F/AMM ATTREZ. IND.LI E COMM.LI"/>
    <n v="-17008.07"/>
    <x v="0"/>
    <x v="0"/>
    <x v="0"/>
    <n v="22"/>
    <s v="FDO IMM. MAT."/>
  </r>
  <r>
    <s v="07/0025/0015"/>
    <s v="F/AMM. AUTOCARRI/AUTOVETTURE"/>
    <n v="-28033.879999999997"/>
    <x v="0"/>
    <x v="0"/>
    <x v="0"/>
    <n v="22"/>
    <s v="FDO IMM. MAT."/>
  </r>
  <r>
    <s v="07/0030/0040"/>
    <s v="F/AMM. ARREDI LABORATORIO"/>
    <n v="-9691.32"/>
    <x v="0"/>
    <x v="0"/>
    <x v="0"/>
    <n v="22"/>
    <s v="FDO IMM. MAT."/>
  </r>
  <r>
    <s v="07/0020/0005"/>
    <s v="F/AMM MOBILI E MACCH. ORD. D'UFF"/>
    <n v="-31164.1"/>
    <x v="0"/>
    <x v="0"/>
    <x v="0"/>
    <n v="22"/>
    <s v="FDO IMM. MAT."/>
  </r>
  <r>
    <s v="07/0005/0015"/>
    <s v="F/AMM FABBR. IND.LI E COMM.LI.  "/>
    <n v="-220.5"/>
    <x v="0"/>
    <x v="0"/>
    <x v="0"/>
    <n v="22"/>
    <s v="FDO IMM. MAT."/>
  </r>
  <r>
    <s v="07/0030/0044"/>
    <s v="F/AMM. CELLULARI"/>
    <n v="-3612.99"/>
    <x v="0"/>
    <x v="0"/>
    <x v="0"/>
    <n v="22"/>
    <s v="FDO IMM. MAT."/>
  </r>
  <r>
    <s v="07/0005/0020"/>
    <s v="F/AMM COSTRUZIONI LEGGERE       "/>
    <n v="-10443.19"/>
    <x v="0"/>
    <x v="0"/>
    <x v="0"/>
    <n v="22"/>
    <s v="FDO IMM. MAT."/>
  </r>
  <r>
    <s v="07/0030/0048"/>
    <s v="F/AMM. SICUREZZA SUL LAVORO"/>
    <n v="-5938.22"/>
    <x v="0"/>
    <x v="0"/>
    <x v="0"/>
    <n v="22"/>
    <s v="FDO IMM. MAT."/>
  </r>
  <r>
    <s v="07/0030/0042"/>
    <s v="F/AMM. TELEFONIA"/>
    <n v="-224.57"/>
    <x v="0"/>
    <x v="0"/>
    <x v="0"/>
    <n v="22"/>
    <s v="FDO IMM. MAT."/>
  </r>
  <r>
    <s v="07/0030/0043"/>
    <s v="F/AMM. FAX"/>
    <n v="-299.98"/>
    <x v="0"/>
    <x v="0"/>
    <x v="0"/>
    <n v="22"/>
    <s v="FDO IMM. MAT."/>
  </r>
  <r>
    <s v="07/0030/0041"/>
    <s v="F/AMM. CLIMATIZZATORI"/>
    <n v="-3324.17"/>
    <x v="0"/>
    <x v="0"/>
    <x v="0"/>
    <n v="22"/>
    <s v="FDO IMM. MAT."/>
  </r>
  <r>
    <s v="07/0030/0045"/>
    <s v="F/AMM. IMPIANTI ELETTRICI"/>
    <n v="-1005"/>
    <x v="0"/>
    <x v="0"/>
    <x v="0"/>
    <n v="22"/>
    <s v="FDO IMM. MAT."/>
  </r>
  <r>
    <s v="07/0030/0046"/>
    <s v="F/AMM. MIGLIORIE SU BENI DI TERZI"/>
    <n v="-106754.90999999999"/>
    <x v="0"/>
    <x v="0"/>
    <x v="0"/>
    <n v="22"/>
    <s v="FDO IMM. MAT."/>
  </r>
  <r>
    <s v="07/0015/0006"/>
    <s v="F/AMM BANCHI DI COLLAUDO"/>
    <n v="-20776"/>
    <x v="0"/>
    <x v="0"/>
    <x v="0"/>
    <n v="22"/>
    <s v="FDO IMM. MAT."/>
  </r>
  <r>
    <s v="07/0030/0047"/>
    <s v="F/AMM. TIMBRATORE"/>
    <n v="-348"/>
    <x v="0"/>
    <x v="0"/>
    <x v="0"/>
    <n v="20"/>
    <s v="IMMOBILIZZ. MATERIALI"/>
  </r>
  <r>
    <s v="16/0010/0010"/>
    <s v="F/DO RISCHI SU CREDITI V.CLIENTI"/>
    <n v="-3787.34"/>
    <x v="0"/>
    <x v="2"/>
    <x v="2"/>
    <n v="160"/>
    <s v="FONDI RISCHI"/>
  </r>
  <r>
    <s v="16/0010/0012"/>
    <s v="F/DO RISCHI SU CREDITI V.CLIENTI &lt; 2.500"/>
    <n v="-30630.05"/>
    <x v="0"/>
    <x v="2"/>
    <x v="2"/>
    <n v="160"/>
    <s v="FONDI RISCHI"/>
  </r>
  <r>
    <s v="54/0005/0005"/>
    <s v="RATEI PASSIVI                   "/>
    <n v="-19193.09"/>
    <x v="0"/>
    <x v="9"/>
    <x v="9"/>
    <n v="240"/>
    <s v="ALTRE PASSIVITA' E RATEI E RISC"/>
  </r>
  <r>
    <s v="28/0040/0005"/>
    <s v="UTILI PORTATI A NUOVO           "/>
    <n v="-21096.55"/>
    <x v="0"/>
    <x v="10"/>
    <x v="10"/>
    <n v="140"/>
    <s v="RISULTATI ES. PRECEDENTI"/>
  </r>
  <r>
    <s v="28/0005/0005"/>
    <s v="CAPITALE SOCIALE                "/>
    <n v="-100000"/>
    <x v="0"/>
    <x v="11"/>
    <x v="11"/>
    <n v="90"/>
    <s v="CAPITALE"/>
  </r>
  <r>
    <s v="28/0020/0005"/>
    <s v="RISERVA LEGALE                  "/>
    <n v="-20000"/>
    <x v="0"/>
    <x v="12"/>
    <x v="12"/>
    <n v="110"/>
    <s v="RISERVA LEGALE"/>
  </r>
  <r>
    <s v="28/0035/0005"/>
    <s v="RISERVA STRAORDINARIA           "/>
    <n v="-74732.679999999993"/>
    <x v="0"/>
    <x v="13"/>
    <x v="13"/>
    <n v="120"/>
    <s v="ALTRE RISERVE"/>
  </r>
  <r>
    <s v="80/0025/0005"/>
    <s v="MERCI C/RIM. INIZIALI           "/>
    <n v="346959.38"/>
    <x v="0"/>
    <x v="14"/>
    <x v="14"/>
    <n v="340"/>
    <s v="VARIAZIONE RIMANENZE MP E MERCI"/>
  </r>
  <r>
    <s v="66/0025/0005"/>
    <s v="MERCI C/ACQUISTI                "/>
    <n v="152710.39000000001"/>
    <x v="0"/>
    <x v="15"/>
    <x v="15"/>
    <n v="330"/>
    <s v="COSTI PER MATERIE PRIME SUSS. E DI CONS. E DI MERCI"/>
  </r>
  <r>
    <s v="66/0005/0005"/>
    <s v="MATERIE PRIME C/ACQUISTI        "/>
    <n v="311591.41000000021"/>
    <x v="0"/>
    <x v="15"/>
    <x v="15"/>
    <n v="330"/>
    <s v="COSTI PER MATERIE PRIME SUSS. E DI CONS. E DI MERCI"/>
  </r>
  <r>
    <s v="66/0015/0005"/>
    <s v="SEMILAVORATI C/ACQUISTI         "/>
    <n v="3730.7"/>
    <x v="0"/>
    <x v="15"/>
    <x v="15"/>
    <n v="330"/>
    <s v="COSTI PER MATERIE PRIME SUSS. E DI CONS. E DI MERCI"/>
  </r>
  <r>
    <s v="66/0005/0000"/>
    <s v="MATERIE PRIME                   "/>
    <n v="105348.37999999999"/>
    <x v="0"/>
    <x v="15"/>
    <x v="15"/>
    <n v="330"/>
    <s v="COSTI PER MATERIE PRIME SUSS. E DI CONS. E DI MERCI"/>
  </r>
  <r>
    <s v="66/0020/0005"/>
    <s v="MATERIE DI CONSUMO C/ACQUISTI   "/>
    <n v="4315.3100000000004"/>
    <x v="0"/>
    <x v="15"/>
    <x v="15"/>
    <n v="330"/>
    <s v="COSTI PER MATERIE PRIME SUSS. E DI CONS. E DI MERCI"/>
  </r>
  <r>
    <s v="68/0005/0020"/>
    <s v="LAVORAZIONI DI TERZI            "/>
    <n v="59174.600000000006"/>
    <x v="0"/>
    <x v="16"/>
    <x v="16"/>
    <n v="330"/>
    <s v="COSTI PER MATERIE PRIME SUSS. E DI CONS. E DI MERCI"/>
  </r>
  <r>
    <s v="66/0005/0009"/>
    <s v="MERCI C/ACQUISTI CEE"/>
    <n v="98112.530000000028"/>
    <x v="0"/>
    <x v="15"/>
    <x v="15"/>
    <n v="330"/>
    <s v="COSTI PER MATERIE PRIME SUSS. E DI CONS. E DI MERCI"/>
  </r>
  <r>
    <s v="66/0005/0008"/>
    <s v="MERCI C/ACQUISTI EXTRACEE"/>
    <n v="192922.41000000003"/>
    <x v="0"/>
    <x v="15"/>
    <x v="15"/>
    <n v="330"/>
    <s v="COSTI PER MATERIE PRIME SUSS. E DI CONS. E DI MERCI"/>
  </r>
  <r>
    <s v="68/0005/0391"/>
    <s v="CONSULENZE TECNICHE"/>
    <n v="16365.039999999999"/>
    <x v="0"/>
    <x v="16"/>
    <x v="16"/>
    <n v="362"/>
    <s v="COSTI FISSI INDUSTRIALI"/>
  </r>
  <r>
    <s v="68/0005/0005"/>
    <s v="SPESE DI TRASPORTO"/>
    <n v="40707.829999999973"/>
    <x v="0"/>
    <x v="15"/>
    <x v="15"/>
    <n v="356"/>
    <s v="COSTI VARIABILI INDUSTRIALI"/>
  </r>
  <r>
    <s v="68/0005/0280"/>
    <s v="PROVVIGIONI A INTERMEDIARI      "/>
    <n v="7254.58"/>
    <x v="0"/>
    <x v="16"/>
    <x v="16"/>
    <n v="356"/>
    <s v="COSTI VARIABILI INDUSTRIALI"/>
  </r>
  <r>
    <s v="50/0005/0030"/>
    <s v="ENASARCO C/CONTRIBUTI           "/>
    <n v="689.37"/>
    <x v="0"/>
    <x v="4"/>
    <x v="4"/>
    <n v="230"/>
    <s v="DEBITI TRIBUTARI E CONTRIBUTIVI"/>
  </r>
  <r>
    <s v="68/0005/0025"/>
    <s v="ENERGIA ELETTRICA               "/>
    <n v="5584.83"/>
    <x v="0"/>
    <x v="16"/>
    <x v="16"/>
    <n v="362"/>
    <s v="COSTI FISSI INDUSTRIALI"/>
  </r>
  <r>
    <s v="68/0005/0320"/>
    <s v="SPESE TELEFONICHE"/>
    <n v="1835.51"/>
    <x v="0"/>
    <x v="16"/>
    <x v="16"/>
    <n v="364"/>
    <s v="COSTI FISSI COMMERCIALI"/>
  </r>
  <r>
    <s v="68/0005/0040"/>
    <s v="GAS RISCALDAMENTO               "/>
    <n v="592.23000000000013"/>
    <x v="0"/>
    <x v="16"/>
    <x v="16"/>
    <n v="362"/>
    <s v="COSTI FISSI INDUSTRIALI"/>
  </r>
  <r>
    <s v="68/0005/0346"/>
    <s v="SPESE PER VIAGGI                "/>
    <n v="2186.79"/>
    <x v="0"/>
    <x v="16"/>
    <x v="16"/>
    <n v="364"/>
    <s v="COSTI FISSI COMMERCIALI"/>
  </r>
  <r>
    <s v="68/0005/0082"/>
    <s v="TASSA VIDIMAZIONE LIBRI SOCIALI"/>
    <n v="309.87"/>
    <x v="0"/>
    <x v="17"/>
    <x v="17"/>
    <n v="380"/>
    <s v="ALTRI COSTI E ONERI DIVERSI"/>
  </r>
  <r>
    <s v="68/0005/0290"/>
    <s v="PUBBLICITA'                     "/>
    <n v="31114.74"/>
    <x v="0"/>
    <x v="16"/>
    <x v="16"/>
    <n v="364"/>
    <s v="COSTI FISSI COMMERCIALI"/>
  </r>
  <r>
    <s v="68/0005/0132"/>
    <s v="SERVIZI DI PULIZIA              "/>
    <n v="5571.2800000000007"/>
    <x v="0"/>
    <x v="16"/>
    <x v="16"/>
    <n v="362"/>
    <s v="COSTI FISSI INDUSTRIALI"/>
  </r>
  <r>
    <s v="68/0005/0385"/>
    <s v="TENUTA PAGHE,CONT.,DICH.DA IMPRES."/>
    <n v="29779.280000000002"/>
    <x v="0"/>
    <x v="16"/>
    <x v="16"/>
    <n v="380"/>
    <s v="ALTRI COSTI E ONERI DIVERSI"/>
  </r>
  <r>
    <s v="68/0005/0310"/>
    <s v="SPESE LEGALI                    "/>
    <n v="5304.67"/>
    <x v="0"/>
    <x v="16"/>
    <x v="16"/>
    <n v="380"/>
    <s v="ALTRI COSTI E ONERI DIVERSI"/>
  </r>
  <r>
    <s v="84/0010/0065"/>
    <s v="OMAGGI CLIENTI E ART. PROMOZ. DEDUC."/>
    <n v="121"/>
    <x v="0"/>
    <x v="17"/>
    <x v="17"/>
    <n v="364"/>
    <s v="COSTI FISSI COMMERCIALI"/>
  </r>
  <r>
    <s v="68/0005/0407"/>
    <s v="ALTRI COSTI PER SERVIZI"/>
    <n v="4930.4000000000005"/>
    <x v="0"/>
    <x v="16"/>
    <x v="16"/>
    <n v="362"/>
    <s v="COSTI FISSI INDUSTRIALI"/>
  </r>
  <r>
    <s v="68/0005/0026"/>
    <s v="SPESE INTERNET"/>
    <n v="1043.29"/>
    <x v="0"/>
    <x v="16"/>
    <x v="16"/>
    <n v="364"/>
    <s v="COSTI FISSI COMMERCIALI"/>
  </r>
  <r>
    <s v="43/000022"/>
    <s v="Spese per adeguamento euro               "/>
    <n v="64.87"/>
    <x v="0"/>
    <x v="16"/>
    <x v="16"/>
    <n v="380"/>
    <s v="ALTRI COSTI E ONERI DIVERSI"/>
  </r>
  <r>
    <s v="68/0005/0325"/>
    <s v="SPESE CELLULARI                 "/>
    <n v="3530.65"/>
    <x v="0"/>
    <x v="16"/>
    <x v="16"/>
    <n v="380"/>
    <s v="ALTRI COSTI E ONERI DIVERSI"/>
  </r>
  <r>
    <s v="68/0005/0395"/>
    <s v="PRIVACY"/>
    <n v="90"/>
    <x v="0"/>
    <x v="17"/>
    <x v="17"/>
    <n v="380"/>
    <s v="ALTRI COSTI E ONERI DIVERSI"/>
  </r>
  <r>
    <s v="84/0010/0025"/>
    <s v="OMAGGI A DIPENDENTI"/>
    <n v="1143.81"/>
    <x v="0"/>
    <x v="18"/>
    <x v="18"/>
    <n v="390"/>
    <s v="COSTO DEL LAVORO DIRETTO"/>
  </r>
  <r>
    <s v="72/0005/0010"/>
    <s v="SALARI E STIPENDI               "/>
    <n v="275775.44"/>
    <x v="0"/>
    <x v="19"/>
    <x v="19"/>
    <n v="390"/>
    <s v="COSTO DEL LAVORO DIRETTO"/>
  </r>
  <r>
    <s v="72/0015/0005"/>
    <s v="ONERI SOCIALI INPS"/>
    <n v="86643.609999999986"/>
    <x v="0"/>
    <x v="20"/>
    <x v="20"/>
    <n v="390"/>
    <s v="COSTO DEL LAVORO DIRETTO"/>
  </r>
  <r>
    <s v="72/0015/0025"/>
    <s v="ONERI SOCIALI INAIL"/>
    <n v="2110.04"/>
    <x v="0"/>
    <x v="20"/>
    <x v="20"/>
    <n v="390"/>
    <s v="COSTO DEL LAVORO DIRETTO"/>
  </r>
  <r>
    <s v="72/0020/0005"/>
    <s v="TFR"/>
    <n v="22265.260000000002"/>
    <x v="0"/>
    <x v="21"/>
    <x v="21"/>
    <n v="400"/>
    <s v="ACC. TFR"/>
  </r>
  <r>
    <s v="68/0005/0199"/>
    <s v="CONT.INPS AMM-CO.CO.CO.(spa-srl)"/>
    <n v="14602.54"/>
    <x v="0"/>
    <x v="16"/>
    <x v="16"/>
    <n v="394"/>
    <s v="AMMINISTRATORI E COLLABORATORI"/>
  </r>
  <r>
    <s v="72/0005/0040"/>
    <s v="STIPENDI AMMINISTRATORI SOCI"/>
    <n v="78984"/>
    <x v="0"/>
    <x v="16"/>
    <x v="16"/>
    <n v="394"/>
    <s v="AMMINISTRATORI E COLLABORATORI"/>
  </r>
  <r>
    <s v="CONTM"/>
    <s v="CONTRIBUTI METASALUTE"/>
    <n v="40"/>
    <x v="0"/>
    <x v="20"/>
    <x v="20"/>
    <n v="390"/>
    <s v="COSTO DEL LAVORO DIRETTO"/>
  </r>
  <r>
    <s v="88/0020/0095"/>
    <s v="PERDITE SU CAMBI                "/>
    <n v="409.74999999999994"/>
    <x v="0"/>
    <x v="22"/>
    <x v="22"/>
    <n v="450"/>
    <s v="COSTI NON OPERATIVI"/>
  </r>
  <r>
    <s v="88/0020/0010"/>
    <s v="INTERESSI PASSIVI BANCARI"/>
    <n v="29480.19"/>
    <x v="0"/>
    <x v="23"/>
    <x v="23"/>
    <n v="430"/>
    <s v="ONERI FINANZIARI"/>
  </r>
  <r>
    <s v="88/0020/0015"/>
    <s v="INTERESSI PASSIVI SU MUTUI      "/>
    <n v="3139.16"/>
    <x v="0"/>
    <x v="23"/>
    <x v="23"/>
    <n v="430"/>
    <s v="ONERI FINANZIARI"/>
  </r>
  <r>
    <s v="68/0005/0371"/>
    <s v="INT. PASSIVI FINANZIAMENTI IMP/EXP"/>
    <n v="11346.359999999999"/>
    <x v="0"/>
    <x v="23"/>
    <x v="23"/>
    <n v="430"/>
    <s v="ONERI FINANZIARI"/>
  </r>
  <r>
    <s v="68/0005/0370"/>
    <s v="ONERI BANCARI                   "/>
    <n v="29204.649999999976"/>
    <x v="0"/>
    <x v="16"/>
    <x v="16"/>
    <n v="380"/>
    <s v="ALTRI COSTI E ONERI DIVERSI"/>
  </r>
  <r>
    <s v="68/0005/0380"/>
    <s v="COMM. DI ISTRUTTORIA"/>
    <n v="432"/>
    <x v="0"/>
    <x v="23"/>
    <x v="23"/>
    <n v="430"/>
    <s v="ONERI FINANZIARI"/>
  </r>
  <r>
    <s v="88/0020/0036"/>
    <s v="INTERESSI RATEAZIONE IMPOSTE"/>
    <n v="11.37"/>
    <x v="0"/>
    <x v="23"/>
    <x v="23"/>
    <n v="430"/>
    <s v="ONERI FINANZIARI"/>
  </r>
  <r>
    <s v="88/0020/0038"/>
    <s v="INTERESSI DI MORA"/>
    <n v="2.13"/>
    <x v="0"/>
    <x v="23"/>
    <x v="23"/>
    <n v="430"/>
    <s v="ONERI FINANZIARI"/>
  </r>
  <r>
    <s v="84/0010/0050"/>
    <s v="SOPRAVVENIENZ. PASSIVE ORD.DED. "/>
    <n v="362.8"/>
    <x v="0"/>
    <x v="17"/>
    <x v="17"/>
    <n v="450"/>
    <s v="COSTI NON OPERATIVI"/>
  </r>
  <r>
    <s v="84/0010/0055"/>
    <s v="SOPRAV. PASSIVE ORD.INDEDUCIBILI"/>
    <n v="7166.5000000000009"/>
    <x v="0"/>
    <x v="17"/>
    <x v="17"/>
    <n v="450"/>
    <s v="COSTI NON OPERATIVI"/>
  </r>
  <r>
    <s v="75/0010/0015"/>
    <s v="AMM.TO ORD. MACC. DEDUCIB.      "/>
    <n v="1000"/>
    <x v="0"/>
    <x v="24"/>
    <x v="24"/>
    <n v="410"/>
    <s v="AMMORTAMENTI"/>
  </r>
  <r>
    <s v="75/0015/0005"/>
    <s v="AMM.TO ORD.ATT.IND.LI E COMM.DED"/>
    <n v="836.32"/>
    <x v="0"/>
    <x v="24"/>
    <x v="24"/>
    <n v="410"/>
    <s v="AMMORTAMENTI"/>
  </r>
  <r>
    <s v="75/0025/0015"/>
    <s v="AMM.ORD.AUTOCARRI/AUTOVET.DED.  "/>
    <n v="7995.15"/>
    <x v="0"/>
    <x v="24"/>
    <x v="24"/>
    <n v="410"/>
    <s v="AMMORTAMENTI"/>
  </r>
  <r>
    <s v="75/0030/0040"/>
    <s v="AMM.TO ORD.ARREDAMENTO DED.     "/>
    <n v="414.72"/>
    <x v="0"/>
    <x v="24"/>
    <x v="24"/>
    <n v="410"/>
    <s v="AMMORTAMENTI"/>
  </r>
  <r>
    <s v="75/0020/0010"/>
    <s v="AMM.TO ORD.MAC.ELETTROM.UF.DED. "/>
    <n v="2441.4499999999998"/>
    <x v="0"/>
    <x v="24"/>
    <x v="24"/>
    <n v="410"/>
    <s v="AMMORTAMENTI"/>
  </r>
  <r>
    <s v="74/0010/0006"/>
    <s v="AMM.TO IMM. SICUREZZA SUL LAVORO"/>
    <n v="1583.3"/>
    <x v="0"/>
    <x v="24"/>
    <x v="24"/>
    <n v="410"/>
    <s v="AMMORTAMENTI"/>
  </r>
  <r>
    <s v="75/0020/0007"/>
    <s v="AMM.TO ORD. TELEFONIA"/>
    <n v="65.760000000000005"/>
    <x v="0"/>
    <x v="24"/>
    <x v="24"/>
    <n v="410"/>
    <s v="AMMORTAMENTI"/>
  </r>
  <r>
    <s v="75/0020/0012"/>
    <s v="AMM.TO ORD. TELEFONI CELLULARI"/>
    <n v="220.49"/>
    <x v="0"/>
    <x v="24"/>
    <x v="24"/>
    <n v="410"/>
    <s v="AMMORTAMENTI"/>
  </r>
  <r>
    <s v="75/0005/0020"/>
    <s v="AMM.TO ORD. COST.LEGG. DEDUCIB. "/>
    <n v="726.09"/>
    <x v="0"/>
    <x v="24"/>
    <x v="24"/>
    <n v="410"/>
    <s v="AMMORTAMENTI"/>
  </r>
  <r>
    <s v="75/0020/0008"/>
    <s v="AMM.TO ORD. ARREDI LABORATORIO"/>
    <n v="201.6"/>
    <x v="0"/>
    <x v="24"/>
    <x v="24"/>
    <n v="410"/>
    <s v="AMMORTAMENTI"/>
  </r>
  <r>
    <s v="74/0035/0005"/>
    <s v="AMM.LAV. STRAORD.BENI DI TERZI  "/>
    <n v="10305.26"/>
    <x v="0"/>
    <x v="24"/>
    <x v="24"/>
    <n v="410"/>
    <s v="AMMORTAMENTI"/>
  </r>
  <r>
    <s v="75/0005/0015"/>
    <s v="AMM.TO ORD.FABB.IND.LI E COM.DED"/>
    <n v="220.5"/>
    <x v="0"/>
    <x v="24"/>
    <x v="24"/>
    <n v="410"/>
    <s v="AMMORTAMENTI"/>
  </r>
  <r>
    <s v="52/000007"/>
    <s v="Quota am. master per circuiti stampati   "/>
    <n v="180"/>
    <x v="0"/>
    <x v="25"/>
    <x v="25"/>
    <n v="410"/>
    <s v="AMMORTAMENTI"/>
  </r>
  <r>
    <s v="74/0035/0016"/>
    <s v="AMM.TO ORD. ATTREZZ. PER TEST ELETTRICO"/>
    <n v="125.93"/>
    <x v="0"/>
    <x v="25"/>
    <x v="25"/>
    <n v="410"/>
    <s v="AMMORTAMENTI"/>
  </r>
  <r>
    <s v="74/0020/0015"/>
    <s v="AMM.TO LIC.USO SOFT.A TEMP.DET. "/>
    <n v="665.28"/>
    <x v="0"/>
    <x v="25"/>
    <x v="25"/>
    <n v="410"/>
    <s v="AMMORTAMENTI"/>
  </r>
  <r>
    <s v="74/0010/0005"/>
    <s v="AMM.TO COSTI DI RIC.  E DI SVIL."/>
    <n v="106289.1"/>
    <x v="0"/>
    <x v="25"/>
    <x v="25"/>
    <n v="410"/>
    <s v="AMMORTAMENTI"/>
  </r>
  <r>
    <s v="74/0035/0017"/>
    <s v="AMM.TO ORD. CERTIFICAZIONE QUALITA'"/>
    <n v="2442.7600000000002"/>
    <x v="0"/>
    <x v="25"/>
    <x v="25"/>
    <n v="410"/>
    <s v="AMMORTAMENTI"/>
  </r>
  <r>
    <s v="74/0035/0018"/>
    <s v="AMM.TO ORD. SITO INTERNET"/>
    <n v="882.4"/>
    <x v="0"/>
    <x v="25"/>
    <x v="25"/>
    <n v="410"/>
    <s v="AMMORTAMENTI"/>
  </r>
  <r>
    <s v="52/000017"/>
    <s v="Quota amm. Librerie Grafiche             "/>
    <n v="2800"/>
    <x v="0"/>
    <x v="25"/>
    <x v="25"/>
    <n v="410"/>
    <s v="AMMORTAMENTI"/>
  </r>
  <r>
    <s v="78/0010/0010"/>
    <s v="ACC.TO P/RISCHI SU CRED.V/CLIENT"/>
    <n v="1700"/>
    <x v="0"/>
    <x v="26"/>
    <x v="26"/>
    <n v="411"/>
    <s v="ACCANTONAMENTI"/>
  </r>
  <r>
    <s v="78/0010/0012"/>
    <s v="ACC. F.DO CREDITI &lt; 2.500 EURO"/>
    <n v="30630.050000000003"/>
    <x v="0"/>
    <x v="26"/>
    <x v="26"/>
    <n v="411"/>
    <s v="ACCANTONAMENTI"/>
  </r>
  <r>
    <s v="68/0005/0057"/>
    <s v="MANUTENZIONI E RIPARAZIONI"/>
    <n v="822"/>
    <x v="0"/>
    <x v="16"/>
    <x v="16"/>
    <n v="362"/>
    <s v="COSTI FISSI INDUSTRIALI"/>
  </r>
  <r>
    <s v="68/0005/0052"/>
    <s v="CANONE DI MANUTENZIONE PERIODICA"/>
    <n v="1786.4"/>
    <x v="0"/>
    <x v="16"/>
    <x v="16"/>
    <n v="380"/>
    <s v="ALTRI COSTI E ONERI DIVERSI"/>
  </r>
  <r>
    <s v="70/0005/0101"/>
    <s v="NOLEGGIO DEDUCIBILE             "/>
    <n v="71.58"/>
    <x v="0"/>
    <x v="27"/>
    <x v="27"/>
    <n v="370"/>
    <s v="AFFITTI LEASING NOLEGGI"/>
  </r>
  <r>
    <s v="70/0010/0012"/>
    <s v="Canone Loc. Immobili BNL"/>
    <n v="20386.330000000005"/>
    <x v="0"/>
    <x v="27"/>
    <x v="27"/>
    <n v="370"/>
    <s v="AFFITTI LEASING NOLEGGI"/>
  </r>
  <r>
    <s v="57/000015"/>
    <s v="Canone Leasing n. AS1297984              "/>
    <n v="2557.1"/>
    <x v="0"/>
    <x v="27"/>
    <x v="27"/>
    <n v="370"/>
    <s v="AFFITTI LEASING NOLEGGI"/>
  </r>
  <r>
    <s v="59/000026"/>
    <s v="Noleggio contr. n.11/0096                "/>
    <n v="875.38"/>
    <x v="0"/>
    <x v="27"/>
    <x v="27"/>
    <n v="370"/>
    <s v="AFFITTI LEASING NOLEGGI"/>
  </r>
  <r>
    <s v="70/0010/0011"/>
    <s v="Canone Locazione Mobili Ufficio"/>
    <n v="2003.7299999999998"/>
    <x v="0"/>
    <x v="27"/>
    <x v="27"/>
    <n v="370"/>
    <s v="AFFITTI LEASING NOLEGGI"/>
  </r>
  <r>
    <s v="84/0010/0090"/>
    <s v="ABBUONI/ARROTONDAMENTI PASSIVI  "/>
    <n v="89.16"/>
    <x v="0"/>
    <x v="17"/>
    <x v="17"/>
    <n v="300"/>
    <s v="RICAVI "/>
  </r>
  <r>
    <s v="66/0030/0010"/>
    <s v="IMBALLAGGI C/ACQUISTI           "/>
    <n v="10762.289999999999"/>
    <x v="0"/>
    <x v="15"/>
    <x v="15"/>
    <n v="330"/>
    <s v="COSTI PER MATERIE PRIME SUSS. E DI CONS. E DI MERCI"/>
  </r>
  <r>
    <s v="66/0030/0025"/>
    <s v="CANCELLERIA                     "/>
    <n v="5137.6799999999994"/>
    <x v="0"/>
    <x v="17"/>
    <x v="17"/>
    <n v="380"/>
    <s v="ALTRI COSTI E ONERI DIVERSI"/>
  </r>
  <r>
    <s v="68/0005/0330"/>
    <s v="SPESE POSTALI E DI AFFRANCATURA "/>
    <n v="80.399999999999991"/>
    <x v="0"/>
    <x v="16"/>
    <x v="16"/>
    <n v="380"/>
    <s v="ALTRI COSTI E ONERI DIVERSI"/>
  </r>
  <r>
    <s v="84/0005/0070"/>
    <s v="DIRITTI CAMERALI                "/>
    <n v="393.57"/>
    <x v="0"/>
    <x v="17"/>
    <x v="17"/>
    <n v="380"/>
    <s v="ALTRI COSTI E ONERI DIVERSI"/>
  </r>
  <r>
    <s v="68/0005/0035"/>
    <s v="QUOTE ASSOCIATIVE"/>
    <n v="2129.65"/>
    <x v="0"/>
    <x v="17"/>
    <x v="17"/>
    <n v="380"/>
    <s v="ALTRI COSTI E ONERI DIVERSI"/>
  </r>
  <r>
    <s v="68/0005/0015"/>
    <s v="SPESE DOGANALI"/>
    <n v="13672.99"/>
    <x v="0"/>
    <x v="15"/>
    <x v="15"/>
    <n v="330"/>
    <s v="COSTI PER MATERIE PRIME SUSS. E DI CONS. E DI MERCI"/>
  </r>
  <r>
    <s v="68/0005/0050"/>
    <s v="SPESE CONDOMINIALI              "/>
    <n v="327.54000000000002"/>
    <x v="0"/>
    <x v="27"/>
    <x v="27"/>
    <n v="380"/>
    <s v="ALTRI COSTI E ONERI DIVERSI"/>
  </r>
  <r>
    <s v="68/0005/0300"/>
    <s v="MOSTRE E FIERE                  "/>
    <n v="74.849999999999994"/>
    <x v="0"/>
    <x v="16"/>
    <x v="16"/>
    <n v="364"/>
    <s v="COSTI FISSI COMMERCIALI"/>
  </r>
  <r>
    <s v="84/0010/0035"/>
    <s v="MULTE E AMMENDE INDEDUCIBILI    "/>
    <n v="365.43"/>
    <x v="0"/>
    <x v="17"/>
    <x v="17"/>
    <n v="380"/>
    <s v="ALTRI COSTI E ONERI DIVERSI"/>
  </r>
  <r>
    <s v="68/0005/0355"/>
    <s v="RICERCA,ADDESTRAM.E FORMAZIONE  "/>
    <n v="300"/>
    <x v="0"/>
    <x v="16"/>
    <x v="16"/>
    <n v="380"/>
    <s v="ALTRI COSTI E ONERI DIVERSI"/>
  </r>
  <r>
    <s v="68/0005/0150"/>
    <s v="COMP.AMM.-CO.CO.CO.(SOCIspa-srl)"/>
    <n v="6114.42"/>
    <x v="0"/>
    <x v="16"/>
    <x v="16"/>
    <n v="390"/>
    <s v="COSTO DEL LAVORO DIRETTO"/>
  </r>
  <r>
    <s v="59/000026"/>
    <s v="Quote Sociali LODI"/>
    <n v="1698.3"/>
    <x v="0"/>
    <x v="17"/>
    <x v="17"/>
    <n v="370"/>
    <s v="AFFITTI LEASING NOLEGGI"/>
  </r>
  <r>
    <s v="68/0005/0341"/>
    <s v="SPESE ALBERGHI E RISTORANTI"/>
    <n v="12565.679999999993"/>
    <x v="0"/>
    <x v="16"/>
    <x v="16"/>
    <n v="364"/>
    <s v="COSTI FISSI COMMERCIALI"/>
  </r>
  <r>
    <s v="84/0010/0021"/>
    <s v="BEVANDE UFFICIO"/>
    <n v="503.17999999999995"/>
    <x v="0"/>
    <x v="16"/>
    <x v="16"/>
    <n v="380"/>
    <s v="ALTRI COSTI E ONERI DIVERSI"/>
  </r>
  <r>
    <s v="68/0005/0110"/>
    <s v="ASSICURAZIONI R.C.A.            "/>
    <n v="5215.4500000000007"/>
    <x v="0"/>
    <x v="16"/>
    <x v="16"/>
    <n v="380"/>
    <s v="ALTRI COSTI E ONERI DIVERSI"/>
  </r>
  <r>
    <s v="68/0005/0053"/>
    <s v="ASSICURAZIONI DIVERSE"/>
    <n v="3920.5"/>
    <x v="0"/>
    <x v="16"/>
    <x v="16"/>
    <n v="380"/>
    <s v="ALTRI COSTI E ONERI DIVERSI"/>
  </r>
  <r>
    <s v="84/0005/0040"/>
    <s v="TASSE DI PROPRIETA' AUTOVEICOLI "/>
    <n v="356.14"/>
    <x v="0"/>
    <x v="17"/>
    <x v="17"/>
    <n v="380"/>
    <s v="ALTRI COSTI E ONERI DIVERSI"/>
  </r>
  <r>
    <s v="66/0030/0035"/>
    <s v="CARBURANTI E LUBRIFICANTI       "/>
    <n v="8439.2799999999988"/>
    <x v="0"/>
    <x v="15"/>
    <x v="15"/>
    <n v="364"/>
    <s v="COSTI FISSI COMMERCIALI"/>
  </r>
  <r>
    <s v="68/0005/0095"/>
    <s v="ALTRI ONERI P/AUTOMEZZI         "/>
    <n v="7416.130000000001"/>
    <x v="0"/>
    <x v="16"/>
    <x v="16"/>
    <n v="364"/>
    <s v="COSTI FISSI COMMERCIALI"/>
  </r>
  <r>
    <s v="68/0005/0080"/>
    <s v="PEDAGGI AUTOSTRADALI            "/>
    <n v="2006.8399999999997"/>
    <x v="0"/>
    <x v="16"/>
    <x v="16"/>
    <n v="364"/>
    <s v="COSTI FISSI COMMERCIALI"/>
  </r>
  <r>
    <s v="84/0005/0045"/>
    <s v="TASSA SUI RIFIUTI               "/>
    <n v="305"/>
    <x v="0"/>
    <x v="17"/>
    <x v="17"/>
    <n v="380"/>
    <s v="ALTRI COSTI E ONERI DIVERSI"/>
  </r>
  <r>
    <s v="84/0005/0010"/>
    <s v="IMPOSTA COM.SUGLI IMM.-ICI      "/>
    <n v="1407"/>
    <x v="0"/>
    <x v="17"/>
    <x v="17"/>
    <n v="380"/>
    <s v="ALTRI COSTI E ONERI DIVERSI"/>
  </r>
  <r>
    <s v="84/0010/0006"/>
    <s v="PERDITE SU CREDITI INDEDUCIBILI "/>
    <n v="70000"/>
    <x v="0"/>
    <x v="17"/>
    <x v="17"/>
    <n v="450"/>
    <s v="COSTI NON OPERATIVI"/>
  </r>
  <r>
    <s v="96/0005/0015"/>
    <s v="IRES DELL'ESERCIZIO            "/>
    <n v="49570"/>
    <x v="0"/>
    <x v="28"/>
    <x v="28"/>
    <n v="460"/>
    <s v="IMPOSTE"/>
  </r>
  <r>
    <s v="96/0005/0010"/>
    <s v="IRAP DELL'ESERCIZIO             "/>
    <n v="17684"/>
    <x v="0"/>
    <x v="28"/>
    <x v="28"/>
    <n v="460"/>
    <s v="IMPOSTE"/>
  </r>
  <r>
    <s v="58/0005/0010"/>
    <s v="MERCI C/VENDITE                 "/>
    <n v="-1631052.2100000004"/>
    <x v="0"/>
    <x v="29"/>
    <x v="29"/>
    <n v="300"/>
    <s v="RICAVI "/>
  </r>
  <r>
    <s v="58/0005/0012"/>
    <s v="MERCI C/VENDITE EXTRACEE"/>
    <n v="-95172.86"/>
    <x v="0"/>
    <x v="29"/>
    <x v="29"/>
    <n v="300"/>
    <s v="RICAVI "/>
  </r>
  <r>
    <s v="58/0005/0011"/>
    <s v="MERCI C/VENDITE CEE"/>
    <n v="-196375.00999999998"/>
    <x v="0"/>
    <x v="29"/>
    <x v="29"/>
    <n v="300"/>
    <s v="RICAVI "/>
  </r>
  <r>
    <s v="58/0005/0490"/>
    <s v="ALTRI RICAVI DELLE VENDITE      "/>
    <n v="-15389.9"/>
    <x v="0"/>
    <x v="29"/>
    <x v="29"/>
    <n v="320"/>
    <s v="ALTRI RICAVI"/>
  </r>
  <r>
    <s v="64/0005/0115"/>
    <s v="SOPRAVVENIENZE ORDINARIE ATTIVE "/>
    <n v="-461.2"/>
    <x v="0"/>
    <x v="30"/>
    <x v="30"/>
    <n v="440"/>
    <s v="PROVENTI NON OPERATIVI"/>
  </r>
  <r>
    <s v="62/0005/0006"/>
    <s v="PROVENTI PER COSTI CAPITALIZZATI R&amp;S"/>
    <n v="-56880.04"/>
    <x v="0"/>
    <x v="31"/>
    <x v="31"/>
    <n v="315"/>
    <s v="CONTRIBUTI IN CONTO ESERCIZIO"/>
  </r>
  <r>
    <s v="94/0010/0010"/>
    <s v="SOPPR.ATT.EST.ALL'ATT.NON TASS. "/>
    <n v="-2081.48"/>
    <x v="0"/>
    <x v="30"/>
    <x v="30"/>
    <n v="440"/>
    <s v="PROVENTI NON OPERATIVI"/>
  </r>
  <r>
    <s v="80/0025/0010"/>
    <s v="MERCI C/RIM. FINALI             "/>
    <n v="-438998.74"/>
    <x v="0"/>
    <x v="14"/>
    <x v="14"/>
    <n v="340"/>
    <s v="VARIAZIONE RIMANENZE MP E MERCI"/>
  </r>
  <r>
    <s v="64/0010/0025"/>
    <s v="CONT.C/CRED.D'IMP.TASSABILI     "/>
    <n v="-2748"/>
    <x v="0"/>
    <x v="32"/>
    <x v="32"/>
    <n v="315"/>
    <s v="CONTRIBUTI IN CONTO ESERCIZIO"/>
  </r>
  <r>
    <s v="87/0020/0060"/>
    <s v="UTILI SU CAMBI                  "/>
    <n v="-61.26"/>
    <x v="0"/>
    <x v="22"/>
    <x v="22"/>
    <n v="440"/>
    <s v="PROVENTI NON OPERATIVI"/>
  </r>
  <r>
    <s v="58/0005/0225"/>
    <s v="ABBUONI SU VENDITE              "/>
    <n v="-933.50000000000023"/>
    <x v="0"/>
    <x v="30"/>
    <x v="30"/>
    <n v="300"/>
    <s v="RICAVI "/>
  </r>
  <r>
    <s v="58/0005/0500"/>
    <s v="RIMBORSI SPESE DI TRASPORTO"/>
    <n v="-4745.8000000000065"/>
    <x v="0"/>
    <x v="30"/>
    <x v="30"/>
    <n v="320"/>
    <s v="ALTRI RICAVI"/>
  </r>
  <r>
    <s v="78/000011"/>
    <s v="Rimborso Prestito Uso Automezzo          "/>
    <n v="-546.32000000000005"/>
    <x v="0"/>
    <x v="30"/>
    <x v="30"/>
    <n v="440"/>
    <s v="PROVENTI NON OPERATIVI"/>
  </r>
  <r>
    <s v="06/0010/0015"/>
    <s v="MACCHINARI                      "/>
    <n v="5000"/>
    <x v="1"/>
    <x v="0"/>
    <x v="0"/>
    <n v="20"/>
    <s v="IMMOBILIZZ. MATERIALI"/>
  </r>
  <r>
    <s v="06/0015/0005"/>
    <s v="ATTREZZAT. IND.LI E COMM.LI     "/>
    <n v="20602.28"/>
    <x v="1"/>
    <x v="0"/>
    <x v="0"/>
    <n v="20"/>
    <s v="IMMOBILIZZ. MATERIALI"/>
  </r>
  <r>
    <s v="06/0025/0025"/>
    <s v="AUTOVETTURE                     "/>
    <n v="2294.3200000000033"/>
    <x v="1"/>
    <x v="0"/>
    <x v="0"/>
    <n v="20"/>
    <s v="IMMOBILIZZ. MATERIALI"/>
  </r>
  <r>
    <s v="06/0030/0040"/>
    <s v="ARREDI UFFICIO"/>
    <n v="7992.62"/>
    <x v="1"/>
    <x v="0"/>
    <x v="0"/>
    <n v="20"/>
    <s v="IMMOBILIZZ. MATERIALI"/>
  </r>
  <r>
    <s v="06/0020/0005"/>
    <s v="MACCHINE UFFICIO ELETTRONICHE"/>
    <n v="46113.54"/>
    <x v="1"/>
    <x v="0"/>
    <x v="0"/>
    <n v="20"/>
    <s v="IMMOBILIZZ. MATERIALI"/>
  </r>
  <r>
    <s v="06/0030/0046"/>
    <s v="TELEFONI CELLULARI"/>
    <n v="5062.97"/>
    <x v="1"/>
    <x v="0"/>
    <x v="0"/>
    <n v="20"/>
    <s v="IMMOBILIZZ. MATERIALI"/>
  </r>
  <r>
    <s v="06/0030/0047"/>
    <s v="TELEFONIA"/>
    <n v="1289.94"/>
    <x v="1"/>
    <x v="0"/>
    <x v="0"/>
    <n v="20"/>
    <s v="IMMOBILIZZ. MATERIALI"/>
  </r>
  <r>
    <s v="06/0030/0048"/>
    <s v="FAX"/>
    <n v="196.70999999999998"/>
    <x v="1"/>
    <x v="0"/>
    <x v="0"/>
    <n v="20"/>
    <s v="IMMOBILIZZ. MATERIALI"/>
  </r>
  <r>
    <s v="06/0005/0015"/>
    <s v="FABBRICATI IND.LI. E COMM.LI    "/>
    <n v="18280"/>
    <x v="1"/>
    <x v="0"/>
    <x v="0"/>
    <n v="20"/>
    <s v="IMMOBILIZZ. MATERIALI"/>
  </r>
  <r>
    <s v="06/0015/0006"/>
    <s v="SICUREZZA SUL LAVORO 626"/>
    <n v="13607.16"/>
    <x v="1"/>
    <x v="0"/>
    <x v="0"/>
    <n v="20"/>
    <s v="IMMOBILIZZ. MATERIALI"/>
  </r>
  <r>
    <s v="06/0005/0020"/>
    <s v="COSTRUZIONI LEGGERE             "/>
    <n v="28492.37"/>
    <x v="1"/>
    <x v="0"/>
    <x v="0"/>
    <n v="20"/>
    <s v="IMMOBILIZZ. MATERIALI"/>
  </r>
  <r>
    <s v="06/0030/0045"/>
    <s v="ARREDI LABORATORIO"/>
    <n v="5343.01"/>
    <x v="1"/>
    <x v="0"/>
    <x v="0"/>
    <n v="20"/>
    <s v="IMMOBILIZZ. MATERIALI"/>
  </r>
  <r>
    <s v="06/0030/0051"/>
    <s v="CLIMATIZZATORI"/>
    <n v="9258.17"/>
    <x v="1"/>
    <x v="0"/>
    <x v="0"/>
    <n v="20"/>
    <s v="IMMOBILIZZ. MATERIALI"/>
  </r>
  <r>
    <s v="06/0030/0052"/>
    <s v="IMPIANTI ELETTRICI"/>
    <n v="1005"/>
    <x v="1"/>
    <x v="0"/>
    <x v="0"/>
    <n v="20"/>
    <s v="IMMOBILIZZ. MATERIALI"/>
  </r>
  <r>
    <s v="06/0030/0053"/>
    <s v="MIGLIORIE SU BENI TERZI"/>
    <n v="132431.23000000001"/>
    <x v="1"/>
    <x v="0"/>
    <x v="0"/>
    <n v="20"/>
    <s v="IMMOBILIZZ. MATERIALI"/>
  </r>
  <r>
    <s v="06/0030/0054"/>
    <s v="BANCHI DI COLLAUDO"/>
    <n v="20776"/>
    <x v="1"/>
    <x v="0"/>
    <x v="0"/>
    <n v="20"/>
    <s v="IMMOBILIZZ. MATERIALI"/>
  </r>
  <r>
    <s v="06/0030/0049"/>
    <s v="TIMBRATORE"/>
    <n v="348"/>
    <x v="1"/>
    <x v="0"/>
    <x v="0"/>
    <n v="20"/>
    <s v="IMMOBILIZZ. MATERIALI"/>
  </r>
  <r>
    <s v="06/0005/0005"/>
    <s v="TERRENI                         "/>
    <n v="6300"/>
    <x v="1"/>
    <x v="0"/>
    <x v="0"/>
    <n v="20"/>
    <s v="IMMOBILIZZ. MATERIALI"/>
  </r>
  <r>
    <s v="03/0010/0006"/>
    <s v="STUDI DI PROGETTAZIONE"/>
    <n v="19075.400000000001"/>
    <x v="1"/>
    <x v="1"/>
    <x v="1"/>
    <n v="10"/>
    <s v="IMMOBILIZZ. IMMATERIALI "/>
  </r>
  <r>
    <s v="06/0015/0000"/>
    <s v="ATTREZZATURE IND.LI E COMM.LI   "/>
    <n v="125.92999999999999"/>
    <x v="1"/>
    <x v="1"/>
    <x v="1"/>
    <n v="10"/>
    <s v="IMMOBILIZZ. IMMATERIALI "/>
  </r>
  <r>
    <s v="03/0010/0007"/>
    <s v="PROGRAMMI COMPUTER"/>
    <n v="497.07999999999993"/>
    <x v="1"/>
    <x v="1"/>
    <x v="1"/>
    <n v="10"/>
    <s v="IMMOBILIZZ. IMMATERIALI "/>
  </r>
  <r>
    <s v="03/0010/0010"/>
    <s v="CERTIFICAZIONE QUALITA'"/>
    <n v="17325.939999999999"/>
    <x v="1"/>
    <x v="1"/>
    <x v="1"/>
    <n v="10"/>
    <s v="IMMOBILIZZ. IMMATERIALI "/>
  </r>
  <r>
    <s v="03/0010/0008"/>
    <s v="SITO INTERNET"/>
    <n v="2647.2"/>
    <x v="1"/>
    <x v="1"/>
    <x v="1"/>
    <n v="10"/>
    <s v="IMMOBILIZZ. IMMATERIALI "/>
  </r>
  <r>
    <s v="03/0010/0005"/>
    <s v="COSTI DI RIC.,SVIL.,PUBB. DA AMM"/>
    <n v="138923.02000000002"/>
    <x v="1"/>
    <x v="1"/>
    <x v="1"/>
    <n v="10"/>
    <s v="IMMOBILIZZ. IMMATERIALI "/>
  </r>
  <r>
    <s v="03/0010/0009"/>
    <s v="SVILUPPO PRODOTTI"/>
    <n v="51762.509999999995"/>
    <x v="1"/>
    <x v="1"/>
    <x v="1"/>
    <n v="10"/>
    <s v="IMMOBILIZZ. IMMATERIALI "/>
  </r>
  <r>
    <s v="14"/>
    <s v="CLIENTI"/>
    <n v="362807.21000000008"/>
    <x v="1"/>
    <x v="2"/>
    <x v="2"/>
    <n v="50"/>
    <s v="CREDITI COMMERCIALI "/>
  </r>
  <r>
    <s v="24/0015/0005"/>
    <s v="DENARO IN CASSA                 "/>
    <n v="110.64000000000033"/>
    <x v="1"/>
    <x v="3"/>
    <x v="3"/>
    <n v="80"/>
    <s v="CASSA E BANCHE "/>
  </r>
  <r>
    <s v="24/0005/0002"/>
    <s v="UBI BANCA SPA"/>
    <n v="-4949.7099999999627"/>
    <x v="1"/>
    <x v="4"/>
    <x v="4"/>
    <n v="220"/>
    <s v="DEBITI VS. BANCHE"/>
  </r>
  <r>
    <s v="15/0005/0005"/>
    <s v="EFFETTI ATTIVI UNICREDIT"/>
    <n v="-128530.5"/>
    <x v="1"/>
    <x v="2"/>
    <x v="2"/>
    <n v="50"/>
    <s v="CREDITI COMMERCIALI "/>
  </r>
  <r>
    <s v="24/0005/0012"/>
    <s v="UBI BANCA S.B.F"/>
    <n v="126239.88"/>
    <x v="1"/>
    <x v="2"/>
    <x v="2"/>
    <n v="50"/>
    <s v="CREDITI COMMERCIALI "/>
  </r>
  <r>
    <s v="24/0005/0001"/>
    <s v="UNICREDIT BANCA"/>
    <n v="-247236.9700000002"/>
    <x v="1"/>
    <x v="4"/>
    <x v="4"/>
    <n v="220"/>
    <s v="DEBITI VS. BANCHE"/>
  </r>
  <r>
    <s v="24/0005/0011"/>
    <s v="UNICREDIT S.B.F"/>
    <n v="194158.95999999996"/>
    <x v="1"/>
    <x v="2"/>
    <x v="2"/>
    <n v="50"/>
    <s v="CREDITI COMMERCIALI "/>
  </r>
  <r>
    <s v="10/000018"/>
    <s v="CartaSì Nebuloni 2637                    "/>
    <n v="-102.03999999999996"/>
    <x v="1"/>
    <x v="4"/>
    <x v="4"/>
    <n v="220"/>
    <s v="DEBITI VS. BANCHE"/>
  </r>
  <r>
    <s v="24/0005/0015"/>
    <s v="FINANZ. ESTERO UNICREDIT"/>
    <n v="-130194.27000000002"/>
    <x v="1"/>
    <x v="4"/>
    <x v="4"/>
    <n v="220"/>
    <s v="DEBITI VS. BANCHE"/>
  </r>
  <r>
    <s v="24/0005/0004"/>
    <s v="BANCA DESIO E DELLA BRIANZA SPA"/>
    <n v="-146934.58999999997"/>
    <x v="1"/>
    <x v="4"/>
    <x v="4"/>
    <n v="220"/>
    <s v="DEBITI VS. BANCHE"/>
  </r>
  <r>
    <s v="24/0005/0014"/>
    <s v="BANCO DESIO S.B.F."/>
    <n v="134866.66999999998"/>
    <x v="1"/>
    <x v="2"/>
    <x v="2"/>
    <n v="50"/>
    <s v="CREDITI COMMERCIALI "/>
  </r>
  <r>
    <s v="15/0005/0050"/>
    <s v="CARTE DI CREDITO                "/>
    <n v="-4370.3999999999978"/>
    <x v="1"/>
    <x v="4"/>
    <x v="4"/>
    <n v="220"/>
    <s v="DEBITI VS. BANCHE"/>
  </r>
  <r>
    <s v="24/0005/0020"/>
    <s v="UNICREDIT C/FATTURE ANTICIPATE"/>
    <n v="-26007.47"/>
    <x v="1"/>
    <x v="4"/>
    <x v="4"/>
    <n v="50"/>
    <s v="CREDITI COMMERCIALI "/>
  </r>
  <r>
    <s v="24/0005/0018"/>
    <s v="FINANZ. ESTERO BANCO DESIO"/>
    <n v="-22106.119999999995"/>
    <x v="1"/>
    <x v="4"/>
    <x v="4"/>
    <n v="220"/>
    <s v="DEBITI VS. BANCHE"/>
  </r>
  <r>
    <s v="24/0005/0003"/>
    <s v="BANCA REALE"/>
    <n v="-63982.859999999986"/>
    <x v="1"/>
    <x v="4"/>
    <x v="4"/>
    <n v="220"/>
    <s v="DEBITI VS. BANCHE"/>
  </r>
  <r>
    <s v="24/0005/0013"/>
    <s v="BANCA REALE S.B.F."/>
    <n v="54453.549999999988"/>
    <x v="1"/>
    <x v="2"/>
    <x v="2"/>
    <n v="50"/>
    <s v="CREDITI COMMERCIALI "/>
  </r>
  <r>
    <s v="24/0005/0019"/>
    <s v="REALE C/FATTURE ANTICIPATE"/>
    <n v="-41655.73000000001"/>
    <x v="1"/>
    <x v="4"/>
    <x v="4"/>
    <n v="50"/>
    <s v="CREDITI COMMERCIALI "/>
  </r>
  <r>
    <s v="24/0005/0017"/>
    <s v="FINANZ. ESTERO BANCA REALE"/>
    <n v="8598.6699999999983"/>
    <x v="1"/>
    <x v="3"/>
    <x v="3"/>
    <n v="50"/>
    <s v="CREDITI COMMERCIALI "/>
  </r>
  <r>
    <s v="24/0005/0016"/>
    <s v="FINANZ. ESTERO UBI"/>
    <n v="-31950.929999999993"/>
    <x v="1"/>
    <x v="4"/>
    <x v="4"/>
    <n v="220"/>
    <s v="DEBITI VS. BANCHE"/>
  </r>
  <r>
    <s v="24/0005/0010"/>
    <s v="UNICREDIT C/ANT. FT PMR"/>
    <n v="-19391.649999999994"/>
    <x v="1"/>
    <x v="4"/>
    <x v="4"/>
    <n v="220"/>
    <s v="DEBITI VS. BANCHE"/>
  </r>
  <r>
    <s v="24/0005/0033"/>
    <s v="CARTASI' FAVERO 1582 REALE"/>
    <n v="-145"/>
    <x v="1"/>
    <x v="4"/>
    <x v="4"/>
    <n v="220"/>
    <s v="DEBITI VS. BANCHE"/>
  </r>
  <r>
    <s v="24/0005/0034"/>
    <s v="CARTASI' SALOGNI 076 REALE"/>
    <n v="-246.80000000000018"/>
    <x v="1"/>
    <x v="4"/>
    <x v="4"/>
    <n v="220"/>
    <s v="DEBITI VS. BANCHE"/>
  </r>
  <r>
    <s v="18/0030/0010"/>
    <s v="CREDITI V/SOCI"/>
    <n v="164353.34"/>
    <x v="1"/>
    <x v="2"/>
    <x v="2"/>
    <n v="60"/>
    <s v="ALTRI CREDITI E RATEI E RISC."/>
  </r>
  <r>
    <s v="18/0020/0037"/>
    <s v="ERARIO C/ACCONTI IRES"/>
    <n v="42217.279999999999"/>
    <x v="1"/>
    <x v="4"/>
    <x v="4"/>
    <n v="60"/>
    <s v="ALTRI CREDITI E RATEI E RISC."/>
  </r>
  <r>
    <s v="48/0005/0005"/>
    <s v="ERARIO C/IRAP"/>
    <n v="647.99"/>
    <x v="1"/>
    <x v="2"/>
    <x v="2"/>
    <n v="60"/>
    <s v="ALTRI CREDITI E RATEI E RISC."/>
  </r>
  <r>
    <s v="48/0005/0015"/>
    <s v="ERARIO C/IMPOSTA SOST. RIV. TFR"/>
    <n v="550.32000000000005"/>
    <x v="1"/>
    <x v="2"/>
    <x v="2"/>
    <n v="60"/>
    <s v="ALTRI CREDITI E RATEI E RISC."/>
  </r>
  <r>
    <s v="09/0010/0030"/>
    <s v="DEPOSITI CAUZIONALI SU CONTRATTI"/>
    <n v="562.63"/>
    <x v="1"/>
    <x v="2"/>
    <x v="2"/>
    <n v="60"/>
    <s v="ALTRI CREDITI E RATEI E RISC."/>
  </r>
  <r>
    <s v="48/0005/0010"/>
    <s v="ERARIO C/IRES"/>
    <n v="-1668.1899999999951"/>
    <x v="1"/>
    <x v="2"/>
    <x v="2"/>
    <n v="60"/>
    <s v="ALTRI CREDITI E RATEI E RISC."/>
  </r>
  <r>
    <s v="18/0020/0090"/>
    <s v="ALTRI CREDITI TRIBUTARI         "/>
    <n v="10908.880000000001"/>
    <x v="1"/>
    <x v="4"/>
    <x v="4"/>
    <n v="60"/>
    <s v="ALTRI CREDITI E RATEI E RISC."/>
  </r>
  <r>
    <s v="18/0045/0093"/>
    <s v="QUOTE SOCIALI ARTIGIANFIDI"/>
    <n v="480.74"/>
    <x v="1"/>
    <x v="2"/>
    <x v="2"/>
    <n v="60"/>
    <s v="ALTRI CREDITI E RATEI E RISC."/>
  </r>
  <r>
    <s v="11/000011"/>
    <s v="Polizza Vita CreditRas N.3.113.326 UNICR "/>
    <n v="43333.49"/>
    <x v="1"/>
    <x v="2"/>
    <x v="2"/>
    <n v="60"/>
    <s v="ALTRI CREDITI E RATEI E RISC."/>
  </r>
  <r>
    <s v="18/0045/0051"/>
    <s v="POLIZZA VITA 3223567 IMPRESA PLUS"/>
    <n v="27000"/>
    <x v="1"/>
    <x v="2"/>
    <x v="2"/>
    <n v="60"/>
    <s v="ALTRI CREDITI E RATEI E RISC."/>
  </r>
  <r>
    <s v="18/0045/0050"/>
    <s v="POLIZZA VITA 3359864 UNIBONUS PLUS 2012"/>
    <n v="18666.7"/>
    <x v="1"/>
    <x v="2"/>
    <x v="2"/>
    <n v="60"/>
    <s v="ALTRI CREDITI E RATEI E RISC."/>
  </r>
  <r>
    <s v="18/0020/0091"/>
    <s v="CREDITI IMPOSTA R&amp;S"/>
    <n v="8726.24"/>
    <x v="1"/>
    <x v="2"/>
    <x v="2"/>
    <n v="60"/>
    <s v="ALTRI CREDITI E RATEI E RISC."/>
  </r>
  <r>
    <s v="11/0020/0010"/>
    <s v="MERCI                           "/>
    <n v="581162.96"/>
    <x v="1"/>
    <x v="5"/>
    <x v="5"/>
    <n v="36"/>
    <s v="PRODOTTI FINITI E SL"/>
  </r>
  <r>
    <s v="26/0010/0005"/>
    <s v="RISCONTI ATTIVI                 "/>
    <n v="25418.53"/>
    <x v="1"/>
    <x v="6"/>
    <x v="6"/>
    <n v="60"/>
    <s v="ALTRI CREDITI E RATEI E RISC."/>
  </r>
  <r>
    <s v="14/000008"/>
    <s v="Cred.Soff. SERTAM SRL                    "/>
    <n v="13930"/>
    <x v="1"/>
    <x v="7"/>
    <x v="7"/>
    <n v="50"/>
    <s v="CREDITI COMMERCIALI "/>
  </r>
  <r>
    <s v="14/000012"/>
    <s v="Cred.Soff. TESI SRL"/>
    <n v="1871.7"/>
    <x v="1"/>
    <x v="7"/>
    <x v="7"/>
    <n v="50"/>
    <s v="CREDITI COMMERCIALI "/>
  </r>
  <r>
    <s v="14/000013"/>
    <s v="Cred.Soff. LGT SRL"/>
    <n v="1443.75"/>
    <x v="1"/>
    <x v="7"/>
    <x v="7"/>
    <n v="50"/>
    <s v="CREDITI COMMERCIALI "/>
  </r>
  <r>
    <s v="14/000014"/>
    <s v="Cred.Soff. TECNOWELDING SRL"/>
    <n v="3010.67"/>
    <x v="1"/>
    <x v="7"/>
    <x v="7"/>
    <n v="50"/>
    <s v="CREDITI COMMERCIALI "/>
  </r>
  <r>
    <s v="14/000015"/>
    <s v="Cred.Soff. E.T.T.2 SRL"/>
    <n v="435.6"/>
    <x v="1"/>
    <x v="7"/>
    <x v="7"/>
    <n v="50"/>
    <s v="CREDITI COMMERCIALI "/>
  </r>
  <r>
    <s v="40"/>
    <s v="DEBITI V/FORNITORI"/>
    <n v="-460135.3000000001"/>
    <x v="1"/>
    <x v="4"/>
    <x v="4"/>
    <n v="210"/>
    <s v="FORNITORI"/>
  </r>
  <r>
    <s v="41/0005/0005"/>
    <s v="FATTURE DA RICEVERE             "/>
    <n v="-17097.45"/>
    <x v="1"/>
    <x v="4"/>
    <x v="4"/>
    <n v="210"/>
    <s v="FORNITORI"/>
  </r>
  <r>
    <s v="48/0005/0085"/>
    <s v="ERARIO C/RIT. LAVORO AUTONOMO   "/>
    <n v="-3546.5400000000009"/>
    <x v="1"/>
    <x v="4"/>
    <x v="4"/>
    <n v="230"/>
    <s v="DEBITI TRIBUTARI E CONTRIBUTIVI"/>
  </r>
  <r>
    <s v="52/0005/0055"/>
    <s v="DIPENDENTI C/RETRIBUZIONI       "/>
    <n v="-37163.75"/>
    <x v="1"/>
    <x v="4"/>
    <x v="4"/>
    <n v="240"/>
    <s v="ALTRE PASSIVITA' E RATEI E RISC"/>
  </r>
  <r>
    <s v="48/0005/0115"/>
    <s v="DEBITI IRPEF LAVORAT. DIPENDENTE"/>
    <n v="-9353.4899999999907"/>
    <x v="1"/>
    <x v="4"/>
    <x v="4"/>
    <n v="230"/>
    <s v="DEBITI TRIBUTARI E CONTRIBUTIVI"/>
  </r>
  <r>
    <s v="50/0005/0010"/>
    <s v="INPS C/CONTR. SOC. LAV. AUT.    "/>
    <n v="-901.94000000000051"/>
    <x v="1"/>
    <x v="4"/>
    <x v="4"/>
    <n v="230"/>
    <s v="DEBITI TRIBUTARI E CONTRIBUTIVI"/>
  </r>
  <r>
    <s v="52/0005/0290"/>
    <s v="DEBITI DIVERSI                  "/>
    <n v="-116.7"/>
    <x v="1"/>
    <x v="4"/>
    <x v="4"/>
    <n v="240"/>
    <s v="ALTRE PASSIVITA' E RATEI E RISC"/>
  </r>
  <r>
    <s v="48/0005/0105"/>
    <s v="REGIONI C/RIT. ADDIZ. IRPEF     "/>
    <n v="-1448.6100000000006"/>
    <x v="1"/>
    <x v="4"/>
    <x v="4"/>
    <n v="230"/>
    <s v="DEBITI TRIBUTARI E CONTRIBUTIVI"/>
  </r>
  <r>
    <s v="48/0005/0110"/>
    <s v="COMUNI C/RIT. ADDIZ. IRPEF      "/>
    <n v="-552.92999999999984"/>
    <x v="1"/>
    <x v="4"/>
    <x v="4"/>
    <n v="230"/>
    <s v="DEBITI TRIBUTARI E CONTRIBUTIVI"/>
  </r>
  <r>
    <s v="52/0005/0080"/>
    <s v="COLLABORATORI C/COMPENSI        "/>
    <n v="-5565"/>
    <x v="1"/>
    <x v="4"/>
    <x v="4"/>
    <n v="240"/>
    <s v="ALTRE PASSIVITA' E RATEI E RISC"/>
  </r>
  <r>
    <s v="22/000031"/>
    <s v="Finanz.055-000-3857912 UNIC ristrutt fab "/>
    <n v="-13289.73"/>
    <x v="1"/>
    <x v="4"/>
    <x v="4"/>
    <n v="220"/>
    <s v="DEBITI VS. BANCHE"/>
  </r>
  <r>
    <s v="50/0005/0035"/>
    <s v="ALLEATA PREVIDENZA C/CONTRIBUTI"/>
    <n v="-1000.3000000000001"/>
    <x v="1"/>
    <x v="4"/>
    <x v="4"/>
    <n v="240"/>
    <s v="ALTRE PASSIVITA' E RATEI E RISC"/>
  </r>
  <r>
    <s v="22/000042"/>
    <s v="IRES Da ravvedere"/>
    <n v="-8607"/>
    <x v="1"/>
    <x v="4"/>
    <x v="4"/>
    <n v="230"/>
    <s v="DEBITI TRIBUTARI E CONTRIBUTIVI"/>
  </r>
  <r>
    <s v="22/000043"/>
    <s v="IRAP Da ravvedere"/>
    <n v="-7058.31"/>
    <x v="1"/>
    <x v="4"/>
    <x v="4"/>
    <n v="230"/>
    <s v="DEBITI TRIBUTARI E CONTRIBUTIVI"/>
  </r>
  <r>
    <s v="22/000045"/>
    <s v="DEBITI INPS DA RAVVE"/>
    <n v="14266.58"/>
    <x v="1"/>
    <x v="4"/>
    <x v="4"/>
    <n v="190"/>
    <s v="DEBITI TRIB. E CONTRIB. RATEIZZATI OLTRE ES."/>
  </r>
  <r>
    <s v="34/0005/0048"/>
    <s v="FINANZ. UBI TFR 004/01008960"/>
    <n v="-70671.38"/>
    <x v="1"/>
    <x v="4"/>
    <x v="4"/>
    <n v="220"/>
    <s v="DEBITI VS. BANCHE"/>
  </r>
  <r>
    <s v="48/0005/0040"/>
    <s v="ERARIO C/IVA                    "/>
    <n v="31098.850000000035"/>
    <x v="1"/>
    <x v="2"/>
    <x v="2"/>
    <n v="60"/>
    <s v="ALTRI CREDITI E RATEI E RISC."/>
  </r>
  <r>
    <s v="31/0005/0005"/>
    <s v="DEBITI P/T.F.R.                 "/>
    <n v="-215805.40999999997"/>
    <x v="1"/>
    <x v="8"/>
    <x v="8"/>
    <n v="170"/>
    <s v="TFR"/>
  </r>
  <r>
    <s v="50/0005/0037"/>
    <s v="FONDO METASALUTE C/CONTRIBUTI"/>
    <n v="763"/>
    <x v="1"/>
    <x v="3"/>
    <x v="3"/>
    <n v="160"/>
    <s v="FONDI RISCHI"/>
  </r>
  <r>
    <s v="34/0005/0047"/>
    <s v="FINANZ. UNICREDIT 4602498/000"/>
    <n v="-150000"/>
    <x v="1"/>
    <x v="4"/>
    <x v="4"/>
    <n v="180"/>
    <s v="DEBITI VS BANCHE A MEDIO LUNGO T."/>
  </r>
  <r>
    <s v="07/0010/0015"/>
    <s v="F/AMM MACCHINARI                "/>
    <n v="-2500"/>
    <x v="1"/>
    <x v="0"/>
    <x v="0"/>
    <n v="22"/>
    <s v="FDO IMM. MAT."/>
  </r>
  <r>
    <s v="07/0015/0005"/>
    <s v="F/AMM ATTREZ. IND.LI E COMM.LI"/>
    <n v="-17809.57"/>
    <x v="1"/>
    <x v="0"/>
    <x v="0"/>
    <n v="22"/>
    <s v="FDO IMM. MAT."/>
  </r>
  <r>
    <s v="07/0025/0025"/>
    <s v="F/AMM. AUTOVETTURE              "/>
    <n v="-2294.3199999999997"/>
    <x v="1"/>
    <x v="0"/>
    <x v="0"/>
    <n v="22"/>
    <s v="FDO IMM. MAT."/>
  </r>
  <r>
    <s v="07/0030/0040"/>
    <s v="F/AMM. ARREDI LABORATORIO"/>
    <n v="-10354.130000000001"/>
    <x v="1"/>
    <x v="0"/>
    <x v="0"/>
    <n v="22"/>
    <s v="FDO IMM. MAT."/>
  </r>
  <r>
    <s v="07/0020/0010"/>
    <s v="F/AMM MACCH. ELETTROM. D'UFF.   "/>
    <n v="-35526.340000000004"/>
    <x v="1"/>
    <x v="0"/>
    <x v="0"/>
    <n v="22"/>
    <s v="FDO IMM. MAT."/>
  </r>
  <r>
    <s v="07/0005/0015"/>
    <s v="F/AMM FABBR. IND.LI E COMM.LI.  "/>
    <n v="-715.2"/>
    <x v="1"/>
    <x v="0"/>
    <x v="0"/>
    <n v="22"/>
    <s v="FDO IMM. MAT."/>
  </r>
  <r>
    <s v="07/0030/0044"/>
    <s v="F/AMM. CELLULARI"/>
    <n v="-3757.99"/>
    <x v="1"/>
    <x v="0"/>
    <x v="0"/>
    <n v="22"/>
    <s v="FDO IMM. MAT."/>
  </r>
  <r>
    <s v="07/0005/0020"/>
    <s v="F/AMM COSTRUZIONI LEGGERE       "/>
    <n v="-11169.28"/>
    <x v="1"/>
    <x v="0"/>
    <x v="0"/>
    <n v="22"/>
    <s v="FDO IMM. MAT."/>
  </r>
  <r>
    <s v="07/0030/0048"/>
    <s v="F/AMM. SICUREZZA SUL LAVORO"/>
    <n v="-8015.5"/>
    <x v="1"/>
    <x v="0"/>
    <x v="0"/>
    <n v="22"/>
    <s v="FDO IMM. MAT."/>
  </r>
  <r>
    <s v="07/0030/0042"/>
    <s v="F/AMM. TELEFONIA"/>
    <n v="-331.11"/>
    <x v="1"/>
    <x v="0"/>
    <x v="0"/>
    <n v="22"/>
    <s v="FDO IMM. MAT."/>
  </r>
  <r>
    <s v="07/0030/0043"/>
    <s v="F/AMM. FAX"/>
    <n v="-196.70999999999998"/>
    <x v="1"/>
    <x v="0"/>
    <x v="0"/>
    <n v="22"/>
    <s v="FDO IMM. MAT."/>
  </r>
  <r>
    <s v="07/0030/0041"/>
    <s v="F/AMM. CLIMATIZZATORI"/>
    <n v="-3769.22"/>
    <x v="1"/>
    <x v="0"/>
    <x v="0"/>
    <n v="22"/>
    <s v="FDO IMM. MAT."/>
  </r>
  <r>
    <s v="07/0010/0010"/>
    <s v="F/AMM IMPIANTI SPECIFICI        "/>
    <n v="-1005"/>
    <x v="1"/>
    <x v="0"/>
    <x v="0"/>
    <n v="22"/>
    <s v="FDO IMM. MAT."/>
  </r>
  <r>
    <s v="07/0030/0046"/>
    <s v="F/AMM. MIGLIORIE SU BENI DI TERZI"/>
    <n v="-116898.43"/>
    <x v="1"/>
    <x v="0"/>
    <x v="0"/>
    <n v="22"/>
    <s v="FDO IMM. MAT."/>
  </r>
  <r>
    <s v="07/0015/0006"/>
    <s v="F/AMM BANCHI DI COLLAUDO"/>
    <n v="-20776"/>
    <x v="1"/>
    <x v="0"/>
    <x v="0"/>
    <n v="22"/>
    <s v="FDO IMM. MAT."/>
  </r>
  <r>
    <s v="07/0030/0047"/>
    <s v="F/AMM. TIMBRATORE"/>
    <n v="-348"/>
    <x v="1"/>
    <x v="0"/>
    <x v="0"/>
    <n v="20"/>
    <s v="IMMOBILIZZ. MATERIALI"/>
  </r>
  <r>
    <s v="16/0010/0010"/>
    <s v="F/DO RISCHI SU CREDITI V.CLIENTI"/>
    <n v="-7787.34"/>
    <x v="1"/>
    <x v="2"/>
    <x v="2"/>
    <n v="160"/>
    <s v="FONDI RISCHI"/>
  </r>
  <r>
    <s v="16/0010/0012"/>
    <s v="F/DO RISCHI SU CREDITI V.CLIENTI &lt; 2.500"/>
    <n v="-30630.05"/>
    <x v="1"/>
    <x v="2"/>
    <x v="2"/>
    <n v="160"/>
    <s v="FONDI RISCHI"/>
  </r>
  <r>
    <s v="54/0005/0005"/>
    <s v="RATEI PASSIVI                   "/>
    <n v="-21351.560000000005"/>
    <x v="1"/>
    <x v="9"/>
    <x v="9"/>
    <n v="240"/>
    <s v="ALTRE PASSIVITA' E RATEI E RISC"/>
  </r>
  <r>
    <s v="28/0005/0005"/>
    <s v="CAPITALE SOCIALE                "/>
    <n v="-100000"/>
    <x v="1"/>
    <x v="11"/>
    <x v="11"/>
    <n v="90"/>
    <s v="CAPITALE"/>
  </r>
  <r>
    <s v="28/0020/0005"/>
    <s v="RISERVA LEGALE                  "/>
    <n v="-20000"/>
    <x v="1"/>
    <x v="12"/>
    <x v="12"/>
    <n v="110"/>
    <s v="RISERVA LEGALE"/>
  </r>
  <r>
    <s v="28/0035/0005"/>
    <s v="RISERVA STRAORDINARIA           "/>
    <n v="-125450.44"/>
    <x v="1"/>
    <x v="13"/>
    <x v="13"/>
    <n v="120"/>
    <s v="ALTRE RISERVE"/>
  </r>
  <r>
    <s v="80/0025/0005"/>
    <s v="MERCI C/RIM. INIZIALI           "/>
    <n v="438998.74"/>
    <x v="1"/>
    <x v="14"/>
    <x v="14"/>
    <n v="340"/>
    <s v="VARIAZIONE RIMANENZE MP E MERCI"/>
  </r>
  <r>
    <s v="66/0025/0005"/>
    <s v="MERCI C/ACQUISTI                "/>
    <n v="114691.48"/>
    <x v="1"/>
    <x v="15"/>
    <x v="15"/>
    <n v="330"/>
    <s v="COSTI PER MATERIE PRIME SUSS. E DI CONS. E DI MERCI"/>
  </r>
  <r>
    <s v="66/0005/0005"/>
    <s v="MATERIE PRIME C/ACQUISTI        "/>
    <n v="388260.32"/>
    <x v="1"/>
    <x v="15"/>
    <x v="15"/>
    <n v="330"/>
    <s v="COSTI PER MATERIE PRIME SUSS. E DI CONS. E DI MERCI"/>
  </r>
  <r>
    <s v="66/0015/0005"/>
    <s v="SEMILAVORATI C/ACQUISTI         "/>
    <n v="2435"/>
    <x v="1"/>
    <x v="15"/>
    <x v="15"/>
    <n v="330"/>
    <s v="COSTI PER MATERIE PRIME SUSS. E DI CONS. E DI MERCI"/>
  </r>
  <r>
    <s v="66/0005/0000"/>
    <s v="MATERIE PRIME                   "/>
    <n v="94963.790000000008"/>
    <x v="1"/>
    <x v="15"/>
    <x v="15"/>
    <n v="330"/>
    <s v="COSTI PER MATERIE PRIME SUSS. E DI CONS. E DI MERCI"/>
  </r>
  <r>
    <s v="66/0020/0005"/>
    <s v="MATERIE DI CONSUMO C/ACQUISTI   "/>
    <n v="8076.5"/>
    <x v="1"/>
    <x v="15"/>
    <x v="15"/>
    <n v="330"/>
    <s v="COSTI PER MATERIE PRIME SUSS. E DI CONS. E DI MERCI"/>
  </r>
  <r>
    <s v="68/0005/0020"/>
    <s v="LAVORAZIONI DI TERZI            "/>
    <n v="33949.35"/>
    <x v="1"/>
    <x v="16"/>
    <x v="16"/>
    <n v="330"/>
    <s v="COSTI PER MATERIE PRIME SUSS. E DI CONS. E DI MERCI"/>
  </r>
  <r>
    <s v="66/0005/0009"/>
    <s v="MERCI C/ACQUISTI CEE"/>
    <n v="99580.77"/>
    <x v="1"/>
    <x v="15"/>
    <x v="15"/>
    <n v="330"/>
    <s v="COSTI PER MATERIE PRIME SUSS. E DI CONS. E DI MERCI"/>
  </r>
  <r>
    <s v="66/0005/0008"/>
    <s v="MERCI C/ACQUISTI EXTRACEE"/>
    <n v="287158.18"/>
    <x v="1"/>
    <x v="15"/>
    <x v="15"/>
    <n v="330"/>
    <s v="COSTI PER MATERIE PRIME SUSS. E DI CONS. E DI MERCI"/>
  </r>
  <r>
    <s v="68/0005/0391"/>
    <s v="CONSULENZE TECNICHE"/>
    <n v="3702.5"/>
    <x v="1"/>
    <x v="16"/>
    <x v="16"/>
    <n v="362"/>
    <s v="COSTI FISSI INDUSTRIALI"/>
  </r>
  <r>
    <s v="68/0005/0005"/>
    <s v="SPESE DI TRASPORTO"/>
    <n v="43217.74"/>
    <x v="1"/>
    <x v="15"/>
    <x v="15"/>
    <n v="356"/>
    <s v="COSTI VARIABILI INDUSTRIALI"/>
  </r>
  <r>
    <s v="68/0005/0280"/>
    <s v="PROVVIGIONI A INTERMEDIARI      "/>
    <n v="21091.88"/>
    <x v="1"/>
    <x v="16"/>
    <x v="16"/>
    <n v="356"/>
    <s v="COSTI VARIABILI INDUSTRIALI"/>
  </r>
  <r>
    <s v="50/0005/0030"/>
    <s v="ENASARCO C/CONTRIBUTI           "/>
    <n v="1377.9800000000002"/>
    <x v="1"/>
    <x v="3"/>
    <x v="3"/>
    <n v="230"/>
    <s v="DEBITI TRIBUTARI E CONTRIBUTIVI"/>
  </r>
  <r>
    <s v="68/0005/0025"/>
    <s v="ENERGIA ELETTRICA               "/>
    <n v="7145.72"/>
    <x v="1"/>
    <x v="16"/>
    <x v="16"/>
    <n v="362"/>
    <s v="COSTI FISSI INDUSTRIALI"/>
  </r>
  <r>
    <s v="68/0005/0320"/>
    <s v="SPESE TELEFONICHE"/>
    <n v="2234.67"/>
    <x v="1"/>
    <x v="16"/>
    <x v="16"/>
    <n v="364"/>
    <s v="COSTI FISSI COMMERCIALI"/>
  </r>
  <r>
    <s v="68/0005/0040"/>
    <s v="GAS RISCALDAMENTO               "/>
    <n v="651.6"/>
    <x v="1"/>
    <x v="16"/>
    <x v="16"/>
    <n v="362"/>
    <s v="COSTI FISSI INDUSTRIALI"/>
  </r>
  <r>
    <s v="68/0005/0346"/>
    <s v="SPESE PER VIAGGI                "/>
    <n v="3493.79"/>
    <x v="1"/>
    <x v="16"/>
    <x v="16"/>
    <n v="364"/>
    <s v="COSTI FISSI COMMERCIALI"/>
  </r>
  <r>
    <s v="68/0005/0082"/>
    <s v="TASSA VIDIMAZIONE LIBRI SOCIALI"/>
    <n v="309.87"/>
    <x v="1"/>
    <x v="17"/>
    <x v="17"/>
    <n v="380"/>
    <s v="ALTRI COSTI E ONERI DIVERSI"/>
  </r>
  <r>
    <s v="68/0005/0290"/>
    <s v="PUBBLICITA'                     "/>
    <n v="26859.77"/>
    <x v="1"/>
    <x v="16"/>
    <x v="16"/>
    <n v="364"/>
    <s v="COSTI FISSI COMMERCIALI"/>
  </r>
  <r>
    <s v="68/0005/0132"/>
    <s v="SERVIZI DI PULIZIA              "/>
    <n v="5350.63"/>
    <x v="1"/>
    <x v="16"/>
    <x v="16"/>
    <n v="362"/>
    <s v="COSTI FISSI INDUSTRIALI"/>
  </r>
  <r>
    <s v="68/0005/0385"/>
    <s v="TENUTA PAGHE,CONT.,DICH.DA IMPRES."/>
    <n v="28419.919999999998"/>
    <x v="1"/>
    <x v="16"/>
    <x v="16"/>
    <n v="380"/>
    <s v="ALTRI COSTI E ONERI DIVERSI"/>
  </r>
  <r>
    <s v="68/0005/0310"/>
    <s v="SPESE LEGALI                    "/>
    <n v="7353.82"/>
    <x v="1"/>
    <x v="16"/>
    <x v="16"/>
    <n v="380"/>
    <s v="ALTRI COSTI E ONERI DIVERSI"/>
  </r>
  <r>
    <s v="84/0010/0065"/>
    <s v="OMAGGI CLIENTI E ART. PROMOZ. DEDUC."/>
    <n v="75.09"/>
    <x v="1"/>
    <x v="17"/>
    <x v="17"/>
    <n v="364"/>
    <s v="COSTI FISSI COMMERCIALI"/>
  </r>
  <r>
    <s v="68/0005/0407"/>
    <s v="ALTRI COSTI PER SERVIZI"/>
    <n v="5359.6"/>
    <x v="1"/>
    <x v="16"/>
    <x v="16"/>
    <n v="362"/>
    <s v="COSTI FISSI INDUSTRIALI"/>
  </r>
  <r>
    <s v="68/0005/0362"/>
    <s v="PROVE DI LABORATORIO"/>
    <n v="3910"/>
    <x v="1"/>
    <x v="16"/>
    <x v="16"/>
    <n v="362"/>
    <s v="COSTI FISSI INDUSTRIALI"/>
  </r>
  <r>
    <s v="68/0005/0026"/>
    <s v="SPESE INTERNET"/>
    <n v="1410.2"/>
    <x v="1"/>
    <x v="16"/>
    <x v="16"/>
    <n v="364"/>
    <s v="COSTI FISSI COMMERCIALI"/>
  </r>
  <r>
    <s v="68/0005/0325"/>
    <s v="SPESE CELLULARI                 "/>
    <n v="3946.7799999999997"/>
    <x v="1"/>
    <x v="16"/>
    <x v="16"/>
    <n v="380"/>
    <s v="ALTRI COSTI E ONERI DIVERSI"/>
  </r>
  <r>
    <s v="68/0005/0395"/>
    <s v="PRIVACY"/>
    <n v="90"/>
    <x v="1"/>
    <x v="17"/>
    <x v="17"/>
    <n v="380"/>
    <s v="ALTRI COSTI E ONERI DIVERSI"/>
  </r>
  <r>
    <s v="84/0010/0025"/>
    <s v="OMAGGI A DIPENDENTI"/>
    <n v="1215.21"/>
    <x v="1"/>
    <x v="18"/>
    <x v="18"/>
    <n v="390"/>
    <s v="COSTO DEL LAVORO DIRETTO"/>
  </r>
  <r>
    <s v="72/0005/0010"/>
    <s v="SALARI E STIPENDI               "/>
    <n v="357069.60000000003"/>
    <x v="1"/>
    <x v="19"/>
    <x v="19"/>
    <n v="390"/>
    <s v="COSTO DEL LAVORO DIRETTO"/>
  </r>
  <r>
    <s v="72/0015/0005"/>
    <s v="ONERI SOCIALI INPS"/>
    <n v="58432.33"/>
    <x v="1"/>
    <x v="20"/>
    <x v="20"/>
    <n v="390"/>
    <s v="COSTO DEL LAVORO DIRETTO"/>
  </r>
  <r>
    <s v="72/0015/0025"/>
    <s v="ONERI SOCIALI INAIL"/>
    <n v="2421.67"/>
    <x v="1"/>
    <x v="20"/>
    <x v="20"/>
    <n v="390"/>
    <s v="COSTO DEL LAVORO DIRETTO"/>
  </r>
  <r>
    <s v="72/0020/0005"/>
    <s v="TFR"/>
    <n v="4769.8899999999994"/>
    <x v="1"/>
    <x v="21"/>
    <x v="21"/>
    <n v="400"/>
    <s v="ACC. TFR"/>
  </r>
  <r>
    <s v="68/0005/0199"/>
    <s v="CONT.INPS AMM-CO.CO.CO.(spa-srl)"/>
    <n v="19844.66"/>
    <x v="1"/>
    <x v="16"/>
    <x v="16"/>
    <n v="394"/>
    <s v="AMMINISTRATORI E COLLABORATORI"/>
  </r>
  <r>
    <s v="72/0005/0040"/>
    <s v="STIPENDI AMMINISTRATORI SOCI"/>
    <n v="105696"/>
    <x v="1"/>
    <x v="16"/>
    <x v="16"/>
    <n v="394"/>
    <s v="AMMINISTRATORI E COLLABORATORI"/>
  </r>
  <r>
    <s v="72/0010/0050"/>
    <s v="LAVORO INTERINALE-COOP ED.      "/>
    <n v="7927.08"/>
    <x v="1"/>
    <x v="19"/>
    <x v="19"/>
    <n v="390"/>
    <s v="COSTO DEL LAVORO DIRETTO"/>
  </r>
  <r>
    <s v="CONTM"/>
    <s v="CONTRIBUTI METASALUTE"/>
    <n v="78.94"/>
    <x v="1"/>
    <x v="20"/>
    <x v="20"/>
    <n v="390"/>
    <s v="COSTO DEL LAVORO DIRETTO"/>
  </r>
  <r>
    <s v="84/0010/0193"/>
    <s v="CONTRIBUTO CONAI"/>
    <n v="6.77"/>
    <x v="1"/>
    <x v="17"/>
    <x v="17"/>
    <n v="380"/>
    <s v="ALTRI COSTI E ONERI DIVERSI"/>
  </r>
  <r>
    <s v="88/0020/0095"/>
    <s v="PERDITE SU CAMBI                "/>
    <n v="54"/>
    <x v="1"/>
    <x v="22"/>
    <x v="22"/>
    <n v="450"/>
    <s v="COSTI NON OPERATIVI"/>
  </r>
  <r>
    <s v="88/0020/0010"/>
    <s v="INTERESSI PASSIVI BANCARI"/>
    <n v="30238.06"/>
    <x v="1"/>
    <x v="23"/>
    <x v="23"/>
    <n v="430"/>
    <s v="ONERI FINANZIARI"/>
  </r>
  <r>
    <s v="88/0020/0015"/>
    <s v="INTERESSI PASSIVI SU MUTUI      "/>
    <n v="3862.43"/>
    <x v="1"/>
    <x v="23"/>
    <x v="23"/>
    <n v="430"/>
    <s v="ONERI FINANZIARI"/>
  </r>
  <r>
    <s v="68/0005/0371"/>
    <s v="INT. PASSIVI FINANZIAMENTI IMP/EXP"/>
    <n v="11413.8"/>
    <x v="1"/>
    <x v="23"/>
    <x v="23"/>
    <n v="430"/>
    <s v="ONERI FINANZIARI"/>
  </r>
  <r>
    <s v="68/0005/0370"/>
    <s v="ONERI BANCARI                   "/>
    <n v="30129.25"/>
    <x v="1"/>
    <x v="16"/>
    <x v="16"/>
    <n v="380"/>
    <s v="ALTRI COSTI E ONERI DIVERSI"/>
  </r>
  <r>
    <s v="68/0005/0380"/>
    <s v="COMM. DI ISTRUTTORIA"/>
    <n v="1702.12"/>
    <x v="1"/>
    <x v="23"/>
    <x v="23"/>
    <n v="430"/>
    <s v="ONERI FINANZIARI"/>
  </r>
  <r>
    <s v="88/0020/0036"/>
    <s v="INTERESSI RATEAZIONE IMPOSTE"/>
    <n v="704.34999999999991"/>
    <x v="1"/>
    <x v="23"/>
    <x v="23"/>
    <n v="430"/>
    <s v="ONERI FINANZIARI"/>
  </r>
  <r>
    <s v="88/0020/0038"/>
    <s v="INTERESSI DI MORA"/>
    <n v="68.400000000000006"/>
    <x v="1"/>
    <x v="23"/>
    <x v="23"/>
    <n v="430"/>
    <s v="ONERI FINANZIARI"/>
  </r>
  <r>
    <s v="84/0010/0050"/>
    <s v="SOPRAVVENIENZ. PASSIVE ORD.DED. "/>
    <n v="93.72"/>
    <x v="1"/>
    <x v="17"/>
    <x v="17"/>
    <n v="450"/>
    <s v="COSTI NON OPERATIVI"/>
  </r>
  <r>
    <s v="84/0010/0055"/>
    <s v="SOPRAV. PASSIVE ORD.INDEDUCIBILI"/>
    <n v="9822.09"/>
    <x v="1"/>
    <x v="17"/>
    <x v="17"/>
    <n v="450"/>
    <s v="COSTI NON OPERATIVI"/>
  </r>
  <r>
    <s v="75/0010/0015"/>
    <s v="AMM.TO ORD. MACC. DEDUCIB.      "/>
    <n v="1000"/>
    <x v="1"/>
    <x v="24"/>
    <x v="24"/>
    <n v="410"/>
    <s v="AMMORTAMENTI"/>
  </r>
  <r>
    <s v="75/0015/0005"/>
    <s v="AMM.TO ORD.ATT.IND.LI E COMM.DED"/>
    <n v="801.5"/>
    <x v="1"/>
    <x v="24"/>
    <x v="24"/>
    <n v="410"/>
    <s v="AMMORTAMENTI"/>
  </r>
  <r>
    <s v="75/0030/0040"/>
    <s v="AMM.TO ORD.ARREDAMENTO DED.     "/>
    <n v="461.21"/>
    <x v="1"/>
    <x v="24"/>
    <x v="24"/>
    <n v="410"/>
    <s v="AMMORTAMENTI"/>
  </r>
  <r>
    <s v="75/0020/0010"/>
    <s v="AMM.TO ORD.MAC.ELETTROM.UF.DED. "/>
    <n v="3908.78"/>
    <x v="1"/>
    <x v="24"/>
    <x v="24"/>
    <n v="410"/>
    <s v="AMMORTAMENTI"/>
  </r>
  <r>
    <s v="74/0010/0006"/>
    <s v="AMM.TO IMM. SICUREZZA SUL LAVORO"/>
    <n v="2077.2800000000002"/>
    <x v="1"/>
    <x v="24"/>
    <x v="24"/>
    <n v="410"/>
    <s v="AMMORTAMENTI"/>
  </r>
  <r>
    <s v="75/0020/0007"/>
    <s v="AMM.TO ORD. TELEFONIA"/>
    <n v="106.54"/>
    <x v="1"/>
    <x v="24"/>
    <x v="24"/>
    <n v="410"/>
    <s v="AMMORTAMENTI"/>
  </r>
  <r>
    <s v="75/0025/0018"/>
    <s v="AMM.TO ORD. FAX"/>
    <n v="196.71"/>
    <x v="1"/>
    <x v="24"/>
    <x v="24"/>
    <n v="410"/>
    <s v="AMMORTAMENTI"/>
  </r>
  <r>
    <s v="75/0020/0012"/>
    <s v="AMM.TO ORD. TELEFONI CELLULARI"/>
    <n v="145"/>
    <x v="1"/>
    <x v="24"/>
    <x v="24"/>
    <n v="410"/>
    <s v="AMMORTAMENTI"/>
  </r>
  <r>
    <s v="75/0005/0020"/>
    <s v="AMM.TO ORD. COST.LEGG. DEDUCIB. "/>
    <n v="726.09"/>
    <x v="1"/>
    <x v="24"/>
    <x v="24"/>
    <n v="410"/>
    <s v="AMMORTAMENTI"/>
  </r>
  <r>
    <s v="75/0020/0008"/>
    <s v="AMM.TO ORD. ARREDI LABORATORIO"/>
    <n v="201.6"/>
    <x v="1"/>
    <x v="24"/>
    <x v="24"/>
    <n v="410"/>
    <s v="AMMORTAMENTI"/>
  </r>
  <r>
    <s v="75/0025/0017"/>
    <s v="AMM.TO ORD. CLIMATIZZATORE"/>
    <n v="445.05"/>
    <x v="1"/>
    <x v="24"/>
    <x v="24"/>
    <n v="410"/>
    <s v="AMMORTAMENTI"/>
  </r>
  <r>
    <s v="74/0035/0005"/>
    <s v="AMM.LAV. STRAORD.BENI DI TERZI  "/>
    <n v="10143.52"/>
    <x v="1"/>
    <x v="24"/>
    <x v="24"/>
    <n v="410"/>
    <s v="AMMORTAMENTI"/>
  </r>
  <r>
    <s v="75/0005/0015"/>
    <s v="AMM.TO ORD.FABB.IND.LI E COM.DED"/>
    <n v="494.7"/>
    <x v="1"/>
    <x v="24"/>
    <x v="24"/>
    <n v="410"/>
    <s v="AMMORTAMENTI"/>
  </r>
  <r>
    <s v="74/0035/0016"/>
    <s v="AMM.TO ORD. ATTREZZ. PER TEST ELETTRICO"/>
    <n v="125.92"/>
    <x v="1"/>
    <x v="25"/>
    <x v="25"/>
    <n v="410"/>
    <s v="AMMORTAMENTI"/>
  </r>
  <r>
    <s v="74/0020/0015"/>
    <s v="AMM.TO LIC.USO SOFT.A TEMP.DET. "/>
    <n v="665.28"/>
    <x v="1"/>
    <x v="25"/>
    <x v="25"/>
    <n v="410"/>
    <s v="AMMORTAMENTI"/>
  </r>
  <r>
    <s v="74/0010/0005"/>
    <s v="AMM.TO COSTI DI RIC.  E DI SVIL."/>
    <n v="120965.73000000001"/>
    <x v="1"/>
    <x v="25"/>
    <x v="25"/>
    <n v="410"/>
    <s v="AMMORTAMENTI"/>
  </r>
  <r>
    <s v="74/0035/0017"/>
    <s v="AMM.TO ORD. CERTIFICAZIONE QUALITA'"/>
    <n v="5750.56"/>
    <x v="1"/>
    <x v="25"/>
    <x v="25"/>
    <n v="410"/>
    <s v="AMMORTAMENTI"/>
  </r>
  <r>
    <s v="74/0035/0018"/>
    <s v="AMM.TO ORD. SITO INTERNET"/>
    <n v="882.4"/>
    <x v="1"/>
    <x v="25"/>
    <x v="25"/>
    <n v="410"/>
    <s v="AMMORTAMENTI"/>
  </r>
  <r>
    <s v="78/0010/0010"/>
    <s v="ACC.TO P/RISCHI SU CRED.V/CLIENT"/>
    <n v="4000"/>
    <x v="1"/>
    <x v="26"/>
    <x v="26"/>
    <n v="411"/>
    <s v="ACCANTONAMENTI"/>
  </r>
  <r>
    <s v="68/0005/0057"/>
    <s v="MANUTENZIONI E RIPARAZIONI"/>
    <n v="625.5"/>
    <x v="1"/>
    <x v="16"/>
    <x v="16"/>
    <n v="362"/>
    <s v="COSTI FISSI INDUSTRIALI"/>
  </r>
  <r>
    <s v="68/0005/0052"/>
    <s v="CANONE DI MANUTENZIONE PERIODICA"/>
    <n v="5182.25"/>
    <x v="1"/>
    <x v="16"/>
    <x v="16"/>
    <n v="380"/>
    <s v="ALTRI COSTI E ONERI DIVERSI"/>
  </r>
  <r>
    <s v="70/0005/0101"/>
    <s v="NOLEGGIO DEDUCIBILE             "/>
    <n v="122.16"/>
    <x v="1"/>
    <x v="27"/>
    <x v="27"/>
    <n v="370"/>
    <s v="AFFITTI LEASING NOLEGGI"/>
  </r>
  <r>
    <s v="70/0010/0012"/>
    <s v="Canone Loc. Immobili BNL"/>
    <n v="22608.78"/>
    <x v="1"/>
    <x v="27"/>
    <x v="27"/>
    <n v="370"/>
    <s v="AFFITTI LEASING NOLEGGI"/>
  </r>
  <r>
    <s v="59/000026"/>
    <s v="Noleggio contr. n.11/0096                "/>
    <n v="5"/>
    <x v="1"/>
    <x v="27"/>
    <x v="27"/>
    <n v="370"/>
    <s v="AFFITTI LEASING NOLEGGI"/>
  </r>
  <r>
    <s v="70/0010/0011"/>
    <s v="Canone Locazione Mobili Ufficio"/>
    <n v="2190.36"/>
    <x v="1"/>
    <x v="27"/>
    <x v="27"/>
    <n v="370"/>
    <s v="AFFITTI LEASING NOLEGGI"/>
  </r>
  <r>
    <s v="70/0010/0005"/>
    <s v="LEASING 7061632 JAGUAR"/>
    <n v="9981.0000000000018"/>
    <x v="1"/>
    <x v="27"/>
    <x v="27"/>
    <n v="370"/>
    <s v="AFFITTI LEASING NOLEGGI"/>
  </r>
  <r>
    <s v="84/0010/0091"/>
    <s v="SCONTI PASSIVI                  "/>
    <n v="24.5"/>
    <x v="1"/>
    <x v="17"/>
    <x v="17"/>
    <n v="300"/>
    <s v="RICAVI "/>
  </r>
  <r>
    <s v="84/0010/0090"/>
    <s v="ABBUONI/ARROTONDAMENTI PASSIVI  "/>
    <n v="61.61"/>
    <x v="1"/>
    <x v="17"/>
    <x v="17"/>
    <n v="300"/>
    <s v="RICAVI "/>
  </r>
  <r>
    <s v="66/0030/0010"/>
    <s v="IMBALLAGGI C/ACQUISTI           "/>
    <n v="7734.91"/>
    <x v="1"/>
    <x v="15"/>
    <x v="15"/>
    <n v="330"/>
    <s v="COSTI PER MATERIE PRIME SUSS. E DI CONS. E DI MERCI"/>
  </r>
  <r>
    <s v="66/0030/0025"/>
    <s v="CANCELLERIA                     "/>
    <n v="3833.81"/>
    <x v="1"/>
    <x v="17"/>
    <x v="17"/>
    <n v="380"/>
    <s v="ALTRI COSTI E ONERI DIVERSI"/>
  </r>
  <r>
    <s v="84/0005/0070"/>
    <s v="DIRITTI CAMERALI                "/>
    <n v="258.02999999999997"/>
    <x v="1"/>
    <x v="17"/>
    <x v="17"/>
    <n v="380"/>
    <s v="ALTRI COSTI E ONERI DIVERSI"/>
  </r>
  <r>
    <s v="24/0015/0010"/>
    <s v="VALORI BOLLATI                  "/>
    <n v="12.81"/>
    <x v="1"/>
    <x v="3"/>
    <x v="3"/>
    <n v="380"/>
    <s v="ALTRI COSTI E ONERI DIVERSI"/>
  </r>
  <r>
    <s v="68/0005/0035"/>
    <s v="QUOTE ASSOCIATIVE"/>
    <n v="528.09"/>
    <x v="1"/>
    <x v="17"/>
    <x v="17"/>
    <n v="380"/>
    <s v="ALTRI COSTI E ONERI DIVERSI"/>
  </r>
  <r>
    <s v="68/0005/0015"/>
    <s v="SPESE DOGANALI"/>
    <n v="20868.11"/>
    <x v="1"/>
    <x v="15"/>
    <x v="15"/>
    <n v="330"/>
    <s v="COSTI PER MATERIE PRIME SUSS. E DI CONS. E DI MERCI"/>
  </r>
  <r>
    <s v="68/0005/0050"/>
    <s v="SPESE CONDOMINIALI              "/>
    <n v="1518.22"/>
    <x v="1"/>
    <x v="27"/>
    <x v="27"/>
    <n v="380"/>
    <s v="ALTRI COSTI E ONERI DIVERSI"/>
  </r>
  <r>
    <s v="84/0010/0035"/>
    <s v="MULTE E AMMENDE INDEDUCIBILI    "/>
    <n v="1098.1500000000001"/>
    <x v="1"/>
    <x v="17"/>
    <x v="17"/>
    <n v="380"/>
    <s v="ALTRI COSTI E ONERI DIVERSI"/>
  </r>
  <r>
    <s v="68/0005/0341"/>
    <s v="SPESE ALBERGHI E RISTORANTI"/>
    <n v="11614.15"/>
    <x v="1"/>
    <x v="16"/>
    <x v="16"/>
    <n v="364"/>
    <s v="COSTI FISSI COMMERCIALI"/>
  </r>
  <r>
    <s v="84/0010/0021"/>
    <s v="BEVANDE UFFICIO"/>
    <n v="334.66"/>
    <x v="1"/>
    <x v="16"/>
    <x v="16"/>
    <n v="380"/>
    <s v="ALTRI COSTI E ONERI DIVERSI"/>
  </r>
  <r>
    <s v="68/0005/0110"/>
    <s v="ASSICURAZIONI R.C.A.            "/>
    <n v="6200.43"/>
    <x v="1"/>
    <x v="16"/>
    <x v="16"/>
    <n v="380"/>
    <s v="ALTRI COSTI E ONERI DIVERSI"/>
  </r>
  <r>
    <s v="68/0005/0053"/>
    <s v="ASSICURAZIONI DIVERSE"/>
    <n v="3871.88"/>
    <x v="1"/>
    <x v="16"/>
    <x v="16"/>
    <n v="380"/>
    <s v="ALTRI COSTI E ONERI DIVERSI"/>
  </r>
  <r>
    <s v="84/0005/0040"/>
    <s v="TASSE DI PROPRIETA' AUTOVEICOLI "/>
    <n v="426.04"/>
    <x v="1"/>
    <x v="17"/>
    <x v="17"/>
    <n v="380"/>
    <s v="ALTRI COSTI E ONERI DIVERSI"/>
  </r>
  <r>
    <s v="66/0030/0035"/>
    <s v="CARBURANTI E LUBRIFICANTI       "/>
    <n v="6227.39"/>
    <x v="1"/>
    <x v="15"/>
    <x v="15"/>
    <n v="364"/>
    <s v="COSTI FISSI COMMERCIALI"/>
  </r>
  <r>
    <s v="68/0005/0095"/>
    <s v="ALTRI ONERI P/AUTOMEZZI         "/>
    <n v="6747.33"/>
    <x v="1"/>
    <x v="16"/>
    <x v="16"/>
    <n v="364"/>
    <s v="COSTI FISSI COMMERCIALI"/>
  </r>
  <r>
    <s v="68/0005/0080"/>
    <s v="PEDAGGI AUTOSTRADALI            "/>
    <n v="1849.6"/>
    <x v="1"/>
    <x v="16"/>
    <x v="16"/>
    <n v="364"/>
    <s v="COSTI FISSI COMMERCIALI"/>
  </r>
  <r>
    <s v="84/0005/0045"/>
    <s v="TASSA SUI RIFIUTI               "/>
    <n v="824"/>
    <x v="1"/>
    <x v="17"/>
    <x v="17"/>
    <n v="380"/>
    <s v="ALTRI COSTI E ONERI DIVERSI"/>
  </r>
  <r>
    <s v="84/0005/0010"/>
    <s v="IMPOSTA COM.SUGLI IMM.-ICI      "/>
    <n v="1513"/>
    <x v="1"/>
    <x v="17"/>
    <x v="17"/>
    <n v="380"/>
    <s v="ALTRI COSTI E ONERI DIVERSI"/>
  </r>
  <r>
    <s v="96/0005/0015"/>
    <s v="IRES DELL'ESERCIZIO            "/>
    <n v="8155"/>
    <x v="1"/>
    <x v="28"/>
    <x v="28"/>
    <n v="460"/>
    <s v="IMPOSTE"/>
  </r>
  <r>
    <s v="96/0005/0010"/>
    <s v="IRAP DELL'ESERCIZIO             "/>
    <n v="6783"/>
    <x v="1"/>
    <x v="28"/>
    <x v="28"/>
    <n v="460"/>
    <s v="IMPOSTE"/>
  </r>
  <r>
    <s v="58/0005/0010"/>
    <s v="MERCI C/VENDITE                 "/>
    <n v="-1510020.3800000001"/>
    <x v="1"/>
    <x v="29"/>
    <x v="29"/>
    <n v="300"/>
    <s v="RICAVI "/>
  </r>
  <r>
    <s v="58/0005/0012"/>
    <s v="MERCI C/VENDITE EXTRACEE"/>
    <n v="-52365.59"/>
    <x v="1"/>
    <x v="29"/>
    <x v="29"/>
    <n v="300"/>
    <s v="RICAVI "/>
  </r>
  <r>
    <s v="58/0005/0011"/>
    <s v="MERCI C/VENDITE CEE"/>
    <n v="-268245.14"/>
    <x v="1"/>
    <x v="29"/>
    <x v="29"/>
    <n v="300"/>
    <s v="RICAVI "/>
  </r>
  <r>
    <s v="58/0005/0490"/>
    <s v="ALTRI RICAVI DELLE VENDITE      "/>
    <n v="-76590.009999999995"/>
    <x v="1"/>
    <x v="29"/>
    <x v="29"/>
    <n v="320"/>
    <s v="ALTRI RICAVI"/>
  </r>
  <r>
    <s v="86/0015/0050"/>
    <s v="PLUSVALENZE PEX - ART.87"/>
    <n v="-6354.67"/>
    <x v="1"/>
    <x v="30"/>
    <x v="30"/>
    <n v="440"/>
    <s v="PROVENTI NON OPERATIVI"/>
  </r>
  <r>
    <s v="64/0005/0115"/>
    <s v="SOPRAVVENIENZE ORDINARIE ATTIVE "/>
    <n v="-3665.16"/>
    <x v="1"/>
    <x v="30"/>
    <x v="30"/>
    <n v="440"/>
    <s v="PROVENTI NON OPERATIVI"/>
  </r>
  <r>
    <s v="62/0005/0006"/>
    <s v="PROVENTI PER COSTI CAPITALIZZATI R&amp;S"/>
    <n v="-64703.14"/>
    <x v="1"/>
    <x v="31"/>
    <x v="31"/>
    <n v="315"/>
    <s v="CONTRIBUTI IN CONTO ESERCIZIO"/>
  </r>
  <r>
    <s v="94/0010/0010"/>
    <s v="SOPPR.ATT.EST.ALL'ATT.NON TASS. "/>
    <n v="-1555.1"/>
    <x v="1"/>
    <x v="30"/>
    <x v="30"/>
    <n v="440"/>
    <s v="PROVENTI NON OPERATIVI"/>
  </r>
  <r>
    <s v="80/0025/0010"/>
    <s v="MERCI C/RIM. FINALI             "/>
    <n v="-581162.96"/>
    <x v="1"/>
    <x v="14"/>
    <x v="14"/>
    <n v="340"/>
    <s v="VARIAZIONE RIMANENZE MP E MERCI"/>
  </r>
  <r>
    <s v="58/0005/0225"/>
    <s v="ABBUONI SU VENDITE              "/>
    <n v="-22.3"/>
    <x v="1"/>
    <x v="30"/>
    <x v="30"/>
    <n v="300"/>
    <s v="RICAVI "/>
  </r>
  <r>
    <s v="58/0005/0500"/>
    <s v="RIMBORSI SPESE DI TRASPORTO"/>
    <n v="-4914.97"/>
    <x v="1"/>
    <x v="30"/>
    <x v="30"/>
    <n v="320"/>
    <s v="ALTRI RICAVI"/>
  </r>
  <r>
    <s v="64/0005/0117"/>
    <s v="SOPR.ORD.ATTIVE DA RATEIZZARE"/>
    <n v="-8726.24"/>
    <x v="1"/>
    <x v="30"/>
    <x v="30"/>
    <n v="440"/>
    <s v="PROVENTI NON OPERATIVI"/>
  </r>
  <r>
    <s v="06/0010/0015"/>
    <s v="MACCHINARI                      "/>
    <n v="5000"/>
    <x v="2"/>
    <x v="0"/>
    <x v="0"/>
    <n v="20"/>
    <s v="IMMOBILIZZ. MATERIALI"/>
  </r>
  <r>
    <s v="06/0015/0005"/>
    <s v="ATTREZZAT. IND.LI E COMM.LI     "/>
    <n v="22183.08"/>
    <x v="2"/>
    <x v="0"/>
    <x v="0"/>
    <n v="20"/>
    <s v="IMMOBILIZZ. MATERIALI"/>
  </r>
  <r>
    <s v="06/0025/0015"/>
    <s v="AUTOCARRI/AUTOVETTURE"/>
    <n v="24676.840000000004"/>
    <x v="2"/>
    <x v="0"/>
    <x v="0"/>
    <n v="20"/>
    <s v="IMMOBILIZZ. MATERIALI"/>
  </r>
  <r>
    <s v="06/0030/0040"/>
    <s v="ARREDI UFFICIO"/>
    <n v="9941.83"/>
    <x v="2"/>
    <x v="0"/>
    <x v="0"/>
    <n v="20"/>
    <s v="IMMOBILIZZ. MATERIALI"/>
  </r>
  <r>
    <s v="06/0020/0005"/>
    <s v="MACCHINE UFFICIO ELETTRONICHE"/>
    <n v="53562.720000000008"/>
    <x v="2"/>
    <x v="0"/>
    <x v="0"/>
    <n v="20"/>
    <s v="IMMOBILIZZ. MATERIALI"/>
  </r>
  <r>
    <s v="06/0030/0046"/>
    <s v="TELEFONI CELLULARI"/>
    <n v="6291.66"/>
    <x v="2"/>
    <x v="0"/>
    <x v="0"/>
    <n v="20"/>
    <s v="IMMOBILIZZ. MATERIALI"/>
  </r>
  <r>
    <s v="06/0030/0047"/>
    <s v="TELEFONIA"/>
    <n v="1289.9399999999998"/>
    <x v="2"/>
    <x v="0"/>
    <x v="0"/>
    <n v="20"/>
    <s v="IMMOBILIZZ. MATERIALI"/>
  </r>
  <r>
    <s v="06/0030/0048"/>
    <s v="FAX"/>
    <n v="196.71000000000004"/>
    <x v="2"/>
    <x v="0"/>
    <x v="0"/>
    <n v="20"/>
    <s v="IMMOBILIZZ. MATERIALI"/>
  </r>
  <r>
    <s v="06/0005/0015"/>
    <s v="FABBRICATI IND.LI. E COMM.LI    "/>
    <n v="18280"/>
    <x v="2"/>
    <x v="0"/>
    <x v="0"/>
    <n v="20"/>
    <s v="IMMOBILIZZ. MATERIALI"/>
  </r>
  <r>
    <s v="06/0015/0006"/>
    <s v="SICUREZZA SUL LAVORO 626"/>
    <n v="15387.16"/>
    <x v="2"/>
    <x v="0"/>
    <x v="0"/>
    <n v="20"/>
    <s v="IMMOBILIZZ. MATERIALI"/>
  </r>
  <r>
    <s v="06/0005/0020"/>
    <s v="COSTRUZIONI LEGGERE             "/>
    <n v="28492.37"/>
    <x v="2"/>
    <x v="0"/>
    <x v="0"/>
    <n v="20"/>
    <s v="IMMOBILIZZ. MATERIALI"/>
  </r>
  <r>
    <s v="06/0030/0045"/>
    <s v="ARREDI LABORATORIO"/>
    <n v="5343.01"/>
    <x v="2"/>
    <x v="0"/>
    <x v="0"/>
    <n v="20"/>
    <s v="IMMOBILIZZ. MATERIALI"/>
  </r>
  <r>
    <s v="06/0030/0051"/>
    <s v="CLIMATIZZATORI"/>
    <n v="9258.17"/>
    <x v="2"/>
    <x v="0"/>
    <x v="0"/>
    <n v="20"/>
    <s v="IMMOBILIZZ. MATERIALI"/>
  </r>
  <r>
    <s v="06/0030/0052"/>
    <s v="IMPIANTI ELETTRICI"/>
    <n v="1005"/>
    <x v="2"/>
    <x v="0"/>
    <x v="0"/>
    <n v="20"/>
    <s v="IMMOBILIZZ. MATERIALI"/>
  </r>
  <r>
    <s v="06/0030/0053"/>
    <s v="MIGLIORIE SU BENI TERZI"/>
    <n v="132431.22999999998"/>
    <x v="2"/>
    <x v="0"/>
    <x v="0"/>
    <n v="20"/>
    <s v="IMMOBILIZZ. MATERIALI"/>
  </r>
  <r>
    <s v="06/0030/0054"/>
    <s v="BANCHI DI COLLAUDO"/>
    <n v="20776"/>
    <x v="2"/>
    <x v="0"/>
    <x v="0"/>
    <n v="20"/>
    <s v="IMMOBILIZZ. MATERIALI"/>
  </r>
  <r>
    <s v="06/0030/0049"/>
    <s v="TIMBRATORE"/>
    <n v="348"/>
    <x v="2"/>
    <x v="0"/>
    <x v="0"/>
    <n v="20"/>
    <s v="IMMOBILIZZ. MATERIALI"/>
  </r>
  <r>
    <s v="06/0005/0005"/>
    <s v="TERRENI                         "/>
    <n v="6300"/>
    <x v="2"/>
    <x v="0"/>
    <x v="0"/>
    <n v="20"/>
    <s v="IMMOBILIZZ. MATERIALI"/>
  </r>
  <r>
    <s v="03/0010/0006"/>
    <s v="STUDI DI PROGETTAZIONE"/>
    <n v="18343.600000000002"/>
    <x v="2"/>
    <x v="1"/>
    <x v="1"/>
    <n v="10"/>
    <s v="IMMOBILIZZ. IMMATERIALI "/>
  </r>
  <r>
    <s v="03/0035/0006"/>
    <s v="SOFT. ATTREZZATURE PER TEST ELETTRICO"/>
    <n v="1020.8100000000001"/>
    <x v="2"/>
    <x v="1"/>
    <x v="1"/>
    <n v="10"/>
    <s v="IMMOBILIZZ. IMMATERIALI "/>
  </r>
  <r>
    <s v="03/0010/0007"/>
    <s v="PROGRAMMI COMPUTER"/>
    <n v="25124.239999999998"/>
    <x v="2"/>
    <x v="1"/>
    <x v="1"/>
    <n v="10"/>
    <s v="IMMOBILIZZ. IMMATERIALI "/>
  </r>
  <r>
    <s v="03/0010/0010"/>
    <s v="CERTIFICAZIONE QUALITA'"/>
    <n v="15800.87"/>
    <x v="2"/>
    <x v="1"/>
    <x v="1"/>
    <n v="10"/>
    <s v="IMMOBILIZZ. IMMATERIALI "/>
  </r>
  <r>
    <s v="03/0010/0008"/>
    <s v="SITO INTERNET"/>
    <n v="1764.7999999999997"/>
    <x v="2"/>
    <x v="1"/>
    <x v="1"/>
    <n v="10"/>
    <s v="IMMOBILIZZ. IMMATERIALI "/>
  </r>
  <r>
    <s v="03/0010/0011"/>
    <s v="COSTI R&amp;S"/>
    <n v="46435.000000000015"/>
    <x v="2"/>
    <x v="1"/>
    <x v="1"/>
    <n v="10"/>
    <s v="IMMOBILIZZ. IMMATERIALI "/>
  </r>
  <r>
    <s v="03/0010/0009"/>
    <s v="SVILUPPO PRODOTTI"/>
    <n v="97637.775999999998"/>
    <x v="2"/>
    <x v="1"/>
    <x v="1"/>
    <n v="10"/>
    <s v="IMMOBILIZZ. IMMATERIALI "/>
  </r>
  <r>
    <s v="14"/>
    <s v="CLIENTI"/>
    <n v="262121.14000000042"/>
    <x v="2"/>
    <x v="2"/>
    <x v="2"/>
    <n v="50"/>
    <s v="CREDITI COMMERCIALI "/>
  </r>
  <r>
    <s v="24/0015/0005"/>
    <s v="DENARO IN CASSA                 "/>
    <n v="429.93999999999994"/>
    <x v="2"/>
    <x v="3"/>
    <x v="3"/>
    <n v="80"/>
    <s v="CASSA E BANCHE "/>
  </r>
  <r>
    <s v="24/0005/0002"/>
    <s v="UBI BANCA SPA"/>
    <n v="-158276.69000000003"/>
    <x v="2"/>
    <x v="4"/>
    <x v="4"/>
    <n v="220"/>
    <s v="DEBITI VS. BANCHE"/>
  </r>
  <r>
    <s v="24/0005/0012"/>
    <s v="UBI BANCA S.B.F"/>
    <n v="158730.17999999996"/>
    <x v="2"/>
    <x v="2"/>
    <x v="2"/>
    <n v="50"/>
    <s v="CREDITI COMMERCIALI "/>
  </r>
  <r>
    <s v="24/0005/0001"/>
    <s v="UNICREDIT BANCA"/>
    <n v="-208882.92000000036"/>
    <x v="2"/>
    <x v="4"/>
    <x v="4"/>
    <n v="220"/>
    <s v="DEBITI VS. BANCHE"/>
  </r>
  <r>
    <s v="24/0005/0011"/>
    <s v="UNICREDIT S.B.F"/>
    <n v="194435.75999999998"/>
    <x v="2"/>
    <x v="2"/>
    <x v="2"/>
    <n v="50"/>
    <s v="CREDITI COMMERCIALI "/>
  </r>
  <r>
    <s v="24/0005/0015"/>
    <s v="FINANZ. ESTERO UNICREDIT"/>
    <n v="-86145.029999999926"/>
    <x v="2"/>
    <x v="4"/>
    <x v="4"/>
    <n v="220"/>
    <s v="DEBITI VS. BANCHE"/>
  </r>
  <r>
    <s v="24/0005/0004"/>
    <s v="BANCA DESIO E DELLA BRIANZA SPA"/>
    <n v="-70622.230000000025"/>
    <x v="2"/>
    <x v="4"/>
    <x v="4"/>
    <n v="220"/>
    <s v="DEBITI VS. BANCHE"/>
  </r>
  <r>
    <s v="24/0005/0014"/>
    <s v="BANCO DESIO S.B.F."/>
    <n v="135818.30999999997"/>
    <x v="2"/>
    <x v="2"/>
    <x v="2"/>
    <n v="50"/>
    <s v="CREDITI COMMERCIALI "/>
  </r>
  <r>
    <s v="15/0005/0050"/>
    <s v="CARTE DI CREDITO                "/>
    <n v="-2949.1899999999991"/>
    <x v="2"/>
    <x v="4"/>
    <x v="4"/>
    <n v="220"/>
    <s v="DEBITI VS. BANCHE"/>
  </r>
  <r>
    <s v="24/0005/0020"/>
    <s v="UNICREDIT C/FATTURE ANTICIPATE"/>
    <n v="-4698.679999999993"/>
    <x v="2"/>
    <x v="4"/>
    <x v="4"/>
    <n v="50"/>
    <s v="CREDITI COMMERCIALI "/>
  </r>
  <r>
    <s v="24/0005/0018"/>
    <s v="FINANZ. ESTERO BANCO DESIO"/>
    <n v="-20404.999999999993"/>
    <x v="2"/>
    <x v="4"/>
    <x v="4"/>
    <n v="220"/>
    <s v="DEBITI VS. BANCHE"/>
  </r>
  <r>
    <s v="24/0005/0003"/>
    <s v="BANCA REALE"/>
    <n v="-40392.069999999963"/>
    <x v="2"/>
    <x v="4"/>
    <x v="4"/>
    <n v="220"/>
    <s v="DEBITI VS. BANCHE"/>
  </r>
  <r>
    <s v="24/0005/0013"/>
    <s v="BANCA REALE S.B.F."/>
    <n v="51243.219999999979"/>
    <x v="2"/>
    <x v="2"/>
    <x v="2"/>
    <n v="50"/>
    <s v="CREDITI COMMERCIALI "/>
  </r>
  <r>
    <s v="24/0005/0019"/>
    <s v="REALE C/FATTURE ANTICIPATE"/>
    <n v="-20195.839999999982"/>
    <x v="2"/>
    <x v="4"/>
    <x v="4"/>
    <n v="50"/>
    <s v="CREDITI COMMERCIALI "/>
  </r>
  <r>
    <s v="24/0005/0017"/>
    <s v="FINANZ. ESTERO BANCA REALE"/>
    <n v="48203.789999999994"/>
    <x v="2"/>
    <x v="3"/>
    <x v="3"/>
    <n v="50"/>
    <s v="CREDITI COMMERCIALI "/>
  </r>
  <r>
    <s v="24/0005/0016"/>
    <s v="FINANZ. ESTERO UBI"/>
    <n v="-37839.769999999997"/>
    <x v="2"/>
    <x v="4"/>
    <x v="4"/>
    <n v="220"/>
    <s v="DEBITI VS. BANCHE"/>
  </r>
  <r>
    <s v="24/0005/0010"/>
    <s v="UNICREDIT C/ANT. FT PMR"/>
    <n v="-30221.270000000011"/>
    <x v="2"/>
    <x v="4"/>
    <x v="4"/>
    <n v="220"/>
    <s v="DEBITI VS. BANCHE"/>
  </r>
  <r>
    <s v="24/0005/0033"/>
    <s v="CARTASI' FAVERO 1582 REALE"/>
    <n v="-2056.3000000000002"/>
    <x v="2"/>
    <x v="4"/>
    <x v="4"/>
    <n v="220"/>
    <s v="DEBITI VS. BANCHE"/>
  </r>
  <r>
    <s v="24/0005/0034"/>
    <s v="CARTASI' SALOGNI 076 REALE"/>
    <n v="-320.44"/>
    <x v="2"/>
    <x v="4"/>
    <x v="4"/>
    <n v="220"/>
    <s v="DEBITI VS. BANCHE"/>
  </r>
  <r>
    <s v="24/0005/0031"/>
    <s v="Prepagata n 1568 REALE 698"/>
    <n v="183.72000000000008"/>
    <x v="2"/>
    <x v="3"/>
    <x v="3"/>
    <n v="80"/>
    <s v="CASSA E BANCHE "/>
  </r>
  <r>
    <s v="24/0005/0030"/>
    <s v="Prepagata n 2550 REALE 680"/>
    <n v="152.26000000000005"/>
    <x v="2"/>
    <x v="3"/>
    <x v="3"/>
    <n v="80"/>
    <s v="CASSA E BANCHE "/>
  </r>
  <r>
    <s v="24/0005/0032"/>
    <s v="CARTASI' GRIMOLDI 2693 REALE"/>
    <n v="-100.6"/>
    <x v="2"/>
    <x v="4"/>
    <x v="4"/>
    <n v="220"/>
    <s v="DEBITI VS. BANCHE"/>
  </r>
  <r>
    <s v="18/0030/0010"/>
    <s v="CREDITI V/SOCI"/>
    <n v="114353.34"/>
    <x v="2"/>
    <x v="2"/>
    <x v="2"/>
    <n v="60"/>
    <s v="ALTRI CREDITI E RATEI E RISC."/>
  </r>
  <r>
    <s v="48/0005/0005"/>
    <s v="ERARIO C/IRAP"/>
    <n v="2222"/>
    <x v="2"/>
    <x v="2"/>
    <x v="2"/>
    <n v="60"/>
    <s v="ALTRI CREDITI E RATEI E RISC."/>
  </r>
  <r>
    <s v="48/0005/0015"/>
    <s v="ERARIO C/IMPOSTA SOST. RIV. TFR"/>
    <n v="1099.6200000000001"/>
    <x v="2"/>
    <x v="2"/>
    <x v="2"/>
    <n v="60"/>
    <s v="ALTRI CREDITI E RATEI E RISC."/>
  </r>
  <r>
    <s v="09/0010/0030"/>
    <s v="DEPOSITI CAUZIONALI SU CONTRATTI"/>
    <n v="562.63000000000011"/>
    <x v="2"/>
    <x v="2"/>
    <x v="2"/>
    <n v="60"/>
    <s v="ALTRI CREDITI E RATEI E RISC."/>
  </r>
  <r>
    <s v="48/0005/0010"/>
    <s v="ERARIO C/IRES"/>
    <n v="32721.370000000003"/>
    <x v="2"/>
    <x v="2"/>
    <x v="2"/>
    <n v="60"/>
    <s v="ALTRI CREDITI E RATEI E RISC."/>
  </r>
  <r>
    <s v="18/0040/0040"/>
    <s v="NOTE CREDITO DA RICEVERE        "/>
    <n v="430.17"/>
    <x v="2"/>
    <x v="2"/>
    <x v="2"/>
    <n v="50"/>
    <s v="CREDITI COMMERCIALI "/>
  </r>
  <r>
    <s v="18/0045/0093"/>
    <s v="QUOTE SOCIALI ARTIGIANFIDI"/>
    <n v="480.74"/>
    <x v="2"/>
    <x v="2"/>
    <x v="2"/>
    <n v="60"/>
    <s v="ALTRI CREDITI E RATEI E RISC."/>
  </r>
  <r>
    <s v="18/0045/0051"/>
    <s v="POLIZZA VITA 3223567 IMPRESA PLUS"/>
    <n v="33666.67"/>
    <x v="2"/>
    <x v="2"/>
    <x v="2"/>
    <n v="60"/>
    <s v="ALTRI CREDITI E RATEI E RISC."/>
  </r>
  <r>
    <s v="18/0045/0050"/>
    <s v="POLIZZA VITA 3359864 UNIBONUS PLUS 2012"/>
    <n v="25333.399999999987"/>
    <x v="2"/>
    <x v="2"/>
    <x v="2"/>
    <n v="60"/>
    <s v="ALTRI CREDITI E RATEI E RISC."/>
  </r>
  <r>
    <s v="18/0020/0091"/>
    <s v="CREDITI IMPOSTA R&amp;S"/>
    <n v="36467.120000000003"/>
    <x v="2"/>
    <x v="2"/>
    <x v="2"/>
    <n v="60"/>
    <s v="ALTRI CREDITI E RATEI E RISC."/>
  </r>
  <r>
    <s v="11/0020/0010"/>
    <s v="MERCI                           "/>
    <n v="702399.96"/>
    <x v="2"/>
    <x v="5"/>
    <x v="5"/>
    <n v="36"/>
    <s v="PRODOTTI FINITI E SL"/>
  </r>
  <r>
    <s v="26/0010/0005"/>
    <s v="RISCONTI ATTIVI                 "/>
    <n v="18938.600000000006"/>
    <x v="2"/>
    <x v="6"/>
    <x v="6"/>
    <n v="60"/>
    <s v="ALTRI CREDITI E RATEI E RISC."/>
  </r>
  <r>
    <s v="40"/>
    <s v="DEBITI V/FORNITORI"/>
    <n v="-465199.44000000076"/>
    <x v="2"/>
    <x v="4"/>
    <x v="4"/>
    <n v="210"/>
    <s v="FORNITORI"/>
  </r>
  <r>
    <s v="41/0005/0005"/>
    <s v="FATTURE DA RICEVERE             "/>
    <n v="-10734.819999999998"/>
    <x v="2"/>
    <x v="4"/>
    <x v="4"/>
    <n v="210"/>
    <s v="FORNITORI"/>
  </r>
  <r>
    <s v="48/0005/0085"/>
    <s v="ERARIO C/RIT. LAVORO AUTONOMO   "/>
    <n v="-3293.0700000000024"/>
    <x v="2"/>
    <x v="4"/>
    <x v="4"/>
    <n v="230"/>
    <s v="DEBITI TRIBUTARI E CONTRIBUTIVI"/>
  </r>
  <r>
    <s v="52/0005/0055"/>
    <s v="DIPENDENTI C/RETRIBUZIONI       "/>
    <n v="-24416"/>
    <x v="2"/>
    <x v="4"/>
    <x v="4"/>
    <n v="240"/>
    <s v="ALTRE PASSIVITA' E RATEI E RISC"/>
  </r>
  <r>
    <s v="48/0005/0115"/>
    <s v="DEBITI IRPEF LAVORAT. DIPENDENTE"/>
    <n v="-16560.400000000005"/>
    <x v="2"/>
    <x v="4"/>
    <x v="4"/>
    <n v="230"/>
    <s v="DEBITI TRIBUTARI E CONTRIBUTIVI"/>
  </r>
  <r>
    <s v="50/0005/0010"/>
    <s v="INPS C/CONTR. SOC. LAV. AUT.    "/>
    <n v="-931.30000000000018"/>
    <x v="2"/>
    <x v="4"/>
    <x v="4"/>
    <n v="230"/>
    <s v="DEBITI TRIBUTARI E CONTRIBUTIVI"/>
  </r>
  <r>
    <s v="52/0005/0290"/>
    <s v="DEBITI DIVERSI                  "/>
    <n v="-966.43000000000052"/>
    <x v="2"/>
    <x v="4"/>
    <x v="4"/>
    <n v="240"/>
    <s v="ALTRE PASSIVITA' E RATEI E RISC"/>
  </r>
  <r>
    <s v="48/0005/0105"/>
    <s v="REGIONI C/RIT. ADDIZ. IRPEF     "/>
    <n v="-2509.81"/>
    <x v="2"/>
    <x v="4"/>
    <x v="4"/>
    <n v="230"/>
    <s v="DEBITI TRIBUTARI E CONTRIBUTIVI"/>
  </r>
  <r>
    <s v="48/0005/0110"/>
    <s v="COMUNI C/RIT. ADDIZ. IRPEF      "/>
    <n v="-970.46"/>
    <x v="2"/>
    <x v="4"/>
    <x v="4"/>
    <n v="230"/>
    <s v="DEBITI TRIBUTARI E CONTRIBUTIVI"/>
  </r>
  <r>
    <s v="52/0005/0080"/>
    <s v="COLLABORATORI C/COMPENSI        "/>
    <n v="-3565"/>
    <x v="2"/>
    <x v="4"/>
    <x v="4"/>
    <n v="240"/>
    <s v="ALTRE PASSIVITA' E RATEI E RISC"/>
  </r>
  <r>
    <s v="50/0005/0035"/>
    <s v="ALLEATA PREVIDENZA C/CONTRIBUTI"/>
    <n v="-462.56999999999971"/>
    <x v="2"/>
    <x v="4"/>
    <x v="4"/>
    <n v="240"/>
    <s v="ALTRE PASSIVITA' E RATEI E RISC"/>
  </r>
  <r>
    <s v="50/0005/0036"/>
    <s v="FONDO COMETA C/CONTRIBUTI"/>
    <n v="376.26"/>
    <x v="2"/>
    <x v="3"/>
    <x v="3"/>
    <n v="60"/>
    <s v="ALTRI CREDITI E RATEI E RISC."/>
  </r>
  <r>
    <s v="34/0005/0045"/>
    <s v="FINANZ. 4945614 UNICREDIT"/>
    <n v="-75465.33"/>
    <x v="2"/>
    <x v="4"/>
    <x v="4"/>
    <n v="220"/>
    <s v="DEBITI VS. BANCHE"/>
  </r>
  <r>
    <s v="34/0005/0046"/>
    <s v="FINANZ. REALE 10208680 Gestionale"/>
    <n v="-28473.25"/>
    <x v="2"/>
    <x v="33"/>
    <x v="33"/>
    <n v="180"/>
    <s v="DEBITI VS BANCHE A MEDIO LUNGO T."/>
  </r>
  <r>
    <s v="34/0005/0291"/>
    <s v="FINANZ. 13°/2016 DESIO"/>
    <n v="-4252.9800000000032"/>
    <x v="2"/>
    <x v="33"/>
    <x v="33"/>
    <n v="180"/>
    <s v="DEBITI VS BANCHE A MEDIO LUNGO T."/>
  </r>
  <r>
    <s v="34/0005/0050"/>
    <s v="FINANZ. 8745080 CLIO UBI"/>
    <n v="-13269.939999999999"/>
    <x v="2"/>
    <x v="33"/>
    <x v="33"/>
    <n v="180"/>
    <s v="DEBITI VS BANCHE A MEDIO LUNGO T."/>
  </r>
  <r>
    <s v="52/0005/0065"/>
    <s v="DIPENDENTI C/LIQUIDAZIONE"/>
    <n v="-27486.32"/>
    <x v="2"/>
    <x v="4"/>
    <x v="4"/>
    <n v="240"/>
    <s v="ALTRE PASSIVITA' E RATEI E RISC"/>
  </r>
  <r>
    <s v="34/0005/0292"/>
    <s v="FINANZ. 4945614/16 UNICREDIT"/>
    <n v="-24534.67"/>
    <x v="2"/>
    <x v="33"/>
    <x v="33"/>
    <n v="180"/>
    <s v="DEBITI VS BANCHE A MEDIO LUNGO T."/>
  </r>
  <r>
    <s v="34/0005/0051"/>
    <s v="FINANZ. REALE 10208680 ENTRO 2 ANNI SUCC"/>
    <n v="-6932.26"/>
    <x v="2"/>
    <x v="33"/>
    <x v="33"/>
    <n v="180"/>
    <s v="DEBITI VS BANCHE A MEDIO LUNGO T."/>
  </r>
  <r>
    <s v="34/0005/0049"/>
    <s v="FINANZ. 13°/2016 DESIO ENTRO"/>
    <n v="-45747.02"/>
    <x v="2"/>
    <x v="33"/>
    <x v="33"/>
    <n v="180"/>
    <s v="DEBITI VS BANCHE A MEDIO LUNGO T."/>
  </r>
  <r>
    <s v="48/0005/0040"/>
    <s v="ERARIO C/IVA                    "/>
    <n v="39923.659999999989"/>
    <x v="2"/>
    <x v="2"/>
    <x v="2"/>
    <n v="60"/>
    <s v="ALTRI CREDITI E RATEI E RISC."/>
  </r>
  <r>
    <s v="31/0005/0005"/>
    <s v="DEBITI P/T.F.R.                 "/>
    <n v="-223219.58000000007"/>
    <x v="2"/>
    <x v="8"/>
    <x v="8"/>
    <n v="170"/>
    <s v="TFR"/>
  </r>
  <r>
    <s v="50/0005/0037"/>
    <s v="FONDO METASALUTE C/CONTRIBUTI"/>
    <n v="1249"/>
    <x v="2"/>
    <x v="3"/>
    <x v="3"/>
    <n v="160"/>
    <s v="FONDI RISCHI"/>
  </r>
  <r>
    <s v="34/0005/0047"/>
    <s v="FINANZ. UNICREDIT 4602498/000"/>
    <n v="-94902.13"/>
    <x v="2"/>
    <x v="4"/>
    <x v="4"/>
    <n v="180"/>
    <s v="DEBITI VS BANCHE A MEDIO LUNGO T."/>
  </r>
  <r>
    <s v="34/0005/0005"/>
    <s v="MUTUO IPOTECARIO 99432 DESIO"/>
    <n v="-92762.81"/>
    <x v="2"/>
    <x v="33"/>
    <x v="33"/>
    <n v="180"/>
    <s v="DEBITI VS BANCHE A MEDIO LUNGO T."/>
  </r>
  <r>
    <s v="07/0010/0015"/>
    <s v="F/AMM MACCHINARI                "/>
    <n v="-3500"/>
    <x v="2"/>
    <x v="0"/>
    <x v="0"/>
    <n v="22"/>
    <s v="FDO IMM. MAT."/>
  </r>
  <r>
    <s v="07/0015/0005"/>
    <s v="F/AMM ATTREZ. IND.LI E COMM.LI"/>
    <n v="-18541.25"/>
    <x v="2"/>
    <x v="0"/>
    <x v="0"/>
    <n v="22"/>
    <s v="FDO IMM. MAT."/>
  </r>
  <r>
    <s v="07/0025/0025"/>
    <s v="F/AMM. AUTOVETTURE              "/>
    <n v="-2294.3199999999961"/>
    <x v="2"/>
    <x v="0"/>
    <x v="0"/>
    <n v="22"/>
    <s v="FDO IMM. MAT."/>
  </r>
  <r>
    <s v="07/0030/0040"/>
    <s v="F/AMM. ARREDI LABORATORIO"/>
    <n v="-11171.980000000001"/>
    <x v="2"/>
    <x v="0"/>
    <x v="0"/>
    <n v="22"/>
    <s v="FDO IMM. MAT."/>
  </r>
  <r>
    <s v="07/0020/0010"/>
    <s v="F/AMM MACCH. ELETTROM. D'UFF.   "/>
    <n v="-39940.11"/>
    <x v="2"/>
    <x v="0"/>
    <x v="0"/>
    <n v="22"/>
    <s v="FDO IMM. MAT."/>
  </r>
  <r>
    <s v="07/0005/0015"/>
    <s v="F/AMM FABBR. IND.LI E COMM.LI.  "/>
    <n v="-1263.5999999999999"/>
    <x v="2"/>
    <x v="0"/>
    <x v="0"/>
    <n v="22"/>
    <s v="FDO IMM. MAT."/>
  </r>
  <r>
    <s v="07/0030/0044"/>
    <s v="F/AMM. CELLULARI"/>
    <n v="-4170.8599999999997"/>
    <x v="2"/>
    <x v="0"/>
    <x v="0"/>
    <n v="22"/>
    <s v="FDO IMM. MAT."/>
  </r>
  <r>
    <s v="07/0005/0020"/>
    <s v="F/AMM COSTRUZIONI LEGGERE       "/>
    <n v="-11895.37"/>
    <x v="2"/>
    <x v="0"/>
    <x v="0"/>
    <n v="22"/>
    <s v="FDO IMM. MAT."/>
  </r>
  <r>
    <s v="07/0030/0048"/>
    <s v="F/AMM. SICUREZZA SUL LAVORO"/>
    <n v="-9858.17"/>
    <x v="2"/>
    <x v="0"/>
    <x v="0"/>
    <n v="22"/>
    <s v="FDO IMM. MAT."/>
  </r>
  <r>
    <s v="07/0030/0042"/>
    <s v="F/AMM. TELEFONIA"/>
    <n v="-544.18000000000006"/>
    <x v="2"/>
    <x v="0"/>
    <x v="0"/>
    <n v="22"/>
    <s v="FDO IMM. MAT."/>
  </r>
  <r>
    <s v="07/0030/0043"/>
    <s v="F/AMM. FAX"/>
    <n v="-196.71"/>
    <x v="2"/>
    <x v="0"/>
    <x v="0"/>
    <n v="22"/>
    <s v="FDO IMM. MAT."/>
  </r>
  <r>
    <s v="07/0030/0041"/>
    <s v="F/AMM. CLIMATIZZATORI"/>
    <n v="-4659.3200000000006"/>
    <x v="2"/>
    <x v="0"/>
    <x v="0"/>
    <n v="22"/>
    <s v="FDO IMM. MAT."/>
  </r>
  <r>
    <s v="07/0010/0010"/>
    <s v="F/AMM IMPIANTI SPECIFICI        "/>
    <n v="-1005"/>
    <x v="2"/>
    <x v="0"/>
    <x v="0"/>
    <n v="22"/>
    <s v="FDO IMM. MAT."/>
  </r>
  <r>
    <s v="07/0030/0046"/>
    <s v="F/AMM. MIGLIORIE SU BENI DI TERZI"/>
    <n v="-124380.95"/>
    <x v="2"/>
    <x v="0"/>
    <x v="0"/>
    <n v="22"/>
    <s v="FDO IMM. MAT."/>
  </r>
  <r>
    <s v="07/0015/0006"/>
    <s v="F/AMM BANCHI DI COLLAUDO"/>
    <n v="-20776"/>
    <x v="2"/>
    <x v="0"/>
    <x v="0"/>
    <n v="22"/>
    <s v="FDO IMM. MAT."/>
  </r>
  <r>
    <s v="07/0030/0047"/>
    <s v="F/AMM. TIMBRATORE"/>
    <n v="-348"/>
    <x v="2"/>
    <x v="0"/>
    <x v="0"/>
    <n v="20"/>
    <s v="IMMOBILIZZ. MATERIALI"/>
  </r>
  <r>
    <s v="16/0010/0010"/>
    <s v="F/DO RISCHI SU CREDITI V.CLIENTI"/>
    <n v="-1178.18"/>
    <x v="2"/>
    <x v="2"/>
    <x v="2"/>
    <n v="160"/>
    <s v="FONDI RISCHI"/>
  </r>
  <r>
    <s v="16/0010/0012"/>
    <s v="F/DO RISCHI SU CREDITI V.CLIENTI &lt; 2.500"/>
    <n v="-34045.949999999997"/>
    <x v="2"/>
    <x v="2"/>
    <x v="2"/>
    <n v="160"/>
    <s v="FONDI RISCHI"/>
  </r>
  <r>
    <s v="54/0005/0005"/>
    <s v="RATEI PASSIVI                   "/>
    <n v="-19799.57"/>
    <x v="2"/>
    <x v="9"/>
    <x v="9"/>
    <n v="240"/>
    <s v="ALTRE PASSIVITA' E RATEI E RISC"/>
  </r>
  <r>
    <s v="28/0005/0005"/>
    <s v="CAPITALE SOCIALE                "/>
    <n v="-100000"/>
    <x v="2"/>
    <x v="11"/>
    <x v="11"/>
    <n v="90"/>
    <s v="CAPITALE"/>
  </r>
  <r>
    <s v="28/0020/0005"/>
    <s v="RISERVA LEGALE                  "/>
    <n v="-20000"/>
    <x v="2"/>
    <x v="12"/>
    <x v="12"/>
    <n v="110"/>
    <s v="RISERVA LEGALE"/>
  </r>
  <r>
    <s v="28/0035/0005"/>
    <s v="RISERVA STRAORDINARIA           "/>
    <n v="-139812.41"/>
    <x v="2"/>
    <x v="13"/>
    <x v="13"/>
    <n v="120"/>
    <s v="ALTRE RISERVE"/>
  </r>
  <r>
    <s v="80/0025/0005"/>
    <s v="MERCI C/RIM. INIZIALI           "/>
    <n v="581162.96"/>
    <x v="2"/>
    <x v="14"/>
    <x v="14"/>
    <n v="340"/>
    <s v="VARIAZIONE RIMANENZE MP E MERCI"/>
  </r>
  <r>
    <s v="66/0025/0005"/>
    <s v="MERCI C/ACQUISTI                "/>
    <n v="90750.350000000049"/>
    <x v="2"/>
    <x v="15"/>
    <x v="15"/>
    <n v="330"/>
    <s v="COSTI PER MATERIE PRIME SUSS. E DI CONS. E DI MERCI"/>
  </r>
  <r>
    <s v="66/0005/0005"/>
    <s v="MATERIE PRIME C/ACQUISTI        "/>
    <n v="401394.57000000059"/>
    <x v="2"/>
    <x v="15"/>
    <x v="15"/>
    <n v="330"/>
    <s v="COSTI PER MATERIE PRIME SUSS. E DI CONS. E DI MERCI"/>
  </r>
  <r>
    <s v="66/0005/0000"/>
    <s v="MATERIE PRIME                   "/>
    <n v="44301.779999999984"/>
    <x v="2"/>
    <x v="15"/>
    <x v="15"/>
    <n v="330"/>
    <s v="COSTI PER MATERIE PRIME SUSS. E DI CONS. E DI MERCI"/>
  </r>
  <r>
    <s v="66/0020/0005"/>
    <s v="MATERIE DI CONSUMO C/ACQUISTI   "/>
    <n v="5692.43"/>
    <x v="2"/>
    <x v="15"/>
    <x v="15"/>
    <n v="330"/>
    <s v="COSTI PER MATERIE PRIME SUSS. E DI CONS. E DI MERCI"/>
  </r>
  <r>
    <s v="68/0005/0020"/>
    <s v="LAVORAZIONI DI TERZI            "/>
    <n v="51655.900000000016"/>
    <x v="2"/>
    <x v="16"/>
    <x v="16"/>
    <n v="330"/>
    <s v="COSTI PER MATERIE PRIME SUSS. E DI CONS. E DI MERCI"/>
  </r>
  <r>
    <s v="66/0005/0009"/>
    <s v="MERCI C/ACQUISTI CEE"/>
    <n v="89585.210000000021"/>
    <x v="2"/>
    <x v="15"/>
    <x v="15"/>
    <n v="330"/>
    <s v="COSTI PER MATERIE PRIME SUSS. E DI CONS. E DI MERCI"/>
  </r>
  <r>
    <s v="66/0005/0008"/>
    <s v="MERCI C/ACQUISTI EXTRACEE"/>
    <n v="260125.62"/>
    <x v="2"/>
    <x v="15"/>
    <x v="15"/>
    <n v="330"/>
    <s v="COSTI PER MATERIE PRIME SUSS. E DI CONS. E DI MERCI"/>
  </r>
  <r>
    <s v="68/0005/0391"/>
    <s v="CONSULENZE TECNICHE"/>
    <n v="56854"/>
    <x v="2"/>
    <x v="16"/>
    <x v="16"/>
    <n v="362"/>
    <s v="COSTI FISSI INDUSTRIALI"/>
  </r>
  <r>
    <s v="68/0005/0005"/>
    <s v="SPESE DI TRASPORTO"/>
    <n v="29111.679999999913"/>
    <x v="2"/>
    <x v="15"/>
    <x v="15"/>
    <n v="356"/>
    <s v="COSTI VARIABILI INDUSTRIALI"/>
  </r>
  <r>
    <s v="68/0005/0280"/>
    <s v="PROVVIGIONI A INTERMEDIARI      "/>
    <n v="17309.870000000003"/>
    <x v="2"/>
    <x v="16"/>
    <x v="16"/>
    <n v="356"/>
    <s v="COSTI VARIABILI INDUSTRIALI"/>
  </r>
  <r>
    <s v="50/0005/0030"/>
    <s v="ENASARCO C/CONTRIBUTI           "/>
    <n v="3017.2400000000002"/>
    <x v="2"/>
    <x v="3"/>
    <x v="3"/>
    <n v="230"/>
    <s v="DEBITI TRIBUTARI E CONTRIBUTIVI"/>
  </r>
  <r>
    <s v="68/0005/0025"/>
    <s v="ENERGIA ELETTRICA               "/>
    <n v="6220.71"/>
    <x v="2"/>
    <x v="16"/>
    <x v="16"/>
    <n v="362"/>
    <s v="COSTI FISSI INDUSTRIALI"/>
  </r>
  <r>
    <s v="68/0005/0320"/>
    <s v="SPESE TELEFONICHE"/>
    <n v="2787.16"/>
    <x v="2"/>
    <x v="16"/>
    <x v="16"/>
    <n v="364"/>
    <s v="COSTI FISSI COMMERCIALI"/>
  </r>
  <r>
    <s v="68/0005/0040"/>
    <s v="GAS RISCALDAMENTO               "/>
    <n v="564.19000000000005"/>
    <x v="2"/>
    <x v="16"/>
    <x v="16"/>
    <n v="362"/>
    <s v="COSTI FISSI INDUSTRIALI"/>
  </r>
  <r>
    <s v="68/0005/0346"/>
    <s v="SPESE PER VIAGGI                "/>
    <n v="4148.8999999999996"/>
    <x v="2"/>
    <x v="16"/>
    <x v="16"/>
    <n v="364"/>
    <s v="COSTI FISSI COMMERCIALI"/>
  </r>
  <r>
    <s v="68/0005/0082"/>
    <s v="TASSA VIDIMAZIONE LIBRI SOCIALI"/>
    <n v="309.87"/>
    <x v="2"/>
    <x v="17"/>
    <x v="17"/>
    <n v="380"/>
    <s v="ALTRI COSTI E ONERI DIVERSI"/>
  </r>
  <r>
    <s v="68/0005/0290"/>
    <s v="PUBBLICITA'                     "/>
    <n v="28863.480000000003"/>
    <x v="2"/>
    <x v="16"/>
    <x v="16"/>
    <n v="364"/>
    <s v="COSTI FISSI COMMERCIALI"/>
  </r>
  <r>
    <s v="68/0005/0132"/>
    <s v="SERVIZI DI PULIZIA              "/>
    <n v="5221.4000000000015"/>
    <x v="2"/>
    <x v="16"/>
    <x v="16"/>
    <n v="362"/>
    <s v="COSTI FISSI INDUSTRIALI"/>
  </r>
  <r>
    <s v="68/0005/0385"/>
    <s v="TENUTA PAGHE,CONT.,DICH.DA IMPRES."/>
    <n v="28596.980000000003"/>
    <x v="2"/>
    <x v="16"/>
    <x v="16"/>
    <n v="380"/>
    <s v="ALTRI COSTI E ONERI DIVERSI"/>
  </r>
  <r>
    <s v="68/0005/0310"/>
    <s v="SPESE LEGALI                    "/>
    <n v="14454.140000000001"/>
    <x v="2"/>
    <x v="16"/>
    <x v="16"/>
    <n v="380"/>
    <s v="ALTRI COSTI E ONERI DIVERSI"/>
  </r>
  <r>
    <s v="68/0005/0372"/>
    <s v="SPESE PER ATTO DI CESSIONE"/>
    <n v="96.74"/>
    <x v="2"/>
    <x v="16"/>
    <x v="16"/>
    <n v="380"/>
    <s v="ALTRI COSTI E ONERI DIVERSI"/>
  </r>
  <r>
    <s v="84/0010/0065"/>
    <s v="OMAGGI CLIENTI E ART. PROMOZ. DEDUC."/>
    <n v="272.40999999999997"/>
    <x v="2"/>
    <x v="17"/>
    <x v="17"/>
    <n v="364"/>
    <s v="COSTI FISSI COMMERCIALI"/>
  </r>
  <r>
    <s v="68/0005/0407"/>
    <s v="ALTRI COSTI PER SERVIZI"/>
    <n v="4397.6000000000013"/>
    <x v="2"/>
    <x v="16"/>
    <x v="16"/>
    <n v="362"/>
    <s v="COSTI FISSI INDUSTRIALI"/>
  </r>
  <r>
    <s v="68/0005/0026"/>
    <s v="SPESE INTERNET"/>
    <n v="3026.4899999999989"/>
    <x v="2"/>
    <x v="16"/>
    <x v="16"/>
    <n v="364"/>
    <s v="COSTI FISSI COMMERCIALI"/>
  </r>
  <r>
    <s v="43/000022"/>
    <s v="Spese per adeguamento euro               "/>
    <n v="9.76"/>
    <x v="2"/>
    <x v="16"/>
    <x v="16"/>
    <n v="380"/>
    <s v="ALTRI COSTI E ONERI DIVERSI"/>
  </r>
  <r>
    <s v="68/0005/0325"/>
    <s v="SPESE CELLULARI                 "/>
    <n v="3748.1300000000024"/>
    <x v="2"/>
    <x v="16"/>
    <x v="16"/>
    <n v="380"/>
    <s v="ALTRI COSTI E ONERI DIVERSI"/>
  </r>
  <r>
    <s v="68/0005/0281"/>
    <s v="PROVVIGIONI PASSIVE ESTERE"/>
    <n v="658"/>
    <x v="2"/>
    <x v="16"/>
    <x v="16"/>
    <n v="358"/>
    <s v="COSTI VARIABILI COMMERCIALI"/>
  </r>
  <r>
    <s v="68/0005/0395"/>
    <s v="PRIVACY"/>
    <n v="90"/>
    <x v="2"/>
    <x v="17"/>
    <x v="17"/>
    <n v="380"/>
    <s v="ALTRI COSTI E ONERI DIVERSI"/>
  </r>
  <r>
    <s v="84/0010/0025"/>
    <s v="OMAGGI A DIPENDENTI"/>
    <n v="1347.4"/>
    <x v="2"/>
    <x v="18"/>
    <x v="18"/>
    <n v="390"/>
    <s v="COSTO DEL LAVORO DIRETTO"/>
  </r>
  <r>
    <s v="72/0005/0010"/>
    <s v="SALARI E STIPENDI               "/>
    <n v="395298.12"/>
    <x v="2"/>
    <x v="19"/>
    <x v="19"/>
    <n v="390"/>
    <s v="COSTO DEL LAVORO DIRETTO"/>
  </r>
  <r>
    <s v="72/0015/0005"/>
    <s v="ONERI SOCIALI INPS"/>
    <n v="95700.239999999991"/>
    <x v="2"/>
    <x v="20"/>
    <x v="20"/>
    <n v="390"/>
    <s v="COSTO DEL LAVORO DIRETTO"/>
  </r>
  <r>
    <s v="72/0015/0025"/>
    <s v="ONERI SOCIALI INAIL"/>
    <n v="2890.8700000000003"/>
    <x v="2"/>
    <x v="20"/>
    <x v="20"/>
    <n v="390"/>
    <s v="COSTO DEL LAVORO DIRETTO"/>
  </r>
  <r>
    <s v="72/0020/0005"/>
    <s v="TFR"/>
    <n v="23901.280000000002"/>
    <x v="2"/>
    <x v="21"/>
    <x v="21"/>
    <n v="400"/>
    <s v="ACC. TFR"/>
  </r>
  <r>
    <s v="68/0005/0199"/>
    <s v="CONT.INPS AMM-CO.CO.CO.(spa-srl)"/>
    <n v="22293.760000000006"/>
    <x v="2"/>
    <x v="16"/>
    <x v="16"/>
    <n v="394"/>
    <s v="AMMINISTRATORI E COLLABORATORI"/>
  </r>
  <r>
    <s v="72/0005/0040"/>
    <s v="STIPENDI AMMINISTRATORI SOCI"/>
    <n v="105696"/>
    <x v="2"/>
    <x v="16"/>
    <x v="16"/>
    <n v="394"/>
    <s v="AMMINISTRATORI E COLLABORATORI"/>
  </r>
  <r>
    <s v="CONTM"/>
    <s v="CONTRIBUTI METASALUTE"/>
    <n v="180"/>
    <x v="2"/>
    <x v="20"/>
    <x v="20"/>
    <n v="390"/>
    <s v="COSTO DEL LAVORO DIRETTO"/>
  </r>
  <r>
    <s v="72/0005/0020"/>
    <s v="SAL. E STIP.PERS.DI FORMAZ.LAV. "/>
    <n v="6000"/>
    <x v="2"/>
    <x v="19"/>
    <x v="19"/>
    <n v="390"/>
    <s v="COSTO DEL LAVORO DIRETTO"/>
  </r>
  <r>
    <s v="88/0020/0095"/>
    <s v="PERDITE SU CAMBI                "/>
    <n v="131.82999999999996"/>
    <x v="2"/>
    <x v="22"/>
    <x v="22"/>
    <n v="450"/>
    <s v="COSTI NON OPERATIVI"/>
  </r>
  <r>
    <s v="88/0020/0010"/>
    <s v="INTERESSI PASSIVI BANCARI"/>
    <n v="17271.63"/>
    <x v="2"/>
    <x v="23"/>
    <x v="23"/>
    <n v="430"/>
    <s v="ONERI FINANZIARI"/>
  </r>
  <r>
    <s v="88/0020/0015"/>
    <s v="INTERESSI PASSIVI SU MUTUI      "/>
    <n v="8597.1200000000008"/>
    <x v="2"/>
    <x v="23"/>
    <x v="23"/>
    <n v="430"/>
    <s v="ONERI FINANZIARI"/>
  </r>
  <r>
    <s v="88/0020/0035"/>
    <s v="INT.PASS.V/FORNITORI            "/>
    <n v="496.9"/>
    <x v="2"/>
    <x v="23"/>
    <x v="23"/>
    <n v="430"/>
    <s v="ONERI FINANZIARI"/>
  </r>
  <r>
    <s v="68/0005/0371"/>
    <s v="INT. PASSIVI FINANZIAMENTI IMP/EXP"/>
    <n v="12132.210000000001"/>
    <x v="2"/>
    <x v="23"/>
    <x v="23"/>
    <n v="430"/>
    <s v="ONERI FINANZIARI"/>
  </r>
  <r>
    <s v="68/0005/0370"/>
    <s v="ONERI BANCARI                   "/>
    <n v="29160.179999999877"/>
    <x v="2"/>
    <x v="16"/>
    <x v="16"/>
    <n v="380"/>
    <s v="ALTRI COSTI E ONERI DIVERSI"/>
  </r>
  <r>
    <s v="68/0005/0380"/>
    <s v="COMM. DI ISTRUTTORIA"/>
    <n v="2164.34"/>
    <x v="2"/>
    <x v="23"/>
    <x v="23"/>
    <n v="430"/>
    <s v="ONERI FINANZIARI"/>
  </r>
  <r>
    <s v="88/0020/0036"/>
    <s v="INTERESSI RATEAZIONE IMPOSTE"/>
    <n v="110.38999999999989"/>
    <x v="2"/>
    <x v="23"/>
    <x v="23"/>
    <n v="430"/>
    <s v="ONERI FINANZIARI"/>
  </r>
  <r>
    <s v="88/0020/0038"/>
    <s v="INTERESSI DI MORA"/>
    <n v="1.64"/>
    <x v="2"/>
    <x v="23"/>
    <x v="23"/>
    <n v="430"/>
    <s v="ONERI FINANZIARI"/>
  </r>
  <r>
    <s v="84/0010/0050"/>
    <s v="SOPRAVVENIENZ. PASSIVE ORD.DED. "/>
    <n v="1104.71"/>
    <x v="2"/>
    <x v="17"/>
    <x v="17"/>
    <n v="450"/>
    <s v="COSTI NON OPERATIVI"/>
  </r>
  <r>
    <s v="84/0010/0055"/>
    <s v="SOPRAV. PASSIVE ORD.INDEDUCIBILI"/>
    <n v="3559.940000000001"/>
    <x v="2"/>
    <x v="17"/>
    <x v="17"/>
    <n v="450"/>
    <s v="COSTI NON OPERATIVI"/>
  </r>
  <r>
    <s v="75/0010/0015"/>
    <s v="AMM.TO ORD. MACC. DEDUCIB.      "/>
    <n v="1000"/>
    <x v="2"/>
    <x v="24"/>
    <x v="24"/>
    <n v="410"/>
    <s v="AMMORTAMENTI"/>
  </r>
  <r>
    <s v="75/0015/0005"/>
    <s v="AMM.TO ORD.ATT.IND.LI E COMM.DED"/>
    <n v="731.68"/>
    <x v="2"/>
    <x v="24"/>
    <x v="24"/>
    <n v="410"/>
    <s v="AMMORTAMENTI"/>
  </r>
  <r>
    <s v="75/0030/0040"/>
    <s v="AMM.TO ORD.ARREDAMENTO DED.     "/>
    <n v="616.25"/>
    <x v="2"/>
    <x v="24"/>
    <x v="24"/>
    <n v="410"/>
    <s v="AMMORTAMENTI"/>
  </r>
  <r>
    <s v="75/0020/0010"/>
    <s v="AMM.TO ORD.MAC.ELETTROM.UF.DED. "/>
    <n v="4413.7700000000004"/>
    <x v="2"/>
    <x v="24"/>
    <x v="24"/>
    <n v="410"/>
    <s v="AMMORTAMENTI"/>
  </r>
  <r>
    <s v="74/0010/0006"/>
    <s v="AMM.TO IMM. SICUREZZA SUL LAVORO"/>
    <n v="1842.67"/>
    <x v="2"/>
    <x v="24"/>
    <x v="24"/>
    <n v="410"/>
    <s v="AMMORTAMENTI"/>
  </r>
  <r>
    <s v="75/0020/0012"/>
    <s v="AMM.TO ORD. TELEFONI CELLULARI"/>
    <n v="625.94000000000005"/>
    <x v="2"/>
    <x v="24"/>
    <x v="24"/>
    <n v="410"/>
    <s v="AMMORTAMENTI"/>
  </r>
  <r>
    <s v="75/0005/0020"/>
    <s v="AMM.TO ORD. COST.LEGG. DEDUCIB. "/>
    <n v="726.09"/>
    <x v="2"/>
    <x v="24"/>
    <x v="24"/>
    <n v="410"/>
    <s v="AMMORTAMENTI"/>
  </r>
  <r>
    <s v="75/0020/0008"/>
    <s v="AMM.TO ORD. ARREDI LABORATORIO"/>
    <n v="201.6"/>
    <x v="2"/>
    <x v="24"/>
    <x v="24"/>
    <n v="410"/>
    <s v="AMMORTAMENTI"/>
  </r>
  <r>
    <s v="75/0025/0017"/>
    <s v="AMM.TO ORD. CLIMATIZZATORE"/>
    <n v="890.1"/>
    <x v="2"/>
    <x v="24"/>
    <x v="24"/>
    <n v="410"/>
    <s v="AMMORTAMENTI"/>
  </r>
  <r>
    <s v="74/0035/0005"/>
    <s v="AMM.LAV. STRAORD.BENI DI TERZI  "/>
    <n v="7482.52"/>
    <x v="2"/>
    <x v="24"/>
    <x v="24"/>
    <n v="410"/>
    <s v="AMMORTAMENTI"/>
  </r>
  <r>
    <s v="75/0005/0015"/>
    <s v="AMM.TO ORD.FABB.IND.LI E COM.DED"/>
    <n v="548.4"/>
    <x v="2"/>
    <x v="24"/>
    <x v="24"/>
    <n v="410"/>
    <s v="AMMORTAMENTI"/>
  </r>
  <r>
    <s v="74/0020/0015"/>
    <s v="AMM.TO LIC.USO SOFT.A TEMP.DET. "/>
    <n v="1263.3900000000001"/>
    <x v="2"/>
    <x v="25"/>
    <x v="25"/>
    <n v="410"/>
    <s v="AMMORTAMENTI"/>
  </r>
  <r>
    <s v="74/0010/0005"/>
    <s v="AMM.TO COSTI DI RIC.  E DI SVIL."/>
    <n v="127555.54400000001"/>
    <x v="2"/>
    <x v="25"/>
    <x v="25"/>
    <n v="410"/>
    <s v="AMMORTAMENTI"/>
  </r>
  <r>
    <s v="74/0035/0017"/>
    <s v="AMM.TO ORD. CERTIFICAZIONE QUALITA'"/>
    <n v="5645.17"/>
    <x v="2"/>
    <x v="25"/>
    <x v="25"/>
    <n v="410"/>
    <s v="AMMORTAMENTI"/>
  </r>
  <r>
    <s v="74/0035/0018"/>
    <s v="AMM.TO ORD. SITO INTERNET"/>
    <n v="882.4"/>
    <x v="2"/>
    <x v="25"/>
    <x v="25"/>
    <n v="410"/>
    <s v="AMMORTAMENTI"/>
  </r>
  <r>
    <s v="78/0010/0010"/>
    <s v="ACC.TO P/RISCHI SU CRED.V/CLIENT"/>
    <n v="1178.18"/>
    <x v="2"/>
    <x v="26"/>
    <x v="26"/>
    <n v="411"/>
    <s v="ACCANTONAMENTI"/>
  </r>
  <r>
    <s v="78/0010/0012"/>
    <s v="ACC. F.DO CREDITI &lt; 2.500 EURO"/>
    <n v="6223.9000000000033"/>
    <x v="2"/>
    <x v="26"/>
    <x v="26"/>
    <n v="411"/>
    <s v="ACCANTONAMENTI"/>
  </r>
  <r>
    <s v="68/0005/0057"/>
    <s v="MANUTENZIONI E RIPARAZIONI"/>
    <n v="971.5"/>
    <x v="2"/>
    <x v="16"/>
    <x v="16"/>
    <n v="362"/>
    <s v="COSTI FISSI INDUSTRIALI"/>
  </r>
  <r>
    <s v="68/0005/0052"/>
    <s v="CANONE DI MANUTENZIONE PERIODICA"/>
    <n v="4027.7400000000002"/>
    <x v="2"/>
    <x v="16"/>
    <x v="16"/>
    <n v="380"/>
    <s v="ALTRI COSTI E ONERI DIVERSI"/>
  </r>
  <r>
    <s v="70/0005/0000"/>
    <s v="AFFITTI E LOCAZIONI             "/>
    <n v="2996.64"/>
    <x v="2"/>
    <x v="27"/>
    <x v="27"/>
    <n v="370"/>
    <s v="AFFITTI LEASING NOLEGGI"/>
  </r>
  <r>
    <s v="70/0010/0012"/>
    <s v="Canone Loc. Immobili BNL"/>
    <n v="19597.680000000015"/>
    <x v="2"/>
    <x v="27"/>
    <x v="27"/>
    <n v="370"/>
    <s v="AFFITTI LEASING NOLEGGI"/>
  </r>
  <r>
    <s v="70/0010/0011"/>
    <s v="Canone Locazione Mobili Ufficio"/>
    <n v="2702.1899999999996"/>
    <x v="2"/>
    <x v="27"/>
    <x v="27"/>
    <n v="370"/>
    <s v="AFFITTI LEASING NOLEGGI"/>
  </r>
  <r>
    <s v="70/0010/0005"/>
    <s v="LEASING 7061632 JAGUAR"/>
    <n v="13537.020000000004"/>
    <x v="2"/>
    <x v="27"/>
    <x v="27"/>
    <n v="370"/>
    <s v="AFFITTI LEASING NOLEGGI"/>
  </r>
  <r>
    <s v="84/0010/0090"/>
    <s v="ABBUONI/ARROTONDAMENTI PASSIVI  "/>
    <n v="-363.24"/>
    <x v="2"/>
    <x v="17"/>
    <x v="17"/>
    <n v="300"/>
    <s v="RICAVI "/>
  </r>
  <r>
    <s v="66/0030/0010"/>
    <s v="IMBALLAGGI C/ACQUISTI           "/>
    <n v="7813.5299999999988"/>
    <x v="2"/>
    <x v="15"/>
    <x v="15"/>
    <n v="330"/>
    <s v="COSTI PER MATERIE PRIME SUSS. E DI CONS. E DI MERCI"/>
  </r>
  <r>
    <s v="66/0030/0025"/>
    <s v="CANCELLERIA                     "/>
    <n v="4653.6499999999987"/>
    <x v="2"/>
    <x v="17"/>
    <x v="17"/>
    <n v="380"/>
    <s v="ALTRI COSTI E ONERI DIVERSI"/>
  </r>
  <r>
    <s v="68/0005/0330"/>
    <s v="SPESE POSTALI E DI AFFRANCATURA "/>
    <n v="18.949999999999985"/>
    <x v="2"/>
    <x v="16"/>
    <x v="16"/>
    <n v="380"/>
    <s v="ALTRI COSTI E ONERI DIVERSI"/>
  </r>
  <r>
    <s v="84/0010/0015"/>
    <s v="ABBONAMENTI RIVISTE,GIORNALI    "/>
    <n v="9.99"/>
    <x v="2"/>
    <x v="17"/>
    <x v="17"/>
    <n v="380"/>
    <s v="ALTRI COSTI E ONERI DIVERSI"/>
  </r>
  <r>
    <s v="68/0005/0035"/>
    <s v="QUOTE ASSOCIATIVE"/>
    <n v="496.93"/>
    <x v="2"/>
    <x v="17"/>
    <x v="17"/>
    <n v="380"/>
    <s v="ALTRI COSTI E ONERI DIVERSI"/>
  </r>
  <r>
    <s v="68/0005/0015"/>
    <s v="SPESE DOGANALI"/>
    <n v="18889.900000000005"/>
    <x v="2"/>
    <x v="15"/>
    <x v="15"/>
    <n v="330"/>
    <s v="COSTI PER MATERIE PRIME SUSS. E DI CONS. E DI MERCI"/>
  </r>
  <r>
    <s v="68/0005/0050"/>
    <s v="SPESE CONDOMINIALI              "/>
    <n v="2244.2200000000003"/>
    <x v="2"/>
    <x v="27"/>
    <x v="27"/>
    <n v="380"/>
    <s v="ALTRI COSTI E ONERI DIVERSI"/>
  </r>
  <r>
    <s v="68/0005/0300"/>
    <s v="MOSTRE E FIERE                  "/>
    <n v="98.72"/>
    <x v="2"/>
    <x v="16"/>
    <x v="16"/>
    <n v="364"/>
    <s v="COSTI FISSI COMMERCIALI"/>
  </r>
  <r>
    <s v="84/0010/0035"/>
    <s v="MULTE E AMMENDE INDEDUCIBILI    "/>
    <n v="18770.66"/>
    <x v="2"/>
    <x v="17"/>
    <x v="17"/>
    <n v="380"/>
    <s v="ALTRI COSTI E ONERI DIVERSI"/>
  </r>
  <r>
    <s v="68/0005/0355"/>
    <s v="RICERCA,ADDESTRAM.E FORMAZIONE  "/>
    <n v="150"/>
    <x v="2"/>
    <x v="16"/>
    <x v="16"/>
    <n v="380"/>
    <s v="ALTRI COSTI E ONERI DIVERSI"/>
  </r>
  <r>
    <s v="68/0005/0341"/>
    <s v="SPESE ALBERGHI E RISTORANTI"/>
    <n v="12862.370000000006"/>
    <x v="2"/>
    <x v="16"/>
    <x v="16"/>
    <n v="364"/>
    <s v="COSTI FISSI COMMERCIALI"/>
  </r>
  <r>
    <s v="84/0010/0021"/>
    <s v="BEVANDE UFFICIO"/>
    <n v="709.29"/>
    <x v="2"/>
    <x v="16"/>
    <x v="16"/>
    <n v="380"/>
    <s v="ALTRI COSTI E ONERI DIVERSI"/>
  </r>
  <r>
    <s v="68/0005/0110"/>
    <s v="ASSICURAZIONI R.C.A.            "/>
    <n v="1950.3899999999999"/>
    <x v="2"/>
    <x v="16"/>
    <x v="16"/>
    <n v="380"/>
    <s v="ALTRI COSTI E ONERI DIVERSI"/>
  </r>
  <r>
    <s v="68/0005/0053"/>
    <s v="ASSICURAZIONI DIVERSE"/>
    <n v="3563.5"/>
    <x v="2"/>
    <x v="16"/>
    <x v="16"/>
    <n v="380"/>
    <s v="ALTRI COSTI E ONERI DIVERSI"/>
  </r>
  <r>
    <s v="84/0005/0040"/>
    <s v="TASSE DI PROPRIETA' AUTOVEICOLI "/>
    <n v="604.95999999999992"/>
    <x v="2"/>
    <x v="17"/>
    <x v="17"/>
    <n v="380"/>
    <s v="ALTRI COSTI E ONERI DIVERSI"/>
  </r>
  <r>
    <s v="66/0030/0035"/>
    <s v="CARBURANTI E LUBRIFICANTI       "/>
    <n v="8212.369999999999"/>
    <x v="2"/>
    <x v="15"/>
    <x v="15"/>
    <n v="364"/>
    <s v="COSTI FISSI COMMERCIALI"/>
  </r>
  <r>
    <s v="68/0005/0095"/>
    <s v="ALTRI ONERI P/AUTOMEZZI         "/>
    <n v="4186.7800000000016"/>
    <x v="2"/>
    <x v="16"/>
    <x v="16"/>
    <n v="364"/>
    <s v="COSTI FISSI COMMERCIALI"/>
  </r>
  <r>
    <s v="68/0005/0080"/>
    <s v="PEDAGGI AUTOSTRADALI            "/>
    <n v="3815.6199999999994"/>
    <x v="2"/>
    <x v="16"/>
    <x v="16"/>
    <n v="364"/>
    <s v="COSTI FISSI COMMERCIALI"/>
  </r>
  <r>
    <s v="84/0005/0020"/>
    <s v="IMPOSTA DI REGISTRO             "/>
    <n v="699.35"/>
    <x v="2"/>
    <x v="17"/>
    <x v="17"/>
    <n v="380"/>
    <s v="ALTRI COSTI E ONERI DIVERSI"/>
  </r>
  <r>
    <s v="84/0005/0045"/>
    <s v="TASSA SUI RIFIUTI               "/>
    <n v="580"/>
    <x v="2"/>
    <x v="17"/>
    <x v="17"/>
    <n v="380"/>
    <s v="ALTRI COSTI E ONERI DIVERSI"/>
  </r>
  <r>
    <s v="84/0005/0010"/>
    <s v="IMPOSTA COM.SUGLI IMM.-ICI      "/>
    <n v="1513"/>
    <x v="2"/>
    <x v="17"/>
    <x v="17"/>
    <n v="380"/>
    <s v="ALTRI COSTI E ONERI DIVERSI"/>
  </r>
  <r>
    <s v="84/0010/0005"/>
    <s v="PERDITE SU CREDITI              "/>
    <n v="10096.379999999999"/>
    <x v="2"/>
    <x v="17"/>
    <x v="17"/>
    <n v="380"/>
    <s v="ALTRI COSTI E ONERI DIVERSI"/>
  </r>
  <r>
    <s v="58/0005/0010"/>
    <s v="MERCI C/VENDITE                 "/>
    <n v="-1622549.13"/>
    <x v="2"/>
    <x v="29"/>
    <x v="29"/>
    <n v="300"/>
    <s v="RICAVI "/>
  </r>
  <r>
    <s v="58/0005/0012"/>
    <s v="MERCI C/VENDITE EXTRACEE"/>
    <n v="-62881.099999999991"/>
    <x v="2"/>
    <x v="29"/>
    <x v="29"/>
    <n v="300"/>
    <s v="RICAVI "/>
  </r>
  <r>
    <s v="58/0005/0011"/>
    <s v="MERCI C/VENDITE CEE"/>
    <n v="-182393.74999999997"/>
    <x v="2"/>
    <x v="29"/>
    <x v="29"/>
    <n v="300"/>
    <s v="RICAVI "/>
  </r>
  <r>
    <s v="58/0005/0490"/>
    <s v="ALTRI RICAVI DELLE VENDITE      "/>
    <n v="-111131.90000000001"/>
    <x v="2"/>
    <x v="29"/>
    <x v="29"/>
    <n v="320"/>
    <s v="ALTRI RICAVI"/>
  </r>
  <r>
    <s v="87/0020/0060"/>
    <s v="UTILI SU CAMBI                  "/>
    <n v="-2078.21"/>
    <x v="2"/>
    <x v="34"/>
    <x v="34"/>
    <n v="440"/>
    <s v="PROVENTI NON OPERATIVI"/>
  </r>
  <r>
    <s v="64/0005/0115"/>
    <s v="SOPRAVVENIENZE ORDINARIE ATTIVE "/>
    <n v="-2578.14"/>
    <x v="2"/>
    <x v="30"/>
    <x v="30"/>
    <n v="440"/>
    <s v="PROVENTI NON OPERATIVI"/>
  </r>
  <r>
    <s v="94/0010/0010"/>
    <s v="SOPPR.ATT.EST.ALL'ATT.NON TASS. "/>
    <n v="-701.07"/>
    <x v="2"/>
    <x v="30"/>
    <x v="30"/>
    <n v="440"/>
    <s v="PROVENTI NON OPERATIVI"/>
  </r>
  <r>
    <s v="80/0025/0010"/>
    <s v="MERCI C/RIM. FINALI             "/>
    <n v="-702399.96"/>
    <x v="2"/>
    <x v="14"/>
    <x v="14"/>
    <n v="340"/>
    <s v="VARIAZIONE RIMANENZE MP E MERCI"/>
  </r>
  <r>
    <s v="58/0005/0225"/>
    <s v="ABBUONI SU VENDITE              "/>
    <n v="-595.51"/>
    <x v="2"/>
    <x v="30"/>
    <x v="30"/>
    <n v="300"/>
    <s v="RICAVI "/>
  </r>
  <r>
    <s v="58/0005/0500"/>
    <s v="RIMBORSI SPESE DI TRASPORTO"/>
    <n v="-5656.8000000000202"/>
    <x v="2"/>
    <x v="30"/>
    <x v="30"/>
    <n v="320"/>
    <s v="ALTRI RICAVI"/>
  </r>
  <r>
    <s v="94/0010/0111"/>
    <s v="INDENNIZZI ESER.PREC. TASS. IRAP"/>
    <n v="-37.58"/>
    <x v="2"/>
    <x v="29"/>
    <x v="29"/>
    <n v="320"/>
    <s v="ALTRI RICAVI"/>
  </r>
  <r>
    <s v="64/0005/0121"/>
    <s v="RISARC. RCA ASSICURAZ."/>
    <n v="-527.04999999999995"/>
    <x v="2"/>
    <x v="30"/>
    <x v="30"/>
    <n v="440"/>
    <s v="PROVENTI NON OPERATIVI"/>
  </r>
  <r>
    <s v="64/0005/0117"/>
    <s v="SOPR.ORD.ATTIVE DA RATEIZZARE"/>
    <n v="-27740.880000000001"/>
    <x v="2"/>
    <x v="30"/>
    <x v="30"/>
    <n v="440"/>
    <s v="PROVENTI NON OPERATIVI"/>
  </r>
  <r>
    <s v="62/0005/0006"/>
    <s v="PROVENTI PER COSTI CAPITALIZZATI R&amp;S"/>
    <n v="-73519.87"/>
    <x v="2"/>
    <x v="31"/>
    <x v="31"/>
    <n v="315"/>
    <s v="CONTRIBUTI IN CONTO ESERCIZIO"/>
  </r>
  <r>
    <s v="96/0005/0015"/>
    <s v="IRES DELL'ESERCIZIO            "/>
    <n v="7741"/>
    <x v="2"/>
    <x v="28"/>
    <x v="28"/>
    <n v="460"/>
    <s v="IMPOSTE"/>
  </r>
  <r>
    <s v="96/0005/0010"/>
    <s v="IRAP DELL'ESERCIZIO             "/>
    <n v="8056"/>
    <x v="2"/>
    <x v="28"/>
    <x v="28"/>
    <n v="460"/>
    <s v="IMPOSTE"/>
  </r>
  <r>
    <s v="03/0010/0006"/>
    <s v="STUDI DI PROGETTAZIONE"/>
    <n v="18343.599999999999"/>
    <x v="3"/>
    <x v="1"/>
    <x v="1"/>
    <n v="10"/>
    <s v="IMMOBILIZZ. IMMATERIALI "/>
  </r>
  <r>
    <s v="03/0010/0007"/>
    <s v="PROGRAMMI COMPUTER"/>
    <n v="3839.24"/>
    <x v="3"/>
    <x v="1"/>
    <x v="1"/>
    <n v="10"/>
    <s v="IMMOBILIZZ. IMMATERIALI "/>
  </r>
  <r>
    <s v="03/0010/0008"/>
    <s v="SITO INTERNET"/>
    <n v="1764.8"/>
    <x v="3"/>
    <x v="1"/>
    <x v="1"/>
    <n v="10"/>
    <s v="IMMOBILIZZ. IMMATERIALI "/>
  </r>
  <r>
    <s v="03/0010/0009"/>
    <s v="SVILUPPO PRODOTTI"/>
    <n v="97637.78"/>
    <x v="3"/>
    <x v="1"/>
    <x v="1"/>
    <n v="10"/>
    <s v="IMMOBILIZZ. IMMATERIALI "/>
  </r>
  <r>
    <s v="03/0010/0010"/>
    <s v="CERTIFICAZIONE QUALITA'"/>
    <n v="18698.97"/>
    <x v="3"/>
    <x v="1"/>
    <x v="1"/>
    <n v="10"/>
    <s v="IMMOBILIZZ. IMMATERIALI "/>
  </r>
  <r>
    <s v="03/0010/0011"/>
    <s v="COSTI R&amp;S"/>
    <n v="-17342.772000000004"/>
    <x v="3"/>
    <x v="1"/>
    <x v="1"/>
    <n v="10"/>
    <s v="IMMOBILIZZ. IMMATERIALI "/>
  </r>
  <r>
    <s v="03/0020/0015"/>
    <s v="GESTIONALE"/>
    <n v="25685"/>
    <x v="3"/>
    <x v="1"/>
    <x v="1"/>
    <n v="10"/>
    <s v="IMMOBILIZZ. IMMATERIALI "/>
  </r>
  <r>
    <s v="03/0035/0006"/>
    <s v="SOFT. ATTREZZATURE PER TEST ELETTRICO"/>
    <n v="1020.81"/>
    <x v="3"/>
    <x v="1"/>
    <x v="1"/>
    <n v="10"/>
    <s v="IMMOBILIZZ. IMMATERIALI "/>
  </r>
  <r>
    <s v="06/0005/0005"/>
    <s v="TERRENI"/>
    <n v="6300"/>
    <x v="3"/>
    <x v="0"/>
    <x v="0"/>
    <n v="20"/>
    <s v="IMMOBILIZZ. MATERIALI"/>
  </r>
  <r>
    <s v="06/0005/0015"/>
    <s v="FABBRICATI IND.LI. E COMM.LI"/>
    <n v="18280"/>
    <x v="3"/>
    <x v="0"/>
    <x v="0"/>
    <n v="20"/>
    <s v="IMMOBILIZZ. MATERIALI"/>
  </r>
  <r>
    <s v="06/0005/0020"/>
    <s v="COSTRUZIONI LEGGERE"/>
    <n v="28492.37"/>
    <x v="3"/>
    <x v="0"/>
    <x v="0"/>
    <n v="20"/>
    <s v="IMMOBILIZZ. MATERIALI"/>
  </r>
  <r>
    <s v="06/0010/0015"/>
    <s v="MACCHINARI"/>
    <n v="5000"/>
    <x v="3"/>
    <x v="0"/>
    <x v="0"/>
    <n v="20"/>
    <s v="IMMOBILIZZ. MATERIALI"/>
  </r>
  <r>
    <s v="06/0015/0005"/>
    <s v="ATTREZZAT. IND.LI E COMM.LI"/>
    <n v="22183.08"/>
    <x v="3"/>
    <x v="0"/>
    <x v="0"/>
    <n v="20"/>
    <s v="IMMOBILIZZ. MATERIALI"/>
  </r>
  <r>
    <s v="06/0015/0006"/>
    <s v="SICUREZZA SUL LAVORO 626"/>
    <n v="15387.16"/>
    <x v="3"/>
    <x v="0"/>
    <x v="0"/>
    <n v="20"/>
    <s v="IMMOBILIZZ. MATERIALI"/>
  </r>
  <r>
    <s v="06/0020/0005"/>
    <s v="MACCHINE UFFICIO ELETTRONICHE"/>
    <n v="54483.99"/>
    <x v="3"/>
    <x v="0"/>
    <x v="0"/>
    <n v="20"/>
    <s v="IMMOBILIZZ. MATERIALI"/>
  </r>
  <r>
    <s v="06/0025/0015"/>
    <s v="AUTOCARRI/AUTOVETTURE"/>
    <n v="24676.84"/>
    <x v="3"/>
    <x v="0"/>
    <x v="0"/>
    <n v="20"/>
    <s v="IMMOBILIZZ. MATERIALI"/>
  </r>
  <r>
    <s v="06/0030/0040"/>
    <s v="ARREDI UFFICIO"/>
    <n v="9941.83"/>
    <x v="3"/>
    <x v="0"/>
    <x v="0"/>
    <n v="20"/>
    <s v="IMMOBILIZZ. MATERIALI"/>
  </r>
  <r>
    <s v="06/0030/0045"/>
    <s v="ARREDI LABORATORIO"/>
    <n v="5343.01"/>
    <x v="3"/>
    <x v="0"/>
    <x v="0"/>
    <n v="20"/>
    <s v="IMMOBILIZZ. MATERIALI"/>
  </r>
  <r>
    <s v="06/0030/0046"/>
    <s v="TELEFONI CELLULARI"/>
    <n v="6291.66"/>
    <x v="3"/>
    <x v="0"/>
    <x v="0"/>
    <n v="20"/>
    <s v="IMMOBILIZZ. MATERIALI"/>
  </r>
  <r>
    <s v="06/0030/0047"/>
    <s v="TELEFONIA"/>
    <n v="1289.94"/>
    <x v="3"/>
    <x v="0"/>
    <x v="0"/>
    <n v="20"/>
    <s v="IMMOBILIZZ. MATERIALI"/>
  </r>
  <r>
    <s v="06/0030/0048"/>
    <s v="FAX"/>
    <n v="196.71"/>
    <x v="3"/>
    <x v="0"/>
    <x v="0"/>
    <n v="20"/>
    <s v="IMMOBILIZZ. MATERIALI"/>
  </r>
  <r>
    <s v="06/0030/0049"/>
    <s v="TIMBRATORE"/>
    <n v="348"/>
    <x v="3"/>
    <x v="0"/>
    <x v="0"/>
    <n v="20"/>
    <s v="IMMOBILIZZ. MATERIALI"/>
  </r>
  <r>
    <s v="06/0030/0051"/>
    <s v="CLIMATIZZATORI"/>
    <n v="9258.17"/>
    <x v="3"/>
    <x v="0"/>
    <x v="0"/>
    <n v="20"/>
    <s v="IMMOBILIZZ. MATERIALI"/>
  </r>
  <r>
    <s v="06/0030/0052"/>
    <s v="IMPIANTI ELETTRICI"/>
    <n v="1005"/>
    <x v="3"/>
    <x v="0"/>
    <x v="0"/>
    <n v="20"/>
    <s v="IMMOBILIZZ. MATERIALI"/>
  </r>
  <r>
    <s v="06/0030/0053"/>
    <s v="MIGLIORIE SU BENI TERZI"/>
    <n v="132431.23000000001"/>
    <x v="3"/>
    <x v="0"/>
    <x v="0"/>
    <n v="20"/>
    <s v="IMMOBILIZZ. MATERIALI"/>
  </r>
  <r>
    <s v="06/0030/0054"/>
    <s v="BANCHI DI COLLAUDO"/>
    <n v="20776"/>
    <x v="3"/>
    <x v="0"/>
    <x v="0"/>
    <n v="20"/>
    <s v="IMMOBILIZZ. MATERIALI"/>
  </r>
  <r>
    <s v="07/0005/0015"/>
    <s v="F/AMM FABBR. IND.LI E COMM.LI."/>
    <n v="-1263.5999999999999"/>
    <x v="3"/>
    <x v="0"/>
    <x v="0"/>
    <n v="22"/>
    <s v="FDO IMM. MAT."/>
  </r>
  <r>
    <s v="07/0005/0020"/>
    <s v="F/AMM COSTRUZIONI LEGGERE"/>
    <n v="-11895.37"/>
    <x v="3"/>
    <x v="0"/>
    <x v="0"/>
    <n v="22"/>
    <s v="FDO IMM. MAT."/>
  </r>
  <r>
    <s v="07/0010/0015"/>
    <s v="F/AMM MACCHINARI"/>
    <n v="-3500"/>
    <x v="3"/>
    <x v="0"/>
    <x v="0"/>
    <n v="22"/>
    <s v="FDO IMM. MAT."/>
  </r>
  <r>
    <s v="07/0015/0005"/>
    <s v="F/AMM ATTREZ. IND.LI E COMM.LI"/>
    <n v="-18541.25"/>
    <x v="3"/>
    <x v="0"/>
    <x v="0"/>
    <n v="22"/>
    <s v="FDO IMM. MAT."/>
  </r>
  <r>
    <s v="07/0015/0006"/>
    <s v="F/AMM BANCHI DI COLLAUDO"/>
    <n v="-20776"/>
    <x v="3"/>
    <x v="0"/>
    <x v="0"/>
    <n v="22"/>
    <s v="FDO IMM. MAT."/>
  </r>
  <r>
    <s v="07/0020/0005"/>
    <s v="F/AMM MOBILI E MACCH. ORD. D'UFF"/>
    <n v="-6198.57"/>
    <x v="3"/>
    <x v="0"/>
    <x v="0"/>
    <n v="22"/>
    <s v="FDO IMM. MAT."/>
  </r>
  <r>
    <s v="07/0020/0010"/>
    <s v="F/AMM MACCH. ELETTROM. D'UFF."/>
    <n v="-39940.11"/>
    <x v="3"/>
    <x v="0"/>
    <x v="0"/>
    <n v="22"/>
    <s v="FDO IMM. MAT."/>
  </r>
  <r>
    <s v="07/0025/0015"/>
    <s v="F/AMM. AUTOCARRI/AUTOVETTURE"/>
    <n v="-2294.3200000000002"/>
    <x v="3"/>
    <x v="0"/>
    <x v="0"/>
    <n v="22"/>
    <s v="FDO IMM. MAT."/>
  </r>
  <r>
    <s v="07/0030/0040"/>
    <s v="F/AMM. ARREDI LABORATORIO"/>
    <n v="-4973.41"/>
    <x v="3"/>
    <x v="0"/>
    <x v="0"/>
    <n v="22"/>
    <s v="FDO IMM. MAT."/>
  </r>
  <r>
    <s v="07/0030/0041"/>
    <s v="F/AMM. CLIMATIZZATORI"/>
    <n v="-4659.32"/>
    <x v="3"/>
    <x v="0"/>
    <x v="0"/>
    <n v="22"/>
    <s v="FDO IMM. MAT."/>
  </r>
  <r>
    <s v="07/0030/0042"/>
    <s v="F/AMM. TELEFONIA"/>
    <n v="-544.17999999999995"/>
    <x v="3"/>
    <x v="0"/>
    <x v="0"/>
    <n v="22"/>
    <s v="FDO IMM. MAT."/>
  </r>
  <r>
    <s v="07/0030/0043"/>
    <s v="F/AMM. FAX"/>
    <n v="-196.71"/>
    <x v="3"/>
    <x v="0"/>
    <x v="0"/>
    <n v="22"/>
    <s v="FDO IMM. MAT."/>
  </r>
  <r>
    <s v="07/0030/0044"/>
    <s v="F/AMM. CELLULARI"/>
    <n v="-4170.8599999999997"/>
    <x v="3"/>
    <x v="0"/>
    <x v="0"/>
    <n v="22"/>
    <s v="FDO IMM. MAT."/>
  </r>
  <r>
    <s v="07/0030/0045"/>
    <s v="F/AMM. IMPIANTI ELETTRICI"/>
    <n v="-1005"/>
    <x v="3"/>
    <x v="0"/>
    <x v="0"/>
    <n v="22"/>
    <s v="FDO IMM. MAT."/>
  </r>
  <r>
    <s v="07/0030/0046"/>
    <s v="F/AMM. MIGLIORIE SU BENI DI TERZI"/>
    <n v="-124380.95"/>
    <x v="3"/>
    <x v="0"/>
    <x v="0"/>
    <n v="22"/>
    <s v="FDO IMM. MAT."/>
  </r>
  <r>
    <s v="07/0030/0047"/>
    <s v="F/AMM. TIMBRATORE"/>
    <n v="-348"/>
    <x v="3"/>
    <x v="0"/>
    <x v="0"/>
    <n v="20"/>
    <s v="IMMOBILIZZ. MATERIALI"/>
  </r>
  <r>
    <s v="07/0030/0048"/>
    <s v="F/AMM. SICUREZZA SUL LAVORO"/>
    <n v="-9858.17"/>
    <x v="3"/>
    <x v="0"/>
    <x v="0"/>
    <n v="22"/>
    <s v="FDO IMM. MAT."/>
  </r>
  <r>
    <s v="09/0010/0030"/>
    <s v="DEPOSITI CAUZIONALI SU CONTRATTI"/>
    <n v="562.63"/>
    <x v="3"/>
    <x v="2"/>
    <x v="2"/>
    <n v="60"/>
    <s v="ALTRI CREDITI E RATEI E RISC."/>
  </r>
  <r>
    <s v="11/0005/0005"/>
    <s v="MATERIE PRIME"/>
    <n v="377.86"/>
    <x v="3"/>
    <x v="5"/>
    <x v="5"/>
    <n v="36"/>
    <s v="PRODOTTI FINITI E SL"/>
  </r>
  <r>
    <s v="11/0005/0015"/>
    <s v="MATERIE DI CONSUMO"/>
    <n v="11.47"/>
    <x v="3"/>
    <x v="5"/>
    <x v="5"/>
    <n v="36"/>
    <s v="PRODOTTI FINITI E SL"/>
  </r>
  <r>
    <s v="11/0020/0010"/>
    <s v="MERCI"/>
    <n v="702399.96"/>
    <x v="3"/>
    <x v="5"/>
    <x v="5"/>
    <n v="36"/>
    <s v="PRODOTTI FINITI E SL"/>
  </r>
  <r>
    <s v="14"/>
    <s v="CLIENTI"/>
    <n v="328315.39"/>
    <x v="3"/>
    <x v="2"/>
    <x v="2"/>
    <n v="50"/>
    <s v="CREDITI COMMERCIALI "/>
  </r>
  <r>
    <s v="15/0005/0005"/>
    <s v="EFFETTI ATTIVI UNICREDIT"/>
    <n v="464027.99"/>
    <x v="3"/>
    <x v="2"/>
    <x v="2"/>
    <n v="50"/>
    <s v="CREDITI COMMERCIALI "/>
  </r>
  <r>
    <s v="15/0005/0006"/>
    <s v="EFFETTI ATTIVI UBI BANCA"/>
    <n v="-395667.88"/>
    <x v="3"/>
    <x v="2"/>
    <x v="2"/>
    <n v="50"/>
    <s v="CREDITI COMMERCIALI "/>
  </r>
  <r>
    <s v="15/0005/0007"/>
    <s v="EFFETTI ATTIVI REALE"/>
    <n v="-96612.31"/>
    <x v="3"/>
    <x v="2"/>
    <x v="2"/>
    <n v="50"/>
    <s v="CREDITI COMMERCIALI "/>
  </r>
  <r>
    <s v="15/0005/0008"/>
    <s v="EFFETTI ATTIVI BANCO DESIO"/>
    <n v="-204843.29"/>
    <x v="3"/>
    <x v="2"/>
    <x v="2"/>
    <n v="50"/>
    <s v="CREDITI COMMERCIALI "/>
  </r>
  <r>
    <s v="15/0005/0045"/>
    <s v="FATTURE DA EMETTERE"/>
    <n v="-2262.5"/>
    <x v="3"/>
    <x v="2"/>
    <x v="2"/>
    <n v="210"/>
    <s v="FORNITORI"/>
  </r>
  <r>
    <s v="16/0010/0010"/>
    <s v="F/DO RISCHI SU CREDITI V.CLIENTI"/>
    <n v="-1178.18"/>
    <x v="3"/>
    <x v="2"/>
    <x v="2"/>
    <n v="160"/>
    <s v="FONDI RISCHI"/>
  </r>
  <r>
    <s v="16/0010/0012"/>
    <s v="F/DO RISCHI SU CREDITI V.CLIENTI &lt; 2.500"/>
    <n v="-34045.949999999997"/>
    <x v="3"/>
    <x v="2"/>
    <x v="2"/>
    <n v="160"/>
    <s v="FONDI RISCHI"/>
  </r>
  <r>
    <s v="18/0020/0091"/>
    <s v="CREDITI IMPOSTA R&amp;S"/>
    <n v="36467.120000000003"/>
    <x v="3"/>
    <x v="2"/>
    <x v="2"/>
    <n v="60"/>
    <s v="ALTRI CREDITI E RATEI E RISC."/>
  </r>
  <r>
    <s v="18/0030/0010"/>
    <s v="CREDITI V/SOCI"/>
    <n v="114353.34"/>
    <x v="3"/>
    <x v="2"/>
    <x v="2"/>
    <n v="60"/>
    <s v="ALTRI CREDITI E RATEI E RISC."/>
  </r>
  <r>
    <s v="18/0035/0015"/>
    <s v="DIPENDENTI C/ANTICIPI SU TFR"/>
    <n v="800.42"/>
    <x v="3"/>
    <x v="4"/>
    <x v="4"/>
    <n v="200"/>
    <s v="ACCONTI"/>
  </r>
  <r>
    <s v="18/0040/0040"/>
    <s v="NOTE CREDITO DA RICEVERE"/>
    <n v="0"/>
    <x v="3"/>
    <x v="2"/>
    <x v="2"/>
    <n v="50"/>
    <s v="CREDITI COMMERCIALI "/>
  </r>
  <r>
    <s v="18/0045/0050"/>
    <s v="POLIZZA VITA 3359864 UNIBONUS PLUS 2012"/>
    <n v="29833.42"/>
    <x v="3"/>
    <x v="2"/>
    <x v="2"/>
    <n v="60"/>
    <s v="ALTRI CREDITI E RATEI E RISC."/>
  </r>
  <r>
    <s v="18/0045/0051"/>
    <s v="POLIZZA VITA 3223567 IMPRESA PLUS"/>
    <n v="36166.67"/>
    <x v="3"/>
    <x v="2"/>
    <x v="2"/>
    <n v="60"/>
    <s v="ALTRI CREDITI E RATEI E RISC."/>
  </r>
  <r>
    <s v="18/0045/0054"/>
    <s v="PIANO ACCUMULO REALE TITOLI MORGAN STANL"/>
    <n v="5988"/>
    <x v="3"/>
    <x v="4"/>
    <x v="4"/>
    <n v="70"/>
    <s v="ALTRE ATTIVITA' CIRCOLANTI "/>
  </r>
  <r>
    <s v="18/0045/0093"/>
    <s v="QUOTE SOCIALI ARTIGIANFIDI"/>
    <n v="480.74"/>
    <x v="3"/>
    <x v="2"/>
    <x v="2"/>
    <n v="60"/>
    <s v="ALTRI CREDITI E RATEI E RISC."/>
  </r>
  <r>
    <s v="24/0005/0001"/>
    <s v="UNICREDIT BANCA"/>
    <n v="-123778.62"/>
    <x v="3"/>
    <x v="4"/>
    <x v="4"/>
    <n v="220"/>
    <s v="DEBITI VS. BANCHE"/>
  </r>
  <r>
    <s v="24/0005/0002"/>
    <s v="UBI BANCA SPA"/>
    <n v="13682.52"/>
    <x v="3"/>
    <x v="3"/>
    <x v="3"/>
    <n v="80"/>
    <s v="CASSA E BANCHE "/>
  </r>
  <r>
    <s v="24/0005/0003"/>
    <s v="BANCA REALE"/>
    <n v="7903.99"/>
    <x v="3"/>
    <x v="3"/>
    <x v="3"/>
    <n v="80"/>
    <s v="CASSA E BANCHE "/>
  </r>
  <r>
    <s v="24/0005/0004"/>
    <s v="BANCA DESIO E DELLA BRIANZA SPA"/>
    <n v="-167862.69"/>
    <x v="3"/>
    <x v="4"/>
    <x v="4"/>
    <n v="220"/>
    <s v="DEBITI VS. BANCHE"/>
  </r>
  <r>
    <s v="24/0005/0010"/>
    <s v="UNICREDIT C/ANT. FT PMR"/>
    <n v="-28432.76"/>
    <x v="3"/>
    <x v="4"/>
    <x v="4"/>
    <n v="220"/>
    <s v="DEBITI VS. BANCHE"/>
  </r>
  <r>
    <s v="24/0005/0011"/>
    <s v="UNICREDIT S.B.F"/>
    <n v="125068.97"/>
    <x v="3"/>
    <x v="2"/>
    <x v="2"/>
    <n v="50"/>
    <s v="CREDITI COMMERCIALI "/>
  </r>
  <r>
    <s v="24/0005/0012"/>
    <s v="UBI BANCA S.B.F"/>
    <n v="228411.93"/>
    <x v="3"/>
    <x v="2"/>
    <x v="2"/>
    <n v="50"/>
    <s v="CREDITI COMMERCIALI "/>
  </r>
  <r>
    <s v="24/0005/0013"/>
    <s v="BANCA REALE S.B.F."/>
    <n v="44349.18"/>
    <x v="3"/>
    <x v="2"/>
    <x v="2"/>
    <n v="50"/>
    <s v="CREDITI COMMERCIALI "/>
  </r>
  <r>
    <s v="24/0005/0014"/>
    <s v="BANCO DESIO S.B.F."/>
    <n v="160575.28"/>
    <x v="3"/>
    <x v="2"/>
    <x v="2"/>
    <n v="50"/>
    <s v="CREDITI COMMERCIALI "/>
  </r>
  <r>
    <s v="24/0005/0015"/>
    <s v="FINANZ. ESTERO UNICREDIT"/>
    <n v="-192573.41"/>
    <x v="3"/>
    <x v="4"/>
    <x v="4"/>
    <n v="220"/>
    <s v="DEBITI VS. BANCHE"/>
  </r>
  <r>
    <s v="24/0005/0016"/>
    <s v="FINANZ. ESTERO UBI"/>
    <n v="-22217.919999999998"/>
    <x v="3"/>
    <x v="4"/>
    <x v="4"/>
    <n v="220"/>
    <s v="DEBITI VS. BANCHE"/>
  </r>
  <r>
    <s v="24/0005/0017"/>
    <s v="FINANZ. ESTERO BANCA REALE"/>
    <n v="69188.44"/>
    <x v="3"/>
    <x v="3"/>
    <x v="3"/>
    <n v="50"/>
    <s v="CREDITI COMMERCIALI "/>
  </r>
  <r>
    <s v="24/0005/0018"/>
    <s v="FINANZ. ESTERO BANCO DESIO"/>
    <n v="24080.79"/>
    <x v="3"/>
    <x v="3"/>
    <x v="3"/>
    <n v="80"/>
    <s v="CASSA E BANCHE "/>
  </r>
  <r>
    <s v="24/0005/0019"/>
    <s v="REALE C/FATTURE ANTICIPATE"/>
    <n v="-55824.31"/>
    <x v="3"/>
    <x v="4"/>
    <x v="4"/>
    <n v="50"/>
    <s v="CREDITI COMMERCIALI "/>
  </r>
  <r>
    <s v="24/0005/0020"/>
    <s v="UNICREDIT C/FATTURE ANTICIPATE"/>
    <n v="-4698.68"/>
    <x v="3"/>
    <x v="4"/>
    <x v="4"/>
    <n v="50"/>
    <s v="CREDITI COMMERCIALI "/>
  </r>
  <r>
    <s v="24/0005/0030"/>
    <s v="Prepagata n 2550 REALE 680"/>
    <n v="326.56"/>
    <x v="3"/>
    <x v="3"/>
    <x v="3"/>
    <n v="80"/>
    <s v="CASSA E BANCHE "/>
  </r>
  <r>
    <s v="24/0005/0031"/>
    <s v="Prepagata n 1568 REALE 698"/>
    <n v="0.81"/>
    <x v="3"/>
    <x v="3"/>
    <x v="3"/>
    <n v="80"/>
    <s v="CASSA E BANCHE "/>
  </r>
  <r>
    <s v="24/0005/0032"/>
    <s v="CARTASI' GRIMOLDI 2693 REALE"/>
    <n v="-823.48"/>
    <x v="3"/>
    <x v="4"/>
    <x v="4"/>
    <n v="220"/>
    <s v="DEBITI VS. BANCHE"/>
  </r>
  <r>
    <s v="24/0005/0033"/>
    <s v="CARTASI' FAVERO 1582 REALE"/>
    <n v="1575.49"/>
    <x v="3"/>
    <x v="3"/>
    <x v="3"/>
    <n v="80"/>
    <s v="CASSA E BANCHE "/>
  </r>
  <r>
    <s v="24/0005/0034"/>
    <s v="CARTASI' SALOGNI 076 REALE"/>
    <n v="0"/>
    <x v="3"/>
    <x v="3"/>
    <x v="3"/>
    <n v="80"/>
    <s v="CASSA E BANCHE "/>
  </r>
  <r>
    <s v="24/0005/0035"/>
    <s v="CARTASI' FAVERO 0294 DESIO"/>
    <n v="-79.069999999999993"/>
    <x v="3"/>
    <x v="4"/>
    <x v="4"/>
    <n v="220"/>
    <s v="DEBITI VS. BANCHE"/>
  </r>
  <r>
    <s v="24/0015/0005"/>
    <s v="DENARO IN CASSA"/>
    <n v="1573.45"/>
    <x v="3"/>
    <x v="3"/>
    <x v="3"/>
    <n v="80"/>
    <s v="CASSA E BANCHE "/>
  </r>
  <r>
    <s v="26/0010/0005"/>
    <s v="RISCONTI ATTIVI"/>
    <n v="19298.11"/>
    <x v="3"/>
    <x v="6"/>
    <x v="6"/>
    <n v="60"/>
    <s v="ALTRI CREDITI E RATEI E RISC."/>
  </r>
  <r>
    <s v="28/0005/0005"/>
    <s v="CAPITALE SOCIALE"/>
    <n v="-100000"/>
    <x v="3"/>
    <x v="11"/>
    <x v="11"/>
    <n v="90"/>
    <s v="CAPITALE"/>
  </r>
  <r>
    <s v="28/0020/0005"/>
    <s v="RISERVA LEGALE"/>
    <n v="-20000"/>
    <x v="3"/>
    <x v="12"/>
    <x v="12"/>
    <n v="110"/>
    <s v="RISERVA LEGALE"/>
  </r>
  <r>
    <s v="28/0035/0005"/>
    <s v="RISERVA STRAORDINARIA"/>
    <n v="-139812.41"/>
    <x v="3"/>
    <x v="13"/>
    <x v="13"/>
    <n v="120"/>
    <s v="ALTRE RISERVE"/>
  </r>
  <r>
    <s v="28/0045/0005"/>
    <s v="UTILE DI ESERCIZIO"/>
    <n v="-9290.2999999999993"/>
    <x v="3"/>
    <x v="10"/>
    <x v="10"/>
    <n v="140"/>
    <s v="RISULTATI ES. PRECEDENTI"/>
  </r>
  <r>
    <s v="31/0005/0005"/>
    <s v="DEBITI P/T.F.R."/>
    <n v="-219941.58"/>
    <x v="3"/>
    <x v="8"/>
    <x v="8"/>
    <n v="170"/>
    <s v="TFR"/>
  </r>
  <r>
    <s v="34/0005/0005"/>
    <s v="MUTUO IPOTECARIO 99432 DESIO"/>
    <n v="-88331.12"/>
    <x v="3"/>
    <x v="33"/>
    <x v="33"/>
    <n v="180"/>
    <s v="DEBITI VS BANCHE A MEDIO LUNGO T."/>
  </r>
  <r>
    <s v="34/0005/0045"/>
    <s v="FINANZ. 4945614 UNICREDIT"/>
    <n v="-75465.33"/>
    <x v="3"/>
    <x v="4"/>
    <x v="4"/>
    <n v="220"/>
    <s v="DEBITI VS. BANCHE"/>
  </r>
  <r>
    <s v="34/0005/0046"/>
    <s v="FINANZ. REALE 10208680 Gestionale"/>
    <n v="-25037.439999999999"/>
    <x v="3"/>
    <x v="33"/>
    <x v="33"/>
    <n v="180"/>
    <s v="DEBITI VS BANCHE A MEDIO LUNGO T."/>
  </r>
  <r>
    <s v="34/0005/0047"/>
    <s v="FINANZ. UNICREDIT 4602498/000"/>
    <n v="-55080.25"/>
    <x v="3"/>
    <x v="4"/>
    <x v="4"/>
    <n v="180"/>
    <s v="DEBITI VS BANCHE A MEDIO LUNGO T."/>
  </r>
  <r>
    <s v="34/0005/0048"/>
    <s v="FINANZ. UBI TFR 004/01008960"/>
    <n v="-60590.53"/>
    <x v="3"/>
    <x v="4"/>
    <x v="4"/>
    <n v="220"/>
    <s v="DEBITI VS. BANCHE"/>
  </r>
  <r>
    <s v="34/0005/0049"/>
    <s v="FINANZ. 13°/2016 DESIO ENTRO"/>
    <n v="-25170.81"/>
    <x v="3"/>
    <x v="33"/>
    <x v="33"/>
    <n v="180"/>
    <s v="DEBITI VS BANCHE A MEDIO LUNGO T."/>
  </r>
  <r>
    <s v="34/0005/0050"/>
    <s v="FINANZ. 8745080 CLIO UBI"/>
    <n v="-11389.72"/>
    <x v="3"/>
    <x v="33"/>
    <x v="33"/>
    <n v="180"/>
    <s v="DEBITI VS BANCHE A MEDIO LUNGO T."/>
  </r>
  <r>
    <s v="34/0005/0051"/>
    <s v="FINANZ. REALE 10208680 ENTRO 2 ANNI SUCC"/>
    <n v="-6932.26"/>
    <x v="3"/>
    <x v="33"/>
    <x v="33"/>
    <n v="180"/>
    <s v="DEBITI VS BANCHE A MEDIO LUNGO T."/>
  </r>
  <r>
    <s v="34/0005/0054"/>
    <s v="FINANZ. 9818930 DACIA UBI"/>
    <n v="1575.31"/>
    <x v="3"/>
    <x v="33"/>
    <x v="33"/>
    <n v="180"/>
    <s v="DEBITI VS BANCHE A MEDIO LUNGO T."/>
  </r>
  <r>
    <s v="34/0005/0291"/>
    <s v="FINANZ. 13°/2016 DESIO"/>
    <n v="-4252.9799999999996"/>
    <x v="3"/>
    <x v="33"/>
    <x v="33"/>
    <n v="180"/>
    <s v="DEBITI VS BANCHE A MEDIO LUNGO T."/>
  </r>
  <r>
    <s v="34/0005/0292"/>
    <s v="FINANZ. 4945614/16 UNICREDIT"/>
    <n v="-24534.67"/>
    <x v="3"/>
    <x v="33"/>
    <x v="33"/>
    <n v="180"/>
    <s v="DEBITI VS BANCHE A MEDIO LUNGO T."/>
  </r>
  <r>
    <s v="38/0005/0005"/>
    <s v="CLIENTI C/ANTICIPI"/>
    <n v="-2470.1999999999998"/>
    <x v="3"/>
    <x v="4"/>
    <x v="4"/>
    <n v="200"/>
    <s v="ACCONTI"/>
  </r>
  <r>
    <s v="40"/>
    <s v="DEBITI V/FORNITORI"/>
    <n v="-535845.36"/>
    <x v="3"/>
    <x v="4"/>
    <x v="4"/>
    <n v="210"/>
    <s v="FORNITORI"/>
  </r>
  <r>
    <s v="41/0005/0005"/>
    <s v="FATTURE DA RICEVERE"/>
    <n v="0"/>
    <x v="3"/>
    <x v="3"/>
    <x v="3"/>
    <n v="210"/>
    <s v="FORNITORI"/>
  </r>
  <r>
    <s v="41/0005/0500"/>
    <s v="SPEDIZIONIERE C/SPESE ANTICIPATE"/>
    <n v="-17399.3"/>
    <x v="3"/>
    <x v="4"/>
    <x v="4"/>
    <n v="210"/>
    <s v="FORNITORI"/>
  </r>
  <r>
    <s v="48/0005/0005"/>
    <s v="ERARIO C/IRAP"/>
    <n v="2222"/>
    <x v="3"/>
    <x v="2"/>
    <x v="2"/>
    <n v="60"/>
    <s v="ALTRI CREDITI E RATEI E RISC."/>
  </r>
  <r>
    <s v="48/0005/0010"/>
    <s v="ERARIO C/IRES"/>
    <n v="32721.37"/>
    <x v="3"/>
    <x v="2"/>
    <x v="2"/>
    <n v="60"/>
    <s v="ALTRI CREDITI E RATEI E RISC."/>
  </r>
  <r>
    <s v="48/0005/0015"/>
    <s v="ERARIO C/IMPOSTA SOST. RIV. TFR"/>
    <n v="1554.83"/>
    <x v="3"/>
    <x v="2"/>
    <x v="2"/>
    <n v="60"/>
    <s v="ALTRI CREDITI E RATEI E RISC."/>
  </r>
  <r>
    <s v="48/0005/0040"/>
    <s v="ERARIO C/IVA"/>
    <n v="65265.29"/>
    <x v="3"/>
    <x v="2"/>
    <x v="2"/>
    <n v="60"/>
    <s v="ALTRI CREDITI E RATEI E RISC."/>
  </r>
  <r>
    <s v="48/0005/0056"/>
    <s v="IVA DOGANALE"/>
    <n v="11357.78"/>
    <x v="3"/>
    <x v="2"/>
    <x v="2"/>
    <n v="60"/>
    <s v="ALTRI CREDITI E RATEI E RISC."/>
  </r>
  <r>
    <s v="48/0005/0085"/>
    <s v="ERARIO C/RIT. LAVORO AUTONOMO"/>
    <n v="-7750.62"/>
    <x v="3"/>
    <x v="4"/>
    <x v="4"/>
    <n v="230"/>
    <s v="DEBITI TRIBUTARI E CONTRIBUTIVI"/>
  </r>
  <r>
    <s v="48/0005/0105"/>
    <s v="REGIONI C/RIT. ADDIZ. IRPEF"/>
    <n v="-326.2"/>
    <x v="3"/>
    <x v="4"/>
    <x v="4"/>
    <n v="230"/>
    <s v="DEBITI TRIBUTARI E CONTRIBUTIVI"/>
  </r>
  <r>
    <s v="48/0005/0110"/>
    <s v="COMUNI C/RIT. ADDIZ. IRPEF"/>
    <n v="-368.6"/>
    <x v="3"/>
    <x v="4"/>
    <x v="4"/>
    <n v="230"/>
    <s v="DEBITI TRIBUTARI E CONTRIBUTIVI"/>
  </r>
  <r>
    <s v="48/0005/0115"/>
    <s v="DEBITI IRPEF LAVORAT. DIPENDENTE"/>
    <n v="-8589.83"/>
    <x v="3"/>
    <x v="4"/>
    <x v="4"/>
    <n v="230"/>
    <s v="DEBITI TRIBUTARI E CONTRIBUTIVI"/>
  </r>
  <r>
    <s v="50/0005/0005"/>
    <s v="INPS C/CONTRIBUTI SOC. LAV. DIP."/>
    <n v="-10094.52"/>
    <x v="3"/>
    <x v="4"/>
    <x v="4"/>
    <n v="190"/>
    <s v="DEBITI TRIB. E CONTRIB. RATEIZZATI OLTRE ES."/>
  </r>
  <r>
    <s v="50/0005/0010"/>
    <s v="INPS C/CONTR. SOC. LAV. AUT."/>
    <n v="-9141.31"/>
    <x v="3"/>
    <x v="4"/>
    <x v="4"/>
    <n v="230"/>
    <s v="DEBITI TRIBUTARI E CONTRIBUTIVI"/>
  </r>
  <r>
    <s v="50/0005/0035"/>
    <s v="ALLEATA PREVIDENZA C/CONTRIBUTI"/>
    <n v="-292.38"/>
    <x v="3"/>
    <x v="4"/>
    <x v="4"/>
    <n v="240"/>
    <s v="ALTRE PASSIVITA' E RATEI E RISC"/>
  </r>
  <r>
    <s v="50/0005/0036"/>
    <s v="FONDO COMETA C/CONTRIBUTI"/>
    <n v="649.51"/>
    <x v="3"/>
    <x v="3"/>
    <x v="3"/>
    <n v="60"/>
    <s v="ALTRI CREDITI E RATEI E RISC."/>
  </r>
  <r>
    <s v="50/0005/0037"/>
    <s v="FONDO METASALUTE C/CONTRIBUTI"/>
    <n v="1180"/>
    <x v="3"/>
    <x v="3"/>
    <x v="3"/>
    <n v="160"/>
    <s v="FONDI RISCHI"/>
  </r>
  <r>
    <s v="52/0005/0005"/>
    <s v="AMMINISTRATORI C/COMPENSI"/>
    <n v="-5533"/>
    <x v="3"/>
    <x v="4"/>
    <x v="4"/>
    <n v="240"/>
    <s v="ALTRE PASSIVITA' E RATEI E RISC"/>
  </r>
  <r>
    <s v="52/0005/0055"/>
    <s v="DIPENDENTI C/RETRIBUZIONI"/>
    <n v="-23520.81"/>
    <x v="3"/>
    <x v="4"/>
    <x v="4"/>
    <n v="240"/>
    <s v="ALTRE PASSIVITA' E RATEI E RISC"/>
  </r>
  <r>
    <s v="52/0005/0065"/>
    <s v="DIPENDENTI C/LIQUIDAZIONE"/>
    <n v="-3413.54"/>
    <x v="3"/>
    <x v="4"/>
    <x v="4"/>
    <n v="240"/>
    <s v="ALTRE PASSIVITA' E RATEI E RISC"/>
  </r>
  <r>
    <s v="52/0005/0070"/>
    <s v="RITENUTE SINDACALI"/>
    <n v="-35"/>
    <x v="3"/>
    <x v="4"/>
    <x v="4"/>
    <n v="240"/>
    <s v="ALTRE PASSIVITA' E RATEI E RISC"/>
  </r>
  <r>
    <s v="52/0005/0290"/>
    <s v="DEBITI DIVERSI"/>
    <n v="-430.49"/>
    <x v="3"/>
    <x v="4"/>
    <x v="4"/>
    <n v="240"/>
    <s v="ALTRE PASSIVITA' E RATEI E RISC"/>
  </r>
  <r>
    <s v="52/0005/0501"/>
    <s v="IMPONIBILE DOGANALE."/>
    <n v="6081.75"/>
    <x v="3"/>
    <x v="4"/>
    <x v="4"/>
    <n v="60"/>
    <s v="ALTRI CREDITI E RATEI E RISC."/>
  </r>
  <r>
    <s v="54/0005/0005"/>
    <s v="RATEI PASSIVI"/>
    <n v="-19799.57"/>
    <x v="3"/>
    <x v="4"/>
    <x v="4"/>
    <n v="240"/>
    <s v="ALTRE PASSIVITA' E RATEI E RISC"/>
  </r>
  <r>
    <s v="55/0005/0005"/>
    <s v="BILANCIO DI APERTURA"/>
    <n v="7.0000000000000007E-2"/>
    <x v="3"/>
    <x v="4"/>
    <x v="4"/>
    <n v="60"/>
    <s v="ALTRI CREDITI E RATEI E RISC."/>
  </r>
  <r>
    <s v="58/0005/0010"/>
    <s v="MERCI C/VENDITE"/>
    <n v="-1077171.43"/>
    <x v="3"/>
    <x v="29"/>
    <x v="29"/>
    <n v="300"/>
    <s v="RICAVI "/>
  </r>
  <r>
    <s v="58/0005/0011"/>
    <s v="MERCI C/VENDITE CEE"/>
    <n v="-89615.83"/>
    <x v="3"/>
    <x v="29"/>
    <x v="29"/>
    <n v="300"/>
    <s v="RICAVI "/>
  </r>
  <r>
    <s v="58/0005/0012"/>
    <s v="MERCI C/VENDITE EXTRACEE"/>
    <n v="-692.06"/>
    <x v="3"/>
    <x v="29"/>
    <x v="29"/>
    <n v="300"/>
    <s v="RICAVI "/>
  </r>
  <r>
    <s v="58/0005/0215"/>
    <s v="RESI SU VENDITE"/>
    <n v="20028.04"/>
    <x v="3"/>
    <x v="29"/>
    <x v="29"/>
    <n v="300"/>
    <s v="RICAVI "/>
  </r>
  <r>
    <s v="58/0005/0490"/>
    <s v="ALTRI RICAVI DELLE VENDITE"/>
    <n v="-23465"/>
    <x v="3"/>
    <x v="29"/>
    <x v="29"/>
    <n v="320"/>
    <s v="ALTRI RICAVI"/>
  </r>
  <r>
    <s v="58/0005/0500"/>
    <s v="RIMBORSI SPESE DI TRASPORTO"/>
    <n v="-857.2"/>
    <x v="3"/>
    <x v="29"/>
    <x v="29"/>
    <n v="320"/>
    <s v="ALTRI RICAVI"/>
  </r>
  <r>
    <s v="58/0010/0005"/>
    <s v="RICAVI PER PRESTAZ. DI SERVIZI"/>
    <n v="-3877"/>
    <x v="3"/>
    <x v="29"/>
    <x v="29"/>
    <n v="300"/>
    <s v="RICAVI "/>
  </r>
  <r>
    <s v="64/0005/0100"/>
    <s v="ABBUONI/ARROTONDAMENTI ATTIVI"/>
    <n v="2.4"/>
    <x v="3"/>
    <x v="35"/>
    <x v="23"/>
    <n v="330"/>
    <s v="COSTI PER MATERIE PRIME SUSS. E DI CONS. E DI MERCI"/>
  </r>
  <r>
    <s v="64/0005/0390"/>
    <s v="ALTRI RICAVI E PROVENTI VARI"/>
    <n v="-0.01"/>
    <x v="3"/>
    <x v="35"/>
    <x v="23"/>
    <n v="300"/>
    <s v="RICAVI "/>
  </r>
  <r>
    <s v="66/0005/0005"/>
    <s v="MATERIE PRIME C/ACQUISTI"/>
    <n v="47180.69"/>
    <x v="3"/>
    <x v="15"/>
    <x v="15"/>
    <n v="330"/>
    <s v="COSTI PER MATERIE PRIME SUSS. E DI CONS. E DI MERCI"/>
  </r>
  <r>
    <s v="66/0005/0007"/>
    <s v="MATERIE PRIME C/ACQUISTI EXTRACEE"/>
    <n v="10792.97"/>
    <x v="3"/>
    <x v="15"/>
    <x v="15"/>
    <n v="330"/>
    <s v="COSTI PER MATERIE PRIME SUSS. E DI CONS. E DI MERCI"/>
  </r>
  <r>
    <s v="66/0005/0008"/>
    <s v="MERCI C/ACQUISTI EXTRACEE"/>
    <n v="193911.29"/>
    <x v="3"/>
    <x v="15"/>
    <x v="15"/>
    <n v="330"/>
    <s v="COSTI PER MATERIE PRIME SUSS. E DI CONS. E DI MERCI"/>
  </r>
  <r>
    <s v="66/0005/0009"/>
    <s v="MERCI C/ACQUISTI CEE"/>
    <n v="1107.1500000000001"/>
    <x v="3"/>
    <x v="15"/>
    <x v="15"/>
    <n v="330"/>
    <s v="COSTI PER MATERIE PRIME SUSS. E DI CONS. E DI MERCI"/>
  </r>
  <r>
    <s v="66/0020/0005"/>
    <s v="MATERIE DI CONSUMO"/>
    <n v="382.36"/>
    <x v="3"/>
    <x v="15"/>
    <x v="15"/>
    <n v="330"/>
    <s v="COSTI PER MATERIE PRIME SUSS. E DI CONS. E DI MERCI"/>
  </r>
  <r>
    <s v="66/0025/0005"/>
    <s v="MERCI C/ACQUISTI"/>
    <n v="437563.26"/>
    <x v="3"/>
    <x v="15"/>
    <x v="15"/>
    <n v="330"/>
    <s v="COSTI PER MATERIE PRIME SUSS. E DI CONS. E DI MERCI"/>
  </r>
  <r>
    <s v="66/0030/0015"/>
    <s v="MATERIALE DI PULIZIA"/>
    <n v="138.4"/>
    <x v="3"/>
    <x v="15"/>
    <x v="15"/>
    <n v="380"/>
    <s v="ALTRI COSTI E ONERI DIVERSI"/>
  </r>
  <r>
    <s v="66/0030/0025"/>
    <s v="CANCELLERIA"/>
    <n v="819.93"/>
    <x v="3"/>
    <x v="16"/>
    <x v="16"/>
    <n v="380"/>
    <s v="ALTRI COSTI E ONERI DIVERSI"/>
  </r>
  <r>
    <s v="66/0030/0030"/>
    <s v="MATERIALE PUBBLICITARIO"/>
    <n v="1240.8599999999999"/>
    <x v="3"/>
    <x v="16"/>
    <x v="16"/>
    <n v="364"/>
    <s v="COSTI FISSI COMMERCIALI"/>
  </r>
  <r>
    <s v="66/0030/0035"/>
    <s v="CARBURANTI E LUBRIFICANTI"/>
    <n v="3993.77"/>
    <x v="3"/>
    <x v="16"/>
    <x v="16"/>
    <n v="364"/>
    <s v="COSTI FISSI COMMERCIALI"/>
  </r>
  <r>
    <s v="66/0030/0055"/>
    <s v="SPESE ACCESS. ACQ. (ST. SETT:COSTI SERV)"/>
    <n v="189.2"/>
    <x v="3"/>
    <x v="16"/>
    <x v="16"/>
    <n v="380"/>
    <s v="ALTRI COSTI E ONERI DIVERSI"/>
  </r>
  <r>
    <s v="68/0005/0005"/>
    <s v="SPESE DI TRASPORTO"/>
    <n v="12624.24"/>
    <x v="3"/>
    <x v="15"/>
    <x v="15"/>
    <n v="356"/>
    <s v="COSTI VARIABILI INDUSTRIALI"/>
  </r>
  <r>
    <s v="68/0005/0015"/>
    <s v="SPESE DOGANALI"/>
    <n v="10557.85"/>
    <x v="3"/>
    <x v="15"/>
    <x v="15"/>
    <n v="330"/>
    <s v="COSTI PER MATERIE PRIME SUSS. E DI CONS. E DI MERCI"/>
  </r>
  <r>
    <s v="68/0005/0025"/>
    <s v="ENERGIA ELETTRICA"/>
    <n v="3127.28"/>
    <x v="3"/>
    <x v="16"/>
    <x v="16"/>
    <n v="362"/>
    <s v="COSTI FISSI INDUSTRIALI"/>
  </r>
  <r>
    <s v="68/0005/0026"/>
    <s v="SPESE INTERNET"/>
    <n v="1619.37"/>
    <x v="3"/>
    <x v="16"/>
    <x v="16"/>
    <n v="364"/>
    <s v="COSTI FISSI COMMERCIALI"/>
  </r>
  <r>
    <s v="68/0005/0035"/>
    <s v="QUOTE ASSOCIATIVE"/>
    <n v="49.79"/>
    <x v="3"/>
    <x v="17"/>
    <x v="17"/>
    <n v="380"/>
    <s v="ALTRI COSTI E ONERI DIVERSI"/>
  </r>
  <r>
    <s v="68/0005/0040"/>
    <s v="GAS RISCALDAMENTO"/>
    <n v="42.32"/>
    <x v="3"/>
    <x v="16"/>
    <x v="16"/>
    <n v="362"/>
    <s v="COSTI FISSI INDUSTRIALI"/>
  </r>
  <r>
    <s v="68/0005/0045"/>
    <s v="ACQUA"/>
    <n v="231.64"/>
    <x v="3"/>
    <x v="16"/>
    <x v="16"/>
    <n v="380"/>
    <s v="ALTRI COSTI E ONERI DIVERSI"/>
  </r>
  <r>
    <s v="68/0005/0050"/>
    <s v="SPESE CONDOMINIALI"/>
    <n v="242.11"/>
    <x v="3"/>
    <x v="16"/>
    <x v="16"/>
    <n v="380"/>
    <s v="ALTRI COSTI E ONERI DIVERSI"/>
  </r>
  <r>
    <s v="68/0005/0051"/>
    <s v="COSTO PER SICUREZZA SUL LAVORO"/>
    <n v="180"/>
    <x v="3"/>
    <x v="16"/>
    <x v="16"/>
    <n v="380"/>
    <s v="ALTRI COSTI E ONERI DIVERSI"/>
  </r>
  <r>
    <s v="68/0005/0052"/>
    <s v="CANONE DI MANUTENZIONE PERIODICA"/>
    <n v="3128.99"/>
    <x v="3"/>
    <x v="16"/>
    <x v="16"/>
    <n v="380"/>
    <s v="ALTRI COSTI E ONERI DIVERSI"/>
  </r>
  <r>
    <s v="68/0005/0053"/>
    <s v="ASSICURAZIONI DIVERSE"/>
    <n v="1070.4100000000001"/>
    <x v="3"/>
    <x v="16"/>
    <x v="16"/>
    <n v="380"/>
    <s v="ALTRI COSTI E ONERI DIVERSI"/>
  </r>
  <r>
    <s v="68/0005/0057"/>
    <s v="MANUTENZIONI E RIPARAZIONI"/>
    <n v="250"/>
    <x v="3"/>
    <x v="16"/>
    <x v="16"/>
    <n v="362"/>
    <s v="COSTI FISSI INDUSTRIALI"/>
  </r>
  <r>
    <s v="68/0005/0080"/>
    <s v="PEDAGGI AUTOSTRADALI"/>
    <n v="693.9"/>
    <x v="3"/>
    <x v="16"/>
    <x v="16"/>
    <n v="364"/>
    <s v="COSTI FISSI COMMERCIALI"/>
  </r>
  <r>
    <s v="68/0005/0082"/>
    <s v="TASSA VIDIMAZIONE LIBRI SOCIALI"/>
    <n v="154.87"/>
    <x v="3"/>
    <x v="17"/>
    <x v="17"/>
    <n v="380"/>
    <s v="ALTRI COSTI E ONERI DIVERSI"/>
  </r>
  <r>
    <s v="68/0005/0095"/>
    <s v="ALTRI ONERI P/AUTOMEZZI"/>
    <n v="1711.12"/>
    <x v="3"/>
    <x v="16"/>
    <x v="16"/>
    <n v="364"/>
    <s v="COSTI FISSI COMMERCIALI"/>
  </r>
  <r>
    <s v="68/0005/0132"/>
    <s v="SERVIZI DI PULIZIA"/>
    <n v="2075"/>
    <x v="3"/>
    <x v="16"/>
    <x v="16"/>
    <n v="362"/>
    <s v="COSTI FISSI INDUSTRIALI"/>
  </r>
  <r>
    <s v="68/0005/0199"/>
    <s v="CONT.INPS AMM-CO.CO.CO.(spa-srl)"/>
    <n v="9903.9500000000007"/>
    <x v="3"/>
    <x v="16"/>
    <x v="16"/>
    <n v="394"/>
    <s v="AMMINISTRATORI E COLLABORATORI"/>
  </r>
  <r>
    <s v="68/0005/0280"/>
    <s v="PROVVIGIONI A INTERMEDIARI"/>
    <n v="527.57000000000005"/>
    <x v="3"/>
    <x v="16"/>
    <x v="16"/>
    <n v="356"/>
    <s v="COSTI VARIABILI INDUSTRIALI"/>
  </r>
  <r>
    <s v="68/0005/0290"/>
    <s v="PUBBLICITA'"/>
    <n v="1600"/>
    <x v="3"/>
    <x v="16"/>
    <x v="16"/>
    <n v="364"/>
    <s v="COSTI FISSI COMMERCIALI"/>
  </r>
  <r>
    <s v="68/0005/0300"/>
    <s v="MOSTRE E FIERE"/>
    <n v="8365.5400000000009"/>
    <x v="3"/>
    <x v="16"/>
    <x v="16"/>
    <n v="364"/>
    <s v="COSTI FISSI COMMERCIALI"/>
  </r>
  <r>
    <s v="68/0005/0310"/>
    <s v="SPESE LEGALI"/>
    <n v="7048.84"/>
    <x v="3"/>
    <x v="16"/>
    <x v="16"/>
    <n v="380"/>
    <s v="ALTRI COSTI E ONERI DIVERSI"/>
  </r>
  <r>
    <s v="68/0005/0320"/>
    <s v="SPESE TELEFONICHE"/>
    <n v="1021.42"/>
    <x v="3"/>
    <x v="16"/>
    <x v="16"/>
    <n v="364"/>
    <s v="COSTI FISSI COMMERCIALI"/>
  </r>
  <r>
    <s v="68/0005/0325"/>
    <s v="SPESE CELLULARI"/>
    <n v="1889.73"/>
    <x v="3"/>
    <x v="16"/>
    <x v="16"/>
    <n v="380"/>
    <s v="ALTRI COSTI E ONERI DIVERSI"/>
  </r>
  <r>
    <s v="68/0005/0341"/>
    <s v="SPESE ALBERGHI E RISTORANTI"/>
    <n v="7294.93"/>
    <x v="3"/>
    <x v="16"/>
    <x v="16"/>
    <n v="364"/>
    <s v="COSTI FISSI COMMERCIALI"/>
  </r>
  <r>
    <s v="68/0005/0346"/>
    <s v="SPESE PER VIAGGI"/>
    <n v="280.18"/>
    <x v="3"/>
    <x v="16"/>
    <x v="16"/>
    <n v="364"/>
    <s v="COSTI FISSI COMMERCIALI"/>
  </r>
  <r>
    <s v="68/0005/0370"/>
    <s v="ONERI BANCARI"/>
    <n v="11259.08"/>
    <x v="3"/>
    <x v="16"/>
    <x v="16"/>
    <n v="380"/>
    <s v="ALTRI COSTI E ONERI DIVERSI"/>
  </r>
  <r>
    <s v="68/0005/0371"/>
    <s v="INT. PASSIVI FINANZIAMENTI IMP/EXP"/>
    <n v="2298.65"/>
    <x v="3"/>
    <x v="23"/>
    <x v="23"/>
    <n v="430"/>
    <s v="ONERI FINANZIARI"/>
  </r>
  <r>
    <s v="68/0005/0375"/>
    <s v="FORMALITA' AMMINISTRATIVE"/>
    <n v="9196.3700000000008"/>
    <x v="3"/>
    <x v="16"/>
    <x v="16"/>
    <n v="380"/>
    <s v="ALTRI COSTI E ONERI DIVERSI"/>
  </r>
  <r>
    <s v="68/0005/0380"/>
    <s v="COMM. DI ISTRUTTORIA"/>
    <n v="495.18"/>
    <x v="3"/>
    <x v="23"/>
    <x v="23"/>
    <n v="430"/>
    <s v="ONERI FINANZIARI"/>
  </r>
  <r>
    <s v="68/0005/0385"/>
    <s v="TENUTA PAGHE,CONT.,DICH.DA IMPRES."/>
    <n v="1615.64"/>
    <x v="3"/>
    <x v="16"/>
    <x v="16"/>
    <n v="380"/>
    <s v="ALTRI COSTI E ONERI DIVERSI"/>
  </r>
  <r>
    <s v="68/0005/0391"/>
    <s v="CONSULENZE TECNICHE"/>
    <n v="3432.6"/>
    <x v="3"/>
    <x v="16"/>
    <x v="16"/>
    <n v="362"/>
    <s v="COSTI FISSI INDUSTRIALI"/>
  </r>
  <r>
    <s v="68/0005/0395"/>
    <s v="PRIVACY"/>
    <n v="90"/>
    <x v="3"/>
    <x v="17"/>
    <x v="17"/>
    <n v="380"/>
    <s v="ALTRI COSTI E ONERI DIVERSI"/>
  </r>
  <r>
    <s v="68/0005/0407"/>
    <s v="ALTRI COSTI PER SERVIZI"/>
    <n v="1302.33"/>
    <x v="3"/>
    <x v="16"/>
    <x v="16"/>
    <n v="362"/>
    <s v="COSTI FISSI INDUSTRIALI"/>
  </r>
  <r>
    <s v="68/0010/0045"/>
    <s v="SPESE AGG. E MANUT. SOFTWARE"/>
    <n v="6025"/>
    <x v="3"/>
    <x v="16"/>
    <x v="16"/>
    <n v="380"/>
    <s v="ALTRI COSTI E ONERI DIVERSI"/>
  </r>
  <r>
    <s v="70/0010/0005"/>
    <s v="LEASING 7061632 JAGUAR"/>
    <n v="6768.16"/>
    <x v="3"/>
    <x v="27"/>
    <x v="27"/>
    <n v="370"/>
    <s v="AFFITTI LEASING NOLEGGI"/>
  </r>
  <r>
    <s v="70/0010/0011"/>
    <s v="Canone Locazione Mobili Ufficio"/>
    <n v="1166.7"/>
    <x v="3"/>
    <x v="27"/>
    <x v="27"/>
    <n v="370"/>
    <s v="AFFITTI LEASING NOLEGGI"/>
  </r>
  <r>
    <s v="70/0010/0012"/>
    <s v="Canone Loc. Immobili BNL"/>
    <n v="10095.64"/>
    <x v="3"/>
    <x v="27"/>
    <x v="27"/>
    <n v="370"/>
    <s v="AFFITTI LEASING NOLEGGI"/>
  </r>
  <r>
    <s v="70/0010/0013"/>
    <s v="Canone Loc. Operativo Centralino Telefon"/>
    <n v="831.26"/>
    <x v="3"/>
    <x v="27"/>
    <x v="27"/>
    <n v="370"/>
    <s v="AFFITTI LEASING NOLEGGI"/>
  </r>
  <r>
    <s v="70/0010/0014"/>
    <s v="Canone Loc. Oper. Stampante/scanner"/>
    <n v="142.53"/>
    <x v="3"/>
    <x v="27"/>
    <x v="27"/>
    <n v="370"/>
    <s v="AFFITTI LEASING NOLEGGI"/>
  </r>
  <r>
    <s v="72/0005/0010"/>
    <s v="SALARI E STIPENDI"/>
    <n v="180162.71"/>
    <x v="3"/>
    <x v="19"/>
    <x v="19"/>
    <n v="390"/>
    <s v="COSTO DEL LAVORO DIRETTO"/>
  </r>
  <r>
    <s v="72/0005/0020"/>
    <s v="SAL. E STIP.PERS.DI FORMAZ.LAV."/>
    <n v="400"/>
    <x v="3"/>
    <x v="19"/>
    <x v="19"/>
    <n v="390"/>
    <s v="COSTO DEL LAVORO DIRETTO"/>
  </r>
  <r>
    <s v="72/0005/0040"/>
    <s v="STIPENDI AMMINISTRATORI SOCI"/>
    <n v="47036"/>
    <x v="3"/>
    <x v="16"/>
    <x v="16"/>
    <n v="394"/>
    <s v="AMMINISTRATORI E COLLABORATORI"/>
  </r>
  <r>
    <s v="72/0015/0005"/>
    <s v="ONERI SOCIALI INPS"/>
    <n v="78427.75"/>
    <x v="3"/>
    <x v="20"/>
    <x v="20"/>
    <n v="390"/>
    <s v="COSTO DEL LAVORO DIRETTO"/>
  </r>
  <r>
    <s v="72/0015/0025"/>
    <s v="ONERI SOCIALI INAIL"/>
    <n v="849.91"/>
    <x v="3"/>
    <x v="20"/>
    <x v="20"/>
    <n v="390"/>
    <s v="COSTO DEL LAVORO DIRETTO"/>
  </r>
  <r>
    <s v="72/0020/0005"/>
    <s v="TFR"/>
    <n v="7738.92"/>
    <x v="3"/>
    <x v="21"/>
    <x v="21"/>
    <n v="400"/>
    <s v="ACC. TFR"/>
  </r>
  <r>
    <s v="84/0005/0040"/>
    <s v="TASSE DI PROPRIETA' AUTOVEICOLI"/>
    <n v="750.98"/>
    <x v="3"/>
    <x v="17"/>
    <x v="17"/>
    <n v="380"/>
    <s v="ALTRI COSTI E ONERI DIVERSI"/>
  </r>
  <r>
    <s v="84/0010/0021"/>
    <s v="BEVANDE UFFICIO"/>
    <n v="680.26"/>
    <x v="3"/>
    <x v="16"/>
    <x v="16"/>
    <n v="380"/>
    <s v="ALTRI COSTI E ONERI DIVERSI"/>
  </r>
  <r>
    <s v="84/0010/0025"/>
    <s v="OMAGGI A DIPENDENTI"/>
    <n v="173.92"/>
    <x v="3"/>
    <x v="18"/>
    <x v="18"/>
    <n v="390"/>
    <s v="COSTO DEL LAVORO DIRETTO"/>
  </r>
  <r>
    <s v="84/0010/0035"/>
    <s v="MULTE E AMMENDE INDEDUCIBILI"/>
    <n v="51.17"/>
    <x v="3"/>
    <x v="17"/>
    <x v="17"/>
    <n v="380"/>
    <s v="ALTRI COSTI E ONERI DIVERSI"/>
  </r>
  <r>
    <s v="84/0010/0050"/>
    <s v="SOPRAVVENIENZ. PASSIVE ORD.DED."/>
    <n v="3000"/>
    <x v="3"/>
    <x v="17"/>
    <x v="17"/>
    <n v="450"/>
    <s v="COSTI NON OPERATIVI"/>
  </r>
  <r>
    <s v="84/0010/0055"/>
    <s v="SOPRAV. PASSIVE ORD.INDEDUCIBILI"/>
    <n v="135.41"/>
    <x v="3"/>
    <x v="17"/>
    <x v="17"/>
    <n v="450"/>
    <s v="COSTI NON OPERATIVI"/>
  </r>
  <r>
    <s v="84/0010/0065"/>
    <s v="OMAGGI CLIENTI E ART. PROMOZ. DEDUC."/>
    <n v="97.52"/>
    <x v="3"/>
    <x v="17"/>
    <x v="17"/>
    <n v="364"/>
    <s v="COSTI FISSI COMMERCIALI"/>
  </r>
  <r>
    <s v="84/0010/0070"/>
    <s v="OMAGGI A CLIENTI &gt; 50 EURO"/>
    <n v="8.09"/>
    <x v="3"/>
    <x v="17"/>
    <x v="17"/>
    <n v="364"/>
    <s v="COSTI FISSI COMMERCIALI"/>
  </r>
  <r>
    <s v="84/0010/0090"/>
    <s v="ABBUONI/ARROTONDAMENTI PASSIVI"/>
    <n v="65.28"/>
    <x v="3"/>
    <x v="17"/>
    <x v="17"/>
    <n v="300"/>
    <s v="RICAVI "/>
  </r>
  <r>
    <s v="88/0020/0010"/>
    <s v="INTERESSI PASSIVI BANCARI"/>
    <n v="5144.3100000000004"/>
    <x v="3"/>
    <x v="23"/>
    <x v="23"/>
    <n v="430"/>
    <s v="ONERI FINANZIARI"/>
  </r>
  <r>
    <s v="88/0020/0015"/>
    <s v="INTERESSI PASSIVI SU MUTUI"/>
    <n v="5587.94"/>
    <x v="3"/>
    <x v="23"/>
    <x v="23"/>
    <n v="430"/>
    <s v="ONERI FINANZIARI"/>
  </r>
  <r>
    <s v="88/0020/0035"/>
    <s v="INT.PASS.V/FORNITORI"/>
    <n v="1769.59"/>
    <x v="3"/>
    <x v="23"/>
    <x v="23"/>
    <n v="430"/>
    <s v="ONERI FINANZIARI"/>
  </r>
  <r>
    <s v="88/0020/0038"/>
    <s v="INTERESSI DI MORA"/>
    <n v="23.74"/>
    <x v="3"/>
    <x v="23"/>
    <x v="23"/>
    <n v="430"/>
    <s v="ONERI FINANZIARI"/>
  </r>
  <r>
    <s v="94/0010/0111"/>
    <s v="INDENNIZZI ESER.PREC. TASS. IRAP"/>
    <n v="-285.11"/>
    <x v="3"/>
    <x v="29"/>
    <x v="29"/>
    <n v="320"/>
    <s v="ALTRI RICAVI"/>
  </r>
  <r>
    <s v="80/0025/0005"/>
    <s v="MERCI C/RIM. INIZIALI           "/>
    <n v="-75000"/>
    <x v="3"/>
    <x v="14"/>
    <x v="14"/>
    <n v="340"/>
    <s v="VARIAZIONE RIMANENZE MP E MERCI"/>
  </r>
  <r>
    <s v="75/0010/0015"/>
    <s v="AMM.TO ORD. MACC. DEDUCIB.      "/>
    <n v="500"/>
    <x v="3"/>
    <x v="24"/>
    <x v="24"/>
    <n v="410"/>
    <s v="AMMORTAMENTI"/>
  </r>
  <r>
    <s v="75/0015/0005"/>
    <s v="AMM.TO ORD.ATT.IND.LI E COMM.DED"/>
    <n v="365.84"/>
    <x v="3"/>
    <x v="24"/>
    <x v="24"/>
    <n v="410"/>
    <s v="AMMORTAMENTI"/>
  </r>
  <r>
    <s v="75/0030/0040"/>
    <s v="AMM.TO ORD.ARREDAMENTO DED.     "/>
    <n v="308.125"/>
    <x v="3"/>
    <x v="24"/>
    <x v="24"/>
    <n v="410"/>
    <s v="AMMORTAMENTI"/>
  </r>
  <r>
    <s v="75/0020/0010"/>
    <s v="AMM.TO ORD.MAC.ELETTROM.UF.DED. "/>
    <n v="2206.8850000000002"/>
    <x v="3"/>
    <x v="24"/>
    <x v="24"/>
    <n v="410"/>
    <s v="AMMORTAMENTI"/>
  </r>
  <r>
    <s v="74/0010/0006"/>
    <s v="AMM.TO IMM. SICUREZZA SUL LAVORO"/>
    <n v="921.33500000000004"/>
    <x v="3"/>
    <x v="24"/>
    <x v="24"/>
    <n v="410"/>
    <s v="AMMORTAMENTI"/>
  </r>
  <r>
    <s v="75/0020/0012"/>
    <s v="AMM.TO ORD. TELEFONI CELLULARI"/>
    <n v="312.97000000000003"/>
    <x v="3"/>
    <x v="24"/>
    <x v="24"/>
    <n v="410"/>
    <s v="AMMORTAMENTI"/>
  </r>
  <r>
    <s v="75/0005/0020"/>
    <s v="AMM.TO ORD. COST.LEGG. DEDUCIB. "/>
    <n v="363.04500000000002"/>
    <x v="3"/>
    <x v="24"/>
    <x v="24"/>
    <n v="410"/>
    <s v="AMMORTAMENTI"/>
  </r>
  <r>
    <s v="75/0020/0008"/>
    <s v="AMM.TO ORD. ARREDI LABORATORIO"/>
    <n v="100.80000000000001"/>
    <x v="3"/>
    <x v="24"/>
    <x v="24"/>
    <n v="410"/>
    <s v="AMMORTAMENTI"/>
  </r>
  <r>
    <s v="74/0035/0005"/>
    <s v="AMM.LAV. STRAORD.BENI DI TERZI  "/>
    <n v="3741.26"/>
    <x v="3"/>
    <x v="24"/>
    <x v="24"/>
    <n v="410"/>
    <s v="AMMORTAMENTI"/>
  </r>
  <r>
    <s v="75/0005/0015"/>
    <s v="AMM.TO ORD.FABB.IND.LI E COM.DED"/>
    <n v="274.2"/>
    <x v="3"/>
    <x v="24"/>
    <x v="24"/>
    <n v="410"/>
    <s v="AMMORTAMENTI"/>
  </r>
  <r>
    <s v="74/0020/0015"/>
    <s v="AMM.TO LIC.USO SOFT.A TEMP.DET. "/>
    <n v="631.69500000000005"/>
    <x v="3"/>
    <x v="25"/>
    <x v="25"/>
    <n v="410"/>
    <s v="AMMORTAMENTI"/>
  </r>
  <r>
    <s v="74/0010/0005"/>
    <s v="AMM.TO COSTI DI RIC.  E DI SVIL."/>
    <n v="63777.772000000004"/>
    <x v="3"/>
    <x v="25"/>
    <x v="25"/>
    <n v="410"/>
    <s v="AMMORTAMENTI"/>
  </r>
  <r>
    <s v="74/0035/0017"/>
    <s v="AMM.TO ORD. CERTIFICAZIONE QUALITA'"/>
    <n v="2822.585"/>
    <x v="3"/>
    <x v="25"/>
    <x v="25"/>
    <n v="410"/>
    <s v="AMMORTAMENTI"/>
  </r>
  <r>
    <s v="70/0005/0000"/>
    <s v="AFFITTI E LOCAZIONI             "/>
    <n v="1500"/>
    <x v="3"/>
    <x v="27"/>
    <x v="27"/>
    <n v="370"/>
    <s v="AFFITTI LEASING NOLEGGI"/>
  </r>
  <r>
    <s v="11/0020/0010"/>
    <s v="MERCI                           "/>
    <n v="75000"/>
    <x v="3"/>
    <x v="5"/>
    <x v="5"/>
    <n v="36"/>
    <s v="PRODOTTI FINITI E SL"/>
  </r>
  <r>
    <s v="41/0005/0005"/>
    <s v="FATTURE DA RICEVERE             "/>
    <n v="155"/>
    <x v="3"/>
    <x v="3"/>
    <x v="3"/>
    <n v="210"/>
    <s v="FORNITORI"/>
  </r>
  <r>
    <s v="07/0010/0015"/>
    <s v="F/AMM MACCHINARI                "/>
    <n v="-12548.740000000002"/>
    <x v="3"/>
    <x v="0"/>
    <x v="0"/>
    <n v="22"/>
    <s v="FDO IMM. MAT."/>
  </r>
  <r>
    <s v="26/0010/0005"/>
    <s v="RISCONTI ATTIVI                 "/>
    <n v="0"/>
    <x v="3"/>
    <x v="6"/>
    <x v="6"/>
    <n v="60"/>
    <s v="ALTRI CREDITI E RATEI E RISC."/>
  </r>
  <r>
    <s v="54/0005/0005"/>
    <s v="RATEI PASSIVI                   "/>
    <n v="-2807"/>
    <x v="3"/>
    <x v="9"/>
    <x v="9"/>
    <n v="240"/>
    <s v="ALTRE PASSIVITA' E RATEI E RISC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EB97FD-66B8-4DFF-A02C-2A32F1D76729}" name="Tabella pivot1" cacheId="0" applyNumberFormats="0" applyBorderFormats="0" applyFontFormats="0" applyPatternFormats="0" applyAlignmentFormats="0" applyWidthHeightFormats="1" dataCaption="Valori" updatedVersion="8" minRefreshableVersion="3" useAutoFormatting="1" colGrandTotals="0" itemPrintTitles="1" createdVersion="8" indent="0" compact="0" compactData="0" multipleFieldFilters="0">
  <location ref="A3:F41" firstHeaderRow="1" firstDataRow="2" firstDataCol="2"/>
  <pivotFields count="8">
    <pivotField compact="0" outline="0" showAll="0"/>
    <pivotField compact="0" outline="0" showAll="0"/>
    <pivotField dataField="1" compact="0" numFmtId="43" outline="0" showAll="0"/>
    <pivotField axis="axisCol" compact="0" numFmtId="14" outline="0" showAll="0">
      <items count="9">
        <item m="1" x="4"/>
        <item m="1" x="5"/>
        <item m="1" x="6"/>
        <item m="1" x="7"/>
        <item x="0"/>
        <item x="1"/>
        <item x="2"/>
        <item x="3"/>
        <item t="default"/>
      </items>
    </pivotField>
    <pivotField axis="axisRow" compact="0" outline="0" showAll="0" defaultSubtotal="0">
      <items count="36">
        <item x="1"/>
        <item x="0"/>
        <item x="5"/>
        <item x="2"/>
        <item x="7"/>
        <item x="3"/>
        <item x="6"/>
        <item x="11"/>
        <item x="12"/>
        <item x="13"/>
        <item x="10"/>
        <item x="8"/>
        <item x="4"/>
        <item x="33"/>
        <item x="9"/>
        <item x="29"/>
        <item x="31"/>
        <item x="30"/>
        <item x="32"/>
        <item x="15"/>
        <item x="16"/>
        <item x="27"/>
        <item x="19"/>
        <item x="20"/>
        <item x="21"/>
        <item x="18"/>
        <item x="25"/>
        <item x="24"/>
        <item x="14"/>
        <item x="26"/>
        <item x="17"/>
        <item x="35"/>
        <item x="34"/>
        <item x="23"/>
        <item x="22"/>
        <item x="28"/>
      </items>
    </pivotField>
    <pivotField axis="axisRow" compact="0" outline="0" showAll="0">
      <items count="36">
        <item x="29"/>
        <item x="14"/>
        <item x="26"/>
        <item x="17"/>
        <item x="22"/>
        <item x="31"/>
        <item x="30"/>
        <item x="23"/>
        <item x="32"/>
        <item x="15"/>
        <item x="16"/>
        <item x="27"/>
        <item x="25"/>
        <item x="28"/>
        <item x="13"/>
        <item x="19"/>
        <item x="24"/>
        <item x="20"/>
        <item x="34"/>
        <item x="21"/>
        <item x="8"/>
        <item x="6"/>
        <item x="18"/>
        <item x="9"/>
        <item x="2"/>
        <item x="4"/>
        <item x="7"/>
        <item x="33"/>
        <item x="11"/>
        <item x="1"/>
        <item x="5"/>
        <item x="0"/>
        <item x="3"/>
        <item x="12"/>
        <item x="10"/>
        <item t="default"/>
      </items>
    </pivotField>
    <pivotField compact="0" outline="0" showAll="0"/>
    <pivotField compact="0" outline="0" showAll="0"/>
  </pivotFields>
  <rowFields count="2">
    <field x="4"/>
    <field x="5"/>
  </rowFields>
  <rowItems count="37">
    <i>
      <x/>
      <x v="29"/>
    </i>
    <i>
      <x v="1"/>
      <x v="31"/>
    </i>
    <i>
      <x v="2"/>
      <x v="30"/>
    </i>
    <i>
      <x v="3"/>
      <x v="24"/>
    </i>
    <i>
      <x v="4"/>
      <x v="26"/>
    </i>
    <i>
      <x v="5"/>
      <x v="32"/>
    </i>
    <i>
      <x v="6"/>
      <x v="21"/>
    </i>
    <i>
      <x v="7"/>
      <x v="28"/>
    </i>
    <i>
      <x v="8"/>
      <x v="33"/>
    </i>
    <i>
      <x v="9"/>
      <x v="14"/>
    </i>
    <i>
      <x v="10"/>
      <x v="34"/>
    </i>
    <i>
      <x v="11"/>
      <x v="20"/>
    </i>
    <i>
      <x v="12"/>
      <x v="25"/>
    </i>
    <i>
      <x v="13"/>
      <x v="27"/>
    </i>
    <i>
      <x v="14"/>
      <x v="23"/>
    </i>
    <i>
      <x v="15"/>
      <x/>
    </i>
    <i>
      <x v="16"/>
      <x v="5"/>
    </i>
    <i>
      <x v="17"/>
      <x v="6"/>
    </i>
    <i>
      <x v="18"/>
      <x v="8"/>
    </i>
    <i>
      <x v="19"/>
      <x v="9"/>
    </i>
    <i>
      <x v="20"/>
      <x v="10"/>
    </i>
    <i>
      <x v="21"/>
      <x v="11"/>
    </i>
    <i>
      <x v="22"/>
      <x v="15"/>
    </i>
    <i>
      <x v="23"/>
      <x v="17"/>
    </i>
    <i>
      <x v="24"/>
      <x v="19"/>
    </i>
    <i>
      <x v="25"/>
      <x v="22"/>
    </i>
    <i>
      <x v="26"/>
      <x v="12"/>
    </i>
    <i>
      <x v="27"/>
      <x v="16"/>
    </i>
    <i>
      <x v="28"/>
      <x v="1"/>
    </i>
    <i>
      <x v="29"/>
      <x v="2"/>
    </i>
    <i>
      <x v="30"/>
      <x v="3"/>
    </i>
    <i>
      <x v="31"/>
      <x v="7"/>
    </i>
    <i>
      <x v="32"/>
      <x v="18"/>
    </i>
    <i>
      <x v="33"/>
      <x v="7"/>
    </i>
    <i>
      <x v="34"/>
      <x v="4"/>
    </i>
    <i>
      <x v="35"/>
      <x v="13"/>
    </i>
    <i t="grand">
      <x/>
    </i>
  </rowItems>
  <colFields count="1">
    <field x="3"/>
  </colFields>
  <colItems count="4">
    <i>
      <x v="4"/>
    </i>
    <i>
      <x v="5"/>
    </i>
    <i>
      <x v="6"/>
    </i>
    <i>
      <x v="7"/>
    </i>
  </colItems>
  <dataFields count="1">
    <dataField name="Somma di Impo" fld="2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DFCB05DC-0966-4A3E-BCE6-118442779E3B}" autoFormatId="16" applyNumberFormats="0" applyBorderFormats="0" applyFontFormats="0" applyPatternFormats="0" applyAlignmentFormats="0" applyWidthHeightFormats="0">
  <queryTableRefresh nextId="14">
    <queryTableFields count="8">
      <queryTableField id="1" name="CodConto" tableColumnId="1"/>
      <queryTableField id="2" name="Descr" tableColumnId="2"/>
      <queryTableField id="4" name="Impo" tableColumnId="4"/>
      <queryTableField id="3" name="DATA" tableColumnId="3"/>
      <queryTableField id="9" name="CodCee" tableColumnId="9"/>
      <queryTableField id="10" name="DescrCEE" tableColumnId="10"/>
      <queryTableField id="7" name="Cod" tableColumnId="7"/>
      <queryTableField id="8" name="DescrBil2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6F9599-23C4-4675-B9DE-1F705E88731E}" name="Tabella1" displayName="Tabella1" ref="A1:H879" tableType="queryTable" totalsRowShown="0">
  <autoFilter ref="A1:H879" xr:uid="{816F9599-23C4-4675-B9DE-1F705E88731E}"/>
  <tableColumns count="8">
    <tableColumn id="1" xr3:uid="{5223CB35-E47B-488F-A770-185CE344D59D}" uniqueName="1" name="CodConto" queryTableFieldId="1" dataDxfId="7"/>
    <tableColumn id="2" xr3:uid="{AAD70C7B-FACA-4575-B0DA-E7D91B62EA1E}" uniqueName="2" name="Descr" queryTableFieldId="2" dataDxfId="6"/>
    <tableColumn id="4" xr3:uid="{67291EE1-57F4-491E-A148-50B51609B81F}" uniqueName="4" name="Impo" queryTableFieldId="4" dataDxfId="5" dataCellStyle="Migliaia"/>
    <tableColumn id="3" xr3:uid="{C427BEED-3364-4F58-96BD-EF61A6DFF107}" uniqueName="3" name="DATA" queryTableFieldId="3" dataDxfId="4"/>
    <tableColumn id="9" xr3:uid="{305A0D42-ABA2-4AF8-BE4D-1F137CBD63D3}" uniqueName="9" name="CodCee" queryTableFieldId="9" dataDxfId="3"/>
    <tableColumn id="10" xr3:uid="{8C45DA85-9BBB-4D1D-9979-1AF1683083B5}" uniqueName="10" name="DescrCEE" queryTableFieldId="10" dataDxfId="2"/>
    <tableColumn id="7" xr3:uid="{2951B6D6-A05B-44B9-AD9E-F22446A15389}" uniqueName="7" name="Cod" queryTableFieldId="7" dataDxfId="1"/>
    <tableColumn id="8" xr3:uid="{A22AECB7-863E-42B0-ABA7-B48E237749DC}" uniqueName="8" name="DescrBil2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B7930-665E-4225-83F5-01EF23BECEDD}">
  <sheetPr>
    <pageSetUpPr fitToPage="1"/>
  </sheetPr>
  <dimension ref="A3:F41"/>
  <sheetViews>
    <sheetView workbookViewId="0">
      <selection activeCell="C7" sqref="C7"/>
    </sheetView>
  </sheetViews>
  <sheetFormatPr defaultRowHeight="14.25" x14ac:dyDescent="0.45"/>
  <cols>
    <col min="1" max="1" width="18.73046875" bestFit="1" customWidth="1"/>
    <col min="2" max="2" width="82.06640625" bestFit="1" customWidth="1"/>
    <col min="3" max="6" width="12.53125" bestFit="1" customWidth="1"/>
    <col min="7" max="7" width="13.265625" bestFit="1" customWidth="1"/>
    <col min="8" max="8" width="18.73046875" bestFit="1" customWidth="1"/>
  </cols>
  <sheetData>
    <row r="3" spans="1:6" x14ac:dyDescent="0.45">
      <c r="A3" s="4" t="s">
        <v>750</v>
      </c>
      <c r="C3" s="4" t="s">
        <v>2</v>
      </c>
    </row>
    <row r="4" spans="1:6" x14ac:dyDescent="0.45">
      <c r="A4" s="4" t="s">
        <v>751</v>
      </c>
      <c r="B4" s="4" t="s">
        <v>752</v>
      </c>
      <c r="C4" s="1">
        <v>44926</v>
      </c>
      <c r="D4" s="1">
        <v>45291</v>
      </c>
      <c r="E4" s="1">
        <v>45657</v>
      </c>
      <c r="F4" s="1">
        <v>45838</v>
      </c>
    </row>
    <row r="5" spans="1:6" x14ac:dyDescent="0.45">
      <c r="A5">
        <v>16</v>
      </c>
      <c r="B5" t="s">
        <v>46</v>
      </c>
      <c r="C5" s="5">
        <v>267059.53000000003</v>
      </c>
      <c r="D5" s="5">
        <v>230357.08000000002</v>
      </c>
      <c r="E5" s="5">
        <v>206127.09600000002</v>
      </c>
      <c r="F5" s="5">
        <v>149647.42800000001</v>
      </c>
    </row>
    <row r="6" spans="1:6" x14ac:dyDescent="0.45">
      <c r="A6">
        <v>32</v>
      </c>
      <c r="B6" t="s">
        <v>8</v>
      </c>
      <c r="C6" s="5">
        <v>93019.189999999988</v>
      </c>
      <c r="D6" s="5">
        <v>88926.520000000077</v>
      </c>
      <c r="E6" s="5">
        <v>106217.9000000001</v>
      </c>
      <c r="F6" s="5">
        <v>94590.430000000037</v>
      </c>
    </row>
    <row r="7" spans="1:6" x14ac:dyDescent="0.45">
      <c r="A7">
        <v>91</v>
      </c>
      <c r="B7" t="s">
        <v>131</v>
      </c>
      <c r="C7" s="5">
        <v>438998.74</v>
      </c>
      <c r="D7" s="5">
        <v>581162.96</v>
      </c>
      <c r="E7" s="5">
        <v>702399.96</v>
      </c>
      <c r="F7" s="5">
        <v>777789.28999999992</v>
      </c>
    </row>
    <row r="8" spans="1:6" x14ac:dyDescent="0.45">
      <c r="A8">
        <v>101</v>
      </c>
      <c r="B8" t="s">
        <v>62</v>
      </c>
      <c r="C8" s="5">
        <v>976559.50000000023</v>
      </c>
      <c r="D8" s="5">
        <v>999330.48999999987</v>
      </c>
      <c r="E8" s="5">
        <v>1054385.2000000004</v>
      </c>
      <c r="F8" s="5">
        <v>947123.82000000018</v>
      </c>
    </row>
    <row r="9" spans="1:6" x14ac:dyDescent="0.45">
      <c r="A9">
        <v>110</v>
      </c>
      <c r="B9" t="s">
        <v>138</v>
      </c>
      <c r="C9" s="5">
        <v>20691.72</v>
      </c>
      <c r="D9" s="5">
        <v>20691.72</v>
      </c>
      <c r="E9" s="5"/>
      <c r="F9" s="5"/>
    </row>
    <row r="10" spans="1:6" x14ac:dyDescent="0.45">
      <c r="A10">
        <v>130</v>
      </c>
      <c r="B10" t="s">
        <v>66</v>
      </c>
      <c r="C10" s="5">
        <v>72.339999999999861</v>
      </c>
      <c r="D10" s="5">
        <v>10863.099999999997</v>
      </c>
      <c r="E10" s="5">
        <v>53612.21</v>
      </c>
      <c r="F10" s="5">
        <v>120316.56000000001</v>
      </c>
    </row>
    <row r="11" spans="1:6" x14ac:dyDescent="0.45">
      <c r="A11">
        <v>135</v>
      </c>
      <c r="B11" t="s">
        <v>135</v>
      </c>
      <c r="C11" s="5">
        <v>24660.07</v>
      </c>
      <c r="D11" s="5">
        <v>25418.53</v>
      </c>
      <c r="E11" s="5">
        <v>18938.600000000006</v>
      </c>
      <c r="F11" s="5">
        <v>19298.11</v>
      </c>
    </row>
    <row r="12" spans="1:6" x14ac:dyDescent="0.45">
      <c r="A12">
        <v>171</v>
      </c>
      <c r="B12" t="s">
        <v>235</v>
      </c>
      <c r="C12" s="5">
        <v>-100000</v>
      </c>
      <c r="D12" s="5">
        <v>-100000</v>
      </c>
      <c r="E12" s="5">
        <v>-100000</v>
      </c>
      <c r="F12" s="5">
        <v>-100000</v>
      </c>
    </row>
    <row r="13" spans="1:6" x14ac:dyDescent="0.45">
      <c r="A13">
        <v>180</v>
      </c>
      <c r="B13" t="s">
        <v>239</v>
      </c>
      <c r="C13" s="5">
        <v>-20000</v>
      </c>
      <c r="D13" s="5">
        <v>-20000</v>
      </c>
      <c r="E13" s="5">
        <v>-20000</v>
      </c>
      <c r="F13" s="5">
        <v>-20000</v>
      </c>
    </row>
    <row r="14" spans="1:6" x14ac:dyDescent="0.45">
      <c r="A14">
        <v>211</v>
      </c>
      <c r="B14" t="s">
        <v>243</v>
      </c>
      <c r="C14" s="5">
        <v>-74732.679999999993</v>
      </c>
      <c r="D14" s="5">
        <v>-125450.44</v>
      </c>
      <c r="E14" s="5">
        <v>-139812.41</v>
      </c>
      <c r="F14" s="5">
        <v>-139812.41</v>
      </c>
    </row>
    <row r="15" spans="1:6" x14ac:dyDescent="0.45">
      <c r="A15">
        <v>220</v>
      </c>
      <c r="B15" t="s">
        <v>231</v>
      </c>
      <c r="C15" s="5">
        <v>-21096.55</v>
      </c>
      <c r="D15" s="5"/>
      <c r="E15" s="5"/>
      <c r="F15" s="5">
        <v>-9290.2999999999993</v>
      </c>
    </row>
    <row r="16" spans="1:6" x14ac:dyDescent="0.45">
      <c r="A16">
        <v>240</v>
      </c>
      <c r="B16" t="s">
        <v>184</v>
      </c>
      <c r="C16" s="5">
        <v>-224250.58</v>
      </c>
      <c r="D16" s="5">
        <v>-215805.40999999997</v>
      </c>
      <c r="E16" s="5">
        <v>-223219.58000000007</v>
      </c>
      <c r="F16" s="5">
        <v>-219941.58</v>
      </c>
    </row>
    <row r="17" spans="1:6" x14ac:dyDescent="0.45">
      <c r="A17">
        <v>246</v>
      </c>
      <c r="B17" t="s">
        <v>70</v>
      </c>
      <c r="C17" s="5">
        <v>-1331477.6100000001</v>
      </c>
      <c r="D17" s="5">
        <v>-1458390.23</v>
      </c>
      <c r="E17" s="5">
        <v>-1410569.1100000013</v>
      </c>
      <c r="F17" s="5">
        <v>-1419567.5400000003</v>
      </c>
    </row>
    <row r="18" spans="1:6" x14ac:dyDescent="0.45">
      <c r="A18">
        <v>266</v>
      </c>
      <c r="B18" t="s">
        <v>596</v>
      </c>
      <c r="C18" s="5"/>
      <c r="D18" s="5"/>
      <c r="E18" s="5">
        <v>-215972.93</v>
      </c>
      <c r="F18" s="5">
        <v>-184073.69</v>
      </c>
    </row>
    <row r="19" spans="1:6" x14ac:dyDescent="0.45">
      <c r="A19">
        <v>290</v>
      </c>
      <c r="B19" t="s">
        <v>228</v>
      </c>
      <c r="C19" s="5">
        <v>-19193.09</v>
      </c>
      <c r="D19" s="5">
        <v>-21351.560000000005</v>
      </c>
      <c r="E19" s="5">
        <v>-19799.57</v>
      </c>
      <c r="F19" s="5">
        <v>-2807</v>
      </c>
    </row>
    <row r="20" spans="1:6" x14ac:dyDescent="0.45">
      <c r="A20">
        <v>311</v>
      </c>
      <c r="B20" t="s">
        <v>476</v>
      </c>
      <c r="C20" s="5">
        <v>-1937989.9800000004</v>
      </c>
      <c r="D20" s="5">
        <v>-1907221.1200000003</v>
      </c>
      <c r="E20" s="5">
        <v>-1978993.46</v>
      </c>
      <c r="F20" s="5">
        <v>-1175935.5900000001</v>
      </c>
    </row>
    <row r="21" spans="1:6" x14ac:dyDescent="0.45">
      <c r="A21">
        <v>320</v>
      </c>
      <c r="B21" t="s">
        <v>490</v>
      </c>
      <c r="C21" s="5">
        <v>-56880.04</v>
      </c>
      <c r="D21" s="5">
        <v>-64703.14</v>
      </c>
      <c r="E21" s="5">
        <v>-73519.87</v>
      </c>
      <c r="F21" s="5"/>
    </row>
    <row r="22" spans="1:6" x14ac:dyDescent="0.45">
      <c r="A22">
        <v>321</v>
      </c>
      <c r="B22" t="s">
        <v>486</v>
      </c>
      <c r="C22" s="5">
        <v>-8768.3000000000065</v>
      </c>
      <c r="D22" s="5">
        <v>-25238.440000000002</v>
      </c>
      <c r="E22" s="5">
        <v>-37799.450000000019</v>
      </c>
      <c r="F22" s="5"/>
    </row>
    <row r="23" spans="1:6" x14ac:dyDescent="0.45">
      <c r="A23">
        <v>322</v>
      </c>
      <c r="B23" t="s">
        <v>498</v>
      </c>
      <c r="C23" s="5">
        <v>-2748</v>
      </c>
      <c r="D23" s="5"/>
      <c r="E23" s="5"/>
      <c r="F23" s="5"/>
    </row>
    <row r="24" spans="1:6" x14ac:dyDescent="0.45">
      <c r="A24">
        <v>331</v>
      </c>
      <c r="B24" t="s">
        <v>251</v>
      </c>
      <c r="C24" s="5">
        <v>942313.52000000037</v>
      </c>
      <c r="D24" s="5">
        <v>1073214.19</v>
      </c>
      <c r="E24" s="5">
        <v>955877.44000000076</v>
      </c>
      <c r="F24" s="5">
        <v>714258.21</v>
      </c>
    </row>
    <row r="25" spans="1:6" x14ac:dyDescent="0.45">
      <c r="A25">
        <v>332</v>
      </c>
      <c r="B25" t="s">
        <v>263</v>
      </c>
      <c r="C25" s="5">
        <v>337929.80000000005</v>
      </c>
      <c r="D25" s="5">
        <v>346975.94</v>
      </c>
      <c r="E25" s="5">
        <v>418118.24999999994</v>
      </c>
      <c r="F25" s="5">
        <v>139095.34000000003</v>
      </c>
    </row>
    <row r="26" spans="1:6" x14ac:dyDescent="0.45">
      <c r="A26">
        <v>333</v>
      </c>
      <c r="B26" t="s">
        <v>410</v>
      </c>
      <c r="C26" s="5">
        <v>26221.660000000007</v>
      </c>
      <c r="D26" s="5">
        <v>36425.520000000004</v>
      </c>
      <c r="E26" s="5">
        <v>41077.750000000015</v>
      </c>
      <c r="F26" s="5">
        <v>20504.289999999997</v>
      </c>
    </row>
    <row r="27" spans="1:6" x14ac:dyDescent="0.45">
      <c r="A27">
        <v>335</v>
      </c>
      <c r="B27" t="s">
        <v>317</v>
      </c>
      <c r="C27" s="5">
        <v>275775.44</v>
      </c>
      <c r="D27" s="5">
        <v>364996.68000000005</v>
      </c>
      <c r="E27" s="5">
        <v>401298.12</v>
      </c>
      <c r="F27" s="5">
        <v>180562.71</v>
      </c>
    </row>
    <row r="28" spans="1:6" x14ac:dyDescent="0.45">
      <c r="A28">
        <v>336</v>
      </c>
      <c r="B28" t="s">
        <v>320</v>
      </c>
      <c r="C28" s="5">
        <v>88793.64999999998</v>
      </c>
      <c r="D28" s="5">
        <v>60932.94</v>
      </c>
      <c r="E28" s="5">
        <v>98771.109999999986</v>
      </c>
      <c r="F28" s="5">
        <v>79277.66</v>
      </c>
    </row>
    <row r="29" spans="1:6" x14ac:dyDescent="0.45">
      <c r="A29">
        <v>337</v>
      </c>
      <c r="B29" t="s">
        <v>324</v>
      </c>
      <c r="C29" s="5">
        <v>22265.260000000002</v>
      </c>
      <c r="D29" s="5">
        <v>4769.8899999999994</v>
      </c>
      <c r="E29" s="5">
        <v>23901.280000000002</v>
      </c>
      <c r="F29" s="5">
        <v>7738.92</v>
      </c>
    </row>
    <row r="30" spans="1:6" x14ac:dyDescent="0.45">
      <c r="A30">
        <v>339</v>
      </c>
      <c r="B30" t="s">
        <v>313</v>
      </c>
      <c r="C30" s="5">
        <v>1143.81</v>
      </c>
      <c r="D30" s="5">
        <v>1215.21</v>
      </c>
      <c r="E30" s="5">
        <v>1347.4</v>
      </c>
      <c r="F30" s="5">
        <v>173.92</v>
      </c>
    </row>
    <row r="31" spans="1:6" x14ac:dyDescent="0.45">
      <c r="A31">
        <v>346</v>
      </c>
      <c r="B31" t="s">
        <v>385</v>
      </c>
      <c r="C31" s="5">
        <v>113385.47</v>
      </c>
      <c r="D31" s="5">
        <v>128389.89</v>
      </c>
      <c r="E31" s="5">
        <v>135346.50400000002</v>
      </c>
      <c r="F31" s="5">
        <v>67232.052000000011</v>
      </c>
    </row>
    <row r="32" spans="1:6" x14ac:dyDescent="0.45">
      <c r="A32">
        <v>347</v>
      </c>
      <c r="B32" t="s">
        <v>359</v>
      </c>
      <c r="C32" s="5">
        <v>26010.639999999999</v>
      </c>
      <c r="D32" s="5">
        <v>20707.98</v>
      </c>
      <c r="E32" s="5">
        <v>19079.020000000004</v>
      </c>
      <c r="F32" s="5">
        <v>9094.4600000000028</v>
      </c>
    </row>
    <row r="33" spans="1:6" x14ac:dyDescent="0.45">
      <c r="A33">
        <v>351</v>
      </c>
      <c r="B33" t="s">
        <v>247</v>
      </c>
      <c r="C33" s="5">
        <v>-92039.359999999986</v>
      </c>
      <c r="D33" s="5">
        <v>-142164.21999999997</v>
      </c>
      <c r="E33" s="5">
        <v>-121237</v>
      </c>
      <c r="F33" s="5">
        <v>-75000</v>
      </c>
    </row>
    <row r="34" spans="1:6" x14ac:dyDescent="0.45">
      <c r="A34">
        <v>356</v>
      </c>
      <c r="B34" t="s">
        <v>400</v>
      </c>
      <c r="C34" s="5">
        <v>32330.050000000003</v>
      </c>
      <c r="D34" s="5">
        <v>4000</v>
      </c>
      <c r="E34" s="5">
        <v>7402.0800000000036</v>
      </c>
      <c r="F34" s="5"/>
    </row>
    <row r="35" spans="1:6" x14ac:dyDescent="0.45">
      <c r="A35">
        <v>358</v>
      </c>
      <c r="B35" t="s">
        <v>289</v>
      </c>
      <c r="C35" s="5">
        <v>89932.1</v>
      </c>
      <c r="D35" s="5">
        <v>18964.77</v>
      </c>
      <c r="E35" s="5">
        <v>42398.609999999993</v>
      </c>
      <c r="F35" s="5">
        <v>4403.1099999999997</v>
      </c>
    </row>
    <row r="36" spans="1:6" x14ac:dyDescent="0.45">
      <c r="A36">
        <v>386</v>
      </c>
      <c r="B36" t="s">
        <v>339</v>
      </c>
      <c r="C36" s="5"/>
      <c r="D36" s="5"/>
      <c r="E36" s="5"/>
      <c r="F36" s="5">
        <v>2.39</v>
      </c>
    </row>
    <row r="37" spans="1:6" x14ac:dyDescent="0.45">
      <c r="A37">
        <v>395</v>
      </c>
      <c r="B37" t="s">
        <v>622</v>
      </c>
      <c r="C37" s="5"/>
      <c r="D37" s="5"/>
      <c r="E37" s="5">
        <v>-2078.21</v>
      </c>
      <c r="F37" s="5"/>
    </row>
    <row r="38" spans="1:6" x14ac:dyDescent="0.45">
      <c r="A38">
        <v>420</v>
      </c>
      <c r="B38" t="s">
        <v>339</v>
      </c>
      <c r="C38" s="5">
        <v>44411.21</v>
      </c>
      <c r="D38" s="5">
        <v>47989.159999999996</v>
      </c>
      <c r="E38" s="5">
        <v>40774.229999999996</v>
      </c>
      <c r="F38" s="5">
        <v>15319.41</v>
      </c>
    </row>
    <row r="39" spans="1:6" x14ac:dyDescent="0.45">
      <c r="A39">
        <v>425</v>
      </c>
      <c r="B39" t="s">
        <v>335</v>
      </c>
      <c r="C39" s="5">
        <v>348.48999999999995</v>
      </c>
      <c r="D39" s="5">
        <v>54</v>
      </c>
      <c r="E39" s="5">
        <v>131.82999999999996</v>
      </c>
      <c r="F39" s="5"/>
    </row>
    <row r="40" spans="1:6" x14ac:dyDescent="0.45">
      <c r="A40">
        <v>482</v>
      </c>
      <c r="B40" t="s">
        <v>470</v>
      </c>
      <c r="C40" s="5">
        <v>67254</v>
      </c>
      <c r="D40" s="5">
        <v>14938</v>
      </c>
      <c r="E40" s="5">
        <v>15797</v>
      </c>
      <c r="F40" s="5"/>
    </row>
    <row r="41" spans="1:6" x14ac:dyDescent="0.45">
      <c r="A41" t="s">
        <v>749</v>
      </c>
      <c r="C41" s="5">
        <v>0</v>
      </c>
      <c r="D41" s="5">
        <v>9.9999998128623702E-3</v>
      </c>
      <c r="E41" s="5">
        <v>5.6388671509921551E-11</v>
      </c>
      <c r="F41" s="5">
        <v>-9.0949470177292824E-11</v>
      </c>
    </row>
  </sheetData>
  <pageMargins left="0.7" right="0.7" top="0.75" bottom="0.75" header="0.3" footer="0.3"/>
  <pageSetup paperSize="9" scale="77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66CFD-6354-40B3-BB70-76B07F8A347D}">
  <dimension ref="A1:S879"/>
  <sheetViews>
    <sheetView tabSelected="1" topLeftCell="J1" workbookViewId="0">
      <selection activeCell="O7" sqref="O7"/>
    </sheetView>
  </sheetViews>
  <sheetFormatPr defaultRowHeight="14.25" x14ac:dyDescent="0.45"/>
  <cols>
    <col min="1" max="1" width="12.59765625" bestFit="1" customWidth="1"/>
    <col min="2" max="2" width="43.86328125" bestFit="1" customWidth="1"/>
    <col min="3" max="3" width="13.265625" bestFit="1" customWidth="1"/>
    <col min="4" max="4" width="10.3984375" bestFit="1" customWidth="1"/>
    <col min="5" max="5" width="10.73046875" style="6" bestFit="1" customWidth="1"/>
    <col min="6" max="6" width="81.1328125" bestFit="1" customWidth="1"/>
    <col min="7" max="7" width="7" style="6" bestFit="1" customWidth="1"/>
    <col min="8" max="8" width="49.3984375" bestFit="1" customWidth="1"/>
    <col min="9" max="9" width="7" bestFit="1" customWidth="1"/>
    <col min="10" max="10" width="49.3984375" bestFit="1" customWidth="1"/>
    <col min="11" max="11" width="39.19921875" bestFit="1" customWidth="1"/>
    <col min="13" max="13" width="43.86328125" bestFit="1" customWidth="1"/>
    <col min="14" max="14" width="44.6640625" bestFit="1" customWidth="1"/>
    <col min="15" max="19" width="11.9296875" bestFit="1" customWidth="1"/>
  </cols>
  <sheetData>
    <row r="1" spans="1:19" x14ac:dyDescent="0.45">
      <c r="A1" t="s">
        <v>0</v>
      </c>
      <c r="B1" t="s">
        <v>1</v>
      </c>
      <c r="C1" t="s">
        <v>3</v>
      </c>
      <c r="D1" t="s">
        <v>2</v>
      </c>
      <c r="E1" s="6" t="s">
        <v>751</v>
      </c>
      <c r="F1" t="s">
        <v>752</v>
      </c>
      <c r="G1" s="6" t="s">
        <v>4</v>
      </c>
      <c r="H1" t="s">
        <v>5</v>
      </c>
      <c r="O1" s="8" cm="1">
        <f t="array" ref="O1:R1">+TRANSPOSE(_xlfn.VSTACK(_xlfn.UNIQUE(Tabella1[DATA])))</f>
        <v>44926</v>
      </c>
      <c r="P1" s="8">
        <v>45291</v>
      </c>
      <c r="Q1" s="8">
        <v>45657</v>
      </c>
      <c r="R1" s="8">
        <v>45838</v>
      </c>
    </row>
    <row r="2" spans="1:19" x14ac:dyDescent="0.45">
      <c r="A2" t="s">
        <v>6</v>
      </c>
      <c r="B2" t="s">
        <v>7</v>
      </c>
      <c r="C2" s="2">
        <v>5000</v>
      </c>
      <c r="D2" s="1">
        <v>44926</v>
      </c>
      <c r="E2" s="6">
        <v>32</v>
      </c>
      <c r="F2" t="s">
        <v>8</v>
      </c>
      <c r="G2" s="6">
        <v>20</v>
      </c>
      <c r="H2" t="s">
        <v>9</v>
      </c>
      <c r="K2" t="s">
        <v>7</v>
      </c>
      <c r="M2" cm="1">
        <f t="array" ref="M2:M42">+_xlfn._xlws.SORT(_xlfn.UNIQUE(Tabella1[Cod]),,1)</f>
        <v>10</v>
      </c>
      <c r="N2" t="str">
        <f>+_xlfn.XLOOKUP(M2,Tabella1[Cod],Tabella1[DescrBil2],"",0)</f>
        <v xml:space="preserve">IMMOBILIZZ. IMMATERIALI </v>
      </c>
      <c r="O2" s="7">
        <f>+SUMIFS(Tabella1[Impo],Tabella1[DATA],O$1,Tabella1[DescrBil2],$N2)</f>
        <v>267059.53000000003</v>
      </c>
      <c r="P2" s="7">
        <f>+SUMIFS(Tabella1[Impo],Tabella1[DATA],P$1,Tabella1[DescrBil2],$N2)</f>
        <v>230357.08000000002</v>
      </c>
      <c r="Q2" s="7">
        <f>+SUMIFS(Tabella1[Impo],Tabella1[DATA],Q$1,Tabella1[DescrBil2],$N2)</f>
        <v>206127.09600000002</v>
      </c>
      <c r="R2" s="7">
        <f>+SUMIFS(Tabella1[Impo],Tabella1[DATA],R$1,Tabella1[DescrBil2],$N2)</f>
        <v>149647.42800000001</v>
      </c>
    </row>
    <row r="3" spans="1:19" x14ac:dyDescent="0.45">
      <c r="A3" t="s">
        <v>10</v>
      </c>
      <c r="B3" t="s">
        <v>11</v>
      </c>
      <c r="C3" s="2">
        <v>20602.280000000002</v>
      </c>
      <c r="D3" s="1">
        <v>44926</v>
      </c>
      <c r="E3" s="6">
        <v>32</v>
      </c>
      <c r="F3" t="s">
        <v>8</v>
      </c>
      <c r="G3" s="6">
        <v>20</v>
      </c>
      <c r="H3" t="s">
        <v>9</v>
      </c>
      <c r="K3" t="s">
        <v>11</v>
      </c>
      <c r="M3">
        <v>20</v>
      </c>
      <c r="N3" t="str">
        <f>+_xlfn.XLOOKUP(M3,Tabella1[Cod],Tabella1[DescrBil2],"",0)</f>
        <v>IMMOBILIZZ. MATERIALI</v>
      </c>
      <c r="O3" s="7">
        <f>+SUMIFS(Tabella1[Impo],Tabella1[DATA],O$1,Tabella1[DescrBil2],$N3)</f>
        <v>333016.09000000003</v>
      </c>
      <c r="P3" s="7">
        <f>+SUMIFS(Tabella1[Impo],Tabella1[DATA],P$1,Tabella1[DescrBil2],$N3)</f>
        <v>324045.32000000007</v>
      </c>
      <c r="Q3" s="7">
        <f>+SUMIFS(Tabella1[Impo],Tabella1[DATA],Q$1,Tabella1[DescrBil2],$N3)</f>
        <v>360415.72000000003</v>
      </c>
      <c r="R3" s="7">
        <f>+SUMIFS(Tabella1[Impo],Tabella1[DATA],R$1,Tabella1[DescrBil2],$N3)</f>
        <v>361336.99</v>
      </c>
    </row>
    <row r="4" spans="1:19" x14ac:dyDescent="0.45">
      <c r="A4" t="s">
        <v>12</v>
      </c>
      <c r="B4" t="s">
        <v>13</v>
      </c>
      <c r="C4" s="2">
        <v>31710.99</v>
      </c>
      <c r="D4" s="1">
        <v>44926</v>
      </c>
      <c r="E4" s="6">
        <v>32</v>
      </c>
      <c r="F4" t="s">
        <v>8</v>
      </c>
      <c r="G4" s="6">
        <v>20</v>
      </c>
      <c r="H4" t="s">
        <v>9</v>
      </c>
      <c r="K4" t="s">
        <v>13</v>
      </c>
      <c r="M4">
        <v>22</v>
      </c>
      <c r="N4" t="str">
        <f>+_xlfn.XLOOKUP(M4,Tabella1[Cod],Tabella1[DescrBil2],"",0)</f>
        <v>FDO IMM. MAT.</v>
      </c>
      <c r="O4" s="7">
        <f>+SUMIFS(Tabella1[Impo],Tabella1[DATA],O$1,Tabella1[DescrBil2],$N4)</f>
        <v>-239996.9</v>
      </c>
      <c r="P4" s="7">
        <f>+SUMIFS(Tabella1[Impo],Tabella1[DATA],P$1,Tabella1[DescrBil2],$N4)</f>
        <v>-235118.80000000002</v>
      </c>
      <c r="Q4" s="7">
        <f>+SUMIFS(Tabella1[Impo],Tabella1[DATA],Q$1,Tabella1[DescrBil2],$N4)</f>
        <v>-254197.82</v>
      </c>
      <c r="R4" s="7">
        <f>+SUMIFS(Tabella1[Impo],Tabella1[DATA],R$1,Tabella1[DescrBil2],$N4)</f>
        <v>-266746.56000000006</v>
      </c>
    </row>
    <row r="5" spans="1:19" x14ac:dyDescent="0.45">
      <c r="A5" t="s">
        <v>14</v>
      </c>
      <c r="B5" t="s">
        <v>15</v>
      </c>
      <c r="C5" s="2">
        <v>7592.62</v>
      </c>
      <c r="D5" s="1">
        <v>44926</v>
      </c>
      <c r="E5" s="6">
        <v>32</v>
      </c>
      <c r="F5" t="s">
        <v>8</v>
      </c>
      <c r="G5" s="6">
        <v>20</v>
      </c>
      <c r="H5" t="s">
        <v>9</v>
      </c>
      <c r="K5" t="s">
        <v>15</v>
      </c>
      <c r="M5">
        <v>36</v>
      </c>
      <c r="N5" t="str">
        <f>+_xlfn.XLOOKUP(M5,Tabella1[Cod],Tabella1[DescrBil2],"",0)</f>
        <v>PRODOTTI FINITI E SL</v>
      </c>
      <c r="O5" s="7">
        <f>+SUMIFS(Tabella1[Impo],Tabella1[DATA],O$1,Tabella1[DescrBil2],$N5)</f>
        <v>438998.74</v>
      </c>
      <c r="P5" s="7">
        <f>+SUMIFS(Tabella1[Impo],Tabella1[DATA],P$1,Tabella1[DescrBil2],$N5)</f>
        <v>581162.96</v>
      </c>
      <c r="Q5" s="7">
        <f>+SUMIFS(Tabella1[Impo],Tabella1[DATA],Q$1,Tabella1[DescrBil2],$N5)</f>
        <v>702399.96</v>
      </c>
      <c r="R5" s="7">
        <f>+SUMIFS(Tabella1[Impo],Tabella1[DATA],R$1,Tabella1[DescrBil2],$N5)</f>
        <v>777789.28999999992</v>
      </c>
    </row>
    <row r="6" spans="1:19" x14ac:dyDescent="0.45">
      <c r="A6" t="s">
        <v>16</v>
      </c>
      <c r="B6" t="s">
        <v>17</v>
      </c>
      <c r="C6" s="2">
        <v>42547.01</v>
      </c>
      <c r="D6" s="1">
        <v>44926</v>
      </c>
      <c r="E6" s="6">
        <v>32</v>
      </c>
      <c r="F6" t="s">
        <v>8</v>
      </c>
      <c r="G6" s="6">
        <v>20</v>
      </c>
      <c r="H6" t="s">
        <v>9</v>
      </c>
      <c r="K6" t="s">
        <v>17</v>
      </c>
      <c r="M6">
        <v>50</v>
      </c>
      <c r="N6" t="str">
        <f>+_xlfn.XLOOKUP(M6,Tabella1[Cod],Tabella1[DescrBil2],"",0)</f>
        <v xml:space="preserve">CREDITI COMMERCIALI </v>
      </c>
      <c r="O6" s="7">
        <f>+SUMIFS(Tabella1[Impo],Tabella1[DATA],O$1,Tabella1[DescrBil2],$N6)</f>
        <v>763671.8400000002</v>
      </c>
      <c r="P6" s="7">
        <f>+SUMIFS(Tabella1[Impo],Tabella1[DATA],P$1,Tabella1[DescrBil2],$N6)</f>
        <v>705622.96000000008</v>
      </c>
      <c r="Q6" s="7">
        <f>+SUMIFS(Tabella1[Impo],Tabella1[DATA],Q$1,Tabella1[DescrBil2],$N6)</f>
        <v>826088.05000000051</v>
      </c>
      <c r="R6" s="7">
        <f>+SUMIFS(Tabella1[Impo],Tabella1[DATA],R$1,Tabella1[DescrBil2],$N6)</f>
        <v>662290.70999999985</v>
      </c>
    </row>
    <row r="7" spans="1:19" x14ac:dyDescent="0.45">
      <c r="A7" t="s">
        <v>18</v>
      </c>
      <c r="B7" t="s">
        <v>19</v>
      </c>
      <c r="C7" s="2">
        <v>3612.99</v>
      </c>
      <c r="D7" s="1">
        <v>44926</v>
      </c>
      <c r="E7" s="6">
        <v>32</v>
      </c>
      <c r="F7" t="s">
        <v>8</v>
      </c>
      <c r="G7" s="6">
        <v>20</v>
      </c>
      <c r="H7" t="s">
        <v>9</v>
      </c>
      <c r="K7" t="s">
        <v>19</v>
      </c>
      <c r="M7">
        <v>60</v>
      </c>
      <c r="N7" t="str">
        <f>+_xlfn.XLOOKUP(M7,Tabella1[Cod],Tabella1[DescrBil2],"",0)</f>
        <v>ALTRI CREDITI E RATEI E RISC.</v>
      </c>
      <c r="O7" s="7">
        <f>+SUMIFS(Tabella1[Impo],Tabella1[DATA],O$1,Tabella1[DescrBil2],$N7)</f>
        <v>258068.90000000002</v>
      </c>
      <c r="P7" s="7">
        <f>+SUMIFS(Tabella1[Impo],Tabella1[DATA],P$1,Tabella1[DescrBil2],$N7)</f>
        <v>372296.8</v>
      </c>
      <c r="Q7" s="7">
        <f>+SUMIFS(Tabella1[Impo],Tabella1[DATA],Q$1,Tabella1[DescrBil2],$N7)</f>
        <v>306145.40999999997</v>
      </c>
      <c r="R7" s="7">
        <f>+SUMIFS(Tabella1[Impo],Tabella1[DATA],R$1,Tabella1[DescrBil2],$N7)</f>
        <v>357014.63</v>
      </c>
    </row>
    <row r="8" spans="1:19" x14ac:dyDescent="0.45">
      <c r="A8" t="s">
        <v>20</v>
      </c>
      <c r="B8" t="s">
        <v>21</v>
      </c>
      <c r="C8" s="2">
        <v>224.57</v>
      </c>
      <c r="D8" s="1">
        <v>44926</v>
      </c>
      <c r="E8" s="6">
        <v>32</v>
      </c>
      <c r="F8" t="s">
        <v>8</v>
      </c>
      <c r="G8" s="6">
        <v>20</v>
      </c>
      <c r="H8" t="s">
        <v>9</v>
      </c>
      <c r="K8" t="s">
        <v>21</v>
      </c>
      <c r="M8">
        <v>70</v>
      </c>
      <c r="N8" t="str">
        <f>+_xlfn.XLOOKUP(M8,Tabella1[Cod],Tabella1[DescrBil2],"",0)</f>
        <v xml:space="preserve">ALTRE ATTIVITA' CIRCOLANTI </v>
      </c>
      <c r="O8" s="7">
        <f>+SUMIFS(Tabella1[Impo],Tabella1[DATA],O$1,Tabella1[DescrBil2],$N8)</f>
        <v>0</v>
      </c>
      <c r="P8" s="7">
        <f>+SUMIFS(Tabella1[Impo],Tabella1[DATA],P$1,Tabella1[DescrBil2],$N8)</f>
        <v>0</v>
      </c>
      <c r="Q8" s="7">
        <f>+SUMIFS(Tabella1[Impo],Tabella1[DATA],Q$1,Tabella1[DescrBil2],$N8)</f>
        <v>0</v>
      </c>
      <c r="R8" s="7">
        <f>+SUMIFS(Tabella1[Impo],Tabella1[DATA],R$1,Tabella1[DescrBil2],$N8)</f>
        <v>5988</v>
      </c>
    </row>
    <row r="9" spans="1:19" x14ac:dyDescent="0.45">
      <c r="A9" t="s">
        <v>22</v>
      </c>
      <c r="B9" t="s">
        <v>23</v>
      </c>
      <c r="C9" s="2">
        <v>496.69000000000005</v>
      </c>
      <c r="D9" s="1">
        <v>44926</v>
      </c>
      <c r="E9" s="6">
        <v>32</v>
      </c>
      <c r="F9" t="s">
        <v>8</v>
      </c>
      <c r="G9" s="6">
        <v>20</v>
      </c>
      <c r="H9" t="s">
        <v>9</v>
      </c>
      <c r="K9" t="s">
        <v>23</v>
      </c>
      <c r="M9">
        <v>80</v>
      </c>
      <c r="N9" t="str">
        <f>+_xlfn.XLOOKUP(M9,Tabella1[Cod],Tabella1[DescrBil2],"",0)</f>
        <v xml:space="preserve">CASSA E BANCHE </v>
      </c>
      <c r="O9" s="7">
        <f>+SUMIFS(Tabella1[Impo],Tabella1[DATA],O$1,Tabella1[DescrBil2],$N9)</f>
        <v>72.339999999999861</v>
      </c>
      <c r="P9" s="7">
        <f>+SUMIFS(Tabella1[Impo],Tabella1[DATA],P$1,Tabella1[DescrBil2],$N9)</f>
        <v>110.64000000000033</v>
      </c>
      <c r="Q9" s="7">
        <f>+SUMIFS(Tabella1[Impo],Tabella1[DATA],Q$1,Tabella1[DescrBil2],$N9)</f>
        <v>765.92000000000007</v>
      </c>
      <c r="R9" s="7">
        <f>+SUMIFS(Tabella1[Impo],Tabella1[DATA],R$1,Tabella1[DescrBil2],$N9)</f>
        <v>49143.609999999993</v>
      </c>
      <c r="S9" s="7">
        <f>+SUM(O2:O9)</f>
        <v>1820890.5400000003</v>
      </c>
    </row>
    <row r="10" spans="1:19" x14ac:dyDescent="0.45">
      <c r="A10" t="s">
        <v>24</v>
      </c>
      <c r="B10" t="s">
        <v>25</v>
      </c>
      <c r="C10" s="2">
        <v>14700</v>
      </c>
      <c r="D10" s="1">
        <v>44926</v>
      </c>
      <c r="E10" s="6">
        <v>32</v>
      </c>
      <c r="F10" t="s">
        <v>8</v>
      </c>
      <c r="G10" s="6">
        <v>20</v>
      </c>
      <c r="H10" t="s">
        <v>9</v>
      </c>
      <c r="K10" t="s">
        <v>25</v>
      </c>
      <c r="M10">
        <v>90</v>
      </c>
      <c r="N10" t="str">
        <f>+_xlfn.XLOOKUP(M10,Tabella1[Cod],Tabella1[DescrBil2],"",0)</f>
        <v>CAPITALE</v>
      </c>
      <c r="O10" s="7">
        <f>+SUMIFS(Tabella1[Impo],Tabella1[DATA],O$1,Tabella1[DescrBil2],$N10)</f>
        <v>-100000</v>
      </c>
      <c r="P10" s="7">
        <f>+SUMIFS(Tabella1[Impo],Tabella1[DATA],P$1,Tabella1[DescrBil2],$N10)</f>
        <v>-100000</v>
      </c>
      <c r="Q10" s="7">
        <f>+SUMIFS(Tabella1[Impo],Tabella1[DATA],Q$1,Tabella1[DescrBil2],$N10)</f>
        <v>-100000</v>
      </c>
      <c r="R10" s="7">
        <f>+SUMIFS(Tabella1[Impo],Tabella1[DATA],R$1,Tabella1[DescrBil2],$N10)</f>
        <v>-100000</v>
      </c>
    </row>
    <row r="11" spans="1:19" x14ac:dyDescent="0.45">
      <c r="A11" t="s">
        <v>26</v>
      </c>
      <c r="B11" t="s">
        <v>27</v>
      </c>
      <c r="C11" s="2">
        <v>9647.16</v>
      </c>
      <c r="D11" s="1">
        <v>44926</v>
      </c>
      <c r="E11" s="6">
        <v>32</v>
      </c>
      <c r="F11" t="s">
        <v>8</v>
      </c>
      <c r="G11" s="6">
        <v>20</v>
      </c>
      <c r="H11" t="s">
        <v>9</v>
      </c>
      <c r="K11" t="s">
        <v>27</v>
      </c>
      <c r="M11">
        <v>110</v>
      </c>
      <c r="N11" t="str">
        <f>+_xlfn.XLOOKUP(M11,Tabella1[Cod],Tabella1[DescrBil2],"",0)</f>
        <v>RISERVA LEGALE</v>
      </c>
      <c r="O11" s="7">
        <f>+SUMIFS(Tabella1[Impo],Tabella1[DATA],O$1,Tabella1[DescrBil2],$N11)</f>
        <v>-20000</v>
      </c>
      <c r="P11" s="7">
        <f>+SUMIFS(Tabella1[Impo],Tabella1[DATA],P$1,Tabella1[DescrBil2],$N11)</f>
        <v>-20000</v>
      </c>
      <c r="Q11" s="7">
        <f>+SUMIFS(Tabella1[Impo],Tabella1[DATA],Q$1,Tabella1[DescrBil2],$N11)</f>
        <v>-20000</v>
      </c>
      <c r="R11" s="7">
        <f>+SUMIFS(Tabella1[Impo],Tabella1[DATA],R$1,Tabella1[DescrBil2],$N11)</f>
        <v>-20000</v>
      </c>
    </row>
    <row r="12" spans="1:19" x14ac:dyDescent="0.45">
      <c r="A12" t="s">
        <v>28</v>
      </c>
      <c r="B12" t="s">
        <v>29</v>
      </c>
      <c r="C12" s="2">
        <v>28492.37</v>
      </c>
      <c r="D12" s="1">
        <v>44926</v>
      </c>
      <c r="E12" s="6">
        <v>32</v>
      </c>
      <c r="F12" t="s">
        <v>8</v>
      </c>
      <c r="G12" s="6">
        <v>20</v>
      </c>
      <c r="H12" t="s">
        <v>9</v>
      </c>
      <c r="K12" t="s">
        <v>29</v>
      </c>
      <c r="M12">
        <v>120</v>
      </c>
      <c r="N12" t="str">
        <f>+_xlfn.XLOOKUP(M12,Tabella1[Cod],Tabella1[DescrBil2],"",0)</f>
        <v>ALTRE RISERVE</v>
      </c>
      <c r="O12" s="7">
        <f>+SUMIFS(Tabella1[Impo],Tabella1[DATA],O$1,Tabella1[DescrBil2],$N12)</f>
        <v>-74732.679999999993</v>
      </c>
      <c r="P12" s="7">
        <f>+SUMIFS(Tabella1[Impo],Tabella1[DATA],P$1,Tabella1[DescrBil2],$N12)</f>
        <v>-125450.44</v>
      </c>
      <c r="Q12" s="7">
        <f>+SUMIFS(Tabella1[Impo],Tabella1[DATA],Q$1,Tabella1[DescrBil2],$N12)</f>
        <v>-139812.41</v>
      </c>
      <c r="R12" s="7">
        <f>+SUMIFS(Tabella1[Impo],Tabella1[DATA],R$1,Tabella1[DescrBil2],$N12)</f>
        <v>-139812.41</v>
      </c>
    </row>
    <row r="13" spans="1:19" x14ac:dyDescent="0.45">
      <c r="A13" t="s">
        <v>30</v>
      </c>
      <c r="B13" t="s">
        <v>31</v>
      </c>
      <c r="C13" s="2">
        <v>5343.01</v>
      </c>
      <c r="D13" s="1">
        <v>44926</v>
      </c>
      <c r="E13" s="6">
        <v>32</v>
      </c>
      <c r="F13" t="s">
        <v>8</v>
      </c>
      <c r="G13" s="6">
        <v>20</v>
      </c>
      <c r="H13" t="s">
        <v>9</v>
      </c>
      <c r="K13" t="s">
        <v>31</v>
      </c>
      <c r="M13">
        <v>140</v>
      </c>
      <c r="N13" t="str">
        <f>+_xlfn.XLOOKUP(M13,Tabella1[Cod],Tabella1[DescrBil2],"",0)</f>
        <v>RISULTATI ES. PRECEDENTI</v>
      </c>
      <c r="O13" s="7">
        <f>+SUMIFS(Tabella1[Impo],Tabella1[DATA],O$1,Tabella1[DescrBil2],$N13)</f>
        <v>-21096.55</v>
      </c>
      <c r="P13" s="7">
        <f>+SUMIFS(Tabella1[Impo],Tabella1[DATA],P$1,Tabella1[DescrBil2],$N13)</f>
        <v>0</v>
      </c>
      <c r="Q13" s="7">
        <f>+SUMIFS(Tabella1[Impo],Tabella1[DATA],Q$1,Tabella1[DescrBil2],$N13)</f>
        <v>0</v>
      </c>
      <c r="R13" s="7">
        <f>+SUMIFS(Tabella1[Impo],Tabella1[DATA],R$1,Tabella1[DescrBil2],$N13)</f>
        <v>-9290.2999999999993</v>
      </c>
    </row>
    <row r="14" spans="1:19" x14ac:dyDescent="0.45">
      <c r="A14" t="s">
        <v>32</v>
      </c>
      <c r="B14" t="s">
        <v>33</v>
      </c>
      <c r="C14" s="2">
        <v>3324.17</v>
      </c>
      <c r="D14" s="1">
        <v>44926</v>
      </c>
      <c r="E14" s="6">
        <v>32</v>
      </c>
      <c r="F14" t="s">
        <v>8</v>
      </c>
      <c r="G14" s="6">
        <v>20</v>
      </c>
      <c r="H14" t="s">
        <v>9</v>
      </c>
      <c r="K14" t="s">
        <v>33</v>
      </c>
      <c r="M14">
        <v>160</v>
      </c>
      <c r="N14" t="str">
        <f>+_xlfn.XLOOKUP(M14,Tabella1[Cod],Tabella1[DescrBil2],"",0)</f>
        <v>FONDI RISCHI</v>
      </c>
      <c r="O14" s="7">
        <f>+SUMIFS(Tabella1[Impo],Tabella1[DATA],O$1,Tabella1[DescrBil2],$N14)</f>
        <v>-33978.39</v>
      </c>
      <c r="P14" s="7">
        <f>+SUMIFS(Tabella1[Impo],Tabella1[DATA],P$1,Tabella1[DescrBil2],$N14)</f>
        <v>-37654.39</v>
      </c>
      <c r="Q14" s="7">
        <f>+SUMIFS(Tabella1[Impo],Tabella1[DATA],Q$1,Tabella1[DescrBil2],$N14)</f>
        <v>-33975.129999999997</v>
      </c>
      <c r="R14" s="7">
        <f>+SUMIFS(Tabella1[Impo],Tabella1[DATA],R$1,Tabella1[DescrBil2],$N14)</f>
        <v>-34044.129999999997</v>
      </c>
    </row>
    <row r="15" spans="1:19" x14ac:dyDescent="0.45">
      <c r="A15" t="s">
        <v>34</v>
      </c>
      <c r="B15" t="s">
        <v>35</v>
      </c>
      <c r="C15" s="2">
        <v>1005</v>
      </c>
      <c r="D15" s="1">
        <v>44926</v>
      </c>
      <c r="E15" s="6">
        <v>32</v>
      </c>
      <c r="F15" t="s">
        <v>8</v>
      </c>
      <c r="G15" s="6">
        <v>20</v>
      </c>
      <c r="H15" t="s">
        <v>9</v>
      </c>
      <c r="K15" t="s">
        <v>35</v>
      </c>
      <c r="M15">
        <v>170</v>
      </c>
      <c r="N15" t="str">
        <f>+_xlfn.XLOOKUP(M15,Tabella1[Cod],Tabella1[DescrBil2],"",0)</f>
        <v>TFR</v>
      </c>
      <c r="O15" s="7">
        <f>+SUMIFS(Tabella1[Impo],Tabella1[DATA],O$1,Tabella1[DescrBil2],$N15)</f>
        <v>-224250.58</v>
      </c>
      <c r="P15" s="7">
        <f>+SUMIFS(Tabella1[Impo],Tabella1[DATA],P$1,Tabella1[DescrBil2],$N15)</f>
        <v>-215805.40999999997</v>
      </c>
      <c r="Q15" s="7">
        <f>+SUMIFS(Tabella1[Impo],Tabella1[DATA],Q$1,Tabella1[DescrBil2],$N15)</f>
        <v>-223219.58000000007</v>
      </c>
      <c r="R15" s="7">
        <f>+SUMIFS(Tabella1[Impo],Tabella1[DATA],R$1,Tabella1[DescrBil2],$N15)</f>
        <v>-219941.58</v>
      </c>
    </row>
    <row r="16" spans="1:19" x14ac:dyDescent="0.45">
      <c r="A16" t="s">
        <v>36</v>
      </c>
      <c r="B16" t="s">
        <v>37</v>
      </c>
      <c r="C16" s="2">
        <v>131641.22999999998</v>
      </c>
      <c r="D16" s="1">
        <v>44926</v>
      </c>
      <c r="E16" s="6">
        <v>32</v>
      </c>
      <c r="F16" t="s">
        <v>8</v>
      </c>
      <c r="G16" s="6">
        <v>20</v>
      </c>
      <c r="H16" t="s">
        <v>9</v>
      </c>
      <c r="K16" t="s">
        <v>37</v>
      </c>
      <c r="M16">
        <v>180</v>
      </c>
      <c r="N16" t="str">
        <f>+_xlfn.XLOOKUP(M16,Tabella1[Cod],Tabella1[DescrBil2],"",0)</f>
        <v>DEBITI VS BANCHE A MEDIO LUNGO T.</v>
      </c>
      <c r="O16" s="7">
        <f>+SUMIFS(Tabella1[Impo],Tabella1[DATA],O$1,Tabella1[DescrBil2],$N16)</f>
        <v>0</v>
      </c>
      <c r="P16" s="7">
        <f>+SUMIFS(Tabella1[Impo],Tabella1[DATA],P$1,Tabella1[DescrBil2],$N16)</f>
        <v>-150000</v>
      </c>
      <c r="Q16" s="7">
        <f>+SUMIFS(Tabella1[Impo],Tabella1[DATA],Q$1,Tabella1[DescrBil2],$N16)</f>
        <v>-310875.06</v>
      </c>
      <c r="R16" s="7">
        <f>+SUMIFS(Tabella1[Impo],Tabella1[DATA],R$1,Tabella1[DescrBil2],$N16)</f>
        <v>-239153.94</v>
      </c>
    </row>
    <row r="17" spans="1:19" x14ac:dyDescent="0.45">
      <c r="A17" t="s">
        <v>38</v>
      </c>
      <c r="B17" t="s">
        <v>39</v>
      </c>
      <c r="C17" s="2">
        <v>20776</v>
      </c>
      <c r="D17" s="1">
        <v>44926</v>
      </c>
      <c r="E17" s="6">
        <v>32</v>
      </c>
      <c r="F17" t="s">
        <v>8</v>
      </c>
      <c r="G17" s="6">
        <v>20</v>
      </c>
      <c r="H17" t="s">
        <v>9</v>
      </c>
      <c r="K17" t="s">
        <v>39</v>
      </c>
      <c r="M17">
        <v>190</v>
      </c>
      <c r="N17" t="str">
        <f>+_xlfn.XLOOKUP(M17,Tabella1[Cod],Tabella1[DescrBil2],"",0)</f>
        <v>DEBITI TRIB. E CONTRIB. RATEIZZATI OLTRE ES.</v>
      </c>
      <c r="O17" s="7">
        <f>+SUMIFS(Tabella1[Impo],Tabella1[DATA],O$1,Tabella1[DescrBil2],$N17)</f>
        <v>0</v>
      </c>
      <c r="P17" s="7">
        <f>+SUMIFS(Tabella1[Impo],Tabella1[DATA],P$1,Tabella1[DescrBil2],$N17)</f>
        <v>14266.58</v>
      </c>
      <c r="Q17" s="7">
        <f>+SUMIFS(Tabella1[Impo],Tabella1[DATA],Q$1,Tabella1[DescrBil2],$N17)</f>
        <v>0</v>
      </c>
      <c r="R17" s="7">
        <f>+SUMIFS(Tabella1[Impo],Tabella1[DATA],R$1,Tabella1[DescrBil2],$N17)</f>
        <v>-10094.52</v>
      </c>
    </row>
    <row r="18" spans="1:19" x14ac:dyDescent="0.45">
      <c r="A18" t="s">
        <v>40</v>
      </c>
      <c r="B18" t="s">
        <v>41</v>
      </c>
      <c r="C18" s="2">
        <v>348</v>
      </c>
      <c r="D18" s="1">
        <v>44926</v>
      </c>
      <c r="E18" s="6">
        <v>32</v>
      </c>
      <c r="F18" t="s">
        <v>8</v>
      </c>
      <c r="G18" s="6">
        <v>20</v>
      </c>
      <c r="H18" t="s">
        <v>9</v>
      </c>
      <c r="K18" t="s">
        <v>41</v>
      </c>
      <c r="M18">
        <v>200</v>
      </c>
      <c r="N18" t="str">
        <f>+_xlfn.XLOOKUP(M18,Tabella1[Cod],Tabella1[DescrBil2],"",0)</f>
        <v>ACCONTI</v>
      </c>
      <c r="O18" s="7">
        <f>+SUMIFS(Tabella1[Impo],Tabella1[DATA],O$1,Tabella1[DescrBil2],$N18)</f>
        <v>0</v>
      </c>
      <c r="P18" s="7">
        <f>+SUMIFS(Tabella1[Impo],Tabella1[DATA],P$1,Tabella1[DescrBil2],$N18)</f>
        <v>0</v>
      </c>
      <c r="Q18" s="7">
        <f>+SUMIFS(Tabella1[Impo],Tabella1[DATA],Q$1,Tabella1[DescrBil2],$N18)</f>
        <v>0</v>
      </c>
      <c r="R18" s="7">
        <f>+SUMIFS(Tabella1[Impo],Tabella1[DATA],R$1,Tabella1[DescrBil2],$N18)</f>
        <v>-1669.7799999999997</v>
      </c>
    </row>
    <row r="19" spans="1:19" x14ac:dyDescent="0.45">
      <c r="A19" t="s">
        <v>42</v>
      </c>
      <c r="B19" t="s">
        <v>43</v>
      </c>
      <c r="C19" s="2">
        <v>6300</v>
      </c>
      <c r="D19" s="1">
        <v>44926</v>
      </c>
      <c r="E19" s="6">
        <v>32</v>
      </c>
      <c r="F19" t="s">
        <v>8</v>
      </c>
      <c r="G19" s="6">
        <v>20</v>
      </c>
      <c r="H19" t="s">
        <v>9</v>
      </c>
      <c r="K19" t="s">
        <v>43</v>
      </c>
      <c r="M19">
        <v>210</v>
      </c>
      <c r="N19" t="str">
        <f>+_xlfn.XLOOKUP(M19,Tabella1[Cod],Tabella1[DescrBil2],"",0)</f>
        <v>FORNITORI</v>
      </c>
      <c r="O19" s="7">
        <f>+SUMIFS(Tabella1[Impo],Tabella1[DATA],O$1,Tabella1[DescrBil2],$N19)</f>
        <v>-411818.47999999986</v>
      </c>
      <c r="P19" s="7">
        <f>+SUMIFS(Tabella1[Impo],Tabella1[DATA],P$1,Tabella1[DescrBil2],$N19)</f>
        <v>-477232.75000000012</v>
      </c>
      <c r="Q19" s="7">
        <f>+SUMIFS(Tabella1[Impo],Tabella1[DATA],Q$1,Tabella1[DescrBil2],$N19)</f>
        <v>-475934.26000000077</v>
      </c>
      <c r="R19" s="7">
        <f>+SUMIFS(Tabella1[Impo],Tabella1[DATA],R$1,Tabella1[DescrBil2],$N19)</f>
        <v>-555352.16</v>
      </c>
    </row>
    <row r="20" spans="1:19" x14ac:dyDescent="0.45">
      <c r="A20" t="s">
        <v>44</v>
      </c>
      <c r="B20" t="s">
        <v>45</v>
      </c>
      <c r="C20" s="2">
        <v>20175.2</v>
      </c>
      <c r="D20" s="1">
        <v>44926</v>
      </c>
      <c r="E20" s="6">
        <v>16</v>
      </c>
      <c r="F20" t="s">
        <v>46</v>
      </c>
      <c r="G20" s="6">
        <v>10</v>
      </c>
      <c r="H20" t="s">
        <v>47</v>
      </c>
      <c r="K20" t="s">
        <v>45</v>
      </c>
      <c r="M20">
        <v>220</v>
      </c>
      <c r="N20" t="str">
        <f>+_xlfn.XLOOKUP(M20,Tabella1[Cod],Tabella1[DescrBil2],"",0)</f>
        <v>DEBITI VS. BANCHE</v>
      </c>
      <c r="O20" s="7">
        <f>+SUMIFS(Tabella1[Impo],Tabella1[DATA],O$1,Tabella1[DescrBil2],$N20)</f>
        <v>-832725.58000000042</v>
      </c>
      <c r="P20" s="7">
        <f>+SUMIFS(Tabella1[Impo],Tabella1[DATA],P$1,Tabella1[DescrBil2],$N20)</f>
        <v>-755572.45000000019</v>
      </c>
      <c r="Q20" s="7">
        <f>+SUMIFS(Tabella1[Impo],Tabella1[DATA],Q$1,Tabella1[DescrBil2],$N20)</f>
        <v>-733676.8400000002</v>
      </c>
      <c r="R20" s="7">
        <f>+SUMIFS(Tabella1[Impo],Tabella1[DATA],R$1,Tabella1[DescrBil2],$N20)</f>
        <v>-671823.80999999994</v>
      </c>
    </row>
    <row r="21" spans="1:19" x14ac:dyDescent="0.45">
      <c r="A21" t="s">
        <v>48</v>
      </c>
      <c r="B21" t="s">
        <v>49</v>
      </c>
      <c r="C21" s="2">
        <v>251.84999999999997</v>
      </c>
      <c r="D21" s="1">
        <v>44926</v>
      </c>
      <c r="E21" s="6">
        <v>16</v>
      </c>
      <c r="F21" t="s">
        <v>46</v>
      </c>
      <c r="G21" s="6">
        <v>10</v>
      </c>
      <c r="H21" t="s">
        <v>47</v>
      </c>
      <c r="K21" t="s">
        <v>49</v>
      </c>
      <c r="M21">
        <v>230</v>
      </c>
      <c r="N21" t="str">
        <f>+_xlfn.XLOOKUP(M21,Tabella1[Cod],Tabella1[DescrBil2],"",0)</f>
        <v>DEBITI TRIBUTARI E CONTRIBUTIVI</v>
      </c>
      <c r="O21" s="7">
        <f>+SUMIFS(Tabella1[Impo],Tabella1[DATA],O$1,Tabella1[DescrBil2],$N21)</f>
        <v>-30240.610000000004</v>
      </c>
      <c r="P21" s="7">
        <f>+SUMIFS(Tabella1[Impo],Tabella1[DATA],P$1,Tabella1[DescrBil2],$N21)</f>
        <v>-30090.839999999997</v>
      </c>
      <c r="Q21" s="7">
        <f>+SUMIFS(Tabella1[Impo],Tabella1[DATA],Q$1,Tabella1[DescrBil2],$N21)</f>
        <v>-21247.800000000007</v>
      </c>
      <c r="R21" s="7">
        <f>+SUMIFS(Tabella1[Impo],Tabella1[DATA],R$1,Tabella1[DescrBil2],$N21)</f>
        <v>-26176.559999999998</v>
      </c>
    </row>
    <row r="22" spans="1:19" x14ac:dyDescent="0.45">
      <c r="A22" t="s">
        <v>50</v>
      </c>
      <c r="B22" t="s">
        <v>51</v>
      </c>
      <c r="C22" s="2">
        <v>1162.3600000000001</v>
      </c>
      <c r="D22" s="1">
        <v>44926</v>
      </c>
      <c r="E22" s="6">
        <v>16</v>
      </c>
      <c r="F22" t="s">
        <v>46</v>
      </c>
      <c r="G22" s="6">
        <v>10</v>
      </c>
      <c r="H22" t="s">
        <v>47</v>
      </c>
      <c r="K22" t="s">
        <v>51</v>
      </c>
      <c r="M22">
        <v>240</v>
      </c>
      <c r="N22" t="str">
        <f>+_xlfn.XLOOKUP(M22,Tabella1[Cod],Tabella1[DescrBil2],"",0)</f>
        <v>ALTRE PASSIVITA' E RATEI E RISC</v>
      </c>
      <c r="O22" s="7">
        <f>+SUMIFS(Tabella1[Impo],Tabella1[DATA],O$1,Tabella1[DescrBil2],$N22)</f>
        <v>-41737.089999999997</v>
      </c>
      <c r="P22" s="7">
        <f>+SUMIFS(Tabella1[Impo],Tabella1[DATA],P$1,Tabella1[DescrBil2],$N22)</f>
        <v>-65197.310000000005</v>
      </c>
      <c r="Q22" s="7">
        <f>+SUMIFS(Tabella1[Impo],Tabella1[DATA],Q$1,Tabella1[DescrBil2],$N22)</f>
        <v>-76695.89</v>
      </c>
      <c r="R22" s="7">
        <f>+SUMIFS(Tabella1[Impo],Tabella1[DATA],R$1,Tabella1[DescrBil2],$N22)</f>
        <v>-55831.79</v>
      </c>
      <c r="S22" s="7">
        <f>+SUM(O10:O22)</f>
        <v>-1790579.9600000004</v>
      </c>
    </row>
    <row r="23" spans="1:19" x14ac:dyDescent="0.45">
      <c r="A23" t="s">
        <v>52</v>
      </c>
      <c r="B23" t="s">
        <v>53</v>
      </c>
      <c r="C23" s="2">
        <v>4772.2</v>
      </c>
      <c r="D23" s="1">
        <v>44926</v>
      </c>
      <c r="E23" s="6">
        <v>16</v>
      </c>
      <c r="F23" t="s">
        <v>46</v>
      </c>
      <c r="G23" s="6">
        <v>10</v>
      </c>
      <c r="H23" t="s">
        <v>47</v>
      </c>
      <c r="K23" t="s">
        <v>53</v>
      </c>
      <c r="M23">
        <v>300</v>
      </c>
      <c r="N23" t="str">
        <f>+_xlfn.XLOOKUP(M23,Tabella1[Cod],Tabella1[DescrBil2],"",0)</f>
        <v xml:space="preserve">RICAVI </v>
      </c>
      <c r="O23" s="7">
        <f>+SUMIFS(Tabella1[Impo],Tabella1[DATA],O$1,Tabella1[DescrBil2],$N23)</f>
        <v>-1923444.4200000006</v>
      </c>
      <c r="P23" s="7">
        <f>+SUMIFS(Tabella1[Impo],Tabella1[DATA],P$1,Tabella1[DescrBil2],$N23)</f>
        <v>-1830567.3</v>
      </c>
      <c r="Q23" s="7">
        <f>+SUMIFS(Tabella1[Impo],Tabella1[DATA],Q$1,Tabella1[DescrBil2],$N23)</f>
        <v>-1868782.73</v>
      </c>
      <c r="R23" s="7">
        <f>+SUMIFS(Tabella1[Impo],Tabella1[DATA],R$1,Tabella1[DescrBil2],$N23)</f>
        <v>-1151263.01</v>
      </c>
    </row>
    <row r="24" spans="1:19" x14ac:dyDescent="0.45">
      <c r="A24" t="s">
        <v>54</v>
      </c>
      <c r="B24" t="s">
        <v>55</v>
      </c>
      <c r="C24" s="2">
        <v>3529.6</v>
      </c>
      <c r="D24" s="1">
        <v>44926</v>
      </c>
      <c r="E24" s="6">
        <v>16</v>
      </c>
      <c r="F24" t="s">
        <v>46</v>
      </c>
      <c r="G24" s="6">
        <v>10</v>
      </c>
      <c r="H24" t="s">
        <v>47</v>
      </c>
      <c r="K24" t="s">
        <v>55</v>
      </c>
      <c r="M24">
        <v>315</v>
      </c>
      <c r="N24" t="str">
        <f>+_xlfn.XLOOKUP(M24,Tabella1[Cod],Tabella1[DescrBil2],"",0)</f>
        <v>CONTRIBUTI IN CONTO ESERCIZIO</v>
      </c>
      <c r="O24" s="7">
        <f>+SUMIFS(Tabella1[Impo],Tabella1[DATA],O$1,Tabella1[DescrBil2],$N24)</f>
        <v>-59628.04</v>
      </c>
      <c r="P24" s="7">
        <f>+SUMIFS(Tabella1[Impo],Tabella1[DATA],P$1,Tabella1[DescrBil2],$N24)</f>
        <v>-64703.14</v>
      </c>
      <c r="Q24" s="7">
        <f>+SUMIFS(Tabella1[Impo],Tabella1[DATA],Q$1,Tabella1[DescrBil2],$N24)</f>
        <v>-73519.87</v>
      </c>
      <c r="R24" s="7">
        <f>+SUMIFS(Tabella1[Impo],Tabella1[DATA],R$1,Tabella1[DescrBil2],$N24)</f>
        <v>0</v>
      </c>
    </row>
    <row r="25" spans="1:19" x14ac:dyDescent="0.45">
      <c r="A25" t="s">
        <v>56</v>
      </c>
      <c r="B25" t="s">
        <v>57</v>
      </c>
      <c r="C25" s="2">
        <v>233442.32</v>
      </c>
      <c r="D25" s="1">
        <v>44926</v>
      </c>
      <c r="E25" s="6">
        <v>16</v>
      </c>
      <c r="F25" t="s">
        <v>46</v>
      </c>
      <c r="G25" s="6">
        <v>10</v>
      </c>
      <c r="H25" t="s">
        <v>47</v>
      </c>
      <c r="K25" t="s">
        <v>57</v>
      </c>
      <c r="M25">
        <v>320</v>
      </c>
      <c r="N25" t="str">
        <f>+_xlfn.XLOOKUP(M25,Tabella1[Cod],Tabella1[DescrBil2],"",0)</f>
        <v>ALTRI RICAVI</v>
      </c>
      <c r="O25" s="7">
        <f>+SUMIFS(Tabella1[Impo],Tabella1[DATA],O$1,Tabella1[DescrBil2],$N25)</f>
        <v>-20135.700000000004</v>
      </c>
      <c r="P25" s="7">
        <f>+SUMIFS(Tabella1[Impo],Tabella1[DATA],P$1,Tabella1[DescrBil2],$N25)</f>
        <v>-81504.98</v>
      </c>
      <c r="Q25" s="7">
        <f>+SUMIFS(Tabella1[Impo],Tabella1[DATA],Q$1,Tabella1[DescrBil2],$N25)</f>
        <v>-116826.28000000003</v>
      </c>
      <c r="R25" s="7">
        <f>+SUMIFS(Tabella1[Impo],Tabella1[DATA],R$1,Tabella1[DescrBil2],$N25)</f>
        <v>-24607.31</v>
      </c>
    </row>
    <row r="26" spans="1:19" x14ac:dyDescent="0.45">
      <c r="A26" t="s">
        <v>58</v>
      </c>
      <c r="B26" t="s">
        <v>59</v>
      </c>
      <c r="C26" s="2">
        <v>3726</v>
      </c>
      <c r="D26" s="1">
        <v>44926</v>
      </c>
      <c r="E26" s="6">
        <v>16</v>
      </c>
      <c r="F26" t="s">
        <v>46</v>
      </c>
      <c r="G26" s="6">
        <v>10</v>
      </c>
      <c r="H26" t="s">
        <v>47</v>
      </c>
      <c r="K26" t="s">
        <v>59</v>
      </c>
      <c r="M26">
        <v>330</v>
      </c>
      <c r="N26" t="str">
        <f>+_xlfn.XLOOKUP(M26,Tabella1[Cod],Tabella1[DescrBil2],"",0)</f>
        <v>COSTI PER MATERIE PRIME SUSS. E DI CONS. E DI MERCI</v>
      </c>
      <c r="O26" s="7">
        <f>+SUMIFS(Tabella1[Impo],Tabella1[DATA],O$1,Tabella1[DescrBil2],$N26)</f>
        <v>952341.01000000036</v>
      </c>
      <c r="P26" s="7">
        <f>+SUMIFS(Tabella1[Impo],Tabella1[DATA],P$1,Tabella1[DescrBil2],$N26)</f>
        <v>1057718.4099999999</v>
      </c>
      <c r="Q26" s="7">
        <f>+SUMIFS(Tabella1[Impo],Tabella1[DATA],Q$1,Tabella1[DescrBil2],$N26)</f>
        <v>970209.29000000074</v>
      </c>
      <c r="R26" s="7">
        <f>+SUMIFS(Tabella1[Impo],Tabella1[DATA],R$1,Tabella1[DescrBil2],$N26)</f>
        <v>701497.97</v>
      </c>
    </row>
    <row r="27" spans="1:19" x14ac:dyDescent="0.45">
      <c r="A27" t="s">
        <v>60</v>
      </c>
      <c r="B27" t="s">
        <v>61</v>
      </c>
      <c r="C27" s="2">
        <v>316419.74000000022</v>
      </c>
      <c r="D27" s="1">
        <v>44926</v>
      </c>
      <c r="E27" s="6">
        <v>101</v>
      </c>
      <c r="F27" t="s">
        <v>62</v>
      </c>
      <c r="G27" s="6">
        <v>50</v>
      </c>
      <c r="H27" t="s">
        <v>63</v>
      </c>
      <c r="K27" t="s">
        <v>61</v>
      </c>
      <c r="M27">
        <v>340</v>
      </c>
      <c r="N27" t="str">
        <f>+_xlfn.XLOOKUP(M27,Tabella1[Cod],Tabella1[DescrBil2],"",0)</f>
        <v>VARIAZIONE RIMANENZE MP E MERCI</v>
      </c>
      <c r="O27" s="7">
        <f>+SUMIFS(Tabella1[Impo],Tabella1[DATA],O$1,Tabella1[DescrBil2],$N27)</f>
        <v>-92039.359999999986</v>
      </c>
      <c r="P27" s="7">
        <f>+SUMIFS(Tabella1[Impo],Tabella1[DATA],P$1,Tabella1[DescrBil2],$N27)</f>
        <v>-142164.21999999997</v>
      </c>
      <c r="Q27" s="7">
        <f>+SUMIFS(Tabella1[Impo],Tabella1[DATA],Q$1,Tabella1[DescrBil2],$N27)</f>
        <v>-121237</v>
      </c>
      <c r="R27" s="7">
        <f>+SUMIFS(Tabella1[Impo],Tabella1[DATA],R$1,Tabella1[DescrBil2],$N27)</f>
        <v>-75000</v>
      </c>
    </row>
    <row r="28" spans="1:19" x14ac:dyDescent="0.45">
      <c r="A28" t="s">
        <v>64</v>
      </c>
      <c r="B28" t="s">
        <v>65</v>
      </c>
      <c r="C28" s="2">
        <v>72.339999999999861</v>
      </c>
      <c r="D28" s="1">
        <v>44926</v>
      </c>
      <c r="E28" s="6">
        <v>130</v>
      </c>
      <c r="F28" t="s">
        <v>66</v>
      </c>
      <c r="G28" s="6">
        <v>80</v>
      </c>
      <c r="H28" t="s">
        <v>67</v>
      </c>
      <c r="K28" t="s">
        <v>65</v>
      </c>
      <c r="M28">
        <v>356</v>
      </c>
      <c r="N28" t="str">
        <f>+_xlfn.XLOOKUP(M28,Tabella1[Cod],Tabella1[DescrBil2],"",0)</f>
        <v>COSTI VARIABILI INDUSTRIALI</v>
      </c>
      <c r="O28" s="7">
        <f>+SUMIFS(Tabella1[Impo],Tabella1[DATA],O$1,Tabella1[DescrBil2],$N28)</f>
        <v>47962.409999999974</v>
      </c>
      <c r="P28" s="7">
        <f>+SUMIFS(Tabella1[Impo],Tabella1[DATA],P$1,Tabella1[DescrBil2],$N28)</f>
        <v>64309.619999999995</v>
      </c>
      <c r="Q28" s="7">
        <f>+SUMIFS(Tabella1[Impo],Tabella1[DATA],Q$1,Tabella1[DescrBil2],$N28)</f>
        <v>46421.549999999916</v>
      </c>
      <c r="R28" s="7">
        <f>+SUMIFS(Tabella1[Impo],Tabella1[DATA],R$1,Tabella1[DescrBil2],$N28)</f>
        <v>13151.81</v>
      </c>
    </row>
    <row r="29" spans="1:19" x14ac:dyDescent="0.45">
      <c r="A29" t="s">
        <v>68</v>
      </c>
      <c r="B29" t="s">
        <v>69</v>
      </c>
      <c r="C29" s="2">
        <v>-177369.96000000005</v>
      </c>
      <c r="D29" s="1">
        <v>44926</v>
      </c>
      <c r="E29" s="6">
        <v>246</v>
      </c>
      <c r="F29" t="s">
        <v>70</v>
      </c>
      <c r="G29" s="6">
        <v>220</v>
      </c>
      <c r="H29" t="s">
        <v>71</v>
      </c>
      <c r="K29" t="s">
        <v>69</v>
      </c>
      <c r="M29">
        <v>358</v>
      </c>
      <c r="N29" t="str">
        <f>+_xlfn.XLOOKUP(M29,Tabella1[Cod],Tabella1[DescrBil2],"",0)</f>
        <v>COSTI VARIABILI COMMERCIALI</v>
      </c>
      <c r="O29" s="7">
        <f>+SUMIFS(Tabella1[Impo],Tabella1[DATA],O$1,Tabella1[DescrBil2],$N29)</f>
        <v>0</v>
      </c>
      <c r="P29" s="7">
        <f>+SUMIFS(Tabella1[Impo],Tabella1[DATA],P$1,Tabella1[DescrBil2],$N29)</f>
        <v>0</v>
      </c>
      <c r="Q29" s="7">
        <f>+SUMIFS(Tabella1[Impo],Tabella1[DATA],Q$1,Tabella1[DescrBil2],$N29)</f>
        <v>658</v>
      </c>
      <c r="R29" s="7">
        <f>+SUMIFS(Tabella1[Impo],Tabella1[DATA],R$1,Tabella1[DescrBil2],$N29)</f>
        <v>0</v>
      </c>
    </row>
    <row r="30" spans="1:19" x14ac:dyDescent="0.45">
      <c r="A30" t="s">
        <v>72</v>
      </c>
      <c r="B30" t="s">
        <v>73</v>
      </c>
      <c r="C30" s="2">
        <v>174445.68000000002</v>
      </c>
      <c r="D30" s="1">
        <v>44926</v>
      </c>
      <c r="E30" s="6">
        <v>101</v>
      </c>
      <c r="F30" t="s">
        <v>62</v>
      </c>
      <c r="G30" s="6">
        <v>50</v>
      </c>
      <c r="H30" t="s">
        <v>63</v>
      </c>
      <c r="K30" t="s">
        <v>73</v>
      </c>
      <c r="M30">
        <v>362</v>
      </c>
      <c r="N30" t="str">
        <f>+_xlfn.XLOOKUP(M30,Tabella1[Cod],Tabella1[DescrBil2],"",0)</f>
        <v>COSTI FISSI INDUSTRIALI</v>
      </c>
      <c r="O30" s="7">
        <f>+SUMIFS(Tabella1[Impo],Tabella1[DATA],O$1,Tabella1[DescrBil2],$N30)</f>
        <v>33865.78</v>
      </c>
      <c r="P30" s="7">
        <f>+SUMIFS(Tabella1[Impo],Tabella1[DATA],P$1,Tabella1[DescrBil2],$N30)</f>
        <v>26745.550000000003</v>
      </c>
      <c r="Q30" s="7">
        <f>+SUMIFS(Tabella1[Impo],Tabella1[DATA],Q$1,Tabella1[DescrBil2],$N30)</f>
        <v>74229.400000000009</v>
      </c>
      <c r="R30" s="7">
        <f>+SUMIFS(Tabella1[Impo],Tabella1[DATA],R$1,Tabella1[DescrBil2],$N30)</f>
        <v>10229.530000000001</v>
      </c>
    </row>
    <row r="31" spans="1:19" x14ac:dyDescent="0.45">
      <c r="A31" t="s">
        <v>74</v>
      </c>
      <c r="B31" t="s">
        <v>75</v>
      </c>
      <c r="C31" s="2">
        <v>-207020.18000000008</v>
      </c>
      <c r="D31" s="1">
        <v>44926</v>
      </c>
      <c r="E31" s="6">
        <v>246</v>
      </c>
      <c r="F31" t="s">
        <v>70</v>
      </c>
      <c r="G31" s="6">
        <v>220</v>
      </c>
      <c r="H31" t="s">
        <v>71</v>
      </c>
      <c r="K31" t="s">
        <v>75</v>
      </c>
      <c r="M31">
        <v>364</v>
      </c>
      <c r="N31" t="str">
        <f>+_xlfn.XLOOKUP(M31,Tabella1[Cod],Tabella1[DescrBil2],"",0)</f>
        <v>COSTI FISSI COMMERCIALI</v>
      </c>
      <c r="O31" s="7">
        <f>+SUMIFS(Tabella1[Impo],Tabella1[DATA],O$1,Tabella1[DescrBil2],$N31)</f>
        <v>66804.109999999986</v>
      </c>
      <c r="P31" s="7">
        <f>+SUMIFS(Tabella1[Impo],Tabella1[DATA],P$1,Tabella1[DescrBil2],$N31)</f>
        <v>60511.99</v>
      </c>
      <c r="Q31" s="7">
        <f>+SUMIFS(Tabella1[Impo],Tabella1[DATA],Q$1,Tabella1[DescrBil2],$N31)</f>
        <v>68274.3</v>
      </c>
      <c r="R31" s="7">
        <f>+SUMIFS(Tabella1[Impo],Tabella1[DATA],R$1,Tabella1[DescrBil2],$N31)</f>
        <v>27926.7</v>
      </c>
    </row>
    <row r="32" spans="1:19" x14ac:dyDescent="0.45">
      <c r="A32" t="s">
        <v>76</v>
      </c>
      <c r="B32" t="s">
        <v>77</v>
      </c>
      <c r="C32" s="2">
        <v>130506.02000000002</v>
      </c>
      <c r="D32" s="1">
        <v>44926</v>
      </c>
      <c r="E32" s="6">
        <v>101</v>
      </c>
      <c r="F32" t="s">
        <v>62</v>
      </c>
      <c r="G32" s="6">
        <v>50</v>
      </c>
      <c r="H32" t="s">
        <v>63</v>
      </c>
      <c r="K32" t="s">
        <v>77</v>
      </c>
      <c r="M32">
        <v>370</v>
      </c>
      <c r="N32" t="str">
        <f>+_xlfn.XLOOKUP(M32,Tabella1[Cod],Tabella1[DescrBil2],"",0)</f>
        <v>AFFITTI LEASING NOLEGGI</v>
      </c>
      <c r="O32" s="7">
        <f>+SUMIFS(Tabella1[Impo],Tabella1[DATA],O$1,Tabella1[DescrBil2],$N32)</f>
        <v>27592.420000000006</v>
      </c>
      <c r="P32" s="7">
        <f>+SUMIFS(Tabella1[Impo],Tabella1[DATA],P$1,Tabella1[DescrBil2],$N32)</f>
        <v>34907.300000000003</v>
      </c>
      <c r="Q32" s="7">
        <f>+SUMIFS(Tabella1[Impo],Tabella1[DATA],Q$1,Tabella1[DescrBil2],$N32)</f>
        <v>38833.530000000013</v>
      </c>
      <c r="R32" s="7">
        <f>+SUMIFS(Tabella1[Impo],Tabella1[DATA],R$1,Tabella1[DescrBil2],$N32)</f>
        <v>20504.289999999997</v>
      </c>
    </row>
    <row r="33" spans="1:19" x14ac:dyDescent="0.45">
      <c r="A33" t="s">
        <v>78</v>
      </c>
      <c r="B33" t="s">
        <v>79</v>
      </c>
      <c r="C33" s="2">
        <v>-475.78</v>
      </c>
      <c r="D33" s="1">
        <v>44926</v>
      </c>
      <c r="E33" s="6">
        <v>246</v>
      </c>
      <c r="F33" t="s">
        <v>70</v>
      </c>
      <c r="G33" s="6">
        <v>220</v>
      </c>
      <c r="H33" t="s">
        <v>71</v>
      </c>
      <c r="K33" s="3" t="s">
        <v>79</v>
      </c>
      <c r="M33">
        <v>380</v>
      </c>
      <c r="N33" t="str">
        <f>+_xlfn.XLOOKUP(M33,Tabella1[Cod],Tabella1[DescrBil2],"",0)</f>
        <v>ALTRI COSTI E ONERI DIVERSI</v>
      </c>
      <c r="O33" s="7">
        <f>+SUMIFS(Tabella1[Impo],Tabella1[DATA],O$1,Tabella1[DescrBil2],$N33)</f>
        <v>90511.929999999935</v>
      </c>
      <c r="P33" s="7">
        <f>+SUMIFS(Tabella1[Impo],Tabella1[DATA],P$1,Tabella1[DescrBil2],$N33)</f>
        <v>95857.779999999984</v>
      </c>
      <c r="Q33" s="7">
        <f>+SUMIFS(Tabella1[Impo],Tabella1[DATA],Q$1,Tabella1[DescrBil2],$N33)</f>
        <v>126554.8099999999</v>
      </c>
      <c r="R33" s="7">
        <f>+SUMIFS(Tabella1[Impo],Tabella1[DATA],R$1,Tabella1[DescrBil2],$N33)</f>
        <v>44812.41</v>
      </c>
    </row>
    <row r="34" spans="1:19" x14ac:dyDescent="0.45">
      <c r="A34" t="s">
        <v>80</v>
      </c>
      <c r="B34" t="s">
        <v>81</v>
      </c>
      <c r="C34" s="2">
        <v>-4821.9500000000007</v>
      </c>
      <c r="D34" s="1">
        <v>44926</v>
      </c>
      <c r="E34" s="6">
        <v>246</v>
      </c>
      <c r="F34" t="s">
        <v>70</v>
      </c>
      <c r="G34" s="6">
        <v>220</v>
      </c>
      <c r="H34" t="s">
        <v>71</v>
      </c>
      <c r="K34" t="s">
        <v>81</v>
      </c>
      <c r="M34">
        <v>390</v>
      </c>
      <c r="N34" t="str">
        <f>+_xlfn.XLOOKUP(M34,Tabella1[Cod],Tabella1[DescrBil2],"",0)</f>
        <v>COSTO DEL LAVORO DIRETTO</v>
      </c>
      <c r="O34" s="7">
        <f>+SUMIFS(Tabella1[Impo],Tabella1[DATA],O$1,Tabella1[DescrBil2],$N34)</f>
        <v>371827.31999999995</v>
      </c>
      <c r="P34" s="7">
        <f>+SUMIFS(Tabella1[Impo],Tabella1[DATA],P$1,Tabella1[DescrBil2],$N34)</f>
        <v>427144.83000000007</v>
      </c>
      <c r="Q34" s="7">
        <f>+SUMIFS(Tabella1[Impo],Tabella1[DATA],Q$1,Tabella1[DescrBil2],$N34)</f>
        <v>501416.63</v>
      </c>
      <c r="R34" s="7">
        <f>+SUMIFS(Tabella1[Impo],Tabella1[DATA],R$1,Tabella1[DescrBil2],$N34)</f>
        <v>260014.29</v>
      </c>
    </row>
    <row r="35" spans="1:19" x14ac:dyDescent="0.45">
      <c r="A35" t="s">
        <v>82</v>
      </c>
      <c r="B35" t="s">
        <v>83</v>
      </c>
      <c r="C35" s="2">
        <v>-125385.88999999993</v>
      </c>
      <c r="D35" s="1">
        <v>44926</v>
      </c>
      <c r="E35" s="6">
        <v>246</v>
      </c>
      <c r="F35" t="s">
        <v>70</v>
      </c>
      <c r="G35" s="6">
        <v>220</v>
      </c>
      <c r="H35" t="s">
        <v>71</v>
      </c>
      <c r="K35" t="s">
        <v>83</v>
      </c>
      <c r="M35">
        <v>394</v>
      </c>
      <c r="N35" t="str">
        <f>+_xlfn.XLOOKUP(M35,Tabella1[Cod],Tabella1[DescrBil2],"",0)</f>
        <v>AMMINISTRATORI E COLLABORATORI</v>
      </c>
      <c r="O35" s="7">
        <f>+SUMIFS(Tabella1[Impo],Tabella1[DATA],O$1,Tabella1[DescrBil2],$N35)</f>
        <v>93586.540000000008</v>
      </c>
      <c r="P35" s="7">
        <f>+SUMIFS(Tabella1[Impo],Tabella1[DATA],P$1,Tabella1[DescrBil2],$N35)</f>
        <v>125540.66</v>
      </c>
      <c r="Q35" s="7">
        <f>+SUMIFS(Tabella1[Impo],Tabella1[DATA],Q$1,Tabella1[DescrBil2],$N35)</f>
        <v>127989.76000000001</v>
      </c>
      <c r="R35" s="7">
        <f>+SUMIFS(Tabella1[Impo],Tabella1[DATA],R$1,Tabella1[DescrBil2],$N35)</f>
        <v>56939.95</v>
      </c>
    </row>
    <row r="36" spans="1:19" x14ac:dyDescent="0.45">
      <c r="A36" t="s">
        <v>84</v>
      </c>
      <c r="B36" t="s">
        <v>85</v>
      </c>
      <c r="C36" s="2">
        <v>-109249.69000000003</v>
      </c>
      <c r="D36" s="1">
        <v>44926</v>
      </c>
      <c r="E36" s="6">
        <v>246</v>
      </c>
      <c r="F36" t="s">
        <v>70</v>
      </c>
      <c r="G36" s="6">
        <v>220</v>
      </c>
      <c r="H36" t="s">
        <v>71</v>
      </c>
      <c r="K36" t="s">
        <v>85</v>
      </c>
      <c r="M36">
        <v>400</v>
      </c>
      <c r="N36" t="str">
        <f>+_xlfn.XLOOKUP(M36,Tabella1[Cod],Tabella1[DescrBil2],"",0)</f>
        <v>ACC. TFR</v>
      </c>
      <c r="O36" s="7">
        <f>+SUMIFS(Tabella1[Impo],Tabella1[DATA],O$1,Tabella1[DescrBil2],$N36)</f>
        <v>22265.260000000002</v>
      </c>
      <c r="P36" s="7">
        <f>+SUMIFS(Tabella1[Impo],Tabella1[DATA],P$1,Tabella1[DescrBil2],$N36)</f>
        <v>4769.8899999999994</v>
      </c>
      <c r="Q36" s="7">
        <f>+SUMIFS(Tabella1[Impo],Tabella1[DATA],Q$1,Tabella1[DescrBil2],$N36)</f>
        <v>23901.280000000002</v>
      </c>
      <c r="R36" s="7">
        <f>+SUMIFS(Tabella1[Impo],Tabella1[DATA],R$1,Tabella1[DescrBil2],$N36)</f>
        <v>7738.92</v>
      </c>
    </row>
    <row r="37" spans="1:19" x14ac:dyDescent="0.45">
      <c r="A37" t="s">
        <v>86</v>
      </c>
      <c r="B37" t="s">
        <v>87</v>
      </c>
      <c r="C37" s="2">
        <v>96702.69</v>
      </c>
      <c r="D37" s="1">
        <v>44926</v>
      </c>
      <c r="E37" s="6">
        <v>101</v>
      </c>
      <c r="F37" t="s">
        <v>62</v>
      </c>
      <c r="G37" s="6">
        <v>50</v>
      </c>
      <c r="H37" t="s">
        <v>63</v>
      </c>
      <c r="K37" t="s">
        <v>87</v>
      </c>
      <c r="M37">
        <v>410</v>
      </c>
      <c r="N37" t="str">
        <f>+_xlfn.XLOOKUP(M37,Tabella1[Cod],Tabella1[DescrBil2],"",0)</f>
        <v>AMMORTAMENTI</v>
      </c>
      <c r="O37" s="7">
        <f>+SUMIFS(Tabella1[Impo],Tabella1[DATA],O$1,Tabella1[DescrBil2],$N37)</f>
        <v>139396.11000000002</v>
      </c>
      <c r="P37" s="7">
        <f>+SUMIFS(Tabella1[Impo],Tabella1[DATA],P$1,Tabella1[DescrBil2],$N37)</f>
        <v>149097.87</v>
      </c>
      <c r="Q37" s="7">
        <f>+SUMIFS(Tabella1[Impo],Tabella1[DATA],Q$1,Tabella1[DescrBil2],$N37)</f>
        <v>154425.52400000003</v>
      </c>
      <c r="R37" s="7">
        <f>+SUMIFS(Tabella1[Impo],Tabella1[DATA],R$1,Tabella1[DescrBil2],$N37)</f>
        <v>76326.512000000017</v>
      </c>
    </row>
    <row r="38" spans="1:19" x14ac:dyDescent="0.45">
      <c r="A38" t="s">
        <v>88</v>
      </c>
      <c r="B38" t="s">
        <v>89</v>
      </c>
      <c r="C38" s="2">
        <v>-2290</v>
      </c>
      <c r="D38" s="1">
        <v>44926</v>
      </c>
      <c r="E38" s="6">
        <v>246</v>
      </c>
      <c r="F38" t="s">
        <v>70</v>
      </c>
      <c r="G38" s="6">
        <v>220</v>
      </c>
      <c r="H38" t="s">
        <v>71</v>
      </c>
      <c r="K38" t="s">
        <v>89</v>
      </c>
      <c r="M38">
        <v>411</v>
      </c>
      <c r="N38" t="str">
        <f>+_xlfn.XLOOKUP(M38,Tabella1[Cod],Tabella1[DescrBil2],"",0)</f>
        <v>ACCANTONAMENTI</v>
      </c>
      <c r="O38" s="7">
        <f>+SUMIFS(Tabella1[Impo],Tabella1[DATA],O$1,Tabella1[DescrBil2],$N38)</f>
        <v>32330.050000000003</v>
      </c>
      <c r="P38" s="7">
        <f>+SUMIFS(Tabella1[Impo],Tabella1[DATA],P$1,Tabella1[DescrBil2],$N38)</f>
        <v>4000</v>
      </c>
      <c r="Q38" s="7">
        <f>+SUMIFS(Tabella1[Impo],Tabella1[DATA],Q$1,Tabella1[DescrBil2],$N38)</f>
        <v>7402.0800000000036</v>
      </c>
      <c r="R38" s="7">
        <f>+SUMIFS(Tabella1[Impo],Tabella1[DATA],R$1,Tabella1[DescrBil2],$N38)</f>
        <v>0</v>
      </c>
    </row>
    <row r="39" spans="1:19" x14ac:dyDescent="0.45">
      <c r="A39" t="s">
        <v>90</v>
      </c>
      <c r="B39" t="s">
        <v>91</v>
      </c>
      <c r="C39" s="2">
        <v>-12117.249999999993</v>
      </c>
      <c r="D39" s="1">
        <v>44926</v>
      </c>
      <c r="E39" s="6">
        <v>246</v>
      </c>
      <c r="F39" t="s">
        <v>70</v>
      </c>
      <c r="G39" s="6">
        <v>50</v>
      </c>
      <c r="H39" t="s">
        <v>63</v>
      </c>
      <c r="K39" t="s">
        <v>91</v>
      </c>
      <c r="M39">
        <v>430</v>
      </c>
      <c r="N39" t="str">
        <f>+_xlfn.XLOOKUP(M39,Tabella1[Cod],Tabella1[DescrBil2],"",0)</f>
        <v>ONERI FINANZIARI</v>
      </c>
      <c r="O39" s="7">
        <f>+SUMIFS(Tabella1[Impo],Tabella1[DATA],O$1,Tabella1[DescrBil2],$N39)</f>
        <v>44411.21</v>
      </c>
      <c r="P39" s="7">
        <f>+SUMIFS(Tabella1[Impo],Tabella1[DATA],P$1,Tabella1[DescrBil2],$N39)</f>
        <v>47989.159999999996</v>
      </c>
      <c r="Q39" s="7">
        <f>+SUMIFS(Tabella1[Impo],Tabella1[DATA],Q$1,Tabella1[DescrBil2],$N39)</f>
        <v>40774.229999999996</v>
      </c>
      <c r="R39" s="7">
        <f>+SUMIFS(Tabella1[Impo],Tabella1[DATA],R$1,Tabella1[DescrBil2],$N39)</f>
        <v>15319.41</v>
      </c>
    </row>
    <row r="40" spans="1:19" x14ac:dyDescent="0.45">
      <c r="A40" t="s">
        <v>92</v>
      </c>
      <c r="B40" t="s">
        <v>93</v>
      </c>
      <c r="C40" s="2">
        <v>-7065.4299999999994</v>
      </c>
      <c r="D40" s="1">
        <v>44926</v>
      </c>
      <c r="E40" s="6">
        <v>246</v>
      </c>
      <c r="F40" t="s">
        <v>70</v>
      </c>
      <c r="G40" s="6">
        <v>220</v>
      </c>
      <c r="H40" t="s">
        <v>71</v>
      </c>
      <c r="K40" t="s">
        <v>93</v>
      </c>
      <c r="M40">
        <v>440</v>
      </c>
      <c r="N40" t="str">
        <f>+_xlfn.XLOOKUP(M40,Tabella1[Cod],Tabella1[DescrBil2],"",0)</f>
        <v>PROVENTI NON OPERATIVI</v>
      </c>
      <c r="O40" s="7">
        <f>+SUMIFS(Tabella1[Impo],Tabella1[DATA],O$1,Tabella1[DescrBil2],$N40)</f>
        <v>-3150.26</v>
      </c>
      <c r="P40" s="7">
        <f>+SUMIFS(Tabella1[Impo],Tabella1[DATA],P$1,Tabella1[DescrBil2],$N40)</f>
        <v>-20301.169999999998</v>
      </c>
      <c r="Q40" s="7">
        <f>+SUMIFS(Tabella1[Impo],Tabella1[DATA],Q$1,Tabella1[DescrBil2],$N40)</f>
        <v>-33625.35</v>
      </c>
      <c r="R40" s="7">
        <f>+SUMIFS(Tabella1[Impo],Tabella1[DATA],R$1,Tabella1[DescrBil2],$N40)</f>
        <v>0</v>
      </c>
    </row>
    <row r="41" spans="1:19" x14ac:dyDescent="0.45">
      <c r="A41" t="s">
        <v>94</v>
      </c>
      <c r="B41" t="s">
        <v>95</v>
      </c>
      <c r="C41" s="2">
        <v>-68008.719999999972</v>
      </c>
      <c r="D41" s="1">
        <v>44926</v>
      </c>
      <c r="E41" s="6">
        <v>246</v>
      </c>
      <c r="F41" t="s">
        <v>70</v>
      </c>
      <c r="G41" s="6">
        <v>220</v>
      </c>
      <c r="H41" t="s">
        <v>71</v>
      </c>
      <c r="K41" t="s">
        <v>95</v>
      </c>
      <c r="M41">
        <v>450</v>
      </c>
      <c r="N41" t="str">
        <f>+_xlfn.XLOOKUP(M41,Tabella1[Cod],Tabella1[DescrBil2],"",0)</f>
        <v>COSTI NON OPERATIVI</v>
      </c>
      <c r="O41" s="7">
        <f>+SUMIFS(Tabella1[Impo],Tabella1[DATA],O$1,Tabella1[DescrBil2],$N41)</f>
        <v>77939.05</v>
      </c>
      <c r="P41" s="7">
        <f>+SUMIFS(Tabella1[Impo],Tabella1[DATA],P$1,Tabella1[DescrBil2],$N41)</f>
        <v>9969.81</v>
      </c>
      <c r="Q41" s="7">
        <f>+SUMIFS(Tabella1[Impo],Tabella1[DATA],Q$1,Tabella1[DescrBil2],$N41)</f>
        <v>4796.4800000000014</v>
      </c>
      <c r="R41" s="7">
        <f>+SUMIFS(Tabella1[Impo],Tabella1[DATA],R$1,Tabella1[DescrBil2],$N41)</f>
        <v>3135.41</v>
      </c>
    </row>
    <row r="42" spans="1:19" x14ac:dyDescent="0.45">
      <c r="A42" t="s">
        <v>96</v>
      </c>
      <c r="B42" t="s">
        <v>97</v>
      </c>
      <c r="C42" s="2">
        <v>59493.929999999971</v>
      </c>
      <c r="D42" s="1">
        <v>44926</v>
      </c>
      <c r="E42" s="6">
        <v>101</v>
      </c>
      <c r="F42" t="s">
        <v>62</v>
      </c>
      <c r="G42" s="6">
        <v>50</v>
      </c>
      <c r="H42" t="s">
        <v>63</v>
      </c>
      <c r="K42" t="s">
        <v>97</v>
      </c>
      <c r="M42">
        <v>460</v>
      </c>
      <c r="N42" t="str">
        <f>+_xlfn.XLOOKUP(M42,Tabella1[Cod],Tabella1[DescrBil2],"",0)</f>
        <v>IMPOSTE</v>
      </c>
      <c r="O42" s="7">
        <f>+SUMIFS(Tabella1[Impo],Tabella1[DATA],O$1,Tabella1[DescrBil2],$N42)</f>
        <v>67254</v>
      </c>
      <c r="P42" s="7">
        <f>+SUMIFS(Tabella1[Impo],Tabella1[DATA],P$1,Tabella1[DescrBil2],$N42)</f>
        <v>14938</v>
      </c>
      <c r="Q42" s="7">
        <f>+SUMIFS(Tabella1[Impo],Tabella1[DATA],Q$1,Tabella1[DescrBil2],$N42)</f>
        <v>15797</v>
      </c>
      <c r="R42" s="7">
        <f>+SUMIFS(Tabella1[Impo],Tabella1[DATA],R$1,Tabella1[DescrBil2],$N42)</f>
        <v>0</v>
      </c>
      <c r="S42" s="7">
        <f>+SUM(O23:O42)</f>
        <v>-30310.580000000322</v>
      </c>
    </row>
    <row r="43" spans="1:19" x14ac:dyDescent="0.45">
      <c r="A43" t="s">
        <v>98</v>
      </c>
      <c r="B43" t="s">
        <v>99</v>
      </c>
      <c r="C43" s="2">
        <v>-6664.0299999999979</v>
      </c>
      <c r="D43" s="1">
        <v>44926</v>
      </c>
      <c r="E43" s="6">
        <v>246</v>
      </c>
      <c r="F43" t="s">
        <v>70</v>
      </c>
      <c r="G43" s="6">
        <v>50</v>
      </c>
      <c r="H43" t="s">
        <v>63</v>
      </c>
      <c r="K43" t="s">
        <v>99</v>
      </c>
    </row>
    <row r="44" spans="1:19" x14ac:dyDescent="0.45">
      <c r="A44" t="s">
        <v>100</v>
      </c>
      <c r="B44" t="s">
        <v>101</v>
      </c>
      <c r="C44" s="2">
        <v>-15806.660000000002</v>
      </c>
      <c r="D44" s="1">
        <v>44926</v>
      </c>
      <c r="E44" s="6">
        <v>246</v>
      </c>
      <c r="F44" t="s">
        <v>70</v>
      </c>
      <c r="G44" s="6">
        <v>50</v>
      </c>
      <c r="H44" t="s">
        <v>63</v>
      </c>
      <c r="K44" t="s">
        <v>101</v>
      </c>
    </row>
    <row r="45" spans="1:19" x14ac:dyDescent="0.45">
      <c r="A45" t="s">
        <v>102</v>
      </c>
      <c r="B45" t="s">
        <v>103</v>
      </c>
      <c r="C45" s="2">
        <v>-28301.17</v>
      </c>
      <c r="D45" s="1">
        <v>44926</v>
      </c>
      <c r="E45" s="6">
        <v>246</v>
      </c>
      <c r="F45" t="s">
        <v>70</v>
      </c>
      <c r="G45" s="6">
        <v>220</v>
      </c>
      <c r="H45" t="s">
        <v>71</v>
      </c>
      <c r="K45" t="s">
        <v>103</v>
      </c>
    </row>
    <row r="46" spans="1:19" x14ac:dyDescent="0.45">
      <c r="A46" t="s">
        <v>104</v>
      </c>
      <c r="B46" t="s">
        <v>105</v>
      </c>
      <c r="C46" s="2">
        <v>-30044.73000000001</v>
      </c>
      <c r="D46" s="1">
        <v>44926</v>
      </c>
      <c r="E46" s="6">
        <v>246</v>
      </c>
      <c r="F46" t="s">
        <v>70</v>
      </c>
      <c r="G46" s="6">
        <v>220</v>
      </c>
      <c r="H46" t="s">
        <v>71</v>
      </c>
      <c r="K46" t="s">
        <v>105</v>
      </c>
    </row>
    <row r="47" spans="1:19" x14ac:dyDescent="0.45">
      <c r="A47" t="s">
        <v>106</v>
      </c>
      <c r="B47" t="s">
        <v>107</v>
      </c>
      <c r="C47" s="2">
        <v>-331.93</v>
      </c>
      <c r="D47" s="1">
        <v>44926</v>
      </c>
      <c r="E47" s="6">
        <v>246</v>
      </c>
      <c r="F47" t="s">
        <v>70</v>
      </c>
      <c r="G47" s="6">
        <v>220</v>
      </c>
      <c r="H47" t="s">
        <v>71</v>
      </c>
      <c r="K47" t="s">
        <v>107</v>
      </c>
    </row>
    <row r="48" spans="1:19" x14ac:dyDescent="0.45">
      <c r="A48" t="s">
        <v>108</v>
      </c>
      <c r="B48" t="s">
        <v>109</v>
      </c>
      <c r="C48" s="2">
        <v>-181.54</v>
      </c>
      <c r="D48" s="1">
        <v>44926</v>
      </c>
      <c r="E48" s="6">
        <v>246</v>
      </c>
      <c r="F48" t="s">
        <v>70</v>
      </c>
      <c r="G48" s="6">
        <v>220</v>
      </c>
      <c r="H48" t="s">
        <v>71</v>
      </c>
      <c r="K48" t="s">
        <v>109</v>
      </c>
    </row>
    <row r="49" spans="1:11" x14ac:dyDescent="0.45">
      <c r="A49" t="s">
        <v>110</v>
      </c>
      <c r="B49" t="s">
        <v>111</v>
      </c>
      <c r="C49" s="2">
        <v>164353.34</v>
      </c>
      <c r="D49" s="1">
        <v>44926</v>
      </c>
      <c r="E49" s="6">
        <v>101</v>
      </c>
      <c r="F49" t="s">
        <v>62</v>
      </c>
      <c r="G49" s="6">
        <v>60</v>
      </c>
      <c r="H49" t="s">
        <v>112</v>
      </c>
      <c r="K49" t="s">
        <v>111</v>
      </c>
    </row>
    <row r="50" spans="1:11" x14ac:dyDescent="0.45">
      <c r="A50" t="s">
        <v>113</v>
      </c>
      <c r="B50" t="s">
        <v>114</v>
      </c>
      <c r="C50" s="2">
        <v>-4875.8899999999994</v>
      </c>
      <c r="D50" s="1">
        <v>44926</v>
      </c>
      <c r="E50" s="6">
        <v>101</v>
      </c>
      <c r="F50" t="s">
        <v>62</v>
      </c>
      <c r="G50" s="6">
        <v>60</v>
      </c>
      <c r="H50" t="s">
        <v>112</v>
      </c>
      <c r="K50" t="s">
        <v>114</v>
      </c>
    </row>
    <row r="51" spans="1:11" x14ac:dyDescent="0.45">
      <c r="A51" t="s">
        <v>115</v>
      </c>
      <c r="B51" t="s">
        <v>116</v>
      </c>
      <c r="C51" s="2">
        <v>97.52000000000001</v>
      </c>
      <c r="D51" s="1">
        <v>44926</v>
      </c>
      <c r="E51" s="6">
        <v>101</v>
      </c>
      <c r="F51" t="s">
        <v>62</v>
      </c>
      <c r="G51" s="6">
        <v>60</v>
      </c>
      <c r="H51" t="s">
        <v>112</v>
      </c>
      <c r="K51" t="s">
        <v>116</v>
      </c>
    </row>
    <row r="52" spans="1:11" x14ac:dyDescent="0.45">
      <c r="A52" t="s">
        <v>117</v>
      </c>
      <c r="B52" t="s">
        <v>118</v>
      </c>
      <c r="C52" s="2">
        <v>562.63000000000011</v>
      </c>
      <c r="D52" s="1">
        <v>44926</v>
      </c>
      <c r="E52" s="6">
        <v>101</v>
      </c>
      <c r="F52" t="s">
        <v>62</v>
      </c>
      <c r="G52" s="6">
        <v>60</v>
      </c>
      <c r="H52" t="s">
        <v>112</v>
      </c>
      <c r="K52" t="s">
        <v>118</v>
      </c>
    </row>
    <row r="53" spans="1:11" x14ac:dyDescent="0.45">
      <c r="A53" t="s">
        <v>119</v>
      </c>
      <c r="B53" t="s">
        <v>120</v>
      </c>
      <c r="C53" s="2">
        <v>-35944.629999999997</v>
      </c>
      <c r="D53" s="1">
        <v>44926</v>
      </c>
      <c r="E53" s="6">
        <v>101</v>
      </c>
      <c r="F53" t="s">
        <v>62</v>
      </c>
      <c r="G53" s="6">
        <v>60</v>
      </c>
      <c r="H53" t="s">
        <v>112</v>
      </c>
      <c r="K53" t="s">
        <v>120</v>
      </c>
    </row>
    <row r="54" spans="1:11" x14ac:dyDescent="0.45">
      <c r="A54" t="s">
        <v>121</v>
      </c>
      <c r="B54" t="s">
        <v>122</v>
      </c>
      <c r="C54" s="2">
        <v>180.74</v>
      </c>
      <c r="D54" s="1">
        <v>44926</v>
      </c>
      <c r="E54" s="6">
        <v>101</v>
      </c>
      <c r="F54" t="s">
        <v>62</v>
      </c>
      <c r="G54" s="6">
        <v>60</v>
      </c>
      <c r="H54" t="s">
        <v>112</v>
      </c>
      <c r="K54" t="s">
        <v>122</v>
      </c>
    </row>
    <row r="55" spans="1:11" x14ac:dyDescent="0.45">
      <c r="A55" t="s">
        <v>123</v>
      </c>
      <c r="B55" t="s">
        <v>124</v>
      </c>
      <c r="C55" s="2">
        <v>36000.119999999995</v>
      </c>
      <c r="D55" s="1">
        <v>44926</v>
      </c>
      <c r="E55" s="6">
        <v>101</v>
      </c>
      <c r="F55" t="s">
        <v>62</v>
      </c>
      <c r="G55" s="6">
        <v>60</v>
      </c>
      <c r="H55" t="s">
        <v>112</v>
      </c>
      <c r="K55" t="s">
        <v>124</v>
      </c>
    </row>
    <row r="56" spans="1:11" x14ac:dyDescent="0.45">
      <c r="A56" t="s">
        <v>125</v>
      </c>
      <c r="B56" t="s">
        <v>126</v>
      </c>
      <c r="C56" s="2">
        <v>21000</v>
      </c>
      <c r="D56" s="1">
        <v>44926</v>
      </c>
      <c r="E56" s="6">
        <v>101</v>
      </c>
      <c r="F56" t="s">
        <v>62</v>
      </c>
      <c r="G56" s="6">
        <v>60</v>
      </c>
      <c r="H56" t="s">
        <v>112</v>
      </c>
      <c r="K56" t="s">
        <v>126</v>
      </c>
    </row>
    <row r="57" spans="1:11" x14ac:dyDescent="0.45">
      <c r="A57" t="s">
        <v>127</v>
      </c>
      <c r="B57" t="s">
        <v>128</v>
      </c>
      <c r="C57" s="2">
        <v>9000</v>
      </c>
      <c r="D57" s="1">
        <v>44926</v>
      </c>
      <c r="E57" s="6">
        <v>101</v>
      </c>
      <c r="F57" t="s">
        <v>62</v>
      </c>
      <c r="G57" s="6">
        <v>60</v>
      </c>
      <c r="H57" t="s">
        <v>112</v>
      </c>
      <c r="K57" t="s">
        <v>128</v>
      </c>
    </row>
    <row r="58" spans="1:11" x14ac:dyDescent="0.45">
      <c r="A58" t="s">
        <v>129</v>
      </c>
      <c r="B58" t="s">
        <v>130</v>
      </c>
      <c r="C58" s="2">
        <v>438998.74</v>
      </c>
      <c r="D58" s="1">
        <v>44926</v>
      </c>
      <c r="E58" s="6">
        <v>91</v>
      </c>
      <c r="F58" t="s">
        <v>131</v>
      </c>
      <c r="G58" s="6">
        <v>36</v>
      </c>
      <c r="H58" t="s">
        <v>132</v>
      </c>
      <c r="K58" t="s">
        <v>130</v>
      </c>
    </row>
    <row r="59" spans="1:11" x14ac:dyDescent="0.45">
      <c r="A59" t="s">
        <v>133</v>
      </c>
      <c r="B59" t="s">
        <v>134</v>
      </c>
      <c r="C59" s="2">
        <v>24660.07</v>
      </c>
      <c r="D59" s="1">
        <v>44926</v>
      </c>
      <c r="E59" s="6">
        <v>135</v>
      </c>
      <c r="F59" t="s">
        <v>135</v>
      </c>
      <c r="G59" s="6">
        <v>60</v>
      </c>
      <c r="H59" t="s">
        <v>112</v>
      </c>
      <c r="K59" t="s">
        <v>134</v>
      </c>
    </row>
    <row r="60" spans="1:11" x14ac:dyDescent="0.45">
      <c r="A60" t="s">
        <v>136</v>
      </c>
      <c r="B60" t="s">
        <v>137</v>
      </c>
      <c r="C60" s="2">
        <v>13930</v>
      </c>
      <c r="D60" s="1">
        <v>44926</v>
      </c>
      <c r="E60" s="6">
        <v>110</v>
      </c>
      <c r="F60" t="s">
        <v>138</v>
      </c>
      <c r="G60" s="6">
        <v>50</v>
      </c>
      <c r="H60" t="s">
        <v>63</v>
      </c>
      <c r="K60" s="3" t="s">
        <v>137</v>
      </c>
    </row>
    <row r="61" spans="1:11" x14ac:dyDescent="0.45">
      <c r="A61" t="s">
        <v>139</v>
      </c>
      <c r="B61" t="s">
        <v>140</v>
      </c>
      <c r="C61" s="2">
        <v>1871.7</v>
      </c>
      <c r="D61" s="1">
        <v>44926</v>
      </c>
      <c r="E61" s="6">
        <v>110</v>
      </c>
      <c r="F61" t="s">
        <v>138</v>
      </c>
      <c r="G61" s="6">
        <v>50</v>
      </c>
      <c r="H61" t="s">
        <v>63</v>
      </c>
      <c r="K61" s="3" t="s">
        <v>140</v>
      </c>
    </row>
    <row r="62" spans="1:11" x14ac:dyDescent="0.45">
      <c r="A62" t="s">
        <v>141</v>
      </c>
      <c r="B62" t="s">
        <v>142</v>
      </c>
      <c r="C62" s="2">
        <v>1443.75</v>
      </c>
      <c r="D62" s="1">
        <v>44926</v>
      </c>
      <c r="E62" s="6">
        <v>110</v>
      </c>
      <c r="F62" t="s">
        <v>138</v>
      </c>
      <c r="G62" s="6">
        <v>50</v>
      </c>
      <c r="H62" t="s">
        <v>63</v>
      </c>
      <c r="K62" s="3" t="s">
        <v>142</v>
      </c>
    </row>
    <row r="63" spans="1:11" x14ac:dyDescent="0.45">
      <c r="A63" t="s">
        <v>143</v>
      </c>
      <c r="B63" t="s">
        <v>144</v>
      </c>
      <c r="C63" s="2">
        <v>3010.67</v>
      </c>
      <c r="D63" s="1">
        <v>44926</v>
      </c>
      <c r="E63" s="6">
        <v>110</v>
      </c>
      <c r="F63" t="s">
        <v>138</v>
      </c>
      <c r="G63" s="6">
        <v>50</v>
      </c>
      <c r="H63" t="s">
        <v>63</v>
      </c>
      <c r="K63" s="3" t="s">
        <v>144</v>
      </c>
    </row>
    <row r="64" spans="1:11" x14ac:dyDescent="0.45">
      <c r="A64" t="s">
        <v>145</v>
      </c>
      <c r="B64" t="s">
        <v>146</v>
      </c>
      <c r="C64" s="2">
        <v>435.6</v>
      </c>
      <c r="D64" s="1">
        <v>44926</v>
      </c>
      <c r="E64" s="6">
        <v>110</v>
      </c>
      <c r="F64" t="s">
        <v>138</v>
      </c>
      <c r="G64" s="6">
        <v>50</v>
      </c>
      <c r="H64" t="s">
        <v>63</v>
      </c>
      <c r="K64" s="3" t="s">
        <v>146</v>
      </c>
    </row>
    <row r="65" spans="1:11" x14ac:dyDescent="0.45">
      <c r="A65" t="s">
        <v>147</v>
      </c>
      <c r="B65" t="s">
        <v>148</v>
      </c>
      <c r="C65" s="2">
        <v>-383539.05999999988</v>
      </c>
      <c r="D65" s="1">
        <v>44926</v>
      </c>
      <c r="E65" s="6">
        <v>246</v>
      </c>
      <c r="F65" t="s">
        <v>70</v>
      </c>
      <c r="G65" s="6">
        <v>210</v>
      </c>
      <c r="H65" t="s">
        <v>149</v>
      </c>
      <c r="K65" t="s">
        <v>148</v>
      </c>
    </row>
    <row r="66" spans="1:11" x14ac:dyDescent="0.45">
      <c r="A66" t="s">
        <v>150</v>
      </c>
      <c r="B66" t="s">
        <v>151</v>
      </c>
      <c r="C66" s="2">
        <v>-28279.420000000002</v>
      </c>
      <c r="D66" s="1">
        <v>44926</v>
      </c>
      <c r="E66" s="6">
        <v>246</v>
      </c>
      <c r="F66" t="s">
        <v>70</v>
      </c>
      <c r="G66" s="6">
        <v>210</v>
      </c>
      <c r="H66" t="s">
        <v>149</v>
      </c>
      <c r="K66" t="s">
        <v>151</v>
      </c>
    </row>
    <row r="67" spans="1:11" x14ac:dyDescent="0.45">
      <c r="A67" t="s">
        <v>152</v>
      </c>
      <c r="B67" t="s">
        <v>153</v>
      </c>
      <c r="C67" s="2">
        <v>-3775.3699999999994</v>
      </c>
      <c r="D67" s="1">
        <v>44926</v>
      </c>
      <c r="E67" s="6">
        <v>246</v>
      </c>
      <c r="F67" t="s">
        <v>70</v>
      </c>
      <c r="G67" s="6">
        <v>230</v>
      </c>
      <c r="H67" t="s">
        <v>154</v>
      </c>
      <c r="K67" t="s">
        <v>153</v>
      </c>
    </row>
    <row r="68" spans="1:11" x14ac:dyDescent="0.45">
      <c r="A68" t="s">
        <v>155</v>
      </c>
      <c r="B68" t="s">
        <v>156</v>
      </c>
      <c r="C68" s="2">
        <v>-18520</v>
      </c>
      <c r="D68" s="1">
        <v>44926</v>
      </c>
      <c r="E68" s="6">
        <v>246</v>
      </c>
      <c r="F68" t="s">
        <v>70</v>
      </c>
      <c r="G68" s="6">
        <v>240</v>
      </c>
      <c r="H68" t="s">
        <v>157</v>
      </c>
      <c r="K68" t="s">
        <v>156</v>
      </c>
    </row>
    <row r="69" spans="1:11" x14ac:dyDescent="0.45">
      <c r="A69" t="s">
        <v>158</v>
      </c>
      <c r="B69" t="s">
        <v>159</v>
      </c>
      <c r="C69" s="2">
        <v>-9178.5800000000036</v>
      </c>
      <c r="D69" s="1">
        <v>44926</v>
      </c>
      <c r="E69" s="6">
        <v>246</v>
      </c>
      <c r="F69" t="s">
        <v>70</v>
      </c>
      <c r="G69" s="6">
        <v>230</v>
      </c>
      <c r="H69" t="s">
        <v>154</v>
      </c>
      <c r="K69" t="s">
        <v>159</v>
      </c>
    </row>
    <row r="70" spans="1:11" x14ac:dyDescent="0.45">
      <c r="A70" t="s">
        <v>160</v>
      </c>
      <c r="B70" t="s">
        <v>161</v>
      </c>
      <c r="C70" s="2">
        <v>-843.22000000000025</v>
      </c>
      <c r="D70" s="1">
        <v>44926</v>
      </c>
      <c r="E70" s="6">
        <v>246</v>
      </c>
      <c r="F70" t="s">
        <v>70</v>
      </c>
      <c r="G70" s="6">
        <v>230</v>
      </c>
      <c r="H70" t="s">
        <v>154</v>
      </c>
      <c r="K70" t="s">
        <v>161</v>
      </c>
    </row>
    <row r="71" spans="1:11" x14ac:dyDescent="0.45">
      <c r="A71" t="s">
        <v>162</v>
      </c>
      <c r="B71" t="s">
        <v>163</v>
      </c>
      <c r="C71" s="2">
        <v>-1048.77</v>
      </c>
      <c r="D71" s="1">
        <v>44926</v>
      </c>
      <c r="E71" s="6">
        <v>246</v>
      </c>
      <c r="F71" t="s">
        <v>70</v>
      </c>
      <c r="G71" s="6">
        <v>230</v>
      </c>
      <c r="H71" t="s">
        <v>154</v>
      </c>
      <c r="K71" t="s">
        <v>163</v>
      </c>
    </row>
    <row r="72" spans="1:11" x14ac:dyDescent="0.45">
      <c r="A72" t="s">
        <v>164</v>
      </c>
      <c r="B72" t="s">
        <v>165</v>
      </c>
      <c r="C72" s="2">
        <v>-418.73000000000013</v>
      </c>
      <c r="D72" s="1">
        <v>44926</v>
      </c>
      <c r="E72" s="6">
        <v>246</v>
      </c>
      <c r="F72" t="s">
        <v>70</v>
      </c>
      <c r="G72" s="6">
        <v>230</v>
      </c>
      <c r="H72" t="s">
        <v>154</v>
      </c>
      <c r="K72" t="s">
        <v>165</v>
      </c>
    </row>
    <row r="73" spans="1:11" x14ac:dyDescent="0.45">
      <c r="A73" t="s">
        <v>166</v>
      </c>
      <c r="B73" t="s">
        <v>167</v>
      </c>
      <c r="C73" s="2">
        <v>-4024</v>
      </c>
      <c r="D73" s="1">
        <v>44926</v>
      </c>
      <c r="E73" s="6">
        <v>246</v>
      </c>
      <c r="F73" t="s">
        <v>70</v>
      </c>
      <c r="G73" s="6">
        <v>240</v>
      </c>
      <c r="H73" t="s">
        <v>157</v>
      </c>
      <c r="K73" t="s">
        <v>167</v>
      </c>
    </row>
    <row r="74" spans="1:11" x14ac:dyDescent="0.45">
      <c r="A74" t="s">
        <v>168</v>
      </c>
      <c r="B74" t="s">
        <v>169</v>
      </c>
      <c r="C74" s="2">
        <v>-13289.729999999992</v>
      </c>
      <c r="D74" s="1">
        <v>44926</v>
      </c>
      <c r="E74" s="6">
        <v>246</v>
      </c>
      <c r="F74" t="s">
        <v>70</v>
      </c>
      <c r="G74" s="6">
        <v>220</v>
      </c>
      <c r="H74" t="s">
        <v>71</v>
      </c>
      <c r="K74" s="3" t="s">
        <v>169</v>
      </c>
    </row>
    <row r="75" spans="1:11" x14ac:dyDescent="0.45">
      <c r="A75" t="s">
        <v>170</v>
      </c>
      <c r="B75" t="s">
        <v>171</v>
      </c>
      <c r="C75" s="2">
        <v>-20958.91</v>
      </c>
      <c r="D75" s="1">
        <v>44926</v>
      </c>
      <c r="E75" s="6">
        <v>246</v>
      </c>
      <c r="F75" t="s">
        <v>70</v>
      </c>
      <c r="G75" s="6">
        <v>220</v>
      </c>
      <c r="H75" t="s">
        <v>71</v>
      </c>
      <c r="K75" s="3" t="s">
        <v>171</v>
      </c>
    </row>
    <row r="76" spans="1:11" x14ac:dyDescent="0.45">
      <c r="A76" t="s">
        <v>172</v>
      </c>
      <c r="B76" t="s">
        <v>173</v>
      </c>
      <c r="C76" s="2">
        <v>-10138.41</v>
      </c>
      <c r="D76" s="1">
        <v>44926</v>
      </c>
      <c r="E76" s="6">
        <v>246</v>
      </c>
      <c r="F76" t="s">
        <v>70</v>
      </c>
      <c r="G76" s="6">
        <v>220</v>
      </c>
      <c r="H76" t="s">
        <v>71</v>
      </c>
      <c r="K76" s="3" t="s">
        <v>173</v>
      </c>
    </row>
    <row r="77" spans="1:11" x14ac:dyDescent="0.45">
      <c r="A77" t="s">
        <v>174</v>
      </c>
      <c r="B77" t="s">
        <v>175</v>
      </c>
      <c r="C77" s="2">
        <v>-8607</v>
      </c>
      <c r="D77" s="1">
        <v>44926</v>
      </c>
      <c r="E77" s="6">
        <v>246</v>
      </c>
      <c r="F77" t="s">
        <v>70</v>
      </c>
      <c r="G77" s="6">
        <v>230</v>
      </c>
      <c r="H77" t="s">
        <v>154</v>
      </c>
      <c r="K77" t="s">
        <v>175</v>
      </c>
    </row>
    <row r="78" spans="1:11" x14ac:dyDescent="0.45">
      <c r="A78" t="s">
        <v>176</v>
      </c>
      <c r="B78" t="s">
        <v>177</v>
      </c>
      <c r="C78" s="2">
        <v>-7058.31</v>
      </c>
      <c r="D78" s="1">
        <v>44926</v>
      </c>
      <c r="E78" s="6">
        <v>246</v>
      </c>
      <c r="F78" t="s">
        <v>70</v>
      </c>
      <c r="G78" s="6">
        <v>230</v>
      </c>
      <c r="H78" t="s">
        <v>154</v>
      </c>
      <c r="K78" t="s">
        <v>177</v>
      </c>
    </row>
    <row r="79" spans="1:11" x14ac:dyDescent="0.45">
      <c r="A79" t="s">
        <v>178</v>
      </c>
      <c r="B79" t="s">
        <v>179</v>
      </c>
      <c r="C79" s="2">
        <v>-27791.56</v>
      </c>
      <c r="D79" s="1">
        <v>44926</v>
      </c>
      <c r="E79" s="6">
        <v>246</v>
      </c>
      <c r="F79" t="s">
        <v>70</v>
      </c>
      <c r="G79" s="6">
        <v>220</v>
      </c>
      <c r="H79" t="s">
        <v>71</v>
      </c>
      <c r="K79" s="3" t="s">
        <v>179</v>
      </c>
    </row>
    <row r="80" spans="1:11" x14ac:dyDescent="0.45">
      <c r="A80" t="s">
        <v>180</v>
      </c>
      <c r="B80" t="s">
        <v>181</v>
      </c>
      <c r="C80" s="2">
        <v>43034.999999999985</v>
      </c>
      <c r="D80" s="1">
        <v>44926</v>
      </c>
      <c r="E80" s="6">
        <v>101</v>
      </c>
      <c r="F80" t="s">
        <v>62</v>
      </c>
      <c r="G80" s="6">
        <v>60</v>
      </c>
      <c r="H80" t="s">
        <v>112</v>
      </c>
      <c r="K80" t="s">
        <v>181</v>
      </c>
    </row>
    <row r="81" spans="1:11" x14ac:dyDescent="0.45">
      <c r="A81" t="s">
        <v>182</v>
      </c>
      <c r="B81" t="s">
        <v>183</v>
      </c>
      <c r="C81" s="2">
        <v>-224250.58</v>
      </c>
      <c r="D81" s="1">
        <v>44926</v>
      </c>
      <c r="E81" s="6">
        <v>240</v>
      </c>
      <c r="F81" t="s">
        <v>184</v>
      </c>
      <c r="G81" s="6">
        <v>170</v>
      </c>
      <c r="H81" t="s">
        <v>185</v>
      </c>
      <c r="K81" t="s">
        <v>183</v>
      </c>
    </row>
    <row r="82" spans="1:11" x14ac:dyDescent="0.45">
      <c r="A82" t="s">
        <v>186</v>
      </c>
      <c r="B82" t="s">
        <v>187</v>
      </c>
      <c r="C82" s="2">
        <v>439</v>
      </c>
      <c r="D82" s="1">
        <v>44926</v>
      </c>
      <c r="E82" s="6">
        <v>246</v>
      </c>
      <c r="F82" t="s">
        <v>70</v>
      </c>
      <c r="G82" s="6">
        <v>160</v>
      </c>
      <c r="H82" t="s">
        <v>188</v>
      </c>
      <c r="K82" t="s">
        <v>187</v>
      </c>
    </row>
    <row r="83" spans="1:11" x14ac:dyDescent="0.45">
      <c r="A83" t="s">
        <v>189</v>
      </c>
      <c r="B83" t="s">
        <v>190</v>
      </c>
      <c r="C83" s="2">
        <v>-1500</v>
      </c>
      <c r="D83" s="1">
        <v>44926</v>
      </c>
      <c r="E83" s="6">
        <v>32</v>
      </c>
      <c r="F83" t="s">
        <v>8</v>
      </c>
      <c r="G83" s="6">
        <v>22</v>
      </c>
      <c r="H83" t="s">
        <v>191</v>
      </c>
      <c r="K83" t="s">
        <v>190</v>
      </c>
    </row>
    <row r="84" spans="1:11" x14ac:dyDescent="0.45">
      <c r="A84" t="s">
        <v>192</v>
      </c>
      <c r="B84" t="s">
        <v>193</v>
      </c>
      <c r="C84" s="2">
        <v>-17008.07</v>
      </c>
      <c r="D84" s="1">
        <v>44926</v>
      </c>
      <c r="E84" s="6">
        <v>32</v>
      </c>
      <c r="F84" t="s">
        <v>8</v>
      </c>
      <c r="G84" s="6">
        <v>22</v>
      </c>
      <c r="H84" t="s">
        <v>191</v>
      </c>
      <c r="K84" t="s">
        <v>193</v>
      </c>
    </row>
    <row r="85" spans="1:11" x14ac:dyDescent="0.45">
      <c r="A85" t="s">
        <v>194</v>
      </c>
      <c r="B85" t="s">
        <v>195</v>
      </c>
      <c r="C85" s="2">
        <v>-28033.879999999997</v>
      </c>
      <c r="D85" s="1">
        <v>44926</v>
      </c>
      <c r="E85" s="6">
        <v>32</v>
      </c>
      <c r="F85" t="s">
        <v>8</v>
      </c>
      <c r="G85" s="6">
        <v>22</v>
      </c>
      <c r="H85" t="s">
        <v>191</v>
      </c>
      <c r="K85" t="s">
        <v>195</v>
      </c>
    </row>
    <row r="86" spans="1:11" x14ac:dyDescent="0.45">
      <c r="A86" t="s">
        <v>196</v>
      </c>
      <c r="B86" t="s">
        <v>197</v>
      </c>
      <c r="C86" s="2">
        <v>-9691.32</v>
      </c>
      <c r="D86" s="1">
        <v>44926</v>
      </c>
      <c r="E86" s="6">
        <v>32</v>
      </c>
      <c r="F86" t="s">
        <v>8</v>
      </c>
      <c r="G86" s="6">
        <v>22</v>
      </c>
      <c r="H86" t="s">
        <v>191</v>
      </c>
      <c r="K86" t="s">
        <v>197</v>
      </c>
    </row>
    <row r="87" spans="1:11" x14ac:dyDescent="0.45">
      <c r="A87" t="s">
        <v>198</v>
      </c>
      <c r="B87" t="s">
        <v>199</v>
      </c>
      <c r="C87" s="2">
        <v>-31164.1</v>
      </c>
      <c r="D87" s="1">
        <v>44926</v>
      </c>
      <c r="E87" s="6">
        <v>32</v>
      </c>
      <c r="F87" t="s">
        <v>8</v>
      </c>
      <c r="G87" s="6">
        <v>22</v>
      </c>
      <c r="H87" t="s">
        <v>191</v>
      </c>
      <c r="K87" t="s">
        <v>199</v>
      </c>
    </row>
    <row r="88" spans="1:11" x14ac:dyDescent="0.45">
      <c r="A88" t="s">
        <v>200</v>
      </c>
      <c r="B88" t="s">
        <v>201</v>
      </c>
      <c r="C88" s="2">
        <v>-220.5</v>
      </c>
      <c r="D88" s="1">
        <v>44926</v>
      </c>
      <c r="E88" s="6">
        <v>32</v>
      </c>
      <c r="F88" t="s">
        <v>8</v>
      </c>
      <c r="G88" s="6">
        <v>22</v>
      </c>
      <c r="H88" t="s">
        <v>191</v>
      </c>
      <c r="K88" t="s">
        <v>201</v>
      </c>
    </row>
    <row r="89" spans="1:11" x14ac:dyDescent="0.45">
      <c r="A89" t="s">
        <v>202</v>
      </c>
      <c r="B89" t="s">
        <v>203</v>
      </c>
      <c r="C89" s="2">
        <v>-3612.99</v>
      </c>
      <c r="D89" s="1">
        <v>44926</v>
      </c>
      <c r="E89" s="6">
        <v>32</v>
      </c>
      <c r="F89" t="s">
        <v>8</v>
      </c>
      <c r="G89" s="6">
        <v>22</v>
      </c>
      <c r="H89" t="s">
        <v>191</v>
      </c>
      <c r="K89" t="s">
        <v>203</v>
      </c>
    </row>
    <row r="90" spans="1:11" x14ac:dyDescent="0.45">
      <c r="A90" t="s">
        <v>204</v>
      </c>
      <c r="B90" t="s">
        <v>205</v>
      </c>
      <c r="C90" s="2">
        <v>-10443.19</v>
      </c>
      <c r="D90" s="1">
        <v>44926</v>
      </c>
      <c r="E90" s="6">
        <v>32</v>
      </c>
      <c r="F90" t="s">
        <v>8</v>
      </c>
      <c r="G90" s="6">
        <v>22</v>
      </c>
      <c r="H90" t="s">
        <v>191</v>
      </c>
      <c r="K90" t="s">
        <v>205</v>
      </c>
    </row>
    <row r="91" spans="1:11" x14ac:dyDescent="0.45">
      <c r="A91" t="s">
        <v>206</v>
      </c>
      <c r="B91" t="s">
        <v>207</v>
      </c>
      <c r="C91" s="2">
        <v>-5938.22</v>
      </c>
      <c r="D91" s="1">
        <v>44926</v>
      </c>
      <c r="E91" s="6">
        <v>32</v>
      </c>
      <c r="F91" t="s">
        <v>8</v>
      </c>
      <c r="G91" s="6">
        <v>22</v>
      </c>
      <c r="H91" t="s">
        <v>191</v>
      </c>
      <c r="K91" t="s">
        <v>207</v>
      </c>
    </row>
    <row r="92" spans="1:11" x14ac:dyDescent="0.45">
      <c r="A92" t="s">
        <v>208</v>
      </c>
      <c r="B92" t="s">
        <v>209</v>
      </c>
      <c r="C92" s="2">
        <v>-224.57</v>
      </c>
      <c r="D92" s="1">
        <v>44926</v>
      </c>
      <c r="E92" s="6">
        <v>32</v>
      </c>
      <c r="F92" t="s">
        <v>8</v>
      </c>
      <c r="G92" s="6">
        <v>22</v>
      </c>
      <c r="H92" t="s">
        <v>191</v>
      </c>
      <c r="K92" t="s">
        <v>209</v>
      </c>
    </row>
    <row r="93" spans="1:11" x14ac:dyDescent="0.45">
      <c r="A93" t="s">
        <v>210</v>
      </c>
      <c r="B93" t="s">
        <v>211</v>
      </c>
      <c r="C93" s="2">
        <v>-299.98</v>
      </c>
      <c r="D93" s="1">
        <v>44926</v>
      </c>
      <c r="E93" s="6">
        <v>32</v>
      </c>
      <c r="F93" t="s">
        <v>8</v>
      </c>
      <c r="G93" s="6">
        <v>22</v>
      </c>
      <c r="H93" t="s">
        <v>191</v>
      </c>
      <c r="K93" t="s">
        <v>211</v>
      </c>
    </row>
    <row r="94" spans="1:11" x14ac:dyDescent="0.45">
      <c r="A94" t="s">
        <v>212</v>
      </c>
      <c r="B94" t="s">
        <v>213</v>
      </c>
      <c r="C94" s="2">
        <v>-3324.17</v>
      </c>
      <c r="D94" s="1">
        <v>44926</v>
      </c>
      <c r="E94" s="6">
        <v>32</v>
      </c>
      <c r="F94" t="s">
        <v>8</v>
      </c>
      <c r="G94" s="6">
        <v>22</v>
      </c>
      <c r="H94" t="s">
        <v>191</v>
      </c>
      <c r="K94" t="s">
        <v>213</v>
      </c>
    </row>
    <row r="95" spans="1:11" x14ac:dyDescent="0.45">
      <c r="A95" t="s">
        <v>214</v>
      </c>
      <c r="B95" t="s">
        <v>215</v>
      </c>
      <c r="C95" s="2">
        <v>-1005</v>
      </c>
      <c r="D95" s="1">
        <v>44926</v>
      </c>
      <c r="E95" s="6">
        <v>32</v>
      </c>
      <c r="F95" t="s">
        <v>8</v>
      </c>
      <c r="G95" s="6">
        <v>22</v>
      </c>
      <c r="H95" t="s">
        <v>191</v>
      </c>
      <c r="K95" t="s">
        <v>215</v>
      </c>
    </row>
    <row r="96" spans="1:11" x14ac:dyDescent="0.45">
      <c r="A96" t="s">
        <v>216</v>
      </c>
      <c r="B96" t="s">
        <v>217</v>
      </c>
      <c r="C96" s="2">
        <v>-106754.90999999999</v>
      </c>
      <c r="D96" s="1">
        <v>44926</v>
      </c>
      <c r="E96" s="6">
        <v>32</v>
      </c>
      <c r="F96" t="s">
        <v>8</v>
      </c>
      <c r="G96" s="6">
        <v>22</v>
      </c>
      <c r="H96" t="s">
        <v>191</v>
      </c>
      <c r="K96" t="s">
        <v>217</v>
      </c>
    </row>
    <row r="97" spans="1:11" x14ac:dyDescent="0.45">
      <c r="A97" t="s">
        <v>218</v>
      </c>
      <c r="B97" t="s">
        <v>219</v>
      </c>
      <c r="C97" s="2">
        <v>-20776</v>
      </c>
      <c r="D97" s="1">
        <v>44926</v>
      </c>
      <c r="E97" s="6">
        <v>32</v>
      </c>
      <c r="F97" t="s">
        <v>8</v>
      </c>
      <c r="G97" s="6">
        <v>22</v>
      </c>
      <c r="H97" t="s">
        <v>191</v>
      </c>
      <c r="K97" t="s">
        <v>219</v>
      </c>
    </row>
    <row r="98" spans="1:11" x14ac:dyDescent="0.45">
      <c r="A98" t="s">
        <v>220</v>
      </c>
      <c r="B98" t="s">
        <v>221</v>
      </c>
      <c r="C98" s="2">
        <v>-348</v>
      </c>
      <c r="D98" s="1">
        <v>44926</v>
      </c>
      <c r="E98" s="6">
        <v>32</v>
      </c>
      <c r="F98" t="s">
        <v>8</v>
      </c>
      <c r="G98" s="6">
        <v>20</v>
      </c>
      <c r="H98" t="s">
        <v>9</v>
      </c>
      <c r="K98" t="s">
        <v>221</v>
      </c>
    </row>
    <row r="99" spans="1:11" x14ac:dyDescent="0.45">
      <c r="A99" t="s">
        <v>222</v>
      </c>
      <c r="B99" t="s">
        <v>223</v>
      </c>
      <c r="C99" s="2">
        <v>-3787.34</v>
      </c>
      <c r="D99" s="1">
        <v>44926</v>
      </c>
      <c r="E99" s="6">
        <v>101</v>
      </c>
      <c r="F99" t="s">
        <v>62</v>
      </c>
      <c r="G99" s="6">
        <v>160</v>
      </c>
      <c r="H99" t="s">
        <v>188</v>
      </c>
      <c r="K99" t="s">
        <v>223</v>
      </c>
    </row>
    <row r="100" spans="1:11" x14ac:dyDescent="0.45">
      <c r="A100" t="s">
        <v>224</v>
      </c>
      <c r="B100" t="s">
        <v>225</v>
      </c>
      <c r="C100" s="2">
        <v>-30630.05</v>
      </c>
      <c r="D100" s="1">
        <v>44926</v>
      </c>
      <c r="E100" s="6">
        <v>101</v>
      </c>
      <c r="F100" t="s">
        <v>62</v>
      </c>
      <c r="G100" s="6">
        <v>160</v>
      </c>
      <c r="H100" t="s">
        <v>188</v>
      </c>
      <c r="K100" t="s">
        <v>225</v>
      </c>
    </row>
    <row r="101" spans="1:11" x14ac:dyDescent="0.45">
      <c r="A101" t="s">
        <v>226</v>
      </c>
      <c r="B101" t="s">
        <v>227</v>
      </c>
      <c r="C101" s="2">
        <v>-19193.09</v>
      </c>
      <c r="D101" s="1">
        <v>44926</v>
      </c>
      <c r="E101" s="6">
        <v>290</v>
      </c>
      <c r="F101" t="s">
        <v>228</v>
      </c>
      <c r="G101" s="6">
        <v>240</v>
      </c>
      <c r="H101" t="s">
        <v>157</v>
      </c>
      <c r="K101" t="s">
        <v>227</v>
      </c>
    </row>
    <row r="102" spans="1:11" x14ac:dyDescent="0.45">
      <c r="A102" t="s">
        <v>229</v>
      </c>
      <c r="B102" t="s">
        <v>230</v>
      </c>
      <c r="C102" s="2">
        <v>-21096.55</v>
      </c>
      <c r="D102" s="1">
        <v>44926</v>
      </c>
      <c r="E102" s="6">
        <v>220</v>
      </c>
      <c r="F102" t="s">
        <v>231</v>
      </c>
      <c r="G102" s="6">
        <v>140</v>
      </c>
      <c r="H102" t="s">
        <v>232</v>
      </c>
      <c r="K102" t="s">
        <v>230</v>
      </c>
    </row>
    <row r="103" spans="1:11" x14ac:dyDescent="0.45">
      <c r="A103" t="s">
        <v>233</v>
      </c>
      <c r="B103" t="s">
        <v>234</v>
      </c>
      <c r="C103" s="2">
        <v>-100000</v>
      </c>
      <c r="D103" s="1">
        <v>44926</v>
      </c>
      <c r="E103" s="6">
        <v>171</v>
      </c>
      <c r="F103" t="s">
        <v>235</v>
      </c>
      <c r="G103" s="6">
        <v>90</v>
      </c>
      <c r="H103" t="s">
        <v>236</v>
      </c>
      <c r="K103" t="s">
        <v>234</v>
      </c>
    </row>
    <row r="104" spans="1:11" x14ac:dyDescent="0.45">
      <c r="A104" t="s">
        <v>237</v>
      </c>
      <c r="B104" t="s">
        <v>238</v>
      </c>
      <c r="C104" s="2">
        <v>-20000</v>
      </c>
      <c r="D104" s="1">
        <v>44926</v>
      </c>
      <c r="E104" s="6">
        <v>180</v>
      </c>
      <c r="F104" t="s">
        <v>239</v>
      </c>
      <c r="G104" s="6">
        <v>110</v>
      </c>
      <c r="H104" t="s">
        <v>240</v>
      </c>
      <c r="K104" t="s">
        <v>238</v>
      </c>
    </row>
    <row r="105" spans="1:11" x14ac:dyDescent="0.45">
      <c r="A105" t="s">
        <v>241</v>
      </c>
      <c r="B105" t="s">
        <v>242</v>
      </c>
      <c r="C105" s="2">
        <v>-74732.679999999993</v>
      </c>
      <c r="D105" s="1">
        <v>44926</v>
      </c>
      <c r="E105" s="6">
        <v>211</v>
      </c>
      <c r="F105" t="s">
        <v>243</v>
      </c>
      <c r="G105" s="6">
        <v>120</v>
      </c>
      <c r="H105" t="s">
        <v>244</v>
      </c>
      <c r="K105" t="s">
        <v>242</v>
      </c>
    </row>
    <row r="106" spans="1:11" x14ac:dyDescent="0.45">
      <c r="A106" t="s">
        <v>245</v>
      </c>
      <c r="B106" t="s">
        <v>246</v>
      </c>
      <c r="C106" s="2">
        <v>346959.38</v>
      </c>
      <c r="D106" s="1">
        <v>44926</v>
      </c>
      <c r="E106" s="6">
        <v>351</v>
      </c>
      <c r="F106" t="s">
        <v>247</v>
      </c>
      <c r="G106" s="6">
        <v>340</v>
      </c>
      <c r="H106" t="s">
        <v>248</v>
      </c>
      <c r="K106" t="s">
        <v>246</v>
      </c>
    </row>
    <row r="107" spans="1:11" x14ac:dyDescent="0.45">
      <c r="A107" t="s">
        <v>249</v>
      </c>
      <c r="B107" t="s">
        <v>250</v>
      </c>
      <c r="C107" s="2">
        <v>152710.39000000001</v>
      </c>
      <c r="D107" s="1">
        <v>44926</v>
      </c>
      <c r="E107" s="6">
        <v>331</v>
      </c>
      <c r="F107" t="s">
        <v>251</v>
      </c>
      <c r="G107" s="6">
        <v>330</v>
      </c>
      <c r="H107" t="s">
        <v>252</v>
      </c>
      <c r="K107" t="s">
        <v>250</v>
      </c>
    </row>
    <row r="108" spans="1:11" x14ac:dyDescent="0.45">
      <c r="A108" t="s">
        <v>253</v>
      </c>
      <c r="B108" t="s">
        <v>254</v>
      </c>
      <c r="C108" s="2">
        <v>311591.41000000021</v>
      </c>
      <c r="D108" s="1">
        <v>44926</v>
      </c>
      <c r="E108" s="6">
        <v>331</v>
      </c>
      <c r="F108" t="s">
        <v>251</v>
      </c>
      <c r="G108" s="6">
        <v>330</v>
      </c>
      <c r="H108" t="s">
        <v>252</v>
      </c>
      <c r="K108" t="s">
        <v>254</v>
      </c>
    </row>
    <row r="109" spans="1:11" x14ac:dyDescent="0.45">
      <c r="A109" t="s">
        <v>255</v>
      </c>
      <c r="B109" t="s">
        <v>256</v>
      </c>
      <c r="C109" s="2">
        <v>3730.7</v>
      </c>
      <c r="D109" s="1">
        <v>44926</v>
      </c>
      <c r="E109" s="6">
        <v>331</v>
      </c>
      <c r="F109" t="s">
        <v>251</v>
      </c>
      <c r="G109" s="6">
        <v>330</v>
      </c>
      <c r="H109" t="s">
        <v>252</v>
      </c>
      <c r="K109" t="s">
        <v>256</v>
      </c>
    </row>
    <row r="110" spans="1:11" x14ac:dyDescent="0.45">
      <c r="A110" t="s">
        <v>257</v>
      </c>
      <c r="B110" t="s">
        <v>258</v>
      </c>
      <c r="C110" s="2">
        <v>105348.37999999999</v>
      </c>
      <c r="D110" s="1">
        <v>44926</v>
      </c>
      <c r="E110" s="6">
        <v>331</v>
      </c>
      <c r="F110" t="s">
        <v>251</v>
      </c>
      <c r="G110" s="6">
        <v>330</v>
      </c>
      <c r="H110" t="s">
        <v>252</v>
      </c>
      <c r="K110" t="s">
        <v>258</v>
      </c>
    </row>
    <row r="111" spans="1:11" x14ac:dyDescent="0.45">
      <c r="A111" t="s">
        <v>259</v>
      </c>
      <c r="B111" t="s">
        <v>260</v>
      </c>
      <c r="C111" s="2">
        <v>4315.3100000000004</v>
      </c>
      <c r="D111" s="1">
        <v>44926</v>
      </c>
      <c r="E111" s="6">
        <v>331</v>
      </c>
      <c r="F111" t="s">
        <v>251</v>
      </c>
      <c r="G111" s="6">
        <v>330</v>
      </c>
      <c r="H111" t="s">
        <v>252</v>
      </c>
      <c r="K111" t="s">
        <v>260</v>
      </c>
    </row>
    <row r="112" spans="1:11" x14ac:dyDescent="0.45">
      <c r="A112" t="s">
        <v>261</v>
      </c>
      <c r="B112" t="s">
        <v>262</v>
      </c>
      <c r="C112" s="2">
        <v>59174.600000000006</v>
      </c>
      <c r="D112" s="1">
        <v>44926</v>
      </c>
      <c r="E112" s="6">
        <v>332</v>
      </c>
      <c r="F112" t="s">
        <v>263</v>
      </c>
      <c r="G112" s="6">
        <v>330</v>
      </c>
      <c r="H112" t="s">
        <v>252</v>
      </c>
      <c r="K112" t="s">
        <v>262</v>
      </c>
    </row>
    <row r="113" spans="1:11" x14ac:dyDescent="0.45">
      <c r="A113" t="s">
        <v>264</v>
      </c>
      <c r="B113" t="s">
        <v>265</v>
      </c>
      <c r="C113" s="2">
        <v>98112.530000000028</v>
      </c>
      <c r="D113" s="1">
        <v>44926</v>
      </c>
      <c r="E113" s="6">
        <v>331</v>
      </c>
      <c r="F113" t="s">
        <v>251</v>
      </c>
      <c r="G113" s="6">
        <v>330</v>
      </c>
      <c r="H113" t="s">
        <v>252</v>
      </c>
      <c r="K113" t="s">
        <v>265</v>
      </c>
    </row>
    <row r="114" spans="1:11" x14ac:dyDescent="0.45">
      <c r="A114" t="s">
        <v>266</v>
      </c>
      <c r="B114" t="s">
        <v>267</v>
      </c>
      <c r="C114" s="2">
        <v>192922.41000000003</v>
      </c>
      <c r="D114" s="1">
        <v>44926</v>
      </c>
      <c r="E114" s="6">
        <v>331</v>
      </c>
      <c r="F114" t="s">
        <v>251</v>
      </c>
      <c r="G114" s="6">
        <v>330</v>
      </c>
      <c r="H114" t="s">
        <v>252</v>
      </c>
      <c r="K114" t="s">
        <v>267</v>
      </c>
    </row>
    <row r="115" spans="1:11" x14ac:dyDescent="0.45">
      <c r="A115" t="s">
        <v>268</v>
      </c>
      <c r="B115" t="s">
        <v>269</v>
      </c>
      <c r="C115" s="2">
        <v>16365.039999999999</v>
      </c>
      <c r="D115" s="1">
        <v>44926</v>
      </c>
      <c r="E115" s="6">
        <v>332</v>
      </c>
      <c r="F115" t="s">
        <v>263</v>
      </c>
      <c r="G115" s="6">
        <v>362</v>
      </c>
      <c r="H115" t="s">
        <v>270</v>
      </c>
      <c r="K115" t="s">
        <v>269</v>
      </c>
    </row>
    <row r="116" spans="1:11" x14ac:dyDescent="0.45">
      <c r="A116" t="s">
        <v>271</v>
      </c>
      <c r="B116" t="s">
        <v>272</v>
      </c>
      <c r="C116" s="2">
        <v>40707.829999999973</v>
      </c>
      <c r="D116" s="1">
        <v>44926</v>
      </c>
      <c r="E116" s="6">
        <v>331</v>
      </c>
      <c r="F116" t="s">
        <v>251</v>
      </c>
      <c r="G116" s="6">
        <v>356</v>
      </c>
      <c r="H116" t="s">
        <v>273</v>
      </c>
      <c r="K116" t="s">
        <v>272</v>
      </c>
    </row>
    <row r="117" spans="1:11" x14ac:dyDescent="0.45">
      <c r="A117" t="s">
        <v>274</v>
      </c>
      <c r="B117" t="s">
        <v>275</v>
      </c>
      <c r="C117" s="2">
        <v>7254.58</v>
      </c>
      <c r="D117" s="1">
        <v>44926</v>
      </c>
      <c r="E117" s="6">
        <v>332</v>
      </c>
      <c r="F117" t="s">
        <v>263</v>
      </c>
      <c r="G117" s="6">
        <v>356</v>
      </c>
      <c r="H117" t="s">
        <v>273</v>
      </c>
      <c r="K117" t="s">
        <v>275</v>
      </c>
    </row>
    <row r="118" spans="1:11" x14ac:dyDescent="0.45">
      <c r="A118" t="s">
        <v>276</v>
      </c>
      <c r="B118" t="s">
        <v>277</v>
      </c>
      <c r="C118" s="2">
        <v>689.37</v>
      </c>
      <c r="D118" s="1">
        <v>44926</v>
      </c>
      <c r="E118" s="6">
        <v>246</v>
      </c>
      <c r="F118" t="s">
        <v>70</v>
      </c>
      <c r="G118" s="6">
        <v>230</v>
      </c>
      <c r="H118" t="s">
        <v>154</v>
      </c>
      <c r="K118" t="s">
        <v>277</v>
      </c>
    </row>
    <row r="119" spans="1:11" x14ac:dyDescent="0.45">
      <c r="A119" t="s">
        <v>278</v>
      </c>
      <c r="B119" t="s">
        <v>279</v>
      </c>
      <c r="C119" s="2">
        <v>5584.83</v>
      </c>
      <c r="D119" s="1">
        <v>44926</v>
      </c>
      <c r="E119" s="6">
        <v>332</v>
      </c>
      <c r="F119" t="s">
        <v>263</v>
      </c>
      <c r="G119" s="6">
        <v>362</v>
      </c>
      <c r="H119" t="s">
        <v>270</v>
      </c>
      <c r="K119" t="s">
        <v>279</v>
      </c>
    </row>
    <row r="120" spans="1:11" x14ac:dyDescent="0.45">
      <c r="A120" t="s">
        <v>280</v>
      </c>
      <c r="B120" t="s">
        <v>281</v>
      </c>
      <c r="C120" s="2">
        <v>1835.51</v>
      </c>
      <c r="D120" s="1">
        <v>44926</v>
      </c>
      <c r="E120" s="6">
        <v>332</v>
      </c>
      <c r="F120" t="s">
        <v>263</v>
      </c>
      <c r="G120" s="6">
        <v>364</v>
      </c>
      <c r="H120" t="s">
        <v>282</v>
      </c>
      <c r="K120" t="s">
        <v>281</v>
      </c>
    </row>
    <row r="121" spans="1:11" x14ac:dyDescent="0.45">
      <c r="A121" t="s">
        <v>283</v>
      </c>
      <c r="B121" t="s">
        <v>284</v>
      </c>
      <c r="C121" s="2">
        <v>592.23000000000013</v>
      </c>
      <c r="D121" s="1">
        <v>44926</v>
      </c>
      <c r="E121" s="6">
        <v>332</v>
      </c>
      <c r="F121" t="s">
        <v>263</v>
      </c>
      <c r="G121" s="6">
        <v>362</v>
      </c>
      <c r="H121" t="s">
        <v>270</v>
      </c>
      <c r="K121" t="s">
        <v>284</v>
      </c>
    </row>
    <row r="122" spans="1:11" x14ac:dyDescent="0.45">
      <c r="A122" t="s">
        <v>285</v>
      </c>
      <c r="B122" t="s">
        <v>286</v>
      </c>
      <c r="C122" s="2">
        <v>2186.79</v>
      </c>
      <c r="D122" s="1">
        <v>44926</v>
      </c>
      <c r="E122" s="6">
        <v>332</v>
      </c>
      <c r="F122" t="s">
        <v>263</v>
      </c>
      <c r="G122" s="6">
        <v>364</v>
      </c>
      <c r="H122" t="s">
        <v>282</v>
      </c>
      <c r="K122" t="s">
        <v>286</v>
      </c>
    </row>
    <row r="123" spans="1:11" x14ac:dyDescent="0.45">
      <c r="A123" t="s">
        <v>287</v>
      </c>
      <c r="B123" t="s">
        <v>288</v>
      </c>
      <c r="C123" s="2">
        <v>309.87</v>
      </c>
      <c r="D123" s="1">
        <v>44926</v>
      </c>
      <c r="E123" s="6">
        <v>358</v>
      </c>
      <c r="F123" t="s">
        <v>289</v>
      </c>
      <c r="G123" s="6">
        <v>380</v>
      </c>
      <c r="H123" t="s">
        <v>290</v>
      </c>
      <c r="K123" t="s">
        <v>288</v>
      </c>
    </row>
    <row r="124" spans="1:11" x14ac:dyDescent="0.45">
      <c r="A124" t="s">
        <v>291</v>
      </c>
      <c r="B124" t="s">
        <v>292</v>
      </c>
      <c r="C124" s="2">
        <v>31114.74</v>
      </c>
      <c r="D124" s="1">
        <v>44926</v>
      </c>
      <c r="E124" s="6">
        <v>332</v>
      </c>
      <c r="F124" t="s">
        <v>263</v>
      </c>
      <c r="G124" s="6">
        <v>364</v>
      </c>
      <c r="H124" t="s">
        <v>282</v>
      </c>
      <c r="K124" t="s">
        <v>292</v>
      </c>
    </row>
    <row r="125" spans="1:11" x14ac:dyDescent="0.45">
      <c r="A125" t="s">
        <v>293</v>
      </c>
      <c r="B125" t="s">
        <v>294</v>
      </c>
      <c r="C125" s="2">
        <v>5571.2800000000007</v>
      </c>
      <c r="D125" s="1">
        <v>44926</v>
      </c>
      <c r="E125" s="6">
        <v>332</v>
      </c>
      <c r="F125" t="s">
        <v>263</v>
      </c>
      <c r="G125" s="6">
        <v>362</v>
      </c>
      <c r="H125" t="s">
        <v>270</v>
      </c>
      <c r="K125" t="s">
        <v>294</v>
      </c>
    </row>
    <row r="126" spans="1:11" x14ac:dyDescent="0.45">
      <c r="A126" t="s">
        <v>295</v>
      </c>
      <c r="B126" t="s">
        <v>296</v>
      </c>
      <c r="C126" s="2">
        <v>29779.280000000002</v>
      </c>
      <c r="D126" s="1">
        <v>44926</v>
      </c>
      <c r="E126" s="6">
        <v>332</v>
      </c>
      <c r="F126" t="s">
        <v>263</v>
      </c>
      <c r="G126" s="6">
        <v>380</v>
      </c>
      <c r="H126" t="s">
        <v>290</v>
      </c>
      <c r="K126" t="s">
        <v>296</v>
      </c>
    </row>
    <row r="127" spans="1:11" x14ac:dyDescent="0.45">
      <c r="A127" t="s">
        <v>297</v>
      </c>
      <c r="B127" t="s">
        <v>298</v>
      </c>
      <c r="C127" s="2">
        <v>5304.67</v>
      </c>
      <c r="D127" s="1">
        <v>44926</v>
      </c>
      <c r="E127" s="6">
        <v>332</v>
      </c>
      <c r="F127" t="s">
        <v>263</v>
      </c>
      <c r="G127" s="6">
        <v>380</v>
      </c>
      <c r="H127" t="s">
        <v>290</v>
      </c>
      <c r="K127" t="s">
        <v>298</v>
      </c>
    </row>
    <row r="128" spans="1:11" x14ac:dyDescent="0.45">
      <c r="A128" t="s">
        <v>299</v>
      </c>
      <c r="B128" t="s">
        <v>300</v>
      </c>
      <c r="C128" s="2">
        <v>121</v>
      </c>
      <c r="D128" s="1">
        <v>44926</v>
      </c>
      <c r="E128" s="6">
        <v>358</v>
      </c>
      <c r="F128" t="s">
        <v>289</v>
      </c>
      <c r="G128" s="6">
        <v>364</v>
      </c>
      <c r="H128" t="s">
        <v>282</v>
      </c>
      <c r="K128" t="s">
        <v>300</v>
      </c>
    </row>
    <row r="129" spans="1:11" x14ac:dyDescent="0.45">
      <c r="A129" t="s">
        <v>301</v>
      </c>
      <c r="B129" t="s">
        <v>302</v>
      </c>
      <c r="C129" s="2">
        <v>4930.4000000000005</v>
      </c>
      <c r="D129" s="1">
        <v>44926</v>
      </c>
      <c r="E129" s="6">
        <v>332</v>
      </c>
      <c r="F129" t="s">
        <v>263</v>
      </c>
      <c r="G129" s="6">
        <v>362</v>
      </c>
      <c r="H129" t="s">
        <v>270</v>
      </c>
      <c r="K129" t="s">
        <v>302</v>
      </c>
    </row>
    <row r="130" spans="1:11" x14ac:dyDescent="0.45">
      <c r="A130" t="s">
        <v>303</v>
      </c>
      <c r="B130" t="s">
        <v>304</v>
      </c>
      <c r="C130" s="2">
        <v>1043.29</v>
      </c>
      <c r="D130" s="1">
        <v>44926</v>
      </c>
      <c r="E130" s="6">
        <v>332</v>
      </c>
      <c r="F130" t="s">
        <v>263</v>
      </c>
      <c r="G130" s="6">
        <v>364</v>
      </c>
      <c r="H130" t="s">
        <v>282</v>
      </c>
      <c r="K130" t="s">
        <v>304</v>
      </c>
    </row>
    <row r="131" spans="1:11" x14ac:dyDescent="0.45">
      <c r="A131" t="s">
        <v>305</v>
      </c>
      <c r="B131" t="s">
        <v>306</v>
      </c>
      <c r="C131" s="2">
        <v>64.87</v>
      </c>
      <c r="D131" s="1">
        <v>44926</v>
      </c>
      <c r="E131" s="6">
        <v>332</v>
      </c>
      <c r="F131" t="s">
        <v>263</v>
      </c>
      <c r="G131" s="6">
        <v>380</v>
      </c>
      <c r="H131" t="s">
        <v>290</v>
      </c>
      <c r="K131" t="s">
        <v>306</v>
      </c>
    </row>
    <row r="132" spans="1:11" x14ac:dyDescent="0.45">
      <c r="A132" t="s">
        <v>307</v>
      </c>
      <c r="B132" t="s">
        <v>308</v>
      </c>
      <c r="C132" s="2">
        <v>3530.65</v>
      </c>
      <c r="D132" s="1">
        <v>44926</v>
      </c>
      <c r="E132" s="6">
        <v>332</v>
      </c>
      <c r="F132" t="s">
        <v>263</v>
      </c>
      <c r="G132" s="6">
        <v>380</v>
      </c>
      <c r="H132" t="s">
        <v>290</v>
      </c>
      <c r="K132" t="s">
        <v>308</v>
      </c>
    </row>
    <row r="133" spans="1:11" x14ac:dyDescent="0.45">
      <c r="A133" t="s">
        <v>309</v>
      </c>
      <c r="B133" t="s">
        <v>310</v>
      </c>
      <c r="C133" s="2">
        <v>90</v>
      </c>
      <c r="D133" s="1">
        <v>44926</v>
      </c>
      <c r="E133" s="6">
        <v>358</v>
      </c>
      <c r="F133" t="s">
        <v>289</v>
      </c>
      <c r="G133" s="6">
        <v>380</v>
      </c>
      <c r="H133" t="s">
        <v>290</v>
      </c>
      <c r="K133" t="s">
        <v>310</v>
      </c>
    </row>
    <row r="134" spans="1:11" x14ac:dyDescent="0.45">
      <c r="A134" t="s">
        <v>311</v>
      </c>
      <c r="B134" t="s">
        <v>312</v>
      </c>
      <c r="C134" s="2">
        <v>1143.81</v>
      </c>
      <c r="D134" s="1">
        <v>44926</v>
      </c>
      <c r="E134" s="6">
        <v>339</v>
      </c>
      <c r="F134" t="s">
        <v>313</v>
      </c>
      <c r="G134" s="6">
        <v>390</v>
      </c>
      <c r="H134" t="s">
        <v>314</v>
      </c>
      <c r="K134" t="s">
        <v>312</v>
      </c>
    </row>
    <row r="135" spans="1:11" x14ac:dyDescent="0.45">
      <c r="A135" t="s">
        <v>315</v>
      </c>
      <c r="B135" t="s">
        <v>316</v>
      </c>
      <c r="C135" s="2">
        <v>275775.44</v>
      </c>
      <c r="D135" s="1">
        <v>44926</v>
      </c>
      <c r="E135" s="6">
        <v>335</v>
      </c>
      <c r="F135" t="s">
        <v>317</v>
      </c>
      <c r="G135" s="6">
        <v>390</v>
      </c>
      <c r="H135" t="s">
        <v>314</v>
      </c>
      <c r="K135" t="s">
        <v>316</v>
      </c>
    </row>
    <row r="136" spans="1:11" x14ac:dyDescent="0.45">
      <c r="A136" t="s">
        <v>318</v>
      </c>
      <c r="B136" t="s">
        <v>319</v>
      </c>
      <c r="C136" s="2">
        <v>86643.609999999986</v>
      </c>
      <c r="D136" s="1">
        <v>44926</v>
      </c>
      <c r="E136" s="6">
        <v>336</v>
      </c>
      <c r="F136" t="s">
        <v>320</v>
      </c>
      <c r="G136" s="6">
        <v>390</v>
      </c>
      <c r="H136" t="s">
        <v>314</v>
      </c>
      <c r="K136" t="s">
        <v>319</v>
      </c>
    </row>
    <row r="137" spans="1:11" x14ac:dyDescent="0.45">
      <c r="A137" t="s">
        <v>321</v>
      </c>
      <c r="B137" t="s">
        <v>322</v>
      </c>
      <c r="C137" s="2">
        <v>2110.04</v>
      </c>
      <c r="D137" s="1">
        <v>44926</v>
      </c>
      <c r="E137" s="6">
        <v>336</v>
      </c>
      <c r="F137" t="s">
        <v>320</v>
      </c>
      <c r="G137" s="6">
        <v>390</v>
      </c>
      <c r="H137" t="s">
        <v>314</v>
      </c>
      <c r="K137" t="s">
        <v>322</v>
      </c>
    </row>
    <row r="138" spans="1:11" x14ac:dyDescent="0.45">
      <c r="A138" t="s">
        <v>323</v>
      </c>
      <c r="B138" t="s">
        <v>185</v>
      </c>
      <c r="C138" s="2">
        <v>22265.260000000002</v>
      </c>
      <c r="D138" s="1">
        <v>44926</v>
      </c>
      <c r="E138" s="6">
        <v>337</v>
      </c>
      <c r="F138" t="s">
        <v>324</v>
      </c>
      <c r="G138" s="6">
        <v>400</v>
      </c>
      <c r="H138" t="s">
        <v>325</v>
      </c>
      <c r="K138" t="s">
        <v>185</v>
      </c>
    </row>
    <row r="139" spans="1:11" x14ac:dyDescent="0.45">
      <c r="A139" t="s">
        <v>326</v>
      </c>
      <c r="B139" t="s">
        <v>327</v>
      </c>
      <c r="C139" s="2">
        <v>14602.54</v>
      </c>
      <c r="D139" s="1">
        <v>44926</v>
      </c>
      <c r="E139" s="6">
        <v>332</v>
      </c>
      <c r="F139" t="s">
        <v>263</v>
      </c>
      <c r="G139" s="6">
        <v>394</v>
      </c>
      <c r="H139" t="s">
        <v>328</v>
      </c>
      <c r="K139" t="s">
        <v>327</v>
      </c>
    </row>
    <row r="140" spans="1:11" x14ac:dyDescent="0.45">
      <c r="A140" t="s">
        <v>329</v>
      </c>
      <c r="B140" t="s">
        <v>330</v>
      </c>
      <c r="C140" s="2">
        <v>78984</v>
      </c>
      <c r="D140" s="1">
        <v>44926</v>
      </c>
      <c r="E140" s="6">
        <v>332</v>
      </c>
      <c r="F140" t="s">
        <v>263</v>
      </c>
      <c r="G140" s="6">
        <v>394</v>
      </c>
      <c r="H140" t="s">
        <v>328</v>
      </c>
      <c r="K140" t="s">
        <v>330</v>
      </c>
    </row>
    <row r="141" spans="1:11" x14ac:dyDescent="0.45">
      <c r="A141" t="s">
        <v>331</v>
      </c>
      <c r="B141" t="s">
        <v>332</v>
      </c>
      <c r="C141" s="2">
        <v>40</v>
      </c>
      <c r="D141" s="1">
        <v>44926</v>
      </c>
      <c r="E141" s="6">
        <v>336</v>
      </c>
      <c r="F141" t="s">
        <v>320</v>
      </c>
      <c r="G141" s="6">
        <v>390</v>
      </c>
      <c r="H141" t="s">
        <v>314</v>
      </c>
      <c r="K141" t="s">
        <v>332</v>
      </c>
    </row>
    <row r="142" spans="1:11" x14ac:dyDescent="0.45">
      <c r="A142" t="s">
        <v>333</v>
      </c>
      <c r="B142" t="s">
        <v>334</v>
      </c>
      <c r="C142" s="2">
        <v>409.74999999999994</v>
      </c>
      <c r="D142" s="1">
        <v>44926</v>
      </c>
      <c r="E142" s="6">
        <v>425</v>
      </c>
      <c r="F142" t="s">
        <v>335</v>
      </c>
      <c r="G142" s="6">
        <v>450</v>
      </c>
      <c r="H142" t="s">
        <v>336</v>
      </c>
      <c r="K142" t="s">
        <v>334</v>
      </c>
    </row>
    <row r="143" spans="1:11" x14ac:dyDescent="0.45">
      <c r="A143" t="s">
        <v>337</v>
      </c>
      <c r="B143" t="s">
        <v>338</v>
      </c>
      <c r="C143" s="2">
        <v>29480.19</v>
      </c>
      <c r="D143" s="1">
        <v>44926</v>
      </c>
      <c r="E143" s="6">
        <v>420</v>
      </c>
      <c r="F143" t="s">
        <v>339</v>
      </c>
      <c r="G143" s="6">
        <v>430</v>
      </c>
      <c r="H143" t="s">
        <v>340</v>
      </c>
      <c r="K143" t="s">
        <v>338</v>
      </c>
    </row>
    <row r="144" spans="1:11" x14ac:dyDescent="0.45">
      <c r="A144" t="s">
        <v>341</v>
      </c>
      <c r="B144" t="s">
        <v>342</v>
      </c>
      <c r="C144" s="2">
        <v>3139.16</v>
      </c>
      <c r="D144" s="1">
        <v>44926</v>
      </c>
      <c r="E144" s="6">
        <v>420</v>
      </c>
      <c r="F144" t="s">
        <v>339</v>
      </c>
      <c r="G144" s="6">
        <v>430</v>
      </c>
      <c r="H144" t="s">
        <v>340</v>
      </c>
      <c r="K144" t="s">
        <v>342</v>
      </c>
    </row>
    <row r="145" spans="1:11" x14ac:dyDescent="0.45">
      <c r="A145" t="s">
        <v>343</v>
      </c>
      <c r="B145" t="s">
        <v>344</v>
      </c>
      <c r="C145" s="2">
        <v>11346.359999999999</v>
      </c>
      <c r="D145" s="1">
        <v>44926</v>
      </c>
      <c r="E145" s="6">
        <v>420</v>
      </c>
      <c r="F145" t="s">
        <v>339</v>
      </c>
      <c r="G145" s="6">
        <v>430</v>
      </c>
      <c r="H145" t="s">
        <v>340</v>
      </c>
      <c r="K145" t="s">
        <v>344</v>
      </c>
    </row>
    <row r="146" spans="1:11" x14ac:dyDescent="0.45">
      <c r="A146" t="s">
        <v>345</v>
      </c>
      <c r="B146" t="s">
        <v>346</v>
      </c>
      <c r="C146" s="2">
        <v>29204.649999999976</v>
      </c>
      <c r="D146" s="1">
        <v>44926</v>
      </c>
      <c r="E146" s="6">
        <v>332</v>
      </c>
      <c r="F146" t="s">
        <v>263</v>
      </c>
      <c r="G146" s="6">
        <v>380</v>
      </c>
      <c r="H146" t="s">
        <v>290</v>
      </c>
      <c r="K146" t="s">
        <v>346</v>
      </c>
    </row>
    <row r="147" spans="1:11" x14ac:dyDescent="0.45">
      <c r="A147" t="s">
        <v>347</v>
      </c>
      <c r="B147" t="s">
        <v>348</v>
      </c>
      <c r="C147" s="2">
        <v>432</v>
      </c>
      <c r="D147" s="1">
        <v>44926</v>
      </c>
      <c r="E147" s="6">
        <v>420</v>
      </c>
      <c r="F147" t="s">
        <v>339</v>
      </c>
      <c r="G147" s="6">
        <v>430</v>
      </c>
      <c r="H147" t="s">
        <v>340</v>
      </c>
      <c r="K147" t="s">
        <v>348</v>
      </c>
    </row>
    <row r="148" spans="1:11" x14ac:dyDescent="0.45">
      <c r="A148" t="s">
        <v>349</v>
      </c>
      <c r="B148" t="s">
        <v>350</v>
      </c>
      <c r="C148" s="2">
        <v>11.37</v>
      </c>
      <c r="D148" s="1">
        <v>44926</v>
      </c>
      <c r="E148" s="6">
        <v>420</v>
      </c>
      <c r="F148" t="s">
        <v>339</v>
      </c>
      <c r="G148" s="6">
        <v>430</v>
      </c>
      <c r="H148" t="s">
        <v>340</v>
      </c>
      <c r="K148" t="s">
        <v>350</v>
      </c>
    </row>
    <row r="149" spans="1:11" x14ac:dyDescent="0.45">
      <c r="A149" t="s">
        <v>351</v>
      </c>
      <c r="B149" t="s">
        <v>352</v>
      </c>
      <c r="C149" s="2">
        <v>2.13</v>
      </c>
      <c r="D149" s="1">
        <v>44926</v>
      </c>
      <c r="E149" s="6">
        <v>420</v>
      </c>
      <c r="F149" t="s">
        <v>339</v>
      </c>
      <c r="G149" s="6">
        <v>430</v>
      </c>
      <c r="H149" t="s">
        <v>340</v>
      </c>
      <c r="K149" t="s">
        <v>352</v>
      </c>
    </row>
    <row r="150" spans="1:11" x14ac:dyDescent="0.45">
      <c r="A150" t="s">
        <v>353</v>
      </c>
      <c r="B150" t="s">
        <v>354</v>
      </c>
      <c r="C150" s="2">
        <v>362.8</v>
      </c>
      <c r="D150" s="1">
        <v>44926</v>
      </c>
      <c r="E150" s="6">
        <v>358</v>
      </c>
      <c r="F150" t="s">
        <v>289</v>
      </c>
      <c r="G150" s="6">
        <v>450</v>
      </c>
      <c r="H150" t="s">
        <v>336</v>
      </c>
      <c r="K150" t="s">
        <v>354</v>
      </c>
    </row>
    <row r="151" spans="1:11" x14ac:dyDescent="0.45">
      <c r="A151" t="s">
        <v>355</v>
      </c>
      <c r="B151" t="s">
        <v>356</v>
      </c>
      <c r="C151" s="2">
        <v>7166.5000000000009</v>
      </c>
      <c r="D151" s="1">
        <v>44926</v>
      </c>
      <c r="E151" s="6">
        <v>358</v>
      </c>
      <c r="F151" t="s">
        <v>289</v>
      </c>
      <c r="G151" s="6">
        <v>450</v>
      </c>
      <c r="H151" t="s">
        <v>336</v>
      </c>
      <c r="K151" t="s">
        <v>356</v>
      </c>
    </row>
    <row r="152" spans="1:11" x14ac:dyDescent="0.45">
      <c r="A152" t="s">
        <v>357</v>
      </c>
      <c r="B152" t="s">
        <v>358</v>
      </c>
      <c r="C152" s="2">
        <v>1000</v>
      </c>
      <c r="D152" s="1">
        <v>44926</v>
      </c>
      <c r="E152" s="6">
        <v>347</v>
      </c>
      <c r="F152" t="s">
        <v>359</v>
      </c>
      <c r="G152" s="6">
        <v>410</v>
      </c>
      <c r="H152" t="s">
        <v>360</v>
      </c>
      <c r="K152" t="s">
        <v>358</v>
      </c>
    </row>
    <row r="153" spans="1:11" x14ac:dyDescent="0.45">
      <c r="A153" t="s">
        <v>361</v>
      </c>
      <c r="B153" t="s">
        <v>362</v>
      </c>
      <c r="C153" s="2">
        <v>836.32</v>
      </c>
      <c r="D153" s="1">
        <v>44926</v>
      </c>
      <c r="E153" s="6">
        <v>347</v>
      </c>
      <c r="F153" t="s">
        <v>359</v>
      </c>
      <c r="G153" s="6">
        <v>410</v>
      </c>
      <c r="H153" t="s">
        <v>360</v>
      </c>
      <c r="K153" t="s">
        <v>362</v>
      </c>
    </row>
    <row r="154" spans="1:11" x14ac:dyDescent="0.45">
      <c r="A154" t="s">
        <v>363</v>
      </c>
      <c r="B154" t="s">
        <v>364</v>
      </c>
      <c r="C154" s="2">
        <v>7995.15</v>
      </c>
      <c r="D154" s="1">
        <v>44926</v>
      </c>
      <c r="E154" s="6">
        <v>347</v>
      </c>
      <c r="F154" t="s">
        <v>359</v>
      </c>
      <c r="G154" s="6">
        <v>410</v>
      </c>
      <c r="H154" t="s">
        <v>360</v>
      </c>
      <c r="K154" t="s">
        <v>364</v>
      </c>
    </row>
    <row r="155" spans="1:11" x14ac:dyDescent="0.45">
      <c r="A155" t="s">
        <v>365</v>
      </c>
      <c r="B155" t="s">
        <v>366</v>
      </c>
      <c r="C155" s="2">
        <v>414.72</v>
      </c>
      <c r="D155" s="1">
        <v>44926</v>
      </c>
      <c r="E155" s="6">
        <v>347</v>
      </c>
      <c r="F155" t="s">
        <v>359</v>
      </c>
      <c r="G155" s="6">
        <v>410</v>
      </c>
      <c r="H155" t="s">
        <v>360</v>
      </c>
      <c r="K155" t="s">
        <v>366</v>
      </c>
    </row>
    <row r="156" spans="1:11" x14ac:dyDescent="0.45">
      <c r="A156" t="s">
        <v>367</v>
      </c>
      <c r="B156" t="s">
        <v>368</v>
      </c>
      <c r="C156" s="2">
        <v>2441.4499999999998</v>
      </c>
      <c r="D156" s="1">
        <v>44926</v>
      </c>
      <c r="E156" s="6">
        <v>347</v>
      </c>
      <c r="F156" t="s">
        <v>359</v>
      </c>
      <c r="G156" s="6">
        <v>410</v>
      </c>
      <c r="H156" t="s">
        <v>360</v>
      </c>
      <c r="K156" t="s">
        <v>368</v>
      </c>
    </row>
    <row r="157" spans="1:11" x14ac:dyDescent="0.45">
      <c r="A157" t="s">
        <v>369</v>
      </c>
      <c r="B157" t="s">
        <v>370</v>
      </c>
      <c r="C157" s="2">
        <v>1583.3</v>
      </c>
      <c r="D157" s="1">
        <v>44926</v>
      </c>
      <c r="E157" s="6">
        <v>347</v>
      </c>
      <c r="F157" t="s">
        <v>359</v>
      </c>
      <c r="G157" s="6">
        <v>410</v>
      </c>
      <c r="H157" t="s">
        <v>360</v>
      </c>
      <c r="K157" t="s">
        <v>370</v>
      </c>
    </row>
    <row r="158" spans="1:11" x14ac:dyDescent="0.45">
      <c r="A158" t="s">
        <v>371</v>
      </c>
      <c r="B158" t="s">
        <v>372</v>
      </c>
      <c r="C158" s="2">
        <v>65.760000000000005</v>
      </c>
      <c r="D158" s="1">
        <v>44926</v>
      </c>
      <c r="E158" s="6">
        <v>347</v>
      </c>
      <c r="F158" t="s">
        <v>359</v>
      </c>
      <c r="G158" s="6">
        <v>410</v>
      </c>
      <c r="H158" t="s">
        <v>360</v>
      </c>
      <c r="K158" t="s">
        <v>372</v>
      </c>
    </row>
    <row r="159" spans="1:11" x14ac:dyDescent="0.45">
      <c r="A159" t="s">
        <v>373</v>
      </c>
      <c r="B159" t="s">
        <v>374</v>
      </c>
      <c r="C159" s="2">
        <v>220.49</v>
      </c>
      <c r="D159" s="1">
        <v>44926</v>
      </c>
      <c r="E159" s="6">
        <v>347</v>
      </c>
      <c r="F159" t="s">
        <v>359</v>
      </c>
      <c r="G159" s="6">
        <v>410</v>
      </c>
      <c r="H159" t="s">
        <v>360</v>
      </c>
      <c r="K159" t="s">
        <v>374</v>
      </c>
    </row>
    <row r="160" spans="1:11" x14ac:dyDescent="0.45">
      <c r="A160" t="s">
        <v>375</v>
      </c>
      <c r="B160" t="s">
        <v>376</v>
      </c>
      <c r="C160" s="2">
        <v>726.09</v>
      </c>
      <c r="D160" s="1">
        <v>44926</v>
      </c>
      <c r="E160" s="6">
        <v>347</v>
      </c>
      <c r="F160" t="s">
        <v>359</v>
      </c>
      <c r="G160" s="6">
        <v>410</v>
      </c>
      <c r="H160" t="s">
        <v>360</v>
      </c>
      <c r="K160" t="s">
        <v>376</v>
      </c>
    </row>
    <row r="161" spans="1:11" x14ac:dyDescent="0.45">
      <c r="A161" t="s">
        <v>377</v>
      </c>
      <c r="B161" t="s">
        <v>378</v>
      </c>
      <c r="C161" s="2">
        <v>201.6</v>
      </c>
      <c r="D161" s="1">
        <v>44926</v>
      </c>
      <c r="E161" s="6">
        <v>347</v>
      </c>
      <c r="F161" t="s">
        <v>359</v>
      </c>
      <c r="G161" s="6">
        <v>410</v>
      </c>
      <c r="H161" t="s">
        <v>360</v>
      </c>
      <c r="K161" t="s">
        <v>378</v>
      </c>
    </row>
    <row r="162" spans="1:11" x14ac:dyDescent="0.45">
      <c r="A162" t="s">
        <v>379</v>
      </c>
      <c r="B162" t="s">
        <v>380</v>
      </c>
      <c r="C162" s="2">
        <v>10305.26</v>
      </c>
      <c r="D162" s="1">
        <v>44926</v>
      </c>
      <c r="E162" s="6">
        <v>347</v>
      </c>
      <c r="F162" t="s">
        <v>359</v>
      </c>
      <c r="G162" s="6">
        <v>410</v>
      </c>
      <c r="H162" t="s">
        <v>360</v>
      </c>
      <c r="K162" t="s">
        <v>380</v>
      </c>
    </row>
    <row r="163" spans="1:11" x14ac:dyDescent="0.45">
      <c r="A163" t="s">
        <v>381</v>
      </c>
      <c r="B163" t="s">
        <v>382</v>
      </c>
      <c r="C163" s="2">
        <v>220.5</v>
      </c>
      <c r="D163" s="1">
        <v>44926</v>
      </c>
      <c r="E163" s="6">
        <v>347</v>
      </c>
      <c r="F163" t="s">
        <v>359</v>
      </c>
      <c r="G163" s="6">
        <v>410</v>
      </c>
      <c r="H163" t="s">
        <v>360</v>
      </c>
      <c r="K163" t="s">
        <v>382</v>
      </c>
    </row>
    <row r="164" spans="1:11" x14ac:dyDescent="0.45">
      <c r="A164" t="s">
        <v>383</v>
      </c>
      <c r="B164" t="s">
        <v>384</v>
      </c>
      <c r="C164" s="2">
        <v>180</v>
      </c>
      <c r="D164" s="1">
        <v>44926</v>
      </c>
      <c r="E164" s="6">
        <v>346</v>
      </c>
      <c r="F164" t="s">
        <v>385</v>
      </c>
      <c r="G164" s="6">
        <v>410</v>
      </c>
      <c r="H164" t="s">
        <v>360</v>
      </c>
      <c r="K164" t="s">
        <v>384</v>
      </c>
    </row>
    <row r="165" spans="1:11" x14ac:dyDescent="0.45">
      <c r="A165" t="s">
        <v>386</v>
      </c>
      <c r="B165" t="s">
        <v>387</v>
      </c>
      <c r="C165" s="2">
        <v>125.93</v>
      </c>
      <c r="D165" s="1">
        <v>44926</v>
      </c>
      <c r="E165" s="6">
        <v>346</v>
      </c>
      <c r="F165" t="s">
        <v>385</v>
      </c>
      <c r="G165" s="6">
        <v>410</v>
      </c>
      <c r="H165" t="s">
        <v>360</v>
      </c>
      <c r="K165" t="s">
        <v>387</v>
      </c>
    </row>
    <row r="166" spans="1:11" x14ac:dyDescent="0.45">
      <c r="A166" t="s">
        <v>388</v>
      </c>
      <c r="B166" t="s">
        <v>389</v>
      </c>
      <c r="C166" s="2">
        <v>665.28</v>
      </c>
      <c r="D166" s="1">
        <v>44926</v>
      </c>
      <c r="E166" s="6">
        <v>346</v>
      </c>
      <c r="F166" t="s">
        <v>385</v>
      </c>
      <c r="G166" s="6">
        <v>410</v>
      </c>
      <c r="H166" t="s">
        <v>360</v>
      </c>
      <c r="K166" t="s">
        <v>389</v>
      </c>
    </row>
    <row r="167" spans="1:11" x14ac:dyDescent="0.45">
      <c r="A167" t="s">
        <v>390</v>
      </c>
      <c r="B167" t="s">
        <v>391</v>
      </c>
      <c r="C167" s="2">
        <v>106289.1</v>
      </c>
      <c r="D167" s="1">
        <v>44926</v>
      </c>
      <c r="E167" s="6">
        <v>346</v>
      </c>
      <c r="F167" t="s">
        <v>385</v>
      </c>
      <c r="G167" s="6">
        <v>410</v>
      </c>
      <c r="H167" t="s">
        <v>360</v>
      </c>
      <c r="K167" t="s">
        <v>391</v>
      </c>
    </row>
    <row r="168" spans="1:11" x14ac:dyDescent="0.45">
      <c r="A168" t="s">
        <v>392</v>
      </c>
      <c r="B168" t="s">
        <v>393</v>
      </c>
      <c r="C168" s="2">
        <v>2442.7600000000002</v>
      </c>
      <c r="D168" s="1">
        <v>44926</v>
      </c>
      <c r="E168" s="6">
        <v>346</v>
      </c>
      <c r="F168" t="s">
        <v>385</v>
      </c>
      <c r="G168" s="6">
        <v>410</v>
      </c>
      <c r="H168" t="s">
        <v>360</v>
      </c>
      <c r="K168" t="s">
        <v>393</v>
      </c>
    </row>
    <row r="169" spans="1:11" x14ac:dyDescent="0.45">
      <c r="A169" t="s">
        <v>394</v>
      </c>
      <c r="B169" t="s">
        <v>395</v>
      </c>
      <c r="C169" s="2">
        <v>882.4</v>
      </c>
      <c r="D169" s="1">
        <v>44926</v>
      </c>
      <c r="E169" s="6">
        <v>346</v>
      </c>
      <c r="F169" t="s">
        <v>385</v>
      </c>
      <c r="G169" s="6">
        <v>410</v>
      </c>
      <c r="H169" t="s">
        <v>360</v>
      </c>
      <c r="K169" t="s">
        <v>395</v>
      </c>
    </row>
    <row r="170" spans="1:11" x14ac:dyDescent="0.45">
      <c r="A170" t="s">
        <v>396</v>
      </c>
      <c r="B170" t="s">
        <v>397</v>
      </c>
      <c r="C170" s="2">
        <v>2800</v>
      </c>
      <c r="D170" s="1">
        <v>44926</v>
      </c>
      <c r="E170" s="6">
        <v>346</v>
      </c>
      <c r="F170" t="s">
        <v>385</v>
      </c>
      <c r="G170" s="6">
        <v>410</v>
      </c>
      <c r="H170" t="s">
        <v>360</v>
      </c>
      <c r="K170" t="s">
        <v>397</v>
      </c>
    </row>
    <row r="171" spans="1:11" x14ac:dyDescent="0.45">
      <c r="A171" t="s">
        <v>398</v>
      </c>
      <c r="B171" t="s">
        <v>399</v>
      </c>
      <c r="C171" s="2">
        <v>1700</v>
      </c>
      <c r="D171" s="1">
        <v>44926</v>
      </c>
      <c r="E171" s="6">
        <v>356</v>
      </c>
      <c r="F171" t="s">
        <v>400</v>
      </c>
      <c r="G171" s="6">
        <v>411</v>
      </c>
      <c r="H171" t="s">
        <v>401</v>
      </c>
      <c r="K171" t="s">
        <v>399</v>
      </c>
    </row>
    <row r="172" spans="1:11" x14ac:dyDescent="0.45">
      <c r="A172" t="s">
        <v>402</v>
      </c>
      <c r="B172" t="s">
        <v>403</v>
      </c>
      <c r="C172" s="2">
        <v>30630.050000000003</v>
      </c>
      <c r="D172" s="1">
        <v>44926</v>
      </c>
      <c r="E172" s="6">
        <v>356</v>
      </c>
      <c r="F172" t="s">
        <v>400</v>
      </c>
      <c r="G172" s="6">
        <v>411</v>
      </c>
      <c r="H172" t="s">
        <v>401</v>
      </c>
      <c r="K172" t="s">
        <v>403</v>
      </c>
    </row>
    <row r="173" spans="1:11" x14ac:dyDescent="0.45">
      <c r="A173" t="s">
        <v>404</v>
      </c>
      <c r="B173" t="s">
        <v>405</v>
      </c>
      <c r="C173" s="2">
        <v>822</v>
      </c>
      <c r="D173" s="1">
        <v>44926</v>
      </c>
      <c r="E173" s="6">
        <v>332</v>
      </c>
      <c r="F173" t="s">
        <v>263</v>
      </c>
      <c r="G173" s="6">
        <v>362</v>
      </c>
      <c r="H173" t="s">
        <v>270</v>
      </c>
      <c r="K173" t="s">
        <v>405</v>
      </c>
    </row>
    <row r="174" spans="1:11" x14ac:dyDescent="0.45">
      <c r="A174" t="s">
        <v>406</v>
      </c>
      <c r="B174" t="s">
        <v>407</v>
      </c>
      <c r="C174" s="2">
        <v>1786.4</v>
      </c>
      <c r="D174" s="1">
        <v>44926</v>
      </c>
      <c r="E174" s="6">
        <v>332</v>
      </c>
      <c r="F174" t="s">
        <v>263</v>
      </c>
      <c r="G174" s="6">
        <v>380</v>
      </c>
      <c r="H174" t="s">
        <v>290</v>
      </c>
      <c r="K174" t="s">
        <v>407</v>
      </c>
    </row>
    <row r="175" spans="1:11" x14ac:dyDescent="0.45">
      <c r="A175" t="s">
        <v>408</v>
      </c>
      <c r="B175" t="s">
        <v>409</v>
      </c>
      <c r="C175" s="2">
        <v>71.58</v>
      </c>
      <c r="D175" s="1">
        <v>44926</v>
      </c>
      <c r="E175" s="6">
        <v>333</v>
      </c>
      <c r="F175" t="s">
        <v>410</v>
      </c>
      <c r="G175" s="6">
        <v>370</v>
      </c>
      <c r="H175" t="s">
        <v>411</v>
      </c>
      <c r="K175" t="s">
        <v>409</v>
      </c>
    </row>
    <row r="176" spans="1:11" x14ac:dyDescent="0.45">
      <c r="A176" t="s">
        <v>412</v>
      </c>
      <c r="B176" t="s">
        <v>413</v>
      </c>
      <c r="C176" s="2">
        <v>20386.330000000005</v>
      </c>
      <c r="D176" s="1">
        <v>44926</v>
      </c>
      <c r="E176" s="6">
        <v>333</v>
      </c>
      <c r="F176" t="s">
        <v>410</v>
      </c>
      <c r="G176" s="6">
        <v>370</v>
      </c>
      <c r="H176" t="s">
        <v>411</v>
      </c>
      <c r="K176" t="s">
        <v>413</v>
      </c>
    </row>
    <row r="177" spans="1:11" x14ac:dyDescent="0.45">
      <c r="A177" t="s">
        <v>414</v>
      </c>
      <c r="B177" t="s">
        <v>415</v>
      </c>
      <c r="C177" s="2">
        <v>2557.1</v>
      </c>
      <c r="D177" s="1">
        <v>44926</v>
      </c>
      <c r="E177" s="6">
        <v>333</v>
      </c>
      <c r="F177" t="s">
        <v>410</v>
      </c>
      <c r="G177" s="6">
        <v>370</v>
      </c>
      <c r="H177" t="s">
        <v>411</v>
      </c>
      <c r="K177" s="3" t="s">
        <v>415</v>
      </c>
    </row>
    <row r="178" spans="1:11" x14ac:dyDescent="0.45">
      <c r="A178" t="s">
        <v>416</v>
      </c>
      <c r="B178" t="s">
        <v>417</v>
      </c>
      <c r="C178" s="2">
        <v>875.38</v>
      </c>
      <c r="D178" s="1">
        <v>44926</v>
      </c>
      <c r="E178" s="6">
        <v>333</v>
      </c>
      <c r="F178" t="s">
        <v>410</v>
      </c>
      <c r="G178" s="6">
        <v>370</v>
      </c>
      <c r="H178" t="s">
        <v>411</v>
      </c>
      <c r="K178" s="3" t="s">
        <v>417</v>
      </c>
    </row>
    <row r="179" spans="1:11" x14ac:dyDescent="0.45">
      <c r="A179" t="s">
        <v>418</v>
      </c>
      <c r="B179" t="s">
        <v>419</v>
      </c>
      <c r="C179" s="2">
        <v>2003.7299999999998</v>
      </c>
      <c r="D179" s="1">
        <v>44926</v>
      </c>
      <c r="E179" s="6">
        <v>333</v>
      </c>
      <c r="F179" t="s">
        <v>410</v>
      </c>
      <c r="G179" s="6">
        <v>370</v>
      </c>
      <c r="H179" t="s">
        <v>411</v>
      </c>
      <c r="K179" t="s">
        <v>419</v>
      </c>
    </row>
    <row r="180" spans="1:11" x14ac:dyDescent="0.45">
      <c r="A180" t="s">
        <v>420</v>
      </c>
      <c r="B180" t="s">
        <v>421</v>
      </c>
      <c r="C180" s="2">
        <v>89.16</v>
      </c>
      <c r="D180" s="1">
        <v>44926</v>
      </c>
      <c r="E180" s="6">
        <v>358</v>
      </c>
      <c r="F180" t="s">
        <v>289</v>
      </c>
      <c r="G180" s="6">
        <v>300</v>
      </c>
      <c r="H180" t="s">
        <v>422</v>
      </c>
      <c r="K180" t="s">
        <v>421</v>
      </c>
    </row>
    <row r="181" spans="1:11" x14ac:dyDescent="0.45">
      <c r="A181" t="s">
        <v>423</v>
      </c>
      <c r="B181" t="s">
        <v>424</v>
      </c>
      <c r="C181" s="2">
        <v>10762.289999999999</v>
      </c>
      <c r="D181" s="1">
        <v>44926</v>
      </c>
      <c r="E181" s="6">
        <v>331</v>
      </c>
      <c r="F181" t="s">
        <v>251</v>
      </c>
      <c r="G181" s="6">
        <v>330</v>
      </c>
      <c r="H181" t="s">
        <v>252</v>
      </c>
      <c r="K181" t="s">
        <v>424</v>
      </c>
    </row>
    <row r="182" spans="1:11" x14ac:dyDescent="0.45">
      <c r="A182" t="s">
        <v>425</v>
      </c>
      <c r="B182" t="s">
        <v>426</v>
      </c>
      <c r="C182" s="2">
        <v>5137.6799999999994</v>
      </c>
      <c r="D182" s="1">
        <v>44926</v>
      </c>
      <c r="E182" s="6">
        <v>358</v>
      </c>
      <c r="F182" t="s">
        <v>289</v>
      </c>
      <c r="G182" s="6">
        <v>380</v>
      </c>
      <c r="H182" t="s">
        <v>290</v>
      </c>
      <c r="K182" t="s">
        <v>426</v>
      </c>
    </row>
    <row r="183" spans="1:11" x14ac:dyDescent="0.45">
      <c r="A183" t="s">
        <v>427</v>
      </c>
      <c r="B183" t="s">
        <v>428</v>
      </c>
      <c r="C183" s="2">
        <v>80.399999999999991</v>
      </c>
      <c r="D183" s="1">
        <v>44926</v>
      </c>
      <c r="E183" s="6">
        <v>332</v>
      </c>
      <c r="F183" t="s">
        <v>263</v>
      </c>
      <c r="G183" s="6">
        <v>380</v>
      </c>
      <c r="H183" t="s">
        <v>290</v>
      </c>
      <c r="K183" t="s">
        <v>428</v>
      </c>
    </row>
    <row r="184" spans="1:11" x14ac:dyDescent="0.45">
      <c r="A184" t="s">
        <v>429</v>
      </c>
      <c r="B184" t="s">
        <v>430</v>
      </c>
      <c r="C184" s="2">
        <v>393.57</v>
      </c>
      <c r="D184" s="1">
        <v>44926</v>
      </c>
      <c r="E184" s="6">
        <v>358</v>
      </c>
      <c r="F184" t="s">
        <v>289</v>
      </c>
      <c r="G184" s="6">
        <v>380</v>
      </c>
      <c r="H184" t="s">
        <v>290</v>
      </c>
      <c r="K184" t="s">
        <v>430</v>
      </c>
    </row>
    <row r="185" spans="1:11" x14ac:dyDescent="0.45">
      <c r="A185" t="s">
        <v>431</v>
      </c>
      <c r="B185" t="s">
        <v>432</v>
      </c>
      <c r="C185" s="2">
        <v>2129.65</v>
      </c>
      <c r="D185" s="1">
        <v>44926</v>
      </c>
      <c r="E185" s="6">
        <v>358</v>
      </c>
      <c r="F185" t="s">
        <v>289</v>
      </c>
      <c r="G185" s="6">
        <v>380</v>
      </c>
      <c r="H185" t="s">
        <v>290</v>
      </c>
      <c r="K185" t="s">
        <v>432</v>
      </c>
    </row>
    <row r="186" spans="1:11" x14ac:dyDescent="0.45">
      <c r="A186" t="s">
        <v>433</v>
      </c>
      <c r="B186" t="s">
        <v>434</v>
      </c>
      <c r="C186" s="2">
        <v>13672.99</v>
      </c>
      <c r="D186" s="1">
        <v>44926</v>
      </c>
      <c r="E186" s="6">
        <v>331</v>
      </c>
      <c r="F186" t="s">
        <v>251</v>
      </c>
      <c r="G186" s="6">
        <v>330</v>
      </c>
      <c r="H186" t="s">
        <v>252</v>
      </c>
      <c r="K186" t="s">
        <v>434</v>
      </c>
    </row>
    <row r="187" spans="1:11" x14ac:dyDescent="0.45">
      <c r="A187" t="s">
        <v>435</v>
      </c>
      <c r="B187" t="s">
        <v>436</v>
      </c>
      <c r="C187" s="2">
        <v>327.54000000000002</v>
      </c>
      <c r="D187" s="1">
        <v>44926</v>
      </c>
      <c r="E187" s="6">
        <v>333</v>
      </c>
      <c r="F187" t="s">
        <v>410</v>
      </c>
      <c r="G187" s="6">
        <v>380</v>
      </c>
      <c r="H187" t="s">
        <v>290</v>
      </c>
      <c r="K187" t="s">
        <v>436</v>
      </c>
    </row>
    <row r="188" spans="1:11" x14ac:dyDescent="0.45">
      <c r="A188" t="s">
        <v>437</v>
      </c>
      <c r="B188" t="s">
        <v>438</v>
      </c>
      <c r="C188" s="2">
        <v>74.849999999999994</v>
      </c>
      <c r="D188" s="1">
        <v>44926</v>
      </c>
      <c r="E188" s="6">
        <v>332</v>
      </c>
      <c r="F188" t="s">
        <v>263</v>
      </c>
      <c r="G188" s="6">
        <v>364</v>
      </c>
      <c r="H188" t="s">
        <v>282</v>
      </c>
      <c r="K188" t="s">
        <v>438</v>
      </c>
    </row>
    <row r="189" spans="1:11" x14ac:dyDescent="0.45">
      <c r="A189" t="s">
        <v>439</v>
      </c>
      <c r="B189" t="s">
        <v>440</v>
      </c>
      <c r="C189" s="2">
        <v>365.43</v>
      </c>
      <c r="D189" s="1">
        <v>44926</v>
      </c>
      <c r="E189" s="6">
        <v>358</v>
      </c>
      <c r="F189" t="s">
        <v>289</v>
      </c>
      <c r="G189" s="6">
        <v>380</v>
      </c>
      <c r="H189" t="s">
        <v>290</v>
      </c>
      <c r="K189" t="s">
        <v>440</v>
      </c>
    </row>
    <row r="190" spans="1:11" x14ac:dyDescent="0.45">
      <c r="A190" t="s">
        <v>441</v>
      </c>
      <c r="B190" t="s">
        <v>442</v>
      </c>
      <c r="C190" s="2">
        <v>300</v>
      </c>
      <c r="D190" s="1">
        <v>44926</v>
      </c>
      <c r="E190" s="6">
        <v>332</v>
      </c>
      <c r="F190" t="s">
        <v>263</v>
      </c>
      <c r="G190" s="6">
        <v>380</v>
      </c>
      <c r="H190" t="s">
        <v>290</v>
      </c>
      <c r="K190" t="s">
        <v>442</v>
      </c>
    </row>
    <row r="191" spans="1:11" x14ac:dyDescent="0.45">
      <c r="A191" t="s">
        <v>443</v>
      </c>
      <c r="B191" t="s">
        <v>444</v>
      </c>
      <c r="C191" s="2">
        <v>6114.42</v>
      </c>
      <c r="D191" s="1">
        <v>44926</v>
      </c>
      <c r="E191" s="6">
        <v>332</v>
      </c>
      <c r="F191" t="s">
        <v>263</v>
      </c>
      <c r="G191" s="6">
        <v>390</v>
      </c>
      <c r="H191" t="s">
        <v>314</v>
      </c>
      <c r="K191" t="s">
        <v>444</v>
      </c>
    </row>
    <row r="192" spans="1:11" x14ac:dyDescent="0.45">
      <c r="A192" t="s">
        <v>416</v>
      </c>
      <c r="B192" t="s">
        <v>445</v>
      </c>
      <c r="C192" s="2">
        <v>1698.3</v>
      </c>
      <c r="D192" s="1">
        <v>44926</v>
      </c>
      <c r="E192" s="6">
        <v>358</v>
      </c>
      <c r="F192" t="s">
        <v>289</v>
      </c>
      <c r="G192" s="6">
        <v>370</v>
      </c>
      <c r="H192" t="s">
        <v>411</v>
      </c>
      <c r="K192" t="s">
        <v>445</v>
      </c>
    </row>
    <row r="193" spans="1:11" x14ac:dyDescent="0.45">
      <c r="A193" t="s">
        <v>446</v>
      </c>
      <c r="B193" t="s">
        <v>447</v>
      </c>
      <c r="C193" s="2">
        <v>12565.679999999993</v>
      </c>
      <c r="D193" s="1">
        <v>44926</v>
      </c>
      <c r="E193" s="6">
        <v>332</v>
      </c>
      <c r="F193" t="s">
        <v>263</v>
      </c>
      <c r="G193" s="6">
        <v>364</v>
      </c>
      <c r="H193" t="s">
        <v>282</v>
      </c>
      <c r="K193" t="s">
        <v>447</v>
      </c>
    </row>
    <row r="194" spans="1:11" x14ac:dyDescent="0.45">
      <c r="A194" t="s">
        <v>448</v>
      </c>
      <c r="B194" t="s">
        <v>449</v>
      </c>
      <c r="C194" s="2">
        <v>503.17999999999995</v>
      </c>
      <c r="D194" s="1">
        <v>44926</v>
      </c>
      <c r="E194" s="6">
        <v>332</v>
      </c>
      <c r="F194" t="s">
        <v>263</v>
      </c>
      <c r="G194" s="6">
        <v>380</v>
      </c>
      <c r="H194" t="s">
        <v>290</v>
      </c>
      <c r="K194" t="s">
        <v>449</v>
      </c>
    </row>
    <row r="195" spans="1:11" x14ac:dyDescent="0.45">
      <c r="A195" t="s">
        <v>450</v>
      </c>
      <c r="B195" t="s">
        <v>451</v>
      </c>
      <c r="C195" s="2">
        <v>5215.4500000000007</v>
      </c>
      <c r="D195" s="1">
        <v>44926</v>
      </c>
      <c r="E195" s="6">
        <v>332</v>
      </c>
      <c r="F195" t="s">
        <v>263</v>
      </c>
      <c r="G195" s="6">
        <v>380</v>
      </c>
      <c r="H195" t="s">
        <v>290</v>
      </c>
      <c r="K195" t="s">
        <v>451</v>
      </c>
    </row>
    <row r="196" spans="1:11" x14ac:dyDescent="0.45">
      <c r="A196" t="s">
        <v>452</v>
      </c>
      <c r="B196" t="s">
        <v>453</v>
      </c>
      <c r="C196" s="2">
        <v>3920.5</v>
      </c>
      <c r="D196" s="1">
        <v>44926</v>
      </c>
      <c r="E196" s="6">
        <v>332</v>
      </c>
      <c r="F196" t="s">
        <v>263</v>
      </c>
      <c r="G196" s="6">
        <v>380</v>
      </c>
      <c r="H196" t="s">
        <v>290</v>
      </c>
      <c r="K196" t="s">
        <v>453</v>
      </c>
    </row>
    <row r="197" spans="1:11" x14ac:dyDescent="0.45">
      <c r="A197" t="s">
        <v>454</v>
      </c>
      <c r="B197" t="s">
        <v>455</v>
      </c>
      <c r="C197" s="2">
        <v>356.14</v>
      </c>
      <c r="D197" s="1">
        <v>44926</v>
      </c>
      <c r="E197" s="6">
        <v>358</v>
      </c>
      <c r="F197" t="s">
        <v>289</v>
      </c>
      <c r="G197" s="6">
        <v>380</v>
      </c>
      <c r="H197" t="s">
        <v>290</v>
      </c>
      <c r="K197" t="s">
        <v>455</v>
      </c>
    </row>
    <row r="198" spans="1:11" x14ac:dyDescent="0.45">
      <c r="A198" t="s">
        <v>456</v>
      </c>
      <c r="B198" t="s">
        <v>457</v>
      </c>
      <c r="C198" s="2">
        <v>8439.2799999999988</v>
      </c>
      <c r="D198" s="1">
        <v>44926</v>
      </c>
      <c r="E198" s="6">
        <v>331</v>
      </c>
      <c r="F198" t="s">
        <v>251</v>
      </c>
      <c r="G198" s="6">
        <v>364</v>
      </c>
      <c r="H198" t="s">
        <v>282</v>
      </c>
      <c r="K198" t="s">
        <v>457</v>
      </c>
    </row>
    <row r="199" spans="1:11" x14ac:dyDescent="0.45">
      <c r="A199" t="s">
        <v>458</v>
      </c>
      <c r="B199" t="s">
        <v>459</v>
      </c>
      <c r="C199" s="2">
        <v>7416.130000000001</v>
      </c>
      <c r="D199" s="1">
        <v>44926</v>
      </c>
      <c r="E199" s="6">
        <v>332</v>
      </c>
      <c r="F199" t="s">
        <v>263</v>
      </c>
      <c r="G199" s="6">
        <v>364</v>
      </c>
      <c r="H199" t="s">
        <v>282</v>
      </c>
      <c r="K199" t="s">
        <v>459</v>
      </c>
    </row>
    <row r="200" spans="1:11" x14ac:dyDescent="0.45">
      <c r="A200" t="s">
        <v>460</v>
      </c>
      <c r="B200" t="s">
        <v>461</v>
      </c>
      <c r="C200" s="2">
        <v>2006.8399999999997</v>
      </c>
      <c r="D200" s="1">
        <v>44926</v>
      </c>
      <c r="E200" s="6">
        <v>332</v>
      </c>
      <c r="F200" t="s">
        <v>263</v>
      </c>
      <c r="G200" s="6">
        <v>364</v>
      </c>
      <c r="H200" t="s">
        <v>282</v>
      </c>
      <c r="K200" t="s">
        <v>461</v>
      </c>
    </row>
    <row r="201" spans="1:11" x14ac:dyDescent="0.45">
      <c r="A201" t="s">
        <v>462</v>
      </c>
      <c r="B201" t="s">
        <v>463</v>
      </c>
      <c r="C201" s="2">
        <v>305</v>
      </c>
      <c r="D201" s="1">
        <v>44926</v>
      </c>
      <c r="E201" s="6">
        <v>358</v>
      </c>
      <c r="F201" t="s">
        <v>289</v>
      </c>
      <c r="G201" s="6">
        <v>380</v>
      </c>
      <c r="H201" t="s">
        <v>290</v>
      </c>
      <c r="K201" t="s">
        <v>463</v>
      </c>
    </row>
    <row r="202" spans="1:11" x14ac:dyDescent="0.45">
      <c r="A202" t="s">
        <v>464</v>
      </c>
      <c r="B202" t="s">
        <v>465</v>
      </c>
      <c r="C202" s="2">
        <v>1407</v>
      </c>
      <c r="D202" s="1">
        <v>44926</v>
      </c>
      <c r="E202" s="6">
        <v>358</v>
      </c>
      <c r="F202" t="s">
        <v>289</v>
      </c>
      <c r="G202" s="6">
        <v>380</v>
      </c>
      <c r="H202" t="s">
        <v>290</v>
      </c>
      <c r="K202" t="s">
        <v>465</v>
      </c>
    </row>
    <row r="203" spans="1:11" x14ac:dyDescent="0.45">
      <c r="A203" t="s">
        <v>466</v>
      </c>
      <c r="B203" t="s">
        <v>467</v>
      </c>
      <c r="C203" s="2">
        <v>70000</v>
      </c>
      <c r="D203" s="1">
        <v>44926</v>
      </c>
      <c r="E203" s="6">
        <v>358</v>
      </c>
      <c r="F203" t="s">
        <v>289</v>
      </c>
      <c r="G203" s="6">
        <v>450</v>
      </c>
      <c r="H203" t="s">
        <v>336</v>
      </c>
      <c r="K203" t="s">
        <v>467</v>
      </c>
    </row>
    <row r="204" spans="1:11" x14ac:dyDescent="0.45">
      <c r="A204" t="s">
        <v>468</v>
      </c>
      <c r="B204" t="s">
        <v>469</v>
      </c>
      <c r="C204" s="2">
        <v>49570</v>
      </c>
      <c r="D204" s="1">
        <v>44926</v>
      </c>
      <c r="E204" s="6">
        <v>482</v>
      </c>
      <c r="F204" t="s">
        <v>470</v>
      </c>
      <c r="G204" s="6">
        <v>460</v>
      </c>
      <c r="H204" t="s">
        <v>471</v>
      </c>
      <c r="K204" t="s">
        <v>469</v>
      </c>
    </row>
    <row r="205" spans="1:11" x14ac:dyDescent="0.45">
      <c r="A205" t="s">
        <v>472</v>
      </c>
      <c r="B205" t="s">
        <v>473</v>
      </c>
      <c r="C205" s="2">
        <v>17684</v>
      </c>
      <c r="D205" s="1">
        <v>44926</v>
      </c>
      <c r="E205" s="6">
        <v>482</v>
      </c>
      <c r="F205" t="s">
        <v>470</v>
      </c>
      <c r="G205" s="6">
        <v>460</v>
      </c>
      <c r="H205" t="s">
        <v>471</v>
      </c>
      <c r="K205" t="s">
        <v>473</v>
      </c>
    </row>
    <row r="206" spans="1:11" x14ac:dyDescent="0.45">
      <c r="A206" t="s">
        <v>474</v>
      </c>
      <c r="B206" t="s">
        <v>475</v>
      </c>
      <c r="C206" s="2">
        <v>-1631052.2100000004</v>
      </c>
      <c r="D206" s="1">
        <v>44926</v>
      </c>
      <c r="E206" s="6">
        <v>311</v>
      </c>
      <c r="F206" t="s">
        <v>476</v>
      </c>
      <c r="G206" s="6">
        <v>300</v>
      </c>
      <c r="H206" t="s">
        <v>422</v>
      </c>
      <c r="K206" t="s">
        <v>475</v>
      </c>
    </row>
    <row r="207" spans="1:11" x14ac:dyDescent="0.45">
      <c r="A207" t="s">
        <v>477</v>
      </c>
      <c r="B207" t="s">
        <v>478</v>
      </c>
      <c r="C207" s="2">
        <v>-95172.86</v>
      </c>
      <c r="D207" s="1">
        <v>44926</v>
      </c>
      <c r="E207" s="6">
        <v>311</v>
      </c>
      <c r="F207" t="s">
        <v>476</v>
      </c>
      <c r="G207" s="6">
        <v>300</v>
      </c>
      <c r="H207" t="s">
        <v>422</v>
      </c>
      <c r="K207" t="s">
        <v>478</v>
      </c>
    </row>
    <row r="208" spans="1:11" x14ac:dyDescent="0.45">
      <c r="A208" t="s">
        <v>479</v>
      </c>
      <c r="B208" t="s">
        <v>480</v>
      </c>
      <c r="C208" s="2">
        <v>-196375.00999999998</v>
      </c>
      <c r="D208" s="1">
        <v>44926</v>
      </c>
      <c r="E208" s="6">
        <v>311</v>
      </c>
      <c r="F208" t="s">
        <v>476</v>
      </c>
      <c r="G208" s="6">
        <v>300</v>
      </c>
      <c r="H208" t="s">
        <v>422</v>
      </c>
      <c r="K208" t="s">
        <v>480</v>
      </c>
    </row>
    <row r="209" spans="1:11" x14ac:dyDescent="0.45">
      <c r="A209" t="s">
        <v>481</v>
      </c>
      <c r="B209" t="s">
        <v>482</v>
      </c>
      <c r="C209" s="2">
        <v>-15389.9</v>
      </c>
      <c r="D209" s="1">
        <v>44926</v>
      </c>
      <c r="E209" s="6">
        <v>311</v>
      </c>
      <c r="F209" t="s">
        <v>476</v>
      </c>
      <c r="G209" s="6">
        <v>320</v>
      </c>
      <c r="H209" t="s">
        <v>483</v>
      </c>
      <c r="K209" t="s">
        <v>482</v>
      </c>
    </row>
    <row r="210" spans="1:11" x14ac:dyDescent="0.45">
      <c r="A210" t="s">
        <v>484</v>
      </c>
      <c r="B210" t="s">
        <v>485</v>
      </c>
      <c r="C210" s="2">
        <v>-461.2</v>
      </c>
      <c r="D210" s="1">
        <v>44926</v>
      </c>
      <c r="E210" s="6">
        <v>321</v>
      </c>
      <c r="F210" t="s">
        <v>486</v>
      </c>
      <c r="G210" s="6">
        <v>440</v>
      </c>
      <c r="H210" t="s">
        <v>487</v>
      </c>
      <c r="K210" t="s">
        <v>485</v>
      </c>
    </row>
    <row r="211" spans="1:11" x14ac:dyDescent="0.45">
      <c r="A211" t="s">
        <v>488</v>
      </c>
      <c r="B211" t="s">
        <v>489</v>
      </c>
      <c r="C211" s="2">
        <v>-56880.04</v>
      </c>
      <c r="D211" s="1">
        <v>44926</v>
      </c>
      <c r="E211" s="6">
        <v>320</v>
      </c>
      <c r="F211" t="s">
        <v>490</v>
      </c>
      <c r="G211" s="6">
        <v>315</v>
      </c>
      <c r="H211" t="s">
        <v>491</v>
      </c>
      <c r="K211" t="s">
        <v>489</v>
      </c>
    </row>
    <row r="212" spans="1:11" x14ac:dyDescent="0.45">
      <c r="A212" t="s">
        <v>492</v>
      </c>
      <c r="B212" t="s">
        <v>493</v>
      </c>
      <c r="C212" s="2">
        <v>-2081.48</v>
      </c>
      <c r="D212" s="1">
        <v>44926</v>
      </c>
      <c r="E212" s="6">
        <v>321</v>
      </c>
      <c r="F212" t="s">
        <v>486</v>
      </c>
      <c r="G212" s="6">
        <v>440</v>
      </c>
      <c r="H212" t="s">
        <v>487</v>
      </c>
      <c r="K212" t="s">
        <v>493</v>
      </c>
    </row>
    <row r="213" spans="1:11" x14ac:dyDescent="0.45">
      <c r="A213" t="s">
        <v>494</v>
      </c>
      <c r="B213" t="s">
        <v>495</v>
      </c>
      <c r="C213" s="2">
        <v>-438998.74</v>
      </c>
      <c r="D213" s="1">
        <v>44926</v>
      </c>
      <c r="E213" s="6">
        <v>351</v>
      </c>
      <c r="F213" t="s">
        <v>247</v>
      </c>
      <c r="G213" s="6">
        <v>340</v>
      </c>
      <c r="H213" t="s">
        <v>248</v>
      </c>
      <c r="K213" t="s">
        <v>495</v>
      </c>
    </row>
    <row r="214" spans="1:11" x14ac:dyDescent="0.45">
      <c r="A214" t="s">
        <v>496</v>
      </c>
      <c r="B214" t="s">
        <v>497</v>
      </c>
      <c r="C214" s="2">
        <v>-2748</v>
      </c>
      <c r="D214" s="1">
        <v>44926</v>
      </c>
      <c r="E214" s="6">
        <v>322</v>
      </c>
      <c r="F214" t="s">
        <v>498</v>
      </c>
      <c r="G214" s="6">
        <v>315</v>
      </c>
      <c r="H214" t="s">
        <v>491</v>
      </c>
      <c r="K214" t="s">
        <v>497</v>
      </c>
    </row>
    <row r="215" spans="1:11" x14ac:dyDescent="0.45">
      <c r="A215" t="s">
        <v>499</v>
      </c>
      <c r="B215" t="s">
        <v>500</v>
      </c>
      <c r="C215" s="2">
        <v>-61.26</v>
      </c>
      <c r="D215" s="1">
        <v>44926</v>
      </c>
      <c r="E215" s="6">
        <v>425</v>
      </c>
      <c r="F215" t="s">
        <v>335</v>
      </c>
      <c r="G215" s="6">
        <v>440</v>
      </c>
      <c r="H215" t="s">
        <v>487</v>
      </c>
      <c r="K215" t="s">
        <v>500</v>
      </c>
    </row>
    <row r="216" spans="1:11" x14ac:dyDescent="0.45">
      <c r="A216" t="s">
        <v>501</v>
      </c>
      <c r="B216" t="s">
        <v>502</v>
      </c>
      <c r="C216" s="2">
        <v>-933.50000000000023</v>
      </c>
      <c r="D216" s="1">
        <v>44926</v>
      </c>
      <c r="E216" s="6">
        <v>321</v>
      </c>
      <c r="F216" t="s">
        <v>486</v>
      </c>
      <c r="G216" s="6">
        <v>300</v>
      </c>
      <c r="H216" t="s">
        <v>422</v>
      </c>
      <c r="K216" t="s">
        <v>502</v>
      </c>
    </row>
    <row r="217" spans="1:11" x14ac:dyDescent="0.45">
      <c r="A217" t="s">
        <v>503</v>
      </c>
      <c r="B217" t="s">
        <v>504</v>
      </c>
      <c r="C217" s="2">
        <v>-4745.8000000000065</v>
      </c>
      <c r="D217" s="1">
        <v>44926</v>
      </c>
      <c r="E217" s="6">
        <v>321</v>
      </c>
      <c r="F217" t="s">
        <v>486</v>
      </c>
      <c r="G217" s="6">
        <v>320</v>
      </c>
      <c r="H217" t="s">
        <v>483</v>
      </c>
      <c r="K217" t="s">
        <v>504</v>
      </c>
    </row>
    <row r="218" spans="1:11" x14ac:dyDescent="0.45">
      <c r="A218" t="s">
        <v>505</v>
      </c>
      <c r="B218" t="s">
        <v>506</v>
      </c>
      <c r="C218" s="2">
        <v>-546.32000000000005</v>
      </c>
      <c r="D218" s="1">
        <v>44926</v>
      </c>
      <c r="E218" s="6">
        <v>321</v>
      </c>
      <c r="F218" t="s">
        <v>486</v>
      </c>
      <c r="G218" s="6">
        <v>440</v>
      </c>
      <c r="H218" t="s">
        <v>487</v>
      </c>
      <c r="K218" t="s">
        <v>506</v>
      </c>
    </row>
    <row r="219" spans="1:11" x14ac:dyDescent="0.45">
      <c r="A219" t="s">
        <v>6</v>
      </c>
      <c r="B219" t="s">
        <v>7</v>
      </c>
      <c r="C219" s="2">
        <v>5000</v>
      </c>
      <c r="D219" s="1">
        <v>45291</v>
      </c>
      <c r="E219" s="6">
        <v>32</v>
      </c>
      <c r="F219" t="s">
        <v>8</v>
      </c>
      <c r="G219" s="6">
        <v>20</v>
      </c>
      <c r="H219" t="s">
        <v>9</v>
      </c>
      <c r="K219" t="s">
        <v>507</v>
      </c>
    </row>
    <row r="220" spans="1:11" x14ac:dyDescent="0.45">
      <c r="A220" t="s">
        <v>10</v>
      </c>
      <c r="B220" t="s">
        <v>11</v>
      </c>
      <c r="C220" s="2">
        <v>20602.28</v>
      </c>
      <c r="D220" s="1">
        <v>45291</v>
      </c>
      <c r="E220" s="6">
        <v>32</v>
      </c>
      <c r="F220" t="s">
        <v>8</v>
      </c>
      <c r="G220" s="6">
        <v>20</v>
      </c>
      <c r="H220" t="s">
        <v>9</v>
      </c>
      <c r="K220" t="s">
        <v>508</v>
      </c>
    </row>
    <row r="221" spans="1:11" x14ac:dyDescent="0.45">
      <c r="A221" t="s">
        <v>12</v>
      </c>
      <c r="B221" t="s">
        <v>13</v>
      </c>
      <c r="C221" s="2">
        <v>2294.3200000000033</v>
      </c>
      <c r="D221" s="1">
        <v>45291</v>
      </c>
      <c r="E221" s="6">
        <v>32</v>
      </c>
      <c r="F221" t="s">
        <v>8</v>
      </c>
      <c r="G221" s="6">
        <v>20</v>
      </c>
      <c r="H221" t="s">
        <v>9</v>
      </c>
      <c r="K221" t="s">
        <v>509</v>
      </c>
    </row>
    <row r="222" spans="1:11" x14ac:dyDescent="0.45">
      <c r="A222" t="s">
        <v>14</v>
      </c>
      <c r="B222" t="s">
        <v>15</v>
      </c>
      <c r="C222" s="2">
        <v>7992.62</v>
      </c>
      <c r="D222" s="1">
        <v>45291</v>
      </c>
      <c r="E222" s="6">
        <v>32</v>
      </c>
      <c r="F222" t="s">
        <v>8</v>
      </c>
      <c r="G222" s="6">
        <v>20</v>
      </c>
      <c r="H222" t="s">
        <v>9</v>
      </c>
      <c r="K222" t="s">
        <v>510</v>
      </c>
    </row>
    <row r="223" spans="1:11" x14ac:dyDescent="0.45">
      <c r="A223" t="s">
        <v>16</v>
      </c>
      <c r="B223" t="s">
        <v>17</v>
      </c>
      <c r="C223" s="2">
        <v>46113.54</v>
      </c>
      <c r="D223" s="1">
        <v>45291</v>
      </c>
      <c r="E223" s="6">
        <v>32</v>
      </c>
      <c r="F223" t="s">
        <v>8</v>
      </c>
      <c r="G223" s="6">
        <v>20</v>
      </c>
      <c r="H223" t="s">
        <v>9</v>
      </c>
      <c r="K223" s="3" t="s">
        <v>511</v>
      </c>
    </row>
    <row r="224" spans="1:11" x14ac:dyDescent="0.45">
      <c r="A224" t="s">
        <v>18</v>
      </c>
      <c r="B224" t="s">
        <v>19</v>
      </c>
      <c r="C224" s="2">
        <v>5062.97</v>
      </c>
      <c r="D224" s="1">
        <v>45291</v>
      </c>
      <c r="E224" s="6">
        <v>32</v>
      </c>
      <c r="F224" t="s">
        <v>8</v>
      </c>
      <c r="G224" s="6">
        <v>20</v>
      </c>
      <c r="H224" t="s">
        <v>9</v>
      </c>
      <c r="K224" s="3" t="s">
        <v>512</v>
      </c>
    </row>
    <row r="225" spans="1:11" x14ac:dyDescent="0.45">
      <c r="A225" t="s">
        <v>20</v>
      </c>
      <c r="B225" t="s">
        <v>21</v>
      </c>
      <c r="C225" s="2">
        <v>1289.94</v>
      </c>
      <c r="D225" s="1">
        <v>45291</v>
      </c>
      <c r="E225" s="6">
        <v>32</v>
      </c>
      <c r="F225" t="s">
        <v>8</v>
      </c>
      <c r="G225" s="6">
        <v>20</v>
      </c>
      <c r="H225" t="s">
        <v>9</v>
      </c>
      <c r="K225" s="3" t="s">
        <v>513</v>
      </c>
    </row>
    <row r="226" spans="1:11" x14ac:dyDescent="0.45">
      <c r="A226" t="s">
        <v>22</v>
      </c>
      <c r="B226" t="s">
        <v>23</v>
      </c>
      <c r="C226" s="2">
        <v>196.70999999999998</v>
      </c>
      <c r="D226" s="1">
        <v>45291</v>
      </c>
      <c r="E226" s="6">
        <v>32</v>
      </c>
      <c r="F226" t="s">
        <v>8</v>
      </c>
      <c r="G226" s="6">
        <v>20</v>
      </c>
      <c r="H226" t="s">
        <v>9</v>
      </c>
      <c r="K226" t="s">
        <v>516</v>
      </c>
    </row>
    <row r="227" spans="1:11" x14ac:dyDescent="0.45">
      <c r="A227" t="s">
        <v>24</v>
      </c>
      <c r="B227" t="s">
        <v>25</v>
      </c>
      <c r="C227" s="2">
        <v>18280</v>
      </c>
      <c r="D227" s="1">
        <v>45291</v>
      </c>
      <c r="E227" s="6">
        <v>32</v>
      </c>
      <c r="F227" t="s">
        <v>8</v>
      </c>
      <c r="G227" s="6">
        <v>20</v>
      </c>
      <c r="H227" t="s">
        <v>9</v>
      </c>
      <c r="K227" t="s">
        <v>518</v>
      </c>
    </row>
    <row r="228" spans="1:11" x14ac:dyDescent="0.45">
      <c r="A228" t="s">
        <v>26</v>
      </c>
      <c r="B228" t="s">
        <v>27</v>
      </c>
      <c r="C228" s="2">
        <v>13607.16</v>
      </c>
      <c r="D228" s="1">
        <v>45291</v>
      </c>
      <c r="E228" s="6">
        <v>32</v>
      </c>
      <c r="F228" t="s">
        <v>8</v>
      </c>
      <c r="G228" s="6">
        <v>20</v>
      </c>
      <c r="H228" t="s">
        <v>9</v>
      </c>
      <c r="K228" t="s">
        <v>520</v>
      </c>
    </row>
    <row r="229" spans="1:11" x14ac:dyDescent="0.45">
      <c r="A229" t="s">
        <v>28</v>
      </c>
      <c r="B229" t="s">
        <v>29</v>
      </c>
      <c r="C229" s="2">
        <v>28492.37</v>
      </c>
      <c r="D229" s="1">
        <v>45291</v>
      </c>
      <c r="E229" s="6">
        <v>32</v>
      </c>
      <c r="F229" t="s">
        <v>8</v>
      </c>
      <c r="G229" s="6">
        <v>20</v>
      </c>
      <c r="H229" t="s">
        <v>9</v>
      </c>
      <c r="K229" t="s">
        <v>522</v>
      </c>
    </row>
    <row r="230" spans="1:11" x14ac:dyDescent="0.45">
      <c r="A230" t="s">
        <v>30</v>
      </c>
      <c r="B230" t="s">
        <v>31</v>
      </c>
      <c r="C230" s="2">
        <v>5343.01</v>
      </c>
      <c r="D230" s="1">
        <v>45291</v>
      </c>
      <c r="E230" s="6">
        <v>32</v>
      </c>
      <c r="F230" t="s">
        <v>8</v>
      </c>
      <c r="G230" s="6">
        <v>20</v>
      </c>
      <c r="H230" t="s">
        <v>9</v>
      </c>
      <c r="K230" t="s">
        <v>523</v>
      </c>
    </row>
    <row r="231" spans="1:11" x14ac:dyDescent="0.45">
      <c r="A231" t="s">
        <v>32</v>
      </c>
      <c r="B231" t="s">
        <v>33</v>
      </c>
      <c r="C231" s="2">
        <v>9258.17</v>
      </c>
      <c r="D231" s="1">
        <v>45291</v>
      </c>
      <c r="E231" s="6">
        <v>32</v>
      </c>
      <c r="F231" t="s">
        <v>8</v>
      </c>
      <c r="G231" s="6">
        <v>20</v>
      </c>
      <c r="H231" t="s">
        <v>9</v>
      </c>
      <c r="K231" t="s">
        <v>525</v>
      </c>
    </row>
    <row r="232" spans="1:11" x14ac:dyDescent="0.45">
      <c r="A232" t="s">
        <v>34</v>
      </c>
      <c r="B232" t="s">
        <v>35</v>
      </c>
      <c r="C232" s="2">
        <v>1005</v>
      </c>
      <c r="D232" s="1">
        <v>45291</v>
      </c>
      <c r="E232" s="6">
        <v>32</v>
      </c>
      <c r="F232" t="s">
        <v>8</v>
      </c>
      <c r="G232" s="6">
        <v>20</v>
      </c>
      <c r="H232" t="s">
        <v>9</v>
      </c>
      <c r="K232" t="s">
        <v>526</v>
      </c>
    </row>
    <row r="233" spans="1:11" x14ac:dyDescent="0.45">
      <c r="A233" t="s">
        <v>36</v>
      </c>
      <c r="B233" t="s">
        <v>37</v>
      </c>
      <c r="C233" s="2">
        <v>132431.23000000001</v>
      </c>
      <c r="D233" s="1">
        <v>45291</v>
      </c>
      <c r="E233" s="6">
        <v>32</v>
      </c>
      <c r="F233" t="s">
        <v>8</v>
      </c>
      <c r="G233" s="6">
        <v>20</v>
      </c>
      <c r="H233" t="s">
        <v>9</v>
      </c>
      <c r="K233" t="s">
        <v>527</v>
      </c>
    </row>
    <row r="234" spans="1:11" x14ac:dyDescent="0.45">
      <c r="A234" t="s">
        <v>38</v>
      </c>
      <c r="B234" t="s">
        <v>39</v>
      </c>
      <c r="C234" s="2">
        <v>20776</v>
      </c>
      <c r="D234" s="1">
        <v>45291</v>
      </c>
      <c r="E234" s="6">
        <v>32</v>
      </c>
      <c r="F234" t="s">
        <v>8</v>
      </c>
      <c r="G234" s="6">
        <v>20</v>
      </c>
      <c r="H234" t="s">
        <v>9</v>
      </c>
      <c r="K234" t="s">
        <v>528</v>
      </c>
    </row>
    <row r="235" spans="1:11" x14ac:dyDescent="0.45">
      <c r="A235" t="s">
        <v>40</v>
      </c>
      <c r="B235" t="s">
        <v>41</v>
      </c>
      <c r="C235" s="2">
        <v>348</v>
      </c>
      <c r="D235" s="1">
        <v>45291</v>
      </c>
      <c r="E235" s="6">
        <v>32</v>
      </c>
      <c r="F235" t="s">
        <v>8</v>
      </c>
      <c r="G235" s="6">
        <v>20</v>
      </c>
      <c r="H235" t="s">
        <v>9</v>
      </c>
      <c r="K235" s="3" t="s">
        <v>529</v>
      </c>
    </row>
    <row r="236" spans="1:11" x14ac:dyDescent="0.45">
      <c r="A236" t="s">
        <v>42</v>
      </c>
      <c r="B236" t="s">
        <v>43</v>
      </c>
      <c r="C236" s="2">
        <v>6300</v>
      </c>
      <c r="D236" s="1">
        <v>45291</v>
      </c>
      <c r="E236" s="6">
        <v>32</v>
      </c>
      <c r="F236" t="s">
        <v>8</v>
      </c>
      <c r="G236" s="6">
        <v>20</v>
      </c>
      <c r="H236" t="s">
        <v>9</v>
      </c>
      <c r="K236" s="3" t="s">
        <v>530</v>
      </c>
    </row>
    <row r="237" spans="1:11" x14ac:dyDescent="0.45">
      <c r="A237" t="s">
        <v>44</v>
      </c>
      <c r="B237" t="s">
        <v>45</v>
      </c>
      <c r="C237" s="2">
        <v>19075.400000000001</v>
      </c>
      <c r="D237" s="1">
        <v>45291</v>
      </c>
      <c r="E237" s="6">
        <v>16</v>
      </c>
      <c r="F237" t="s">
        <v>46</v>
      </c>
      <c r="G237" s="6">
        <v>10</v>
      </c>
      <c r="H237" t="s">
        <v>47</v>
      </c>
      <c r="K237" s="3" t="s">
        <v>531</v>
      </c>
    </row>
    <row r="238" spans="1:11" x14ac:dyDescent="0.45">
      <c r="A238" t="s">
        <v>48</v>
      </c>
      <c r="B238" t="s">
        <v>49</v>
      </c>
      <c r="C238" s="2">
        <v>125.92999999999999</v>
      </c>
      <c r="D238" s="1">
        <v>45291</v>
      </c>
      <c r="E238" s="6">
        <v>16</v>
      </c>
      <c r="F238" t="s">
        <v>46</v>
      </c>
      <c r="G238" s="6">
        <v>10</v>
      </c>
      <c r="H238" t="s">
        <v>47</v>
      </c>
      <c r="K238" t="s">
        <v>533</v>
      </c>
    </row>
    <row r="239" spans="1:11" x14ac:dyDescent="0.45">
      <c r="A239" t="s">
        <v>50</v>
      </c>
      <c r="B239" t="s">
        <v>51</v>
      </c>
      <c r="C239" s="2">
        <v>497.07999999999993</v>
      </c>
      <c r="D239" s="1">
        <v>45291</v>
      </c>
      <c r="E239" s="6">
        <v>16</v>
      </c>
      <c r="F239" t="s">
        <v>46</v>
      </c>
      <c r="G239" s="6">
        <v>10</v>
      </c>
      <c r="H239" t="s">
        <v>47</v>
      </c>
      <c r="K239" t="s">
        <v>535</v>
      </c>
    </row>
    <row r="240" spans="1:11" x14ac:dyDescent="0.45">
      <c r="A240" t="s">
        <v>52</v>
      </c>
      <c r="B240" t="s">
        <v>53</v>
      </c>
      <c r="C240" s="2">
        <v>17325.939999999999</v>
      </c>
      <c r="D240" s="1">
        <v>45291</v>
      </c>
      <c r="E240" s="6">
        <v>16</v>
      </c>
      <c r="F240" t="s">
        <v>46</v>
      </c>
      <c r="G240" s="6">
        <v>10</v>
      </c>
      <c r="H240" t="s">
        <v>47</v>
      </c>
      <c r="K240" t="s">
        <v>537</v>
      </c>
    </row>
    <row r="241" spans="1:11" x14ac:dyDescent="0.45">
      <c r="A241" t="s">
        <v>54</v>
      </c>
      <c r="B241" t="s">
        <v>55</v>
      </c>
      <c r="C241" s="2">
        <v>2647.2</v>
      </c>
      <c r="D241" s="1">
        <v>45291</v>
      </c>
      <c r="E241" s="6">
        <v>16</v>
      </c>
      <c r="F241" t="s">
        <v>46</v>
      </c>
      <c r="G241" s="6">
        <v>10</v>
      </c>
      <c r="H241" t="s">
        <v>47</v>
      </c>
      <c r="K241" t="s">
        <v>538</v>
      </c>
    </row>
    <row r="242" spans="1:11" x14ac:dyDescent="0.45">
      <c r="A242" t="s">
        <v>56</v>
      </c>
      <c r="B242" t="s">
        <v>57</v>
      </c>
      <c r="C242" s="2">
        <v>138923.02000000002</v>
      </c>
      <c r="D242" s="1">
        <v>45291</v>
      </c>
      <c r="E242" s="6">
        <v>16</v>
      </c>
      <c r="F242" t="s">
        <v>46</v>
      </c>
      <c r="G242" s="6">
        <v>10</v>
      </c>
      <c r="H242" t="s">
        <v>47</v>
      </c>
      <c r="K242" t="s">
        <v>540</v>
      </c>
    </row>
    <row r="243" spans="1:11" x14ac:dyDescent="0.45">
      <c r="A243" t="s">
        <v>58</v>
      </c>
      <c r="B243" t="s">
        <v>59</v>
      </c>
      <c r="C243" s="2">
        <v>51762.509999999995</v>
      </c>
      <c r="D243" s="1">
        <v>45291</v>
      </c>
      <c r="E243" s="6">
        <v>16</v>
      </c>
      <c r="F243" t="s">
        <v>46</v>
      </c>
      <c r="G243" s="6">
        <v>10</v>
      </c>
      <c r="H243" t="s">
        <v>47</v>
      </c>
      <c r="K243" t="s">
        <v>542</v>
      </c>
    </row>
    <row r="244" spans="1:11" x14ac:dyDescent="0.45">
      <c r="A244" t="s">
        <v>60</v>
      </c>
      <c r="B244" t="s">
        <v>61</v>
      </c>
      <c r="C244" s="2">
        <v>362807.21000000008</v>
      </c>
      <c r="D244" s="1">
        <v>45291</v>
      </c>
      <c r="E244" s="6">
        <v>101</v>
      </c>
      <c r="F244" t="s">
        <v>62</v>
      </c>
      <c r="G244" s="6">
        <v>50</v>
      </c>
      <c r="H244" t="s">
        <v>63</v>
      </c>
      <c r="K244" t="s">
        <v>544</v>
      </c>
    </row>
    <row r="245" spans="1:11" x14ac:dyDescent="0.45">
      <c r="A245" t="s">
        <v>64</v>
      </c>
      <c r="B245" t="s">
        <v>65</v>
      </c>
      <c r="C245" s="2">
        <v>110.64000000000033</v>
      </c>
      <c r="D245" s="1">
        <v>45291</v>
      </c>
      <c r="E245" s="6">
        <v>130</v>
      </c>
      <c r="F245" t="s">
        <v>66</v>
      </c>
      <c r="G245" s="6">
        <v>80</v>
      </c>
      <c r="H245" t="s">
        <v>67</v>
      </c>
      <c r="K245" t="s">
        <v>546</v>
      </c>
    </row>
    <row r="246" spans="1:11" x14ac:dyDescent="0.45">
      <c r="A246" t="s">
        <v>68</v>
      </c>
      <c r="B246" t="s">
        <v>69</v>
      </c>
      <c r="C246" s="2">
        <v>-4949.7099999999627</v>
      </c>
      <c r="D246" s="1">
        <v>45291</v>
      </c>
      <c r="E246" s="6">
        <v>246</v>
      </c>
      <c r="F246" t="s">
        <v>70</v>
      </c>
      <c r="G246" s="6">
        <v>220</v>
      </c>
      <c r="H246" t="s">
        <v>71</v>
      </c>
      <c r="K246" t="s">
        <v>548</v>
      </c>
    </row>
    <row r="247" spans="1:11" x14ac:dyDescent="0.45">
      <c r="A247" t="s">
        <v>539</v>
      </c>
      <c r="B247" t="s">
        <v>540</v>
      </c>
      <c r="C247" s="2">
        <v>-128530.5</v>
      </c>
      <c r="D247" s="1">
        <v>45291</v>
      </c>
      <c r="E247" s="6">
        <v>101</v>
      </c>
      <c r="F247" t="s">
        <v>62</v>
      </c>
      <c r="G247" s="6">
        <v>50</v>
      </c>
      <c r="H247" t="s">
        <v>63</v>
      </c>
      <c r="K247" t="s">
        <v>550</v>
      </c>
    </row>
    <row r="248" spans="1:11" x14ac:dyDescent="0.45">
      <c r="A248" t="s">
        <v>72</v>
      </c>
      <c r="B248" t="s">
        <v>73</v>
      </c>
      <c r="C248" s="2">
        <v>126239.88</v>
      </c>
      <c r="D248" s="1">
        <v>45291</v>
      </c>
      <c r="E248" s="6">
        <v>101</v>
      </c>
      <c r="F248" t="s">
        <v>62</v>
      </c>
      <c r="G248" s="6">
        <v>50</v>
      </c>
      <c r="H248" t="s">
        <v>63</v>
      </c>
      <c r="K248" t="s">
        <v>552</v>
      </c>
    </row>
    <row r="249" spans="1:11" x14ac:dyDescent="0.45">
      <c r="A249" t="s">
        <v>74</v>
      </c>
      <c r="B249" t="s">
        <v>75</v>
      </c>
      <c r="C249" s="2">
        <v>-247236.9700000002</v>
      </c>
      <c r="D249" s="1">
        <v>45291</v>
      </c>
      <c r="E249" s="6">
        <v>246</v>
      </c>
      <c r="F249" t="s">
        <v>70</v>
      </c>
      <c r="G249" s="6">
        <v>220</v>
      </c>
      <c r="H249" t="s">
        <v>71</v>
      </c>
      <c r="K249" t="s">
        <v>555</v>
      </c>
    </row>
    <row r="250" spans="1:11" x14ac:dyDescent="0.45">
      <c r="A250" t="s">
        <v>76</v>
      </c>
      <c r="B250" t="s">
        <v>77</v>
      </c>
      <c r="C250" s="2">
        <v>194158.95999999996</v>
      </c>
      <c r="D250" s="1">
        <v>45291</v>
      </c>
      <c r="E250" s="6">
        <v>101</v>
      </c>
      <c r="F250" t="s">
        <v>62</v>
      </c>
      <c r="G250" s="6">
        <v>50</v>
      </c>
      <c r="H250" t="s">
        <v>63</v>
      </c>
      <c r="K250" t="s">
        <v>557</v>
      </c>
    </row>
    <row r="251" spans="1:11" x14ac:dyDescent="0.45">
      <c r="A251" t="s">
        <v>78</v>
      </c>
      <c r="B251" t="s">
        <v>79</v>
      </c>
      <c r="C251" s="2">
        <v>-102.03999999999996</v>
      </c>
      <c r="D251" s="1">
        <v>45291</v>
      </c>
      <c r="E251" s="6">
        <v>246</v>
      </c>
      <c r="F251" t="s">
        <v>70</v>
      </c>
      <c r="G251" s="6">
        <v>220</v>
      </c>
      <c r="H251" t="s">
        <v>71</v>
      </c>
      <c r="K251" t="s">
        <v>559</v>
      </c>
    </row>
    <row r="252" spans="1:11" x14ac:dyDescent="0.45">
      <c r="A252" t="s">
        <v>82</v>
      </c>
      <c r="B252" t="s">
        <v>83</v>
      </c>
      <c r="C252" s="2">
        <v>-130194.27000000002</v>
      </c>
      <c r="D252" s="1">
        <v>45291</v>
      </c>
      <c r="E252" s="6">
        <v>246</v>
      </c>
      <c r="F252" t="s">
        <v>70</v>
      </c>
      <c r="G252" s="6">
        <v>220</v>
      </c>
      <c r="H252" t="s">
        <v>71</v>
      </c>
      <c r="K252" t="s">
        <v>561</v>
      </c>
    </row>
    <row r="253" spans="1:11" x14ac:dyDescent="0.45">
      <c r="A253" t="s">
        <v>84</v>
      </c>
      <c r="B253" t="s">
        <v>85</v>
      </c>
      <c r="C253" s="2">
        <v>-146934.58999999997</v>
      </c>
      <c r="D253" s="1">
        <v>45291</v>
      </c>
      <c r="E253" s="6">
        <v>246</v>
      </c>
      <c r="F253" t="s">
        <v>70</v>
      </c>
      <c r="G253" s="6">
        <v>220</v>
      </c>
      <c r="H253" t="s">
        <v>71</v>
      </c>
      <c r="K253" t="s">
        <v>563</v>
      </c>
    </row>
    <row r="254" spans="1:11" x14ac:dyDescent="0.45">
      <c r="A254" t="s">
        <v>86</v>
      </c>
      <c r="B254" t="s">
        <v>87</v>
      </c>
      <c r="C254" s="2">
        <v>134866.66999999998</v>
      </c>
      <c r="D254" s="1">
        <v>45291</v>
      </c>
      <c r="E254" s="6">
        <v>101</v>
      </c>
      <c r="F254" t="s">
        <v>62</v>
      </c>
      <c r="G254" s="6">
        <v>50</v>
      </c>
      <c r="H254" t="s">
        <v>63</v>
      </c>
      <c r="K254" t="s">
        <v>565</v>
      </c>
    </row>
    <row r="255" spans="1:11" x14ac:dyDescent="0.45">
      <c r="A255" t="s">
        <v>88</v>
      </c>
      <c r="B255" t="s">
        <v>89</v>
      </c>
      <c r="C255" s="2">
        <v>-4370.3999999999978</v>
      </c>
      <c r="D255" s="1">
        <v>45291</v>
      </c>
      <c r="E255" s="6">
        <v>246</v>
      </c>
      <c r="F255" t="s">
        <v>70</v>
      </c>
      <c r="G255" s="6">
        <v>220</v>
      </c>
      <c r="H255" t="s">
        <v>71</v>
      </c>
      <c r="K255" t="s">
        <v>567</v>
      </c>
    </row>
    <row r="256" spans="1:11" x14ac:dyDescent="0.45">
      <c r="A256" t="s">
        <v>90</v>
      </c>
      <c r="B256" t="s">
        <v>91</v>
      </c>
      <c r="C256" s="2">
        <v>-26007.47</v>
      </c>
      <c r="D256" s="1">
        <v>45291</v>
      </c>
      <c r="E256" s="6">
        <v>246</v>
      </c>
      <c r="F256" t="s">
        <v>70</v>
      </c>
      <c r="G256" s="6">
        <v>50</v>
      </c>
      <c r="H256" t="s">
        <v>63</v>
      </c>
      <c r="K256" t="s">
        <v>569</v>
      </c>
    </row>
    <row r="257" spans="1:11" x14ac:dyDescent="0.45">
      <c r="A257" t="s">
        <v>92</v>
      </c>
      <c r="B257" t="s">
        <v>93</v>
      </c>
      <c r="C257" s="2">
        <v>-22106.119999999995</v>
      </c>
      <c r="D257" s="1">
        <v>45291</v>
      </c>
      <c r="E257" s="6">
        <v>246</v>
      </c>
      <c r="F257" t="s">
        <v>70</v>
      </c>
      <c r="G257" s="6">
        <v>220</v>
      </c>
      <c r="H257" t="s">
        <v>71</v>
      </c>
      <c r="K257" t="s">
        <v>571</v>
      </c>
    </row>
    <row r="258" spans="1:11" x14ac:dyDescent="0.45">
      <c r="A258" t="s">
        <v>94</v>
      </c>
      <c r="B258" t="s">
        <v>95</v>
      </c>
      <c r="C258" s="2">
        <v>-63982.859999999986</v>
      </c>
      <c r="D258" s="1">
        <v>45291</v>
      </c>
      <c r="E258" s="6">
        <v>246</v>
      </c>
      <c r="F258" t="s">
        <v>70</v>
      </c>
      <c r="G258" s="6">
        <v>220</v>
      </c>
      <c r="H258" t="s">
        <v>71</v>
      </c>
      <c r="K258" t="s">
        <v>573</v>
      </c>
    </row>
    <row r="259" spans="1:11" x14ac:dyDescent="0.45">
      <c r="A259" t="s">
        <v>96</v>
      </c>
      <c r="B259" t="s">
        <v>97</v>
      </c>
      <c r="C259" s="2">
        <v>54453.549999999988</v>
      </c>
      <c r="D259" s="1">
        <v>45291</v>
      </c>
      <c r="E259" s="6">
        <v>101</v>
      </c>
      <c r="F259" t="s">
        <v>62</v>
      </c>
      <c r="G259" s="6">
        <v>50</v>
      </c>
      <c r="H259" t="s">
        <v>63</v>
      </c>
      <c r="K259" t="s">
        <v>575</v>
      </c>
    </row>
    <row r="260" spans="1:11" x14ac:dyDescent="0.45">
      <c r="A260" t="s">
        <v>98</v>
      </c>
      <c r="B260" t="s">
        <v>99</v>
      </c>
      <c r="C260" s="2">
        <v>-41655.73000000001</v>
      </c>
      <c r="D260" s="1">
        <v>45291</v>
      </c>
      <c r="E260" s="6">
        <v>246</v>
      </c>
      <c r="F260" t="s">
        <v>70</v>
      </c>
      <c r="G260" s="6">
        <v>50</v>
      </c>
      <c r="H260" t="s">
        <v>63</v>
      </c>
      <c r="K260" t="s">
        <v>577</v>
      </c>
    </row>
    <row r="261" spans="1:11" x14ac:dyDescent="0.45">
      <c r="A261" t="s">
        <v>100</v>
      </c>
      <c r="B261" t="s">
        <v>101</v>
      </c>
      <c r="C261" s="2">
        <v>8598.6699999999983</v>
      </c>
      <c r="D261" s="1">
        <v>45291</v>
      </c>
      <c r="E261" s="6">
        <v>130</v>
      </c>
      <c r="F261" t="s">
        <v>66</v>
      </c>
      <c r="G261" s="6">
        <v>50</v>
      </c>
      <c r="H261" t="s">
        <v>63</v>
      </c>
      <c r="K261" t="s">
        <v>579</v>
      </c>
    </row>
    <row r="262" spans="1:11" x14ac:dyDescent="0.45">
      <c r="A262" t="s">
        <v>102</v>
      </c>
      <c r="B262" t="s">
        <v>103</v>
      </c>
      <c r="C262" s="2">
        <v>-31950.929999999993</v>
      </c>
      <c r="D262" s="1">
        <v>45291</v>
      </c>
      <c r="E262" s="6">
        <v>246</v>
      </c>
      <c r="F262" t="s">
        <v>70</v>
      </c>
      <c r="G262" s="6">
        <v>220</v>
      </c>
      <c r="H262" t="s">
        <v>71</v>
      </c>
      <c r="K262" t="s">
        <v>581</v>
      </c>
    </row>
    <row r="263" spans="1:11" x14ac:dyDescent="0.45">
      <c r="A263" t="s">
        <v>104</v>
      </c>
      <c r="B263" t="s">
        <v>105</v>
      </c>
      <c r="C263" s="2">
        <v>-19391.649999999994</v>
      </c>
      <c r="D263" s="1">
        <v>45291</v>
      </c>
      <c r="E263" s="6">
        <v>246</v>
      </c>
      <c r="F263" t="s">
        <v>70</v>
      </c>
      <c r="G263" s="6">
        <v>220</v>
      </c>
      <c r="H263" t="s">
        <v>71</v>
      </c>
      <c r="K263" s="3" t="s">
        <v>583</v>
      </c>
    </row>
    <row r="264" spans="1:11" x14ac:dyDescent="0.45">
      <c r="A264" t="s">
        <v>106</v>
      </c>
      <c r="B264" t="s">
        <v>107</v>
      </c>
      <c r="C264" s="2">
        <v>-145</v>
      </c>
      <c r="D264" s="1">
        <v>45291</v>
      </c>
      <c r="E264" s="6">
        <v>246</v>
      </c>
      <c r="F264" t="s">
        <v>70</v>
      </c>
      <c r="G264" s="6">
        <v>220</v>
      </c>
      <c r="H264" t="s">
        <v>71</v>
      </c>
      <c r="K264" s="3" t="s">
        <v>585</v>
      </c>
    </row>
    <row r="265" spans="1:11" x14ac:dyDescent="0.45">
      <c r="A265" t="s">
        <v>108</v>
      </c>
      <c r="B265" t="s">
        <v>109</v>
      </c>
      <c r="C265" s="2">
        <v>-246.80000000000018</v>
      </c>
      <c r="D265" s="1">
        <v>45291</v>
      </c>
      <c r="E265" s="6">
        <v>246</v>
      </c>
      <c r="F265" t="s">
        <v>70</v>
      </c>
      <c r="G265" s="6">
        <v>220</v>
      </c>
      <c r="H265" t="s">
        <v>71</v>
      </c>
      <c r="K265" t="s">
        <v>587</v>
      </c>
    </row>
    <row r="266" spans="1:11" x14ac:dyDescent="0.45">
      <c r="A266" t="s">
        <v>110</v>
      </c>
      <c r="B266" t="s">
        <v>111</v>
      </c>
      <c r="C266" s="2">
        <v>164353.34</v>
      </c>
      <c r="D266" s="1">
        <v>45291</v>
      </c>
      <c r="E266" s="6">
        <v>101</v>
      </c>
      <c r="F266" t="s">
        <v>62</v>
      </c>
      <c r="G266" s="6">
        <v>60</v>
      </c>
      <c r="H266" t="s">
        <v>112</v>
      </c>
      <c r="K266" t="s">
        <v>589</v>
      </c>
    </row>
    <row r="267" spans="1:11" x14ac:dyDescent="0.45">
      <c r="A267" t="s">
        <v>541</v>
      </c>
      <c r="B267" t="s">
        <v>542</v>
      </c>
      <c r="C267" s="2">
        <v>42217.279999999999</v>
      </c>
      <c r="D267" s="1">
        <v>45291</v>
      </c>
      <c r="E267" s="6">
        <v>246</v>
      </c>
      <c r="F267" t="s">
        <v>70</v>
      </c>
      <c r="G267" s="6">
        <v>60</v>
      </c>
      <c r="H267" t="s">
        <v>112</v>
      </c>
      <c r="K267" t="s">
        <v>591</v>
      </c>
    </row>
    <row r="268" spans="1:11" x14ac:dyDescent="0.45">
      <c r="A268" t="s">
        <v>113</v>
      </c>
      <c r="B268" t="s">
        <v>114</v>
      </c>
      <c r="C268" s="2">
        <v>647.99</v>
      </c>
      <c r="D268" s="1">
        <v>45291</v>
      </c>
      <c r="E268" s="6">
        <v>101</v>
      </c>
      <c r="F268" t="s">
        <v>62</v>
      </c>
      <c r="G268" s="6">
        <v>60</v>
      </c>
      <c r="H268" t="s">
        <v>112</v>
      </c>
      <c r="K268" s="3" t="s">
        <v>593</v>
      </c>
    </row>
    <row r="269" spans="1:11" x14ac:dyDescent="0.45">
      <c r="A269" t="s">
        <v>115</v>
      </c>
      <c r="B269" t="s">
        <v>116</v>
      </c>
      <c r="C269" s="2">
        <v>550.32000000000005</v>
      </c>
      <c r="D269" s="1">
        <v>45291</v>
      </c>
      <c r="E269" s="6">
        <v>101</v>
      </c>
      <c r="F269" t="s">
        <v>62</v>
      </c>
      <c r="G269" s="6">
        <v>60</v>
      </c>
      <c r="H269" t="s">
        <v>112</v>
      </c>
      <c r="K269" s="3" t="s">
        <v>595</v>
      </c>
    </row>
    <row r="270" spans="1:11" x14ac:dyDescent="0.45">
      <c r="A270" t="s">
        <v>117</v>
      </c>
      <c r="B270" t="s">
        <v>118</v>
      </c>
      <c r="C270" s="2">
        <v>562.63</v>
      </c>
      <c r="D270" s="1">
        <v>45291</v>
      </c>
      <c r="E270" s="6">
        <v>101</v>
      </c>
      <c r="F270" t="s">
        <v>62</v>
      </c>
      <c r="G270" s="6">
        <v>60</v>
      </c>
      <c r="H270" t="s">
        <v>112</v>
      </c>
      <c r="K270" s="3" t="s">
        <v>598</v>
      </c>
    </row>
    <row r="271" spans="1:11" x14ac:dyDescent="0.45">
      <c r="A271" t="s">
        <v>119</v>
      </c>
      <c r="B271" t="s">
        <v>120</v>
      </c>
      <c r="C271" s="2">
        <v>-1668.1899999999951</v>
      </c>
      <c r="D271" s="1">
        <v>45291</v>
      </c>
      <c r="E271" s="6">
        <v>101</v>
      </c>
      <c r="F271" t="s">
        <v>62</v>
      </c>
      <c r="G271" s="6">
        <v>60</v>
      </c>
      <c r="H271" t="s">
        <v>112</v>
      </c>
      <c r="K271" s="3" t="s">
        <v>600</v>
      </c>
    </row>
    <row r="272" spans="1:11" x14ac:dyDescent="0.45">
      <c r="A272" t="s">
        <v>543</v>
      </c>
      <c r="B272" t="s">
        <v>544</v>
      </c>
      <c r="C272" s="2">
        <v>10908.880000000001</v>
      </c>
      <c r="D272" s="1">
        <v>45291</v>
      </c>
      <c r="E272" s="6">
        <v>246</v>
      </c>
      <c r="F272" t="s">
        <v>70</v>
      </c>
      <c r="G272" s="6">
        <v>60</v>
      </c>
      <c r="H272" t="s">
        <v>112</v>
      </c>
      <c r="K272" t="s">
        <v>602</v>
      </c>
    </row>
    <row r="273" spans="1:11" x14ac:dyDescent="0.45">
      <c r="A273" t="s">
        <v>121</v>
      </c>
      <c r="B273" t="s">
        <v>122</v>
      </c>
      <c r="C273" s="2">
        <v>480.74</v>
      </c>
      <c r="D273" s="1">
        <v>45291</v>
      </c>
      <c r="E273" s="6">
        <v>101</v>
      </c>
      <c r="F273" t="s">
        <v>62</v>
      </c>
      <c r="G273" s="6">
        <v>60</v>
      </c>
      <c r="H273" t="s">
        <v>112</v>
      </c>
      <c r="K273" s="3" t="s">
        <v>604</v>
      </c>
    </row>
    <row r="274" spans="1:11" x14ac:dyDescent="0.45">
      <c r="A274" t="s">
        <v>123</v>
      </c>
      <c r="B274" t="s">
        <v>124</v>
      </c>
      <c r="C274" s="2">
        <v>43333.49</v>
      </c>
      <c r="D274" s="1">
        <v>45291</v>
      </c>
      <c r="E274" s="6">
        <v>101</v>
      </c>
      <c r="F274" t="s">
        <v>62</v>
      </c>
      <c r="G274" s="6">
        <v>60</v>
      </c>
      <c r="H274" t="s">
        <v>112</v>
      </c>
      <c r="K274" s="3" t="s">
        <v>606</v>
      </c>
    </row>
    <row r="275" spans="1:11" x14ac:dyDescent="0.45">
      <c r="A275" t="s">
        <v>125</v>
      </c>
      <c r="B275" t="s">
        <v>126</v>
      </c>
      <c r="C275" s="2">
        <v>27000</v>
      </c>
      <c r="D275" s="1">
        <v>45291</v>
      </c>
      <c r="E275" s="6">
        <v>101</v>
      </c>
      <c r="F275" t="s">
        <v>62</v>
      </c>
      <c r="G275" s="6">
        <v>60</v>
      </c>
      <c r="H275" t="s">
        <v>112</v>
      </c>
      <c r="K275" s="3" t="s">
        <v>608</v>
      </c>
    </row>
    <row r="276" spans="1:11" x14ac:dyDescent="0.45">
      <c r="A276" t="s">
        <v>127</v>
      </c>
      <c r="B276" t="s">
        <v>128</v>
      </c>
      <c r="C276" s="2">
        <v>18666.7</v>
      </c>
      <c r="D276" s="1">
        <v>45291</v>
      </c>
      <c r="E276" s="6">
        <v>101</v>
      </c>
      <c r="F276" t="s">
        <v>62</v>
      </c>
      <c r="G276" s="6">
        <v>60</v>
      </c>
      <c r="H276" t="s">
        <v>112</v>
      </c>
      <c r="K276" s="3" t="s">
        <v>610</v>
      </c>
    </row>
    <row r="277" spans="1:11" x14ac:dyDescent="0.45">
      <c r="A277" t="s">
        <v>545</v>
      </c>
      <c r="B277" t="s">
        <v>546</v>
      </c>
      <c r="C277" s="2">
        <v>8726.24</v>
      </c>
      <c r="D277" s="1">
        <v>45291</v>
      </c>
      <c r="E277" s="6">
        <v>101</v>
      </c>
      <c r="F277" t="s">
        <v>62</v>
      </c>
      <c r="G277" s="6">
        <v>60</v>
      </c>
      <c r="H277" t="s">
        <v>112</v>
      </c>
      <c r="K277" t="s">
        <v>612</v>
      </c>
    </row>
    <row r="278" spans="1:11" x14ac:dyDescent="0.45">
      <c r="A278" t="s">
        <v>129</v>
      </c>
      <c r="B278" t="s">
        <v>130</v>
      </c>
      <c r="C278" s="2">
        <v>581162.96</v>
      </c>
      <c r="D278" s="1">
        <v>45291</v>
      </c>
      <c r="E278" s="6">
        <v>91</v>
      </c>
      <c r="F278" t="s">
        <v>131</v>
      </c>
      <c r="G278" s="6">
        <v>36</v>
      </c>
      <c r="H278" t="s">
        <v>132</v>
      </c>
      <c r="K278" t="s">
        <v>614</v>
      </c>
    </row>
    <row r="279" spans="1:11" x14ac:dyDescent="0.45">
      <c r="A279" t="s">
        <v>133</v>
      </c>
      <c r="B279" t="s">
        <v>134</v>
      </c>
      <c r="C279" s="2">
        <v>25418.53</v>
      </c>
      <c r="D279" s="1">
        <v>45291</v>
      </c>
      <c r="E279" s="6">
        <v>135</v>
      </c>
      <c r="F279" t="s">
        <v>135</v>
      </c>
      <c r="G279" s="6">
        <v>60</v>
      </c>
      <c r="H279" t="s">
        <v>112</v>
      </c>
      <c r="K279" t="s">
        <v>617</v>
      </c>
    </row>
    <row r="280" spans="1:11" x14ac:dyDescent="0.45">
      <c r="A280" t="s">
        <v>136</v>
      </c>
      <c r="B280" t="s">
        <v>137</v>
      </c>
      <c r="C280" s="2">
        <v>13930</v>
      </c>
      <c r="D280" s="1">
        <v>45291</v>
      </c>
      <c r="E280" s="6">
        <v>110</v>
      </c>
      <c r="F280" t="s">
        <v>138</v>
      </c>
      <c r="G280" s="6">
        <v>50</v>
      </c>
      <c r="H280" t="s">
        <v>63</v>
      </c>
      <c r="K280" t="s">
        <v>619</v>
      </c>
    </row>
    <row r="281" spans="1:11" x14ac:dyDescent="0.45">
      <c r="A281" t="s">
        <v>139</v>
      </c>
      <c r="B281" t="s">
        <v>140</v>
      </c>
      <c r="C281" s="2">
        <v>1871.7</v>
      </c>
      <c r="D281" s="1">
        <v>45291</v>
      </c>
      <c r="E281" s="6">
        <v>110</v>
      </c>
      <c r="F281" t="s">
        <v>138</v>
      </c>
      <c r="G281" s="6">
        <v>50</v>
      </c>
      <c r="H281" t="s">
        <v>63</v>
      </c>
      <c r="K281" t="s">
        <v>621</v>
      </c>
    </row>
    <row r="282" spans="1:11" x14ac:dyDescent="0.45">
      <c r="A282" t="s">
        <v>141</v>
      </c>
      <c r="B282" t="s">
        <v>142</v>
      </c>
      <c r="C282" s="2">
        <v>1443.75</v>
      </c>
      <c r="D282" s="1">
        <v>45291</v>
      </c>
      <c r="E282" s="6">
        <v>110</v>
      </c>
      <c r="F282" t="s">
        <v>138</v>
      </c>
      <c r="G282" s="6">
        <v>50</v>
      </c>
      <c r="H282" t="s">
        <v>63</v>
      </c>
      <c r="K282" t="s">
        <v>624</v>
      </c>
    </row>
    <row r="283" spans="1:11" x14ac:dyDescent="0.45">
      <c r="A283" t="s">
        <v>143</v>
      </c>
      <c r="B283" t="s">
        <v>144</v>
      </c>
      <c r="C283" s="2">
        <v>3010.67</v>
      </c>
      <c r="D283" s="1">
        <v>45291</v>
      </c>
      <c r="E283" s="6">
        <v>110</v>
      </c>
      <c r="F283" t="s">
        <v>138</v>
      </c>
      <c r="G283" s="6">
        <v>50</v>
      </c>
      <c r="H283" t="s">
        <v>63</v>
      </c>
      <c r="K283" t="s">
        <v>626</v>
      </c>
    </row>
    <row r="284" spans="1:11" x14ac:dyDescent="0.45">
      <c r="A284" t="s">
        <v>145</v>
      </c>
      <c r="B284" t="s">
        <v>146</v>
      </c>
      <c r="C284" s="2">
        <v>435.6</v>
      </c>
      <c r="D284" s="1">
        <v>45291</v>
      </c>
      <c r="E284" s="6">
        <v>110</v>
      </c>
      <c r="F284" t="s">
        <v>138</v>
      </c>
      <c r="G284" s="6">
        <v>50</v>
      </c>
      <c r="H284" t="s">
        <v>63</v>
      </c>
      <c r="K284" t="s">
        <v>628</v>
      </c>
    </row>
    <row r="285" spans="1:11" x14ac:dyDescent="0.45">
      <c r="A285" t="s">
        <v>147</v>
      </c>
      <c r="B285" t="s">
        <v>148</v>
      </c>
      <c r="C285" s="2">
        <v>-460135.3000000001</v>
      </c>
      <c r="D285" s="1">
        <v>45291</v>
      </c>
      <c r="E285" s="6">
        <v>246</v>
      </c>
      <c r="F285" t="s">
        <v>70</v>
      </c>
      <c r="G285" s="6">
        <v>210</v>
      </c>
      <c r="H285" t="s">
        <v>149</v>
      </c>
      <c r="K285" t="s">
        <v>629</v>
      </c>
    </row>
    <row r="286" spans="1:11" x14ac:dyDescent="0.45">
      <c r="A286" t="s">
        <v>150</v>
      </c>
      <c r="B286" t="s">
        <v>151</v>
      </c>
      <c r="C286" s="2">
        <v>-17097.45</v>
      </c>
      <c r="D286" s="1">
        <v>45291</v>
      </c>
      <c r="E286" s="6">
        <v>246</v>
      </c>
      <c r="F286" t="s">
        <v>70</v>
      </c>
      <c r="G286" s="6">
        <v>210</v>
      </c>
      <c r="H286" t="s">
        <v>149</v>
      </c>
      <c r="K286" t="s">
        <v>630</v>
      </c>
    </row>
    <row r="287" spans="1:11" x14ac:dyDescent="0.45">
      <c r="A287" t="s">
        <v>152</v>
      </c>
      <c r="B287" t="s">
        <v>153</v>
      </c>
      <c r="C287" s="2">
        <v>-3546.5400000000009</v>
      </c>
      <c r="D287" s="1">
        <v>45291</v>
      </c>
      <c r="E287" s="6">
        <v>246</v>
      </c>
      <c r="F287" t="s">
        <v>70</v>
      </c>
      <c r="G287" s="6">
        <v>230</v>
      </c>
      <c r="H287" t="s">
        <v>154</v>
      </c>
      <c r="K287" t="s">
        <v>631</v>
      </c>
    </row>
    <row r="288" spans="1:11" x14ac:dyDescent="0.45">
      <c r="A288" t="s">
        <v>155</v>
      </c>
      <c r="B288" t="s">
        <v>156</v>
      </c>
      <c r="C288" s="2">
        <v>-37163.75</v>
      </c>
      <c r="D288" s="1">
        <v>45291</v>
      </c>
      <c r="E288" s="6">
        <v>246</v>
      </c>
      <c r="F288" t="s">
        <v>70</v>
      </c>
      <c r="G288" s="6">
        <v>240</v>
      </c>
      <c r="H288" t="s">
        <v>157</v>
      </c>
      <c r="K288" t="s">
        <v>632</v>
      </c>
    </row>
    <row r="289" spans="1:11" x14ac:dyDescent="0.45">
      <c r="A289" t="s">
        <v>158</v>
      </c>
      <c r="B289" t="s">
        <v>159</v>
      </c>
      <c r="C289" s="2">
        <v>-9353.4899999999907</v>
      </c>
      <c r="D289" s="1">
        <v>45291</v>
      </c>
      <c r="E289" s="6">
        <v>246</v>
      </c>
      <c r="F289" t="s">
        <v>70</v>
      </c>
      <c r="G289" s="6">
        <v>230</v>
      </c>
      <c r="H289" t="s">
        <v>154</v>
      </c>
      <c r="K289" t="s">
        <v>633</v>
      </c>
    </row>
    <row r="290" spans="1:11" x14ac:dyDescent="0.45">
      <c r="A290" t="s">
        <v>160</v>
      </c>
      <c r="B290" t="s">
        <v>161</v>
      </c>
      <c r="C290" s="2">
        <v>-901.94000000000051</v>
      </c>
      <c r="D290" s="1">
        <v>45291</v>
      </c>
      <c r="E290" s="6">
        <v>246</v>
      </c>
      <c r="F290" t="s">
        <v>70</v>
      </c>
      <c r="G290" s="6">
        <v>230</v>
      </c>
      <c r="H290" t="s">
        <v>154</v>
      </c>
      <c r="K290" t="s">
        <v>634</v>
      </c>
    </row>
    <row r="291" spans="1:11" x14ac:dyDescent="0.45">
      <c r="A291" t="s">
        <v>547</v>
      </c>
      <c r="B291" t="s">
        <v>548</v>
      </c>
      <c r="C291" s="2">
        <v>-116.7</v>
      </c>
      <c r="D291" s="1">
        <v>45291</v>
      </c>
      <c r="E291" s="6">
        <v>246</v>
      </c>
      <c r="F291" t="s">
        <v>70</v>
      </c>
      <c r="G291" s="6">
        <v>240</v>
      </c>
      <c r="H291" t="s">
        <v>157</v>
      </c>
      <c r="K291" t="s">
        <v>635</v>
      </c>
    </row>
    <row r="292" spans="1:11" x14ac:dyDescent="0.45">
      <c r="A292" t="s">
        <v>162</v>
      </c>
      <c r="B292" t="s">
        <v>163</v>
      </c>
      <c r="C292" s="2">
        <v>-1448.6100000000006</v>
      </c>
      <c r="D292" s="1">
        <v>45291</v>
      </c>
      <c r="E292" s="6">
        <v>246</v>
      </c>
      <c r="F292" t="s">
        <v>70</v>
      </c>
      <c r="G292" s="6">
        <v>230</v>
      </c>
      <c r="H292" t="s">
        <v>154</v>
      </c>
      <c r="K292" t="s">
        <v>636</v>
      </c>
    </row>
    <row r="293" spans="1:11" x14ac:dyDescent="0.45">
      <c r="A293" t="s">
        <v>164</v>
      </c>
      <c r="B293" t="s">
        <v>165</v>
      </c>
      <c r="C293" s="2">
        <v>-552.92999999999984</v>
      </c>
      <c r="D293" s="1">
        <v>45291</v>
      </c>
      <c r="E293" s="6">
        <v>246</v>
      </c>
      <c r="F293" t="s">
        <v>70</v>
      </c>
      <c r="G293" s="6">
        <v>230</v>
      </c>
      <c r="H293" t="s">
        <v>154</v>
      </c>
      <c r="K293" t="s">
        <v>637</v>
      </c>
    </row>
    <row r="294" spans="1:11" x14ac:dyDescent="0.45">
      <c r="A294" t="s">
        <v>166</v>
      </c>
      <c r="B294" t="s">
        <v>167</v>
      </c>
      <c r="C294" s="2">
        <v>-5565</v>
      </c>
      <c r="D294" s="1">
        <v>45291</v>
      </c>
      <c r="E294" s="6">
        <v>246</v>
      </c>
      <c r="F294" t="s">
        <v>70</v>
      </c>
      <c r="G294" s="6">
        <v>240</v>
      </c>
      <c r="H294" t="s">
        <v>157</v>
      </c>
      <c r="K294" t="s">
        <v>639</v>
      </c>
    </row>
    <row r="295" spans="1:11" x14ac:dyDescent="0.45">
      <c r="A295" t="s">
        <v>168</v>
      </c>
      <c r="B295" t="s">
        <v>169</v>
      </c>
      <c r="C295" s="2">
        <v>-13289.73</v>
      </c>
      <c r="D295" s="1">
        <v>45291</v>
      </c>
      <c r="E295" s="6">
        <v>246</v>
      </c>
      <c r="F295" t="s">
        <v>70</v>
      </c>
      <c r="G295" s="6">
        <v>220</v>
      </c>
      <c r="H295" t="s">
        <v>71</v>
      </c>
      <c r="K295" t="s">
        <v>641</v>
      </c>
    </row>
    <row r="296" spans="1:11" x14ac:dyDescent="0.45">
      <c r="A296" t="s">
        <v>549</v>
      </c>
      <c r="B296" t="s">
        <v>550</v>
      </c>
      <c r="C296" s="2">
        <v>-1000.3000000000001</v>
      </c>
      <c r="D296" s="1">
        <v>45291</v>
      </c>
      <c r="E296" s="6">
        <v>246</v>
      </c>
      <c r="F296" t="s">
        <v>70</v>
      </c>
      <c r="G296" s="6">
        <v>240</v>
      </c>
      <c r="H296" t="s">
        <v>157</v>
      </c>
      <c r="K296" t="s">
        <v>642</v>
      </c>
    </row>
    <row r="297" spans="1:11" x14ac:dyDescent="0.45">
      <c r="A297" t="s">
        <v>174</v>
      </c>
      <c r="B297" t="s">
        <v>175</v>
      </c>
      <c r="C297" s="2">
        <v>-8607</v>
      </c>
      <c r="D297" s="1">
        <v>45291</v>
      </c>
      <c r="E297" s="6">
        <v>246</v>
      </c>
      <c r="F297" t="s">
        <v>70</v>
      </c>
      <c r="G297" s="6">
        <v>230</v>
      </c>
      <c r="H297" t="s">
        <v>154</v>
      </c>
      <c r="K297" t="s">
        <v>644</v>
      </c>
    </row>
    <row r="298" spans="1:11" x14ac:dyDescent="0.45">
      <c r="A298" t="s">
        <v>176</v>
      </c>
      <c r="B298" t="s">
        <v>177</v>
      </c>
      <c r="C298" s="2">
        <v>-7058.31</v>
      </c>
      <c r="D298" s="1">
        <v>45291</v>
      </c>
      <c r="E298" s="6">
        <v>246</v>
      </c>
      <c r="F298" t="s">
        <v>70</v>
      </c>
      <c r="G298" s="6">
        <v>230</v>
      </c>
      <c r="H298" t="s">
        <v>154</v>
      </c>
      <c r="K298" t="s">
        <v>646</v>
      </c>
    </row>
    <row r="299" spans="1:11" x14ac:dyDescent="0.45">
      <c r="A299" t="s">
        <v>551</v>
      </c>
      <c r="B299" t="s">
        <v>552</v>
      </c>
      <c r="C299" s="2">
        <v>14266.58</v>
      </c>
      <c r="D299" s="1">
        <v>45291</v>
      </c>
      <c r="E299" s="6">
        <v>246</v>
      </c>
      <c r="F299" t="s">
        <v>70</v>
      </c>
      <c r="G299" s="6">
        <v>190</v>
      </c>
      <c r="H299" t="s">
        <v>553</v>
      </c>
      <c r="K299" t="s">
        <v>648</v>
      </c>
    </row>
    <row r="300" spans="1:11" x14ac:dyDescent="0.45">
      <c r="A300" t="s">
        <v>554</v>
      </c>
      <c r="B300" t="s">
        <v>555</v>
      </c>
      <c r="C300" s="2">
        <v>-70671.38</v>
      </c>
      <c r="D300" s="1">
        <v>45291</v>
      </c>
      <c r="E300" s="6">
        <v>246</v>
      </c>
      <c r="F300" t="s">
        <v>70</v>
      </c>
      <c r="G300" s="6">
        <v>220</v>
      </c>
      <c r="H300" t="s">
        <v>71</v>
      </c>
      <c r="K300" t="s">
        <v>650</v>
      </c>
    </row>
    <row r="301" spans="1:11" x14ac:dyDescent="0.45">
      <c r="A301" t="s">
        <v>180</v>
      </c>
      <c r="B301" t="s">
        <v>181</v>
      </c>
      <c r="C301" s="2">
        <v>31098.850000000035</v>
      </c>
      <c r="D301" s="1">
        <v>45291</v>
      </c>
      <c r="E301" s="6">
        <v>101</v>
      </c>
      <c r="F301" t="s">
        <v>62</v>
      </c>
      <c r="G301" s="6">
        <v>60</v>
      </c>
      <c r="H301" t="s">
        <v>112</v>
      </c>
      <c r="K301" t="s">
        <v>652</v>
      </c>
    </row>
    <row r="302" spans="1:11" x14ac:dyDescent="0.45">
      <c r="A302" t="s">
        <v>182</v>
      </c>
      <c r="B302" t="s">
        <v>183</v>
      </c>
      <c r="C302" s="2">
        <v>-215805.40999999997</v>
      </c>
      <c r="D302" s="1">
        <v>45291</v>
      </c>
      <c r="E302" s="6">
        <v>240</v>
      </c>
      <c r="F302" t="s">
        <v>184</v>
      </c>
      <c r="G302" s="6">
        <v>170</v>
      </c>
      <c r="H302" t="s">
        <v>185</v>
      </c>
      <c r="K302" t="s">
        <v>654</v>
      </c>
    </row>
    <row r="303" spans="1:11" x14ac:dyDescent="0.45">
      <c r="A303" t="s">
        <v>186</v>
      </c>
      <c r="B303" t="s">
        <v>187</v>
      </c>
      <c r="C303" s="2">
        <v>763</v>
      </c>
      <c r="D303" s="1">
        <v>45291</v>
      </c>
      <c r="E303" s="6">
        <v>130</v>
      </c>
      <c r="F303" t="s">
        <v>66</v>
      </c>
      <c r="G303" s="6">
        <v>160</v>
      </c>
      <c r="H303" t="s">
        <v>188</v>
      </c>
      <c r="K303" t="s">
        <v>656</v>
      </c>
    </row>
    <row r="304" spans="1:11" x14ac:dyDescent="0.45">
      <c r="A304" t="s">
        <v>556</v>
      </c>
      <c r="B304" t="s">
        <v>557</v>
      </c>
      <c r="C304" s="2">
        <v>-150000</v>
      </c>
      <c r="D304" s="1">
        <v>45291</v>
      </c>
      <c r="E304" s="6">
        <v>246</v>
      </c>
      <c r="F304" t="s">
        <v>70</v>
      </c>
      <c r="G304" s="6">
        <v>180</v>
      </c>
      <c r="H304" t="s">
        <v>514</v>
      </c>
      <c r="K304" t="s">
        <v>659</v>
      </c>
    </row>
    <row r="305" spans="1:11" x14ac:dyDescent="0.45">
      <c r="A305" t="s">
        <v>189</v>
      </c>
      <c r="B305" t="s">
        <v>190</v>
      </c>
      <c r="C305" s="2">
        <v>-2500</v>
      </c>
      <c r="D305" s="1">
        <v>45291</v>
      </c>
      <c r="E305" s="6">
        <v>32</v>
      </c>
      <c r="F305" t="s">
        <v>8</v>
      </c>
      <c r="G305" s="6">
        <v>22</v>
      </c>
      <c r="H305" t="s">
        <v>191</v>
      </c>
      <c r="K305" t="s">
        <v>660</v>
      </c>
    </row>
    <row r="306" spans="1:11" x14ac:dyDescent="0.45">
      <c r="A306" t="s">
        <v>192</v>
      </c>
      <c r="B306" t="s">
        <v>193</v>
      </c>
      <c r="C306" s="2">
        <v>-17809.57</v>
      </c>
      <c r="D306" s="1">
        <v>45291</v>
      </c>
      <c r="E306" s="6">
        <v>32</v>
      </c>
      <c r="F306" t="s">
        <v>8</v>
      </c>
      <c r="G306" s="6">
        <v>22</v>
      </c>
      <c r="H306" t="s">
        <v>191</v>
      </c>
      <c r="K306" t="s">
        <v>661</v>
      </c>
    </row>
    <row r="307" spans="1:11" x14ac:dyDescent="0.45">
      <c r="A307" t="s">
        <v>515</v>
      </c>
      <c r="B307" t="s">
        <v>516</v>
      </c>
      <c r="C307" s="2">
        <v>-2294.3199999999997</v>
      </c>
      <c r="D307" s="1">
        <v>45291</v>
      </c>
      <c r="E307" s="6">
        <v>32</v>
      </c>
      <c r="F307" t="s">
        <v>8</v>
      </c>
      <c r="G307" s="6">
        <v>22</v>
      </c>
      <c r="H307" t="s">
        <v>191</v>
      </c>
      <c r="K307" t="s">
        <v>662</v>
      </c>
    </row>
    <row r="308" spans="1:11" x14ac:dyDescent="0.45">
      <c r="A308" t="s">
        <v>196</v>
      </c>
      <c r="B308" t="s">
        <v>197</v>
      </c>
      <c r="C308" s="2">
        <v>-10354.130000000001</v>
      </c>
      <c r="D308" s="1">
        <v>45291</v>
      </c>
      <c r="E308" s="6">
        <v>32</v>
      </c>
      <c r="F308" t="s">
        <v>8</v>
      </c>
      <c r="G308" s="6">
        <v>22</v>
      </c>
      <c r="H308" t="s">
        <v>191</v>
      </c>
      <c r="K308" t="s">
        <v>240</v>
      </c>
    </row>
    <row r="309" spans="1:11" x14ac:dyDescent="0.45">
      <c r="A309" t="s">
        <v>517</v>
      </c>
      <c r="B309" t="s">
        <v>518</v>
      </c>
      <c r="C309" s="2">
        <v>-35526.340000000004</v>
      </c>
      <c r="D309" s="1">
        <v>45291</v>
      </c>
      <c r="E309" s="6">
        <v>32</v>
      </c>
      <c r="F309" t="s">
        <v>8</v>
      </c>
      <c r="G309" s="6">
        <v>22</v>
      </c>
      <c r="H309" t="s">
        <v>191</v>
      </c>
      <c r="K309" t="s">
        <v>663</v>
      </c>
    </row>
    <row r="310" spans="1:11" x14ac:dyDescent="0.45">
      <c r="A310" t="s">
        <v>200</v>
      </c>
      <c r="B310" t="s">
        <v>201</v>
      </c>
      <c r="C310" s="2">
        <v>-715.2</v>
      </c>
      <c r="D310" s="1">
        <v>45291</v>
      </c>
      <c r="E310" s="6">
        <v>32</v>
      </c>
      <c r="F310" t="s">
        <v>8</v>
      </c>
      <c r="G310" s="6">
        <v>22</v>
      </c>
      <c r="H310" t="s">
        <v>191</v>
      </c>
      <c r="K310" t="s">
        <v>665</v>
      </c>
    </row>
    <row r="311" spans="1:11" x14ac:dyDescent="0.45">
      <c r="A311" t="s">
        <v>202</v>
      </c>
      <c r="B311" t="s">
        <v>203</v>
      </c>
      <c r="C311" s="2">
        <v>-3757.99</v>
      </c>
      <c r="D311" s="1">
        <v>45291</v>
      </c>
      <c r="E311" s="6">
        <v>32</v>
      </c>
      <c r="F311" t="s">
        <v>8</v>
      </c>
      <c r="G311" s="6">
        <v>22</v>
      </c>
      <c r="H311" t="s">
        <v>191</v>
      </c>
      <c r="K311" t="s">
        <v>666</v>
      </c>
    </row>
    <row r="312" spans="1:11" x14ac:dyDescent="0.45">
      <c r="A312" t="s">
        <v>204</v>
      </c>
      <c r="B312" t="s">
        <v>205</v>
      </c>
      <c r="C312" s="2">
        <v>-11169.28</v>
      </c>
      <c r="D312" s="1">
        <v>45291</v>
      </c>
      <c r="E312" s="6">
        <v>32</v>
      </c>
      <c r="F312" t="s">
        <v>8</v>
      </c>
      <c r="G312" s="6">
        <v>22</v>
      </c>
      <c r="H312" t="s">
        <v>191</v>
      </c>
      <c r="K312" t="s">
        <v>668</v>
      </c>
    </row>
    <row r="313" spans="1:11" x14ac:dyDescent="0.45">
      <c r="A313" t="s">
        <v>206</v>
      </c>
      <c r="B313" t="s">
        <v>207</v>
      </c>
      <c r="C313" s="2">
        <v>-8015.5</v>
      </c>
      <c r="D313" s="1">
        <v>45291</v>
      </c>
      <c r="E313" s="6">
        <v>32</v>
      </c>
      <c r="F313" t="s">
        <v>8</v>
      </c>
      <c r="G313" s="6">
        <v>22</v>
      </c>
      <c r="H313" t="s">
        <v>191</v>
      </c>
      <c r="K313" t="s">
        <v>670</v>
      </c>
    </row>
    <row r="314" spans="1:11" x14ac:dyDescent="0.45">
      <c r="A314" t="s">
        <v>208</v>
      </c>
      <c r="B314" t="s">
        <v>209</v>
      </c>
      <c r="C314" s="2">
        <v>-331.11</v>
      </c>
      <c r="D314" s="1">
        <v>45291</v>
      </c>
      <c r="E314" s="6">
        <v>32</v>
      </c>
      <c r="F314" t="s">
        <v>8</v>
      </c>
      <c r="G314" s="6">
        <v>22</v>
      </c>
      <c r="H314" t="s">
        <v>191</v>
      </c>
      <c r="K314" t="s">
        <v>671</v>
      </c>
    </row>
    <row r="315" spans="1:11" x14ac:dyDescent="0.45">
      <c r="A315" t="s">
        <v>210</v>
      </c>
      <c r="B315" t="s">
        <v>211</v>
      </c>
      <c r="C315" s="2">
        <v>-196.70999999999998</v>
      </c>
      <c r="D315" s="1">
        <v>45291</v>
      </c>
      <c r="E315" s="6">
        <v>32</v>
      </c>
      <c r="F315" t="s">
        <v>8</v>
      </c>
      <c r="G315" s="6">
        <v>22</v>
      </c>
      <c r="H315" t="s">
        <v>191</v>
      </c>
      <c r="K315" t="s">
        <v>673</v>
      </c>
    </row>
    <row r="316" spans="1:11" x14ac:dyDescent="0.45">
      <c r="A316" t="s">
        <v>212</v>
      </c>
      <c r="B316" t="s">
        <v>213</v>
      </c>
      <c r="C316" s="2">
        <v>-3769.22</v>
      </c>
      <c r="D316" s="1">
        <v>45291</v>
      </c>
      <c r="E316" s="6">
        <v>32</v>
      </c>
      <c r="F316" t="s">
        <v>8</v>
      </c>
      <c r="G316" s="6">
        <v>22</v>
      </c>
      <c r="H316" t="s">
        <v>191</v>
      </c>
      <c r="K316" t="s">
        <v>674</v>
      </c>
    </row>
    <row r="317" spans="1:11" x14ac:dyDescent="0.45">
      <c r="A317" t="s">
        <v>519</v>
      </c>
      <c r="B317" t="s">
        <v>520</v>
      </c>
      <c r="C317" s="2">
        <v>-1005</v>
      </c>
      <c r="D317" s="1">
        <v>45291</v>
      </c>
      <c r="E317" s="6">
        <v>32</v>
      </c>
      <c r="F317" t="s">
        <v>8</v>
      </c>
      <c r="G317" s="6">
        <v>22</v>
      </c>
      <c r="H317" t="s">
        <v>191</v>
      </c>
      <c r="K317" t="s">
        <v>676</v>
      </c>
    </row>
    <row r="318" spans="1:11" x14ac:dyDescent="0.45">
      <c r="A318" t="s">
        <v>216</v>
      </c>
      <c r="B318" t="s">
        <v>217</v>
      </c>
      <c r="C318" s="2">
        <v>-116898.43</v>
      </c>
      <c r="D318" s="1">
        <v>45291</v>
      </c>
      <c r="E318" s="6">
        <v>32</v>
      </c>
      <c r="F318" t="s">
        <v>8</v>
      </c>
      <c r="G318" s="6">
        <v>22</v>
      </c>
      <c r="H318" t="s">
        <v>191</v>
      </c>
      <c r="K318" t="s">
        <v>677</v>
      </c>
    </row>
    <row r="319" spans="1:11" x14ac:dyDescent="0.45">
      <c r="A319" t="s">
        <v>218</v>
      </c>
      <c r="B319" t="s">
        <v>219</v>
      </c>
      <c r="C319" s="2">
        <v>-20776</v>
      </c>
      <c r="D319" s="1">
        <v>45291</v>
      </c>
      <c r="E319" s="6">
        <v>32</v>
      </c>
      <c r="F319" t="s">
        <v>8</v>
      </c>
      <c r="G319" s="6">
        <v>22</v>
      </c>
      <c r="H319" t="s">
        <v>191</v>
      </c>
      <c r="K319" t="s">
        <v>678</v>
      </c>
    </row>
    <row r="320" spans="1:11" x14ac:dyDescent="0.45">
      <c r="A320" t="s">
        <v>220</v>
      </c>
      <c r="B320" t="s">
        <v>221</v>
      </c>
      <c r="C320" s="2">
        <v>-348</v>
      </c>
      <c r="D320" s="1">
        <v>45291</v>
      </c>
      <c r="E320" s="6">
        <v>32</v>
      </c>
      <c r="F320" t="s">
        <v>8</v>
      </c>
      <c r="G320" s="6">
        <v>20</v>
      </c>
      <c r="H320" t="s">
        <v>9</v>
      </c>
      <c r="K320" t="s">
        <v>679</v>
      </c>
    </row>
    <row r="321" spans="1:11" x14ac:dyDescent="0.45">
      <c r="A321" t="s">
        <v>222</v>
      </c>
      <c r="B321" t="s">
        <v>223</v>
      </c>
      <c r="C321" s="2">
        <v>-7787.34</v>
      </c>
      <c r="D321" s="1">
        <v>45291</v>
      </c>
      <c r="E321" s="6">
        <v>101</v>
      </c>
      <c r="F321" t="s">
        <v>62</v>
      </c>
      <c r="G321" s="6">
        <v>160</v>
      </c>
      <c r="H321" t="s">
        <v>188</v>
      </c>
      <c r="K321" t="s">
        <v>681</v>
      </c>
    </row>
    <row r="322" spans="1:11" x14ac:dyDescent="0.45">
      <c r="A322" t="s">
        <v>224</v>
      </c>
      <c r="B322" t="s">
        <v>225</v>
      </c>
      <c r="C322" s="2">
        <v>-30630.05</v>
      </c>
      <c r="D322" s="1">
        <v>45291</v>
      </c>
      <c r="E322" s="6">
        <v>101</v>
      </c>
      <c r="F322" t="s">
        <v>62</v>
      </c>
      <c r="G322" s="6">
        <v>160</v>
      </c>
      <c r="H322" t="s">
        <v>188</v>
      </c>
      <c r="K322" t="s">
        <v>682</v>
      </c>
    </row>
    <row r="323" spans="1:11" x14ac:dyDescent="0.45">
      <c r="A323" t="s">
        <v>226</v>
      </c>
      <c r="B323" t="s">
        <v>227</v>
      </c>
      <c r="C323" s="2">
        <v>-21351.560000000005</v>
      </c>
      <c r="D323" s="1">
        <v>45291</v>
      </c>
      <c r="E323" s="6">
        <v>290</v>
      </c>
      <c r="F323" t="s">
        <v>228</v>
      </c>
      <c r="G323" s="6">
        <v>240</v>
      </c>
      <c r="H323" t="s">
        <v>157</v>
      </c>
      <c r="K323" t="s">
        <v>684</v>
      </c>
    </row>
    <row r="324" spans="1:11" x14ac:dyDescent="0.45">
      <c r="A324" t="s">
        <v>233</v>
      </c>
      <c r="B324" t="s">
        <v>234</v>
      </c>
      <c r="C324" s="2">
        <v>-100000</v>
      </c>
      <c r="D324" s="1">
        <v>45291</v>
      </c>
      <c r="E324" s="6">
        <v>171</v>
      </c>
      <c r="F324" t="s">
        <v>235</v>
      </c>
      <c r="G324" s="6">
        <v>90</v>
      </c>
      <c r="H324" t="s">
        <v>236</v>
      </c>
      <c r="K324" t="s">
        <v>685</v>
      </c>
    </row>
    <row r="325" spans="1:11" x14ac:dyDescent="0.45">
      <c r="A325" t="s">
        <v>237</v>
      </c>
      <c r="B325" t="s">
        <v>238</v>
      </c>
      <c r="C325" s="2">
        <v>-20000</v>
      </c>
      <c r="D325" s="1">
        <v>45291</v>
      </c>
      <c r="E325" s="6">
        <v>180</v>
      </c>
      <c r="F325" t="s">
        <v>239</v>
      </c>
      <c r="G325" s="6">
        <v>110</v>
      </c>
      <c r="H325" t="s">
        <v>240</v>
      </c>
      <c r="K325" t="s">
        <v>687</v>
      </c>
    </row>
    <row r="326" spans="1:11" x14ac:dyDescent="0.45">
      <c r="A326" t="s">
        <v>241</v>
      </c>
      <c r="B326" t="s">
        <v>242</v>
      </c>
      <c r="C326" s="2">
        <v>-125450.44</v>
      </c>
      <c r="D326" s="1">
        <v>45291</v>
      </c>
      <c r="E326" s="6">
        <v>211</v>
      </c>
      <c r="F326" t="s">
        <v>243</v>
      </c>
      <c r="G326" s="6">
        <v>120</v>
      </c>
      <c r="H326" t="s">
        <v>244</v>
      </c>
      <c r="K326" t="s">
        <v>688</v>
      </c>
    </row>
    <row r="327" spans="1:11" x14ac:dyDescent="0.45">
      <c r="A327" t="s">
        <v>245</v>
      </c>
      <c r="B327" t="s">
        <v>246</v>
      </c>
      <c r="C327" s="2">
        <v>438998.74</v>
      </c>
      <c r="D327" s="1">
        <v>45291</v>
      </c>
      <c r="E327" s="6">
        <v>351</v>
      </c>
      <c r="F327" t="s">
        <v>247</v>
      </c>
      <c r="G327" s="6">
        <v>340</v>
      </c>
      <c r="H327" t="s">
        <v>248</v>
      </c>
      <c r="K327" t="s">
        <v>690</v>
      </c>
    </row>
    <row r="328" spans="1:11" x14ac:dyDescent="0.45">
      <c r="A328" t="s">
        <v>249</v>
      </c>
      <c r="B328" t="s">
        <v>250</v>
      </c>
      <c r="C328" s="2">
        <v>114691.48</v>
      </c>
      <c r="D328" s="1">
        <v>45291</v>
      </c>
      <c r="E328" s="6">
        <v>331</v>
      </c>
      <c r="F328" t="s">
        <v>251</v>
      </c>
      <c r="G328" s="6">
        <v>330</v>
      </c>
      <c r="H328" t="s">
        <v>252</v>
      </c>
      <c r="K328" t="s">
        <v>691</v>
      </c>
    </row>
    <row r="329" spans="1:11" x14ac:dyDescent="0.45">
      <c r="A329" t="s">
        <v>253</v>
      </c>
      <c r="B329" t="s">
        <v>254</v>
      </c>
      <c r="C329" s="2">
        <v>388260.32</v>
      </c>
      <c r="D329" s="1">
        <v>45291</v>
      </c>
      <c r="E329" s="6">
        <v>331</v>
      </c>
      <c r="F329" t="s">
        <v>251</v>
      </c>
      <c r="G329" s="6">
        <v>330</v>
      </c>
      <c r="H329" t="s">
        <v>252</v>
      </c>
      <c r="K329" t="s">
        <v>693</v>
      </c>
    </row>
    <row r="330" spans="1:11" x14ac:dyDescent="0.45">
      <c r="A330" t="s">
        <v>255</v>
      </c>
      <c r="B330" t="s">
        <v>256</v>
      </c>
      <c r="C330" s="2">
        <v>2435</v>
      </c>
      <c r="D330" s="1">
        <v>45291</v>
      </c>
      <c r="E330" s="6">
        <v>331</v>
      </c>
      <c r="F330" t="s">
        <v>251</v>
      </c>
      <c r="G330" s="6">
        <v>330</v>
      </c>
      <c r="H330" t="s">
        <v>252</v>
      </c>
      <c r="K330" t="s">
        <v>694</v>
      </c>
    </row>
    <row r="331" spans="1:11" x14ac:dyDescent="0.45">
      <c r="A331" t="s">
        <v>257</v>
      </c>
      <c r="B331" t="s">
        <v>258</v>
      </c>
      <c r="C331" s="2">
        <v>94963.790000000008</v>
      </c>
      <c r="D331" s="1">
        <v>45291</v>
      </c>
      <c r="E331" s="6">
        <v>331</v>
      </c>
      <c r="F331" t="s">
        <v>251</v>
      </c>
      <c r="G331" s="6">
        <v>330</v>
      </c>
      <c r="H331" t="s">
        <v>252</v>
      </c>
      <c r="K331" t="s">
        <v>696</v>
      </c>
    </row>
    <row r="332" spans="1:11" x14ac:dyDescent="0.45">
      <c r="A332" t="s">
        <v>259</v>
      </c>
      <c r="B332" t="s">
        <v>260</v>
      </c>
      <c r="C332" s="2">
        <v>8076.5</v>
      </c>
      <c r="D332" s="1">
        <v>45291</v>
      </c>
      <c r="E332" s="6">
        <v>331</v>
      </c>
      <c r="F332" t="s">
        <v>251</v>
      </c>
      <c r="G332" s="6">
        <v>330</v>
      </c>
      <c r="H332" t="s">
        <v>252</v>
      </c>
      <c r="K332" t="s">
        <v>697</v>
      </c>
    </row>
    <row r="333" spans="1:11" x14ac:dyDescent="0.45">
      <c r="A333" t="s">
        <v>261</v>
      </c>
      <c r="B333" t="s">
        <v>262</v>
      </c>
      <c r="C333" s="2">
        <v>33949.35</v>
      </c>
      <c r="D333" s="1">
        <v>45291</v>
      </c>
      <c r="E333" s="6">
        <v>332</v>
      </c>
      <c r="F333" t="s">
        <v>263</v>
      </c>
      <c r="G333" s="6">
        <v>330</v>
      </c>
      <c r="H333" t="s">
        <v>252</v>
      </c>
      <c r="K333" t="s">
        <v>699</v>
      </c>
    </row>
    <row r="334" spans="1:11" x14ac:dyDescent="0.45">
      <c r="A334" t="s">
        <v>264</v>
      </c>
      <c r="B334" t="s">
        <v>265</v>
      </c>
      <c r="C334" s="2">
        <v>99580.77</v>
      </c>
      <c r="D334" s="1">
        <v>45291</v>
      </c>
      <c r="E334" s="6">
        <v>331</v>
      </c>
      <c r="F334" t="s">
        <v>251</v>
      </c>
      <c r="G334" s="6">
        <v>330</v>
      </c>
      <c r="H334" t="s">
        <v>252</v>
      </c>
      <c r="K334" t="s">
        <v>701</v>
      </c>
    </row>
    <row r="335" spans="1:11" x14ac:dyDescent="0.45">
      <c r="A335" t="s">
        <v>266</v>
      </c>
      <c r="B335" t="s">
        <v>267</v>
      </c>
      <c r="C335" s="2">
        <v>287158.18</v>
      </c>
      <c r="D335" s="1">
        <v>45291</v>
      </c>
      <c r="E335" s="6">
        <v>331</v>
      </c>
      <c r="F335" t="s">
        <v>251</v>
      </c>
      <c r="G335" s="6">
        <v>330</v>
      </c>
      <c r="H335" t="s">
        <v>252</v>
      </c>
      <c r="K335" t="s">
        <v>703</v>
      </c>
    </row>
    <row r="336" spans="1:11" x14ac:dyDescent="0.45">
      <c r="A336" t="s">
        <v>268</v>
      </c>
      <c r="B336" t="s">
        <v>269</v>
      </c>
      <c r="C336" s="2">
        <v>3702.5</v>
      </c>
      <c r="D336" s="1">
        <v>45291</v>
      </c>
      <c r="E336" s="6">
        <v>332</v>
      </c>
      <c r="F336" t="s">
        <v>263</v>
      </c>
      <c r="G336" s="6">
        <v>362</v>
      </c>
      <c r="H336" t="s">
        <v>270</v>
      </c>
      <c r="K336" t="s">
        <v>704</v>
      </c>
    </row>
    <row r="337" spans="1:11" x14ac:dyDescent="0.45">
      <c r="A337" t="s">
        <v>271</v>
      </c>
      <c r="B337" t="s">
        <v>272</v>
      </c>
      <c r="C337" s="2">
        <v>43217.74</v>
      </c>
      <c r="D337" s="1">
        <v>45291</v>
      </c>
      <c r="E337" s="6">
        <v>331</v>
      </c>
      <c r="F337" t="s">
        <v>251</v>
      </c>
      <c r="G337" s="6">
        <v>356</v>
      </c>
      <c r="H337" t="s">
        <v>273</v>
      </c>
      <c r="K337" t="s">
        <v>706</v>
      </c>
    </row>
    <row r="338" spans="1:11" x14ac:dyDescent="0.45">
      <c r="A338" t="s">
        <v>274</v>
      </c>
      <c r="B338" t="s">
        <v>275</v>
      </c>
      <c r="C338" s="2">
        <v>21091.88</v>
      </c>
      <c r="D338" s="1">
        <v>45291</v>
      </c>
      <c r="E338" s="6">
        <v>332</v>
      </c>
      <c r="F338" t="s">
        <v>263</v>
      </c>
      <c r="G338" s="6">
        <v>356</v>
      </c>
      <c r="H338" t="s">
        <v>273</v>
      </c>
      <c r="K338" t="s">
        <v>707</v>
      </c>
    </row>
    <row r="339" spans="1:11" x14ac:dyDescent="0.45">
      <c r="A339" t="s">
        <v>276</v>
      </c>
      <c r="B339" t="s">
        <v>277</v>
      </c>
      <c r="C339" s="2">
        <v>1377.9800000000002</v>
      </c>
      <c r="D339" s="1">
        <v>45291</v>
      </c>
      <c r="E339" s="6">
        <v>130</v>
      </c>
      <c r="F339" t="s">
        <v>66</v>
      </c>
      <c r="G339" s="6">
        <v>230</v>
      </c>
      <c r="H339" t="s">
        <v>154</v>
      </c>
      <c r="K339" t="s">
        <v>709</v>
      </c>
    </row>
    <row r="340" spans="1:11" x14ac:dyDescent="0.45">
      <c r="A340" t="s">
        <v>278</v>
      </c>
      <c r="B340" t="s">
        <v>279</v>
      </c>
      <c r="C340" s="2">
        <v>7145.72</v>
      </c>
      <c r="D340" s="1">
        <v>45291</v>
      </c>
      <c r="E340" s="6">
        <v>332</v>
      </c>
      <c r="F340" t="s">
        <v>263</v>
      </c>
      <c r="G340" s="6">
        <v>362</v>
      </c>
      <c r="H340" t="s">
        <v>270</v>
      </c>
      <c r="K340" t="s">
        <v>710</v>
      </c>
    </row>
    <row r="341" spans="1:11" x14ac:dyDescent="0.45">
      <c r="A341" t="s">
        <v>280</v>
      </c>
      <c r="B341" t="s">
        <v>281</v>
      </c>
      <c r="C341" s="2">
        <v>2234.67</v>
      </c>
      <c r="D341" s="1">
        <v>45291</v>
      </c>
      <c r="E341" s="6">
        <v>332</v>
      </c>
      <c r="F341" t="s">
        <v>263</v>
      </c>
      <c r="G341" s="6">
        <v>364</v>
      </c>
      <c r="H341" t="s">
        <v>282</v>
      </c>
      <c r="K341" t="s">
        <v>712</v>
      </c>
    </row>
    <row r="342" spans="1:11" x14ac:dyDescent="0.45">
      <c r="A342" t="s">
        <v>283</v>
      </c>
      <c r="B342" t="s">
        <v>284</v>
      </c>
      <c r="C342" s="2">
        <v>651.6</v>
      </c>
      <c r="D342" s="1">
        <v>45291</v>
      </c>
      <c r="E342" s="6">
        <v>332</v>
      </c>
      <c r="F342" t="s">
        <v>263</v>
      </c>
      <c r="G342" s="6">
        <v>362</v>
      </c>
      <c r="H342" t="s">
        <v>270</v>
      </c>
      <c r="K342" t="s">
        <v>713</v>
      </c>
    </row>
    <row r="343" spans="1:11" x14ac:dyDescent="0.45">
      <c r="A343" t="s">
        <v>285</v>
      </c>
      <c r="B343" t="s">
        <v>286</v>
      </c>
      <c r="C343" s="2">
        <v>3493.79</v>
      </c>
      <c r="D343" s="1">
        <v>45291</v>
      </c>
      <c r="E343" s="6">
        <v>332</v>
      </c>
      <c r="F343" t="s">
        <v>263</v>
      </c>
      <c r="G343" s="6">
        <v>364</v>
      </c>
      <c r="H343" t="s">
        <v>282</v>
      </c>
      <c r="K343" t="s">
        <v>715</v>
      </c>
    </row>
    <row r="344" spans="1:11" x14ac:dyDescent="0.45">
      <c r="A344" t="s">
        <v>287</v>
      </c>
      <c r="B344" t="s">
        <v>288</v>
      </c>
      <c r="C344" s="2">
        <v>309.87</v>
      </c>
      <c r="D344" s="1">
        <v>45291</v>
      </c>
      <c r="E344" s="6">
        <v>358</v>
      </c>
      <c r="F344" t="s">
        <v>289</v>
      </c>
      <c r="G344" s="6">
        <v>380</v>
      </c>
      <c r="H344" t="s">
        <v>290</v>
      </c>
      <c r="K344" t="s">
        <v>716</v>
      </c>
    </row>
    <row r="345" spans="1:11" x14ac:dyDescent="0.45">
      <c r="A345" t="s">
        <v>291</v>
      </c>
      <c r="B345" t="s">
        <v>292</v>
      </c>
      <c r="C345" s="2">
        <v>26859.77</v>
      </c>
      <c r="D345" s="1">
        <v>45291</v>
      </c>
      <c r="E345" s="6">
        <v>332</v>
      </c>
      <c r="F345" t="s">
        <v>263</v>
      </c>
      <c r="G345" s="6">
        <v>364</v>
      </c>
      <c r="H345" t="s">
        <v>282</v>
      </c>
      <c r="K345" t="s">
        <v>717</v>
      </c>
    </row>
    <row r="346" spans="1:11" x14ac:dyDescent="0.45">
      <c r="A346" t="s">
        <v>293</v>
      </c>
      <c r="B346" t="s">
        <v>294</v>
      </c>
      <c r="C346" s="2">
        <v>5350.63</v>
      </c>
      <c r="D346" s="1">
        <v>45291</v>
      </c>
      <c r="E346" s="6">
        <v>332</v>
      </c>
      <c r="F346" t="s">
        <v>263</v>
      </c>
      <c r="G346" s="6">
        <v>362</v>
      </c>
      <c r="H346" t="s">
        <v>270</v>
      </c>
      <c r="K346" t="s">
        <v>719</v>
      </c>
    </row>
    <row r="347" spans="1:11" x14ac:dyDescent="0.45">
      <c r="A347" t="s">
        <v>295</v>
      </c>
      <c r="B347" t="s">
        <v>296</v>
      </c>
      <c r="C347" s="2">
        <v>28419.919999999998</v>
      </c>
      <c r="D347" s="1">
        <v>45291</v>
      </c>
      <c r="E347" s="6">
        <v>332</v>
      </c>
      <c r="F347" t="s">
        <v>263</v>
      </c>
      <c r="G347" s="6">
        <v>380</v>
      </c>
      <c r="H347" t="s">
        <v>290</v>
      </c>
      <c r="K347" t="s">
        <v>720</v>
      </c>
    </row>
    <row r="348" spans="1:11" x14ac:dyDescent="0.45">
      <c r="A348" t="s">
        <v>297</v>
      </c>
      <c r="B348" t="s">
        <v>298</v>
      </c>
      <c r="C348" s="2">
        <v>7353.82</v>
      </c>
      <c r="D348" s="1">
        <v>45291</v>
      </c>
      <c r="E348" s="6">
        <v>332</v>
      </c>
      <c r="F348" t="s">
        <v>263</v>
      </c>
      <c r="G348" s="6">
        <v>380</v>
      </c>
      <c r="H348" t="s">
        <v>290</v>
      </c>
      <c r="K348" t="s">
        <v>722</v>
      </c>
    </row>
    <row r="349" spans="1:11" x14ac:dyDescent="0.45">
      <c r="A349" t="s">
        <v>299</v>
      </c>
      <c r="B349" t="s">
        <v>300</v>
      </c>
      <c r="C349" s="2">
        <v>75.09</v>
      </c>
      <c r="D349" s="1">
        <v>45291</v>
      </c>
      <c r="E349" s="6">
        <v>358</v>
      </c>
      <c r="F349" t="s">
        <v>289</v>
      </c>
      <c r="G349" s="6">
        <v>364</v>
      </c>
      <c r="H349" t="s">
        <v>282</v>
      </c>
      <c r="K349" t="s">
        <v>723</v>
      </c>
    </row>
    <row r="350" spans="1:11" x14ac:dyDescent="0.45">
      <c r="A350" t="s">
        <v>301</v>
      </c>
      <c r="B350" t="s">
        <v>302</v>
      </c>
      <c r="C350" s="2">
        <v>5359.6</v>
      </c>
      <c r="D350" s="1">
        <v>45291</v>
      </c>
      <c r="E350" s="6">
        <v>332</v>
      </c>
      <c r="F350" t="s">
        <v>263</v>
      </c>
      <c r="G350" s="6">
        <v>362</v>
      </c>
      <c r="H350" t="s">
        <v>270</v>
      </c>
      <c r="K350" t="s">
        <v>724</v>
      </c>
    </row>
    <row r="351" spans="1:11" x14ac:dyDescent="0.45">
      <c r="A351" t="s">
        <v>558</v>
      </c>
      <c r="B351" t="s">
        <v>559</v>
      </c>
      <c r="C351" s="2">
        <v>3910</v>
      </c>
      <c r="D351" s="1">
        <v>45291</v>
      </c>
      <c r="E351" s="6">
        <v>332</v>
      </c>
      <c r="F351" t="s">
        <v>263</v>
      </c>
      <c r="G351" s="6">
        <v>362</v>
      </c>
      <c r="H351" t="s">
        <v>270</v>
      </c>
      <c r="K351" t="s">
        <v>725</v>
      </c>
    </row>
    <row r="352" spans="1:11" x14ac:dyDescent="0.45">
      <c r="A352" t="s">
        <v>303</v>
      </c>
      <c r="B352" t="s">
        <v>304</v>
      </c>
      <c r="C352" s="2">
        <v>1410.2</v>
      </c>
      <c r="D352" s="1">
        <v>45291</v>
      </c>
      <c r="E352" s="6">
        <v>332</v>
      </c>
      <c r="F352" t="s">
        <v>263</v>
      </c>
      <c r="G352" s="6">
        <v>364</v>
      </c>
      <c r="H352" t="s">
        <v>282</v>
      </c>
      <c r="K352" t="s">
        <v>726</v>
      </c>
    </row>
    <row r="353" spans="1:11" x14ac:dyDescent="0.45">
      <c r="A353" t="s">
        <v>307</v>
      </c>
      <c r="B353" t="s">
        <v>308</v>
      </c>
      <c r="C353" s="2">
        <v>3946.7799999999997</v>
      </c>
      <c r="D353" s="1">
        <v>45291</v>
      </c>
      <c r="E353" s="6">
        <v>332</v>
      </c>
      <c r="F353" t="s">
        <v>263</v>
      </c>
      <c r="G353" s="6">
        <v>380</v>
      </c>
      <c r="H353" t="s">
        <v>290</v>
      </c>
      <c r="K353" t="s">
        <v>727</v>
      </c>
    </row>
    <row r="354" spans="1:11" x14ac:dyDescent="0.45">
      <c r="A354" t="s">
        <v>309</v>
      </c>
      <c r="B354" t="s">
        <v>310</v>
      </c>
      <c r="C354" s="2">
        <v>90</v>
      </c>
      <c r="D354" s="1">
        <v>45291</v>
      </c>
      <c r="E354" s="6">
        <v>358</v>
      </c>
      <c r="F354" t="s">
        <v>289</v>
      </c>
      <c r="G354" s="6">
        <v>380</v>
      </c>
      <c r="H354" t="s">
        <v>290</v>
      </c>
      <c r="K354" t="s">
        <v>728</v>
      </c>
    </row>
    <row r="355" spans="1:11" x14ac:dyDescent="0.45">
      <c r="A355" t="s">
        <v>311</v>
      </c>
      <c r="B355" t="s">
        <v>312</v>
      </c>
      <c r="C355" s="2">
        <v>1215.21</v>
      </c>
      <c r="D355" s="1">
        <v>45291</v>
      </c>
      <c r="E355" s="6">
        <v>339</v>
      </c>
      <c r="F355" t="s">
        <v>313</v>
      </c>
      <c r="G355" s="6">
        <v>390</v>
      </c>
      <c r="H355" t="s">
        <v>314</v>
      </c>
      <c r="K355" t="s">
        <v>729</v>
      </c>
    </row>
    <row r="356" spans="1:11" x14ac:dyDescent="0.45">
      <c r="A356" t="s">
        <v>315</v>
      </c>
      <c r="B356" t="s">
        <v>316</v>
      </c>
      <c r="C356" s="2">
        <v>357069.60000000003</v>
      </c>
      <c r="D356" s="1">
        <v>45291</v>
      </c>
      <c r="E356" s="6">
        <v>335</v>
      </c>
      <c r="F356" t="s">
        <v>317</v>
      </c>
      <c r="G356" s="6">
        <v>390</v>
      </c>
      <c r="H356" t="s">
        <v>314</v>
      </c>
      <c r="K356" t="s">
        <v>730</v>
      </c>
    </row>
    <row r="357" spans="1:11" x14ac:dyDescent="0.45">
      <c r="A357" t="s">
        <v>318</v>
      </c>
      <c r="B357" t="s">
        <v>319</v>
      </c>
      <c r="C357" s="2">
        <v>58432.33</v>
      </c>
      <c r="D357" s="1">
        <v>45291</v>
      </c>
      <c r="E357" s="6">
        <v>336</v>
      </c>
      <c r="F357" t="s">
        <v>320</v>
      </c>
      <c r="G357" s="6">
        <v>390</v>
      </c>
      <c r="H357" t="s">
        <v>314</v>
      </c>
      <c r="K357" t="s">
        <v>731</v>
      </c>
    </row>
    <row r="358" spans="1:11" x14ac:dyDescent="0.45">
      <c r="A358" t="s">
        <v>321</v>
      </c>
      <c r="B358" t="s">
        <v>322</v>
      </c>
      <c r="C358" s="2">
        <v>2421.67</v>
      </c>
      <c r="D358" s="1">
        <v>45291</v>
      </c>
      <c r="E358" s="6">
        <v>336</v>
      </c>
      <c r="F358" t="s">
        <v>320</v>
      </c>
      <c r="G358" s="6">
        <v>390</v>
      </c>
      <c r="H358" t="s">
        <v>314</v>
      </c>
      <c r="K358" t="s">
        <v>732</v>
      </c>
    </row>
    <row r="359" spans="1:11" x14ac:dyDescent="0.45">
      <c r="A359" t="s">
        <v>323</v>
      </c>
      <c r="B359" t="s">
        <v>185</v>
      </c>
      <c r="C359" s="2">
        <v>4769.8899999999994</v>
      </c>
      <c r="D359" s="1">
        <v>45291</v>
      </c>
      <c r="E359" s="6">
        <v>337</v>
      </c>
      <c r="F359" t="s">
        <v>324</v>
      </c>
      <c r="G359" s="6">
        <v>400</v>
      </c>
      <c r="H359" t="s">
        <v>325</v>
      </c>
      <c r="K359" t="s">
        <v>734</v>
      </c>
    </row>
    <row r="360" spans="1:11" x14ac:dyDescent="0.45">
      <c r="A360" t="s">
        <v>326</v>
      </c>
      <c r="B360" t="s">
        <v>327</v>
      </c>
      <c r="C360" s="2">
        <v>19844.66</v>
      </c>
      <c r="D360" s="1">
        <v>45291</v>
      </c>
      <c r="E360" s="6">
        <v>332</v>
      </c>
      <c r="F360" t="s">
        <v>263</v>
      </c>
      <c r="G360" s="6">
        <v>394</v>
      </c>
      <c r="H360" t="s">
        <v>328</v>
      </c>
      <c r="K360" t="s">
        <v>736</v>
      </c>
    </row>
    <row r="361" spans="1:11" x14ac:dyDescent="0.45">
      <c r="A361" t="s">
        <v>329</v>
      </c>
      <c r="B361" t="s">
        <v>330</v>
      </c>
      <c r="C361" s="2">
        <v>105696</v>
      </c>
      <c r="D361" s="1">
        <v>45291</v>
      </c>
      <c r="E361" s="6">
        <v>332</v>
      </c>
      <c r="F361" t="s">
        <v>263</v>
      </c>
      <c r="G361" s="6">
        <v>394</v>
      </c>
      <c r="H361" t="s">
        <v>328</v>
      </c>
      <c r="K361" t="s">
        <v>738</v>
      </c>
    </row>
    <row r="362" spans="1:11" x14ac:dyDescent="0.45">
      <c r="A362" t="s">
        <v>560</v>
      </c>
      <c r="B362" t="s">
        <v>561</v>
      </c>
      <c r="C362" s="2">
        <v>7927.08</v>
      </c>
      <c r="D362" s="1">
        <v>45291</v>
      </c>
      <c r="E362" s="6">
        <v>335</v>
      </c>
      <c r="F362" t="s">
        <v>317</v>
      </c>
      <c r="G362" s="6">
        <v>390</v>
      </c>
      <c r="H362" t="s">
        <v>314</v>
      </c>
      <c r="K362" t="s">
        <v>740</v>
      </c>
    </row>
    <row r="363" spans="1:11" x14ac:dyDescent="0.45">
      <c r="A363" t="s">
        <v>331</v>
      </c>
      <c r="B363" t="s">
        <v>332</v>
      </c>
      <c r="C363" s="2">
        <v>78.94</v>
      </c>
      <c r="D363" s="1">
        <v>45291</v>
      </c>
      <c r="E363" s="6">
        <v>336</v>
      </c>
      <c r="F363" t="s">
        <v>320</v>
      </c>
      <c r="G363" s="6">
        <v>390</v>
      </c>
      <c r="H363" t="s">
        <v>314</v>
      </c>
      <c r="K363" t="s">
        <v>741</v>
      </c>
    </row>
    <row r="364" spans="1:11" x14ac:dyDescent="0.45">
      <c r="A364" t="s">
        <v>562</v>
      </c>
      <c r="B364" t="s">
        <v>563</v>
      </c>
      <c r="C364" s="2">
        <v>6.77</v>
      </c>
      <c r="D364" s="1">
        <v>45291</v>
      </c>
      <c r="E364" s="6">
        <v>358</v>
      </c>
      <c r="F364" t="s">
        <v>289</v>
      </c>
      <c r="G364" s="6">
        <v>380</v>
      </c>
      <c r="H364" t="s">
        <v>290</v>
      </c>
      <c r="K364" t="s">
        <v>742</v>
      </c>
    </row>
    <row r="365" spans="1:11" x14ac:dyDescent="0.45">
      <c r="A365" t="s">
        <v>333</v>
      </c>
      <c r="B365" t="s">
        <v>334</v>
      </c>
      <c r="C365" s="2">
        <v>54</v>
      </c>
      <c r="D365" s="1">
        <v>45291</v>
      </c>
      <c r="E365" s="6">
        <v>425</v>
      </c>
      <c r="F365" t="s">
        <v>335</v>
      </c>
      <c r="G365" s="6">
        <v>450</v>
      </c>
      <c r="H365" t="s">
        <v>336</v>
      </c>
      <c r="K365" t="s">
        <v>743</v>
      </c>
    </row>
    <row r="366" spans="1:11" x14ac:dyDescent="0.45">
      <c r="A366" t="s">
        <v>337</v>
      </c>
      <c r="B366" t="s">
        <v>338</v>
      </c>
      <c r="C366" s="2">
        <v>30238.06</v>
      </c>
      <c r="D366" s="1">
        <v>45291</v>
      </c>
      <c r="E366" s="6">
        <v>420</v>
      </c>
      <c r="F366" t="s">
        <v>339</v>
      </c>
      <c r="G366" s="6">
        <v>430</v>
      </c>
      <c r="H366" t="s">
        <v>340</v>
      </c>
      <c r="K366" t="s">
        <v>744</v>
      </c>
    </row>
    <row r="367" spans="1:11" x14ac:dyDescent="0.45">
      <c r="A367" t="s">
        <v>341</v>
      </c>
      <c r="B367" t="s">
        <v>342</v>
      </c>
      <c r="C367" s="2">
        <v>3862.43</v>
      </c>
      <c r="D367" s="1">
        <v>45291</v>
      </c>
      <c r="E367" s="6">
        <v>420</v>
      </c>
      <c r="F367" t="s">
        <v>339</v>
      </c>
      <c r="G367" s="6">
        <v>430</v>
      </c>
      <c r="H367" t="s">
        <v>340</v>
      </c>
      <c r="K367" t="s">
        <v>745</v>
      </c>
    </row>
    <row r="368" spans="1:11" x14ac:dyDescent="0.45">
      <c r="A368" t="s">
        <v>343</v>
      </c>
      <c r="B368" t="s">
        <v>344</v>
      </c>
      <c r="C368" s="2">
        <v>11413.8</v>
      </c>
      <c r="D368" s="1">
        <v>45291</v>
      </c>
      <c r="E368" s="6">
        <v>420</v>
      </c>
      <c r="F368" t="s">
        <v>339</v>
      </c>
      <c r="G368" s="6">
        <v>430</v>
      </c>
      <c r="H368" t="s">
        <v>340</v>
      </c>
      <c r="K368" t="s">
        <v>746</v>
      </c>
    </row>
    <row r="369" spans="1:11" x14ac:dyDescent="0.45">
      <c r="A369" t="s">
        <v>345</v>
      </c>
      <c r="B369" t="s">
        <v>346</v>
      </c>
      <c r="C369" s="2">
        <v>30129.25</v>
      </c>
      <c r="D369" s="1">
        <v>45291</v>
      </c>
      <c r="E369" s="6">
        <v>332</v>
      </c>
      <c r="F369" t="s">
        <v>263</v>
      </c>
      <c r="G369" s="6">
        <v>380</v>
      </c>
      <c r="H369" t="s">
        <v>290</v>
      </c>
      <c r="K369" t="s">
        <v>747</v>
      </c>
    </row>
    <row r="370" spans="1:11" x14ac:dyDescent="0.45">
      <c r="A370" t="s">
        <v>347</v>
      </c>
      <c r="B370" t="s">
        <v>348</v>
      </c>
      <c r="C370" s="2">
        <v>1702.12</v>
      </c>
      <c r="D370" s="1">
        <v>45291</v>
      </c>
      <c r="E370" s="6">
        <v>420</v>
      </c>
      <c r="F370" t="s">
        <v>339</v>
      </c>
      <c r="G370" s="6">
        <v>430</v>
      </c>
      <c r="H370" t="s">
        <v>340</v>
      </c>
      <c r="K370" t="s">
        <v>748</v>
      </c>
    </row>
    <row r="371" spans="1:11" x14ac:dyDescent="0.45">
      <c r="A371" t="s">
        <v>349</v>
      </c>
      <c r="B371" t="s">
        <v>350</v>
      </c>
      <c r="C371" s="2">
        <v>704.34999999999991</v>
      </c>
      <c r="D371" s="1">
        <v>45291</v>
      </c>
      <c r="E371" s="6">
        <v>420</v>
      </c>
      <c r="F371" t="s">
        <v>339</v>
      </c>
      <c r="G371" s="6">
        <v>430</v>
      </c>
      <c r="H371" t="s">
        <v>340</v>
      </c>
    </row>
    <row r="372" spans="1:11" x14ac:dyDescent="0.45">
      <c r="A372" t="s">
        <v>351</v>
      </c>
      <c r="B372" t="s">
        <v>352</v>
      </c>
      <c r="C372" s="2">
        <v>68.400000000000006</v>
      </c>
      <c r="D372" s="1">
        <v>45291</v>
      </c>
      <c r="E372" s="6">
        <v>420</v>
      </c>
      <c r="F372" t="s">
        <v>339</v>
      </c>
      <c r="G372" s="6">
        <v>430</v>
      </c>
      <c r="H372" t="s">
        <v>340</v>
      </c>
    </row>
    <row r="373" spans="1:11" x14ac:dyDescent="0.45">
      <c r="A373" t="s">
        <v>353</v>
      </c>
      <c r="B373" t="s">
        <v>354</v>
      </c>
      <c r="C373" s="2">
        <v>93.72</v>
      </c>
      <c r="D373" s="1">
        <v>45291</v>
      </c>
      <c r="E373" s="6">
        <v>358</v>
      </c>
      <c r="F373" t="s">
        <v>289</v>
      </c>
      <c r="G373" s="6">
        <v>450</v>
      </c>
      <c r="H373" t="s">
        <v>336</v>
      </c>
    </row>
    <row r="374" spans="1:11" x14ac:dyDescent="0.45">
      <c r="A374" t="s">
        <v>355</v>
      </c>
      <c r="B374" t="s">
        <v>356</v>
      </c>
      <c r="C374" s="2">
        <v>9822.09</v>
      </c>
      <c r="D374" s="1">
        <v>45291</v>
      </c>
      <c r="E374" s="6">
        <v>358</v>
      </c>
      <c r="F374" t="s">
        <v>289</v>
      </c>
      <c r="G374" s="6">
        <v>450</v>
      </c>
      <c r="H374" t="s">
        <v>336</v>
      </c>
    </row>
    <row r="375" spans="1:11" x14ac:dyDescent="0.45">
      <c r="A375" t="s">
        <v>357</v>
      </c>
      <c r="B375" t="s">
        <v>358</v>
      </c>
      <c r="C375" s="2">
        <v>1000</v>
      </c>
      <c r="D375" s="1">
        <v>45291</v>
      </c>
      <c r="E375" s="6">
        <v>347</v>
      </c>
      <c r="F375" t="s">
        <v>359</v>
      </c>
      <c r="G375" s="6">
        <v>410</v>
      </c>
      <c r="H375" t="s">
        <v>360</v>
      </c>
    </row>
    <row r="376" spans="1:11" x14ac:dyDescent="0.45">
      <c r="A376" t="s">
        <v>361</v>
      </c>
      <c r="B376" t="s">
        <v>362</v>
      </c>
      <c r="C376" s="2">
        <v>801.5</v>
      </c>
      <c r="D376" s="1">
        <v>45291</v>
      </c>
      <c r="E376" s="6">
        <v>347</v>
      </c>
      <c r="F376" t="s">
        <v>359</v>
      </c>
      <c r="G376" s="6">
        <v>410</v>
      </c>
      <c r="H376" t="s">
        <v>360</v>
      </c>
    </row>
    <row r="377" spans="1:11" x14ac:dyDescent="0.45">
      <c r="A377" t="s">
        <v>365</v>
      </c>
      <c r="B377" t="s">
        <v>366</v>
      </c>
      <c r="C377" s="2">
        <v>461.21</v>
      </c>
      <c r="D377" s="1">
        <v>45291</v>
      </c>
      <c r="E377" s="6">
        <v>347</v>
      </c>
      <c r="F377" t="s">
        <v>359</v>
      </c>
      <c r="G377" s="6">
        <v>410</v>
      </c>
      <c r="H377" t="s">
        <v>360</v>
      </c>
    </row>
    <row r="378" spans="1:11" x14ac:dyDescent="0.45">
      <c r="A378" t="s">
        <v>367</v>
      </c>
      <c r="B378" t="s">
        <v>368</v>
      </c>
      <c r="C378" s="2">
        <v>3908.78</v>
      </c>
      <c r="D378" s="1">
        <v>45291</v>
      </c>
      <c r="E378" s="6">
        <v>347</v>
      </c>
      <c r="F378" t="s">
        <v>359</v>
      </c>
      <c r="G378" s="6">
        <v>410</v>
      </c>
      <c r="H378" t="s">
        <v>360</v>
      </c>
    </row>
    <row r="379" spans="1:11" x14ac:dyDescent="0.45">
      <c r="A379" t="s">
        <v>369</v>
      </c>
      <c r="B379" t="s">
        <v>370</v>
      </c>
      <c r="C379" s="2">
        <v>2077.2800000000002</v>
      </c>
      <c r="D379" s="1">
        <v>45291</v>
      </c>
      <c r="E379" s="6">
        <v>347</v>
      </c>
      <c r="F379" t="s">
        <v>359</v>
      </c>
      <c r="G379" s="6">
        <v>410</v>
      </c>
      <c r="H379" t="s">
        <v>360</v>
      </c>
    </row>
    <row r="380" spans="1:11" x14ac:dyDescent="0.45">
      <c r="A380" t="s">
        <v>371</v>
      </c>
      <c r="B380" t="s">
        <v>372</v>
      </c>
      <c r="C380" s="2">
        <v>106.54</v>
      </c>
      <c r="D380" s="1">
        <v>45291</v>
      </c>
      <c r="E380" s="6">
        <v>347</v>
      </c>
      <c r="F380" t="s">
        <v>359</v>
      </c>
      <c r="G380" s="6">
        <v>410</v>
      </c>
      <c r="H380" t="s">
        <v>360</v>
      </c>
    </row>
    <row r="381" spans="1:11" x14ac:dyDescent="0.45">
      <c r="A381" t="s">
        <v>564</v>
      </c>
      <c r="B381" t="s">
        <v>565</v>
      </c>
      <c r="C381" s="2">
        <v>196.71</v>
      </c>
      <c r="D381" s="1">
        <v>45291</v>
      </c>
      <c r="E381" s="6">
        <v>347</v>
      </c>
      <c r="F381" t="s">
        <v>359</v>
      </c>
      <c r="G381" s="6">
        <v>410</v>
      </c>
      <c r="H381" t="s">
        <v>360</v>
      </c>
    </row>
    <row r="382" spans="1:11" x14ac:dyDescent="0.45">
      <c r="A382" t="s">
        <v>373</v>
      </c>
      <c r="B382" t="s">
        <v>374</v>
      </c>
      <c r="C382" s="2">
        <v>145</v>
      </c>
      <c r="D382" s="1">
        <v>45291</v>
      </c>
      <c r="E382" s="6">
        <v>347</v>
      </c>
      <c r="F382" t="s">
        <v>359</v>
      </c>
      <c r="G382" s="6">
        <v>410</v>
      </c>
      <c r="H382" t="s">
        <v>360</v>
      </c>
    </row>
    <row r="383" spans="1:11" x14ac:dyDescent="0.45">
      <c r="A383" t="s">
        <v>375</v>
      </c>
      <c r="B383" t="s">
        <v>376</v>
      </c>
      <c r="C383" s="2">
        <v>726.09</v>
      </c>
      <c r="D383" s="1">
        <v>45291</v>
      </c>
      <c r="E383" s="6">
        <v>347</v>
      </c>
      <c r="F383" t="s">
        <v>359</v>
      </c>
      <c r="G383" s="6">
        <v>410</v>
      </c>
      <c r="H383" t="s">
        <v>360</v>
      </c>
    </row>
    <row r="384" spans="1:11" x14ac:dyDescent="0.45">
      <c r="A384" t="s">
        <v>377</v>
      </c>
      <c r="B384" t="s">
        <v>378</v>
      </c>
      <c r="C384" s="2">
        <v>201.6</v>
      </c>
      <c r="D384" s="1">
        <v>45291</v>
      </c>
      <c r="E384" s="6">
        <v>347</v>
      </c>
      <c r="F384" t="s">
        <v>359</v>
      </c>
      <c r="G384" s="6">
        <v>410</v>
      </c>
      <c r="H384" t="s">
        <v>360</v>
      </c>
    </row>
    <row r="385" spans="1:8" x14ac:dyDescent="0.45">
      <c r="A385" t="s">
        <v>566</v>
      </c>
      <c r="B385" t="s">
        <v>567</v>
      </c>
      <c r="C385" s="2">
        <v>445.05</v>
      </c>
      <c r="D385" s="1">
        <v>45291</v>
      </c>
      <c r="E385" s="6">
        <v>347</v>
      </c>
      <c r="F385" t="s">
        <v>359</v>
      </c>
      <c r="G385" s="6">
        <v>410</v>
      </c>
      <c r="H385" t="s">
        <v>360</v>
      </c>
    </row>
    <row r="386" spans="1:8" x14ac:dyDescent="0.45">
      <c r="A386" t="s">
        <v>379</v>
      </c>
      <c r="B386" t="s">
        <v>380</v>
      </c>
      <c r="C386" s="2">
        <v>10143.52</v>
      </c>
      <c r="D386" s="1">
        <v>45291</v>
      </c>
      <c r="E386" s="6">
        <v>347</v>
      </c>
      <c r="F386" t="s">
        <v>359</v>
      </c>
      <c r="G386" s="6">
        <v>410</v>
      </c>
      <c r="H386" t="s">
        <v>360</v>
      </c>
    </row>
    <row r="387" spans="1:8" x14ac:dyDescent="0.45">
      <c r="A387" t="s">
        <v>381</v>
      </c>
      <c r="B387" t="s">
        <v>382</v>
      </c>
      <c r="C387" s="2">
        <v>494.7</v>
      </c>
      <c r="D387" s="1">
        <v>45291</v>
      </c>
      <c r="E387" s="6">
        <v>347</v>
      </c>
      <c r="F387" t="s">
        <v>359</v>
      </c>
      <c r="G387" s="6">
        <v>410</v>
      </c>
      <c r="H387" t="s">
        <v>360</v>
      </c>
    </row>
    <row r="388" spans="1:8" x14ac:dyDescent="0.45">
      <c r="A388" t="s">
        <v>386</v>
      </c>
      <c r="B388" t="s">
        <v>387</v>
      </c>
      <c r="C388" s="2">
        <v>125.92</v>
      </c>
      <c r="D388" s="1">
        <v>45291</v>
      </c>
      <c r="E388" s="6">
        <v>346</v>
      </c>
      <c r="F388" t="s">
        <v>385</v>
      </c>
      <c r="G388" s="6">
        <v>410</v>
      </c>
      <c r="H388" t="s">
        <v>360</v>
      </c>
    </row>
    <row r="389" spans="1:8" x14ac:dyDescent="0.45">
      <c r="A389" t="s">
        <v>388</v>
      </c>
      <c r="B389" t="s">
        <v>389</v>
      </c>
      <c r="C389" s="2">
        <v>665.28</v>
      </c>
      <c r="D389" s="1">
        <v>45291</v>
      </c>
      <c r="E389" s="6">
        <v>346</v>
      </c>
      <c r="F389" t="s">
        <v>385</v>
      </c>
      <c r="G389" s="6">
        <v>410</v>
      </c>
      <c r="H389" t="s">
        <v>360</v>
      </c>
    </row>
    <row r="390" spans="1:8" x14ac:dyDescent="0.45">
      <c r="A390" t="s">
        <v>390</v>
      </c>
      <c r="B390" t="s">
        <v>391</v>
      </c>
      <c r="C390" s="2">
        <v>120965.73000000001</v>
      </c>
      <c r="D390" s="1">
        <v>45291</v>
      </c>
      <c r="E390" s="6">
        <v>346</v>
      </c>
      <c r="F390" t="s">
        <v>385</v>
      </c>
      <c r="G390" s="6">
        <v>410</v>
      </c>
      <c r="H390" t="s">
        <v>360</v>
      </c>
    </row>
    <row r="391" spans="1:8" x14ac:dyDescent="0.45">
      <c r="A391" t="s">
        <v>392</v>
      </c>
      <c r="B391" t="s">
        <v>393</v>
      </c>
      <c r="C391" s="2">
        <v>5750.56</v>
      </c>
      <c r="D391" s="1">
        <v>45291</v>
      </c>
      <c r="E391" s="6">
        <v>346</v>
      </c>
      <c r="F391" t="s">
        <v>385</v>
      </c>
      <c r="G391" s="6">
        <v>410</v>
      </c>
      <c r="H391" t="s">
        <v>360</v>
      </c>
    </row>
    <row r="392" spans="1:8" x14ac:dyDescent="0.45">
      <c r="A392" t="s">
        <v>394</v>
      </c>
      <c r="B392" t="s">
        <v>395</v>
      </c>
      <c r="C392" s="2">
        <v>882.4</v>
      </c>
      <c r="D392" s="1">
        <v>45291</v>
      </c>
      <c r="E392" s="6">
        <v>346</v>
      </c>
      <c r="F392" t="s">
        <v>385</v>
      </c>
      <c r="G392" s="6">
        <v>410</v>
      </c>
      <c r="H392" t="s">
        <v>360</v>
      </c>
    </row>
    <row r="393" spans="1:8" x14ac:dyDescent="0.45">
      <c r="A393" t="s">
        <v>398</v>
      </c>
      <c r="B393" t="s">
        <v>399</v>
      </c>
      <c r="C393" s="2">
        <v>4000</v>
      </c>
      <c r="D393" s="1">
        <v>45291</v>
      </c>
      <c r="E393" s="6">
        <v>356</v>
      </c>
      <c r="F393" t="s">
        <v>400</v>
      </c>
      <c r="G393" s="6">
        <v>411</v>
      </c>
      <c r="H393" t="s">
        <v>401</v>
      </c>
    </row>
    <row r="394" spans="1:8" x14ac:dyDescent="0.45">
      <c r="A394" t="s">
        <v>404</v>
      </c>
      <c r="B394" t="s">
        <v>405</v>
      </c>
      <c r="C394" s="2">
        <v>625.5</v>
      </c>
      <c r="D394" s="1">
        <v>45291</v>
      </c>
      <c r="E394" s="6">
        <v>332</v>
      </c>
      <c r="F394" t="s">
        <v>263</v>
      </c>
      <c r="G394" s="6">
        <v>362</v>
      </c>
      <c r="H394" t="s">
        <v>270</v>
      </c>
    </row>
    <row r="395" spans="1:8" x14ac:dyDescent="0.45">
      <c r="A395" t="s">
        <v>406</v>
      </c>
      <c r="B395" t="s">
        <v>407</v>
      </c>
      <c r="C395" s="2">
        <v>5182.25</v>
      </c>
      <c r="D395" s="1">
        <v>45291</v>
      </c>
      <c r="E395" s="6">
        <v>332</v>
      </c>
      <c r="F395" t="s">
        <v>263</v>
      </c>
      <c r="G395" s="6">
        <v>380</v>
      </c>
      <c r="H395" t="s">
        <v>290</v>
      </c>
    </row>
    <row r="396" spans="1:8" x14ac:dyDescent="0.45">
      <c r="A396" t="s">
        <v>408</v>
      </c>
      <c r="B396" t="s">
        <v>409</v>
      </c>
      <c r="C396" s="2">
        <v>122.16</v>
      </c>
      <c r="D396" s="1">
        <v>45291</v>
      </c>
      <c r="E396" s="6">
        <v>333</v>
      </c>
      <c r="F396" t="s">
        <v>410</v>
      </c>
      <c r="G396" s="6">
        <v>370</v>
      </c>
      <c r="H396" t="s">
        <v>411</v>
      </c>
    </row>
    <row r="397" spans="1:8" x14ac:dyDescent="0.45">
      <c r="A397" t="s">
        <v>412</v>
      </c>
      <c r="B397" t="s">
        <v>413</v>
      </c>
      <c r="C397" s="2">
        <v>22608.78</v>
      </c>
      <c r="D397" s="1">
        <v>45291</v>
      </c>
      <c r="E397" s="6">
        <v>333</v>
      </c>
      <c r="F397" t="s">
        <v>410</v>
      </c>
      <c r="G397" s="6">
        <v>370</v>
      </c>
      <c r="H397" t="s">
        <v>411</v>
      </c>
    </row>
    <row r="398" spans="1:8" x14ac:dyDescent="0.45">
      <c r="A398" t="s">
        <v>416</v>
      </c>
      <c r="B398" t="s">
        <v>417</v>
      </c>
      <c r="C398" s="2">
        <v>5</v>
      </c>
      <c r="D398" s="1">
        <v>45291</v>
      </c>
      <c r="E398" s="6">
        <v>333</v>
      </c>
      <c r="F398" t="s">
        <v>410</v>
      </c>
      <c r="G398" s="6">
        <v>370</v>
      </c>
      <c r="H398" t="s">
        <v>411</v>
      </c>
    </row>
    <row r="399" spans="1:8" x14ac:dyDescent="0.45">
      <c r="A399" t="s">
        <v>418</v>
      </c>
      <c r="B399" t="s">
        <v>419</v>
      </c>
      <c r="C399" s="2">
        <v>2190.36</v>
      </c>
      <c r="D399" s="1">
        <v>45291</v>
      </c>
      <c r="E399" s="6">
        <v>333</v>
      </c>
      <c r="F399" t="s">
        <v>410</v>
      </c>
      <c r="G399" s="6">
        <v>370</v>
      </c>
      <c r="H399" t="s">
        <v>411</v>
      </c>
    </row>
    <row r="400" spans="1:8" x14ac:dyDescent="0.45">
      <c r="A400" t="s">
        <v>568</v>
      </c>
      <c r="B400" t="s">
        <v>569</v>
      </c>
      <c r="C400" s="2">
        <v>9981.0000000000018</v>
      </c>
      <c r="D400" s="1">
        <v>45291</v>
      </c>
      <c r="E400" s="6">
        <v>333</v>
      </c>
      <c r="F400" t="s">
        <v>410</v>
      </c>
      <c r="G400" s="6">
        <v>370</v>
      </c>
      <c r="H400" t="s">
        <v>411</v>
      </c>
    </row>
    <row r="401" spans="1:8" x14ac:dyDescent="0.45">
      <c r="A401" t="s">
        <v>532</v>
      </c>
      <c r="B401" t="s">
        <v>533</v>
      </c>
      <c r="C401" s="2">
        <v>24.5</v>
      </c>
      <c r="D401" s="1">
        <v>45291</v>
      </c>
      <c r="E401" s="6">
        <v>358</v>
      </c>
      <c r="F401" t="s">
        <v>289</v>
      </c>
      <c r="G401" s="6">
        <v>300</v>
      </c>
      <c r="H401" t="s">
        <v>422</v>
      </c>
    </row>
    <row r="402" spans="1:8" x14ac:dyDescent="0.45">
      <c r="A402" t="s">
        <v>420</v>
      </c>
      <c r="B402" t="s">
        <v>421</v>
      </c>
      <c r="C402" s="2">
        <v>61.61</v>
      </c>
      <c r="D402" s="1">
        <v>45291</v>
      </c>
      <c r="E402" s="6">
        <v>358</v>
      </c>
      <c r="F402" t="s">
        <v>289</v>
      </c>
      <c r="G402" s="6">
        <v>300</v>
      </c>
      <c r="H402" t="s">
        <v>422</v>
      </c>
    </row>
    <row r="403" spans="1:8" x14ac:dyDescent="0.45">
      <c r="A403" t="s">
        <v>423</v>
      </c>
      <c r="B403" t="s">
        <v>424</v>
      </c>
      <c r="C403" s="2">
        <v>7734.91</v>
      </c>
      <c r="D403" s="1">
        <v>45291</v>
      </c>
      <c r="E403" s="6">
        <v>331</v>
      </c>
      <c r="F403" t="s">
        <v>251</v>
      </c>
      <c r="G403" s="6">
        <v>330</v>
      </c>
      <c r="H403" t="s">
        <v>252</v>
      </c>
    </row>
    <row r="404" spans="1:8" x14ac:dyDescent="0.45">
      <c r="A404" t="s">
        <v>425</v>
      </c>
      <c r="B404" t="s">
        <v>426</v>
      </c>
      <c r="C404" s="2">
        <v>3833.81</v>
      </c>
      <c r="D404" s="1">
        <v>45291</v>
      </c>
      <c r="E404" s="6">
        <v>358</v>
      </c>
      <c r="F404" t="s">
        <v>289</v>
      </c>
      <c r="G404" s="6">
        <v>380</v>
      </c>
      <c r="H404" t="s">
        <v>290</v>
      </c>
    </row>
    <row r="405" spans="1:8" x14ac:dyDescent="0.45">
      <c r="A405" t="s">
        <v>429</v>
      </c>
      <c r="B405" t="s">
        <v>430</v>
      </c>
      <c r="C405" s="2">
        <v>258.02999999999997</v>
      </c>
      <c r="D405" s="1">
        <v>45291</v>
      </c>
      <c r="E405" s="6">
        <v>358</v>
      </c>
      <c r="F405" t="s">
        <v>289</v>
      </c>
      <c r="G405" s="6">
        <v>380</v>
      </c>
      <c r="H405" t="s">
        <v>290</v>
      </c>
    </row>
    <row r="406" spans="1:8" x14ac:dyDescent="0.45">
      <c r="A406" t="s">
        <v>570</v>
      </c>
      <c r="B406" t="s">
        <v>571</v>
      </c>
      <c r="C406" s="2">
        <v>12.81</v>
      </c>
      <c r="D406" s="1">
        <v>45291</v>
      </c>
      <c r="E406" s="6">
        <v>130</v>
      </c>
      <c r="F406" t="s">
        <v>66</v>
      </c>
      <c r="G406" s="6">
        <v>380</v>
      </c>
      <c r="H406" t="s">
        <v>290</v>
      </c>
    </row>
    <row r="407" spans="1:8" x14ac:dyDescent="0.45">
      <c r="A407" t="s">
        <v>431</v>
      </c>
      <c r="B407" t="s">
        <v>432</v>
      </c>
      <c r="C407" s="2">
        <v>528.09</v>
      </c>
      <c r="D407" s="1">
        <v>45291</v>
      </c>
      <c r="E407" s="6">
        <v>358</v>
      </c>
      <c r="F407" t="s">
        <v>289</v>
      </c>
      <c r="G407" s="6">
        <v>380</v>
      </c>
      <c r="H407" t="s">
        <v>290</v>
      </c>
    </row>
    <row r="408" spans="1:8" x14ac:dyDescent="0.45">
      <c r="A408" t="s">
        <v>433</v>
      </c>
      <c r="B408" t="s">
        <v>434</v>
      </c>
      <c r="C408" s="2">
        <v>20868.11</v>
      </c>
      <c r="D408" s="1">
        <v>45291</v>
      </c>
      <c r="E408" s="6">
        <v>331</v>
      </c>
      <c r="F408" t="s">
        <v>251</v>
      </c>
      <c r="G408" s="6">
        <v>330</v>
      </c>
      <c r="H408" t="s">
        <v>252</v>
      </c>
    </row>
    <row r="409" spans="1:8" x14ac:dyDescent="0.45">
      <c r="A409" t="s">
        <v>435</v>
      </c>
      <c r="B409" t="s">
        <v>436</v>
      </c>
      <c r="C409" s="2">
        <v>1518.22</v>
      </c>
      <c r="D409" s="1">
        <v>45291</v>
      </c>
      <c r="E409" s="6">
        <v>333</v>
      </c>
      <c r="F409" t="s">
        <v>410</v>
      </c>
      <c r="G409" s="6">
        <v>380</v>
      </c>
      <c r="H409" t="s">
        <v>290</v>
      </c>
    </row>
    <row r="410" spans="1:8" x14ac:dyDescent="0.45">
      <c r="A410" t="s">
        <v>439</v>
      </c>
      <c r="B410" t="s">
        <v>440</v>
      </c>
      <c r="C410" s="2">
        <v>1098.1500000000001</v>
      </c>
      <c r="D410" s="1">
        <v>45291</v>
      </c>
      <c r="E410" s="6">
        <v>358</v>
      </c>
      <c r="F410" t="s">
        <v>289</v>
      </c>
      <c r="G410" s="6">
        <v>380</v>
      </c>
      <c r="H410" t="s">
        <v>290</v>
      </c>
    </row>
    <row r="411" spans="1:8" x14ac:dyDescent="0.45">
      <c r="A411" t="s">
        <v>446</v>
      </c>
      <c r="B411" t="s">
        <v>447</v>
      </c>
      <c r="C411" s="2">
        <v>11614.15</v>
      </c>
      <c r="D411" s="1">
        <v>45291</v>
      </c>
      <c r="E411" s="6">
        <v>332</v>
      </c>
      <c r="F411" t="s">
        <v>263</v>
      </c>
      <c r="G411" s="6">
        <v>364</v>
      </c>
      <c r="H411" t="s">
        <v>282</v>
      </c>
    </row>
    <row r="412" spans="1:8" x14ac:dyDescent="0.45">
      <c r="A412" t="s">
        <v>448</v>
      </c>
      <c r="B412" t="s">
        <v>449</v>
      </c>
      <c r="C412" s="2">
        <v>334.66</v>
      </c>
      <c r="D412" s="1">
        <v>45291</v>
      </c>
      <c r="E412" s="6">
        <v>332</v>
      </c>
      <c r="F412" t="s">
        <v>263</v>
      </c>
      <c r="G412" s="6">
        <v>380</v>
      </c>
      <c r="H412" t="s">
        <v>290</v>
      </c>
    </row>
    <row r="413" spans="1:8" x14ac:dyDescent="0.45">
      <c r="A413" t="s">
        <v>450</v>
      </c>
      <c r="B413" t="s">
        <v>451</v>
      </c>
      <c r="C413" s="2">
        <v>6200.43</v>
      </c>
      <c r="D413" s="1">
        <v>45291</v>
      </c>
      <c r="E413" s="6">
        <v>332</v>
      </c>
      <c r="F413" t="s">
        <v>263</v>
      </c>
      <c r="G413" s="6">
        <v>380</v>
      </c>
      <c r="H413" t="s">
        <v>290</v>
      </c>
    </row>
    <row r="414" spans="1:8" x14ac:dyDescent="0.45">
      <c r="A414" t="s">
        <v>452</v>
      </c>
      <c r="B414" t="s">
        <v>453</v>
      </c>
      <c r="C414" s="2">
        <v>3871.88</v>
      </c>
      <c r="D414" s="1">
        <v>45291</v>
      </c>
      <c r="E414" s="6">
        <v>332</v>
      </c>
      <c r="F414" t="s">
        <v>263</v>
      </c>
      <c r="G414" s="6">
        <v>380</v>
      </c>
      <c r="H414" t="s">
        <v>290</v>
      </c>
    </row>
    <row r="415" spans="1:8" x14ac:dyDescent="0.45">
      <c r="A415" t="s">
        <v>454</v>
      </c>
      <c r="B415" t="s">
        <v>455</v>
      </c>
      <c r="C415" s="2">
        <v>426.04</v>
      </c>
      <c r="D415" s="1">
        <v>45291</v>
      </c>
      <c r="E415" s="6">
        <v>358</v>
      </c>
      <c r="F415" t="s">
        <v>289</v>
      </c>
      <c r="G415" s="6">
        <v>380</v>
      </c>
      <c r="H415" t="s">
        <v>290</v>
      </c>
    </row>
    <row r="416" spans="1:8" x14ac:dyDescent="0.45">
      <c r="A416" t="s">
        <v>456</v>
      </c>
      <c r="B416" t="s">
        <v>457</v>
      </c>
      <c r="C416" s="2">
        <v>6227.39</v>
      </c>
      <c r="D416" s="1">
        <v>45291</v>
      </c>
      <c r="E416" s="6">
        <v>331</v>
      </c>
      <c r="F416" t="s">
        <v>251</v>
      </c>
      <c r="G416" s="6">
        <v>364</v>
      </c>
      <c r="H416" t="s">
        <v>282</v>
      </c>
    </row>
    <row r="417" spans="1:8" x14ac:dyDescent="0.45">
      <c r="A417" t="s">
        <v>458</v>
      </c>
      <c r="B417" t="s">
        <v>459</v>
      </c>
      <c r="C417" s="2">
        <v>6747.33</v>
      </c>
      <c r="D417" s="1">
        <v>45291</v>
      </c>
      <c r="E417" s="6">
        <v>332</v>
      </c>
      <c r="F417" t="s">
        <v>263</v>
      </c>
      <c r="G417" s="6">
        <v>364</v>
      </c>
      <c r="H417" t="s">
        <v>282</v>
      </c>
    </row>
    <row r="418" spans="1:8" x14ac:dyDescent="0.45">
      <c r="A418" t="s">
        <v>460</v>
      </c>
      <c r="B418" t="s">
        <v>461</v>
      </c>
      <c r="C418" s="2">
        <v>1849.6</v>
      </c>
      <c r="D418" s="1">
        <v>45291</v>
      </c>
      <c r="E418" s="6">
        <v>332</v>
      </c>
      <c r="F418" t="s">
        <v>263</v>
      </c>
      <c r="G418" s="6">
        <v>364</v>
      </c>
      <c r="H418" t="s">
        <v>282</v>
      </c>
    </row>
    <row r="419" spans="1:8" x14ac:dyDescent="0.45">
      <c r="A419" t="s">
        <v>462</v>
      </c>
      <c r="B419" t="s">
        <v>463</v>
      </c>
      <c r="C419" s="2">
        <v>824</v>
      </c>
      <c r="D419" s="1">
        <v>45291</v>
      </c>
      <c r="E419" s="6">
        <v>358</v>
      </c>
      <c r="F419" t="s">
        <v>289</v>
      </c>
      <c r="G419" s="6">
        <v>380</v>
      </c>
      <c r="H419" t="s">
        <v>290</v>
      </c>
    </row>
    <row r="420" spans="1:8" x14ac:dyDescent="0.45">
      <c r="A420" t="s">
        <v>464</v>
      </c>
      <c r="B420" t="s">
        <v>465</v>
      </c>
      <c r="C420" s="2">
        <v>1513</v>
      </c>
      <c r="D420" s="1">
        <v>45291</v>
      </c>
      <c r="E420" s="6">
        <v>358</v>
      </c>
      <c r="F420" t="s">
        <v>289</v>
      </c>
      <c r="G420" s="6">
        <v>380</v>
      </c>
      <c r="H420" t="s">
        <v>290</v>
      </c>
    </row>
    <row r="421" spans="1:8" x14ac:dyDescent="0.45">
      <c r="A421" t="s">
        <v>468</v>
      </c>
      <c r="B421" t="s">
        <v>469</v>
      </c>
      <c r="C421" s="2">
        <v>8155</v>
      </c>
      <c r="D421" s="1">
        <v>45291</v>
      </c>
      <c r="E421" s="6">
        <v>482</v>
      </c>
      <c r="F421" t="s">
        <v>470</v>
      </c>
      <c r="G421" s="6">
        <v>460</v>
      </c>
      <c r="H421" t="s">
        <v>471</v>
      </c>
    </row>
    <row r="422" spans="1:8" x14ac:dyDescent="0.45">
      <c r="A422" t="s">
        <v>472</v>
      </c>
      <c r="B422" t="s">
        <v>473</v>
      </c>
      <c r="C422" s="2">
        <v>6783</v>
      </c>
      <c r="D422" s="1">
        <v>45291</v>
      </c>
      <c r="E422" s="6">
        <v>482</v>
      </c>
      <c r="F422" t="s">
        <v>470</v>
      </c>
      <c r="G422" s="6">
        <v>460</v>
      </c>
      <c r="H422" t="s">
        <v>471</v>
      </c>
    </row>
    <row r="423" spans="1:8" x14ac:dyDescent="0.45">
      <c r="A423" t="s">
        <v>474</v>
      </c>
      <c r="B423" t="s">
        <v>475</v>
      </c>
      <c r="C423" s="2">
        <v>-1510020.3800000001</v>
      </c>
      <c r="D423" s="1">
        <v>45291</v>
      </c>
      <c r="E423" s="6">
        <v>311</v>
      </c>
      <c r="F423" t="s">
        <v>476</v>
      </c>
      <c r="G423" s="6">
        <v>300</v>
      </c>
      <c r="H423" t="s">
        <v>422</v>
      </c>
    </row>
    <row r="424" spans="1:8" x14ac:dyDescent="0.45">
      <c r="A424" t="s">
        <v>477</v>
      </c>
      <c r="B424" t="s">
        <v>478</v>
      </c>
      <c r="C424" s="2">
        <v>-52365.59</v>
      </c>
      <c r="D424" s="1">
        <v>45291</v>
      </c>
      <c r="E424" s="6">
        <v>311</v>
      </c>
      <c r="F424" t="s">
        <v>476</v>
      </c>
      <c r="G424" s="6">
        <v>300</v>
      </c>
      <c r="H424" t="s">
        <v>422</v>
      </c>
    </row>
    <row r="425" spans="1:8" x14ac:dyDescent="0.45">
      <c r="A425" t="s">
        <v>479</v>
      </c>
      <c r="B425" t="s">
        <v>480</v>
      </c>
      <c r="C425" s="2">
        <v>-268245.14</v>
      </c>
      <c r="D425" s="1">
        <v>45291</v>
      </c>
      <c r="E425" s="6">
        <v>311</v>
      </c>
      <c r="F425" t="s">
        <v>476</v>
      </c>
      <c r="G425" s="6">
        <v>300</v>
      </c>
      <c r="H425" t="s">
        <v>422</v>
      </c>
    </row>
    <row r="426" spans="1:8" x14ac:dyDescent="0.45">
      <c r="A426" t="s">
        <v>481</v>
      </c>
      <c r="B426" t="s">
        <v>482</v>
      </c>
      <c r="C426" s="2">
        <v>-76590.009999999995</v>
      </c>
      <c r="D426" s="1">
        <v>45291</v>
      </c>
      <c r="E426" s="6">
        <v>311</v>
      </c>
      <c r="F426" t="s">
        <v>476</v>
      </c>
      <c r="G426" s="6">
        <v>320</v>
      </c>
      <c r="H426" t="s">
        <v>483</v>
      </c>
    </row>
    <row r="427" spans="1:8" x14ac:dyDescent="0.45">
      <c r="A427" t="s">
        <v>572</v>
      </c>
      <c r="B427" t="s">
        <v>573</v>
      </c>
      <c r="C427" s="2">
        <v>-6354.67</v>
      </c>
      <c r="D427" s="1">
        <v>45291</v>
      </c>
      <c r="E427" s="6">
        <v>321</v>
      </c>
      <c r="F427" t="s">
        <v>486</v>
      </c>
      <c r="G427" s="6">
        <v>440</v>
      </c>
      <c r="H427" t="s">
        <v>487</v>
      </c>
    </row>
    <row r="428" spans="1:8" x14ac:dyDescent="0.45">
      <c r="A428" t="s">
        <v>484</v>
      </c>
      <c r="B428" t="s">
        <v>485</v>
      </c>
      <c r="C428" s="2">
        <v>-3665.16</v>
      </c>
      <c r="D428" s="1">
        <v>45291</v>
      </c>
      <c r="E428" s="6">
        <v>321</v>
      </c>
      <c r="F428" t="s">
        <v>486</v>
      </c>
      <c r="G428" s="6">
        <v>440</v>
      </c>
      <c r="H428" t="s">
        <v>487</v>
      </c>
    </row>
    <row r="429" spans="1:8" x14ac:dyDescent="0.45">
      <c r="A429" t="s">
        <v>488</v>
      </c>
      <c r="B429" t="s">
        <v>489</v>
      </c>
      <c r="C429" s="2">
        <v>-64703.14</v>
      </c>
      <c r="D429" s="1">
        <v>45291</v>
      </c>
      <c r="E429" s="6">
        <v>320</v>
      </c>
      <c r="F429" t="s">
        <v>490</v>
      </c>
      <c r="G429" s="6">
        <v>315</v>
      </c>
      <c r="H429" t="s">
        <v>491</v>
      </c>
    </row>
    <row r="430" spans="1:8" x14ac:dyDescent="0.45">
      <c r="A430" t="s">
        <v>492</v>
      </c>
      <c r="B430" t="s">
        <v>493</v>
      </c>
      <c r="C430" s="2">
        <v>-1555.1</v>
      </c>
      <c r="D430" s="1">
        <v>45291</v>
      </c>
      <c r="E430" s="6">
        <v>321</v>
      </c>
      <c r="F430" t="s">
        <v>486</v>
      </c>
      <c r="G430" s="6">
        <v>440</v>
      </c>
      <c r="H430" t="s">
        <v>487</v>
      </c>
    </row>
    <row r="431" spans="1:8" x14ac:dyDescent="0.45">
      <c r="A431" t="s">
        <v>494</v>
      </c>
      <c r="B431" t="s">
        <v>495</v>
      </c>
      <c r="C431" s="2">
        <v>-581162.96</v>
      </c>
      <c r="D431" s="1">
        <v>45291</v>
      </c>
      <c r="E431" s="6">
        <v>351</v>
      </c>
      <c r="F431" t="s">
        <v>247</v>
      </c>
      <c r="G431" s="6">
        <v>340</v>
      </c>
      <c r="H431" t="s">
        <v>248</v>
      </c>
    </row>
    <row r="432" spans="1:8" x14ac:dyDescent="0.45">
      <c r="A432" t="s">
        <v>501</v>
      </c>
      <c r="B432" t="s">
        <v>502</v>
      </c>
      <c r="C432" s="2">
        <v>-22.3</v>
      </c>
      <c r="D432" s="1">
        <v>45291</v>
      </c>
      <c r="E432" s="6">
        <v>321</v>
      </c>
      <c r="F432" t="s">
        <v>486</v>
      </c>
      <c r="G432" s="6">
        <v>300</v>
      </c>
      <c r="H432" t="s">
        <v>422</v>
      </c>
    </row>
    <row r="433" spans="1:8" x14ac:dyDescent="0.45">
      <c r="A433" t="s">
        <v>503</v>
      </c>
      <c r="B433" t="s">
        <v>504</v>
      </c>
      <c r="C433" s="2">
        <v>-4914.97</v>
      </c>
      <c r="D433" s="1">
        <v>45291</v>
      </c>
      <c r="E433" s="6">
        <v>321</v>
      </c>
      <c r="F433" t="s">
        <v>486</v>
      </c>
      <c r="G433" s="6">
        <v>320</v>
      </c>
      <c r="H433" t="s">
        <v>483</v>
      </c>
    </row>
    <row r="434" spans="1:8" x14ac:dyDescent="0.45">
      <c r="A434" t="s">
        <v>574</v>
      </c>
      <c r="B434" t="s">
        <v>575</v>
      </c>
      <c r="C434" s="2">
        <v>-8726.24</v>
      </c>
      <c r="D434" s="1">
        <v>45291</v>
      </c>
      <c r="E434" s="6">
        <v>321</v>
      </c>
      <c r="F434" t="s">
        <v>486</v>
      </c>
      <c r="G434" s="6">
        <v>440</v>
      </c>
      <c r="H434" t="s">
        <v>487</v>
      </c>
    </row>
    <row r="435" spans="1:8" x14ac:dyDescent="0.45">
      <c r="A435" t="s">
        <v>6</v>
      </c>
      <c r="B435" t="s">
        <v>7</v>
      </c>
      <c r="C435" s="2">
        <v>5000</v>
      </c>
      <c r="D435" s="1">
        <v>45657</v>
      </c>
      <c r="E435" s="6">
        <v>32</v>
      </c>
      <c r="F435" t="s">
        <v>8</v>
      </c>
      <c r="G435" s="6">
        <v>20</v>
      </c>
      <c r="H435" t="s">
        <v>9</v>
      </c>
    </row>
    <row r="436" spans="1:8" x14ac:dyDescent="0.45">
      <c r="A436" t="s">
        <v>10</v>
      </c>
      <c r="B436" t="s">
        <v>11</v>
      </c>
      <c r="C436" s="2">
        <v>22183.08</v>
      </c>
      <c r="D436" s="1">
        <v>45657</v>
      </c>
      <c r="E436" s="6">
        <v>32</v>
      </c>
      <c r="F436" t="s">
        <v>8</v>
      </c>
      <c r="G436" s="6">
        <v>20</v>
      </c>
      <c r="H436" t="s">
        <v>9</v>
      </c>
    </row>
    <row r="437" spans="1:8" x14ac:dyDescent="0.45">
      <c r="A437" t="s">
        <v>576</v>
      </c>
      <c r="B437" t="s">
        <v>577</v>
      </c>
      <c r="C437" s="2">
        <v>24676.840000000004</v>
      </c>
      <c r="D437" s="1">
        <v>45657</v>
      </c>
      <c r="E437" s="6">
        <v>32</v>
      </c>
      <c r="F437" t="s">
        <v>8</v>
      </c>
      <c r="G437" s="6">
        <v>20</v>
      </c>
      <c r="H437" t="s">
        <v>9</v>
      </c>
    </row>
    <row r="438" spans="1:8" x14ac:dyDescent="0.45">
      <c r="A438" t="s">
        <v>14</v>
      </c>
      <c r="B438" t="s">
        <v>15</v>
      </c>
      <c r="C438" s="2">
        <v>9941.83</v>
      </c>
      <c r="D438" s="1">
        <v>45657</v>
      </c>
      <c r="E438" s="6">
        <v>32</v>
      </c>
      <c r="F438" t="s">
        <v>8</v>
      </c>
      <c r="G438" s="6">
        <v>20</v>
      </c>
      <c r="H438" t="s">
        <v>9</v>
      </c>
    </row>
    <row r="439" spans="1:8" x14ac:dyDescent="0.45">
      <c r="A439" t="s">
        <v>16</v>
      </c>
      <c r="B439" t="s">
        <v>17</v>
      </c>
      <c r="C439" s="2">
        <v>53562.720000000008</v>
      </c>
      <c r="D439" s="1">
        <v>45657</v>
      </c>
      <c r="E439" s="6">
        <v>32</v>
      </c>
      <c r="F439" t="s">
        <v>8</v>
      </c>
      <c r="G439" s="6">
        <v>20</v>
      </c>
      <c r="H439" t="s">
        <v>9</v>
      </c>
    </row>
    <row r="440" spans="1:8" x14ac:dyDescent="0.45">
      <c r="A440" t="s">
        <v>18</v>
      </c>
      <c r="B440" t="s">
        <v>19</v>
      </c>
      <c r="C440" s="2">
        <v>6291.66</v>
      </c>
      <c r="D440" s="1">
        <v>45657</v>
      </c>
      <c r="E440" s="6">
        <v>32</v>
      </c>
      <c r="F440" t="s">
        <v>8</v>
      </c>
      <c r="G440" s="6">
        <v>20</v>
      </c>
      <c r="H440" t="s">
        <v>9</v>
      </c>
    </row>
    <row r="441" spans="1:8" x14ac:dyDescent="0.45">
      <c r="A441" t="s">
        <v>20</v>
      </c>
      <c r="B441" t="s">
        <v>21</v>
      </c>
      <c r="C441" s="2">
        <v>1289.9399999999998</v>
      </c>
      <c r="D441" s="1">
        <v>45657</v>
      </c>
      <c r="E441" s="6">
        <v>32</v>
      </c>
      <c r="F441" t="s">
        <v>8</v>
      </c>
      <c r="G441" s="6">
        <v>20</v>
      </c>
      <c r="H441" t="s">
        <v>9</v>
      </c>
    </row>
    <row r="442" spans="1:8" x14ac:dyDescent="0.45">
      <c r="A442" t="s">
        <v>22</v>
      </c>
      <c r="B442" t="s">
        <v>23</v>
      </c>
      <c r="C442" s="2">
        <v>196.71000000000004</v>
      </c>
      <c r="D442" s="1">
        <v>45657</v>
      </c>
      <c r="E442" s="6">
        <v>32</v>
      </c>
      <c r="F442" t="s">
        <v>8</v>
      </c>
      <c r="G442" s="6">
        <v>20</v>
      </c>
      <c r="H442" t="s">
        <v>9</v>
      </c>
    </row>
    <row r="443" spans="1:8" x14ac:dyDescent="0.45">
      <c r="A443" t="s">
        <v>24</v>
      </c>
      <c r="B443" t="s">
        <v>25</v>
      </c>
      <c r="C443" s="2">
        <v>18280</v>
      </c>
      <c r="D443" s="1">
        <v>45657</v>
      </c>
      <c r="E443" s="6">
        <v>32</v>
      </c>
      <c r="F443" t="s">
        <v>8</v>
      </c>
      <c r="G443" s="6">
        <v>20</v>
      </c>
      <c r="H443" t="s">
        <v>9</v>
      </c>
    </row>
    <row r="444" spans="1:8" x14ac:dyDescent="0.45">
      <c r="A444" t="s">
        <v>26</v>
      </c>
      <c r="B444" t="s">
        <v>27</v>
      </c>
      <c r="C444" s="2">
        <v>15387.16</v>
      </c>
      <c r="D444" s="1">
        <v>45657</v>
      </c>
      <c r="E444" s="6">
        <v>32</v>
      </c>
      <c r="F444" t="s">
        <v>8</v>
      </c>
      <c r="G444" s="6">
        <v>20</v>
      </c>
      <c r="H444" t="s">
        <v>9</v>
      </c>
    </row>
    <row r="445" spans="1:8" x14ac:dyDescent="0.45">
      <c r="A445" t="s">
        <v>28</v>
      </c>
      <c r="B445" t="s">
        <v>29</v>
      </c>
      <c r="C445" s="2">
        <v>28492.37</v>
      </c>
      <c r="D445" s="1">
        <v>45657</v>
      </c>
      <c r="E445" s="6">
        <v>32</v>
      </c>
      <c r="F445" t="s">
        <v>8</v>
      </c>
      <c r="G445" s="6">
        <v>20</v>
      </c>
      <c r="H445" t="s">
        <v>9</v>
      </c>
    </row>
    <row r="446" spans="1:8" x14ac:dyDescent="0.45">
      <c r="A446" t="s">
        <v>30</v>
      </c>
      <c r="B446" t="s">
        <v>31</v>
      </c>
      <c r="C446" s="2">
        <v>5343.01</v>
      </c>
      <c r="D446" s="1">
        <v>45657</v>
      </c>
      <c r="E446" s="6">
        <v>32</v>
      </c>
      <c r="F446" t="s">
        <v>8</v>
      </c>
      <c r="G446" s="6">
        <v>20</v>
      </c>
      <c r="H446" t="s">
        <v>9</v>
      </c>
    </row>
    <row r="447" spans="1:8" x14ac:dyDescent="0.45">
      <c r="A447" t="s">
        <v>32</v>
      </c>
      <c r="B447" t="s">
        <v>33</v>
      </c>
      <c r="C447" s="2">
        <v>9258.17</v>
      </c>
      <c r="D447" s="1">
        <v>45657</v>
      </c>
      <c r="E447" s="6">
        <v>32</v>
      </c>
      <c r="F447" t="s">
        <v>8</v>
      </c>
      <c r="G447" s="6">
        <v>20</v>
      </c>
      <c r="H447" t="s">
        <v>9</v>
      </c>
    </row>
    <row r="448" spans="1:8" x14ac:dyDescent="0.45">
      <c r="A448" t="s">
        <v>34</v>
      </c>
      <c r="B448" t="s">
        <v>35</v>
      </c>
      <c r="C448" s="2">
        <v>1005</v>
      </c>
      <c r="D448" s="1">
        <v>45657</v>
      </c>
      <c r="E448" s="6">
        <v>32</v>
      </c>
      <c r="F448" t="s">
        <v>8</v>
      </c>
      <c r="G448" s="6">
        <v>20</v>
      </c>
      <c r="H448" t="s">
        <v>9</v>
      </c>
    </row>
    <row r="449" spans="1:8" x14ac:dyDescent="0.45">
      <c r="A449" t="s">
        <v>36</v>
      </c>
      <c r="B449" t="s">
        <v>37</v>
      </c>
      <c r="C449" s="2">
        <v>132431.22999999998</v>
      </c>
      <c r="D449" s="1">
        <v>45657</v>
      </c>
      <c r="E449" s="6">
        <v>32</v>
      </c>
      <c r="F449" t="s">
        <v>8</v>
      </c>
      <c r="G449" s="6">
        <v>20</v>
      </c>
      <c r="H449" t="s">
        <v>9</v>
      </c>
    </row>
    <row r="450" spans="1:8" x14ac:dyDescent="0.45">
      <c r="A450" t="s">
        <v>38</v>
      </c>
      <c r="B450" t="s">
        <v>39</v>
      </c>
      <c r="C450" s="2">
        <v>20776</v>
      </c>
      <c r="D450" s="1">
        <v>45657</v>
      </c>
      <c r="E450" s="6">
        <v>32</v>
      </c>
      <c r="F450" t="s">
        <v>8</v>
      </c>
      <c r="G450" s="6">
        <v>20</v>
      </c>
      <c r="H450" t="s">
        <v>9</v>
      </c>
    </row>
    <row r="451" spans="1:8" x14ac:dyDescent="0.45">
      <c r="A451" t="s">
        <v>40</v>
      </c>
      <c r="B451" t="s">
        <v>41</v>
      </c>
      <c r="C451" s="2">
        <v>348</v>
      </c>
      <c r="D451" s="1">
        <v>45657</v>
      </c>
      <c r="E451" s="6">
        <v>32</v>
      </c>
      <c r="F451" t="s">
        <v>8</v>
      </c>
      <c r="G451" s="6">
        <v>20</v>
      </c>
      <c r="H451" t="s">
        <v>9</v>
      </c>
    </row>
    <row r="452" spans="1:8" x14ac:dyDescent="0.45">
      <c r="A452" t="s">
        <v>42</v>
      </c>
      <c r="B452" t="s">
        <v>43</v>
      </c>
      <c r="C452" s="2">
        <v>6300</v>
      </c>
      <c r="D452" s="1">
        <v>45657</v>
      </c>
      <c r="E452" s="6">
        <v>32</v>
      </c>
      <c r="F452" t="s">
        <v>8</v>
      </c>
      <c r="G452" s="6">
        <v>20</v>
      </c>
      <c r="H452" t="s">
        <v>9</v>
      </c>
    </row>
    <row r="453" spans="1:8" x14ac:dyDescent="0.45">
      <c r="A453" t="s">
        <v>44</v>
      </c>
      <c r="B453" t="s">
        <v>45</v>
      </c>
      <c r="C453" s="2">
        <v>18343.600000000002</v>
      </c>
      <c r="D453" s="1">
        <v>45657</v>
      </c>
      <c r="E453" s="6">
        <v>16</v>
      </c>
      <c r="F453" t="s">
        <v>46</v>
      </c>
      <c r="G453" s="6">
        <v>10</v>
      </c>
      <c r="H453" t="s">
        <v>47</v>
      </c>
    </row>
    <row r="454" spans="1:8" x14ac:dyDescent="0.45">
      <c r="A454" t="s">
        <v>578</v>
      </c>
      <c r="B454" t="s">
        <v>579</v>
      </c>
      <c r="C454" s="2">
        <v>1020.8100000000001</v>
      </c>
      <c r="D454" s="1">
        <v>45657</v>
      </c>
      <c r="E454" s="6">
        <v>16</v>
      </c>
      <c r="F454" t="s">
        <v>46</v>
      </c>
      <c r="G454" s="6">
        <v>10</v>
      </c>
      <c r="H454" t="s">
        <v>47</v>
      </c>
    </row>
    <row r="455" spans="1:8" x14ac:dyDescent="0.45">
      <c r="A455" t="s">
        <v>50</v>
      </c>
      <c r="B455" t="s">
        <v>51</v>
      </c>
      <c r="C455" s="2">
        <v>25124.239999999998</v>
      </c>
      <c r="D455" s="1">
        <v>45657</v>
      </c>
      <c r="E455" s="6">
        <v>16</v>
      </c>
      <c r="F455" t="s">
        <v>46</v>
      </c>
      <c r="G455" s="6">
        <v>10</v>
      </c>
      <c r="H455" t="s">
        <v>47</v>
      </c>
    </row>
    <row r="456" spans="1:8" x14ac:dyDescent="0.45">
      <c r="A456" t="s">
        <v>52</v>
      </c>
      <c r="B456" t="s">
        <v>53</v>
      </c>
      <c r="C456" s="2">
        <v>15800.87</v>
      </c>
      <c r="D456" s="1">
        <v>45657</v>
      </c>
      <c r="E456" s="6">
        <v>16</v>
      </c>
      <c r="F456" t="s">
        <v>46</v>
      </c>
      <c r="G456" s="6">
        <v>10</v>
      </c>
      <c r="H456" t="s">
        <v>47</v>
      </c>
    </row>
    <row r="457" spans="1:8" x14ac:dyDescent="0.45">
      <c r="A457" t="s">
        <v>54</v>
      </c>
      <c r="B457" t="s">
        <v>55</v>
      </c>
      <c r="C457" s="2">
        <v>1764.7999999999997</v>
      </c>
      <c r="D457" s="1">
        <v>45657</v>
      </c>
      <c r="E457" s="6">
        <v>16</v>
      </c>
      <c r="F457" t="s">
        <v>46</v>
      </c>
      <c r="G457" s="6">
        <v>10</v>
      </c>
      <c r="H457" t="s">
        <v>47</v>
      </c>
    </row>
    <row r="458" spans="1:8" x14ac:dyDescent="0.45">
      <c r="A458" t="s">
        <v>580</v>
      </c>
      <c r="B458" t="s">
        <v>581</v>
      </c>
      <c r="C458" s="2">
        <v>46435.000000000015</v>
      </c>
      <c r="D458" s="1">
        <v>45657</v>
      </c>
      <c r="E458" s="6">
        <v>16</v>
      </c>
      <c r="F458" t="s">
        <v>46</v>
      </c>
      <c r="G458" s="6">
        <v>10</v>
      </c>
      <c r="H458" t="s">
        <v>47</v>
      </c>
    </row>
    <row r="459" spans="1:8" x14ac:dyDescent="0.45">
      <c r="A459" t="s">
        <v>58</v>
      </c>
      <c r="B459" t="s">
        <v>59</v>
      </c>
      <c r="C459" s="2">
        <v>97637.775999999998</v>
      </c>
      <c r="D459" s="1">
        <v>45657</v>
      </c>
      <c r="E459" s="6">
        <v>16</v>
      </c>
      <c r="F459" t="s">
        <v>46</v>
      </c>
      <c r="G459" s="6">
        <v>10</v>
      </c>
      <c r="H459" t="s">
        <v>47</v>
      </c>
    </row>
    <row r="460" spans="1:8" x14ac:dyDescent="0.45">
      <c r="A460" t="s">
        <v>60</v>
      </c>
      <c r="B460" t="s">
        <v>61</v>
      </c>
      <c r="C460" s="2">
        <v>262121.14000000042</v>
      </c>
      <c r="D460" s="1">
        <v>45657</v>
      </c>
      <c r="E460" s="6">
        <v>101</v>
      </c>
      <c r="F460" t="s">
        <v>62</v>
      </c>
      <c r="G460" s="6">
        <v>50</v>
      </c>
      <c r="H460" t="s">
        <v>63</v>
      </c>
    </row>
    <row r="461" spans="1:8" x14ac:dyDescent="0.45">
      <c r="A461" t="s">
        <v>64</v>
      </c>
      <c r="B461" t="s">
        <v>65</v>
      </c>
      <c r="C461" s="2">
        <v>429.93999999999994</v>
      </c>
      <c r="D461" s="1">
        <v>45657</v>
      </c>
      <c r="E461" s="6">
        <v>130</v>
      </c>
      <c r="F461" t="s">
        <v>66</v>
      </c>
      <c r="G461" s="6">
        <v>80</v>
      </c>
      <c r="H461" t="s">
        <v>67</v>
      </c>
    </row>
    <row r="462" spans="1:8" x14ac:dyDescent="0.45">
      <c r="A462" t="s">
        <v>68</v>
      </c>
      <c r="B462" t="s">
        <v>69</v>
      </c>
      <c r="C462" s="2">
        <v>-158276.69000000003</v>
      </c>
      <c r="D462" s="1">
        <v>45657</v>
      </c>
      <c r="E462" s="6">
        <v>246</v>
      </c>
      <c r="F462" t="s">
        <v>70</v>
      </c>
      <c r="G462" s="6">
        <v>220</v>
      </c>
      <c r="H462" t="s">
        <v>71</v>
      </c>
    </row>
    <row r="463" spans="1:8" x14ac:dyDescent="0.45">
      <c r="A463" t="s">
        <v>72</v>
      </c>
      <c r="B463" t="s">
        <v>73</v>
      </c>
      <c r="C463" s="2">
        <v>158730.17999999996</v>
      </c>
      <c r="D463" s="1">
        <v>45657</v>
      </c>
      <c r="E463" s="6">
        <v>101</v>
      </c>
      <c r="F463" t="s">
        <v>62</v>
      </c>
      <c r="G463" s="6">
        <v>50</v>
      </c>
      <c r="H463" t="s">
        <v>63</v>
      </c>
    </row>
    <row r="464" spans="1:8" x14ac:dyDescent="0.45">
      <c r="A464" t="s">
        <v>74</v>
      </c>
      <c r="B464" t="s">
        <v>75</v>
      </c>
      <c r="C464" s="2">
        <v>-208882.92000000036</v>
      </c>
      <c r="D464" s="1">
        <v>45657</v>
      </c>
      <c r="E464" s="6">
        <v>246</v>
      </c>
      <c r="F464" t="s">
        <v>70</v>
      </c>
      <c r="G464" s="6">
        <v>220</v>
      </c>
      <c r="H464" t="s">
        <v>71</v>
      </c>
    </row>
    <row r="465" spans="1:8" x14ac:dyDescent="0.45">
      <c r="A465" t="s">
        <v>76</v>
      </c>
      <c r="B465" t="s">
        <v>77</v>
      </c>
      <c r="C465" s="2">
        <v>194435.75999999998</v>
      </c>
      <c r="D465" s="1">
        <v>45657</v>
      </c>
      <c r="E465" s="6">
        <v>101</v>
      </c>
      <c r="F465" t="s">
        <v>62</v>
      </c>
      <c r="G465" s="6">
        <v>50</v>
      </c>
      <c r="H465" t="s">
        <v>63</v>
      </c>
    </row>
    <row r="466" spans="1:8" x14ac:dyDescent="0.45">
      <c r="A466" t="s">
        <v>82</v>
      </c>
      <c r="B466" t="s">
        <v>83</v>
      </c>
      <c r="C466" s="2">
        <v>-86145.029999999926</v>
      </c>
      <c r="D466" s="1">
        <v>45657</v>
      </c>
      <c r="E466" s="6">
        <v>246</v>
      </c>
      <c r="F466" t="s">
        <v>70</v>
      </c>
      <c r="G466" s="6">
        <v>220</v>
      </c>
      <c r="H466" t="s">
        <v>71</v>
      </c>
    </row>
    <row r="467" spans="1:8" x14ac:dyDescent="0.45">
      <c r="A467" t="s">
        <v>84</v>
      </c>
      <c r="B467" t="s">
        <v>85</v>
      </c>
      <c r="C467" s="2">
        <v>-70622.230000000025</v>
      </c>
      <c r="D467" s="1">
        <v>45657</v>
      </c>
      <c r="E467" s="6">
        <v>246</v>
      </c>
      <c r="F467" t="s">
        <v>70</v>
      </c>
      <c r="G467" s="6">
        <v>220</v>
      </c>
      <c r="H467" t="s">
        <v>71</v>
      </c>
    </row>
    <row r="468" spans="1:8" x14ac:dyDescent="0.45">
      <c r="A468" t="s">
        <v>86</v>
      </c>
      <c r="B468" t="s">
        <v>87</v>
      </c>
      <c r="C468" s="2">
        <v>135818.30999999997</v>
      </c>
      <c r="D468" s="1">
        <v>45657</v>
      </c>
      <c r="E468" s="6">
        <v>101</v>
      </c>
      <c r="F468" t="s">
        <v>62</v>
      </c>
      <c r="G468" s="6">
        <v>50</v>
      </c>
      <c r="H468" t="s">
        <v>63</v>
      </c>
    </row>
    <row r="469" spans="1:8" x14ac:dyDescent="0.45">
      <c r="A469" t="s">
        <v>88</v>
      </c>
      <c r="B469" t="s">
        <v>89</v>
      </c>
      <c r="C469" s="2">
        <v>-2949.1899999999991</v>
      </c>
      <c r="D469" s="1">
        <v>45657</v>
      </c>
      <c r="E469" s="6">
        <v>246</v>
      </c>
      <c r="F469" t="s">
        <v>70</v>
      </c>
      <c r="G469" s="6">
        <v>220</v>
      </c>
      <c r="H469" t="s">
        <v>71</v>
      </c>
    </row>
    <row r="470" spans="1:8" x14ac:dyDescent="0.45">
      <c r="A470" t="s">
        <v>90</v>
      </c>
      <c r="B470" t="s">
        <v>91</v>
      </c>
      <c r="C470" s="2">
        <v>-4698.679999999993</v>
      </c>
      <c r="D470" s="1">
        <v>45657</v>
      </c>
      <c r="E470" s="6">
        <v>246</v>
      </c>
      <c r="F470" t="s">
        <v>70</v>
      </c>
      <c r="G470" s="6">
        <v>50</v>
      </c>
      <c r="H470" t="s">
        <v>63</v>
      </c>
    </row>
    <row r="471" spans="1:8" x14ac:dyDescent="0.45">
      <c r="A471" t="s">
        <v>92</v>
      </c>
      <c r="B471" t="s">
        <v>93</v>
      </c>
      <c r="C471" s="2">
        <v>-20404.999999999993</v>
      </c>
      <c r="D471" s="1">
        <v>45657</v>
      </c>
      <c r="E471" s="6">
        <v>246</v>
      </c>
      <c r="F471" t="s">
        <v>70</v>
      </c>
      <c r="G471" s="6">
        <v>220</v>
      </c>
      <c r="H471" t="s">
        <v>71</v>
      </c>
    </row>
    <row r="472" spans="1:8" x14ac:dyDescent="0.45">
      <c r="A472" t="s">
        <v>94</v>
      </c>
      <c r="B472" t="s">
        <v>95</v>
      </c>
      <c r="C472" s="2">
        <v>-40392.069999999963</v>
      </c>
      <c r="D472" s="1">
        <v>45657</v>
      </c>
      <c r="E472" s="6">
        <v>246</v>
      </c>
      <c r="F472" t="s">
        <v>70</v>
      </c>
      <c r="G472" s="6">
        <v>220</v>
      </c>
      <c r="H472" t="s">
        <v>71</v>
      </c>
    </row>
    <row r="473" spans="1:8" x14ac:dyDescent="0.45">
      <c r="A473" t="s">
        <v>96</v>
      </c>
      <c r="B473" t="s">
        <v>97</v>
      </c>
      <c r="C473" s="2">
        <v>51243.219999999979</v>
      </c>
      <c r="D473" s="1">
        <v>45657</v>
      </c>
      <c r="E473" s="6">
        <v>101</v>
      </c>
      <c r="F473" t="s">
        <v>62</v>
      </c>
      <c r="G473" s="6">
        <v>50</v>
      </c>
      <c r="H473" t="s">
        <v>63</v>
      </c>
    </row>
    <row r="474" spans="1:8" x14ac:dyDescent="0.45">
      <c r="A474" t="s">
        <v>98</v>
      </c>
      <c r="B474" t="s">
        <v>99</v>
      </c>
      <c r="C474" s="2">
        <v>-20195.839999999982</v>
      </c>
      <c r="D474" s="1">
        <v>45657</v>
      </c>
      <c r="E474" s="6">
        <v>246</v>
      </c>
      <c r="F474" t="s">
        <v>70</v>
      </c>
      <c r="G474" s="6">
        <v>50</v>
      </c>
      <c r="H474" t="s">
        <v>63</v>
      </c>
    </row>
    <row r="475" spans="1:8" x14ac:dyDescent="0.45">
      <c r="A475" t="s">
        <v>100</v>
      </c>
      <c r="B475" t="s">
        <v>101</v>
      </c>
      <c r="C475" s="2">
        <v>48203.789999999994</v>
      </c>
      <c r="D475" s="1">
        <v>45657</v>
      </c>
      <c r="E475" s="6">
        <v>130</v>
      </c>
      <c r="F475" t="s">
        <v>66</v>
      </c>
      <c r="G475" s="6">
        <v>50</v>
      </c>
      <c r="H475" t="s">
        <v>63</v>
      </c>
    </row>
    <row r="476" spans="1:8" x14ac:dyDescent="0.45">
      <c r="A476" t="s">
        <v>102</v>
      </c>
      <c r="B476" t="s">
        <v>103</v>
      </c>
      <c r="C476" s="2">
        <v>-37839.769999999997</v>
      </c>
      <c r="D476" s="1">
        <v>45657</v>
      </c>
      <c r="E476" s="6">
        <v>246</v>
      </c>
      <c r="F476" t="s">
        <v>70</v>
      </c>
      <c r="G476" s="6">
        <v>220</v>
      </c>
      <c r="H476" t="s">
        <v>71</v>
      </c>
    </row>
    <row r="477" spans="1:8" x14ac:dyDescent="0.45">
      <c r="A477" t="s">
        <v>104</v>
      </c>
      <c r="B477" t="s">
        <v>105</v>
      </c>
      <c r="C477" s="2">
        <v>-30221.270000000011</v>
      </c>
      <c r="D477" s="1">
        <v>45657</v>
      </c>
      <c r="E477" s="6">
        <v>246</v>
      </c>
      <c r="F477" t="s">
        <v>70</v>
      </c>
      <c r="G477" s="6">
        <v>220</v>
      </c>
      <c r="H477" t="s">
        <v>71</v>
      </c>
    </row>
    <row r="478" spans="1:8" x14ac:dyDescent="0.45">
      <c r="A478" t="s">
        <v>106</v>
      </c>
      <c r="B478" t="s">
        <v>107</v>
      </c>
      <c r="C478" s="2">
        <v>-2056.3000000000002</v>
      </c>
      <c r="D478" s="1">
        <v>45657</v>
      </c>
      <c r="E478" s="6">
        <v>246</v>
      </c>
      <c r="F478" t="s">
        <v>70</v>
      </c>
      <c r="G478" s="6">
        <v>220</v>
      </c>
      <c r="H478" t="s">
        <v>71</v>
      </c>
    </row>
    <row r="479" spans="1:8" x14ac:dyDescent="0.45">
      <c r="A479" t="s">
        <v>108</v>
      </c>
      <c r="B479" t="s">
        <v>109</v>
      </c>
      <c r="C479" s="2">
        <v>-320.44</v>
      </c>
      <c r="D479" s="1">
        <v>45657</v>
      </c>
      <c r="E479" s="6">
        <v>246</v>
      </c>
      <c r="F479" t="s">
        <v>70</v>
      </c>
      <c r="G479" s="6">
        <v>220</v>
      </c>
      <c r="H479" t="s">
        <v>71</v>
      </c>
    </row>
    <row r="480" spans="1:8" x14ac:dyDescent="0.45">
      <c r="A480" t="s">
        <v>582</v>
      </c>
      <c r="B480" t="s">
        <v>583</v>
      </c>
      <c r="C480" s="2">
        <v>183.72000000000008</v>
      </c>
      <c r="D480" s="1">
        <v>45657</v>
      </c>
      <c r="E480" s="6">
        <v>130</v>
      </c>
      <c r="F480" t="s">
        <v>66</v>
      </c>
      <c r="G480" s="6">
        <v>80</v>
      </c>
      <c r="H480" t="s">
        <v>67</v>
      </c>
    </row>
    <row r="481" spans="1:8" x14ac:dyDescent="0.45">
      <c r="A481" t="s">
        <v>584</v>
      </c>
      <c r="B481" t="s">
        <v>585</v>
      </c>
      <c r="C481" s="2">
        <v>152.26000000000005</v>
      </c>
      <c r="D481" s="1">
        <v>45657</v>
      </c>
      <c r="E481" s="6">
        <v>130</v>
      </c>
      <c r="F481" t="s">
        <v>66</v>
      </c>
      <c r="G481" s="6">
        <v>80</v>
      </c>
      <c r="H481" t="s">
        <v>67</v>
      </c>
    </row>
    <row r="482" spans="1:8" x14ac:dyDescent="0.45">
      <c r="A482" t="s">
        <v>586</v>
      </c>
      <c r="B482" t="s">
        <v>587</v>
      </c>
      <c r="C482" s="2">
        <v>-100.6</v>
      </c>
      <c r="D482" s="1">
        <v>45657</v>
      </c>
      <c r="E482" s="6">
        <v>246</v>
      </c>
      <c r="F482" t="s">
        <v>70</v>
      </c>
      <c r="G482" s="6">
        <v>220</v>
      </c>
      <c r="H482" t="s">
        <v>71</v>
      </c>
    </row>
    <row r="483" spans="1:8" x14ac:dyDescent="0.45">
      <c r="A483" t="s">
        <v>110</v>
      </c>
      <c r="B483" t="s">
        <v>111</v>
      </c>
      <c r="C483" s="2">
        <v>114353.34</v>
      </c>
      <c r="D483" s="1">
        <v>45657</v>
      </c>
      <c r="E483" s="6">
        <v>101</v>
      </c>
      <c r="F483" t="s">
        <v>62</v>
      </c>
      <c r="G483" s="6">
        <v>60</v>
      </c>
      <c r="H483" t="s">
        <v>112</v>
      </c>
    </row>
    <row r="484" spans="1:8" x14ac:dyDescent="0.45">
      <c r="A484" t="s">
        <v>113</v>
      </c>
      <c r="B484" t="s">
        <v>114</v>
      </c>
      <c r="C484" s="2">
        <v>2222</v>
      </c>
      <c r="D484" s="1">
        <v>45657</v>
      </c>
      <c r="E484" s="6">
        <v>101</v>
      </c>
      <c r="F484" t="s">
        <v>62</v>
      </c>
      <c r="G484" s="6">
        <v>60</v>
      </c>
      <c r="H484" t="s">
        <v>112</v>
      </c>
    </row>
    <row r="485" spans="1:8" x14ac:dyDescent="0.45">
      <c r="A485" t="s">
        <v>115</v>
      </c>
      <c r="B485" t="s">
        <v>116</v>
      </c>
      <c r="C485" s="2">
        <v>1099.6200000000001</v>
      </c>
      <c r="D485" s="1">
        <v>45657</v>
      </c>
      <c r="E485" s="6">
        <v>101</v>
      </c>
      <c r="F485" t="s">
        <v>62</v>
      </c>
      <c r="G485" s="6">
        <v>60</v>
      </c>
      <c r="H485" t="s">
        <v>112</v>
      </c>
    </row>
    <row r="486" spans="1:8" x14ac:dyDescent="0.45">
      <c r="A486" t="s">
        <v>117</v>
      </c>
      <c r="B486" t="s">
        <v>118</v>
      </c>
      <c r="C486" s="2">
        <v>562.63000000000011</v>
      </c>
      <c r="D486" s="1">
        <v>45657</v>
      </c>
      <c r="E486" s="6">
        <v>101</v>
      </c>
      <c r="F486" t="s">
        <v>62</v>
      </c>
      <c r="G486" s="6">
        <v>60</v>
      </c>
      <c r="H486" t="s">
        <v>112</v>
      </c>
    </row>
    <row r="487" spans="1:8" x14ac:dyDescent="0.45">
      <c r="A487" t="s">
        <v>119</v>
      </c>
      <c r="B487" t="s">
        <v>120</v>
      </c>
      <c r="C487" s="2">
        <v>32721.370000000003</v>
      </c>
      <c r="D487" s="1">
        <v>45657</v>
      </c>
      <c r="E487" s="6">
        <v>101</v>
      </c>
      <c r="F487" t="s">
        <v>62</v>
      </c>
      <c r="G487" s="6">
        <v>60</v>
      </c>
      <c r="H487" t="s">
        <v>112</v>
      </c>
    </row>
    <row r="488" spans="1:8" x14ac:dyDescent="0.45">
      <c r="A488" t="s">
        <v>588</v>
      </c>
      <c r="B488" t="s">
        <v>589</v>
      </c>
      <c r="C488" s="2">
        <v>430.17</v>
      </c>
      <c r="D488" s="1">
        <v>45657</v>
      </c>
      <c r="E488" s="6">
        <v>101</v>
      </c>
      <c r="F488" t="s">
        <v>62</v>
      </c>
      <c r="G488" s="6">
        <v>50</v>
      </c>
      <c r="H488" t="s">
        <v>63</v>
      </c>
    </row>
    <row r="489" spans="1:8" x14ac:dyDescent="0.45">
      <c r="A489" t="s">
        <v>121</v>
      </c>
      <c r="B489" t="s">
        <v>122</v>
      </c>
      <c r="C489" s="2">
        <v>480.74</v>
      </c>
      <c r="D489" s="1">
        <v>45657</v>
      </c>
      <c r="E489" s="6">
        <v>101</v>
      </c>
      <c r="F489" t="s">
        <v>62</v>
      </c>
      <c r="G489" s="6">
        <v>60</v>
      </c>
      <c r="H489" t="s">
        <v>112</v>
      </c>
    </row>
    <row r="490" spans="1:8" x14ac:dyDescent="0.45">
      <c r="A490" t="s">
        <v>125</v>
      </c>
      <c r="B490" t="s">
        <v>126</v>
      </c>
      <c r="C490" s="2">
        <v>33666.67</v>
      </c>
      <c r="D490" s="1">
        <v>45657</v>
      </c>
      <c r="E490" s="6">
        <v>101</v>
      </c>
      <c r="F490" t="s">
        <v>62</v>
      </c>
      <c r="G490" s="6">
        <v>60</v>
      </c>
      <c r="H490" t="s">
        <v>112</v>
      </c>
    </row>
    <row r="491" spans="1:8" x14ac:dyDescent="0.45">
      <c r="A491" t="s">
        <v>127</v>
      </c>
      <c r="B491" t="s">
        <v>128</v>
      </c>
      <c r="C491" s="2">
        <v>25333.399999999987</v>
      </c>
      <c r="D491" s="1">
        <v>45657</v>
      </c>
      <c r="E491" s="6">
        <v>101</v>
      </c>
      <c r="F491" t="s">
        <v>62</v>
      </c>
      <c r="G491" s="6">
        <v>60</v>
      </c>
      <c r="H491" t="s">
        <v>112</v>
      </c>
    </row>
    <row r="492" spans="1:8" x14ac:dyDescent="0.45">
      <c r="A492" t="s">
        <v>545</v>
      </c>
      <c r="B492" t="s">
        <v>546</v>
      </c>
      <c r="C492" s="2">
        <v>36467.120000000003</v>
      </c>
      <c r="D492" s="1">
        <v>45657</v>
      </c>
      <c r="E492" s="6">
        <v>101</v>
      </c>
      <c r="F492" t="s">
        <v>62</v>
      </c>
      <c r="G492" s="6">
        <v>60</v>
      </c>
      <c r="H492" t="s">
        <v>112</v>
      </c>
    </row>
    <row r="493" spans="1:8" x14ac:dyDescent="0.45">
      <c r="A493" t="s">
        <v>129</v>
      </c>
      <c r="B493" t="s">
        <v>130</v>
      </c>
      <c r="C493" s="2">
        <v>702399.96</v>
      </c>
      <c r="D493" s="1">
        <v>45657</v>
      </c>
      <c r="E493" s="6">
        <v>91</v>
      </c>
      <c r="F493" t="s">
        <v>131</v>
      </c>
      <c r="G493" s="6">
        <v>36</v>
      </c>
      <c r="H493" t="s">
        <v>132</v>
      </c>
    </row>
    <row r="494" spans="1:8" x14ac:dyDescent="0.45">
      <c r="A494" t="s">
        <v>133</v>
      </c>
      <c r="B494" t="s">
        <v>134</v>
      </c>
      <c r="C494" s="2">
        <v>18938.600000000006</v>
      </c>
      <c r="D494" s="1">
        <v>45657</v>
      </c>
      <c r="E494" s="6">
        <v>135</v>
      </c>
      <c r="F494" t="s">
        <v>135</v>
      </c>
      <c r="G494" s="6">
        <v>60</v>
      </c>
      <c r="H494" t="s">
        <v>112</v>
      </c>
    </row>
    <row r="495" spans="1:8" x14ac:dyDescent="0.45">
      <c r="A495" t="s">
        <v>147</v>
      </c>
      <c r="B495" t="s">
        <v>148</v>
      </c>
      <c r="C495" s="2">
        <v>-465199.44000000076</v>
      </c>
      <c r="D495" s="1">
        <v>45657</v>
      </c>
      <c r="E495" s="6">
        <v>246</v>
      </c>
      <c r="F495" t="s">
        <v>70</v>
      </c>
      <c r="G495" s="6">
        <v>210</v>
      </c>
      <c r="H495" t="s">
        <v>149</v>
      </c>
    </row>
    <row r="496" spans="1:8" x14ac:dyDescent="0.45">
      <c r="A496" t="s">
        <v>150</v>
      </c>
      <c r="B496" t="s">
        <v>151</v>
      </c>
      <c r="C496" s="2">
        <v>-10734.819999999998</v>
      </c>
      <c r="D496" s="1">
        <v>45657</v>
      </c>
      <c r="E496" s="6">
        <v>246</v>
      </c>
      <c r="F496" t="s">
        <v>70</v>
      </c>
      <c r="G496" s="6">
        <v>210</v>
      </c>
      <c r="H496" t="s">
        <v>149</v>
      </c>
    </row>
    <row r="497" spans="1:8" x14ac:dyDescent="0.45">
      <c r="A497" t="s">
        <v>152</v>
      </c>
      <c r="B497" t="s">
        <v>153</v>
      </c>
      <c r="C497" s="2">
        <v>-3293.0700000000024</v>
      </c>
      <c r="D497" s="1">
        <v>45657</v>
      </c>
      <c r="E497" s="6">
        <v>246</v>
      </c>
      <c r="F497" t="s">
        <v>70</v>
      </c>
      <c r="G497" s="6">
        <v>230</v>
      </c>
      <c r="H497" t="s">
        <v>154</v>
      </c>
    </row>
    <row r="498" spans="1:8" x14ac:dyDescent="0.45">
      <c r="A498" t="s">
        <v>155</v>
      </c>
      <c r="B498" t="s">
        <v>156</v>
      </c>
      <c r="C498" s="2">
        <v>-24416</v>
      </c>
      <c r="D498" s="1">
        <v>45657</v>
      </c>
      <c r="E498" s="6">
        <v>246</v>
      </c>
      <c r="F498" t="s">
        <v>70</v>
      </c>
      <c r="G498" s="6">
        <v>240</v>
      </c>
      <c r="H498" t="s">
        <v>157</v>
      </c>
    </row>
    <row r="499" spans="1:8" x14ac:dyDescent="0.45">
      <c r="A499" t="s">
        <v>158</v>
      </c>
      <c r="B499" t="s">
        <v>159</v>
      </c>
      <c r="C499" s="2">
        <v>-16560.400000000005</v>
      </c>
      <c r="D499" s="1">
        <v>45657</v>
      </c>
      <c r="E499" s="6">
        <v>246</v>
      </c>
      <c r="F499" t="s">
        <v>70</v>
      </c>
      <c r="G499" s="6">
        <v>230</v>
      </c>
      <c r="H499" t="s">
        <v>154</v>
      </c>
    </row>
    <row r="500" spans="1:8" x14ac:dyDescent="0.45">
      <c r="A500" t="s">
        <v>160</v>
      </c>
      <c r="B500" t="s">
        <v>161</v>
      </c>
      <c r="C500" s="2">
        <v>-931.30000000000018</v>
      </c>
      <c r="D500" s="1">
        <v>45657</v>
      </c>
      <c r="E500" s="6">
        <v>246</v>
      </c>
      <c r="F500" t="s">
        <v>70</v>
      </c>
      <c r="G500" s="6">
        <v>230</v>
      </c>
      <c r="H500" t="s">
        <v>154</v>
      </c>
    </row>
    <row r="501" spans="1:8" x14ac:dyDescent="0.45">
      <c r="A501" t="s">
        <v>547</v>
      </c>
      <c r="B501" t="s">
        <v>548</v>
      </c>
      <c r="C501" s="2">
        <v>-966.43000000000052</v>
      </c>
      <c r="D501" s="1">
        <v>45657</v>
      </c>
      <c r="E501" s="6">
        <v>246</v>
      </c>
      <c r="F501" t="s">
        <v>70</v>
      </c>
      <c r="G501" s="6">
        <v>240</v>
      </c>
      <c r="H501" t="s">
        <v>157</v>
      </c>
    </row>
    <row r="502" spans="1:8" x14ac:dyDescent="0.45">
      <c r="A502" t="s">
        <v>162</v>
      </c>
      <c r="B502" t="s">
        <v>163</v>
      </c>
      <c r="C502" s="2">
        <v>-2509.81</v>
      </c>
      <c r="D502" s="1">
        <v>45657</v>
      </c>
      <c r="E502" s="6">
        <v>246</v>
      </c>
      <c r="F502" t="s">
        <v>70</v>
      </c>
      <c r="G502" s="6">
        <v>230</v>
      </c>
      <c r="H502" t="s">
        <v>154</v>
      </c>
    </row>
    <row r="503" spans="1:8" x14ac:dyDescent="0.45">
      <c r="A503" t="s">
        <v>164</v>
      </c>
      <c r="B503" t="s">
        <v>165</v>
      </c>
      <c r="C503" s="2">
        <v>-970.46</v>
      </c>
      <c r="D503" s="1">
        <v>45657</v>
      </c>
      <c r="E503" s="6">
        <v>246</v>
      </c>
      <c r="F503" t="s">
        <v>70</v>
      </c>
      <c r="G503" s="6">
        <v>230</v>
      </c>
      <c r="H503" t="s">
        <v>154</v>
      </c>
    </row>
    <row r="504" spans="1:8" x14ac:dyDescent="0.45">
      <c r="A504" t="s">
        <v>166</v>
      </c>
      <c r="B504" t="s">
        <v>167</v>
      </c>
      <c r="C504" s="2">
        <v>-3565</v>
      </c>
      <c r="D504" s="1">
        <v>45657</v>
      </c>
      <c r="E504" s="6">
        <v>246</v>
      </c>
      <c r="F504" t="s">
        <v>70</v>
      </c>
      <c r="G504" s="6">
        <v>240</v>
      </c>
      <c r="H504" t="s">
        <v>157</v>
      </c>
    </row>
    <row r="505" spans="1:8" x14ac:dyDescent="0.45">
      <c r="A505" t="s">
        <v>549</v>
      </c>
      <c r="B505" t="s">
        <v>550</v>
      </c>
      <c r="C505" s="2">
        <v>-462.56999999999971</v>
      </c>
      <c r="D505" s="1">
        <v>45657</v>
      </c>
      <c r="E505" s="6">
        <v>246</v>
      </c>
      <c r="F505" t="s">
        <v>70</v>
      </c>
      <c r="G505" s="6">
        <v>240</v>
      </c>
      <c r="H505" t="s">
        <v>157</v>
      </c>
    </row>
    <row r="506" spans="1:8" x14ac:dyDescent="0.45">
      <c r="A506" t="s">
        <v>590</v>
      </c>
      <c r="B506" t="s">
        <v>591</v>
      </c>
      <c r="C506" s="2">
        <v>376.26</v>
      </c>
      <c r="D506" s="1">
        <v>45657</v>
      </c>
      <c r="E506" s="6">
        <v>130</v>
      </c>
      <c r="F506" t="s">
        <v>66</v>
      </c>
      <c r="G506" s="6">
        <v>60</v>
      </c>
      <c r="H506" t="s">
        <v>112</v>
      </c>
    </row>
    <row r="507" spans="1:8" x14ac:dyDescent="0.45">
      <c r="A507" t="s">
        <v>592</v>
      </c>
      <c r="B507" t="s">
        <v>593</v>
      </c>
      <c r="C507" s="2">
        <v>-75465.33</v>
      </c>
      <c r="D507" s="1">
        <v>45657</v>
      </c>
      <c r="E507" s="6">
        <v>246</v>
      </c>
      <c r="F507" t="s">
        <v>70</v>
      </c>
      <c r="G507" s="6">
        <v>220</v>
      </c>
      <c r="H507" t="s">
        <v>71</v>
      </c>
    </row>
    <row r="508" spans="1:8" x14ac:dyDescent="0.45">
      <c r="A508" t="s">
        <v>594</v>
      </c>
      <c r="B508" t="s">
        <v>595</v>
      </c>
      <c r="C508" s="2">
        <v>-28473.25</v>
      </c>
      <c r="D508" s="1">
        <v>45657</v>
      </c>
      <c r="E508" s="6">
        <v>266</v>
      </c>
      <c r="F508" t="s">
        <v>596</v>
      </c>
      <c r="G508" s="6">
        <v>180</v>
      </c>
      <c r="H508" t="s">
        <v>514</v>
      </c>
    </row>
    <row r="509" spans="1:8" x14ac:dyDescent="0.45">
      <c r="A509" t="s">
        <v>597</v>
      </c>
      <c r="B509" t="s">
        <v>598</v>
      </c>
      <c r="C509" s="2">
        <v>-4252.9800000000032</v>
      </c>
      <c r="D509" s="1">
        <v>45657</v>
      </c>
      <c r="E509" s="6">
        <v>266</v>
      </c>
      <c r="F509" t="s">
        <v>596</v>
      </c>
      <c r="G509" s="6">
        <v>180</v>
      </c>
      <c r="H509" t="s">
        <v>514</v>
      </c>
    </row>
    <row r="510" spans="1:8" x14ac:dyDescent="0.45">
      <c r="A510" t="s">
        <v>599</v>
      </c>
      <c r="B510" t="s">
        <v>600</v>
      </c>
      <c r="C510" s="2">
        <v>-13269.939999999999</v>
      </c>
      <c r="D510" s="1">
        <v>45657</v>
      </c>
      <c r="E510" s="6">
        <v>266</v>
      </c>
      <c r="F510" t="s">
        <v>596</v>
      </c>
      <c r="G510" s="6">
        <v>180</v>
      </c>
      <c r="H510" t="s">
        <v>514</v>
      </c>
    </row>
    <row r="511" spans="1:8" x14ac:dyDescent="0.45">
      <c r="A511" t="s">
        <v>601</v>
      </c>
      <c r="B511" t="s">
        <v>602</v>
      </c>
      <c r="C511" s="2">
        <v>-27486.32</v>
      </c>
      <c r="D511" s="1">
        <v>45657</v>
      </c>
      <c r="E511" s="6">
        <v>246</v>
      </c>
      <c r="F511" t="s">
        <v>70</v>
      </c>
      <c r="G511" s="6">
        <v>240</v>
      </c>
      <c r="H511" t="s">
        <v>157</v>
      </c>
    </row>
    <row r="512" spans="1:8" x14ac:dyDescent="0.45">
      <c r="A512" t="s">
        <v>603</v>
      </c>
      <c r="B512" t="s">
        <v>604</v>
      </c>
      <c r="C512" s="2">
        <v>-24534.67</v>
      </c>
      <c r="D512" s="1">
        <v>45657</v>
      </c>
      <c r="E512" s="6">
        <v>266</v>
      </c>
      <c r="F512" t="s">
        <v>596</v>
      </c>
      <c r="G512" s="6">
        <v>180</v>
      </c>
      <c r="H512" t="s">
        <v>514</v>
      </c>
    </row>
    <row r="513" spans="1:8" x14ac:dyDescent="0.45">
      <c r="A513" t="s">
        <v>605</v>
      </c>
      <c r="B513" t="s">
        <v>606</v>
      </c>
      <c r="C513" s="2">
        <v>-6932.26</v>
      </c>
      <c r="D513" s="1">
        <v>45657</v>
      </c>
      <c r="E513" s="6">
        <v>266</v>
      </c>
      <c r="F513" t="s">
        <v>596</v>
      </c>
      <c r="G513" s="6">
        <v>180</v>
      </c>
      <c r="H513" t="s">
        <v>514</v>
      </c>
    </row>
    <row r="514" spans="1:8" x14ac:dyDescent="0.45">
      <c r="A514" t="s">
        <v>607</v>
      </c>
      <c r="B514" t="s">
        <v>608</v>
      </c>
      <c r="C514" s="2">
        <v>-45747.02</v>
      </c>
      <c r="D514" s="1">
        <v>45657</v>
      </c>
      <c r="E514" s="6">
        <v>266</v>
      </c>
      <c r="F514" t="s">
        <v>596</v>
      </c>
      <c r="G514" s="6">
        <v>180</v>
      </c>
      <c r="H514" t="s">
        <v>514</v>
      </c>
    </row>
    <row r="515" spans="1:8" x14ac:dyDescent="0.45">
      <c r="A515" t="s">
        <v>180</v>
      </c>
      <c r="B515" t="s">
        <v>181</v>
      </c>
      <c r="C515" s="2">
        <v>39923.659999999989</v>
      </c>
      <c r="D515" s="1">
        <v>45657</v>
      </c>
      <c r="E515" s="6">
        <v>101</v>
      </c>
      <c r="F515" t="s">
        <v>62</v>
      </c>
      <c r="G515" s="6">
        <v>60</v>
      </c>
      <c r="H515" t="s">
        <v>112</v>
      </c>
    </row>
    <row r="516" spans="1:8" x14ac:dyDescent="0.45">
      <c r="A516" t="s">
        <v>182</v>
      </c>
      <c r="B516" t="s">
        <v>183</v>
      </c>
      <c r="C516" s="2">
        <v>-223219.58000000007</v>
      </c>
      <c r="D516" s="1">
        <v>45657</v>
      </c>
      <c r="E516" s="6">
        <v>240</v>
      </c>
      <c r="F516" t="s">
        <v>184</v>
      </c>
      <c r="G516" s="6">
        <v>170</v>
      </c>
      <c r="H516" t="s">
        <v>185</v>
      </c>
    </row>
    <row r="517" spans="1:8" x14ac:dyDescent="0.45">
      <c r="A517" t="s">
        <v>186</v>
      </c>
      <c r="B517" t="s">
        <v>187</v>
      </c>
      <c r="C517" s="2">
        <v>1249</v>
      </c>
      <c r="D517" s="1">
        <v>45657</v>
      </c>
      <c r="E517" s="6">
        <v>130</v>
      </c>
      <c r="F517" t="s">
        <v>66</v>
      </c>
      <c r="G517" s="6">
        <v>160</v>
      </c>
      <c r="H517" t="s">
        <v>188</v>
      </c>
    </row>
    <row r="518" spans="1:8" x14ac:dyDescent="0.45">
      <c r="A518" t="s">
        <v>556</v>
      </c>
      <c r="B518" t="s">
        <v>557</v>
      </c>
      <c r="C518" s="2">
        <v>-94902.13</v>
      </c>
      <c r="D518" s="1">
        <v>45657</v>
      </c>
      <c r="E518" s="6">
        <v>246</v>
      </c>
      <c r="F518" t="s">
        <v>70</v>
      </c>
      <c r="G518" s="6">
        <v>180</v>
      </c>
      <c r="H518" t="s">
        <v>514</v>
      </c>
    </row>
    <row r="519" spans="1:8" x14ac:dyDescent="0.45">
      <c r="A519" t="s">
        <v>609</v>
      </c>
      <c r="B519" t="s">
        <v>610</v>
      </c>
      <c r="C519" s="2">
        <v>-92762.81</v>
      </c>
      <c r="D519" s="1">
        <v>45657</v>
      </c>
      <c r="E519" s="6">
        <v>266</v>
      </c>
      <c r="F519" t="s">
        <v>596</v>
      </c>
      <c r="G519" s="6">
        <v>180</v>
      </c>
      <c r="H519" t="s">
        <v>514</v>
      </c>
    </row>
    <row r="520" spans="1:8" x14ac:dyDescent="0.45">
      <c r="A520" t="s">
        <v>189</v>
      </c>
      <c r="B520" t="s">
        <v>190</v>
      </c>
      <c r="C520" s="2">
        <v>-3500</v>
      </c>
      <c r="D520" s="1">
        <v>45657</v>
      </c>
      <c r="E520" s="6">
        <v>32</v>
      </c>
      <c r="F520" t="s">
        <v>8</v>
      </c>
      <c r="G520" s="6">
        <v>22</v>
      </c>
      <c r="H520" t="s">
        <v>191</v>
      </c>
    </row>
    <row r="521" spans="1:8" x14ac:dyDescent="0.45">
      <c r="A521" t="s">
        <v>192</v>
      </c>
      <c r="B521" t="s">
        <v>193</v>
      </c>
      <c r="C521" s="2">
        <v>-18541.25</v>
      </c>
      <c r="D521" s="1">
        <v>45657</v>
      </c>
      <c r="E521" s="6">
        <v>32</v>
      </c>
      <c r="F521" t="s">
        <v>8</v>
      </c>
      <c r="G521" s="6">
        <v>22</v>
      </c>
      <c r="H521" t="s">
        <v>191</v>
      </c>
    </row>
    <row r="522" spans="1:8" x14ac:dyDescent="0.45">
      <c r="A522" t="s">
        <v>515</v>
      </c>
      <c r="B522" t="s">
        <v>516</v>
      </c>
      <c r="C522" s="2">
        <v>-2294.3199999999961</v>
      </c>
      <c r="D522" s="1">
        <v>45657</v>
      </c>
      <c r="E522" s="6">
        <v>32</v>
      </c>
      <c r="F522" t="s">
        <v>8</v>
      </c>
      <c r="G522" s="6">
        <v>22</v>
      </c>
      <c r="H522" t="s">
        <v>191</v>
      </c>
    </row>
    <row r="523" spans="1:8" x14ac:dyDescent="0.45">
      <c r="A523" t="s">
        <v>196</v>
      </c>
      <c r="B523" t="s">
        <v>197</v>
      </c>
      <c r="C523" s="2">
        <v>-11171.980000000001</v>
      </c>
      <c r="D523" s="1">
        <v>45657</v>
      </c>
      <c r="E523" s="6">
        <v>32</v>
      </c>
      <c r="F523" t="s">
        <v>8</v>
      </c>
      <c r="G523" s="6">
        <v>22</v>
      </c>
      <c r="H523" t="s">
        <v>191</v>
      </c>
    </row>
    <row r="524" spans="1:8" x14ac:dyDescent="0.45">
      <c r="A524" t="s">
        <v>517</v>
      </c>
      <c r="B524" t="s">
        <v>518</v>
      </c>
      <c r="C524" s="2">
        <v>-39940.11</v>
      </c>
      <c r="D524" s="1">
        <v>45657</v>
      </c>
      <c r="E524" s="6">
        <v>32</v>
      </c>
      <c r="F524" t="s">
        <v>8</v>
      </c>
      <c r="G524" s="6">
        <v>22</v>
      </c>
      <c r="H524" t="s">
        <v>191</v>
      </c>
    </row>
    <row r="525" spans="1:8" x14ac:dyDescent="0.45">
      <c r="A525" t="s">
        <v>200</v>
      </c>
      <c r="B525" t="s">
        <v>201</v>
      </c>
      <c r="C525" s="2">
        <v>-1263.5999999999999</v>
      </c>
      <c r="D525" s="1">
        <v>45657</v>
      </c>
      <c r="E525" s="6">
        <v>32</v>
      </c>
      <c r="F525" t="s">
        <v>8</v>
      </c>
      <c r="G525" s="6">
        <v>22</v>
      </c>
      <c r="H525" t="s">
        <v>191</v>
      </c>
    </row>
    <row r="526" spans="1:8" x14ac:dyDescent="0.45">
      <c r="A526" t="s">
        <v>202</v>
      </c>
      <c r="B526" t="s">
        <v>203</v>
      </c>
      <c r="C526" s="2">
        <v>-4170.8599999999997</v>
      </c>
      <c r="D526" s="1">
        <v>45657</v>
      </c>
      <c r="E526" s="6">
        <v>32</v>
      </c>
      <c r="F526" t="s">
        <v>8</v>
      </c>
      <c r="G526" s="6">
        <v>22</v>
      </c>
      <c r="H526" t="s">
        <v>191</v>
      </c>
    </row>
    <row r="527" spans="1:8" x14ac:dyDescent="0.45">
      <c r="A527" t="s">
        <v>204</v>
      </c>
      <c r="B527" t="s">
        <v>205</v>
      </c>
      <c r="C527" s="2">
        <v>-11895.37</v>
      </c>
      <c r="D527" s="1">
        <v>45657</v>
      </c>
      <c r="E527" s="6">
        <v>32</v>
      </c>
      <c r="F527" t="s">
        <v>8</v>
      </c>
      <c r="G527" s="6">
        <v>22</v>
      </c>
      <c r="H527" t="s">
        <v>191</v>
      </c>
    </row>
    <row r="528" spans="1:8" x14ac:dyDescent="0.45">
      <c r="A528" t="s">
        <v>206</v>
      </c>
      <c r="B528" t="s">
        <v>207</v>
      </c>
      <c r="C528" s="2">
        <v>-9858.17</v>
      </c>
      <c r="D528" s="1">
        <v>45657</v>
      </c>
      <c r="E528" s="6">
        <v>32</v>
      </c>
      <c r="F528" t="s">
        <v>8</v>
      </c>
      <c r="G528" s="6">
        <v>22</v>
      </c>
      <c r="H528" t="s">
        <v>191</v>
      </c>
    </row>
    <row r="529" spans="1:8" x14ac:dyDescent="0.45">
      <c r="A529" t="s">
        <v>208</v>
      </c>
      <c r="B529" t="s">
        <v>209</v>
      </c>
      <c r="C529" s="2">
        <v>-544.18000000000006</v>
      </c>
      <c r="D529" s="1">
        <v>45657</v>
      </c>
      <c r="E529" s="6">
        <v>32</v>
      </c>
      <c r="F529" t="s">
        <v>8</v>
      </c>
      <c r="G529" s="6">
        <v>22</v>
      </c>
      <c r="H529" t="s">
        <v>191</v>
      </c>
    </row>
    <row r="530" spans="1:8" x14ac:dyDescent="0.45">
      <c r="A530" t="s">
        <v>210</v>
      </c>
      <c r="B530" t="s">
        <v>211</v>
      </c>
      <c r="C530" s="2">
        <v>-196.71</v>
      </c>
      <c r="D530" s="1">
        <v>45657</v>
      </c>
      <c r="E530" s="6">
        <v>32</v>
      </c>
      <c r="F530" t="s">
        <v>8</v>
      </c>
      <c r="G530" s="6">
        <v>22</v>
      </c>
      <c r="H530" t="s">
        <v>191</v>
      </c>
    </row>
    <row r="531" spans="1:8" x14ac:dyDescent="0.45">
      <c r="A531" t="s">
        <v>212</v>
      </c>
      <c r="B531" t="s">
        <v>213</v>
      </c>
      <c r="C531" s="2">
        <v>-4659.3200000000006</v>
      </c>
      <c r="D531" s="1">
        <v>45657</v>
      </c>
      <c r="E531" s="6">
        <v>32</v>
      </c>
      <c r="F531" t="s">
        <v>8</v>
      </c>
      <c r="G531" s="6">
        <v>22</v>
      </c>
      <c r="H531" t="s">
        <v>191</v>
      </c>
    </row>
    <row r="532" spans="1:8" x14ac:dyDescent="0.45">
      <c r="A532" t="s">
        <v>519</v>
      </c>
      <c r="B532" t="s">
        <v>520</v>
      </c>
      <c r="C532" s="2">
        <v>-1005</v>
      </c>
      <c r="D532" s="1">
        <v>45657</v>
      </c>
      <c r="E532" s="6">
        <v>32</v>
      </c>
      <c r="F532" t="s">
        <v>8</v>
      </c>
      <c r="G532" s="6">
        <v>22</v>
      </c>
      <c r="H532" t="s">
        <v>191</v>
      </c>
    </row>
    <row r="533" spans="1:8" x14ac:dyDescent="0.45">
      <c r="A533" t="s">
        <v>216</v>
      </c>
      <c r="B533" t="s">
        <v>217</v>
      </c>
      <c r="C533" s="2">
        <v>-124380.95</v>
      </c>
      <c r="D533" s="1">
        <v>45657</v>
      </c>
      <c r="E533" s="6">
        <v>32</v>
      </c>
      <c r="F533" t="s">
        <v>8</v>
      </c>
      <c r="G533" s="6">
        <v>22</v>
      </c>
      <c r="H533" t="s">
        <v>191</v>
      </c>
    </row>
    <row r="534" spans="1:8" x14ac:dyDescent="0.45">
      <c r="A534" t="s">
        <v>218</v>
      </c>
      <c r="B534" t="s">
        <v>219</v>
      </c>
      <c r="C534" s="2">
        <v>-20776</v>
      </c>
      <c r="D534" s="1">
        <v>45657</v>
      </c>
      <c r="E534" s="6">
        <v>32</v>
      </c>
      <c r="F534" t="s">
        <v>8</v>
      </c>
      <c r="G534" s="6">
        <v>22</v>
      </c>
      <c r="H534" t="s">
        <v>191</v>
      </c>
    </row>
    <row r="535" spans="1:8" x14ac:dyDescent="0.45">
      <c r="A535" t="s">
        <v>220</v>
      </c>
      <c r="B535" t="s">
        <v>221</v>
      </c>
      <c r="C535" s="2">
        <v>-348</v>
      </c>
      <c r="D535" s="1">
        <v>45657</v>
      </c>
      <c r="E535" s="6">
        <v>32</v>
      </c>
      <c r="F535" t="s">
        <v>8</v>
      </c>
      <c r="G535" s="6">
        <v>20</v>
      </c>
      <c r="H535" t="s">
        <v>9</v>
      </c>
    </row>
    <row r="536" spans="1:8" x14ac:dyDescent="0.45">
      <c r="A536" t="s">
        <v>222</v>
      </c>
      <c r="B536" t="s">
        <v>223</v>
      </c>
      <c r="C536" s="2">
        <v>-1178.18</v>
      </c>
      <c r="D536" s="1">
        <v>45657</v>
      </c>
      <c r="E536" s="6">
        <v>101</v>
      </c>
      <c r="F536" t="s">
        <v>62</v>
      </c>
      <c r="G536" s="6">
        <v>160</v>
      </c>
      <c r="H536" t="s">
        <v>188</v>
      </c>
    </row>
    <row r="537" spans="1:8" x14ac:dyDescent="0.45">
      <c r="A537" t="s">
        <v>224</v>
      </c>
      <c r="B537" t="s">
        <v>225</v>
      </c>
      <c r="C537" s="2">
        <v>-34045.949999999997</v>
      </c>
      <c r="D537" s="1">
        <v>45657</v>
      </c>
      <c r="E537" s="6">
        <v>101</v>
      </c>
      <c r="F537" t="s">
        <v>62</v>
      </c>
      <c r="G537" s="6">
        <v>160</v>
      </c>
      <c r="H537" t="s">
        <v>188</v>
      </c>
    </row>
    <row r="538" spans="1:8" x14ac:dyDescent="0.45">
      <c r="A538" t="s">
        <v>226</v>
      </c>
      <c r="B538" t="s">
        <v>227</v>
      </c>
      <c r="C538" s="2">
        <v>-19799.57</v>
      </c>
      <c r="D538" s="1">
        <v>45657</v>
      </c>
      <c r="E538" s="6">
        <v>290</v>
      </c>
      <c r="F538" t="s">
        <v>228</v>
      </c>
      <c r="G538" s="6">
        <v>240</v>
      </c>
      <c r="H538" t="s">
        <v>157</v>
      </c>
    </row>
    <row r="539" spans="1:8" x14ac:dyDescent="0.45">
      <c r="A539" t="s">
        <v>233</v>
      </c>
      <c r="B539" t="s">
        <v>234</v>
      </c>
      <c r="C539" s="2">
        <v>-100000</v>
      </c>
      <c r="D539" s="1">
        <v>45657</v>
      </c>
      <c r="E539" s="6">
        <v>171</v>
      </c>
      <c r="F539" t="s">
        <v>235</v>
      </c>
      <c r="G539" s="6">
        <v>90</v>
      </c>
      <c r="H539" t="s">
        <v>236</v>
      </c>
    </row>
    <row r="540" spans="1:8" x14ac:dyDescent="0.45">
      <c r="A540" t="s">
        <v>237</v>
      </c>
      <c r="B540" t="s">
        <v>238</v>
      </c>
      <c r="C540" s="2">
        <v>-20000</v>
      </c>
      <c r="D540" s="1">
        <v>45657</v>
      </c>
      <c r="E540" s="6">
        <v>180</v>
      </c>
      <c r="F540" t="s">
        <v>239</v>
      </c>
      <c r="G540" s="6">
        <v>110</v>
      </c>
      <c r="H540" t="s">
        <v>240</v>
      </c>
    </row>
    <row r="541" spans="1:8" x14ac:dyDescent="0.45">
      <c r="A541" t="s">
        <v>241</v>
      </c>
      <c r="B541" t="s">
        <v>242</v>
      </c>
      <c r="C541" s="2">
        <v>-139812.41</v>
      </c>
      <c r="D541" s="1">
        <v>45657</v>
      </c>
      <c r="E541" s="6">
        <v>211</v>
      </c>
      <c r="F541" t="s">
        <v>243</v>
      </c>
      <c r="G541" s="6">
        <v>120</v>
      </c>
      <c r="H541" t="s">
        <v>244</v>
      </c>
    </row>
    <row r="542" spans="1:8" x14ac:dyDescent="0.45">
      <c r="A542" t="s">
        <v>245</v>
      </c>
      <c r="B542" t="s">
        <v>246</v>
      </c>
      <c r="C542" s="2">
        <v>581162.96</v>
      </c>
      <c r="D542" s="1">
        <v>45657</v>
      </c>
      <c r="E542" s="6">
        <v>351</v>
      </c>
      <c r="F542" t="s">
        <v>247</v>
      </c>
      <c r="G542" s="6">
        <v>340</v>
      </c>
      <c r="H542" t="s">
        <v>248</v>
      </c>
    </row>
    <row r="543" spans="1:8" x14ac:dyDescent="0.45">
      <c r="A543" t="s">
        <v>249</v>
      </c>
      <c r="B543" t="s">
        <v>250</v>
      </c>
      <c r="C543" s="2">
        <v>90750.350000000049</v>
      </c>
      <c r="D543" s="1">
        <v>45657</v>
      </c>
      <c r="E543" s="6">
        <v>331</v>
      </c>
      <c r="F543" t="s">
        <v>251</v>
      </c>
      <c r="G543" s="6">
        <v>330</v>
      </c>
      <c r="H543" t="s">
        <v>252</v>
      </c>
    </row>
    <row r="544" spans="1:8" x14ac:dyDescent="0.45">
      <c r="A544" t="s">
        <v>253</v>
      </c>
      <c r="B544" t="s">
        <v>254</v>
      </c>
      <c r="C544" s="2">
        <v>401394.57000000059</v>
      </c>
      <c r="D544" s="1">
        <v>45657</v>
      </c>
      <c r="E544" s="6">
        <v>331</v>
      </c>
      <c r="F544" t="s">
        <v>251</v>
      </c>
      <c r="G544" s="6">
        <v>330</v>
      </c>
      <c r="H544" t="s">
        <v>252</v>
      </c>
    </row>
    <row r="545" spans="1:8" x14ac:dyDescent="0.45">
      <c r="A545" t="s">
        <v>257</v>
      </c>
      <c r="B545" t="s">
        <v>258</v>
      </c>
      <c r="C545" s="2">
        <v>44301.779999999984</v>
      </c>
      <c r="D545" s="1">
        <v>45657</v>
      </c>
      <c r="E545" s="6">
        <v>331</v>
      </c>
      <c r="F545" t="s">
        <v>251</v>
      </c>
      <c r="G545" s="6">
        <v>330</v>
      </c>
      <c r="H545" t="s">
        <v>252</v>
      </c>
    </row>
    <row r="546" spans="1:8" x14ac:dyDescent="0.45">
      <c r="A546" t="s">
        <v>259</v>
      </c>
      <c r="B546" t="s">
        <v>260</v>
      </c>
      <c r="C546" s="2">
        <v>5692.43</v>
      </c>
      <c r="D546" s="1">
        <v>45657</v>
      </c>
      <c r="E546" s="6">
        <v>331</v>
      </c>
      <c r="F546" t="s">
        <v>251</v>
      </c>
      <c r="G546" s="6">
        <v>330</v>
      </c>
      <c r="H546" t="s">
        <v>252</v>
      </c>
    </row>
    <row r="547" spans="1:8" x14ac:dyDescent="0.45">
      <c r="A547" t="s">
        <v>261</v>
      </c>
      <c r="B547" t="s">
        <v>262</v>
      </c>
      <c r="C547" s="2">
        <v>51655.900000000016</v>
      </c>
      <c r="D547" s="1">
        <v>45657</v>
      </c>
      <c r="E547" s="6">
        <v>332</v>
      </c>
      <c r="F547" t="s">
        <v>263</v>
      </c>
      <c r="G547" s="6">
        <v>330</v>
      </c>
      <c r="H547" t="s">
        <v>252</v>
      </c>
    </row>
    <row r="548" spans="1:8" x14ac:dyDescent="0.45">
      <c r="A548" t="s">
        <v>264</v>
      </c>
      <c r="B548" t="s">
        <v>265</v>
      </c>
      <c r="C548" s="2">
        <v>89585.210000000021</v>
      </c>
      <c r="D548" s="1">
        <v>45657</v>
      </c>
      <c r="E548" s="6">
        <v>331</v>
      </c>
      <c r="F548" t="s">
        <v>251</v>
      </c>
      <c r="G548" s="6">
        <v>330</v>
      </c>
      <c r="H548" t="s">
        <v>252</v>
      </c>
    </row>
    <row r="549" spans="1:8" x14ac:dyDescent="0.45">
      <c r="A549" t="s">
        <v>266</v>
      </c>
      <c r="B549" t="s">
        <v>267</v>
      </c>
      <c r="C549" s="2">
        <v>260125.62</v>
      </c>
      <c r="D549" s="1">
        <v>45657</v>
      </c>
      <c r="E549" s="6">
        <v>331</v>
      </c>
      <c r="F549" t="s">
        <v>251</v>
      </c>
      <c r="G549" s="6">
        <v>330</v>
      </c>
      <c r="H549" t="s">
        <v>252</v>
      </c>
    </row>
    <row r="550" spans="1:8" x14ac:dyDescent="0.45">
      <c r="A550" t="s">
        <v>268</v>
      </c>
      <c r="B550" t="s">
        <v>269</v>
      </c>
      <c r="C550" s="2">
        <v>56854</v>
      </c>
      <c r="D550" s="1">
        <v>45657</v>
      </c>
      <c r="E550" s="6">
        <v>332</v>
      </c>
      <c r="F550" t="s">
        <v>263</v>
      </c>
      <c r="G550" s="6">
        <v>362</v>
      </c>
      <c r="H550" t="s">
        <v>270</v>
      </c>
    </row>
    <row r="551" spans="1:8" x14ac:dyDescent="0.45">
      <c r="A551" t="s">
        <v>271</v>
      </c>
      <c r="B551" t="s">
        <v>272</v>
      </c>
      <c r="C551" s="2">
        <v>29111.679999999913</v>
      </c>
      <c r="D551" s="1">
        <v>45657</v>
      </c>
      <c r="E551" s="6">
        <v>331</v>
      </c>
      <c r="F551" t="s">
        <v>251</v>
      </c>
      <c r="G551" s="6">
        <v>356</v>
      </c>
      <c r="H551" t="s">
        <v>273</v>
      </c>
    </row>
    <row r="552" spans="1:8" x14ac:dyDescent="0.45">
      <c r="A552" t="s">
        <v>274</v>
      </c>
      <c r="B552" t="s">
        <v>275</v>
      </c>
      <c r="C552" s="2">
        <v>17309.870000000003</v>
      </c>
      <c r="D552" s="1">
        <v>45657</v>
      </c>
      <c r="E552" s="6">
        <v>332</v>
      </c>
      <c r="F552" t="s">
        <v>263</v>
      </c>
      <c r="G552" s="6">
        <v>356</v>
      </c>
      <c r="H552" t="s">
        <v>273</v>
      </c>
    </row>
    <row r="553" spans="1:8" x14ac:dyDescent="0.45">
      <c r="A553" t="s">
        <v>276</v>
      </c>
      <c r="B553" t="s">
        <v>277</v>
      </c>
      <c r="C553" s="2">
        <v>3017.2400000000002</v>
      </c>
      <c r="D553" s="1">
        <v>45657</v>
      </c>
      <c r="E553" s="6">
        <v>130</v>
      </c>
      <c r="F553" t="s">
        <v>66</v>
      </c>
      <c r="G553" s="6">
        <v>230</v>
      </c>
      <c r="H553" t="s">
        <v>154</v>
      </c>
    </row>
    <row r="554" spans="1:8" x14ac:dyDescent="0.45">
      <c r="A554" t="s">
        <v>278</v>
      </c>
      <c r="B554" t="s">
        <v>279</v>
      </c>
      <c r="C554" s="2">
        <v>6220.71</v>
      </c>
      <c r="D554" s="1">
        <v>45657</v>
      </c>
      <c r="E554" s="6">
        <v>332</v>
      </c>
      <c r="F554" t="s">
        <v>263</v>
      </c>
      <c r="G554" s="6">
        <v>362</v>
      </c>
      <c r="H554" t="s">
        <v>270</v>
      </c>
    </row>
    <row r="555" spans="1:8" x14ac:dyDescent="0.45">
      <c r="A555" t="s">
        <v>280</v>
      </c>
      <c r="B555" t="s">
        <v>281</v>
      </c>
      <c r="C555" s="2">
        <v>2787.16</v>
      </c>
      <c r="D555" s="1">
        <v>45657</v>
      </c>
      <c r="E555" s="6">
        <v>332</v>
      </c>
      <c r="F555" t="s">
        <v>263</v>
      </c>
      <c r="G555" s="6">
        <v>364</v>
      </c>
      <c r="H555" t="s">
        <v>282</v>
      </c>
    </row>
    <row r="556" spans="1:8" x14ac:dyDescent="0.45">
      <c r="A556" t="s">
        <v>283</v>
      </c>
      <c r="B556" t="s">
        <v>284</v>
      </c>
      <c r="C556" s="2">
        <v>564.19000000000005</v>
      </c>
      <c r="D556" s="1">
        <v>45657</v>
      </c>
      <c r="E556" s="6">
        <v>332</v>
      </c>
      <c r="F556" t="s">
        <v>263</v>
      </c>
      <c r="G556" s="6">
        <v>362</v>
      </c>
      <c r="H556" t="s">
        <v>270</v>
      </c>
    </row>
    <row r="557" spans="1:8" x14ac:dyDescent="0.45">
      <c r="A557" t="s">
        <v>285</v>
      </c>
      <c r="B557" t="s">
        <v>286</v>
      </c>
      <c r="C557" s="2">
        <v>4148.8999999999996</v>
      </c>
      <c r="D557" s="1">
        <v>45657</v>
      </c>
      <c r="E557" s="6">
        <v>332</v>
      </c>
      <c r="F557" t="s">
        <v>263</v>
      </c>
      <c r="G557" s="6">
        <v>364</v>
      </c>
      <c r="H557" t="s">
        <v>282</v>
      </c>
    </row>
    <row r="558" spans="1:8" x14ac:dyDescent="0.45">
      <c r="A558" t="s">
        <v>287</v>
      </c>
      <c r="B558" t="s">
        <v>288</v>
      </c>
      <c r="C558" s="2">
        <v>309.87</v>
      </c>
      <c r="D558" s="1">
        <v>45657</v>
      </c>
      <c r="E558" s="6">
        <v>358</v>
      </c>
      <c r="F558" t="s">
        <v>289</v>
      </c>
      <c r="G558" s="6">
        <v>380</v>
      </c>
      <c r="H558" t="s">
        <v>290</v>
      </c>
    </row>
    <row r="559" spans="1:8" x14ac:dyDescent="0.45">
      <c r="A559" t="s">
        <v>291</v>
      </c>
      <c r="B559" t="s">
        <v>292</v>
      </c>
      <c r="C559" s="2">
        <v>28863.480000000003</v>
      </c>
      <c r="D559" s="1">
        <v>45657</v>
      </c>
      <c r="E559" s="6">
        <v>332</v>
      </c>
      <c r="F559" t="s">
        <v>263</v>
      </c>
      <c r="G559" s="6">
        <v>364</v>
      </c>
      <c r="H559" t="s">
        <v>282</v>
      </c>
    </row>
    <row r="560" spans="1:8" x14ac:dyDescent="0.45">
      <c r="A560" t="s">
        <v>293</v>
      </c>
      <c r="B560" t="s">
        <v>294</v>
      </c>
      <c r="C560" s="2">
        <v>5221.4000000000015</v>
      </c>
      <c r="D560" s="1">
        <v>45657</v>
      </c>
      <c r="E560" s="6">
        <v>332</v>
      </c>
      <c r="F560" t="s">
        <v>263</v>
      </c>
      <c r="G560" s="6">
        <v>362</v>
      </c>
      <c r="H560" t="s">
        <v>270</v>
      </c>
    </row>
    <row r="561" spans="1:8" x14ac:dyDescent="0.45">
      <c r="A561" t="s">
        <v>295</v>
      </c>
      <c r="B561" t="s">
        <v>296</v>
      </c>
      <c r="C561" s="2">
        <v>28596.980000000003</v>
      </c>
      <c r="D561" s="1">
        <v>45657</v>
      </c>
      <c r="E561" s="6">
        <v>332</v>
      </c>
      <c r="F561" t="s">
        <v>263</v>
      </c>
      <c r="G561" s="6">
        <v>380</v>
      </c>
      <c r="H561" t="s">
        <v>290</v>
      </c>
    </row>
    <row r="562" spans="1:8" x14ac:dyDescent="0.45">
      <c r="A562" t="s">
        <v>297</v>
      </c>
      <c r="B562" t="s">
        <v>298</v>
      </c>
      <c r="C562" s="2">
        <v>14454.140000000001</v>
      </c>
      <c r="D562" s="1">
        <v>45657</v>
      </c>
      <c r="E562" s="6">
        <v>332</v>
      </c>
      <c r="F562" t="s">
        <v>263</v>
      </c>
      <c r="G562" s="6">
        <v>380</v>
      </c>
      <c r="H562" t="s">
        <v>290</v>
      </c>
    </row>
    <row r="563" spans="1:8" x14ac:dyDescent="0.45">
      <c r="A563" t="s">
        <v>611</v>
      </c>
      <c r="B563" t="s">
        <v>612</v>
      </c>
      <c r="C563" s="2">
        <v>96.74</v>
      </c>
      <c r="D563" s="1">
        <v>45657</v>
      </c>
      <c r="E563" s="6">
        <v>332</v>
      </c>
      <c r="F563" t="s">
        <v>263</v>
      </c>
      <c r="G563" s="6">
        <v>380</v>
      </c>
      <c r="H563" t="s">
        <v>290</v>
      </c>
    </row>
    <row r="564" spans="1:8" x14ac:dyDescent="0.45">
      <c r="A564" t="s">
        <v>299</v>
      </c>
      <c r="B564" t="s">
        <v>300</v>
      </c>
      <c r="C564" s="2">
        <v>272.40999999999997</v>
      </c>
      <c r="D564" s="1">
        <v>45657</v>
      </c>
      <c r="E564" s="6">
        <v>358</v>
      </c>
      <c r="F564" t="s">
        <v>289</v>
      </c>
      <c r="G564" s="6">
        <v>364</v>
      </c>
      <c r="H564" t="s">
        <v>282</v>
      </c>
    </row>
    <row r="565" spans="1:8" x14ac:dyDescent="0.45">
      <c r="A565" t="s">
        <v>301</v>
      </c>
      <c r="B565" t="s">
        <v>302</v>
      </c>
      <c r="C565" s="2">
        <v>4397.6000000000013</v>
      </c>
      <c r="D565" s="1">
        <v>45657</v>
      </c>
      <c r="E565" s="6">
        <v>332</v>
      </c>
      <c r="F565" t="s">
        <v>263</v>
      </c>
      <c r="G565" s="6">
        <v>362</v>
      </c>
      <c r="H565" t="s">
        <v>270</v>
      </c>
    </row>
    <row r="566" spans="1:8" x14ac:dyDescent="0.45">
      <c r="A566" t="s">
        <v>303</v>
      </c>
      <c r="B566" t="s">
        <v>304</v>
      </c>
      <c r="C566" s="2">
        <v>3026.4899999999989</v>
      </c>
      <c r="D566" s="1">
        <v>45657</v>
      </c>
      <c r="E566" s="6">
        <v>332</v>
      </c>
      <c r="F566" t="s">
        <v>263</v>
      </c>
      <c r="G566" s="6">
        <v>364</v>
      </c>
      <c r="H566" t="s">
        <v>282</v>
      </c>
    </row>
    <row r="567" spans="1:8" x14ac:dyDescent="0.45">
      <c r="A567" t="s">
        <v>305</v>
      </c>
      <c r="B567" t="s">
        <v>306</v>
      </c>
      <c r="C567" s="2">
        <v>9.76</v>
      </c>
      <c r="D567" s="1">
        <v>45657</v>
      </c>
      <c r="E567" s="6">
        <v>332</v>
      </c>
      <c r="F567" t="s">
        <v>263</v>
      </c>
      <c r="G567" s="6">
        <v>380</v>
      </c>
      <c r="H567" t="s">
        <v>290</v>
      </c>
    </row>
    <row r="568" spans="1:8" x14ac:dyDescent="0.45">
      <c r="A568" t="s">
        <v>307</v>
      </c>
      <c r="B568" t="s">
        <v>308</v>
      </c>
      <c r="C568" s="2">
        <v>3748.1300000000024</v>
      </c>
      <c r="D568" s="1">
        <v>45657</v>
      </c>
      <c r="E568" s="6">
        <v>332</v>
      </c>
      <c r="F568" t="s">
        <v>263</v>
      </c>
      <c r="G568" s="6">
        <v>380</v>
      </c>
      <c r="H568" t="s">
        <v>290</v>
      </c>
    </row>
    <row r="569" spans="1:8" x14ac:dyDescent="0.45">
      <c r="A569" t="s">
        <v>613</v>
      </c>
      <c r="B569" t="s">
        <v>614</v>
      </c>
      <c r="C569" s="2">
        <v>658</v>
      </c>
      <c r="D569" s="1">
        <v>45657</v>
      </c>
      <c r="E569" s="6">
        <v>332</v>
      </c>
      <c r="F569" t="s">
        <v>263</v>
      </c>
      <c r="G569" s="6">
        <v>358</v>
      </c>
      <c r="H569" t="s">
        <v>615</v>
      </c>
    </row>
    <row r="570" spans="1:8" x14ac:dyDescent="0.45">
      <c r="A570" t="s">
        <v>309</v>
      </c>
      <c r="B570" t="s">
        <v>310</v>
      </c>
      <c r="C570" s="2">
        <v>90</v>
      </c>
      <c r="D570" s="1">
        <v>45657</v>
      </c>
      <c r="E570" s="6">
        <v>358</v>
      </c>
      <c r="F570" t="s">
        <v>289</v>
      </c>
      <c r="G570" s="6">
        <v>380</v>
      </c>
      <c r="H570" t="s">
        <v>290</v>
      </c>
    </row>
    <row r="571" spans="1:8" x14ac:dyDescent="0.45">
      <c r="A571" t="s">
        <v>311</v>
      </c>
      <c r="B571" t="s">
        <v>312</v>
      </c>
      <c r="C571" s="2">
        <v>1347.4</v>
      </c>
      <c r="D571" s="1">
        <v>45657</v>
      </c>
      <c r="E571" s="6">
        <v>339</v>
      </c>
      <c r="F571" t="s">
        <v>313</v>
      </c>
      <c r="G571" s="6">
        <v>390</v>
      </c>
      <c r="H571" t="s">
        <v>314</v>
      </c>
    </row>
    <row r="572" spans="1:8" x14ac:dyDescent="0.45">
      <c r="A572" t="s">
        <v>315</v>
      </c>
      <c r="B572" t="s">
        <v>316</v>
      </c>
      <c r="C572" s="2">
        <v>395298.12</v>
      </c>
      <c r="D572" s="1">
        <v>45657</v>
      </c>
      <c r="E572" s="6">
        <v>335</v>
      </c>
      <c r="F572" t="s">
        <v>317</v>
      </c>
      <c r="G572" s="6">
        <v>390</v>
      </c>
      <c r="H572" t="s">
        <v>314</v>
      </c>
    </row>
    <row r="573" spans="1:8" x14ac:dyDescent="0.45">
      <c r="A573" t="s">
        <v>318</v>
      </c>
      <c r="B573" t="s">
        <v>319</v>
      </c>
      <c r="C573" s="2">
        <v>95700.239999999991</v>
      </c>
      <c r="D573" s="1">
        <v>45657</v>
      </c>
      <c r="E573" s="6">
        <v>336</v>
      </c>
      <c r="F573" t="s">
        <v>320</v>
      </c>
      <c r="G573" s="6">
        <v>390</v>
      </c>
      <c r="H573" t="s">
        <v>314</v>
      </c>
    </row>
    <row r="574" spans="1:8" x14ac:dyDescent="0.45">
      <c r="A574" t="s">
        <v>321</v>
      </c>
      <c r="B574" t="s">
        <v>322</v>
      </c>
      <c r="C574" s="2">
        <v>2890.8700000000003</v>
      </c>
      <c r="D574" s="1">
        <v>45657</v>
      </c>
      <c r="E574" s="6">
        <v>336</v>
      </c>
      <c r="F574" t="s">
        <v>320</v>
      </c>
      <c r="G574" s="6">
        <v>390</v>
      </c>
      <c r="H574" t="s">
        <v>314</v>
      </c>
    </row>
    <row r="575" spans="1:8" x14ac:dyDescent="0.45">
      <c r="A575" t="s">
        <v>323</v>
      </c>
      <c r="B575" t="s">
        <v>185</v>
      </c>
      <c r="C575" s="2">
        <v>23901.280000000002</v>
      </c>
      <c r="D575" s="1">
        <v>45657</v>
      </c>
      <c r="E575" s="6">
        <v>337</v>
      </c>
      <c r="F575" t="s">
        <v>324</v>
      </c>
      <c r="G575" s="6">
        <v>400</v>
      </c>
      <c r="H575" t="s">
        <v>325</v>
      </c>
    </row>
    <row r="576" spans="1:8" x14ac:dyDescent="0.45">
      <c r="A576" t="s">
        <v>326</v>
      </c>
      <c r="B576" t="s">
        <v>327</v>
      </c>
      <c r="C576" s="2">
        <v>22293.760000000006</v>
      </c>
      <c r="D576" s="1">
        <v>45657</v>
      </c>
      <c r="E576" s="6">
        <v>332</v>
      </c>
      <c r="F576" t="s">
        <v>263</v>
      </c>
      <c r="G576" s="6">
        <v>394</v>
      </c>
      <c r="H576" t="s">
        <v>328</v>
      </c>
    </row>
    <row r="577" spans="1:8" x14ac:dyDescent="0.45">
      <c r="A577" t="s">
        <v>329</v>
      </c>
      <c r="B577" t="s">
        <v>330</v>
      </c>
      <c r="C577" s="2">
        <v>105696</v>
      </c>
      <c r="D577" s="1">
        <v>45657</v>
      </c>
      <c r="E577" s="6">
        <v>332</v>
      </c>
      <c r="F577" t="s">
        <v>263</v>
      </c>
      <c r="G577" s="6">
        <v>394</v>
      </c>
      <c r="H577" t="s">
        <v>328</v>
      </c>
    </row>
    <row r="578" spans="1:8" x14ac:dyDescent="0.45">
      <c r="A578" t="s">
        <v>331</v>
      </c>
      <c r="B578" t="s">
        <v>332</v>
      </c>
      <c r="C578" s="2">
        <v>180</v>
      </c>
      <c r="D578" s="1">
        <v>45657</v>
      </c>
      <c r="E578" s="6">
        <v>336</v>
      </c>
      <c r="F578" t="s">
        <v>320</v>
      </c>
      <c r="G578" s="6">
        <v>390</v>
      </c>
      <c r="H578" t="s">
        <v>314</v>
      </c>
    </row>
    <row r="579" spans="1:8" x14ac:dyDescent="0.45">
      <c r="A579" t="s">
        <v>616</v>
      </c>
      <c r="B579" t="s">
        <v>617</v>
      </c>
      <c r="C579" s="2">
        <v>6000</v>
      </c>
      <c r="D579" s="1">
        <v>45657</v>
      </c>
      <c r="E579" s="6">
        <v>335</v>
      </c>
      <c r="F579" t="s">
        <v>317</v>
      </c>
      <c r="G579" s="6">
        <v>390</v>
      </c>
      <c r="H579" t="s">
        <v>314</v>
      </c>
    </row>
    <row r="580" spans="1:8" x14ac:dyDescent="0.45">
      <c r="A580" t="s">
        <v>333</v>
      </c>
      <c r="B580" t="s">
        <v>334</v>
      </c>
      <c r="C580" s="2">
        <v>131.82999999999996</v>
      </c>
      <c r="D580" s="1">
        <v>45657</v>
      </c>
      <c r="E580" s="6">
        <v>425</v>
      </c>
      <c r="F580" t="s">
        <v>335</v>
      </c>
      <c r="G580" s="6">
        <v>450</v>
      </c>
      <c r="H580" t="s">
        <v>336</v>
      </c>
    </row>
    <row r="581" spans="1:8" x14ac:dyDescent="0.45">
      <c r="A581" t="s">
        <v>337</v>
      </c>
      <c r="B581" t="s">
        <v>338</v>
      </c>
      <c r="C581" s="2">
        <v>17271.63</v>
      </c>
      <c r="D581" s="1">
        <v>45657</v>
      </c>
      <c r="E581" s="6">
        <v>420</v>
      </c>
      <c r="F581" t="s">
        <v>339</v>
      </c>
      <c r="G581" s="6">
        <v>430</v>
      </c>
      <c r="H581" t="s">
        <v>340</v>
      </c>
    </row>
    <row r="582" spans="1:8" x14ac:dyDescent="0.45">
      <c r="A582" t="s">
        <v>341</v>
      </c>
      <c r="B582" t="s">
        <v>342</v>
      </c>
      <c r="C582" s="2">
        <v>8597.1200000000008</v>
      </c>
      <c r="D582" s="1">
        <v>45657</v>
      </c>
      <c r="E582" s="6">
        <v>420</v>
      </c>
      <c r="F582" t="s">
        <v>339</v>
      </c>
      <c r="G582" s="6">
        <v>430</v>
      </c>
      <c r="H582" t="s">
        <v>340</v>
      </c>
    </row>
    <row r="583" spans="1:8" x14ac:dyDescent="0.45">
      <c r="A583" t="s">
        <v>524</v>
      </c>
      <c r="B583" t="s">
        <v>525</v>
      </c>
      <c r="C583" s="2">
        <v>496.9</v>
      </c>
      <c r="D583" s="1">
        <v>45657</v>
      </c>
      <c r="E583" s="6">
        <v>420</v>
      </c>
      <c r="F583" t="s">
        <v>339</v>
      </c>
      <c r="G583" s="6">
        <v>430</v>
      </c>
      <c r="H583" t="s">
        <v>340</v>
      </c>
    </row>
    <row r="584" spans="1:8" x14ac:dyDescent="0.45">
      <c r="A584" t="s">
        <v>343</v>
      </c>
      <c r="B584" t="s">
        <v>344</v>
      </c>
      <c r="C584" s="2">
        <v>12132.210000000001</v>
      </c>
      <c r="D584" s="1">
        <v>45657</v>
      </c>
      <c r="E584" s="6">
        <v>420</v>
      </c>
      <c r="F584" t="s">
        <v>339</v>
      </c>
      <c r="G584" s="6">
        <v>430</v>
      </c>
      <c r="H584" t="s">
        <v>340</v>
      </c>
    </row>
    <row r="585" spans="1:8" x14ac:dyDescent="0.45">
      <c r="A585" t="s">
        <v>345</v>
      </c>
      <c r="B585" t="s">
        <v>346</v>
      </c>
      <c r="C585" s="2">
        <v>29160.179999999877</v>
      </c>
      <c r="D585" s="1">
        <v>45657</v>
      </c>
      <c r="E585" s="6">
        <v>332</v>
      </c>
      <c r="F585" t="s">
        <v>263</v>
      </c>
      <c r="G585" s="6">
        <v>380</v>
      </c>
      <c r="H585" t="s">
        <v>290</v>
      </c>
    </row>
    <row r="586" spans="1:8" x14ac:dyDescent="0.45">
      <c r="A586" t="s">
        <v>347</v>
      </c>
      <c r="B586" t="s">
        <v>348</v>
      </c>
      <c r="C586" s="2">
        <v>2164.34</v>
      </c>
      <c r="D586" s="1">
        <v>45657</v>
      </c>
      <c r="E586" s="6">
        <v>420</v>
      </c>
      <c r="F586" t="s">
        <v>339</v>
      </c>
      <c r="G586" s="6">
        <v>430</v>
      </c>
      <c r="H586" t="s">
        <v>340</v>
      </c>
    </row>
    <row r="587" spans="1:8" x14ac:dyDescent="0.45">
      <c r="A587" t="s">
        <v>349</v>
      </c>
      <c r="B587" t="s">
        <v>350</v>
      </c>
      <c r="C587" s="2">
        <v>110.38999999999989</v>
      </c>
      <c r="D587" s="1">
        <v>45657</v>
      </c>
      <c r="E587" s="6">
        <v>420</v>
      </c>
      <c r="F587" t="s">
        <v>339</v>
      </c>
      <c r="G587" s="6">
        <v>430</v>
      </c>
      <c r="H587" t="s">
        <v>340</v>
      </c>
    </row>
    <row r="588" spans="1:8" x14ac:dyDescent="0.45">
      <c r="A588" t="s">
        <v>351</v>
      </c>
      <c r="B588" t="s">
        <v>352</v>
      </c>
      <c r="C588" s="2">
        <v>1.64</v>
      </c>
      <c r="D588" s="1">
        <v>45657</v>
      </c>
      <c r="E588" s="6">
        <v>420</v>
      </c>
      <c r="F588" t="s">
        <v>339</v>
      </c>
      <c r="G588" s="6">
        <v>430</v>
      </c>
      <c r="H588" t="s">
        <v>340</v>
      </c>
    </row>
    <row r="589" spans="1:8" x14ac:dyDescent="0.45">
      <c r="A589" t="s">
        <v>353</v>
      </c>
      <c r="B589" t="s">
        <v>354</v>
      </c>
      <c r="C589" s="2">
        <v>1104.71</v>
      </c>
      <c r="D589" s="1">
        <v>45657</v>
      </c>
      <c r="E589" s="6">
        <v>358</v>
      </c>
      <c r="F589" t="s">
        <v>289</v>
      </c>
      <c r="G589" s="6">
        <v>450</v>
      </c>
      <c r="H589" t="s">
        <v>336</v>
      </c>
    </row>
    <row r="590" spans="1:8" x14ac:dyDescent="0.45">
      <c r="A590" t="s">
        <v>355</v>
      </c>
      <c r="B590" t="s">
        <v>356</v>
      </c>
      <c r="C590" s="2">
        <v>3559.940000000001</v>
      </c>
      <c r="D590" s="1">
        <v>45657</v>
      </c>
      <c r="E590" s="6">
        <v>358</v>
      </c>
      <c r="F590" t="s">
        <v>289</v>
      </c>
      <c r="G590" s="6">
        <v>450</v>
      </c>
      <c r="H590" t="s">
        <v>336</v>
      </c>
    </row>
    <row r="591" spans="1:8" x14ac:dyDescent="0.45">
      <c r="A591" t="s">
        <v>357</v>
      </c>
      <c r="B591" t="s">
        <v>358</v>
      </c>
      <c r="C591" s="2">
        <v>1000</v>
      </c>
      <c r="D591" s="1">
        <v>45657</v>
      </c>
      <c r="E591" s="6">
        <v>347</v>
      </c>
      <c r="F591" t="s">
        <v>359</v>
      </c>
      <c r="G591" s="6">
        <v>410</v>
      </c>
      <c r="H591" t="s">
        <v>360</v>
      </c>
    </row>
    <row r="592" spans="1:8" x14ac:dyDescent="0.45">
      <c r="A592" t="s">
        <v>361</v>
      </c>
      <c r="B592" t="s">
        <v>362</v>
      </c>
      <c r="C592" s="2">
        <v>731.68</v>
      </c>
      <c r="D592" s="1">
        <v>45657</v>
      </c>
      <c r="E592" s="6">
        <v>347</v>
      </c>
      <c r="F592" t="s">
        <v>359</v>
      </c>
      <c r="G592" s="6">
        <v>410</v>
      </c>
      <c r="H592" t="s">
        <v>360</v>
      </c>
    </row>
    <row r="593" spans="1:8" x14ac:dyDescent="0.45">
      <c r="A593" t="s">
        <v>365</v>
      </c>
      <c r="B593" t="s">
        <v>366</v>
      </c>
      <c r="C593" s="2">
        <v>616.25</v>
      </c>
      <c r="D593" s="1">
        <v>45657</v>
      </c>
      <c r="E593" s="6">
        <v>347</v>
      </c>
      <c r="F593" t="s">
        <v>359</v>
      </c>
      <c r="G593" s="6">
        <v>410</v>
      </c>
      <c r="H593" t="s">
        <v>360</v>
      </c>
    </row>
    <row r="594" spans="1:8" x14ac:dyDescent="0.45">
      <c r="A594" t="s">
        <v>367</v>
      </c>
      <c r="B594" t="s">
        <v>368</v>
      </c>
      <c r="C594" s="2">
        <v>4413.7700000000004</v>
      </c>
      <c r="D594" s="1">
        <v>45657</v>
      </c>
      <c r="E594" s="6">
        <v>347</v>
      </c>
      <c r="F594" t="s">
        <v>359</v>
      </c>
      <c r="G594" s="6">
        <v>410</v>
      </c>
      <c r="H594" t="s">
        <v>360</v>
      </c>
    </row>
    <row r="595" spans="1:8" x14ac:dyDescent="0.45">
      <c r="A595" t="s">
        <v>369</v>
      </c>
      <c r="B595" t="s">
        <v>370</v>
      </c>
      <c r="C595" s="2">
        <v>1842.67</v>
      </c>
      <c r="D595" s="1">
        <v>45657</v>
      </c>
      <c r="E595" s="6">
        <v>347</v>
      </c>
      <c r="F595" t="s">
        <v>359</v>
      </c>
      <c r="G595" s="6">
        <v>410</v>
      </c>
      <c r="H595" t="s">
        <v>360</v>
      </c>
    </row>
    <row r="596" spans="1:8" x14ac:dyDescent="0.45">
      <c r="A596" t="s">
        <v>373</v>
      </c>
      <c r="B596" t="s">
        <v>374</v>
      </c>
      <c r="C596" s="2">
        <v>625.94000000000005</v>
      </c>
      <c r="D596" s="1">
        <v>45657</v>
      </c>
      <c r="E596" s="6">
        <v>347</v>
      </c>
      <c r="F596" t="s">
        <v>359</v>
      </c>
      <c r="G596" s="6">
        <v>410</v>
      </c>
      <c r="H596" t="s">
        <v>360</v>
      </c>
    </row>
    <row r="597" spans="1:8" x14ac:dyDescent="0.45">
      <c r="A597" t="s">
        <v>375</v>
      </c>
      <c r="B597" t="s">
        <v>376</v>
      </c>
      <c r="C597" s="2">
        <v>726.09</v>
      </c>
      <c r="D597" s="1">
        <v>45657</v>
      </c>
      <c r="E597" s="6">
        <v>347</v>
      </c>
      <c r="F597" t="s">
        <v>359</v>
      </c>
      <c r="G597" s="6">
        <v>410</v>
      </c>
      <c r="H597" t="s">
        <v>360</v>
      </c>
    </row>
    <row r="598" spans="1:8" x14ac:dyDescent="0.45">
      <c r="A598" t="s">
        <v>377</v>
      </c>
      <c r="B598" t="s">
        <v>378</v>
      </c>
      <c r="C598" s="2">
        <v>201.6</v>
      </c>
      <c r="D598" s="1">
        <v>45657</v>
      </c>
      <c r="E598" s="6">
        <v>347</v>
      </c>
      <c r="F598" t="s">
        <v>359</v>
      </c>
      <c r="G598" s="6">
        <v>410</v>
      </c>
      <c r="H598" t="s">
        <v>360</v>
      </c>
    </row>
    <row r="599" spans="1:8" x14ac:dyDescent="0.45">
      <c r="A599" t="s">
        <v>566</v>
      </c>
      <c r="B599" t="s">
        <v>567</v>
      </c>
      <c r="C599" s="2">
        <v>890.1</v>
      </c>
      <c r="D599" s="1">
        <v>45657</v>
      </c>
      <c r="E599" s="6">
        <v>347</v>
      </c>
      <c r="F599" t="s">
        <v>359</v>
      </c>
      <c r="G599" s="6">
        <v>410</v>
      </c>
      <c r="H599" t="s">
        <v>360</v>
      </c>
    </row>
    <row r="600" spans="1:8" x14ac:dyDescent="0.45">
      <c r="A600" t="s">
        <v>379</v>
      </c>
      <c r="B600" t="s">
        <v>380</v>
      </c>
      <c r="C600" s="2">
        <v>7482.52</v>
      </c>
      <c r="D600" s="1">
        <v>45657</v>
      </c>
      <c r="E600" s="6">
        <v>347</v>
      </c>
      <c r="F600" t="s">
        <v>359</v>
      </c>
      <c r="G600" s="6">
        <v>410</v>
      </c>
      <c r="H600" t="s">
        <v>360</v>
      </c>
    </row>
    <row r="601" spans="1:8" x14ac:dyDescent="0.45">
      <c r="A601" t="s">
        <v>381</v>
      </c>
      <c r="B601" t="s">
        <v>382</v>
      </c>
      <c r="C601" s="2">
        <v>548.4</v>
      </c>
      <c r="D601" s="1">
        <v>45657</v>
      </c>
      <c r="E601" s="6">
        <v>347</v>
      </c>
      <c r="F601" t="s">
        <v>359</v>
      </c>
      <c r="G601" s="6">
        <v>410</v>
      </c>
      <c r="H601" t="s">
        <v>360</v>
      </c>
    </row>
    <row r="602" spans="1:8" x14ac:dyDescent="0.45">
      <c r="A602" t="s">
        <v>388</v>
      </c>
      <c r="B602" t="s">
        <v>389</v>
      </c>
      <c r="C602" s="2">
        <v>1263.3900000000001</v>
      </c>
      <c r="D602" s="1">
        <v>45657</v>
      </c>
      <c r="E602" s="6">
        <v>346</v>
      </c>
      <c r="F602" t="s">
        <v>385</v>
      </c>
      <c r="G602" s="6">
        <v>410</v>
      </c>
      <c r="H602" t="s">
        <v>360</v>
      </c>
    </row>
    <row r="603" spans="1:8" x14ac:dyDescent="0.45">
      <c r="A603" t="s">
        <v>390</v>
      </c>
      <c r="B603" t="s">
        <v>391</v>
      </c>
      <c r="C603" s="2">
        <v>127555.54400000001</v>
      </c>
      <c r="D603" s="1">
        <v>45657</v>
      </c>
      <c r="E603" s="6">
        <v>346</v>
      </c>
      <c r="F603" t="s">
        <v>385</v>
      </c>
      <c r="G603" s="6">
        <v>410</v>
      </c>
      <c r="H603" t="s">
        <v>360</v>
      </c>
    </row>
    <row r="604" spans="1:8" x14ac:dyDescent="0.45">
      <c r="A604" t="s">
        <v>392</v>
      </c>
      <c r="B604" t="s">
        <v>393</v>
      </c>
      <c r="C604" s="2">
        <v>5645.17</v>
      </c>
      <c r="D604" s="1">
        <v>45657</v>
      </c>
      <c r="E604" s="6">
        <v>346</v>
      </c>
      <c r="F604" t="s">
        <v>385</v>
      </c>
      <c r="G604" s="6">
        <v>410</v>
      </c>
      <c r="H604" t="s">
        <v>360</v>
      </c>
    </row>
    <row r="605" spans="1:8" x14ac:dyDescent="0.45">
      <c r="A605" t="s">
        <v>394</v>
      </c>
      <c r="B605" t="s">
        <v>395</v>
      </c>
      <c r="C605" s="2">
        <v>882.4</v>
      </c>
      <c r="D605" s="1">
        <v>45657</v>
      </c>
      <c r="E605" s="6">
        <v>346</v>
      </c>
      <c r="F605" t="s">
        <v>385</v>
      </c>
      <c r="G605" s="6">
        <v>410</v>
      </c>
      <c r="H605" t="s">
        <v>360</v>
      </c>
    </row>
    <row r="606" spans="1:8" x14ac:dyDescent="0.45">
      <c r="A606" t="s">
        <v>398</v>
      </c>
      <c r="B606" t="s">
        <v>399</v>
      </c>
      <c r="C606" s="2">
        <v>1178.18</v>
      </c>
      <c r="D606" s="1">
        <v>45657</v>
      </c>
      <c r="E606" s="6">
        <v>356</v>
      </c>
      <c r="F606" t="s">
        <v>400</v>
      </c>
      <c r="G606" s="6">
        <v>411</v>
      </c>
      <c r="H606" t="s">
        <v>401</v>
      </c>
    </row>
    <row r="607" spans="1:8" x14ac:dyDescent="0.45">
      <c r="A607" t="s">
        <v>402</v>
      </c>
      <c r="B607" t="s">
        <v>403</v>
      </c>
      <c r="C607" s="2">
        <v>6223.9000000000033</v>
      </c>
      <c r="D607" s="1">
        <v>45657</v>
      </c>
      <c r="E607" s="6">
        <v>356</v>
      </c>
      <c r="F607" t="s">
        <v>400</v>
      </c>
      <c r="G607" s="6">
        <v>411</v>
      </c>
      <c r="H607" t="s">
        <v>401</v>
      </c>
    </row>
    <row r="608" spans="1:8" x14ac:dyDescent="0.45">
      <c r="A608" t="s">
        <v>404</v>
      </c>
      <c r="B608" t="s">
        <v>405</v>
      </c>
      <c r="C608" s="2">
        <v>971.5</v>
      </c>
      <c r="D608" s="1">
        <v>45657</v>
      </c>
      <c r="E608" s="6">
        <v>332</v>
      </c>
      <c r="F608" t="s">
        <v>263</v>
      </c>
      <c r="G608" s="6">
        <v>362</v>
      </c>
      <c r="H608" t="s">
        <v>270</v>
      </c>
    </row>
    <row r="609" spans="1:8" x14ac:dyDescent="0.45">
      <c r="A609" t="s">
        <v>406</v>
      </c>
      <c r="B609" t="s">
        <v>407</v>
      </c>
      <c r="C609" s="2">
        <v>4027.7400000000002</v>
      </c>
      <c r="D609" s="1">
        <v>45657</v>
      </c>
      <c r="E609" s="6">
        <v>332</v>
      </c>
      <c r="F609" t="s">
        <v>263</v>
      </c>
      <c r="G609" s="6">
        <v>380</v>
      </c>
      <c r="H609" t="s">
        <v>290</v>
      </c>
    </row>
    <row r="610" spans="1:8" x14ac:dyDescent="0.45">
      <c r="A610" t="s">
        <v>618</v>
      </c>
      <c r="B610" t="s">
        <v>619</v>
      </c>
      <c r="C610" s="2">
        <v>2996.64</v>
      </c>
      <c r="D610" s="1">
        <v>45657</v>
      </c>
      <c r="E610" s="6">
        <v>333</v>
      </c>
      <c r="F610" t="s">
        <v>410</v>
      </c>
      <c r="G610" s="6">
        <v>370</v>
      </c>
      <c r="H610" t="s">
        <v>411</v>
      </c>
    </row>
    <row r="611" spans="1:8" x14ac:dyDescent="0.45">
      <c r="A611" t="s">
        <v>412</v>
      </c>
      <c r="B611" t="s">
        <v>413</v>
      </c>
      <c r="C611" s="2">
        <v>19597.680000000015</v>
      </c>
      <c r="D611" s="1">
        <v>45657</v>
      </c>
      <c r="E611" s="6">
        <v>333</v>
      </c>
      <c r="F611" t="s">
        <v>410</v>
      </c>
      <c r="G611" s="6">
        <v>370</v>
      </c>
      <c r="H611" t="s">
        <v>411</v>
      </c>
    </row>
    <row r="612" spans="1:8" x14ac:dyDescent="0.45">
      <c r="A612" t="s">
        <v>418</v>
      </c>
      <c r="B612" t="s">
        <v>419</v>
      </c>
      <c r="C612" s="2">
        <v>2702.1899999999996</v>
      </c>
      <c r="D612" s="1">
        <v>45657</v>
      </c>
      <c r="E612" s="6">
        <v>333</v>
      </c>
      <c r="F612" t="s">
        <v>410</v>
      </c>
      <c r="G612" s="6">
        <v>370</v>
      </c>
      <c r="H612" t="s">
        <v>411</v>
      </c>
    </row>
    <row r="613" spans="1:8" x14ac:dyDescent="0.45">
      <c r="A613" t="s">
        <v>568</v>
      </c>
      <c r="B613" t="s">
        <v>569</v>
      </c>
      <c r="C613" s="2">
        <v>13537.020000000004</v>
      </c>
      <c r="D613" s="1">
        <v>45657</v>
      </c>
      <c r="E613" s="6">
        <v>333</v>
      </c>
      <c r="F613" t="s">
        <v>410</v>
      </c>
      <c r="G613" s="6">
        <v>370</v>
      </c>
      <c r="H613" t="s">
        <v>411</v>
      </c>
    </row>
    <row r="614" spans="1:8" x14ac:dyDescent="0.45">
      <c r="A614" t="s">
        <v>420</v>
      </c>
      <c r="B614" t="s">
        <v>421</v>
      </c>
      <c r="C614" s="2">
        <v>-363.24</v>
      </c>
      <c r="D614" s="1">
        <v>45657</v>
      </c>
      <c r="E614" s="6">
        <v>358</v>
      </c>
      <c r="F614" t="s">
        <v>289</v>
      </c>
      <c r="G614" s="6">
        <v>300</v>
      </c>
      <c r="H614" t="s">
        <v>422</v>
      </c>
    </row>
    <row r="615" spans="1:8" x14ac:dyDescent="0.45">
      <c r="A615" t="s">
        <v>423</v>
      </c>
      <c r="B615" t="s">
        <v>424</v>
      </c>
      <c r="C615" s="2">
        <v>7813.5299999999988</v>
      </c>
      <c r="D615" s="1">
        <v>45657</v>
      </c>
      <c r="E615" s="6">
        <v>331</v>
      </c>
      <c r="F615" t="s">
        <v>251</v>
      </c>
      <c r="G615" s="6">
        <v>330</v>
      </c>
      <c r="H615" t="s">
        <v>252</v>
      </c>
    </row>
    <row r="616" spans="1:8" x14ac:dyDescent="0.45">
      <c r="A616" t="s">
        <v>425</v>
      </c>
      <c r="B616" t="s">
        <v>426</v>
      </c>
      <c r="C616" s="2">
        <v>4653.6499999999987</v>
      </c>
      <c r="D616" s="1">
        <v>45657</v>
      </c>
      <c r="E616" s="6">
        <v>358</v>
      </c>
      <c r="F616" t="s">
        <v>289</v>
      </c>
      <c r="G616" s="6">
        <v>380</v>
      </c>
      <c r="H616" t="s">
        <v>290</v>
      </c>
    </row>
    <row r="617" spans="1:8" x14ac:dyDescent="0.45">
      <c r="A617" t="s">
        <v>427</v>
      </c>
      <c r="B617" t="s">
        <v>428</v>
      </c>
      <c r="C617" s="2">
        <v>18.949999999999985</v>
      </c>
      <c r="D617" s="1">
        <v>45657</v>
      </c>
      <c r="E617" s="6">
        <v>332</v>
      </c>
      <c r="F617" t="s">
        <v>263</v>
      </c>
      <c r="G617" s="6">
        <v>380</v>
      </c>
      <c r="H617" t="s">
        <v>290</v>
      </c>
    </row>
    <row r="618" spans="1:8" x14ac:dyDescent="0.45">
      <c r="A618" t="s">
        <v>534</v>
      </c>
      <c r="B618" t="s">
        <v>535</v>
      </c>
      <c r="C618" s="2">
        <v>9.99</v>
      </c>
      <c r="D618" s="1">
        <v>45657</v>
      </c>
      <c r="E618" s="6">
        <v>358</v>
      </c>
      <c r="F618" t="s">
        <v>289</v>
      </c>
      <c r="G618" s="6">
        <v>380</v>
      </c>
      <c r="H618" t="s">
        <v>290</v>
      </c>
    </row>
    <row r="619" spans="1:8" x14ac:dyDescent="0.45">
      <c r="A619" t="s">
        <v>431</v>
      </c>
      <c r="B619" t="s">
        <v>432</v>
      </c>
      <c r="C619" s="2">
        <v>496.93</v>
      </c>
      <c r="D619" s="1">
        <v>45657</v>
      </c>
      <c r="E619" s="6">
        <v>358</v>
      </c>
      <c r="F619" t="s">
        <v>289</v>
      </c>
      <c r="G619" s="6">
        <v>380</v>
      </c>
      <c r="H619" t="s">
        <v>290</v>
      </c>
    </row>
    <row r="620" spans="1:8" x14ac:dyDescent="0.45">
      <c r="A620" t="s">
        <v>433</v>
      </c>
      <c r="B620" t="s">
        <v>434</v>
      </c>
      <c r="C620" s="2">
        <v>18889.900000000005</v>
      </c>
      <c r="D620" s="1">
        <v>45657</v>
      </c>
      <c r="E620" s="6">
        <v>331</v>
      </c>
      <c r="F620" t="s">
        <v>251</v>
      </c>
      <c r="G620" s="6">
        <v>330</v>
      </c>
      <c r="H620" t="s">
        <v>252</v>
      </c>
    </row>
    <row r="621" spans="1:8" x14ac:dyDescent="0.45">
      <c r="A621" t="s">
        <v>435</v>
      </c>
      <c r="B621" t="s">
        <v>436</v>
      </c>
      <c r="C621" s="2">
        <v>2244.2200000000003</v>
      </c>
      <c r="D621" s="1">
        <v>45657</v>
      </c>
      <c r="E621" s="6">
        <v>333</v>
      </c>
      <c r="F621" t="s">
        <v>410</v>
      </c>
      <c r="G621" s="6">
        <v>380</v>
      </c>
      <c r="H621" t="s">
        <v>290</v>
      </c>
    </row>
    <row r="622" spans="1:8" x14ac:dyDescent="0.45">
      <c r="A622" t="s">
        <v>437</v>
      </c>
      <c r="B622" t="s">
        <v>438</v>
      </c>
      <c r="C622" s="2">
        <v>98.72</v>
      </c>
      <c r="D622" s="1">
        <v>45657</v>
      </c>
      <c r="E622" s="6">
        <v>332</v>
      </c>
      <c r="F622" t="s">
        <v>263</v>
      </c>
      <c r="G622" s="6">
        <v>364</v>
      </c>
      <c r="H622" t="s">
        <v>282</v>
      </c>
    </row>
    <row r="623" spans="1:8" x14ac:dyDescent="0.45">
      <c r="A623" t="s">
        <v>439</v>
      </c>
      <c r="B623" t="s">
        <v>440</v>
      </c>
      <c r="C623" s="2">
        <v>18770.66</v>
      </c>
      <c r="D623" s="1">
        <v>45657</v>
      </c>
      <c r="E623" s="6">
        <v>358</v>
      </c>
      <c r="F623" t="s">
        <v>289</v>
      </c>
      <c r="G623" s="6">
        <v>380</v>
      </c>
      <c r="H623" t="s">
        <v>290</v>
      </c>
    </row>
    <row r="624" spans="1:8" x14ac:dyDescent="0.45">
      <c r="A624" t="s">
        <v>441</v>
      </c>
      <c r="B624" t="s">
        <v>442</v>
      </c>
      <c r="C624" s="2">
        <v>150</v>
      </c>
      <c r="D624" s="1">
        <v>45657</v>
      </c>
      <c r="E624" s="6">
        <v>332</v>
      </c>
      <c r="F624" t="s">
        <v>263</v>
      </c>
      <c r="G624" s="6">
        <v>380</v>
      </c>
      <c r="H624" t="s">
        <v>290</v>
      </c>
    </row>
    <row r="625" spans="1:8" x14ac:dyDescent="0.45">
      <c r="A625" t="s">
        <v>446</v>
      </c>
      <c r="B625" t="s">
        <v>447</v>
      </c>
      <c r="C625" s="2">
        <v>12862.370000000006</v>
      </c>
      <c r="D625" s="1">
        <v>45657</v>
      </c>
      <c r="E625" s="6">
        <v>332</v>
      </c>
      <c r="F625" t="s">
        <v>263</v>
      </c>
      <c r="G625" s="6">
        <v>364</v>
      </c>
      <c r="H625" t="s">
        <v>282</v>
      </c>
    </row>
    <row r="626" spans="1:8" x14ac:dyDescent="0.45">
      <c r="A626" t="s">
        <v>448</v>
      </c>
      <c r="B626" t="s">
        <v>449</v>
      </c>
      <c r="C626" s="2">
        <v>709.29</v>
      </c>
      <c r="D626" s="1">
        <v>45657</v>
      </c>
      <c r="E626" s="6">
        <v>332</v>
      </c>
      <c r="F626" t="s">
        <v>263</v>
      </c>
      <c r="G626" s="6">
        <v>380</v>
      </c>
      <c r="H626" t="s">
        <v>290</v>
      </c>
    </row>
    <row r="627" spans="1:8" x14ac:dyDescent="0.45">
      <c r="A627" t="s">
        <v>450</v>
      </c>
      <c r="B627" t="s">
        <v>451</v>
      </c>
      <c r="C627" s="2">
        <v>1950.3899999999999</v>
      </c>
      <c r="D627" s="1">
        <v>45657</v>
      </c>
      <c r="E627" s="6">
        <v>332</v>
      </c>
      <c r="F627" t="s">
        <v>263</v>
      </c>
      <c r="G627" s="6">
        <v>380</v>
      </c>
      <c r="H627" t="s">
        <v>290</v>
      </c>
    </row>
    <row r="628" spans="1:8" x14ac:dyDescent="0.45">
      <c r="A628" t="s">
        <v>452</v>
      </c>
      <c r="B628" t="s">
        <v>453</v>
      </c>
      <c r="C628" s="2">
        <v>3563.5</v>
      </c>
      <c r="D628" s="1">
        <v>45657</v>
      </c>
      <c r="E628" s="6">
        <v>332</v>
      </c>
      <c r="F628" t="s">
        <v>263</v>
      </c>
      <c r="G628" s="6">
        <v>380</v>
      </c>
      <c r="H628" t="s">
        <v>290</v>
      </c>
    </row>
    <row r="629" spans="1:8" x14ac:dyDescent="0.45">
      <c r="A629" t="s">
        <v>454</v>
      </c>
      <c r="B629" t="s">
        <v>455</v>
      </c>
      <c r="C629" s="2">
        <v>604.95999999999992</v>
      </c>
      <c r="D629" s="1">
        <v>45657</v>
      </c>
      <c r="E629" s="6">
        <v>358</v>
      </c>
      <c r="F629" t="s">
        <v>289</v>
      </c>
      <c r="G629" s="6">
        <v>380</v>
      </c>
      <c r="H629" t="s">
        <v>290</v>
      </c>
    </row>
    <row r="630" spans="1:8" x14ac:dyDescent="0.45">
      <c r="A630" t="s">
        <v>456</v>
      </c>
      <c r="B630" t="s">
        <v>457</v>
      </c>
      <c r="C630" s="2">
        <v>8212.369999999999</v>
      </c>
      <c r="D630" s="1">
        <v>45657</v>
      </c>
      <c r="E630" s="6">
        <v>331</v>
      </c>
      <c r="F630" t="s">
        <v>251</v>
      </c>
      <c r="G630" s="6">
        <v>364</v>
      </c>
      <c r="H630" t="s">
        <v>282</v>
      </c>
    </row>
    <row r="631" spans="1:8" x14ac:dyDescent="0.45">
      <c r="A631" t="s">
        <v>458</v>
      </c>
      <c r="B631" t="s">
        <v>459</v>
      </c>
      <c r="C631" s="2">
        <v>4186.7800000000016</v>
      </c>
      <c r="D631" s="1">
        <v>45657</v>
      </c>
      <c r="E631" s="6">
        <v>332</v>
      </c>
      <c r="F631" t="s">
        <v>263</v>
      </c>
      <c r="G631" s="6">
        <v>364</v>
      </c>
      <c r="H631" t="s">
        <v>282</v>
      </c>
    </row>
    <row r="632" spans="1:8" x14ac:dyDescent="0.45">
      <c r="A632" t="s">
        <v>460</v>
      </c>
      <c r="B632" t="s">
        <v>461</v>
      </c>
      <c r="C632" s="2">
        <v>3815.6199999999994</v>
      </c>
      <c r="D632" s="1">
        <v>45657</v>
      </c>
      <c r="E632" s="6">
        <v>332</v>
      </c>
      <c r="F632" t="s">
        <v>263</v>
      </c>
      <c r="G632" s="6">
        <v>364</v>
      </c>
      <c r="H632" t="s">
        <v>282</v>
      </c>
    </row>
    <row r="633" spans="1:8" x14ac:dyDescent="0.45">
      <c r="A633" t="s">
        <v>620</v>
      </c>
      <c r="B633" t="s">
        <v>621</v>
      </c>
      <c r="C633" s="2">
        <v>699.35</v>
      </c>
      <c r="D633" s="1">
        <v>45657</v>
      </c>
      <c r="E633" s="6">
        <v>358</v>
      </c>
      <c r="F633" t="s">
        <v>289</v>
      </c>
      <c r="G633" s="6">
        <v>380</v>
      </c>
      <c r="H633" t="s">
        <v>290</v>
      </c>
    </row>
    <row r="634" spans="1:8" x14ac:dyDescent="0.45">
      <c r="A634" t="s">
        <v>462</v>
      </c>
      <c r="B634" t="s">
        <v>463</v>
      </c>
      <c r="C634" s="2">
        <v>580</v>
      </c>
      <c r="D634" s="1">
        <v>45657</v>
      </c>
      <c r="E634" s="6">
        <v>358</v>
      </c>
      <c r="F634" t="s">
        <v>289</v>
      </c>
      <c r="G634" s="6">
        <v>380</v>
      </c>
      <c r="H634" t="s">
        <v>290</v>
      </c>
    </row>
    <row r="635" spans="1:8" x14ac:dyDescent="0.45">
      <c r="A635" t="s">
        <v>464</v>
      </c>
      <c r="B635" t="s">
        <v>465</v>
      </c>
      <c r="C635" s="2">
        <v>1513</v>
      </c>
      <c r="D635" s="1">
        <v>45657</v>
      </c>
      <c r="E635" s="6">
        <v>358</v>
      </c>
      <c r="F635" t="s">
        <v>289</v>
      </c>
      <c r="G635" s="6">
        <v>380</v>
      </c>
      <c r="H635" t="s">
        <v>290</v>
      </c>
    </row>
    <row r="636" spans="1:8" x14ac:dyDescent="0.45">
      <c r="A636" t="s">
        <v>536</v>
      </c>
      <c r="B636" t="s">
        <v>537</v>
      </c>
      <c r="C636" s="2">
        <v>10096.379999999999</v>
      </c>
      <c r="D636" s="1">
        <v>45657</v>
      </c>
      <c r="E636" s="6">
        <v>358</v>
      </c>
      <c r="F636" t="s">
        <v>289</v>
      </c>
      <c r="G636" s="6">
        <v>380</v>
      </c>
      <c r="H636" t="s">
        <v>290</v>
      </c>
    </row>
    <row r="637" spans="1:8" x14ac:dyDescent="0.45">
      <c r="A637" t="s">
        <v>474</v>
      </c>
      <c r="B637" t="s">
        <v>475</v>
      </c>
      <c r="C637" s="2">
        <v>-1622549.13</v>
      </c>
      <c r="D637" s="1">
        <v>45657</v>
      </c>
      <c r="E637" s="6">
        <v>311</v>
      </c>
      <c r="F637" t="s">
        <v>476</v>
      </c>
      <c r="G637" s="6">
        <v>300</v>
      </c>
      <c r="H637" t="s">
        <v>422</v>
      </c>
    </row>
    <row r="638" spans="1:8" x14ac:dyDescent="0.45">
      <c r="A638" t="s">
        <v>477</v>
      </c>
      <c r="B638" t="s">
        <v>478</v>
      </c>
      <c r="C638" s="2">
        <v>-62881.099999999991</v>
      </c>
      <c r="D638" s="1">
        <v>45657</v>
      </c>
      <c r="E638" s="6">
        <v>311</v>
      </c>
      <c r="F638" t="s">
        <v>476</v>
      </c>
      <c r="G638" s="6">
        <v>300</v>
      </c>
      <c r="H638" t="s">
        <v>422</v>
      </c>
    </row>
    <row r="639" spans="1:8" x14ac:dyDescent="0.45">
      <c r="A639" t="s">
        <v>479</v>
      </c>
      <c r="B639" t="s">
        <v>480</v>
      </c>
      <c r="C639" s="2">
        <v>-182393.74999999997</v>
      </c>
      <c r="D639" s="1">
        <v>45657</v>
      </c>
      <c r="E639" s="6">
        <v>311</v>
      </c>
      <c r="F639" t="s">
        <v>476</v>
      </c>
      <c r="G639" s="6">
        <v>300</v>
      </c>
      <c r="H639" t="s">
        <v>422</v>
      </c>
    </row>
    <row r="640" spans="1:8" x14ac:dyDescent="0.45">
      <c r="A640" t="s">
        <v>481</v>
      </c>
      <c r="B640" t="s">
        <v>482</v>
      </c>
      <c r="C640" s="2">
        <v>-111131.90000000001</v>
      </c>
      <c r="D640" s="1">
        <v>45657</v>
      </c>
      <c r="E640" s="6">
        <v>311</v>
      </c>
      <c r="F640" t="s">
        <v>476</v>
      </c>
      <c r="G640" s="6">
        <v>320</v>
      </c>
      <c r="H640" t="s">
        <v>483</v>
      </c>
    </row>
    <row r="641" spans="1:8" x14ac:dyDescent="0.45">
      <c r="A641" t="s">
        <v>499</v>
      </c>
      <c r="B641" t="s">
        <v>500</v>
      </c>
      <c r="C641" s="2">
        <v>-2078.21</v>
      </c>
      <c r="D641" s="1">
        <v>45657</v>
      </c>
      <c r="E641" s="6">
        <v>395</v>
      </c>
      <c r="F641" t="s">
        <v>622</v>
      </c>
      <c r="G641" s="6">
        <v>440</v>
      </c>
      <c r="H641" t="s">
        <v>487</v>
      </c>
    </row>
    <row r="642" spans="1:8" x14ac:dyDescent="0.45">
      <c r="A642" t="s">
        <v>484</v>
      </c>
      <c r="B642" t="s">
        <v>485</v>
      </c>
      <c r="C642" s="2">
        <v>-2578.14</v>
      </c>
      <c r="D642" s="1">
        <v>45657</v>
      </c>
      <c r="E642" s="6">
        <v>321</v>
      </c>
      <c r="F642" t="s">
        <v>486</v>
      </c>
      <c r="G642" s="6">
        <v>440</v>
      </c>
      <c r="H642" t="s">
        <v>487</v>
      </c>
    </row>
    <row r="643" spans="1:8" x14ac:dyDescent="0.45">
      <c r="A643" t="s">
        <v>492</v>
      </c>
      <c r="B643" t="s">
        <v>493</v>
      </c>
      <c r="C643" s="2">
        <v>-701.07</v>
      </c>
      <c r="D643" s="1">
        <v>45657</v>
      </c>
      <c r="E643" s="6">
        <v>321</v>
      </c>
      <c r="F643" t="s">
        <v>486</v>
      </c>
      <c r="G643" s="6">
        <v>440</v>
      </c>
      <c r="H643" t="s">
        <v>487</v>
      </c>
    </row>
    <row r="644" spans="1:8" x14ac:dyDescent="0.45">
      <c r="A644" t="s">
        <v>494</v>
      </c>
      <c r="B644" t="s">
        <v>495</v>
      </c>
      <c r="C644" s="2">
        <v>-702399.96</v>
      </c>
      <c r="D644" s="1">
        <v>45657</v>
      </c>
      <c r="E644" s="6">
        <v>351</v>
      </c>
      <c r="F644" t="s">
        <v>247</v>
      </c>
      <c r="G644" s="6">
        <v>340</v>
      </c>
      <c r="H644" t="s">
        <v>248</v>
      </c>
    </row>
    <row r="645" spans="1:8" x14ac:dyDescent="0.45">
      <c r="A645" t="s">
        <v>501</v>
      </c>
      <c r="B645" t="s">
        <v>502</v>
      </c>
      <c r="C645" s="2">
        <v>-595.51</v>
      </c>
      <c r="D645" s="1">
        <v>45657</v>
      </c>
      <c r="E645" s="6">
        <v>321</v>
      </c>
      <c r="F645" t="s">
        <v>486</v>
      </c>
      <c r="G645" s="6">
        <v>300</v>
      </c>
      <c r="H645" t="s">
        <v>422</v>
      </c>
    </row>
    <row r="646" spans="1:8" x14ac:dyDescent="0.45">
      <c r="A646" t="s">
        <v>503</v>
      </c>
      <c r="B646" t="s">
        <v>504</v>
      </c>
      <c r="C646" s="2">
        <v>-5656.8000000000202</v>
      </c>
      <c r="D646" s="1">
        <v>45657</v>
      </c>
      <c r="E646" s="6">
        <v>321</v>
      </c>
      <c r="F646" t="s">
        <v>486</v>
      </c>
      <c r="G646" s="6">
        <v>320</v>
      </c>
      <c r="H646" t="s">
        <v>483</v>
      </c>
    </row>
    <row r="647" spans="1:8" x14ac:dyDescent="0.45">
      <c r="A647" t="s">
        <v>623</v>
      </c>
      <c r="B647" t="s">
        <v>624</v>
      </c>
      <c r="C647" s="2">
        <v>-37.58</v>
      </c>
      <c r="D647" s="1">
        <v>45657</v>
      </c>
      <c r="E647" s="6">
        <v>311</v>
      </c>
      <c r="F647" t="s">
        <v>476</v>
      </c>
      <c r="G647" s="6">
        <v>320</v>
      </c>
      <c r="H647" t="s">
        <v>483</v>
      </c>
    </row>
    <row r="648" spans="1:8" x14ac:dyDescent="0.45">
      <c r="A648" t="s">
        <v>625</v>
      </c>
      <c r="B648" t="s">
        <v>626</v>
      </c>
      <c r="C648" s="2">
        <v>-527.04999999999995</v>
      </c>
      <c r="D648" s="1">
        <v>45657</v>
      </c>
      <c r="E648" s="6">
        <v>321</v>
      </c>
      <c r="F648" t="s">
        <v>486</v>
      </c>
      <c r="G648" s="6">
        <v>440</v>
      </c>
      <c r="H648" t="s">
        <v>487</v>
      </c>
    </row>
    <row r="649" spans="1:8" x14ac:dyDescent="0.45">
      <c r="A649" t="s">
        <v>574</v>
      </c>
      <c r="B649" t="s">
        <v>575</v>
      </c>
      <c r="C649" s="2">
        <v>-27740.880000000001</v>
      </c>
      <c r="D649" s="1">
        <v>45657</v>
      </c>
      <c r="E649" s="6">
        <v>321</v>
      </c>
      <c r="F649" t="s">
        <v>486</v>
      </c>
      <c r="G649" s="6">
        <v>440</v>
      </c>
      <c r="H649" t="s">
        <v>487</v>
      </c>
    </row>
    <row r="650" spans="1:8" x14ac:dyDescent="0.45">
      <c r="A650" t="s">
        <v>488</v>
      </c>
      <c r="B650" t="s">
        <v>489</v>
      </c>
      <c r="C650" s="2">
        <v>-73519.87</v>
      </c>
      <c r="D650" s="1">
        <v>45657</v>
      </c>
      <c r="E650" s="6">
        <v>320</v>
      </c>
      <c r="F650" t="s">
        <v>490</v>
      </c>
      <c r="G650" s="6">
        <v>315</v>
      </c>
      <c r="H650" t="s">
        <v>491</v>
      </c>
    </row>
    <row r="651" spans="1:8" x14ac:dyDescent="0.45">
      <c r="A651" t="s">
        <v>468</v>
      </c>
      <c r="B651" t="s">
        <v>469</v>
      </c>
      <c r="C651" s="2">
        <v>7741</v>
      </c>
      <c r="D651" s="1">
        <v>45657</v>
      </c>
      <c r="E651" s="6">
        <v>482</v>
      </c>
      <c r="F651" t="s">
        <v>470</v>
      </c>
      <c r="G651" s="6">
        <v>460</v>
      </c>
      <c r="H651" t="s">
        <v>471</v>
      </c>
    </row>
    <row r="652" spans="1:8" x14ac:dyDescent="0.45">
      <c r="A652" t="s">
        <v>472</v>
      </c>
      <c r="B652" t="s">
        <v>473</v>
      </c>
      <c r="C652" s="2">
        <v>8056</v>
      </c>
      <c r="D652" s="1">
        <v>45657</v>
      </c>
      <c r="E652" s="6">
        <v>482</v>
      </c>
      <c r="F652" t="s">
        <v>470</v>
      </c>
      <c r="G652" s="6">
        <v>460</v>
      </c>
      <c r="H652" t="s">
        <v>471</v>
      </c>
    </row>
    <row r="653" spans="1:8" x14ac:dyDescent="0.45">
      <c r="A653" t="s">
        <v>44</v>
      </c>
      <c r="B653" t="s">
        <v>45</v>
      </c>
      <c r="C653" s="2">
        <v>18343.599999999999</v>
      </c>
      <c r="D653" s="1">
        <v>45838</v>
      </c>
      <c r="E653" s="6">
        <v>16</v>
      </c>
      <c r="F653" t="s">
        <v>46</v>
      </c>
      <c r="G653" s="6">
        <v>10</v>
      </c>
      <c r="H653" t="s">
        <v>47</v>
      </c>
    </row>
    <row r="654" spans="1:8" x14ac:dyDescent="0.45">
      <c r="A654" t="s">
        <v>50</v>
      </c>
      <c r="B654" t="s">
        <v>51</v>
      </c>
      <c r="C654" s="2">
        <v>3839.24</v>
      </c>
      <c r="D654" s="1">
        <v>45838</v>
      </c>
      <c r="E654" s="6">
        <v>16</v>
      </c>
      <c r="F654" t="s">
        <v>46</v>
      </c>
      <c r="G654" s="6">
        <v>10</v>
      </c>
      <c r="H654" t="s">
        <v>47</v>
      </c>
    </row>
    <row r="655" spans="1:8" x14ac:dyDescent="0.45">
      <c r="A655" t="s">
        <v>54</v>
      </c>
      <c r="B655" t="s">
        <v>55</v>
      </c>
      <c r="C655" s="2">
        <v>1764.8</v>
      </c>
      <c r="D655" s="1">
        <v>45838</v>
      </c>
      <c r="E655" s="6">
        <v>16</v>
      </c>
      <c r="F655" t="s">
        <v>46</v>
      </c>
      <c r="G655" s="6">
        <v>10</v>
      </c>
      <c r="H655" t="s">
        <v>47</v>
      </c>
    </row>
    <row r="656" spans="1:8" x14ac:dyDescent="0.45">
      <c r="A656" t="s">
        <v>58</v>
      </c>
      <c r="B656" t="s">
        <v>59</v>
      </c>
      <c r="C656" s="2">
        <v>97637.78</v>
      </c>
      <c r="D656" s="1">
        <v>45838</v>
      </c>
      <c r="E656" s="6">
        <v>16</v>
      </c>
      <c r="F656" t="s">
        <v>46</v>
      </c>
      <c r="G656" s="6">
        <v>10</v>
      </c>
      <c r="H656" t="s">
        <v>47</v>
      </c>
    </row>
    <row r="657" spans="1:8" x14ac:dyDescent="0.45">
      <c r="A657" t="s">
        <v>52</v>
      </c>
      <c r="B657" t="s">
        <v>53</v>
      </c>
      <c r="C657" s="2">
        <v>18698.97</v>
      </c>
      <c r="D657" s="1">
        <v>45838</v>
      </c>
      <c r="E657" s="6">
        <v>16</v>
      </c>
      <c r="F657" t="s">
        <v>46</v>
      </c>
      <c r="G657" s="6">
        <v>10</v>
      </c>
      <c r="H657" t="s">
        <v>47</v>
      </c>
    </row>
    <row r="658" spans="1:8" x14ac:dyDescent="0.45">
      <c r="A658" t="s">
        <v>580</v>
      </c>
      <c r="B658" t="s">
        <v>581</v>
      </c>
      <c r="C658" s="2">
        <v>-17342.772000000004</v>
      </c>
      <c r="D658" s="1">
        <v>45838</v>
      </c>
      <c r="E658" s="6">
        <v>16</v>
      </c>
      <c r="F658" t="s">
        <v>46</v>
      </c>
      <c r="G658" s="6">
        <v>10</v>
      </c>
      <c r="H658" t="s">
        <v>47</v>
      </c>
    </row>
    <row r="659" spans="1:8" x14ac:dyDescent="0.45">
      <c r="A659" t="s">
        <v>627</v>
      </c>
      <c r="B659" t="s">
        <v>628</v>
      </c>
      <c r="C659" s="2">
        <v>25685</v>
      </c>
      <c r="D659" s="1">
        <v>45838</v>
      </c>
      <c r="E659" s="6">
        <v>16</v>
      </c>
      <c r="F659" t="s">
        <v>46</v>
      </c>
      <c r="G659" s="6">
        <v>10</v>
      </c>
      <c r="H659" t="s">
        <v>47</v>
      </c>
    </row>
    <row r="660" spans="1:8" x14ac:dyDescent="0.45">
      <c r="A660" t="s">
        <v>578</v>
      </c>
      <c r="B660" t="s">
        <v>579</v>
      </c>
      <c r="C660" s="2">
        <v>1020.81</v>
      </c>
      <c r="D660" s="1">
        <v>45838</v>
      </c>
      <c r="E660" s="6">
        <v>16</v>
      </c>
      <c r="F660" t="s">
        <v>46</v>
      </c>
      <c r="G660" s="6">
        <v>10</v>
      </c>
      <c r="H660" t="s">
        <v>47</v>
      </c>
    </row>
    <row r="661" spans="1:8" x14ac:dyDescent="0.45">
      <c r="A661" t="s">
        <v>42</v>
      </c>
      <c r="B661" t="s">
        <v>629</v>
      </c>
      <c r="C661" s="2">
        <v>6300</v>
      </c>
      <c r="D661" s="1">
        <v>45838</v>
      </c>
      <c r="E661" s="6">
        <v>32</v>
      </c>
      <c r="F661" t="s">
        <v>8</v>
      </c>
      <c r="G661" s="6">
        <v>20</v>
      </c>
      <c r="H661" t="s">
        <v>9</v>
      </c>
    </row>
    <row r="662" spans="1:8" x14ac:dyDescent="0.45">
      <c r="A662" t="s">
        <v>24</v>
      </c>
      <c r="B662" t="s">
        <v>630</v>
      </c>
      <c r="C662" s="2">
        <v>18280</v>
      </c>
      <c r="D662" s="1">
        <v>45838</v>
      </c>
      <c r="E662" s="6">
        <v>32</v>
      </c>
      <c r="F662" t="s">
        <v>8</v>
      </c>
      <c r="G662" s="6">
        <v>20</v>
      </c>
      <c r="H662" t="s">
        <v>9</v>
      </c>
    </row>
    <row r="663" spans="1:8" x14ac:dyDescent="0.45">
      <c r="A663" t="s">
        <v>28</v>
      </c>
      <c r="B663" t="s">
        <v>631</v>
      </c>
      <c r="C663" s="2">
        <v>28492.37</v>
      </c>
      <c r="D663" s="1">
        <v>45838</v>
      </c>
      <c r="E663" s="6">
        <v>32</v>
      </c>
      <c r="F663" t="s">
        <v>8</v>
      </c>
      <c r="G663" s="6">
        <v>20</v>
      </c>
      <c r="H663" t="s">
        <v>9</v>
      </c>
    </row>
    <row r="664" spans="1:8" x14ac:dyDescent="0.45">
      <c r="A664" t="s">
        <v>6</v>
      </c>
      <c r="B664" t="s">
        <v>632</v>
      </c>
      <c r="C664" s="2">
        <v>5000</v>
      </c>
      <c r="D664" s="1">
        <v>45838</v>
      </c>
      <c r="E664" s="6">
        <v>32</v>
      </c>
      <c r="F664" t="s">
        <v>8</v>
      </c>
      <c r="G664" s="6">
        <v>20</v>
      </c>
      <c r="H664" t="s">
        <v>9</v>
      </c>
    </row>
    <row r="665" spans="1:8" x14ac:dyDescent="0.45">
      <c r="A665" t="s">
        <v>10</v>
      </c>
      <c r="B665" t="s">
        <v>633</v>
      </c>
      <c r="C665" s="2">
        <v>22183.08</v>
      </c>
      <c r="D665" s="1">
        <v>45838</v>
      </c>
      <c r="E665" s="6">
        <v>32</v>
      </c>
      <c r="F665" t="s">
        <v>8</v>
      </c>
      <c r="G665" s="6">
        <v>20</v>
      </c>
      <c r="H665" t="s">
        <v>9</v>
      </c>
    </row>
    <row r="666" spans="1:8" x14ac:dyDescent="0.45">
      <c r="A666" t="s">
        <v>26</v>
      </c>
      <c r="B666" t="s">
        <v>27</v>
      </c>
      <c r="C666" s="2">
        <v>15387.16</v>
      </c>
      <c r="D666" s="1">
        <v>45838</v>
      </c>
      <c r="E666" s="6">
        <v>32</v>
      </c>
      <c r="F666" t="s">
        <v>8</v>
      </c>
      <c r="G666" s="6">
        <v>20</v>
      </c>
      <c r="H666" t="s">
        <v>9</v>
      </c>
    </row>
    <row r="667" spans="1:8" x14ac:dyDescent="0.45">
      <c r="A667" t="s">
        <v>16</v>
      </c>
      <c r="B667" t="s">
        <v>17</v>
      </c>
      <c r="C667" s="2">
        <v>54483.99</v>
      </c>
      <c r="D667" s="1">
        <v>45838</v>
      </c>
      <c r="E667" s="6">
        <v>32</v>
      </c>
      <c r="F667" t="s">
        <v>8</v>
      </c>
      <c r="G667" s="6">
        <v>20</v>
      </c>
      <c r="H667" t="s">
        <v>9</v>
      </c>
    </row>
    <row r="668" spans="1:8" x14ac:dyDescent="0.45">
      <c r="A668" t="s">
        <v>576</v>
      </c>
      <c r="B668" t="s">
        <v>577</v>
      </c>
      <c r="C668" s="2">
        <v>24676.84</v>
      </c>
      <c r="D668" s="1">
        <v>45838</v>
      </c>
      <c r="E668" s="6">
        <v>32</v>
      </c>
      <c r="F668" t="s">
        <v>8</v>
      </c>
      <c r="G668" s="6">
        <v>20</v>
      </c>
      <c r="H668" t="s">
        <v>9</v>
      </c>
    </row>
    <row r="669" spans="1:8" x14ac:dyDescent="0.45">
      <c r="A669" t="s">
        <v>14</v>
      </c>
      <c r="B669" t="s">
        <v>15</v>
      </c>
      <c r="C669" s="2">
        <v>9941.83</v>
      </c>
      <c r="D669" s="1">
        <v>45838</v>
      </c>
      <c r="E669" s="6">
        <v>32</v>
      </c>
      <c r="F669" t="s">
        <v>8</v>
      </c>
      <c r="G669" s="6">
        <v>20</v>
      </c>
      <c r="H669" t="s">
        <v>9</v>
      </c>
    </row>
    <row r="670" spans="1:8" x14ac:dyDescent="0.45">
      <c r="A670" t="s">
        <v>30</v>
      </c>
      <c r="B670" t="s">
        <v>31</v>
      </c>
      <c r="C670" s="2">
        <v>5343.01</v>
      </c>
      <c r="D670" s="1">
        <v>45838</v>
      </c>
      <c r="E670" s="6">
        <v>32</v>
      </c>
      <c r="F670" t="s">
        <v>8</v>
      </c>
      <c r="G670" s="6">
        <v>20</v>
      </c>
      <c r="H670" t="s">
        <v>9</v>
      </c>
    </row>
    <row r="671" spans="1:8" x14ac:dyDescent="0.45">
      <c r="A671" t="s">
        <v>18</v>
      </c>
      <c r="B671" t="s">
        <v>19</v>
      </c>
      <c r="C671" s="2">
        <v>6291.66</v>
      </c>
      <c r="D671" s="1">
        <v>45838</v>
      </c>
      <c r="E671" s="6">
        <v>32</v>
      </c>
      <c r="F671" t="s">
        <v>8</v>
      </c>
      <c r="G671" s="6">
        <v>20</v>
      </c>
      <c r="H671" t="s">
        <v>9</v>
      </c>
    </row>
    <row r="672" spans="1:8" x14ac:dyDescent="0.45">
      <c r="A672" t="s">
        <v>20</v>
      </c>
      <c r="B672" t="s">
        <v>21</v>
      </c>
      <c r="C672" s="2">
        <v>1289.94</v>
      </c>
      <c r="D672" s="1">
        <v>45838</v>
      </c>
      <c r="E672" s="6">
        <v>32</v>
      </c>
      <c r="F672" t="s">
        <v>8</v>
      </c>
      <c r="G672" s="6">
        <v>20</v>
      </c>
      <c r="H672" t="s">
        <v>9</v>
      </c>
    </row>
    <row r="673" spans="1:8" x14ac:dyDescent="0.45">
      <c r="A673" t="s">
        <v>22</v>
      </c>
      <c r="B673" t="s">
        <v>23</v>
      </c>
      <c r="C673" s="2">
        <v>196.71</v>
      </c>
      <c r="D673" s="1">
        <v>45838</v>
      </c>
      <c r="E673" s="6">
        <v>32</v>
      </c>
      <c r="F673" t="s">
        <v>8</v>
      </c>
      <c r="G673" s="6">
        <v>20</v>
      </c>
      <c r="H673" t="s">
        <v>9</v>
      </c>
    </row>
    <row r="674" spans="1:8" x14ac:dyDescent="0.45">
      <c r="A674" t="s">
        <v>40</v>
      </c>
      <c r="B674" t="s">
        <v>41</v>
      </c>
      <c r="C674" s="2">
        <v>348</v>
      </c>
      <c r="D674" s="1">
        <v>45838</v>
      </c>
      <c r="E674" s="6">
        <v>32</v>
      </c>
      <c r="F674" t="s">
        <v>8</v>
      </c>
      <c r="G674" s="6">
        <v>20</v>
      </c>
      <c r="H674" t="s">
        <v>9</v>
      </c>
    </row>
    <row r="675" spans="1:8" x14ac:dyDescent="0.45">
      <c r="A675" t="s">
        <v>32</v>
      </c>
      <c r="B675" t="s">
        <v>33</v>
      </c>
      <c r="C675" s="2">
        <v>9258.17</v>
      </c>
      <c r="D675" s="1">
        <v>45838</v>
      </c>
      <c r="E675" s="6">
        <v>32</v>
      </c>
      <c r="F675" t="s">
        <v>8</v>
      </c>
      <c r="G675" s="6">
        <v>20</v>
      </c>
      <c r="H675" t="s">
        <v>9</v>
      </c>
    </row>
    <row r="676" spans="1:8" x14ac:dyDescent="0.45">
      <c r="A676" t="s">
        <v>34</v>
      </c>
      <c r="B676" t="s">
        <v>35</v>
      </c>
      <c r="C676" s="2">
        <v>1005</v>
      </c>
      <c r="D676" s="1">
        <v>45838</v>
      </c>
      <c r="E676" s="6">
        <v>32</v>
      </c>
      <c r="F676" t="s">
        <v>8</v>
      </c>
      <c r="G676" s="6">
        <v>20</v>
      </c>
      <c r="H676" t="s">
        <v>9</v>
      </c>
    </row>
    <row r="677" spans="1:8" x14ac:dyDescent="0.45">
      <c r="A677" t="s">
        <v>36</v>
      </c>
      <c r="B677" t="s">
        <v>37</v>
      </c>
      <c r="C677" s="2">
        <v>132431.23000000001</v>
      </c>
      <c r="D677" s="1">
        <v>45838</v>
      </c>
      <c r="E677" s="6">
        <v>32</v>
      </c>
      <c r="F677" t="s">
        <v>8</v>
      </c>
      <c r="G677" s="6">
        <v>20</v>
      </c>
      <c r="H677" t="s">
        <v>9</v>
      </c>
    </row>
    <row r="678" spans="1:8" x14ac:dyDescent="0.45">
      <c r="A678" t="s">
        <v>38</v>
      </c>
      <c r="B678" t="s">
        <v>39</v>
      </c>
      <c r="C678" s="2">
        <v>20776</v>
      </c>
      <c r="D678" s="1">
        <v>45838</v>
      </c>
      <c r="E678" s="6">
        <v>32</v>
      </c>
      <c r="F678" t="s">
        <v>8</v>
      </c>
      <c r="G678" s="6">
        <v>20</v>
      </c>
      <c r="H678" t="s">
        <v>9</v>
      </c>
    </row>
    <row r="679" spans="1:8" x14ac:dyDescent="0.45">
      <c r="A679" t="s">
        <v>200</v>
      </c>
      <c r="B679" t="s">
        <v>634</v>
      </c>
      <c r="C679" s="2">
        <v>-1263.5999999999999</v>
      </c>
      <c r="D679" s="1">
        <v>45838</v>
      </c>
      <c r="E679" s="6">
        <v>32</v>
      </c>
      <c r="F679" t="s">
        <v>8</v>
      </c>
      <c r="G679" s="6">
        <v>22</v>
      </c>
      <c r="H679" t="s">
        <v>191</v>
      </c>
    </row>
    <row r="680" spans="1:8" x14ac:dyDescent="0.45">
      <c r="A680" t="s">
        <v>204</v>
      </c>
      <c r="B680" t="s">
        <v>635</v>
      </c>
      <c r="C680" s="2">
        <v>-11895.37</v>
      </c>
      <c r="D680" s="1">
        <v>45838</v>
      </c>
      <c r="E680" s="6">
        <v>32</v>
      </c>
      <c r="F680" t="s">
        <v>8</v>
      </c>
      <c r="G680" s="6">
        <v>22</v>
      </c>
      <c r="H680" t="s">
        <v>191</v>
      </c>
    </row>
    <row r="681" spans="1:8" x14ac:dyDescent="0.45">
      <c r="A681" t="s">
        <v>189</v>
      </c>
      <c r="B681" t="s">
        <v>636</v>
      </c>
      <c r="C681" s="2">
        <v>-3500</v>
      </c>
      <c r="D681" s="1">
        <v>45838</v>
      </c>
      <c r="E681" s="6">
        <v>32</v>
      </c>
      <c r="F681" t="s">
        <v>8</v>
      </c>
      <c r="G681" s="6">
        <v>22</v>
      </c>
      <c r="H681" t="s">
        <v>191</v>
      </c>
    </row>
    <row r="682" spans="1:8" x14ac:dyDescent="0.45">
      <c r="A682" t="s">
        <v>192</v>
      </c>
      <c r="B682" t="s">
        <v>193</v>
      </c>
      <c r="C682" s="2">
        <v>-18541.25</v>
      </c>
      <c r="D682" s="1">
        <v>45838</v>
      </c>
      <c r="E682" s="6">
        <v>32</v>
      </c>
      <c r="F682" t="s">
        <v>8</v>
      </c>
      <c r="G682" s="6">
        <v>22</v>
      </c>
      <c r="H682" t="s">
        <v>191</v>
      </c>
    </row>
    <row r="683" spans="1:8" x14ac:dyDescent="0.45">
      <c r="A683" t="s">
        <v>218</v>
      </c>
      <c r="B683" t="s">
        <v>219</v>
      </c>
      <c r="C683" s="2">
        <v>-20776</v>
      </c>
      <c r="D683" s="1">
        <v>45838</v>
      </c>
      <c r="E683" s="6">
        <v>32</v>
      </c>
      <c r="F683" t="s">
        <v>8</v>
      </c>
      <c r="G683" s="6">
        <v>22</v>
      </c>
      <c r="H683" t="s">
        <v>191</v>
      </c>
    </row>
    <row r="684" spans="1:8" x14ac:dyDescent="0.45">
      <c r="A684" t="s">
        <v>198</v>
      </c>
      <c r="B684" t="s">
        <v>199</v>
      </c>
      <c r="C684" s="2">
        <v>-6198.57</v>
      </c>
      <c r="D684" s="1">
        <v>45838</v>
      </c>
      <c r="E684" s="6">
        <v>32</v>
      </c>
      <c r="F684" t="s">
        <v>8</v>
      </c>
      <c r="G684" s="6">
        <v>22</v>
      </c>
      <c r="H684" t="s">
        <v>191</v>
      </c>
    </row>
    <row r="685" spans="1:8" x14ac:dyDescent="0.45">
      <c r="A685" t="s">
        <v>517</v>
      </c>
      <c r="B685" t="s">
        <v>637</v>
      </c>
      <c r="C685" s="2">
        <v>-39940.11</v>
      </c>
      <c r="D685" s="1">
        <v>45838</v>
      </c>
      <c r="E685" s="6">
        <v>32</v>
      </c>
      <c r="F685" t="s">
        <v>8</v>
      </c>
      <c r="G685" s="6">
        <v>22</v>
      </c>
      <c r="H685" t="s">
        <v>191</v>
      </c>
    </row>
    <row r="686" spans="1:8" x14ac:dyDescent="0.45">
      <c r="A686" t="s">
        <v>194</v>
      </c>
      <c r="B686" t="s">
        <v>195</v>
      </c>
      <c r="C686" s="2">
        <v>-2294.3200000000002</v>
      </c>
      <c r="D686" s="1">
        <v>45838</v>
      </c>
      <c r="E686" s="6">
        <v>32</v>
      </c>
      <c r="F686" t="s">
        <v>8</v>
      </c>
      <c r="G686" s="6">
        <v>22</v>
      </c>
      <c r="H686" t="s">
        <v>191</v>
      </c>
    </row>
    <row r="687" spans="1:8" x14ac:dyDescent="0.45">
      <c r="A687" t="s">
        <v>196</v>
      </c>
      <c r="B687" t="s">
        <v>197</v>
      </c>
      <c r="C687" s="2">
        <v>-4973.41</v>
      </c>
      <c r="D687" s="1">
        <v>45838</v>
      </c>
      <c r="E687" s="6">
        <v>32</v>
      </c>
      <c r="F687" t="s">
        <v>8</v>
      </c>
      <c r="G687" s="6">
        <v>22</v>
      </c>
      <c r="H687" t="s">
        <v>191</v>
      </c>
    </row>
    <row r="688" spans="1:8" x14ac:dyDescent="0.45">
      <c r="A688" t="s">
        <v>212</v>
      </c>
      <c r="B688" t="s">
        <v>213</v>
      </c>
      <c r="C688" s="2">
        <v>-4659.32</v>
      </c>
      <c r="D688" s="1">
        <v>45838</v>
      </c>
      <c r="E688" s="6">
        <v>32</v>
      </c>
      <c r="F688" t="s">
        <v>8</v>
      </c>
      <c r="G688" s="6">
        <v>22</v>
      </c>
      <c r="H688" t="s">
        <v>191</v>
      </c>
    </row>
    <row r="689" spans="1:8" x14ac:dyDescent="0.45">
      <c r="A689" t="s">
        <v>208</v>
      </c>
      <c r="B689" t="s">
        <v>209</v>
      </c>
      <c r="C689" s="2">
        <v>-544.17999999999995</v>
      </c>
      <c r="D689" s="1">
        <v>45838</v>
      </c>
      <c r="E689" s="6">
        <v>32</v>
      </c>
      <c r="F689" t="s">
        <v>8</v>
      </c>
      <c r="G689" s="6">
        <v>22</v>
      </c>
      <c r="H689" t="s">
        <v>191</v>
      </c>
    </row>
    <row r="690" spans="1:8" x14ac:dyDescent="0.45">
      <c r="A690" t="s">
        <v>210</v>
      </c>
      <c r="B690" t="s">
        <v>211</v>
      </c>
      <c r="C690" s="2">
        <v>-196.71</v>
      </c>
      <c r="D690" s="1">
        <v>45838</v>
      </c>
      <c r="E690" s="6">
        <v>32</v>
      </c>
      <c r="F690" t="s">
        <v>8</v>
      </c>
      <c r="G690" s="6">
        <v>22</v>
      </c>
      <c r="H690" t="s">
        <v>191</v>
      </c>
    </row>
    <row r="691" spans="1:8" x14ac:dyDescent="0.45">
      <c r="A691" t="s">
        <v>202</v>
      </c>
      <c r="B691" t="s">
        <v>203</v>
      </c>
      <c r="C691" s="2">
        <v>-4170.8599999999997</v>
      </c>
      <c r="D691" s="1">
        <v>45838</v>
      </c>
      <c r="E691" s="6">
        <v>32</v>
      </c>
      <c r="F691" t="s">
        <v>8</v>
      </c>
      <c r="G691" s="6">
        <v>22</v>
      </c>
      <c r="H691" t="s">
        <v>191</v>
      </c>
    </row>
    <row r="692" spans="1:8" x14ac:dyDescent="0.45">
      <c r="A692" t="s">
        <v>214</v>
      </c>
      <c r="B692" t="s">
        <v>215</v>
      </c>
      <c r="C692" s="2">
        <v>-1005</v>
      </c>
      <c r="D692" s="1">
        <v>45838</v>
      </c>
      <c r="E692" s="6">
        <v>32</v>
      </c>
      <c r="F692" t="s">
        <v>8</v>
      </c>
      <c r="G692" s="6">
        <v>22</v>
      </c>
      <c r="H692" t="s">
        <v>191</v>
      </c>
    </row>
    <row r="693" spans="1:8" x14ac:dyDescent="0.45">
      <c r="A693" t="s">
        <v>216</v>
      </c>
      <c r="B693" t="s">
        <v>217</v>
      </c>
      <c r="C693" s="2">
        <v>-124380.95</v>
      </c>
      <c r="D693" s="1">
        <v>45838</v>
      </c>
      <c r="E693" s="6">
        <v>32</v>
      </c>
      <c r="F693" t="s">
        <v>8</v>
      </c>
      <c r="G693" s="6">
        <v>22</v>
      </c>
      <c r="H693" t="s">
        <v>191</v>
      </c>
    </row>
    <row r="694" spans="1:8" x14ac:dyDescent="0.45">
      <c r="A694" t="s">
        <v>220</v>
      </c>
      <c r="B694" t="s">
        <v>221</v>
      </c>
      <c r="C694" s="2">
        <v>-348</v>
      </c>
      <c r="D694" s="1">
        <v>45838</v>
      </c>
      <c r="E694" s="6">
        <v>32</v>
      </c>
      <c r="F694" t="s">
        <v>8</v>
      </c>
      <c r="G694" s="6">
        <v>20</v>
      </c>
      <c r="H694" t="s">
        <v>9</v>
      </c>
    </row>
    <row r="695" spans="1:8" x14ac:dyDescent="0.45">
      <c r="A695" t="s">
        <v>206</v>
      </c>
      <c r="B695" t="s">
        <v>207</v>
      </c>
      <c r="C695" s="2">
        <v>-9858.17</v>
      </c>
      <c r="D695" s="1">
        <v>45838</v>
      </c>
      <c r="E695" s="6">
        <v>32</v>
      </c>
      <c r="F695" t="s">
        <v>8</v>
      </c>
      <c r="G695" s="6">
        <v>22</v>
      </c>
      <c r="H695" t="s">
        <v>191</v>
      </c>
    </row>
    <row r="696" spans="1:8" x14ac:dyDescent="0.45">
      <c r="A696" t="s">
        <v>117</v>
      </c>
      <c r="B696" t="s">
        <v>118</v>
      </c>
      <c r="C696" s="2">
        <v>562.63</v>
      </c>
      <c r="D696" s="1">
        <v>45838</v>
      </c>
      <c r="E696" s="6">
        <v>101</v>
      </c>
      <c r="F696" t="s">
        <v>62</v>
      </c>
      <c r="G696" s="6">
        <v>60</v>
      </c>
      <c r="H696" t="s">
        <v>112</v>
      </c>
    </row>
    <row r="697" spans="1:8" x14ac:dyDescent="0.45">
      <c r="A697" t="s">
        <v>638</v>
      </c>
      <c r="B697" t="s">
        <v>639</v>
      </c>
      <c r="C697" s="2">
        <v>377.86</v>
      </c>
      <c r="D697" s="1">
        <v>45838</v>
      </c>
      <c r="E697" s="6">
        <v>91</v>
      </c>
      <c r="F697" t="s">
        <v>131</v>
      </c>
      <c r="G697" s="6">
        <v>36</v>
      </c>
      <c r="H697" t="s">
        <v>132</v>
      </c>
    </row>
    <row r="698" spans="1:8" x14ac:dyDescent="0.45">
      <c r="A698" t="s">
        <v>640</v>
      </c>
      <c r="B698" t="s">
        <v>641</v>
      </c>
      <c r="C698" s="2">
        <v>11.47</v>
      </c>
      <c r="D698" s="1">
        <v>45838</v>
      </c>
      <c r="E698" s="6">
        <v>91</v>
      </c>
      <c r="F698" t="s">
        <v>131</v>
      </c>
      <c r="G698" s="6">
        <v>36</v>
      </c>
      <c r="H698" t="s">
        <v>132</v>
      </c>
    </row>
    <row r="699" spans="1:8" x14ac:dyDescent="0.45">
      <c r="A699" t="s">
        <v>129</v>
      </c>
      <c r="B699" t="s">
        <v>642</v>
      </c>
      <c r="C699" s="2">
        <v>702399.96</v>
      </c>
      <c r="D699" s="1">
        <v>45838</v>
      </c>
      <c r="E699" s="6">
        <v>91</v>
      </c>
      <c r="F699" t="s">
        <v>131</v>
      </c>
      <c r="G699" s="6">
        <v>36</v>
      </c>
      <c r="H699" t="s">
        <v>132</v>
      </c>
    </row>
    <row r="700" spans="1:8" x14ac:dyDescent="0.45">
      <c r="A700" t="s">
        <v>60</v>
      </c>
      <c r="B700" t="s">
        <v>61</v>
      </c>
      <c r="C700" s="2">
        <v>328315.39</v>
      </c>
      <c r="D700" s="1">
        <v>45838</v>
      </c>
      <c r="E700" s="6">
        <v>101</v>
      </c>
      <c r="F700" t="s">
        <v>62</v>
      </c>
      <c r="G700" s="6">
        <v>50</v>
      </c>
      <c r="H700" t="s">
        <v>63</v>
      </c>
    </row>
    <row r="701" spans="1:8" x14ac:dyDescent="0.45">
      <c r="A701" t="s">
        <v>539</v>
      </c>
      <c r="B701" t="s">
        <v>540</v>
      </c>
      <c r="C701" s="2">
        <v>464027.99</v>
      </c>
      <c r="D701" s="1">
        <v>45838</v>
      </c>
      <c r="E701" s="6">
        <v>101</v>
      </c>
      <c r="F701" t="s">
        <v>62</v>
      </c>
      <c r="G701" s="6">
        <v>50</v>
      </c>
      <c r="H701" t="s">
        <v>63</v>
      </c>
    </row>
    <row r="702" spans="1:8" x14ac:dyDescent="0.45">
      <c r="A702" t="s">
        <v>643</v>
      </c>
      <c r="B702" t="s">
        <v>644</v>
      </c>
      <c r="C702" s="2">
        <v>-395667.88</v>
      </c>
      <c r="D702" s="1">
        <v>45838</v>
      </c>
      <c r="E702" s="6">
        <v>101</v>
      </c>
      <c r="F702" t="s">
        <v>62</v>
      </c>
      <c r="G702" s="6">
        <v>50</v>
      </c>
      <c r="H702" t="s">
        <v>63</v>
      </c>
    </row>
    <row r="703" spans="1:8" x14ac:dyDescent="0.45">
      <c r="A703" t="s">
        <v>645</v>
      </c>
      <c r="B703" t="s">
        <v>646</v>
      </c>
      <c r="C703" s="2">
        <v>-96612.31</v>
      </c>
      <c r="D703" s="1">
        <v>45838</v>
      </c>
      <c r="E703" s="6">
        <v>101</v>
      </c>
      <c r="F703" t="s">
        <v>62</v>
      </c>
      <c r="G703" s="6">
        <v>50</v>
      </c>
      <c r="H703" t="s">
        <v>63</v>
      </c>
    </row>
    <row r="704" spans="1:8" x14ac:dyDescent="0.45">
      <c r="A704" t="s">
        <v>647</v>
      </c>
      <c r="B704" t="s">
        <v>648</v>
      </c>
      <c r="C704" s="2">
        <v>-204843.29</v>
      </c>
      <c r="D704" s="1">
        <v>45838</v>
      </c>
      <c r="E704" s="6">
        <v>101</v>
      </c>
      <c r="F704" t="s">
        <v>62</v>
      </c>
      <c r="G704" s="6">
        <v>50</v>
      </c>
      <c r="H704" t="s">
        <v>63</v>
      </c>
    </row>
    <row r="705" spans="1:8" x14ac:dyDescent="0.45">
      <c r="A705" t="s">
        <v>649</v>
      </c>
      <c r="B705" t="s">
        <v>650</v>
      </c>
      <c r="C705" s="2">
        <v>-2262.5</v>
      </c>
      <c r="D705" s="1">
        <v>45838</v>
      </c>
      <c r="E705" s="6">
        <v>101</v>
      </c>
      <c r="F705" t="s">
        <v>62</v>
      </c>
      <c r="G705" s="6">
        <v>210</v>
      </c>
      <c r="H705" t="s">
        <v>149</v>
      </c>
    </row>
    <row r="706" spans="1:8" x14ac:dyDescent="0.45">
      <c r="A706" t="s">
        <v>222</v>
      </c>
      <c r="B706" t="s">
        <v>223</v>
      </c>
      <c r="C706" s="2">
        <v>-1178.18</v>
      </c>
      <c r="D706" s="1">
        <v>45838</v>
      </c>
      <c r="E706" s="6">
        <v>101</v>
      </c>
      <c r="F706" t="s">
        <v>62</v>
      </c>
      <c r="G706" s="6">
        <v>160</v>
      </c>
      <c r="H706" t="s">
        <v>188</v>
      </c>
    </row>
    <row r="707" spans="1:8" x14ac:dyDescent="0.45">
      <c r="A707" t="s">
        <v>224</v>
      </c>
      <c r="B707" t="s">
        <v>225</v>
      </c>
      <c r="C707" s="2">
        <v>-34045.949999999997</v>
      </c>
      <c r="D707" s="1">
        <v>45838</v>
      </c>
      <c r="E707" s="6">
        <v>101</v>
      </c>
      <c r="F707" t="s">
        <v>62</v>
      </c>
      <c r="G707" s="6">
        <v>160</v>
      </c>
      <c r="H707" t="s">
        <v>188</v>
      </c>
    </row>
    <row r="708" spans="1:8" x14ac:dyDescent="0.45">
      <c r="A708" t="s">
        <v>545</v>
      </c>
      <c r="B708" t="s">
        <v>546</v>
      </c>
      <c r="C708" s="2">
        <v>36467.120000000003</v>
      </c>
      <c r="D708" s="1">
        <v>45838</v>
      </c>
      <c r="E708" s="6">
        <v>101</v>
      </c>
      <c r="F708" t="s">
        <v>62</v>
      </c>
      <c r="G708" s="6">
        <v>60</v>
      </c>
      <c r="H708" t="s">
        <v>112</v>
      </c>
    </row>
    <row r="709" spans="1:8" x14ac:dyDescent="0.45">
      <c r="A709" t="s">
        <v>110</v>
      </c>
      <c r="B709" t="s">
        <v>111</v>
      </c>
      <c r="C709" s="2">
        <v>114353.34</v>
      </c>
      <c r="D709" s="1">
        <v>45838</v>
      </c>
      <c r="E709" s="6">
        <v>101</v>
      </c>
      <c r="F709" t="s">
        <v>62</v>
      </c>
      <c r="G709" s="6">
        <v>60</v>
      </c>
      <c r="H709" t="s">
        <v>112</v>
      </c>
    </row>
    <row r="710" spans="1:8" x14ac:dyDescent="0.45">
      <c r="A710" t="s">
        <v>651</v>
      </c>
      <c r="B710" t="s">
        <v>652</v>
      </c>
      <c r="C710" s="2">
        <v>800.42</v>
      </c>
      <c r="D710" s="1">
        <v>45838</v>
      </c>
      <c r="E710" s="6">
        <v>246</v>
      </c>
      <c r="F710" t="s">
        <v>70</v>
      </c>
      <c r="G710" s="6">
        <v>200</v>
      </c>
      <c r="H710" t="s">
        <v>653</v>
      </c>
    </row>
    <row r="711" spans="1:8" x14ac:dyDescent="0.45">
      <c r="A711" t="s">
        <v>588</v>
      </c>
      <c r="B711" t="s">
        <v>654</v>
      </c>
      <c r="C711" s="2">
        <v>0</v>
      </c>
      <c r="D711" s="1">
        <v>45838</v>
      </c>
      <c r="E711" s="6">
        <v>101</v>
      </c>
      <c r="F711" t="s">
        <v>62</v>
      </c>
      <c r="G711" s="6">
        <v>50</v>
      </c>
      <c r="H711" t="s">
        <v>63</v>
      </c>
    </row>
    <row r="712" spans="1:8" x14ac:dyDescent="0.45">
      <c r="A712" t="s">
        <v>127</v>
      </c>
      <c r="B712" t="s">
        <v>128</v>
      </c>
      <c r="C712" s="2">
        <v>29833.42</v>
      </c>
      <c r="D712" s="1">
        <v>45838</v>
      </c>
      <c r="E712" s="6">
        <v>101</v>
      </c>
      <c r="F712" t="s">
        <v>62</v>
      </c>
      <c r="G712" s="6">
        <v>60</v>
      </c>
      <c r="H712" t="s">
        <v>112</v>
      </c>
    </row>
    <row r="713" spans="1:8" x14ac:dyDescent="0.45">
      <c r="A713" t="s">
        <v>125</v>
      </c>
      <c r="B713" t="s">
        <v>126</v>
      </c>
      <c r="C713" s="2">
        <v>36166.67</v>
      </c>
      <c r="D713" s="1">
        <v>45838</v>
      </c>
      <c r="E713" s="6">
        <v>101</v>
      </c>
      <c r="F713" t="s">
        <v>62</v>
      </c>
      <c r="G713" s="6">
        <v>60</v>
      </c>
      <c r="H713" t="s">
        <v>112</v>
      </c>
    </row>
    <row r="714" spans="1:8" x14ac:dyDescent="0.45">
      <c r="A714" t="s">
        <v>655</v>
      </c>
      <c r="B714" t="s">
        <v>656</v>
      </c>
      <c r="C714" s="2">
        <v>5988</v>
      </c>
      <c r="D714" s="1">
        <v>45838</v>
      </c>
      <c r="E714" s="6">
        <v>246</v>
      </c>
      <c r="F714" t="s">
        <v>70</v>
      </c>
      <c r="G714" s="6">
        <v>70</v>
      </c>
      <c r="H714" t="s">
        <v>657</v>
      </c>
    </row>
    <row r="715" spans="1:8" x14ac:dyDescent="0.45">
      <c r="A715" t="s">
        <v>121</v>
      </c>
      <c r="B715" t="s">
        <v>122</v>
      </c>
      <c r="C715" s="2">
        <v>480.74</v>
      </c>
      <c r="D715" s="1">
        <v>45838</v>
      </c>
      <c r="E715" s="6">
        <v>101</v>
      </c>
      <c r="F715" t="s">
        <v>62</v>
      </c>
      <c r="G715" s="6">
        <v>60</v>
      </c>
      <c r="H715" t="s">
        <v>112</v>
      </c>
    </row>
    <row r="716" spans="1:8" x14ac:dyDescent="0.45">
      <c r="A716" t="s">
        <v>74</v>
      </c>
      <c r="B716" t="s">
        <v>75</v>
      </c>
      <c r="C716" s="2">
        <v>-123778.62</v>
      </c>
      <c r="D716" s="1">
        <v>45838</v>
      </c>
      <c r="E716" s="6">
        <v>246</v>
      </c>
      <c r="F716" t="s">
        <v>70</v>
      </c>
      <c r="G716" s="6">
        <v>220</v>
      </c>
      <c r="H716" t="s">
        <v>71</v>
      </c>
    </row>
    <row r="717" spans="1:8" x14ac:dyDescent="0.45">
      <c r="A717" t="s">
        <v>68</v>
      </c>
      <c r="B717" t="s">
        <v>69</v>
      </c>
      <c r="C717" s="2">
        <v>13682.52</v>
      </c>
      <c r="D717" s="1">
        <v>45838</v>
      </c>
      <c r="E717" s="6">
        <v>130</v>
      </c>
      <c r="F717" t="s">
        <v>66</v>
      </c>
      <c r="G717" s="6">
        <v>80</v>
      </c>
      <c r="H717" t="s">
        <v>67</v>
      </c>
    </row>
    <row r="718" spans="1:8" x14ac:dyDescent="0.45">
      <c r="A718" t="s">
        <v>94</v>
      </c>
      <c r="B718" t="s">
        <v>95</v>
      </c>
      <c r="C718" s="2">
        <v>7903.99</v>
      </c>
      <c r="D718" s="1">
        <v>45838</v>
      </c>
      <c r="E718" s="6">
        <v>130</v>
      </c>
      <c r="F718" t="s">
        <v>66</v>
      </c>
      <c r="G718" s="6">
        <v>80</v>
      </c>
      <c r="H718" t="s">
        <v>67</v>
      </c>
    </row>
    <row r="719" spans="1:8" x14ac:dyDescent="0.45">
      <c r="A719" t="s">
        <v>84</v>
      </c>
      <c r="B719" t="s">
        <v>85</v>
      </c>
      <c r="C719" s="2">
        <v>-167862.69</v>
      </c>
      <c r="D719" s="1">
        <v>45838</v>
      </c>
      <c r="E719" s="6">
        <v>246</v>
      </c>
      <c r="F719" t="s">
        <v>70</v>
      </c>
      <c r="G719" s="6">
        <v>220</v>
      </c>
      <c r="H719" t="s">
        <v>71</v>
      </c>
    </row>
    <row r="720" spans="1:8" x14ac:dyDescent="0.45">
      <c r="A720" t="s">
        <v>104</v>
      </c>
      <c r="B720" t="s">
        <v>105</v>
      </c>
      <c r="C720" s="2">
        <v>-28432.76</v>
      </c>
      <c r="D720" s="1">
        <v>45838</v>
      </c>
      <c r="E720" s="6">
        <v>246</v>
      </c>
      <c r="F720" t="s">
        <v>70</v>
      </c>
      <c r="G720" s="6">
        <v>220</v>
      </c>
      <c r="H720" t="s">
        <v>71</v>
      </c>
    </row>
    <row r="721" spans="1:8" x14ac:dyDescent="0.45">
      <c r="A721" t="s">
        <v>76</v>
      </c>
      <c r="B721" t="s">
        <v>77</v>
      </c>
      <c r="C721" s="2">
        <v>125068.97</v>
      </c>
      <c r="D721" s="1">
        <v>45838</v>
      </c>
      <c r="E721" s="6">
        <v>101</v>
      </c>
      <c r="F721" t="s">
        <v>62</v>
      </c>
      <c r="G721" s="6">
        <v>50</v>
      </c>
      <c r="H721" t="s">
        <v>63</v>
      </c>
    </row>
    <row r="722" spans="1:8" x14ac:dyDescent="0.45">
      <c r="A722" t="s">
        <v>72</v>
      </c>
      <c r="B722" t="s">
        <v>73</v>
      </c>
      <c r="C722" s="2">
        <v>228411.93</v>
      </c>
      <c r="D722" s="1">
        <v>45838</v>
      </c>
      <c r="E722" s="6">
        <v>101</v>
      </c>
      <c r="F722" t="s">
        <v>62</v>
      </c>
      <c r="G722" s="6">
        <v>50</v>
      </c>
      <c r="H722" t="s">
        <v>63</v>
      </c>
    </row>
    <row r="723" spans="1:8" x14ac:dyDescent="0.45">
      <c r="A723" t="s">
        <v>96</v>
      </c>
      <c r="B723" t="s">
        <v>97</v>
      </c>
      <c r="C723" s="2">
        <v>44349.18</v>
      </c>
      <c r="D723" s="1">
        <v>45838</v>
      </c>
      <c r="E723" s="6">
        <v>101</v>
      </c>
      <c r="F723" t="s">
        <v>62</v>
      </c>
      <c r="G723" s="6">
        <v>50</v>
      </c>
      <c r="H723" t="s">
        <v>63</v>
      </c>
    </row>
    <row r="724" spans="1:8" x14ac:dyDescent="0.45">
      <c r="A724" t="s">
        <v>86</v>
      </c>
      <c r="B724" t="s">
        <v>87</v>
      </c>
      <c r="C724" s="2">
        <v>160575.28</v>
      </c>
      <c r="D724" s="1">
        <v>45838</v>
      </c>
      <c r="E724" s="6">
        <v>101</v>
      </c>
      <c r="F724" t="s">
        <v>62</v>
      </c>
      <c r="G724" s="6">
        <v>50</v>
      </c>
      <c r="H724" t="s">
        <v>63</v>
      </c>
    </row>
    <row r="725" spans="1:8" x14ac:dyDescent="0.45">
      <c r="A725" t="s">
        <v>82</v>
      </c>
      <c r="B725" t="s">
        <v>83</v>
      </c>
      <c r="C725" s="2">
        <v>-192573.41</v>
      </c>
      <c r="D725" s="1">
        <v>45838</v>
      </c>
      <c r="E725" s="6">
        <v>246</v>
      </c>
      <c r="F725" t="s">
        <v>70</v>
      </c>
      <c r="G725" s="6">
        <v>220</v>
      </c>
      <c r="H725" t="s">
        <v>71</v>
      </c>
    </row>
    <row r="726" spans="1:8" x14ac:dyDescent="0.45">
      <c r="A726" t="s">
        <v>102</v>
      </c>
      <c r="B726" t="s">
        <v>103</v>
      </c>
      <c r="C726" s="2">
        <v>-22217.919999999998</v>
      </c>
      <c r="D726" s="1">
        <v>45838</v>
      </c>
      <c r="E726" s="6">
        <v>246</v>
      </c>
      <c r="F726" t="s">
        <v>70</v>
      </c>
      <c r="G726" s="6">
        <v>220</v>
      </c>
      <c r="H726" t="s">
        <v>71</v>
      </c>
    </row>
    <row r="727" spans="1:8" x14ac:dyDescent="0.45">
      <c r="A727" t="s">
        <v>100</v>
      </c>
      <c r="B727" t="s">
        <v>101</v>
      </c>
      <c r="C727" s="2">
        <v>69188.44</v>
      </c>
      <c r="D727" s="1">
        <v>45838</v>
      </c>
      <c r="E727" s="6">
        <v>130</v>
      </c>
      <c r="F727" t="s">
        <v>66</v>
      </c>
      <c r="G727" s="6">
        <v>50</v>
      </c>
      <c r="H727" t="s">
        <v>63</v>
      </c>
    </row>
    <row r="728" spans="1:8" x14ac:dyDescent="0.45">
      <c r="A728" t="s">
        <v>92</v>
      </c>
      <c r="B728" t="s">
        <v>93</v>
      </c>
      <c r="C728" s="2">
        <v>24080.79</v>
      </c>
      <c r="D728" s="1">
        <v>45838</v>
      </c>
      <c r="E728" s="6">
        <v>130</v>
      </c>
      <c r="F728" t="s">
        <v>66</v>
      </c>
      <c r="G728" s="6">
        <v>80</v>
      </c>
      <c r="H728" t="s">
        <v>67</v>
      </c>
    </row>
    <row r="729" spans="1:8" x14ac:dyDescent="0.45">
      <c r="A729" t="s">
        <v>98</v>
      </c>
      <c r="B729" t="s">
        <v>99</v>
      </c>
      <c r="C729" s="2">
        <v>-55824.31</v>
      </c>
      <c r="D729" s="1">
        <v>45838</v>
      </c>
      <c r="E729" s="6">
        <v>246</v>
      </c>
      <c r="F729" t="s">
        <v>70</v>
      </c>
      <c r="G729" s="6">
        <v>50</v>
      </c>
      <c r="H729" t="s">
        <v>63</v>
      </c>
    </row>
    <row r="730" spans="1:8" x14ac:dyDescent="0.45">
      <c r="A730" t="s">
        <v>90</v>
      </c>
      <c r="B730" t="s">
        <v>91</v>
      </c>
      <c r="C730" s="2">
        <v>-4698.68</v>
      </c>
      <c r="D730" s="1">
        <v>45838</v>
      </c>
      <c r="E730" s="6">
        <v>246</v>
      </c>
      <c r="F730" t="s">
        <v>70</v>
      </c>
      <c r="G730" s="6">
        <v>50</v>
      </c>
      <c r="H730" t="s">
        <v>63</v>
      </c>
    </row>
    <row r="731" spans="1:8" x14ac:dyDescent="0.45">
      <c r="A731" t="s">
        <v>584</v>
      </c>
      <c r="B731" t="s">
        <v>585</v>
      </c>
      <c r="C731" s="2">
        <v>326.56</v>
      </c>
      <c r="D731" s="1">
        <v>45838</v>
      </c>
      <c r="E731" s="6">
        <v>130</v>
      </c>
      <c r="F731" t="s">
        <v>66</v>
      </c>
      <c r="G731" s="6">
        <v>80</v>
      </c>
      <c r="H731" t="s">
        <v>67</v>
      </c>
    </row>
    <row r="732" spans="1:8" x14ac:dyDescent="0.45">
      <c r="A732" t="s">
        <v>582</v>
      </c>
      <c r="B732" t="s">
        <v>583</v>
      </c>
      <c r="C732" s="2">
        <v>0.81</v>
      </c>
      <c r="D732" s="1">
        <v>45838</v>
      </c>
      <c r="E732" s="6">
        <v>130</v>
      </c>
      <c r="F732" t="s">
        <v>66</v>
      </c>
      <c r="G732" s="6">
        <v>80</v>
      </c>
      <c r="H732" t="s">
        <v>67</v>
      </c>
    </row>
    <row r="733" spans="1:8" x14ac:dyDescent="0.45">
      <c r="A733" t="s">
        <v>586</v>
      </c>
      <c r="B733" t="s">
        <v>587</v>
      </c>
      <c r="C733" s="2">
        <v>-823.48</v>
      </c>
      <c r="D733" s="1">
        <v>45838</v>
      </c>
      <c r="E733" s="6">
        <v>246</v>
      </c>
      <c r="F733" t="s">
        <v>70</v>
      </c>
      <c r="G733" s="6">
        <v>220</v>
      </c>
      <c r="H733" t="s">
        <v>71</v>
      </c>
    </row>
    <row r="734" spans="1:8" x14ac:dyDescent="0.45">
      <c r="A734" t="s">
        <v>106</v>
      </c>
      <c r="B734" t="s">
        <v>107</v>
      </c>
      <c r="C734" s="2">
        <v>1575.49</v>
      </c>
      <c r="D734" s="1">
        <v>45838</v>
      </c>
      <c r="E734" s="6">
        <v>130</v>
      </c>
      <c r="F734" t="s">
        <v>66</v>
      </c>
      <c r="G734" s="6">
        <v>80</v>
      </c>
      <c r="H734" t="s">
        <v>67</v>
      </c>
    </row>
    <row r="735" spans="1:8" x14ac:dyDescent="0.45">
      <c r="A735" t="s">
        <v>108</v>
      </c>
      <c r="B735" t="s">
        <v>109</v>
      </c>
      <c r="C735" s="2">
        <v>0</v>
      </c>
      <c r="D735" s="1">
        <v>45838</v>
      </c>
      <c r="E735" s="6">
        <v>130</v>
      </c>
      <c r="F735" t="s">
        <v>66</v>
      </c>
      <c r="G735" s="6">
        <v>80</v>
      </c>
      <c r="H735" t="s">
        <v>67</v>
      </c>
    </row>
    <row r="736" spans="1:8" x14ac:dyDescent="0.45">
      <c r="A736" t="s">
        <v>658</v>
      </c>
      <c r="B736" t="s">
        <v>659</v>
      </c>
      <c r="C736" s="2">
        <v>-79.069999999999993</v>
      </c>
      <c r="D736" s="1">
        <v>45838</v>
      </c>
      <c r="E736" s="6">
        <v>246</v>
      </c>
      <c r="F736" t="s">
        <v>70</v>
      </c>
      <c r="G736" s="6">
        <v>220</v>
      </c>
      <c r="H736" t="s">
        <v>71</v>
      </c>
    </row>
    <row r="737" spans="1:8" x14ac:dyDescent="0.45">
      <c r="A737" t="s">
        <v>64</v>
      </c>
      <c r="B737" t="s">
        <v>660</v>
      </c>
      <c r="C737" s="2">
        <v>1573.45</v>
      </c>
      <c r="D737" s="1">
        <v>45838</v>
      </c>
      <c r="E737" s="6">
        <v>130</v>
      </c>
      <c r="F737" t="s">
        <v>66</v>
      </c>
      <c r="G737" s="6">
        <v>80</v>
      </c>
      <c r="H737" t="s">
        <v>67</v>
      </c>
    </row>
    <row r="738" spans="1:8" x14ac:dyDescent="0.45">
      <c r="A738" t="s">
        <v>133</v>
      </c>
      <c r="B738" t="s">
        <v>661</v>
      </c>
      <c r="C738" s="2">
        <v>19298.11</v>
      </c>
      <c r="D738" s="1">
        <v>45838</v>
      </c>
      <c r="E738" s="6">
        <v>135</v>
      </c>
      <c r="F738" t="s">
        <v>135</v>
      </c>
      <c r="G738" s="6">
        <v>60</v>
      </c>
      <c r="H738" t="s">
        <v>112</v>
      </c>
    </row>
    <row r="739" spans="1:8" x14ac:dyDescent="0.45">
      <c r="A739" t="s">
        <v>233</v>
      </c>
      <c r="B739" t="s">
        <v>662</v>
      </c>
      <c r="C739" s="2">
        <v>-100000</v>
      </c>
      <c r="D739" s="1">
        <v>45838</v>
      </c>
      <c r="E739" s="6">
        <v>171</v>
      </c>
      <c r="F739" t="s">
        <v>235</v>
      </c>
      <c r="G739" s="6">
        <v>90</v>
      </c>
      <c r="H739" t="s">
        <v>236</v>
      </c>
    </row>
    <row r="740" spans="1:8" x14ac:dyDescent="0.45">
      <c r="A740" t="s">
        <v>237</v>
      </c>
      <c r="B740" t="s">
        <v>240</v>
      </c>
      <c r="C740" s="2">
        <v>-20000</v>
      </c>
      <c r="D740" s="1">
        <v>45838</v>
      </c>
      <c r="E740" s="6">
        <v>180</v>
      </c>
      <c r="F740" t="s">
        <v>239</v>
      </c>
      <c r="G740" s="6">
        <v>110</v>
      </c>
      <c r="H740" t="s">
        <v>240</v>
      </c>
    </row>
    <row r="741" spans="1:8" x14ac:dyDescent="0.45">
      <c r="A741" t="s">
        <v>241</v>
      </c>
      <c r="B741" t="s">
        <v>663</v>
      </c>
      <c r="C741" s="2">
        <v>-139812.41</v>
      </c>
      <c r="D741" s="1">
        <v>45838</v>
      </c>
      <c r="E741" s="6">
        <v>211</v>
      </c>
      <c r="F741" t="s">
        <v>243</v>
      </c>
      <c r="G741" s="6">
        <v>120</v>
      </c>
      <c r="H741" t="s">
        <v>244</v>
      </c>
    </row>
    <row r="742" spans="1:8" x14ac:dyDescent="0.45">
      <c r="A742" t="s">
        <v>664</v>
      </c>
      <c r="B742" t="s">
        <v>665</v>
      </c>
      <c r="C742" s="2">
        <v>-9290.2999999999993</v>
      </c>
      <c r="D742" s="1">
        <v>45838</v>
      </c>
      <c r="E742" s="6">
        <v>220</v>
      </c>
      <c r="F742" t="s">
        <v>231</v>
      </c>
      <c r="G742" s="6">
        <v>140</v>
      </c>
      <c r="H742" t="s">
        <v>232</v>
      </c>
    </row>
    <row r="743" spans="1:8" x14ac:dyDescent="0.45">
      <c r="A743" t="s">
        <v>182</v>
      </c>
      <c r="B743" t="s">
        <v>666</v>
      </c>
      <c r="C743" s="2">
        <v>-219941.58</v>
      </c>
      <c r="D743" s="1">
        <v>45838</v>
      </c>
      <c r="E743" s="6">
        <v>240</v>
      </c>
      <c r="F743" t="s">
        <v>184</v>
      </c>
      <c r="G743" s="6">
        <v>170</v>
      </c>
      <c r="H743" t="s">
        <v>185</v>
      </c>
    </row>
    <row r="744" spans="1:8" x14ac:dyDescent="0.45">
      <c r="A744" t="s">
        <v>609</v>
      </c>
      <c r="B744" t="s">
        <v>610</v>
      </c>
      <c r="C744" s="2">
        <v>-88331.12</v>
      </c>
      <c r="D744" s="1">
        <v>45838</v>
      </c>
      <c r="E744" s="6">
        <v>266</v>
      </c>
      <c r="F744" t="s">
        <v>596</v>
      </c>
      <c r="G744" s="6">
        <v>180</v>
      </c>
      <c r="H744" t="s">
        <v>514</v>
      </c>
    </row>
    <row r="745" spans="1:8" x14ac:dyDescent="0.45">
      <c r="A745" t="s">
        <v>592</v>
      </c>
      <c r="B745" t="s">
        <v>593</v>
      </c>
      <c r="C745" s="2">
        <v>-75465.33</v>
      </c>
      <c r="D745" s="1">
        <v>45838</v>
      </c>
      <c r="E745" s="6">
        <v>246</v>
      </c>
      <c r="F745" t="s">
        <v>70</v>
      </c>
      <c r="G745" s="6">
        <v>220</v>
      </c>
      <c r="H745" t="s">
        <v>71</v>
      </c>
    </row>
    <row r="746" spans="1:8" x14ac:dyDescent="0.45">
      <c r="A746" t="s">
        <v>594</v>
      </c>
      <c r="B746" t="s">
        <v>595</v>
      </c>
      <c r="C746" s="2">
        <v>-25037.439999999999</v>
      </c>
      <c r="D746" s="1">
        <v>45838</v>
      </c>
      <c r="E746" s="6">
        <v>266</v>
      </c>
      <c r="F746" t="s">
        <v>596</v>
      </c>
      <c r="G746" s="6">
        <v>180</v>
      </c>
      <c r="H746" t="s">
        <v>514</v>
      </c>
    </row>
    <row r="747" spans="1:8" x14ac:dyDescent="0.45">
      <c r="A747" t="s">
        <v>556</v>
      </c>
      <c r="B747" t="s">
        <v>557</v>
      </c>
      <c r="C747" s="2">
        <v>-55080.25</v>
      </c>
      <c r="D747" s="1">
        <v>45838</v>
      </c>
      <c r="E747" s="6">
        <v>246</v>
      </c>
      <c r="F747" t="s">
        <v>70</v>
      </c>
      <c r="G747" s="6">
        <v>180</v>
      </c>
      <c r="H747" t="s">
        <v>514</v>
      </c>
    </row>
    <row r="748" spans="1:8" x14ac:dyDescent="0.45">
      <c r="A748" t="s">
        <v>554</v>
      </c>
      <c r="B748" t="s">
        <v>555</v>
      </c>
      <c r="C748" s="2">
        <v>-60590.53</v>
      </c>
      <c r="D748" s="1">
        <v>45838</v>
      </c>
      <c r="E748" s="6">
        <v>246</v>
      </c>
      <c r="F748" t="s">
        <v>70</v>
      </c>
      <c r="G748" s="6">
        <v>220</v>
      </c>
      <c r="H748" t="s">
        <v>71</v>
      </c>
    </row>
    <row r="749" spans="1:8" x14ac:dyDescent="0.45">
      <c r="A749" t="s">
        <v>607</v>
      </c>
      <c r="B749" t="s">
        <v>608</v>
      </c>
      <c r="C749" s="2">
        <v>-25170.81</v>
      </c>
      <c r="D749" s="1">
        <v>45838</v>
      </c>
      <c r="E749" s="6">
        <v>266</v>
      </c>
      <c r="F749" t="s">
        <v>596</v>
      </c>
      <c r="G749" s="6">
        <v>180</v>
      </c>
      <c r="H749" t="s">
        <v>514</v>
      </c>
    </row>
    <row r="750" spans="1:8" x14ac:dyDescent="0.45">
      <c r="A750" t="s">
        <v>599</v>
      </c>
      <c r="B750" t="s">
        <v>600</v>
      </c>
      <c r="C750" s="2">
        <v>-11389.72</v>
      </c>
      <c r="D750" s="1">
        <v>45838</v>
      </c>
      <c r="E750" s="6">
        <v>266</v>
      </c>
      <c r="F750" t="s">
        <v>596</v>
      </c>
      <c r="G750" s="6">
        <v>180</v>
      </c>
      <c r="H750" t="s">
        <v>514</v>
      </c>
    </row>
    <row r="751" spans="1:8" x14ac:dyDescent="0.45">
      <c r="A751" t="s">
        <v>605</v>
      </c>
      <c r="B751" t="s">
        <v>606</v>
      </c>
      <c r="C751" s="2">
        <v>-6932.26</v>
      </c>
      <c r="D751" s="1">
        <v>45838</v>
      </c>
      <c r="E751" s="6">
        <v>266</v>
      </c>
      <c r="F751" t="s">
        <v>596</v>
      </c>
      <c r="G751" s="6">
        <v>180</v>
      </c>
      <c r="H751" t="s">
        <v>514</v>
      </c>
    </row>
    <row r="752" spans="1:8" x14ac:dyDescent="0.45">
      <c r="A752" t="s">
        <v>667</v>
      </c>
      <c r="B752" t="s">
        <v>668</v>
      </c>
      <c r="C752" s="2">
        <v>1575.31</v>
      </c>
      <c r="D752" s="1">
        <v>45838</v>
      </c>
      <c r="E752" s="6">
        <v>266</v>
      </c>
      <c r="F752" t="s">
        <v>596</v>
      </c>
      <c r="G752" s="6">
        <v>180</v>
      </c>
      <c r="H752" t="s">
        <v>514</v>
      </c>
    </row>
    <row r="753" spans="1:8" x14ac:dyDescent="0.45">
      <c r="A753" t="s">
        <v>597</v>
      </c>
      <c r="B753" t="s">
        <v>598</v>
      </c>
      <c r="C753" s="2">
        <v>-4252.9799999999996</v>
      </c>
      <c r="D753" s="1">
        <v>45838</v>
      </c>
      <c r="E753" s="6">
        <v>266</v>
      </c>
      <c r="F753" t="s">
        <v>596</v>
      </c>
      <c r="G753" s="6">
        <v>180</v>
      </c>
      <c r="H753" t="s">
        <v>514</v>
      </c>
    </row>
    <row r="754" spans="1:8" x14ac:dyDescent="0.45">
      <c r="A754" t="s">
        <v>603</v>
      </c>
      <c r="B754" t="s">
        <v>604</v>
      </c>
      <c r="C754" s="2">
        <v>-24534.67</v>
      </c>
      <c r="D754" s="1">
        <v>45838</v>
      </c>
      <c r="E754" s="6">
        <v>266</v>
      </c>
      <c r="F754" t="s">
        <v>596</v>
      </c>
      <c r="G754" s="6">
        <v>180</v>
      </c>
      <c r="H754" t="s">
        <v>514</v>
      </c>
    </row>
    <row r="755" spans="1:8" x14ac:dyDescent="0.45">
      <c r="A755" t="s">
        <v>669</v>
      </c>
      <c r="B755" t="s">
        <v>670</v>
      </c>
      <c r="C755" s="2">
        <v>-2470.1999999999998</v>
      </c>
      <c r="D755" s="1">
        <v>45838</v>
      </c>
      <c r="E755" s="6">
        <v>246</v>
      </c>
      <c r="F755" t="s">
        <v>70</v>
      </c>
      <c r="G755" s="6">
        <v>200</v>
      </c>
      <c r="H755" t="s">
        <v>653</v>
      </c>
    </row>
    <row r="756" spans="1:8" x14ac:dyDescent="0.45">
      <c r="A756" t="s">
        <v>147</v>
      </c>
      <c r="B756" t="s">
        <v>148</v>
      </c>
      <c r="C756" s="2">
        <v>-535845.36</v>
      </c>
      <c r="D756" s="1">
        <v>45838</v>
      </c>
      <c r="E756" s="6">
        <v>246</v>
      </c>
      <c r="F756" t="s">
        <v>70</v>
      </c>
      <c r="G756" s="6">
        <v>210</v>
      </c>
      <c r="H756" t="s">
        <v>149</v>
      </c>
    </row>
    <row r="757" spans="1:8" x14ac:dyDescent="0.45">
      <c r="A757" t="s">
        <v>150</v>
      </c>
      <c r="B757" t="s">
        <v>671</v>
      </c>
      <c r="C757" s="2">
        <v>0</v>
      </c>
      <c r="D757" s="1">
        <v>45838</v>
      </c>
      <c r="E757" s="6">
        <v>130</v>
      </c>
      <c r="F757" t="s">
        <v>66</v>
      </c>
      <c r="G757" s="6">
        <v>210</v>
      </c>
      <c r="H757" t="s">
        <v>149</v>
      </c>
    </row>
    <row r="758" spans="1:8" x14ac:dyDescent="0.45">
      <c r="A758" t="s">
        <v>672</v>
      </c>
      <c r="B758" t="s">
        <v>673</v>
      </c>
      <c r="C758" s="2">
        <v>-17399.3</v>
      </c>
      <c r="D758" s="1">
        <v>45838</v>
      </c>
      <c r="E758" s="6">
        <v>246</v>
      </c>
      <c r="F758" t="s">
        <v>70</v>
      </c>
      <c r="G758" s="6">
        <v>210</v>
      </c>
      <c r="H758" t="s">
        <v>149</v>
      </c>
    </row>
    <row r="759" spans="1:8" x14ac:dyDescent="0.45">
      <c r="A759" t="s">
        <v>113</v>
      </c>
      <c r="B759" t="s">
        <v>114</v>
      </c>
      <c r="C759" s="2">
        <v>2222</v>
      </c>
      <c r="D759" s="1">
        <v>45838</v>
      </c>
      <c r="E759" s="6">
        <v>101</v>
      </c>
      <c r="F759" t="s">
        <v>62</v>
      </c>
      <c r="G759" s="6">
        <v>60</v>
      </c>
      <c r="H759" t="s">
        <v>112</v>
      </c>
    </row>
    <row r="760" spans="1:8" x14ac:dyDescent="0.45">
      <c r="A760" t="s">
        <v>119</v>
      </c>
      <c r="B760" t="s">
        <v>120</v>
      </c>
      <c r="C760" s="2">
        <v>32721.37</v>
      </c>
      <c r="D760" s="1">
        <v>45838</v>
      </c>
      <c r="E760" s="6">
        <v>101</v>
      </c>
      <c r="F760" t="s">
        <v>62</v>
      </c>
      <c r="G760" s="6">
        <v>60</v>
      </c>
      <c r="H760" t="s">
        <v>112</v>
      </c>
    </row>
    <row r="761" spans="1:8" x14ac:dyDescent="0.45">
      <c r="A761" t="s">
        <v>115</v>
      </c>
      <c r="B761" t="s">
        <v>116</v>
      </c>
      <c r="C761" s="2">
        <v>1554.83</v>
      </c>
      <c r="D761" s="1">
        <v>45838</v>
      </c>
      <c r="E761" s="6">
        <v>101</v>
      </c>
      <c r="F761" t="s">
        <v>62</v>
      </c>
      <c r="G761" s="6">
        <v>60</v>
      </c>
      <c r="H761" t="s">
        <v>112</v>
      </c>
    </row>
    <row r="762" spans="1:8" x14ac:dyDescent="0.45">
      <c r="A762" t="s">
        <v>180</v>
      </c>
      <c r="B762" t="s">
        <v>674</v>
      </c>
      <c r="C762" s="2">
        <v>65265.29</v>
      </c>
      <c r="D762" s="1">
        <v>45838</v>
      </c>
      <c r="E762" s="6">
        <v>101</v>
      </c>
      <c r="F762" t="s">
        <v>62</v>
      </c>
      <c r="G762" s="6">
        <v>60</v>
      </c>
      <c r="H762" t="s">
        <v>112</v>
      </c>
    </row>
    <row r="763" spans="1:8" x14ac:dyDescent="0.45">
      <c r="A763" t="s">
        <v>675</v>
      </c>
      <c r="B763" t="s">
        <v>676</v>
      </c>
      <c r="C763" s="2">
        <v>11357.78</v>
      </c>
      <c r="D763" s="1">
        <v>45838</v>
      </c>
      <c r="E763" s="6">
        <v>101</v>
      </c>
      <c r="F763" t="s">
        <v>62</v>
      </c>
      <c r="G763" s="6">
        <v>60</v>
      </c>
      <c r="H763" t="s">
        <v>112</v>
      </c>
    </row>
    <row r="764" spans="1:8" x14ac:dyDescent="0.45">
      <c r="A764" t="s">
        <v>152</v>
      </c>
      <c r="B764" t="s">
        <v>677</v>
      </c>
      <c r="C764" s="2">
        <v>-7750.62</v>
      </c>
      <c r="D764" s="1">
        <v>45838</v>
      </c>
      <c r="E764" s="6">
        <v>246</v>
      </c>
      <c r="F764" t="s">
        <v>70</v>
      </c>
      <c r="G764" s="6">
        <v>230</v>
      </c>
      <c r="H764" t="s">
        <v>154</v>
      </c>
    </row>
    <row r="765" spans="1:8" x14ac:dyDescent="0.45">
      <c r="A765" t="s">
        <v>162</v>
      </c>
      <c r="B765" t="s">
        <v>678</v>
      </c>
      <c r="C765" s="2">
        <v>-326.2</v>
      </c>
      <c r="D765" s="1">
        <v>45838</v>
      </c>
      <c r="E765" s="6">
        <v>246</v>
      </c>
      <c r="F765" t="s">
        <v>70</v>
      </c>
      <c r="G765" s="6">
        <v>230</v>
      </c>
      <c r="H765" t="s">
        <v>154</v>
      </c>
    </row>
    <row r="766" spans="1:8" x14ac:dyDescent="0.45">
      <c r="A766" t="s">
        <v>164</v>
      </c>
      <c r="B766" t="s">
        <v>679</v>
      </c>
      <c r="C766" s="2">
        <v>-368.6</v>
      </c>
      <c r="D766" s="1">
        <v>45838</v>
      </c>
      <c r="E766" s="6">
        <v>246</v>
      </c>
      <c r="F766" t="s">
        <v>70</v>
      </c>
      <c r="G766" s="6">
        <v>230</v>
      </c>
      <c r="H766" t="s">
        <v>154</v>
      </c>
    </row>
    <row r="767" spans="1:8" x14ac:dyDescent="0.45">
      <c r="A767" t="s">
        <v>158</v>
      </c>
      <c r="B767" t="s">
        <v>159</v>
      </c>
      <c r="C767" s="2">
        <v>-8589.83</v>
      </c>
      <c r="D767" s="1">
        <v>45838</v>
      </c>
      <c r="E767" s="6">
        <v>246</v>
      </c>
      <c r="F767" t="s">
        <v>70</v>
      </c>
      <c r="G767" s="6">
        <v>230</v>
      </c>
      <c r="H767" t="s">
        <v>154</v>
      </c>
    </row>
    <row r="768" spans="1:8" x14ac:dyDescent="0.45">
      <c r="A768" t="s">
        <v>680</v>
      </c>
      <c r="B768" t="s">
        <v>681</v>
      </c>
      <c r="C768" s="2">
        <v>-10094.52</v>
      </c>
      <c r="D768" s="1">
        <v>45838</v>
      </c>
      <c r="E768" s="6">
        <v>246</v>
      </c>
      <c r="F768" t="s">
        <v>70</v>
      </c>
      <c r="G768" s="6">
        <v>190</v>
      </c>
      <c r="H768" t="s">
        <v>553</v>
      </c>
    </row>
    <row r="769" spans="1:8" x14ac:dyDescent="0.45">
      <c r="A769" t="s">
        <v>160</v>
      </c>
      <c r="B769" t="s">
        <v>682</v>
      </c>
      <c r="C769" s="2">
        <v>-9141.31</v>
      </c>
      <c r="D769" s="1">
        <v>45838</v>
      </c>
      <c r="E769" s="6">
        <v>246</v>
      </c>
      <c r="F769" t="s">
        <v>70</v>
      </c>
      <c r="G769" s="6">
        <v>230</v>
      </c>
      <c r="H769" t="s">
        <v>154</v>
      </c>
    </row>
    <row r="770" spans="1:8" x14ac:dyDescent="0.45">
      <c r="A770" t="s">
        <v>549</v>
      </c>
      <c r="B770" t="s">
        <v>550</v>
      </c>
      <c r="C770" s="2">
        <v>-292.38</v>
      </c>
      <c r="D770" s="1">
        <v>45838</v>
      </c>
      <c r="E770" s="6">
        <v>246</v>
      </c>
      <c r="F770" t="s">
        <v>70</v>
      </c>
      <c r="G770" s="6">
        <v>240</v>
      </c>
      <c r="H770" t="s">
        <v>157</v>
      </c>
    </row>
    <row r="771" spans="1:8" x14ac:dyDescent="0.45">
      <c r="A771" t="s">
        <v>590</v>
      </c>
      <c r="B771" t="s">
        <v>591</v>
      </c>
      <c r="C771" s="2">
        <v>649.51</v>
      </c>
      <c r="D771" s="1">
        <v>45838</v>
      </c>
      <c r="E771" s="6">
        <v>130</v>
      </c>
      <c r="F771" t="s">
        <v>66</v>
      </c>
      <c r="G771" s="6">
        <v>60</v>
      </c>
      <c r="H771" t="s">
        <v>112</v>
      </c>
    </row>
    <row r="772" spans="1:8" x14ac:dyDescent="0.45">
      <c r="A772" t="s">
        <v>186</v>
      </c>
      <c r="B772" t="s">
        <v>187</v>
      </c>
      <c r="C772" s="2">
        <v>1180</v>
      </c>
      <c r="D772" s="1">
        <v>45838</v>
      </c>
      <c r="E772" s="6">
        <v>130</v>
      </c>
      <c r="F772" t="s">
        <v>66</v>
      </c>
      <c r="G772" s="6">
        <v>160</v>
      </c>
      <c r="H772" t="s">
        <v>188</v>
      </c>
    </row>
    <row r="773" spans="1:8" x14ac:dyDescent="0.45">
      <c r="A773" t="s">
        <v>683</v>
      </c>
      <c r="B773" t="s">
        <v>684</v>
      </c>
      <c r="C773" s="2">
        <v>-5533</v>
      </c>
      <c r="D773" s="1">
        <v>45838</v>
      </c>
      <c r="E773" s="6">
        <v>246</v>
      </c>
      <c r="F773" t="s">
        <v>70</v>
      </c>
      <c r="G773" s="6">
        <v>240</v>
      </c>
      <c r="H773" t="s">
        <v>157</v>
      </c>
    </row>
    <row r="774" spans="1:8" x14ac:dyDescent="0.45">
      <c r="A774" t="s">
        <v>155</v>
      </c>
      <c r="B774" t="s">
        <v>685</v>
      </c>
      <c r="C774" s="2">
        <v>-23520.81</v>
      </c>
      <c r="D774" s="1">
        <v>45838</v>
      </c>
      <c r="E774" s="6">
        <v>246</v>
      </c>
      <c r="F774" t="s">
        <v>70</v>
      </c>
      <c r="G774" s="6">
        <v>240</v>
      </c>
      <c r="H774" t="s">
        <v>157</v>
      </c>
    </row>
    <row r="775" spans="1:8" x14ac:dyDescent="0.45">
      <c r="A775" t="s">
        <v>601</v>
      </c>
      <c r="B775" t="s">
        <v>602</v>
      </c>
      <c r="C775" s="2">
        <v>-3413.54</v>
      </c>
      <c r="D775" s="1">
        <v>45838</v>
      </c>
      <c r="E775" s="6">
        <v>246</v>
      </c>
      <c r="F775" t="s">
        <v>70</v>
      </c>
      <c r="G775" s="6">
        <v>240</v>
      </c>
      <c r="H775" t="s">
        <v>157</v>
      </c>
    </row>
    <row r="776" spans="1:8" x14ac:dyDescent="0.45">
      <c r="A776" t="s">
        <v>686</v>
      </c>
      <c r="B776" t="s">
        <v>687</v>
      </c>
      <c r="C776" s="2">
        <v>-35</v>
      </c>
      <c r="D776" s="1">
        <v>45838</v>
      </c>
      <c r="E776" s="6">
        <v>246</v>
      </c>
      <c r="F776" t="s">
        <v>70</v>
      </c>
      <c r="G776" s="6">
        <v>240</v>
      </c>
      <c r="H776" t="s">
        <v>157</v>
      </c>
    </row>
    <row r="777" spans="1:8" x14ac:dyDescent="0.45">
      <c r="A777" t="s">
        <v>547</v>
      </c>
      <c r="B777" t="s">
        <v>688</v>
      </c>
      <c r="C777" s="2">
        <v>-430.49</v>
      </c>
      <c r="D777" s="1">
        <v>45838</v>
      </c>
      <c r="E777" s="6">
        <v>246</v>
      </c>
      <c r="F777" t="s">
        <v>70</v>
      </c>
      <c r="G777" s="6">
        <v>240</v>
      </c>
      <c r="H777" t="s">
        <v>157</v>
      </c>
    </row>
    <row r="778" spans="1:8" x14ac:dyDescent="0.45">
      <c r="A778" t="s">
        <v>689</v>
      </c>
      <c r="B778" t="s">
        <v>690</v>
      </c>
      <c r="C778" s="2">
        <v>6081.75</v>
      </c>
      <c r="D778" s="1">
        <v>45838</v>
      </c>
      <c r="E778" s="6">
        <v>246</v>
      </c>
      <c r="F778" t="s">
        <v>70</v>
      </c>
      <c r="G778" s="6">
        <v>60</v>
      </c>
      <c r="H778" t="s">
        <v>112</v>
      </c>
    </row>
    <row r="779" spans="1:8" x14ac:dyDescent="0.45">
      <c r="A779" t="s">
        <v>226</v>
      </c>
      <c r="B779" t="s">
        <v>691</v>
      </c>
      <c r="C779" s="2">
        <v>-19799.57</v>
      </c>
      <c r="D779" s="1">
        <v>45838</v>
      </c>
      <c r="E779" s="6">
        <v>246</v>
      </c>
      <c r="F779" t="s">
        <v>70</v>
      </c>
      <c r="G779" s="6">
        <v>240</v>
      </c>
      <c r="H779" t="s">
        <v>157</v>
      </c>
    </row>
    <row r="780" spans="1:8" x14ac:dyDescent="0.45">
      <c r="A780" t="s">
        <v>692</v>
      </c>
      <c r="B780" t="s">
        <v>693</v>
      </c>
      <c r="C780" s="2">
        <v>7.0000000000000007E-2</v>
      </c>
      <c r="D780" s="1">
        <v>45838</v>
      </c>
      <c r="E780" s="6">
        <v>246</v>
      </c>
      <c r="F780" t="s">
        <v>70</v>
      </c>
      <c r="G780" s="6">
        <v>60</v>
      </c>
      <c r="H780" t="s">
        <v>112</v>
      </c>
    </row>
    <row r="781" spans="1:8" x14ac:dyDescent="0.45">
      <c r="A781" t="s">
        <v>474</v>
      </c>
      <c r="B781" t="s">
        <v>694</v>
      </c>
      <c r="C781" s="2">
        <v>-1077171.43</v>
      </c>
      <c r="D781" s="1">
        <v>45838</v>
      </c>
      <c r="E781" s="6">
        <v>311</v>
      </c>
      <c r="F781" t="s">
        <v>476</v>
      </c>
      <c r="G781" s="6">
        <v>300</v>
      </c>
      <c r="H781" t="s">
        <v>422</v>
      </c>
    </row>
    <row r="782" spans="1:8" x14ac:dyDescent="0.45">
      <c r="A782" t="s">
        <v>479</v>
      </c>
      <c r="B782" t="s">
        <v>480</v>
      </c>
      <c r="C782" s="2">
        <v>-89615.83</v>
      </c>
      <c r="D782" s="1">
        <v>45838</v>
      </c>
      <c r="E782" s="6">
        <v>311</v>
      </c>
      <c r="F782" t="s">
        <v>476</v>
      </c>
      <c r="G782" s="6">
        <v>300</v>
      </c>
      <c r="H782" t="s">
        <v>422</v>
      </c>
    </row>
    <row r="783" spans="1:8" x14ac:dyDescent="0.45">
      <c r="A783" t="s">
        <v>477</v>
      </c>
      <c r="B783" t="s">
        <v>478</v>
      </c>
      <c r="C783" s="2">
        <v>-692.06</v>
      </c>
      <c r="D783" s="1">
        <v>45838</v>
      </c>
      <c r="E783" s="6">
        <v>311</v>
      </c>
      <c r="F783" t="s">
        <v>476</v>
      </c>
      <c r="G783" s="6">
        <v>300</v>
      </c>
      <c r="H783" t="s">
        <v>422</v>
      </c>
    </row>
    <row r="784" spans="1:8" x14ac:dyDescent="0.45">
      <c r="A784" t="s">
        <v>695</v>
      </c>
      <c r="B784" t="s">
        <v>696</v>
      </c>
      <c r="C784" s="2">
        <v>20028.04</v>
      </c>
      <c r="D784" s="1">
        <v>45838</v>
      </c>
      <c r="E784" s="6">
        <v>311</v>
      </c>
      <c r="F784" t="s">
        <v>476</v>
      </c>
      <c r="G784" s="6">
        <v>300</v>
      </c>
      <c r="H784" t="s">
        <v>422</v>
      </c>
    </row>
    <row r="785" spans="1:8" x14ac:dyDescent="0.45">
      <c r="A785" t="s">
        <v>481</v>
      </c>
      <c r="B785" t="s">
        <v>697</v>
      </c>
      <c r="C785" s="2">
        <v>-23465</v>
      </c>
      <c r="D785" s="1">
        <v>45838</v>
      </c>
      <c r="E785" s="6">
        <v>311</v>
      </c>
      <c r="F785" t="s">
        <v>476</v>
      </c>
      <c r="G785" s="6">
        <v>320</v>
      </c>
      <c r="H785" t="s">
        <v>483</v>
      </c>
    </row>
    <row r="786" spans="1:8" x14ac:dyDescent="0.45">
      <c r="A786" t="s">
        <v>503</v>
      </c>
      <c r="B786" t="s">
        <v>504</v>
      </c>
      <c r="C786" s="2">
        <v>-857.2</v>
      </c>
      <c r="D786" s="1">
        <v>45838</v>
      </c>
      <c r="E786" s="6">
        <v>311</v>
      </c>
      <c r="F786" t="s">
        <v>476</v>
      </c>
      <c r="G786" s="6">
        <v>320</v>
      </c>
      <c r="H786" t="s">
        <v>483</v>
      </c>
    </row>
    <row r="787" spans="1:8" x14ac:dyDescent="0.45">
      <c r="A787" t="s">
        <v>698</v>
      </c>
      <c r="B787" t="s">
        <v>699</v>
      </c>
      <c r="C787" s="2">
        <v>-3877</v>
      </c>
      <c r="D787" s="1">
        <v>45838</v>
      </c>
      <c r="E787" s="6">
        <v>311</v>
      </c>
      <c r="F787" t="s">
        <v>476</v>
      </c>
      <c r="G787" s="6">
        <v>300</v>
      </c>
      <c r="H787" t="s">
        <v>422</v>
      </c>
    </row>
    <row r="788" spans="1:8" x14ac:dyDescent="0.45">
      <c r="A788" t="s">
        <v>700</v>
      </c>
      <c r="B788" t="s">
        <v>701</v>
      </c>
      <c r="C788" s="2">
        <v>2.4</v>
      </c>
      <c r="D788" s="1">
        <v>45838</v>
      </c>
      <c r="E788" s="6">
        <v>386</v>
      </c>
      <c r="F788" t="s">
        <v>339</v>
      </c>
      <c r="G788" s="6">
        <v>330</v>
      </c>
      <c r="H788" t="s">
        <v>252</v>
      </c>
    </row>
    <row r="789" spans="1:8" x14ac:dyDescent="0.45">
      <c r="A789" t="s">
        <v>702</v>
      </c>
      <c r="B789" t="s">
        <v>703</v>
      </c>
      <c r="C789" s="2">
        <v>-0.01</v>
      </c>
      <c r="D789" s="1">
        <v>45838</v>
      </c>
      <c r="E789" s="6">
        <v>386</v>
      </c>
      <c r="F789" t="s">
        <v>339</v>
      </c>
      <c r="G789" s="6">
        <v>300</v>
      </c>
      <c r="H789" t="s">
        <v>422</v>
      </c>
    </row>
    <row r="790" spans="1:8" x14ac:dyDescent="0.45">
      <c r="A790" t="s">
        <v>253</v>
      </c>
      <c r="B790" t="s">
        <v>704</v>
      </c>
      <c r="C790" s="2">
        <v>47180.69</v>
      </c>
      <c r="D790" s="1">
        <v>45838</v>
      </c>
      <c r="E790" s="6">
        <v>331</v>
      </c>
      <c r="F790" t="s">
        <v>251</v>
      </c>
      <c r="G790" s="6">
        <v>330</v>
      </c>
      <c r="H790" t="s">
        <v>252</v>
      </c>
    </row>
    <row r="791" spans="1:8" x14ac:dyDescent="0.45">
      <c r="A791" t="s">
        <v>705</v>
      </c>
      <c r="B791" t="s">
        <v>706</v>
      </c>
      <c r="C791" s="2">
        <v>10792.97</v>
      </c>
      <c r="D791" s="1">
        <v>45838</v>
      </c>
      <c r="E791" s="6">
        <v>331</v>
      </c>
      <c r="F791" t="s">
        <v>251</v>
      </c>
      <c r="G791" s="6">
        <v>330</v>
      </c>
      <c r="H791" t="s">
        <v>252</v>
      </c>
    </row>
    <row r="792" spans="1:8" x14ac:dyDescent="0.45">
      <c r="A792" t="s">
        <v>266</v>
      </c>
      <c r="B792" t="s">
        <v>267</v>
      </c>
      <c r="C792" s="2">
        <v>193911.29</v>
      </c>
      <c r="D792" s="1">
        <v>45838</v>
      </c>
      <c r="E792" s="6">
        <v>331</v>
      </c>
      <c r="F792" t="s">
        <v>251</v>
      </c>
      <c r="G792" s="6">
        <v>330</v>
      </c>
      <c r="H792" t="s">
        <v>252</v>
      </c>
    </row>
    <row r="793" spans="1:8" x14ac:dyDescent="0.45">
      <c r="A793" t="s">
        <v>264</v>
      </c>
      <c r="B793" t="s">
        <v>265</v>
      </c>
      <c r="C793" s="2">
        <v>1107.1500000000001</v>
      </c>
      <c r="D793" s="1">
        <v>45838</v>
      </c>
      <c r="E793" s="6">
        <v>331</v>
      </c>
      <c r="F793" t="s">
        <v>251</v>
      </c>
      <c r="G793" s="6">
        <v>330</v>
      </c>
      <c r="H793" t="s">
        <v>252</v>
      </c>
    </row>
    <row r="794" spans="1:8" x14ac:dyDescent="0.45">
      <c r="A794" t="s">
        <v>259</v>
      </c>
      <c r="B794" t="s">
        <v>641</v>
      </c>
      <c r="C794" s="2">
        <v>382.36</v>
      </c>
      <c r="D794" s="1">
        <v>45838</v>
      </c>
      <c r="E794" s="6">
        <v>331</v>
      </c>
      <c r="F794" t="s">
        <v>251</v>
      </c>
      <c r="G794" s="6">
        <v>330</v>
      </c>
      <c r="H794" t="s">
        <v>252</v>
      </c>
    </row>
    <row r="795" spans="1:8" x14ac:dyDescent="0.45">
      <c r="A795" t="s">
        <v>249</v>
      </c>
      <c r="B795" t="s">
        <v>707</v>
      </c>
      <c r="C795" s="2">
        <v>437563.26</v>
      </c>
      <c r="D795" s="1">
        <v>45838</v>
      </c>
      <c r="E795" s="6">
        <v>331</v>
      </c>
      <c r="F795" t="s">
        <v>251</v>
      </c>
      <c r="G795" s="6">
        <v>330</v>
      </c>
      <c r="H795" t="s">
        <v>252</v>
      </c>
    </row>
    <row r="796" spans="1:8" x14ac:dyDescent="0.45">
      <c r="A796" t="s">
        <v>708</v>
      </c>
      <c r="B796" t="s">
        <v>709</v>
      </c>
      <c r="C796" s="2">
        <v>138.4</v>
      </c>
      <c r="D796" s="1">
        <v>45838</v>
      </c>
      <c r="E796" s="6">
        <v>331</v>
      </c>
      <c r="F796" t="s">
        <v>251</v>
      </c>
      <c r="G796" s="6">
        <v>380</v>
      </c>
      <c r="H796" t="s">
        <v>290</v>
      </c>
    </row>
    <row r="797" spans="1:8" x14ac:dyDescent="0.45">
      <c r="A797" t="s">
        <v>425</v>
      </c>
      <c r="B797" t="s">
        <v>710</v>
      </c>
      <c r="C797" s="2">
        <v>819.93</v>
      </c>
      <c r="D797" s="1">
        <v>45838</v>
      </c>
      <c r="E797" s="6">
        <v>332</v>
      </c>
      <c r="F797" t="s">
        <v>263</v>
      </c>
      <c r="G797" s="6">
        <v>380</v>
      </c>
      <c r="H797" t="s">
        <v>290</v>
      </c>
    </row>
    <row r="798" spans="1:8" x14ac:dyDescent="0.45">
      <c r="A798" t="s">
        <v>711</v>
      </c>
      <c r="B798" t="s">
        <v>712</v>
      </c>
      <c r="C798" s="2">
        <v>1240.8599999999999</v>
      </c>
      <c r="D798" s="1">
        <v>45838</v>
      </c>
      <c r="E798" s="6">
        <v>332</v>
      </c>
      <c r="F798" t="s">
        <v>263</v>
      </c>
      <c r="G798" s="6">
        <v>364</v>
      </c>
      <c r="H798" t="s">
        <v>282</v>
      </c>
    </row>
    <row r="799" spans="1:8" x14ac:dyDescent="0.45">
      <c r="A799" t="s">
        <v>456</v>
      </c>
      <c r="B799" t="s">
        <v>713</v>
      </c>
      <c r="C799" s="2">
        <v>3993.77</v>
      </c>
      <c r="D799" s="1">
        <v>45838</v>
      </c>
      <c r="E799" s="6">
        <v>332</v>
      </c>
      <c r="F799" t="s">
        <v>263</v>
      </c>
      <c r="G799" s="6">
        <v>364</v>
      </c>
      <c r="H799" t="s">
        <v>282</v>
      </c>
    </row>
    <row r="800" spans="1:8" x14ac:dyDescent="0.45">
      <c r="A800" t="s">
        <v>714</v>
      </c>
      <c r="B800" t="s">
        <v>715</v>
      </c>
      <c r="C800" s="2">
        <v>189.2</v>
      </c>
      <c r="D800" s="1">
        <v>45838</v>
      </c>
      <c r="E800" s="6">
        <v>332</v>
      </c>
      <c r="F800" t="s">
        <v>263</v>
      </c>
      <c r="G800" s="6">
        <v>380</v>
      </c>
      <c r="H800" t="s">
        <v>290</v>
      </c>
    </row>
    <row r="801" spans="1:8" x14ac:dyDescent="0.45">
      <c r="A801" t="s">
        <v>271</v>
      </c>
      <c r="B801" t="s">
        <v>272</v>
      </c>
      <c r="C801" s="2">
        <v>12624.24</v>
      </c>
      <c r="D801" s="1">
        <v>45838</v>
      </c>
      <c r="E801" s="6">
        <v>331</v>
      </c>
      <c r="F801" t="s">
        <v>251</v>
      </c>
      <c r="G801" s="6">
        <v>356</v>
      </c>
      <c r="H801" t="s">
        <v>273</v>
      </c>
    </row>
    <row r="802" spans="1:8" x14ac:dyDescent="0.45">
      <c r="A802" t="s">
        <v>433</v>
      </c>
      <c r="B802" t="s">
        <v>434</v>
      </c>
      <c r="C802" s="2">
        <v>10557.85</v>
      </c>
      <c r="D802" s="1">
        <v>45838</v>
      </c>
      <c r="E802" s="6">
        <v>331</v>
      </c>
      <c r="F802" t="s">
        <v>251</v>
      </c>
      <c r="G802" s="6">
        <v>330</v>
      </c>
      <c r="H802" t="s">
        <v>252</v>
      </c>
    </row>
    <row r="803" spans="1:8" x14ac:dyDescent="0.45">
      <c r="A803" t="s">
        <v>278</v>
      </c>
      <c r="B803" t="s">
        <v>716</v>
      </c>
      <c r="C803" s="2">
        <v>3127.28</v>
      </c>
      <c r="D803" s="1">
        <v>45838</v>
      </c>
      <c r="E803" s="6">
        <v>332</v>
      </c>
      <c r="F803" t="s">
        <v>263</v>
      </c>
      <c r="G803" s="6">
        <v>362</v>
      </c>
      <c r="H803" t="s">
        <v>270</v>
      </c>
    </row>
    <row r="804" spans="1:8" x14ac:dyDescent="0.45">
      <c r="A804" t="s">
        <v>303</v>
      </c>
      <c r="B804" t="s">
        <v>304</v>
      </c>
      <c r="C804" s="2">
        <v>1619.37</v>
      </c>
      <c r="D804" s="1">
        <v>45838</v>
      </c>
      <c r="E804" s="6">
        <v>332</v>
      </c>
      <c r="F804" t="s">
        <v>263</v>
      </c>
      <c r="G804" s="6">
        <v>364</v>
      </c>
      <c r="H804" t="s">
        <v>282</v>
      </c>
    </row>
    <row r="805" spans="1:8" x14ac:dyDescent="0.45">
      <c r="A805" t="s">
        <v>431</v>
      </c>
      <c r="B805" t="s">
        <v>432</v>
      </c>
      <c r="C805" s="2">
        <v>49.79</v>
      </c>
      <c r="D805" s="1">
        <v>45838</v>
      </c>
      <c r="E805" s="6">
        <v>358</v>
      </c>
      <c r="F805" t="s">
        <v>289</v>
      </c>
      <c r="G805" s="6">
        <v>380</v>
      </c>
      <c r="H805" t="s">
        <v>290</v>
      </c>
    </row>
    <row r="806" spans="1:8" x14ac:dyDescent="0.45">
      <c r="A806" t="s">
        <v>283</v>
      </c>
      <c r="B806" t="s">
        <v>717</v>
      </c>
      <c r="C806" s="2">
        <v>42.32</v>
      </c>
      <c r="D806" s="1">
        <v>45838</v>
      </c>
      <c r="E806" s="6">
        <v>332</v>
      </c>
      <c r="F806" t="s">
        <v>263</v>
      </c>
      <c r="G806" s="6">
        <v>362</v>
      </c>
      <c r="H806" t="s">
        <v>270</v>
      </c>
    </row>
    <row r="807" spans="1:8" x14ac:dyDescent="0.45">
      <c r="A807" t="s">
        <v>718</v>
      </c>
      <c r="B807" t="s">
        <v>719</v>
      </c>
      <c r="C807" s="2">
        <v>231.64</v>
      </c>
      <c r="D807" s="1">
        <v>45838</v>
      </c>
      <c r="E807" s="6">
        <v>332</v>
      </c>
      <c r="F807" t="s">
        <v>263</v>
      </c>
      <c r="G807" s="6">
        <v>380</v>
      </c>
      <c r="H807" t="s">
        <v>290</v>
      </c>
    </row>
    <row r="808" spans="1:8" x14ac:dyDescent="0.45">
      <c r="A808" t="s">
        <v>435</v>
      </c>
      <c r="B808" t="s">
        <v>720</v>
      </c>
      <c r="C808" s="2">
        <v>242.11</v>
      </c>
      <c r="D808" s="1">
        <v>45838</v>
      </c>
      <c r="E808" s="6">
        <v>332</v>
      </c>
      <c r="F808" t="s">
        <v>263</v>
      </c>
      <c r="G808" s="6">
        <v>380</v>
      </c>
      <c r="H808" t="s">
        <v>290</v>
      </c>
    </row>
    <row r="809" spans="1:8" x14ac:dyDescent="0.45">
      <c r="A809" t="s">
        <v>721</v>
      </c>
      <c r="B809" t="s">
        <v>722</v>
      </c>
      <c r="C809" s="2">
        <v>180</v>
      </c>
      <c r="D809" s="1">
        <v>45838</v>
      </c>
      <c r="E809" s="6">
        <v>332</v>
      </c>
      <c r="F809" t="s">
        <v>263</v>
      </c>
      <c r="G809" s="6">
        <v>380</v>
      </c>
      <c r="H809" t="s">
        <v>290</v>
      </c>
    </row>
    <row r="810" spans="1:8" x14ac:dyDescent="0.45">
      <c r="A810" t="s">
        <v>406</v>
      </c>
      <c r="B810" t="s">
        <v>407</v>
      </c>
      <c r="C810" s="2">
        <v>3128.99</v>
      </c>
      <c r="D810" s="1">
        <v>45838</v>
      </c>
      <c r="E810" s="6">
        <v>332</v>
      </c>
      <c r="F810" t="s">
        <v>263</v>
      </c>
      <c r="G810" s="6">
        <v>380</v>
      </c>
      <c r="H810" t="s">
        <v>290</v>
      </c>
    </row>
    <row r="811" spans="1:8" x14ac:dyDescent="0.45">
      <c r="A811" t="s">
        <v>452</v>
      </c>
      <c r="B811" t="s">
        <v>453</v>
      </c>
      <c r="C811" s="2">
        <v>1070.4100000000001</v>
      </c>
      <c r="D811" s="1">
        <v>45838</v>
      </c>
      <c r="E811" s="6">
        <v>332</v>
      </c>
      <c r="F811" t="s">
        <v>263</v>
      </c>
      <c r="G811" s="6">
        <v>380</v>
      </c>
      <c r="H811" t="s">
        <v>290</v>
      </c>
    </row>
    <row r="812" spans="1:8" x14ac:dyDescent="0.45">
      <c r="A812" t="s">
        <v>404</v>
      </c>
      <c r="B812" t="s">
        <v>405</v>
      </c>
      <c r="C812" s="2">
        <v>250</v>
      </c>
      <c r="D812" s="1">
        <v>45838</v>
      </c>
      <c r="E812" s="6">
        <v>332</v>
      </c>
      <c r="F812" t="s">
        <v>263</v>
      </c>
      <c r="G812" s="6">
        <v>362</v>
      </c>
      <c r="H812" t="s">
        <v>270</v>
      </c>
    </row>
    <row r="813" spans="1:8" x14ac:dyDescent="0.45">
      <c r="A813" t="s">
        <v>460</v>
      </c>
      <c r="B813" t="s">
        <v>723</v>
      </c>
      <c r="C813" s="2">
        <v>693.9</v>
      </c>
      <c r="D813" s="1">
        <v>45838</v>
      </c>
      <c r="E813" s="6">
        <v>332</v>
      </c>
      <c r="F813" t="s">
        <v>263</v>
      </c>
      <c r="G813" s="6">
        <v>364</v>
      </c>
      <c r="H813" t="s">
        <v>282</v>
      </c>
    </row>
    <row r="814" spans="1:8" x14ac:dyDescent="0.45">
      <c r="A814" t="s">
        <v>287</v>
      </c>
      <c r="B814" t="s">
        <v>288</v>
      </c>
      <c r="C814" s="2">
        <v>154.87</v>
      </c>
      <c r="D814" s="1">
        <v>45838</v>
      </c>
      <c r="E814" s="6">
        <v>358</v>
      </c>
      <c r="F814" t="s">
        <v>289</v>
      </c>
      <c r="G814" s="6">
        <v>380</v>
      </c>
      <c r="H814" t="s">
        <v>290</v>
      </c>
    </row>
    <row r="815" spans="1:8" x14ac:dyDescent="0.45">
      <c r="A815" t="s">
        <v>458</v>
      </c>
      <c r="B815" t="s">
        <v>724</v>
      </c>
      <c r="C815" s="2">
        <v>1711.12</v>
      </c>
      <c r="D815" s="1">
        <v>45838</v>
      </c>
      <c r="E815" s="6">
        <v>332</v>
      </c>
      <c r="F815" t="s">
        <v>263</v>
      </c>
      <c r="G815" s="6">
        <v>364</v>
      </c>
      <c r="H815" t="s">
        <v>282</v>
      </c>
    </row>
    <row r="816" spans="1:8" x14ac:dyDescent="0.45">
      <c r="A816" t="s">
        <v>293</v>
      </c>
      <c r="B816" t="s">
        <v>725</v>
      </c>
      <c r="C816" s="2">
        <v>2075</v>
      </c>
      <c r="D816" s="1">
        <v>45838</v>
      </c>
      <c r="E816" s="6">
        <v>332</v>
      </c>
      <c r="F816" t="s">
        <v>263</v>
      </c>
      <c r="G816" s="6">
        <v>362</v>
      </c>
      <c r="H816" t="s">
        <v>270</v>
      </c>
    </row>
    <row r="817" spans="1:8" x14ac:dyDescent="0.45">
      <c r="A817" t="s">
        <v>326</v>
      </c>
      <c r="B817" t="s">
        <v>327</v>
      </c>
      <c r="C817" s="2">
        <v>9903.9500000000007</v>
      </c>
      <c r="D817" s="1">
        <v>45838</v>
      </c>
      <c r="E817" s="6">
        <v>332</v>
      </c>
      <c r="F817" t="s">
        <v>263</v>
      </c>
      <c r="G817" s="6">
        <v>394</v>
      </c>
      <c r="H817" t="s">
        <v>328</v>
      </c>
    </row>
    <row r="818" spans="1:8" x14ac:dyDescent="0.45">
      <c r="A818" t="s">
        <v>274</v>
      </c>
      <c r="B818" t="s">
        <v>726</v>
      </c>
      <c r="C818" s="2">
        <v>527.57000000000005</v>
      </c>
      <c r="D818" s="1">
        <v>45838</v>
      </c>
      <c r="E818" s="6">
        <v>332</v>
      </c>
      <c r="F818" t="s">
        <v>263</v>
      </c>
      <c r="G818" s="6">
        <v>356</v>
      </c>
      <c r="H818" t="s">
        <v>273</v>
      </c>
    </row>
    <row r="819" spans="1:8" x14ac:dyDescent="0.45">
      <c r="A819" t="s">
        <v>291</v>
      </c>
      <c r="B819" t="s">
        <v>727</v>
      </c>
      <c r="C819" s="2">
        <v>1600</v>
      </c>
      <c r="D819" s="1">
        <v>45838</v>
      </c>
      <c r="E819" s="6">
        <v>332</v>
      </c>
      <c r="F819" t="s">
        <v>263</v>
      </c>
      <c r="G819" s="6">
        <v>364</v>
      </c>
      <c r="H819" t="s">
        <v>282</v>
      </c>
    </row>
    <row r="820" spans="1:8" x14ac:dyDescent="0.45">
      <c r="A820" t="s">
        <v>437</v>
      </c>
      <c r="B820" t="s">
        <v>728</v>
      </c>
      <c r="C820" s="2">
        <v>8365.5400000000009</v>
      </c>
      <c r="D820" s="1">
        <v>45838</v>
      </c>
      <c r="E820" s="6">
        <v>332</v>
      </c>
      <c r="F820" t="s">
        <v>263</v>
      </c>
      <c r="G820" s="6">
        <v>364</v>
      </c>
      <c r="H820" t="s">
        <v>282</v>
      </c>
    </row>
    <row r="821" spans="1:8" x14ac:dyDescent="0.45">
      <c r="A821" t="s">
        <v>297</v>
      </c>
      <c r="B821" t="s">
        <v>729</v>
      </c>
      <c r="C821" s="2">
        <v>7048.84</v>
      </c>
      <c r="D821" s="1">
        <v>45838</v>
      </c>
      <c r="E821" s="6">
        <v>332</v>
      </c>
      <c r="F821" t="s">
        <v>263</v>
      </c>
      <c r="G821" s="6">
        <v>380</v>
      </c>
      <c r="H821" t="s">
        <v>290</v>
      </c>
    </row>
    <row r="822" spans="1:8" x14ac:dyDescent="0.45">
      <c r="A822" t="s">
        <v>280</v>
      </c>
      <c r="B822" t="s">
        <v>281</v>
      </c>
      <c r="C822" s="2">
        <v>1021.42</v>
      </c>
      <c r="D822" s="1">
        <v>45838</v>
      </c>
      <c r="E822" s="6">
        <v>332</v>
      </c>
      <c r="F822" t="s">
        <v>263</v>
      </c>
      <c r="G822" s="6">
        <v>364</v>
      </c>
      <c r="H822" t="s">
        <v>282</v>
      </c>
    </row>
    <row r="823" spans="1:8" x14ac:dyDescent="0.45">
      <c r="A823" t="s">
        <v>307</v>
      </c>
      <c r="B823" t="s">
        <v>730</v>
      </c>
      <c r="C823" s="2">
        <v>1889.73</v>
      </c>
      <c r="D823" s="1">
        <v>45838</v>
      </c>
      <c r="E823" s="6">
        <v>332</v>
      </c>
      <c r="F823" t="s">
        <v>263</v>
      </c>
      <c r="G823" s="6">
        <v>380</v>
      </c>
      <c r="H823" t="s">
        <v>290</v>
      </c>
    </row>
    <row r="824" spans="1:8" x14ac:dyDescent="0.45">
      <c r="A824" t="s">
        <v>446</v>
      </c>
      <c r="B824" t="s">
        <v>447</v>
      </c>
      <c r="C824" s="2">
        <v>7294.93</v>
      </c>
      <c r="D824" s="1">
        <v>45838</v>
      </c>
      <c r="E824" s="6">
        <v>332</v>
      </c>
      <c r="F824" t="s">
        <v>263</v>
      </c>
      <c r="G824" s="6">
        <v>364</v>
      </c>
      <c r="H824" t="s">
        <v>282</v>
      </c>
    </row>
    <row r="825" spans="1:8" x14ac:dyDescent="0.45">
      <c r="A825" t="s">
        <v>285</v>
      </c>
      <c r="B825" t="s">
        <v>731</v>
      </c>
      <c r="C825" s="2">
        <v>280.18</v>
      </c>
      <c r="D825" s="1">
        <v>45838</v>
      </c>
      <c r="E825" s="6">
        <v>332</v>
      </c>
      <c r="F825" t="s">
        <v>263</v>
      </c>
      <c r="G825" s="6">
        <v>364</v>
      </c>
      <c r="H825" t="s">
        <v>282</v>
      </c>
    </row>
    <row r="826" spans="1:8" x14ac:dyDescent="0.45">
      <c r="A826" t="s">
        <v>345</v>
      </c>
      <c r="B826" t="s">
        <v>732</v>
      </c>
      <c r="C826" s="2">
        <v>11259.08</v>
      </c>
      <c r="D826" s="1">
        <v>45838</v>
      </c>
      <c r="E826" s="6">
        <v>332</v>
      </c>
      <c r="F826" t="s">
        <v>263</v>
      </c>
      <c r="G826" s="6">
        <v>380</v>
      </c>
      <c r="H826" t="s">
        <v>290</v>
      </c>
    </row>
    <row r="827" spans="1:8" x14ac:dyDescent="0.45">
      <c r="A827" t="s">
        <v>343</v>
      </c>
      <c r="B827" t="s">
        <v>344</v>
      </c>
      <c r="C827" s="2">
        <v>2298.65</v>
      </c>
      <c r="D827" s="1">
        <v>45838</v>
      </c>
      <c r="E827" s="6">
        <v>420</v>
      </c>
      <c r="F827" t="s">
        <v>339</v>
      </c>
      <c r="G827" s="6">
        <v>430</v>
      </c>
      <c r="H827" t="s">
        <v>340</v>
      </c>
    </row>
    <row r="828" spans="1:8" x14ac:dyDescent="0.45">
      <c r="A828" t="s">
        <v>733</v>
      </c>
      <c r="B828" t="s">
        <v>734</v>
      </c>
      <c r="C828" s="2">
        <v>9196.3700000000008</v>
      </c>
      <c r="D828" s="1">
        <v>45838</v>
      </c>
      <c r="E828" s="6">
        <v>332</v>
      </c>
      <c r="F828" t="s">
        <v>263</v>
      </c>
      <c r="G828" s="6">
        <v>380</v>
      </c>
      <c r="H828" t="s">
        <v>290</v>
      </c>
    </row>
    <row r="829" spans="1:8" x14ac:dyDescent="0.45">
      <c r="A829" t="s">
        <v>347</v>
      </c>
      <c r="B829" t="s">
        <v>348</v>
      </c>
      <c r="C829" s="2">
        <v>495.18</v>
      </c>
      <c r="D829" s="1">
        <v>45838</v>
      </c>
      <c r="E829" s="6">
        <v>420</v>
      </c>
      <c r="F829" t="s">
        <v>339</v>
      </c>
      <c r="G829" s="6">
        <v>430</v>
      </c>
      <c r="H829" t="s">
        <v>340</v>
      </c>
    </row>
    <row r="830" spans="1:8" x14ac:dyDescent="0.45">
      <c r="A830" t="s">
        <v>295</v>
      </c>
      <c r="B830" t="s">
        <v>296</v>
      </c>
      <c r="C830" s="2">
        <v>1615.64</v>
      </c>
      <c r="D830" s="1">
        <v>45838</v>
      </c>
      <c r="E830" s="6">
        <v>332</v>
      </c>
      <c r="F830" t="s">
        <v>263</v>
      </c>
      <c r="G830" s="6">
        <v>380</v>
      </c>
      <c r="H830" t="s">
        <v>290</v>
      </c>
    </row>
    <row r="831" spans="1:8" x14ac:dyDescent="0.45">
      <c r="A831" t="s">
        <v>268</v>
      </c>
      <c r="B831" t="s">
        <v>269</v>
      </c>
      <c r="C831" s="2">
        <v>3432.6</v>
      </c>
      <c r="D831" s="1">
        <v>45838</v>
      </c>
      <c r="E831" s="6">
        <v>332</v>
      </c>
      <c r="F831" t="s">
        <v>263</v>
      </c>
      <c r="G831" s="6">
        <v>362</v>
      </c>
      <c r="H831" t="s">
        <v>270</v>
      </c>
    </row>
    <row r="832" spans="1:8" x14ac:dyDescent="0.45">
      <c r="A832" t="s">
        <v>309</v>
      </c>
      <c r="B832" t="s">
        <v>310</v>
      </c>
      <c r="C832" s="2">
        <v>90</v>
      </c>
      <c r="D832" s="1">
        <v>45838</v>
      </c>
      <c r="E832" s="6">
        <v>358</v>
      </c>
      <c r="F832" t="s">
        <v>289</v>
      </c>
      <c r="G832" s="6">
        <v>380</v>
      </c>
      <c r="H832" t="s">
        <v>290</v>
      </c>
    </row>
    <row r="833" spans="1:8" x14ac:dyDescent="0.45">
      <c r="A833" t="s">
        <v>301</v>
      </c>
      <c r="B833" t="s">
        <v>302</v>
      </c>
      <c r="C833" s="2">
        <v>1302.33</v>
      </c>
      <c r="D833" s="1">
        <v>45838</v>
      </c>
      <c r="E833" s="6">
        <v>332</v>
      </c>
      <c r="F833" t="s">
        <v>263</v>
      </c>
      <c r="G833" s="6">
        <v>362</v>
      </c>
      <c r="H833" t="s">
        <v>270</v>
      </c>
    </row>
    <row r="834" spans="1:8" x14ac:dyDescent="0.45">
      <c r="A834" t="s">
        <v>735</v>
      </c>
      <c r="B834" t="s">
        <v>736</v>
      </c>
      <c r="C834" s="2">
        <v>6025</v>
      </c>
      <c r="D834" s="1">
        <v>45838</v>
      </c>
      <c r="E834" s="6">
        <v>332</v>
      </c>
      <c r="F834" t="s">
        <v>263</v>
      </c>
      <c r="G834" s="6">
        <v>380</v>
      </c>
      <c r="H834" t="s">
        <v>290</v>
      </c>
    </row>
    <row r="835" spans="1:8" x14ac:dyDescent="0.45">
      <c r="A835" t="s">
        <v>568</v>
      </c>
      <c r="B835" t="s">
        <v>569</v>
      </c>
      <c r="C835" s="2">
        <v>6768.16</v>
      </c>
      <c r="D835" s="1">
        <v>45838</v>
      </c>
      <c r="E835" s="6">
        <v>333</v>
      </c>
      <c r="F835" t="s">
        <v>410</v>
      </c>
      <c r="G835" s="6">
        <v>370</v>
      </c>
      <c r="H835" t="s">
        <v>411</v>
      </c>
    </row>
    <row r="836" spans="1:8" x14ac:dyDescent="0.45">
      <c r="A836" t="s">
        <v>418</v>
      </c>
      <c r="B836" t="s">
        <v>419</v>
      </c>
      <c r="C836" s="2">
        <v>1166.7</v>
      </c>
      <c r="D836" s="1">
        <v>45838</v>
      </c>
      <c r="E836" s="6">
        <v>333</v>
      </c>
      <c r="F836" t="s">
        <v>410</v>
      </c>
      <c r="G836" s="6">
        <v>370</v>
      </c>
      <c r="H836" t="s">
        <v>411</v>
      </c>
    </row>
    <row r="837" spans="1:8" x14ac:dyDescent="0.45">
      <c r="A837" t="s">
        <v>412</v>
      </c>
      <c r="B837" t="s">
        <v>413</v>
      </c>
      <c r="C837" s="2">
        <v>10095.64</v>
      </c>
      <c r="D837" s="1">
        <v>45838</v>
      </c>
      <c r="E837" s="6">
        <v>333</v>
      </c>
      <c r="F837" t="s">
        <v>410</v>
      </c>
      <c r="G837" s="6">
        <v>370</v>
      </c>
      <c r="H837" t="s">
        <v>411</v>
      </c>
    </row>
    <row r="838" spans="1:8" x14ac:dyDescent="0.45">
      <c r="A838" t="s">
        <v>737</v>
      </c>
      <c r="B838" t="s">
        <v>738</v>
      </c>
      <c r="C838" s="2">
        <v>831.26</v>
      </c>
      <c r="D838" s="1">
        <v>45838</v>
      </c>
      <c r="E838" s="6">
        <v>333</v>
      </c>
      <c r="F838" t="s">
        <v>410</v>
      </c>
      <c r="G838" s="6">
        <v>370</v>
      </c>
      <c r="H838" t="s">
        <v>411</v>
      </c>
    </row>
    <row r="839" spans="1:8" x14ac:dyDescent="0.45">
      <c r="A839" t="s">
        <v>739</v>
      </c>
      <c r="B839" t="s">
        <v>740</v>
      </c>
      <c r="C839" s="2">
        <v>142.53</v>
      </c>
      <c r="D839" s="1">
        <v>45838</v>
      </c>
      <c r="E839" s="6">
        <v>333</v>
      </c>
      <c r="F839" t="s">
        <v>410</v>
      </c>
      <c r="G839" s="6">
        <v>370</v>
      </c>
      <c r="H839" t="s">
        <v>411</v>
      </c>
    </row>
    <row r="840" spans="1:8" x14ac:dyDescent="0.45">
      <c r="A840" t="s">
        <v>315</v>
      </c>
      <c r="B840" t="s">
        <v>741</v>
      </c>
      <c r="C840" s="2">
        <v>180162.71</v>
      </c>
      <c r="D840" s="1">
        <v>45838</v>
      </c>
      <c r="E840" s="6">
        <v>335</v>
      </c>
      <c r="F840" t="s">
        <v>317</v>
      </c>
      <c r="G840" s="6">
        <v>390</v>
      </c>
      <c r="H840" t="s">
        <v>314</v>
      </c>
    </row>
    <row r="841" spans="1:8" x14ac:dyDescent="0.45">
      <c r="A841" t="s">
        <v>616</v>
      </c>
      <c r="B841" t="s">
        <v>742</v>
      </c>
      <c r="C841" s="2">
        <v>400</v>
      </c>
      <c r="D841" s="1">
        <v>45838</v>
      </c>
      <c r="E841" s="6">
        <v>335</v>
      </c>
      <c r="F841" t="s">
        <v>317</v>
      </c>
      <c r="G841" s="6">
        <v>390</v>
      </c>
      <c r="H841" t="s">
        <v>314</v>
      </c>
    </row>
    <row r="842" spans="1:8" x14ac:dyDescent="0.45">
      <c r="A842" t="s">
        <v>329</v>
      </c>
      <c r="B842" t="s">
        <v>330</v>
      </c>
      <c r="C842" s="2">
        <v>47036</v>
      </c>
      <c r="D842" s="1">
        <v>45838</v>
      </c>
      <c r="E842" s="6">
        <v>332</v>
      </c>
      <c r="F842" t="s">
        <v>263</v>
      </c>
      <c r="G842" s="6">
        <v>394</v>
      </c>
      <c r="H842" t="s">
        <v>328</v>
      </c>
    </row>
    <row r="843" spans="1:8" x14ac:dyDescent="0.45">
      <c r="A843" t="s">
        <v>318</v>
      </c>
      <c r="B843" t="s">
        <v>319</v>
      </c>
      <c r="C843" s="2">
        <v>78427.75</v>
      </c>
      <c r="D843" s="1">
        <v>45838</v>
      </c>
      <c r="E843" s="6">
        <v>336</v>
      </c>
      <c r="F843" t="s">
        <v>320</v>
      </c>
      <c r="G843" s="6">
        <v>390</v>
      </c>
      <c r="H843" t="s">
        <v>314</v>
      </c>
    </row>
    <row r="844" spans="1:8" x14ac:dyDescent="0.45">
      <c r="A844" t="s">
        <v>321</v>
      </c>
      <c r="B844" t="s">
        <v>322</v>
      </c>
      <c r="C844" s="2">
        <v>849.91</v>
      </c>
      <c r="D844" s="1">
        <v>45838</v>
      </c>
      <c r="E844" s="6">
        <v>336</v>
      </c>
      <c r="F844" t="s">
        <v>320</v>
      </c>
      <c r="G844" s="6">
        <v>390</v>
      </c>
      <c r="H844" t="s">
        <v>314</v>
      </c>
    </row>
    <row r="845" spans="1:8" x14ac:dyDescent="0.45">
      <c r="A845" t="s">
        <v>323</v>
      </c>
      <c r="B845" t="s">
        <v>185</v>
      </c>
      <c r="C845" s="2">
        <v>7738.92</v>
      </c>
      <c r="D845" s="1">
        <v>45838</v>
      </c>
      <c r="E845" s="6">
        <v>337</v>
      </c>
      <c r="F845" t="s">
        <v>324</v>
      </c>
      <c r="G845" s="6">
        <v>400</v>
      </c>
      <c r="H845" t="s">
        <v>325</v>
      </c>
    </row>
    <row r="846" spans="1:8" x14ac:dyDescent="0.45">
      <c r="A846" t="s">
        <v>454</v>
      </c>
      <c r="B846" t="s">
        <v>743</v>
      </c>
      <c r="C846" s="2">
        <v>750.98</v>
      </c>
      <c r="D846" s="1">
        <v>45838</v>
      </c>
      <c r="E846" s="6">
        <v>358</v>
      </c>
      <c r="F846" t="s">
        <v>289</v>
      </c>
      <c r="G846" s="6">
        <v>380</v>
      </c>
      <c r="H846" t="s">
        <v>290</v>
      </c>
    </row>
    <row r="847" spans="1:8" x14ac:dyDescent="0.45">
      <c r="A847" t="s">
        <v>448</v>
      </c>
      <c r="B847" t="s">
        <v>449</v>
      </c>
      <c r="C847" s="2">
        <v>680.26</v>
      </c>
      <c r="D847" s="1">
        <v>45838</v>
      </c>
      <c r="E847" s="6">
        <v>332</v>
      </c>
      <c r="F847" t="s">
        <v>263</v>
      </c>
      <c r="G847" s="6">
        <v>380</v>
      </c>
      <c r="H847" t="s">
        <v>290</v>
      </c>
    </row>
    <row r="848" spans="1:8" x14ac:dyDescent="0.45">
      <c r="A848" t="s">
        <v>311</v>
      </c>
      <c r="B848" t="s">
        <v>312</v>
      </c>
      <c r="C848" s="2">
        <v>173.92</v>
      </c>
      <c r="D848" s="1">
        <v>45838</v>
      </c>
      <c r="E848" s="6">
        <v>339</v>
      </c>
      <c r="F848" t="s">
        <v>313</v>
      </c>
      <c r="G848" s="6">
        <v>390</v>
      </c>
      <c r="H848" t="s">
        <v>314</v>
      </c>
    </row>
    <row r="849" spans="1:8" x14ac:dyDescent="0.45">
      <c r="A849" t="s">
        <v>439</v>
      </c>
      <c r="B849" t="s">
        <v>744</v>
      </c>
      <c r="C849" s="2">
        <v>51.17</v>
      </c>
      <c r="D849" s="1">
        <v>45838</v>
      </c>
      <c r="E849" s="6">
        <v>358</v>
      </c>
      <c r="F849" t="s">
        <v>289</v>
      </c>
      <c r="G849" s="6">
        <v>380</v>
      </c>
      <c r="H849" t="s">
        <v>290</v>
      </c>
    </row>
    <row r="850" spans="1:8" x14ac:dyDescent="0.45">
      <c r="A850" t="s">
        <v>353</v>
      </c>
      <c r="B850" t="s">
        <v>745</v>
      </c>
      <c r="C850" s="2">
        <v>3000</v>
      </c>
      <c r="D850" s="1">
        <v>45838</v>
      </c>
      <c r="E850" s="6">
        <v>358</v>
      </c>
      <c r="F850" t="s">
        <v>289</v>
      </c>
      <c r="G850" s="6">
        <v>450</v>
      </c>
      <c r="H850" t="s">
        <v>336</v>
      </c>
    </row>
    <row r="851" spans="1:8" x14ac:dyDescent="0.45">
      <c r="A851" t="s">
        <v>355</v>
      </c>
      <c r="B851" t="s">
        <v>356</v>
      </c>
      <c r="C851" s="2">
        <v>135.41</v>
      </c>
      <c r="D851" s="1">
        <v>45838</v>
      </c>
      <c r="E851" s="6">
        <v>358</v>
      </c>
      <c r="F851" t="s">
        <v>289</v>
      </c>
      <c r="G851" s="6">
        <v>450</v>
      </c>
      <c r="H851" t="s">
        <v>336</v>
      </c>
    </row>
    <row r="852" spans="1:8" x14ac:dyDescent="0.45">
      <c r="A852" t="s">
        <v>299</v>
      </c>
      <c r="B852" t="s">
        <v>300</v>
      </c>
      <c r="C852" s="2">
        <v>97.52</v>
      </c>
      <c r="D852" s="1">
        <v>45838</v>
      </c>
      <c r="E852" s="6">
        <v>358</v>
      </c>
      <c r="F852" t="s">
        <v>289</v>
      </c>
      <c r="G852" s="6">
        <v>364</v>
      </c>
      <c r="H852" t="s">
        <v>282</v>
      </c>
    </row>
    <row r="853" spans="1:8" x14ac:dyDescent="0.45">
      <c r="A853" t="s">
        <v>521</v>
      </c>
      <c r="B853" t="s">
        <v>522</v>
      </c>
      <c r="C853" s="2">
        <v>8.09</v>
      </c>
      <c r="D853" s="1">
        <v>45838</v>
      </c>
      <c r="E853" s="6">
        <v>358</v>
      </c>
      <c r="F853" t="s">
        <v>289</v>
      </c>
      <c r="G853" s="6">
        <v>364</v>
      </c>
      <c r="H853" t="s">
        <v>282</v>
      </c>
    </row>
    <row r="854" spans="1:8" x14ac:dyDescent="0.45">
      <c r="A854" t="s">
        <v>420</v>
      </c>
      <c r="B854" t="s">
        <v>746</v>
      </c>
      <c r="C854" s="2">
        <v>65.28</v>
      </c>
      <c r="D854" s="1">
        <v>45838</v>
      </c>
      <c r="E854" s="6">
        <v>358</v>
      </c>
      <c r="F854" t="s">
        <v>289</v>
      </c>
      <c r="G854" s="6">
        <v>300</v>
      </c>
      <c r="H854" t="s">
        <v>422</v>
      </c>
    </row>
    <row r="855" spans="1:8" x14ac:dyDescent="0.45">
      <c r="A855" t="s">
        <v>337</v>
      </c>
      <c r="B855" t="s">
        <v>338</v>
      </c>
      <c r="C855" s="2">
        <v>5144.3100000000004</v>
      </c>
      <c r="D855" s="1">
        <v>45838</v>
      </c>
      <c r="E855" s="6">
        <v>420</v>
      </c>
      <c r="F855" t="s">
        <v>339</v>
      </c>
      <c r="G855" s="6">
        <v>430</v>
      </c>
      <c r="H855" t="s">
        <v>340</v>
      </c>
    </row>
    <row r="856" spans="1:8" x14ac:dyDescent="0.45">
      <c r="A856" t="s">
        <v>341</v>
      </c>
      <c r="B856" t="s">
        <v>747</v>
      </c>
      <c r="C856" s="2">
        <v>5587.94</v>
      </c>
      <c r="D856" s="1">
        <v>45838</v>
      </c>
      <c r="E856" s="6">
        <v>420</v>
      </c>
      <c r="F856" t="s">
        <v>339</v>
      </c>
      <c r="G856" s="6">
        <v>430</v>
      </c>
      <c r="H856" t="s">
        <v>340</v>
      </c>
    </row>
    <row r="857" spans="1:8" x14ac:dyDescent="0.45">
      <c r="A857" t="s">
        <v>524</v>
      </c>
      <c r="B857" t="s">
        <v>748</v>
      </c>
      <c r="C857" s="2">
        <v>1769.59</v>
      </c>
      <c r="D857" s="1">
        <v>45838</v>
      </c>
      <c r="E857" s="6">
        <v>420</v>
      </c>
      <c r="F857" t="s">
        <v>339</v>
      </c>
      <c r="G857" s="6">
        <v>430</v>
      </c>
      <c r="H857" t="s">
        <v>340</v>
      </c>
    </row>
    <row r="858" spans="1:8" x14ac:dyDescent="0.45">
      <c r="A858" t="s">
        <v>351</v>
      </c>
      <c r="B858" t="s">
        <v>352</v>
      </c>
      <c r="C858" s="2">
        <v>23.74</v>
      </c>
      <c r="D858" s="1">
        <v>45838</v>
      </c>
      <c r="E858" s="6">
        <v>420</v>
      </c>
      <c r="F858" t="s">
        <v>339</v>
      </c>
      <c r="G858" s="6">
        <v>430</v>
      </c>
      <c r="H858" t="s">
        <v>340</v>
      </c>
    </row>
    <row r="859" spans="1:8" x14ac:dyDescent="0.45">
      <c r="A859" t="s">
        <v>623</v>
      </c>
      <c r="B859" t="s">
        <v>624</v>
      </c>
      <c r="C859" s="2">
        <v>-285.11</v>
      </c>
      <c r="D859" s="1">
        <v>45838</v>
      </c>
      <c r="E859" s="6">
        <v>311</v>
      </c>
      <c r="F859" t="s">
        <v>476</v>
      </c>
      <c r="G859" s="6">
        <v>320</v>
      </c>
      <c r="H859" t="s">
        <v>483</v>
      </c>
    </row>
    <row r="860" spans="1:8" x14ac:dyDescent="0.45">
      <c r="A860" t="s">
        <v>245</v>
      </c>
      <c r="B860" t="s">
        <v>246</v>
      </c>
      <c r="C860" s="2">
        <v>-75000</v>
      </c>
      <c r="D860" s="1">
        <v>45838</v>
      </c>
      <c r="E860" s="6">
        <v>351</v>
      </c>
      <c r="F860" t="s">
        <v>247</v>
      </c>
      <c r="G860" s="6">
        <v>340</v>
      </c>
      <c r="H860" t="s">
        <v>248</v>
      </c>
    </row>
    <row r="861" spans="1:8" x14ac:dyDescent="0.45">
      <c r="A861" t="s">
        <v>357</v>
      </c>
      <c r="B861" t="s">
        <v>358</v>
      </c>
      <c r="C861" s="2">
        <v>500</v>
      </c>
      <c r="D861" s="1">
        <v>45838</v>
      </c>
      <c r="E861" s="6">
        <v>347</v>
      </c>
      <c r="F861" t="s">
        <v>359</v>
      </c>
      <c r="G861" s="6">
        <v>410</v>
      </c>
      <c r="H861" t="s">
        <v>360</v>
      </c>
    </row>
    <row r="862" spans="1:8" x14ac:dyDescent="0.45">
      <c r="A862" t="s">
        <v>361</v>
      </c>
      <c r="B862" t="s">
        <v>362</v>
      </c>
      <c r="C862" s="2">
        <v>365.84</v>
      </c>
      <c r="D862" s="1">
        <v>45838</v>
      </c>
      <c r="E862" s="6">
        <v>347</v>
      </c>
      <c r="F862" t="s">
        <v>359</v>
      </c>
      <c r="G862" s="6">
        <v>410</v>
      </c>
      <c r="H862" t="s">
        <v>360</v>
      </c>
    </row>
    <row r="863" spans="1:8" x14ac:dyDescent="0.45">
      <c r="A863" t="s">
        <v>365</v>
      </c>
      <c r="B863" t="s">
        <v>366</v>
      </c>
      <c r="C863" s="2">
        <v>308.125</v>
      </c>
      <c r="D863" s="1">
        <v>45838</v>
      </c>
      <c r="E863" s="6">
        <v>347</v>
      </c>
      <c r="F863" t="s">
        <v>359</v>
      </c>
      <c r="G863" s="6">
        <v>410</v>
      </c>
      <c r="H863" t="s">
        <v>360</v>
      </c>
    </row>
    <row r="864" spans="1:8" x14ac:dyDescent="0.45">
      <c r="A864" t="s">
        <v>367</v>
      </c>
      <c r="B864" t="s">
        <v>368</v>
      </c>
      <c r="C864" s="2">
        <v>2206.8850000000002</v>
      </c>
      <c r="D864" s="1">
        <v>45838</v>
      </c>
      <c r="E864" s="6">
        <v>347</v>
      </c>
      <c r="F864" t="s">
        <v>359</v>
      </c>
      <c r="G864" s="6">
        <v>410</v>
      </c>
      <c r="H864" t="s">
        <v>360</v>
      </c>
    </row>
    <row r="865" spans="1:8" x14ac:dyDescent="0.45">
      <c r="A865" t="s">
        <v>369</v>
      </c>
      <c r="B865" t="s">
        <v>370</v>
      </c>
      <c r="C865" s="2">
        <v>921.33500000000004</v>
      </c>
      <c r="D865" s="1">
        <v>45838</v>
      </c>
      <c r="E865" s="6">
        <v>347</v>
      </c>
      <c r="F865" t="s">
        <v>359</v>
      </c>
      <c r="G865" s="6">
        <v>410</v>
      </c>
      <c r="H865" t="s">
        <v>360</v>
      </c>
    </row>
    <row r="866" spans="1:8" x14ac:dyDescent="0.45">
      <c r="A866" t="s">
        <v>373</v>
      </c>
      <c r="B866" t="s">
        <v>374</v>
      </c>
      <c r="C866" s="2">
        <v>312.97000000000003</v>
      </c>
      <c r="D866" s="1">
        <v>45838</v>
      </c>
      <c r="E866" s="6">
        <v>347</v>
      </c>
      <c r="F866" t="s">
        <v>359</v>
      </c>
      <c r="G866" s="6">
        <v>410</v>
      </c>
      <c r="H866" t="s">
        <v>360</v>
      </c>
    </row>
    <row r="867" spans="1:8" x14ac:dyDescent="0.45">
      <c r="A867" t="s">
        <v>375</v>
      </c>
      <c r="B867" t="s">
        <v>376</v>
      </c>
      <c r="C867" s="2">
        <v>363.04500000000002</v>
      </c>
      <c r="D867" s="1">
        <v>45838</v>
      </c>
      <c r="E867" s="6">
        <v>347</v>
      </c>
      <c r="F867" t="s">
        <v>359</v>
      </c>
      <c r="G867" s="6">
        <v>410</v>
      </c>
      <c r="H867" t="s">
        <v>360</v>
      </c>
    </row>
    <row r="868" spans="1:8" x14ac:dyDescent="0.45">
      <c r="A868" t="s">
        <v>377</v>
      </c>
      <c r="B868" t="s">
        <v>378</v>
      </c>
      <c r="C868" s="2">
        <v>100.80000000000001</v>
      </c>
      <c r="D868" s="1">
        <v>45838</v>
      </c>
      <c r="E868" s="6">
        <v>347</v>
      </c>
      <c r="F868" t="s">
        <v>359</v>
      </c>
      <c r="G868" s="6">
        <v>410</v>
      </c>
      <c r="H868" t="s">
        <v>360</v>
      </c>
    </row>
    <row r="869" spans="1:8" x14ac:dyDescent="0.45">
      <c r="A869" t="s">
        <v>379</v>
      </c>
      <c r="B869" t="s">
        <v>380</v>
      </c>
      <c r="C869" s="2">
        <v>3741.26</v>
      </c>
      <c r="D869" s="1">
        <v>45838</v>
      </c>
      <c r="E869" s="6">
        <v>347</v>
      </c>
      <c r="F869" t="s">
        <v>359</v>
      </c>
      <c r="G869" s="6">
        <v>410</v>
      </c>
      <c r="H869" t="s">
        <v>360</v>
      </c>
    </row>
    <row r="870" spans="1:8" x14ac:dyDescent="0.45">
      <c r="A870" t="s">
        <v>381</v>
      </c>
      <c r="B870" t="s">
        <v>382</v>
      </c>
      <c r="C870" s="2">
        <v>274.2</v>
      </c>
      <c r="D870" s="1">
        <v>45838</v>
      </c>
      <c r="E870" s="6">
        <v>347</v>
      </c>
      <c r="F870" t="s">
        <v>359</v>
      </c>
      <c r="G870" s="6">
        <v>410</v>
      </c>
      <c r="H870" t="s">
        <v>360</v>
      </c>
    </row>
    <row r="871" spans="1:8" x14ac:dyDescent="0.45">
      <c r="A871" t="s">
        <v>388</v>
      </c>
      <c r="B871" t="s">
        <v>389</v>
      </c>
      <c r="C871" s="2">
        <v>631.69500000000005</v>
      </c>
      <c r="D871" s="1">
        <v>45838</v>
      </c>
      <c r="E871" s="6">
        <v>346</v>
      </c>
      <c r="F871" t="s">
        <v>385</v>
      </c>
      <c r="G871" s="6">
        <v>410</v>
      </c>
      <c r="H871" t="s">
        <v>360</v>
      </c>
    </row>
    <row r="872" spans="1:8" x14ac:dyDescent="0.45">
      <c r="A872" t="s">
        <v>390</v>
      </c>
      <c r="B872" t="s">
        <v>391</v>
      </c>
      <c r="C872" s="2">
        <v>63777.772000000004</v>
      </c>
      <c r="D872" s="1">
        <v>45838</v>
      </c>
      <c r="E872" s="6">
        <v>346</v>
      </c>
      <c r="F872" t="s">
        <v>385</v>
      </c>
      <c r="G872" s="6">
        <v>410</v>
      </c>
      <c r="H872" t="s">
        <v>360</v>
      </c>
    </row>
    <row r="873" spans="1:8" x14ac:dyDescent="0.45">
      <c r="A873" t="s">
        <v>392</v>
      </c>
      <c r="B873" t="s">
        <v>393</v>
      </c>
      <c r="C873" s="2">
        <v>2822.585</v>
      </c>
      <c r="D873" s="1">
        <v>45838</v>
      </c>
      <c r="E873" s="6">
        <v>346</v>
      </c>
      <c r="F873" t="s">
        <v>385</v>
      </c>
      <c r="G873" s="6">
        <v>410</v>
      </c>
      <c r="H873" t="s">
        <v>360</v>
      </c>
    </row>
    <row r="874" spans="1:8" x14ac:dyDescent="0.45">
      <c r="A874" t="s">
        <v>618</v>
      </c>
      <c r="B874" t="s">
        <v>619</v>
      </c>
      <c r="C874" s="2">
        <v>1500</v>
      </c>
      <c r="D874" s="1">
        <v>45838</v>
      </c>
      <c r="E874" s="6">
        <v>333</v>
      </c>
      <c r="F874" t="s">
        <v>410</v>
      </c>
      <c r="G874" s="6">
        <v>370</v>
      </c>
      <c r="H874" t="s">
        <v>411</v>
      </c>
    </row>
    <row r="875" spans="1:8" x14ac:dyDescent="0.45">
      <c r="A875" t="s">
        <v>129</v>
      </c>
      <c r="B875" t="s">
        <v>130</v>
      </c>
      <c r="C875" s="2">
        <v>75000</v>
      </c>
      <c r="D875" s="1">
        <v>45838</v>
      </c>
      <c r="E875" s="6">
        <v>91</v>
      </c>
      <c r="F875" t="s">
        <v>131</v>
      </c>
      <c r="G875" s="6">
        <v>36</v>
      </c>
      <c r="H875" t="s">
        <v>132</v>
      </c>
    </row>
    <row r="876" spans="1:8" x14ac:dyDescent="0.45">
      <c r="A876" t="s">
        <v>150</v>
      </c>
      <c r="B876" t="s">
        <v>151</v>
      </c>
      <c r="C876" s="2">
        <v>155</v>
      </c>
      <c r="D876" s="1">
        <v>45838</v>
      </c>
      <c r="E876" s="6">
        <v>130</v>
      </c>
      <c r="F876" t="s">
        <v>66</v>
      </c>
      <c r="G876" s="6">
        <v>210</v>
      </c>
      <c r="H876" t="s">
        <v>149</v>
      </c>
    </row>
    <row r="877" spans="1:8" x14ac:dyDescent="0.45">
      <c r="A877" t="s">
        <v>189</v>
      </c>
      <c r="B877" t="s">
        <v>190</v>
      </c>
      <c r="C877" s="2">
        <v>-12548.740000000002</v>
      </c>
      <c r="D877" s="1">
        <v>45838</v>
      </c>
      <c r="E877" s="6">
        <v>32</v>
      </c>
      <c r="F877" t="s">
        <v>8</v>
      </c>
      <c r="G877" s="6">
        <v>22</v>
      </c>
      <c r="H877" t="s">
        <v>191</v>
      </c>
    </row>
    <row r="878" spans="1:8" x14ac:dyDescent="0.45">
      <c r="A878" t="s">
        <v>133</v>
      </c>
      <c r="B878" t="s">
        <v>134</v>
      </c>
      <c r="C878" s="2">
        <v>0</v>
      </c>
      <c r="D878" s="1">
        <v>45838</v>
      </c>
      <c r="E878" s="6">
        <v>135</v>
      </c>
      <c r="F878" t="s">
        <v>135</v>
      </c>
      <c r="G878" s="6">
        <v>60</v>
      </c>
      <c r="H878" t="s">
        <v>112</v>
      </c>
    </row>
    <row r="879" spans="1:8" x14ac:dyDescent="0.45">
      <c r="A879" t="s">
        <v>226</v>
      </c>
      <c r="B879" t="s">
        <v>227</v>
      </c>
      <c r="C879" s="2">
        <v>-2807</v>
      </c>
      <c r="D879" s="1">
        <v>45838</v>
      </c>
      <c r="E879" s="6">
        <v>290</v>
      </c>
      <c r="F879" t="s">
        <v>228</v>
      </c>
      <c r="G879" s="6">
        <v>240</v>
      </c>
      <c r="H879" t="s">
        <v>157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65E45-348A-4A27-8CE7-A4592B35E890}">
  <dimension ref="C2:G2994"/>
  <sheetViews>
    <sheetView workbookViewId="0">
      <selection activeCell="G2" sqref="G2:G2994"/>
    </sheetView>
  </sheetViews>
  <sheetFormatPr defaultRowHeight="14.25" x14ac:dyDescent="0.45"/>
  <sheetData>
    <row r="2" spans="3:7" x14ac:dyDescent="0.45">
      <c r="C2" t="s">
        <v>753</v>
      </c>
      <c r="D2">
        <f>+C2+0</f>
        <v>20</v>
      </c>
      <c r="F2">
        <v>0</v>
      </c>
      <c r="G2">
        <f>+F2+0</f>
        <v>0</v>
      </c>
    </row>
    <row r="3" spans="3:7" x14ac:dyDescent="0.45">
      <c r="C3" t="s">
        <v>753</v>
      </c>
      <c r="D3">
        <f t="shared" ref="D3:D66" si="0">+C3+0</f>
        <v>20</v>
      </c>
      <c r="F3">
        <v>0</v>
      </c>
      <c r="G3">
        <f t="shared" ref="G3:G66" si="1">+F3+0</f>
        <v>0</v>
      </c>
    </row>
    <row r="4" spans="3:7" x14ac:dyDescent="0.45">
      <c r="C4" t="s">
        <v>753</v>
      </c>
      <c r="D4">
        <f t="shared" si="0"/>
        <v>20</v>
      </c>
      <c r="F4">
        <v>0</v>
      </c>
      <c r="G4">
        <f t="shared" si="1"/>
        <v>0</v>
      </c>
    </row>
    <row r="5" spans="3:7" x14ac:dyDescent="0.45">
      <c r="C5" t="s">
        <v>753</v>
      </c>
      <c r="D5">
        <f t="shared" si="0"/>
        <v>20</v>
      </c>
      <c r="F5">
        <v>0</v>
      </c>
      <c r="G5">
        <f t="shared" si="1"/>
        <v>0</v>
      </c>
    </row>
    <row r="6" spans="3:7" x14ac:dyDescent="0.45">
      <c r="C6" t="s">
        <v>753</v>
      </c>
      <c r="D6">
        <f t="shared" si="0"/>
        <v>20</v>
      </c>
      <c r="F6">
        <v>0</v>
      </c>
      <c r="G6">
        <f t="shared" si="1"/>
        <v>0</v>
      </c>
    </row>
    <row r="7" spans="3:7" x14ac:dyDescent="0.45">
      <c r="C7" t="s">
        <v>753</v>
      </c>
      <c r="D7">
        <f t="shared" si="0"/>
        <v>20</v>
      </c>
      <c r="F7">
        <v>0</v>
      </c>
      <c r="G7">
        <f t="shared" si="1"/>
        <v>0</v>
      </c>
    </row>
    <row r="8" spans="3:7" x14ac:dyDescent="0.45">
      <c r="C8" t="s">
        <v>753</v>
      </c>
      <c r="D8">
        <f t="shared" si="0"/>
        <v>20</v>
      </c>
      <c r="F8">
        <v>0</v>
      </c>
      <c r="G8">
        <f t="shared" si="1"/>
        <v>0</v>
      </c>
    </row>
    <row r="9" spans="3:7" x14ac:dyDescent="0.45">
      <c r="C9" t="s">
        <v>753</v>
      </c>
      <c r="D9">
        <f t="shared" si="0"/>
        <v>20</v>
      </c>
      <c r="F9">
        <v>0</v>
      </c>
      <c r="G9">
        <f t="shared" si="1"/>
        <v>0</v>
      </c>
    </row>
    <row r="10" spans="3:7" x14ac:dyDescent="0.45">
      <c r="C10" t="s">
        <v>753</v>
      </c>
      <c r="D10">
        <f t="shared" si="0"/>
        <v>20</v>
      </c>
      <c r="F10">
        <v>0</v>
      </c>
      <c r="G10">
        <f t="shared" si="1"/>
        <v>0</v>
      </c>
    </row>
    <row r="11" spans="3:7" x14ac:dyDescent="0.45">
      <c r="C11" t="s">
        <v>753</v>
      </c>
      <c r="D11">
        <f t="shared" si="0"/>
        <v>20</v>
      </c>
      <c r="F11">
        <v>0</v>
      </c>
      <c r="G11">
        <f t="shared" si="1"/>
        <v>0</v>
      </c>
    </row>
    <row r="12" spans="3:7" x14ac:dyDescent="0.45">
      <c r="C12" t="s">
        <v>753</v>
      </c>
      <c r="D12">
        <f t="shared" si="0"/>
        <v>20</v>
      </c>
      <c r="F12">
        <v>0</v>
      </c>
      <c r="G12">
        <f t="shared" si="1"/>
        <v>0</v>
      </c>
    </row>
    <row r="13" spans="3:7" x14ac:dyDescent="0.45">
      <c r="C13" t="s">
        <v>753</v>
      </c>
      <c r="D13">
        <f t="shared" si="0"/>
        <v>20</v>
      </c>
      <c r="F13">
        <v>0</v>
      </c>
      <c r="G13">
        <f t="shared" si="1"/>
        <v>0</v>
      </c>
    </row>
    <row r="14" spans="3:7" x14ac:dyDescent="0.45">
      <c r="C14" t="s">
        <v>753</v>
      </c>
      <c r="D14">
        <f t="shared" si="0"/>
        <v>20</v>
      </c>
      <c r="F14">
        <v>0</v>
      </c>
      <c r="G14">
        <f t="shared" si="1"/>
        <v>0</v>
      </c>
    </row>
    <row r="15" spans="3:7" x14ac:dyDescent="0.45">
      <c r="C15" t="s">
        <v>753</v>
      </c>
      <c r="D15">
        <f t="shared" si="0"/>
        <v>20</v>
      </c>
      <c r="F15">
        <v>0</v>
      </c>
      <c r="G15">
        <f t="shared" si="1"/>
        <v>0</v>
      </c>
    </row>
    <row r="16" spans="3:7" x14ac:dyDescent="0.45">
      <c r="C16" t="s">
        <v>753</v>
      </c>
      <c r="D16">
        <f t="shared" si="0"/>
        <v>20</v>
      </c>
      <c r="F16">
        <v>0</v>
      </c>
      <c r="G16">
        <f t="shared" si="1"/>
        <v>0</v>
      </c>
    </row>
    <row r="17" spans="3:7" x14ac:dyDescent="0.45">
      <c r="C17" t="s">
        <v>753</v>
      </c>
      <c r="D17">
        <f t="shared" si="0"/>
        <v>20</v>
      </c>
      <c r="F17">
        <v>0</v>
      </c>
      <c r="G17">
        <f t="shared" si="1"/>
        <v>0</v>
      </c>
    </row>
    <row r="18" spans="3:7" x14ac:dyDescent="0.45">
      <c r="C18" t="s">
        <v>753</v>
      </c>
      <c r="D18">
        <f t="shared" si="0"/>
        <v>20</v>
      </c>
      <c r="F18">
        <v>0</v>
      </c>
      <c r="G18">
        <f t="shared" si="1"/>
        <v>0</v>
      </c>
    </row>
    <row r="19" spans="3:7" x14ac:dyDescent="0.45">
      <c r="C19" t="s">
        <v>753</v>
      </c>
      <c r="D19">
        <f t="shared" si="0"/>
        <v>20</v>
      </c>
      <c r="F19">
        <v>0</v>
      </c>
      <c r="G19">
        <f t="shared" si="1"/>
        <v>0</v>
      </c>
    </row>
    <row r="20" spans="3:7" x14ac:dyDescent="0.45">
      <c r="C20" t="s">
        <v>754</v>
      </c>
      <c r="D20">
        <f t="shared" si="0"/>
        <v>10</v>
      </c>
      <c r="F20">
        <v>0</v>
      </c>
      <c r="G20">
        <f t="shared" si="1"/>
        <v>0</v>
      </c>
    </row>
    <row r="21" spans="3:7" x14ac:dyDescent="0.45">
      <c r="C21" t="s">
        <v>754</v>
      </c>
      <c r="D21">
        <f t="shared" si="0"/>
        <v>10</v>
      </c>
      <c r="F21">
        <v>0</v>
      </c>
      <c r="G21">
        <f t="shared" si="1"/>
        <v>0</v>
      </c>
    </row>
    <row r="22" spans="3:7" x14ac:dyDescent="0.45">
      <c r="C22" t="s">
        <v>754</v>
      </c>
      <c r="D22">
        <f t="shared" si="0"/>
        <v>10</v>
      </c>
      <c r="F22">
        <v>0</v>
      </c>
      <c r="G22">
        <f t="shared" si="1"/>
        <v>0</v>
      </c>
    </row>
    <row r="23" spans="3:7" x14ac:dyDescent="0.45">
      <c r="C23" t="s">
        <v>754</v>
      </c>
      <c r="D23">
        <f t="shared" si="0"/>
        <v>10</v>
      </c>
      <c r="F23">
        <v>0</v>
      </c>
      <c r="G23">
        <f t="shared" si="1"/>
        <v>0</v>
      </c>
    </row>
    <row r="24" spans="3:7" x14ac:dyDescent="0.45">
      <c r="C24" t="s">
        <v>754</v>
      </c>
      <c r="D24">
        <f t="shared" si="0"/>
        <v>10</v>
      </c>
      <c r="F24">
        <v>0</v>
      </c>
      <c r="G24">
        <f t="shared" si="1"/>
        <v>0</v>
      </c>
    </row>
    <row r="25" spans="3:7" x14ac:dyDescent="0.45">
      <c r="C25" t="s">
        <v>754</v>
      </c>
      <c r="D25">
        <f t="shared" si="0"/>
        <v>10</v>
      </c>
      <c r="F25">
        <v>0</v>
      </c>
      <c r="G25">
        <f t="shared" si="1"/>
        <v>0</v>
      </c>
    </row>
    <row r="26" spans="3:7" x14ac:dyDescent="0.45">
      <c r="C26" t="s">
        <v>754</v>
      </c>
      <c r="D26">
        <f t="shared" si="0"/>
        <v>10</v>
      </c>
      <c r="F26">
        <v>0</v>
      </c>
      <c r="G26">
        <f t="shared" si="1"/>
        <v>0</v>
      </c>
    </row>
    <row r="27" spans="3:7" x14ac:dyDescent="0.45">
      <c r="C27" t="s">
        <v>755</v>
      </c>
      <c r="D27">
        <f t="shared" si="0"/>
        <v>50</v>
      </c>
      <c r="F27">
        <v>0</v>
      </c>
      <c r="G27">
        <f t="shared" si="1"/>
        <v>0</v>
      </c>
    </row>
    <row r="28" spans="3:7" x14ac:dyDescent="0.45">
      <c r="C28" t="s">
        <v>756</v>
      </c>
      <c r="D28">
        <f t="shared" si="0"/>
        <v>80</v>
      </c>
      <c r="F28">
        <v>0</v>
      </c>
      <c r="G28">
        <f t="shared" si="1"/>
        <v>0</v>
      </c>
    </row>
    <row r="29" spans="3:7" x14ac:dyDescent="0.45">
      <c r="C29" t="s">
        <v>757</v>
      </c>
      <c r="D29">
        <f t="shared" si="0"/>
        <v>220</v>
      </c>
      <c r="F29">
        <v>0</v>
      </c>
      <c r="G29">
        <f t="shared" si="1"/>
        <v>0</v>
      </c>
    </row>
    <row r="30" spans="3:7" x14ac:dyDescent="0.45">
      <c r="C30" t="s">
        <v>755</v>
      </c>
      <c r="D30">
        <f t="shared" si="0"/>
        <v>50</v>
      </c>
      <c r="F30">
        <v>0</v>
      </c>
      <c r="G30">
        <f t="shared" si="1"/>
        <v>0</v>
      </c>
    </row>
    <row r="31" spans="3:7" x14ac:dyDescent="0.45">
      <c r="C31" t="s">
        <v>757</v>
      </c>
      <c r="D31">
        <f t="shared" si="0"/>
        <v>220</v>
      </c>
      <c r="F31">
        <v>0</v>
      </c>
      <c r="G31">
        <f t="shared" si="1"/>
        <v>0</v>
      </c>
    </row>
    <row r="32" spans="3:7" x14ac:dyDescent="0.45">
      <c r="C32" t="s">
        <v>755</v>
      </c>
      <c r="D32">
        <f t="shared" si="0"/>
        <v>50</v>
      </c>
      <c r="F32">
        <v>0</v>
      </c>
      <c r="G32">
        <f t="shared" si="1"/>
        <v>0</v>
      </c>
    </row>
    <row r="33" spans="3:7" x14ac:dyDescent="0.45">
      <c r="C33" t="s">
        <v>757</v>
      </c>
      <c r="D33">
        <f t="shared" si="0"/>
        <v>220</v>
      </c>
      <c r="F33">
        <v>0</v>
      </c>
      <c r="G33">
        <f t="shared" si="1"/>
        <v>0</v>
      </c>
    </row>
    <row r="34" spans="3:7" x14ac:dyDescent="0.45">
      <c r="C34" t="s">
        <v>757</v>
      </c>
      <c r="D34">
        <f t="shared" si="0"/>
        <v>220</v>
      </c>
      <c r="F34">
        <v>0</v>
      </c>
      <c r="G34">
        <f t="shared" si="1"/>
        <v>0</v>
      </c>
    </row>
    <row r="35" spans="3:7" x14ac:dyDescent="0.45">
      <c r="C35" t="s">
        <v>757</v>
      </c>
      <c r="D35">
        <f t="shared" si="0"/>
        <v>220</v>
      </c>
      <c r="F35">
        <v>0</v>
      </c>
      <c r="G35">
        <f t="shared" si="1"/>
        <v>0</v>
      </c>
    </row>
    <row r="36" spans="3:7" x14ac:dyDescent="0.45">
      <c r="C36" t="s">
        <v>757</v>
      </c>
      <c r="D36">
        <f t="shared" si="0"/>
        <v>220</v>
      </c>
      <c r="F36">
        <v>0</v>
      </c>
      <c r="G36">
        <f t="shared" si="1"/>
        <v>0</v>
      </c>
    </row>
    <row r="37" spans="3:7" x14ac:dyDescent="0.45">
      <c r="C37" t="s">
        <v>755</v>
      </c>
      <c r="D37">
        <f t="shared" si="0"/>
        <v>50</v>
      </c>
      <c r="F37">
        <v>0</v>
      </c>
      <c r="G37">
        <f t="shared" si="1"/>
        <v>0</v>
      </c>
    </row>
    <row r="38" spans="3:7" x14ac:dyDescent="0.45">
      <c r="C38" t="s">
        <v>757</v>
      </c>
      <c r="D38">
        <f t="shared" si="0"/>
        <v>220</v>
      </c>
      <c r="F38">
        <v>0</v>
      </c>
      <c r="G38">
        <f t="shared" si="1"/>
        <v>0</v>
      </c>
    </row>
    <row r="39" spans="3:7" x14ac:dyDescent="0.45">
      <c r="C39" t="s">
        <v>755</v>
      </c>
      <c r="D39">
        <f t="shared" si="0"/>
        <v>50</v>
      </c>
      <c r="F39">
        <v>0</v>
      </c>
      <c r="G39">
        <f t="shared" si="1"/>
        <v>0</v>
      </c>
    </row>
    <row r="40" spans="3:7" x14ac:dyDescent="0.45">
      <c r="C40" t="s">
        <v>757</v>
      </c>
      <c r="D40">
        <f t="shared" si="0"/>
        <v>220</v>
      </c>
      <c r="F40">
        <v>0</v>
      </c>
      <c r="G40">
        <f t="shared" si="1"/>
        <v>0</v>
      </c>
    </row>
    <row r="41" spans="3:7" x14ac:dyDescent="0.45">
      <c r="C41" t="s">
        <v>757</v>
      </c>
      <c r="D41">
        <f t="shared" si="0"/>
        <v>220</v>
      </c>
      <c r="F41">
        <v>0</v>
      </c>
      <c r="G41">
        <f t="shared" si="1"/>
        <v>0</v>
      </c>
    </row>
    <row r="42" spans="3:7" x14ac:dyDescent="0.45">
      <c r="C42" t="s">
        <v>755</v>
      </c>
      <c r="D42">
        <f t="shared" si="0"/>
        <v>50</v>
      </c>
      <c r="F42">
        <v>0</v>
      </c>
      <c r="G42">
        <f t="shared" si="1"/>
        <v>0</v>
      </c>
    </row>
    <row r="43" spans="3:7" x14ac:dyDescent="0.45">
      <c r="C43" t="s">
        <v>755</v>
      </c>
      <c r="D43">
        <f t="shared" si="0"/>
        <v>50</v>
      </c>
      <c r="F43">
        <v>0</v>
      </c>
      <c r="G43">
        <f t="shared" si="1"/>
        <v>0</v>
      </c>
    </row>
    <row r="44" spans="3:7" x14ac:dyDescent="0.45">
      <c r="C44" t="s">
        <v>755</v>
      </c>
      <c r="D44">
        <f t="shared" si="0"/>
        <v>50</v>
      </c>
      <c r="F44">
        <v>0</v>
      </c>
      <c r="G44">
        <f t="shared" si="1"/>
        <v>0</v>
      </c>
    </row>
    <row r="45" spans="3:7" x14ac:dyDescent="0.45">
      <c r="C45" t="s">
        <v>757</v>
      </c>
      <c r="D45">
        <f t="shared" si="0"/>
        <v>220</v>
      </c>
      <c r="F45">
        <v>0</v>
      </c>
      <c r="G45">
        <f t="shared" si="1"/>
        <v>0</v>
      </c>
    </row>
    <row r="46" spans="3:7" x14ac:dyDescent="0.45">
      <c r="C46" t="s">
        <v>757</v>
      </c>
      <c r="D46">
        <f t="shared" si="0"/>
        <v>220</v>
      </c>
      <c r="F46">
        <v>0</v>
      </c>
      <c r="G46">
        <f t="shared" si="1"/>
        <v>0</v>
      </c>
    </row>
    <row r="47" spans="3:7" x14ac:dyDescent="0.45">
      <c r="C47" t="s">
        <v>757</v>
      </c>
      <c r="D47">
        <f t="shared" si="0"/>
        <v>220</v>
      </c>
      <c r="F47">
        <v>0</v>
      </c>
      <c r="G47">
        <f t="shared" si="1"/>
        <v>0</v>
      </c>
    </row>
    <row r="48" spans="3:7" x14ac:dyDescent="0.45">
      <c r="C48" t="s">
        <v>757</v>
      </c>
      <c r="D48">
        <f t="shared" si="0"/>
        <v>220</v>
      </c>
      <c r="F48">
        <v>0</v>
      </c>
      <c r="G48">
        <f t="shared" si="1"/>
        <v>0</v>
      </c>
    </row>
    <row r="49" spans="3:7" x14ac:dyDescent="0.45">
      <c r="C49" t="s">
        <v>758</v>
      </c>
      <c r="D49">
        <f t="shared" si="0"/>
        <v>54</v>
      </c>
      <c r="F49">
        <v>0</v>
      </c>
      <c r="G49">
        <f t="shared" si="1"/>
        <v>0</v>
      </c>
    </row>
    <row r="50" spans="3:7" x14ac:dyDescent="0.45">
      <c r="C50" t="s">
        <v>758</v>
      </c>
      <c r="D50">
        <f t="shared" si="0"/>
        <v>54</v>
      </c>
      <c r="F50">
        <v>0</v>
      </c>
      <c r="G50">
        <f t="shared" si="1"/>
        <v>0</v>
      </c>
    </row>
    <row r="51" spans="3:7" x14ac:dyDescent="0.45">
      <c r="C51" t="s">
        <v>758</v>
      </c>
      <c r="D51">
        <f t="shared" si="0"/>
        <v>54</v>
      </c>
      <c r="F51">
        <v>0</v>
      </c>
      <c r="G51">
        <f t="shared" si="1"/>
        <v>0</v>
      </c>
    </row>
    <row r="52" spans="3:7" x14ac:dyDescent="0.45">
      <c r="C52" t="s">
        <v>758</v>
      </c>
      <c r="D52">
        <f t="shared" si="0"/>
        <v>54</v>
      </c>
      <c r="F52">
        <v>0</v>
      </c>
      <c r="G52">
        <f t="shared" si="1"/>
        <v>0</v>
      </c>
    </row>
    <row r="53" spans="3:7" x14ac:dyDescent="0.45">
      <c r="C53" t="s">
        <v>758</v>
      </c>
      <c r="D53">
        <f t="shared" si="0"/>
        <v>54</v>
      </c>
      <c r="F53">
        <v>0</v>
      </c>
      <c r="G53">
        <f t="shared" si="1"/>
        <v>0</v>
      </c>
    </row>
    <row r="54" spans="3:7" x14ac:dyDescent="0.45">
      <c r="C54" t="s">
        <v>758</v>
      </c>
      <c r="D54">
        <f t="shared" si="0"/>
        <v>54</v>
      </c>
      <c r="F54">
        <v>0</v>
      </c>
      <c r="G54">
        <f t="shared" si="1"/>
        <v>0</v>
      </c>
    </row>
    <row r="55" spans="3:7" x14ac:dyDescent="0.45">
      <c r="C55" t="s">
        <v>758</v>
      </c>
      <c r="D55">
        <f t="shared" si="0"/>
        <v>54</v>
      </c>
      <c r="F55">
        <v>0</v>
      </c>
      <c r="G55">
        <f t="shared" si="1"/>
        <v>0</v>
      </c>
    </row>
    <row r="56" spans="3:7" x14ac:dyDescent="0.45">
      <c r="C56" t="s">
        <v>758</v>
      </c>
      <c r="D56">
        <f t="shared" si="0"/>
        <v>54</v>
      </c>
      <c r="F56">
        <v>0</v>
      </c>
      <c r="G56">
        <f t="shared" si="1"/>
        <v>0</v>
      </c>
    </row>
    <row r="57" spans="3:7" x14ac:dyDescent="0.45">
      <c r="C57" t="s">
        <v>758</v>
      </c>
      <c r="D57">
        <f t="shared" si="0"/>
        <v>54</v>
      </c>
      <c r="F57">
        <v>0</v>
      </c>
      <c r="G57">
        <f t="shared" si="1"/>
        <v>0</v>
      </c>
    </row>
    <row r="58" spans="3:7" x14ac:dyDescent="0.45">
      <c r="C58" t="s">
        <v>147</v>
      </c>
      <c r="D58">
        <f t="shared" si="0"/>
        <v>40</v>
      </c>
      <c r="F58">
        <v>0</v>
      </c>
      <c r="G58">
        <f t="shared" si="1"/>
        <v>0</v>
      </c>
    </row>
    <row r="59" spans="3:7" x14ac:dyDescent="0.45">
      <c r="C59" t="s">
        <v>758</v>
      </c>
      <c r="D59">
        <f t="shared" si="0"/>
        <v>54</v>
      </c>
      <c r="F59">
        <v>0</v>
      </c>
      <c r="G59">
        <f t="shared" si="1"/>
        <v>0</v>
      </c>
    </row>
    <row r="60" spans="3:7" x14ac:dyDescent="0.45">
      <c r="C60" t="s">
        <v>755</v>
      </c>
      <c r="D60">
        <f t="shared" si="0"/>
        <v>50</v>
      </c>
      <c r="F60">
        <v>0</v>
      </c>
      <c r="G60">
        <f t="shared" si="1"/>
        <v>0</v>
      </c>
    </row>
    <row r="61" spans="3:7" x14ac:dyDescent="0.45">
      <c r="C61" t="s">
        <v>755</v>
      </c>
      <c r="D61">
        <f t="shared" si="0"/>
        <v>50</v>
      </c>
      <c r="F61">
        <v>0</v>
      </c>
      <c r="G61">
        <f t="shared" si="1"/>
        <v>0</v>
      </c>
    </row>
    <row r="62" spans="3:7" x14ac:dyDescent="0.45">
      <c r="C62" t="s">
        <v>755</v>
      </c>
      <c r="D62">
        <f t="shared" si="0"/>
        <v>50</v>
      </c>
      <c r="F62">
        <v>0</v>
      </c>
      <c r="G62">
        <f t="shared" si="1"/>
        <v>0</v>
      </c>
    </row>
    <row r="63" spans="3:7" x14ac:dyDescent="0.45">
      <c r="C63" t="s">
        <v>755</v>
      </c>
      <c r="D63">
        <f t="shared" si="0"/>
        <v>50</v>
      </c>
      <c r="F63">
        <v>0</v>
      </c>
      <c r="G63">
        <f t="shared" si="1"/>
        <v>0</v>
      </c>
    </row>
    <row r="64" spans="3:7" x14ac:dyDescent="0.45">
      <c r="C64" t="s">
        <v>755</v>
      </c>
      <c r="D64">
        <f t="shared" si="0"/>
        <v>50</v>
      </c>
      <c r="F64">
        <v>0</v>
      </c>
      <c r="G64">
        <f t="shared" si="1"/>
        <v>0</v>
      </c>
    </row>
    <row r="65" spans="3:7" x14ac:dyDescent="0.45">
      <c r="C65" t="s">
        <v>759</v>
      </c>
      <c r="D65">
        <f t="shared" si="0"/>
        <v>210</v>
      </c>
      <c r="F65">
        <v>0</v>
      </c>
      <c r="G65">
        <f t="shared" si="1"/>
        <v>0</v>
      </c>
    </row>
    <row r="66" spans="3:7" x14ac:dyDescent="0.45">
      <c r="C66" t="s">
        <v>759</v>
      </c>
      <c r="D66">
        <f t="shared" si="0"/>
        <v>210</v>
      </c>
      <c r="F66">
        <v>0</v>
      </c>
      <c r="G66">
        <f t="shared" si="1"/>
        <v>0</v>
      </c>
    </row>
    <row r="67" spans="3:7" x14ac:dyDescent="0.45">
      <c r="C67" t="s">
        <v>760</v>
      </c>
      <c r="D67">
        <f t="shared" ref="D67:D130" si="2">+C67+0</f>
        <v>230</v>
      </c>
      <c r="F67">
        <v>0</v>
      </c>
      <c r="G67">
        <f t="shared" ref="G67:G130" si="3">+F67+0</f>
        <v>0</v>
      </c>
    </row>
    <row r="68" spans="3:7" x14ac:dyDescent="0.45">
      <c r="C68" t="s">
        <v>761</v>
      </c>
      <c r="D68">
        <f t="shared" si="2"/>
        <v>240</v>
      </c>
      <c r="F68">
        <v>0</v>
      </c>
      <c r="G68">
        <f t="shared" si="3"/>
        <v>0</v>
      </c>
    </row>
    <row r="69" spans="3:7" x14ac:dyDescent="0.45">
      <c r="C69" t="s">
        <v>760</v>
      </c>
      <c r="D69">
        <f t="shared" si="2"/>
        <v>230</v>
      </c>
      <c r="F69">
        <v>0</v>
      </c>
      <c r="G69">
        <f t="shared" si="3"/>
        <v>0</v>
      </c>
    </row>
    <row r="70" spans="3:7" x14ac:dyDescent="0.45">
      <c r="C70" t="s">
        <v>760</v>
      </c>
      <c r="D70">
        <f t="shared" si="2"/>
        <v>230</v>
      </c>
      <c r="F70">
        <v>0</v>
      </c>
      <c r="G70">
        <f t="shared" si="3"/>
        <v>0</v>
      </c>
    </row>
    <row r="71" spans="3:7" x14ac:dyDescent="0.45">
      <c r="C71" t="s">
        <v>760</v>
      </c>
      <c r="D71">
        <f t="shared" si="2"/>
        <v>230</v>
      </c>
      <c r="F71">
        <v>0</v>
      </c>
      <c r="G71">
        <f t="shared" si="3"/>
        <v>0</v>
      </c>
    </row>
    <row r="72" spans="3:7" x14ac:dyDescent="0.45">
      <c r="C72" t="s">
        <v>760</v>
      </c>
      <c r="D72">
        <f t="shared" si="2"/>
        <v>230</v>
      </c>
      <c r="F72">
        <v>0</v>
      </c>
      <c r="G72">
        <f t="shared" si="3"/>
        <v>0</v>
      </c>
    </row>
    <row r="73" spans="3:7" x14ac:dyDescent="0.45">
      <c r="C73" t="s">
        <v>761</v>
      </c>
      <c r="D73">
        <f t="shared" si="2"/>
        <v>240</v>
      </c>
      <c r="F73">
        <v>0</v>
      </c>
      <c r="G73">
        <f t="shared" si="3"/>
        <v>0</v>
      </c>
    </row>
    <row r="74" spans="3:7" x14ac:dyDescent="0.45">
      <c r="C74" t="s">
        <v>757</v>
      </c>
      <c r="D74">
        <f t="shared" si="2"/>
        <v>220</v>
      </c>
      <c r="F74">
        <v>0</v>
      </c>
      <c r="G74">
        <f t="shared" si="3"/>
        <v>0</v>
      </c>
    </row>
    <row r="75" spans="3:7" x14ac:dyDescent="0.45">
      <c r="C75" t="s">
        <v>757</v>
      </c>
      <c r="D75">
        <f t="shared" si="2"/>
        <v>220</v>
      </c>
      <c r="F75">
        <v>0</v>
      </c>
      <c r="G75">
        <f t="shared" si="3"/>
        <v>0</v>
      </c>
    </row>
    <row r="76" spans="3:7" x14ac:dyDescent="0.45">
      <c r="C76" t="s">
        <v>757</v>
      </c>
      <c r="D76">
        <f t="shared" si="2"/>
        <v>220</v>
      </c>
      <c r="F76">
        <v>0</v>
      </c>
      <c r="G76">
        <f t="shared" si="3"/>
        <v>0</v>
      </c>
    </row>
    <row r="77" spans="3:7" x14ac:dyDescent="0.45">
      <c r="C77" t="s">
        <v>760</v>
      </c>
      <c r="D77">
        <f t="shared" si="2"/>
        <v>230</v>
      </c>
      <c r="F77">
        <v>0</v>
      </c>
      <c r="G77">
        <f t="shared" si="3"/>
        <v>0</v>
      </c>
    </row>
    <row r="78" spans="3:7" x14ac:dyDescent="0.45">
      <c r="C78" t="s">
        <v>760</v>
      </c>
      <c r="D78">
        <f t="shared" si="2"/>
        <v>230</v>
      </c>
      <c r="F78">
        <v>0</v>
      </c>
      <c r="G78">
        <f t="shared" si="3"/>
        <v>0</v>
      </c>
    </row>
    <row r="79" spans="3:7" x14ac:dyDescent="0.45">
      <c r="C79" t="s">
        <v>757</v>
      </c>
      <c r="D79">
        <f t="shared" si="2"/>
        <v>220</v>
      </c>
      <c r="F79">
        <v>0</v>
      </c>
      <c r="G79">
        <f t="shared" si="3"/>
        <v>0</v>
      </c>
    </row>
    <row r="80" spans="3:7" x14ac:dyDescent="0.45">
      <c r="C80" t="s">
        <v>758</v>
      </c>
      <c r="D80">
        <f t="shared" si="2"/>
        <v>54</v>
      </c>
      <c r="F80">
        <v>0</v>
      </c>
      <c r="G80">
        <f t="shared" si="3"/>
        <v>0</v>
      </c>
    </row>
    <row r="81" spans="3:7" x14ac:dyDescent="0.45">
      <c r="C81" t="s">
        <v>762</v>
      </c>
      <c r="D81">
        <f t="shared" si="2"/>
        <v>170</v>
      </c>
      <c r="F81">
        <v>0</v>
      </c>
      <c r="G81">
        <f t="shared" si="3"/>
        <v>0</v>
      </c>
    </row>
    <row r="82" spans="3:7" x14ac:dyDescent="0.45">
      <c r="C82" t="s">
        <v>763</v>
      </c>
      <c r="D82">
        <f t="shared" si="2"/>
        <v>160</v>
      </c>
      <c r="F82">
        <v>0</v>
      </c>
      <c r="G82">
        <f t="shared" si="3"/>
        <v>0</v>
      </c>
    </row>
    <row r="83" spans="3:7" x14ac:dyDescent="0.45">
      <c r="C83" t="s">
        <v>764</v>
      </c>
      <c r="D83">
        <f t="shared" si="2"/>
        <v>22</v>
      </c>
      <c r="F83">
        <v>0</v>
      </c>
      <c r="G83">
        <f t="shared" si="3"/>
        <v>0</v>
      </c>
    </row>
    <row r="84" spans="3:7" x14ac:dyDescent="0.45">
      <c r="C84" t="s">
        <v>764</v>
      </c>
      <c r="D84">
        <f t="shared" si="2"/>
        <v>22</v>
      </c>
      <c r="F84">
        <v>0</v>
      </c>
      <c r="G84">
        <f t="shared" si="3"/>
        <v>0</v>
      </c>
    </row>
    <row r="85" spans="3:7" x14ac:dyDescent="0.45">
      <c r="C85" t="s">
        <v>764</v>
      </c>
      <c r="D85">
        <f t="shared" si="2"/>
        <v>22</v>
      </c>
      <c r="F85">
        <v>0</v>
      </c>
      <c r="G85">
        <f t="shared" si="3"/>
        <v>0</v>
      </c>
    </row>
    <row r="86" spans="3:7" x14ac:dyDescent="0.45">
      <c r="C86" t="s">
        <v>764</v>
      </c>
      <c r="D86">
        <f t="shared" si="2"/>
        <v>22</v>
      </c>
      <c r="F86">
        <v>0</v>
      </c>
      <c r="G86">
        <f t="shared" si="3"/>
        <v>0</v>
      </c>
    </row>
    <row r="87" spans="3:7" x14ac:dyDescent="0.45">
      <c r="C87" t="s">
        <v>764</v>
      </c>
      <c r="D87">
        <f t="shared" si="2"/>
        <v>22</v>
      </c>
      <c r="F87">
        <v>0</v>
      </c>
      <c r="G87">
        <f t="shared" si="3"/>
        <v>0</v>
      </c>
    </row>
    <row r="88" spans="3:7" x14ac:dyDescent="0.45">
      <c r="C88" t="s">
        <v>764</v>
      </c>
      <c r="D88">
        <f t="shared" si="2"/>
        <v>22</v>
      </c>
      <c r="F88">
        <v>0</v>
      </c>
      <c r="G88">
        <f t="shared" si="3"/>
        <v>0</v>
      </c>
    </row>
    <row r="89" spans="3:7" x14ac:dyDescent="0.45">
      <c r="C89" t="s">
        <v>764</v>
      </c>
      <c r="D89">
        <f t="shared" si="2"/>
        <v>22</v>
      </c>
      <c r="F89">
        <v>0</v>
      </c>
      <c r="G89">
        <f t="shared" si="3"/>
        <v>0</v>
      </c>
    </row>
    <row r="90" spans="3:7" x14ac:dyDescent="0.45">
      <c r="C90" t="s">
        <v>764</v>
      </c>
      <c r="D90">
        <f t="shared" si="2"/>
        <v>22</v>
      </c>
      <c r="F90">
        <v>0</v>
      </c>
      <c r="G90">
        <f t="shared" si="3"/>
        <v>0</v>
      </c>
    </row>
    <row r="91" spans="3:7" x14ac:dyDescent="0.45">
      <c r="C91" t="s">
        <v>764</v>
      </c>
      <c r="D91">
        <f t="shared" si="2"/>
        <v>22</v>
      </c>
      <c r="F91">
        <v>0</v>
      </c>
      <c r="G91">
        <f t="shared" si="3"/>
        <v>0</v>
      </c>
    </row>
    <row r="92" spans="3:7" x14ac:dyDescent="0.45">
      <c r="C92" t="s">
        <v>764</v>
      </c>
      <c r="D92">
        <f t="shared" si="2"/>
        <v>22</v>
      </c>
      <c r="F92">
        <v>0</v>
      </c>
      <c r="G92">
        <f t="shared" si="3"/>
        <v>0</v>
      </c>
    </row>
    <row r="93" spans="3:7" x14ac:dyDescent="0.45">
      <c r="C93" t="s">
        <v>764</v>
      </c>
      <c r="D93">
        <f t="shared" si="2"/>
        <v>22</v>
      </c>
      <c r="F93">
        <v>0</v>
      </c>
      <c r="G93">
        <f t="shared" si="3"/>
        <v>0</v>
      </c>
    </row>
    <row r="94" spans="3:7" x14ac:dyDescent="0.45">
      <c r="C94" t="s">
        <v>764</v>
      </c>
      <c r="D94">
        <f t="shared" si="2"/>
        <v>22</v>
      </c>
      <c r="F94">
        <v>0</v>
      </c>
      <c r="G94">
        <f t="shared" si="3"/>
        <v>0</v>
      </c>
    </row>
    <row r="95" spans="3:7" x14ac:dyDescent="0.45">
      <c r="C95" t="s">
        <v>764</v>
      </c>
      <c r="D95">
        <f t="shared" si="2"/>
        <v>22</v>
      </c>
      <c r="F95">
        <v>0</v>
      </c>
      <c r="G95">
        <f t="shared" si="3"/>
        <v>0</v>
      </c>
    </row>
    <row r="96" spans="3:7" x14ac:dyDescent="0.45">
      <c r="C96" t="s">
        <v>764</v>
      </c>
      <c r="D96">
        <f t="shared" si="2"/>
        <v>22</v>
      </c>
      <c r="F96">
        <v>0</v>
      </c>
      <c r="G96">
        <f t="shared" si="3"/>
        <v>0</v>
      </c>
    </row>
    <row r="97" spans="3:7" x14ac:dyDescent="0.45">
      <c r="C97" t="s">
        <v>764</v>
      </c>
      <c r="D97">
        <f t="shared" si="2"/>
        <v>22</v>
      </c>
      <c r="F97">
        <v>0</v>
      </c>
      <c r="G97">
        <f t="shared" si="3"/>
        <v>0</v>
      </c>
    </row>
    <row r="98" spans="3:7" x14ac:dyDescent="0.45">
      <c r="C98" t="s">
        <v>753</v>
      </c>
      <c r="D98">
        <f t="shared" si="2"/>
        <v>20</v>
      </c>
      <c r="F98">
        <v>0</v>
      </c>
      <c r="G98">
        <f t="shared" si="3"/>
        <v>0</v>
      </c>
    </row>
    <row r="99" spans="3:7" x14ac:dyDescent="0.45">
      <c r="C99" t="s">
        <v>763</v>
      </c>
      <c r="D99">
        <f t="shared" si="2"/>
        <v>160</v>
      </c>
      <c r="F99">
        <v>0</v>
      </c>
      <c r="G99">
        <f t="shared" si="3"/>
        <v>0</v>
      </c>
    </row>
    <row r="100" spans="3:7" x14ac:dyDescent="0.45">
      <c r="C100" t="s">
        <v>763</v>
      </c>
      <c r="D100">
        <f t="shared" si="2"/>
        <v>160</v>
      </c>
      <c r="F100">
        <v>0</v>
      </c>
      <c r="G100">
        <f t="shared" si="3"/>
        <v>0</v>
      </c>
    </row>
    <row r="101" spans="3:7" x14ac:dyDescent="0.45">
      <c r="C101" t="s">
        <v>761</v>
      </c>
      <c r="D101">
        <f t="shared" si="2"/>
        <v>240</v>
      </c>
      <c r="F101">
        <v>0</v>
      </c>
      <c r="G101">
        <f t="shared" si="3"/>
        <v>0</v>
      </c>
    </row>
    <row r="102" spans="3:7" x14ac:dyDescent="0.45">
      <c r="C102" t="s">
        <v>765</v>
      </c>
      <c r="D102">
        <f t="shared" si="2"/>
        <v>140</v>
      </c>
      <c r="F102">
        <v>0</v>
      </c>
      <c r="G102">
        <f t="shared" si="3"/>
        <v>0</v>
      </c>
    </row>
    <row r="103" spans="3:7" x14ac:dyDescent="0.45">
      <c r="C103" t="s">
        <v>766</v>
      </c>
      <c r="D103">
        <f t="shared" si="2"/>
        <v>90</v>
      </c>
      <c r="F103">
        <v>0</v>
      </c>
      <c r="G103">
        <f t="shared" si="3"/>
        <v>0</v>
      </c>
    </row>
    <row r="104" spans="3:7" x14ac:dyDescent="0.45">
      <c r="C104" t="s">
        <v>767</v>
      </c>
      <c r="D104">
        <f t="shared" si="2"/>
        <v>110</v>
      </c>
      <c r="F104">
        <v>0</v>
      </c>
      <c r="G104">
        <f t="shared" si="3"/>
        <v>0</v>
      </c>
    </row>
    <row r="105" spans="3:7" x14ac:dyDescent="0.45">
      <c r="C105" t="s">
        <v>768</v>
      </c>
      <c r="D105">
        <f t="shared" si="2"/>
        <v>120</v>
      </c>
      <c r="F105">
        <v>0</v>
      </c>
      <c r="G105">
        <f t="shared" si="3"/>
        <v>0</v>
      </c>
    </row>
    <row r="106" spans="3:7" x14ac:dyDescent="0.45">
      <c r="C106" t="s">
        <v>769</v>
      </c>
      <c r="D106">
        <f t="shared" si="2"/>
        <v>340</v>
      </c>
      <c r="F106" t="s">
        <v>789</v>
      </c>
      <c r="G106">
        <f t="shared" si="3"/>
        <v>520</v>
      </c>
    </row>
    <row r="107" spans="3:7" x14ac:dyDescent="0.45">
      <c r="C107" t="s">
        <v>770</v>
      </c>
      <c r="D107">
        <f t="shared" si="2"/>
        <v>330</v>
      </c>
      <c r="F107" t="s">
        <v>790</v>
      </c>
      <c r="G107">
        <f t="shared" si="3"/>
        <v>530</v>
      </c>
    </row>
    <row r="108" spans="3:7" x14ac:dyDescent="0.45">
      <c r="C108" t="s">
        <v>770</v>
      </c>
      <c r="D108">
        <f t="shared" si="2"/>
        <v>330</v>
      </c>
      <c r="F108" t="s">
        <v>790</v>
      </c>
      <c r="G108">
        <f t="shared" si="3"/>
        <v>530</v>
      </c>
    </row>
    <row r="109" spans="3:7" x14ac:dyDescent="0.45">
      <c r="C109" t="s">
        <v>770</v>
      </c>
      <c r="D109">
        <f t="shared" si="2"/>
        <v>330</v>
      </c>
      <c r="F109" t="s">
        <v>790</v>
      </c>
      <c r="G109">
        <f t="shared" si="3"/>
        <v>530</v>
      </c>
    </row>
    <row r="110" spans="3:7" x14ac:dyDescent="0.45">
      <c r="C110" t="s">
        <v>770</v>
      </c>
      <c r="D110">
        <f t="shared" si="2"/>
        <v>330</v>
      </c>
      <c r="F110" t="s">
        <v>790</v>
      </c>
      <c r="G110">
        <f t="shared" si="3"/>
        <v>530</v>
      </c>
    </row>
    <row r="111" spans="3:7" x14ac:dyDescent="0.45">
      <c r="C111" t="s">
        <v>770</v>
      </c>
      <c r="D111">
        <f t="shared" si="2"/>
        <v>330</v>
      </c>
      <c r="F111" t="s">
        <v>790</v>
      </c>
      <c r="G111">
        <f t="shared" si="3"/>
        <v>530</v>
      </c>
    </row>
    <row r="112" spans="3:7" x14ac:dyDescent="0.45">
      <c r="C112" t="s">
        <v>770</v>
      </c>
      <c r="D112">
        <f t="shared" si="2"/>
        <v>330</v>
      </c>
      <c r="F112" t="s">
        <v>790</v>
      </c>
      <c r="G112">
        <f t="shared" si="3"/>
        <v>530</v>
      </c>
    </row>
    <row r="113" spans="3:7" x14ac:dyDescent="0.45">
      <c r="C113" t="s">
        <v>770</v>
      </c>
      <c r="D113">
        <f t="shared" si="2"/>
        <v>330</v>
      </c>
      <c r="F113" t="s">
        <v>790</v>
      </c>
      <c r="G113">
        <f t="shared" si="3"/>
        <v>530</v>
      </c>
    </row>
    <row r="114" spans="3:7" x14ac:dyDescent="0.45">
      <c r="C114" t="s">
        <v>770</v>
      </c>
      <c r="D114">
        <f t="shared" si="2"/>
        <v>330</v>
      </c>
      <c r="F114" t="s">
        <v>790</v>
      </c>
      <c r="G114">
        <f t="shared" si="3"/>
        <v>530</v>
      </c>
    </row>
    <row r="115" spans="3:7" x14ac:dyDescent="0.45">
      <c r="C115" t="s">
        <v>771</v>
      </c>
      <c r="D115">
        <f t="shared" si="2"/>
        <v>360</v>
      </c>
      <c r="F115" t="s">
        <v>791</v>
      </c>
      <c r="G115">
        <f t="shared" si="3"/>
        <v>550</v>
      </c>
    </row>
    <row r="116" spans="3:7" x14ac:dyDescent="0.45">
      <c r="C116" t="s">
        <v>771</v>
      </c>
      <c r="D116">
        <f t="shared" si="2"/>
        <v>360</v>
      </c>
      <c r="F116" t="s">
        <v>792</v>
      </c>
      <c r="G116">
        <f t="shared" si="3"/>
        <v>540</v>
      </c>
    </row>
    <row r="117" spans="3:7" x14ac:dyDescent="0.45">
      <c r="C117" t="s">
        <v>771</v>
      </c>
      <c r="D117">
        <f t="shared" si="2"/>
        <v>360</v>
      </c>
      <c r="F117" t="s">
        <v>792</v>
      </c>
      <c r="G117">
        <f t="shared" si="3"/>
        <v>540</v>
      </c>
    </row>
    <row r="118" spans="3:7" x14ac:dyDescent="0.45">
      <c r="C118" t="s">
        <v>760</v>
      </c>
      <c r="D118">
        <f t="shared" si="2"/>
        <v>230</v>
      </c>
      <c r="F118">
        <v>0</v>
      </c>
      <c r="G118">
        <f t="shared" si="3"/>
        <v>0</v>
      </c>
    </row>
    <row r="119" spans="3:7" x14ac:dyDescent="0.45">
      <c r="C119" t="s">
        <v>771</v>
      </c>
      <c r="D119">
        <f t="shared" si="2"/>
        <v>360</v>
      </c>
      <c r="F119" t="s">
        <v>791</v>
      </c>
      <c r="G119">
        <f t="shared" si="3"/>
        <v>550</v>
      </c>
    </row>
    <row r="120" spans="3:7" x14ac:dyDescent="0.45">
      <c r="C120" t="s">
        <v>771</v>
      </c>
      <c r="D120">
        <f t="shared" si="2"/>
        <v>360</v>
      </c>
      <c r="F120" t="s">
        <v>793</v>
      </c>
      <c r="G120">
        <f t="shared" si="3"/>
        <v>595</v>
      </c>
    </row>
    <row r="121" spans="3:7" x14ac:dyDescent="0.45">
      <c r="C121" t="s">
        <v>771</v>
      </c>
      <c r="D121">
        <f t="shared" si="2"/>
        <v>360</v>
      </c>
      <c r="F121" t="s">
        <v>791</v>
      </c>
      <c r="G121">
        <f t="shared" si="3"/>
        <v>550</v>
      </c>
    </row>
    <row r="122" spans="3:7" x14ac:dyDescent="0.45">
      <c r="C122" t="s">
        <v>771</v>
      </c>
      <c r="D122">
        <f t="shared" si="2"/>
        <v>360</v>
      </c>
      <c r="F122" t="s">
        <v>793</v>
      </c>
      <c r="G122">
        <f t="shared" si="3"/>
        <v>595</v>
      </c>
    </row>
    <row r="123" spans="3:7" x14ac:dyDescent="0.45">
      <c r="C123" t="s">
        <v>772</v>
      </c>
      <c r="D123">
        <f t="shared" si="2"/>
        <v>380</v>
      </c>
      <c r="F123" t="s">
        <v>794</v>
      </c>
      <c r="G123">
        <f t="shared" si="3"/>
        <v>600</v>
      </c>
    </row>
    <row r="124" spans="3:7" x14ac:dyDescent="0.45">
      <c r="C124" t="s">
        <v>771</v>
      </c>
      <c r="D124">
        <f t="shared" si="2"/>
        <v>360</v>
      </c>
      <c r="F124" t="s">
        <v>793</v>
      </c>
      <c r="G124">
        <f t="shared" si="3"/>
        <v>595</v>
      </c>
    </row>
    <row r="125" spans="3:7" x14ac:dyDescent="0.45">
      <c r="C125" t="s">
        <v>771</v>
      </c>
      <c r="D125">
        <f t="shared" si="2"/>
        <v>360</v>
      </c>
      <c r="F125" t="s">
        <v>791</v>
      </c>
      <c r="G125">
        <f t="shared" si="3"/>
        <v>550</v>
      </c>
    </row>
    <row r="126" spans="3:7" x14ac:dyDescent="0.45">
      <c r="C126" t="s">
        <v>772</v>
      </c>
      <c r="D126">
        <f t="shared" si="2"/>
        <v>380</v>
      </c>
      <c r="F126" t="s">
        <v>794</v>
      </c>
      <c r="G126">
        <f t="shared" si="3"/>
        <v>600</v>
      </c>
    </row>
    <row r="127" spans="3:7" x14ac:dyDescent="0.45">
      <c r="C127" t="s">
        <v>772</v>
      </c>
      <c r="D127">
        <f t="shared" si="2"/>
        <v>380</v>
      </c>
      <c r="F127" t="s">
        <v>794</v>
      </c>
      <c r="G127">
        <f t="shared" si="3"/>
        <v>600</v>
      </c>
    </row>
    <row r="128" spans="3:7" x14ac:dyDescent="0.45">
      <c r="C128" t="s">
        <v>771</v>
      </c>
      <c r="D128">
        <f t="shared" si="2"/>
        <v>360</v>
      </c>
      <c r="F128" t="s">
        <v>793</v>
      </c>
      <c r="G128">
        <f t="shared" si="3"/>
        <v>595</v>
      </c>
    </row>
    <row r="129" spans="3:7" x14ac:dyDescent="0.45">
      <c r="C129" t="s">
        <v>771</v>
      </c>
      <c r="D129">
        <f t="shared" si="2"/>
        <v>360</v>
      </c>
      <c r="F129" t="s">
        <v>791</v>
      </c>
      <c r="G129">
        <f t="shared" si="3"/>
        <v>550</v>
      </c>
    </row>
    <row r="130" spans="3:7" x14ac:dyDescent="0.45">
      <c r="C130" t="s">
        <v>771</v>
      </c>
      <c r="D130">
        <f t="shared" si="2"/>
        <v>360</v>
      </c>
      <c r="F130" t="s">
        <v>793</v>
      </c>
      <c r="G130">
        <f t="shared" si="3"/>
        <v>595</v>
      </c>
    </row>
    <row r="131" spans="3:7" x14ac:dyDescent="0.45">
      <c r="C131" t="s">
        <v>772</v>
      </c>
      <c r="D131">
        <f t="shared" ref="D131:D194" si="4">+C131+0</f>
        <v>380</v>
      </c>
      <c r="F131" t="s">
        <v>794</v>
      </c>
      <c r="G131">
        <f t="shared" ref="G131:G194" si="5">+F131+0</f>
        <v>600</v>
      </c>
    </row>
    <row r="132" spans="3:7" x14ac:dyDescent="0.45">
      <c r="C132" t="s">
        <v>772</v>
      </c>
      <c r="D132">
        <f t="shared" si="4"/>
        <v>380</v>
      </c>
      <c r="F132" t="s">
        <v>794</v>
      </c>
      <c r="G132">
        <f t="shared" si="5"/>
        <v>600</v>
      </c>
    </row>
    <row r="133" spans="3:7" x14ac:dyDescent="0.45">
      <c r="C133" t="s">
        <v>772</v>
      </c>
      <c r="D133">
        <f t="shared" si="4"/>
        <v>380</v>
      </c>
      <c r="F133" t="s">
        <v>794</v>
      </c>
      <c r="G133">
        <f t="shared" si="5"/>
        <v>600</v>
      </c>
    </row>
    <row r="134" spans="3:7" x14ac:dyDescent="0.45">
      <c r="C134" t="s">
        <v>773</v>
      </c>
      <c r="D134">
        <f t="shared" si="4"/>
        <v>390</v>
      </c>
      <c r="F134" t="s">
        <v>795</v>
      </c>
      <c r="G134">
        <f t="shared" si="5"/>
        <v>570</v>
      </c>
    </row>
    <row r="135" spans="3:7" x14ac:dyDescent="0.45">
      <c r="C135" t="s">
        <v>773</v>
      </c>
      <c r="D135">
        <f t="shared" si="4"/>
        <v>390</v>
      </c>
      <c r="F135" t="s">
        <v>795</v>
      </c>
      <c r="G135">
        <f t="shared" si="5"/>
        <v>570</v>
      </c>
    </row>
    <row r="136" spans="3:7" x14ac:dyDescent="0.45">
      <c r="C136" t="s">
        <v>773</v>
      </c>
      <c r="D136">
        <f t="shared" si="4"/>
        <v>390</v>
      </c>
      <c r="F136" t="s">
        <v>795</v>
      </c>
      <c r="G136">
        <f t="shared" si="5"/>
        <v>570</v>
      </c>
    </row>
    <row r="137" spans="3:7" x14ac:dyDescent="0.45">
      <c r="C137" t="s">
        <v>773</v>
      </c>
      <c r="D137">
        <f t="shared" si="4"/>
        <v>390</v>
      </c>
      <c r="F137" t="s">
        <v>795</v>
      </c>
      <c r="G137">
        <f t="shared" si="5"/>
        <v>570</v>
      </c>
    </row>
    <row r="138" spans="3:7" x14ac:dyDescent="0.45">
      <c r="C138" t="s">
        <v>774</v>
      </c>
      <c r="D138">
        <f t="shared" si="4"/>
        <v>400</v>
      </c>
      <c r="F138" t="s">
        <v>795</v>
      </c>
      <c r="G138">
        <f t="shared" si="5"/>
        <v>570</v>
      </c>
    </row>
    <row r="139" spans="3:7" x14ac:dyDescent="0.45">
      <c r="C139" t="s">
        <v>773</v>
      </c>
      <c r="D139">
        <f t="shared" si="4"/>
        <v>390</v>
      </c>
      <c r="F139" t="s">
        <v>795</v>
      </c>
      <c r="G139">
        <f t="shared" si="5"/>
        <v>570</v>
      </c>
    </row>
    <row r="140" spans="3:7" x14ac:dyDescent="0.45">
      <c r="C140" t="s">
        <v>773</v>
      </c>
      <c r="D140">
        <f t="shared" si="4"/>
        <v>390</v>
      </c>
      <c r="F140" t="s">
        <v>795</v>
      </c>
      <c r="G140">
        <f t="shared" si="5"/>
        <v>570</v>
      </c>
    </row>
    <row r="141" spans="3:7" x14ac:dyDescent="0.45">
      <c r="C141" t="s">
        <v>773</v>
      </c>
      <c r="D141">
        <f t="shared" si="4"/>
        <v>390</v>
      </c>
      <c r="F141" t="s">
        <v>795</v>
      </c>
      <c r="G141">
        <f t="shared" si="5"/>
        <v>570</v>
      </c>
    </row>
    <row r="142" spans="3:7" x14ac:dyDescent="0.45">
      <c r="C142" t="s">
        <v>775</v>
      </c>
      <c r="D142">
        <f t="shared" si="4"/>
        <v>450</v>
      </c>
      <c r="F142" t="s">
        <v>796</v>
      </c>
      <c r="G142">
        <f t="shared" si="5"/>
        <v>620</v>
      </c>
    </row>
    <row r="143" spans="3:7" x14ac:dyDescent="0.45">
      <c r="C143" t="s">
        <v>776</v>
      </c>
      <c r="D143">
        <f t="shared" si="4"/>
        <v>430</v>
      </c>
      <c r="F143" t="s">
        <v>797</v>
      </c>
      <c r="G143">
        <f t="shared" si="5"/>
        <v>610</v>
      </c>
    </row>
    <row r="144" spans="3:7" x14ac:dyDescent="0.45">
      <c r="C144" t="s">
        <v>776</v>
      </c>
      <c r="D144">
        <f t="shared" si="4"/>
        <v>430</v>
      </c>
      <c r="F144" t="s">
        <v>797</v>
      </c>
      <c r="G144">
        <f t="shared" si="5"/>
        <v>610</v>
      </c>
    </row>
    <row r="145" spans="3:7" x14ac:dyDescent="0.45">
      <c r="C145" t="s">
        <v>776</v>
      </c>
      <c r="D145">
        <f t="shared" si="4"/>
        <v>430</v>
      </c>
      <c r="F145" t="s">
        <v>797</v>
      </c>
      <c r="G145">
        <f t="shared" si="5"/>
        <v>610</v>
      </c>
    </row>
    <row r="146" spans="3:7" x14ac:dyDescent="0.45">
      <c r="C146" t="s">
        <v>772</v>
      </c>
      <c r="D146">
        <f t="shared" si="4"/>
        <v>380</v>
      </c>
      <c r="F146" t="s">
        <v>794</v>
      </c>
      <c r="G146">
        <f t="shared" si="5"/>
        <v>600</v>
      </c>
    </row>
    <row r="147" spans="3:7" x14ac:dyDescent="0.45">
      <c r="C147" t="s">
        <v>776</v>
      </c>
      <c r="D147">
        <f t="shared" si="4"/>
        <v>430</v>
      </c>
      <c r="F147" t="s">
        <v>797</v>
      </c>
      <c r="G147">
        <f t="shared" si="5"/>
        <v>610</v>
      </c>
    </row>
    <row r="148" spans="3:7" x14ac:dyDescent="0.45">
      <c r="C148" t="s">
        <v>776</v>
      </c>
      <c r="D148">
        <f t="shared" si="4"/>
        <v>430</v>
      </c>
      <c r="F148" t="s">
        <v>797</v>
      </c>
      <c r="G148">
        <f t="shared" si="5"/>
        <v>610</v>
      </c>
    </row>
    <row r="149" spans="3:7" x14ac:dyDescent="0.45">
      <c r="C149" t="s">
        <v>776</v>
      </c>
      <c r="D149">
        <f t="shared" si="4"/>
        <v>430</v>
      </c>
      <c r="F149" t="s">
        <v>797</v>
      </c>
      <c r="G149">
        <f t="shared" si="5"/>
        <v>610</v>
      </c>
    </row>
    <row r="150" spans="3:7" x14ac:dyDescent="0.45">
      <c r="C150" t="s">
        <v>775</v>
      </c>
      <c r="D150">
        <f t="shared" si="4"/>
        <v>450</v>
      </c>
      <c r="F150" t="s">
        <v>796</v>
      </c>
      <c r="G150">
        <f t="shared" si="5"/>
        <v>620</v>
      </c>
    </row>
    <row r="151" spans="3:7" x14ac:dyDescent="0.45">
      <c r="C151" t="s">
        <v>775</v>
      </c>
      <c r="D151">
        <f t="shared" si="4"/>
        <v>450</v>
      </c>
      <c r="F151" t="s">
        <v>796</v>
      </c>
      <c r="G151">
        <f t="shared" si="5"/>
        <v>620</v>
      </c>
    </row>
    <row r="152" spans="3:7" x14ac:dyDescent="0.45">
      <c r="C152" t="s">
        <v>777</v>
      </c>
      <c r="D152">
        <f t="shared" si="4"/>
        <v>410</v>
      </c>
      <c r="F152" t="s">
        <v>798</v>
      </c>
      <c r="G152">
        <f t="shared" si="5"/>
        <v>580</v>
      </c>
    </row>
    <row r="153" spans="3:7" x14ac:dyDescent="0.45">
      <c r="C153" t="s">
        <v>777</v>
      </c>
      <c r="D153">
        <f t="shared" si="4"/>
        <v>410</v>
      </c>
      <c r="F153" t="s">
        <v>798</v>
      </c>
      <c r="G153">
        <f t="shared" si="5"/>
        <v>580</v>
      </c>
    </row>
    <row r="154" spans="3:7" x14ac:dyDescent="0.45">
      <c r="C154" t="s">
        <v>777</v>
      </c>
      <c r="D154">
        <f t="shared" si="4"/>
        <v>410</v>
      </c>
      <c r="F154" t="s">
        <v>798</v>
      </c>
      <c r="G154">
        <f t="shared" si="5"/>
        <v>580</v>
      </c>
    </row>
    <row r="155" spans="3:7" x14ac:dyDescent="0.45">
      <c r="C155" t="s">
        <v>777</v>
      </c>
      <c r="D155">
        <f t="shared" si="4"/>
        <v>410</v>
      </c>
      <c r="F155" t="s">
        <v>798</v>
      </c>
      <c r="G155">
        <f t="shared" si="5"/>
        <v>580</v>
      </c>
    </row>
    <row r="156" spans="3:7" x14ac:dyDescent="0.45">
      <c r="C156" t="s">
        <v>777</v>
      </c>
      <c r="D156">
        <f t="shared" si="4"/>
        <v>410</v>
      </c>
      <c r="F156" t="s">
        <v>798</v>
      </c>
      <c r="G156">
        <f t="shared" si="5"/>
        <v>580</v>
      </c>
    </row>
    <row r="157" spans="3:7" x14ac:dyDescent="0.45">
      <c r="C157" t="s">
        <v>777</v>
      </c>
      <c r="D157">
        <f t="shared" si="4"/>
        <v>410</v>
      </c>
      <c r="F157" t="s">
        <v>798</v>
      </c>
      <c r="G157">
        <f t="shared" si="5"/>
        <v>580</v>
      </c>
    </row>
    <row r="158" spans="3:7" x14ac:dyDescent="0.45">
      <c r="C158" t="s">
        <v>777</v>
      </c>
      <c r="D158">
        <f t="shared" si="4"/>
        <v>410</v>
      </c>
      <c r="F158" t="s">
        <v>798</v>
      </c>
      <c r="G158">
        <f t="shared" si="5"/>
        <v>580</v>
      </c>
    </row>
    <row r="159" spans="3:7" x14ac:dyDescent="0.45">
      <c r="C159" t="s">
        <v>777</v>
      </c>
      <c r="D159">
        <f t="shared" si="4"/>
        <v>410</v>
      </c>
      <c r="F159" t="s">
        <v>798</v>
      </c>
      <c r="G159">
        <f t="shared" si="5"/>
        <v>580</v>
      </c>
    </row>
    <row r="160" spans="3:7" x14ac:dyDescent="0.45">
      <c r="C160" t="s">
        <v>777</v>
      </c>
      <c r="D160">
        <f t="shared" si="4"/>
        <v>410</v>
      </c>
      <c r="F160" t="s">
        <v>798</v>
      </c>
      <c r="G160">
        <f t="shared" si="5"/>
        <v>580</v>
      </c>
    </row>
    <row r="161" spans="3:7" x14ac:dyDescent="0.45">
      <c r="C161" t="s">
        <v>777</v>
      </c>
      <c r="D161">
        <f t="shared" si="4"/>
        <v>410</v>
      </c>
      <c r="F161" t="s">
        <v>798</v>
      </c>
      <c r="G161">
        <f t="shared" si="5"/>
        <v>580</v>
      </c>
    </row>
    <row r="162" spans="3:7" x14ac:dyDescent="0.45">
      <c r="C162" t="s">
        <v>777</v>
      </c>
      <c r="D162">
        <f t="shared" si="4"/>
        <v>410</v>
      </c>
      <c r="F162" t="s">
        <v>798</v>
      </c>
      <c r="G162">
        <f t="shared" si="5"/>
        <v>580</v>
      </c>
    </row>
    <row r="163" spans="3:7" x14ac:dyDescent="0.45">
      <c r="C163" t="s">
        <v>777</v>
      </c>
      <c r="D163">
        <f t="shared" si="4"/>
        <v>410</v>
      </c>
      <c r="F163" t="s">
        <v>798</v>
      </c>
      <c r="G163">
        <f t="shared" si="5"/>
        <v>580</v>
      </c>
    </row>
    <row r="164" spans="3:7" x14ac:dyDescent="0.45">
      <c r="C164" t="s">
        <v>777</v>
      </c>
      <c r="D164">
        <f t="shared" si="4"/>
        <v>410</v>
      </c>
      <c r="F164" t="s">
        <v>798</v>
      </c>
      <c r="G164">
        <f t="shared" si="5"/>
        <v>580</v>
      </c>
    </row>
    <row r="165" spans="3:7" x14ac:dyDescent="0.45">
      <c r="C165" t="s">
        <v>777</v>
      </c>
      <c r="D165">
        <f t="shared" si="4"/>
        <v>410</v>
      </c>
      <c r="F165" t="s">
        <v>798</v>
      </c>
      <c r="G165">
        <f t="shared" si="5"/>
        <v>580</v>
      </c>
    </row>
    <row r="166" spans="3:7" x14ac:dyDescent="0.45">
      <c r="C166" t="s">
        <v>777</v>
      </c>
      <c r="D166">
        <f t="shared" si="4"/>
        <v>410</v>
      </c>
      <c r="F166" t="s">
        <v>798</v>
      </c>
      <c r="G166">
        <f t="shared" si="5"/>
        <v>580</v>
      </c>
    </row>
    <row r="167" spans="3:7" x14ac:dyDescent="0.45">
      <c r="C167" t="s">
        <v>777</v>
      </c>
      <c r="D167">
        <f t="shared" si="4"/>
        <v>410</v>
      </c>
      <c r="F167" t="s">
        <v>798</v>
      </c>
      <c r="G167">
        <f t="shared" si="5"/>
        <v>580</v>
      </c>
    </row>
    <row r="168" spans="3:7" x14ac:dyDescent="0.45">
      <c r="C168" t="s">
        <v>777</v>
      </c>
      <c r="D168">
        <f t="shared" si="4"/>
        <v>410</v>
      </c>
      <c r="F168" t="s">
        <v>798</v>
      </c>
      <c r="G168">
        <f t="shared" si="5"/>
        <v>580</v>
      </c>
    </row>
    <row r="169" spans="3:7" x14ac:dyDescent="0.45">
      <c r="C169" t="s">
        <v>777</v>
      </c>
      <c r="D169">
        <f t="shared" si="4"/>
        <v>410</v>
      </c>
      <c r="F169" t="s">
        <v>798</v>
      </c>
      <c r="G169">
        <f t="shared" si="5"/>
        <v>580</v>
      </c>
    </row>
    <row r="170" spans="3:7" x14ac:dyDescent="0.45">
      <c r="C170" t="s">
        <v>777</v>
      </c>
      <c r="D170">
        <f t="shared" si="4"/>
        <v>410</v>
      </c>
      <c r="F170" t="s">
        <v>798</v>
      </c>
      <c r="G170">
        <f t="shared" si="5"/>
        <v>580</v>
      </c>
    </row>
    <row r="171" spans="3:7" x14ac:dyDescent="0.45">
      <c r="C171" t="s">
        <v>778</v>
      </c>
      <c r="D171">
        <f t="shared" si="4"/>
        <v>415</v>
      </c>
      <c r="F171" t="s">
        <v>799</v>
      </c>
      <c r="G171">
        <f t="shared" si="5"/>
        <v>603</v>
      </c>
    </row>
    <row r="172" spans="3:7" x14ac:dyDescent="0.45">
      <c r="C172" t="s">
        <v>778</v>
      </c>
      <c r="D172">
        <f t="shared" si="4"/>
        <v>415</v>
      </c>
      <c r="F172" t="s">
        <v>799</v>
      </c>
      <c r="G172">
        <f t="shared" si="5"/>
        <v>603</v>
      </c>
    </row>
    <row r="173" spans="3:7" x14ac:dyDescent="0.45">
      <c r="C173" t="s">
        <v>771</v>
      </c>
      <c r="D173">
        <f t="shared" si="4"/>
        <v>360</v>
      </c>
      <c r="F173" t="s">
        <v>791</v>
      </c>
      <c r="G173">
        <f t="shared" si="5"/>
        <v>550</v>
      </c>
    </row>
    <row r="174" spans="3:7" x14ac:dyDescent="0.45">
      <c r="C174" t="s">
        <v>772</v>
      </c>
      <c r="D174">
        <f t="shared" si="4"/>
        <v>380</v>
      </c>
      <c r="F174" t="s">
        <v>794</v>
      </c>
      <c r="G174">
        <f t="shared" si="5"/>
        <v>600</v>
      </c>
    </row>
    <row r="175" spans="3:7" x14ac:dyDescent="0.45">
      <c r="C175" t="s">
        <v>779</v>
      </c>
      <c r="D175">
        <f t="shared" si="4"/>
        <v>370</v>
      </c>
      <c r="F175" t="s">
        <v>800</v>
      </c>
      <c r="G175">
        <f t="shared" si="5"/>
        <v>560</v>
      </c>
    </row>
    <row r="176" spans="3:7" x14ac:dyDescent="0.45">
      <c r="C176" t="s">
        <v>779</v>
      </c>
      <c r="D176">
        <f t="shared" si="4"/>
        <v>370</v>
      </c>
      <c r="F176" t="s">
        <v>800</v>
      </c>
      <c r="G176">
        <f t="shared" si="5"/>
        <v>560</v>
      </c>
    </row>
    <row r="177" spans="3:7" x14ac:dyDescent="0.45">
      <c r="C177" t="s">
        <v>779</v>
      </c>
      <c r="D177">
        <f t="shared" si="4"/>
        <v>370</v>
      </c>
      <c r="F177" t="s">
        <v>800</v>
      </c>
      <c r="G177">
        <f t="shared" si="5"/>
        <v>560</v>
      </c>
    </row>
    <row r="178" spans="3:7" x14ac:dyDescent="0.45">
      <c r="C178" t="s">
        <v>779</v>
      </c>
      <c r="D178">
        <f t="shared" si="4"/>
        <v>370</v>
      </c>
      <c r="F178" t="s">
        <v>800</v>
      </c>
      <c r="G178">
        <f t="shared" si="5"/>
        <v>560</v>
      </c>
    </row>
    <row r="179" spans="3:7" x14ac:dyDescent="0.45">
      <c r="C179" t="s">
        <v>779</v>
      </c>
      <c r="D179">
        <f t="shared" si="4"/>
        <v>370</v>
      </c>
      <c r="F179" t="s">
        <v>800</v>
      </c>
      <c r="G179">
        <f t="shared" si="5"/>
        <v>560</v>
      </c>
    </row>
    <row r="180" spans="3:7" x14ac:dyDescent="0.45">
      <c r="C180" t="s">
        <v>780</v>
      </c>
      <c r="D180">
        <f t="shared" si="4"/>
        <v>300</v>
      </c>
      <c r="F180" t="s">
        <v>801</v>
      </c>
      <c r="G180">
        <f t="shared" si="5"/>
        <v>500</v>
      </c>
    </row>
    <row r="181" spans="3:7" x14ac:dyDescent="0.45">
      <c r="C181" t="s">
        <v>770</v>
      </c>
      <c r="D181">
        <f t="shared" si="4"/>
        <v>330</v>
      </c>
      <c r="F181" t="s">
        <v>790</v>
      </c>
      <c r="G181">
        <f t="shared" si="5"/>
        <v>530</v>
      </c>
    </row>
    <row r="182" spans="3:7" x14ac:dyDescent="0.45">
      <c r="C182" t="s">
        <v>772</v>
      </c>
      <c r="D182">
        <f t="shared" si="4"/>
        <v>380</v>
      </c>
      <c r="F182" t="s">
        <v>794</v>
      </c>
      <c r="G182">
        <f t="shared" si="5"/>
        <v>600</v>
      </c>
    </row>
    <row r="183" spans="3:7" x14ac:dyDescent="0.45">
      <c r="C183" t="s">
        <v>772</v>
      </c>
      <c r="D183">
        <f t="shared" si="4"/>
        <v>380</v>
      </c>
      <c r="F183" t="s">
        <v>794</v>
      </c>
      <c r="G183">
        <f t="shared" si="5"/>
        <v>600</v>
      </c>
    </row>
    <row r="184" spans="3:7" x14ac:dyDescent="0.45">
      <c r="C184" t="s">
        <v>772</v>
      </c>
      <c r="D184">
        <f t="shared" si="4"/>
        <v>380</v>
      </c>
      <c r="F184" t="s">
        <v>794</v>
      </c>
      <c r="G184">
        <f t="shared" si="5"/>
        <v>600</v>
      </c>
    </row>
    <row r="185" spans="3:7" x14ac:dyDescent="0.45">
      <c r="C185" t="s">
        <v>772</v>
      </c>
      <c r="D185">
        <f t="shared" si="4"/>
        <v>380</v>
      </c>
      <c r="F185" t="s">
        <v>794</v>
      </c>
      <c r="G185">
        <f t="shared" si="5"/>
        <v>600</v>
      </c>
    </row>
    <row r="186" spans="3:7" x14ac:dyDescent="0.45">
      <c r="C186" t="s">
        <v>770</v>
      </c>
      <c r="D186">
        <f t="shared" si="4"/>
        <v>330</v>
      </c>
      <c r="F186" t="s">
        <v>790</v>
      </c>
      <c r="G186">
        <f t="shared" si="5"/>
        <v>530</v>
      </c>
    </row>
    <row r="187" spans="3:7" x14ac:dyDescent="0.45">
      <c r="C187" t="s">
        <v>772</v>
      </c>
      <c r="D187">
        <f t="shared" si="4"/>
        <v>380</v>
      </c>
      <c r="F187" t="s">
        <v>794</v>
      </c>
      <c r="G187">
        <f t="shared" si="5"/>
        <v>600</v>
      </c>
    </row>
    <row r="188" spans="3:7" x14ac:dyDescent="0.45">
      <c r="C188" t="s">
        <v>771</v>
      </c>
      <c r="D188">
        <f t="shared" si="4"/>
        <v>360</v>
      </c>
      <c r="F188" t="s">
        <v>793</v>
      </c>
      <c r="G188">
        <f t="shared" si="5"/>
        <v>595</v>
      </c>
    </row>
    <row r="189" spans="3:7" x14ac:dyDescent="0.45">
      <c r="C189" t="s">
        <v>772</v>
      </c>
      <c r="D189">
        <f t="shared" si="4"/>
        <v>380</v>
      </c>
      <c r="F189" t="s">
        <v>794</v>
      </c>
      <c r="G189">
        <f t="shared" si="5"/>
        <v>600</v>
      </c>
    </row>
    <row r="190" spans="3:7" x14ac:dyDescent="0.45">
      <c r="C190" t="s">
        <v>772</v>
      </c>
      <c r="D190">
        <f t="shared" si="4"/>
        <v>380</v>
      </c>
      <c r="F190" t="s">
        <v>794</v>
      </c>
      <c r="G190">
        <f t="shared" si="5"/>
        <v>600</v>
      </c>
    </row>
    <row r="191" spans="3:7" x14ac:dyDescent="0.45">
      <c r="C191" t="s">
        <v>773</v>
      </c>
      <c r="D191">
        <f t="shared" si="4"/>
        <v>390</v>
      </c>
      <c r="F191" t="s">
        <v>795</v>
      </c>
      <c r="G191">
        <f t="shared" si="5"/>
        <v>570</v>
      </c>
    </row>
    <row r="192" spans="3:7" x14ac:dyDescent="0.45">
      <c r="C192" t="s">
        <v>779</v>
      </c>
      <c r="D192">
        <f t="shared" si="4"/>
        <v>370</v>
      </c>
      <c r="F192" t="s">
        <v>800</v>
      </c>
      <c r="G192">
        <f t="shared" si="5"/>
        <v>560</v>
      </c>
    </row>
    <row r="193" spans="3:7" x14ac:dyDescent="0.45">
      <c r="C193" t="s">
        <v>771</v>
      </c>
      <c r="D193">
        <f t="shared" si="4"/>
        <v>360</v>
      </c>
      <c r="F193" t="s">
        <v>793</v>
      </c>
      <c r="G193">
        <f t="shared" si="5"/>
        <v>595</v>
      </c>
    </row>
    <row r="194" spans="3:7" x14ac:dyDescent="0.45">
      <c r="C194" t="s">
        <v>772</v>
      </c>
      <c r="D194">
        <f t="shared" si="4"/>
        <v>380</v>
      </c>
      <c r="F194" t="s">
        <v>794</v>
      </c>
      <c r="G194">
        <f t="shared" si="5"/>
        <v>600</v>
      </c>
    </row>
    <row r="195" spans="3:7" x14ac:dyDescent="0.45">
      <c r="C195" t="s">
        <v>772</v>
      </c>
      <c r="D195">
        <f t="shared" ref="D195:D258" si="6">+C195+0</f>
        <v>380</v>
      </c>
      <c r="F195" t="s">
        <v>794</v>
      </c>
      <c r="G195">
        <f t="shared" ref="G195:G258" si="7">+F195+0</f>
        <v>600</v>
      </c>
    </row>
    <row r="196" spans="3:7" x14ac:dyDescent="0.45">
      <c r="C196" t="s">
        <v>772</v>
      </c>
      <c r="D196">
        <f t="shared" si="6"/>
        <v>380</v>
      </c>
      <c r="F196" t="s">
        <v>794</v>
      </c>
      <c r="G196">
        <f t="shared" si="7"/>
        <v>600</v>
      </c>
    </row>
    <row r="197" spans="3:7" x14ac:dyDescent="0.45">
      <c r="C197" t="s">
        <v>772</v>
      </c>
      <c r="D197">
        <f t="shared" si="6"/>
        <v>380</v>
      </c>
      <c r="F197" t="s">
        <v>794</v>
      </c>
      <c r="G197">
        <f t="shared" si="7"/>
        <v>600</v>
      </c>
    </row>
    <row r="198" spans="3:7" x14ac:dyDescent="0.45">
      <c r="C198" t="s">
        <v>771</v>
      </c>
      <c r="D198">
        <f t="shared" si="6"/>
        <v>360</v>
      </c>
      <c r="F198" t="s">
        <v>793</v>
      </c>
      <c r="G198">
        <f t="shared" si="7"/>
        <v>595</v>
      </c>
    </row>
    <row r="199" spans="3:7" x14ac:dyDescent="0.45">
      <c r="C199" t="s">
        <v>771</v>
      </c>
      <c r="D199">
        <f t="shared" si="6"/>
        <v>360</v>
      </c>
      <c r="F199" t="s">
        <v>793</v>
      </c>
      <c r="G199">
        <f t="shared" si="7"/>
        <v>595</v>
      </c>
    </row>
    <row r="200" spans="3:7" x14ac:dyDescent="0.45">
      <c r="C200" t="s">
        <v>771</v>
      </c>
      <c r="D200">
        <f t="shared" si="6"/>
        <v>360</v>
      </c>
      <c r="F200" t="s">
        <v>793</v>
      </c>
      <c r="G200">
        <f t="shared" si="7"/>
        <v>595</v>
      </c>
    </row>
    <row r="201" spans="3:7" x14ac:dyDescent="0.45">
      <c r="C201" t="s">
        <v>772</v>
      </c>
      <c r="D201">
        <f t="shared" si="6"/>
        <v>380</v>
      </c>
      <c r="F201" t="s">
        <v>794</v>
      </c>
      <c r="G201">
        <f t="shared" si="7"/>
        <v>600</v>
      </c>
    </row>
    <row r="202" spans="3:7" x14ac:dyDescent="0.45">
      <c r="C202" t="s">
        <v>772</v>
      </c>
      <c r="D202">
        <f t="shared" si="6"/>
        <v>380</v>
      </c>
      <c r="F202" t="s">
        <v>794</v>
      </c>
      <c r="G202">
        <f t="shared" si="7"/>
        <v>600</v>
      </c>
    </row>
    <row r="203" spans="3:7" x14ac:dyDescent="0.45">
      <c r="C203" t="s">
        <v>775</v>
      </c>
      <c r="D203">
        <f t="shared" si="6"/>
        <v>450</v>
      </c>
      <c r="F203" t="s">
        <v>796</v>
      </c>
      <c r="G203">
        <f t="shared" si="7"/>
        <v>620</v>
      </c>
    </row>
    <row r="204" spans="3:7" x14ac:dyDescent="0.45">
      <c r="C204" t="s">
        <v>781</v>
      </c>
      <c r="D204">
        <f t="shared" si="6"/>
        <v>460</v>
      </c>
      <c r="F204" t="s">
        <v>802</v>
      </c>
      <c r="G204">
        <f t="shared" si="7"/>
        <v>630</v>
      </c>
    </row>
    <row r="205" spans="3:7" x14ac:dyDescent="0.45">
      <c r="C205" t="s">
        <v>781</v>
      </c>
      <c r="D205">
        <f t="shared" si="6"/>
        <v>460</v>
      </c>
      <c r="F205" t="s">
        <v>802</v>
      </c>
      <c r="G205">
        <f t="shared" si="7"/>
        <v>630</v>
      </c>
    </row>
    <row r="206" spans="3:7" x14ac:dyDescent="0.45">
      <c r="C206" t="s">
        <v>780</v>
      </c>
      <c r="D206">
        <f t="shared" si="6"/>
        <v>300</v>
      </c>
      <c r="F206" t="s">
        <v>801</v>
      </c>
      <c r="G206">
        <f t="shared" si="7"/>
        <v>500</v>
      </c>
    </row>
    <row r="207" spans="3:7" x14ac:dyDescent="0.45">
      <c r="C207" t="s">
        <v>780</v>
      </c>
      <c r="D207">
        <f t="shared" si="6"/>
        <v>300</v>
      </c>
      <c r="F207" t="s">
        <v>801</v>
      </c>
      <c r="G207">
        <f t="shared" si="7"/>
        <v>500</v>
      </c>
    </row>
    <row r="208" spans="3:7" x14ac:dyDescent="0.45">
      <c r="C208" t="s">
        <v>780</v>
      </c>
      <c r="D208">
        <f t="shared" si="6"/>
        <v>300</v>
      </c>
      <c r="F208" t="s">
        <v>801</v>
      </c>
      <c r="G208">
        <f t="shared" si="7"/>
        <v>500</v>
      </c>
    </row>
    <row r="209" spans="3:7" x14ac:dyDescent="0.45">
      <c r="C209" t="s">
        <v>782</v>
      </c>
      <c r="D209">
        <f t="shared" si="6"/>
        <v>320</v>
      </c>
      <c r="F209" t="s">
        <v>801</v>
      </c>
      <c r="G209">
        <f t="shared" si="7"/>
        <v>500</v>
      </c>
    </row>
    <row r="210" spans="3:7" x14ac:dyDescent="0.45">
      <c r="C210" t="s">
        <v>783</v>
      </c>
      <c r="D210">
        <f t="shared" si="6"/>
        <v>440</v>
      </c>
      <c r="F210" t="s">
        <v>796</v>
      </c>
      <c r="G210">
        <f t="shared" si="7"/>
        <v>620</v>
      </c>
    </row>
    <row r="211" spans="3:7" x14ac:dyDescent="0.45">
      <c r="C211" t="s">
        <v>784</v>
      </c>
      <c r="D211">
        <f t="shared" si="6"/>
        <v>315</v>
      </c>
      <c r="F211" t="s">
        <v>803</v>
      </c>
      <c r="G211">
        <f t="shared" si="7"/>
        <v>525</v>
      </c>
    </row>
    <row r="212" spans="3:7" x14ac:dyDescent="0.45">
      <c r="C212" t="s">
        <v>783</v>
      </c>
      <c r="D212">
        <f t="shared" si="6"/>
        <v>440</v>
      </c>
      <c r="F212" t="s">
        <v>796</v>
      </c>
      <c r="G212">
        <f t="shared" si="7"/>
        <v>620</v>
      </c>
    </row>
    <row r="213" spans="3:7" x14ac:dyDescent="0.45">
      <c r="C213" t="s">
        <v>769</v>
      </c>
      <c r="D213">
        <f t="shared" si="6"/>
        <v>340</v>
      </c>
      <c r="F213" t="s">
        <v>789</v>
      </c>
      <c r="G213">
        <f t="shared" si="7"/>
        <v>520</v>
      </c>
    </row>
    <row r="214" spans="3:7" x14ac:dyDescent="0.45">
      <c r="C214" t="s">
        <v>784</v>
      </c>
      <c r="D214">
        <f t="shared" si="6"/>
        <v>315</v>
      </c>
      <c r="F214" t="s">
        <v>803</v>
      </c>
      <c r="G214">
        <f t="shared" si="7"/>
        <v>525</v>
      </c>
    </row>
    <row r="215" spans="3:7" x14ac:dyDescent="0.45">
      <c r="C215" t="s">
        <v>783</v>
      </c>
      <c r="D215">
        <f t="shared" si="6"/>
        <v>440</v>
      </c>
      <c r="F215" t="s">
        <v>796</v>
      </c>
      <c r="G215">
        <f t="shared" si="7"/>
        <v>620</v>
      </c>
    </row>
    <row r="216" spans="3:7" x14ac:dyDescent="0.45">
      <c r="C216" t="s">
        <v>780</v>
      </c>
      <c r="D216">
        <f t="shared" si="6"/>
        <v>300</v>
      </c>
      <c r="F216" t="s">
        <v>801</v>
      </c>
      <c r="G216">
        <f t="shared" si="7"/>
        <v>500</v>
      </c>
    </row>
    <row r="217" spans="3:7" x14ac:dyDescent="0.45">
      <c r="C217" t="s">
        <v>782</v>
      </c>
      <c r="D217">
        <f t="shared" si="6"/>
        <v>320</v>
      </c>
      <c r="F217" t="s">
        <v>801</v>
      </c>
      <c r="G217">
        <f t="shared" si="7"/>
        <v>500</v>
      </c>
    </row>
    <row r="218" spans="3:7" x14ac:dyDescent="0.45">
      <c r="C218" t="s">
        <v>783</v>
      </c>
      <c r="D218">
        <f t="shared" si="6"/>
        <v>440</v>
      </c>
      <c r="F218" t="s">
        <v>796</v>
      </c>
      <c r="G218">
        <f t="shared" si="7"/>
        <v>620</v>
      </c>
    </row>
    <row r="219" spans="3:7" x14ac:dyDescent="0.45">
      <c r="C219" t="s">
        <v>753</v>
      </c>
      <c r="D219">
        <f t="shared" si="6"/>
        <v>20</v>
      </c>
      <c r="F219">
        <v>0</v>
      </c>
      <c r="G219">
        <f t="shared" si="7"/>
        <v>0</v>
      </c>
    </row>
    <row r="220" spans="3:7" x14ac:dyDescent="0.45">
      <c r="C220" t="s">
        <v>753</v>
      </c>
      <c r="D220">
        <f t="shared" si="6"/>
        <v>20</v>
      </c>
      <c r="F220">
        <v>0</v>
      </c>
      <c r="G220">
        <f t="shared" si="7"/>
        <v>0</v>
      </c>
    </row>
    <row r="221" spans="3:7" x14ac:dyDescent="0.45">
      <c r="C221" t="s">
        <v>753</v>
      </c>
      <c r="D221">
        <f t="shared" si="6"/>
        <v>20</v>
      </c>
      <c r="F221">
        <v>0</v>
      </c>
      <c r="G221">
        <f t="shared" si="7"/>
        <v>0</v>
      </c>
    </row>
    <row r="222" spans="3:7" x14ac:dyDescent="0.45">
      <c r="C222" t="s">
        <v>753</v>
      </c>
      <c r="D222">
        <f t="shared" si="6"/>
        <v>20</v>
      </c>
      <c r="F222">
        <v>0</v>
      </c>
      <c r="G222">
        <f t="shared" si="7"/>
        <v>0</v>
      </c>
    </row>
    <row r="223" spans="3:7" x14ac:dyDescent="0.45">
      <c r="C223" t="s">
        <v>753</v>
      </c>
      <c r="D223">
        <f t="shared" si="6"/>
        <v>20</v>
      </c>
      <c r="F223">
        <v>0</v>
      </c>
      <c r="G223">
        <f t="shared" si="7"/>
        <v>0</v>
      </c>
    </row>
    <row r="224" spans="3:7" x14ac:dyDescent="0.45">
      <c r="C224" t="s">
        <v>753</v>
      </c>
      <c r="D224">
        <f t="shared" si="6"/>
        <v>20</v>
      </c>
      <c r="F224">
        <v>0</v>
      </c>
      <c r="G224">
        <f t="shared" si="7"/>
        <v>0</v>
      </c>
    </row>
    <row r="225" spans="3:7" x14ac:dyDescent="0.45">
      <c r="C225" t="s">
        <v>753</v>
      </c>
      <c r="D225">
        <f t="shared" si="6"/>
        <v>20</v>
      </c>
      <c r="F225">
        <v>0</v>
      </c>
      <c r="G225">
        <f t="shared" si="7"/>
        <v>0</v>
      </c>
    </row>
    <row r="226" spans="3:7" x14ac:dyDescent="0.45">
      <c r="C226" t="s">
        <v>753</v>
      </c>
      <c r="D226">
        <f t="shared" si="6"/>
        <v>20</v>
      </c>
      <c r="F226">
        <v>0</v>
      </c>
      <c r="G226">
        <f t="shared" si="7"/>
        <v>0</v>
      </c>
    </row>
    <row r="227" spans="3:7" x14ac:dyDescent="0.45">
      <c r="C227" t="s">
        <v>753</v>
      </c>
      <c r="D227">
        <f t="shared" si="6"/>
        <v>20</v>
      </c>
      <c r="F227">
        <v>0</v>
      </c>
      <c r="G227">
        <f t="shared" si="7"/>
        <v>0</v>
      </c>
    </row>
    <row r="228" spans="3:7" x14ac:dyDescent="0.45">
      <c r="C228" t="s">
        <v>753</v>
      </c>
      <c r="D228">
        <f t="shared" si="6"/>
        <v>20</v>
      </c>
      <c r="F228">
        <v>0</v>
      </c>
      <c r="G228">
        <f t="shared" si="7"/>
        <v>0</v>
      </c>
    </row>
    <row r="229" spans="3:7" x14ac:dyDescent="0.45">
      <c r="C229" t="s">
        <v>753</v>
      </c>
      <c r="D229">
        <f t="shared" si="6"/>
        <v>20</v>
      </c>
      <c r="F229">
        <v>0</v>
      </c>
      <c r="G229">
        <f t="shared" si="7"/>
        <v>0</v>
      </c>
    </row>
    <row r="230" spans="3:7" x14ac:dyDescent="0.45">
      <c r="C230" t="s">
        <v>753</v>
      </c>
      <c r="D230">
        <f t="shared" si="6"/>
        <v>20</v>
      </c>
      <c r="F230">
        <v>0</v>
      </c>
      <c r="G230">
        <f t="shared" si="7"/>
        <v>0</v>
      </c>
    </row>
    <row r="231" spans="3:7" x14ac:dyDescent="0.45">
      <c r="C231" t="s">
        <v>753</v>
      </c>
      <c r="D231">
        <f t="shared" si="6"/>
        <v>20</v>
      </c>
      <c r="F231">
        <v>0</v>
      </c>
      <c r="G231">
        <f t="shared" si="7"/>
        <v>0</v>
      </c>
    </row>
    <row r="232" spans="3:7" x14ac:dyDescent="0.45">
      <c r="C232" t="s">
        <v>753</v>
      </c>
      <c r="D232">
        <f t="shared" si="6"/>
        <v>20</v>
      </c>
      <c r="F232">
        <v>0</v>
      </c>
      <c r="G232">
        <f t="shared" si="7"/>
        <v>0</v>
      </c>
    </row>
    <row r="233" spans="3:7" x14ac:dyDescent="0.45">
      <c r="C233" t="s">
        <v>753</v>
      </c>
      <c r="D233">
        <f t="shared" si="6"/>
        <v>20</v>
      </c>
      <c r="F233">
        <v>0</v>
      </c>
      <c r="G233">
        <f t="shared" si="7"/>
        <v>0</v>
      </c>
    </row>
    <row r="234" spans="3:7" x14ac:dyDescent="0.45">
      <c r="C234" t="s">
        <v>753</v>
      </c>
      <c r="D234">
        <f t="shared" si="6"/>
        <v>20</v>
      </c>
      <c r="F234">
        <v>0</v>
      </c>
      <c r="G234">
        <f t="shared" si="7"/>
        <v>0</v>
      </c>
    </row>
    <row r="235" spans="3:7" x14ac:dyDescent="0.45">
      <c r="C235" t="s">
        <v>753</v>
      </c>
      <c r="D235">
        <f t="shared" si="6"/>
        <v>20</v>
      </c>
      <c r="F235">
        <v>0</v>
      </c>
      <c r="G235">
        <f t="shared" si="7"/>
        <v>0</v>
      </c>
    </row>
    <row r="236" spans="3:7" x14ac:dyDescent="0.45">
      <c r="C236" t="s">
        <v>753</v>
      </c>
      <c r="D236">
        <f t="shared" si="6"/>
        <v>20</v>
      </c>
      <c r="F236">
        <v>0</v>
      </c>
      <c r="G236">
        <f t="shared" si="7"/>
        <v>0</v>
      </c>
    </row>
    <row r="237" spans="3:7" x14ac:dyDescent="0.45">
      <c r="C237" t="s">
        <v>754</v>
      </c>
      <c r="D237">
        <f t="shared" si="6"/>
        <v>10</v>
      </c>
      <c r="F237">
        <v>0</v>
      </c>
      <c r="G237">
        <f t="shared" si="7"/>
        <v>0</v>
      </c>
    </row>
    <row r="238" spans="3:7" x14ac:dyDescent="0.45">
      <c r="C238" t="s">
        <v>754</v>
      </c>
      <c r="D238">
        <f t="shared" si="6"/>
        <v>10</v>
      </c>
      <c r="F238">
        <v>0</v>
      </c>
      <c r="G238">
        <f t="shared" si="7"/>
        <v>0</v>
      </c>
    </row>
    <row r="239" spans="3:7" x14ac:dyDescent="0.45">
      <c r="C239" t="s">
        <v>754</v>
      </c>
      <c r="D239">
        <f t="shared" si="6"/>
        <v>10</v>
      </c>
      <c r="F239">
        <v>0</v>
      </c>
      <c r="G239">
        <f t="shared" si="7"/>
        <v>0</v>
      </c>
    </row>
    <row r="240" spans="3:7" x14ac:dyDescent="0.45">
      <c r="C240" t="s">
        <v>754</v>
      </c>
      <c r="D240">
        <f t="shared" si="6"/>
        <v>10</v>
      </c>
      <c r="F240">
        <v>0</v>
      </c>
      <c r="G240">
        <f t="shared" si="7"/>
        <v>0</v>
      </c>
    </row>
    <row r="241" spans="3:7" x14ac:dyDescent="0.45">
      <c r="C241" t="s">
        <v>754</v>
      </c>
      <c r="D241">
        <f t="shared" si="6"/>
        <v>10</v>
      </c>
      <c r="F241">
        <v>0</v>
      </c>
      <c r="G241">
        <f t="shared" si="7"/>
        <v>0</v>
      </c>
    </row>
    <row r="242" spans="3:7" x14ac:dyDescent="0.45">
      <c r="C242" t="s">
        <v>754</v>
      </c>
      <c r="D242">
        <f t="shared" si="6"/>
        <v>10</v>
      </c>
      <c r="F242">
        <v>0</v>
      </c>
      <c r="G242">
        <f t="shared" si="7"/>
        <v>0</v>
      </c>
    </row>
    <row r="243" spans="3:7" x14ac:dyDescent="0.45">
      <c r="C243" t="s">
        <v>754</v>
      </c>
      <c r="D243">
        <f t="shared" si="6"/>
        <v>10</v>
      </c>
      <c r="F243">
        <v>0</v>
      </c>
      <c r="G243">
        <f t="shared" si="7"/>
        <v>0</v>
      </c>
    </row>
    <row r="244" spans="3:7" x14ac:dyDescent="0.45">
      <c r="C244" t="s">
        <v>755</v>
      </c>
      <c r="D244">
        <f t="shared" si="6"/>
        <v>50</v>
      </c>
      <c r="F244">
        <v>0</v>
      </c>
      <c r="G244">
        <f t="shared" si="7"/>
        <v>0</v>
      </c>
    </row>
    <row r="245" spans="3:7" x14ac:dyDescent="0.45">
      <c r="C245" t="s">
        <v>756</v>
      </c>
      <c r="D245">
        <f t="shared" si="6"/>
        <v>80</v>
      </c>
      <c r="F245">
        <v>0</v>
      </c>
      <c r="G245">
        <f t="shared" si="7"/>
        <v>0</v>
      </c>
    </row>
    <row r="246" spans="3:7" x14ac:dyDescent="0.45">
      <c r="C246" t="s">
        <v>757</v>
      </c>
      <c r="D246">
        <f t="shared" si="6"/>
        <v>220</v>
      </c>
      <c r="F246">
        <v>0</v>
      </c>
      <c r="G246">
        <f t="shared" si="7"/>
        <v>0</v>
      </c>
    </row>
    <row r="247" spans="3:7" x14ac:dyDescent="0.45">
      <c r="C247" t="s">
        <v>755</v>
      </c>
      <c r="D247">
        <f t="shared" si="6"/>
        <v>50</v>
      </c>
      <c r="F247">
        <v>0</v>
      </c>
      <c r="G247">
        <f t="shared" si="7"/>
        <v>0</v>
      </c>
    </row>
    <row r="248" spans="3:7" x14ac:dyDescent="0.45">
      <c r="C248" t="s">
        <v>755</v>
      </c>
      <c r="D248">
        <f t="shared" si="6"/>
        <v>50</v>
      </c>
      <c r="F248">
        <v>0</v>
      </c>
      <c r="G248">
        <f t="shared" si="7"/>
        <v>0</v>
      </c>
    </row>
    <row r="249" spans="3:7" x14ac:dyDescent="0.45">
      <c r="C249" t="s">
        <v>757</v>
      </c>
      <c r="D249">
        <f t="shared" si="6"/>
        <v>220</v>
      </c>
      <c r="F249">
        <v>0</v>
      </c>
      <c r="G249">
        <f t="shared" si="7"/>
        <v>0</v>
      </c>
    </row>
    <row r="250" spans="3:7" x14ac:dyDescent="0.45">
      <c r="C250" t="s">
        <v>755</v>
      </c>
      <c r="D250">
        <f t="shared" si="6"/>
        <v>50</v>
      </c>
      <c r="F250">
        <v>0</v>
      </c>
      <c r="G250">
        <f t="shared" si="7"/>
        <v>0</v>
      </c>
    </row>
    <row r="251" spans="3:7" x14ac:dyDescent="0.45">
      <c r="C251" t="s">
        <v>757</v>
      </c>
      <c r="D251">
        <f t="shared" si="6"/>
        <v>220</v>
      </c>
      <c r="F251">
        <v>0</v>
      </c>
      <c r="G251">
        <f t="shared" si="7"/>
        <v>0</v>
      </c>
    </row>
    <row r="252" spans="3:7" x14ac:dyDescent="0.45">
      <c r="C252" t="s">
        <v>757</v>
      </c>
      <c r="D252">
        <f t="shared" si="6"/>
        <v>220</v>
      </c>
      <c r="F252">
        <v>0</v>
      </c>
      <c r="G252">
        <f t="shared" si="7"/>
        <v>0</v>
      </c>
    </row>
    <row r="253" spans="3:7" x14ac:dyDescent="0.45">
      <c r="C253" t="s">
        <v>757</v>
      </c>
      <c r="D253">
        <f t="shared" si="6"/>
        <v>220</v>
      </c>
      <c r="F253">
        <v>0</v>
      </c>
      <c r="G253">
        <f t="shared" si="7"/>
        <v>0</v>
      </c>
    </row>
    <row r="254" spans="3:7" x14ac:dyDescent="0.45">
      <c r="C254" t="s">
        <v>755</v>
      </c>
      <c r="D254">
        <f t="shared" si="6"/>
        <v>50</v>
      </c>
      <c r="F254">
        <v>0</v>
      </c>
      <c r="G254">
        <f t="shared" si="7"/>
        <v>0</v>
      </c>
    </row>
    <row r="255" spans="3:7" x14ac:dyDescent="0.45">
      <c r="C255" t="s">
        <v>757</v>
      </c>
      <c r="D255">
        <f t="shared" si="6"/>
        <v>220</v>
      </c>
      <c r="F255">
        <v>0</v>
      </c>
      <c r="G255">
        <f t="shared" si="7"/>
        <v>0</v>
      </c>
    </row>
    <row r="256" spans="3:7" x14ac:dyDescent="0.45">
      <c r="C256" t="s">
        <v>755</v>
      </c>
      <c r="D256">
        <f t="shared" si="6"/>
        <v>50</v>
      </c>
      <c r="F256">
        <v>0</v>
      </c>
      <c r="G256">
        <f t="shared" si="7"/>
        <v>0</v>
      </c>
    </row>
    <row r="257" spans="3:7" x14ac:dyDescent="0.45">
      <c r="C257" t="s">
        <v>757</v>
      </c>
      <c r="D257">
        <f t="shared" si="6"/>
        <v>220</v>
      </c>
      <c r="F257">
        <v>0</v>
      </c>
      <c r="G257">
        <f t="shared" si="7"/>
        <v>0</v>
      </c>
    </row>
    <row r="258" spans="3:7" x14ac:dyDescent="0.45">
      <c r="C258" t="s">
        <v>757</v>
      </c>
      <c r="D258">
        <f t="shared" si="6"/>
        <v>220</v>
      </c>
      <c r="F258">
        <v>0</v>
      </c>
      <c r="G258">
        <f t="shared" si="7"/>
        <v>0</v>
      </c>
    </row>
    <row r="259" spans="3:7" x14ac:dyDescent="0.45">
      <c r="C259" t="s">
        <v>755</v>
      </c>
      <c r="D259">
        <f t="shared" ref="D259:D322" si="8">+C259+0</f>
        <v>50</v>
      </c>
      <c r="F259">
        <v>0</v>
      </c>
      <c r="G259">
        <f t="shared" ref="G259:G322" si="9">+F259+0</f>
        <v>0</v>
      </c>
    </row>
    <row r="260" spans="3:7" x14ac:dyDescent="0.45">
      <c r="C260" t="s">
        <v>755</v>
      </c>
      <c r="D260">
        <f t="shared" si="8"/>
        <v>50</v>
      </c>
      <c r="F260">
        <v>0</v>
      </c>
      <c r="G260">
        <f t="shared" si="9"/>
        <v>0</v>
      </c>
    </row>
    <row r="261" spans="3:7" x14ac:dyDescent="0.45">
      <c r="C261" t="s">
        <v>755</v>
      </c>
      <c r="D261">
        <f t="shared" si="8"/>
        <v>50</v>
      </c>
      <c r="F261">
        <v>0</v>
      </c>
      <c r="G261">
        <f t="shared" si="9"/>
        <v>0</v>
      </c>
    </row>
    <row r="262" spans="3:7" x14ac:dyDescent="0.45">
      <c r="C262" t="s">
        <v>757</v>
      </c>
      <c r="D262">
        <f t="shared" si="8"/>
        <v>220</v>
      </c>
      <c r="F262">
        <v>0</v>
      </c>
      <c r="G262">
        <f t="shared" si="9"/>
        <v>0</v>
      </c>
    </row>
    <row r="263" spans="3:7" x14ac:dyDescent="0.45">
      <c r="C263" t="s">
        <v>757</v>
      </c>
      <c r="D263">
        <f t="shared" si="8"/>
        <v>220</v>
      </c>
      <c r="F263">
        <v>0</v>
      </c>
      <c r="G263">
        <f t="shared" si="9"/>
        <v>0</v>
      </c>
    </row>
    <row r="264" spans="3:7" x14ac:dyDescent="0.45">
      <c r="C264" t="s">
        <v>757</v>
      </c>
      <c r="D264">
        <f t="shared" si="8"/>
        <v>220</v>
      </c>
      <c r="F264">
        <v>0</v>
      </c>
      <c r="G264">
        <f t="shared" si="9"/>
        <v>0</v>
      </c>
    </row>
    <row r="265" spans="3:7" x14ac:dyDescent="0.45">
      <c r="C265" t="s">
        <v>757</v>
      </c>
      <c r="D265">
        <f t="shared" si="8"/>
        <v>220</v>
      </c>
      <c r="F265">
        <v>0</v>
      </c>
      <c r="G265">
        <f t="shared" si="9"/>
        <v>0</v>
      </c>
    </row>
    <row r="266" spans="3:7" x14ac:dyDescent="0.45">
      <c r="C266" t="s">
        <v>758</v>
      </c>
      <c r="D266">
        <f t="shared" si="8"/>
        <v>54</v>
      </c>
      <c r="F266">
        <v>0</v>
      </c>
      <c r="G266">
        <f t="shared" si="9"/>
        <v>0</v>
      </c>
    </row>
    <row r="267" spans="3:7" x14ac:dyDescent="0.45">
      <c r="C267" t="s">
        <v>758</v>
      </c>
      <c r="D267">
        <f t="shared" si="8"/>
        <v>54</v>
      </c>
      <c r="F267">
        <v>0</v>
      </c>
      <c r="G267">
        <f t="shared" si="9"/>
        <v>0</v>
      </c>
    </row>
    <row r="268" spans="3:7" x14ac:dyDescent="0.45">
      <c r="C268" t="s">
        <v>758</v>
      </c>
      <c r="D268">
        <f t="shared" si="8"/>
        <v>54</v>
      </c>
      <c r="F268">
        <v>0</v>
      </c>
      <c r="G268">
        <f t="shared" si="9"/>
        <v>0</v>
      </c>
    </row>
    <row r="269" spans="3:7" x14ac:dyDescent="0.45">
      <c r="C269" t="s">
        <v>758</v>
      </c>
      <c r="D269">
        <f t="shared" si="8"/>
        <v>54</v>
      </c>
      <c r="F269">
        <v>0</v>
      </c>
      <c r="G269">
        <f t="shared" si="9"/>
        <v>0</v>
      </c>
    </row>
    <row r="270" spans="3:7" x14ac:dyDescent="0.45">
      <c r="C270" t="s">
        <v>758</v>
      </c>
      <c r="D270">
        <f t="shared" si="8"/>
        <v>54</v>
      </c>
      <c r="F270">
        <v>0</v>
      </c>
      <c r="G270">
        <f t="shared" si="9"/>
        <v>0</v>
      </c>
    </row>
    <row r="271" spans="3:7" x14ac:dyDescent="0.45">
      <c r="C271" t="s">
        <v>758</v>
      </c>
      <c r="D271">
        <f t="shared" si="8"/>
        <v>54</v>
      </c>
      <c r="F271">
        <v>0</v>
      </c>
      <c r="G271">
        <f t="shared" si="9"/>
        <v>0</v>
      </c>
    </row>
    <row r="272" spans="3:7" x14ac:dyDescent="0.45">
      <c r="C272" t="s">
        <v>758</v>
      </c>
      <c r="D272">
        <f t="shared" si="8"/>
        <v>54</v>
      </c>
      <c r="F272">
        <v>0</v>
      </c>
      <c r="G272">
        <f t="shared" si="9"/>
        <v>0</v>
      </c>
    </row>
    <row r="273" spans="3:7" x14ac:dyDescent="0.45">
      <c r="C273" t="s">
        <v>758</v>
      </c>
      <c r="D273">
        <f t="shared" si="8"/>
        <v>54</v>
      </c>
      <c r="F273">
        <v>0</v>
      </c>
      <c r="G273">
        <f t="shared" si="9"/>
        <v>0</v>
      </c>
    </row>
    <row r="274" spans="3:7" x14ac:dyDescent="0.45">
      <c r="C274" t="s">
        <v>758</v>
      </c>
      <c r="D274">
        <f t="shared" si="8"/>
        <v>54</v>
      </c>
      <c r="F274">
        <v>0</v>
      </c>
      <c r="G274">
        <f t="shared" si="9"/>
        <v>0</v>
      </c>
    </row>
    <row r="275" spans="3:7" x14ac:dyDescent="0.45">
      <c r="C275" t="s">
        <v>758</v>
      </c>
      <c r="D275">
        <f t="shared" si="8"/>
        <v>54</v>
      </c>
      <c r="F275">
        <v>0</v>
      </c>
      <c r="G275">
        <f t="shared" si="9"/>
        <v>0</v>
      </c>
    </row>
    <row r="276" spans="3:7" x14ac:dyDescent="0.45">
      <c r="C276" t="s">
        <v>758</v>
      </c>
      <c r="D276">
        <f t="shared" si="8"/>
        <v>54</v>
      </c>
      <c r="F276">
        <v>0</v>
      </c>
      <c r="G276">
        <f t="shared" si="9"/>
        <v>0</v>
      </c>
    </row>
    <row r="277" spans="3:7" x14ac:dyDescent="0.45">
      <c r="C277" t="s">
        <v>758</v>
      </c>
      <c r="D277">
        <f t="shared" si="8"/>
        <v>54</v>
      </c>
      <c r="F277">
        <v>0</v>
      </c>
      <c r="G277">
        <f t="shared" si="9"/>
        <v>0</v>
      </c>
    </row>
    <row r="278" spans="3:7" x14ac:dyDescent="0.45">
      <c r="C278" t="s">
        <v>147</v>
      </c>
      <c r="D278">
        <f t="shared" si="8"/>
        <v>40</v>
      </c>
      <c r="F278">
        <v>0</v>
      </c>
      <c r="G278">
        <f t="shared" si="9"/>
        <v>0</v>
      </c>
    </row>
    <row r="279" spans="3:7" x14ac:dyDescent="0.45">
      <c r="C279" t="s">
        <v>758</v>
      </c>
      <c r="D279">
        <f t="shared" si="8"/>
        <v>54</v>
      </c>
      <c r="F279">
        <v>0</v>
      </c>
      <c r="G279">
        <f t="shared" si="9"/>
        <v>0</v>
      </c>
    </row>
    <row r="280" spans="3:7" x14ac:dyDescent="0.45">
      <c r="C280" t="s">
        <v>755</v>
      </c>
      <c r="D280">
        <f t="shared" si="8"/>
        <v>50</v>
      </c>
      <c r="F280">
        <v>0</v>
      </c>
      <c r="G280">
        <f t="shared" si="9"/>
        <v>0</v>
      </c>
    </row>
    <row r="281" spans="3:7" x14ac:dyDescent="0.45">
      <c r="C281" t="s">
        <v>755</v>
      </c>
      <c r="D281">
        <f t="shared" si="8"/>
        <v>50</v>
      </c>
      <c r="F281">
        <v>0</v>
      </c>
      <c r="G281">
        <f t="shared" si="9"/>
        <v>0</v>
      </c>
    </row>
    <row r="282" spans="3:7" x14ac:dyDescent="0.45">
      <c r="C282" t="s">
        <v>755</v>
      </c>
      <c r="D282">
        <f t="shared" si="8"/>
        <v>50</v>
      </c>
      <c r="F282">
        <v>0</v>
      </c>
      <c r="G282">
        <f t="shared" si="9"/>
        <v>0</v>
      </c>
    </row>
    <row r="283" spans="3:7" x14ac:dyDescent="0.45">
      <c r="C283" t="s">
        <v>755</v>
      </c>
      <c r="D283">
        <f t="shared" si="8"/>
        <v>50</v>
      </c>
      <c r="F283">
        <v>0</v>
      </c>
      <c r="G283">
        <f t="shared" si="9"/>
        <v>0</v>
      </c>
    </row>
    <row r="284" spans="3:7" x14ac:dyDescent="0.45">
      <c r="C284" t="s">
        <v>755</v>
      </c>
      <c r="D284">
        <f t="shared" si="8"/>
        <v>50</v>
      </c>
      <c r="F284">
        <v>0</v>
      </c>
      <c r="G284">
        <f t="shared" si="9"/>
        <v>0</v>
      </c>
    </row>
    <row r="285" spans="3:7" x14ac:dyDescent="0.45">
      <c r="C285" t="s">
        <v>759</v>
      </c>
      <c r="D285">
        <f t="shared" si="8"/>
        <v>210</v>
      </c>
      <c r="F285">
        <v>0</v>
      </c>
      <c r="G285">
        <f t="shared" si="9"/>
        <v>0</v>
      </c>
    </row>
    <row r="286" spans="3:7" x14ac:dyDescent="0.45">
      <c r="C286" t="s">
        <v>759</v>
      </c>
      <c r="D286">
        <f t="shared" si="8"/>
        <v>210</v>
      </c>
      <c r="F286">
        <v>0</v>
      </c>
      <c r="G286">
        <f t="shared" si="9"/>
        <v>0</v>
      </c>
    </row>
    <row r="287" spans="3:7" x14ac:dyDescent="0.45">
      <c r="C287" t="s">
        <v>760</v>
      </c>
      <c r="D287">
        <f t="shared" si="8"/>
        <v>230</v>
      </c>
      <c r="F287">
        <v>0</v>
      </c>
      <c r="G287">
        <f t="shared" si="9"/>
        <v>0</v>
      </c>
    </row>
    <row r="288" spans="3:7" x14ac:dyDescent="0.45">
      <c r="C288" t="s">
        <v>761</v>
      </c>
      <c r="D288">
        <f t="shared" si="8"/>
        <v>240</v>
      </c>
      <c r="F288">
        <v>0</v>
      </c>
      <c r="G288">
        <f t="shared" si="9"/>
        <v>0</v>
      </c>
    </row>
    <row r="289" spans="3:7" x14ac:dyDescent="0.45">
      <c r="C289" t="s">
        <v>760</v>
      </c>
      <c r="D289">
        <f t="shared" si="8"/>
        <v>230</v>
      </c>
      <c r="F289">
        <v>0</v>
      </c>
      <c r="G289">
        <f t="shared" si="9"/>
        <v>0</v>
      </c>
    </row>
    <row r="290" spans="3:7" x14ac:dyDescent="0.45">
      <c r="C290" t="s">
        <v>760</v>
      </c>
      <c r="D290">
        <f t="shared" si="8"/>
        <v>230</v>
      </c>
      <c r="F290">
        <v>0</v>
      </c>
      <c r="G290">
        <f t="shared" si="9"/>
        <v>0</v>
      </c>
    </row>
    <row r="291" spans="3:7" x14ac:dyDescent="0.45">
      <c r="C291" t="s">
        <v>761</v>
      </c>
      <c r="D291">
        <f t="shared" si="8"/>
        <v>240</v>
      </c>
      <c r="F291">
        <v>0</v>
      </c>
      <c r="G291">
        <f t="shared" si="9"/>
        <v>0</v>
      </c>
    </row>
    <row r="292" spans="3:7" x14ac:dyDescent="0.45">
      <c r="C292" t="s">
        <v>760</v>
      </c>
      <c r="D292">
        <f t="shared" si="8"/>
        <v>230</v>
      </c>
      <c r="F292">
        <v>0</v>
      </c>
      <c r="G292">
        <f t="shared" si="9"/>
        <v>0</v>
      </c>
    </row>
    <row r="293" spans="3:7" x14ac:dyDescent="0.45">
      <c r="C293" t="s">
        <v>760</v>
      </c>
      <c r="D293">
        <f t="shared" si="8"/>
        <v>230</v>
      </c>
      <c r="F293">
        <v>0</v>
      </c>
      <c r="G293">
        <f t="shared" si="9"/>
        <v>0</v>
      </c>
    </row>
    <row r="294" spans="3:7" x14ac:dyDescent="0.45">
      <c r="C294" t="s">
        <v>761</v>
      </c>
      <c r="D294">
        <f t="shared" si="8"/>
        <v>240</v>
      </c>
      <c r="F294">
        <v>0</v>
      </c>
      <c r="G294">
        <f t="shared" si="9"/>
        <v>0</v>
      </c>
    </row>
    <row r="295" spans="3:7" x14ac:dyDescent="0.45">
      <c r="C295" t="s">
        <v>757</v>
      </c>
      <c r="D295">
        <f t="shared" si="8"/>
        <v>220</v>
      </c>
      <c r="F295">
        <v>0</v>
      </c>
      <c r="G295">
        <f t="shared" si="9"/>
        <v>0</v>
      </c>
    </row>
    <row r="296" spans="3:7" x14ac:dyDescent="0.45">
      <c r="C296" t="s">
        <v>761</v>
      </c>
      <c r="D296">
        <f t="shared" si="8"/>
        <v>240</v>
      </c>
      <c r="F296">
        <v>0</v>
      </c>
      <c r="G296">
        <f t="shared" si="9"/>
        <v>0</v>
      </c>
    </row>
    <row r="297" spans="3:7" x14ac:dyDescent="0.45">
      <c r="C297" t="s">
        <v>760</v>
      </c>
      <c r="D297">
        <f t="shared" si="8"/>
        <v>230</v>
      </c>
      <c r="F297">
        <v>0</v>
      </c>
      <c r="G297">
        <f t="shared" si="9"/>
        <v>0</v>
      </c>
    </row>
    <row r="298" spans="3:7" x14ac:dyDescent="0.45">
      <c r="C298" t="s">
        <v>760</v>
      </c>
      <c r="D298">
        <f t="shared" si="8"/>
        <v>230</v>
      </c>
      <c r="F298">
        <v>0</v>
      </c>
      <c r="G298">
        <f t="shared" si="9"/>
        <v>0</v>
      </c>
    </row>
    <row r="299" spans="3:7" x14ac:dyDescent="0.45">
      <c r="C299" t="s">
        <v>785</v>
      </c>
      <c r="D299">
        <f t="shared" si="8"/>
        <v>190</v>
      </c>
      <c r="F299">
        <v>0</v>
      </c>
      <c r="G299">
        <f t="shared" si="9"/>
        <v>0</v>
      </c>
    </row>
    <row r="300" spans="3:7" x14ac:dyDescent="0.45">
      <c r="C300" t="s">
        <v>757</v>
      </c>
      <c r="D300">
        <f t="shared" si="8"/>
        <v>220</v>
      </c>
      <c r="F300">
        <v>0</v>
      </c>
      <c r="G300">
        <f t="shared" si="9"/>
        <v>0</v>
      </c>
    </row>
    <row r="301" spans="3:7" x14ac:dyDescent="0.45">
      <c r="C301" t="s">
        <v>758</v>
      </c>
      <c r="D301">
        <f t="shared" si="8"/>
        <v>54</v>
      </c>
      <c r="F301">
        <v>0</v>
      </c>
      <c r="G301">
        <f t="shared" si="9"/>
        <v>0</v>
      </c>
    </row>
    <row r="302" spans="3:7" x14ac:dyDescent="0.45">
      <c r="C302" t="s">
        <v>762</v>
      </c>
      <c r="D302">
        <f t="shared" si="8"/>
        <v>170</v>
      </c>
      <c r="F302">
        <v>0</v>
      </c>
      <c r="G302">
        <f t="shared" si="9"/>
        <v>0</v>
      </c>
    </row>
    <row r="303" spans="3:7" x14ac:dyDescent="0.45">
      <c r="C303" t="s">
        <v>763</v>
      </c>
      <c r="D303">
        <f t="shared" si="8"/>
        <v>160</v>
      </c>
      <c r="F303">
        <v>0</v>
      </c>
      <c r="G303">
        <f t="shared" si="9"/>
        <v>0</v>
      </c>
    </row>
    <row r="304" spans="3:7" x14ac:dyDescent="0.45">
      <c r="C304" t="s">
        <v>786</v>
      </c>
      <c r="D304">
        <f t="shared" si="8"/>
        <v>180</v>
      </c>
      <c r="F304">
        <v>0</v>
      </c>
      <c r="G304">
        <f t="shared" si="9"/>
        <v>0</v>
      </c>
    </row>
    <row r="305" spans="3:7" x14ac:dyDescent="0.45">
      <c r="C305" t="s">
        <v>764</v>
      </c>
      <c r="D305">
        <f t="shared" si="8"/>
        <v>22</v>
      </c>
      <c r="F305">
        <v>0</v>
      </c>
      <c r="G305">
        <f t="shared" si="9"/>
        <v>0</v>
      </c>
    </row>
    <row r="306" spans="3:7" x14ac:dyDescent="0.45">
      <c r="C306" t="s">
        <v>764</v>
      </c>
      <c r="D306">
        <f t="shared" si="8"/>
        <v>22</v>
      </c>
      <c r="F306">
        <v>0</v>
      </c>
      <c r="G306">
        <f t="shared" si="9"/>
        <v>0</v>
      </c>
    </row>
    <row r="307" spans="3:7" x14ac:dyDescent="0.45">
      <c r="C307" t="s">
        <v>764</v>
      </c>
      <c r="D307">
        <f t="shared" si="8"/>
        <v>22</v>
      </c>
      <c r="F307">
        <v>0</v>
      </c>
      <c r="G307">
        <f t="shared" si="9"/>
        <v>0</v>
      </c>
    </row>
    <row r="308" spans="3:7" x14ac:dyDescent="0.45">
      <c r="C308" t="s">
        <v>764</v>
      </c>
      <c r="D308">
        <f t="shared" si="8"/>
        <v>22</v>
      </c>
      <c r="F308">
        <v>0</v>
      </c>
      <c r="G308">
        <f t="shared" si="9"/>
        <v>0</v>
      </c>
    </row>
    <row r="309" spans="3:7" x14ac:dyDescent="0.45">
      <c r="C309" t="s">
        <v>764</v>
      </c>
      <c r="D309">
        <f t="shared" si="8"/>
        <v>22</v>
      </c>
      <c r="F309">
        <v>0</v>
      </c>
      <c r="G309">
        <f t="shared" si="9"/>
        <v>0</v>
      </c>
    </row>
    <row r="310" spans="3:7" x14ac:dyDescent="0.45">
      <c r="C310" t="s">
        <v>764</v>
      </c>
      <c r="D310">
        <f t="shared" si="8"/>
        <v>22</v>
      </c>
      <c r="F310">
        <v>0</v>
      </c>
      <c r="G310">
        <f t="shared" si="9"/>
        <v>0</v>
      </c>
    </row>
    <row r="311" spans="3:7" x14ac:dyDescent="0.45">
      <c r="C311" t="s">
        <v>764</v>
      </c>
      <c r="D311">
        <f t="shared" si="8"/>
        <v>22</v>
      </c>
      <c r="F311">
        <v>0</v>
      </c>
      <c r="G311">
        <f t="shared" si="9"/>
        <v>0</v>
      </c>
    </row>
    <row r="312" spans="3:7" x14ac:dyDescent="0.45">
      <c r="C312" t="s">
        <v>764</v>
      </c>
      <c r="D312">
        <f t="shared" si="8"/>
        <v>22</v>
      </c>
      <c r="F312">
        <v>0</v>
      </c>
      <c r="G312">
        <f t="shared" si="9"/>
        <v>0</v>
      </c>
    </row>
    <row r="313" spans="3:7" x14ac:dyDescent="0.45">
      <c r="C313" t="s">
        <v>764</v>
      </c>
      <c r="D313">
        <f t="shared" si="8"/>
        <v>22</v>
      </c>
      <c r="F313">
        <v>0</v>
      </c>
      <c r="G313">
        <f t="shared" si="9"/>
        <v>0</v>
      </c>
    </row>
    <row r="314" spans="3:7" x14ac:dyDescent="0.45">
      <c r="C314" t="s">
        <v>764</v>
      </c>
      <c r="D314">
        <f t="shared" si="8"/>
        <v>22</v>
      </c>
      <c r="F314">
        <v>0</v>
      </c>
      <c r="G314">
        <f t="shared" si="9"/>
        <v>0</v>
      </c>
    </row>
    <row r="315" spans="3:7" x14ac:dyDescent="0.45">
      <c r="C315" t="s">
        <v>764</v>
      </c>
      <c r="D315">
        <f t="shared" si="8"/>
        <v>22</v>
      </c>
      <c r="F315">
        <v>0</v>
      </c>
      <c r="G315">
        <f t="shared" si="9"/>
        <v>0</v>
      </c>
    </row>
    <row r="316" spans="3:7" x14ac:dyDescent="0.45">
      <c r="C316" t="s">
        <v>764</v>
      </c>
      <c r="D316">
        <f t="shared" si="8"/>
        <v>22</v>
      </c>
      <c r="F316">
        <v>0</v>
      </c>
      <c r="G316">
        <f t="shared" si="9"/>
        <v>0</v>
      </c>
    </row>
    <row r="317" spans="3:7" x14ac:dyDescent="0.45">
      <c r="C317" t="s">
        <v>764</v>
      </c>
      <c r="D317">
        <f t="shared" si="8"/>
        <v>22</v>
      </c>
      <c r="F317">
        <v>0</v>
      </c>
      <c r="G317">
        <f t="shared" si="9"/>
        <v>0</v>
      </c>
    </row>
    <row r="318" spans="3:7" x14ac:dyDescent="0.45">
      <c r="C318" t="s">
        <v>764</v>
      </c>
      <c r="D318">
        <f t="shared" si="8"/>
        <v>22</v>
      </c>
      <c r="F318">
        <v>0</v>
      </c>
      <c r="G318">
        <f t="shared" si="9"/>
        <v>0</v>
      </c>
    </row>
    <row r="319" spans="3:7" x14ac:dyDescent="0.45">
      <c r="C319" t="s">
        <v>764</v>
      </c>
      <c r="D319">
        <f t="shared" si="8"/>
        <v>22</v>
      </c>
      <c r="F319">
        <v>0</v>
      </c>
      <c r="G319">
        <f t="shared" si="9"/>
        <v>0</v>
      </c>
    </row>
    <row r="320" spans="3:7" x14ac:dyDescent="0.45">
      <c r="C320" t="s">
        <v>753</v>
      </c>
      <c r="D320">
        <f t="shared" si="8"/>
        <v>20</v>
      </c>
      <c r="F320">
        <v>0</v>
      </c>
      <c r="G320">
        <f t="shared" si="9"/>
        <v>0</v>
      </c>
    </row>
    <row r="321" spans="3:7" x14ac:dyDescent="0.45">
      <c r="C321" t="s">
        <v>763</v>
      </c>
      <c r="D321">
        <f t="shared" si="8"/>
        <v>160</v>
      </c>
      <c r="F321">
        <v>0</v>
      </c>
      <c r="G321">
        <f t="shared" si="9"/>
        <v>0</v>
      </c>
    </row>
    <row r="322" spans="3:7" x14ac:dyDescent="0.45">
      <c r="C322" t="s">
        <v>763</v>
      </c>
      <c r="D322">
        <f t="shared" si="8"/>
        <v>160</v>
      </c>
      <c r="F322">
        <v>0</v>
      </c>
      <c r="G322">
        <f t="shared" si="9"/>
        <v>0</v>
      </c>
    </row>
    <row r="323" spans="3:7" x14ac:dyDescent="0.45">
      <c r="C323" t="s">
        <v>761</v>
      </c>
      <c r="D323">
        <f t="shared" ref="D323:D386" si="10">+C323+0</f>
        <v>240</v>
      </c>
      <c r="F323">
        <v>0</v>
      </c>
      <c r="G323">
        <f t="shared" ref="G323:G386" si="11">+F323+0</f>
        <v>0</v>
      </c>
    </row>
    <row r="324" spans="3:7" x14ac:dyDescent="0.45">
      <c r="C324" t="s">
        <v>766</v>
      </c>
      <c r="D324">
        <f t="shared" si="10"/>
        <v>90</v>
      </c>
      <c r="F324">
        <v>0</v>
      </c>
      <c r="G324">
        <f t="shared" si="11"/>
        <v>0</v>
      </c>
    </row>
    <row r="325" spans="3:7" x14ac:dyDescent="0.45">
      <c r="C325" t="s">
        <v>767</v>
      </c>
      <c r="D325">
        <f t="shared" si="10"/>
        <v>110</v>
      </c>
      <c r="F325">
        <v>0</v>
      </c>
      <c r="G325">
        <f t="shared" si="11"/>
        <v>0</v>
      </c>
    </row>
    <row r="326" spans="3:7" x14ac:dyDescent="0.45">
      <c r="C326" t="s">
        <v>768</v>
      </c>
      <c r="D326">
        <f t="shared" si="10"/>
        <v>120</v>
      </c>
      <c r="F326">
        <v>0</v>
      </c>
      <c r="G326">
        <f t="shared" si="11"/>
        <v>0</v>
      </c>
    </row>
    <row r="327" spans="3:7" x14ac:dyDescent="0.45">
      <c r="C327" t="s">
        <v>769</v>
      </c>
      <c r="D327">
        <f t="shared" si="10"/>
        <v>340</v>
      </c>
      <c r="F327" t="s">
        <v>789</v>
      </c>
      <c r="G327">
        <f t="shared" si="11"/>
        <v>520</v>
      </c>
    </row>
    <row r="328" spans="3:7" x14ac:dyDescent="0.45">
      <c r="C328" t="s">
        <v>770</v>
      </c>
      <c r="D328">
        <f t="shared" si="10"/>
        <v>330</v>
      </c>
      <c r="F328" t="s">
        <v>790</v>
      </c>
      <c r="G328">
        <f t="shared" si="11"/>
        <v>530</v>
      </c>
    </row>
    <row r="329" spans="3:7" x14ac:dyDescent="0.45">
      <c r="C329" t="s">
        <v>770</v>
      </c>
      <c r="D329">
        <f t="shared" si="10"/>
        <v>330</v>
      </c>
      <c r="F329" t="s">
        <v>790</v>
      </c>
      <c r="G329">
        <f t="shared" si="11"/>
        <v>530</v>
      </c>
    </row>
    <row r="330" spans="3:7" x14ac:dyDescent="0.45">
      <c r="C330" t="s">
        <v>770</v>
      </c>
      <c r="D330">
        <f t="shared" si="10"/>
        <v>330</v>
      </c>
      <c r="F330" t="s">
        <v>790</v>
      </c>
      <c r="G330">
        <f t="shared" si="11"/>
        <v>530</v>
      </c>
    </row>
    <row r="331" spans="3:7" x14ac:dyDescent="0.45">
      <c r="C331" t="s">
        <v>770</v>
      </c>
      <c r="D331">
        <f t="shared" si="10"/>
        <v>330</v>
      </c>
      <c r="F331" t="s">
        <v>790</v>
      </c>
      <c r="G331">
        <f t="shared" si="11"/>
        <v>530</v>
      </c>
    </row>
    <row r="332" spans="3:7" x14ac:dyDescent="0.45">
      <c r="C332" t="s">
        <v>770</v>
      </c>
      <c r="D332">
        <f t="shared" si="10"/>
        <v>330</v>
      </c>
      <c r="F332" t="s">
        <v>790</v>
      </c>
      <c r="G332">
        <f t="shared" si="11"/>
        <v>530</v>
      </c>
    </row>
    <row r="333" spans="3:7" x14ac:dyDescent="0.45">
      <c r="C333" t="s">
        <v>770</v>
      </c>
      <c r="D333">
        <f t="shared" si="10"/>
        <v>330</v>
      </c>
      <c r="F333" t="s">
        <v>790</v>
      </c>
      <c r="G333">
        <f t="shared" si="11"/>
        <v>530</v>
      </c>
    </row>
    <row r="334" spans="3:7" x14ac:dyDescent="0.45">
      <c r="C334" t="s">
        <v>770</v>
      </c>
      <c r="D334">
        <f t="shared" si="10"/>
        <v>330</v>
      </c>
      <c r="F334" t="s">
        <v>790</v>
      </c>
      <c r="G334">
        <f t="shared" si="11"/>
        <v>530</v>
      </c>
    </row>
    <row r="335" spans="3:7" x14ac:dyDescent="0.45">
      <c r="C335" t="s">
        <v>770</v>
      </c>
      <c r="D335">
        <f t="shared" si="10"/>
        <v>330</v>
      </c>
      <c r="F335" t="s">
        <v>790</v>
      </c>
      <c r="G335">
        <f t="shared" si="11"/>
        <v>530</v>
      </c>
    </row>
    <row r="336" spans="3:7" x14ac:dyDescent="0.45">
      <c r="C336" t="s">
        <v>771</v>
      </c>
      <c r="D336">
        <f t="shared" si="10"/>
        <v>360</v>
      </c>
      <c r="F336" t="s">
        <v>791</v>
      </c>
      <c r="G336">
        <f t="shared" si="11"/>
        <v>550</v>
      </c>
    </row>
    <row r="337" spans="3:7" x14ac:dyDescent="0.45">
      <c r="C337" t="s">
        <v>771</v>
      </c>
      <c r="D337">
        <f t="shared" si="10"/>
        <v>360</v>
      </c>
      <c r="F337" t="s">
        <v>792</v>
      </c>
      <c r="G337">
        <f t="shared" si="11"/>
        <v>540</v>
      </c>
    </row>
    <row r="338" spans="3:7" x14ac:dyDescent="0.45">
      <c r="C338" t="s">
        <v>771</v>
      </c>
      <c r="D338">
        <f t="shared" si="10"/>
        <v>360</v>
      </c>
      <c r="F338" t="s">
        <v>792</v>
      </c>
      <c r="G338">
        <f t="shared" si="11"/>
        <v>540</v>
      </c>
    </row>
    <row r="339" spans="3:7" x14ac:dyDescent="0.45">
      <c r="C339" t="s">
        <v>760</v>
      </c>
      <c r="D339">
        <f t="shared" si="10"/>
        <v>230</v>
      </c>
      <c r="F339">
        <v>0</v>
      </c>
      <c r="G339">
        <f t="shared" si="11"/>
        <v>0</v>
      </c>
    </row>
    <row r="340" spans="3:7" x14ac:dyDescent="0.45">
      <c r="C340" t="s">
        <v>771</v>
      </c>
      <c r="D340">
        <f t="shared" si="10"/>
        <v>360</v>
      </c>
      <c r="F340" t="s">
        <v>791</v>
      </c>
      <c r="G340">
        <f t="shared" si="11"/>
        <v>550</v>
      </c>
    </row>
    <row r="341" spans="3:7" x14ac:dyDescent="0.45">
      <c r="C341" t="s">
        <v>771</v>
      </c>
      <c r="D341">
        <f t="shared" si="10"/>
        <v>360</v>
      </c>
      <c r="F341" t="s">
        <v>793</v>
      </c>
      <c r="G341">
        <f t="shared" si="11"/>
        <v>595</v>
      </c>
    </row>
    <row r="342" spans="3:7" x14ac:dyDescent="0.45">
      <c r="C342" t="s">
        <v>771</v>
      </c>
      <c r="D342">
        <f t="shared" si="10"/>
        <v>360</v>
      </c>
      <c r="F342" t="s">
        <v>791</v>
      </c>
      <c r="G342">
        <f t="shared" si="11"/>
        <v>550</v>
      </c>
    </row>
    <row r="343" spans="3:7" x14ac:dyDescent="0.45">
      <c r="C343" t="s">
        <v>771</v>
      </c>
      <c r="D343">
        <f t="shared" si="10"/>
        <v>360</v>
      </c>
      <c r="F343" t="s">
        <v>793</v>
      </c>
      <c r="G343">
        <f t="shared" si="11"/>
        <v>595</v>
      </c>
    </row>
    <row r="344" spans="3:7" x14ac:dyDescent="0.45">
      <c r="C344" t="s">
        <v>772</v>
      </c>
      <c r="D344">
        <f t="shared" si="10"/>
        <v>380</v>
      </c>
      <c r="F344" t="s">
        <v>794</v>
      </c>
      <c r="G344">
        <f t="shared" si="11"/>
        <v>600</v>
      </c>
    </row>
    <row r="345" spans="3:7" x14ac:dyDescent="0.45">
      <c r="C345" t="s">
        <v>771</v>
      </c>
      <c r="D345">
        <f t="shared" si="10"/>
        <v>360</v>
      </c>
      <c r="F345" t="s">
        <v>793</v>
      </c>
      <c r="G345">
        <f t="shared" si="11"/>
        <v>595</v>
      </c>
    </row>
    <row r="346" spans="3:7" x14ac:dyDescent="0.45">
      <c r="C346" t="s">
        <v>771</v>
      </c>
      <c r="D346">
        <f t="shared" si="10"/>
        <v>360</v>
      </c>
      <c r="F346" t="s">
        <v>791</v>
      </c>
      <c r="G346">
        <f t="shared" si="11"/>
        <v>550</v>
      </c>
    </row>
    <row r="347" spans="3:7" x14ac:dyDescent="0.45">
      <c r="C347" t="s">
        <v>772</v>
      </c>
      <c r="D347">
        <f t="shared" si="10"/>
        <v>380</v>
      </c>
      <c r="F347" t="s">
        <v>794</v>
      </c>
      <c r="G347">
        <f t="shared" si="11"/>
        <v>600</v>
      </c>
    </row>
    <row r="348" spans="3:7" x14ac:dyDescent="0.45">
      <c r="C348" t="s">
        <v>772</v>
      </c>
      <c r="D348">
        <f t="shared" si="10"/>
        <v>380</v>
      </c>
      <c r="F348" t="s">
        <v>794</v>
      </c>
      <c r="G348">
        <f t="shared" si="11"/>
        <v>600</v>
      </c>
    </row>
    <row r="349" spans="3:7" x14ac:dyDescent="0.45">
      <c r="C349" t="s">
        <v>771</v>
      </c>
      <c r="D349">
        <f t="shared" si="10"/>
        <v>360</v>
      </c>
      <c r="F349" t="s">
        <v>793</v>
      </c>
      <c r="G349">
        <f t="shared" si="11"/>
        <v>595</v>
      </c>
    </row>
    <row r="350" spans="3:7" x14ac:dyDescent="0.45">
      <c r="C350" t="s">
        <v>771</v>
      </c>
      <c r="D350">
        <f t="shared" si="10"/>
        <v>360</v>
      </c>
      <c r="F350" t="s">
        <v>791</v>
      </c>
      <c r="G350">
        <f t="shared" si="11"/>
        <v>550</v>
      </c>
    </row>
    <row r="351" spans="3:7" x14ac:dyDescent="0.45">
      <c r="C351" t="s">
        <v>771</v>
      </c>
      <c r="D351">
        <f t="shared" si="10"/>
        <v>360</v>
      </c>
      <c r="F351" t="s">
        <v>791</v>
      </c>
      <c r="G351">
        <f t="shared" si="11"/>
        <v>550</v>
      </c>
    </row>
    <row r="352" spans="3:7" x14ac:dyDescent="0.45">
      <c r="C352" t="s">
        <v>771</v>
      </c>
      <c r="D352">
        <f t="shared" si="10"/>
        <v>360</v>
      </c>
      <c r="F352" t="s">
        <v>793</v>
      </c>
      <c r="G352">
        <f t="shared" si="11"/>
        <v>595</v>
      </c>
    </row>
    <row r="353" spans="3:7" x14ac:dyDescent="0.45">
      <c r="C353" t="s">
        <v>772</v>
      </c>
      <c r="D353">
        <f t="shared" si="10"/>
        <v>380</v>
      </c>
      <c r="F353" t="s">
        <v>794</v>
      </c>
      <c r="G353">
        <f t="shared" si="11"/>
        <v>600</v>
      </c>
    </row>
    <row r="354" spans="3:7" x14ac:dyDescent="0.45">
      <c r="C354" t="s">
        <v>772</v>
      </c>
      <c r="D354">
        <f t="shared" si="10"/>
        <v>380</v>
      </c>
      <c r="F354" t="s">
        <v>794</v>
      </c>
      <c r="G354">
        <f t="shared" si="11"/>
        <v>600</v>
      </c>
    </row>
    <row r="355" spans="3:7" x14ac:dyDescent="0.45">
      <c r="C355" t="s">
        <v>773</v>
      </c>
      <c r="D355">
        <f t="shared" si="10"/>
        <v>390</v>
      </c>
      <c r="F355" t="s">
        <v>795</v>
      </c>
      <c r="G355">
        <f t="shared" si="11"/>
        <v>570</v>
      </c>
    </row>
    <row r="356" spans="3:7" x14ac:dyDescent="0.45">
      <c r="C356" t="s">
        <v>773</v>
      </c>
      <c r="D356">
        <f t="shared" si="10"/>
        <v>390</v>
      </c>
      <c r="F356" t="s">
        <v>795</v>
      </c>
      <c r="G356">
        <f t="shared" si="11"/>
        <v>570</v>
      </c>
    </row>
    <row r="357" spans="3:7" x14ac:dyDescent="0.45">
      <c r="C357" t="s">
        <v>773</v>
      </c>
      <c r="D357">
        <f t="shared" si="10"/>
        <v>390</v>
      </c>
      <c r="F357" t="s">
        <v>795</v>
      </c>
      <c r="G357">
        <f t="shared" si="11"/>
        <v>570</v>
      </c>
    </row>
    <row r="358" spans="3:7" x14ac:dyDescent="0.45">
      <c r="C358" t="s">
        <v>773</v>
      </c>
      <c r="D358">
        <f t="shared" si="10"/>
        <v>390</v>
      </c>
      <c r="F358" t="s">
        <v>795</v>
      </c>
      <c r="G358">
        <f t="shared" si="11"/>
        <v>570</v>
      </c>
    </row>
    <row r="359" spans="3:7" x14ac:dyDescent="0.45">
      <c r="C359" t="s">
        <v>774</v>
      </c>
      <c r="D359">
        <f t="shared" si="10"/>
        <v>400</v>
      </c>
      <c r="F359" t="s">
        <v>795</v>
      </c>
      <c r="G359">
        <f t="shared" si="11"/>
        <v>570</v>
      </c>
    </row>
    <row r="360" spans="3:7" x14ac:dyDescent="0.45">
      <c r="C360" t="s">
        <v>773</v>
      </c>
      <c r="D360">
        <f t="shared" si="10"/>
        <v>390</v>
      </c>
      <c r="F360" t="s">
        <v>795</v>
      </c>
      <c r="G360">
        <f t="shared" si="11"/>
        <v>570</v>
      </c>
    </row>
    <row r="361" spans="3:7" x14ac:dyDescent="0.45">
      <c r="C361" t="s">
        <v>773</v>
      </c>
      <c r="D361">
        <f t="shared" si="10"/>
        <v>390</v>
      </c>
      <c r="F361" t="s">
        <v>795</v>
      </c>
      <c r="G361">
        <f t="shared" si="11"/>
        <v>570</v>
      </c>
    </row>
    <row r="362" spans="3:7" x14ac:dyDescent="0.45">
      <c r="C362" t="s">
        <v>773</v>
      </c>
      <c r="D362">
        <f t="shared" si="10"/>
        <v>390</v>
      </c>
      <c r="F362" t="s">
        <v>795</v>
      </c>
      <c r="G362">
        <f t="shared" si="11"/>
        <v>570</v>
      </c>
    </row>
    <row r="363" spans="3:7" x14ac:dyDescent="0.45">
      <c r="C363" t="s">
        <v>773</v>
      </c>
      <c r="D363">
        <f t="shared" si="10"/>
        <v>390</v>
      </c>
      <c r="F363" t="s">
        <v>795</v>
      </c>
      <c r="G363">
        <f t="shared" si="11"/>
        <v>570</v>
      </c>
    </row>
    <row r="364" spans="3:7" x14ac:dyDescent="0.45">
      <c r="C364" t="s">
        <v>772</v>
      </c>
      <c r="D364">
        <f t="shared" si="10"/>
        <v>380</v>
      </c>
      <c r="F364" t="s">
        <v>794</v>
      </c>
      <c r="G364">
        <f t="shared" si="11"/>
        <v>600</v>
      </c>
    </row>
    <row r="365" spans="3:7" x14ac:dyDescent="0.45">
      <c r="C365" t="s">
        <v>775</v>
      </c>
      <c r="D365">
        <f t="shared" si="10"/>
        <v>450</v>
      </c>
      <c r="F365" t="s">
        <v>796</v>
      </c>
      <c r="G365">
        <f t="shared" si="11"/>
        <v>620</v>
      </c>
    </row>
    <row r="366" spans="3:7" x14ac:dyDescent="0.45">
      <c r="C366" t="s">
        <v>776</v>
      </c>
      <c r="D366">
        <f t="shared" si="10"/>
        <v>430</v>
      </c>
      <c r="F366" t="s">
        <v>797</v>
      </c>
      <c r="G366">
        <f t="shared" si="11"/>
        <v>610</v>
      </c>
    </row>
    <row r="367" spans="3:7" x14ac:dyDescent="0.45">
      <c r="C367" t="s">
        <v>776</v>
      </c>
      <c r="D367">
        <f t="shared" si="10"/>
        <v>430</v>
      </c>
      <c r="F367" t="s">
        <v>797</v>
      </c>
      <c r="G367">
        <f t="shared" si="11"/>
        <v>610</v>
      </c>
    </row>
    <row r="368" spans="3:7" x14ac:dyDescent="0.45">
      <c r="C368" t="s">
        <v>776</v>
      </c>
      <c r="D368">
        <f t="shared" si="10"/>
        <v>430</v>
      </c>
      <c r="F368" t="s">
        <v>797</v>
      </c>
      <c r="G368">
        <f t="shared" si="11"/>
        <v>610</v>
      </c>
    </row>
    <row r="369" spans="3:7" x14ac:dyDescent="0.45">
      <c r="C369" t="s">
        <v>772</v>
      </c>
      <c r="D369">
        <f t="shared" si="10"/>
        <v>380</v>
      </c>
      <c r="F369" t="s">
        <v>794</v>
      </c>
      <c r="G369">
        <f t="shared" si="11"/>
        <v>600</v>
      </c>
    </row>
    <row r="370" spans="3:7" x14ac:dyDescent="0.45">
      <c r="C370" t="s">
        <v>776</v>
      </c>
      <c r="D370">
        <f t="shared" si="10"/>
        <v>430</v>
      </c>
      <c r="F370" t="s">
        <v>797</v>
      </c>
      <c r="G370">
        <f t="shared" si="11"/>
        <v>610</v>
      </c>
    </row>
    <row r="371" spans="3:7" x14ac:dyDescent="0.45">
      <c r="C371" t="s">
        <v>776</v>
      </c>
      <c r="D371">
        <f t="shared" si="10"/>
        <v>430</v>
      </c>
      <c r="F371" t="s">
        <v>797</v>
      </c>
      <c r="G371">
        <f t="shared" si="11"/>
        <v>610</v>
      </c>
    </row>
    <row r="372" spans="3:7" x14ac:dyDescent="0.45">
      <c r="C372" t="s">
        <v>776</v>
      </c>
      <c r="D372">
        <f t="shared" si="10"/>
        <v>430</v>
      </c>
      <c r="F372" t="s">
        <v>797</v>
      </c>
      <c r="G372">
        <f t="shared" si="11"/>
        <v>610</v>
      </c>
    </row>
    <row r="373" spans="3:7" x14ac:dyDescent="0.45">
      <c r="C373" t="s">
        <v>775</v>
      </c>
      <c r="D373">
        <f t="shared" si="10"/>
        <v>450</v>
      </c>
      <c r="F373" t="s">
        <v>796</v>
      </c>
      <c r="G373">
        <f t="shared" si="11"/>
        <v>620</v>
      </c>
    </row>
    <row r="374" spans="3:7" x14ac:dyDescent="0.45">
      <c r="C374" t="s">
        <v>775</v>
      </c>
      <c r="D374">
        <f t="shared" si="10"/>
        <v>450</v>
      </c>
      <c r="F374" t="s">
        <v>796</v>
      </c>
      <c r="G374">
        <f t="shared" si="11"/>
        <v>620</v>
      </c>
    </row>
    <row r="375" spans="3:7" x14ac:dyDescent="0.45">
      <c r="C375" t="s">
        <v>777</v>
      </c>
      <c r="D375">
        <f t="shared" si="10"/>
        <v>410</v>
      </c>
      <c r="F375" t="s">
        <v>798</v>
      </c>
      <c r="G375">
        <f t="shared" si="11"/>
        <v>580</v>
      </c>
    </row>
    <row r="376" spans="3:7" x14ac:dyDescent="0.45">
      <c r="C376" t="s">
        <v>777</v>
      </c>
      <c r="D376">
        <f t="shared" si="10"/>
        <v>410</v>
      </c>
      <c r="F376" t="s">
        <v>798</v>
      </c>
      <c r="G376">
        <f t="shared" si="11"/>
        <v>580</v>
      </c>
    </row>
    <row r="377" spans="3:7" x14ac:dyDescent="0.45">
      <c r="C377" t="s">
        <v>777</v>
      </c>
      <c r="D377">
        <f t="shared" si="10"/>
        <v>410</v>
      </c>
      <c r="F377" t="s">
        <v>798</v>
      </c>
      <c r="G377">
        <f t="shared" si="11"/>
        <v>580</v>
      </c>
    </row>
    <row r="378" spans="3:7" x14ac:dyDescent="0.45">
      <c r="C378" t="s">
        <v>777</v>
      </c>
      <c r="D378">
        <f t="shared" si="10"/>
        <v>410</v>
      </c>
      <c r="F378" t="s">
        <v>798</v>
      </c>
      <c r="G378">
        <f t="shared" si="11"/>
        <v>580</v>
      </c>
    </row>
    <row r="379" spans="3:7" x14ac:dyDescent="0.45">
      <c r="C379" t="s">
        <v>777</v>
      </c>
      <c r="D379">
        <f t="shared" si="10"/>
        <v>410</v>
      </c>
      <c r="F379" t="s">
        <v>798</v>
      </c>
      <c r="G379">
        <f t="shared" si="11"/>
        <v>580</v>
      </c>
    </row>
    <row r="380" spans="3:7" x14ac:dyDescent="0.45">
      <c r="C380" t="s">
        <v>777</v>
      </c>
      <c r="D380">
        <f t="shared" si="10"/>
        <v>410</v>
      </c>
      <c r="F380" t="s">
        <v>798</v>
      </c>
      <c r="G380">
        <f t="shared" si="11"/>
        <v>580</v>
      </c>
    </row>
    <row r="381" spans="3:7" x14ac:dyDescent="0.45">
      <c r="C381" t="s">
        <v>777</v>
      </c>
      <c r="D381">
        <f t="shared" si="10"/>
        <v>410</v>
      </c>
      <c r="F381" t="s">
        <v>798</v>
      </c>
      <c r="G381">
        <f t="shared" si="11"/>
        <v>580</v>
      </c>
    </row>
    <row r="382" spans="3:7" x14ac:dyDescent="0.45">
      <c r="C382" t="s">
        <v>777</v>
      </c>
      <c r="D382">
        <f t="shared" si="10"/>
        <v>410</v>
      </c>
      <c r="F382" t="s">
        <v>798</v>
      </c>
      <c r="G382">
        <f t="shared" si="11"/>
        <v>580</v>
      </c>
    </row>
    <row r="383" spans="3:7" x14ac:dyDescent="0.45">
      <c r="C383" t="s">
        <v>777</v>
      </c>
      <c r="D383">
        <f t="shared" si="10"/>
        <v>410</v>
      </c>
      <c r="F383" t="s">
        <v>798</v>
      </c>
      <c r="G383">
        <f t="shared" si="11"/>
        <v>580</v>
      </c>
    </row>
    <row r="384" spans="3:7" x14ac:dyDescent="0.45">
      <c r="C384" t="s">
        <v>777</v>
      </c>
      <c r="D384">
        <f t="shared" si="10"/>
        <v>410</v>
      </c>
      <c r="F384" t="s">
        <v>798</v>
      </c>
      <c r="G384">
        <f t="shared" si="11"/>
        <v>580</v>
      </c>
    </row>
    <row r="385" spans="3:7" x14ac:dyDescent="0.45">
      <c r="C385" t="s">
        <v>777</v>
      </c>
      <c r="D385">
        <f t="shared" si="10"/>
        <v>410</v>
      </c>
      <c r="F385" t="s">
        <v>798</v>
      </c>
      <c r="G385">
        <f t="shared" si="11"/>
        <v>580</v>
      </c>
    </row>
    <row r="386" spans="3:7" x14ac:dyDescent="0.45">
      <c r="C386" t="s">
        <v>777</v>
      </c>
      <c r="D386">
        <f t="shared" si="10"/>
        <v>410</v>
      </c>
      <c r="F386" t="s">
        <v>798</v>
      </c>
      <c r="G386">
        <f t="shared" si="11"/>
        <v>580</v>
      </c>
    </row>
    <row r="387" spans="3:7" x14ac:dyDescent="0.45">
      <c r="C387" t="s">
        <v>777</v>
      </c>
      <c r="D387">
        <f t="shared" ref="D387:D450" si="12">+C387+0</f>
        <v>410</v>
      </c>
      <c r="F387" t="s">
        <v>798</v>
      </c>
      <c r="G387">
        <f t="shared" ref="G387:G450" si="13">+F387+0</f>
        <v>580</v>
      </c>
    </row>
    <row r="388" spans="3:7" x14ac:dyDescent="0.45">
      <c r="C388" t="s">
        <v>777</v>
      </c>
      <c r="D388">
        <f t="shared" si="12"/>
        <v>410</v>
      </c>
      <c r="F388" t="s">
        <v>798</v>
      </c>
      <c r="G388">
        <f t="shared" si="13"/>
        <v>580</v>
      </c>
    </row>
    <row r="389" spans="3:7" x14ac:dyDescent="0.45">
      <c r="C389" t="s">
        <v>777</v>
      </c>
      <c r="D389">
        <f t="shared" si="12"/>
        <v>410</v>
      </c>
      <c r="F389" t="s">
        <v>798</v>
      </c>
      <c r="G389">
        <f t="shared" si="13"/>
        <v>580</v>
      </c>
    </row>
    <row r="390" spans="3:7" x14ac:dyDescent="0.45">
      <c r="C390" t="s">
        <v>777</v>
      </c>
      <c r="D390">
        <f t="shared" si="12"/>
        <v>410</v>
      </c>
      <c r="F390" t="s">
        <v>798</v>
      </c>
      <c r="G390">
        <f t="shared" si="13"/>
        <v>580</v>
      </c>
    </row>
    <row r="391" spans="3:7" x14ac:dyDescent="0.45">
      <c r="C391" t="s">
        <v>777</v>
      </c>
      <c r="D391">
        <f t="shared" si="12"/>
        <v>410</v>
      </c>
      <c r="F391" t="s">
        <v>798</v>
      </c>
      <c r="G391">
        <f t="shared" si="13"/>
        <v>580</v>
      </c>
    </row>
    <row r="392" spans="3:7" x14ac:dyDescent="0.45">
      <c r="C392" t="s">
        <v>777</v>
      </c>
      <c r="D392">
        <f t="shared" si="12"/>
        <v>410</v>
      </c>
      <c r="F392" t="s">
        <v>798</v>
      </c>
      <c r="G392">
        <f t="shared" si="13"/>
        <v>580</v>
      </c>
    </row>
    <row r="393" spans="3:7" x14ac:dyDescent="0.45">
      <c r="C393" t="s">
        <v>778</v>
      </c>
      <c r="D393">
        <f t="shared" si="12"/>
        <v>415</v>
      </c>
      <c r="F393" t="s">
        <v>799</v>
      </c>
      <c r="G393">
        <f t="shared" si="13"/>
        <v>603</v>
      </c>
    </row>
    <row r="394" spans="3:7" x14ac:dyDescent="0.45">
      <c r="C394" t="s">
        <v>771</v>
      </c>
      <c r="D394">
        <f t="shared" si="12"/>
        <v>360</v>
      </c>
      <c r="F394" t="s">
        <v>791</v>
      </c>
      <c r="G394">
        <f t="shared" si="13"/>
        <v>550</v>
      </c>
    </row>
    <row r="395" spans="3:7" x14ac:dyDescent="0.45">
      <c r="C395" t="s">
        <v>772</v>
      </c>
      <c r="D395">
        <f t="shared" si="12"/>
        <v>380</v>
      </c>
      <c r="F395" t="s">
        <v>794</v>
      </c>
      <c r="G395">
        <f t="shared" si="13"/>
        <v>600</v>
      </c>
    </row>
    <row r="396" spans="3:7" x14ac:dyDescent="0.45">
      <c r="C396" t="s">
        <v>779</v>
      </c>
      <c r="D396">
        <f t="shared" si="12"/>
        <v>370</v>
      </c>
      <c r="F396" t="s">
        <v>800</v>
      </c>
      <c r="G396">
        <f t="shared" si="13"/>
        <v>560</v>
      </c>
    </row>
    <row r="397" spans="3:7" x14ac:dyDescent="0.45">
      <c r="C397" t="s">
        <v>779</v>
      </c>
      <c r="D397">
        <f t="shared" si="12"/>
        <v>370</v>
      </c>
      <c r="F397" t="s">
        <v>800</v>
      </c>
      <c r="G397">
        <f t="shared" si="13"/>
        <v>560</v>
      </c>
    </row>
    <row r="398" spans="3:7" x14ac:dyDescent="0.45">
      <c r="C398" t="s">
        <v>779</v>
      </c>
      <c r="D398">
        <f t="shared" si="12"/>
        <v>370</v>
      </c>
      <c r="F398" t="s">
        <v>800</v>
      </c>
      <c r="G398">
        <f t="shared" si="13"/>
        <v>560</v>
      </c>
    </row>
    <row r="399" spans="3:7" x14ac:dyDescent="0.45">
      <c r="C399" t="s">
        <v>779</v>
      </c>
      <c r="D399">
        <f t="shared" si="12"/>
        <v>370</v>
      </c>
      <c r="F399" t="s">
        <v>800</v>
      </c>
      <c r="G399">
        <f t="shared" si="13"/>
        <v>560</v>
      </c>
    </row>
    <row r="400" spans="3:7" x14ac:dyDescent="0.45">
      <c r="C400" t="s">
        <v>779</v>
      </c>
      <c r="D400">
        <f t="shared" si="12"/>
        <v>370</v>
      </c>
      <c r="F400" t="s">
        <v>800</v>
      </c>
      <c r="G400">
        <f t="shared" si="13"/>
        <v>560</v>
      </c>
    </row>
    <row r="401" spans="3:7" x14ac:dyDescent="0.45">
      <c r="C401" t="s">
        <v>780</v>
      </c>
      <c r="D401">
        <f t="shared" si="12"/>
        <v>300</v>
      </c>
      <c r="F401" t="s">
        <v>801</v>
      </c>
      <c r="G401">
        <f t="shared" si="13"/>
        <v>500</v>
      </c>
    </row>
    <row r="402" spans="3:7" x14ac:dyDescent="0.45">
      <c r="C402" t="s">
        <v>780</v>
      </c>
      <c r="D402">
        <f t="shared" si="12"/>
        <v>300</v>
      </c>
      <c r="F402" t="s">
        <v>801</v>
      </c>
      <c r="G402">
        <f t="shared" si="13"/>
        <v>500</v>
      </c>
    </row>
    <row r="403" spans="3:7" x14ac:dyDescent="0.45">
      <c r="C403" t="s">
        <v>770</v>
      </c>
      <c r="D403">
        <f t="shared" si="12"/>
        <v>330</v>
      </c>
      <c r="F403" t="s">
        <v>790</v>
      </c>
      <c r="G403">
        <f t="shared" si="13"/>
        <v>530</v>
      </c>
    </row>
    <row r="404" spans="3:7" x14ac:dyDescent="0.45">
      <c r="C404" t="s">
        <v>772</v>
      </c>
      <c r="D404">
        <f t="shared" si="12"/>
        <v>380</v>
      </c>
      <c r="F404" t="s">
        <v>794</v>
      </c>
      <c r="G404">
        <f t="shared" si="13"/>
        <v>600</v>
      </c>
    </row>
    <row r="405" spans="3:7" x14ac:dyDescent="0.45">
      <c r="C405" t="s">
        <v>772</v>
      </c>
      <c r="D405">
        <f t="shared" si="12"/>
        <v>380</v>
      </c>
      <c r="F405" t="s">
        <v>794</v>
      </c>
      <c r="G405">
        <f t="shared" si="13"/>
        <v>600</v>
      </c>
    </row>
    <row r="406" spans="3:7" x14ac:dyDescent="0.45">
      <c r="C406" t="s">
        <v>772</v>
      </c>
      <c r="D406">
        <f t="shared" si="12"/>
        <v>380</v>
      </c>
      <c r="F406" t="s">
        <v>794</v>
      </c>
      <c r="G406">
        <f t="shared" si="13"/>
        <v>600</v>
      </c>
    </row>
    <row r="407" spans="3:7" x14ac:dyDescent="0.45">
      <c r="C407" t="s">
        <v>772</v>
      </c>
      <c r="D407">
        <f t="shared" si="12"/>
        <v>380</v>
      </c>
      <c r="F407" t="s">
        <v>794</v>
      </c>
      <c r="G407">
        <f t="shared" si="13"/>
        <v>600</v>
      </c>
    </row>
    <row r="408" spans="3:7" x14ac:dyDescent="0.45">
      <c r="C408" t="s">
        <v>770</v>
      </c>
      <c r="D408">
        <f t="shared" si="12"/>
        <v>330</v>
      </c>
      <c r="F408" t="s">
        <v>790</v>
      </c>
      <c r="G408">
        <f t="shared" si="13"/>
        <v>530</v>
      </c>
    </row>
    <row r="409" spans="3:7" x14ac:dyDescent="0.45">
      <c r="C409" t="s">
        <v>772</v>
      </c>
      <c r="D409">
        <f t="shared" si="12"/>
        <v>380</v>
      </c>
      <c r="F409" t="s">
        <v>794</v>
      </c>
      <c r="G409">
        <f t="shared" si="13"/>
        <v>600</v>
      </c>
    </row>
    <row r="410" spans="3:7" x14ac:dyDescent="0.45">
      <c r="C410" t="s">
        <v>772</v>
      </c>
      <c r="D410">
        <f t="shared" si="12"/>
        <v>380</v>
      </c>
      <c r="F410" t="s">
        <v>794</v>
      </c>
      <c r="G410">
        <f t="shared" si="13"/>
        <v>600</v>
      </c>
    </row>
    <row r="411" spans="3:7" x14ac:dyDescent="0.45">
      <c r="C411" t="s">
        <v>771</v>
      </c>
      <c r="D411">
        <f t="shared" si="12"/>
        <v>360</v>
      </c>
      <c r="F411" t="s">
        <v>793</v>
      </c>
      <c r="G411">
        <f t="shared" si="13"/>
        <v>595</v>
      </c>
    </row>
    <row r="412" spans="3:7" x14ac:dyDescent="0.45">
      <c r="C412" t="s">
        <v>772</v>
      </c>
      <c r="D412">
        <f t="shared" si="12"/>
        <v>380</v>
      </c>
      <c r="F412" t="s">
        <v>794</v>
      </c>
      <c r="G412">
        <f t="shared" si="13"/>
        <v>600</v>
      </c>
    </row>
    <row r="413" spans="3:7" x14ac:dyDescent="0.45">
      <c r="C413" t="s">
        <v>772</v>
      </c>
      <c r="D413">
        <f t="shared" si="12"/>
        <v>380</v>
      </c>
      <c r="F413" t="s">
        <v>794</v>
      </c>
      <c r="G413">
        <f t="shared" si="13"/>
        <v>600</v>
      </c>
    </row>
    <row r="414" spans="3:7" x14ac:dyDescent="0.45">
      <c r="C414" t="s">
        <v>772</v>
      </c>
      <c r="D414">
        <f t="shared" si="12"/>
        <v>380</v>
      </c>
      <c r="F414" t="s">
        <v>794</v>
      </c>
      <c r="G414">
        <f t="shared" si="13"/>
        <v>600</v>
      </c>
    </row>
    <row r="415" spans="3:7" x14ac:dyDescent="0.45">
      <c r="C415" t="s">
        <v>772</v>
      </c>
      <c r="D415">
        <f t="shared" si="12"/>
        <v>380</v>
      </c>
      <c r="F415" t="s">
        <v>794</v>
      </c>
      <c r="G415">
        <f t="shared" si="13"/>
        <v>600</v>
      </c>
    </row>
    <row r="416" spans="3:7" x14ac:dyDescent="0.45">
      <c r="C416" t="s">
        <v>771</v>
      </c>
      <c r="D416">
        <f t="shared" si="12"/>
        <v>360</v>
      </c>
      <c r="F416" t="s">
        <v>793</v>
      </c>
      <c r="G416">
        <f t="shared" si="13"/>
        <v>595</v>
      </c>
    </row>
    <row r="417" spans="3:7" x14ac:dyDescent="0.45">
      <c r="C417" t="s">
        <v>771</v>
      </c>
      <c r="D417">
        <f t="shared" si="12"/>
        <v>360</v>
      </c>
      <c r="F417" t="s">
        <v>793</v>
      </c>
      <c r="G417">
        <f t="shared" si="13"/>
        <v>595</v>
      </c>
    </row>
    <row r="418" spans="3:7" x14ac:dyDescent="0.45">
      <c r="C418" t="s">
        <v>771</v>
      </c>
      <c r="D418">
        <f t="shared" si="12"/>
        <v>360</v>
      </c>
      <c r="F418" t="s">
        <v>793</v>
      </c>
      <c r="G418">
        <f t="shared" si="13"/>
        <v>595</v>
      </c>
    </row>
    <row r="419" spans="3:7" x14ac:dyDescent="0.45">
      <c r="C419" t="s">
        <v>772</v>
      </c>
      <c r="D419">
        <f t="shared" si="12"/>
        <v>380</v>
      </c>
      <c r="F419" t="s">
        <v>794</v>
      </c>
      <c r="G419">
        <f t="shared" si="13"/>
        <v>600</v>
      </c>
    </row>
    <row r="420" spans="3:7" x14ac:dyDescent="0.45">
      <c r="C420" t="s">
        <v>772</v>
      </c>
      <c r="D420">
        <f t="shared" si="12"/>
        <v>380</v>
      </c>
      <c r="F420" t="s">
        <v>794</v>
      </c>
      <c r="G420">
        <f t="shared" si="13"/>
        <v>600</v>
      </c>
    </row>
    <row r="421" spans="3:7" x14ac:dyDescent="0.45">
      <c r="C421" t="s">
        <v>781</v>
      </c>
      <c r="D421">
        <f t="shared" si="12"/>
        <v>460</v>
      </c>
      <c r="F421" t="s">
        <v>802</v>
      </c>
      <c r="G421">
        <f t="shared" si="13"/>
        <v>630</v>
      </c>
    </row>
    <row r="422" spans="3:7" x14ac:dyDescent="0.45">
      <c r="C422" t="s">
        <v>781</v>
      </c>
      <c r="D422">
        <f t="shared" si="12"/>
        <v>460</v>
      </c>
      <c r="F422" t="s">
        <v>802</v>
      </c>
      <c r="G422">
        <f t="shared" si="13"/>
        <v>630</v>
      </c>
    </row>
    <row r="423" spans="3:7" x14ac:dyDescent="0.45">
      <c r="C423" t="s">
        <v>780</v>
      </c>
      <c r="D423">
        <f t="shared" si="12"/>
        <v>300</v>
      </c>
      <c r="F423" t="s">
        <v>801</v>
      </c>
      <c r="G423">
        <f t="shared" si="13"/>
        <v>500</v>
      </c>
    </row>
    <row r="424" spans="3:7" x14ac:dyDescent="0.45">
      <c r="C424" t="s">
        <v>780</v>
      </c>
      <c r="D424">
        <f t="shared" si="12"/>
        <v>300</v>
      </c>
      <c r="F424" t="s">
        <v>801</v>
      </c>
      <c r="G424">
        <f t="shared" si="13"/>
        <v>500</v>
      </c>
    </row>
    <row r="425" spans="3:7" x14ac:dyDescent="0.45">
      <c r="C425" t="s">
        <v>780</v>
      </c>
      <c r="D425">
        <f t="shared" si="12"/>
        <v>300</v>
      </c>
      <c r="F425" t="s">
        <v>801</v>
      </c>
      <c r="G425">
        <f t="shared" si="13"/>
        <v>500</v>
      </c>
    </row>
    <row r="426" spans="3:7" x14ac:dyDescent="0.45">
      <c r="C426" t="s">
        <v>782</v>
      </c>
      <c r="D426">
        <f t="shared" si="12"/>
        <v>320</v>
      </c>
      <c r="F426" t="s">
        <v>801</v>
      </c>
      <c r="G426">
        <f t="shared" si="13"/>
        <v>500</v>
      </c>
    </row>
    <row r="427" spans="3:7" x14ac:dyDescent="0.45">
      <c r="C427" t="s">
        <v>783</v>
      </c>
      <c r="D427">
        <f t="shared" si="12"/>
        <v>440</v>
      </c>
      <c r="F427" t="s">
        <v>796</v>
      </c>
      <c r="G427">
        <f t="shared" si="13"/>
        <v>620</v>
      </c>
    </row>
    <row r="428" spans="3:7" x14ac:dyDescent="0.45">
      <c r="C428" t="s">
        <v>783</v>
      </c>
      <c r="D428">
        <f t="shared" si="12"/>
        <v>440</v>
      </c>
      <c r="F428" t="s">
        <v>796</v>
      </c>
      <c r="G428">
        <f t="shared" si="13"/>
        <v>620</v>
      </c>
    </row>
    <row r="429" spans="3:7" x14ac:dyDescent="0.45">
      <c r="C429" t="s">
        <v>784</v>
      </c>
      <c r="D429">
        <f t="shared" si="12"/>
        <v>315</v>
      </c>
      <c r="F429" t="s">
        <v>803</v>
      </c>
      <c r="G429">
        <f t="shared" si="13"/>
        <v>525</v>
      </c>
    </row>
    <row r="430" spans="3:7" x14ac:dyDescent="0.45">
      <c r="C430" t="s">
        <v>783</v>
      </c>
      <c r="D430">
        <f t="shared" si="12"/>
        <v>440</v>
      </c>
      <c r="F430" t="s">
        <v>796</v>
      </c>
      <c r="G430">
        <f t="shared" si="13"/>
        <v>620</v>
      </c>
    </row>
    <row r="431" spans="3:7" x14ac:dyDescent="0.45">
      <c r="C431" t="s">
        <v>769</v>
      </c>
      <c r="D431">
        <f t="shared" si="12"/>
        <v>340</v>
      </c>
      <c r="F431" t="s">
        <v>789</v>
      </c>
      <c r="G431">
        <f t="shared" si="13"/>
        <v>520</v>
      </c>
    </row>
    <row r="432" spans="3:7" x14ac:dyDescent="0.45">
      <c r="C432" t="s">
        <v>780</v>
      </c>
      <c r="D432">
        <f t="shared" si="12"/>
        <v>300</v>
      </c>
      <c r="F432" t="s">
        <v>801</v>
      </c>
      <c r="G432">
        <f t="shared" si="13"/>
        <v>500</v>
      </c>
    </row>
    <row r="433" spans="3:7" x14ac:dyDescent="0.45">
      <c r="C433" t="s">
        <v>782</v>
      </c>
      <c r="D433">
        <f t="shared" si="12"/>
        <v>320</v>
      </c>
      <c r="F433" t="s">
        <v>801</v>
      </c>
      <c r="G433">
        <f t="shared" si="13"/>
        <v>500</v>
      </c>
    </row>
    <row r="434" spans="3:7" x14ac:dyDescent="0.45">
      <c r="C434" t="s">
        <v>783</v>
      </c>
      <c r="D434">
        <f t="shared" si="12"/>
        <v>440</v>
      </c>
      <c r="F434" t="s">
        <v>796</v>
      </c>
      <c r="G434">
        <f t="shared" si="13"/>
        <v>620</v>
      </c>
    </row>
    <row r="435" spans="3:7" x14ac:dyDescent="0.45">
      <c r="C435" t="s">
        <v>753</v>
      </c>
      <c r="D435">
        <f t="shared" si="12"/>
        <v>20</v>
      </c>
      <c r="F435">
        <v>0</v>
      </c>
      <c r="G435">
        <f t="shared" si="13"/>
        <v>0</v>
      </c>
    </row>
    <row r="436" spans="3:7" x14ac:dyDescent="0.45">
      <c r="C436" t="s">
        <v>753</v>
      </c>
      <c r="D436">
        <f t="shared" si="12"/>
        <v>20</v>
      </c>
      <c r="F436">
        <v>0</v>
      </c>
      <c r="G436">
        <f t="shared" si="13"/>
        <v>0</v>
      </c>
    </row>
    <row r="437" spans="3:7" x14ac:dyDescent="0.45">
      <c r="C437" t="s">
        <v>753</v>
      </c>
      <c r="D437">
        <f t="shared" si="12"/>
        <v>20</v>
      </c>
      <c r="F437">
        <v>0</v>
      </c>
      <c r="G437">
        <f t="shared" si="13"/>
        <v>0</v>
      </c>
    </row>
    <row r="438" spans="3:7" x14ac:dyDescent="0.45">
      <c r="C438" t="s">
        <v>753</v>
      </c>
      <c r="D438">
        <f t="shared" si="12"/>
        <v>20</v>
      </c>
      <c r="F438">
        <v>0</v>
      </c>
      <c r="G438">
        <f t="shared" si="13"/>
        <v>0</v>
      </c>
    </row>
    <row r="439" spans="3:7" x14ac:dyDescent="0.45">
      <c r="C439" t="s">
        <v>753</v>
      </c>
      <c r="D439">
        <f t="shared" si="12"/>
        <v>20</v>
      </c>
      <c r="F439">
        <v>0</v>
      </c>
      <c r="G439">
        <f t="shared" si="13"/>
        <v>0</v>
      </c>
    </row>
    <row r="440" spans="3:7" x14ac:dyDescent="0.45">
      <c r="C440" t="s">
        <v>753</v>
      </c>
      <c r="D440">
        <f t="shared" si="12"/>
        <v>20</v>
      </c>
      <c r="F440">
        <v>0</v>
      </c>
      <c r="G440">
        <f t="shared" si="13"/>
        <v>0</v>
      </c>
    </row>
    <row r="441" spans="3:7" x14ac:dyDescent="0.45">
      <c r="C441" t="s">
        <v>753</v>
      </c>
      <c r="D441">
        <f t="shared" si="12"/>
        <v>20</v>
      </c>
      <c r="F441">
        <v>0</v>
      </c>
      <c r="G441">
        <f t="shared" si="13"/>
        <v>0</v>
      </c>
    </row>
    <row r="442" spans="3:7" x14ac:dyDescent="0.45">
      <c r="C442" t="s">
        <v>753</v>
      </c>
      <c r="D442">
        <f t="shared" si="12"/>
        <v>20</v>
      </c>
      <c r="F442">
        <v>0</v>
      </c>
      <c r="G442">
        <f t="shared" si="13"/>
        <v>0</v>
      </c>
    </row>
    <row r="443" spans="3:7" x14ac:dyDescent="0.45">
      <c r="C443" t="s">
        <v>753</v>
      </c>
      <c r="D443">
        <f t="shared" si="12"/>
        <v>20</v>
      </c>
      <c r="F443">
        <v>0</v>
      </c>
      <c r="G443">
        <f t="shared" si="13"/>
        <v>0</v>
      </c>
    </row>
    <row r="444" spans="3:7" x14ac:dyDescent="0.45">
      <c r="C444" t="s">
        <v>753</v>
      </c>
      <c r="D444">
        <f t="shared" si="12"/>
        <v>20</v>
      </c>
      <c r="F444">
        <v>0</v>
      </c>
      <c r="G444">
        <f t="shared" si="13"/>
        <v>0</v>
      </c>
    </row>
    <row r="445" spans="3:7" x14ac:dyDescent="0.45">
      <c r="C445" t="s">
        <v>753</v>
      </c>
      <c r="D445">
        <f t="shared" si="12"/>
        <v>20</v>
      </c>
      <c r="F445">
        <v>0</v>
      </c>
      <c r="G445">
        <f t="shared" si="13"/>
        <v>0</v>
      </c>
    </row>
    <row r="446" spans="3:7" x14ac:dyDescent="0.45">
      <c r="C446" t="s">
        <v>753</v>
      </c>
      <c r="D446">
        <f t="shared" si="12"/>
        <v>20</v>
      </c>
      <c r="F446">
        <v>0</v>
      </c>
      <c r="G446">
        <f t="shared" si="13"/>
        <v>0</v>
      </c>
    </row>
    <row r="447" spans="3:7" x14ac:dyDescent="0.45">
      <c r="C447" t="s">
        <v>753</v>
      </c>
      <c r="D447">
        <f t="shared" si="12"/>
        <v>20</v>
      </c>
      <c r="F447">
        <v>0</v>
      </c>
      <c r="G447">
        <f t="shared" si="13"/>
        <v>0</v>
      </c>
    </row>
    <row r="448" spans="3:7" x14ac:dyDescent="0.45">
      <c r="C448" t="s">
        <v>753</v>
      </c>
      <c r="D448">
        <f t="shared" si="12"/>
        <v>20</v>
      </c>
      <c r="F448">
        <v>0</v>
      </c>
      <c r="G448">
        <f t="shared" si="13"/>
        <v>0</v>
      </c>
    </row>
    <row r="449" spans="3:7" x14ac:dyDescent="0.45">
      <c r="C449" t="s">
        <v>753</v>
      </c>
      <c r="D449">
        <f t="shared" si="12"/>
        <v>20</v>
      </c>
      <c r="F449">
        <v>0</v>
      </c>
      <c r="G449">
        <f t="shared" si="13"/>
        <v>0</v>
      </c>
    </row>
    <row r="450" spans="3:7" x14ac:dyDescent="0.45">
      <c r="C450" t="s">
        <v>753</v>
      </c>
      <c r="D450">
        <f t="shared" si="12"/>
        <v>20</v>
      </c>
      <c r="F450">
        <v>0</v>
      </c>
      <c r="G450">
        <f t="shared" si="13"/>
        <v>0</v>
      </c>
    </row>
    <row r="451" spans="3:7" x14ac:dyDescent="0.45">
      <c r="C451" t="s">
        <v>753</v>
      </c>
      <c r="D451">
        <f t="shared" ref="D451:D514" si="14">+C451+0</f>
        <v>20</v>
      </c>
      <c r="F451">
        <v>0</v>
      </c>
      <c r="G451">
        <f t="shared" ref="G451:G514" si="15">+F451+0</f>
        <v>0</v>
      </c>
    </row>
    <row r="452" spans="3:7" x14ac:dyDescent="0.45">
      <c r="C452" t="s">
        <v>753</v>
      </c>
      <c r="D452">
        <f t="shared" si="14"/>
        <v>20</v>
      </c>
      <c r="F452">
        <v>0</v>
      </c>
      <c r="G452">
        <f t="shared" si="15"/>
        <v>0</v>
      </c>
    </row>
    <row r="453" spans="3:7" x14ac:dyDescent="0.45">
      <c r="C453" t="s">
        <v>754</v>
      </c>
      <c r="D453">
        <f t="shared" si="14"/>
        <v>10</v>
      </c>
      <c r="F453">
        <v>0</v>
      </c>
      <c r="G453">
        <f t="shared" si="15"/>
        <v>0</v>
      </c>
    </row>
    <row r="454" spans="3:7" x14ac:dyDescent="0.45">
      <c r="C454" t="s">
        <v>754</v>
      </c>
      <c r="D454">
        <f t="shared" si="14"/>
        <v>10</v>
      </c>
      <c r="F454">
        <v>0</v>
      </c>
      <c r="G454">
        <f t="shared" si="15"/>
        <v>0</v>
      </c>
    </row>
    <row r="455" spans="3:7" x14ac:dyDescent="0.45">
      <c r="C455" t="s">
        <v>754</v>
      </c>
      <c r="D455">
        <f t="shared" si="14"/>
        <v>10</v>
      </c>
      <c r="F455">
        <v>0</v>
      </c>
      <c r="G455">
        <f t="shared" si="15"/>
        <v>0</v>
      </c>
    </row>
    <row r="456" spans="3:7" x14ac:dyDescent="0.45">
      <c r="C456" t="s">
        <v>754</v>
      </c>
      <c r="D456">
        <f t="shared" si="14"/>
        <v>10</v>
      </c>
      <c r="F456">
        <v>0</v>
      </c>
      <c r="G456">
        <f t="shared" si="15"/>
        <v>0</v>
      </c>
    </row>
    <row r="457" spans="3:7" x14ac:dyDescent="0.45">
      <c r="C457" t="s">
        <v>754</v>
      </c>
      <c r="D457">
        <f t="shared" si="14"/>
        <v>10</v>
      </c>
      <c r="F457">
        <v>0</v>
      </c>
      <c r="G457">
        <f t="shared" si="15"/>
        <v>0</v>
      </c>
    </row>
    <row r="458" spans="3:7" x14ac:dyDescent="0.45">
      <c r="C458" t="s">
        <v>754</v>
      </c>
      <c r="D458">
        <f t="shared" si="14"/>
        <v>10</v>
      </c>
      <c r="F458">
        <v>0</v>
      </c>
      <c r="G458">
        <f t="shared" si="15"/>
        <v>0</v>
      </c>
    </row>
    <row r="459" spans="3:7" x14ac:dyDescent="0.45">
      <c r="C459" t="s">
        <v>754</v>
      </c>
      <c r="D459">
        <f t="shared" si="14"/>
        <v>10</v>
      </c>
      <c r="F459">
        <v>0</v>
      </c>
      <c r="G459">
        <f t="shared" si="15"/>
        <v>0</v>
      </c>
    </row>
    <row r="460" spans="3:7" x14ac:dyDescent="0.45">
      <c r="C460" t="s">
        <v>755</v>
      </c>
      <c r="D460">
        <f t="shared" si="14"/>
        <v>50</v>
      </c>
      <c r="F460">
        <v>0</v>
      </c>
      <c r="G460">
        <f t="shared" si="15"/>
        <v>0</v>
      </c>
    </row>
    <row r="461" spans="3:7" x14ac:dyDescent="0.45">
      <c r="C461" t="s">
        <v>756</v>
      </c>
      <c r="D461">
        <f t="shared" si="14"/>
        <v>80</v>
      </c>
      <c r="F461">
        <v>0</v>
      </c>
      <c r="G461">
        <f t="shared" si="15"/>
        <v>0</v>
      </c>
    </row>
    <row r="462" spans="3:7" x14ac:dyDescent="0.45">
      <c r="C462" t="s">
        <v>757</v>
      </c>
      <c r="D462">
        <f t="shared" si="14"/>
        <v>220</v>
      </c>
      <c r="F462">
        <v>0</v>
      </c>
      <c r="G462">
        <f t="shared" si="15"/>
        <v>0</v>
      </c>
    </row>
    <row r="463" spans="3:7" x14ac:dyDescent="0.45">
      <c r="C463" t="s">
        <v>755</v>
      </c>
      <c r="D463">
        <f t="shared" si="14"/>
        <v>50</v>
      </c>
      <c r="F463">
        <v>0</v>
      </c>
      <c r="G463">
        <f t="shared" si="15"/>
        <v>0</v>
      </c>
    </row>
    <row r="464" spans="3:7" x14ac:dyDescent="0.45">
      <c r="C464" t="s">
        <v>757</v>
      </c>
      <c r="D464">
        <f t="shared" si="14"/>
        <v>220</v>
      </c>
      <c r="F464">
        <v>0</v>
      </c>
      <c r="G464">
        <f t="shared" si="15"/>
        <v>0</v>
      </c>
    </row>
    <row r="465" spans="3:7" x14ac:dyDescent="0.45">
      <c r="C465" t="s">
        <v>755</v>
      </c>
      <c r="D465">
        <f t="shared" si="14"/>
        <v>50</v>
      </c>
      <c r="F465">
        <v>0</v>
      </c>
      <c r="G465">
        <f t="shared" si="15"/>
        <v>0</v>
      </c>
    </row>
    <row r="466" spans="3:7" x14ac:dyDescent="0.45">
      <c r="C466" t="s">
        <v>757</v>
      </c>
      <c r="D466">
        <f t="shared" si="14"/>
        <v>220</v>
      </c>
      <c r="F466">
        <v>0</v>
      </c>
      <c r="G466">
        <f t="shared" si="15"/>
        <v>0</v>
      </c>
    </row>
    <row r="467" spans="3:7" x14ac:dyDescent="0.45">
      <c r="C467" t="s">
        <v>757</v>
      </c>
      <c r="D467">
        <f t="shared" si="14"/>
        <v>220</v>
      </c>
      <c r="F467">
        <v>0</v>
      </c>
      <c r="G467">
        <f t="shared" si="15"/>
        <v>0</v>
      </c>
    </row>
    <row r="468" spans="3:7" x14ac:dyDescent="0.45">
      <c r="C468" t="s">
        <v>755</v>
      </c>
      <c r="D468">
        <f t="shared" si="14"/>
        <v>50</v>
      </c>
      <c r="F468">
        <v>0</v>
      </c>
      <c r="G468">
        <f t="shared" si="15"/>
        <v>0</v>
      </c>
    </row>
    <row r="469" spans="3:7" x14ac:dyDescent="0.45">
      <c r="C469" t="s">
        <v>757</v>
      </c>
      <c r="D469">
        <f t="shared" si="14"/>
        <v>220</v>
      </c>
      <c r="F469">
        <v>0</v>
      </c>
      <c r="G469">
        <f t="shared" si="15"/>
        <v>0</v>
      </c>
    </row>
    <row r="470" spans="3:7" x14ac:dyDescent="0.45">
      <c r="C470" t="s">
        <v>755</v>
      </c>
      <c r="D470">
        <f t="shared" si="14"/>
        <v>50</v>
      </c>
      <c r="F470">
        <v>0</v>
      </c>
      <c r="G470">
        <f t="shared" si="15"/>
        <v>0</v>
      </c>
    </row>
    <row r="471" spans="3:7" x14ac:dyDescent="0.45">
      <c r="C471" t="s">
        <v>757</v>
      </c>
      <c r="D471">
        <f t="shared" si="14"/>
        <v>220</v>
      </c>
      <c r="F471">
        <v>0</v>
      </c>
      <c r="G471">
        <f t="shared" si="15"/>
        <v>0</v>
      </c>
    </row>
    <row r="472" spans="3:7" x14ac:dyDescent="0.45">
      <c r="C472" t="s">
        <v>757</v>
      </c>
      <c r="D472">
        <f t="shared" si="14"/>
        <v>220</v>
      </c>
      <c r="F472">
        <v>0</v>
      </c>
      <c r="G472">
        <f t="shared" si="15"/>
        <v>0</v>
      </c>
    </row>
    <row r="473" spans="3:7" x14ac:dyDescent="0.45">
      <c r="C473" t="s">
        <v>755</v>
      </c>
      <c r="D473">
        <f t="shared" si="14"/>
        <v>50</v>
      </c>
      <c r="F473">
        <v>0</v>
      </c>
      <c r="G473">
        <f t="shared" si="15"/>
        <v>0</v>
      </c>
    </row>
    <row r="474" spans="3:7" x14ac:dyDescent="0.45">
      <c r="C474" t="s">
        <v>755</v>
      </c>
      <c r="D474">
        <f t="shared" si="14"/>
        <v>50</v>
      </c>
      <c r="F474">
        <v>0</v>
      </c>
      <c r="G474">
        <f t="shared" si="15"/>
        <v>0</v>
      </c>
    </row>
    <row r="475" spans="3:7" x14ac:dyDescent="0.45">
      <c r="C475" t="s">
        <v>755</v>
      </c>
      <c r="D475">
        <f t="shared" si="14"/>
        <v>50</v>
      </c>
      <c r="F475">
        <v>0</v>
      </c>
      <c r="G475">
        <f t="shared" si="15"/>
        <v>0</v>
      </c>
    </row>
    <row r="476" spans="3:7" x14ac:dyDescent="0.45">
      <c r="C476" t="s">
        <v>757</v>
      </c>
      <c r="D476">
        <f t="shared" si="14"/>
        <v>220</v>
      </c>
      <c r="F476">
        <v>0</v>
      </c>
      <c r="G476">
        <f t="shared" si="15"/>
        <v>0</v>
      </c>
    </row>
    <row r="477" spans="3:7" x14ac:dyDescent="0.45">
      <c r="C477" t="s">
        <v>757</v>
      </c>
      <c r="D477">
        <f t="shared" si="14"/>
        <v>220</v>
      </c>
      <c r="F477">
        <v>0</v>
      </c>
      <c r="G477">
        <f t="shared" si="15"/>
        <v>0</v>
      </c>
    </row>
    <row r="478" spans="3:7" x14ac:dyDescent="0.45">
      <c r="C478" t="s">
        <v>757</v>
      </c>
      <c r="D478">
        <f t="shared" si="14"/>
        <v>220</v>
      </c>
      <c r="F478">
        <v>0</v>
      </c>
      <c r="G478">
        <f t="shared" si="15"/>
        <v>0</v>
      </c>
    </row>
    <row r="479" spans="3:7" x14ac:dyDescent="0.45">
      <c r="C479" t="s">
        <v>757</v>
      </c>
      <c r="D479">
        <f t="shared" si="14"/>
        <v>220</v>
      </c>
      <c r="F479">
        <v>0</v>
      </c>
      <c r="G479">
        <f t="shared" si="15"/>
        <v>0</v>
      </c>
    </row>
    <row r="480" spans="3:7" x14ac:dyDescent="0.45">
      <c r="C480" t="s">
        <v>756</v>
      </c>
      <c r="D480">
        <f t="shared" si="14"/>
        <v>80</v>
      </c>
      <c r="F480">
        <v>0</v>
      </c>
      <c r="G480">
        <f t="shared" si="15"/>
        <v>0</v>
      </c>
    </row>
    <row r="481" spans="3:7" x14ac:dyDescent="0.45">
      <c r="C481" t="s">
        <v>756</v>
      </c>
      <c r="D481">
        <f t="shared" si="14"/>
        <v>80</v>
      </c>
      <c r="F481">
        <v>0</v>
      </c>
      <c r="G481">
        <f t="shared" si="15"/>
        <v>0</v>
      </c>
    </row>
    <row r="482" spans="3:7" x14ac:dyDescent="0.45">
      <c r="C482" t="s">
        <v>757</v>
      </c>
      <c r="D482">
        <f t="shared" si="14"/>
        <v>220</v>
      </c>
      <c r="F482">
        <v>0</v>
      </c>
      <c r="G482">
        <f t="shared" si="15"/>
        <v>0</v>
      </c>
    </row>
    <row r="483" spans="3:7" x14ac:dyDescent="0.45">
      <c r="C483" t="s">
        <v>758</v>
      </c>
      <c r="D483">
        <f t="shared" si="14"/>
        <v>54</v>
      </c>
      <c r="F483">
        <v>0</v>
      </c>
      <c r="G483">
        <f t="shared" si="15"/>
        <v>0</v>
      </c>
    </row>
    <row r="484" spans="3:7" x14ac:dyDescent="0.45">
      <c r="C484" t="s">
        <v>758</v>
      </c>
      <c r="D484">
        <f t="shared" si="14"/>
        <v>54</v>
      </c>
      <c r="F484">
        <v>0</v>
      </c>
      <c r="G484">
        <f t="shared" si="15"/>
        <v>0</v>
      </c>
    </row>
    <row r="485" spans="3:7" x14ac:dyDescent="0.45">
      <c r="C485" t="s">
        <v>758</v>
      </c>
      <c r="D485">
        <f t="shared" si="14"/>
        <v>54</v>
      </c>
      <c r="F485">
        <v>0</v>
      </c>
      <c r="G485">
        <f t="shared" si="15"/>
        <v>0</v>
      </c>
    </row>
    <row r="486" spans="3:7" x14ac:dyDescent="0.45">
      <c r="C486" t="s">
        <v>758</v>
      </c>
      <c r="D486">
        <f t="shared" si="14"/>
        <v>54</v>
      </c>
      <c r="F486">
        <v>0</v>
      </c>
      <c r="G486">
        <f t="shared" si="15"/>
        <v>0</v>
      </c>
    </row>
    <row r="487" spans="3:7" x14ac:dyDescent="0.45">
      <c r="C487" t="s">
        <v>758</v>
      </c>
      <c r="D487">
        <f t="shared" si="14"/>
        <v>54</v>
      </c>
      <c r="F487">
        <v>0</v>
      </c>
      <c r="G487">
        <f t="shared" si="15"/>
        <v>0</v>
      </c>
    </row>
    <row r="488" spans="3:7" x14ac:dyDescent="0.45">
      <c r="C488" t="s">
        <v>755</v>
      </c>
      <c r="D488">
        <f t="shared" si="14"/>
        <v>50</v>
      </c>
      <c r="F488">
        <v>0</v>
      </c>
      <c r="G488">
        <f t="shared" si="15"/>
        <v>0</v>
      </c>
    </row>
    <row r="489" spans="3:7" x14ac:dyDescent="0.45">
      <c r="C489" t="s">
        <v>758</v>
      </c>
      <c r="D489">
        <f t="shared" si="14"/>
        <v>54</v>
      </c>
      <c r="F489">
        <v>0</v>
      </c>
      <c r="G489">
        <f t="shared" si="15"/>
        <v>0</v>
      </c>
    </row>
    <row r="490" spans="3:7" x14ac:dyDescent="0.45">
      <c r="C490" t="s">
        <v>758</v>
      </c>
      <c r="D490">
        <f t="shared" si="14"/>
        <v>54</v>
      </c>
      <c r="F490">
        <v>0</v>
      </c>
      <c r="G490">
        <f t="shared" si="15"/>
        <v>0</v>
      </c>
    </row>
    <row r="491" spans="3:7" x14ac:dyDescent="0.45">
      <c r="C491" t="s">
        <v>758</v>
      </c>
      <c r="D491">
        <f t="shared" si="14"/>
        <v>54</v>
      </c>
      <c r="F491">
        <v>0</v>
      </c>
      <c r="G491">
        <f t="shared" si="15"/>
        <v>0</v>
      </c>
    </row>
    <row r="492" spans="3:7" x14ac:dyDescent="0.45">
      <c r="C492" t="s">
        <v>758</v>
      </c>
      <c r="D492">
        <f t="shared" si="14"/>
        <v>54</v>
      </c>
      <c r="F492">
        <v>0</v>
      </c>
      <c r="G492">
        <f t="shared" si="15"/>
        <v>0</v>
      </c>
    </row>
    <row r="493" spans="3:7" x14ac:dyDescent="0.45">
      <c r="C493" t="s">
        <v>147</v>
      </c>
      <c r="D493">
        <f t="shared" si="14"/>
        <v>40</v>
      </c>
      <c r="F493">
        <v>0</v>
      </c>
      <c r="G493">
        <f t="shared" si="15"/>
        <v>0</v>
      </c>
    </row>
    <row r="494" spans="3:7" x14ac:dyDescent="0.45">
      <c r="C494" t="s">
        <v>758</v>
      </c>
      <c r="D494">
        <f t="shared" si="14"/>
        <v>54</v>
      </c>
      <c r="F494">
        <v>0</v>
      </c>
      <c r="G494">
        <f t="shared" si="15"/>
        <v>0</v>
      </c>
    </row>
    <row r="495" spans="3:7" x14ac:dyDescent="0.45">
      <c r="C495" t="s">
        <v>759</v>
      </c>
      <c r="D495">
        <f t="shared" si="14"/>
        <v>210</v>
      </c>
      <c r="F495">
        <v>0</v>
      </c>
      <c r="G495">
        <f t="shared" si="15"/>
        <v>0</v>
      </c>
    </row>
    <row r="496" spans="3:7" x14ac:dyDescent="0.45">
      <c r="C496" t="s">
        <v>759</v>
      </c>
      <c r="D496">
        <f t="shared" si="14"/>
        <v>210</v>
      </c>
      <c r="F496">
        <v>0</v>
      </c>
      <c r="G496">
        <f t="shared" si="15"/>
        <v>0</v>
      </c>
    </row>
    <row r="497" spans="3:7" x14ac:dyDescent="0.45">
      <c r="C497" t="s">
        <v>760</v>
      </c>
      <c r="D497">
        <f t="shared" si="14"/>
        <v>230</v>
      </c>
      <c r="F497">
        <v>0</v>
      </c>
      <c r="G497">
        <f t="shared" si="15"/>
        <v>0</v>
      </c>
    </row>
    <row r="498" spans="3:7" x14ac:dyDescent="0.45">
      <c r="C498" t="s">
        <v>761</v>
      </c>
      <c r="D498">
        <f t="shared" si="14"/>
        <v>240</v>
      </c>
      <c r="F498">
        <v>0</v>
      </c>
      <c r="G498">
        <f t="shared" si="15"/>
        <v>0</v>
      </c>
    </row>
    <row r="499" spans="3:7" x14ac:dyDescent="0.45">
      <c r="C499" t="s">
        <v>760</v>
      </c>
      <c r="D499">
        <f t="shared" si="14"/>
        <v>230</v>
      </c>
      <c r="F499">
        <v>0</v>
      </c>
      <c r="G499">
        <f t="shared" si="15"/>
        <v>0</v>
      </c>
    </row>
    <row r="500" spans="3:7" x14ac:dyDescent="0.45">
      <c r="C500" t="s">
        <v>760</v>
      </c>
      <c r="D500">
        <f t="shared" si="14"/>
        <v>230</v>
      </c>
      <c r="F500">
        <v>0</v>
      </c>
      <c r="G500">
        <f t="shared" si="15"/>
        <v>0</v>
      </c>
    </row>
    <row r="501" spans="3:7" x14ac:dyDescent="0.45">
      <c r="C501" t="s">
        <v>761</v>
      </c>
      <c r="D501">
        <f t="shared" si="14"/>
        <v>240</v>
      </c>
      <c r="F501">
        <v>0</v>
      </c>
      <c r="G501">
        <f t="shared" si="15"/>
        <v>0</v>
      </c>
    </row>
    <row r="502" spans="3:7" x14ac:dyDescent="0.45">
      <c r="C502" t="s">
        <v>760</v>
      </c>
      <c r="D502">
        <f t="shared" si="14"/>
        <v>230</v>
      </c>
      <c r="F502">
        <v>0</v>
      </c>
      <c r="G502">
        <f t="shared" si="15"/>
        <v>0</v>
      </c>
    </row>
    <row r="503" spans="3:7" x14ac:dyDescent="0.45">
      <c r="C503" t="s">
        <v>760</v>
      </c>
      <c r="D503">
        <f t="shared" si="14"/>
        <v>230</v>
      </c>
      <c r="F503">
        <v>0</v>
      </c>
      <c r="G503">
        <f t="shared" si="15"/>
        <v>0</v>
      </c>
    </row>
    <row r="504" spans="3:7" x14ac:dyDescent="0.45">
      <c r="C504" t="s">
        <v>761</v>
      </c>
      <c r="D504">
        <f t="shared" si="14"/>
        <v>240</v>
      </c>
      <c r="F504">
        <v>0</v>
      </c>
      <c r="G504">
        <f t="shared" si="15"/>
        <v>0</v>
      </c>
    </row>
    <row r="505" spans="3:7" x14ac:dyDescent="0.45">
      <c r="C505" t="s">
        <v>761</v>
      </c>
      <c r="D505">
        <f t="shared" si="14"/>
        <v>240</v>
      </c>
      <c r="F505">
        <v>0</v>
      </c>
      <c r="G505">
        <f t="shared" si="15"/>
        <v>0</v>
      </c>
    </row>
    <row r="506" spans="3:7" x14ac:dyDescent="0.45">
      <c r="C506" t="s">
        <v>758</v>
      </c>
      <c r="D506">
        <f t="shared" si="14"/>
        <v>54</v>
      </c>
      <c r="F506">
        <v>0</v>
      </c>
      <c r="G506">
        <f t="shared" si="15"/>
        <v>0</v>
      </c>
    </row>
    <row r="507" spans="3:7" x14ac:dyDescent="0.45">
      <c r="C507" t="s">
        <v>757</v>
      </c>
      <c r="D507">
        <f t="shared" si="14"/>
        <v>220</v>
      </c>
      <c r="F507">
        <v>0</v>
      </c>
      <c r="G507">
        <f t="shared" si="15"/>
        <v>0</v>
      </c>
    </row>
    <row r="508" spans="3:7" x14ac:dyDescent="0.45">
      <c r="C508" t="s">
        <v>786</v>
      </c>
      <c r="D508">
        <f t="shared" si="14"/>
        <v>180</v>
      </c>
      <c r="F508">
        <v>0</v>
      </c>
      <c r="G508">
        <f t="shared" si="15"/>
        <v>0</v>
      </c>
    </row>
    <row r="509" spans="3:7" x14ac:dyDescent="0.45">
      <c r="C509" t="s">
        <v>786</v>
      </c>
      <c r="D509">
        <f t="shared" si="14"/>
        <v>180</v>
      </c>
      <c r="F509">
        <v>0</v>
      </c>
      <c r="G509">
        <f t="shared" si="15"/>
        <v>0</v>
      </c>
    </row>
    <row r="510" spans="3:7" x14ac:dyDescent="0.45">
      <c r="C510" t="s">
        <v>786</v>
      </c>
      <c r="D510">
        <f t="shared" si="14"/>
        <v>180</v>
      </c>
      <c r="F510">
        <v>0</v>
      </c>
      <c r="G510">
        <f t="shared" si="15"/>
        <v>0</v>
      </c>
    </row>
    <row r="511" spans="3:7" x14ac:dyDescent="0.45">
      <c r="C511" t="s">
        <v>761</v>
      </c>
      <c r="D511">
        <f t="shared" si="14"/>
        <v>240</v>
      </c>
      <c r="F511">
        <v>0</v>
      </c>
      <c r="G511">
        <f t="shared" si="15"/>
        <v>0</v>
      </c>
    </row>
    <row r="512" spans="3:7" x14ac:dyDescent="0.45">
      <c r="C512" t="s">
        <v>786</v>
      </c>
      <c r="D512">
        <f t="shared" si="14"/>
        <v>180</v>
      </c>
      <c r="F512">
        <v>0</v>
      </c>
      <c r="G512">
        <f t="shared" si="15"/>
        <v>0</v>
      </c>
    </row>
    <row r="513" spans="3:7" x14ac:dyDescent="0.45">
      <c r="C513" t="s">
        <v>786</v>
      </c>
      <c r="D513">
        <f t="shared" si="14"/>
        <v>180</v>
      </c>
      <c r="F513">
        <v>0</v>
      </c>
      <c r="G513">
        <f t="shared" si="15"/>
        <v>0</v>
      </c>
    </row>
    <row r="514" spans="3:7" x14ac:dyDescent="0.45">
      <c r="C514" t="s">
        <v>786</v>
      </c>
      <c r="D514">
        <f t="shared" si="14"/>
        <v>180</v>
      </c>
      <c r="F514">
        <v>0</v>
      </c>
      <c r="G514">
        <f t="shared" si="15"/>
        <v>0</v>
      </c>
    </row>
    <row r="515" spans="3:7" x14ac:dyDescent="0.45">
      <c r="C515" t="s">
        <v>758</v>
      </c>
      <c r="D515">
        <f t="shared" ref="D515:D578" si="16">+C515+0</f>
        <v>54</v>
      </c>
      <c r="F515">
        <v>0</v>
      </c>
      <c r="G515">
        <f t="shared" ref="G515:G578" si="17">+F515+0</f>
        <v>0</v>
      </c>
    </row>
    <row r="516" spans="3:7" x14ac:dyDescent="0.45">
      <c r="C516" t="s">
        <v>762</v>
      </c>
      <c r="D516">
        <f t="shared" si="16"/>
        <v>170</v>
      </c>
      <c r="F516">
        <v>0</v>
      </c>
      <c r="G516">
        <f t="shared" si="17"/>
        <v>0</v>
      </c>
    </row>
    <row r="517" spans="3:7" x14ac:dyDescent="0.45">
      <c r="C517" t="s">
        <v>763</v>
      </c>
      <c r="D517">
        <f t="shared" si="16"/>
        <v>160</v>
      </c>
      <c r="F517">
        <v>0</v>
      </c>
      <c r="G517">
        <f t="shared" si="17"/>
        <v>0</v>
      </c>
    </row>
    <row r="518" spans="3:7" x14ac:dyDescent="0.45">
      <c r="C518" t="s">
        <v>786</v>
      </c>
      <c r="D518">
        <f t="shared" si="16"/>
        <v>180</v>
      </c>
      <c r="F518">
        <v>0</v>
      </c>
      <c r="G518">
        <f t="shared" si="17"/>
        <v>0</v>
      </c>
    </row>
    <row r="519" spans="3:7" x14ac:dyDescent="0.45">
      <c r="C519" t="s">
        <v>786</v>
      </c>
      <c r="D519">
        <f t="shared" si="16"/>
        <v>180</v>
      </c>
      <c r="F519">
        <v>0</v>
      </c>
      <c r="G519">
        <f t="shared" si="17"/>
        <v>0</v>
      </c>
    </row>
    <row r="520" spans="3:7" x14ac:dyDescent="0.45">
      <c r="C520" t="s">
        <v>764</v>
      </c>
      <c r="D520">
        <f t="shared" si="16"/>
        <v>22</v>
      </c>
      <c r="F520">
        <v>0</v>
      </c>
      <c r="G520">
        <f t="shared" si="17"/>
        <v>0</v>
      </c>
    </row>
    <row r="521" spans="3:7" x14ac:dyDescent="0.45">
      <c r="C521" t="s">
        <v>764</v>
      </c>
      <c r="D521">
        <f t="shared" si="16"/>
        <v>22</v>
      </c>
      <c r="F521">
        <v>0</v>
      </c>
      <c r="G521">
        <f t="shared" si="17"/>
        <v>0</v>
      </c>
    </row>
    <row r="522" spans="3:7" x14ac:dyDescent="0.45">
      <c r="C522" t="s">
        <v>764</v>
      </c>
      <c r="D522">
        <f t="shared" si="16"/>
        <v>22</v>
      </c>
      <c r="F522">
        <v>0</v>
      </c>
      <c r="G522">
        <f t="shared" si="17"/>
        <v>0</v>
      </c>
    </row>
    <row r="523" spans="3:7" x14ac:dyDescent="0.45">
      <c r="C523" t="s">
        <v>764</v>
      </c>
      <c r="D523">
        <f t="shared" si="16"/>
        <v>22</v>
      </c>
      <c r="F523">
        <v>0</v>
      </c>
      <c r="G523">
        <f t="shared" si="17"/>
        <v>0</v>
      </c>
    </row>
    <row r="524" spans="3:7" x14ac:dyDescent="0.45">
      <c r="C524" t="s">
        <v>764</v>
      </c>
      <c r="D524">
        <f t="shared" si="16"/>
        <v>22</v>
      </c>
      <c r="F524">
        <v>0</v>
      </c>
      <c r="G524">
        <f t="shared" si="17"/>
        <v>0</v>
      </c>
    </row>
    <row r="525" spans="3:7" x14ac:dyDescent="0.45">
      <c r="C525" t="s">
        <v>764</v>
      </c>
      <c r="D525">
        <f t="shared" si="16"/>
        <v>22</v>
      </c>
      <c r="F525">
        <v>0</v>
      </c>
      <c r="G525">
        <f t="shared" si="17"/>
        <v>0</v>
      </c>
    </row>
    <row r="526" spans="3:7" x14ac:dyDescent="0.45">
      <c r="C526" t="s">
        <v>764</v>
      </c>
      <c r="D526">
        <f t="shared" si="16"/>
        <v>22</v>
      </c>
      <c r="F526">
        <v>0</v>
      </c>
      <c r="G526">
        <f t="shared" si="17"/>
        <v>0</v>
      </c>
    </row>
    <row r="527" spans="3:7" x14ac:dyDescent="0.45">
      <c r="C527" t="s">
        <v>764</v>
      </c>
      <c r="D527">
        <f t="shared" si="16"/>
        <v>22</v>
      </c>
      <c r="F527">
        <v>0</v>
      </c>
      <c r="G527">
        <f t="shared" si="17"/>
        <v>0</v>
      </c>
    </row>
    <row r="528" spans="3:7" x14ac:dyDescent="0.45">
      <c r="C528" t="s">
        <v>764</v>
      </c>
      <c r="D528">
        <f t="shared" si="16"/>
        <v>22</v>
      </c>
      <c r="F528">
        <v>0</v>
      </c>
      <c r="G528">
        <f t="shared" si="17"/>
        <v>0</v>
      </c>
    </row>
    <row r="529" spans="3:7" x14ac:dyDescent="0.45">
      <c r="C529" t="s">
        <v>764</v>
      </c>
      <c r="D529">
        <f t="shared" si="16"/>
        <v>22</v>
      </c>
      <c r="F529">
        <v>0</v>
      </c>
      <c r="G529">
        <f t="shared" si="17"/>
        <v>0</v>
      </c>
    </row>
    <row r="530" spans="3:7" x14ac:dyDescent="0.45">
      <c r="C530" t="s">
        <v>764</v>
      </c>
      <c r="D530">
        <f t="shared" si="16"/>
        <v>22</v>
      </c>
      <c r="F530">
        <v>0</v>
      </c>
      <c r="G530">
        <f t="shared" si="17"/>
        <v>0</v>
      </c>
    </row>
    <row r="531" spans="3:7" x14ac:dyDescent="0.45">
      <c r="C531" t="s">
        <v>764</v>
      </c>
      <c r="D531">
        <f t="shared" si="16"/>
        <v>22</v>
      </c>
      <c r="F531">
        <v>0</v>
      </c>
      <c r="G531">
        <f t="shared" si="17"/>
        <v>0</v>
      </c>
    </row>
    <row r="532" spans="3:7" x14ac:dyDescent="0.45">
      <c r="C532" t="s">
        <v>764</v>
      </c>
      <c r="D532">
        <f t="shared" si="16"/>
        <v>22</v>
      </c>
      <c r="F532">
        <v>0</v>
      </c>
      <c r="G532">
        <f t="shared" si="17"/>
        <v>0</v>
      </c>
    </row>
    <row r="533" spans="3:7" x14ac:dyDescent="0.45">
      <c r="C533" t="s">
        <v>764</v>
      </c>
      <c r="D533">
        <f t="shared" si="16"/>
        <v>22</v>
      </c>
      <c r="F533">
        <v>0</v>
      </c>
      <c r="G533">
        <f t="shared" si="17"/>
        <v>0</v>
      </c>
    </row>
    <row r="534" spans="3:7" x14ac:dyDescent="0.45">
      <c r="C534" t="s">
        <v>764</v>
      </c>
      <c r="D534">
        <f t="shared" si="16"/>
        <v>22</v>
      </c>
      <c r="F534">
        <v>0</v>
      </c>
      <c r="G534">
        <f t="shared" si="17"/>
        <v>0</v>
      </c>
    </row>
    <row r="535" spans="3:7" x14ac:dyDescent="0.45">
      <c r="C535" t="s">
        <v>753</v>
      </c>
      <c r="D535">
        <f t="shared" si="16"/>
        <v>20</v>
      </c>
      <c r="F535">
        <v>0</v>
      </c>
      <c r="G535">
        <f t="shared" si="17"/>
        <v>0</v>
      </c>
    </row>
    <row r="536" spans="3:7" x14ac:dyDescent="0.45">
      <c r="C536" t="s">
        <v>763</v>
      </c>
      <c r="D536">
        <f t="shared" si="16"/>
        <v>160</v>
      </c>
      <c r="F536">
        <v>0</v>
      </c>
      <c r="G536">
        <f t="shared" si="17"/>
        <v>0</v>
      </c>
    </row>
    <row r="537" spans="3:7" x14ac:dyDescent="0.45">
      <c r="C537" t="s">
        <v>763</v>
      </c>
      <c r="D537">
        <f t="shared" si="16"/>
        <v>160</v>
      </c>
      <c r="F537">
        <v>0</v>
      </c>
      <c r="G537">
        <f t="shared" si="17"/>
        <v>0</v>
      </c>
    </row>
    <row r="538" spans="3:7" x14ac:dyDescent="0.45">
      <c r="C538" t="s">
        <v>761</v>
      </c>
      <c r="D538">
        <f t="shared" si="16"/>
        <v>240</v>
      </c>
      <c r="F538">
        <v>0</v>
      </c>
      <c r="G538">
        <f t="shared" si="17"/>
        <v>0</v>
      </c>
    </row>
    <row r="539" spans="3:7" x14ac:dyDescent="0.45">
      <c r="C539" t="s">
        <v>766</v>
      </c>
      <c r="D539">
        <f t="shared" si="16"/>
        <v>90</v>
      </c>
      <c r="F539">
        <v>0</v>
      </c>
      <c r="G539">
        <f t="shared" si="17"/>
        <v>0</v>
      </c>
    </row>
    <row r="540" spans="3:7" x14ac:dyDescent="0.45">
      <c r="C540" t="s">
        <v>767</v>
      </c>
      <c r="D540">
        <f t="shared" si="16"/>
        <v>110</v>
      </c>
      <c r="F540">
        <v>0</v>
      </c>
      <c r="G540">
        <f t="shared" si="17"/>
        <v>0</v>
      </c>
    </row>
    <row r="541" spans="3:7" x14ac:dyDescent="0.45">
      <c r="C541" t="s">
        <v>768</v>
      </c>
      <c r="D541">
        <f t="shared" si="16"/>
        <v>120</v>
      </c>
      <c r="F541">
        <v>0</v>
      </c>
      <c r="G541">
        <f t="shared" si="17"/>
        <v>0</v>
      </c>
    </row>
    <row r="542" spans="3:7" x14ac:dyDescent="0.45">
      <c r="C542" t="s">
        <v>769</v>
      </c>
      <c r="D542">
        <f t="shared" si="16"/>
        <v>340</v>
      </c>
      <c r="F542" t="s">
        <v>789</v>
      </c>
      <c r="G542">
        <f t="shared" si="17"/>
        <v>520</v>
      </c>
    </row>
    <row r="543" spans="3:7" x14ac:dyDescent="0.45">
      <c r="C543" t="s">
        <v>770</v>
      </c>
      <c r="D543">
        <f t="shared" si="16"/>
        <v>330</v>
      </c>
      <c r="F543" t="s">
        <v>790</v>
      </c>
      <c r="G543">
        <f t="shared" si="17"/>
        <v>530</v>
      </c>
    </row>
    <row r="544" spans="3:7" x14ac:dyDescent="0.45">
      <c r="C544" t="s">
        <v>770</v>
      </c>
      <c r="D544">
        <f t="shared" si="16"/>
        <v>330</v>
      </c>
      <c r="F544" t="s">
        <v>790</v>
      </c>
      <c r="G544">
        <f t="shared" si="17"/>
        <v>530</v>
      </c>
    </row>
    <row r="545" spans="3:7" x14ac:dyDescent="0.45">
      <c r="C545" t="s">
        <v>770</v>
      </c>
      <c r="D545">
        <f t="shared" si="16"/>
        <v>330</v>
      </c>
      <c r="F545" t="s">
        <v>790</v>
      </c>
      <c r="G545">
        <f t="shared" si="17"/>
        <v>530</v>
      </c>
    </row>
    <row r="546" spans="3:7" x14ac:dyDescent="0.45">
      <c r="C546" t="s">
        <v>770</v>
      </c>
      <c r="D546">
        <f t="shared" si="16"/>
        <v>330</v>
      </c>
      <c r="F546" t="s">
        <v>790</v>
      </c>
      <c r="G546">
        <f t="shared" si="17"/>
        <v>530</v>
      </c>
    </row>
    <row r="547" spans="3:7" x14ac:dyDescent="0.45">
      <c r="C547" t="s">
        <v>770</v>
      </c>
      <c r="D547">
        <f t="shared" si="16"/>
        <v>330</v>
      </c>
      <c r="F547" t="s">
        <v>790</v>
      </c>
      <c r="G547">
        <f t="shared" si="17"/>
        <v>530</v>
      </c>
    </row>
    <row r="548" spans="3:7" x14ac:dyDescent="0.45">
      <c r="C548" t="s">
        <v>770</v>
      </c>
      <c r="D548">
        <f t="shared" si="16"/>
        <v>330</v>
      </c>
      <c r="F548" t="s">
        <v>790</v>
      </c>
      <c r="G548">
        <f t="shared" si="17"/>
        <v>530</v>
      </c>
    </row>
    <row r="549" spans="3:7" x14ac:dyDescent="0.45">
      <c r="C549" t="s">
        <v>770</v>
      </c>
      <c r="D549">
        <f t="shared" si="16"/>
        <v>330</v>
      </c>
      <c r="F549" t="s">
        <v>790</v>
      </c>
      <c r="G549">
        <f t="shared" si="17"/>
        <v>530</v>
      </c>
    </row>
    <row r="550" spans="3:7" x14ac:dyDescent="0.45">
      <c r="C550" t="s">
        <v>771</v>
      </c>
      <c r="D550">
        <f t="shared" si="16"/>
        <v>360</v>
      </c>
      <c r="F550" t="s">
        <v>791</v>
      </c>
      <c r="G550">
        <f t="shared" si="17"/>
        <v>550</v>
      </c>
    </row>
    <row r="551" spans="3:7" x14ac:dyDescent="0.45">
      <c r="C551" t="s">
        <v>771</v>
      </c>
      <c r="D551">
        <f t="shared" si="16"/>
        <v>360</v>
      </c>
      <c r="F551" t="s">
        <v>792</v>
      </c>
      <c r="G551">
        <f t="shared" si="17"/>
        <v>540</v>
      </c>
    </row>
    <row r="552" spans="3:7" x14ac:dyDescent="0.45">
      <c r="C552" t="s">
        <v>771</v>
      </c>
      <c r="D552">
        <f t="shared" si="16"/>
        <v>360</v>
      </c>
      <c r="F552" t="s">
        <v>792</v>
      </c>
      <c r="G552">
        <f t="shared" si="17"/>
        <v>540</v>
      </c>
    </row>
    <row r="553" spans="3:7" x14ac:dyDescent="0.45">
      <c r="C553" t="s">
        <v>760</v>
      </c>
      <c r="D553">
        <f t="shared" si="16"/>
        <v>230</v>
      </c>
      <c r="F553">
        <v>0</v>
      </c>
      <c r="G553">
        <f t="shared" si="17"/>
        <v>0</v>
      </c>
    </row>
    <row r="554" spans="3:7" x14ac:dyDescent="0.45">
      <c r="C554" t="s">
        <v>771</v>
      </c>
      <c r="D554">
        <f t="shared" si="16"/>
        <v>360</v>
      </c>
      <c r="F554" t="s">
        <v>791</v>
      </c>
      <c r="G554">
        <f t="shared" si="17"/>
        <v>550</v>
      </c>
    </row>
    <row r="555" spans="3:7" x14ac:dyDescent="0.45">
      <c r="C555" t="s">
        <v>771</v>
      </c>
      <c r="D555">
        <f t="shared" si="16"/>
        <v>360</v>
      </c>
      <c r="F555" t="s">
        <v>793</v>
      </c>
      <c r="G555">
        <f t="shared" si="17"/>
        <v>595</v>
      </c>
    </row>
    <row r="556" spans="3:7" x14ac:dyDescent="0.45">
      <c r="C556" t="s">
        <v>771</v>
      </c>
      <c r="D556">
        <f t="shared" si="16"/>
        <v>360</v>
      </c>
      <c r="F556" t="s">
        <v>791</v>
      </c>
      <c r="G556">
        <f t="shared" si="17"/>
        <v>550</v>
      </c>
    </row>
    <row r="557" spans="3:7" x14ac:dyDescent="0.45">
      <c r="C557" t="s">
        <v>771</v>
      </c>
      <c r="D557">
        <f t="shared" si="16"/>
        <v>360</v>
      </c>
      <c r="F557" t="s">
        <v>793</v>
      </c>
      <c r="G557">
        <f t="shared" si="17"/>
        <v>595</v>
      </c>
    </row>
    <row r="558" spans="3:7" x14ac:dyDescent="0.45">
      <c r="C558" t="s">
        <v>772</v>
      </c>
      <c r="D558">
        <f t="shared" si="16"/>
        <v>380</v>
      </c>
      <c r="F558" t="s">
        <v>794</v>
      </c>
      <c r="G558">
        <f t="shared" si="17"/>
        <v>600</v>
      </c>
    </row>
    <row r="559" spans="3:7" x14ac:dyDescent="0.45">
      <c r="C559" t="s">
        <v>771</v>
      </c>
      <c r="D559">
        <f t="shared" si="16"/>
        <v>360</v>
      </c>
      <c r="F559" t="s">
        <v>793</v>
      </c>
      <c r="G559">
        <f t="shared" si="17"/>
        <v>595</v>
      </c>
    </row>
    <row r="560" spans="3:7" x14ac:dyDescent="0.45">
      <c r="C560" t="s">
        <v>771</v>
      </c>
      <c r="D560">
        <f t="shared" si="16"/>
        <v>360</v>
      </c>
      <c r="F560" t="s">
        <v>791</v>
      </c>
      <c r="G560">
        <f t="shared" si="17"/>
        <v>550</v>
      </c>
    </row>
    <row r="561" spans="3:7" x14ac:dyDescent="0.45">
      <c r="C561" t="s">
        <v>772</v>
      </c>
      <c r="D561">
        <f t="shared" si="16"/>
        <v>380</v>
      </c>
      <c r="F561" t="s">
        <v>794</v>
      </c>
      <c r="G561">
        <f t="shared" si="17"/>
        <v>600</v>
      </c>
    </row>
    <row r="562" spans="3:7" x14ac:dyDescent="0.45">
      <c r="C562" t="s">
        <v>772</v>
      </c>
      <c r="D562">
        <f t="shared" si="16"/>
        <v>380</v>
      </c>
      <c r="F562" t="s">
        <v>794</v>
      </c>
      <c r="G562">
        <f t="shared" si="17"/>
        <v>600</v>
      </c>
    </row>
    <row r="563" spans="3:7" x14ac:dyDescent="0.45">
      <c r="C563" t="s">
        <v>772</v>
      </c>
      <c r="D563">
        <f t="shared" si="16"/>
        <v>380</v>
      </c>
      <c r="F563" t="s">
        <v>794</v>
      </c>
      <c r="G563">
        <f t="shared" si="17"/>
        <v>600</v>
      </c>
    </row>
    <row r="564" spans="3:7" x14ac:dyDescent="0.45">
      <c r="C564" t="s">
        <v>771</v>
      </c>
      <c r="D564">
        <f t="shared" si="16"/>
        <v>360</v>
      </c>
      <c r="F564" t="s">
        <v>793</v>
      </c>
      <c r="G564">
        <f t="shared" si="17"/>
        <v>595</v>
      </c>
    </row>
    <row r="565" spans="3:7" x14ac:dyDescent="0.45">
      <c r="C565" t="s">
        <v>771</v>
      </c>
      <c r="D565">
        <f t="shared" si="16"/>
        <v>360</v>
      </c>
      <c r="F565" t="s">
        <v>791</v>
      </c>
      <c r="G565">
        <f t="shared" si="17"/>
        <v>550</v>
      </c>
    </row>
    <row r="566" spans="3:7" x14ac:dyDescent="0.45">
      <c r="C566" t="s">
        <v>771</v>
      </c>
      <c r="D566">
        <f t="shared" si="16"/>
        <v>360</v>
      </c>
      <c r="F566" t="s">
        <v>793</v>
      </c>
      <c r="G566">
        <f t="shared" si="17"/>
        <v>595</v>
      </c>
    </row>
    <row r="567" spans="3:7" x14ac:dyDescent="0.45">
      <c r="C567" t="s">
        <v>772</v>
      </c>
      <c r="D567">
        <f t="shared" si="16"/>
        <v>380</v>
      </c>
      <c r="F567" t="s">
        <v>794</v>
      </c>
      <c r="G567">
        <f t="shared" si="17"/>
        <v>600</v>
      </c>
    </row>
    <row r="568" spans="3:7" x14ac:dyDescent="0.45">
      <c r="C568" t="s">
        <v>772</v>
      </c>
      <c r="D568">
        <f t="shared" si="16"/>
        <v>380</v>
      </c>
      <c r="F568" t="s">
        <v>794</v>
      </c>
      <c r="G568">
        <f t="shared" si="17"/>
        <v>600</v>
      </c>
    </row>
    <row r="569" spans="3:7" x14ac:dyDescent="0.45">
      <c r="C569" t="s">
        <v>772</v>
      </c>
      <c r="D569">
        <f t="shared" si="16"/>
        <v>380</v>
      </c>
      <c r="F569" t="s">
        <v>794</v>
      </c>
      <c r="G569">
        <f t="shared" si="17"/>
        <v>600</v>
      </c>
    </row>
    <row r="570" spans="3:7" x14ac:dyDescent="0.45">
      <c r="C570" t="s">
        <v>772</v>
      </c>
      <c r="D570">
        <f t="shared" si="16"/>
        <v>380</v>
      </c>
      <c r="F570" t="s">
        <v>794</v>
      </c>
      <c r="G570">
        <f t="shared" si="17"/>
        <v>600</v>
      </c>
    </row>
    <row r="571" spans="3:7" x14ac:dyDescent="0.45">
      <c r="C571" t="s">
        <v>773</v>
      </c>
      <c r="D571">
        <f t="shared" si="16"/>
        <v>390</v>
      </c>
      <c r="F571" t="s">
        <v>795</v>
      </c>
      <c r="G571">
        <f t="shared" si="17"/>
        <v>570</v>
      </c>
    </row>
    <row r="572" spans="3:7" x14ac:dyDescent="0.45">
      <c r="C572" t="s">
        <v>773</v>
      </c>
      <c r="D572">
        <f t="shared" si="16"/>
        <v>390</v>
      </c>
      <c r="F572" t="s">
        <v>795</v>
      </c>
      <c r="G572">
        <f t="shared" si="17"/>
        <v>570</v>
      </c>
    </row>
    <row r="573" spans="3:7" x14ac:dyDescent="0.45">
      <c r="C573" t="s">
        <v>773</v>
      </c>
      <c r="D573">
        <f t="shared" si="16"/>
        <v>390</v>
      </c>
      <c r="F573" t="s">
        <v>795</v>
      </c>
      <c r="G573">
        <f t="shared" si="17"/>
        <v>570</v>
      </c>
    </row>
    <row r="574" spans="3:7" x14ac:dyDescent="0.45">
      <c r="C574" t="s">
        <v>773</v>
      </c>
      <c r="D574">
        <f t="shared" si="16"/>
        <v>390</v>
      </c>
      <c r="F574" t="s">
        <v>795</v>
      </c>
      <c r="G574">
        <f t="shared" si="17"/>
        <v>570</v>
      </c>
    </row>
    <row r="575" spans="3:7" x14ac:dyDescent="0.45">
      <c r="C575" t="s">
        <v>774</v>
      </c>
      <c r="D575">
        <f t="shared" si="16"/>
        <v>400</v>
      </c>
      <c r="F575" t="s">
        <v>795</v>
      </c>
      <c r="G575">
        <f t="shared" si="17"/>
        <v>570</v>
      </c>
    </row>
    <row r="576" spans="3:7" x14ac:dyDescent="0.45">
      <c r="C576" t="s">
        <v>773</v>
      </c>
      <c r="D576">
        <f t="shared" si="16"/>
        <v>390</v>
      </c>
      <c r="F576" t="s">
        <v>795</v>
      </c>
      <c r="G576">
        <f t="shared" si="17"/>
        <v>570</v>
      </c>
    </row>
    <row r="577" spans="3:7" x14ac:dyDescent="0.45">
      <c r="C577" t="s">
        <v>773</v>
      </c>
      <c r="D577">
        <f t="shared" si="16"/>
        <v>390</v>
      </c>
      <c r="F577" t="s">
        <v>795</v>
      </c>
      <c r="G577">
        <f t="shared" si="17"/>
        <v>570</v>
      </c>
    </row>
    <row r="578" spans="3:7" x14ac:dyDescent="0.45">
      <c r="C578" t="s">
        <v>773</v>
      </c>
      <c r="D578">
        <f t="shared" si="16"/>
        <v>390</v>
      </c>
      <c r="F578" t="s">
        <v>795</v>
      </c>
      <c r="G578">
        <f t="shared" si="17"/>
        <v>570</v>
      </c>
    </row>
    <row r="579" spans="3:7" x14ac:dyDescent="0.45">
      <c r="C579" t="s">
        <v>773</v>
      </c>
      <c r="D579">
        <f t="shared" ref="D579:D642" si="18">+C579+0</f>
        <v>390</v>
      </c>
      <c r="F579" t="s">
        <v>795</v>
      </c>
      <c r="G579">
        <f t="shared" ref="G579:G642" si="19">+F579+0</f>
        <v>570</v>
      </c>
    </row>
    <row r="580" spans="3:7" x14ac:dyDescent="0.45">
      <c r="C580" t="s">
        <v>775</v>
      </c>
      <c r="D580">
        <f t="shared" si="18"/>
        <v>450</v>
      </c>
      <c r="F580" t="s">
        <v>796</v>
      </c>
      <c r="G580">
        <f t="shared" si="19"/>
        <v>620</v>
      </c>
    </row>
    <row r="581" spans="3:7" x14ac:dyDescent="0.45">
      <c r="C581" t="s">
        <v>776</v>
      </c>
      <c r="D581">
        <f t="shared" si="18"/>
        <v>430</v>
      </c>
      <c r="F581" t="s">
        <v>797</v>
      </c>
      <c r="G581">
        <f t="shared" si="19"/>
        <v>610</v>
      </c>
    </row>
    <row r="582" spans="3:7" x14ac:dyDescent="0.45">
      <c r="C582" t="s">
        <v>776</v>
      </c>
      <c r="D582">
        <f t="shared" si="18"/>
        <v>430</v>
      </c>
      <c r="F582" t="s">
        <v>797</v>
      </c>
      <c r="G582">
        <f t="shared" si="19"/>
        <v>610</v>
      </c>
    </row>
    <row r="583" spans="3:7" x14ac:dyDescent="0.45">
      <c r="C583" t="s">
        <v>776</v>
      </c>
      <c r="D583">
        <f t="shared" si="18"/>
        <v>430</v>
      </c>
      <c r="F583" t="s">
        <v>797</v>
      </c>
      <c r="G583">
        <f t="shared" si="19"/>
        <v>610</v>
      </c>
    </row>
    <row r="584" spans="3:7" x14ac:dyDescent="0.45">
      <c r="C584" t="s">
        <v>776</v>
      </c>
      <c r="D584">
        <f t="shared" si="18"/>
        <v>430</v>
      </c>
      <c r="F584" t="s">
        <v>797</v>
      </c>
      <c r="G584">
        <f t="shared" si="19"/>
        <v>610</v>
      </c>
    </row>
    <row r="585" spans="3:7" x14ac:dyDescent="0.45">
      <c r="C585" t="s">
        <v>772</v>
      </c>
      <c r="D585">
        <f t="shared" si="18"/>
        <v>380</v>
      </c>
      <c r="F585" t="s">
        <v>794</v>
      </c>
      <c r="G585">
        <f t="shared" si="19"/>
        <v>600</v>
      </c>
    </row>
    <row r="586" spans="3:7" x14ac:dyDescent="0.45">
      <c r="C586" t="s">
        <v>776</v>
      </c>
      <c r="D586">
        <f t="shared" si="18"/>
        <v>430</v>
      </c>
      <c r="F586" t="s">
        <v>797</v>
      </c>
      <c r="G586">
        <f t="shared" si="19"/>
        <v>610</v>
      </c>
    </row>
    <row r="587" spans="3:7" x14ac:dyDescent="0.45">
      <c r="C587" t="s">
        <v>776</v>
      </c>
      <c r="D587">
        <f t="shared" si="18"/>
        <v>430</v>
      </c>
      <c r="F587" t="s">
        <v>797</v>
      </c>
      <c r="G587">
        <f t="shared" si="19"/>
        <v>610</v>
      </c>
    </row>
    <row r="588" spans="3:7" x14ac:dyDescent="0.45">
      <c r="C588" t="s">
        <v>776</v>
      </c>
      <c r="D588">
        <f t="shared" si="18"/>
        <v>430</v>
      </c>
      <c r="F588" t="s">
        <v>797</v>
      </c>
      <c r="G588">
        <f t="shared" si="19"/>
        <v>610</v>
      </c>
    </row>
    <row r="589" spans="3:7" x14ac:dyDescent="0.45">
      <c r="C589" t="s">
        <v>775</v>
      </c>
      <c r="D589">
        <f t="shared" si="18"/>
        <v>450</v>
      </c>
      <c r="F589" t="s">
        <v>796</v>
      </c>
      <c r="G589">
        <f t="shared" si="19"/>
        <v>620</v>
      </c>
    </row>
    <row r="590" spans="3:7" x14ac:dyDescent="0.45">
      <c r="C590" t="s">
        <v>775</v>
      </c>
      <c r="D590">
        <f t="shared" si="18"/>
        <v>450</v>
      </c>
      <c r="F590" t="s">
        <v>796</v>
      </c>
      <c r="G590">
        <f t="shared" si="19"/>
        <v>620</v>
      </c>
    </row>
    <row r="591" spans="3:7" x14ac:dyDescent="0.45">
      <c r="C591" t="s">
        <v>777</v>
      </c>
      <c r="D591">
        <f t="shared" si="18"/>
        <v>410</v>
      </c>
      <c r="F591" t="s">
        <v>798</v>
      </c>
      <c r="G591">
        <f t="shared" si="19"/>
        <v>580</v>
      </c>
    </row>
    <row r="592" spans="3:7" x14ac:dyDescent="0.45">
      <c r="C592" t="s">
        <v>777</v>
      </c>
      <c r="D592">
        <f t="shared" si="18"/>
        <v>410</v>
      </c>
      <c r="F592" t="s">
        <v>798</v>
      </c>
      <c r="G592">
        <f t="shared" si="19"/>
        <v>580</v>
      </c>
    </row>
    <row r="593" spans="3:7" x14ac:dyDescent="0.45">
      <c r="C593" t="s">
        <v>777</v>
      </c>
      <c r="D593">
        <f t="shared" si="18"/>
        <v>410</v>
      </c>
      <c r="F593" t="s">
        <v>798</v>
      </c>
      <c r="G593">
        <f t="shared" si="19"/>
        <v>580</v>
      </c>
    </row>
    <row r="594" spans="3:7" x14ac:dyDescent="0.45">
      <c r="C594" t="s">
        <v>777</v>
      </c>
      <c r="D594">
        <f t="shared" si="18"/>
        <v>410</v>
      </c>
      <c r="F594" t="s">
        <v>798</v>
      </c>
      <c r="G594">
        <f t="shared" si="19"/>
        <v>580</v>
      </c>
    </row>
    <row r="595" spans="3:7" x14ac:dyDescent="0.45">
      <c r="C595" t="s">
        <v>777</v>
      </c>
      <c r="D595">
        <f t="shared" si="18"/>
        <v>410</v>
      </c>
      <c r="F595" t="s">
        <v>798</v>
      </c>
      <c r="G595">
        <f t="shared" si="19"/>
        <v>580</v>
      </c>
    </row>
    <row r="596" spans="3:7" x14ac:dyDescent="0.45">
      <c r="C596" t="s">
        <v>777</v>
      </c>
      <c r="D596">
        <f t="shared" si="18"/>
        <v>410</v>
      </c>
      <c r="F596" t="s">
        <v>798</v>
      </c>
      <c r="G596">
        <f t="shared" si="19"/>
        <v>580</v>
      </c>
    </row>
    <row r="597" spans="3:7" x14ac:dyDescent="0.45">
      <c r="C597" t="s">
        <v>777</v>
      </c>
      <c r="D597">
        <f t="shared" si="18"/>
        <v>410</v>
      </c>
      <c r="F597" t="s">
        <v>798</v>
      </c>
      <c r="G597">
        <f t="shared" si="19"/>
        <v>580</v>
      </c>
    </row>
    <row r="598" spans="3:7" x14ac:dyDescent="0.45">
      <c r="C598" t="s">
        <v>777</v>
      </c>
      <c r="D598">
        <f t="shared" si="18"/>
        <v>410</v>
      </c>
      <c r="F598" t="s">
        <v>798</v>
      </c>
      <c r="G598">
        <f t="shared" si="19"/>
        <v>580</v>
      </c>
    </row>
    <row r="599" spans="3:7" x14ac:dyDescent="0.45">
      <c r="C599" t="s">
        <v>777</v>
      </c>
      <c r="D599">
        <f t="shared" si="18"/>
        <v>410</v>
      </c>
      <c r="F599" t="s">
        <v>798</v>
      </c>
      <c r="G599">
        <f t="shared" si="19"/>
        <v>580</v>
      </c>
    </row>
    <row r="600" spans="3:7" x14ac:dyDescent="0.45">
      <c r="C600" t="s">
        <v>777</v>
      </c>
      <c r="D600">
        <f t="shared" si="18"/>
        <v>410</v>
      </c>
      <c r="F600" t="s">
        <v>798</v>
      </c>
      <c r="G600">
        <f t="shared" si="19"/>
        <v>580</v>
      </c>
    </row>
    <row r="601" spans="3:7" x14ac:dyDescent="0.45">
      <c r="C601" t="s">
        <v>777</v>
      </c>
      <c r="D601">
        <f t="shared" si="18"/>
        <v>410</v>
      </c>
      <c r="F601" t="s">
        <v>798</v>
      </c>
      <c r="G601">
        <f t="shared" si="19"/>
        <v>580</v>
      </c>
    </row>
    <row r="602" spans="3:7" x14ac:dyDescent="0.45">
      <c r="C602" t="s">
        <v>777</v>
      </c>
      <c r="D602">
        <f t="shared" si="18"/>
        <v>410</v>
      </c>
      <c r="F602" t="s">
        <v>798</v>
      </c>
      <c r="G602">
        <f t="shared" si="19"/>
        <v>580</v>
      </c>
    </row>
    <row r="603" spans="3:7" x14ac:dyDescent="0.45">
      <c r="C603" t="s">
        <v>777</v>
      </c>
      <c r="D603">
        <f t="shared" si="18"/>
        <v>410</v>
      </c>
      <c r="F603" t="s">
        <v>798</v>
      </c>
      <c r="G603">
        <f t="shared" si="19"/>
        <v>580</v>
      </c>
    </row>
    <row r="604" spans="3:7" x14ac:dyDescent="0.45">
      <c r="C604" t="s">
        <v>777</v>
      </c>
      <c r="D604">
        <f t="shared" si="18"/>
        <v>410</v>
      </c>
      <c r="F604" t="s">
        <v>798</v>
      </c>
      <c r="G604">
        <f t="shared" si="19"/>
        <v>580</v>
      </c>
    </row>
    <row r="605" spans="3:7" x14ac:dyDescent="0.45">
      <c r="C605" t="s">
        <v>777</v>
      </c>
      <c r="D605">
        <f t="shared" si="18"/>
        <v>410</v>
      </c>
      <c r="F605" t="s">
        <v>798</v>
      </c>
      <c r="G605">
        <f t="shared" si="19"/>
        <v>580</v>
      </c>
    </row>
    <row r="606" spans="3:7" x14ac:dyDescent="0.45">
      <c r="C606" t="s">
        <v>778</v>
      </c>
      <c r="D606">
        <f t="shared" si="18"/>
        <v>415</v>
      </c>
      <c r="F606" t="s">
        <v>799</v>
      </c>
      <c r="G606">
        <f t="shared" si="19"/>
        <v>603</v>
      </c>
    </row>
    <row r="607" spans="3:7" x14ac:dyDescent="0.45">
      <c r="C607" t="s">
        <v>778</v>
      </c>
      <c r="D607">
        <f t="shared" si="18"/>
        <v>415</v>
      </c>
      <c r="F607" t="s">
        <v>799</v>
      </c>
      <c r="G607">
        <f t="shared" si="19"/>
        <v>603</v>
      </c>
    </row>
    <row r="608" spans="3:7" x14ac:dyDescent="0.45">
      <c r="C608" t="s">
        <v>771</v>
      </c>
      <c r="D608">
        <f t="shared" si="18"/>
        <v>360</v>
      </c>
      <c r="F608" t="s">
        <v>791</v>
      </c>
      <c r="G608">
        <f t="shared" si="19"/>
        <v>550</v>
      </c>
    </row>
    <row r="609" spans="3:7" x14ac:dyDescent="0.45">
      <c r="C609" t="s">
        <v>772</v>
      </c>
      <c r="D609">
        <f t="shared" si="18"/>
        <v>380</v>
      </c>
      <c r="F609" t="s">
        <v>794</v>
      </c>
      <c r="G609">
        <f t="shared" si="19"/>
        <v>600</v>
      </c>
    </row>
    <row r="610" spans="3:7" x14ac:dyDescent="0.45">
      <c r="C610" t="s">
        <v>779</v>
      </c>
      <c r="D610">
        <f t="shared" si="18"/>
        <v>370</v>
      </c>
      <c r="F610" t="s">
        <v>800</v>
      </c>
      <c r="G610">
        <f t="shared" si="19"/>
        <v>560</v>
      </c>
    </row>
    <row r="611" spans="3:7" x14ac:dyDescent="0.45">
      <c r="C611" t="s">
        <v>779</v>
      </c>
      <c r="D611">
        <f t="shared" si="18"/>
        <v>370</v>
      </c>
      <c r="F611" t="s">
        <v>800</v>
      </c>
      <c r="G611">
        <f t="shared" si="19"/>
        <v>560</v>
      </c>
    </row>
    <row r="612" spans="3:7" x14ac:dyDescent="0.45">
      <c r="C612" t="s">
        <v>779</v>
      </c>
      <c r="D612">
        <f t="shared" si="18"/>
        <v>370</v>
      </c>
      <c r="F612" t="s">
        <v>800</v>
      </c>
      <c r="G612">
        <f t="shared" si="19"/>
        <v>560</v>
      </c>
    </row>
    <row r="613" spans="3:7" x14ac:dyDescent="0.45">
      <c r="C613" t="s">
        <v>779</v>
      </c>
      <c r="D613">
        <f t="shared" si="18"/>
        <v>370</v>
      </c>
      <c r="F613" t="s">
        <v>800</v>
      </c>
      <c r="G613">
        <f t="shared" si="19"/>
        <v>560</v>
      </c>
    </row>
    <row r="614" spans="3:7" x14ac:dyDescent="0.45">
      <c r="C614" t="s">
        <v>780</v>
      </c>
      <c r="D614">
        <f t="shared" si="18"/>
        <v>300</v>
      </c>
      <c r="F614" t="s">
        <v>801</v>
      </c>
      <c r="G614">
        <f t="shared" si="19"/>
        <v>500</v>
      </c>
    </row>
    <row r="615" spans="3:7" x14ac:dyDescent="0.45">
      <c r="C615" t="s">
        <v>770</v>
      </c>
      <c r="D615">
        <f t="shared" si="18"/>
        <v>330</v>
      </c>
      <c r="F615" t="s">
        <v>790</v>
      </c>
      <c r="G615">
        <f t="shared" si="19"/>
        <v>530</v>
      </c>
    </row>
    <row r="616" spans="3:7" x14ac:dyDescent="0.45">
      <c r="C616" t="s">
        <v>772</v>
      </c>
      <c r="D616">
        <f t="shared" si="18"/>
        <v>380</v>
      </c>
      <c r="F616" t="s">
        <v>794</v>
      </c>
      <c r="G616">
        <f t="shared" si="19"/>
        <v>600</v>
      </c>
    </row>
    <row r="617" spans="3:7" x14ac:dyDescent="0.45">
      <c r="C617" t="s">
        <v>772</v>
      </c>
      <c r="D617">
        <f t="shared" si="18"/>
        <v>380</v>
      </c>
      <c r="F617" t="s">
        <v>794</v>
      </c>
      <c r="G617">
        <f t="shared" si="19"/>
        <v>600</v>
      </c>
    </row>
    <row r="618" spans="3:7" x14ac:dyDescent="0.45">
      <c r="C618" t="s">
        <v>772</v>
      </c>
      <c r="D618">
        <f t="shared" si="18"/>
        <v>380</v>
      </c>
      <c r="F618" t="s">
        <v>794</v>
      </c>
      <c r="G618">
        <f t="shared" si="19"/>
        <v>600</v>
      </c>
    </row>
    <row r="619" spans="3:7" x14ac:dyDescent="0.45">
      <c r="C619" t="s">
        <v>772</v>
      </c>
      <c r="D619">
        <f t="shared" si="18"/>
        <v>380</v>
      </c>
      <c r="F619" t="s">
        <v>794</v>
      </c>
      <c r="G619">
        <f t="shared" si="19"/>
        <v>600</v>
      </c>
    </row>
    <row r="620" spans="3:7" x14ac:dyDescent="0.45">
      <c r="C620" t="s">
        <v>770</v>
      </c>
      <c r="D620">
        <f t="shared" si="18"/>
        <v>330</v>
      </c>
      <c r="F620" t="s">
        <v>790</v>
      </c>
      <c r="G620">
        <f t="shared" si="19"/>
        <v>530</v>
      </c>
    </row>
    <row r="621" spans="3:7" x14ac:dyDescent="0.45">
      <c r="C621" t="s">
        <v>772</v>
      </c>
      <c r="D621">
        <f t="shared" si="18"/>
        <v>380</v>
      </c>
      <c r="F621" t="s">
        <v>794</v>
      </c>
      <c r="G621">
        <f t="shared" si="19"/>
        <v>600</v>
      </c>
    </row>
    <row r="622" spans="3:7" x14ac:dyDescent="0.45">
      <c r="C622" t="s">
        <v>771</v>
      </c>
      <c r="D622">
        <f t="shared" si="18"/>
        <v>360</v>
      </c>
      <c r="F622" t="s">
        <v>793</v>
      </c>
      <c r="G622">
        <f t="shared" si="19"/>
        <v>595</v>
      </c>
    </row>
    <row r="623" spans="3:7" x14ac:dyDescent="0.45">
      <c r="C623" t="s">
        <v>772</v>
      </c>
      <c r="D623">
        <f t="shared" si="18"/>
        <v>380</v>
      </c>
      <c r="F623" t="s">
        <v>794</v>
      </c>
      <c r="G623">
        <f t="shared" si="19"/>
        <v>600</v>
      </c>
    </row>
    <row r="624" spans="3:7" x14ac:dyDescent="0.45">
      <c r="C624" t="s">
        <v>772</v>
      </c>
      <c r="D624">
        <f t="shared" si="18"/>
        <v>380</v>
      </c>
      <c r="F624" t="s">
        <v>794</v>
      </c>
      <c r="G624">
        <f t="shared" si="19"/>
        <v>600</v>
      </c>
    </row>
    <row r="625" spans="3:7" x14ac:dyDescent="0.45">
      <c r="C625" t="s">
        <v>771</v>
      </c>
      <c r="D625">
        <f t="shared" si="18"/>
        <v>360</v>
      </c>
      <c r="F625" t="s">
        <v>793</v>
      </c>
      <c r="G625">
        <f t="shared" si="19"/>
        <v>595</v>
      </c>
    </row>
    <row r="626" spans="3:7" x14ac:dyDescent="0.45">
      <c r="C626" t="s">
        <v>772</v>
      </c>
      <c r="D626">
        <f t="shared" si="18"/>
        <v>380</v>
      </c>
      <c r="F626" t="s">
        <v>794</v>
      </c>
      <c r="G626">
        <f t="shared" si="19"/>
        <v>600</v>
      </c>
    </row>
    <row r="627" spans="3:7" x14ac:dyDescent="0.45">
      <c r="C627" t="s">
        <v>772</v>
      </c>
      <c r="D627">
        <f t="shared" si="18"/>
        <v>380</v>
      </c>
      <c r="F627" t="s">
        <v>794</v>
      </c>
      <c r="G627">
        <f t="shared" si="19"/>
        <v>600</v>
      </c>
    </row>
    <row r="628" spans="3:7" x14ac:dyDescent="0.45">
      <c r="C628" t="s">
        <v>772</v>
      </c>
      <c r="D628">
        <f t="shared" si="18"/>
        <v>380</v>
      </c>
      <c r="F628" t="s">
        <v>794</v>
      </c>
      <c r="G628">
        <f t="shared" si="19"/>
        <v>600</v>
      </c>
    </row>
    <row r="629" spans="3:7" x14ac:dyDescent="0.45">
      <c r="C629" t="s">
        <v>772</v>
      </c>
      <c r="D629">
        <f t="shared" si="18"/>
        <v>380</v>
      </c>
      <c r="F629" t="s">
        <v>794</v>
      </c>
      <c r="G629">
        <f t="shared" si="19"/>
        <v>600</v>
      </c>
    </row>
    <row r="630" spans="3:7" x14ac:dyDescent="0.45">
      <c r="C630" t="s">
        <v>771</v>
      </c>
      <c r="D630">
        <f t="shared" si="18"/>
        <v>360</v>
      </c>
      <c r="F630" t="s">
        <v>793</v>
      </c>
      <c r="G630">
        <f t="shared" si="19"/>
        <v>595</v>
      </c>
    </row>
    <row r="631" spans="3:7" x14ac:dyDescent="0.45">
      <c r="C631" t="s">
        <v>771</v>
      </c>
      <c r="D631">
        <f t="shared" si="18"/>
        <v>360</v>
      </c>
      <c r="F631" t="s">
        <v>793</v>
      </c>
      <c r="G631">
        <f t="shared" si="19"/>
        <v>595</v>
      </c>
    </row>
    <row r="632" spans="3:7" x14ac:dyDescent="0.45">
      <c r="C632" t="s">
        <v>771</v>
      </c>
      <c r="D632">
        <f t="shared" si="18"/>
        <v>360</v>
      </c>
      <c r="F632" t="s">
        <v>793</v>
      </c>
      <c r="G632">
        <f t="shared" si="19"/>
        <v>595</v>
      </c>
    </row>
    <row r="633" spans="3:7" x14ac:dyDescent="0.45">
      <c r="C633" t="s">
        <v>772</v>
      </c>
      <c r="D633">
        <f t="shared" si="18"/>
        <v>380</v>
      </c>
      <c r="F633" t="s">
        <v>794</v>
      </c>
      <c r="G633">
        <f t="shared" si="19"/>
        <v>600</v>
      </c>
    </row>
    <row r="634" spans="3:7" x14ac:dyDescent="0.45">
      <c r="C634" t="s">
        <v>772</v>
      </c>
      <c r="D634">
        <f t="shared" si="18"/>
        <v>380</v>
      </c>
      <c r="F634" t="s">
        <v>794</v>
      </c>
      <c r="G634">
        <f t="shared" si="19"/>
        <v>600</v>
      </c>
    </row>
    <row r="635" spans="3:7" x14ac:dyDescent="0.45">
      <c r="C635" t="s">
        <v>772</v>
      </c>
      <c r="D635">
        <f t="shared" si="18"/>
        <v>380</v>
      </c>
      <c r="F635" t="s">
        <v>794</v>
      </c>
      <c r="G635">
        <f t="shared" si="19"/>
        <v>600</v>
      </c>
    </row>
    <row r="636" spans="3:7" x14ac:dyDescent="0.45">
      <c r="C636" t="s">
        <v>772</v>
      </c>
      <c r="D636">
        <f t="shared" si="18"/>
        <v>380</v>
      </c>
      <c r="F636" t="s">
        <v>794</v>
      </c>
      <c r="G636">
        <f t="shared" si="19"/>
        <v>600</v>
      </c>
    </row>
    <row r="637" spans="3:7" x14ac:dyDescent="0.45">
      <c r="C637" t="s">
        <v>780</v>
      </c>
      <c r="D637">
        <f t="shared" si="18"/>
        <v>300</v>
      </c>
      <c r="F637" t="s">
        <v>801</v>
      </c>
      <c r="G637">
        <f t="shared" si="19"/>
        <v>500</v>
      </c>
    </row>
    <row r="638" spans="3:7" x14ac:dyDescent="0.45">
      <c r="C638" t="s">
        <v>780</v>
      </c>
      <c r="D638">
        <f t="shared" si="18"/>
        <v>300</v>
      </c>
      <c r="F638" t="s">
        <v>801</v>
      </c>
      <c r="G638">
        <f t="shared" si="19"/>
        <v>500</v>
      </c>
    </row>
    <row r="639" spans="3:7" x14ac:dyDescent="0.45">
      <c r="C639" t="s">
        <v>780</v>
      </c>
      <c r="D639">
        <f t="shared" si="18"/>
        <v>300</v>
      </c>
      <c r="F639" t="s">
        <v>801</v>
      </c>
      <c r="G639">
        <f t="shared" si="19"/>
        <v>500</v>
      </c>
    </row>
    <row r="640" spans="3:7" x14ac:dyDescent="0.45">
      <c r="C640" t="s">
        <v>782</v>
      </c>
      <c r="D640">
        <f t="shared" si="18"/>
        <v>320</v>
      </c>
      <c r="F640" t="s">
        <v>801</v>
      </c>
      <c r="G640">
        <f t="shared" si="19"/>
        <v>500</v>
      </c>
    </row>
    <row r="641" spans="3:7" x14ac:dyDescent="0.45">
      <c r="C641" t="s">
        <v>783</v>
      </c>
      <c r="D641">
        <f t="shared" si="18"/>
        <v>440</v>
      </c>
      <c r="F641" t="s">
        <v>796</v>
      </c>
      <c r="G641">
        <f t="shared" si="19"/>
        <v>620</v>
      </c>
    </row>
    <row r="642" spans="3:7" x14ac:dyDescent="0.45">
      <c r="C642" t="s">
        <v>783</v>
      </c>
      <c r="D642">
        <f t="shared" si="18"/>
        <v>440</v>
      </c>
      <c r="F642" t="s">
        <v>796</v>
      </c>
      <c r="G642">
        <f t="shared" si="19"/>
        <v>620</v>
      </c>
    </row>
    <row r="643" spans="3:7" x14ac:dyDescent="0.45">
      <c r="C643" t="s">
        <v>783</v>
      </c>
      <c r="D643">
        <f t="shared" ref="D643:D706" si="20">+C643+0</f>
        <v>440</v>
      </c>
      <c r="F643" t="s">
        <v>796</v>
      </c>
      <c r="G643">
        <f t="shared" ref="G643:G706" si="21">+F643+0</f>
        <v>620</v>
      </c>
    </row>
    <row r="644" spans="3:7" x14ac:dyDescent="0.45">
      <c r="C644" t="s">
        <v>769</v>
      </c>
      <c r="D644">
        <f t="shared" si="20"/>
        <v>340</v>
      </c>
      <c r="F644" t="s">
        <v>789</v>
      </c>
      <c r="G644">
        <f t="shared" si="21"/>
        <v>520</v>
      </c>
    </row>
    <row r="645" spans="3:7" x14ac:dyDescent="0.45">
      <c r="C645" t="s">
        <v>780</v>
      </c>
      <c r="D645">
        <f t="shared" si="20"/>
        <v>300</v>
      </c>
      <c r="F645" t="s">
        <v>801</v>
      </c>
      <c r="G645">
        <f t="shared" si="21"/>
        <v>500</v>
      </c>
    </row>
    <row r="646" spans="3:7" x14ac:dyDescent="0.45">
      <c r="C646" t="s">
        <v>782</v>
      </c>
      <c r="D646">
        <f t="shared" si="20"/>
        <v>320</v>
      </c>
      <c r="F646" t="s">
        <v>801</v>
      </c>
      <c r="G646">
        <f t="shared" si="21"/>
        <v>500</v>
      </c>
    </row>
    <row r="647" spans="3:7" x14ac:dyDescent="0.45">
      <c r="C647" t="s">
        <v>782</v>
      </c>
      <c r="D647">
        <f t="shared" si="20"/>
        <v>320</v>
      </c>
      <c r="F647" t="s">
        <v>801</v>
      </c>
      <c r="G647">
        <f t="shared" si="21"/>
        <v>500</v>
      </c>
    </row>
    <row r="648" spans="3:7" x14ac:dyDescent="0.45">
      <c r="C648" t="s">
        <v>783</v>
      </c>
      <c r="D648">
        <f t="shared" si="20"/>
        <v>440</v>
      </c>
      <c r="F648" t="s">
        <v>796</v>
      </c>
      <c r="G648">
        <f t="shared" si="21"/>
        <v>620</v>
      </c>
    </row>
    <row r="649" spans="3:7" x14ac:dyDescent="0.45">
      <c r="C649" t="s">
        <v>783</v>
      </c>
      <c r="D649">
        <f t="shared" si="20"/>
        <v>440</v>
      </c>
      <c r="F649" t="s">
        <v>796</v>
      </c>
      <c r="G649">
        <f t="shared" si="21"/>
        <v>620</v>
      </c>
    </row>
    <row r="650" spans="3:7" x14ac:dyDescent="0.45">
      <c r="C650" t="s">
        <v>784</v>
      </c>
      <c r="D650">
        <f t="shared" si="20"/>
        <v>315</v>
      </c>
      <c r="F650" t="s">
        <v>803</v>
      </c>
      <c r="G650">
        <f t="shared" si="21"/>
        <v>525</v>
      </c>
    </row>
    <row r="651" spans="3:7" x14ac:dyDescent="0.45">
      <c r="C651" t="s">
        <v>781</v>
      </c>
      <c r="D651">
        <f t="shared" si="20"/>
        <v>460</v>
      </c>
      <c r="F651" t="s">
        <v>802</v>
      </c>
      <c r="G651">
        <f t="shared" si="21"/>
        <v>630</v>
      </c>
    </row>
    <row r="652" spans="3:7" x14ac:dyDescent="0.45">
      <c r="C652" t="s">
        <v>781</v>
      </c>
      <c r="D652">
        <f t="shared" si="20"/>
        <v>460</v>
      </c>
      <c r="F652" t="s">
        <v>802</v>
      </c>
      <c r="G652">
        <f t="shared" si="21"/>
        <v>630</v>
      </c>
    </row>
    <row r="653" spans="3:7" x14ac:dyDescent="0.45">
      <c r="C653" t="s">
        <v>754</v>
      </c>
      <c r="D653">
        <f t="shared" si="20"/>
        <v>10</v>
      </c>
      <c r="F653">
        <v>0</v>
      </c>
      <c r="G653">
        <f t="shared" si="21"/>
        <v>0</v>
      </c>
    </row>
    <row r="654" spans="3:7" x14ac:dyDescent="0.45">
      <c r="C654" t="s">
        <v>754</v>
      </c>
      <c r="D654">
        <f t="shared" si="20"/>
        <v>10</v>
      </c>
      <c r="F654">
        <v>0</v>
      </c>
      <c r="G654">
        <f t="shared" si="21"/>
        <v>0</v>
      </c>
    </row>
    <row r="655" spans="3:7" x14ac:dyDescent="0.45">
      <c r="C655" t="s">
        <v>754</v>
      </c>
      <c r="D655">
        <f t="shared" si="20"/>
        <v>10</v>
      </c>
      <c r="F655">
        <v>0</v>
      </c>
      <c r="G655">
        <f t="shared" si="21"/>
        <v>0</v>
      </c>
    </row>
    <row r="656" spans="3:7" x14ac:dyDescent="0.45">
      <c r="C656" t="s">
        <v>754</v>
      </c>
      <c r="D656">
        <f t="shared" si="20"/>
        <v>10</v>
      </c>
      <c r="F656">
        <v>0</v>
      </c>
      <c r="G656">
        <f t="shared" si="21"/>
        <v>0</v>
      </c>
    </row>
    <row r="657" spans="3:7" x14ac:dyDescent="0.45">
      <c r="C657" t="s">
        <v>754</v>
      </c>
      <c r="D657">
        <f t="shared" si="20"/>
        <v>10</v>
      </c>
      <c r="F657">
        <v>0</v>
      </c>
      <c r="G657">
        <f t="shared" si="21"/>
        <v>0</v>
      </c>
    </row>
    <row r="658" spans="3:7" x14ac:dyDescent="0.45">
      <c r="C658" t="s">
        <v>754</v>
      </c>
      <c r="D658">
        <f t="shared" si="20"/>
        <v>10</v>
      </c>
      <c r="F658">
        <v>0</v>
      </c>
      <c r="G658">
        <f t="shared" si="21"/>
        <v>0</v>
      </c>
    </row>
    <row r="659" spans="3:7" x14ac:dyDescent="0.45">
      <c r="C659" t="s">
        <v>754</v>
      </c>
      <c r="D659">
        <f t="shared" si="20"/>
        <v>10</v>
      </c>
      <c r="F659">
        <v>0</v>
      </c>
      <c r="G659">
        <f t="shared" si="21"/>
        <v>0</v>
      </c>
    </row>
    <row r="660" spans="3:7" x14ac:dyDescent="0.45">
      <c r="C660" t="s">
        <v>754</v>
      </c>
      <c r="D660">
        <f t="shared" si="20"/>
        <v>10</v>
      </c>
      <c r="F660">
        <v>0</v>
      </c>
      <c r="G660">
        <f t="shared" si="21"/>
        <v>0</v>
      </c>
    </row>
    <row r="661" spans="3:7" x14ac:dyDescent="0.45">
      <c r="C661" t="s">
        <v>753</v>
      </c>
      <c r="D661">
        <f t="shared" si="20"/>
        <v>20</v>
      </c>
      <c r="F661">
        <v>0</v>
      </c>
      <c r="G661">
        <f t="shared" si="21"/>
        <v>0</v>
      </c>
    </row>
    <row r="662" spans="3:7" x14ac:dyDescent="0.45">
      <c r="C662" t="s">
        <v>753</v>
      </c>
      <c r="D662">
        <f t="shared" si="20"/>
        <v>20</v>
      </c>
      <c r="F662">
        <v>0</v>
      </c>
      <c r="G662">
        <f t="shared" si="21"/>
        <v>0</v>
      </c>
    </row>
    <row r="663" spans="3:7" x14ac:dyDescent="0.45">
      <c r="C663" t="s">
        <v>753</v>
      </c>
      <c r="D663">
        <f t="shared" si="20"/>
        <v>20</v>
      </c>
      <c r="F663">
        <v>0</v>
      </c>
      <c r="G663">
        <f t="shared" si="21"/>
        <v>0</v>
      </c>
    </row>
    <row r="664" spans="3:7" x14ac:dyDescent="0.45">
      <c r="C664" t="s">
        <v>753</v>
      </c>
      <c r="D664">
        <f t="shared" si="20"/>
        <v>20</v>
      </c>
      <c r="F664">
        <v>0</v>
      </c>
      <c r="G664">
        <f t="shared" si="21"/>
        <v>0</v>
      </c>
    </row>
    <row r="665" spans="3:7" x14ac:dyDescent="0.45">
      <c r="C665" t="s">
        <v>753</v>
      </c>
      <c r="D665">
        <f t="shared" si="20"/>
        <v>20</v>
      </c>
      <c r="F665">
        <v>0</v>
      </c>
      <c r="G665">
        <f t="shared" si="21"/>
        <v>0</v>
      </c>
    </row>
    <row r="666" spans="3:7" x14ac:dyDescent="0.45">
      <c r="C666" t="s">
        <v>753</v>
      </c>
      <c r="D666">
        <f t="shared" si="20"/>
        <v>20</v>
      </c>
      <c r="F666">
        <v>0</v>
      </c>
      <c r="G666">
        <f t="shared" si="21"/>
        <v>0</v>
      </c>
    </row>
    <row r="667" spans="3:7" x14ac:dyDescent="0.45">
      <c r="C667" t="s">
        <v>753</v>
      </c>
      <c r="D667">
        <f t="shared" si="20"/>
        <v>20</v>
      </c>
      <c r="F667">
        <v>0</v>
      </c>
      <c r="G667">
        <f t="shared" si="21"/>
        <v>0</v>
      </c>
    </row>
    <row r="668" spans="3:7" x14ac:dyDescent="0.45">
      <c r="C668" t="s">
        <v>753</v>
      </c>
      <c r="D668">
        <f t="shared" si="20"/>
        <v>20</v>
      </c>
      <c r="F668">
        <v>0</v>
      </c>
      <c r="G668">
        <f t="shared" si="21"/>
        <v>0</v>
      </c>
    </row>
    <row r="669" spans="3:7" x14ac:dyDescent="0.45">
      <c r="C669" t="s">
        <v>753</v>
      </c>
      <c r="D669">
        <f t="shared" si="20"/>
        <v>20</v>
      </c>
      <c r="F669">
        <v>0</v>
      </c>
      <c r="G669">
        <f t="shared" si="21"/>
        <v>0</v>
      </c>
    </row>
    <row r="670" spans="3:7" x14ac:dyDescent="0.45">
      <c r="C670" t="s">
        <v>753</v>
      </c>
      <c r="D670">
        <f t="shared" si="20"/>
        <v>20</v>
      </c>
      <c r="F670">
        <v>0</v>
      </c>
      <c r="G670">
        <f t="shared" si="21"/>
        <v>0</v>
      </c>
    </row>
    <row r="671" spans="3:7" x14ac:dyDescent="0.45">
      <c r="C671" t="s">
        <v>753</v>
      </c>
      <c r="D671">
        <f t="shared" si="20"/>
        <v>20</v>
      </c>
      <c r="F671">
        <v>0</v>
      </c>
      <c r="G671">
        <f t="shared" si="21"/>
        <v>0</v>
      </c>
    </row>
    <row r="672" spans="3:7" x14ac:dyDescent="0.45">
      <c r="C672" t="s">
        <v>753</v>
      </c>
      <c r="D672">
        <f t="shared" si="20"/>
        <v>20</v>
      </c>
      <c r="F672">
        <v>0</v>
      </c>
      <c r="G672">
        <f t="shared" si="21"/>
        <v>0</v>
      </c>
    </row>
    <row r="673" spans="3:7" x14ac:dyDescent="0.45">
      <c r="C673" t="s">
        <v>753</v>
      </c>
      <c r="D673">
        <f t="shared" si="20"/>
        <v>20</v>
      </c>
      <c r="F673">
        <v>0</v>
      </c>
      <c r="G673">
        <f t="shared" si="21"/>
        <v>0</v>
      </c>
    </row>
    <row r="674" spans="3:7" x14ac:dyDescent="0.45">
      <c r="C674" t="s">
        <v>753</v>
      </c>
      <c r="D674">
        <f t="shared" si="20"/>
        <v>20</v>
      </c>
      <c r="F674">
        <v>0</v>
      </c>
      <c r="G674">
        <f t="shared" si="21"/>
        <v>0</v>
      </c>
    </row>
    <row r="675" spans="3:7" x14ac:dyDescent="0.45">
      <c r="C675" t="s">
        <v>753</v>
      </c>
      <c r="D675">
        <f t="shared" si="20"/>
        <v>20</v>
      </c>
      <c r="F675">
        <v>0</v>
      </c>
      <c r="G675">
        <f t="shared" si="21"/>
        <v>0</v>
      </c>
    </row>
    <row r="676" spans="3:7" x14ac:dyDescent="0.45">
      <c r="C676" t="s">
        <v>753</v>
      </c>
      <c r="D676">
        <f t="shared" si="20"/>
        <v>20</v>
      </c>
      <c r="F676">
        <v>0</v>
      </c>
      <c r="G676">
        <f t="shared" si="21"/>
        <v>0</v>
      </c>
    </row>
    <row r="677" spans="3:7" x14ac:dyDescent="0.45">
      <c r="C677" t="s">
        <v>753</v>
      </c>
      <c r="D677">
        <f t="shared" si="20"/>
        <v>20</v>
      </c>
      <c r="F677">
        <v>0</v>
      </c>
      <c r="G677">
        <f t="shared" si="21"/>
        <v>0</v>
      </c>
    </row>
    <row r="678" spans="3:7" x14ac:dyDescent="0.45">
      <c r="C678" t="s">
        <v>753</v>
      </c>
      <c r="D678">
        <f t="shared" si="20"/>
        <v>20</v>
      </c>
      <c r="F678">
        <v>0</v>
      </c>
      <c r="G678">
        <f t="shared" si="21"/>
        <v>0</v>
      </c>
    </row>
    <row r="679" spans="3:7" x14ac:dyDescent="0.45">
      <c r="C679" t="s">
        <v>764</v>
      </c>
      <c r="D679">
        <f t="shared" si="20"/>
        <v>22</v>
      </c>
      <c r="F679">
        <v>0</v>
      </c>
      <c r="G679">
        <f t="shared" si="21"/>
        <v>0</v>
      </c>
    </row>
    <row r="680" spans="3:7" x14ac:dyDescent="0.45">
      <c r="C680" t="s">
        <v>764</v>
      </c>
      <c r="D680">
        <f t="shared" si="20"/>
        <v>22</v>
      </c>
      <c r="F680">
        <v>0</v>
      </c>
      <c r="G680">
        <f t="shared" si="21"/>
        <v>0</v>
      </c>
    </row>
    <row r="681" spans="3:7" x14ac:dyDescent="0.45">
      <c r="C681" t="s">
        <v>764</v>
      </c>
      <c r="D681">
        <f t="shared" si="20"/>
        <v>22</v>
      </c>
      <c r="F681">
        <v>0</v>
      </c>
      <c r="G681">
        <f t="shared" si="21"/>
        <v>0</v>
      </c>
    </row>
    <row r="682" spans="3:7" x14ac:dyDescent="0.45">
      <c r="C682" t="s">
        <v>764</v>
      </c>
      <c r="D682">
        <f t="shared" si="20"/>
        <v>22</v>
      </c>
      <c r="F682">
        <v>0</v>
      </c>
      <c r="G682">
        <f t="shared" si="21"/>
        <v>0</v>
      </c>
    </row>
    <row r="683" spans="3:7" x14ac:dyDescent="0.45">
      <c r="C683" t="s">
        <v>764</v>
      </c>
      <c r="D683">
        <f t="shared" si="20"/>
        <v>22</v>
      </c>
      <c r="F683">
        <v>0</v>
      </c>
      <c r="G683">
        <f t="shared" si="21"/>
        <v>0</v>
      </c>
    </row>
    <row r="684" spans="3:7" x14ac:dyDescent="0.45">
      <c r="C684" t="s">
        <v>764</v>
      </c>
      <c r="D684">
        <f t="shared" si="20"/>
        <v>22</v>
      </c>
      <c r="F684">
        <v>0</v>
      </c>
      <c r="G684">
        <f t="shared" si="21"/>
        <v>0</v>
      </c>
    </row>
    <row r="685" spans="3:7" x14ac:dyDescent="0.45">
      <c r="C685" t="s">
        <v>764</v>
      </c>
      <c r="D685">
        <f t="shared" si="20"/>
        <v>22</v>
      </c>
      <c r="F685">
        <v>0</v>
      </c>
      <c r="G685">
        <f t="shared" si="21"/>
        <v>0</v>
      </c>
    </row>
    <row r="686" spans="3:7" x14ac:dyDescent="0.45">
      <c r="C686" t="s">
        <v>764</v>
      </c>
      <c r="D686">
        <f t="shared" si="20"/>
        <v>22</v>
      </c>
      <c r="F686">
        <v>0</v>
      </c>
      <c r="G686">
        <f t="shared" si="21"/>
        <v>0</v>
      </c>
    </row>
    <row r="687" spans="3:7" x14ac:dyDescent="0.45">
      <c r="C687" t="s">
        <v>764</v>
      </c>
      <c r="D687">
        <f t="shared" si="20"/>
        <v>22</v>
      </c>
      <c r="F687">
        <v>0</v>
      </c>
      <c r="G687">
        <f t="shared" si="21"/>
        <v>0</v>
      </c>
    </row>
    <row r="688" spans="3:7" x14ac:dyDescent="0.45">
      <c r="C688" t="s">
        <v>764</v>
      </c>
      <c r="D688">
        <f t="shared" si="20"/>
        <v>22</v>
      </c>
      <c r="F688">
        <v>0</v>
      </c>
      <c r="G688">
        <f t="shared" si="21"/>
        <v>0</v>
      </c>
    </row>
    <row r="689" spans="3:7" x14ac:dyDescent="0.45">
      <c r="C689" t="s">
        <v>764</v>
      </c>
      <c r="D689">
        <f t="shared" si="20"/>
        <v>22</v>
      </c>
      <c r="F689">
        <v>0</v>
      </c>
      <c r="G689">
        <f t="shared" si="21"/>
        <v>0</v>
      </c>
    </row>
    <row r="690" spans="3:7" x14ac:dyDescent="0.45">
      <c r="C690" t="s">
        <v>764</v>
      </c>
      <c r="D690">
        <f t="shared" si="20"/>
        <v>22</v>
      </c>
      <c r="F690">
        <v>0</v>
      </c>
      <c r="G690">
        <f t="shared" si="21"/>
        <v>0</v>
      </c>
    </row>
    <row r="691" spans="3:7" x14ac:dyDescent="0.45">
      <c r="C691" t="s">
        <v>764</v>
      </c>
      <c r="D691">
        <f t="shared" si="20"/>
        <v>22</v>
      </c>
      <c r="F691">
        <v>0</v>
      </c>
      <c r="G691">
        <f t="shared" si="21"/>
        <v>0</v>
      </c>
    </row>
    <row r="692" spans="3:7" x14ac:dyDescent="0.45">
      <c r="C692" t="s">
        <v>764</v>
      </c>
      <c r="D692">
        <f t="shared" si="20"/>
        <v>22</v>
      </c>
      <c r="F692">
        <v>0</v>
      </c>
      <c r="G692">
        <f t="shared" si="21"/>
        <v>0</v>
      </c>
    </row>
    <row r="693" spans="3:7" x14ac:dyDescent="0.45">
      <c r="C693" t="s">
        <v>764</v>
      </c>
      <c r="D693">
        <f t="shared" si="20"/>
        <v>22</v>
      </c>
      <c r="F693">
        <v>0</v>
      </c>
      <c r="G693">
        <f t="shared" si="21"/>
        <v>0</v>
      </c>
    </row>
    <row r="694" spans="3:7" x14ac:dyDescent="0.45">
      <c r="C694" t="s">
        <v>753</v>
      </c>
      <c r="D694">
        <f t="shared" si="20"/>
        <v>20</v>
      </c>
      <c r="F694">
        <v>0</v>
      </c>
      <c r="G694">
        <f t="shared" si="21"/>
        <v>0</v>
      </c>
    </row>
    <row r="695" spans="3:7" x14ac:dyDescent="0.45">
      <c r="C695" t="s">
        <v>764</v>
      </c>
      <c r="D695">
        <f t="shared" si="20"/>
        <v>22</v>
      </c>
      <c r="F695">
        <v>0</v>
      </c>
      <c r="G695">
        <f t="shared" si="21"/>
        <v>0</v>
      </c>
    </row>
    <row r="696" spans="3:7" x14ac:dyDescent="0.45">
      <c r="C696" t="s">
        <v>758</v>
      </c>
      <c r="D696">
        <f t="shared" si="20"/>
        <v>54</v>
      </c>
      <c r="F696">
        <v>0</v>
      </c>
      <c r="G696">
        <f t="shared" si="21"/>
        <v>0</v>
      </c>
    </row>
    <row r="697" spans="3:7" x14ac:dyDescent="0.45">
      <c r="C697" t="s">
        <v>147</v>
      </c>
      <c r="D697">
        <f t="shared" si="20"/>
        <v>40</v>
      </c>
      <c r="F697">
        <v>0</v>
      </c>
      <c r="G697">
        <f t="shared" si="21"/>
        <v>0</v>
      </c>
    </row>
    <row r="698" spans="3:7" x14ac:dyDescent="0.45">
      <c r="C698" t="s">
        <v>147</v>
      </c>
      <c r="D698">
        <f t="shared" si="20"/>
        <v>40</v>
      </c>
      <c r="F698">
        <v>0</v>
      </c>
      <c r="G698">
        <f t="shared" si="21"/>
        <v>0</v>
      </c>
    </row>
    <row r="699" spans="3:7" x14ac:dyDescent="0.45">
      <c r="C699" t="s">
        <v>147</v>
      </c>
      <c r="D699">
        <f t="shared" si="20"/>
        <v>40</v>
      </c>
      <c r="F699">
        <v>0</v>
      </c>
      <c r="G699">
        <f t="shared" si="21"/>
        <v>0</v>
      </c>
    </row>
    <row r="700" spans="3:7" x14ac:dyDescent="0.45">
      <c r="C700" t="s">
        <v>755</v>
      </c>
      <c r="D700">
        <f t="shared" si="20"/>
        <v>50</v>
      </c>
      <c r="F700">
        <v>0</v>
      </c>
      <c r="G700">
        <f t="shared" si="21"/>
        <v>0</v>
      </c>
    </row>
    <row r="701" spans="3:7" x14ac:dyDescent="0.45">
      <c r="C701" t="s">
        <v>755</v>
      </c>
      <c r="D701">
        <f t="shared" si="20"/>
        <v>50</v>
      </c>
      <c r="F701">
        <v>0</v>
      </c>
      <c r="G701">
        <f t="shared" si="21"/>
        <v>0</v>
      </c>
    </row>
    <row r="702" spans="3:7" x14ac:dyDescent="0.45">
      <c r="C702" t="s">
        <v>755</v>
      </c>
      <c r="D702">
        <f t="shared" si="20"/>
        <v>50</v>
      </c>
      <c r="F702">
        <v>0</v>
      </c>
      <c r="G702">
        <f t="shared" si="21"/>
        <v>0</v>
      </c>
    </row>
    <row r="703" spans="3:7" x14ac:dyDescent="0.45">
      <c r="C703" t="s">
        <v>755</v>
      </c>
      <c r="D703">
        <f t="shared" si="20"/>
        <v>50</v>
      </c>
      <c r="F703">
        <v>0</v>
      </c>
      <c r="G703">
        <f t="shared" si="21"/>
        <v>0</v>
      </c>
    </row>
    <row r="704" spans="3:7" x14ac:dyDescent="0.45">
      <c r="C704" t="s">
        <v>755</v>
      </c>
      <c r="D704">
        <f t="shared" si="20"/>
        <v>50</v>
      </c>
      <c r="F704">
        <v>0</v>
      </c>
      <c r="G704">
        <f t="shared" si="21"/>
        <v>0</v>
      </c>
    </row>
    <row r="705" spans="3:7" x14ac:dyDescent="0.45">
      <c r="C705" t="s">
        <v>759</v>
      </c>
      <c r="D705">
        <f t="shared" si="20"/>
        <v>210</v>
      </c>
      <c r="F705">
        <v>0</v>
      </c>
      <c r="G705">
        <f t="shared" si="21"/>
        <v>0</v>
      </c>
    </row>
    <row r="706" spans="3:7" x14ac:dyDescent="0.45">
      <c r="C706" t="s">
        <v>763</v>
      </c>
      <c r="D706">
        <f t="shared" si="20"/>
        <v>160</v>
      </c>
      <c r="F706">
        <v>0</v>
      </c>
      <c r="G706">
        <f t="shared" si="21"/>
        <v>0</v>
      </c>
    </row>
    <row r="707" spans="3:7" x14ac:dyDescent="0.45">
      <c r="C707" t="s">
        <v>763</v>
      </c>
      <c r="D707">
        <f t="shared" ref="D707:D770" si="22">+C707+0</f>
        <v>160</v>
      </c>
      <c r="F707">
        <v>0</v>
      </c>
      <c r="G707">
        <f t="shared" ref="G707:G770" si="23">+F707+0</f>
        <v>0</v>
      </c>
    </row>
    <row r="708" spans="3:7" x14ac:dyDescent="0.45">
      <c r="C708" t="s">
        <v>758</v>
      </c>
      <c r="D708">
        <f t="shared" si="22"/>
        <v>54</v>
      </c>
      <c r="F708">
        <v>0</v>
      </c>
      <c r="G708">
        <f t="shared" si="23"/>
        <v>0</v>
      </c>
    </row>
    <row r="709" spans="3:7" x14ac:dyDescent="0.45">
      <c r="C709" t="s">
        <v>758</v>
      </c>
      <c r="D709">
        <f t="shared" si="22"/>
        <v>54</v>
      </c>
      <c r="F709">
        <v>0</v>
      </c>
      <c r="G709">
        <f t="shared" si="23"/>
        <v>0</v>
      </c>
    </row>
    <row r="710" spans="3:7" x14ac:dyDescent="0.45">
      <c r="C710" t="s">
        <v>787</v>
      </c>
      <c r="D710">
        <f t="shared" si="22"/>
        <v>200</v>
      </c>
      <c r="F710">
        <v>0</v>
      </c>
      <c r="G710">
        <f t="shared" si="23"/>
        <v>0</v>
      </c>
    </row>
    <row r="711" spans="3:7" x14ac:dyDescent="0.45">
      <c r="C711" t="s">
        <v>755</v>
      </c>
      <c r="D711">
        <f t="shared" si="22"/>
        <v>50</v>
      </c>
      <c r="F711">
        <v>0</v>
      </c>
      <c r="G711">
        <f t="shared" si="23"/>
        <v>0</v>
      </c>
    </row>
    <row r="712" spans="3:7" x14ac:dyDescent="0.45">
      <c r="C712" t="s">
        <v>758</v>
      </c>
      <c r="D712">
        <f t="shared" si="22"/>
        <v>54</v>
      </c>
      <c r="F712">
        <v>0</v>
      </c>
      <c r="G712">
        <f t="shared" si="23"/>
        <v>0</v>
      </c>
    </row>
    <row r="713" spans="3:7" x14ac:dyDescent="0.45">
      <c r="C713" t="s">
        <v>758</v>
      </c>
      <c r="D713">
        <f t="shared" si="22"/>
        <v>54</v>
      </c>
      <c r="F713">
        <v>0</v>
      </c>
      <c r="G713">
        <f t="shared" si="23"/>
        <v>0</v>
      </c>
    </row>
    <row r="714" spans="3:7" x14ac:dyDescent="0.45">
      <c r="C714" t="s">
        <v>788</v>
      </c>
      <c r="D714">
        <f t="shared" si="22"/>
        <v>70</v>
      </c>
      <c r="F714">
        <v>0</v>
      </c>
      <c r="G714">
        <f t="shared" si="23"/>
        <v>0</v>
      </c>
    </row>
    <row r="715" spans="3:7" x14ac:dyDescent="0.45">
      <c r="C715" t="s">
        <v>758</v>
      </c>
      <c r="D715">
        <f t="shared" si="22"/>
        <v>54</v>
      </c>
      <c r="F715">
        <v>0</v>
      </c>
      <c r="G715">
        <f t="shared" si="23"/>
        <v>0</v>
      </c>
    </row>
    <row r="716" spans="3:7" x14ac:dyDescent="0.45">
      <c r="C716" t="s">
        <v>757</v>
      </c>
      <c r="D716">
        <f t="shared" si="22"/>
        <v>220</v>
      </c>
      <c r="F716">
        <v>0</v>
      </c>
      <c r="G716">
        <f t="shared" si="23"/>
        <v>0</v>
      </c>
    </row>
    <row r="717" spans="3:7" x14ac:dyDescent="0.45">
      <c r="C717" t="s">
        <v>757</v>
      </c>
      <c r="D717">
        <f t="shared" si="22"/>
        <v>220</v>
      </c>
      <c r="F717">
        <v>0</v>
      </c>
      <c r="G717">
        <f t="shared" si="23"/>
        <v>0</v>
      </c>
    </row>
    <row r="718" spans="3:7" x14ac:dyDescent="0.45">
      <c r="C718" t="s">
        <v>757</v>
      </c>
      <c r="D718">
        <f t="shared" si="22"/>
        <v>220</v>
      </c>
      <c r="F718">
        <v>0</v>
      </c>
      <c r="G718">
        <f t="shared" si="23"/>
        <v>0</v>
      </c>
    </row>
    <row r="719" spans="3:7" x14ac:dyDescent="0.45">
      <c r="C719" t="s">
        <v>757</v>
      </c>
      <c r="D719">
        <f t="shared" si="22"/>
        <v>220</v>
      </c>
      <c r="F719">
        <v>0</v>
      </c>
      <c r="G719">
        <f t="shared" si="23"/>
        <v>0</v>
      </c>
    </row>
    <row r="720" spans="3:7" x14ac:dyDescent="0.45">
      <c r="C720" t="s">
        <v>757</v>
      </c>
      <c r="D720">
        <f t="shared" si="22"/>
        <v>220</v>
      </c>
      <c r="F720">
        <v>0</v>
      </c>
      <c r="G720">
        <f t="shared" si="23"/>
        <v>0</v>
      </c>
    </row>
    <row r="721" spans="3:7" x14ac:dyDescent="0.45">
      <c r="C721" t="s">
        <v>755</v>
      </c>
      <c r="D721">
        <f t="shared" si="22"/>
        <v>50</v>
      </c>
      <c r="F721">
        <v>0</v>
      </c>
      <c r="G721">
        <f t="shared" si="23"/>
        <v>0</v>
      </c>
    </row>
    <row r="722" spans="3:7" x14ac:dyDescent="0.45">
      <c r="C722" t="s">
        <v>755</v>
      </c>
      <c r="D722">
        <f t="shared" si="22"/>
        <v>50</v>
      </c>
      <c r="F722">
        <v>0</v>
      </c>
      <c r="G722">
        <f t="shared" si="23"/>
        <v>0</v>
      </c>
    </row>
    <row r="723" spans="3:7" x14ac:dyDescent="0.45">
      <c r="C723" t="s">
        <v>755</v>
      </c>
      <c r="D723">
        <f t="shared" si="22"/>
        <v>50</v>
      </c>
      <c r="F723">
        <v>0</v>
      </c>
      <c r="G723">
        <f t="shared" si="23"/>
        <v>0</v>
      </c>
    </row>
    <row r="724" spans="3:7" x14ac:dyDescent="0.45">
      <c r="C724" t="s">
        <v>755</v>
      </c>
      <c r="D724">
        <f t="shared" si="22"/>
        <v>50</v>
      </c>
      <c r="F724">
        <v>0</v>
      </c>
      <c r="G724">
        <f t="shared" si="23"/>
        <v>0</v>
      </c>
    </row>
    <row r="725" spans="3:7" x14ac:dyDescent="0.45">
      <c r="C725" t="s">
        <v>757</v>
      </c>
      <c r="D725">
        <f t="shared" si="22"/>
        <v>220</v>
      </c>
      <c r="F725">
        <v>0</v>
      </c>
      <c r="G725">
        <f t="shared" si="23"/>
        <v>0</v>
      </c>
    </row>
    <row r="726" spans="3:7" x14ac:dyDescent="0.45">
      <c r="C726" t="s">
        <v>757</v>
      </c>
      <c r="D726">
        <f t="shared" si="22"/>
        <v>220</v>
      </c>
      <c r="F726">
        <v>0</v>
      </c>
      <c r="G726">
        <f t="shared" si="23"/>
        <v>0</v>
      </c>
    </row>
    <row r="727" spans="3:7" x14ac:dyDescent="0.45">
      <c r="C727" t="s">
        <v>755</v>
      </c>
      <c r="D727">
        <f t="shared" si="22"/>
        <v>50</v>
      </c>
      <c r="F727">
        <v>0</v>
      </c>
      <c r="G727">
        <f t="shared" si="23"/>
        <v>0</v>
      </c>
    </row>
    <row r="728" spans="3:7" x14ac:dyDescent="0.45">
      <c r="C728" t="s">
        <v>757</v>
      </c>
      <c r="D728">
        <f t="shared" si="22"/>
        <v>220</v>
      </c>
      <c r="F728">
        <v>0</v>
      </c>
      <c r="G728">
        <f t="shared" si="23"/>
        <v>0</v>
      </c>
    </row>
    <row r="729" spans="3:7" x14ac:dyDescent="0.45">
      <c r="C729" t="s">
        <v>755</v>
      </c>
      <c r="D729">
        <f t="shared" si="22"/>
        <v>50</v>
      </c>
      <c r="F729">
        <v>0</v>
      </c>
      <c r="G729">
        <f t="shared" si="23"/>
        <v>0</v>
      </c>
    </row>
    <row r="730" spans="3:7" x14ac:dyDescent="0.45">
      <c r="C730" t="s">
        <v>755</v>
      </c>
      <c r="D730">
        <f t="shared" si="22"/>
        <v>50</v>
      </c>
      <c r="F730">
        <v>0</v>
      </c>
      <c r="G730">
        <f t="shared" si="23"/>
        <v>0</v>
      </c>
    </row>
    <row r="731" spans="3:7" x14ac:dyDescent="0.45">
      <c r="C731" t="s">
        <v>756</v>
      </c>
      <c r="D731">
        <f t="shared" si="22"/>
        <v>80</v>
      </c>
      <c r="F731">
        <v>0</v>
      </c>
      <c r="G731">
        <f t="shared" si="23"/>
        <v>0</v>
      </c>
    </row>
    <row r="732" spans="3:7" x14ac:dyDescent="0.45">
      <c r="C732" t="s">
        <v>756</v>
      </c>
      <c r="D732">
        <f t="shared" si="22"/>
        <v>80</v>
      </c>
      <c r="F732">
        <v>0</v>
      </c>
      <c r="G732">
        <f t="shared" si="23"/>
        <v>0</v>
      </c>
    </row>
    <row r="733" spans="3:7" x14ac:dyDescent="0.45">
      <c r="C733" t="s">
        <v>757</v>
      </c>
      <c r="D733">
        <f t="shared" si="22"/>
        <v>220</v>
      </c>
      <c r="F733">
        <v>0</v>
      </c>
      <c r="G733">
        <f t="shared" si="23"/>
        <v>0</v>
      </c>
    </row>
    <row r="734" spans="3:7" x14ac:dyDescent="0.45">
      <c r="C734" t="s">
        <v>757</v>
      </c>
      <c r="D734">
        <f t="shared" si="22"/>
        <v>220</v>
      </c>
      <c r="F734">
        <v>0</v>
      </c>
      <c r="G734">
        <f t="shared" si="23"/>
        <v>0</v>
      </c>
    </row>
    <row r="735" spans="3:7" x14ac:dyDescent="0.45">
      <c r="C735" t="s">
        <v>757</v>
      </c>
      <c r="D735">
        <f t="shared" si="22"/>
        <v>220</v>
      </c>
      <c r="F735">
        <v>0</v>
      </c>
      <c r="G735">
        <f t="shared" si="23"/>
        <v>0</v>
      </c>
    </row>
    <row r="736" spans="3:7" x14ac:dyDescent="0.45">
      <c r="C736" t="s">
        <v>757</v>
      </c>
      <c r="D736">
        <f t="shared" si="22"/>
        <v>220</v>
      </c>
      <c r="F736">
        <v>0</v>
      </c>
      <c r="G736">
        <f t="shared" si="23"/>
        <v>0</v>
      </c>
    </row>
    <row r="737" spans="3:7" x14ac:dyDescent="0.45">
      <c r="C737" t="s">
        <v>756</v>
      </c>
      <c r="D737">
        <f t="shared" si="22"/>
        <v>80</v>
      </c>
      <c r="F737">
        <v>0</v>
      </c>
      <c r="G737">
        <f t="shared" si="23"/>
        <v>0</v>
      </c>
    </row>
    <row r="738" spans="3:7" x14ac:dyDescent="0.45">
      <c r="C738" t="s">
        <v>758</v>
      </c>
      <c r="D738">
        <f t="shared" si="22"/>
        <v>54</v>
      </c>
      <c r="F738">
        <v>0</v>
      </c>
      <c r="G738">
        <f t="shared" si="23"/>
        <v>0</v>
      </c>
    </row>
    <row r="739" spans="3:7" x14ac:dyDescent="0.45">
      <c r="C739" t="s">
        <v>766</v>
      </c>
      <c r="D739">
        <f t="shared" si="22"/>
        <v>90</v>
      </c>
      <c r="F739">
        <v>0</v>
      </c>
      <c r="G739">
        <f t="shared" si="23"/>
        <v>0</v>
      </c>
    </row>
    <row r="740" spans="3:7" x14ac:dyDescent="0.45">
      <c r="C740" t="s">
        <v>767</v>
      </c>
      <c r="D740">
        <f t="shared" si="22"/>
        <v>110</v>
      </c>
      <c r="F740">
        <v>0</v>
      </c>
      <c r="G740">
        <f t="shared" si="23"/>
        <v>0</v>
      </c>
    </row>
    <row r="741" spans="3:7" x14ac:dyDescent="0.45">
      <c r="C741" t="s">
        <v>768</v>
      </c>
      <c r="D741">
        <f t="shared" si="22"/>
        <v>120</v>
      </c>
      <c r="F741">
        <v>0</v>
      </c>
      <c r="G741">
        <f t="shared" si="23"/>
        <v>0</v>
      </c>
    </row>
    <row r="742" spans="3:7" x14ac:dyDescent="0.45">
      <c r="C742" t="s">
        <v>765</v>
      </c>
      <c r="D742">
        <f t="shared" si="22"/>
        <v>140</v>
      </c>
      <c r="F742">
        <v>0</v>
      </c>
      <c r="G742">
        <f t="shared" si="23"/>
        <v>0</v>
      </c>
    </row>
    <row r="743" spans="3:7" x14ac:dyDescent="0.45">
      <c r="C743" t="s">
        <v>762</v>
      </c>
      <c r="D743">
        <f t="shared" si="22"/>
        <v>170</v>
      </c>
      <c r="F743">
        <v>0</v>
      </c>
      <c r="G743">
        <f t="shared" si="23"/>
        <v>0</v>
      </c>
    </row>
    <row r="744" spans="3:7" x14ac:dyDescent="0.45">
      <c r="C744" t="s">
        <v>786</v>
      </c>
      <c r="D744">
        <f t="shared" si="22"/>
        <v>180</v>
      </c>
      <c r="F744">
        <v>0</v>
      </c>
      <c r="G744">
        <f t="shared" si="23"/>
        <v>0</v>
      </c>
    </row>
    <row r="745" spans="3:7" x14ac:dyDescent="0.45">
      <c r="C745" t="s">
        <v>757</v>
      </c>
      <c r="D745">
        <f t="shared" si="22"/>
        <v>220</v>
      </c>
      <c r="F745">
        <v>0</v>
      </c>
      <c r="G745">
        <f t="shared" si="23"/>
        <v>0</v>
      </c>
    </row>
    <row r="746" spans="3:7" x14ac:dyDescent="0.45">
      <c r="C746" t="s">
        <v>786</v>
      </c>
      <c r="D746">
        <f t="shared" si="22"/>
        <v>180</v>
      </c>
      <c r="F746">
        <v>0</v>
      </c>
      <c r="G746">
        <f t="shared" si="23"/>
        <v>0</v>
      </c>
    </row>
    <row r="747" spans="3:7" x14ac:dyDescent="0.45">
      <c r="C747" t="s">
        <v>786</v>
      </c>
      <c r="D747">
        <f t="shared" si="22"/>
        <v>180</v>
      </c>
      <c r="F747">
        <v>0</v>
      </c>
      <c r="G747">
        <f t="shared" si="23"/>
        <v>0</v>
      </c>
    </row>
    <row r="748" spans="3:7" x14ac:dyDescent="0.45">
      <c r="C748" t="s">
        <v>757</v>
      </c>
      <c r="D748">
        <f t="shared" si="22"/>
        <v>220</v>
      </c>
      <c r="F748">
        <v>0</v>
      </c>
      <c r="G748">
        <f t="shared" si="23"/>
        <v>0</v>
      </c>
    </row>
    <row r="749" spans="3:7" x14ac:dyDescent="0.45">
      <c r="C749" t="s">
        <v>786</v>
      </c>
      <c r="D749">
        <f t="shared" si="22"/>
        <v>180</v>
      </c>
      <c r="F749">
        <v>0</v>
      </c>
      <c r="G749">
        <f t="shared" si="23"/>
        <v>0</v>
      </c>
    </row>
    <row r="750" spans="3:7" x14ac:dyDescent="0.45">
      <c r="C750" t="s">
        <v>786</v>
      </c>
      <c r="D750">
        <f t="shared" si="22"/>
        <v>180</v>
      </c>
      <c r="F750">
        <v>0</v>
      </c>
      <c r="G750">
        <f t="shared" si="23"/>
        <v>0</v>
      </c>
    </row>
    <row r="751" spans="3:7" x14ac:dyDescent="0.45">
      <c r="C751" t="s">
        <v>786</v>
      </c>
      <c r="D751">
        <f t="shared" si="22"/>
        <v>180</v>
      </c>
      <c r="F751">
        <v>0</v>
      </c>
      <c r="G751">
        <f t="shared" si="23"/>
        <v>0</v>
      </c>
    </row>
    <row r="752" spans="3:7" x14ac:dyDescent="0.45">
      <c r="C752" t="s">
        <v>786</v>
      </c>
      <c r="D752">
        <f t="shared" si="22"/>
        <v>180</v>
      </c>
      <c r="F752">
        <v>0</v>
      </c>
      <c r="G752">
        <f t="shared" si="23"/>
        <v>0</v>
      </c>
    </row>
    <row r="753" spans="3:7" x14ac:dyDescent="0.45">
      <c r="C753" t="s">
        <v>786</v>
      </c>
      <c r="D753">
        <f t="shared" si="22"/>
        <v>180</v>
      </c>
      <c r="F753">
        <v>0</v>
      </c>
      <c r="G753">
        <f t="shared" si="23"/>
        <v>0</v>
      </c>
    </row>
    <row r="754" spans="3:7" x14ac:dyDescent="0.45">
      <c r="C754" t="s">
        <v>786</v>
      </c>
      <c r="D754">
        <f t="shared" si="22"/>
        <v>180</v>
      </c>
      <c r="F754">
        <v>0</v>
      </c>
      <c r="G754">
        <f t="shared" si="23"/>
        <v>0</v>
      </c>
    </row>
    <row r="755" spans="3:7" x14ac:dyDescent="0.45">
      <c r="C755" t="s">
        <v>787</v>
      </c>
      <c r="D755">
        <f t="shared" si="22"/>
        <v>200</v>
      </c>
      <c r="F755">
        <v>0</v>
      </c>
      <c r="G755">
        <f t="shared" si="23"/>
        <v>0</v>
      </c>
    </row>
    <row r="756" spans="3:7" x14ac:dyDescent="0.45">
      <c r="C756" t="s">
        <v>759</v>
      </c>
      <c r="D756">
        <f t="shared" si="22"/>
        <v>210</v>
      </c>
      <c r="F756">
        <v>0</v>
      </c>
      <c r="G756">
        <f t="shared" si="23"/>
        <v>0</v>
      </c>
    </row>
    <row r="757" spans="3:7" x14ac:dyDescent="0.45">
      <c r="C757" t="s">
        <v>759</v>
      </c>
      <c r="D757">
        <f t="shared" si="22"/>
        <v>210</v>
      </c>
      <c r="F757">
        <v>0</v>
      </c>
      <c r="G757">
        <f t="shared" si="23"/>
        <v>0</v>
      </c>
    </row>
    <row r="758" spans="3:7" x14ac:dyDescent="0.45">
      <c r="C758" t="s">
        <v>759</v>
      </c>
      <c r="D758">
        <f t="shared" si="22"/>
        <v>210</v>
      </c>
      <c r="F758">
        <v>0</v>
      </c>
      <c r="G758">
        <f t="shared" si="23"/>
        <v>0</v>
      </c>
    </row>
    <row r="759" spans="3:7" x14ac:dyDescent="0.45">
      <c r="C759" t="s">
        <v>758</v>
      </c>
      <c r="D759">
        <f t="shared" si="22"/>
        <v>54</v>
      </c>
      <c r="F759">
        <v>0</v>
      </c>
      <c r="G759">
        <f t="shared" si="23"/>
        <v>0</v>
      </c>
    </row>
    <row r="760" spans="3:7" x14ac:dyDescent="0.45">
      <c r="C760" t="s">
        <v>758</v>
      </c>
      <c r="D760">
        <f t="shared" si="22"/>
        <v>54</v>
      </c>
      <c r="F760">
        <v>0</v>
      </c>
      <c r="G760">
        <f t="shared" si="23"/>
        <v>0</v>
      </c>
    </row>
    <row r="761" spans="3:7" x14ac:dyDescent="0.45">
      <c r="C761" t="s">
        <v>758</v>
      </c>
      <c r="D761">
        <f t="shared" si="22"/>
        <v>54</v>
      </c>
      <c r="F761">
        <v>0</v>
      </c>
      <c r="G761">
        <f t="shared" si="23"/>
        <v>0</v>
      </c>
    </row>
    <row r="762" spans="3:7" x14ac:dyDescent="0.45">
      <c r="C762" t="s">
        <v>758</v>
      </c>
      <c r="D762">
        <f t="shared" si="22"/>
        <v>54</v>
      </c>
      <c r="F762">
        <v>0</v>
      </c>
      <c r="G762">
        <f t="shared" si="23"/>
        <v>0</v>
      </c>
    </row>
    <row r="763" spans="3:7" x14ac:dyDescent="0.45">
      <c r="C763" t="s">
        <v>758</v>
      </c>
      <c r="D763">
        <f t="shared" si="22"/>
        <v>54</v>
      </c>
      <c r="F763">
        <v>0</v>
      </c>
      <c r="G763">
        <f t="shared" si="23"/>
        <v>0</v>
      </c>
    </row>
    <row r="764" spans="3:7" x14ac:dyDescent="0.45">
      <c r="C764" t="s">
        <v>760</v>
      </c>
      <c r="D764">
        <f t="shared" si="22"/>
        <v>230</v>
      </c>
      <c r="F764">
        <v>0</v>
      </c>
      <c r="G764">
        <f t="shared" si="23"/>
        <v>0</v>
      </c>
    </row>
    <row r="765" spans="3:7" x14ac:dyDescent="0.45">
      <c r="C765" t="s">
        <v>760</v>
      </c>
      <c r="D765">
        <f t="shared" si="22"/>
        <v>230</v>
      </c>
      <c r="F765">
        <v>0</v>
      </c>
      <c r="G765">
        <f t="shared" si="23"/>
        <v>0</v>
      </c>
    </row>
    <row r="766" spans="3:7" x14ac:dyDescent="0.45">
      <c r="C766" t="s">
        <v>760</v>
      </c>
      <c r="D766">
        <f t="shared" si="22"/>
        <v>230</v>
      </c>
      <c r="F766">
        <v>0</v>
      </c>
      <c r="G766">
        <f t="shared" si="23"/>
        <v>0</v>
      </c>
    </row>
    <row r="767" spans="3:7" x14ac:dyDescent="0.45">
      <c r="C767" t="s">
        <v>760</v>
      </c>
      <c r="D767">
        <f t="shared" si="22"/>
        <v>230</v>
      </c>
      <c r="F767">
        <v>0</v>
      </c>
      <c r="G767">
        <f t="shared" si="23"/>
        <v>0</v>
      </c>
    </row>
    <row r="768" spans="3:7" x14ac:dyDescent="0.45">
      <c r="C768" t="s">
        <v>785</v>
      </c>
      <c r="D768">
        <f t="shared" si="22"/>
        <v>190</v>
      </c>
      <c r="F768">
        <v>0</v>
      </c>
      <c r="G768">
        <f t="shared" si="23"/>
        <v>0</v>
      </c>
    </row>
    <row r="769" spans="3:7" x14ac:dyDescent="0.45">
      <c r="C769" t="s">
        <v>760</v>
      </c>
      <c r="D769">
        <f t="shared" si="22"/>
        <v>230</v>
      </c>
      <c r="F769">
        <v>0</v>
      </c>
      <c r="G769">
        <f t="shared" si="23"/>
        <v>0</v>
      </c>
    </row>
    <row r="770" spans="3:7" x14ac:dyDescent="0.45">
      <c r="C770" t="s">
        <v>761</v>
      </c>
      <c r="D770">
        <f t="shared" si="22"/>
        <v>240</v>
      </c>
      <c r="F770">
        <v>0</v>
      </c>
      <c r="G770">
        <f t="shared" si="23"/>
        <v>0</v>
      </c>
    </row>
    <row r="771" spans="3:7" x14ac:dyDescent="0.45">
      <c r="C771" t="s">
        <v>758</v>
      </c>
      <c r="D771">
        <f t="shared" ref="D771:D834" si="24">+C771+0</f>
        <v>54</v>
      </c>
      <c r="F771">
        <v>0</v>
      </c>
      <c r="G771">
        <f t="shared" ref="G771:G834" si="25">+F771+0</f>
        <v>0</v>
      </c>
    </row>
    <row r="772" spans="3:7" x14ac:dyDescent="0.45">
      <c r="C772" t="s">
        <v>763</v>
      </c>
      <c r="D772">
        <f t="shared" si="24"/>
        <v>160</v>
      </c>
      <c r="F772">
        <v>0</v>
      </c>
      <c r="G772">
        <f t="shared" si="25"/>
        <v>0</v>
      </c>
    </row>
    <row r="773" spans="3:7" x14ac:dyDescent="0.45">
      <c r="C773" t="s">
        <v>761</v>
      </c>
      <c r="D773">
        <f t="shared" si="24"/>
        <v>240</v>
      </c>
      <c r="F773">
        <v>0</v>
      </c>
      <c r="G773">
        <f t="shared" si="25"/>
        <v>0</v>
      </c>
    </row>
    <row r="774" spans="3:7" x14ac:dyDescent="0.45">
      <c r="C774" t="s">
        <v>761</v>
      </c>
      <c r="D774">
        <f t="shared" si="24"/>
        <v>240</v>
      </c>
      <c r="F774">
        <v>0</v>
      </c>
      <c r="G774">
        <f t="shared" si="25"/>
        <v>0</v>
      </c>
    </row>
    <row r="775" spans="3:7" x14ac:dyDescent="0.45">
      <c r="C775" t="s">
        <v>761</v>
      </c>
      <c r="D775">
        <f t="shared" si="24"/>
        <v>240</v>
      </c>
      <c r="F775">
        <v>0</v>
      </c>
      <c r="G775">
        <f t="shared" si="25"/>
        <v>0</v>
      </c>
    </row>
    <row r="776" spans="3:7" x14ac:dyDescent="0.45">
      <c r="C776" t="s">
        <v>761</v>
      </c>
      <c r="D776">
        <f t="shared" si="24"/>
        <v>240</v>
      </c>
      <c r="F776">
        <v>0</v>
      </c>
      <c r="G776">
        <f t="shared" si="25"/>
        <v>0</v>
      </c>
    </row>
    <row r="777" spans="3:7" x14ac:dyDescent="0.45">
      <c r="C777" t="s">
        <v>761</v>
      </c>
      <c r="D777">
        <f t="shared" si="24"/>
        <v>240</v>
      </c>
      <c r="F777">
        <v>0</v>
      </c>
      <c r="G777">
        <f t="shared" si="25"/>
        <v>0</v>
      </c>
    </row>
    <row r="778" spans="3:7" x14ac:dyDescent="0.45">
      <c r="C778" t="s">
        <v>758</v>
      </c>
      <c r="D778">
        <f t="shared" si="24"/>
        <v>54</v>
      </c>
      <c r="F778">
        <v>0</v>
      </c>
      <c r="G778">
        <f t="shared" si="25"/>
        <v>0</v>
      </c>
    </row>
    <row r="779" spans="3:7" x14ac:dyDescent="0.45">
      <c r="C779" t="s">
        <v>761</v>
      </c>
      <c r="D779">
        <f t="shared" si="24"/>
        <v>240</v>
      </c>
      <c r="F779">
        <v>0</v>
      </c>
      <c r="G779">
        <f t="shared" si="25"/>
        <v>0</v>
      </c>
    </row>
    <row r="780" spans="3:7" x14ac:dyDescent="0.45">
      <c r="C780" t="s">
        <v>758</v>
      </c>
      <c r="D780">
        <f t="shared" si="24"/>
        <v>54</v>
      </c>
      <c r="F780">
        <v>0</v>
      </c>
      <c r="G780">
        <f t="shared" si="25"/>
        <v>0</v>
      </c>
    </row>
    <row r="781" spans="3:7" x14ac:dyDescent="0.45">
      <c r="C781" t="s">
        <v>780</v>
      </c>
      <c r="D781">
        <f t="shared" si="24"/>
        <v>300</v>
      </c>
      <c r="F781" t="s">
        <v>801</v>
      </c>
      <c r="G781">
        <f t="shared" si="25"/>
        <v>500</v>
      </c>
    </row>
    <row r="782" spans="3:7" x14ac:dyDescent="0.45">
      <c r="C782" t="s">
        <v>780</v>
      </c>
      <c r="D782">
        <f t="shared" si="24"/>
        <v>300</v>
      </c>
      <c r="F782" t="s">
        <v>801</v>
      </c>
      <c r="G782">
        <f t="shared" si="25"/>
        <v>500</v>
      </c>
    </row>
    <row r="783" spans="3:7" x14ac:dyDescent="0.45">
      <c r="C783" t="s">
        <v>780</v>
      </c>
      <c r="D783">
        <f t="shared" si="24"/>
        <v>300</v>
      </c>
      <c r="F783" t="s">
        <v>801</v>
      </c>
      <c r="G783">
        <f t="shared" si="25"/>
        <v>500</v>
      </c>
    </row>
    <row r="784" spans="3:7" x14ac:dyDescent="0.45">
      <c r="C784" t="s">
        <v>780</v>
      </c>
      <c r="D784">
        <f t="shared" si="24"/>
        <v>300</v>
      </c>
      <c r="F784" t="s">
        <v>801</v>
      </c>
      <c r="G784">
        <f t="shared" si="25"/>
        <v>500</v>
      </c>
    </row>
    <row r="785" spans="3:7" x14ac:dyDescent="0.45">
      <c r="C785" t="s">
        <v>782</v>
      </c>
      <c r="D785">
        <f t="shared" si="24"/>
        <v>320</v>
      </c>
      <c r="F785" t="s">
        <v>801</v>
      </c>
      <c r="G785">
        <f t="shared" si="25"/>
        <v>500</v>
      </c>
    </row>
    <row r="786" spans="3:7" x14ac:dyDescent="0.45">
      <c r="C786" t="s">
        <v>782</v>
      </c>
      <c r="D786">
        <f t="shared" si="24"/>
        <v>320</v>
      </c>
      <c r="F786" t="s">
        <v>801</v>
      </c>
      <c r="G786">
        <f t="shared" si="25"/>
        <v>500</v>
      </c>
    </row>
    <row r="787" spans="3:7" x14ac:dyDescent="0.45">
      <c r="C787" t="s">
        <v>780</v>
      </c>
      <c r="D787">
        <f t="shared" si="24"/>
        <v>300</v>
      </c>
      <c r="F787" t="s">
        <v>801</v>
      </c>
      <c r="G787">
        <f t="shared" si="25"/>
        <v>500</v>
      </c>
    </row>
    <row r="788" spans="3:7" x14ac:dyDescent="0.45">
      <c r="C788" t="s">
        <v>770</v>
      </c>
      <c r="D788">
        <f t="shared" si="24"/>
        <v>330</v>
      </c>
      <c r="F788" t="s">
        <v>790</v>
      </c>
      <c r="G788">
        <f t="shared" si="25"/>
        <v>530</v>
      </c>
    </row>
    <row r="789" spans="3:7" x14ac:dyDescent="0.45">
      <c r="C789" t="s">
        <v>780</v>
      </c>
      <c r="D789">
        <f t="shared" si="24"/>
        <v>300</v>
      </c>
      <c r="F789" t="s">
        <v>801</v>
      </c>
      <c r="G789">
        <f t="shared" si="25"/>
        <v>500</v>
      </c>
    </row>
    <row r="790" spans="3:7" x14ac:dyDescent="0.45">
      <c r="C790" t="s">
        <v>770</v>
      </c>
      <c r="D790">
        <f t="shared" si="24"/>
        <v>330</v>
      </c>
      <c r="F790" t="s">
        <v>790</v>
      </c>
      <c r="G790">
        <f t="shared" si="25"/>
        <v>530</v>
      </c>
    </row>
    <row r="791" spans="3:7" x14ac:dyDescent="0.45">
      <c r="C791" t="s">
        <v>770</v>
      </c>
      <c r="D791">
        <f t="shared" si="24"/>
        <v>330</v>
      </c>
      <c r="F791" t="s">
        <v>790</v>
      </c>
      <c r="G791">
        <f t="shared" si="25"/>
        <v>530</v>
      </c>
    </row>
    <row r="792" spans="3:7" x14ac:dyDescent="0.45">
      <c r="C792" t="s">
        <v>770</v>
      </c>
      <c r="D792">
        <f t="shared" si="24"/>
        <v>330</v>
      </c>
      <c r="F792" t="s">
        <v>790</v>
      </c>
      <c r="G792">
        <f t="shared" si="25"/>
        <v>530</v>
      </c>
    </row>
    <row r="793" spans="3:7" x14ac:dyDescent="0.45">
      <c r="C793" t="s">
        <v>770</v>
      </c>
      <c r="D793">
        <f t="shared" si="24"/>
        <v>330</v>
      </c>
      <c r="F793" t="s">
        <v>790</v>
      </c>
      <c r="G793">
        <f t="shared" si="25"/>
        <v>530</v>
      </c>
    </row>
    <row r="794" spans="3:7" x14ac:dyDescent="0.45">
      <c r="C794" t="s">
        <v>770</v>
      </c>
      <c r="D794">
        <f t="shared" si="24"/>
        <v>330</v>
      </c>
      <c r="F794" t="s">
        <v>790</v>
      </c>
      <c r="G794">
        <f t="shared" si="25"/>
        <v>530</v>
      </c>
    </row>
    <row r="795" spans="3:7" x14ac:dyDescent="0.45">
      <c r="C795" t="s">
        <v>770</v>
      </c>
      <c r="D795">
        <f t="shared" si="24"/>
        <v>330</v>
      </c>
      <c r="F795" t="s">
        <v>790</v>
      </c>
      <c r="G795">
        <f t="shared" si="25"/>
        <v>530</v>
      </c>
    </row>
    <row r="796" spans="3:7" x14ac:dyDescent="0.45">
      <c r="C796" t="s">
        <v>772</v>
      </c>
      <c r="D796">
        <f t="shared" si="24"/>
        <v>380</v>
      </c>
      <c r="F796" t="s">
        <v>794</v>
      </c>
      <c r="G796">
        <f t="shared" si="25"/>
        <v>600</v>
      </c>
    </row>
    <row r="797" spans="3:7" x14ac:dyDescent="0.45">
      <c r="C797" t="s">
        <v>772</v>
      </c>
      <c r="D797">
        <f t="shared" si="24"/>
        <v>380</v>
      </c>
      <c r="F797" t="s">
        <v>794</v>
      </c>
      <c r="G797">
        <f t="shared" si="25"/>
        <v>600</v>
      </c>
    </row>
    <row r="798" spans="3:7" x14ac:dyDescent="0.45">
      <c r="C798" t="s">
        <v>771</v>
      </c>
      <c r="D798">
        <f t="shared" si="24"/>
        <v>360</v>
      </c>
      <c r="F798" t="s">
        <v>793</v>
      </c>
      <c r="G798">
        <f t="shared" si="25"/>
        <v>595</v>
      </c>
    </row>
    <row r="799" spans="3:7" x14ac:dyDescent="0.45">
      <c r="C799" t="s">
        <v>771</v>
      </c>
      <c r="D799">
        <f t="shared" si="24"/>
        <v>360</v>
      </c>
      <c r="F799" t="s">
        <v>793</v>
      </c>
      <c r="G799">
        <f t="shared" si="25"/>
        <v>595</v>
      </c>
    </row>
    <row r="800" spans="3:7" x14ac:dyDescent="0.45">
      <c r="C800" t="s">
        <v>772</v>
      </c>
      <c r="D800">
        <f t="shared" si="24"/>
        <v>380</v>
      </c>
      <c r="F800" t="s">
        <v>794</v>
      </c>
      <c r="G800">
        <f t="shared" si="25"/>
        <v>600</v>
      </c>
    </row>
    <row r="801" spans="3:7" x14ac:dyDescent="0.45">
      <c r="C801" t="s">
        <v>771</v>
      </c>
      <c r="D801">
        <f t="shared" si="24"/>
        <v>360</v>
      </c>
      <c r="F801" t="s">
        <v>792</v>
      </c>
      <c r="G801">
        <f t="shared" si="25"/>
        <v>540</v>
      </c>
    </row>
    <row r="802" spans="3:7" x14ac:dyDescent="0.45">
      <c r="C802" t="s">
        <v>770</v>
      </c>
      <c r="D802">
        <f t="shared" si="24"/>
        <v>330</v>
      </c>
      <c r="F802" t="s">
        <v>790</v>
      </c>
      <c r="G802">
        <f t="shared" si="25"/>
        <v>530</v>
      </c>
    </row>
    <row r="803" spans="3:7" x14ac:dyDescent="0.45">
      <c r="C803" t="s">
        <v>771</v>
      </c>
      <c r="D803">
        <f t="shared" si="24"/>
        <v>360</v>
      </c>
      <c r="F803" t="s">
        <v>791</v>
      </c>
      <c r="G803">
        <f t="shared" si="25"/>
        <v>550</v>
      </c>
    </row>
    <row r="804" spans="3:7" x14ac:dyDescent="0.45">
      <c r="C804" t="s">
        <v>771</v>
      </c>
      <c r="D804">
        <f t="shared" si="24"/>
        <v>360</v>
      </c>
      <c r="F804" t="s">
        <v>793</v>
      </c>
      <c r="G804">
        <f t="shared" si="25"/>
        <v>595</v>
      </c>
    </row>
    <row r="805" spans="3:7" x14ac:dyDescent="0.45">
      <c r="C805" t="s">
        <v>772</v>
      </c>
      <c r="D805">
        <f t="shared" si="24"/>
        <v>380</v>
      </c>
      <c r="F805" t="s">
        <v>794</v>
      </c>
      <c r="G805">
        <f t="shared" si="25"/>
        <v>600</v>
      </c>
    </row>
    <row r="806" spans="3:7" x14ac:dyDescent="0.45">
      <c r="C806" t="s">
        <v>771</v>
      </c>
      <c r="D806">
        <f t="shared" si="24"/>
        <v>360</v>
      </c>
      <c r="F806" t="s">
        <v>791</v>
      </c>
      <c r="G806">
        <f t="shared" si="25"/>
        <v>550</v>
      </c>
    </row>
    <row r="807" spans="3:7" x14ac:dyDescent="0.45">
      <c r="C807" t="s">
        <v>772</v>
      </c>
      <c r="D807">
        <f t="shared" si="24"/>
        <v>380</v>
      </c>
      <c r="F807" t="s">
        <v>794</v>
      </c>
      <c r="G807">
        <f t="shared" si="25"/>
        <v>600</v>
      </c>
    </row>
    <row r="808" spans="3:7" x14ac:dyDescent="0.45">
      <c r="C808" t="s">
        <v>772</v>
      </c>
      <c r="D808">
        <f t="shared" si="24"/>
        <v>380</v>
      </c>
      <c r="F808" t="s">
        <v>794</v>
      </c>
      <c r="G808">
        <f t="shared" si="25"/>
        <v>600</v>
      </c>
    </row>
    <row r="809" spans="3:7" x14ac:dyDescent="0.45">
      <c r="C809" t="s">
        <v>772</v>
      </c>
      <c r="D809">
        <f t="shared" si="24"/>
        <v>380</v>
      </c>
      <c r="F809" t="s">
        <v>794</v>
      </c>
      <c r="G809">
        <f t="shared" si="25"/>
        <v>600</v>
      </c>
    </row>
    <row r="810" spans="3:7" x14ac:dyDescent="0.45">
      <c r="C810" t="s">
        <v>772</v>
      </c>
      <c r="D810">
        <f t="shared" si="24"/>
        <v>380</v>
      </c>
      <c r="F810" t="s">
        <v>794</v>
      </c>
      <c r="G810">
        <f t="shared" si="25"/>
        <v>600</v>
      </c>
    </row>
    <row r="811" spans="3:7" x14ac:dyDescent="0.45">
      <c r="C811" t="s">
        <v>772</v>
      </c>
      <c r="D811">
        <f t="shared" si="24"/>
        <v>380</v>
      </c>
      <c r="F811" t="s">
        <v>794</v>
      </c>
      <c r="G811">
        <f t="shared" si="25"/>
        <v>600</v>
      </c>
    </row>
    <row r="812" spans="3:7" x14ac:dyDescent="0.45">
      <c r="C812" t="s">
        <v>771</v>
      </c>
      <c r="D812">
        <f t="shared" si="24"/>
        <v>360</v>
      </c>
      <c r="F812" t="s">
        <v>791</v>
      </c>
      <c r="G812">
        <f t="shared" si="25"/>
        <v>550</v>
      </c>
    </row>
    <row r="813" spans="3:7" x14ac:dyDescent="0.45">
      <c r="C813" t="s">
        <v>771</v>
      </c>
      <c r="D813">
        <f t="shared" si="24"/>
        <v>360</v>
      </c>
      <c r="F813" t="s">
        <v>793</v>
      </c>
      <c r="G813">
        <f t="shared" si="25"/>
        <v>595</v>
      </c>
    </row>
    <row r="814" spans="3:7" x14ac:dyDescent="0.45">
      <c r="C814" t="s">
        <v>772</v>
      </c>
      <c r="D814">
        <f t="shared" si="24"/>
        <v>380</v>
      </c>
      <c r="F814" t="s">
        <v>794</v>
      </c>
      <c r="G814">
        <f t="shared" si="25"/>
        <v>600</v>
      </c>
    </row>
    <row r="815" spans="3:7" x14ac:dyDescent="0.45">
      <c r="C815" t="s">
        <v>771</v>
      </c>
      <c r="D815">
        <f t="shared" si="24"/>
        <v>360</v>
      </c>
      <c r="F815" t="s">
        <v>793</v>
      </c>
      <c r="G815">
        <f t="shared" si="25"/>
        <v>595</v>
      </c>
    </row>
    <row r="816" spans="3:7" x14ac:dyDescent="0.45">
      <c r="C816" t="s">
        <v>771</v>
      </c>
      <c r="D816">
        <f t="shared" si="24"/>
        <v>360</v>
      </c>
      <c r="F816" t="s">
        <v>791</v>
      </c>
      <c r="G816">
        <f t="shared" si="25"/>
        <v>550</v>
      </c>
    </row>
    <row r="817" spans="3:7" x14ac:dyDescent="0.45">
      <c r="C817" t="s">
        <v>773</v>
      </c>
      <c r="D817">
        <f t="shared" si="24"/>
        <v>390</v>
      </c>
      <c r="F817" t="s">
        <v>795</v>
      </c>
      <c r="G817">
        <f t="shared" si="25"/>
        <v>570</v>
      </c>
    </row>
    <row r="818" spans="3:7" x14ac:dyDescent="0.45">
      <c r="C818" t="s">
        <v>771</v>
      </c>
      <c r="D818">
        <f t="shared" si="24"/>
        <v>360</v>
      </c>
      <c r="F818" t="s">
        <v>792</v>
      </c>
      <c r="G818">
        <f t="shared" si="25"/>
        <v>540</v>
      </c>
    </row>
    <row r="819" spans="3:7" x14ac:dyDescent="0.45">
      <c r="C819" t="s">
        <v>771</v>
      </c>
      <c r="D819">
        <f t="shared" si="24"/>
        <v>360</v>
      </c>
      <c r="F819" t="s">
        <v>793</v>
      </c>
      <c r="G819">
        <f t="shared" si="25"/>
        <v>595</v>
      </c>
    </row>
    <row r="820" spans="3:7" x14ac:dyDescent="0.45">
      <c r="C820" t="s">
        <v>771</v>
      </c>
      <c r="D820">
        <f t="shared" si="24"/>
        <v>360</v>
      </c>
      <c r="F820" t="s">
        <v>793</v>
      </c>
      <c r="G820">
        <f t="shared" si="25"/>
        <v>595</v>
      </c>
    </row>
    <row r="821" spans="3:7" x14ac:dyDescent="0.45">
      <c r="C821" t="s">
        <v>772</v>
      </c>
      <c r="D821">
        <f t="shared" si="24"/>
        <v>380</v>
      </c>
      <c r="F821" t="s">
        <v>794</v>
      </c>
      <c r="G821">
        <f t="shared" si="25"/>
        <v>600</v>
      </c>
    </row>
    <row r="822" spans="3:7" x14ac:dyDescent="0.45">
      <c r="C822" t="s">
        <v>771</v>
      </c>
      <c r="D822">
        <f t="shared" si="24"/>
        <v>360</v>
      </c>
      <c r="F822" t="s">
        <v>793</v>
      </c>
      <c r="G822">
        <f t="shared" si="25"/>
        <v>595</v>
      </c>
    </row>
    <row r="823" spans="3:7" x14ac:dyDescent="0.45">
      <c r="C823" t="s">
        <v>772</v>
      </c>
      <c r="D823">
        <f t="shared" si="24"/>
        <v>380</v>
      </c>
      <c r="F823" t="s">
        <v>794</v>
      </c>
      <c r="G823">
        <f t="shared" si="25"/>
        <v>600</v>
      </c>
    </row>
    <row r="824" spans="3:7" x14ac:dyDescent="0.45">
      <c r="C824" t="s">
        <v>771</v>
      </c>
      <c r="D824">
        <f t="shared" si="24"/>
        <v>360</v>
      </c>
      <c r="F824" t="s">
        <v>793</v>
      </c>
      <c r="G824">
        <f t="shared" si="25"/>
        <v>595</v>
      </c>
    </row>
    <row r="825" spans="3:7" x14ac:dyDescent="0.45">
      <c r="C825" t="s">
        <v>771</v>
      </c>
      <c r="D825">
        <f t="shared" si="24"/>
        <v>360</v>
      </c>
      <c r="F825" t="s">
        <v>793</v>
      </c>
      <c r="G825">
        <f t="shared" si="25"/>
        <v>595</v>
      </c>
    </row>
    <row r="826" spans="3:7" x14ac:dyDescent="0.45">
      <c r="C826" t="s">
        <v>772</v>
      </c>
      <c r="D826">
        <f t="shared" si="24"/>
        <v>380</v>
      </c>
      <c r="F826" t="s">
        <v>794</v>
      </c>
      <c r="G826">
        <f t="shared" si="25"/>
        <v>600</v>
      </c>
    </row>
    <row r="827" spans="3:7" x14ac:dyDescent="0.45">
      <c r="C827" t="s">
        <v>776</v>
      </c>
      <c r="D827">
        <f t="shared" si="24"/>
        <v>430</v>
      </c>
      <c r="F827" t="s">
        <v>797</v>
      </c>
      <c r="G827">
        <f t="shared" si="25"/>
        <v>610</v>
      </c>
    </row>
    <row r="828" spans="3:7" x14ac:dyDescent="0.45">
      <c r="C828" t="s">
        <v>772</v>
      </c>
      <c r="D828">
        <f t="shared" si="24"/>
        <v>380</v>
      </c>
      <c r="F828" t="s">
        <v>794</v>
      </c>
      <c r="G828">
        <f t="shared" si="25"/>
        <v>600</v>
      </c>
    </row>
    <row r="829" spans="3:7" x14ac:dyDescent="0.45">
      <c r="C829" t="s">
        <v>776</v>
      </c>
      <c r="D829">
        <f t="shared" si="24"/>
        <v>430</v>
      </c>
      <c r="F829" t="s">
        <v>797</v>
      </c>
      <c r="G829">
        <f t="shared" si="25"/>
        <v>610</v>
      </c>
    </row>
    <row r="830" spans="3:7" x14ac:dyDescent="0.45">
      <c r="C830" t="s">
        <v>772</v>
      </c>
      <c r="D830">
        <f t="shared" si="24"/>
        <v>380</v>
      </c>
      <c r="F830" t="s">
        <v>794</v>
      </c>
      <c r="G830">
        <f t="shared" si="25"/>
        <v>600</v>
      </c>
    </row>
    <row r="831" spans="3:7" x14ac:dyDescent="0.45">
      <c r="C831" t="s">
        <v>771</v>
      </c>
      <c r="D831">
        <f t="shared" si="24"/>
        <v>360</v>
      </c>
      <c r="F831" t="s">
        <v>791</v>
      </c>
      <c r="G831">
        <f t="shared" si="25"/>
        <v>550</v>
      </c>
    </row>
    <row r="832" spans="3:7" x14ac:dyDescent="0.45">
      <c r="C832" t="s">
        <v>772</v>
      </c>
      <c r="D832">
        <f t="shared" si="24"/>
        <v>380</v>
      </c>
      <c r="F832" t="s">
        <v>794</v>
      </c>
      <c r="G832">
        <f t="shared" si="25"/>
        <v>600</v>
      </c>
    </row>
    <row r="833" spans="3:7" x14ac:dyDescent="0.45">
      <c r="C833" t="s">
        <v>771</v>
      </c>
      <c r="D833">
        <f t="shared" si="24"/>
        <v>360</v>
      </c>
      <c r="F833" t="s">
        <v>791</v>
      </c>
      <c r="G833">
        <f t="shared" si="25"/>
        <v>550</v>
      </c>
    </row>
    <row r="834" spans="3:7" x14ac:dyDescent="0.45">
      <c r="C834" t="s">
        <v>772</v>
      </c>
      <c r="D834">
        <f t="shared" si="24"/>
        <v>380</v>
      </c>
      <c r="F834" t="s">
        <v>794</v>
      </c>
      <c r="G834">
        <f t="shared" si="25"/>
        <v>600</v>
      </c>
    </row>
    <row r="835" spans="3:7" x14ac:dyDescent="0.45">
      <c r="C835" t="s">
        <v>779</v>
      </c>
      <c r="D835">
        <f t="shared" ref="D835:D879" si="26">+C835+0</f>
        <v>370</v>
      </c>
      <c r="F835" t="s">
        <v>800</v>
      </c>
      <c r="G835">
        <f t="shared" ref="G835:G898" si="27">+F835+0</f>
        <v>560</v>
      </c>
    </row>
    <row r="836" spans="3:7" x14ac:dyDescent="0.45">
      <c r="C836" t="s">
        <v>779</v>
      </c>
      <c r="D836">
        <f t="shared" si="26"/>
        <v>370</v>
      </c>
      <c r="F836" t="s">
        <v>800</v>
      </c>
      <c r="G836">
        <f t="shared" si="27"/>
        <v>560</v>
      </c>
    </row>
    <row r="837" spans="3:7" x14ac:dyDescent="0.45">
      <c r="C837" t="s">
        <v>779</v>
      </c>
      <c r="D837">
        <f t="shared" si="26"/>
        <v>370</v>
      </c>
      <c r="F837" t="s">
        <v>800</v>
      </c>
      <c r="G837">
        <f t="shared" si="27"/>
        <v>560</v>
      </c>
    </row>
    <row r="838" spans="3:7" x14ac:dyDescent="0.45">
      <c r="C838" t="s">
        <v>779</v>
      </c>
      <c r="D838">
        <f t="shared" si="26"/>
        <v>370</v>
      </c>
      <c r="F838" t="s">
        <v>800</v>
      </c>
      <c r="G838">
        <f t="shared" si="27"/>
        <v>560</v>
      </c>
    </row>
    <row r="839" spans="3:7" x14ac:dyDescent="0.45">
      <c r="C839" t="s">
        <v>779</v>
      </c>
      <c r="D839">
        <f t="shared" si="26"/>
        <v>370</v>
      </c>
      <c r="F839" t="s">
        <v>800</v>
      </c>
      <c r="G839">
        <f t="shared" si="27"/>
        <v>560</v>
      </c>
    </row>
    <row r="840" spans="3:7" x14ac:dyDescent="0.45">
      <c r="C840" t="s">
        <v>773</v>
      </c>
      <c r="D840">
        <f t="shared" si="26"/>
        <v>390</v>
      </c>
      <c r="F840" t="s">
        <v>795</v>
      </c>
      <c r="G840">
        <f t="shared" si="27"/>
        <v>570</v>
      </c>
    </row>
    <row r="841" spans="3:7" x14ac:dyDescent="0.45">
      <c r="C841" t="s">
        <v>773</v>
      </c>
      <c r="D841">
        <f t="shared" si="26"/>
        <v>390</v>
      </c>
      <c r="F841" t="s">
        <v>795</v>
      </c>
      <c r="G841">
        <f t="shared" si="27"/>
        <v>570</v>
      </c>
    </row>
    <row r="842" spans="3:7" x14ac:dyDescent="0.45">
      <c r="C842" t="s">
        <v>773</v>
      </c>
      <c r="D842">
        <f t="shared" si="26"/>
        <v>390</v>
      </c>
      <c r="F842" t="s">
        <v>795</v>
      </c>
      <c r="G842">
        <f t="shared" si="27"/>
        <v>570</v>
      </c>
    </row>
    <row r="843" spans="3:7" x14ac:dyDescent="0.45">
      <c r="C843" t="s">
        <v>773</v>
      </c>
      <c r="D843">
        <f t="shared" si="26"/>
        <v>390</v>
      </c>
      <c r="F843" t="s">
        <v>795</v>
      </c>
      <c r="G843">
        <f t="shared" si="27"/>
        <v>570</v>
      </c>
    </row>
    <row r="844" spans="3:7" x14ac:dyDescent="0.45">
      <c r="C844" t="s">
        <v>773</v>
      </c>
      <c r="D844">
        <f t="shared" si="26"/>
        <v>390</v>
      </c>
      <c r="F844" t="s">
        <v>795</v>
      </c>
      <c r="G844">
        <f t="shared" si="27"/>
        <v>570</v>
      </c>
    </row>
    <row r="845" spans="3:7" x14ac:dyDescent="0.45">
      <c r="C845" t="s">
        <v>774</v>
      </c>
      <c r="D845">
        <f t="shared" si="26"/>
        <v>400</v>
      </c>
      <c r="F845" t="s">
        <v>795</v>
      </c>
      <c r="G845">
        <f t="shared" si="27"/>
        <v>570</v>
      </c>
    </row>
    <row r="846" spans="3:7" x14ac:dyDescent="0.45">
      <c r="C846" t="s">
        <v>772</v>
      </c>
      <c r="D846">
        <f t="shared" si="26"/>
        <v>380</v>
      </c>
      <c r="F846" t="s">
        <v>794</v>
      </c>
      <c r="G846">
        <f t="shared" si="27"/>
        <v>600</v>
      </c>
    </row>
    <row r="847" spans="3:7" x14ac:dyDescent="0.45">
      <c r="C847" t="s">
        <v>772</v>
      </c>
      <c r="D847">
        <f t="shared" si="26"/>
        <v>380</v>
      </c>
      <c r="F847" t="s">
        <v>794</v>
      </c>
      <c r="G847">
        <f t="shared" si="27"/>
        <v>600</v>
      </c>
    </row>
    <row r="848" spans="3:7" x14ac:dyDescent="0.45">
      <c r="C848" t="s">
        <v>773</v>
      </c>
      <c r="D848">
        <f t="shared" si="26"/>
        <v>390</v>
      </c>
      <c r="F848" t="s">
        <v>795</v>
      </c>
      <c r="G848">
        <f t="shared" si="27"/>
        <v>570</v>
      </c>
    </row>
    <row r="849" spans="3:7" x14ac:dyDescent="0.45">
      <c r="C849" t="s">
        <v>772</v>
      </c>
      <c r="D849">
        <f t="shared" si="26"/>
        <v>380</v>
      </c>
      <c r="F849" t="s">
        <v>794</v>
      </c>
      <c r="G849">
        <f t="shared" si="27"/>
        <v>600</v>
      </c>
    </row>
    <row r="850" spans="3:7" x14ac:dyDescent="0.45">
      <c r="C850" t="s">
        <v>775</v>
      </c>
      <c r="D850">
        <f t="shared" si="26"/>
        <v>450</v>
      </c>
      <c r="F850" t="s">
        <v>796</v>
      </c>
      <c r="G850">
        <f t="shared" si="27"/>
        <v>620</v>
      </c>
    </row>
    <row r="851" spans="3:7" x14ac:dyDescent="0.45">
      <c r="C851" t="s">
        <v>775</v>
      </c>
      <c r="D851">
        <f t="shared" si="26"/>
        <v>450</v>
      </c>
      <c r="F851" t="s">
        <v>796</v>
      </c>
      <c r="G851">
        <f t="shared" si="27"/>
        <v>620</v>
      </c>
    </row>
    <row r="852" spans="3:7" x14ac:dyDescent="0.45">
      <c r="C852" t="s">
        <v>771</v>
      </c>
      <c r="D852">
        <f t="shared" si="26"/>
        <v>360</v>
      </c>
      <c r="F852" t="s">
        <v>793</v>
      </c>
      <c r="G852">
        <f t="shared" si="27"/>
        <v>595</v>
      </c>
    </row>
    <row r="853" spans="3:7" x14ac:dyDescent="0.45">
      <c r="C853" t="s">
        <v>771</v>
      </c>
      <c r="D853">
        <f t="shared" si="26"/>
        <v>360</v>
      </c>
      <c r="F853" t="s">
        <v>793</v>
      </c>
      <c r="G853">
        <f t="shared" si="27"/>
        <v>595</v>
      </c>
    </row>
    <row r="854" spans="3:7" x14ac:dyDescent="0.45">
      <c r="C854" t="s">
        <v>780</v>
      </c>
      <c r="D854">
        <f t="shared" si="26"/>
        <v>300</v>
      </c>
      <c r="F854" t="s">
        <v>801</v>
      </c>
      <c r="G854">
        <f t="shared" si="27"/>
        <v>500</v>
      </c>
    </row>
    <row r="855" spans="3:7" x14ac:dyDescent="0.45">
      <c r="C855" t="s">
        <v>776</v>
      </c>
      <c r="D855">
        <f t="shared" si="26"/>
        <v>430</v>
      </c>
      <c r="F855" t="s">
        <v>797</v>
      </c>
      <c r="G855">
        <f t="shared" si="27"/>
        <v>610</v>
      </c>
    </row>
    <row r="856" spans="3:7" x14ac:dyDescent="0.45">
      <c r="C856" t="s">
        <v>776</v>
      </c>
      <c r="D856">
        <f t="shared" si="26"/>
        <v>430</v>
      </c>
      <c r="F856" t="s">
        <v>797</v>
      </c>
      <c r="G856">
        <f t="shared" si="27"/>
        <v>610</v>
      </c>
    </row>
    <row r="857" spans="3:7" x14ac:dyDescent="0.45">
      <c r="C857" t="s">
        <v>776</v>
      </c>
      <c r="D857">
        <f t="shared" si="26"/>
        <v>430</v>
      </c>
      <c r="F857" t="s">
        <v>797</v>
      </c>
      <c r="G857">
        <f t="shared" si="27"/>
        <v>610</v>
      </c>
    </row>
    <row r="858" spans="3:7" x14ac:dyDescent="0.45">
      <c r="C858" t="s">
        <v>776</v>
      </c>
      <c r="D858">
        <f t="shared" si="26"/>
        <v>430</v>
      </c>
      <c r="F858" t="s">
        <v>797</v>
      </c>
      <c r="G858">
        <f t="shared" si="27"/>
        <v>610</v>
      </c>
    </row>
    <row r="859" spans="3:7" x14ac:dyDescent="0.45">
      <c r="C859" t="s">
        <v>782</v>
      </c>
      <c r="D859">
        <f t="shared" si="26"/>
        <v>320</v>
      </c>
      <c r="F859" t="s">
        <v>801</v>
      </c>
      <c r="G859">
        <f t="shared" si="27"/>
        <v>500</v>
      </c>
    </row>
    <row r="860" spans="3:7" x14ac:dyDescent="0.45">
      <c r="C860" t="s">
        <v>769</v>
      </c>
      <c r="D860">
        <f t="shared" si="26"/>
        <v>340</v>
      </c>
      <c r="F860" t="s">
        <v>789</v>
      </c>
      <c r="G860">
        <f t="shared" si="27"/>
        <v>520</v>
      </c>
    </row>
    <row r="861" spans="3:7" x14ac:dyDescent="0.45">
      <c r="C861" t="s">
        <v>777</v>
      </c>
      <c r="D861">
        <f t="shared" si="26"/>
        <v>410</v>
      </c>
      <c r="F861" t="s">
        <v>798</v>
      </c>
      <c r="G861">
        <f t="shared" si="27"/>
        <v>580</v>
      </c>
    </row>
    <row r="862" spans="3:7" x14ac:dyDescent="0.45">
      <c r="C862" t="s">
        <v>777</v>
      </c>
      <c r="D862">
        <f t="shared" si="26"/>
        <v>410</v>
      </c>
      <c r="F862" t="s">
        <v>798</v>
      </c>
      <c r="G862">
        <f t="shared" si="27"/>
        <v>580</v>
      </c>
    </row>
    <row r="863" spans="3:7" x14ac:dyDescent="0.45">
      <c r="C863" t="s">
        <v>777</v>
      </c>
      <c r="D863">
        <f t="shared" si="26"/>
        <v>410</v>
      </c>
      <c r="F863" t="s">
        <v>798</v>
      </c>
      <c r="G863">
        <f t="shared" si="27"/>
        <v>580</v>
      </c>
    </row>
    <row r="864" spans="3:7" x14ac:dyDescent="0.45">
      <c r="C864" t="s">
        <v>777</v>
      </c>
      <c r="D864">
        <f t="shared" si="26"/>
        <v>410</v>
      </c>
      <c r="F864" t="s">
        <v>798</v>
      </c>
      <c r="G864">
        <f t="shared" si="27"/>
        <v>580</v>
      </c>
    </row>
    <row r="865" spans="3:7" x14ac:dyDescent="0.45">
      <c r="C865" t="s">
        <v>777</v>
      </c>
      <c r="D865">
        <f t="shared" si="26"/>
        <v>410</v>
      </c>
      <c r="F865" t="s">
        <v>798</v>
      </c>
      <c r="G865">
        <f t="shared" si="27"/>
        <v>580</v>
      </c>
    </row>
    <row r="866" spans="3:7" x14ac:dyDescent="0.45">
      <c r="C866" t="s">
        <v>777</v>
      </c>
      <c r="D866">
        <f t="shared" si="26"/>
        <v>410</v>
      </c>
      <c r="F866" t="s">
        <v>798</v>
      </c>
      <c r="G866">
        <f t="shared" si="27"/>
        <v>580</v>
      </c>
    </row>
    <row r="867" spans="3:7" x14ac:dyDescent="0.45">
      <c r="C867" t="s">
        <v>777</v>
      </c>
      <c r="D867">
        <f t="shared" si="26"/>
        <v>410</v>
      </c>
      <c r="F867" t="s">
        <v>798</v>
      </c>
      <c r="G867">
        <f t="shared" si="27"/>
        <v>580</v>
      </c>
    </row>
    <row r="868" spans="3:7" x14ac:dyDescent="0.45">
      <c r="C868" t="s">
        <v>777</v>
      </c>
      <c r="D868">
        <f t="shared" si="26"/>
        <v>410</v>
      </c>
      <c r="F868" t="s">
        <v>798</v>
      </c>
      <c r="G868">
        <f t="shared" si="27"/>
        <v>580</v>
      </c>
    </row>
    <row r="869" spans="3:7" x14ac:dyDescent="0.45">
      <c r="C869" t="s">
        <v>777</v>
      </c>
      <c r="D869">
        <f t="shared" si="26"/>
        <v>410</v>
      </c>
      <c r="F869" t="s">
        <v>798</v>
      </c>
      <c r="G869">
        <f t="shared" si="27"/>
        <v>580</v>
      </c>
    </row>
    <row r="870" spans="3:7" x14ac:dyDescent="0.45">
      <c r="C870" t="s">
        <v>777</v>
      </c>
      <c r="D870">
        <f t="shared" si="26"/>
        <v>410</v>
      </c>
      <c r="F870" t="s">
        <v>798</v>
      </c>
      <c r="G870">
        <f t="shared" si="27"/>
        <v>580</v>
      </c>
    </row>
    <row r="871" spans="3:7" x14ac:dyDescent="0.45">
      <c r="C871" t="s">
        <v>777</v>
      </c>
      <c r="D871">
        <f t="shared" si="26"/>
        <v>410</v>
      </c>
      <c r="F871" t="s">
        <v>798</v>
      </c>
      <c r="G871">
        <f t="shared" si="27"/>
        <v>580</v>
      </c>
    </row>
    <row r="872" spans="3:7" x14ac:dyDescent="0.45">
      <c r="C872" t="s">
        <v>777</v>
      </c>
      <c r="D872">
        <f t="shared" si="26"/>
        <v>410</v>
      </c>
      <c r="F872" t="s">
        <v>798</v>
      </c>
      <c r="G872">
        <f t="shared" si="27"/>
        <v>580</v>
      </c>
    </row>
    <row r="873" spans="3:7" x14ac:dyDescent="0.45">
      <c r="C873" t="s">
        <v>777</v>
      </c>
      <c r="D873">
        <f t="shared" si="26"/>
        <v>410</v>
      </c>
      <c r="F873" t="s">
        <v>798</v>
      </c>
      <c r="G873">
        <f t="shared" si="27"/>
        <v>580</v>
      </c>
    </row>
    <row r="874" spans="3:7" x14ac:dyDescent="0.45">
      <c r="C874" t="s">
        <v>779</v>
      </c>
      <c r="D874">
        <f t="shared" si="26"/>
        <v>370</v>
      </c>
      <c r="F874" t="s">
        <v>800</v>
      </c>
      <c r="G874">
        <f t="shared" si="27"/>
        <v>560</v>
      </c>
    </row>
    <row r="875" spans="3:7" x14ac:dyDescent="0.45">
      <c r="C875" t="s">
        <v>147</v>
      </c>
      <c r="D875">
        <f t="shared" si="26"/>
        <v>40</v>
      </c>
      <c r="F875">
        <v>0</v>
      </c>
      <c r="G875">
        <f t="shared" si="27"/>
        <v>0</v>
      </c>
    </row>
    <row r="876" spans="3:7" x14ac:dyDescent="0.45">
      <c r="C876" t="s">
        <v>759</v>
      </c>
      <c r="D876">
        <f t="shared" si="26"/>
        <v>210</v>
      </c>
      <c r="F876">
        <v>0</v>
      </c>
      <c r="G876">
        <f t="shared" si="27"/>
        <v>0</v>
      </c>
    </row>
    <row r="877" spans="3:7" x14ac:dyDescent="0.45">
      <c r="C877" t="s">
        <v>764</v>
      </c>
      <c r="D877">
        <f t="shared" si="26"/>
        <v>22</v>
      </c>
      <c r="F877">
        <v>0</v>
      </c>
      <c r="G877">
        <f t="shared" si="27"/>
        <v>0</v>
      </c>
    </row>
    <row r="878" spans="3:7" x14ac:dyDescent="0.45">
      <c r="C878" t="s">
        <v>758</v>
      </c>
      <c r="D878">
        <f t="shared" si="26"/>
        <v>54</v>
      </c>
      <c r="F878">
        <v>0</v>
      </c>
      <c r="G878">
        <f t="shared" si="27"/>
        <v>0</v>
      </c>
    </row>
    <row r="879" spans="3:7" x14ac:dyDescent="0.45">
      <c r="C879" t="s">
        <v>761</v>
      </c>
      <c r="D879">
        <f t="shared" si="26"/>
        <v>240</v>
      </c>
      <c r="F879">
        <v>0</v>
      </c>
      <c r="G879">
        <f t="shared" si="27"/>
        <v>0</v>
      </c>
    </row>
    <row r="880" spans="3:7" x14ac:dyDescent="0.45">
      <c r="F880" t="s">
        <v>804</v>
      </c>
      <c r="G880" t="e">
        <f t="shared" si="27"/>
        <v>#VALUE!</v>
      </c>
    </row>
    <row r="881" spans="6:7" x14ac:dyDescent="0.45">
      <c r="F881" t="s">
        <v>804</v>
      </c>
      <c r="G881" t="e">
        <f t="shared" si="27"/>
        <v>#VALUE!</v>
      </c>
    </row>
    <row r="882" spans="6:7" x14ac:dyDescent="0.45">
      <c r="F882" t="s">
        <v>804</v>
      </c>
      <c r="G882" t="e">
        <f t="shared" si="27"/>
        <v>#VALUE!</v>
      </c>
    </row>
    <row r="883" spans="6:7" x14ac:dyDescent="0.45">
      <c r="F883" t="s">
        <v>804</v>
      </c>
      <c r="G883" t="e">
        <f t="shared" si="27"/>
        <v>#VALUE!</v>
      </c>
    </row>
    <row r="884" spans="6:7" x14ac:dyDescent="0.45">
      <c r="F884" t="s">
        <v>804</v>
      </c>
      <c r="G884" t="e">
        <f t="shared" si="27"/>
        <v>#VALUE!</v>
      </c>
    </row>
    <row r="885" spans="6:7" x14ac:dyDescent="0.45">
      <c r="F885" t="s">
        <v>804</v>
      </c>
      <c r="G885" t="e">
        <f t="shared" si="27"/>
        <v>#VALUE!</v>
      </c>
    </row>
    <row r="886" spans="6:7" x14ac:dyDescent="0.45">
      <c r="F886" t="s">
        <v>804</v>
      </c>
      <c r="G886" t="e">
        <f t="shared" si="27"/>
        <v>#VALUE!</v>
      </c>
    </row>
    <row r="887" spans="6:7" x14ac:dyDescent="0.45">
      <c r="F887" t="s">
        <v>804</v>
      </c>
      <c r="G887" t="e">
        <f t="shared" si="27"/>
        <v>#VALUE!</v>
      </c>
    </row>
    <row r="888" spans="6:7" x14ac:dyDescent="0.45">
      <c r="F888" t="s">
        <v>804</v>
      </c>
      <c r="G888" t="e">
        <f t="shared" si="27"/>
        <v>#VALUE!</v>
      </c>
    </row>
    <row r="889" spans="6:7" x14ac:dyDescent="0.45">
      <c r="F889" t="s">
        <v>804</v>
      </c>
      <c r="G889" t="e">
        <f t="shared" si="27"/>
        <v>#VALUE!</v>
      </c>
    </row>
    <row r="890" spans="6:7" x14ac:dyDescent="0.45">
      <c r="F890" t="s">
        <v>804</v>
      </c>
      <c r="G890" t="e">
        <f t="shared" si="27"/>
        <v>#VALUE!</v>
      </c>
    </row>
    <row r="891" spans="6:7" x14ac:dyDescent="0.45">
      <c r="F891" t="s">
        <v>804</v>
      </c>
      <c r="G891" t="e">
        <f t="shared" si="27"/>
        <v>#VALUE!</v>
      </c>
    </row>
    <row r="892" spans="6:7" x14ac:dyDescent="0.45">
      <c r="F892" t="s">
        <v>804</v>
      </c>
      <c r="G892" t="e">
        <f t="shared" si="27"/>
        <v>#VALUE!</v>
      </c>
    </row>
    <row r="893" spans="6:7" x14ac:dyDescent="0.45">
      <c r="F893" t="s">
        <v>804</v>
      </c>
      <c r="G893" t="e">
        <f t="shared" si="27"/>
        <v>#VALUE!</v>
      </c>
    </row>
    <row r="894" spans="6:7" x14ac:dyDescent="0.45">
      <c r="F894" t="s">
        <v>804</v>
      </c>
      <c r="G894" t="e">
        <f t="shared" si="27"/>
        <v>#VALUE!</v>
      </c>
    </row>
    <row r="895" spans="6:7" x14ac:dyDescent="0.45">
      <c r="F895" t="s">
        <v>804</v>
      </c>
      <c r="G895" t="e">
        <f t="shared" si="27"/>
        <v>#VALUE!</v>
      </c>
    </row>
    <row r="896" spans="6:7" x14ac:dyDescent="0.45">
      <c r="F896" t="s">
        <v>804</v>
      </c>
      <c r="G896" t="e">
        <f t="shared" si="27"/>
        <v>#VALUE!</v>
      </c>
    </row>
    <row r="897" spans="6:7" x14ac:dyDescent="0.45">
      <c r="F897" t="s">
        <v>804</v>
      </c>
      <c r="G897" t="e">
        <f t="shared" si="27"/>
        <v>#VALUE!</v>
      </c>
    </row>
    <row r="898" spans="6:7" x14ac:dyDescent="0.45">
      <c r="F898" t="s">
        <v>804</v>
      </c>
      <c r="G898" t="e">
        <f t="shared" si="27"/>
        <v>#VALUE!</v>
      </c>
    </row>
    <row r="899" spans="6:7" x14ac:dyDescent="0.45">
      <c r="F899" t="s">
        <v>804</v>
      </c>
      <c r="G899" t="e">
        <f t="shared" ref="G899:G962" si="28">+F899+0</f>
        <v>#VALUE!</v>
      </c>
    </row>
    <row r="900" spans="6:7" x14ac:dyDescent="0.45">
      <c r="F900" t="s">
        <v>804</v>
      </c>
      <c r="G900" t="e">
        <f t="shared" si="28"/>
        <v>#VALUE!</v>
      </c>
    </row>
    <row r="901" spans="6:7" x14ac:dyDescent="0.45">
      <c r="F901" t="s">
        <v>804</v>
      </c>
      <c r="G901" t="e">
        <f t="shared" si="28"/>
        <v>#VALUE!</v>
      </c>
    </row>
    <row r="902" spans="6:7" x14ac:dyDescent="0.45">
      <c r="F902" t="s">
        <v>804</v>
      </c>
      <c r="G902" t="e">
        <f t="shared" si="28"/>
        <v>#VALUE!</v>
      </c>
    </row>
    <row r="903" spans="6:7" x14ac:dyDescent="0.45">
      <c r="F903" t="s">
        <v>804</v>
      </c>
      <c r="G903" t="e">
        <f t="shared" si="28"/>
        <v>#VALUE!</v>
      </c>
    </row>
    <row r="904" spans="6:7" x14ac:dyDescent="0.45">
      <c r="F904" t="s">
        <v>804</v>
      </c>
      <c r="G904" t="e">
        <f t="shared" si="28"/>
        <v>#VALUE!</v>
      </c>
    </row>
    <row r="905" spans="6:7" x14ac:dyDescent="0.45">
      <c r="F905" t="s">
        <v>804</v>
      </c>
      <c r="G905" t="e">
        <f t="shared" si="28"/>
        <v>#VALUE!</v>
      </c>
    </row>
    <row r="906" spans="6:7" x14ac:dyDescent="0.45">
      <c r="F906" t="s">
        <v>804</v>
      </c>
      <c r="G906" t="e">
        <f t="shared" si="28"/>
        <v>#VALUE!</v>
      </c>
    </row>
    <row r="907" spans="6:7" x14ac:dyDescent="0.45">
      <c r="F907" t="s">
        <v>804</v>
      </c>
      <c r="G907" t="e">
        <f t="shared" si="28"/>
        <v>#VALUE!</v>
      </c>
    </row>
    <row r="908" spans="6:7" x14ac:dyDescent="0.45">
      <c r="F908" t="s">
        <v>804</v>
      </c>
      <c r="G908" t="e">
        <f t="shared" si="28"/>
        <v>#VALUE!</v>
      </c>
    </row>
    <row r="909" spans="6:7" x14ac:dyDescent="0.45">
      <c r="F909" t="s">
        <v>804</v>
      </c>
      <c r="G909" t="e">
        <f t="shared" si="28"/>
        <v>#VALUE!</v>
      </c>
    </row>
    <row r="910" spans="6:7" x14ac:dyDescent="0.45">
      <c r="F910" t="s">
        <v>804</v>
      </c>
      <c r="G910" t="e">
        <f t="shared" si="28"/>
        <v>#VALUE!</v>
      </c>
    </row>
    <row r="911" spans="6:7" x14ac:dyDescent="0.45">
      <c r="F911" t="s">
        <v>804</v>
      </c>
      <c r="G911" t="e">
        <f t="shared" si="28"/>
        <v>#VALUE!</v>
      </c>
    </row>
    <row r="912" spans="6:7" x14ac:dyDescent="0.45">
      <c r="F912" t="s">
        <v>804</v>
      </c>
      <c r="G912" t="e">
        <f t="shared" si="28"/>
        <v>#VALUE!</v>
      </c>
    </row>
    <row r="913" spans="6:7" x14ac:dyDescent="0.45">
      <c r="F913" t="s">
        <v>804</v>
      </c>
      <c r="G913" t="e">
        <f t="shared" si="28"/>
        <v>#VALUE!</v>
      </c>
    </row>
    <row r="914" spans="6:7" x14ac:dyDescent="0.45">
      <c r="F914" t="s">
        <v>804</v>
      </c>
      <c r="G914" t="e">
        <f t="shared" si="28"/>
        <v>#VALUE!</v>
      </c>
    </row>
    <row r="915" spans="6:7" x14ac:dyDescent="0.45">
      <c r="F915" t="s">
        <v>804</v>
      </c>
      <c r="G915" t="e">
        <f t="shared" si="28"/>
        <v>#VALUE!</v>
      </c>
    </row>
    <row r="916" spans="6:7" x14ac:dyDescent="0.45">
      <c r="F916" t="s">
        <v>804</v>
      </c>
      <c r="G916" t="e">
        <f t="shared" si="28"/>
        <v>#VALUE!</v>
      </c>
    </row>
    <row r="917" spans="6:7" x14ac:dyDescent="0.45">
      <c r="F917" t="s">
        <v>804</v>
      </c>
      <c r="G917" t="e">
        <f t="shared" si="28"/>
        <v>#VALUE!</v>
      </c>
    </row>
    <row r="918" spans="6:7" x14ac:dyDescent="0.45">
      <c r="F918" t="s">
        <v>804</v>
      </c>
      <c r="G918" t="e">
        <f t="shared" si="28"/>
        <v>#VALUE!</v>
      </c>
    </row>
    <row r="919" spans="6:7" x14ac:dyDescent="0.45">
      <c r="F919" t="s">
        <v>804</v>
      </c>
      <c r="G919" t="e">
        <f t="shared" si="28"/>
        <v>#VALUE!</v>
      </c>
    </row>
    <row r="920" spans="6:7" x14ac:dyDescent="0.45">
      <c r="F920" t="s">
        <v>804</v>
      </c>
      <c r="G920" t="e">
        <f t="shared" si="28"/>
        <v>#VALUE!</v>
      </c>
    </row>
    <row r="921" spans="6:7" x14ac:dyDescent="0.45">
      <c r="F921" t="s">
        <v>804</v>
      </c>
      <c r="G921" t="e">
        <f t="shared" si="28"/>
        <v>#VALUE!</v>
      </c>
    </row>
    <row r="922" spans="6:7" x14ac:dyDescent="0.45">
      <c r="F922" t="s">
        <v>804</v>
      </c>
      <c r="G922" t="e">
        <f t="shared" si="28"/>
        <v>#VALUE!</v>
      </c>
    </row>
    <row r="923" spans="6:7" x14ac:dyDescent="0.45">
      <c r="F923" t="s">
        <v>804</v>
      </c>
      <c r="G923" t="e">
        <f t="shared" si="28"/>
        <v>#VALUE!</v>
      </c>
    </row>
    <row r="924" spans="6:7" x14ac:dyDescent="0.45">
      <c r="F924" t="s">
        <v>804</v>
      </c>
      <c r="G924" t="e">
        <f t="shared" si="28"/>
        <v>#VALUE!</v>
      </c>
    </row>
    <row r="925" spans="6:7" x14ac:dyDescent="0.45">
      <c r="F925" t="s">
        <v>804</v>
      </c>
      <c r="G925" t="e">
        <f t="shared" si="28"/>
        <v>#VALUE!</v>
      </c>
    </row>
    <row r="926" spans="6:7" x14ac:dyDescent="0.45">
      <c r="F926" t="s">
        <v>804</v>
      </c>
      <c r="G926" t="e">
        <f t="shared" si="28"/>
        <v>#VALUE!</v>
      </c>
    </row>
    <row r="927" spans="6:7" x14ac:dyDescent="0.45">
      <c r="F927" t="s">
        <v>804</v>
      </c>
      <c r="G927" t="e">
        <f t="shared" si="28"/>
        <v>#VALUE!</v>
      </c>
    </row>
    <row r="928" spans="6:7" x14ac:dyDescent="0.45">
      <c r="F928" t="s">
        <v>804</v>
      </c>
      <c r="G928" t="e">
        <f t="shared" si="28"/>
        <v>#VALUE!</v>
      </c>
    </row>
    <row r="929" spans="6:7" x14ac:dyDescent="0.45">
      <c r="F929" t="s">
        <v>804</v>
      </c>
      <c r="G929" t="e">
        <f t="shared" si="28"/>
        <v>#VALUE!</v>
      </c>
    </row>
    <row r="930" spans="6:7" x14ac:dyDescent="0.45">
      <c r="F930" t="s">
        <v>804</v>
      </c>
      <c r="G930" t="e">
        <f t="shared" si="28"/>
        <v>#VALUE!</v>
      </c>
    </row>
    <row r="931" spans="6:7" x14ac:dyDescent="0.45">
      <c r="F931" t="s">
        <v>804</v>
      </c>
      <c r="G931" t="e">
        <f t="shared" si="28"/>
        <v>#VALUE!</v>
      </c>
    </row>
    <row r="932" spans="6:7" x14ac:dyDescent="0.45">
      <c r="F932" t="s">
        <v>804</v>
      </c>
      <c r="G932" t="e">
        <f t="shared" si="28"/>
        <v>#VALUE!</v>
      </c>
    </row>
    <row r="933" spans="6:7" x14ac:dyDescent="0.45">
      <c r="F933" t="s">
        <v>804</v>
      </c>
      <c r="G933" t="e">
        <f t="shared" si="28"/>
        <v>#VALUE!</v>
      </c>
    </row>
    <row r="934" spans="6:7" x14ac:dyDescent="0.45">
      <c r="F934" t="s">
        <v>804</v>
      </c>
      <c r="G934" t="e">
        <f t="shared" si="28"/>
        <v>#VALUE!</v>
      </c>
    </row>
    <row r="935" spans="6:7" x14ac:dyDescent="0.45">
      <c r="F935" t="s">
        <v>804</v>
      </c>
      <c r="G935" t="e">
        <f t="shared" si="28"/>
        <v>#VALUE!</v>
      </c>
    </row>
    <row r="936" spans="6:7" x14ac:dyDescent="0.45">
      <c r="F936" t="s">
        <v>804</v>
      </c>
      <c r="G936" t="e">
        <f t="shared" si="28"/>
        <v>#VALUE!</v>
      </c>
    </row>
    <row r="937" spans="6:7" x14ac:dyDescent="0.45">
      <c r="F937" t="s">
        <v>804</v>
      </c>
      <c r="G937" t="e">
        <f t="shared" si="28"/>
        <v>#VALUE!</v>
      </c>
    </row>
    <row r="938" spans="6:7" x14ac:dyDescent="0.45">
      <c r="F938" t="s">
        <v>804</v>
      </c>
      <c r="G938" t="e">
        <f t="shared" si="28"/>
        <v>#VALUE!</v>
      </c>
    </row>
    <row r="939" spans="6:7" x14ac:dyDescent="0.45">
      <c r="F939" t="s">
        <v>804</v>
      </c>
      <c r="G939" t="e">
        <f t="shared" si="28"/>
        <v>#VALUE!</v>
      </c>
    </row>
    <row r="940" spans="6:7" x14ac:dyDescent="0.45">
      <c r="F940" t="s">
        <v>804</v>
      </c>
      <c r="G940" t="e">
        <f t="shared" si="28"/>
        <v>#VALUE!</v>
      </c>
    </row>
    <row r="941" spans="6:7" x14ac:dyDescent="0.45">
      <c r="F941" t="s">
        <v>804</v>
      </c>
      <c r="G941" t="e">
        <f t="shared" si="28"/>
        <v>#VALUE!</v>
      </c>
    </row>
    <row r="942" spans="6:7" x14ac:dyDescent="0.45">
      <c r="F942" t="s">
        <v>804</v>
      </c>
      <c r="G942" t="e">
        <f t="shared" si="28"/>
        <v>#VALUE!</v>
      </c>
    </row>
    <row r="943" spans="6:7" x14ac:dyDescent="0.45">
      <c r="F943" t="s">
        <v>804</v>
      </c>
      <c r="G943" t="e">
        <f t="shared" si="28"/>
        <v>#VALUE!</v>
      </c>
    </row>
    <row r="944" spans="6:7" x14ac:dyDescent="0.45">
      <c r="F944" t="s">
        <v>804</v>
      </c>
      <c r="G944" t="e">
        <f t="shared" si="28"/>
        <v>#VALUE!</v>
      </c>
    </row>
    <row r="945" spans="6:7" x14ac:dyDescent="0.45">
      <c r="F945" t="s">
        <v>804</v>
      </c>
      <c r="G945" t="e">
        <f t="shared" si="28"/>
        <v>#VALUE!</v>
      </c>
    </row>
    <row r="946" spans="6:7" x14ac:dyDescent="0.45">
      <c r="F946" t="s">
        <v>804</v>
      </c>
      <c r="G946" t="e">
        <f t="shared" si="28"/>
        <v>#VALUE!</v>
      </c>
    </row>
    <row r="947" spans="6:7" x14ac:dyDescent="0.45">
      <c r="F947" t="s">
        <v>804</v>
      </c>
      <c r="G947" t="e">
        <f t="shared" si="28"/>
        <v>#VALUE!</v>
      </c>
    </row>
    <row r="948" spans="6:7" x14ac:dyDescent="0.45">
      <c r="F948" t="s">
        <v>804</v>
      </c>
      <c r="G948" t="e">
        <f t="shared" si="28"/>
        <v>#VALUE!</v>
      </c>
    </row>
    <row r="949" spans="6:7" x14ac:dyDescent="0.45">
      <c r="F949" t="s">
        <v>804</v>
      </c>
      <c r="G949" t="e">
        <f t="shared" si="28"/>
        <v>#VALUE!</v>
      </c>
    </row>
    <row r="950" spans="6:7" x14ac:dyDescent="0.45">
      <c r="F950" t="s">
        <v>804</v>
      </c>
      <c r="G950" t="e">
        <f t="shared" si="28"/>
        <v>#VALUE!</v>
      </c>
    </row>
    <row r="951" spans="6:7" x14ac:dyDescent="0.45">
      <c r="F951" t="s">
        <v>804</v>
      </c>
      <c r="G951" t="e">
        <f t="shared" si="28"/>
        <v>#VALUE!</v>
      </c>
    </row>
    <row r="952" spans="6:7" x14ac:dyDescent="0.45">
      <c r="F952" t="s">
        <v>804</v>
      </c>
      <c r="G952" t="e">
        <f t="shared" si="28"/>
        <v>#VALUE!</v>
      </c>
    </row>
    <row r="953" spans="6:7" x14ac:dyDescent="0.45">
      <c r="F953" t="s">
        <v>804</v>
      </c>
      <c r="G953" t="e">
        <f t="shared" si="28"/>
        <v>#VALUE!</v>
      </c>
    </row>
    <row r="954" spans="6:7" x14ac:dyDescent="0.45">
      <c r="F954" t="s">
        <v>804</v>
      </c>
      <c r="G954" t="e">
        <f t="shared" si="28"/>
        <v>#VALUE!</v>
      </c>
    </row>
    <row r="955" spans="6:7" x14ac:dyDescent="0.45">
      <c r="F955" t="s">
        <v>804</v>
      </c>
      <c r="G955" t="e">
        <f t="shared" si="28"/>
        <v>#VALUE!</v>
      </c>
    </row>
    <row r="956" spans="6:7" x14ac:dyDescent="0.45">
      <c r="F956" t="s">
        <v>804</v>
      </c>
      <c r="G956" t="e">
        <f t="shared" si="28"/>
        <v>#VALUE!</v>
      </c>
    </row>
    <row r="957" spans="6:7" x14ac:dyDescent="0.45">
      <c r="F957" t="s">
        <v>804</v>
      </c>
      <c r="G957" t="e">
        <f t="shared" si="28"/>
        <v>#VALUE!</v>
      </c>
    </row>
    <row r="958" spans="6:7" x14ac:dyDescent="0.45">
      <c r="F958" t="s">
        <v>804</v>
      </c>
      <c r="G958" t="e">
        <f t="shared" si="28"/>
        <v>#VALUE!</v>
      </c>
    </row>
    <row r="959" spans="6:7" x14ac:dyDescent="0.45">
      <c r="F959" t="s">
        <v>804</v>
      </c>
      <c r="G959" t="e">
        <f t="shared" si="28"/>
        <v>#VALUE!</v>
      </c>
    </row>
    <row r="960" spans="6:7" x14ac:dyDescent="0.45">
      <c r="F960" t="s">
        <v>804</v>
      </c>
      <c r="G960" t="e">
        <f t="shared" si="28"/>
        <v>#VALUE!</v>
      </c>
    </row>
    <row r="961" spans="6:7" x14ac:dyDescent="0.45">
      <c r="F961" t="s">
        <v>804</v>
      </c>
      <c r="G961" t="e">
        <f t="shared" si="28"/>
        <v>#VALUE!</v>
      </c>
    </row>
    <row r="962" spans="6:7" x14ac:dyDescent="0.45">
      <c r="F962" t="s">
        <v>804</v>
      </c>
      <c r="G962" t="e">
        <f t="shared" si="28"/>
        <v>#VALUE!</v>
      </c>
    </row>
    <row r="963" spans="6:7" x14ac:dyDescent="0.45">
      <c r="F963" t="s">
        <v>804</v>
      </c>
      <c r="G963" t="e">
        <f t="shared" ref="G963:G1026" si="29">+F963+0</f>
        <v>#VALUE!</v>
      </c>
    </row>
    <row r="964" spans="6:7" x14ac:dyDescent="0.45">
      <c r="F964" t="s">
        <v>804</v>
      </c>
      <c r="G964" t="e">
        <f t="shared" si="29"/>
        <v>#VALUE!</v>
      </c>
    </row>
    <row r="965" spans="6:7" x14ac:dyDescent="0.45">
      <c r="F965" t="s">
        <v>804</v>
      </c>
      <c r="G965" t="e">
        <f t="shared" si="29"/>
        <v>#VALUE!</v>
      </c>
    </row>
    <row r="966" spans="6:7" x14ac:dyDescent="0.45">
      <c r="F966" t="s">
        <v>804</v>
      </c>
      <c r="G966" t="e">
        <f t="shared" si="29"/>
        <v>#VALUE!</v>
      </c>
    </row>
    <row r="967" spans="6:7" x14ac:dyDescent="0.45">
      <c r="F967" t="s">
        <v>804</v>
      </c>
      <c r="G967" t="e">
        <f t="shared" si="29"/>
        <v>#VALUE!</v>
      </c>
    </row>
    <row r="968" spans="6:7" x14ac:dyDescent="0.45">
      <c r="F968" t="s">
        <v>804</v>
      </c>
      <c r="G968" t="e">
        <f t="shared" si="29"/>
        <v>#VALUE!</v>
      </c>
    </row>
    <row r="969" spans="6:7" x14ac:dyDescent="0.45">
      <c r="F969" t="s">
        <v>804</v>
      </c>
      <c r="G969" t="e">
        <f t="shared" si="29"/>
        <v>#VALUE!</v>
      </c>
    </row>
    <row r="970" spans="6:7" x14ac:dyDescent="0.45">
      <c r="F970" t="s">
        <v>804</v>
      </c>
      <c r="G970" t="e">
        <f t="shared" si="29"/>
        <v>#VALUE!</v>
      </c>
    </row>
    <row r="971" spans="6:7" x14ac:dyDescent="0.45">
      <c r="F971" t="s">
        <v>804</v>
      </c>
      <c r="G971" t="e">
        <f t="shared" si="29"/>
        <v>#VALUE!</v>
      </c>
    </row>
    <row r="972" spans="6:7" x14ac:dyDescent="0.45">
      <c r="F972" t="s">
        <v>804</v>
      </c>
      <c r="G972" t="e">
        <f t="shared" si="29"/>
        <v>#VALUE!</v>
      </c>
    </row>
    <row r="973" spans="6:7" x14ac:dyDescent="0.45">
      <c r="F973" t="s">
        <v>804</v>
      </c>
      <c r="G973" t="e">
        <f t="shared" si="29"/>
        <v>#VALUE!</v>
      </c>
    </row>
    <row r="974" spans="6:7" x14ac:dyDescent="0.45">
      <c r="F974" t="s">
        <v>804</v>
      </c>
      <c r="G974" t="e">
        <f t="shared" si="29"/>
        <v>#VALUE!</v>
      </c>
    </row>
    <row r="975" spans="6:7" x14ac:dyDescent="0.45">
      <c r="F975" t="s">
        <v>804</v>
      </c>
      <c r="G975" t="e">
        <f t="shared" si="29"/>
        <v>#VALUE!</v>
      </c>
    </row>
    <row r="976" spans="6:7" x14ac:dyDescent="0.45">
      <c r="F976" t="s">
        <v>804</v>
      </c>
      <c r="G976" t="e">
        <f t="shared" si="29"/>
        <v>#VALUE!</v>
      </c>
    </row>
    <row r="977" spans="6:7" x14ac:dyDescent="0.45">
      <c r="F977" t="s">
        <v>804</v>
      </c>
      <c r="G977" t="e">
        <f t="shared" si="29"/>
        <v>#VALUE!</v>
      </c>
    </row>
    <row r="978" spans="6:7" x14ac:dyDescent="0.45">
      <c r="F978" t="s">
        <v>804</v>
      </c>
      <c r="G978" t="e">
        <f t="shared" si="29"/>
        <v>#VALUE!</v>
      </c>
    </row>
    <row r="979" spans="6:7" x14ac:dyDescent="0.45">
      <c r="F979" t="s">
        <v>804</v>
      </c>
      <c r="G979" t="e">
        <f t="shared" si="29"/>
        <v>#VALUE!</v>
      </c>
    </row>
    <row r="980" spans="6:7" x14ac:dyDescent="0.45">
      <c r="F980" t="s">
        <v>804</v>
      </c>
      <c r="G980" t="e">
        <f t="shared" si="29"/>
        <v>#VALUE!</v>
      </c>
    </row>
    <row r="981" spans="6:7" x14ac:dyDescent="0.45">
      <c r="F981" t="s">
        <v>804</v>
      </c>
      <c r="G981" t="e">
        <f t="shared" si="29"/>
        <v>#VALUE!</v>
      </c>
    </row>
    <row r="982" spans="6:7" x14ac:dyDescent="0.45">
      <c r="F982" t="s">
        <v>804</v>
      </c>
      <c r="G982" t="e">
        <f t="shared" si="29"/>
        <v>#VALUE!</v>
      </c>
    </row>
    <row r="983" spans="6:7" x14ac:dyDescent="0.45">
      <c r="F983" t="s">
        <v>804</v>
      </c>
      <c r="G983" t="e">
        <f t="shared" si="29"/>
        <v>#VALUE!</v>
      </c>
    </row>
    <row r="984" spans="6:7" x14ac:dyDescent="0.45">
      <c r="F984" t="s">
        <v>804</v>
      </c>
      <c r="G984" t="e">
        <f t="shared" si="29"/>
        <v>#VALUE!</v>
      </c>
    </row>
    <row r="985" spans="6:7" x14ac:dyDescent="0.45">
      <c r="F985" t="s">
        <v>804</v>
      </c>
      <c r="G985" t="e">
        <f t="shared" si="29"/>
        <v>#VALUE!</v>
      </c>
    </row>
    <row r="986" spans="6:7" x14ac:dyDescent="0.45">
      <c r="F986" t="s">
        <v>804</v>
      </c>
      <c r="G986" t="e">
        <f t="shared" si="29"/>
        <v>#VALUE!</v>
      </c>
    </row>
    <row r="987" spans="6:7" x14ac:dyDescent="0.45">
      <c r="F987" t="s">
        <v>804</v>
      </c>
      <c r="G987" t="e">
        <f t="shared" si="29"/>
        <v>#VALUE!</v>
      </c>
    </row>
    <row r="988" spans="6:7" x14ac:dyDescent="0.45">
      <c r="F988" t="s">
        <v>804</v>
      </c>
      <c r="G988" t="e">
        <f t="shared" si="29"/>
        <v>#VALUE!</v>
      </c>
    </row>
    <row r="989" spans="6:7" x14ac:dyDescent="0.45">
      <c r="F989" t="s">
        <v>804</v>
      </c>
      <c r="G989" t="e">
        <f t="shared" si="29"/>
        <v>#VALUE!</v>
      </c>
    </row>
    <row r="990" spans="6:7" x14ac:dyDescent="0.45">
      <c r="F990" t="s">
        <v>804</v>
      </c>
      <c r="G990" t="e">
        <f t="shared" si="29"/>
        <v>#VALUE!</v>
      </c>
    </row>
    <row r="991" spans="6:7" x14ac:dyDescent="0.45">
      <c r="F991" t="s">
        <v>804</v>
      </c>
      <c r="G991" t="e">
        <f t="shared" si="29"/>
        <v>#VALUE!</v>
      </c>
    </row>
    <row r="992" spans="6:7" x14ac:dyDescent="0.45">
      <c r="F992" t="s">
        <v>804</v>
      </c>
      <c r="G992" t="e">
        <f t="shared" si="29"/>
        <v>#VALUE!</v>
      </c>
    </row>
    <row r="993" spans="6:7" x14ac:dyDescent="0.45">
      <c r="F993" t="s">
        <v>804</v>
      </c>
      <c r="G993" t="e">
        <f t="shared" si="29"/>
        <v>#VALUE!</v>
      </c>
    </row>
    <row r="994" spans="6:7" x14ac:dyDescent="0.45">
      <c r="F994" t="s">
        <v>804</v>
      </c>
      <c r="G994" t="e">
        <f t="shared" si="29"/>
        <v>#VALUE!</v>
      </c>
    </row>
    <row r="995" spans="6:7" x14ac:dyDescent="0.45">
      <c r="F995" t="s">
        <v>804</v>
      </c>
      <c r="G995" t="e">
        <f t="shared" si="29"/>
        <v>#VALUE!</v>
      </c>
    </row>
    <row r="996" spans="6:7" x14ac:dyDescent="0.45">
      <c r="F996" t="s">
        <v>804</v>
      </c>
      <c r="G996" t="e">
        <f t="shared" si="29"/>
        <v>#VALUE!</v>
      </c>
    </row>
    <row r="997" spans="6:7" x14ac:dyDescent="0.45">
      <c r="F997" t="s">
        <v>804</v>
      </c>
      <c r="G997" t="e">
        <f t="shared" si="29"/>
        <v>#VALUE!</v>
      </c>
    </row>
    <row r="998" spans="6:7" x14ac:dyDescent="0.45">
      <c r="F998" t="s">
        <v>804</v>
      </c>
      <c r="G998" t="e">
        <f t="shared" si="29"/>
        <v>#VALUE!</v>
      </c>
    </row>
    <row r="999" spans="6:7" x14ac:dyDescent="0.45">
      <c r="F999" t="s">
        <v>804</v>
      </c>
      <c r="G999" t="e">
        <f t="shared" si="29"/>
        <v>#VALUE!</v>
      </c>
    </row>
    <row r="1000" spans="6:7" x14ac:dyDescent="0.45">
      <c r="F1000" t="s">
        <v>804</v>
      </c>
      <c r="G1000" t="e">
        <f t="shared" si="29"/>
        <v>#VALUE!</v>
      </c>
    </row>
    <row r="1001" spans="6:7" x14ac:dyDescent="0.45">
      <c r="F1001" t="s">
        <v>804</v>
      </c>
      <c r="G1001" t="e">
        <f t="shared" si="29"/>
        <v>#VALUE!</v>
      </c>
    </row>
    <row r="1002" spans="6:7" x14ac:dyDescent="0.45">
      <c r="F1002" t="s">
        <v>804</v>
      </c>
      <c r="G1002" t="e">
        <f t="shared" si="29"/>
        <v>#VALUE!</v>
      </c>
    </row>
    <row r="1003" spans="6:7" x14ac:dyDescent="0.45">
      <c r="F1003" t="s">
        <v>804</v>
      </c>
      <c r="G1003" t="e">
        <f t="shared" si="29"/>
        <v>#VALUE!</v>
      </c>
    </row>
    <row r="1004" spans="6:7" x14ac:dyDescent="0.45">
      <c r="F1004" t="s">
        <v>804</v>
      </c>
      <c r="G1004" t="e">
        <f t="shared" si="29"/>
        <v>#VALUE!</v>
      </c>
    </row>
    <row r="1005" spans="6:7" x14ac:dyDescent="0.45">
      <c r="F1005" t="s">
        <v>804</v>
      </c>
      <c r="G1005" t="e">
        <f t="shared" si="29"/>
        <v>#VALUE!</v>
      </c>
    </row>
    <row r="1006" spans="6:7" x14ac:dyDescent="0.45">
      <c r="F1006" t="s">
        <v>804</v>
      </c>
      <c r="G1006" t="e">
        <f t="shared" si="29"/>
        <v>#VALUE!</v>
      </c>
    </row>
    <row r="1007" spans="6:7" x14ac:dyDescent="0.45">
      <c r="F1007" t="s">
        <v>804</v>
      </c>
      <c r="G1007" t="e">
        <f t="shared" si="29"/>
        <v>#VALUE!</v>
      </c>
    </row>
    <row r="1008" spans="6:7" x14ac:dyDescent="0.45">
      <c r="F1008" t="s">
        <v>804</v>
      </c>
      <c r="G1008" t="e">
        <f t="shared" si="29"/>
        <v>#VALUE!</v>
      </c>
    </row>
    <row r="1009" spans="6:7" x14ac:dyDescent="0.45">
      <c r="F1009" t="s">
        <v>804</v>
      </c>
      <c r="G1009" t="e">
        <f t="shared" si="29"/>
        <v>#VALUE!</v>
      </c>
    </row>
    <row r="1010" spans="6:7" x14ac:dyDescent="0.45">
      <c r="F1010" t="s">
        <v>804</v>
      </c>
      <c r="G1010" t="e">
        <f t="shared" si="29"/>
        <v>#VALUE!</v>
      </c>
    </row>
    <row r="1011" spans="6:7" x14ac:dyDescent="0.45">
      <c r="F1011" t="s">
        <v>804</v>
      </c>
      <c r="G1011" t="e">
        <f t="shared" si="29"/>
        <v>#VALUE!</v>
      </c>
    </row>
    <row r="1012" spans="6:7" x14ac:dyDescent="0.45">
      <c r="F1012" t="s">
        <v>804</v>
      </c>
      <c r="G1012" t="e">
        <f t="shared" si="29"/>
        <v>#VALUE!</v>
      </c>
    </row>
    <row r="1013" spans="6:7" x14ac:dyDescent="0.45">
      <c r="F1013" t="s">
        <v>804</v>
      </c>
      <c r="G1013" t="e">
        <f t="shared" si="29"/>
        <v>#VALUE!</v>
      </c>
    </row>
    <row r="1014" spans="6:7" x14ac:dyDescent="0.45">
      <c r="F1014" t="s">
        <v>804</v>
      </c>
      <c r="G1014" t="e">
        <f t="shared" si="29"/>
        <v>#VALUE!</v>
      </c>
    </row>
    <row r="1015" spans="6:7" x14ac:dyDescent="0.45">
      <c r="F1015" t="s">
        <v>804</v>
      </c>
      <c r="G1015" t="e">
        <f t="shared" si="29"/>
        <v>#VALUE!</v>
      </c>
    </row>
    <row r="1016" spans="6:7" x14ac:dyDescent="0.45">
      <c r="F1016" t="s">
        <v>804</v>
      </c>
      <c r="G1016" t="e">
        <f t="shared" si="29"/>
        <v>#VALUE!</v>
      </c>
    </row>
    <row r="1017" spans="6:7" x14ac:dyDescent="0.45">
      <c r="F1017" t="s">
        <v>804</v>
      </c>
      <c r="G1017" t="e">
        <f t="shared" si="29"/>
        <v>#VALUE!</v>
      </c>
    </row>
    <row r="1018" spans="6:7" x14ac:dyDescent="0.45">
      <c r="F1018" t="s">
        <v>804</v>
      </c>
      <c r="G1018" t="e">
        <f t="shared" si="29"/>
        <v>#VALUE!</v>
      </c>
    </row>
    <row r="1019" spans="6:7" x14ac:dyDescent="0.45">
      <c r="F1019" t="s">
        <v>804</v>
      </c>
      <c r="G1019" t="e">
        <f t="shared" si="29"/>
        <v>#VALUE!</v>
      </c>
    </row>
    <row r="1020" spans="6:7" x14ac:dyDescent="0.45">
      <c r="F1020" t="s">
        <v>804</v>
      </c>
      <c r="G1020" t="e">
        <f t="shared" si="29"/>
        <v>#VALUE!</v>
      </c>
    </row>
    <row r="1021" spans="6:7" x14ac:dyDescent="0.45">
      <c r="F1021" t="s">
        <v>804</v>
      </c>
      <c r="G1021" t="e">
        <f t="shared" si="29"/>
        <v>#VALUE!</v>
      </c>
    </row>
    <row r="1022" spans="6:7" x14ac:dyDescent="0.45">
      <c r="F1022" t="s">
        <v>804</v>
      </c>
      <c r="G1022" t="e">
        <f t="shared" si="29"/>
        <v>#VALUE!</v>
      </c>
    </row>
    <row r="1023" spans="6:7" x14ac:dyDescent="0.45">
      <c r="F1023" t="s">
        <v>804</v>
      </c>
      <c r="G1023" t="e">
        <f t="shared" si="29"/>
        <v>#VALUE!</v>
      </c>
    </row>
    <row r="1024" spans="6:7" x14ac:dyDescent="0.45">
      <c r="F1024" t="s">
        <v>804</v>
      </c>
      <c r="G1024" t="e">
        <f t="shared" si="29"/>
        <v>#VALUE!</v>
      </c>
    </row>
    <row r="1025" spans="6:7" x14ac:dyDescent="0.45">
      <c r="F1025" t="s">
        <v>804</v>
      </c>
      <c r="G1025" t="e">
        <f t="shared" si="29"/>
        <v>#VALUE!</v>
      </c>
    </row>
    <row r="1026" spans="6:7" x14ac:dyDescent="0.45">
      <c r="F1026" t="s">
        <v>804</v>
      </c>
      <c r="G1026" t="e">
        <f t="shared" si="29"/>
        <v>#VALUE!</v>
      </c>
    </row>
    <row r="1027" spans="6:7" x14ac:dyDescent="0.45">
      <c r="F1027" t="s">
        <v>804</v>
      </c>
      <c r="G1027" t="e">
        <f t="shared" ref="G1027:G1090" si="30">+F1027+0</f>
        <v>#VALUE!</v>
      </c>
    </row>
    <row r="1028" spans="6:7" x14ac:dyDescent="0.45">
      <c r="F1028" t="s">
        <v>804</v>
      </c>
      <c r="G1028" t="e">
        <f t="shared" si="30"/>
        <v>#VALUE!</v>
      </c>
    </row>
    <row r="1029" spans="6:7" x14ac:dyDescent="0.45">
      <c r="F1029" t="s">
        <v>804</v>
      </c>
      <c r="G1029" t="e">
        <f t="shared" si="30"/>
        <v>#VALUE!</v>
      </c>
    </row>
    <row r="1030" spans="6:7" x14ac:dyDescent="0.45">
      <c r="F1030" t="s">
        <v>804</v>
      </c>
      <c r="G1030" t="e">
        <f t="shared" si="30"/>
        <v>#VALUE!</v>
      </c>
    </row>
    <row r="1031" spans="6:7" x14ac:dyDescent="0.45">
      <c r="F1031" t="s">
        <v>804</v>
      </c>
      <c r="G1031" t="e">
        <f t="shared" si="30"/>
        <v>#VALUE!</v>
      </c>
    </row>
    <row r="1032" spans="6:7" x14ac:dyDescent="0.45">
      <c r="F1032" t="s">
        <v>804</v>
      </c>
      <c r="G1032" t="e">
        <f t="shared" si="30"/>
        <v>#VALUE!</v>
      </c>
    </row>
    <row r="1033" spans="6:7" x14ac:dyDescent="0.45">
      <c r="F1033" t="s">
        <v>804</v>
      </c>
      <c r="G1033" t="e">
        <f t="shared" si="30"/>
        <v>#VALUE!</v>
      </c>
    </row>
    <row r="1034" spans="6:7" x14ac:dyDescent="0.45">
      <c r="F1034" t="s">
        <v>804</v>
      </c>
      <c r="G1034" t="e">
        <f t="shared" si="30"/>
        <v>#VALUE!</v>
      </c>
    </row>
    <row r="1035" spans="6:7" x14ac:dyDescent="0.45">
      <c r="F1035" t="s">
        <v>804</v>
      </c>
      <c r="G1035" t="e">
        <f t="shared" si="30"/>
        <v>#VALUE!</v>
      </c>
    </row>
    <row r="1036" spans="6:7" x14ac:dyDescent="0.45">
      <c r="F1036" t="s">
        <v>804</v>
      </c>
      <c r="G1036" t="e">
        <f t="shared" si="30"/>
        <v>#VALUE!</v>
      </c>
    </row>
    <row r="1037" spans="6:7" x14ac:dyDescent="0.45">
      <c r="F1037" t="s">
        <v>804</v>
      </c>
      <c r="G1037" t="e">
        <f t="shared" si="30"/>
        <v>#VALUE!</v>
      </c>
    </row>
    <row r="1038" spans="6:7" x14ac:dyDescent="0.45">
      <c r="F1038" t="s">
        <v>804</v>
      </c>
      <c r="G1038" t="e">
        <f t="shared" si="30"/>
        <v>#VALUE!</v>
      </c>
    </row>
    <row r="1039" spans="6:7" x14ac:dyDescent="0.45">
      <c r="F1039" t="s">
        <v>804</v>
      </c>
      <c r="G1039" t="e">
        <f t="shared" si="30"/>
        <v>#VALUE!</v>
      </c>
    </row>
    <row r="1040" spans="6:7" x14ac:dyDescent="0.45">
      <c r="F1040" t="s">
        <v>804</v>
      </c>
      <c r="G1040" t="e">
        <f t="shared" si="30"/>
        <v>#VALUE!</v>
      </c>
    </row>
    <row r="1041" spans="6:7" x14ac:dyDescent="0.45">
      <c r="F1041" t="s">
        <v>804</v>
      </c>
      <c r="G1041" t="e">
        <f t="shared" si="30"/>
        <v>#VALUE!</v>
      </c>
    </row>
    <row r="1042" spans="6:7" x14ac:dyDescent="0.45">
      <c r="F1042" t="s">
        <v>804</v>
      </c>
      <c r="G1042" t="e">
        <f t="shared" si="30"/>
        <v>#VALUE!</v>
      </c>
    </row>
    <row r="1043" spans="6:7" x14ac:dyDescent="0.45">
      <c r="F1043" t="s">
        <v>804</v>
      </c>
      <c r="G1043" t="e">
        <f t="shared" si="30"/>
        <v>#VALUE!</v>
      </c>
    </row>
    <row r="1044" spans="6:7" x14ac:dyDescent="0.45">
      <c r="F1044" t="s">
        <v>804</v>
      </c>
      <c r="G1044" t="e">
        <f t="shared" si="30"/>
        <v>#VALUE!</v>
      </c>
    </row>
    <row r="1045" spans="6:7" x14ac:dyDescent="0.45">
      <c r="F1045" t="s">
        <v>804</v>
      </c>
      <c r="G1045" t="e">
        <f t="shared" si="30"/>
        <v>#VALUE!</v>
      </c>
    </row>
    <row r="1046" spans="6:7" x14ac:dyDescent="0.45">
      <c r="F1046" t="s">
        <v>804</v>
      </c>
      <c r="G1046" t="e">
        <f t="shared" si="30"/>
        <v>#VALUE!</v>
      </c>
    </row>
    <row r="1047" spans="6:7" x14ac:dyDescent="0.45">
      <c r="F1047" t="s">
        <v>804</v>
      </c>
      <c r="G1047" t="e">
        <f t="shared" si="30"/>
        <v>#VALUE!</v>
      </c>
    </row>
    <row r="1048" spans="6:7" x14ac:dyDescent="0.45">
      <c r="F1048" t="s">
        <v>804</v>
      </c>
      <c r="G1048" t="e">
        <f t="shared" si="30"/>
        <v>#VALUE!</v>
      </c>
    </row>
    <row r="1049" spans="6:7" x14ac:dyDescent="0.45">
      <c r="F1049" t="s">
        <v>804</v>
      </c>
      <c r="G1049" t="e">
        <f t="shared" si="30"/>
        <v>#VALUE!</v>
      </c>
    </row>
    <row r="1050" spans="6:7" x14ac:dyDescent="0.45">
      <c r="F1050" t="s">
        <v>804</v>
      </c>
      <c r="G1050" t="e">
        <f t="shared" si="30"/>
        <v>#VALUE!</v>
      </c>
    </row>
    <row r="1051" spans="6:7" x14ac:dyDescent="0.45">
      <c r="F1051" t="s">
        <v>804</v>
      </c>
      <c r="G1051" t="e">
        <f t="shared" si="30"/>
        <v>#VALUE!</v>
      </c>
    </row>
    <row r="1052" spans="6:7" x14ac:dyDescent="0.45">
      <c r="F1052" t="s">
        <v>804</v>
      </c>
      <c r="G1052" t="e">
        <f t="shared" si="30"/>
        <v>#VALUE!</v>
      </c>
    </row>
    <row r="1053" spans="6:7" x14ac:dyDescent="0.45">
      <c r="F1053" t="s">
        <v>804</v>
      </c>
      <c r="G1053" t="e">
        <f t="shared" si="30"/>
        <v>#VALUE!</v>
      </c>
    </row>
    <row r="1054" spans="6:7" x14ac:dyDescent="0.45">
      <c r="F1054" t="s">
        <v>804</v>
      </c>
      <c r="G1054" t="e">
        <f t="shared" si="30"/>
        <v>#VALUE!</v>
      </c>
    </row>
    <row r="1055" spans="6:7" x14ac:dyDescent="0.45">
      <c r="F1055" t="s">
        <v>804</v>
      </c>
      <c r="G1055" t="e">
        <f t="shared" si="30"/>
        <v>#VALUE!</v>
      </c>
    </row>
    <row r="1056" spans="6:7" x14ac:dyDescent="0.45">
      <c r="F1056" t="s">
        <v>804</v>
      </c>
      <c r="G1056" t="e">
        <f t="shared" si="30"/>
        <v>#VALUE!</v>
      </c>
    </row>
    <row r="1057" spans="6:7" x14ac:dyDescent="0.45">
      <c r="F1057" t="s">
        <v>804</v>
      </c>
      <c r="G1057" t="e">
        <f t="shared" si="30"/>
        <v>#VALUE!</v>
      </c>
    </row>
    <row r="1058" spans="6:7" x14ac:dyDescent="0.45">
      <c r="F1058" t="s">
        <v>804</v>
      </c>
      <c r="G1058" t="e">
        <f t="shared" si="30"/>
        <v>#VALUE!</v>
      </c>
    </row>
    <row r="1059" spans="6:7" x14ac:dyDescent="0.45">
      <c r="F1059" t="s">
        <v>804</v>
      </c>
      <c r="G1059" t="e">
        <f t="shared" si="30"/>
        <v>#VALUE!</v>
      </c>
    </row>
    <row r="1060" spans="6:7" x14ac:dyDescent="0.45">
      <c r="F1060" t="s">
        <v>804</v>
      </c>
      <c r="G1060" t="e">
        <f t="shared" si="30"/>
        <v>#VALUE!</v>
      </c>
    </row>
    <row r="1061" spans="6:7" x14ac:dyDescent="0.45">
      <c r="F1061" t="s">
        <v>804</v>
      </c>
      <c r="G1061" t="e">
        <f t="shared" si="30"/>
        <v>#VALUE!</v>
      </c>
    </row>
    <row r="1062" spans="6:7" x14ac:dyDescent="0.45">
      <c r="F1062" t="s">
        <v>804</v>
      </c>
      <c r="G1062" t="e">
        <f t="shared" si="30"/>
        <v>#VALUE!</v>
      </c>
    </row>
    <row r="1063" spans="6:7" x14ac:dyDescent="0.45">
      <c r="F1063" t="s">
        <v>804</v>
      </c>
      <c r="G1063" t="e">
        <f t="shared" si="30"/>
        <v>#VALUE!</v>
      </c>
    </row>
    <row r="1064" spans="6:7" x14ac:dyDescent="0.45">
      <c r="F1064" t="s">
        <v>804</v>
      </c>
      <c r="G1064" t="e">
        <f t="shared" si="30"/>
        <v>#VALUE!</v>
      </c>
    </row>
    <row r="1065" spans="6:7" x14ac:dyDescent="0.45">
      <c r="F1065" t="s">
        <v>804</v>
      </c>
      <c r="G1065" t="e">
        <f t="shared" si="30"/>
        <v>#VALUE!</v>
      </c>
    </row>
    <row r="1066" spans="6:7" x14ac:dyDescent="0.45">
      <c r="F1066" t="s">
        <v>804</v>
      </c>
      <c r="G1066" t="e">
        <f t="shared" si="30"/>
        <v>#VALUE!</v>
      </c>
    </row>
    <row r="1067" spans="6:7" x14ac:dyDescent="0.45">
      <c r="F1067" t="s">
        <v>804</v>
      </c>
      <c r="G1067" t="e">
        <f t="shared" si="30"/>
        <v>#VALUE!</v>
      </c>
    </row>
    <row r="1068" spans="6:7" x14ac:dyDescent="0.45">
      <c r="F1068" t="s">
        <v>804</v>
      </c>
      <c r="G1068" t="e">
        <f t="shared" si="30"/>
        <v>#VALUE!</v>
      </c>
    </row>
    <row r="1069" spans="6:7" x14ac:dyDescent="0.45">
      <c r="F1069" t="s">
        <v>804</v>
      </c>
      <c r="G1069" t="e">
        <f t="shared" si="30"/>
        <v>#VALUE!</v>
      </c>
    </row>
    <row r="1070" spans="6:7" x14ac:dyDescent="0.45">
      <c r="F1070" t="s">
        <v>804</v>
      </c>
      <c r="G1070" t="e">
        <f t="shared" si="30"/>
        <v>#VALUE!</v>
      </c>
    </row>
    <row r="1071" spans="6:7" x14ac:dyDescent="0.45">
      <c r="F1071" t="s">
        <v>804</v>
      </c>
      <c r="G1071" t="e">
        <f t="shared" si="30"/>
        <v>#VALUE!</v>
      </c>
    </row>
    <row r="1072" spans="6:7" x14ac:dyDescent="0.45">
      <c r="F1072" t="s">
        <v>804</v>
      </c>
      <c r="G1072" t="e">
        <f t="shared" si="30"/>
        <v>#VALUE!</v>
      </c>
    </row>
    <row r="1073" spans="6:7" x14ac:dyDescent="0.45">
      <c r="F1073" t="s">
        <v>804</v>
      </c>
      <c r="G1073" t="e">
        <f t="shared" si="30"/>
        <v>#VALUE!</v>
      </c>
    </row>
    <row r="1074" spans="6:7" x14ac:dyDescent="0.45">
      <c r="F1074" t="s">
        <v>804</v>
      </c>
      <c r="G1074" t="e">
        <f t="shared" si="30"/>
        <v>#VALUE!</v>
      </c>
    </row>
    <row r="1075" spans="6:7" x14ac:dyDescent="0.45">
      <c r="F1075" t="s">
        <v>804</v>
      </c>
      <c r="G1075" t="e">
        <f t="shared" si="30"/>
        <v>#VALUE!</v>
      </c>
    </row>
    <row r="1076" spans="6:7" x14ac:dyDescent="0.45">
      <c r="F1076" t="s">
        <v>804</v>
      </c>
      <c r="G1076" t="e">
        <f t="shared" si="30"/>
        <v>#VALUE!</v>
      </c>
    </row>
    <row r="1077" spans="6:7" x14ac:dyDescent="0.45">
      <c r="F1077" t="s">
        <v>804</v>
      </c>
      <c r="G1077" t="e">
        <f t="shared" si="30"/>
        <v>#VALUE!</v>
      </c>
    </row>
    <row r="1078" spans="6:7" x14ac:dyDescent="0.45">
      <c r="F1078" t="s">
        <v>804</v>
      </c>
      <c r="G1078" t="e">
        <f t="shared" si="30"/>
        <v>#VALUE!</v>
      </c>
    </row>
    <row r="1079" spans="6:7" x14ac:dyDescent="0.45">
      <c r="F1079" t="s">
        <v>804</v>
      </c>
      <c r="G1079" t="e">
        <f t="shared" si="30"/>
        <v>#VALUE!</v>
      </c>
    </row>
    <row r="1080" spans="6:7" x14ac:dyDescent="0.45">
      <c r="F1080" t="s">
        <v>804</v>
      </c>
      <c r="G1080" t="e">
        <f t="shared" si="30"/>
        <v>#VALUE!</v>
      </c>
    </row>
    <row r="1081" spans="6:7" x14ac:dyDescent="0.45">
      <c r="F1081" t="s">
        <v>804</v>
      </c>
      <c r="G1081" t="e">
        <f t="shared" si="30"/>
        <v>#VALUE!</v>
      </c>
    </row>
    <row r="1082" spans="6:7" x14ac:dyDescent="0.45">
      <c r="F1082" t="s">
        <v>804</v>
      </c>
      <c r="G1082" t="e">
        <f t="shared" si="30"/>
        <v>#VALUE!</v>
      </c>
    </row>
    <row r="1083" spans="6:7" x14ac:dyDescent="0.45">
      <c r="F1083" t="s">
        <v>804</v>
      </c>
      <c r="G1083" t="e">
        <f t="shared" si="30"/>
        <v>#VALUE!</v>
      </c>
    </row>
    <row r="1084" spans="6:7" x14ac:dyDescent="0.45">
      <c r="F1084" t="s">
        <v>804</v>
      </c>
      <c r="G1084" t="e">
        <f t="shared" si="30"/>
        <v>#VALUE!</v>
      </c>
    </row>
    <row r="1085" spans="6:7" x14ac:dyDescent="0.45">
      <c r="F1085" t="s">
        <v>804</v>
      </c>
      <c r="G1085" t="e">
        <f t="shared" si="30"/>
        <v>#VALUE!</v>
      </c>
    </row>
    <row r="1086" spans="6:7" x14ac:dyDescent="0.45">
      <c r="F1086" t="s">
        <v>804</v>
      </c>
      <c r="G1086" t="e">
        <f t="shared" si="30"/>
        <v>#VALUE!</v>
      </c>
    </row>
    <row r="1087" spans="6:7" x14ac:dyDescent="0.45">
      <c r="F1087" t="s">
        <v>804</v>
      </c>
      <c r="G1087" t="e">
        <f t="shared" si="30"/>
        <v>#VALUE!</v>
      </c>
    </row>
    <row r="1088" spans="6:7" x14ac:dyDescent="0.45">
      <c r="F1088" t="s">
        <v>804</v>
      </c>
      <c r="G1088" t="e">
        <f t="shared" si="30"/>
        <v>#VALUE!</v>
      </c>
    </row>
    <row r="1089" spans="6:7" x14ac:dyDescent="0.45">
      <c r="F1089" t="s">
        <v>804</v>
      </c>
      <c r="G1089" t="e">
        <f t="shared" si="30"/>
        <v>#VALUE!</v>
      </c>
    </row>
    <row r="1090" spans="6:7" x14ac:dyDescent="0.45">
      <c r="F1090" t="s">
        <v>804</v>
      </c>
      <c r="G1090" t="e">
        <f t="shared" si="30"/>
        <v>#VALUE!</v>
      </c>
    </row>
    <row r="1091" spans="6:7" x14ac:dyDescent="0.45">
      <c r="F1091" t="s">
        <v>804</v>
      </c>
      <c r="G1091" t="e">
        <f t="shared" ref="G1091:G1154" si="31">+F1091+0</f>
        <v>#VALUE!</v>
      </c>
    </row>
    <row r="1092" spans="6:7" x14ac:dyDescent="0.45">
      <c r="F1092" t="s">
        <v>804</v>
      </c>
      <c r="G1092" t="e">
        <f t="shared" si="31"/>
        <v>#VALUE!</v>
      </c>
    </row>
    <row r="1093" spans="6:7" x14ac:dyDescent="0.45">
      <c r="F1093" t="s">
        <v>804</v>
      </c>
      <c r="G1093" t="e">
        <f t="shared" si="31"/>
        <v>#VALUE!</v>
      </c>
    </row>
    <row r="1094" spans="6:7" x14ac:dyDescent="0.45">
      <c r="F1094" t="s">
        <v>804</v>
      </c>
      <c r="G1094" t="e">
        <f t="shared" si="31"/>
        <v>#VALUE!</v>
      </c>
    </row>
    <row r="1095" spans="6:7" x14ac:dyDescent="0.45">
      <c r="F1095" t="s">
        <v>804</v>
      </c>
      <c r="G1095" t="e">
        <f t="shared" si="31"/>
        <v>#VALUE!</v>
      </c>
    </row>
    <row r="1096" spans="6:7" x14ac:dyDescent="0.45">
      <c r="F1096" t="s">
        <v>804</v>
      </c>
      <c r="G1096" t="e">
        <f t="shared" si="31"/>
        <v>#VALUE!</v>
      </c>
    </row>
    <row r="1097" spans="6:7" x14ac:dyDescent="0.45">
      <c r="F1097" t="s">
        <v>804</v>
      </c>
      <c r="G1097" t="e">
        <f t="shared" si="31"/>
        <v>#VALUE!</v>
      </c>
    </row>
    <row r="1098" spans="6:7" x14ac:dyDescent="0.45">
      <c r="F1098" t="s">
        <v>804</v>
      </c>
      <c r="G1098" t="e">
        <f t="shared" si="31"/>
        <v>#VALUE!</v>
      </c>
    </row>
    <row r="1099" spans="6:7" x14ac:dyDescent="0.45">
      <c r="F1099" t="s">
        <v>804</v>
      </c>
      <c r="G1099" t="e">
        <f t="shared" si="31"/>
        <v>#VALUE!</v>
      </c>
    </row>
    <row r="1100" spans="6:7" x14ac:dyDescent="0.45">
      <c r="F1100" t="s">
        <v>804</v>
      </c>
      <c r="G1100" t="e">
        <f t="shared" si="31"/>
        <v>#VALUE!</v>
      </c>
    </row>
    <row r="1101" spans="6:7" x14ac:dyDescent="0.45">
      <c r="F1101" t="s">
        <v>804</v>
      </c>
      <c r="G1101" t="e">
        <f t="shared" si="31"/>
        <v>#VALUE!</v>
      </c>
    </row>
    <row r="1102" spans="6:7" x14ac:dyDescent="0.45">
      <c r="F1102" t="s">
        <v>804</v>
      </c>
      <c r="G1102" t="e">
        <f t="shared" si="31"/>
        <v>#VALUE!</v>
      </c>
    </row>
    <row r="1103" spans="6:7" x14ac:dyDescent="0.45">
      <c r="F1103" t="s">
        <v>804</v>
      </c>
      <c r="G1103" t="e">
        <f t="shared" si="31"/>
        <v>#VALUE!</v>
      </c>
    </row>
    <row r="1104" spans="6:7" x14ac:dyDescent="0.45">
      <c r="F1104" t="s">
        <v>804</v>
      </c>
      <c r="G1104" t="e">
        <f t="shared" si="31"/>
        <v>#VALUE!</v>
      </c>
    </row>
    <row r="1105" spans="6:7" x14ac:dyDescent="0.45">
      <c r="F1105" t="s">
        <v>804</v>
      </c>
      <c r="G1105" t="e">
        <f t="shared" si="31"/>
        <v>#VALUE!</v>
      </c>
    </row>
    <row r="1106" spans="6:7" x14ac:dyDescent="0.45">
      <c r="F1106" t="s">
        <v>804</v>
      </c>
      <c r="G1106" t="e">
        <f t="shared" si="31"/>
        <v>#VALUE!</v>
      </c>
    </row>
    <row r="1107" spans="6:7" x14ac:dyDescent="0.45">
      <c r="F1107" t="s">
        <v>804</v>
      </c>
      <c r="G1107" t="e">
        <f t="shared" si="31"/>
        <v>#VALUE!</v>
      </c>
    </row>
    <row r="1108" spans="6:7" x14ac:dyDescent="0.45">
      <c r="F1108" t="s">
        <v>804</v>
      </c>
      <c r="G1108" t="e">
        <f t="shared" si="31"/>
        <v>#VALUE!</v>
      </c>
    </row>
    <row r="1109" spans="6:7" x14ac:dyDescent="0.45">
      <c r="F1109" t="s">
        <v>804</v>
      </c>
      <c r="G1109" t="e">
        <f t="shared" si="31"/>
        <v>#VALUE!</v>
      </c>
    </row>
    <row r="1110" spans="6:7" x14ac:dyDescent="0.45">
      <c r="F1110" t="s">
        <v>804</v>
      </c>
      <c r="G1110" t="e">
        <f t="shared" si="31"/>
        <v>#VALUE!</v>
      </c>
    </row>
    <row r="1111" spans="6:7" x14ac:dyDescent="0.45">
      <c r="F1111" t="s">
        <v>804</v>
      </c>
      <c r="G1111" t="e">
        <f t="shared" si="31"/>
        <v>#VALUE!</v>
      </c>
    </row>
    <row r="1112" spans="6:7" x14ac:dyDescent="0.45">
      <c r="F1112" t="s">
        <v>804</v>
      </c>
      <c r="G1112" t="e">
        <f t="shared" si="31"/>
        <v>#VALUE!</v>
      </c>
    </row>
    <row r="1113" spans="6:7" x14ac:dyDescent="0.45">
      <c r="F1113" t="s">
        <v>804</v>
      </c>
      <c r="G1113" t="e">
        <f t="shared" si="31"/>
        <v>#VALUE!</v>
      </c>
    </row>
    <row r="1114" spans="6:7" x14ac:dyDescent="0.45">
      <c r="F1114" t="s">
        <v>804</v>
      </c>
      <c r="G1114" t="e">
        <f t="shared" si="31"/>
        <v>#VALUE!</v>
      </c>
    </row>
    <row r="1115" spans="6:7" x14ac:dyDescent="0.45">
      <c r="F1115" t="s">
        <v>804</v>
      </c>
      <c r="G1115" t="e">
        <f t="shared" si="31"/>
        <v>#VALUE!</v>
      </c>
    </row>
    <row r="1116" spans="6:7" x14ac:dyDescent="0.45">
      <c r="F1116" t="s">
        <v>804</v>
      </c>
      <c r="G1116" t="e">
        <f t="shared" si="31"/>
        <v>#VALUE!</v>
      </c>
    </row>
    <row r="1117" spans="6:7" x14ac:dyDescent="0.45">
      <c r="F1117" t="s">
        <v>804</v>
      </c>
      <c r="G1117" t="e">
        <f t="shared" si="31"/>
        <v>#VALUE!</v>
      </c>
    </row>
    <row r="1118" spans="6:7" x14ac:dyDescent="0.45">
      <c r="F1118" t="s">
        <v>804</v>
      </c>
      <c r="G1118" t="e">
        <f t="shared" si="31"/>
        <v>#VALUE!</v>
      </c>
    </row>
    <row r="1119" spans="6:7" x14ac:dyDescent="0.45">
      <c r="F1119" t="s">
        <v>804</v>
      </c>
      <c r="G1119" t="e">
        <f t="shared" si="31"/>
        <v>#VALUE!</v>
      </c>
    </row>
    <row r="1120" spans="6:7" x14ac:dyDescent="0.45">
      <c r="F1120" t="s">
        <v>804</v>
      </c>
      <c r="G1120" t="e">
        <f t="shared" si="31"/>
        <v>#VALUE!</v>
      </c>
    </row>
    <row r="1121" spans="6:7" x14ac:dyDescent="0.45">
      <c r="F1121" t="s">
        <v>804</v>
      </c>
      <c r="G1121" t="e">
        <f t="shared" si="31"/>
        <v>#VALUE!</v>
      </c>
    </row>
    <row r="1122" spans="6:7" x14ac:dyDescent="0.45">
      <c r="F1122" t="s">
        <v>804</v>
      </c>
      <c r="G1122" t="e">
        <f t="shared" si="31"/>
        <v>#VALUE!</v>
      </c>
    </row>
    <row r="1123" spans="6:7" x14ac:dyDescent="0.45">
      <c r="F1123" t="s">
        <v>804</v>
      </c>
      <c r="G1123" t="e">
        <f t="shared" si="31"/>
        <v>#VALUE!</v>
      </c>
    </row>
    <row r="1124" spans="6:7" x14ac:dyDescent="0.45">
      <c r="F1124" t="s">
        <v>804</v>
      </c>
      <c r="G1124" t="e">
        <f t="shared" si="31"/>
        <v>#VALUE!</v>
      </c>
    </row>
    <row r="1125" spans="6:7" x14ac:dyDescent="0.45">
      <c r="F1125" t="s">
        <v>804</v>
      </c>
      <c r="G1125" t="e">
        <f t="shared" si="31"/>
        <v>#VALUE!</v>
      </c>
    </row>
    <row r="1126" spans="6:7" x14ac:dyDescent="0.45">
      <c r="F1126" t="s">
        <v>804</v>
      </c>
      <c r="G1126" t="e">
        <f t="shared" si="31"/>
        <v>#VALUE!</v>
      </c>
    </row>
    <row r="1127" spans="6:7" x14ac:dyDescent="0.45">
      <c r="F1127" t="s">
        <v>804</v>
      </c>
      <c r="G1127" t="e">
        <f t="shared" si="31"/>
        <v>#VALUE!</v>
      </c>
    </row>
    <row r="1128" spans="6:7" x14ac:dyDescent="0.45">
      <c r="F1128" t="s">
        <v>804</v>
      </c>
      <c r="G1128" t="e">
        <f t="shared" si="31"/>
        <v>#VALUE!</v>
      </c>
    </row>
    <row r="1129" spans="6:7" x14ac:dyDescent="0.45">
      <c r="F1129" t="s">
        <v>804</v>
      </c>
      <c r="G1129" t="e">
        <f t="shared" si="31"/>
        <v>#VALUE!</v>
      </c>
    </row>
    <row r="1130" spans="6:7" x14ac:dyDescent="0.45">
      <c r="F1130" t="s">
        <v>804</v>
      </c>
      <c r="G1130" t="e">
        <f t="shared" si="31"/>
        <v>#VALUE!</v>
      </c>
    </row>
    <row r="1131" spans="6:7" x14ac:dyDescent="0.45">
      <c r="F1131" t="s">
        <v>804</v>
      </c>
      <c r="G1131" t="e">
        <f t="shared" si="31"/>
        <v>#VALUE!</v>
      </c>
    </row>
    <row r="1132" spans="6:7" x14ac:dyDescent="0.45">
      <c r="F1132" t="s">
        <v>804</v>
      </c>
      <c r="G1132" t="e">
        <f t="shared" si="31"/>
        <v>#VALUE!</v>
      </c>
    </row>
    <row r="1133" spans="6:7" x14ac:dyDescent="0.45">
      <c r="F1133" t="s">
        <v>804</v>
      </c>
      <c r="G1133" t="e">
        <f t="shared" si="31"/>
        <v>#VALUE!</v>
      </c>
    </row>
    <row r="1134" spans="6:7" x14ac:dyDescent="0.45">
      <c r="F1134" t="s">
        <v>804</v>
      </c>
      <c r="G1134" t="e">
        <f t="shared" si="31"/>
        <v>#VALUE!</v>
      </c>
    </row>
    <row r="1135" spans="6:7" x14ac:dyDescent="0.45">
      <c r="F1135" t="s">
        <v>804</v>
      </c>
      <c r="G1135" t="e">
        <f t="shared" si="31"/>
        <v>#VALUE!</v>
      </c>
    </row>
    <row r="1136" spans="6:7" x14ac:dyDescent="0.45">
      <c r="F1136" t="s">
        <v>804</v>
      </c>
      <c r="G1136" t="e">
        <f t="shared" si="31"/>
        <v>#VALUE!</v>
      </c>
    </row>
    <row r="1137" spans="6:7" x14ac:dyDescent="0.45">
      <c r="F1137" t="s">
        <v>804</v>
      </c>
      <c r="G1137" t="e">
        <f t="shared" si="31"/>
        <v>#VALUE!</v>
      </c>
    </row>
    <row r="1138" spans="6:7" x14ac:dyDescent="0.45">
      <c r="F1138" t="s">
        <v>804</v>
      </c>
      <c r="G1138" t="e">
        <f t="shared" si="31"/>
        <v>#VALUE!</v>
      </c>
    </row>
    <row r="1139" spans="6:7" x14ac:dyDescent="0.45">
      <c r="F1139" t="s">
        <v>804</v>
      </c>
      <c r="G1139" t="e">
        <f t="shared" si="31"/>
        <v>#VALUE!</v>
      </c>
    </row>
    <row r="1140" spans="6:7" x14ac:dyDescent="0.45">
      <c r="F1140" t="s">
        <v>804</v>
      </c>
      <c r="G1140" t="e">
        <f t="shared" si="31"/>
        <v>#VALUE!</v>
      </c>
    </row>
    <row r="1141" spans="6:7" x14ac:dyDescent="0.45">
      <c r="F1141" t="s">
        <v>804</v>
      </c>
      <c r="G1141" t="e">
        <f t="shared" si="31"/>
        <v>#VALUE!</v>
      </c>
    </row>
    <row r="1142" spans="6:7" x14ac:dyDescent="0.45">
      <c r="F1142" t="s">
        <v>804</v>
      </c>
      <c r="G1142" t="e">
        <f t="shared" si="31"/>
        <v>#VALUE!</v>
      </c>
    </row>
    <row r="1143" spans="6:7" x14ac:dyDescent="0.45">
      <c r="F1143" t="s">
        <v>804</v>
      </c>
      <c r="G1143" t="e">
        <f t="shared" si="31"/>
        <v>#VALUE!</v>
      </c>
    </row>
    <row r="1144" spans="6:7" x14ac:dyDescent="0.45">
      <c r="F1144" t="s">
        <v>804</v>
      </c>
      <c r="G1144" t="e">
        <f t="shared" si="31"/>
        <v>#VALUE!</v>
      </c>
    </row>
    <row r="1145" spans="6:7" x14ac:dyDescent="0.45">
      <c r="F1145" t="s">
        <v>804</v>
      </c>
      <c r="G1145" t="e">
        <f t="shared" si="31"/>
        <v>#VALUE!</v>
      </c>
    </row>
    <row r="1146" spans="6:7" x14ac:dyDescent="0.45">
      <c r="F1146" t="s">
        <v>804</v>
      </c>
      <c r="G1146" t="e">
        <f t="shared" si="31"/>
        <v>#VALUE!</v>
      </c>
    </row>
    <row r="1147" spans="6:7" x14ac:dyDescent="0.45">
      <c r="F1147" t="s">
        <v>804</v>
      </c>
      <c r="G1147" t="e">
        <f t="shared" si="31"/>
        <v>#VALUE!</v>
      </c>
    </row>
    <row r="1148" spans="6:7" x14ac:dyDescent="0.45">
      <c r="F1148" t="s">
        <v>804</v>
      </c>
      <c r="G1148" t="e">
        <f t="shared" si="31"/>
        <v>#VALUE!</v>
      </c>
    </row>
    <row r="1149" spans="6:7" x14ac:dyDescent="0.45">
      <c r="F1149" t="s">
        <v>804</v>
      </c>
      <c r="G1149" t="e">
        <f t="shared" si="31"/>
        <v>#VALUE!</v>
      </c>
    </row>
    <row r="1150" spans="6:7" x14ac:dyDescent="0.45">
      <c r="F1150" t="s">
        <v>804</v>
      </c>
      <c r="G1150" t="e">
        <f t="shared" si="31"/>
        <v>#VALUE!</v>
      </c>
    </row>
    <row r="1151" spans="6:7" x14ac:dyDescent="0.45">
      <c r="F1151" t="s">
        <v>804</v>
      </c>
      <c r="G1151" t="e">
        <f t="shared" si="31"/>
        <v>#VALUE!</v>
      </c>
    </row>
    <row r="1152" spans="6:7" x14ac:dyDescent="0.45">
      <c r="F1152" t="s">
        <v>804</v>
      </c>
      <c r="G1152" t="e">
        <f t="shared" si="31"/>
        <v>#VALUE!</v>
      </c>
    </row>
    <row r="1153" spans="6:7" x14ac:dyDescent="0.45">
      <c r="F1153" t="s">
        <v>804</v>
      </c>
      <c r="G1153" t="e">
        <f t="shared" si="31"/>
        <v>#VALUE!</v>
      </c>
    </row>
    <row r="1154" spans="6:7" x14ac:dyDescent="0.45">
      <c r="F1154" t="s">
        <v>804</v>
      </c>
      <c r="G1154" t="e">
        <f t="shared" si="31"/>
        <v>#VALUE!</v>
      </c>
    </row>
    <row r="1155" spans="6:7" x14ac:dyDescent="0.45">
      <c r="F1155" t="s">
        <v>804</v>
      </c>
      <c r="G1155" t="e">
        <f t="shared" ref="G1155:G1218" si="32">+F1155+0</f>
        <v>#VALUE!</v>
      </c>
    </row>
    <row r="1156" spans="6:7" x14ac:dyDescent="0.45">
      <c r="F1156" t="s">
        <v>804</v>
      </c>
      <c r="G1156" t="e">
        <f t="shared" si="32"/>
        <v>#VALUE!</v>
      </c>
    </row>
    <row r="1157" spans="6:7" x14ac:dyDescent="0.45">
      <c r="F1157" t="s">
        <v>804</v>
      </c>
      <c r="G1157" t="e">
        <f t="shared" si="32"/>
        <v>#VALUE!</v>
      </c>
    </row>
    <row r="1158" spans="6:7" x14ac:dyDescent="0.45">
      <c r="F1158" t="s">
        <v>804</v>
      </c>
      <c r="G1158" t="e">
        <f t="shared" si="32"/>
        <v>#VALUE!</v>
      </c>
    </row>
    <row r="1159" spans="6:7" x14ac:dyDescent="0.45">
      <c r="F1159" t="s">
        <v>804</v>
      </c>
      <c r="G1159" t="e">
        <f t="shared" si="32"/>
        <v>#VALUE!</v>
      </c>
    </row>
    <row r="1160" spans="6:7" x14ac:dyDescent="0.45">
      <c r="F1160" t="s">
        <v>804</v>
      </c>
      <c r="G1160" t="e">
        <f t="shared" si="32"/>
        <v>#VALUE!</v>
      </c>
    </row>
    <row r="1161" spans="6:7" x14ac:dyDescent="0.45">
      <c r="F1161" t="s">
        <v>804</v>
      </c>
      <c r="G1161" t="e">
        <f t="shared" si="32"/>
        <v>#VALUE!</v>
      </c>
    </row>
    <row r="1162" spans="6:7" x14ac:dyDescent="0.45">
      <c r="F1162" t="s">
        <v>804</v>
      </c>
      <c r="G1162" t="e">
        <f t="shared" si="32"/>
        <v>#VALUE!</v>
      </c>
    </row>
    <row r="1163" spans="6:7" x14ac:dyDescent="0.45">
      <c r="F1163" t="s">
        <v>804</v>
      </c>
      <c r="G1163" t="e">
        <f t="shared" si="32"/>
        <v>#VALUE!</v>
      </c>
    </row>
    <row r="1164" spans="6:7" x14ac:dyDescent="0.45">
      <c r="F1164" t="s">
        <v>804</v>
      </c>
      <c r="G1164" t="e">
        <f t="shared" si="32"/>
        <v>#VALUE!</v>
      </c>
    </row>
    <row r="1165" spans="6:7" x14ac:dyDescent="0.45">
      <c r="F1165" t="s">
        <v>804</v>
      </c>
      <c r="G1165" t="e">
        <f t="shared" si="32"/>
        <v>#VALUE!</v>
      </c>
    </row>
    <row r="1166" spans="6:7" x14ac:dyDescent="0.45">
      <c r="F1166" t="s">
        <v>804</v>
      </c>
      <c r="G1166" t="e">
        <f t="shared" si="32"/>
        <v>#VALUE!</v>
      </c>
    </row>
    <row r="1167" spans="6:7" x14ac:dyDescent="0.45">
      <c r="F1167" t="s">
        <v>804</v>
      </c>
      <c r="G1167" t="e">
        <f t="shared" si="32"/>
        <v>#VALUE!</v>
      </c>
    </row>
    <row r="1168" spans="6:7" x14ac:dyDescent="0.45">
      <c r="F1168" t="s">
        <v>804</v>
      </c>
      <c r="G1168" t="e">
        <f t="shared" si="32"/>
        <v>#VALUE!</v>
      </c>
    </row>
    <row r="1169" spans="6:7" x14ac:dyDescent="0.45">
      <c r="F1169" t="s">
        <v>804</v>
      </c>
      <c r="G1169" t="e">
        <f t="shared" si="32"/>
        <v>#VALUE!</v>
      </c>
    </row>
    <row r="1170" spans="6:7" x14ac:dyDescent="0.45">
      <c r="F1170" t="s">
        <v>804</v>
      </c>
      <c r="G1170" t="e">
        <f t="shared" si="32"/>
        <v>#VALUE!</v>
      </c>
    </row>
    <row r="1171" spans="6:7" x14ac:dyDescent="0.45">
      <c r="F1171" t="s">
        <v>804</v>
      </c>
      <c r="G1171" t="e">
        <f t="shared" si="32"/>
        <v>#VALUE!</v>
      </c>
    </row>
    <row r="1172" spans="6:7" x14ac:dyDescent="0.45">
      <c r="F1172" t="s">
        <v>804</v>
      </c>
      <c r="G1172" t="e">
        <f t="shared" si="32"/>
        <v>#VALUE!</v>
      </c>
    </row>
    <row r="1173" spans="6:7" x14ac:dyDescent="0.45">
      <c r="F1173" t="s">
        <v>804</v>
      </c>
      <c r="G1173" t="e">
        <f t="shared" si="32"/>
        <v>#VALUE!</v>
      </c>
    </row>
    <row r="1174" spans="6:7" x14ac:dyDescent="0.45">
      <c r="F1174" t="s">
        <v>804</v>
      </c>
      <c r="G1174" t="e">
        <f t="shared" si="32"/>
        <v>#VALUE!</v>
      </c>
    </row>
    <row r="1175" spans="6:7" x14ac:dyDescent="0.45">
      <c r="F1175" t="s">
        <v>804</v>
      </c>
      <c r="G1175" t="e">
        <f t="shared" si="32"/>
        <v>#VALUE!</v>
      </c>
    </row>
    <row r="1176" spans="6:7" x14ac:dyDescent="0.45">
      <c r="F1176" t="s">
        <v>804</v>
      </c>
      <c r="G1176" t="e">
        <f t="shared" si="32"/>
        <v>#VALUE!</v>
      </c>
    </row>
    <row r="1177" spans="6:7" x14ac:dyDescent="0.45">
      <c r="F1177" t="s">
        <v>804</v>
      </c>
      <c r="G1177" t="e">
        <f t="shared" si="32"/>
        <v>#VALUE!</v>
      </c>
    </row>
    <row r="1178" spans="6:7" x14ac:dyDescent="0.45">
      <c r="F1178" t="s">
        <v>804</v>
      </c>
      <c r="G1178" t="e">
        <f t="shared" si="32"/>
        <v>#VALUE!</v>
      </c>
    </row>
    <row r="1179" spans="6:7" x14ac:dyDescent="0.45">
      <c r="F1179" t="s">
        <v>804</v>
      </c>
      <c r="G1179" t="e">
        <f t="shared" si="32"/>
        <v>#VALUE!</v>
      </c>
    </row>
    <row r="1180" spans="6:7" x14ac:dyDescent="0.45">
      <c r="F1180" t="s">
        <v>804</v>
      </c>
      <c r="G1180" t="e">
        <f t="shared" si="32"/>
        <v>#VALUE!</v>
      </c>
    </row>
    <row r="1181" spans="6:7" x14ac:dyDescent="0.45">
      <c r="F1181" t="s">
        <v>804</v>
      </c>
      <c r="G1181" t="e">
        <f t="shared" si="32"/>
        <v>#VALUE!</v>
      </c>
    </row>
    <row r="1182" spans="6:7" x14ac:dyDescent="0.45">
      <c r="F1182" t="s">
        <v>804</v>
      </c>
      <c r="G1182" t="e">
        <f t="shared" si="32"/>
        <v>#VALUE!</v>
      </c>
    </row>
    <row r="1183" spans="6:7" x14ac:dyDescent="0.45">
      <c r="F1183" t="s">
        <v>804</v>
      </c>
      <c r="G1183" t="e">
        <f t="shared" si="32"/>
        <v>#VALUE!</v>
      </c>
    </row>
    <row r="1184" spans="6:7" x14ac:dyDescent="0.45">
      <c r="F1184" t="s">
        <v>804</v>
      </c>
      <c r="G1184" t="e">
        <f t="shared" si="32"/>
        <v>#VALUE!</v>
      </c>
    </row>
    <row r="1185" spans="6:7" x14ac:dyDescent="0.45">
      <c r="F1185" t="s">
        <v>804</v>
      </c>
      <c r="G1185" t="e">
        <f t="shared" si="32"/>
        <v>#VALUE!</v>
      </c>
    </row>
    <row r="1186" spans="6:7" x14ac:dyDescent="0.45">
      <c r="F1186" t="s">
        <v>804</v>
      </c>
      <c r="G1186" t="e">
        <f t="shared" si="32"/>
        <v>#VALUE!</v>
      </c>
    </row>
    <row r="1187" spans="6:7" x14ac:dyDescent="0.45">
      <c r="F1187" t="s">
        <v>804</v>
      </c>
      <c r="G1187" t="e">
        <f t="shared" si="32"/>
        <v>#VALUE!</v>
      </c>
    </row>
    <row r="1188" spans="6:7" x14ac:dyDescent="0.45">
      <c r="F1188" t="s">
        <v>804</v>
      </c>
      <c r="G1188" t="e">
        <f t="shared" si="32"/>
        <v>#VALUE!</v>
      </c>
    </row>
    <row r="1189" spans="6:7" x14ac:dyDescent="0.45">
      <c r="F1189" t="s">
        <v>804</v>
      </c>
      <c r="G1189" t="e">
        <f t="shared" si="32"/>
        <v>#VALUE!</v>
      </c>
    </row>
    <row r="1190" spans="6:7" x14ac:dyDescent="0.45">
      <c r="F1190" t="s">
        <v>804</v>
      </c>
      <c r="G1190" t="e">
        <f t="shared" si="32"/>
        <v>#VALUE!</v>
      </c>
    </row>
    <row r="1191" spans="6:7" x14ac:dyDescent="0.45">
      <c r="F1191" t="s">
        <v>804</v>
      </c>
      <c r="G1191" t="e">
        <f t="shared" si="32"/>
        <v>#VALUE!</v>
      </c>
    </row>
    <row r="1192" spans="6:7" x14ac:dyDescent="0.45">
      <c r="F1192" t="s">
        <v>804</v>
      </c>
      <c r="G1192" t="e">
        <f t="shared" si="32"/>
        <v>#VALUE!</v>
      </c>
    </row>
    <row r="1193" spans="6:7" x14ac:dyDescent="0.45">
      <c r="F1193" t="s">
        <v>804</v>
      </c>
      <c r="G1193" t="e">
        <f t="shared" si="32"/>
        <v>#VALUE!</v>
      </c>
    </row>
    <row r="1194" spans="6:7" x14ac:dyDescent="0.45">
      <c r="F1194" t="s">
        <v>804</v>
      </c>
      <c r="G1194" t="e">
        <f t="shared" si="32"/>
        <v>#VALUE!</v>
      </c>
    </row>
    <row r="1195" spans="6:7" x14ac:dyDescent="0.45">
      <c r="F1195" t="s">
        <v>804</v>
      </c>
      <c r="G1195" t="e">
        <f t="shared" si="32"/>
        <v>#VALUE!</v>
      </c>
    </row>
    <row r="1196" spans="6:7" x14ac:dyDescent="0.45">
      <c r="F1196" t="s">
        <v>804</v>
      </c>
      <c r="G1196" t="e">
        <f t="shared" si="32"/>
        <v>#VALUE!</v>
      </c>
    </row>
    <row r="1197" spans="6:7" x14ac:dyDescent="0.45">
      <c r="F1197" t="s">
        <v>804</v>
      </c>
      <c r="G1197" t="e">
        <f t="shared" si="32"/>
        <v>#VALUE!</v>
      </c>
    </row>
    <row r="1198" spans="6:7" x14ac:dyDescent="0.45">
      <c r="F1198" t="s">
        <v>804</v>
      </c>
      <c r="G1198" t="e">
        <f t="shared" si="32"/>
        <v>#VALUE!</v>
      </c>
    </row>
    <row r="1199" spans="6:7" x14ac:dyDescent="0.45">
      <c r="F1199" t="s">
        <v>804</v>
      </c>
      <c r="G1199" t="e">
        <f t="shared" si="32"/>
        <v>#VALUE!</v>
      </c>
    </row>
    <row r="1200" spans="6:7" x14ac:dyDescent="0.45">
      <c r="F1200" t="s">
        <v>804</v>
      </c>
      <c r="G1200" t="e">
        <f t="shared" si="32"/>
        <v>#VALUE!</v>
      </c>
    </row>
    <row r="1201" spans="6:7" x14ac:dyDescent="0.45">
      <c r="F1201" t="s">
        <v>804</v>
      </c>
      <c r="G1201" t="e">
        <f t="shared" si="32"/>
        <v>#VALUE!</v>
      </c>
    </row>
    <row r="1202" spans="6:7" x14ac:dyDescent="0.45">
      <c r="F1202" t="s">
        <v>804</v>
      </c>
      <c r="G1202" t="e">
        <f t="shared" si="32"/>
        <v>#VALUE!</v>
      </c>
    </row>
    <row r="1203" spans="6:7" x14ac:dyDescent="0.45">
      <c r="F1203" t="s">
        <v>804</v>
      </c>
      <c r="G1203" t="e">
        <f t="shared" si="32"/>
        <v>#VALUE!</v>
      </c>
    </row>
    <row r="1204" spans="6:7" x14ac:dyDescent="0.45">
      <c r="F1204" t="s">
        <v>804</v>
      </c>
      <c r="G1204" t="e">
        <f t="shared" si="32"/>
        <v>#VALUE!</v>
      </c>
    </row>
    <row r="1205" spans="6:7" x14ac:dyDescent="0.45">
      <c r="F1205" t="s">
        <v>804</v>
      </c>
      <c r="G1205" t="e">
        <f t="shared" si="32"/>
        <v>#VALUE!</v>
      </c>
    </row>
    <row r="1206" spans="6:7" x14ac:dyDescent="0.45">
      <c r="F1206" t="s">
        <v>804</v>
      </c>
      <c r="G1206" t="e">
        <f t="shared" si="32"/>
        <v>#VALUE!</v>
      </c>
    </row>
    <row r="1207" spans="6:7" x14ac:dyDescent="0.45">
      <c r="F1207" t="s">
        <v>804</v>
      </c>
      <c r="G1207" t="e">
        <f t="shared" si="32"/>
        <v>#VALUE!</v>
      </c>
    </row>
    <row r="1208" spans="6:7" x14ac:dyDescent="0.45">
      <c r="F1208" t="s">
        <v>804</v>
      </c>
      <c r="G1208" t="e">
        <f t="shared" si="32"/>
        <v>#VALUE!</v>
      </c>
    </row>
    <row r="1209" spans="6:7" x14ac:dyDescent="0.45">
      <c r="F1209" t="s">
        <v>804</v>
      </c>
      <c r="G1209" t="e">
        <f t="shared" si="32"/>
        <v>#VALUE!</v>
      </c>
    </row>
    <row r="1210" spans="6:7" x14ac:dyDescent="0.45">
      <c r="F1210" t="s">
        <v>804</v>
      </c>
      <c r="G1210" t="e">
        <f t="shared" si="32"/>
        <v>#VALUE!</v>
      </c>
    </row>
    <row r="1211" spans="6:7" x14ac:dyDescent="0.45">
      <c r="F1211" t="s">
        <v>804</v>
      </c>
      <c r="G1211" t="e">
        <f t="shared" si="32"/>
        <v>#VALUE!</v>
      </c>
    </row>
    <row r="1212" spans="6:7" x14ac:dyDescent="0.45">
      <c r="F1212" t="s">
        <v>804</v>
      </c>
      <c r="G1212" t="e">
        <f t="shared" si="32"/>
        <v>#VALUE!</v>
      </c>
    </row>
    <row r="1213" spans="6:7" x14ac:dyDescent="0.45">
      <c r="F1213" t="s">
        <v>804</v>
      </c>
      <c r="G1213" t="e">
        <f t="shared" si="32"/>
        <v>#VALUE!</v>
      </c>
    </row>
    <row r="1214" spans="6:7" x14ac:dyDescent="0.45">
      <c r="F1214" t="s">
        <v>804</v>
      </c>
      <c r="G1214" t="e">
        <f t="shared" si="32"/>
        <v>#VALUE!</v>
      </c>
    </row>
    <row r="1215" spans="6:7" x14ac:dyDescent="0.45">
      <c r="F1215" t="s">
        <v>804</v>
      </c>
      <c r="G1215" t="e">
        <f t="shared" si="32"/>
        <v>#VALUE!</v>
      </c>
    </row>
    <row r="1216" spans="6:7" x14ac:dyDescent="0.45">
      <c r="F1216" t="s">
        <v>804</v>
      </c>
      <c r="G1216" t="e">
        <f t="shared" si="32"/>
        <v>#VALUE!</v>
      </c>
    </row>
    <row r="1217" spans="6:7" x14ac:dyDescent="0.45">
      <c r="F1217" t="s">
        <v>804</v>
      </c>
      <c r="G1217" t="e">
        <f t="shared" si="32"/>
        <v>#VALUE!</v>
      </c>
    </row>
    <row r="1218" spans="6:7" x14ac:dyDescent="0.45">
      <c r="F1218" t="s">
        <v>804</v>
      </c>
      <c r="G1218" t="e">
        <f t="shared" si="32"/>
        <v>#VALUE!</v>
      </c>
    </row>
    <row r="1219" spans="6:7" x14ac:dyDescent="0.45">
      <c r="F1219" t="s">
        <v>804</v>
      </c>
      <c r="G1219" t="e">
        <f t="shared" ref="G1219:G1282" si="33">+F1219+0</f>
        <v>#VALUE!</v>
      </c>
    </row>
    <row r="1220" spans="6:7" x14ac:dyDescent="0.45">
      <c r="F1220" t="s">
        <v>804</v>
      </c>
      <c r="G1220" t="e">
        <f t="shared" si="33"/>
        <v>#VALUE!</v>
      </c>
    </row>
    <row r="1221" spans="6:7" x14ac:dyDescent="0.45">
      <c r="F1221" t="s">
        <v>804</v>
      </c>
      <c r="G1221" t="e">
        <f t="shared" si="33"/>
        <v>#VALUE!</v>
      </c>
    </row>
    <row r="1222" spans="6:7" x14ac:dyDescent="0.45">
      <c r="F1222" t="s">
        <v>804</v>
      </c>
      <c r="G1222" t="e">
        <f t="shared" si="33"/>
        <v>#VALUE!</v>
      </c>
    </row>
    <row r="1223" spans="6:7" x14ac:dyDescent="0.45">
      <c r="F1223" t="s">
        <v>804</v>
      </c>
      <c r="G1223" t="e">
        <f t="shared" si="33"/>
        <v>#VALUE!</v>
      </c>
    </row>
    <row r="1224" spans="6:7" x14ac:dyDescent="0.45">
      <c r="F1224" t="s">
        <v>804</v>
      </c>
      <c r="G1224" t="e">
        <f t="shared" si="33"/>
        <v>#VALUE!</v>
      </c>
    </row>
    <row r="1225" spans="6:7" x14ac:dyDescent="0.45">
      <c r="F1225" t="s">
        <v>804</v>
      </c>
      <c r="G1225" t="e">
        <f t="shared" si="33"/>
        <v>#VALUE!</v>
      </c>
    </row>
    <row r="1226" spans="6:7" x14ac:dyDescent="0.45">
      <c r="F1226" t="s">
        <v>804</v>
      </c>
      <c r="G1226" t="e">
        <f t="shared" si="33"/>
        <v>#VALUE!</v>
      </c>
    </row>
    <row r="1227" spans="6:7" x14ac:dyDescent="0.45">
      <c r="F1227" t="s">
        <v>804</v>
      </c>
      <c r="G1227" t="e">
        <f t="shared" si="33"/>
        <v>#VALUE!</v>
      </c>
    </row>
    <row r="1228" spans="6:7" x14ac:dyDescent="0.45">
      <c r="F1228" t="s">
        <v>804</v>
      </c>
      <c r="G1228" t="e">
        <f t="shared" si="33"/>
        <v>#VALUE!</v>
      </c>
    </row>
    <row r="1229" spans="6:7" x14ac:dyDescent="0.45">
      <c r="F1229" t="s">
        <v>804</v>
      </c>
      <c r="G1229" t="e">
        <f t="shared" si="33"/>
        <v>#VALUE!</v>
      </c>
    </row>
    <row r="1230" spans="6:7" x14ac:dyDescent="0.45">
      <c r="F1230" t="s">
        <v>804</v>
      </c>
      <c r="G1230" t="e">
        <f t="shared" si="33"/>
        <v>#VALUE!</v>
      </c>
    </row>
    <row r="1231" spans="6:7" x14ac:dyDescent="0.45">
      <c r="F1231" t="s">
        <v>804</v>
      </c>
      <c r="G1231" t="e">
        <f t="shared" si="33"/>
        <v>#VALUE!</v>
      </c>
    </row>
    <row r="1232" spans="6:7" x14ac:dyDescent="0.45">
      <c r="F1232" t="s">
        <v>804</v>
      </c>
      <c r="G1232" t="e">
        <f t="shared" si="33"/>
        <v>#VALUE!</v>
      </c>
    </row>
    <row r="1233" spans="6:7" x14ac:dyDescent="0.45">
      <c r="F1233" t="s">
        <v>804</v>
      </c>
      <c r="G1233" t="e">
        <f t="shared" si="33"/>
        <v>#VALUE!</v>
      </c>
    </row>
    <row r="1234" spans="6:7" x14ac:dyDescent="0.45">
      <c r="F1234" t="s">
        <v>804</v>
      </c>
      <c r="G1234" t="e">
        <f t="shared" si="33"/>
        <v>#VALUE!</v>
      </c>
    </row>
    <row r="1235" spans="6:7" x14ac:dyDescent="0.45">
      <c r="F1235" t="s">
        <v>804</v>
      </c>
      <c r="G1235" t="e">
        <f t="shared" si="33"/>
        <v>#VALUE!</v>
      </c>
    </row>
    <row r="1236" spans="6:7" x14ac:dyDescent="0.45">
      <c r="F1236" t="s">
        <v>804</v>
      </c>
      <c r="G1236" t="e">
        <f t="shared" si="33"/>
        <v>#VALUE!</v>
      </c>
    </row>
    <row r="1237" spans="6:7" x14ac:dyDescent="0.45">
      <c r="F1237" t="s">
        <v>804</v>
      </c>
      <c r="G1237" t="e">
        <f t="shared" si="33"/>
        <v>#VALUE!</v>
      </c>
    </row>
    <row r="1238" spans="6:7" x14ac:dyDescent="0.45">
      <c r="F1238" t="s">
        <v>804</v>
      </c>
      <c r="G1238" t="e">
        <f t="shared" si="33"/>
        <v>#VALUE!</v>
      </c>
    </row>
    <row r="1239" spans="6:7" x14ac:dyDescent="0.45">
      <c r="F1239" t="s">
        <v>804</v>
      </c>
      <c r="G1239" t="e">
        <f t="shared" si="33"/>
        <v>#VALUE!</v>
      </c>
    </row>
    <row r="1240" spans="6:7" x14ac:dyDescent="0.45">
      <c r="F1240" t="s">
        <v>804</v>
      </c>
      <c r="G1240" t="e">
        <f t="shared" si="33"/>
        <v>#VALUE!</v>
      </c>
    </row>
    <row r="1241" spans="6:7" x14ac:dyDescent="0.45">
      <c r="F1241" t="s">
        <v>804</v>
      </c>
      <c r="G1241" t="e">
        <f t="shared" si="33"/>
        <v>#VALUE!</v>
      </c>
    </row>
    <row r="1242" spans="6:7" x14ac:dyDescent="0.45">
      <c r="F1242" t="s">
        <v>804</v>
      </c>
      <c r="G1242" t="e">
        <f t="shared" si="33"/>
        <v>#VALUE!</v>
      </c>
    </row>
    <row r="1243" spans="6:7" x14ac:dyDescent="0.45">
      <c r="F1243" t="s">
        <v>804</v>
      </c>
      <c r="G1243" t="e">
        <f t="shared" si="33"/>
        <v>#VALUE!</v>
      </c>
    </row>
    <row r="1244" spans="6:7" x14ac:dyDescent="0.45">
      <c r="F1244" t="s">
        <v>804</v>
      </c>
      <c r="G1244" t="e">
        <f t="shared" si="33"/>
        <v>#VALUE!</v>
      </c>
    </row>
    <row r="1245" spans="6:7" x14ac:dyDescent="0.45">
      <c r="F1245" t="s">
        <v>804</v>
      </c>
      <c r="G1245" t="e">
        <f t="shared" si="33"/>
        <v>#VALUE!</v>
      </c>
    </row>
    <row r="1246" spans="6:7" x14ac:dyDescent="0.45">
      <c r="F1246" t="s">
        <v>804</v>
      </c>
      <c r="G1246" t="e">
        <f t="shared" si="33"/>
        <v>#VALUE!</v>
      </c>
    </row>
    <row r="1247" spans="6:7" x14ac:dyDescent="0.45">
      <c r="F1247" t="s">
        <v>804</v>
      </c>
      <c r="G1247" t="e">
        <f t="shared" si="33"/>
        <v>#VALUE!</v>
      </c>
    </row>
    <row r="1248" spans="6:7" x14ac:dyDescent="0.45">
      <c r="F1248" t="s">
        <v>804</v>
      </c>
      <c r="G1248" t="e">
        <f t="shared" si="33"/>
        <v>#VALUE!</v>
      </c>
    </row>
    <row r="1249" spans="6:7" x14ac:dyDescent="0.45">
      <c r="F1249" t="s">
        <v>804</v>
      </c>
      <c r="G1249" t="e">
        <f t="shared" si="33"/>
        <v>#VALUE!</v>
      </c>
    </row>
    <row r="1250" spans="6:7" x14ac:dyDescent="0.45">
      <c r="F1250" t="s">
        <v>804</v>
      </c>
      <c r="G1250" t="e">
        <f t="shared" si="33"/>
        <v>#VALUE!</v>
      </c>
    </row>
    <row r="1251" spans="6:7" x14ac:dyDescent="0.45">
      <c r="F1251" t="s">
        <v>804</v>
      </c>
      <c r="G1251" t="e">
        <f t="shared" si="33"/>
        <v>#VALUE!</v>
      </c>
    </row>
    <row r="1252" spans="6:7" x14ac:dyDescent="0.45">
      <c r="F1252" t="s">
        <v>804</v>
      </c>
      <c r="G1252" t="e">
        <f t="shared" si="33"/>
        <v>#VALUE!</v>
      </c>
    </row>
    <row r="1253" spans="6:7" x14ac:dyDescent="0.45">
      <c r="F1253" t="s">
        <v>804</v>
      </c>
      <c r="G1253" t="e">
        <f t="shared" si="33"/>
        <v>#VALUE!</v>
      </c>
    </row>
    <row r="1254" spans="6:7" x14ac:dyDescent="0.45">
      <c r="F1254" t="s">
        <v>804</v>
      </c>
      <c r="G1254" t="e">
        <f t="shared" si="33"/>
        <v>#VALUE!</v>
      </c>
    </row>
    <row r="1255" spans="6:7" x14ac:dyDescent="0.45">
      <c r="F1255" t="s">
        <v>804</v>
      </c>
      <c r="G1255" t="e">
        <f t="shared" si="33"/>
        <v>#VALUE!</v>
      </c>
    </row>
    <row r="1256" spans="6:7" x14ac:dyDescent="0.45">
      <c r="F1256" t="s">
        <v>804</v>
      </c>
      <c r="G1256" t="e">
        <f t="shared" si="33"/>
        <v>#VALUE!</v>
      </c>
    </row>
    <row r="1257" spans="6:7" x14ac:dyDescent="0.45">
      <c r="F1257" t="s">
        <v>804</v>
      </c>
      <c r="G1257" t="e">
        <f t="shared" si="33"/>
        <v>#VALUE!</v>
      </c>
    </row>
    <row r="1258" spans="6:7" x14ac:dyDescent="0.45">
      <c r="F1258" t="s">
        <v>804</v>
      </c>
      <c r="G1258" t="e">
        <f t="shared" si="33"/>
        <v>#VALUE!</v>
      </c>
    </row>
    <row r="1259" spans="6:7" x14ac:dyDescent="0.45">
      <c r="F1259" t="s">
        <v>804</v>
      </c>
      <c r="G1259" t="e">
        <f t="shared" si="33"/>
        <v>#VALUE!</v>
      </c>
    </row>
    <row r="1260" spans="6:7" x14ac:dyDescent="0.45">
      <c r="F1260" t="s">
        <v>804</v>
      </c>
      <c r="G1260" t="e">
        <f t="shared" si="33"/>
        <v>#VALUE!</v>
      </c>
    </row>
    <row r="1261" spans="6:7" x14ac:dyDescent="0.45">
      <c r="F1261" t="s">
        <v>804</v>
      </c>
      <c r="G1261" t="e">
        <f t="shared" si="33"/>
        <v>#VALUE!</v>
      </c>
    </row>
    <row r="1262" spans="6:7" x14ac:dyDescent="0.45">
      <c r="F1262" t="s">
        <v>804</v>
      </c>
      <c r="G1262" t="e">
        <f t="shared" si="33"/>
        <v>#VALUE!</v>
      </c>
    </row>
    <row r="1263" spans="6:7" x14ac:dyDescent="0.45">
      <c r="F1263" t="s">
        <v>804</v>
      </c>
      <c r="G1263" t="e">
        <f t="shared" si="33"/>
        <v>#VALUE!</v>
      </c>
    </row>
    <row r="1264" spans="6:7" x14ac:dyDescent="0.45">
      <c r="F1264" t="s">
        <v>804</v>
      </c>
      <c r="G1264" t="e">
        <f t="shared" si="33"/>
        <v>#VALUE!</v>
      </c>
    </row>
    <row r="1265" spans="6:7" x14ac:dyDescent="0.45">
      <c r="F1265" t="s">
        <v>804</v>
      </c>
      <c r="G1265" t="e">
        <f t="shared" si="33"/>
        <v>#VALUE!</v>
      </c>
    </row>
    <row r="1266" spans="6:7" x14ac:dyDescent="0.45">
      <c r="F1266" t="s">
        <v>804</v>
      </c>
      <c r="G1266" t="e">
        <f t="shared" si="33"/>
        <v>#VALUE!</v>
      </c>
    </row>
    <row r="1267" spans="6:7" x14ac:dyDescent="0.45">
      <c r="F1267" t="s">
        <v>804</v>
      </c>
      <c r="G1267" t="e">
        <f t="shared" si="33"/>
        <v>#VALUE!</v>
      </c>
    </row>
    <row r="1268" spans="6:7" x14ac:dyDescent="0.45">
      <c r="F1268" t="s">
        <v>804</v>
      </c>
      <c r="G1268" t="e">
        <f t="shared" si="33"/>
        <v>#VALUE!</v>
      </c>
    </row>
    <row r="1269" spans="6:7" x14ac:dyDescent="0.45">
      <c r="F1269" t="s">
        <v>804</v>
      </c>
      <c r="G1269" t="e">
        <f t="shared" si="33"/>
        <v>#VALUE!</v>
      </c>
    </row>
    <row r="1270" spans="6:7" x14ac:dyDescent="0.45">
      <c r="F1270" t="s">
        <v>804</v>
      </c>
      <c r="G1270" t="e">
        <f t="shared" si="33"/>
        <v>#VALUE!</v>
      </c>
    </row>
    <row r="1271" spans="6:7" x14ac:dyDescent="0.45">
      <c r="F1271" t="s">
        <v>804</v>
      </c>
      <c r="G1271" t="e">
        <f t="shared" si="33"/>
        <v>#VALUE!</v>
      </c>
    </row>
    <row r="1272" spans="6:7" x14ac:dyDescent="0.45">
      <c r="F1272" t="s">
        <v>804</v>
      </c>
      <c r="G1272" t="e">
        <f t="shared" si="33"/>
        <v>#VALUE!</v>
      </c>
    </row>
    <row r="1273" spans="6:7" x14ac:dyDescent="0.45">
      <c r="F1273" t="s">
        <v>804</v>
      </c>
      <c r="G1273" t="e">
        <f t="shared" si="33"/>
        <v>#VALUE!</v>
      </c>
    </row>
    <row r="1274" spans="6:7" x14ac:dyDescent="0.45">
      <c r="F1274" t="s">
        <v>804</v>
      </c>
      <c r="G1274" t="e">
        <f t="shared" si="33"/>
        <v>#VALUE!</v>
      </c>
    </row>
    <row r="1275" spans="6:7" x14ac:dyDescent="0.45">
      <c r="F1275" t="s">
        <v>804</v>
      </c>
      <c r="G1275" t="e">
        <f t="shared" si="33"/>
        <v>#VALUE!</v>
      </c>
    </row>
    <row r="1276" spans="6:7" x14ac:dyDescent="0.45">
      <c r="F1276" t="s">
        <v>804</v>
      </c>
      <c r="G1276" t="e">
        <f t="shared" si="33"/>
        <v>#VALUE!</v>
      </c>
    </row>
    <row r="1277" spans="6:7" x14ac:dyDescent="0.45">
      <c r="F1277" t="s">
        <v>804</v>
      </c>
      <c r="G1277" t="e">
        <f t="shared" si="33"/>
        <v>#VALUE!</v>
      </c>
    </row>
    <row r="1278" spans="6:7" x14ac:dyDescent="0.45">
      <c r="F1278" t="s">
        <v>804</v>
      </c>
      <c r="G1278" t="e">
        <f t="shared" si="33"/>
        <v>#VALUE!</v>
      </c>
    </row>
    <row r="1279" spans="6:7" x14ac:dyDescent="0.45">
      <c r="F1279" t="s">
        <v>804</v>
      </c>
      <c r="G1279" t="e">
        <f t="shared" si="33"/>
        <v>#VALUE!</v>
      </c>
    </row>
    <row r="1280" spans="6:7" x14ac:dyDescent="0.45">
      <c r="F1280" t="s">
        <v>804</v>
      </c>
      <c r="G1280" t="e">
        <f t="shared" si="33"/>
        <v>#VALUE!</v>
      </c>
    </row>
    <row r="1281" spans="6:7" x14ac:dyDescent="0.45">
      <c r="F1281" t="s">
        <v>804</v>
      </c>
      <c r="G1281" t="e">
        <f t="shared" si="33"/>
        <v>#VALUE!</v>
      </c>
    </row>
    <row r="1282" spans="6:7" x14ac:dyDescent="0.45">
      <c r="F1282" t="s">
        <v>804</v>
      </c>
      <c r="G1282" t="e">
        <f t="shared" si="33"/>
        <v>#VALUE!</v>
      </c>
    </row>
    <row r="1283" spans="6:7" x14ac:dyDescent="0.45">
      <c r="F1283" t="s">
        <v>804</v>
      </c>
      <c r="G1283" t="e">
        <f t="shared" ref="G1283:G1346" si="34">+F1283+0</f>
        <v>#VALUE!</v>
      </c>
    </row>
    <row r="1284" spans="6:7" x14ac:dyDescent="0.45">
      <c r="F1284" t="s">
        <v>804</v>
      </c>
      <c r="G1284" t="e">
        <f t="shared" si="34"/>
        <v>#VALUE!</v>
      </c>
    </row>
    <row r="1285" spans="6:7" x14ac:dyDescent="0.45">
      <c r="F1285" t="s">
        <v>804</v>
      </c>
      <c r="G1285" t="e">
        <f t="shared" si="34"/>
        <v>#VALUE!</v>
      </c>
    </row>
    <row r="1286" spans="6:7" x14ac:dyDescent="0.45">
      <c r="F1286" t="s">
        <v>804</v>
      </c>
      <c r="G1286" t="e">
        <f t="shared" si="34"/>
        <v>#VALUE!</v>
      </c>
    </row>
    <row r="1287" spans="6:7" x14ac:dyDescent="0.45">
      <c r="F1287" t="s">
        <v>804</v>
      </c>
      <c r="G1287" t="e">
        <f t="shared" si="34"/>
        <v>#VALUE!</v>
      </c>
    </row>
    <row r="1288" spans="6:7" x14ac:dyDescent="0.45">
      <c r="F1288" t="s">
        <v>804</v>
      </c>
      <c r="G1288" t="e">
        <f t="shared" si="34"/>
        <v>#VALUE!</v>
      </c>
    </row>
    <row r="1289" spans="6:7" x14ac:dyDescent="0.45">
      <c r="F1289" t="s">
        <v>804</v>
      </c>
      <c r="G1289" t="e">
        <f t="shared" si="34"/>
        <v>#VALUE!</v>
      </c>
    </row>
    <row r="1290" spans="6:7" x14ac:dyDescent="0.45">
      <c r="F1290" t="s">
        <v>804</v>
      </c>
      <c r="G1290" t="e">
        <f t="shared" si="34"/>
        <v>#VALUE!</v>
      </c>
    </row>
    <row r="1291" spans="6:7" x14ac:dyDescent="0.45">
      <c r="F1291" t="s">
        <v>804</v>
      </c>
      <c r="G1291" t="e">
        <f t="shared" si="34"/>
        <v>#VALUE!</v>
      </c>
    </row>
    <row r="1292" spans="6:7" x14ac:dyDescent="0.45">
      <c r="F1292" t="s">
        <v>804</v>
      </c>
      <c r="G1292" t="e">
        <f t="shared" si="34"/>
        <v>#VALUE!</v>
      </c>
    </row>
    <row r="1293" spans="6:7" x14ac:dyDescent="0.45">
      <c r="F1293" t="s">
        <v>804</v>
      </c>
      <c r="G1293" t="e">
        <f t="shared" si="34"/>
        <v>#VALUE!</v>
      </c>
    </row>
    <row r="1294" spans="6:7" x14ac:dyDescent="0.45">
      <c r="F1294" t="s">
        <v>804</v>
      </c>
      <c r="G1294" t="e">
        <f t="shared" si="34"/>
        <v>#VALUE!</v>
      </c>
    </row>
    <row r="1295" spans="6:7" x14ac:dyDescent="0.45">
      <c r="F1295" t="s">
        <v>804</v>
      </c>
      <c r="G1295" t="e">
        <f t="shared" si="34"/>
        <v>#VALUE!</v>
      </c>
    </row>
    <row r="1296" spans="6:7" x14ac:dyDescent="0.45">
      <c r="F1296" t="s">
        <v>804</v>
      </c>
      <c r="G1296" t="e">
        <f t="shared" si="34"/>
        <v>#VALUE!</v>
      </c>
    </row>
    <row r="1297" spans="6:7" x14ac:dyDescent="0.45">
      <c r="F1297" t="s">
        <v>804</v>
      </c>
      <c r="G1297" t="e">
        <f t="shared" si="34"/>
        <v>#VALUE!</v>
      </c>
    </row>
    <row r="1298" spans="6:7" x14ac:dyDescent="0.45">
      <c r="F1298" t="s">
        <v>804</v>
      </c>
      <c r="G1298" t="e">
        <f t="shared" si="34"/>
        <v>#VALUE!</v>
      </c>
    </row>
    <row r="1299" spans="6:7" x14ac:dyDescent="0.45">
      <c r="F1299" t="s">
        <v>804</v>
      </c>
      <c r="G1299" t="e">
        <f t="shared" si="34"/>
        <v>#VALUE!</v>
      </c>
    </row>
    <row r="1300" spans="6:7" x14ac:dyDescent="0.45">
      <c r="F1300" t="s">
        <v>804</v>
      </c>
      <c r="G1300" t="e">
        <f t="shared" si="34"/>
        <v>#VALUE!</v>
      </c>
    </row>
    <row r="1301" spans="6:7" x14ac:dyDescent="0.45">
      <c r="F1301" t="s">
        <v>804</v>
      </c>
      <c r="G1301" t="e">
        <f t="shared" si="34"/>
        <v>#VALUE!</v>
      </c>
    </row>
    <row r="1302" spans="6:7" x14ac:dyDescent="0.45">
      <c r="F1302" t="s">
        <v>804</v>
      </c>
      <c r="G1302" t="e">
        <f t="shared" si="34"/>
        <v>#VALUE!</v>
      </c>
    </row>
    <row r="1303" spans="6:7" x14ac:dyDescent="0.45">
      <c r="F1303" t="s">
        <v>804</v>
      </c>
      <c r="G1303" t="e">
        <f t="shared" si="34"/>
        <v>#VALUE!</v>
      </c>
    </row>
    <row r="1304" spans="6:7" x14ac:dyDescent="0.45">
      <c r="F1304" t="s">
        <v>804</v>
      </c>
      <c r="G1304" t="e">
        <f t="shared" si="34"/>
        <v>#VALUE!</v>
      </c>
    </row>
    <row r="1305" spans="6:7" x14ac:dyDescent="0.45">
      <c r="F1305" t="s">
        <v>804</v>
      </c>
      <c r="G1305" t="e">
        <f t="shared" si="34"/>
        <v>#VALUE!</v>
      </c>
    </row>
    <row r="1306" spans="6:7" x14ac:dyDescent="0.45">
      <c r="F1306" t="s">
        <v>804</v>
      </c>
      <c r="G1306" t="e">
        <f t="shared" si="34"/>
        <v>#VALUE!</v>
      </c>
    </row>
    <row r="1307" spans="6:7" x14ac:dyDescent="0.45">
      <c r="F1307" t="s">
        <v>804</v>
      </c>
      <c r="G1307" t="e">
        <f t="shared" si="34"/>
        <v>#VALUE!</v>
      </c>
    </row>
    <row r="1308" spans="6:7" x14ac:dyDescent="0.45">
      <c r="F1308" t="s">
        <v>804</v>
      </c>
      <c r="G1308" t="e">
        <f t="shared" si="34"/>
        <v>#VALUE!</v>
      </c>
    </row>
    <row r="1309" spans="6:7" x14ac:dyDescent="0.45">
      <c r="F1309" t="s">
        <v>804</v>
      </c>
      <c r="G1309" t="e">
        <f t="shared" si="34"/>
        <v>#VALUE!</v>
      </c>
    </row>
    <row r="1310" spans="6:7" x14ac:dyDescent="0.45">
      <c r="F1310" t="s">
        <v>804</v>
      </c>
      <c r="G1310" t="e">
        <f t="shared" si="34"/>
        <v>#VALUE!</v>
      </c>
    </row>
    <row r="1311" spans="6:7" x14ac:dyDescent="0.45">
      <c r="F1311" t="s">
        <v>804</v>
      </c>
      <c r="G1311" t="e">
        <f t="shared" si="34"/>
        <v>#VALUE!</v>
      </c>
    </row>
    <row r="1312" spans="6:7" x14ac:dyDescent="0.45">
      <c r="F1312" t="s">
        <v>804</v>
      </c>
      <c r="G1312" t="e">
        <f t="shared" si="34"/>
        <v>#VALUE!</v>
      </c>
    </row>
    <row r="1313" spans="6:7" x14ac:dyDescent="0.45">
      <c r="F1313" t="s">
        <v>804</v>
      </c>
      <c r="G1313" t="e">
        <f t="shared" si="34"/>
        <v>#VALUE!</v>
      </c>
    </row>
    <row r="1314" spans="6:7" x14ac:dyDescent="0.45">
      <c r="F1314" t="s">
        <v>804</v>
      </c>
      <c r="G1314" t="e">
        <f t="shared" si="34"/>
        <v>#VALUE!</v>
      </c>
    </row>
    <row r="1315" spans="6:7" x14ac:dyDescent="0.45">
      <c r="F1315" t="s">
        <v>804</v>
      </c>
      <c r="G1315" t="e">
        <f t="shared" si="34"/>
        <v>#VALUE!</v>
      </c>
    </row>
    <row r="1316" spans="6:7" x14ac:dyDescent="0.45">
      <c r="F1316" t="s">
        <v>804</v>
      </c>
      <c r="G1316" t="e">
        <f t="shared" si="34"/>
        <v>#VALUE!</v>
      </c>
    </row>
    <row r="1317" spans="6:7" x14ac:dyDescent="0.45">
      <c r="F1317" t="s">
        <v>804</v>
      </c>
      <c r="G1317" t="e">
        <f t="shared" si="34"/>
        <v>#VALUE!</v>
      </c>
    </row>
    <row r="1318" spans="6:7" x14ac:dyDescent="0.45">
      <c r="F1318" t="s">
        <v>804</v>
      </c>
      <c r="G1318" t="e">
        <f t="shared" si="34"/>
        <v>#VALUE!</v>
      </c>
    </row>
    <row r="1319" spans="6:7" x14ac:dyDescent="0.45">
      <c r="F1319" t="s">
        <v>804</v>
      </c>
      <c r="G1319" t="e">
        <f t="shared" si="34"/>
        <v>#VALUE!</v>
      </c>
    </row>
    <row r="1320" spans="6:7" x14ac:dyDescent="0.45">
      <c r="F1320" t="s">
        <v>804</v>
      </c>
      <c r="G1320" t="e">
        <f t="shared" si="34"/>
        <v>#VALUE!</v>
      </c>
    </row>
    <row r="1321" spans="6:7" x14ac:dyDescent="0.45">
      <c r="F1321" t="s">
        <v>804</v>
      </c>
      <c r="G1321" t="e">
        <f t="shared" si="34"/>
        <v>#VALUE!</v>
      </c>
    </row>
    <row r="1322" spans="6:7" x14ac:dyDescent="0.45">
      <c r="F1322" t="s">
        <v>804</v>
      </c>
      <c r="G1322" t="e">
        <f t="shared" si="34"/>
        <v>#VALUE!</v>
      </c>
    </row>
    <row r="1323" spans="6:7" x14ac:dyDescent="0.45">
      <c r="F1323" t="s">
        <v>804</v>
      </c>
      <c r="G1323" t="e">
        <f t="shared" si="34"/>
        <v>#VALUE!</v>
      </c>
    </row>
    <row r="1324" spans="6:7" x14ac:dyDescent="0.45">
      <c r="F1324" t="s">
        <v>804</v>
      </c>
      <c r="G1324" t="e">
        <f t="shared" si="34"/>
        <v>#VALUE!</v>
      </c>
    </row>
    <row r="1325" spans="6:7" x14ac:dyDescent="0.45">
      <c r="F1325" t="s">
        <v>804</v>
      </c>
      <c r="G1325" t="e">
        <f t="shared" si="34"/>
        <v>#VALUE!</v>
      </c>
    </row>
    <row r="1326" spans="6:7" x14ac:dyDescent="0.45">
      <c r="F1326" t="s">
        <v>804</v>
      </c>
      <c r="G1326" t="e">
        <f t="shared" si="34"/>
        <v>#VALUE!</v>
      </c>
    </row>
    <row r="1327" spans="6:7" x14ac:dyDescent="0.45">
      <c r="F1327" t="s">
        <v>804</v>
      </c>
      <c r="G1327" t="e">
        <f t="shared" si="34"/>
        <v>#VALUE!</v>
      </c>
    </row>
    <row r="1328" spans="6:7" x14ac:dyDescent="0.45">
      <c r="F1328" t="s">
        <v>804</v>
      </c>
      <c r="G1328" t="e">
        <f t="shared" si="34"/>
        <v>#VALUE!</v>
      </c>
    </row>
    <row r="1329" spans="6:7" x14ac:dyDescent="0.45">
      <c r="F1329" t="s">
        <v>804</v>
      </c>
      <c r="G1329" t="e">
        <f t="shared" si="34"/>
        <v>#VALUE!</v>
      </c>
    </row>
    <row r="1330" spans="6:7" x14ac:dyDescent="0.45">
      <c r="F1330" t="s">
        <v>804</v>
      </c>
      <c r="G1330" t="e">
        <f t="shared" si="34"/>
        <v>#VALUE!</v>
      </c>
    </row>
    <row r="1331" spans="6:7" x14ac:dyDescent="0.45">
      <c r="F1331" t="s">
        <v>804</v>
      </c>
      <c r="G1331" t="e">
        <f t="shared" si="34"/>
        <v>#VALUE!</v>
      </c>
    </row>
    <row r="1332" spans="6:7" x14ac:dyDescent="0.45">
      <c r="F1332" t="s">
        <v>804</v>
      </c>
      <c r="G1332" t="e">
        <f t="shared" si="34"/>
        <v>#VALUE!</v>
      </c>
    </row>
    <row r="1333" spans="6:7" x14ac:dyDescent="0.45">
      <c r="F1333" t="s">
        <v>804</v>
      </c>
      <c r="G1333" t="e">
        <f t="shared" si="34"/>
        <v>#VALUE!</v>
      </c>
    </row>
    <row r="1334" spans="6:7" x14ac:dyDescent="0.45">
      <c r="F1334" t="s">
        <v>804</v>
      </c>
      <c r="G1334" t="e">
        <f t="shared" si="34"/>
        <v>#VALUE!</v>
      </c>
    </row>
    <row r="1335" spans="6:7" x14ac:dyDescent="0.45">
      <c r="F1335" t="s">
        <v>804</v>
      </c>
      <c r="G1335" t="e">
        <f t="shared" si="34"/>
        <v>#VALUE!</v>
      </c>
    </row>
    <row r="1336" spans="6:7" x14ac:dyDescent="0.45">
      <c r="F1336" t="s">
        <v>804</v>
      </c>
      <c r="G1336" t="e">
        <f t="shared" si="34"/>
        <v>#VALUE!</v>
      </c>
    </row>
    <row r="1337" spans="6:7" x14ac:dyDescent="0.45">
      <c r="F1337" t="s">
        <v>804</v>
      </c>
      <c r="G1337" t="e">
        <f t="shared" si="34"/>
        <v>#VALUE!</v>
      </c>
    </row>
    <row r="1338" spans="6:7" x14ac:dyDescent="0.45">
      <c r="F1338" t="s">
        <v>804</v>
      </c>
      <c r="G1338" t="e">
        <f t="shared" si="34"/>
        <v>#VALUE!</v>
      </c>
    </row>
    <row r="1339" spans="6:7" x14ac:dyDescent="0.45">
      <c r="F1339" t="s">
        <v>804</v>
      </c>
      <c r="G1339" t="e">
        <f t="shared" si="34"/>
        <v>#VALUE!</v>
      </c>
    </row>
    <row r="1340" spans="6:7" x14ac:dyDescent="0.45">
      <c r="F1340" t="s">
        <v>804</v>
      </c>
      <c r="G1340" t="e">
        <f t="shared" si="34"/>
        <v>#VALUE!</v>
      </c>
    </row>
    <row r="1341" spans="6:7" x14ac:dyDescent="0.45">
      <c r="F1341" t="s">
        <v>804</v>
      </c>
      <c r="G1341" t="e">
        <f t="shared" si="34"/>
        <v>#VALUE!</v>
      </c>
    </row>
    <row r="1342" spans="6:7" x14ac:dyDescent="0.45">
      <c r="F1342" t="s">
        <v>804</v>
      </c>
      <c r="G1342" t="e">
        <f t="shared" si="34"/>
        <v>#VALUE!</v>
      </c>
    </row>
    <row r="1343" spans="6:7" x14ac:dyDescent="0.45">
      <c r="F1343" t="s">
        <v>804</v>
      </c>
      <c r="G1343" t="e">
        <f t="shared" si="34"/>
        <v>#VALUE!</v>
      </c>
    </row>
    <row r="1344" spans="6:7" x14ac:dyDescent="0.45">
      <c r="F1344" t="s">
        <v>804</v>
      </c>
      <c r="G1344" t="e">
        <f t="shared" si="34"/>
        <v>#VALUE!</v>
      </c>
    </row>
    <row r="1345" spans="6:7" x14ac:dyDescent="0.45">
      <c r="F1345" t="s">
        <v>804</v>
      </c>
      <c r="G1345" t="e">
        <f t="shared" si="34"/>
        <v>#VALUE!</v>
      </c>
    </row>
    <row r="1346" spans="6:7" x14ac:dyDescent="0.45">
      <c r="F1346" t="s">
        <v>804</v>
      </c>
      <c r="G1346" t="e">
        <f t="shared" si="34"/>
        <v>#VALUE!</v>
      </c>
    </row>
    <row r="1347" spans="6:7" x14ac:dyDescent="0.45">
      <c r="F1347" t="s">
        <v>804</v>
      </c>
      <c r="G1347" t="e">
        <f t="shared" ref="G1347:G1410" si="35">+F1347+0</f>
        <v>#VALUE!</v>
      </c>
    </row>
    <row r="1348" spans="6:7" x14ac:dyDescent="0.45">
      <c r="F1348" t="s">
        <v>804</v>
      </c>
      <c r="G1348" t="e">
        <f t="shared" si="35"/>
        <v>#VALUE!</v>
      </c>
    </row>
    <row r="1349" spans="6:7" x14ac:dyDescent="0.45">
      <c r="F1349" t="s">
        <v>804</v>
      </c>
      <c r="G1349" t="e">
        <f t="shared" si="35"/>
        <v>#VALUE!</v>
      </c>
    </row>
    <row r="1350" spans="6:7" x14ac:dyDescent="0.45">
      <c r="F1350" t="s">
        <v>804</v>
      </c>
      <c r="G1350" t="e">
        <f t="shared" si="35"/>
        <v>#VALUE!</v>
      </c>
    </row>
    <row r="1351" spans="6:7" x14ac:dyDescent="0.45">
      <c r="F1351" t="s">
        <v>804</v>
      </c>
      <c r="G1351" t="e">
        <f t="shared" si="35"/>
        <v>#VALUE!</v>
      </c>
    </row>
    <row r="1352" spans="6:7" x14ac:dyDescent="0.45">
      <c r="F1352" t="s">
        <v>804</v>
      </c>
      <c r="G1352" t="e">
        <f t="shared" si="35"/>
        <v>#VALUE!</v>
      </c>
    </row>
    <row r="1353" spans="6:7" x14ac:dyDescent="0.45">
      <c r="F1353" t="s">
        <v>804</v>
      </c>
      <c r="G1353" t="e">
        <f t="shared" si="35"/>
        <v>#VALUE!</v>
      </c>
    </row>
    <row r="1354" spans="6:7" x14ac:dyDescent="0.45">
      <c r="F1354" t="s">
        <v>804</v>
      </c>
      <c r="G1354" t="e">
        <f t="shared" si="35"/>
        <v>#VALUE!</v>
      </c>
    </row>
    <row r="1355" spans="6:7" x14ac:dyDescent="0.45">
      <c r="F1355" t="s">
        <v>804</v>
      </c>
      <c r="G1355" t="e">
        <f t="shared" si="35"/>
        <v>#VALUE!</v>
      </c>
    </row>
    <row r="1356" spans="6:7" x14ac:dyDescent="0.45">
      <c r="F1356" t="s">
        <v>804</v>
      </c>
      <c r="G1356" t="e">
        <f t="shared" si="35"/>
        <v>#VALUE!</v>
      </c>
    </row>
    <row r="1357" spans="6:7" x14ac:dyDescent="0.45">
      <c r="F1357" t="s">
        <v>804</v>
      </c>
      <c r="G1357" t="e">
        <f t="shared" si="35"/>
        <v>#VALUE!</v>
      </c>
    </row>
    <row r="1358" spans="6:7" x14ac:dyDescent="0.45">
      <c r="F1358" t="s">
        <v>804</v>
      </c>
      <c r="G1358" t="e">
        <f t="shared" si="35"/>
        <v>#VALUE!</v>
      </c>
    </row>
    <row r="1359" spans="6:7" x14ac:dyDescent="0.45">
      <c r="F1359" t="s">
        <v>804</v>
      </c>
      <c r="G1359" t="e">
        <f t="shared" si="35"/>
        <v>#VALUE!</v>
      </c>
    </row>
    <row r="1360" spans="6:7" x14ac:dyDescent="0.45">
      <c r="F1360" t="s">
        <v>804</v>
      </c>
      <c r="G1360" t="e">
        <f t="shared" si="35"/>
        <v>#VALUE!</v>
      </c>
    </row>
    <row r="1361" spans="6:7" x14ac:dyDescent="0.45">
      <c r="F1361" t="s">
        <v>804</v>
      </c>
      <c r="G1361" t="e">
        <f t="shared" si="35"/>
        <v>#VALUE!</v>
      </c>
    </row>
    <row r="1362" spans="6:7" x14ac:dyDescent="0.45">
      <c r="F1362" t="s">
        <v>804</v>
      </c>
      <c r="G1362" t="e">
        <f t="shared" si="35"/>
        <v>#VALUE!</v>
      </c>
    </row>
    <row r="1363" spans="6:7" x14ac:dyDescent="0.45">
      <c r="F1363" t="s">
        <v>804</v>
      </c>
      <c r="G1363" t="e">
        <f t="shared" si="35"/>
        <v>#VALUE!</v>
      </c>
    </row>
    <row r="1364" spans="6:7" x14ac:dyDescent="0.45">
      <c r="F1364" t="s">
        <v>804</v>
      </c>
      <c r="G1364" t="e">
        <f t="shared" si="35"/>
        <v>#VALUE!</v>
      </c>
    </row>
    <row r="1365" spans="6:7" x14ac:dyDescent="0.45">
      <c r="F1365" t="s">
        <v>804</v>
      </c>
      <c r="G1365" t="e">
        <f t="shared" si="35"/>
        <v>#VALUE!</v>
      </c>
    </row>
    <row r="1366" spans="6:7" x14ac:dyDescent="0.45">
      <c r="F1366" t="s">
        <v>804</v>
      </c>
      <c r="G1366" t="e">
        <f t="shared" si="35"/>
        <v>#VALUE!</v>
      </c>
    </row>
    <row r="1367" spans="6:7" x14ac:dyDescent="0.45">
      <c r="F1367" t="s">
        <v>804</v>
      </c>
      <c r="G1367" t="e">
        <f t="shared" si="35"/>
        <v>#VALUE!</v>
      </c>
    </row>
    <row r="1368" spans="6:7" x14ac:dyDescent="0.45">
      <c r="F1368" t="s">
        <v>804</v>
      </c>
      <c r="G1368" t="e">
        <f t="shared" si="35"/>
        <v>#VALUE!</v>
      </c>
    </row>
    <row r="1369" spans="6:7" x14ac:dyDescent="0.45">
      <c r="F1369" t="s">
        <v>804</v>
      </c>
      <c r="G1369" t="e">
        <f t="shared" si="35"/>
        <v>#VALUE!</v>
      </c>
    </row>
    <row r="1370" spans="6:7" x14ac:dyDescent="0.45">
      <c r="F1370" t="s">
        <v>804</v>
      </c>
      <c r="G1370" t="e">
        <f t="shared" si="35"/>
        <v>#VALUE!</v>
      </c>
    </row>
    <row r="1371" spans="6:7" x14ac:dyDescent="0.45">
      <c r="F1371" t="s">
        <v>804</v>
      </c>
      <c r="G1371" t="e">
        <f t="shared" si="35"/>
        <v>#VALUE!</v>
      </c>
    </row>
    <row r="1372" spans="6:7" x14ac:dyDescent="0.45">
      <c r="F1372" t="s">
        <v>804</v>
      </c>
      <c r="G1372" t="e">
        <f t="shared" si="35"/>
        <v>#VALUE!</v>
      </c>
    </row>
    <row r="1373" spans="6:7" x14ac:dyDescent="0.45">
      <c r="F1373" t="s">
        <v>804</v>
      </c>
      <c r="G1373" t="e">
        <f t="shared" si="35"/>
        <v>#VALUE!</v>
      </c>
    </row>
    <row r="1374" spans="6:7" x14ac:dyDescent="0.45">
      <c r="F1374" t="s">
        <v>804</v>
      </c>
      <c r="G1374" t="e">
        <f t="shared" si="35"/>
        <v>#VALUE!</v>
      </c>
    </row>
    <row r="1375" spans="6:7" x14ac:dyDescent="0.45">
      <c r="F1375" t="s">
        <v>804</v>
      </c>
      <c r="G1375" t="e">
        <f t="shared" si="35"/>
        <v>#VALUE!</v>
      </c>
    </row>
    <row r="1376" spans="6:7" x14ac:dyDescent="0.45">
      <c r="F1376" t="s">
        <v>804</v>
      </c>
      <c r="G1376" t="e">
        <f t="shared" si="35"/>
        <v>#VALUE!</v>
      </c>
    </row>
    <row r="1377" spans="6:7" x14ac:dyDescent="0.45">
      <c r="F1377" t="s">
        <v>804</v>
      </c>
      <c r="G1377" t="e">
        <f t="shared" si="35"/>
        <v>#VALUE!</v>
      </c>
    </row>
    <row r="1378" spans="6:7" x14ac:dyDescent="0.45">
      <c r="F1378" t="s">
        <v>804</v>
      </c>
      <c r="G1378" t="e">
        <f t="shared" si="35"/>
        <v>#VALUE!</v>
      </c>
    </row>
    <row r="1379" spans="6:7" x14ac:dyDescent="0.45">
      <c r="F1379" t="s">
        <v>804</v>
      </c>
      <c r="G1379" t="e">
        <f t="shared" si="35"/>
        <v>#VALUE!</v>
      </c>
    </row>
    <row r="1380" spans="6:7" x14ac:dyDescent="0.45">
      <c r="F1380" t="s">
        <v>804</v>
      </c>
      <c r="G1380" t="e">
        <f t="shared" si="35"/>
        <v>#VALUE!</v>
      </c>
    </row>
    <row r="1381" spans="6:7" x14ac:dyDescent="0.45">
      <c r="F1381" t="s">
        <v>804</v>
      </c>
      <c r="G1381" t="e">
        <f t="shared" si="35"/>
        <v>#VALUE!</v>
      </c>
    </row>
    <row r="1382" spans="6:7" x14ac:dyDescent="0.45">
      <c r="F1382" t="s">
        <v>804</v>
      </c>
      <c r="G1382" t="e">
        <f t="shared" si="35"/>
        <v>#VALUE!</v>
      </c>
    </row>
    <row r="1383" spans="6:7" x14ac:dyDescent="0.45">
      <c r="F1383" t="s">
        <v>804</v>
      </c>
      <c r="G1383" t="e">
        <f t="shared" si="35"/>
        <v>#VALUE!</v>
      </c>
    </row>
    <row r="1384" spans="6:7" x14ac:dyDescent="0.45">
      <c r="F1384" t="s">
        <v>804</v>
      </c>
      <c r="G1384" t="e">
        <f t="shared" si="35"/>
        <v>#VALUE!</v>
      </c>
    </row>
    <row r="1385" spans="6:7" x14ac:dyDescent="0.45">
      <c r="F1385" t="s">
        <v>804</v>
      </c>
      <c r="G1385" t="e">
        <f t="shared" si="35"/>
        <v>#VALUE!</v>
      </c>
    </row>
    <row r="1386" spans="6:7" x14ac:dyDescent="0.45">
      <c r="F1386" t="s">
        <v>804</v>
      </c>
      <c r="G1386" t="e">
        <f t="shared" si="35"/>
        <v>#VALUE!</v>
      </c>
    </row>
    <row r="1387" spans="6:7" x14ac:dyDescent="0.45">
      <c r="F1387" t="s">
        <v>804</v>
      </c>
      <c r="G1387" t="e">
        <f t="shared" si="35"/>
        <v>#VALUE!</v>
      </c>
    </row>
    <row r="1388" spans="6:7" x14ac:dyDescent="0.45">
      <c r="F1388" t="s">
        <v>804</v>
      </c>
      <c r="G1388" t="e">
        <f t="shared" si="35"/>
        <v>#VALUE!</v>
      </c>
    </row>
    <row r="1389" spans="6:7" x14ac:dyDescent="0.45">
      <c r="F1389" t="s">
        <v>804</v>
      </c>
      <c r="G1389" t="e">
        <f t="shared" si="35"/>
        <v>#VALUE!</v>
      </c>
    </row>
    <row r="1390" spans="6:7" x14ac:dyDescent="0.45">
      <c r="F1390" t="s">
        <v>804</v>
      </c>
      <c r="G1390" t="e">
        <f t="shared" si="35"/>
        <v>#VALUE!</v>
      </c>
    </row>
    <row r="1391" spans="6:7" x14ac:dyDescent="0.45">
      <c r="F1391" t="s">
        <v>804</v>
      </c>
      <c r="G1391" t="e">
        <f t="shared" si="35"/>
        <v>#VALUE!</v>
      </c>
    </row>
    <row r="1392" spans="6:7" x14ac:dyDescent="0.45">
      <c r="F1392" t="s">
        <v>804</v>
      </c>
      <c r="G1392" t="e">
        <f t="shared" si="35"/>
        <v>#VALUE!</v>
      </c>
    </row>
    <row r="1393" spans="6:7" x14ac:dyDescent="0.45">
      <c r="F1393" t="s">
        <v>804</v>
      </c>
      <c r="G1393" t="e">
        <f t="shared" si="35"/>
        <v>#VALUE!</v>
      </c>
    </row>
    <row r="1394" spans="6:7" x14ac:dyDescent="0.45">
      <c r="F1394" t="s">
        <v>804</v>
      </c>
      <c r="G1394" t="e">
        <f t="shared" si="35"/>
        <v>#VALUE!</v>
      </c>
    </row>
    <row r="1395" spans="6:7" x14ac:dyDescent="0.45">
      <c r="F1395" t="s">
        <v>804</v>
      </c>
      <c r="G1395" t="e">
        <f t="shared" si="35"/>
        <v>#VALUE!</v>
      </c>
    </row>
    <row r="1396" spans="6:7" x14ac:dyDescent="0.45">
      <c r="F1396" t="s">
        <v>804</v>
      </c>
      <c r="G1396" t="e">
        <f t="shared" si="35"/>
        <v>#VALUE!</v>
      </c>
    </row>
    <row r="1397" spans="6:7" x14ac:dyDescent="0.45">
      <c r="F1397" t="s">
        <v>804</v>
      </c>
      <c r="G1397" t="e">
        <f t="shared" si="35"/>
        <v>#VALUE!</v>
      </c>
    </row>
    <row r="1398" spans="6:7" x14ac:dyDescent="0.45">
      <c r="F1398" t="s">
        <v>804</v>
      </c>
      <c r="G1398" t="e">
        <f t="shared" si="35"/>
        <v>#VALUE!</v>
      </c>
    </row>
    <row r="1399" spans="6:7" x14ac:dyDescent="0.45">
      <c r="F1399" t="s">
        <v>804</v>
      </c>
      <c r="G1399" t="e">
        <f t="shared" si="35"/>
        <v>#VALUE!</v>
      </c>
    </row>
    <row r="1400" spans="6:7" x14ac:dyDescent="0.45">
      <c r="F1400" t="s">
        <v>804</v>
      </c>
      <c r="G1400" t="e">
        <f t="shared" si="35"/>
        <v>#VALUE!</v>
      </c>
    </row>
    <row r="1401" spans="6:7" x14ac:dyDescent="0.45">
      <c r="F1401" t="s">
        <v>804</v>
      </c>
      <c r="G1401" t="e">
        <f t="shared" si="35"/>
        <v>#VALUE!</v>
      </c>
    </row>
    <row r="1402" spans="6:7" x14ac:dyDescent="0.45">
      <c r="F1402" t="s">
        <v>804</v>
      </c>
      <c r="G1402" t="e">
        <f t="shared" si="35"/>
        <v>#VALUE!</v>
      </c>
    </row>
    <row r="1403" spans="6:7" x14ac:dyDescent="0.45">
      <c r="F1403" t="s">
        <v>804</v>
      </c>
      <c r="G1403" t="e">
        <f t="shared" si="35"/>
        <v>#VALUE!</v>
      </c>
    </row>
    <row r="1404" spans="6:7" x14ac:dyDescent="0.45">
      <c r="F1404" t="s">
        <v>804</v>
      </c>
      <c r="G1404" t="e">
        <f t="shared" si="35"/>
        <v>#VALUE!</v>
      </c>
    </row>
    <row r="1405" spans="6:7" x14ac:dyDescent="0.45">
      <c r="F1405" t="s">
        <v>804</v>
      </c>
      <c r="G1405" t="e">
        <f t="shared" si="35"/>
        <v>#VALUE!</v>
      </c>
    </row>
    <row r="1406" spans="6:7" x14ac:dyDescent="0.45">
      <c r="F1406" t="s">
        <v>804</v>
      </c>
      <c r="G1406" t="e">
        <f t="shared" si="35"/>
        <v>#VALUE!</v>
      </c>
    </row>
    <row r="1407" spans="6:7" x14ac:dyDescent="0.45">
      <c r="F1407" t="s">
        <v>804</v>
      </c>
      <c r="G1407" t="e">
        <f t="shared" si="35"/>
        <v>#VALUE!</v>
      </c>
    </row>
    <row r="1408" spans="6:7" x14ac:dyDescent="0.45">
      <c r="F1408" t="s">
        <v>804</v>
      </c>
      <c r="G1408" t="e">
        <f t="shared" si="35"/>
        <v>#VALUE!</v>
      </c>
    </row>
    <row r="1409" spans="6:7" x14ac:dyDescent="0.45">
      <c r="F1409" t="s">
        <v>804</v>
      </c>
      <c r="G1409" t="e">
        <f t="shared" si="35"/>
        <v>#VALUE!</v>
      </c>
    </row>
    <row r="1410" spans="6:7" x14ac:dyDescent="0.45">
      <c r="F1410" t="s">
        <v>804</v>
      </c>
      <c r="G1410" t="e">
        <f t="shared" si="35"/>
        <v>#VALUE!</v>
      </c>
    </row>
    <row r="1411" spans="6:7" x14ac:dyDescent="0.45">
      <c r="F1411" t="s">
        <v>804</v>
      </c>
      <c r="G1411" t="e">
        <f t="shared" ref="G1411:G1474" si="36">+F1411+0</f>
        <v>#VALUE!</v>
      </c>
    </row>
    <row r="1412" spans="6:7" x14ac:dyDescent="0.45">
      <c r="F1412" t="s">
        <v>804</v>
      </c>
      <c r="G1412" t="e">
        <f t="shared" si="36"/>
        <v>#VALUE!</v>
      </c>
    </row>
    <row r="1413" spans="6:7" x14ac:dyDescent="0.45">
      <c r="F1413" t="s">
        <v>804</v>
      </c>
      <c r="G1413" t="e">
        <f t="shared" si="36"/>
        <v>#VALUE!</v>
      </c>
    </row>
    <row r="1414" spans="6:7" x14ac:dyDescent="0.45">
      <c r="F1414" t="s">
        <v>804</v>
      </c>
      <c r="G1414" t="e">
        <f t="shared" si="36"/>
        <v>#VALUE!</v>
      </c>
    </row>
    <row r="1415" spans="6:7" x14ac:dyDescent="0.45">
      <c r="F1415" t="s">
        <v>804</v>
      </c>
      <c r="G1415" t="e">
        <f t="shared" si="36"/>
        <v>#VALUE!</v>
      </c>
    </row>
    <row r="1416" spans="6:7" x14ac:dyDescent="0.45">
      <c r="F1416" t="s">
        <v>804</v>
      </c>
      <c r="G1416" t="e">
        <f t="shared" si="36"/>
        <v>#VALUE!</v>
      </c>
    </row>
    <row r="1417" spans="6:7" x14ac:dyDescent="0.45">
      <c r="F1417" t="s">
        <v>804</v>
      </c>
      <c r="G1417" t="e">
        <f t="shared" si="36"/>
        <v>#VALUE!</v>
      </c>
    </row>
    <row r="1418" spans="6:7" x14ac:dyDescent="0.45">
      <c r="F1418" t="s">
        <v>804</v>
      </c>
      <c r="G1418" t="e">
        <f t="shared" si="36"/>
        <v>#VALUE!</v>
      </c>
    </row>
    <row r="1419" spans="6:7" x14ac:dyDescent="0.45">
      <c r="F1419" t="s">
        <v>804</v>
      </c>
      <c r="G1419" t="e">
        <f t="shared" si="36"/>
        <v>#VALUE!</v>
      </c>
    </row>
    <row r="1420" spans="6:7" x14ac:dyDescent="0.45">
      <c r="F1420" t="s">
        <v>804</v>
      </c>
      <c r="G1420" t="e">
        <f t="shared" si="36"/>
        <v>#VALUE!</v>
      </c>
    </row>
    <row r="1421" spans="6:7" x14ac:dyDescent="0.45">
      <c r="F1421" t="s">
        <v>804</v>
      </c>
      <c r="G1421" t="e">
        <f t="shared" si="36"/>
        <v>#VALUE!</v>
      </c>
    </row>
    <row r="1422" spans="6:7" x14ac:dyDescent="0.45">
      <c r="F1422" t="s">
        <v>804</v>
      </c>
      <c r="G1422" t="e">
        <f t="shared" si="36"/>
        <v>#VALUE!</v>
      </c>
    </row>
    <row r="1423" spans="6:7" x14ac:dyDescent="0.45">
      <c r="F1423" t="s">
        <v>804</v>
      </c>
      <c r="G1423" t="e">
        <f t="shared" si="36"/>
        <v>#VALUE!</v>
      </c>
    </row>
    <row r="1424" spans="6:7" x14ac:dyDescent="0.45">
      <c r="F1424" t="s">
        <v>804</v>
      </c>
      <c r="G1424" t="e">
        <f t="shared" si="36"/>
        <v>#VALUE!</v>
      </c>
    </row>
    <row r="1425" spans="6:7" x14ac:dyDescent="0.45">
      <c r="F1425" t="s">
        <v>804</v>
      </c>
      <c r="G1425" t="e">
        <f t="shared" si="36"/>
        <v>#VALUE!</v>
      </c>
    </row>
    <row r="1426" spans="6:7" x14ac:dyDescent="0.45">
      <c r="F1426" t="s">
        <v>804</v>
      </c>
      <c r="G1426" t="e">
        <f t="shared" si="36"/>
        <v>#VALUE!</v>
      </c>
    </row>
    <row r="1427" spans="6:7" x14ac:dyDescent="0.45">
      <c r="F1427" t="s">
        <v>804</v>
      </c>
      <c r="G1427" t="e">
        <f t="shared" si="36"/>
        <v>#VALUE!</v>
      </c>
    </row>
    <row r="1428" spans="6:7" x14ac:dyDescent="0.45">
      <c r="F1428" t="s">
        <v>804</v>
      </c>
      <c r="G1428" t="e">
        <f t="shared" si="36"/>
        <v>#VALUE!</v>
      </c>
    </row>
    <row r="1429" spans="6:7" x14ac:dyDescent="0.45">
      <c r="F1429" t="s">
        <v>804</v>
      </c>
      <c r="G1429" t="e">
        <f t="shared" si="36"/>
        <v>#VALUE!</v>
      </c>
    </row>
    <row r="1430" spans="6:7" x14ac:dyDescent="0.45">
      <c r="F1430" t="s">
        <v>804</v>
      </c>
      <c r="G1430" t="e">
        <f t="shared" si="36"/>
        <v>#VALUE!</v>
      </c>
    </row>
    <row r="1431" spans="6:7" x14ac:dyDescent="0.45">
      <c r="F1431" t="s">
        <v>804</v>
      </c>
      <c r="G1431" t="e">
        <f t="shared" si="36"/>
        <v>#VALUE!</v>
      </c>
    </row>
    <row r="1432" spans="6:7" x14ac:dyDescent="0.45">
      <c r="F1432" t="s">
        <v>804</v>
      </c>
      <c r="G1432" t="e">
        <f t="shared" si="36"/>
        <v>#VALUE!</v>
      </c>
    </row>
    <row r="1433" spans="6:7" x14ac:dyDescent="0.45">
      <c r="F1433" t="s">
        <v>804</v>
      </c>
      <c r="G1433" t="e">
        <f t="shared" si="36"/>
        <v>#VALUE!</v>
      </c>
    </row>
    <row r="1434" spans="6:7" x14ac:dyDescent="0.45">
      <c r="F1434" t="s">
        <v>804</v>
      </c>
      <c r="G1434" t="e">
        <f t="shared" si="36"/>
        <v>#VALUE!</v>
      </c>
    </row>
    <row r="1435" spans="6:7" x14ac:dyDescent="0.45">
      <c r="F1435" t="s">
        <v>804</v>
      </c>
      <c r="G1435" t="e">
        <f t="shared" si="36"/>
        <v>#VALUE!</v>
      </c>
    </row>
    <row r="1436" spans="6:7" x14ac:dyDescent="0.45">
      <c r="F1436" t="s">
        <v>804</v>
      </c>
      <c r="G1436" t="e">
        <f t="shared" si="36"/>
        <v>#VALUE!</v>
      </c>
    </row>
    <row r="1437" spans="6:7" x14ac:dyDescent="0.45">
      <c r="F1437" t="s">
        <v>804</v>
      </c>
      <c r="G1437" t="e">
        <f t="shared" si="36"/>
        <v>#VALUE!</v>
      </c>
    </row>
    <row r="1438" spans="6:7" x14ac:dyDescent="0.45">
      <c r="F1438" t="s">
        <v>804</v>
      </c>
      <c r="G1438" t="e">
        <f t="shared" si="36"/>
        <v>#VALUE!</v>
      </c>
    </row>
    <row r="1439" spans="6:7" x14ac:dyDescent="0.45">
      <c r="F1439" t="s">
        <v>804</v>
      </c>
      <c r="G1439" t="e">
        <f t="shared" si="36"/>
        <v>#VALUE!</v>
      </c>
    </row>
    <row r="1440" spans="6:7" x14ac:dyDescent="0.45">
      <c r="F1440" t="s">
        <v>804</v>
      </c>
      <c r="G1440" t="e">
        <f t="shared" si="36"/>
        <v>#VALUE!</v>
      </c>
    </row>
    <row r="1441" spans="6:7" x14ac:dyDescent="0.45">
      <c r="F1441" t="s">
        <v>804</v>
      </c>
      <c r="G1441" t="e">
        <f t="shared" si="36"/>
        <v>#VALUE!</v>
      </c>
    </row>
    <row r="1442" spans="6:7" x14ac:dyDescent="0.45">
      <c r="F1442" t="s">
        <v>804</v>
      </c>
      <c r="G1442" t="e">
        <f t="shared" si="36"/>
        <v>#VALUE!</v>
      </c>
    </row>
    <row r="1443" spans="6:7" x14ac:dyDescent="0.45">
      <c r="F1443" t="s">
        <v>804</v>
      </c>
      <c r="G1443" t="e">
        <f t="shared" si="36"/>
        <v>#VALUE!</v>
      </c>
    </row>
    <row r="1444" spans="6:7" x14ac:dyDescent="0.45">
      <c r="F1444" t="s">
        <v>804</v>
      </c>
      <c r="G1444" t="e">
        <f t="shared" si="36"/>
        <v>#VALUE!</v>
      </c>
    </row>
    <row r="1445" spans="6:7" x14ac:dyDescent="0.45">
      <c r="F1445" t="s">
        <v>804</v>
      </c>
      <c r="G1445" t="e">
        <f t="shared" si="36"/>
        <v>#VALUE!</v>
      </c>
    </row>
    <row r="1446" spans="6:7" x14ac:dyDescent="0.45">
      <c r="F1446" t="s">
        <v>804</v>
      </c>
      <c r="G1446" t="e">
        <f t="shared" si="36"/>
        <v>#VALUE!</v>
      </c>
    </row>
    <row r="1447" spans="6:7" x14ac:dyDescent="0.45">
      <c r="F1447" t="s">
        <v>804</v>
      </c>
      <c r="G1447" t="e">
        <f t="shared" si="36"/>
        <v>#VALUE!</v>
      </c>
    </row>
    <row r="1448" spans="6:7" x14ac:dyDescent="0.45">
      <c r="F1448" t="s">
        <v>804</v>
      </c>
      <c r="G1448" t="e">
        <f t="shared" si="36"/>
        <v>#VALUE!</v>
      </c>
    </row>
    <row r="1449" spans="6:7" x14ac:dyDescent="0.45">
      <c r="F1449" t="s">
        <v>804</v>
      </c>
      <c r="G1449" t="e">
        <f t="shared" si="36"/>
        <v>#VALUE!</v>
      </c>
    </row>
    <row r="1450" spans="6:7" x14ac:dyDescent="0.45">
      <c r="F1450" t="s">
        <v>804</v>
      </c>
      <c r="G1450" t="e">
        <f t="shared" si="36"/>
        <v>#VALUE!</v>
      </c>
    </row>
    <row r="1451" spans="6:7" x14ac:dyDescent="0.45">
      <c r="F1451" t="s">
        <v>804</v>
      </c>
      <c r="G1451" t="e">
        <f t="shared" si="36"/>
        <v>#VALUE!</v>
      </c>
    </row>
    <row r="1452" spans="6:7" x14ac:dyDescent="0.45">
      <c r="F1452" t="s">
        <v>804</v>
      </c>
      <c r="G1452" t="e">
        <f t="shared" si="36"/>
        <v>#VALUE!</v>
      </c>
    </row>
    <row r="1453" spans="6:7" x14ac:dyDescent="0.45">
      <c r="F1453" t="s">
        <v>804</v>
      </c>
      <c r="G1453" t="e">
        <f t="shared" si="36"/>
        <v>#VALUE!</v>
      </c>
    </row>
    <row r="1454" spans="6:7" x14ac:dyDescent="0.45">
      <c r="F1454" t="s">
        <v>804</v>
      </c>
      <c r="G1454" t="e">
        <f t="shared" si="36"/>
        <v>#VALUE!</v>
      </c>
    </row>
    <row r="1455" spans="6:7" x14ac:dyDescent="0.45">
      <c r="F1455" t="s">
        <v>804</v>
      </c>
      <c r="G1455" t="e">
        <f t="shared" si="36"/>
        <v>#VALUE!</v>
      </c>
    </row>
    <row r="1456" spans="6:7" x14ac:dyDescent="0.45">
      <c r="F1456" t="s">
        <v>804</v>
      </c>
      <c r="G1456" t="e">
        <f t="shared" si="36"/>
        <v>#VALUE!</v>
      </c>
    </row>
    <row r="1457" spans="6:7" x14ac:dyDescent="0.45">
      <c r="F1457" t="s">
        <v>804</v>
      </c>
      <c r="G1457" t="e">
        <f t="shared" si="36"/>
        <v>#VALUE!</v>
      </c>
    </row>
    <row r="1458" spans="6:7" x14ac:dyDescent="0.45">
      <c r="F1458" t="s">
        <v>804</v>
      </c>
      <c r="G1458" t="e">
        <f t="shared" si="36"/>
        <v>#VALUE!</v>
      </c>
    </row>
    <row r="1459" spans="6:7" x14ac:dyDescent="0.45">
      <c r="F1459" t="s">
        <v>804</v>
      </c>
      <c r="G1459" t="e">
        <f t="shared" si="36"/>
        <v>#VALUE!</v>
      </c>
    </row>
    <row r="1460" spans="6:7" x14ac:dyDescent="0.45">
      <c r="F1460" t="s">
        <v>804</v>
      </c>
      <c r="G1460" t="e">
        <f t="shared" si="36"/>
        <v>#VALUE!</v>
      </c>
    </row>
    <row r="1461" spans="6:7" x14ac:dyDescent="0.45">
      <c r="F1461" t="s">
        <v>804</v>
      </c>
      <c r="G1461" t="e">
        <f t="shared" si="36"/>
        <v>#VALUE!</v>
      </c>
    </row>
    <row r="1462" spans="6:7" x14ac:dyDescent="0.45">
      <c r="F1462" t="s">
        <v>804</v>
      </c>
      <c r="G1462" t="e">
        <f t="shared" si="36"/>
        <v>#VALUE!</v>
      </c>
    </row>
    <row r="1463" spans="6:7" x14ac:dyDescent="0.45">
      <c r="F1463" t="s">
        <v>804</v>
      </c>
      <c r="G1463" t="e">
        <f t="shared" si="36"/>
        <v>#VALUE!</v>
      </c>
    </row>
    <row r="1464" spans="6:7" x14ac:dyDescent="0.45">
      <c r="F1464" t="s">
        <v>804</v>
      </c>
      <c r="G1464" t="e">
        <f t="shared" si="36"/>
        <v>#VALUE!</v>
      </c>
    </row>
    <row r="1465" spans="6:7" x14ac:dyDescent="0.45">
      <c r="F1465" t="s">
        <v>804</v>
      </c>
      <c r="G1465" t="e">
        <f t="shared" si="36"/>
        <v>#VALUE!</v>
      </c>
    </row>
    <row r="1466" spans="6:7" x14ac:dyDescent="0.45">
      <c r="F1466" t="s">
        <v>804</v>
      </c>
      <c r="G1466" t="e">
        <f t="shared" si="36"/>
        <v>#VALUE!</v>
      </c>
    </row>
    <row r="1467" spans="6:7" x14ac:dyDescent="0.45">
      <c r="F1467" t="s">
        <v>804</v>
      </c>
      <c r="G1467" t="e">
        <f t="shared" si="36"/>
        <v>#VALUE!</v>
      </c>
    </row>
    <row r="1468" spans="6:7" x14ac:dyDescent="0.45">
      <c r="F1468" t="s">
        <v>804</v>
      </c>
      <c r="G1468" t="e">
        <f t="shared" si="36"/>
        <v>#VALUE!</v>
      </c>
    </row>
    <row r="1469" spans="6:7" x14ac:dyDescent="0.45">
      <c r="F1469" t="s">
        <v>804</v>
      </c>
      <c r="G1469" t="e">
        <f t="shared" si="36"/>
        <v>#VALUE!</v>
      </c>
    </row>
    <row r="1470" spans="6:7" x14ac:dyDescent="0.45">
      <c r="F1470" t="s">
        <v>804</v>
      </c>
      <c r="G1470" t="e">
        <f t="shared" si="36"/>
        <v>#VALUE!</v>
      </c>
    </row>
    <row r="1471" spans="6:7" x14ac:dyDescent="0.45">
      <c r="F1471" t="s">
        <v>804</v>
      </c>
      <c r="G1471" t="e">
        <f t="shared" si="36"/>
        <v>#VALUE!</v>
      </c>
    </row>
    <row r="1472" spans="6:7" x14ac:dyDescent="0.45">
      <c r="F1472" t="s">
        <v>804</v>
      </c>
      <c r="G1472" t="e">
        <f t="shared" si="36"/>
        <v>#VALUE!</v>
      </c>
    </row>
    <row r="1473" spans="6:7" x14ac:dyDescent="0.45">
      <c r="F1473" t="s">
        <v>804</v>
      </c>
      <c r="G1473" t="e">
        <f t="shared" si="36"/>
        <v>#VALUE!</v>
      </c>
    </row>
    <row r="1474" spans="6:7" x14ac:dyDescent="0.45">
      <c r="F1474" t="s">
        <v>804</v>
      </c>
      <c r="G1474" t="e">
        <f t="shared" si="36"/>
        <v>#VALUE!</v>
      </c>
    </row>
    <row r="1475" spans="6:7" x14ac:dyDescent="0.45">
      <c r="F1475" t="s">
        <v>804</v>
      </c>
      <c r="G1475" t="e">
        <f t="shared" ref="G1475:G1538" si="37">+F1475+0</f>
        <v>#VALUE!</v>
      </c>
    </row>
    <row r="1476" spans="6:7" x14ac:dyDescent="0.45">
      <c r="F1476" t="s">
        <v>804</v>
      </c>
      <c r="G1476" t="e">
        <f t="shared" si="37"/>
        <v>#VALUE!</v>
      </c>
    </row>
    <row r="1477" spans="6:7" x14ac:dyDescent="0.45">
      <c r="F1477" t="s">
        <v>804</v>
      </c>
      <c r="G1477" t="e">
        <f t="shared" si="37"/>
        <v>#VALUE!</v>
      </c>
    </row>
    <row r="1478" spans="6:7" x14ac:dyDescent="0.45">
      <c r="F1478" t="s">
        <v>804</v>
      </c>
      <c r="G1478" t="e">
        <f t="shared" si="37"/>
        <v>#VALUE!</v>
      </c>
    </row>
    <row r="1479" spans="6:7" x14ac:dyDescent="0.45">
      <c r="F1479" t="s">
        <v>804</v>
      </c>
      <c r="G1479" t="e">
        <f t="shared" si="37"/>
        <v>#VALUE!</v>
      </c>
    </row>
    <row r="1480" spans="6:7" x14ac:dyDescent="0.45">
      <c r="F1480" t="s">
        <v>804</v>
      </c>
      <c r="G1480" t="e">
        <f t="shared" si="37"/>
        <v>#VALUE!</v>
      </c>
    </row>
    <row r="1481" spans="6:7" x14ac:dyDescent="0.45">
      <c r="F1481" t="s">
        <v>804</v>
      </c>
      <c r="G1481" t="e">
        <f t="shared" si="37"/>
        <v>#VALUE!</v>
      </c>
    </row>
    <row r="1482" spans="6:7" x14ac:dyDescent="0.45">
      <c r="F1482" t="s">
        <v>804</v>
      </c>
      <c r="G1482" t="e">
        <f t="shared" si="37"/>
        <v>#VALUE!</v>
      </c>
    </row>
    <row r="1483" spans="6:7" x14ac:dyDescent="0.45">
      <c r="F1483" t="s">
        <v>804</v>
      </c>
      <c r="G1483" t="e">
        <f t="shared" si="37"/>
        <v>#VALUE!</v>
      </c>
    </row>
    <row r="1484" spans="6:7" x14ac:dyDescent="0.45">
      <c r="F1484" t="s">
        <v>804</v>
      </c>
      <c r="G1484" t="e">
        <f t="shared" si="37"/>
        <v>#VALUE!</v>
      </c>
    </row>
    <row r="1485" spans="6:7" x14ac:dyDescent="0.45">
      <c r="F1485" t="s">
        <v>804</v>
      </c>
      <c r="G1485" t="e">
        <f t="shared" si="37"/>
        <v>#VALUE!</v>
      </c>
    </row>
    <row r="1486" spans="6:7" x14ac:dyDescent="0.45">
      <c r="F1486" t="s">
        <v>804</v>
      </c>
      <c r="G1486" t="e">
        <f t="shared" si="37"/>
        <v>#VALUE!</v>
      </c>
    </row>
    <row r="1487" spans="6:7" x14ac:dyDescent="0.45">
      <c r="F1487" t="s">
        <v>804</v>
      </c>
      <c r="G1487" t="e">
        <f t="shared" si="37"/>
        <v>#VALUE!</v>
      </c>
    </row>
    <row r="1488" spans="6:7" x14ac:dyDescent="0.45">
      <c r="F1488" t="s">
        <v>804</v>
      </c>
      <c r="G1488" t="e">
        <f t="shared" si="37"/>
        <v>#VALUE!</v>
      </c>
    </row>
    <row r="1489" spans="6:7" x14ac:dyDescent="0.45">
      <c r="F1489" t="s">
        <v>804</v>
      </c>
      <c r="G1489" t="e">
        <f t="shared" si="37"/>
        <v>#VALUE!</v>
      </c>
    </row>
    <row r="1490" spans="6:7" x14ac:dyDescent="0.45">
      <c r="F1490" t="s">
        <v>804</v>
      </c>
      <c r="G1490" t="e">
        <f t="shared" si="37"/>
        <v>#VALUE!</v>
      </c>
    </row>
    <row r="1491" spans="6:7" x14ac:dyDescent="0.45">
      <c r="F1491" t="s">
        <v>804</v>
      </c>
      <c r="G1491" t="e">
        <f t="shared" si="37"/>
        <v>#VALUE!</v>
      </c>
    </row>
    <row r="1492" spans="6:7" x14ac:dyDescent="0.45">
      <c r="F1492" t="s">
        <v>804</v>
      </c>
      <c r="G1492" t="e">
        <f t="shared" si="37"/>
        <v>#VALUE!</v>
      </c>
    </row>
    <row r="1493" spans="6:7" x14ac:dyDescent="0.45">
      <c r="F1493" t="s">
        <v>804</v>
      </c>
      <c r="G1493" t="e">
        <f t="shared" si="37"/>
        <v>#VALUE!</v>
      </c>
    </row>
    <row r="1494" spans="6:7" x14ac:dyDescent="0.45">
      <c r="F1494" t="s">
        <v>804</v>
      </c>
      <c r="G1494" t="e">
        <f t="shared" si="37"/>
        <v>#VALUE!</v>
      </c>
    </row>
    <row r="1495" spans="6:7" x14ac:dyDescent="0.45">
      <c r="F1495" t="s">
        <v>804</v>
      </c>
      <c r="G1495" t="e">
        <f t="shared" si="37"/>
        <v>#VALUE!</v>
      </c>
    </row>
    <row r="1496" spans="6:7" x14ac:dyDescent="0.45">
      <c r="F1496" t="s">
        <v>804</v>
      </c>
      <c r="G1496" t="e">
        <f t="shared" si="37"/>
        <v>#VALUE!</v>
      </c>
    </row>
    <row r="1497" spans="6:7" x14ac:dyDescent="0.45">
      <c r="F1497" t="s">
        <v>804</v>
      </c>
      <c r="G1497" t="e">
        <f t="shared" si="37"/>
        <v>#VALUE!</v>
      </c>
    </row>
    <row r="1498" spans="6:7" x14ac:dyDescent="0.45">
      <c r="F1498" t="s">
        <v>804</v>
      </c>
      <c r="G1498" t="e">
        <f t="shared" si="37"/>
        <v>#VALUE!</v>
      </c>
    </row>
    <row r="1499" spans="6:7" x14ac:dyDescent="0.45">
      <c r="F1499" t="s">
        <v>804</v>
      </c>
      <c r="G1499" t="e">
        <f t="shared" si="37"/>
        <v>#VALUE!</v>
      </c>
    </row>
    <row r="1500" spans="6:7" x14ac:dyDescent="0.45">
      <c r="F1500" t="s">
        <v>804</v>
      </c>
      <c r="G1500" t="e">
        <f t="shared" si="37"/>
        <v>#VALUE!</v>
      </c>
    </row>
    <row r="1501" spans="6:7" x14ac:dyDescent="0.45">
      <c r="F1501" t="s">
        <v>804</v>
      </c>
      <c r="G1501" t="e">
        <f t="shared" si="37"/>
        <v>#VALUE!</v>
      </c>
    </row>
    <row r="1502" spans="6:7" x14ac:dyDescent="0.45">
      <c r="F1502" t="s">
        <v>804</v>
      </c>
      <c r="G1502" t="e">
        <f t="shared" si="37"/>
        <v>#VALUE!</v>
      </c>
    </row>
    <row r="1503" spans="6:7" x14ac:dyDescent="0.45">
      <c r="F1503" t="s">
        <v>804</v>
      </c>
      <c r="G1503" t="e">
        <f t="shared" si="37"/>
        <v>#VALUE!</v>
      </c>
    </row>
    <row r="1504" spans="6:7" x14ac:dyDescent="0.45">
      <c r="F1504" t="s">
        <v>804</v>
      </c>
      <c r="G1504" t="e">
        <f t="shared" si="37"/>
        <v>#VALUE!</v>
      </c>
    </row>
    <row r="1505" spans="6:7" x14ac:dyDescent="0.45">
      <c r="F1505" t="s">
        <v>804</v>
      </c>
      <c r="G1505" t="e">
        <f t="shared" si="37"/>
        <v>#VALUE!</v>
      </c>
    </row>
    <row r="1506" spans="6:7" x14ac:dyDescent="0.45">
      <c r="F1506" t="s">
        <v>804</v>
      </c>
      <c r="G1506" t="e">
        <f t="shared" si="37"/>
        <v>#VALUE!</v>
      </c>
    </row>
    <row r="1507" spans="6:7" x14ac:dyDescent="0.45">
      <c r="F1507" t="s">
        <v>804</v>
      </c>
      <c r="G1507" t="e">
        <f t="shared" si="37"/>
        <v>#VALUE!</v>
      </c>
    </row>
    <row r="1508" spans="6:7" x14ac:dyDescent="0.45">
      <c r="F1508" t="s">
        <v>804</v>
      </c>
      <c r="G1508" t="e">
        <f t="shared" si="37"/>
        <v>#VALUE!</v>
      </c>
    </row>
    <row r="1509" spans="6:7" x14ac:dyDescent="0.45">
      <c r="F1509" t="s">
        <v>804</v>
      </c>
      <c r="G1509" t="e">
        <f t="shared" si="37"/>
        <v>#VALUE!</v>
      </c>
    </row>
    <row r="1510" spans="6:7" x14ac:dyDescent="0.45">
      <c r="F1510" t="s">
        <v>804</v>
      </c>
      <c r="G1510" t="e">
        <f t="shared" si="37"/>
        <v>#VALUE!</v>
      </c>
    </row>
    <row r="1511" spans="6:7" x14ac:dyDescent="0.45">
      <c r="F1511" t="s">
        <v>804</v>
      </c>
      <c r="G1511" t="e">
        <f t="shared" si="37"/>
        <v>#VALUE!</v>
      </c>
    </row>
    <row r="1512" spans="6:7" x14ac:dyDescent="0.45">
      <c r="F1512" t="s">
        <v>804</v>
      </c>
      <c r="G1512" t="e">
        <f t="shared" si="37"/>
        <v>#VALUE!</v>
      </c>
    </row>
    <row r="1513" spans="6:7" x14ac:dyDescent="0.45">
      <c r="F1513" t="s">
        <v>804</v>
      </c>
      <c r="G1513" t="e">
        <f t="shared" si="37"/>
        <v>#VALUE!</v>
      </c>
    </row>
    <row r="1514" spans="6:7" x14ac:dyDescent="0.45">
      <c r="F1514" t="s">
        <v>804</v>
      </c>
      <c r="G1514" t="e">
        <f t="shared" si="37"/>
        <v>#VALUE!</v>
      </c>
    </row>
    <row r="1515" spans="6:7" x14ac:dyDescent="0.45">
      <c r="F1515" t="s">
        <v>804</v>
      </c>
      <c r="G1515" t="e">
        <f t="shared" si="37"/>
        <v>#VALUE!</v>
      </c>
    </row>
    <row r="1516" spans="6:7" x14ac:dyDescent="0.45">
      <c r="F1516" t="s">
        <v>804</v>
      </c>
      <c r="G1516" t="e">
        <f t="shared" si="37"/>
        <v>#VALUE!</v>
      </c>
    </row>
    <row r="1517" spans="6:7" x14ac:dyDescent="0.45">
      <c r="F1517" t="s">
        <v>804</v>
      </c>
      <c r="G1517" t="e">
        <f t="shared" si="37"/>
        <v>#VALUE!</v>
      </c>
    </row>
    <row r="1518" spans="6:7" x14ac:dyDescent="0.45">
      <c r="F1518" t="s">
        <v>804</v>
      </c>
      <c r="G1518" t="e">
        <f t="shared" si="37"/>
        <v>#VALUE!</v>
      </c>
    </row>
    <row r="1519" spans="6:7" x14ac:dyDescent="0.45">
      <c r="F1519" t="s">
        <v>804</v>
      </c>
      <c r="G1519" t="e">
        <f t="shared" si="37"/>
        <v>#VALUE!</v>
      </c>
    </row>
    <row r="1520" spans="6:7" x14ac:dyDescent="0.45">
      <c r="F1520" t="s">
        <v>804</v>
      </c>
      <c r="G1520" t="e">
        <f t="shared" si="37"/>
        <v>#VALUE!</v>
      </c>
    </row>
    <row r="1521" spans="6:7" x14ac:dyDescent="0.45">
      <c r="F1521" t="s">
        <v>804</v>
      </c>
      <c r="G1521" t="e">
        <f t="shared" si="37"/>
        <v>#VALUE!</v>
      </c>
    </row>
    <row r="1522" spans="6:7" x14ac:dyDescent="0.45">
      <c r="F1522" t="s">
        <v>804</v>
      </c>
      <c r="G1522" t="e">
        <f t="shared" si="37"/>
        <v>#VALUE!</v>
      </c>
    </row>
    <row r="1523" spans="6:7" x14ac:dyDescent="0.45">
      <c r="F1523" t="s">
        <v>804</v>
      </c>
      <c r="G1523" t="e">
        <f t="shared" si="37"/>
        <v>#VALUE!</v>
      </c>
    </row>
    <row r="1524" spans="6:7" x14ac:dyDescent="0.45">
      <c r="F1524" t="s">
        <v>804</v>
      </c>
      <c r="G1524" t="e">
        <f t="shared" si="37"/>
        <v>#VALUE!</v>
      </c>
    </row>
    <row r="1525" spans="6:7" x14ac:dyDescent="0.45">
      <c r="F1525" t="s">
        <v>804</v>
      </c>
      <c r="G1525" t="e">
        <f t="shared" si="37"/>
        <v>#VALUE!</v>
      </c>
    </row>
    <row r="1526" spans="6:7" x14ac:dyDescent="0.45">
      <c r="F1526" t="s">
        <v>804</v>
      </c>
      <c r="G1526" t="e">
        <f t="shared" si="37"/>
        <v>#VALUE!</v>
      </c>
    </row>
    <row r="1527" spans="6:7" x14ac:dyDescent="0.45">
      <c r="F1527" t="s">
        <v>804</v>
      </c>
      <c r="G1527" t="e">
        <f t="shared" si="37"/>
        <v>#VALUE!</v>
      </c>
    </row>
    <row r="1528" spans="6:7" x14ac:dyDescent="0.45">
      <c r="F1528" t="s">
        <v>804</v>
      </c>
      <c r="G1528" t="e">
        <f t="shared" si="37"/>
        <v>#VALUE!</v>
      </c>
    </row>
    <row r="1529" spans="6:7" x14ac:dyDescent="0.45">
      <c r="F1529" t="s">
        <v>804</v>
      </c>
      <c r="G1529" t="e">
        <f t="shared" si="37"/>
        <v>#VALUE!</v>
      </c>
    </row>
    <row r="1530" spans="6:7" x14ac:dyDescent="0.45">
      <c r="F1530" t="s">
        <v>804</v>
      </c>
      <c r="G1530" t="e">
        <f t="shared" si="37"/>
        <v>#VALUE!</v>
      </c>
    </row>
    <row r="1531" spans="6:7" x14ac:dyDescent="0.45">
      <c r="F1531" t="s">
        <v>804</v>
      </c>
      <c r="G1531" t="e">
        <f t="shared" si="37"/>
        <v>#VALUE!</v>
      </c>
    </row>
    <row r="1532" spans="6:7" x14ac:dyDescent="0.45">
      <c r="F1532" t="s">
        <v>804</v>
      </c>
      <c r="G1532" t="e">
        <f t="shared" si="37"/>
        <v>#VALUE!</v>
      </c>
    </row>
    <row r="1533" spans="6:7" x14ac:dyDescent="0.45">
      <c r="F1533" t="s">
        <v>804</v>
      </c>
      <c r="G1533" t="e">
        <f t="shared" si="37"/>
        <v>#VALUE!</v>
      </c>
    </row>
    <row r="1534" spans="6:7" x14ac:dyDescent="0.45">
      <c r="F1534" t="s">
        <v>804</v>
      </c>
      <c r="G1534" t="e">
        <f t="shared" si="37"/>
        <v>#VALUE!</v>
      </c>
    </row>
    <row r="1535" spans="6:7" x14ac:dyDescent="0.45">
      <c r="F1535" t="s">
        <v>804</v>
      </c>
      <c r="G1535" t="e">
        <f t="shared" si="37"/>
        <v>#VALUE!</v>
      </c>
    </row>
    <row r="1536" spans="6:7" x14ac:dyDescent="0.45">
      <c r="F1536" t="s">
        <v>804</v>
      </c>
      <c r="G1536" t="e">
        <f t="shared" si="37"/>
        <v>#VALUE!</v>
      </c>
    </row>
    <row r="1537" spans="6:7" x14ac:dyDescent="0.45">
      <c r="F1537" t="s">
        <v>804</v>
      </c>
      <c r="G1537" t="e">
        <f t="shared" si="37"/>
        <v>#VALUE!</v>
      </c>
    </row>
    <row r="1538" spans="6:7" x14ac:dyDescent="0.45">
      <c r="F1538" t="s">
        <v>804</v>
      </c>
      <c r="G1538" t="e">
        <f t="shared" si="37"/>
        <v>#VALUE!</v>
      </c>
    </row>
    <row r="1539" spans="6:7" x14ac:dyDescent="0.45">
      <c r="F1539" t="s">
        <v>804</v>
      </c>
      <c r="G1539" t="e">
        <f t="shared" ref="G1539:G1602" si="38">+F1539+0</f>
        <v>#VALUE!</v>
      </c>
    </row>
    <row r="1540" spans="6:7" x14ac:dyDescent="0.45">
      <c r="F1540" t="s">
        <v>804</v>
      </c>
      <c r="G1540" t="e">
        <f t="shared" si="38"/>
        <v>#VALUE!</v>
      </c>
    </row>
    <row r="1541" spans="6:7" x14ac:dyDescent="0.45">
      <c r="F1541" t="s">
        <v>804</v>
      </c>
      <c r="G1541" t="e">
        <f t="shared" si="38"/>
        <v>#VALUE!</v>
      </c>
    </row>
    <row r="1542" spans="6:7" x14ac:dyDescent="0.45">
      <c r="F1542" t="s">
        <v>804</v>
      </c>
      <c r="G1542" t="e">
        <f t="shared" si="38"/>
        <v>#VALUE!</v>
      </c>
    </row>
    <row r="1543" spans="6:7" x14ac:dyDescent="0.45">
      <c r="F1543" t="s">
        <v>804</v>
      </c>
      <c r="G1543" t="e">
        <f t="shared" si="38"/>
        <v>#VALUE!</v>
      </c>
    </row>
    <row r="1544" spans="6:7" x14ac:dyDescent="0.45">
      <c r="F1544" t="s">
        <v>804</v>
      </c>
      <c r="G1544" t="e">
        <f t="shared" si="38"/>
        <v>#VALUE!</v>
      </c>
    </row>
    <row r="1545" spans="6:7" x14ac:dyDescent="0.45">
      <c r="F1545" t="s">
        <v>804</v>
      </c>
      <c r="G1545" t="e">
        <f t="shared" si="38"/>
        <v>#VALUE!</v>
      </c>
    </row>
    <row r="1546" spans="6:7" x14ac:dyDescent="0.45">
      <c r="F1546" t="s">
        <v>804</v>
      </c>
      <c r="G1546" t="e">
        <f t="shared" si="38"/>
        <v>#VALUE!</v>
      </c>
    </row>
    <row r="1547" spans="6:7" x14ac:dyDescent="0.45">
      <c r="F1547" t="s">
        <v>804</v>
      </c>
      <c r="G1547" t="e">
        <f t="shared" si="38"/>
        <v>#VALUE!</v>
      </c>
    </row>
    <row r="1548" spans="6:7" x14ac:dyDescent="0.45">
      <c r="F1548" t="s">
        <v>804</v>
      </c>
      <c r="G1548" t="e">
        <f t="shared" si="38"/>
        <v>#VALUE!</v>
      </c>
    </row>
    <row r="1549" spans="6:7" x14ac:dyDescent="0.45">
      <c r="F1549" t="s">
        <v>804</v>
      </c>
      <c r="G1549" t="e">
        <f t="shared" si="38"/>
        <v>#VALUE!</v>
      </c>
    </row>
    <row r="1550" spans="6:7" x14ac:dyDescent="0.45">
      <c r="F1550" t="s">
        <v>804</v>
      </c>
      <c r="G1550" t="e">
        <f t="shared" si="38"/>
        <v>#VALUE!</v>
      </c>
    </row>
    <row r="1551" spans="6:7" x14ac:dyDescent="0.45">
      <c r="F1551" t="s">
        <v>804</v>
      </c>
      <c r="G1551" t="e">
        <f t="shared" si="38"/>
        <v>#VALUE!</v>
      </c>
    </row>
    <row r="1552" spans="6:7" x14ac:dyDescent="0.45">
      <c r="F1552" t="s">
        <v>804</v>
      </c>
      <c r="G1552" t="e">
        <f t="shared" si="38"/>
        <v>#VALUE!</v>
      </c>
    </row>
    <row r="1553" spans="6:7" x14ac:dyDescent="0.45">
      <c r="F1553" t="s">
        <v>804</v>
      </c>
      <c r="G1553" t="e">
        <f t="shared" si="38"/>
        <v>#VALUE!</v>
      </c>
    </row>
    <row r="1554" spans="6:7" x14ac:dyDescent="0.45">
      <c r="F1554" t="s">
        <v>804</v>
      </c>
      <c r="G1554" t="e">
        <f t="shared" si="38"/>
        <v>#VALUE!</v>
      </c>
    </row>
    <row r="1555" spans="6:7" x14ac:dyDescent="0.45">
      <c r="F1555" t="s">
        <v>804</v>
      </c>
      <c r="G1555" t="e">
        <f t="shared" si="38"/>
        <v>#VALUE!</v>
      </c>
    </row>
    <row r="1556" spans="6:7" x14ac:dyDescent="0.45">
      <c r="F1556" t="s">
        <v>804</v>
      </c>
      <c r="G1556" t="e">
        <f t="shared" si="38"/>
        <v>#VALUE!</v>
      </c>
    </row>
    <row r="1557" spans="6:7" x14ac:dyDescent="0.45">
      <c r="F1557" t="s">
        <v>804</v>
      </c>
      <c r="G1557" t="e">
        <f t="shared" si="38"/>
        <v>#VALUE!</v>
      </c>
    </row>
    <row r="1558" spans="6:7" x14ac:dyDescent="0.45">
      <c r="F1558" t="s">
        <v>804</v>
      </c>
      <c r="G1558" t="e">
        <f t="shared" si="38"/>
        <v>#VALUE!</v>
      </c>
    </row>
    <row r="1559" spans="6:7" x14ac:dyDescent="0.45">
      <c r="F1559" t="s">
        <v>804</v>
      </c>
      <c r="G1559" t="e">
        <f t="shared" si="38"/>
        <v>#VALUE!</v>
      </c>
    </row>
    <row r="1560" spans="6:7" x14ac:dyDescent="0.45">
      <c r="F1560" t="s">
        <v>804</v>
      </c>
      <c r="G1560" t="e">
        <f t="shared" si="38"/>
        <v>#VALUE!</v>
      </c>
    </row>
    <row r="1561" spans="6:7" x14ac:dyDescent="0.45">
      <c r="F1561" t="s">
        <v>804</v>
      </c>
      <c r="G1561" t="e">
        <f t="shared" si="38"/>
        <v>#VALUE!</v>
      </c>
    </row>
    <row r="1562" spans="6:7" x14ac:dyDescent="0.45">
      <c r="F1562" t="s">
        <v>804</v>
      </c>
      <c r="G1562" t="e">
        <f t="shared" si="38"/>
        <v>#VALUE!</v>
      </c>
    </row>
    <row r="1563" spans="6:7" x14ac:dyDescent="0.45">
      <c r="F1563" t="s">
        <v>804</v>
      </c>
      <c r="G1563" t="e">
        <f t="shared" si="38"/>
        <v>#VALUE!</v>
      </c>
    </row>
    <row r="1564" spans="6:7" x14ac:dyDescent="0.45">
      <c r="F1564" t="s">
        <v>804</v>
      </c>
      <c r="G1564" t="e">
        <f t="shared" si="38"/>
        <v>#VALUE!</v>
      </c>
    </row>
    <row r="1565" spans="6:7" x14ac:dyDescent="0.45">
      <c r="F1565" t="s">
        <v>804</v>
      </c>
      <c r="G1565" t="e">
        <f t="shared" si="38"/>
        <v>#VALUE!</v>
      </c>
    </row>
    <row r="1566" spans="6:7" x14ac:dyDescent="0.45">
      <c r="F1566" t="s">
        <v>804</v>
      </c>
      <c r="G1566" t="e">
        <f t="shared" si="38"/>
        <v>#VALUE!</v>
      </c>
    </row>
    <row r="1567" spans="6:7" x14ac:dyDescent="0.45">
      <c r="F1567" t="s">
        <v>804</v>
      </c>
      <c r="G1567" t="e">
        <f t="shared" si="38"/>
        <v>#VALUE!</v>
      </c>
    </row>
    <row r="1568" spans="6:7" x14ac:dyDescent="0.45">
      <c r="F1568" t="s">
        <v>804</v>
      </c>
      <c r="G1568" t="e">
        <f t="shared" si="38"/>
        <v>#VALUE!</v>
      </c>
    </row>
    <row r="1569" spans="6:7" x14ac:dyDescent="0.45">
      <c r="F1569" t="s">
        <v>804</v>
      </c>
      <c r="G1569" t="e">
        <f t="shared" si="38"/>
        <v>#VALUE!</v>
      </c>
    </row>
    <row r="1570" spans="6:7" x14ac:dyDescent="0.45">
      <c r="F1570" t="s">
        <v>804</v>
      </c>
      <c r="G1570" t="e">
        <f t="shared" si="38"/>
        <v>#VALUE!</v>
      </c>
    </row>
    <row r="1571" spans="6:7" x14ac:dyDescent="0.45">
      <c r="F1571" t="s">
        <v>804</v>
      </c>
      <c r="G1571" t="e">
        <f t="shared" si="38"/>
        <v>#VALUE!</v>
      </c>
    </row>
    <row r="1572" spans="6:7" x14ac:dyDescent="0.45">
      <c r="F1572" t="s">
        <v>804</v>
      </c>
      <c r="G1572" t="e">
        <f t="shared" si="38"/>
        <v>#VALUE!</v>
      </c>
    </row>
    <row r="1573" spans="6:7" x14ac:dyDescent="0.45">
      <c r="F1573" t="s">
        <v>804</v>
      </c>
      <c r="G1573" t="e">
        <f t="shared" si="38"/>
        <v>#VALUE!</v>
      </c>
    </row>
    <row r="1574" spans="6:7" x14ac:dyDescent="0.45">
      <c r="F1574" t="s">
        <v>804</v>
      </c>
      <c r="G1574" t="e">
        <f t="shared" si="38"/>
        <v>#VALUE!</v>
      </c>
    </row>
    <row r="1575" spans="6:7" x14ac:dyDescent="0.45">
      <c r="F1575" t="s">
        <v>804</v>
      </c>
      <c r="G1575" t="e">
        <f t="shared" si="38"/>
        <v>#VALUE!</v>
      </c>
    </row>
    <row r="1576" spans="6:7" x14ac:dyDescent="0.45">
      <c r="F1576" t="s">
        <v>804</v>
      </c>
      <c r="G1576" t="e">
        <f t="shared" si="38"/>
        <v>#VALUE!</v>
      </c>
    </row>
    <row r="1577" spans="6:7" x14ac:dyDescent="0.45">
      <c r="F1577" t="s">
        <v>804</v>
      </c>
      <c r="G1577" t="e">
        <f t="shared" si="38"/>
        <v>#VALUE!</v>
      </c>
    </row>
    <row r="1578" spans="6:7" x14ac:dyDescent="0.45">
      <c r="F1578" t="s">
        <v>804</v>
      </c>
      <c r="G1578" t="e">
        <f t="shared" si="38"/>
        <v>#VALUE!</v>
      </c>
    </row>
    <row r="1579" spans="6:7" x14ac:dyDescent="0.45">
      <c r="F1579" t="s">
        <v>804</v>
      </c>
      <c r="G1579" t="e">
        <f t="shared" si="38"/>
        <v>#VALUE!</v>
      </c>
    </row>
    <row r="1580" spans="6:7" x14ac:dyDescent="0.45">
      <c r="F1580" t="s">
        <v>804</v>
      </c>
      <c r="G1580" t="e">
        <f t="shared" si="38"/>
        <v>#VALUE!</v>
      </c>
    </row>
    <row r="1581" spans="6:7" x14ac:dyDescent="0.45">
      <c r="F1581" t="s">
        <v>804</v>
      </c>
      <c r="G1581" t="e">
        <f t="shared" si="38"/>
        <v>#VALUE!</v>
      </c>
    </row>
    <row r="1582" spans="6:7" x14ac:dyDescent="0.45">
      <c r="F1582" t="s">
        <v>804</v>
      </c>
      <c r="G1582" t="e">
        <f t="shared" si="38"/>
        <v>#VALUE!</v>
      </c>
    </row>
    <row r="1583" spans="6:7" x14ac:dyDescent="0.45">
      <c r="F1583" t="s">
        <v>804</v>
      </c>
      <c r="G1583" t="e">
        <f t="shared" si="38"/>
        <v>#VALUE!</v>
      </c>
    </row>
    <row r="1584" spans="6:7" x14ac:dyDescent="0.45">
      <c r="F1584" t="s">
        <v>804</v>
      </c>
      <c r="G1584" t="e">
        <f t="shared" si="38"/>
        <v>#VALUE!</v>
      </c>
    </row>
    <row r="1585" spans="6:7" x14ac:dyDescent="0.45">
      <c r="F1585" t="s">
        <v>804</v>
      </c>
      <c r="G1585" t="e">
        <f t="shared" si="38"/>
        <v>#VALUE!</v>
      </c>
    </row>
    <row r="1586" spans="6:7" x14ac:dyDescent="0.45">
      <c r="F1586" t="s">
        <v>804</v>
      </c>
      <c r="G1586" t="e">
        <f t="shared" si="38"/>
        <v>#VALUE!</v>
      </c>
    </row>
    <row r="1587" spans="6:7" x14ac:dyDescent="0.45">
      <c r="F1587" t="s">
        <v>804</v>
      </c>
      <c r="G1587" t="e">
        <f t="shared" si="38"/>
        <v>#VALUE!</v>
      </c>
    </row>
    <row r="1588" spans="6:7" x14ac:dyDescent="0.45">
      <c r="F1588" t="s">
        <v>804</v>
      </c>
      <c r="G1588" t="e">
        <f t="shared" si="38"/>
        <v>#VALUE!</v>
      </c>
    </row>
    <row r="1589" spans="6:7" x14ac:dyDescent="0.45">
      <c r="F1589" t="s">
        <v>804</v>
      </c>
      <c r="G1589" t="e">
        <f t="shared" si="38"/>
        <v>#VALUE!</v>
      </c>
    </row>
    <row r="1590" spans="6:7" x14ac:dyDescent="0.45">
      <c r="F1590" t="s">
        <v>804</v>
      </c>
      <c r="G1590" t="e">
        <f t="shared" si="38"/>
        <v>#VALUE!</v>
      </c>
    </row>
    <row r="1591" spans="6:7" x14ac:dyDescent="0.45">
      <c r="F1591" t="s">
        <v>804</v>
      </c>
      <c r="G1591" t="e">
        <f t="shared" si="38"/>
        <v>#VALUE!</v>
      </c>
    </row>
    <row r="1592" spans="6:7" x14ac:dyDescent="0.45">
      <c r="F1592" t="s">
        <v>804</v>
      </c>
      <c r="G1592" t="e">
        <f t="shared" si="38"/>
        <v>#VALUE!</v>
      </c>
    </row>
    <row r="1593" spans="6:7" x14ac:dyDescent="0.45">
      <c r="F1593" t="s">
        <v>804</v>
      </c>
      <c r="G1593" t="e">
        <f t="shared" si="38"/>
        <v>#VALUE!</v>
      </c>
    </row>
    <row r="1594" spans="6:7" x14ac:dyDescent="0.45">
      <c r="F1594" t="s">
        <v>804</v>
      </c>
      <c r="G1594" t="e">
        <f t="shared" si="38"/>
        <v>#VALUE!</v>
      </c>
    </row>
    <row r="1595" spans="6:7" x14ac:dyDescent="0.45">
      <c r="F1595" t="s">
        <v>804</v>
      </c>
      <c r="G1595" t="e">
        <f t="shared" si="38"/>
        <v>#VALUE!</v>
      </c>
    </row>
    <row r="1596" spans="6:7" x14ac:dyDescent="0.45">
      <c r="F1596" t="s">
        <v>804</v>
      </c>
      <c r="G1596" t="e">
        <f t="shared" si="38"/>
        <v>#VALUE!</v>
      </c>
    </row>
    <row r="1597" spans="6:7" x14ac:dyDescent="0.45">
      <c r="F1597" t="s">
        <v>804</v>
      </c>
      <c r="G1597" t="e">
        <f t="shared" si="38"/>
        <v>#VALUE!</v>
      </c>
    </row>
    <row r="1598" spans="6:7" x14ac:dyDescent="0.45">
      <c r="F1598" t="s">
        <v>804</v>
      </c>
      <c r="G1598" t="e">
        <f t="shared" si="38"/>
        <v>#VALUE!</v>
      </c>
    </row>
    <row r="1599" spans="6:7" x14ac:dyDescent="0.45">
      <c r="F1599" t="s">
        <v>804</v>
      </c>
      <c r="G1599" t="e">
        <f t="shared" si="38"/>
        <v>#VALUE!</v>
      </c>
    </row>
    <row r="1600" spans="6:7" x14ac:dyDescent="0.45">
      <c r="F1600" t="s">
        <v>804</v>
      </c>
      <c r="G1600" t="e">
        <f t="shared" si="38"/>
        <v>#VALUE!</v>
      </c>
    </row>
    <row r="1601" spans="6:7" x14ac:dyDescent="0.45">
      <c r="F1601" t="s">
        <v>804</v>
      </c>
      <c r="G1601" t="e">
        <f t="shared" si="38"/>
        <v>#VALUE!</v>
      </c>
    </row>
    <row r="1602" spans="6:7" x14ac:dyDescent="0.45">
      <c r="F1602" t="s">
        <v>804</v>
      </c>
      <c r="G1602" t="e">
        <f t="shared" si="38"/>
        <v>#VALUE!</v>
      </c>
    </row>
    <row r="1603" spans="6:7" x14ac:dyDescent="0.45">
      <c r="F1603" t="s">
        <v>804</v>
      </c>
      <c r="G1603" t="e">
        <f t="shared" ref="G1603:G1666" si="39">+F1603+0</f>
        <v>#VALUE!</v>
      </c>
    </row>
    <row r="1604" spans="6:7" x14ac:dyDescent="0.45">
      <c r="F1604" t="s">
        <v>804</v>
      </c>
      <c r="G1604" t="e">
        <f t="shared" si="39"/>
        <v>#VALUE!</v>
      </c>
    </row>
    <row r="1605" spans="6:7" x14ac:dyDescent="0.45">
      <c r="F1605" t="s">
        <v>804</v>
      </c>
      <c r="G1605" t="e">
        <f t="shared" si="39"/>
        <v>#VALUE!</v>
      </c>
    </row>
    <row r="1606" spans="6:7" x14ac:dyDescent="0.45">
      <c r="F1606" t="s">
        <v>804</v>
      </c>
      <c r="G1606" t="e">
        <f t="shared" si="39"/>
        <v>#VALUE!</v>
      </c>
    </row>
    <row r="1607" spans="6:7" x14ac:dyDescent="0.45">
      <c r="F1607" t="s">
        <v>804</v>
      </c>
      <c r="G1607" t="e">
        <f t="shared" si="39"/>
        <v>#VALUE!</v>
      </c>
    </row>
    <row r="1608" spans="6:7" x14ac:dyDescent="0.45">
      <c r="F1608" t="s">
        <v>804</v>
      </c>
      <c r="G1608" t="e">
        <f t="shared" si="39"/>
        <v>#VALUE!</v>
      </c>
    </row>
    <row r="1609" spans="6:7" x14ac:dyDescent="0.45">
      <c r="F1609" t="s">
        <v>804</v>
      </c>
      <c r="G1609" t="e">
        <f t="shared" si="39"/>
        <v>#VALUE!</v>
      </c>
    </row>
    <row r="1610" spans="6:7" x14ac:dyDescent="0.45">
      <c r="F1610" t="s">
        <v>804</v>
      </c>
      <c r="G1610" t="e">
        <f t="shared" si="39"/>
        <v>#VALUE!</v>
      </c>
    </row>
    <row r="1611" spans="6:7" x14ac:dyDescent="0.45">
      <c r="F1611" t="s">
        <v>804</v>
      </c>
      <c r="G1611" t="e">
        <f t="shared" si="39"/>
        <v>#VALUE!</v>
      </c>
    </row>
    <row r="1612" spans="6:7" x14ac:dyDescent="0.45">
      <c r="F1612" t="s">
        <v>804</v>
      </c>
      <c r="G1612" t="e">
        <f t="shared" si="39"/>
        <v>#VALUE!</v>
      </c>
    </row>
    <row r="1613" spans="6:7" x14ac:dyDescent="0.45">
      <c r="F1613" t="s">
        <v>804</v>
      </c>
      <c r="G1613" t="e">
        <f t="shared" si="39"/>
        <v>#VALUE!</v>
      </c>
    </row>
    <row r="1614" spans="6:7" x14ac:dyDescent="0.45">
      <c r="F1614" t="s">
        <v>804</v>
      </c>
      <c r="G1614" t="e">
        <f t="shared" si="39"/>
        <v>#VALUE!</v>
      </c>
    </row>
    <row r="1615" spans="6:7" x14ac:dyDescent="0.45">
      <c r="F1615" t="s">
        <v>804</v>
      </c>
      <c r="G1615" t="e">
        <f t="shared" si="39"/>
        <v>#VALUE!</v>
      </c>
    </row>
    <row r="1616" spans="6:7" x14ac:dyDescent="0.45">
      <c r="F1616" t="s">
        <v>804</v>
      </c>
      <c r="G1616" t="e">
        <f t="shared" si="39"/>
        <v>#VALUE!</v>
      </c>
    </row>
    <row r="1617" spans="6:7" x14ac:dyDescent="0.45">
      <c r="F1617" t="s">
        <v>804</v>
      </c>
      <c r="G1617" t="e">
        <f t="shared" si="39"/>
        <v>#VALUE!</v>
      </c>
    </row>
    <row r="1618" spans="6:7" x14ac:dyDescent="0.45">
      <c r="F1618" t="s">
        <v>804</v>
      </c>
      <c r="G1618" t="e">
        <f t="shared" si="39"/>
        <v>#VALUE!</v>
      </c>
    </row>
    <row r="1619" spans="6:7" x14ac:dyDescent="0.45">
      <c r="F1619" t="s">
        <v>804</v>
      </c>
      <c r="G1619" t="e">
        <f t="shared" si="39"/>
        <v>#VALUE!</v>
      </c>
    </row>
    <row r="1620" spans="6:7" x14ac:dyDescent="0.45">
      <c r="F1620" t="s">
        <v>804</v>
      </c>
      <c r="G1620" t="e">
        <f t="shared" si="39"/>
        <v>#VALUE!</v>
      </c>
    </row>
    <row r="1621" spans="6:7" x14ac:dyDescent="0.45">
      <c r="F1621" t="s">
        <v>804</v>
      </c>
      <c r="G1621" t="e">
        <f t="shared" si="39"/>
        <v>#VALUE!</v>
      </c>
    </row>
    <row r="1622" spans="6:7" x14ac:dyDescent="0.45">
      <c r="F1622" t="s">
        <v>804</v>
      </c>
      <c r="G1622" t="e">
        <f t="shared" si="39"/>
        <v>#VALUE!</v>
      </c>
    </row>
    <row r="1623" spans="6:7" x14ac:dyDescent="0.45">
      <c r="F1623" t="s">
        <v>804</v>
      </c>
      <c r="G1623" t="e">
        <f t="shared" si="39"/>
        <v>#VALUE!</v>
      </c>
    </row>
    <row r="1624" spans="6:7" x14ac:dyDescent="0.45">
      <c r="F1624" t="s">
        <v>804</v>
      </c>
      <c r="G1624" t="e">
        <f t="shared" si="39"/>
        <v>#VALUE!</v>
      </c>
    </row>
    <row r="1625" spans="6:7" x14ac:dyDescent="0.45">
      <c r="F1625" t="s">
        <v>804</v>
      </c>
      <c r="G1625" t="e">
        <f t="shared" si="39"/>
        <v>#VALUE!</v>
      </c>
    </row>
    <row r="1626" spans="6:7" x14ac:dyDescent="0.45">
      <c r="F1626" t="s">
        <v>804</v>
      </c>
      <c r="G1626" t="e">
        <f t="shared" si="39"/>
        <v>#VALUE!</v>
      </c>
    </row>
    <row r="1627" spans="6:7" x14ac:dyDescent="0.45">
      <c r="F1627" t="s">
        <v>804</v>
      </c>
      <c r="G1627" t="e">
        <f t="shared" si="39"/>
        <v>#VALUE!</v>
      </c>
    </row>
    <row r="1628" spans="6:7" x14ac:dyDescent="0.45">
      <c r="F1628" t="s">
        <v>804</v>
      </c>
      <c r="G1628" t="e">
        <f t="shared" si="39"/>
        <v>#VALUE!</v>
      </c>
    </row>
    <row r="1629" spans="6:7" x14ac:dyDescent="0.45">
      <c r="F1629" t="s">
        <v>804</v>
      </c>
      <c r="G1629" t="e">
        <f t="shared" si="39"/>
        <v>#VALUE!</v>
      </c>
    </row>
    <row r="1630" spans="6:7" x14ac:dyDescent="0.45">
      <c r="F1630" t="s">
        <v>804</v>
      </c>
      <c r="G1630" t="e">
        <f t="shared" si="39"/>
        <v>#VALUE!</v>
      </c>
    </row>
    <row r="1631" spans="6:7" x14ac:dyDescent="0.45">
      <c r="F1631" t="s">
        <v>804</v>
      </c>
      <c r="G1631" t="e">
        <f t="shared" si="39"/>
        <v>#VALUE!</v>
      </c>
    </row>
    <row r="1632" spans="6:7" x14ac:dyDescent="0.45">
      <c r="F1632" t="s">
        <v>804</v>
      </c>
      <c r="G1632" t="e">
        <f t="shared" si="39"/>
        <v>#VALUE!</v>
      </c>
    </row>
    <row r="1633" spans="6:7" x14ac:dyDescent="0.45">
      <c r="F1633" t="s">
        <v>804</v>
      </c>
      <c r="G1633" t="e">
        <f t="shared" si="39"/>
        <v>#VALUE!</v>
      </c>
    </row>
    <row r="1634" spans="6:7" x14ac:dyDescent="0.45">
      <c r="F1634" t="s">
        <v>804</v>
      </c>
      <c r="G1634" t="e">
        <f t="shared" si="39"/>
        <v>#VALUE!</v>
      </c>
    </row>
    <row r="1635" spans="6:7" x14ac:dyDescent="0.45">
      <c r="F1635" t="s">
        <v>804</v>
      </c>
      <c r="G1635" t="e">
        <f t="shared" si="39"/>
        <v>#VALUE!</v>
      </c>
    </row>
    <row r="1636" spans="6:7" x14ac:dyDescent="0.45">
      <c r="F1636" t="s">
        <v>804</v>
      </c>
      <c r="G1636" t="e">
        <f t="shared" si="39"/>
        <v>#VALUE!</v>
      </c>
    </row>
    <row r="1637" spans="6:7" x14ac:dyDescent="0.45">
      <c r="F1637" t="s">
        <v>804</v>
      </c>
      <c r="G1637" t="e">
        <f t="shared" si="39"/>
        <v>#VALUE!</v>
      </c>
    </row>
    <row r="1638" spans="6:7" x14ac:dyDescent="0.45">
      <c r="F1638" t="s">
        <v>804</v>
      </c>
      <c r="G1638" t="e">
        <f t="shared" si="39"/>
        <v>#VALUE!</v>
      </c>
    </row>
    <row r="1639" spans="6:7" x14ac:dyDescent="0.45">
      <c r="F1639" t="s">
        <v>804</v>
      </c>
      <c r="G1639" t="e">
        <f t="shared" si="39"/>
        <v>#VALUE!</v>
      </c>
    </row>
    <row r="1640" spans="6:7" x14ac:dyDescent="0.45">
      <c r="F1640" t="s">
        <v>804</v>
      </c>
      <c r="G1640" t="e">
        <f t="shared" si="39"/>
        <v>#VALUE!</v>
      </c>
    </row>
    <row r="1641" spans="6:7" x14ac:dyDescent="0.45">
      <c r="F1641" t="s">
        <v>804</v>
      </c>
      <c r="G1641" t="e">
        <f t="shared" si="39"/>
        <v>#VALUE!</v>
      </c>
    </row>
    <row r="1642" spans="6:7" x14ac:dyDescent="0.45">
      <c r="F1642" t="s">
        <v>804</v>
      </c>
      <c r="G1642" t="e">
        <f t="shared" si="39"/>
        <v>#VALUE!</v>
      </c>
    </row>
    <row r="1643" spans="6:7" x14ac:dyDescent="0.45">
      <c r="F1643" t="s">
        <v>804</v>
      </c>
      <c r="G1643" t="e">
        <f t="shared" si="39"/>
        <v>#VALUE!</v>
      </c>
    </row>
    <row r="1644" spans="6:7" x14ac:dyDescent="0.45">
      <c r="F1644" t="s">
        <v>804</v>
      </c>
      <c r="G1644" t="e">
        <f t="shared" si="39"/>
        <v>#VALUE!</v>
      </c>
    </row>
    <row r="1645" spans="6:7" x14ac:dyDescent="0.45">
      <c r="F1645" t="s">
        <v>804</v>
      </c>
      <c r="G1645" t="e">
        <f t="shared" si="39"/>
        <v>#VALUE!</v>
      </c>
    </row>
    <row r="1646" spans="6:7" x14ac:dyDescent="0.45">
      <c r="F1646" t="s">
        <v>804</v>
      </c>
      <c r="G1646" t="e">
        <f t="shared" si="39"/>
        <v>#VALUE!</v>
      </c>
    </row>
    <row r="1647" spans="6:7" x14ac:dyDescent="0.45">
      <c r="F1647" t="s">
        <v>804</v>
      </c>
      <c r="G1647" t="e">
        <f t="shared" si="39"/>
        <v>#VALUE!</v>
      </c>
    </row>
    <row r="1648" spans="6:7" x14ac:dyDescent="0.45">
      <c r="F1648" t="s">
        <v>804</v>
      </c>
      <c r="G1648" t="e">
        <f t="shared" si="39"/>
        <v>#VALUE!</v>
      </c>
    </row>
    <row r="1649" spans="6:7" x14ac:dyDescent="0.45">
      <c r="F1649" t="s">
        <v>804</v>
      </c>
      <c r="G1649" t="e">
        <f t="shared" si="39"/>
        <v>#VALUE!</v>
      </c>
    </row>
    <row r="1650" spans="6:7" x14ac:dyDescent="0.45">
      <c r="F1650" t="s">
        <v>804</v>
      </c>
      <c r="G1650" t="e">
        <f t="shared" si="39"/>
        <v>#VALUE!</v>
      </c>
    </row>
    <row r="1651" spans="6:7" x14ac:dyDescent="0.45">
      <c r="F1651" t="s">
        <v>804</v>
      </c>
      <c r="G1651" t="e">
        <f t="shared" si="39"/>
        <v>#VALUE!</v>
      </c>
    </row>
    <row r="1652" spans="6:7" x14ac:dyDescent="0.45">
      <c r="F1652" t="s">
        <v>804</v>
      </c>
      <c r="G1652" t="e">
        <f t="shared" si="39"/>
        <v>#VALUE!</v>
      </c>
    </row>
    <row r="1653" spans="6:7" x14ac:dyDescent="0.45">
      <c r="F1653" t="s">
        <v>804</v>
      </c>
      <c r="G1653" t="e">
        <f t="shared" si="39"/>
        <v>#VALUE!</v>
      </c>
    </row>
    <row r="1654" spans="6:7" x14ac:dyDescent="0.45">
      <c r="F1654" t="s">
        <v>804</v>
      </c>
      <c r="G1654" t="e">
        <f t="shared" si="39"/>
        <v>#VALUE!</v>
      </c>
    </row>
    <row r="1655" spans="6:7" x14ac:dyDescent="0.45">
      <c r="F1655" t="s">
        <v>804</v>
      </c>
      <c r="G1655" t="e">
        <f t="shared" si="39"/>
        <v>#VALUE!</v>
      </c>
    </row>
    <row r="1656" spans="6:7" x14ac:dyDescent="0.45">
      <c r="F1656" t="s">
        <v>804</v>
      </c>
      <c r="G1656" t="e">
        <f t="shared" si="39"/>
        <v>#VALUE!</v>
      </c>
    </row>
    <row r="1657" spans="6:7" x14ac:dyDescent="0.45">
      <c r="F1657" t="s">
        <v>804</v>
      </c>
      <c r="G1657" t="e">
        <f t="shared" si="39"/>
        <v>#VALUE!</v>
      </c>
    </row>
    <row r="1658" spans="6:7" x14ac:dyDescent="0.45">
      <c r="F1658" t="s">
        <v>804</v>
      </c>
      <c r="G1658" t="e">
        <f t="shared" si="39"/>
        <v>#VALUE!</v>
      </c>
    </row>
    <row r="1659" spans="6:7" x14ac:dyDescent="0.45">
      <c r="F1659" t="s">
        <v>804</v>
      </c>
      <c r="G1659" t="e">
        <f t="shared" si="39"/>
        <v>#VALUE!</v>
      </c>
    </row>
    <row r="1660" spans="6:7" x14ac:dyDescent="0.45">
      <c r="F1660" t="s">
        <v>804</v>
      </c>
      <c r="G1660" t="e">
        <f t="shared" si="39"/>
        <v>#VALUE!</v>
      </c>
    </row>
    <row r="1661" spans="6:7" x14ac:dyDescent="0.45">
      <c r="F1661" t="s">
        <v>804</v>
      </c>
      <c r="G1661" t="e">
        <f t="shared" si="39"/>
        <v>#VALUE!</v>
      </c>
    </row>
    <row r="1662" spans="6:7" x14ac:dyDescent="0.45">
      <c r="F1662" t="s">
        <v>804</v>
      </c>
      <c r="G1662" t="e">
        <f t="shared" si="39"/>
        <v>#VALUE!</v>
      </c>
    </row>
    <row r="1663" spans="6:7" x14ac:dyDescent="0.45">
      <c r="F1663" t="s">
        <v>804</v>
      </c>
      <c r="G1663" t="e">
        <f t="shared" si="39"/>
        <v>#VALUE!</v>
      </c>
    </row>
    <row r="1664" spans="6:7" x14ac:dyDescent="0.45">
      <c r="F1664" t="s">
        <v>804</v>
      </c>
      <c r="G1664" t="e">
        <f t="shared" si="39"/>
        <v>#VALUE!</v>
      </c>
    </row>
    <row r="1665" spans="6:7" x14ac:dyDescent="0.45">
      <c r="F1665" t="s">
        <v>804</v>
      </c>
      <c r="G1665" t="e">
        <f t="shared" si="39"/>
        <v>#VALUE!</v>
      </c>
    </row>
    <row r="1666" spans="6:7" x14ac:dyDescent="0.45">
      <c r="F1666" t="s">
        <v>804</v>
      </c>
      <c r="G1666" t="e">
        <f t="shared" si="39"/>
        <v>#VALUE!</v>
      </c>
    </row>
    <row r="1667" spans="6:7" x14ac:dyDescent="0.45">
      <c r="F1667" t="s">
        <v>804</v>
      </c>
      <c r="G1667" t="e">
        <f t="shared" ref="G1667:G1730" si="40">+F1667+0</f>
        <v>#VALUE!</v>
      </c>
    </row>
    <row r="1668" spans="6:7" x14ac:dyDescent="0.45">
      <c r="F1668" t="s">
        <v>804</v>
      </c>
      <c r="G1668" t="e">
        <f t="shared" si="40"/>
        <v>#VALUE!</v>
      </c>
    </row>
    <row r="1669" spans="6:7" x14ac:dyDescent="0.45">
      <c r="F1669" t="s">
        <v>804</v>
      </c>
      <c r="G1669" t="e">
        <f t="shared" si="40"/>
        <v>#VALUE!</v>
      </c>
    </row>
    <row r="1670" spans="6:7" x14ac:dyDescent="0.45">
      <c r="F1670" t="s">
        <v>804</v>
      </c>
      <c r="G1670" t="e">
        <f t="shared" si="40"/>
        <v>#VALUE!</v>
      </c>
    </row>
    <row r="1671" spans="6:7" x14ac:dyDescent="0.45">
      <c r="F1671" t="s">
        <v>804</v>
      </c>
      <c r="G1671" t="e">
        <f t="shared" si="40"/>
        <v>#VALUE!</v>
      </c>
    </row>
    <row r="1672" spans="6:7" x14ac:dyDescent="0.45">
      <c r="F1672" t="s">
        <v>804</v>
      </c>
      <c r="G1672" t="e">
        <f t="shared" si="40"/>
        <v>#VALUE!</v>
      </c>
    </row>
    <row r="1673" spans="6:7" x14ac:dyDescent="0.45">
      <c r="F1673" t="s">
        <v>804</v>
      </c>
      <c r="G1673" t="e">
        <f t="shared" si="40"/>
        <v>#VALUE!</v>
      </c>
    </row>
    <row r="1674" spans="6:7" x14ac:dyDescent="0.45">
      <c r="F1674" t="s">
        <v>804</v>
      </c>
      <c r="G1674" t="e">
        <f t="shared" si="40"/>
        <v>#VALUE!</v>
      </c>
    </row>
    <row r="1675" spans="6:7" x14ac:dyDescent="0.45">
      <c r="F1675" t="s">
        <v>804</v>
      </c>
      <c r="G1675" t="e">
        <f t="shared" si="40"/>
        <v>#VALUE!</v>
      </c>
    </row>
    <row r="1676" spans="6:7" x14ac:dyDescent="0.45">
      <c r="F1676" t="s">
        <v>804</v>
      </c>
      <c r="G1676" t="e">
        <f t="shared" si="40"/>
        <v>#VALUE!</v>
      </c>
    </row>
    <row r="1677" spans="6:7" x14ac:dyDescent="0.45">
      <c r="F1677" t="s">
        <v>804</v>
      </c>
      <c r="G1677" t="e">
        <f t="shared" si="40"/>
        <v>#VALUE!</v>
      </c>
    </row>
    <row r="1678" spans="6:7" x14ac:dyDescent="0.45">
      <c r="F1678" t="s">
        <v>804</v>
      </c>
      <c r="G1678" t="e">
        <f t="shared" si="40"/>
        <v>#VALUE!</v>
      </c>
    </row>
    <row r="1679" spans="6:7" x14ac:dyDescent="0.45">
      <c r="F1679" t="s">
        <v>804</v>
      </c>
      <c r="G1679" t="e">
        <f t="shared" si="40"/>
        <v>#VALUE!</v>
      </c>
    </row>
    <row r="1680" spans="6:7" x14ac:dyDescent="0.45">
      <c r="F1680" t="s">
        <v>804</v>
      </c>
      <c r="G1680" t="e">
        <f t="shared" si="40"/>
        <v>#VALUE!</v>
      </c>
    </row>
    <row r="1681" spans="6:7" x14ac:dyDescent="0.45">
      <c r="F1681" t="s">
        <v>804</v>
      </c>
      <c r="G1681" t="e">
        <f t="shared" si="40"/>
        <v>#VALUE!</v>
      </c>
    </row>
    <row r="1682" spans="6:7" x14ac:dyDescent="0.45">
      <c r="F1682" t="s">
        <v>804</v>
      </c>
      <c r="G1682" t="e">
        <f t="shared" si="40"/>
        <v>#VALUE!</v>
      </c>
    </row>
    <row r="1683" spans="6:7" x14ac:dyDescent="0.45">
      <c r="F1683" t="s">
        <v>804</v>
      </c>
      <c r="G1683" t="e">
        <f t="shared" si="40"/>
        <v>#VALUE!</v>
      </c>
    </row>
    <row r="1684" spans="6:7" x14ac:dyDescent="0.45">
      <c r="F1684" t="s">
        <v>804</v>
      </c>
      <c r="G1684" t="e">
        <f t="shared" si="40"/>
        <v>#VALUE!</v>
      </c>
    </row>
    <row r="1685" spans="6:7" x14ac:dyDescent="0.45">
      <c r="F1685" t="s">
        <v>804</v>
      </c>
      <c r="G1685" t="e">
        <f t="shared" si="40"/>
        <v>#VALUE!</v>
      </c>
    </row>
    <row r="1686" spans="6:7" x14ac:dyDescent="0.45">
      <c r="F1686" t="s">
        <v>804</v>
      </c>
      <c r="G1686" t="e">
        <f t="shared" si="40"/>
        <v>#VALUE!</v>
      </c>
    </row>
    <row r="1687" spans="6:7" x14ac:dyDescent="0.45">
      <c r="F1687" t="s">
        <v>804</v>
      </c>
      <c r="G1687" t="e">
        <f t="shared" si="40"/>
        <v>#VALUE!</v>
      </c>
    </row>
    <row r="1688" spans="6:7" x14ac:dyDescent="0.45">
      <c r="F1688" t="s">
        <v>804</v>
      </c>
      <c r="G1688" t="e">
        <f t="shared" si="40"/>
        <v>#VALUE!</v>
      </c>
    </row>
    <row r="1689" spans="6:7" x14ac:dyDescent="0.45">
      <c r="F1689" t="s">
        <v>804</v>
      </c>
      <c r="G1689" t="e">
        <f t="shared" si="40"/>
        <v>#VALUE!</v>
      </c>
    </row>
    <row r="1690" spans="6:7" x14ac:dyDescent="0.45">
      <c r="F1690" t="s">
        <v>804</v>
      </c>
      <c r="G1690" t="e">
        <f t="shared" si="40"/>
        <v>#VALUE!</v>
      </c>
    </row>
    <row r="1691" spans="6:7" x14ac:dyDescent="0.45">
      <c r="F1691" t="s">
        <v>804</v>
      </c>
      <c r="G1691" t="e">
        <f t="shared" si="40"/>
        <v>#VALUE!</v>
      </c>
    </row>
    <row r="1692" spans="6:7" x14ac:dyDescent="0.45">
      <c r="F1692" t="s">
        <v>804</v>
      </c>
      <c r="G1692" t="e">
        <f t="shared" si="40"/>
        <v>#VALUE!</v>
      </c>
    </row>
    <row r="1693" spans="6:7" x14ac:dyDescent="0.45">
      <c r="F1693" t="s">
        <v>804</v>
      </c>
      <c r="G1693" t="e">
        <f t="shared" si="40"/>
        <v>#VALUE!</v>
      </c>
    </row>
    <row r="1694" spans="6:7" x14ac:dyDescent="0.45">
      <c r="F1694" t="s">
        <v>804</v>
      </c>
      <c r="G1694" t="e">
        <f t="shared" si="40"/>
        <v>#VALUE!</v>
      </c>
    </row>
    <row r="1695" spans="6:7" x14ac:dyDescent="0.45">
      <c r="F1695" t="s">
        <v>804</v>
      </c>
      <c r="G1695" t="e">
        <f t="shared" si="40"/>
        <v>#VALUE!</v>
      </c>
    </row>
    <row r="1696" spans="6:7" x14ac:dyDescent="0.45">
      <c r="F1696" t="s">
        <v>804</v>
      </c>
      <c r="G1696" t="e">
        <f t="shared" si="40"/>
        <v>#VALUE!</v>
      </c>
    </row>
    <row r="1697" spans="6:7" x14ac:dyDescent="0.45">
      <c r="F1697" t="s">
        <v>804</v>
      </c>
      <c r="G1697" t="e">
        <f t="shared" si="40"/>
        <v>#VALUE!</v>
      </c>
    </row>
    <row r="1698" spans="6:7" x14ac:dyDescent="0.45">
      <c r="F1698" t="s">
        <v>804</v>
      </c>
      <c r="G1698" t="e">
        <f t="shared" si="40"/>
        <v>#VALUE!</v>
      </c>
    </row>
    <row r="1699" spans="6:7" x14ac:dyDescent="0.45">
      <c r="F1699" t="s">
        <v>804</v>
      </c>
      <c r="G1699" t="e">
        <f t="shared" si="40"/>
        <v>#VALUE!</v>
      </c>
    </row>
    <row r="1700" spans="6:7" x14ac:dyDescent="0.45">
      <c r="F1700" t="s">
        <v>804</v>
      </c>
      <c r="G1700" t="e">
        <f t="shared" si="40"/>
        <v>#VALUE!</v>
      </c>
    </row>
    <row r="1701" spans="6:7" x14ac:dyDescent="0.45">
      <c r="F1701" t="s">
        <v>804</v>
      </c>
      <c r="G1701" t="e">
        <f t="shared" si="40"/>
        <v>#VALUE!</v>
      </c>
    </row>
    <row r="1702" spans="6:7" x14ac:dyDescent="0.45">
      <c r="F1702" t="s">
        <v>804</v>
      </c>
      <c r="G1702" t="e">
        <f t="shared" si="40"/>
        <v>#VALUE!</v>
      </c>
    </row>
    <row r="1703" spans="6:7" x14ac:dyDescent="0.45">
      <c r="F1703" t="s">
        <v>804</v>
      </c>
      <c r="G1703" t="e">
        <f t="shared" si="40"/>
        <v>#VALUE!</v>
      </c>
    </row>
    <row r="1704" spans="6:7" x14ac:dyDescent="0.45">
      <c r="F1704" t="s">
        <v>804</v>
      </c>
      <c r="G1704" t="e">
        <f t="shared" si="40"/>
        <v>#VALUE!</v>
      </c>
    </row>
    <row r="1705" spans="6:7" x14ac:dyDescent="0.45">
      <c r="F1705" t="s">
        <v>804</v>
      </c>
      <c r="G1705" t="e">
        <f t="shared" si="40"/>
        <v>#VALUE!</v>
      </c>
    </row>
    <row r="1706" spans="6:7" x14ac:dyDescent="0.45">
      <c r="F1706" t="s">
        <v>804</v>
      </c>
      <c r="G1706" t="e">
        <f t="shared" si="40"/>
        <v>#VALUE!</v>
      </c>
    </row>
    <row r="1707" spans="6:7" x14ac:dyDescent="0.45">
      <c r="F1707" t="s">
        <v>804</v>
      </c>
      <c r="G1707" t="e">
        <f t="shared" si="40"/>
        <v>#VALUE!</v>
      </c>
    </row>
    <row r="1708" spans="6:7" x14ac:dyDescent="0.45">
      <c r="F1708" t="s">
        <v>804</v>
      </c>
      <c r="G1708" t="e">
        <f t="shared" si="40"/>
        <v>#VALUE!</v>
      </c>
    </row>
    <row r="1709" spans="6:7" x14ac:dyDescent="0.45">
      <c r="F1709" t="s">
        <v>804</v>
      </c>
      <c r="G1709" t="e">
        <f t="shared" si="40"/>
        <v>#VALUE!</v>
      </c>
    </row>
    <row r="1710" spans="6:7" x14ac:dyDescent="0.45">
      <c r="F1710" t="s">
        <v>804</v>
      </c>
      <c r="G1710" t="e">
        <f t="shared" si="40"/>
        <v>#VALUE!</v>
      </c>
    </row>
    <row r="1711" spans="6:7" x14ac:dyDescent="0.45">
      <c r="F1711" t="s">
        <v>804</v>
      </c>
      <c r="G1711" t="e">
        <f t="shared" si="40"/>
        <v>#VALUE!</v>
      </c>
    </row>
    <row r="1712" spans="6:7" x14ac:dyDescent="0.45">
      <c r="F1712" t="s">
        <v>804</v>
      </c>
      <c r="G1712" t="e">
        <f t="shared" si="40"/>
        <v>#VALUE!</v>
      </c>
    </row>
    <row r="1713" spans="6:7" x14ac:dyDescent="0.45">
      <c r="F1713" t="s">
        <v>804</v>
      </c>
      <c r="G1713" t="e">
        <f t="shared" si="40"/>
        <v>#VALUE!</v>
      </c>
    </row>
    <row r="1714" spans="6:7" x14ac:dyDescent="0.45">
      <c r="F1714" t="s">
        <v>804</v>
      </c>
      <c r="G1714" t="e">
        <f t="shared" si="40"/>
        <v>#VALUE!</v>
      </c>
    </row>
    <row r="1715" spans="6:7" x14ac:dyDescent="0.45">
      <c r="F1715" t="s">
        <v>804</v>
      </c>
      <c r="G1715" t="e">
        <f t="shared" si="40"/>
        <v>#VALUE!</v>
      </c>
    </row>
    <row r="1716" spans="6:7" x14ac:dyDescent="0.45">
      <c r="F1716" t="s">
        <v>804</v>
      </c>
      <c r="G1716" t="e">
        <f t="shared" si="40"/>
        <v>#VALUE!</v>
      </c>
    </row>
    <row r="1717" spans="6:7" x14ac:dyDescent="0.45">
      <c r="F1717" t="s">
        <v>804</v>
      </c>
      <c r="G1717" t="e">
        <f t="shared" si="40"/>
        <v>#VALUE!</v>
      </c>
    </row>
    <row r="1718" spans="6:7" x14ac:dyDescent="0.45">
      <c r="F1718" t="s">
        <v>804</v>
      </c>
      <c r="G1718" t="e">
        <f t="shared" si="40"/>
        <v>#VALUE!</v>
      </c>
    </row>
    <row r="1719" spans="6:7" x14ac:dyDescent="0.45">
      <c r="F1719" t="s">
        <v>804</v>
      </c>
      <c r="G1719" t="e">
        <f t="shared" si="40"/>
        <v>#VALUE!</v>
      </c>
    </row>
    <row r="1720" spans="6:7" x14ac:dyDescent="0.45">
      <c r="F1720" t="s">
        <v>804</v>
      </c>
      <c r="G1720" t="e">
        <f t="shared" si="40"/>
        <v>#VALUE!</v>
      </c>
    </row>
    <row r="1721" spans="6:7" x14ac:dyDescent="0.45">
      <c r="F1721" t="s">
        <v>804</v>
      </c>
      <c r="G1721" t="e">
        <f t="shared" si="40"/>
        <v>#VALUE!</v>
      </c>
    </row>
    <row r="1722" spans="6:7" x14ac:dyDescent="0.45">
      <c r="F1722" t="s">
        <v>804</v>
      </c>
      <c r="G1722" t="e">
        <f t="shared" si="40"/>
        <v>#VALUE!</v>
      </c>
    </row>
    <row r="1723" spans="6:7" x14ac:dyDescent="0.45">
      <c r="F1723" t="s">
        <v>804</v>
      </c>
      <c r="G1723" t="e">
        <f t="shared" si="40"/>
        <v>#VALUE!</v>
      </c>
    </row>
    <row r="1724" spans="6:7" x14ac:dyDescent="0.45">
      <c r="F1724" t="s">
        <v>804</v>
      </c>
      <c r="G1724" t="e">
        <f t="shared" si="40"/>
        <v>#VALUE!</v>
      </c>
    </row>
    <row r="1725" spans="6:7" x14ac:dyDescent="0.45">
      <c r="F1725" t="s">
        <v>804</v>
      </c>
      <c r="G1725" t="e">
        <f t="shared" si="40"/>
        <v>#VALUE!</v>
      </c>
    </row>
    <row r="1726" spans="6:7" x14ac:dyDescent="0.45">
      <c r="F1726" t="s">
        <v>804</v>
      </c>
      <c r="G1726" t="e">
        <f t="shared" si="40"/>
        <v>#VALUE!</v>
      </c>
    </row>
    <row r="1727" spans="6:7" x14ac:dyDescent="0.45">
      <c r="F1727" t="s">
        <v>804</v>
      </c>
      <c r="G1727" t="e">
        <f t="shared" si="40"/>
        <v>#VALUE!</v>
      </c>
    </row>
    <row r="1728" spans="6:7" x14ac:dyDescent="0.45">
      <c r="F1728" t="s">
        <v>804</v>
      </c>
      <c r="G1728" t="e">
        <f t="shared" si="40"/>
        <v>#VALUE!</v>
      </c>
    </row>
    <row r="1729" spans="6:7" x14ac:dyDescent="0.45">
      <c r="F1729" t="s">
        <v>804</v>
      </c>
      <c r="G1729" t="e">
        <f t="shared" si="40"/>
        <v>#VALUE!</v>
      </c>
    </row>
    <row r="1730" spans="6:7" x14ac:dyDescent="0.45">
      <c r="F1730" t="s">
        <v>804</v>
      </c>
      <c r="G1730" t="e">
        <f t="shared" si="40"/>
        <v>#VALUE!</v>
      </c>
    </row>
    <row r="1731" spans="6:7" x14ac:dyDescent="0.45">
      <c r="F1731" t="s">
        <v>804</v>
      </c>
      <c r="G1731" t="e">
        <f t="shared" ref="G1731:G1794" si="41">+F1731+0</f>
        <v>#VALUE!</v>
      </c>
    </row>
    <row r="1732" spans="6:7" x14ac:dyDescent="0.45">
      <c r="F1732" t="s">
        <v>804</v>
      </c>
      <c r="G1732" t="e">
        <f t="shared" si="41"/>
        <v>#VALUE!</v>
      </c>
    </row>
    <row r="1733" spans="6:7" x14ac:dyDescent="0.45">
      <c r="F1733" t="s">
        <v>804</v>
      </c>
      <c r="G1733" t="e">
        <f t="shared" si="41"/>
        <v>#VALUE!</v>
      </c>
    </row>
    <row r="1734" spans="6:7" x14ac:dyDescent="0.45">
      <c r="F1734" t="s">
        <v>804</v>
      </c>
      <c r="G1734" t="e">
        <f t="shared" si="41"/>
        <v>#VALUE!</v>
      </c>
    </row>
    <row r="1735" spans="6:7" x14ac:dyDescent="0.45">
      <c r="F1735" t="s">
        <v>804</v>
      </c>
      <c r="G1735" t="e">
        <f t="shared" si="41"/>
        <v>#VALUE!</v>
      </c>
    </row>
    <row r="1736" spans="6:7" x14ac:dyDescent="0.45">
      <c r="F1736" t="s">
        <v>804</v>
      </c>
      <c r="G1736" t="e">
        <f t="shared" si="41"/>
        <v>#VALUE!</v>
      </c>
    </row>
    <row r="1737" spans="6:7" x14ac:dyDescent="0.45">
      <c r="F1737" t="s">
        <v>804</v>
      </c>
      <c r="G1737" t="e">
        <f t="shared" si="41"/>
        <v>#VALUE!</v>
      </c>
    </row>
    <row r="1738" spans="6:7" x14ac:dyDescent="0.45">
      <c r="F1738" t="s">
        <v>804</v>
      </c>
      <c r="G1738" t="e">
        <f t="shared" si="41"/>
        <v>#VALUE!</v>
      </c>
    </row>
    <row r="1739" spans="6:7" x14ac:dyDescent="0.45">
      <c r="F1739" t="s">
        <v>804</v>
      </c>
      <c r="G1739" t="e">
        <f t="shared" si="41"/>
        <v>#VALUE!</v>
      </c>
    </row>
    <row r="1740" spans="6:7" x14ac:dyDescent="0.45">
      <c r="F1740" t="s">
        <v>804</v>
      </c>
      <c r="G1740" t="e">
        <f t="shared" si="41"/>
        <v>#VALUE!</v>
      </c>
    </row>
    <row r="1741" spans="6:7" x14ac:dyDescent="0.45">
      <c r="F1741" t="s">
        <v>804</v>
      </c>
      <c r="G1741" t="e">
        <f t="shared" si="41"/>
        <v>#VALUE!</v>
      </c>
    </row>
    <row r="1742" spans="6:7" x14ac:dyDescent="0.45">
      <c r="F1742" t="s">
        <v>804</v>
      </c>
      <c r="G1742" t="e">
        <f t="shared" si="41"/>
        <v>#VALUE!</v>
      </c>
    </row>
    <row r="1743" spans="6:7" x14ac:dyDescent="0.45">
      <c r="F1743" t="s">
        <v>804</v>
      </c>
      <c r="G1743" t="e">
        <f t="shared" si="41"/>
        <v>#VALUE!</v>
      </c>
    </row>
    <row r="1744" spans="6:7" x14ac:dyDescent="0.45">
      <c r="F1744" t="s">
        <v>804</v>
      </c>
      <c r="G1744" t="e">
        <f t="shared" si="41"/>
        <v>#VALUE!</v>
      </c>
    </row>
    <row r="1745" spans="6:7" x14ac:dyDescent="0.45">
      <c r="F1745" t="s">
        <v>804</v>
      </c>
      <c r="G1745" t="e">
        <f t="shared" si="41"/>
        <v>#VALUE!</v>
      </c>
    </row>
    <row r="1746" spans="6:7" x14ac:dyDescent="0.45">
      <c r="F1746" t="s">
        <v>804</v>
      </c>
      <c r="G1746" t="e">
        <f t="shared" si="41"/>
        <v>#VALUE!</v>
      </c>
    </row>
    <row r="1747" spans="6:7" x14ac:dyDescent="0.45">
      <c r="F1747" t="s">
        <v>804</v>
      </c>
      <c r="G1747" t="e">
        <f t="shared" si="41"/>
        <v>#VALUE!</v>
      </c>
    </row>
    <row r="1748" spans="6:7" x14ac:dyDescent="0.45">
      <c r="F1748" t="s">
        <v>804</v>
      </c>
      <c r="G1748" t="e">
        <f t="shared" si="41"/>
        <v>#VALUE!</v>
      </c>
    </row>
    <row r="1749" spans="6:7" x14ac:dyDescent="0.45">
      <c r="F1749" t="s">
        <v>804</v>
      </c>
      <c r="G1749" t="e">
        <f t="shared" si="41"/>
        <v>#VALUE!</v>
      </c>
    </row>
    <row r="1750" spans="6:7" x14ac:dyDescent="0.45">
      <c r="F1750" t="s">
        <v>804</v>
      </c>
      <c r="G1750" t="e">
        <f t="shared" si="41"/>
        <v>#VALUE!</v>
      </c>
    </row>
    <row r="1751" spans="6:7" x14ac:dyDescent="0.45">
      <c r="F1751" t="s">
        <v>804</v>
      </c>
      <c r="G1751" t="e">
        <f t="shared" si="41"/>
        <v>#VALUE!</v>
      </c>
    </row>
    <row r="1752" spans="6:7" x14ac:dyDescent="0.45">
      <c r="F1752" t="s">
        <v>804</v>
      </c>
      <c r="G1752" t="e">
        <f t="shared" si="41"/>
        <v>#VALUE!</v>
      </c>
    </row>
    <row r="1753" spans="6:7" x14ac:dyDescent="0.45">
      <c r="F1753" t="s">
        <v>804</v>
      </c>
      <c r="G1753" t="e">
        <f t="shared" si="41"/>
        <v>#VALUE!</v>
      </c>
    </row>
    <row r="1754" spans="6:7" x14ac:dyDescent="0.45">
      <c r="F1754" t="s">
        <v>804</v>
      </c>
      <c r="G1754" t="e">
        <f t="shared" si="41"/>
        <v>#VALUE!</v>
      </c>
    </row>
    <row r="1755" spans="6:7" x14ac:dyDescent="0.45">
      <c r="F1755" t="s">
        <v>804</v>
      </c>
      <c r="G1755" t="e">
        <f t="shared" si="41"/>
        <v>#VALUE!</v>
      </c>
    </row>
    <row r="1756" spans="6:7" x14ac:dyDescent="0.45">
      <c r="F1756" t="s">
        <v>804</v>
      </c>
      <c r="G1756" t="e">
        <f t="shared" si="41"/>
        <v>#VALUE!</v>
      </c>
    </row>
    <row r="1757" spans="6:7" x14ac:dyDescent="0.45">
      <c r="F1757" t="s">
        <v>804</v>
      </c>
      <c r="G1757" t="e">
        <f t="shared" si="41"/>
        <v>#VALUE!</v>
      </c>
    </row>
    <row r="1758" spans="6:7" x14ac:dyDescent="0.45">
      <c r="F1758" t="s">
        <v>804</v>
      </c>
      <c r="G1758" t="e">
        <f t="shared" si="41"/>
        <v>#VALUE!</v>
      </c>
    </row>
    <row r="1759" spans="6:7" x14ac:dyDescent="0.45">
      <c r="F1759" t="s">
        <v>804</v>
      </c>
      <c r="G1759" t="e">
        <f t="shared" si="41"/>
        <v>#VALUE!</v>
      </c>
    </row>
    <row r="1760" spans="6:7" x14ac:dyDescent="0.45">
      <c r="F1760" t="s">
        <v>804</v>
      </c>
      <c r="G1760" t="e">
        <f t="shared" si="41"/>
        <v>#VALUE!</v>
      </c>
    </row>
    <row r="1761" spans="6:7" x14ac:dyDescent="0.45">
      <c r="F1761" t="s">
        <v>804</v>
      </c>
      <c r="G1761" t="e">
        <f t="shared" si="41"/>
        <v>#VALUE!</v>
      </c>
    </row>
    <row r="1762" spans="6:7" x14ac:dyDescent="0.45">
      <c r="F1762" t="s">
        <v>804</v>
      </c>
      <c r="G1762" t="e">
        <f t="shared" si="41"/>
        <v>#VALUE!</v>
      </c>
    </row>
    <row r="1763" spans="6:7" x14ac:dyDescent="0.45">
      <c r="F1763" t="s">
        <v>804</v>
      </c>
      <c r="G1763" t="e">
        <f t="shared" si="41"/>
        <v>#VALUE!</v>
      </c>
    </row>
    <row r="1764" spans="6:7" x14ac:dyDescent="0.45">
      <c r="F1764" t="s">
        <v>804</v>
      </c>
      <c r="G1764" t="e">
        <f t="shared" si="41"/>
        <v>#VALUE!</v>
      </c>
    </row>
    <row r="1765" spans="6:7" x14ac:dyDescent="0.45">
      <c r="F1765" t="s">
        <v>804</v>
      </c>
      <c r="G1765" t="e">
        <f t="shared" si="41"/>
        <v>#VALUE!</v>
      </c>
    </row>
    <row r="1766" spans="6:7" x14ac:dyDescent="0.45">
      <c r="F1766" t="s">
        <v>804</v>
      </c>
      <c r="G1766" t="e">
        <f t="shared" si="41"/>
        <v>#VALUE!</v>
      </c>
    </row>
    <row r="1767" spans="6:7" x14ac:dyDescent="0.45">
      <c r="F1767" t="s">
        <v>804</v>
      </c>
      <c r="G1767" t="e">
        <f t="shared" si="41"/>
        <v>#VALUE!</v>
      </c>
    </row>
    <row r="1768" spans="6:7" x14ac:dyDescent="0.45">
      <c r="F1768" t="s">
        <v>804</v>
      </c>
      <c r="G1768" t="e">
        <f t="shared" si="41"/>
        <v>#VALUE!</v>
      </c>
    </row>
    <row r="1769" spans="6:7" x14ac:dyDescent="0.45">
      <c r="F1769" t="s">
        <v>804</v>
      </c>
      <c r="G1769" t="e">
        <f t="shared" si="41"/>
        <v>#VALUE!</v>
      </c>
    </row>
    <row r="1770" spans="6:7" x14ac:dyDescent="0.45">
      <c r="F1770" t="s">
        <v>804</v>
      </c>
      <c r="G1770" t="e">
        <f t="shared" si="41"/>
        <v>#VALUE!</v>
      </c>
    </row>
    <row r="1771" spans="6:7" x14ac:dyDescent="0.45">
      <c r="F1771" t="s">
        <v>804</v>
      </c>
      <c r="G1771" t="e">
        <f t="shared" si="41"/>
        <v>#VALUE!</v>
      </c>
    </row>
    <row r="1772" spans="6:7" x14ac:dyDescent="0.45">
      <c r="F1772" t="s">
        <v>804</v>
      </c>
      <c r="G1772" t="e">
        <f t="shared" si="41"/>
        <v>#VALUE!</v>
      </c>
    </row>
    <row r="1773" spans="6:7" x14ac:dyDescent="0.45">
      <c r="F1773" t="s">
        <v>804</v>
      </c>
      <c r="G1773" t="e">
        <f t="shared" si="41"/>
        <v>#VALUE!</v>
      </c>
    </row>
    <row r="1774" spans="6:7" x14ac:dyDescent="0.45">
      <c r="F1774" t="s">
        <v>804</v>
      </c>
      <c r="G1774" t="e">
        <f t="shared" si="41"/>
        <v>#VALUE!</v>
      </c>
    </row>
    <row r="1775" spans="6:7" x14ac:dyDescent="0.45">
      <c r="F1775" t="s">
        <v>804</v>
      </c>
      <c r="G1775" t="e">
        <f t="shared" si="41"/>
        <v>#VALUE!</v>
      </c>
    </row>
    <row r="1776" spans="6:7" x14ac:dyDescent="0.45">
      <c r="F1776" t="s">
        <v>804</v>
      </c>
      <c r="G1776" t="e">
        <f t="shared" si="41"/>
        <v>#VALUE!</v>
      </c>
    </row>
    <row r="1777" spans="6:7" x14ac:dyDescent="0.45">
      <c r="F1777" t="s">
        <v>804</v>
      </c>
      <c r="G1777" t="e">
        <f t="shared" si="41"/>
        <v>#VALUE!</v>
      </c>
    </row>
    <row r="1778" spans="6:7" x14ac:dyDescent="0.45">
      <c r="F1778" t="s">
        <v>804</v>
      </c>
      <c r="G1778" t="e">
        <f t="shared" si="41"/>
        <v>#VALUE!</v>
      </c>
    </row>
    <row r="1779" spans="6:7" x14ac:dyDescent="0.45">
      <c r="F1779" t="s">
        <v>804</v>
      </c>
      <c r="G1779" t="e">
        <f t="shared" si="41"/>
        <v>#VALUE!</v>
      </c>
    </row>
    <row r="1780" spans="6:7" x14ac:dyDescent="0.45">
      <c r="F1780" t="s">
        <v>804</v>
      </c>
      <c r="G1780" t="e">
        <f t="shared" si="41"/>
        <v>#VALUE!</v>
      </c>
    </row>
    <row r="1781" spans="6:7" x14ac:dyDescent="0.45">
      <c r="F1781" t="s">
        <v>804</v>
      </c>
      <c r="G1781" t="e">
        <f t="shared" si="41"/>
        <v>#VALUE!</v>
      </c>
    </row>
    <row r="1782" spans="6:7" x14ac:dyDescent="0.45">
      <c r="F1782" t="s">
        <v>804</v>
      </c>
      <c r="G1782" t="e">
        <f t="shared" si="41"/>
        <v>#VALUE!</v>
      </c>
    </row>
    <row r="1783" spans="6:7" x14ac:dyDescent="0.45">
      <c r="F1783" t="s">
        <v>804</v>
      </c>
      <c r="G1783" t="e">
        <f t="shared" si="41"/>
        <v>#VALUE!</v>
      </c>
    </row>
    <row r="1784" spans="6:7" x14ac:dyDescent="0.45">
      <c r="F1784" t="s">
        <v>804</v>
      </c>
      <c r="G1784" t="e">
        <f t="shared" si="41"/>
        <v>#VALUE!</v>
      </c>
    </row>
    <row r="1785" spans="6:7" x14ac:dyDescent="0.45">
      <c r="F1785" t="s">
        <v>804</v>
      </c>
      <c r="G1785" t="e">
        <f t="shared" si="41"/>
        <v>#VALUE!</v>
      </c>
    </row>
    <row r="1786" spans="6:7" x14ac:dyDescent="0.45">
      <c r="F1786" t="s">
        <v>804</v>
      </c>
      <c r="G1786" t="e">
        <f t="shared" si="41"/>
        <v>#VALUE!</v>
      </c>
    </row>
    <row r="1787" spans="6:7" x14ac:dyDescent="0.45">
      <c r="F1787" t="s">
        <v>804</v>
      </c>
      <c r="G1787" t="e">
        <f t="shared" si="41"/>
        <v>#VALUE!</v>
      </c>
    </row>
    <row r="1788" spans="6:7" x14ac:dyDescent="0.45">
      <c r="F1788" t="s">
        <v>804</v>
      </c>
      <c r="G1788" t="e">
        <f t="shared" si="41"/>
        <v>#VALUE!</v>
      </c>
    </row>
    <row r="1789" spans="6:7" x14ac:dyDescent="0.45">
      <c r="F1789" t="s">
        <v>804</v>
      </c>
      <c r="G1789" t="e">
        <f t="shared" si="41"/>
        <v>#VALUE!</v>
      </c>
    </row>
    <row r="1790" spans="6:7" x14ac:dyDescent="0.45">
      <c r="F1790" t="s">
        <v>804</v>
      </c>
      <c r="G1790" t="e">
        <f t="shared" si="41"/>
        <v>#VALUE!</v>
      </c>
    </row>
    <row r="1791" spans="6:7" x14ac:dyDescent="0.45">
      <c r="F1791" t="s">
        <v>804</v>
      </c>
      <c r="G1791" t="e">
        <f t="shared" si="41"/>
        <v>#VALUE!</v>
      </c>
    </row>
    <row r="1792" spans="6:7" x14ac:dyDescent="0.45">
      <c r="F1792" t="s">
        <v>804</v>
      </c>
      <c r="G1792" t="e">
        <f t="shared" si="41"/>
        <v>#VALUE!</v>
      </c>
    </row>
    <row r="1793" spans="6:7" x14ac:dyDescent="0.45">
      <c r="F1793" t="s">
        <v>804</v>
      </c>
      <c r="G1793" t="e">
        <f t="shared" si="41"/>
        <v>#VALUE!</v>
      </c>
    </row>
    <row r="1794" spans="6:7" x14ac:dyDescent="0.45">
      <c r="F1794" t="s">
        <v>804</v>
      </c>
      <c r="G1794" t="e">
        <f t="shared" si="41"/>
        <v>#VALUE!</v>
      </c>
    </row>
    <row r="1795" spans="6:7" x14ac:dyDescent="0.45">
      <c r="F1795" t="s">
        <v>804</v>
      </c>
      <c r="G1795" t="e">
        <f t="shared" ref="G1795:G1858" si="42">+F1795+0</f>
        <v>#VALUE!</v>
      </c>
    </row>
    <row r="1796" spans="6:7" x14ac:dyDescent="0.45">
      <c r="F1796" t="s">
        <v>804</v>
      </c>
      <c r="G1796" t="e">
        <f t="shared" si="42"/>
        <v>#VALUE!</v>
      </c>
    </row>
    <row r="1797" spans="6:7" x14ac:dyDescent="0.45">
      <c r="F1797" t="s">
        <v>804</v>
      </c>
      <c r="G1797" t="e">
        <f t="shared" si="42"/>
        <v>#VALUE!</v>
      </c>
    </row>
    <row r="1798" spans="6:7" x14ac:dyDescent="0.45">
      <c r="F1798" t="s">
        <v>804</v>
      </c>
      <c r="G1798" t="e">
        <f t="shared" si="42"/>
        <v>#VALUE!</v>
      </c>
    </row>
    <row r="1799" spans="6:7" x14ac:dyDescent="0.45">
      <c r="F1799" t="s">
        <v>804</v>
      </c>
      <c r="G1799" t="e">
        <f t="shared" si="42"/>
        <v>#VALUE!</v>
      </c>
    </row>
    <row r="1800" spans="6:7" x14ac:dyDescent="0.45">
      <c r="F1800" t="s">
        <v>804</v>
      </c>
      <c r="G1800" t="e">
        <f t="shared" si="42"/>
        <v>#VALUE!</v>
      </c>
    </row>
    <row r="1801" spans="6:7" x14ac:dyDescent="0.45">
      <c r="F1801" t="s">
        <v>804</v>
      </c>
      <c r="G1801" t="e">
        <f t="shared" si="42"/>
        <v>#VALUE!</v>
      </c>
    </row>
    <row r="1802" spans="6:7" x14ac:dyDescent="0.45">
      <c r="F1802" t="s">
        <v>804</v>
      </c>
      <c r="G1802" t="e">
        <f t="shared" si="42"/>
        <v>#VALUE!</v>
      </c>
    </row>
    <row r="1803" spans="6:7" x14ac:dyDescent="0.45">
      <c r="F1803" t="s">
        <v>804</v>
      </c>
      <c r="G1803" t="e">
        <f t="shared" si="42"/>
        <v>#VALUE!</v>
      </c>
    </row>
    <row r="1804" spans="6:7" x14ac:dyDescent="0.45">
      <c r="F1804" t="s">
        <v>804</v>
      </c>
      <c r="G1804" t="e">
        <f t="shared" si="42"/>
        <v>#VALUE!</v>
      </c>
    </row>
    <row r="1805" spans="6:7" x14ac:dyDescent="0.45">
      <c r="F1805" t="s">
        <v>804</v>
      </c>
      <c r="G1805" t="e">
        <f t="shared" si="42"/>
        <v>#VALUE!</v>
      </c>
    </row>
    <row r="1806" spans="6:7" x14ac:dyDescent="0.45">
      <c r="F1806" t="s">
        <v>804</v>
      </c>
      <c r="G1806" t="e">
        <f t="shared" si="42"/>
        <v>#VALUE!</v>
      </c>
    </row>
    <row r="1807" spans="6:7" x14ac:dyDescent="0.45">
      <c r="F1807" t="s">
        <v>804</v>
      </c>
      <c r="G1807" t="e">
        <f t="shared" si="42"/>
        <v>#VALUE!</v>
      </c>
    </row>
    <row r="1808" spans="6:7" x14ac:dyDescent="0.45">
      <c r="F1808" t="s">
        <v>804</v>
      </c>
      <c r="G1808" t="e">
        <f t="shared" si="42"/>
        <v>#VALUE!</v>
      </c>
    </row>
    <row r="1809" spans="6:7" x14ac:dyDescent="0.45">
      <c r="F1809" t="s">
        <v>804</v>
      </c>
      <c r="G1809" t="e">
        <f t="shared" si="42"/>
        <v>#VALUE!</v>
      </c>
    </row>
    <row r="1810" spans="6:7" x14ac:dyDescent="0.45">
      <c r="F1810" t="s">
        <v>804</v>
      </c>
      <c r="G1810" t="e">
        <f t="shared" si="42"/>
        <v>#VALUE!</v>
      </c>
    </row>
    <row r="1811" spans="6:7" x14ac:dyDescent="0.45">
      <c r="F1811" t="s">
        <v>804</v>
      </c>
      <c r="G1811" t="e">
        <f t="shared" si="42"/>
        <v>#VALUE!</v>
      </c>
    </row>
    <row r="1812" spans="6:7" x14ac:dyDescent="0.45">
      <c r="F1812" t="s">
        <v>804</v>
      </c>
      <c r="G1812" t="e">
        <f t="shared" si="42"/>
        <v>#VALUE!</v>
      </c>
    </row>
    <row r="1813" spans="6:7" x14ac:dyDescent="0.45">
      <c r="F1813" t="s">
        <v>804</v>
      </c>
      <c r="G1813" t="e">
        <f t="shared" si="42"/>
        <v>#VALUE!</v>
      </c>
    </row>
    <row r="1814" spans="6:7" x14ac:dyDescent="0.45">
      <c r="F1814" t="s">
        <v>804</v>
      </c>
      <c r="G1814" t="e">
        <f t="shared" si="42"/>
        <v>#VALUE!</v>
      </c>
    </row>
    <row r="1815" spans="6:7" x14ac:dyDescent="0.45">
      <c r="F1815" t="s">
        <v>804</v>
      </c>
      <c r="G1815" t="e">
        <f t="shared" si="42"/>
        <v>#VALUE!</v>
      </c>
    </row>
    <row r="1816" spans="6:7" x14ac:dyDescent="0.45">
      <c r="F1816" t="s">
        <v>804</v>
      </c>
      <c r="G1816" t="e">
        <f t="shared" si="42"/>
        <v>#VALUE!</v>
      </c>
    </row>
    <row r="1817" spans="6:7" x14ac:dyDescent="0.45">
      <c r="F1817" t="s">
        <v>804</v>
      </c>
      <c r="G1817" t="e">
        <f t="shared" si="42"/>
        <v>#VALUE!</v>
      </c>
    </row>
    <row r="1818" spans="6:7" x14ac:dyDescent="0.45">
      <c r="F1818" t="s">
        <v>804</v>
      </c>
      <c r="G1818" t="e">
        <f t="shared" si="42"/>
        <v>#VALUE!</v>
      </c>
    </row>
    <row r="1819" spans="6:7" x14ac:dyDescent="0.45">
      <c r="F1819" t="s">
        <v>804</v>
      </c>
      <c r="G1819" t="e">
        <f t="shared" si="42"/>
        <v>#VALUE!</v>
      </c>
    </row>
    <row r="1820" spans="6:7" x14ac:dyDescent="0.45">
      <c r="F1820" t="s">
        <v>804</v>
      </c>
      <c r="G1820" t="e">
        <f t="shared" si="42"/>
        <v>#VALUE!</v>
      </c>
    </row>
    <row r="1821" spans="6:7" x14ac:dyDescent="0.45">
      <c r="F1821" t="s">
        <v>804</v>
      </c>
      <c r="G1821" t="e">
        <f t="shared" si="42"/>
        <v>#VALUE!</v>
      </c>
    </row>
    <row r="1822" spans="6:7" x14ac:dyDescent="0.45">
      <c r="F1822" t="s">
        <v>804</v>
      </c>
      <c r="G1822" t="e">
        <f t="shared" si="42"/>
        <v>#VALUE!</v>
      </c>
    </row>
    <row r="1823" spans="6:7" x14ac:dyDescent="0.45">
      <c r="F1823" t="s">
        <v>804</v>
      </c>
      <c r="G1823" t="e">
        <f t="shared" si="42"/>
        <v>#VALUE!</v>
      </c>
    </row>
    <row r="1824" spans="6:7" x14ac:dyDescent="0.45">
      <c r="F1824" t="s">
        <v>804</v>
      </c>
      <c r="G1824" t="e">
        <f t="shared" si="42"/>
        <v>#VALUE!</v>
      </c>
    </row>
    <row r="1825" spans="6:7" x14ac:dyDescent="0.45">
      <c r="F1825" t="s">
        <v>804</v>
      </c>
      <c r="G1825" t="e">
        <f t="shared" si="42"/>
        <v>#VALUE!</v>
      </c>
    </row>
    <row r="1826" spans="6:7" x14ac:dyDescent="0.45">
      <c r="F1826" t="s">
        <v>804</v>
      </c>
      <c r="G1826" t="e">
        <f t="shared" si="42"/>
        <v>#VALUE!</v>
      </c>
    </row>
    <row r="1827" spans="6:7" x14ac:dyDescent="0.45">
      <c r="F1827" t="s">
        <v>804</v>
      </c>
      <c r="G1827" t="e">
        <f t="shared" si="42"/>
        <v>#VALUE!</v>
      </c>
    </row>
    <row r="1828" spans="6:7" x14ac:dyDescent="0.45">
      <c r="F1828" t="s">
        <v>804</v>
      </c>
      <c r="G1828" t="e">
        <f t="shared" si="42"/>
        <v>#VALUE!</v>
      </c>
    </row>
    <row r="1829" spans="6:7" x14ac:dyDescent="0.45">
      <c r="F1829" t="s">
        <v>804</v>
      </c>
      <c r="G1829" t="e">
        <f t="shared" si="42"/>
        <v>#VALUE!</v>
      </c>
    </row>
    <row r="1830" spans="6:7" x14ac:dyDescent="0.45">
      <c r="F1830" t="s">
        <v>804</v>
      </c>
      <c r="G1830" t="e">
        <f t="shared" si="42"/>
        <v>#VALUE!</v>
      </c>
    </row>
    <row r="1831" spans="6:7" x14ac:dyDescent="0.45">
      <c r="F1831" t="s">
        <v>804</v>
      </c>
      <c r="G1831" t="e">
        <f t="shared" si="42"/>
        <v>#VALUE!</v>
      </c>
    </row>
    <row r="1832" spans="6:7" x14ac:dyDescent="0.45">
      <c r="F1832" t="s">
        <v>804</v>
      </c>
      <c r="G1832" t="e">
        <f t="shared" si="42"/>
        <v>#VALUE!</v>
      </c>
    </row>
    <row r="1833" spans="6:7" x14ac:dyDescent="0.45">
      <c r="F1833" t="s">
        <v>804</v>
      </c>
      <c r="G1833" t="e">
        <f t="shared" si="42"/>
        <v>#VALUE!</v>
      </c>
    </row>
    <row r="1834" spans="6:7" x14ac:dyDescent="0.45">
      <c r="F1834" t="s">
        <v>804</v>
      </c>
      <c r="G1834" t="e">
        <f t="shared" si="42"/>
        <v>#VALUE!</v>
      </c>
    </row>
    <row r="1835" spans="6:7" x14ac:dyDescent="0.45">
      <c r="F1835" t="s">
        <v>804</v>
      </c>
      <c r="G1835" t="e">
        <f t="shared" si="42"/>
        <v>#VALUE!</v>
      </c>
    </row>
    <row r="1836" spans="6:7" x14ac:dyDescent="0.45">
      <c r="F1836" t="s">
        <v>804</v>
      </c>
      <c r="G1836" t="e">
        <f t="shared" si="42"/>
        <v>#VALUE!</v>
      </c>
    </row>
    <row r="1837" spans="6:7" x14ac:dyDescent="0.45">
      <c r="F1837" t="s">
        <v>804</v>
      </c>
      <c r="G1837" t="e">
        <f t="shared" si="42"/>
        <v>#VALUE!</v>
      </c>
    </row>
    <row r="1838" spans="6:7" x14ac:dyDescent="0.45">
      <c r="F1838" t="s">
        <v>804</v>
      </c>
      <c r="G1838" t="e">
        <f t="shared" si="42"/>
        <v>#VALUE!</v>
      </c>
    </row>
    <row r="1839" spans="6:7" x14ac:dyDescent="0.45">
      <c r="F1839" t="s">
        <v>804</v>
      </c>
      <c r="G1839" t="e">
        <f t="shared" si="42"/>
        <v>#VALUE!</v>
      </c>
    </row>
    <row r="1840" spans="6:7" x14ac:dyDescent="0.45">
      <c r="F1840" t="s">
        <v>804</v>
      </c>
      <c r="G1840" t="e">
        <f t="shared" si="42"/>
        <v>#VALUE!</v>
      </c>
    </row>
    <row r="1841" spans="6:7" x14ac:dyDescent="0.45">
      <c r="F1841" t="s">
        <v>804</v>
      </c>
      <c r="G1841" t="e">
        <f t="shared" si="42"/>
        <v>#VALUE!</v>
      </c>
    </row>
    <row r="1842" spans="6:7" x14ac:dyDescent="0.45">
      <c r="F1842" t="s">
        <v>804</v>
      </c>
      <c r="G1842" t="e">
        <f t="shared" si="42"/>
        <v>#VALUE!</v>
      </c>
    </row>
    <row r="1843" spans="6:7" x14ac:dyDescent="0.45">
      <c r="F1843" t="s">
        <v>804</v>
      </c>
      <c r="G1843" t="e">
        <f t="shared" si="42"/>
        <v>#VALUE!</v>
      </c>
    </row>
    <row r="1844" spans="6:7" x14ac:dyDescent="0.45">
      <c r="F1844" t="s">
        <v>804</v>
      </c>
      <c r="G1844" t="e">
        <f t="shared" si="42"/>
        <v>#VALUE!</v>
      </c>
    </row>
    <row r="1845" spans="6:7" x14ac:dyDescent="0.45">
      <c r="F1845" t="s">
        <v>804</v>
      </c>
      <c r="G1845" t="e">
        <f t="shared" si="42"/>
        <v>#VALUE!</v>
      </c>
    </row>
    <row r="1846" spans="6:7" x14ac:dyDescent="0.45">
      <c r="F1846" t="s">
        <v>804</v>
      </c>
      <c r="G1846" t="e">
        <f t="shared" si="42"/>
        <v>#VALUE!</v>
      </c>
    </row>
    <row r="1847" spans="6:7" x14ac:dyDescent="0.45">
      <c r="F1847" t="s">
        <v>804</v>
      </c>
      <c r="G1847" t="e">
        <f t="shared" si="42"/>
        <v>#VALUE!</v>
      </c>
    </row>
    <row r="1848" spans="6:7" x14ac:dyDescent="0.45">
      <c r="F1848" t="s">
        <v>804</v>
      </c>
      <c r="G1848" t="e">
        <f t="shared" si="42"/>
        <v>#VALUE!</v>
      </c>
    </row>
    <row r="1849" spans="6:7" x14ac:dyDescent="0.45">
      <c r="F1849" t="s">
        <v>804</v>
      </c>
      <c r="G1849" t="e">
        <f t="shared" si="42"/>
        <v>#VALUE!</v>
      </c>
    </row>
    <row r="1850" spans="6:7" x14ac:dyDescent="0.45">
      <c r="F1850" t="s">
        <v>804</v>
      </c>
      <c r="G1850" t="e">
        <f t="shared" si="42"/>
        <v>#VALUE!</v>
      </c>
    </row>
    <row r="1851" spans="6:7" x14ac:dyDescent="0.45">
      <c r="F1851" t="s">
        <v>804</v>
      </c>
      <c r="G1851" t="e">
        <f t="shared" si="42"/>
        <v>#VALUE!</v>
      </c>
    </row>
    <row r="1852" spans="6:7" x14ac:dyDescent="0.45">
      <c r="F1852" t="s">
        <v>804</v>
      </c>
      <c r="G1852" t="e">
        <f t="shared" si="42"/>
        <v>#VALUE!</v>
      </c>
    </row>
    <row r="1853" spans="6:7" x14ac:dyDescent="0.45">
      <c r="F1853" t="s">
        <v>804</v>
      </c>
      <c r="G1853" t="e">
        <f t="shared" si="42"/>
        <v>#VALUE!</v>
      </c>
    </row>
    <row r="1854" spans="6:7" x14ac:dyDescent="0.45">
      <c r="F1854" t="s">
        <v>804</v>
      </c>
      <c r="G1854" t="e">
        <f t="shared" si="42"/>
        <v>#VALUE!</v>
      </c>
    </row>
    <row r="1855" spans="6:7" x14ac:dyDescent="0.45">
      <c r="F1855" t="s">
        <v>804</v>
      </c>
      <c r="G1855" t="e">
        <f t="shared" si="42"/>
        <v>#VALUE!</v>
      </c>
    </row>
    <row r="1856" spans="6:7" x14ac:dyDescent="0.45">
      <c r="F1856" t="s">
        <v>804</v>
      </c>
      <c r="G1856" t="e">
        <f t="shared" si="42"/>
        <v>#VALUE!</v>
      </c>
    </row>
    <row r="1857" spans="6:7" x14ac:dyDescent="0.45">
      <c r="F1857" t="s">
        <v>804</v>
      </c>
      <c r="G1857" t="e">
        <f t="shared" si="42"/>
        <v>#VALUE!</v>
      </c>
    </row>
    <row r="1858" spans="6:7" x14ac:dyDescent="0.45">
      <c r="F1858" t="s">
        <v>804</v>
      </c>
      <c r="G1858" t="e">
        <f t="shared" si="42"/>
        <v>#VALUE!</v>
      </c>
    </row>
    <row r="1859" spans="6:7" x14ac:dyDescent="0.45">
      <c r="F1859" t="s">
        <v>804</v>
      </c>
      <c r="G1859" t="e">
        <f t="shared" ref="G1859:G1922" si="43">+F1859+0</f>
        <v>#VALUE!</v>
      </c>
    </row>
    <row r="1860" spans="6:7" x14ac:dyDescent="0.45">
      <c r="F1860" t="s">
        <v>804</v>
      </c>
      <c r="G1860" t="e">
        <f t="shared" si="43"/>
        <v>#VALUE!</v>
      </c>
    </row>
    <row r="1861" spans="6:7" x14ac:dyDescent="0.45">
      <c r="F1861" t="s">
        <v>804</v>
      </c>
      <c r="G1861" t="e">
        <f t="shared" si="43"/>
        <v>#VALUE!</v>
      </c>
    </row>
    <row r="1862" spans="6:7" x14ac:dyDescent="0.45">
      <c r="F1862" t="s">
        <v>804</v>
      </c>
      <c r="G1862" t="e">
        <f t="shared" si="43"/>
        <v>#VALUE!</v>
      </c>
    </row>
    <row r="1863" spans="6:7" x14ac:dyDescent="0.45">
      <c r="F1863" t="s">
        <v>804</v>
      </c>
      <c r="G1863" t="e">
        <f t="shared" si="43"/>
        <v>#VALUE!</v>
      </c>
    </row>
    <row r="1864" spans="6:7" x14ac:dyDescent="0.45">
      <c r="F1864" t="s">
        <v>804</v>
      </c>
      <c r="G1864" t="e">
        <f t="shared" si="43"/>
        <v>#VALUE!</v>
      </c>
    </row>
    <row r="1865" spans="6:7" x14ac:dyDescent="0.45">
      <c r="F1865" t="s">
        <v>804</v>
      </c>
      <c r="G1865" t="e">
        <f t="shared" si="43"/>
        <v>#VALUE!</v>
      </c>
    </row>
    <row r="1866" spans="6:7" x14ac:dyDescent="0.45">
      <c r="F1866" t="s">
        <v>804</v>
      </c>
      <c r="G1866" t="e">
        <f t="shared" si="43"/>
        <v>#VALUE!</v>
      </c>
    </row>
    <row r="1867" spans="6:7" x14ac:dyDescent="0.45">
      <c r="F1867" t="s">
        <v>804</v>
      </c>
      <c r="G1867" t="e">
        <f t="shared" si="43"/>
        <v>#VALUE!</v>
      </c>
    </row>
    <row r="1868" spans="6:7" x14ac:dyDescent="0.45">
      <c r="F1868" t="s">
        <v>804</v>
      </c>
      <c r="G1868" t="e">
        <f t="shared" si="43"/>
        <v>#VALUE!</v>
      </c>
    </row>
    <row r="1869" spans="6:7" x14ac:dyDescent="0.45">
      <c r="F1869" t="s">
        <v>804</v>
      </c>
      <c r="G1869" t="e">
        <f t="shared" si="43"/>
        <v>#VALUE!</v>
      </c>
    </row>
    <row r="1870" spans="6:7" x14ac:dyDescent="0.45">
      <c r="F1870" t="s">
        <v>804</v>
      </c>
      <c r="G1870" t="e">
        <f t="shared" si="43"/>
        <v>#VALUE!</v>
      </c>
    </row>
    <row r="1871" spans="6:7" x14ac:dyDescent="0.45">
      <c r="F1871" t="s">
        <v>804</v>
      </c>
      <c r="G1871" t="e">
        <f t="shared" si="43"/>
        <v>#VALUE!</v>
      </c>
    </row>
    <row r="1872" spans="6:7" x14ac:dyDescent="0.45">
      <c r="F1872" t="s">
        <v>804</v>
      </c>
      <c r="G1872" t="e">
        <f t="shared" si="43"/>
        <v>#VALUE!</v>
      </c>
    </row>
    <row r="1873" spans="6:7" x14ac:dyDescent="0.45">
      <c r="F1873" t="s">
        <v>804</v>
      </c>
      <c r="G1873" t="e">
        <f t="shared" si="43"/>
        <v>#VALUE!</v>
      </c>
    </row>
    <row r="1874" spans="6:7" x14ac:dyDescent="0.45">
      <c r="F1874" t="s">
        <v>804</v>
      </c>
      <c r="G1874" t="e">
        <f t="shared" si="43"/>
        <v>#VALUE!</v>
      </c>
    </row>
    <row r="1875" spans="6:7" x14ac:dyDescent="0.45">
      <c r="F1875" t="s">
        <v>804</v>
      </c>
      <c r="G1875" t="e">
        <f t="shared" si="43"/>
        <v>#VALUE!</v>
      </c>
    </row>
    <row r="1876" spans="6:7" x14ac:dyDescent="0.45">
      <c r="F1876" t="s">
        <v>804</v>
      </c>
      <c r="G1876" t="e">
        <f t="shared" si="43"/>
        <v>#VALUE!</v>
      </c>
    </row>
    <row r="1877" spans="6:7" x14ac:dyDescent="0.45">
      <c r="F1877" t="s">
        <v>804</v>
      </c>
      <c r="G1877" t="e">
        <f t="shared" si="43"/>
        <v>#VALUE!</v>
      </c>
    </row>
    <row r="1878" spans="6:7" x14ac:dyDescent="0.45">
      <c r="F1878" t="s">
        <v>804</v>
      </c>
      <c r="G1878" t="e">
        <f t="shared" si="43"/>
        <v>#VALUE!</v>
      </c>
    </row>
    <row r="1879" spans="6:7" x14ac:dyDescent="0.45">
      <c r="F1879" t="s">
        <v>804</v>
      </c>
      <c r="G1879" t="e">
        <f t="shared" si="43"/>
        <v>#VALUE!</v>
      </c>
    </row>
    <row r="1880" spans="6:7" x14ac:dyDescent="0.45">
      <c r="F1880" t="s">
        <v>804</v>
      </c>
      <c r="G1880" t="e">
        <f t="shared" si="43"/>
        <v>#VALUE!</v>
      </c>
    </row>
    <row r="1881" spans="6:7" x14ac:dyDescent="0.45">
      <c r="F1881" t="s">
        <v>804</v>
      </c>
      <c r="G1881" t="e">
        <f t="shared" si="43"/>
        <v>#VALUE!</v>
      </c>
    </row>
    <row r="1882" spans="6:7" x14ac:dyDescent="0.45">
      <c r="F1882" t="s">
        <v>804</v>
      </c>
      <c r="G1882" t="e">
        <f t="shared" si="43"/>
        <v>#VALUE!</v>
      </c>
    </row>
    <row r="1883" spans="6:7" x14ac:dyDescent="0.45">
      <c r="F1883" t="s">
        <v>804</v>
      </c>
      <c r="G1883" t="e">
        <f t="shared" si="43"/>
        <v>#VALUE!</v>
      </c>
    </row>
    <row r="1884" spans="6:7" x14ac:dyDescent="0.45">
      <c r="F1884" t="s">
        <v>804</v>
      </c>
      <c r="G1884" t="e">
        <f t="shared" si="43"/>
        <v>#VALUE!</v>
      </c>
    </row>
    <row r="1885" spans="6:7" x14ac:dyDescent="0.45">
      <c r="F1885" t="s">
        <v>804</v>
      </c>
      <c r="G1885" t="e">
        <f t="shared" si="43"/>
        <v>#VALUE!</v>
      </c>
    </row>
    <row r="1886" spans="6:7" x14ac:dyDescent="0.45">
      <c r="F1886" t="s">
        <v>804</v>
      </c>
      <c r="G1886" t="e">
        <f t="shared" si="43"/>
        <v>#VALUE!</v>
      </c>
    </row>
    <row r="1887" spans="6:7" x14ac:dyDescent="0.45">
      <c r="F1887" t="s">
        <v>804</v>
      </c>
      <c r="G1887" t="e">
        <f t="shared" si="43"/>
        <v>#VALUE!</v>
      </c>
    </row>
    <row r="1888" spans="6:7" x14ac:dyDescent="0.45">
      <c r="F1888" t="s">
        <v>804</v>
      </c>
      <c r="G1888" t="e">
        <f t="shared" si="43"/>
        <v>#VALUE!</v>
      </c>
    </row>
    <row r="1889" spans="6:7" x14ac:dyDescent="0.45">
      <c r="F1889" t="s">
        <v>804</v>
      </c>
      <c r="G1889" t="e">
        <f t="shared" si="43"/>
        <v>#VALUE!</v>
      </c>
    </row>
    <row r="1890" spans="6:7" x14ac:dyDescent="0.45">
      <c r="F1890" t="s">
        <v>804</v>
      </c>
      <c r="G1890" t="e">
        <f t="shared" si="43"/>
        <v>#VALUE!</v>
      </c>
    </row>
    <row r="1891" spans="6:7" x14ac:dyDescent="0.45">
      <c r="F1891" t="s">
        <v>804</v>
      </c>
      <c r="G1891" t="e">
        <f t="shared" si="43"/>
        <v>#VALUE!</v>
      </c>
    </row>
    <row r="1892" spans="6:7" x14ac:dyDescent="0.45">
      <c r="F1892" t="s">
        <v>804</v>
      </c>
      <c r="G1892" t="e">
        <f t="shared" si="43"/>
        <v>#VALUE!</v>
      </c>
    </row>
    <row r="1893" spans="6:7" x14ac:dyDescent="0.45">
      <c r="F1893" t="s">
        <v>804</v>
      </c>
      <c r="G1893" t="e">
        <f t="shared" si="43"/>
        <v>#VALUE!</v>
      </c>
    </row>
    <row r="1894" spans="6:7" x14ac:dyDescent="0.45">
      <c r="F1894" t="s">
        <v>804</v>
      </c>
      <c r="G1894" t="e">
        <f t="shared" si="43"/>
        <v>#VALUE!</v>
      </c>
    </row>
    <row r="1895" spans="6:7" x14ac:dyDescent="0.45">
      <c r="F1895" t="s">
        <v>804</v>
      </c>
      <c r="G1895" t="e">
        <f t="shared" si="43"/>
        <v>#VALUE!</v>
      </c>
    </row>
    <row r="1896" spans="6:7" x14ac:dyDescent="0.45">
      <c r="F1896" t="s">
        <v>804</v>
      </c>
      <c r="G1896" t="e">
        <f t="shared" si="43"/>
        <v>#VALUE!</v>
      </c>
    </row>
    <row r="1897" spans="6:7" x14ac:dyDescent="0.45">
      <c r="F1897" t="s">
        <v>804</v>
      </c>
      <c r="G1897" t="e">
        <f t="shared" si="43"/>
        <v>#VALUE!</v>
      </c>
    </row>
    <row r="1898" spans="6:7" x14ac:dyDescent="0.45">
      <c r="F1898" t="s">
        <v>804</v>
      </c>
      <c r="G1898" t="e">
        <f t="shared" si="43"/>
        <v>#VALUE!</v>
      </c>
    </row>
    <row r="1899" spans="6:7" x14ac:dyDescent="0.45">
      <c r="F1899" t="s">
        <v>804</v>
      </c>
      <c r="G1899" t="e">
        <f t="shared" si="43"/>
        <v>#VALUE!</v>
      </c>
    </row>
    <row r="1900" spans="6:7" x14ac:dyDescent="0.45">
      <c r="F1900" t="s">
        <v>804</v>
      </c>
      <c r="G1900" t="e">
        <f t="shared" si="43"/>
        <v>#VALUE!</v>
      </c>
    </row>
    <row r="1901" spans="6:7" x14ac:dyDescent="0.45">
      <c r="F1901" t="s">
        <v>804</v>
      </c>
      <c r="G1901" t="e">
        <f t="shared" si="43"/>
        <v>#VALUE!</v>
      </c>
    </row>
    <row r="1902" spans="6:7" x14ac:dyDescent="0.45">
      <c r="F1902" t="s">
        <v>804</v>
      </c>
      <c r="G1902" t="e">
        <f t="shared" si="43"/>
        <v>#VALUE!</v>
      </c>
    </row>
    <row r="1903" spans="6:7" x14ac:dyDescent="0.45">
      <c r="F1903" t="s">
        <v>804</v>
      </c>
      <c r="G1903" t="e">
        <f t="shared" si="43"/>
        <v>#VALUE!</v>
      </c>
    </row>
    <row r="1904" spans="6:7" x14ac:dyDescent="0.45">
      <c r="F1904" t="s">
        <v>804</v>
      </c>
      <c r="G1904" t="e">
        <f t="shared" si="43"/>
        <v>#VALUE!</v>
      </c>
    </row>
    <row r="1905" spans="6:7" x14ac:dyDescent="0.45">
      <c r="F1905" t="s">
        <v>804</v>
      </c>
      <c r="G1905" t="e">
        <f t="shared" si="43"/>
        <v>#VALUE!</v>
      </c>
    </row>
    <row r="1906" spans="6:7" x14ac:dyDescent="0.45">
      <c r="F1906" t="s">
        <v>804</v>
      </c>
      <c r="G1906" t="e">
        <f t="shared" si="43"/>
        <v>#VALUE!</v>
      </c>
    </row>
    <row r="1907" spans="6:7" x14ac:dyDescent="0.45">
      <c r="F1907" t="s">
        <v>804</v>
      </c>
      <c r="G1907" t="e">
        <f t="shared" si="43"/>
        <v>#VALUE!</v>
      </c>
    </row>
    <row r="1908" spans="6:7" x14ac:dyDescent="0.45">
      <c r="F1908" t="s">
        <v>804</v>
      </c>
      <c r="G1908" t="e">
        <f t="shared" si="43"/>
        <v>#VALUE!</v>
      </c>
    </row>
    <row r="1909" spans="6:7" x14ac:dyDescent="0.45">
      <c r="F1909" t="s">
        <v>804</v>
      </c>
      <c r="G1909" t="e">
        <f t="shared" si="43"/>
        <v>#VALUE!</v>
      </c>
    </row>
    <row r="1910" spans="6:7" x14ac:dyDescent="0.45">
      <c r="F1910" t="s">
        <v>804</v>
      </c>
      <c r="G1910" t="e">
        <f t="shared" si="43"/>
        <v>#VALUE!</v>
      </c>
    </row>
    <row r="1911" spans="6:7" x14ac:dyDescent="0.45">
      <c r="F1911" t="s">
        <v>804</v>
      </c>
      <c r="G1911" t="e">
        <f t="shared" si="43"/>
        <v>#VALUE!</v>
      </c>
    </row>
    <row r="1912" spans="6:7" x14ac:dyDescent="0.45">
      <c r="F1912" t="s">
        <v>804</v>
      </c>
      <c r="G1912" t="e">
        <f t="shared" si="43"/>
        <v>#VALUE!</v>
      </c>
    </row>
    <row r="1913" spans="6:7" x14ac:dyDescent="0.45">
      <c r="F1913" t="s">
        <v>804</v>
      </c>
      <c r="G1913" t="e">
        <f t="shared" si="43"/>
        <v>#VALUE!</v>
      </c>
    </row>
    <row r="1914" spans="6:7" x14ac:dyDescent="0.45">
      <c r="F1914" t="s">
        <v>804</v>
      </c>
      <c r="G1914" t="e">
        <f t="shared" si="43"/>
        <v>#VALUE!</v>
      </c>
    </row>
    <row r="1915" spans="6:7" x14ac:dyDescent="0.45">
      <c r="F1915" t="s">
        <v>804</v>
      </c>
      <c r="G1915" t="e">
        <f t="shared" si="43"/>
        <v>#VALUE!</v>
      </c>
    </row>
    <row r="1916" spans="6:7" x14ac:dyDescent="0.45">
      <c r="F1916" t="s">
        <v>804</v>
      </c>
      <c r="G1916" t="e">
        <f t="shared" si="43"/>
        <v>#VALUE!</v>
      </c>
    </row>
    <row r="1917" spans="6:7" x14ac:dyDescent="0.45">
      <c r="F1917" t="s">
        <v>804</v>
      </c>
      <c r="G1917" t="e">
        <f t="shared" si="43"/>
        <v>#VALUE!</v>
      </c>
    </row>
    <row r="1918" spans="6:7" x14ac:dyDescent="0.45">
      <c r="F1918" t="s">
        <v>804</v>
      </c>
      <c r="G1918" t="e">
        <f t="shared" si="43"/>
        <v>#VALUE!</v>
      </c>
    </row>
    <row r="1919" spans="6:7" x14ac:dyDescent="0.45">
      <c r="F1919" t="s">
        <v>804</v>
      </c>
      <c r="G1919" t="e">
        <f t="shared" si="43"/>
        <v>#VALUE!</v>
      </c>
    </row>
    <row r="1920" spans="6:7" x14ac:dyDescent="0.45">
      <c r="F1920" t="s">
        <v>804</v>
      </c>
      <c r="G1920" t="e">
        <f t="shared" si="43"/>
        <v>#VALUE!</v>
      </c>
    </row>
    <row r="1921" spans="6:7" x14ac:dyDescent="0.45">
      <c r="F1921" t="s">
        <v>804</v>
      </c>
      <c r="G1921" t="e">
        <f t="shared" si="43"/>
        <v>#VALUE!</v>
      </c>
    </row>
    <row r="1922" spans="6:7" x14ac:dyDescent="0.45">
      <c r="F1922" t="s">
        <v>804</v>
      </c>
      <c r="G1922" t="e">
        <f t="shared" si="43"/>
        <v>#VALUE!</v>
      </c>
    </row>
    <row r="1923" spans="6:7" x14ac:dyDescent="0.45">
      <c r="F1923" t="s">
        <v>804</v>
      </c>
      <c r="G1923" t="e">
        <f t="shared" ref="G1923:G1986" si="44">+F1923+0</f>
        <v>#VALUE!</v>
      </c>
    </row>
    <row r="1924" spans="6:7" x14ac:dyDescent="0.45">
      <c r="F1924" t="s">
        <v>804</v>
      </c>
      <c r="G1924" t="e">
        <f t="shared" si="44"/>
        <v>#VALUE!</v>
      </c>
    </row>
    <row r="1925" spans="6:7" x14ac:dyDescent="0.45">
      <c r="F1925" t="s">
        <v>804</v>
      </c>
      <c r="G1925" t="e">
        <f t="shared" si="44"/>
        <v>#VALUE!</v>
      </c>
    </row>
    <row r="1926" spans="6:7" x14ac:dyDescent="0.45">
      <c r="F1926" t="s">
        <v>804</v>
      </c>
      <c r="G1926" t="e">
        <f t="shared" si="44"/>
        <v>#VALUE!</v>
      </c>
    </row>
    <row r="1927" spans="6:7" x14ac:dyDescent="0.45">
      <c r="F1927" t="s">
        <v>804</v>
      </c>
      <c r="G1927" t="e">
        <f t="shared" si="44"/>
        <v>#VALUE!</v>
      </c>
    </row>
    <row r="1928" spans="6:7" x14ac:dyDescent="0.45">
      <c r="F1928" t="s">
        <v>804</v>
      </c>
      <c r="G1928" t="e">
        <f t="shared" si="44"/>
        <v>#VALUE!</v>
      </c>
    </row>
    <row r="1929" spans="6:7" x14ac:dyDescent="0.45">
      <c r="F1929" t="s">
        <v>804</v>
      </c>
      <c r="G1929" t="e">
        <f t="shared" si="44"/>
        <v>#VALUE!</v>
      </c>
    </row>
    <row r="1930" spans="6:7" x14ac:dyDescent="0.45">
      <c r="F1930" t="s">
        <v>804</v>
      </c>
      <c r="G1930" t="e">
        <f t="shared" si="44"/>
        <v>#VALUE!</v>
      </c>
    </row>
    <row r="1931" spans="6:7" x14ac:dyDescent="0.45">
      <c r="F1931" t="s">
        <v>804</v>
      </c>
      <c r="G1931" t="e">
        <f t="shared" si="44"/>
        <v>#VALUE!</v>
      </c>
    </row>
    <row r="1932" spans="6:7" x14ac:dyDescent="0.45">
      <c r="F1932" t="s">
        <v>804</v>
      </c>
      <c r="G1932" t="e">
        <f t="shared" si="44"/>
        <v>#VALUE!</v>
      </c>
    </row>
    <row r="1933" spans="6:7" x14ac:dyDescent="0.45">
      <c r="F1933" t="s">
        <v>804</v>
      </c>
      <c r="G1933" t="e">
        <f t="shared" si="44"/>
        <v>#VALUE!</v>
      </c>
    </row>
    <row r="1934" spans="6:7" x14ac:dyDescent="0.45">
      <c r="F1934" t="s">
        <v>804</v>
      </c>
      <c r="G1934" t="e">
        <f t="shared" si="44"/>
        <v>#VALUE!</v>
      </c>
    </row>
    <row r="1935" spans="6:7" x14ac:dyDescent="0.45">
      <c r="F1935" t="s">
        <v>804</v>
      </c>
      <c r="G1935" t="e">
        <f t="shared" si="44"/>
        <v>#VALUE!</v>
      </c>
    </row>
    <row r="1936" spans="6:7" x14ac:dyDescent="0.45">
      <c r="F1936" t="s">
        <v>804</v>
      </c>
      <c r="G1936" t="e">
        <f t="shared" si="44"/>
        <v>#VALUE!</v>
      </c>
    </row>
    <row r="1937" spans="6:7" x14ac:dyDescent="0.45">
      <c r="F1937" t="s">
        <v>804</v>
      </c>
      <c r="G1937" t="e">
        <f t="shared" si="44"/>
        <v>#VALUE!</v>
      </c>
    </row>
    <row r="1938" spans="6:7" x14ac:dyDescent="0.45">
      <c r="F1938" t="s">
        <v>804</v>
      </c>
      <c r="G1938" t="e">
        <f t="shared" si="44"/>
        <v>#VALUE!</v>
      </c>
    </row>
    <row r="1939" spans="6:7" x14ac:dyDescent="0.45">
      <c r="F1939" t="s">
        <v>804</v>
      </c>
      <c r="G1939" t="e">
        <f t="shared" si="44"/>
        <v>#VALUE!</v>
      </c>
    </row>
    <row r="1940" spans="6:7" x14ac:dyDescent="0.45">
      <c r="F1940" t="s">
        <v>804</v>
      </c>
      <c r="G1940" t="e">
        <f t="shared" si="44"/>
        <v>#VALUE!</v>
      </c>
    </row>
    <row r="1941" spans="6:7" x14ac:dyDescent="0.45">
      <c r="F1941" t="s">
        <v>804</v>
      </c>
      <c r="G1941" t="e">
        <f t="shared" si="44"/>
        <v>#VALUE!</v>
      </c>
    </row>
    <row r="1942" spans="6:7" x14ac:dyDescent="0.45">
      <c r="F1942" t="s">
        <v>804</v>
      </c>
      <c r="G1942" t="e">
        <f t="shared" si="44"/>
        <v>#VALUE!</v>
      </c>
    </row>
    <row r="1943" spans="6:7" x14ac:dyDescent="0.45">
      <c r="F1943" t="s">
        <v>804</v>
      </c>
      <c r="G1943" t="e">
        <f t="shared" si="44"/>
        <v>#VALUE!</v>
      </c>
    </row>
    <row r="1944" spans="6:7" x14ac:dyDescent="0.45">
      <c r="F1944" t="s">
        <v>804</v>
      </c>
      <c r="G1944" t="e">
        <f t="shared" si="44"/>
        <v>#VALUE!</v>
      </c>
    </row>
    <row r="1945" spans="6:7" x14ac:dyDescent="0.45">
      <c r="F1945" t="s">
        <v>804</v>
      </c>
      <c r="G1945" t="e">
        <f t="shared" si="44"/>
        <v>#VALUE!</v>
      </c>
    </row>
    <row r="1946" spans="6:7" x14ac:dyDescent="0.45">
      <c r="F1946" t="s">
        <v>804</v>
      </c>
      <c r="G1946" t="e">
        <f t="shared" si="44"/>
        <v>#VALUE!</v>
      </c>
    </row>
    <row r="1947" spans="6:7" x14ac:dyDescent="0.45">
      <c r="F1947" t="s">
        <v>804</v>
      </c>
      <c r="G1947" t="e">
        <f t="shared" si="44"/>
        <v>#VALUE!</v>
      </c>
    </row>
    <row r="1948" spans="6:7" x14ac:dyDescent="0.45">
      <c r="F1948" t="s">
        <v>804</v>
      </c>
      <c r="G1948" t="e">
        <f t="shared" si="44"/>
        <v>#VALUE!</v>
      </c>
    </row>
    <row r="1949" spans="6:7" x14ac:dyDescent="0.45">
      <c r="F1949" t="s">
        <v>804</v>
      </c>
      <c r="G1949" t="e">
        <f t="shared" si="44"/>
        <v>#VALUE!</v>
      </c>
    </row>
    <row r="1950" spans="6:7" x14ac:dyDescent="0.45">
      <c r="F1950" t="s">
        <v>804</v>
      </c>
      <c r="G1950" t="e">
        <f t="shared" si="44"/>
        <v>#VALUE!</v>
      </c>
    </row>
    <row r="1951" spans="6:7" x14ac:dyDescent="0.45">
      <c r="F1951" t="s">
        <v>804</v>
      </c>
      <c r="G1951" t="e">
        <f t="shared" si="44"/>
        <v>#VALUE!</v>
      </c>
    </row>
    <row r="1952" spans="6:7" x14ac:dyDescent="0.45">
      <c r="F1952" t="s">
        <v>804</v>
      </c>
      <c r="G1952" t="e">
        <f t="shared" si="44"/>
        <v>#VALUE!</v>
      </c>
    </row>
    <row r="1953" spans="6:7" x14ac:dyDescent="0.45">
      <c r="F1953" t="s">
        <v>804</v>
      </c>
      <c r="G1953" t="e">
        <f t="shared" si="44"/>
        <v>#VALUE!</v>
      </c>
    </row>
    <row r="1954" spans="6:7" x14ac:dyDescent="0.45">
      <c r="F1954" t="s">
        <v>804</v>
      </c>
      <c r="G1954" t="e">
        <f t="shared" si="44"/>
        <v>#VALUE!</v>
      </c>
    </row>
    <row r="1955" spans="6:7" x14ac:dyDescent="0.45">
      <c r="F1955" t="s">
        <v>804</v>
      </c>
      <c r="G1955" t="e">
        <f t="shared" si="44"/>
        <v>#VALUE!</v>
      </c>
    </row>
    <row r="1956" spans="6:7" x14ac:dyDescent="0.45">
      <c r="F1956" t="s">
        <v>804</v>
      </c>
      <c r="G1956" t="e">
        <f t="shared" si="44"/>
        <v>#VALUE!</v>
      </c>
    </row>
    <row r="1957" spans="6:7" x14ac:dyDescent="0.45">
      <c r="F1957" t="s">
        <v>804</v>
      </c>
      <c r="G1957" t="e">
        <f t="shared" si="44"/>
        <v>#VALUE!</v>
      </c>
    </row>
    <row r="1958" spans="6:7" x14ac:dyDescent="0.45">
      <c r="F1958" t="s">
        <v>804</v>
      </c>
      <c r="G1958" t="e">
        <f t="shared" si="44"/>
        <v>#VALUE!</v>
      </c>
    </row>
    <row r="1959" spans="6:7" x14ac:dyDescent="0.45">
      <c r="F1959" t="s">
        <v>804</v>
      </c>
      <c r="G1959" t="e">
        <f t="shared" si="44"/>
        <v>#VALUE!</v>
      </c>
    </row>
    <row r="1960" spans="6:7" x14ac:dyDescent="0.45">
      <c r="F1960" t="s">
        <v>804</v>
      </c>
      <c r="G1960" t="e">
        <f t="shared" si="44"/>
        <v>#VALUE!</v>
      </c>
    </row>
    <row r="1961" spans="6:7" x14ac:dyDescent="0.45">
      <c r="F1961" t="s">
        <v>804</v>
      </c>
      <c r="G1961" t="e">
        <f t="shared" si="44"/>
        <v>#VALUE!</v>
      </c>
    </row>
    <row r="1962" spans="6:7" x14ac:dyDescent="0.45">
      <c r="F1962" t="s">
        <v>804</v>
      </c>
      <c r="G1962" t="e">
        <f t="shared" si="44"/>
        <v>#VALUE!</v>
      </c>
    </row>
    <row r="1963" spans="6:7" x14ac:dyDescent="0.45">
      <c r="F1963" t="s">
        <v>804</v>
      </c>
      <c r="G1963" t="e">
        <f t="shared" si="44"/>
        <v>#VALUE!</v>
      </c>
    </row>
    <row r="1964" spans="6:7" x14ac:dyDescent="0.45">
      <c r="F1964" t="s">
        <v>804</v>
      </c>
      <c r="G1964" t="e">
        <f t="shared" si="44"/>
        <v>#VALUE!</v>
      </c>
    </row>
    <row r="1965" spans="6:7" x14ac:dyDescent="0.45">
      <c r="F1965" t="s">
        <v>804</v>
      </c>
      <c r="G1965" t="e">
        <f t="shared" si="44"/>
        <v>#VALUE!</v>
      </c>
    </row>
    <row r="1966" spans="6:7" x14ac:dyDescent="0.45">
      <c r="F1966" t="s">
        <v>804</v>
      </c>
      <c r="G1966" t="e">
        <f t="shared" si="44"/>
        <v>#VALUE!</v>
      </c>
    </row>
    <row r="1967" spans="6:7" x14ac:dyDescent="0.45">
      <c r="F1967" t="s">
        <v>804</v>
      </c>
      <c r="G1967" t="e">
        <f t="shared" si="44"/>
        <v>#VALUE!</v>
      </c>
    </row>
    <row r="1968" spans="6:7" x14ac:dyDescent="0.45">
      <c r="F1968" t="s">
        <v>804</v>
      </c>
      <c r="G1968" t="e">
        <f t="shared" si="44"/>
        <v>#VALUE!</v>
      </c>
    </row>
    <row r="1969" spans="6:7" x14ac:dyDescent="0.45">
      <c r="F1969" t="s">
        <v>804</v>
      </c>
      <c r="G1969" t="e">
        <f t="shared" si="44"/>
        <v>#VALUE!</v>
      </c>
    </row>
    <row r="1970" spans="6:7" x14ac:dyDescent="0.45">
      <c r="F1970" t="s">
        <v>804</v>
      </c>
      <c r="G1970" t="e">
        <f t="shared" si="44"/>
        <v>#VALUE!</v>
      </c>
    </row>
    <row r="1971" spans="6:7" x14ac:dyDescent="0.45">
      <c r="F1971" t="s">
        <v>804</v>
      </c>
      <c r="G1971" t="e">
        <f t="shared" si="44"/>
        <v>#VALUE!</v>
      </c>
    </row>
    <row r="1972" spans="6:7" x14ac:dyDescent="0.45">
      <c r="F1972" t="s">
        <v>804</v>
      </c>
      <c r="G1972" t="e">
        <f t="shared" si="44"/>
        <v>#VALUE!</v>
      </c>
    </row>
    <row r="1973" spans="6:7" x14ac:dyDescent="0.45">
      <c r="F1973" t="s">
        <v>804</v>
      </c>
      <c r="G1973" t="e">
        <f t="shared" si="44"/>
        <v>#VALUE!</v>
      </c>
    </row>
    <row r="1974" spans="6:7" x14ac:dyDescent="0.45">
      <c r="F1974" t="s">
        <v>804</v>
      </c>
      <c r="G1974" t="e">
        <f t="shared" si="44"/>
        <v>#VALUE!</v>
      </c>
    </row>
    <row r="1975" spans="6:7" x14ac:dyDescent="0.45">
      <c r="F1975" t="s">
        <v>804</v>
      </c>
      <c r="G1975" t="e">
        <f t="shared" si="44"/>
        <v>#VALUE!</v>
      </c>
    </row>
    <row r="1976" spans="6:7" x14ac:dyDescent="0.45">
      <c r="F1976" t="s">
        <v>804</v>
      </c>
      <c r="G1976" t="e">
        <f t="shared" si="44"/>
        <v>#VALUE!</v>
      </c>
    </row>
    <row r="1977" spans="6:7" x14ac:dyDescent="0.45">
      <c r="F1977" t="s">
        <v>804</v>
      </c>
      <c r="G1977" t="e">
        <f t="shared" si="44"/>
        <v>#VALUE!</v>
      </c>
    </row>
    <row r="1978" spans="6:7" x14ac:dyDescent="0.45">
      <c r="F1978" t="s">
        <v>804</v>
      </c>
      <c r="G1978" t="e">
        <f t="shared" si="44"/>
        <v>#VALUE!</v>
      </c>
    </row>
    <row r="1979" spans="6:7" x14ac:dyDescent="0.45">
      <c r="F1979" t="s">
        <v>804</v>
      </c>
      <c r="G1979" t="e">
        <f t="shared" si="44"/>
        <v>#VALUE!</v>
      </c>
    </row>
    <row r="1980" spans="6:7" x14ac:dyDescent="0.45">
      <c r="F1980" t="s">
        <v>804</v>
      </c>
      <c r="G1980" t="e">
        <f t="shared" si="44"/>
        <v>#VALUE!</v>
      </c>
    </row>
    <row r="1981" spans="6:7" x14ac:dyDescent="0.45">
      <c r="F1981" t="s">
        <v>804</v>
      </c>
      <c r="G1981" t="e">
        <f t="shared" si="44"/>
        <v>#VALUE!</v>
      </c>
    </row>
    <row r="1982" spans="6:7" x14ac:dyDescent="0.45">
      <c r="F1982" t="s">
        <v>804</v>
      </c>
      <c r="G1982" t="e">
        <f t="shared" si="44"/>
        <v>#VALUE!</v>
      </c>
    </row>
    <row r="1983" spans="6:7" x14ac:dyDescent="0.45">
      <c r="F1983" t="s">
        <v>804</v>
      </c>
      <c r="G1983" t="e">
        <f t="shared" si="44"/>
        <v>#VALUE!</v>
      </c>
    </row>
    <row r="1984" spans="6:7" x14ac:dyDescent="0.45">
      <c r="F1984" t="s">
        <v>804</v>
      </c>
      <c r="G1984" t="e">
        <f t="shared" si="44"/>
        <v>#VALUE!</v>
      </c>
    </row>
    <row r="1985" spans="6:7" x14ac:dyDescent="0.45">
      <c r="F1985" t="s">
        <v>804</v>
      </c>
      <c r="G1985" t="e">
        <f t="shared" si="44"/>
        <v>#VALUE!</v>
      </c>
    </row>
    <row r="1986" spans="6:7" x14ac:dyDescent="0.45">
      <c r="F1986" t="s">
        <v>804</v>
      </c>
      <c r="G1986" t="e">
        <f t="shared" si="44"/>
        <v>#VALUE!</v>
      </c>
    </row>
    <row r="1987" spans="6:7" x14ac:dyDescent="0.45">
      <c r="F1987" t="s">
        <v>804</v>
      </c>
      <c r="G1987" t="e">
        <f t="shared" ref="G1987:G2050" si="45">+F1987+0</f>
        <v>#VALUE!</v>
      </c>
    </row>
    <row r="1988" spans="6:7" x14ac:dyDescent="0.45">
      <c r="F1988" t="s">
        <v>804</v>
      </c>
      <c r="G1988" t="e">
        <f t="shared" si="45"/>
        <v>#VALUE!</v>
      </c>
    </row>
    <row r="1989" spans="6:7" x14ac:dyDescent="0.45">
      <c r="F1989" t="s">
        <v>804</v>
      </c>
      <c r="G1989" t="e">
        <f t="shared" si="45"/>
        <v>#VALUE!</v>
      </c>
    </row>
    <row r="1990" spans="6:7" x14ac:dyDescent="0.45">
      <c r="F1990" t="s">
        <v>804</v>
      </c>
      <c r="G1990" t="e">
        <f t="shared" si="45"/>
        <v>#VALUE!</v>
      </c>
    </row>
    <row r="1991" spans="6:7" x14ac:dyDescent="0.45">
      <c r="F1991" t="s">
        <v>804</v>
      </c>
      <c r="G1991" t="e">
        <f t="shared" si="45"/>
        <v>#VALUE!</v>
      </c>
    </row>
    <row r="1992" spans="6:7" x14ac:dyDescent="0.45">
      <c r="F1992" t="s">
        <v>804</v>
      </c>
      <c r="G1992" t="e">
        <f t="shared" si="45"/>
        <v>#VALUE!</v>
      </c>
    </row>
    <row r="1993" spans="6:7" x14ac:dyDescent="0.45">
      <c r="F1993" t="s">
        <v>804</v>
      </c>
      <c r="G1993" t="e">
        <f t="shared" si="45"/>
        <v>#VALUE!</v>
      </c>
    </row>
    <row r="1994" spans="6:7" x14ac:dyDescent="0.45">
      <c r="F1994" t="s">
        <v>804</v>
      </c>
      <c r="G1994" t="e">
        <f t="shared" si="45"/>
        <v>#VALUE!</v>
      </c>
    </row>
    <row r="1995" spans="6:7" x14ac:dyDescent="0.45">
      <c r="F1995" t="s">
        <v>804</v>
      </c>
      <c r="G1995" t="e">
        <f t="shared" si="45"/>
        <v>#VALUE!</v>
      </c>
    </row>
    <row r="1996" spans="6:7" x14ac:dyDescent="0.45">
      <c r="F1996" t="s">
        <v>804</v>
      </c>
      <c r="G1996" t="e">
        <f t="shared" si="45"/>
        <v>#VALUE!</v>
      </c>
    </row>
    <row r="1997" spans="6:7" x14ac:dyDescent="0.45">
      <c r="F1997" t="s">
        <v>804</v>
      </c>
      <c r="G1997" t="e">
        <f t="shared" si="45"/>
        <v>#VALUE!</v>
      </c>
    </row>
    <row r="1998" spans="6:7" x14ac:dyDescent="0.45">
      <c r="F1998" t="s">
        <v>804</v>
      </c>
      <c r="G1998" t="e">
        <f t="shared" si="45"/>
        <v>#VALUE!</v>
      </c>
    </row>
    <row r="1999" spans="6:7" x14ac:dyDescent="0.45">
      <c r="F1999" t="s">
        <v>804</v>
      </c>
      <c r="G1999" t="e">
        <f t="shared" si="45"/>
        <v>#VALUE!</v>
      </c>
    </row>
    <row r="2000" spans="6:7" x14ac:dyDescent="0.45">
      <c r="F2000" t="s">
        <v>804</v>
      </c>
      <c r="G2000" t="e">
        <f t="shared" si="45"/>
        <v>#VALUE!</v>
      </c>
    </row>
    <row r="2001" spans="6:7" x14ac:dyDescent="0.45">
      <c r="F2001" t="s">
        <v>804</v>
      </c>
      <c r="G2001" t="e">
        <f t="shared" si="45"/>
        <v>#VALUE!</v>
      </c>
    </row>
    <row r="2002" spans="6:7" x14ac:dyDescent="0.45">
      <c r="F2002" t="s">
        <v>804</v>
      </c>
      <c r="G2002" t="e">
        <f t="shared" si="45"/>
        <v>#VALUE!</v>
      </c>
    </row>
    <row r="2003" spans="6:7" x14ac:dyDescent="0.45">
      <c r="F2003" t="s">
        <v>804</v>
      </c>
      <c r="G2003" t="e">
        <f t="shared" si="45"/>
        <v>#VALUE!</v>
      </c>
    </row>
    <row r="2004" spans="6:7" x14ac:dyDescent="0.45">
      <c r="F2004" t="s">
        <v>804</v>
      </c>
      <c r="G2004" t="e">
        <f t="shared" si="45"/>
        <v>#VALUE!</v>
      </c>
    </row>
    <row r="2005" spans="6:7" x14ac:dyDescent="0.45">
      <c r="F2005" t="s">
        <v>804</v>
      </c>
      <c r="G2005" t="e">
        <f t="shared" si="45"/>
        <v>#VALUE!</v>
      </c>
    </row>
    <row r="2006" spans="6:7" x14ac:dyDescent="0.45">
      <c r="F2006" t="s">
        <v>804</v>
      </c>
      <c r="G2006" t="e">
        <f t="shared" si="45"/>
        <v>#VALUE!</v>
      </c>
    </row>
    <row r="2007" spans="6:7" x14ac:dyDescent="0.45">
      <c r="F2007" t="s">
        <v>804</v>
      </c>
      <c r="G2007" t="e">
        <f t="shared" si="45"/>
        <v>#VALUE!</v>
      </c>
    </row>
    <row r="2008" spans="6:7" x14ac:dyDescent="0.45">
      <c r="F2008" t="s">
        <v>804</v>
      </c>
      <c r="G2008" t="e">
        <f t="shared" si="45"/>
        <v>#VALUE!</v>
      </c>
    </row>
    <row r="2009" spans="6:7" x14ac:dyDescent="0.45">
      <c r="F2009" t="s">
        <v>804</v>
      </c>
      <c r="G2009" t="e">
        <f t="shared" si="45"/>
        <v>#VALUE!</v>
      </c>
    </row>
    <row r="2010" spans="6:7" x14ac:dyDescent="0.45">
      <c r="F2010" t="s">
        <v>804</v>
      </c>
      <c r="G2010" t="e">
        <f t="shared" si="45"/>
        <v>#VALUE!</v>
      </c>
    </row>
    <row r="2011" spans="6:7" x14ac:dyDescent="0.45">
      <c r="F2011" t="s">
        <v>804</v>
      </c>
      <c r="G2011" t="e">
        <f t="shared" si="45"/>
        <v>#VALUE!</v>
      </c>
    </row>
    <row r="2012" spans="6:7" x14ac:dyDescent="0.45">
      <c r="F2012" t="s">
        <v>804</v>
      </c>
      <c r="G2012" t="e">
        <f t="shared" si="45"/>
        <v>#VALUE!</v>
      </c>
    </row>
    <row r="2013" spans="6:7" x14ac:dyDescent="0.45">
      <c r="F2013" t="s">
        <v>804</v>
      </c>
      <c r="G2013" t="e">
        <f t="shared" si="45"/>
        <v>#VALUE!</v>
      </c>
    </row>
    <row r="2014" spans="6:7" x14ac:dyDescent="0.45">
      <c r="F2014" t="s">
        <v>804</v>
      </c>
      <c r="G2014" t="e">
        <f t="shared" si="45"/>
        <v>#VALUE!</v>
      </c>
    </row>
    <row r="2015" spans="6:7" x14ac:dyDescent="0.45">
      <c r="F2015" t="s">
        <v>804</v>
      </c>
      <c r="G2015" t="e">
        <f t="shared" si="45"/>
        <v>#VALUE!</v>
      </c>
    </row>
    <row r="2016" spans="6:7" x14ac:dyDescent="0.45">
      <c r="F2016" t="s">
        <v>804</v>
      </c>
      <c r="G2016" t="e">
        <f t="shared" si="45"/>
        <v>#VALUE!</v>
      </c>
    </row>
    <row r="2017" spans="6:7" x14ac:dyDescent="0.45">
      <c r="F2017" t="s">
        <v>804</v>
      </c>
      <c r="G2017" t="e">
        <f t="shared" si="45"/>
        <v>#VALUE!</v>
      </c>
    </row>
    <row r="2018" spans="6:7" x14ac:dyDescent="0.45">
      <c r="F2018" t="s">
        <v>804</v>
      </c>
      <c r="G2018" t="e">
        <f t="shared" si="45"/>
        <v>#VALUE!</v>
      </c>
    </row>
    <row r="2019" spans="6:7" x14ac:dyDescent="0.45">
      <c r="F2019" t="s">
        <v>804</v>
      </c>
      <c r="G2019" t="e">
        <f t="shared" si="45"/>
        <v>#VALUE!</v>
      </c>
    </row>
    <row r="2020" spans="6:7" x14ac:dyDescent="0.45">
      <c r="F2020" t="s">
        <v>804</v>
      </c>
      <c r="G2020" t="e">
        <f t="shared" si="45"/>
        <v>#VALUE!</v>
      </c>
    </row>
    <row r="2021" spans="6:7" x14ac:dyDescent="0.45">
      <c r="F2021" t="s">
        <v>804</v>
      </c>
      <c r="G2021" t="e">
        <f t="shared" si="45"/>
        <v>#VALUE!</v>
      </c>
    </row>
    <row r="2022" spans="6:7" x14ac:dyDescent="0.45">
      <c r="F2022" t="s">
        <v>804</v>
      </c>
      <c r="G2022" t="e">
        <f t="shared" si="45"/>
        <v>#VALUE!</v>
      </c>
    </row>
    <row r="2023" spans="6:7" x14ac:dyDescent="0.45">
      <c r="F2023" t="s">
        <v>804</v>
      </c>
      <c r="G2023" t="e">
        <f t="shared" si="45"/>
        <v>#VALUE!</v>
      </c>
    </row>
    <row r="2024" spans="6:7" x14ac:dyDescent="0.45">
      <c r="F2024" t="s">
        <v>804</v>
      </c>
      <c r="G2024" t="e">
        <f t="shared" si="45"/>
        <v>#VALUE!</v>
      </c>
    </row>
    <row r="2025" spans="6:7" x14ac:dyDescent="0.45">
      <c r="F2025" t="s">
        <v>804</v>
      </c>
      <c r="G2025" t="e">
        <f t="shared" si="45"/>
        <v>#VALUE!</v>
      </c>
    </row>
    <row r="2026" spans="6:7" x14ac:dyDescent="0.45">
      <c r="F2026" t="s">
        <v>804</v>
      </c>
      <c r="G2026" t="e">
        <f t="shared" si="45"/>
        <v>#VALUE!</v>
      </c>
    </row>
    <row r="2027" spans="6:7" x14ac:dyDescent="0.45">
      <c r="F2027" t="s">
        <v>804</v>
      </c>
      <c r="G2027" t="e">
        <f t="shared" si="45"/>
        <v>#VALUE!</v>
      </c>
    </row>
    <row r="2028" spans="6:7" x14ac:dyDescent="0.45">
      <c r="F2028" t="s">
        <v>804</v>
      </c>
      <c r="G2028" t="e">
        <f t="shared" si="45"/>
        <v>#VALUE!</v>
      </c>
    </row>
    <row r="2029" spans="6:7" x14ac:dyDescent="0.45">
      <c r="F2029" t="s">
        <v>804</v>
      </c>
      <c r="G2029" t="e">
        <f t="shared" si="45"/>
        <v>#VALUE!</v>
      </c>
    </row>
    <row r="2030" spans="6:7" x14ac:dyDescent="0.45">
      <c r="F2030" t="s">
        <v>804</v>
      </c>
      <c r="G2030" t="e">
        <f t="shared" si="45"/>
        <v>#VALUE!</v>
      </c>
    </row>
    <row r="2031" spans="6:7" x14ac:dyDescent="0.45">
      <c r="F2031" t="s">
        <v>804</v>
      </c>
      <c r="G2031" t="e">
        <f t="shared" si="45"/>
        <v>#VALUE!</v>
      </c>
    </row>
    <row r="2032" spans="6:7" x14ac:dyDescent="0.45">
      <c r="F2032" t="s">
        <v>804</v>
      </c>
      <c r="G2032" t="e">
        <f t="shared" si="45"/>
        <v>#VALUE!</v>
      </c>
    </row>
    <row r="2033" spans="6:7" x14ac:dyDescent="0.45">
      <c r="F2033" t="s">
        <v>804</v>
      </c>
      <c r="G2033" t="e">
        <f t="shared" si="45"/>
        <v>#VALUE!</v>
      </c>
    </row>
    <row r="2034" spans="6:7" x14ac:dyDescent="0.45">
      <c r="F2034" t="s">
        <v>804</v>
      </c>
      <c r="G2034" t="e">
        <f t="shared" si="45"/>
        <v>#VALUE!</v>
      </c>
    </row>
    <row r="2035" spans="6:7" x14ac:dyDescent="0.45">
      <c r="F2035" t="s">
        <v>804</v>
      </c>
      <c r="G2035" t="e">
        <f t="shared" si="45"/>
        <v>#VALUE!</v>
      </c>
    </row>
    <row r="2036" spans="6:7" x14ac:dyDescent="0.45">
      <c r="F2036" t="s">
        <v>804</v>
      </c>
      <c r="G2036" t="e">
        <f t="shared" si="45"/>
        <v>#VALUE!</v>
      </c>
    </row>
    <row r="2037" spans="6:7" x14ac:dyDescent="0.45">
      <c r="F2037" t="s">
        <v>804</v>
      </c>
      <c r="G2037" t="e">
        <f t="shared" si="45"/>
        <v>#VALUE!</v>
      </c>
    </row>
    <row r="2038" spans="6:7" x14ac:dyDescent="0.45">
      <c r="F2038" t="s">
        <v>804</v>
      </c>
      <c r="G2038" t="e">
        <f t="shared" si="45"/>
        <v>#VALUE!</v>
      </c>
    </row>
    <row r="2039" spans="6:7" x14ac:dyDescent="0.45">
      <c r="F2039" t="s">
        <v>804</v>
      </c>
      <c r="G2039" t="e">
        <f t="shared" si="45"/>
        <v>#VALUE!</v>
      </c>
    </row>
    <row r="2040" spans="6:7" x14ac:dyDescent="0.45">
      <c r="F2040" t="s">
        <v>804</v>
      </c>
      <c r="G2040" t="e">
        <f t="shared" si="45"/>
        <v>#VALUE!</v>
      </c>
    </row>
    <row r="2041" spans="6:7" x14ac:dyDescent="0.45">
      <c r="F2041" t="s">
        <v>804</v>
      </c>
      <c r="G2041" t="e">
        <f t="shared" si="45"/>
        <v>#VALUE!</v>
      </c>
    </row>
    <row r="2042" spans="6:7" x14ac:dyDescent="0.45">
      <c r="F2042" t="s">
        <v>804</v>
      </c>
      <c r="G2042" t="e">
        <f t="shared" si="45"/>
        <v>#VALUE!</v>
      </c>
    </row>
    <row r="2043" spans="6:7" x14ac:dyDescent="0.45">
      <c r="F2043" t="s">
        <v>804</v>
      </c>
      <c r="G2043" t="e">
        <f t="shared" si="45"/>
        <v>#VALUE!</v>
      </c>
    </row>
    <row r="2044" spans="6:7" x14ac:dyDescent="0.45">
      <c r="F2044" t="s">
        <v>804</v>
      </c>
      <c r="G2044" t="e">
        <f t="shared" si="45"/>
        <v>#VALUE!</v>
      </c>
    </row>
    <row r="2045" spans="6:7" x14ac:dyDescent="0.45">
      <c r="F2045" t="s">
        <v>804</v>
      </c>
      <c r="G2045" t="e">
        <f t="shared" si="45"/>
        <v>#VALUE!</v>
      </c>
    </row>
    <row r="2046" spans="6:7" x14ac:dyDescent="0.45">
      <c r="F2046" t="s">
        <v>804</v>
      </c>
      <c r="G2046" t="e">
        <f t="shared" si="45"/>
        <v>#VALUE!</v>
      </c>
    </row>
    <row r="2047" spans="6:7" x14ac:dyDescent="0.45">
      <c r="F2047" t="s">
        <v>804</v>
      </c>
      <c r="G2047" t="e">
        <f t="shared" si="45"/>
        <v>#VALUE!</v>
      </c>
    </row>
    <row r="2048" spans="6:7" x14ac:dyDescent="0.45">
      <c r="F2048" t="s">
        <v>804</v>
      </c>
      <c r="G2048" t="e">
        <f t="shared" si="45"/>
        <v>#VALUE!</v>
      </c>
    </row>
    <row r="2049" spans="6:7" x14ac:dyDescent="0.45">
      <c r="F2049" t="s">
        <v>804</v>
      </c>
      <c r="G2049" t="e">
        <f t="shared" si="45"/>
        <v>#VALUE!</v>
      </c>
    </row>
    <row r="2050" spans="6:7" x14ac:dyDescent="0.45">
      <c r="F2050" t="s">
        <v>804</v>
      </c>
      <c r="G2050" t="e">
        <f t="shared" si="45"/>
        <v>#VALUE!</v>
      </c>
    </row>
    <row r="2051" spans="6:7" x14ac:dyDescent="0.45">
      <c r="F2051" t="s">
        <v>804</v>
      </c>
      <c r="G2051" t="e">
        <f t="shared" ref="G2051:G2114" si="46">+F2051+0</f>
        <v>#VALUE!</v>
      </c>
    </row>
    <row r="2052" spans="6:7" x14ac:dyDescent="0.45">
      <c r="F2052" t="s">
        <v>804</v>
      </c>
      <c r="G2052" t="e">
        <f t="shared" si="46"/>
        <v>#VALUE!</v>
      </c>
    </row>
    <row r="2053" spans="6:7" x14ac:dyDescent="0.45">
      <c r="F2053" t="s">
        <v>804</v>
      </c>
      <c r="G2053" t="e">
        <f t="shared" si="46"/>
        <v>#VALUE!</v>
      </c>
    </row>
    <row r="2054" spans="6:7" x14ac:dyDescent="0.45">
      <c r="F2054" t="s">
        <v>804</v>
      </c>
      <c r="G2054" t="e">
        <f t="shared" si="46"/>
        <v>#VALUE!</v>
      </c>
    </row>
    <row r="2055" spans="6:7" x14ac:dyDescent="0.45">
      <c r="F2055" t="s">
        <v>804</v>
      </c>
      <c r="G2055" t="e">
        <f t="shared" si="46"/>
        <v>#VALUE!</v>
      </c>
    </row>
    <row r="2056" spans="6:7" x14ac:dyDescent="0.45">
      <c r="F2056" t="s">
        <v>804</v>
      </c>
      <c r="G2056" t="e">
        <f t="shared" si="46"/>
        <v>#VALUE!</v>
      </c>
    </row>
    <row r="2057" spans="6:7" x14ac:dyDescent="0.45">
      <c r="F2057" t="s">
        <v>804</v>
      </c>
      <c r="G2057" t="e">
        <f t="shared" si="46"/>
        <v>#VALUE!</v>
      </c>
    </row>
    <row r="2058" spans="6:7" x14ac:dyDescent="0.45">
      <c r="F2058" t="s">
        <v>804</v>
      </c>
      <c r="G2058" t="e">
        <f t="shared" si="46"/>
        <v>#VALUE!</v>
      </c>
    </row>
    <row r="2059" spans="6:7" x14ac:dyDescent="0.45">
      <c r="F2059" t="s">
        <v>804</v>
      </c>
      <c r="G2059" t="e">
        <f t="shared" si="46"/>
        <v>#VALUE!</v>
      </c>
    </row>
    <row r="2060" spans="6:7" x14ac:dyDescent="0.45">
      <c r="F2060" t="s">
        <v>804</v>
      </c>
      <c r="G2060" t="e">
        <f t="shared" si="46"/>
        <v>#VALUE!</v>
      </c>
    </row>
    <row r="2061" spans="6:7" x14ac:dyDescent="0.45">
      <c r="F2061" t="s">
        <v>804</v>
      </c>
      <c r="G2061" t="e">
        <f t="shared" si="46"/>
        <v>#VALUE!</v>
      </c>
    </row>
    <row r="2062" spans="6:7" x14ac:dyDescent="0.45">
      <c r="F2062" t="s">
        <v>804</v>
      </c>
      <c r="G2062" t="e">
        <f t="shared" si="46"/>
        <v>#VALUE!</v>
      </c>
    </row>
    <row r="2063" spans="6:7" x14ac:dyDescent="0.45">
      <c r="F2063" t="s">
        <v>804</v>
      </c>
      <c r="G2063" t="e">
        <f t="shared" si="46"/>
        <v>#VALUE!</v>
      </c>
    </row>
    <row r="2064" spans="6:7" x14ac:dyDescent="0.45">
      <c r="F2064" t="s">
        <v>804</v>
      </c>
      <c r="G2064" t="e">
        <f t="shared" si="46"/>
        <v>#VALUE!</v>
      </c>
    </row>
    <row r="2065" spans="6:7" x14ac:dyDescent="0.45">
      <c r="F2065" t="s">
        <v>804</v>
      </c>
      <c r="G2065" t="e">
        <f t="shared" si="46"/>
        <v>#VALUE!</v>
      </c>
    </row>
    <row r="2066" spans="6:7" x14ac:dyDescent="0.45">
      <c r="F2066" t="s">
        <v>804</v>
      </c>
      <c r="G2066" t="e">
        <f t="shared" si="46"/>
        <v>#VALUE!</v>
      </c>
    </row>
    <row r="2067" spans="6:7" x14ac:dyDescent="0.45">
      <c r="F2067" t="s">
        <v>804</v>
      </c>
      <c r="G2067" t="e">
        <f t="shared" si="46"/>
        <v>#VALUE!</v>
      </c>
    </row>
    <row r="2068" spans="6:7" x14ac:dyDescent="0.45">
      <c r="F2068" t="s">
        <v>804</v>
      </c>
      <c r="G2068" t="e">
        <f t="shared" si="46"/>
        <v>#VALUE!</v>
      </c>
    </row>
    <row r="2069" spans="6:7" x14ac:dyDescent="0.45">
      <c r="F2069" t="s">
        <v>804</v>
      </c>
      <c r="G2069" t="e">
        <f t="shared" si="46"/>
        <v>#VALUE!</v>
      </c>
    </row>
    <row r="2070" spans="6:7" x14ac:dyDescent="0.45">
      <c r="F2070" t="s">
        <v>804</v>
      </c>
      <c r="G2070" t="e">
        <f t="shared" si="46"/>
        <v>#VALUE!</v>
      </c>
    </row>
    <row r="2071" spans="6:7" x14ac:dyDescent="0.45">
      <c r="F2071" t="s">
        <v>804</v>
      </c>
      <c r="G2071" t="e">
        <f t="shared" si="46"/>
        <v>#VALUE!</v>
      </c>
    </row>
    <row r="2072" spans="6:7" x14ac:dyDescent="0.45">
      <c r="F2072" t="s">
        <v>804</v>
      </c>
      <c r="G2072" t="e">
        <f t="shared" si="46"/>
        <v>#VALUE!</v>
      </c>
    </row>
    <row r="2073" spans="6:7" x14ac:dyDescent="0.45">
      <c r="F2073" t="s">
        <v>804</v>
      </c>
      <c r="G2073" t="e">
        <f t="shared" si="46"/>
        <v>#VALUE!</v>
      </c>
    </row>
    <row r="2074" spans="6:7" x14ac:dyDescent="0.45">
      <c r="F2074" t="s">
        <v>804</v>
      </c>
      <c r="G2074" t="e">
        <f t="shared" si="46"/>
        <v>#VALUE!</v>
      </c>
    </row>
    <row r="2075" spans="6:7" x14ac:dyDescent="0.45">
      <c r="F2075" t="s">
        <v>804</v>
      </c>
      <c r="G2075" t="e">
        <f t="shared" si="46"/>
        <v>#VALUE!</v>
      </c>
    </row>
    <row r="2076" spans="6:7" x14ac:dyDescent="0.45">
      <c r="F2076" t="s">
        <v>804</v>
      </c>
      <c r="G2076" t="e">
        <f t="shared" si="46"/>
        <v>#VALUE!</v>
      </c>
    </row>
    <row r="2077" spans="6:7" x14ac:dyDescent="0.45">
      <c r="F2077" t="s">
        <v>804</v>
      </c>
      <c r="G2077" t="e">
        <f t="shared" si="46"/>
        <v>#VALUE!</v>
      </c>
    </row>
    <row r="2078" spans="6:7" x14ac:dyDescent="0.45">
      <c r="F2078" t="s">
        <v>804</v>
      </c>
      <c r="G2078" t="e">
        <f t="shared" si="46"/>
        <v>#VALUE!</v>
      </c>
    </row>
    <row r="2079" spans="6:7" x14ac:dyDescent="0.45">
      <c r="F2079" t="s">
        <v>804</v>
      </c>
      <c r="G2079" t="e">
        <f t="shared" si="46"/>
        <v>#VALUE!</v>
      </c>
    </row>
    <row r="2080" spans="6:7" x14ac:dyDescent="0.45">
      <c r="F2080" t="s">
        <v>804</v>
      </c>
      <c r="G2080" t="e">
        <f t="shared" si="46"/>
        <v>#VALUE!</v>
      </c>
    </row>
    <row r="2081" spans="6:7" x14ac:dyDescent="0.45">
      <c r="F2081" t="s">
        <v>804</v>
      </c>
      <c r="G2081" t="e">
        <f t="shared" si="46"/>
        <v>#VALUE!</v>
      </c>
    </row>
    <row r="2082" spans="6:7" x14ac:dyDescent="0.45">
      <c r="F2082" t="s">
        <v>804</v>
      </c>
      <c r="G2082" t="e">
        <f t="shared" si="46"/>
        <v>#VALUE!</v>
      </c>
    </row>
    <row r="2083" spans="6:7" x14ac:dyDescent="0.45">
      <c r="F2083" t="s">
        <v>804</v>
      </c>
      <c r="G2083" t="e">
        <f t="shared" si="46"/>
        <v>#VALUE!</v>
      </c>
    </row>
    <row r="2084" spans="6:7" x14ac:dyDescent="0.45">
      <c r="F2084" t="s">
        <v>804</v>
      </c>
      <c r="G2084" t="e">
        <f t="shared" si="46"/>
        <v>#VALUE!</v>
      </c>
    </row>
    <row r="2085" spans="6:7" x14ac:dyDescent="0.45">
      <c r="F2085" t="s">
        <v>804</v>
      </c>
      <c r="G2085" t="e">
        <f t="shared" si="46"/>
        <v>#VALUE!</v>
      </c>
    </row>
    <row r="2086" spans="6:7" x14ac:dyDescent="0.45">
      <c r="F2086" t="s">
        <v>804</v>
      </c>
      <c r="G2086" t="e">
        <f t="shared" si="46"/>
        <v>#VALUE!</v>
      </c>
    </row>
    <row r="2087" spans="6:7" x14ac:dyDescent="0.45">
      <c r="F2087" t="s">
        <v>804</v>
      </c>
      <c r="G2087" t="e">
        <f t="shared" si="46"/>
        <v>#VALUE!</v>
      </c>
    </row>
    <row r="2088" spans="6:7" x14ac:dyDescent="0.45">
      <c r="F2088" t="s">
        <v>804</v>
      </c>
      <c r="G2088" t="e">
        <f t="shared" si="46"/>
        <v>#VALUE!</v>
      </c>
    </row>
    <row r="2089" spans="6:7" x14ac:dyDescent="0.45">
      <c r="F2089" t="s">
        <v>804</v>
      </c>
      <c r="G2089" t="e">
        <f t="shared" si="46"/>
        <v>#VALUE!</v>
      </c>
    </row>
    <row r="2090" spans="6:7" x14ac:dyDescent="0.45">
      <c r="F2090" t="s">
        <v>804</v>
      </c>
      <c r="G2090" t="e">
        <f t="shared" si="46"/>
        <v>#VALUE!</v>
      </c>
    </row>
    <row r="2091" spans="6:7" x14ac:dyDescent="0.45">
      <c r="F2091" t="s">
        <v>804</v>
      </c>
      <c r="G2091" t="e">
        <f t="shared" si="46"/>
        <v>#VALUE!</v>
      </c>
    </row>
    <row r="2092" spans="6:7" x14ac:dyDescent="0.45">
      <c r="F2092" t="s">
        <v>804</v>
      </c>
      <c r="G2092" t="e">
        <f t="shared" si="46"/>
        <v>#VALUE!</v>
      </c>
    </row>
    <row r="2093" spans="6:7" x14ac:dyDescent="0.45">
      <c r="F2093" t="s">
        <v>804</v>
      </c>
      <c r="G2093" t="e">
        <f t="shared" si="46"/>
        <v>#VALUE!</v>
      </c>
    </row>
    <row r="2094" spans="6:7" x14ac:dyDescent="0.45">
      <c r="F2094" t="s">
        <v>804</v>
      </c>
      <c r="G2094" t="e">
        <f t="shared" si="46"/>
        <v>#VALUE!</v>
      </c>
    </row>
    <row r="2095" spans="6:7" x14ac:dyDescent="0.45">
      <c r="F2095" t="s">
        <v>804</v>
      </c>
      <c r="G2095" t="e">
        <f t="shared" si="46"/>
        <v>#VALUE!</v>
      </c>
    </row>
    <row r="2096" spans="6:7" x14ac:dyDescent="0.45">
      <c r="F2096" t="s">
        <v>804</v>
      </c>
      <c r="G2096" t="e">
        <f t="shared" si="46"/>
        <v>#VALUE!</v>
      </c>
    </row>
    <row r="2097" spans="6:7" x14ac:dyDescent="0.45">
      <c r="F2097" t="s">
        <v>804</v>
      </c>
      <c r="G2097" t="e">
        <f t="shared" si="46"/>
        <v>#VALUE!</v>
      </c>
    </row>
    <row r="2098" spans="6:7" x14ac:dyDescent="0.45">
      <c r="F2098" t="s">
        <v>804</v>
      </c>
      <c r="G2098" t="e">
        <f t="shared" si="46"/>
        <v>#VALUE!</v>
      </c>
    </row>
    <row r="2099" spans="6:7" x14ac:dyDescent="0.45">
      <c r="F2099" t="s">
        <v>804</v>
      </c>
      <c r="G2099" t="e">
        <f t="shared" si="46"/>
        <v>#VALUE!</v>
      </c>
    </row>
    <row r="2100" spans="6:7" x14ac:dyDescent="0.45">
      <c r="F2100" t="s">
        <v>804</v>
      </c>
      <c r="G2100" t="e">
        <f t="shared" si="46"/>
        <v>#VALUE!</v>
      </c>
    </row>
    <row r="2101" spans="6:7" x14ac:dyDescent="0.45">
      <c r="F2101" t="s">
        <v>804</v>
      </c>
      <c r="G2101" t="e">
        <f t="shared" si="46"/>
        <v>#VALUE!</v>
      </c>
    </row>
    <row r="2102" spans="6:7" x14ac:dyDescent="0.45">
      <c r="F2102" t="s">
        <v>804</v>
      </c>
      <c r="G2102" t="e">
        <f t="shared" si="46"/>
        <v>#VALUE!</v>
      </c>
    </row>
    <row r="2103" spans="6:7" x14ac:dyDescent="0.45">
      <c r="F2103" t="s">
        <v>804</v>
      </c>
      <c r="G2103" t="e">
        <f t="shared" si="46"/>
        <v>#VALUE!</v>
      </c>
    </row>
    <row r="2104" spans="6:7" x14ac:dyDescent="0.45">
      <c r="F2104" t="s">
        <v>804</v>
      </c>
      <c r="G2104" t="e">
        <f t="shared" si="46"/>
        <v>#VALUE!</v>
      </c>
    </row>
    <row r="2105" spans="6:7" x14ac:dyDescent="0.45">
      <c r="F2105" t="s">
        <v>804</v>
      </c>
      <c r="G2105" t="e">
        <f t="shared" si="46"/>
        <v>#VALUE!</v>
      </c>
    </row>
    <row r="2106" spans="6:7" x14ac:dyDescent="0.45">
      <c r="F2106" t="s">
        <v>804</v>
      </c>
      <c r="G2106" t="e">
        <f t="shared" si="46"/>
        <v>#VALUE!</v>
      </c>
    </row>
    <row r="2107" spans="6:7" x14ac:dyDescent="0.45">
      <c r="F2107" t="s">
        <v>804</v>
      </c>
      <c r="G2107" t="e">
        <f t="shared" si="46"/>
        <v>#VALUE!</v>
      </c>
    </row>
    <row r="2108" spans="6:7" x14ac:dyDescent="0.45">
      <c r="F2108" t="s">
        <v>804</v>
      </c>
      <c r="G2108" t="e">
        <f t="shared" si="46"/>
        <v>#VALUE!</v>
      </c>
    </row>
    <row r="2109" spans="6:7" x14ac:dyDescent="0.45">
      <c r="F2109" t="s">
        <v>804</v>
      </c>
      <c r="G2109" t="e">
        <f t="shared" si="46"/>
        <v>#VALUE!</v>
      </c>
    </row>
    <row r="2110" spans="6:7" x14ac:dyDescent="0.45">
      <c r="F2110" t="s">
        <v>804</v>
      </c>
      <c r="G2110" t="e">
        <f t="shared" si="46"/>
        <v>#VALUE!</v>
      </c>
    </row>
    <row r="2111" spans="6:7" x14ac:dyDescent="0.45">
      <c r="F2111" t="s">
        <v>804</v>
      </c>
      <c r="G2111" t="e">
        <f t="shared" si="46"/>
        <v>#VALUE!</v>
      </c>
    </row>
    <row r="2112" spans="6:7" x14ac:dyDescent="0.45">
      <c r="F2112" t="s">
        <v>804</v>
      </c>
      <c r="G2112" t="e">
        <f t="shared" si="46"/>
        <v>#VALUE!</v>
      </c>
    </row>
    <row r="2113" spans="6:7" x14ac:dyDescent="0.45">
      <c r="F2113" t="s">
        <v>804</v>
      </c>
      <c r="G2113" t="e">
        <f t="shared" si="46"/>
        <v>#VALUE!</v>
      </c>
    </row>
    <row r="2114" spans="6:7" x14ac:dyDescent="0.45">
      <c r="F2114" t="s">
        <v>804</v>
      </c>
      <c r="G2114" t="e">
        <f t="shared" si="46"/>
        <v>#VALUE!</v>
      </c>
    </row>
    <row r="2115" spans="6:7" x14ac:dyDescent="0.45">
      <c r="F2115" t="s">
        <v>804</v>
      </c>
      <c r="G2115" t="e">
        <f t="shared" ref="G2115:G2178" si="47">+F2115+0</f>
        <v>#VALUE!</v>
      </c>
    </row>
    <row r="2116" spans="6:7" x14ac:dyDescent="0.45">
      <c r="F2116" t="s">
        <v>804</v>
      </c>
      <c r="G2116" t="e">
        <f t="shared" si="47"/>
        <v>#VALUE!</v>
      </c>
    </row>
    <row r="2117" spans="6:7" x14ac:dyDescent="0.45">
      <c r="F2117" t="s">
        <v>804</v>
      </c>
      <c r="G2117" t="e">
        <f t="shared" si="47"/>
        <v>#VALUE!</v>
      </c>
    </row>
    <row r="2118" spans="6:7" x14ac:dyDescent="0.45">
      <c r="F2118" t="s">
        <v>804</v>
      </c>
      <c r="G2118" t="e">
        <f t="shared" si="47"/>
        <v>#VALUE!</v>
      </c>
    </row>
    <row r="2119" spans="6:7" x14ac:dyDescent="0.45">
      <c r="F2119" t="s">
        <v>804</v>
      </c>
      <c r="G2119" t="e">
        <f t="shared" si="47"/>
        <v>#VALUE!</v>
      </c>
    </row>
    <row r="2120" spans="6:7" x14ac:dyDescent="0.45">
      <c r="F2120" t="s">
        <v>804</v>
      </c>
      <c r="G2120" t="e">
        <f t="shared" si="47"/>
        <v>#VALUE!</v>
      </c>
    </row>
    <row r="2121" spans="6:7" x14ac:dyDescent="0.45">
      <c r="F2121" t="s">
        <v>804</v>
      </c>
      <c r="G2121" t="e">
        <f t="shared" si="47"/>
        <v>#VALUE!</v>
      </c>
    </row>
    <row r="2122" spans="6:7" x14ac:dyDescent="0.45">
      <c r="F2122" t="s">
        <v>804</v>
      </c>
      <c r="G2122" t="e">
        <f t="shared" si="47"/>
        <v>#VALUE!</v>
      </c>
    </row>
    <row r="2123" spans="6:7" x14ac:dyDescent="0.45">
      <c r="F2123" t="s">
        <v>804</v>
      </c>
      <c r="G2123" t="e">
        <f t="shared" si="47"/>
        <v>#VALUE!</v>
      </c>
    </row>
    <row r="2124" spans="6:7" x14ac:dyDescent="0.45">
      <c r="F2124" t="s">
        <v>804</v>
      </c>
      <c r="G2124" t="e">
        <f t="shared" si="47"/>
        <v>#VALUE!</v>
      </c>
    </row>
    <row r="2125" spans="6:7" x14ac:dyDescent="0.45">
      <c r="F2125" t="s">
        <v>804</v>
      </c>
      <c r="G2125" t="e">
        <f t="shared" si="47"/>
        <v>#VALUE!</v>
      </c>
    </row>
    <row r="2126" spans="6:7" x14ac:dyDescent="0.45">
      <c r="F2126" t="s">
        <v>804</v>
      </c>
      <c r="G2126" t="e">
        <f t="shared" si="47"/>
        <v>#VALUE!</v>
      </c>
    </row>
    <row r="2127" spans="6:7" x14ac:dyDescent="0.45">
      <c r="F2127" t="s">
        <v>804</v>
      </c>
      <c r="G2127" t="e">
        <f t="shared" si="47"/>
        <v>#VALUE!</v>
      </c>
    </row>
    <row r="2128" spans="6:7" x14ac:dyDescent="0.45">
      <c r="F2128" t="s">
        <v>804</v>
      </c>
      <c r="G2128" t="e">
        <f t="shared" si="47"/>
        <v>#VALUE!</v>
      </c>
    </row>
    <row r="2129" spans="6:7" x14ac:dyDescent="0.45">
      <c r="F2129" t="s">
        <v>804</v>
      </c>
      <c r="G2129" t="e">
        <f t="shared" si="47"/>
        <v>#VALUE!</v>
      </c>
    </row>
    <row r="2130" spans="6:7" x14ac:dyDescent="0.45">
      <c r="F2130" t="s">
        <v>804</v>
      </c>
      <c r="G2130" t="e">
        <f t="shared" si="47"/>
        <v>#VALUE!</v>
      </c>
    </row>
    <row r="2131" spans="6:7" x14ac:dyDescent="0.45">
      <c r="F2131" t="s">
        <v>804</v>
      </c>
      <c r="G2131" t="e">
        <f t="shared" si="47"/>
        <v>#VALUE!</v>
      </c>
    </row>
    <row r="2132" spans="6:7" x14ac:dyDescent="0.45">
      <c r="F2132" t="s">
        <v>804</v>
      </c>
      <c r="G2132" t="e">
        <f t="shared" si="47"/>
        <v>#VALUE!</v>
      </c>
    </row>
    <row r="2133" spans="6:7" x14ac:dyDescent="0.45">
      <c r="F2133" t="s">
        <v>804</v>
      </c>
      <c r="G2133" t="e">
        <f t="shared" si="47"/>
        <v>#VALUE!</v>
      </c>
    </row>
    <row r="2134" spans="6:7" x14ac:dyDescent="0.45">
      <c r="F2134" t="s">
        <v>804</v>
      </c>
      <c r="G2134" t="e">
        <f t="shared" si="47"/>
        <v>#VALUE!</v>
      </c>
    </row>
    <row r="2135" spans="6:7" x14ac:dyDescent="0.45">
      <c r="F2135" t="s">
        <v>804</v>
      </c>
      <c r="G2135" t="e">
        <f t="shared" si="47"/>
        <v>#VALUE!</v>
      </c>
    </row>
    <row r="2136" spans="6:7" x14ac:dyDescent="0.45">
      <c r="F2136" t="s">
        <v>804</v>
      </c>
      <c r="G2136" t="e">
        <f t="shared" si="47"/>
        <v>#VALUE!</v>
      </c>
    </row>
    <row r="2137" spans="6:7" x14ac:dyDescent="0.45">
      <c r="F2137" t="s">
        <v>804</v>
      </c>
      <c r="G2137" t="e">
        <f t="shared" si="47"/>
        <v>#VALUE!</v>
      </c>
    </row>
    <row r="2138" spans="6:7" x14ac:dyDescent="0.45">
      <c r="F2138" t="s">
        <v>804</v>
      </c>
      <c r="G2138" t="e">
        <f t="shared" si="47"/>
        <v>#VALUE!</v>
      </c>
    </row>
    <row r="2139" spans="6:7" x14ac:dyDescent="0.45">
      <c r="F2139" t="s">
        <v>804</v>
      </c>
      <c r="G2139" t="e">
        <f t="shared" si="47"/>
        <v>#VALUE!</v>
      </c>
    </row>
    <row r="2140" spans="6:7" x14ac:dyDescent="0.45">
      <c r="F2140" t="s">
        <v>804</v>
      </c>
      <c r="G2140" t="e">
        <f t="shared" si="47"/>
        <v>#VALUE!</v>
      </c>
    </row>
    <row r="2141" spans="6:7" x14ac:dyDescent="0.45">
      <c r="F2141" t="s">
        <v>804</v>
      </c>
      <c r="G2141" t="e">
        <f t="shared" si="47"/>
        <v>#VALUE!</v>
      </c>
    </row>
    <row r="2142" spans="6:7" x14ac:dyDescent="0.45">
      <c r="F2142" t="s">
        <v>804</v>
      </c>
      <c r="G2142" t="e">
        <f t="shared" si="47"/>
        <v>#VALUE!</v>
      </c>
    </row>
    <row r="2143" spans="6:7" x14ac:dyDescent="0.45">
      <c r="F2143" t="s">
        <v>804</v>
      </c>
      <c r="G2143" t="e">
        <f t="shared" si="47"/>
        <v>#VALUE!</v>
      </c>
    </row>
    <row r="2144" spans="6:7" x14ac:dyDescent="0.45">
      <c r="F2144" t="s">
        <v>804</v>
      </c>
      <c r="G2144" t="e">
        <f t="shared" si="47"/>
        <v>#VALUE!</v>
      </c>
    </row>
    <row r="2145" spans="6:7" x14ac:dyDescent="0.45">
      <c r="F2145" t="s">
        <v>804</v>
      </c>
      <c r="G2145" t="e">
        <f t="shared" si="47"/>
        <v>#VALUE!</v>
      </c>
    </row>
    <row r="2146" spans="6:7" x14ac:dyDescent="0.45">
      <c r="F2146" t="s">
        <v>804</v>
      </c>
      <c r="G2146" t="e">
        <f t="shared" si="47"/>
        <v>#VALUE!</v>
      </c>
    </row>
    <row r="2147" spans="6:7" x14ac:dyDescent="0.45">
      <c r="F2147" t="s">
        <v>804</v>
      </c>
      <c r="G2147" t="e">
        <f t="shared" si="47"/>
        <v>#VALUE!</v>
      </c>
    </row>
    <row r="2148" spans="6:7" x14ac:dyDescent="0.45">
      <c r="F2148" t="s">
        <v>804</v>
      </c>
      <c r="G2148" t="e">
        <f t="shared" si="47"/>
        <v>#VALUE!</v>
      </c>
    </row>
    <row r="2149" spans="6:7" x14ac:dyDescent="0.45">
      <c r="F2149" t="s">
        <v>804</v>
      </c>
      <c r="G2149" t="e">
        <f t="shared" si="47"/>
        <v>#VALUE!</v>
      </c>
    </row>
    <row r="2150" spans="6:7" x14ac:dyDescent="0.45">
      <c r="F2150" t="s">
        <v>804</v>
      </c>
      <c r="G2150" t="e">
        <f t="shared" si="47"/>
        <v>#VALUE!</v>
      </c>
    </row>
    <row r="2151" spans="6:7" x14ac:dyDescent="0.45">
      <c r="F2151" t="s">
        <v>804</v>
      </c>
      <c r="G2151" t="e">
        <f t="shared" si="47"/>
        <v>#VALUE!</v>
      </c>
    </row>
    <row r="2152" spans="6:7" x14ac:dyDescent="0.45">
      <c r="F2152" t="s">
        <v>804</v>
      </c>
      <c r="G2152" t="e">
        <f t="shared" si="47"/>
        <v>#VALUE!</v>
      </c>
    </row>
    <row r="2153" spans="6:7" x14ac:dyDescent="0.45">
      <c r="F2153" t="s">
        <v>804</v>
      </c>
      <c r="G2153" t="e">
        <f t="shared" si="47"/>
        <v>#VALUE!</v>
      </c>
    </row>
    <row r="2154" spans="6:7" x14ac:dyDescent="0.45">
      <c r="F2154" t="s">
        <v>804</v>
      </c>
      <c r="G2154" t="e">
        <f t="shared" si="47"/>
        <v>#VALUE!</v>
      </c>
    </row>
    <row r="2155" spans="6:7" x14ac:dyDescent="0.45">
      <c r="F2155" t="s">
        <v>804</v>
      </c>
      <c r="G2155" t="e">
        <f t="shared" si="47"/>
        <v>#VALUE!</v>
      </c>
    </row>
    <row r="2156" spans="6:7" x14ac:dyDescent="0.45">
      <c r="F2156" t="s">
        <v>804</v>
      </c>
      <c r="G2156" t="e">
        <f t="shared" si="47"/>
        <v>#VALUE!</v>
      </c>
    </row>
    <row r="2157" spans="6:7" x14ac:dyDescent="0.45">
      <c r="F2157" t="s">
        <v>804</v>
      </c>
      <c r="G2157" t="e">
        <f t="shared" si="47"/>
        <v>#VALUE!</v>
      </c>
    </row>
    <row r="2158" spans="6:7" x14ac:dyDescent="0.45">
      <c r="F2158" t="s">
        <v>804</v>
      </c>
      <c r="G2158" t="e">
        <f t="shared" si="47"/>
        <v>#VALUE!</v>
      </c>
    </row>
    <row r="2159" spans="6:7" x14ac:dyDescent="0.45">
      <c r="F2159" t="s">
        <v>804</v>
      </c>
      <c r="G2159" t="e">
        <f t="shared" si="47"/>
        <v>#VALUE!</v>
      </c>
    </row>
    <row r="2160" spans="6:7" x14ac:dyDescent="0.45">
      <c r="F2160" t="s">
        <v>804</v>
      </c>
      <c r="G2160" t="e">
        <f t="shared" si="47"/>
        <v>#VALUE!</v>
      </c>
    </row>
    <row r="2161" spans="6:7" x14ac:dyDescent="0.45">
      <c r="F2161" t="s">
        <v>804</v>
      </c>
      <c r="G2161" t="e">
        <f t="shared" si="47"/>
        <v>#VALUE!</v>
      </c>
    </row>
    <row r="2162" spans="6:7" x14ac:dyDescent="0.45">
      <c r="F2162" t="s">
        <v>804</v>
      </c>
      <c r="G2162" t="e">
        <f t="shared" si="47"/>
        <v>#VALUE!</v>
      </c>
    </row>
    <row r="2163" spans="6:7" x14ac:dyDescent="0.45">
      <c r="F2163" t="s">
        <v>804</v>
      </c>
      <c r="G2163" t="e">
        <f t="shared" si="47"/>
        <v>#VALUE!</v>
      </c>
    </row>
    <row r="2164" spans="6:7" x14ac:dyDescent="0.45">
      <c r="F2164" t="s">
        <v>804</v>
      </c>
      <c r="G2164" t="e">
        <f t="shared" si="47"/>
        <v>#VALUE!</v>
      </c>
    </row>
    <row r="2165" spans="6:7" x14ac:dyDescent="0.45">
      <c r="F2165" t="s">
        <v>804</v>
      </c>
      <c r="G2165" t="e">
        <f t="shared" si="47"/>
        <v>#VALUE!</v>
      </c>
    </row>
    <row r="2166" spans="6:7" x14ac:dyDescent="0.45">
      <c r="F2166" t="s">
        <v>804</v>
      </c>
      <c r="G2166" t="e">
        <f t="shared" si="47"/>
        <v>#VALUE!</v>
      </c>
    </row>
    <row r="2167" spans="6:7" x14ac:dyDescent="0.45">
      <c r="F2167" t="s">
        <v>804</v>
      </c>
      <c r="G2167" t="e">
        <f t="shared" si="47"/>
        <v>#VALUE!</v>
      </c>
    </row>
    <row r="2168" spans="6:7" x14ac:dyDescent="0.45">
      <c r="F2168" t="s">
        <v>804</v>
      </c>
      <c r="G2168" t="e">
        <f t="shared" si="47"/>
        <v>#VALUE!</v>
      </c>
    </row>
    <row r="2169" spans="6:7" x14ac:dyDescent="0.45">
      <c r="F2169" t="s">
        <v>804</v>
      </c>
      <c r="G2169" t="e">
        <f t="shared" si="47"/>
        <v>#VALUE!</v>
      </c>
    </row>
    <row r="2170" spans="6:7" x14ac:dyDescent="0.45">
      <c r="F2170" t="s">
        <v>804</v>
      </c>
      <c r="G2170" t="e">
        <f t="shared" si="47"/>
        <v>#VALUE!</v>
      </c>
    </row>
    <row r="2171" spans="6:7" x14ac:dyDescent="0.45">
      <c r="F2171" t="s">
        <v>804</v>
      </c>
      <c r="G2171" t="e">
        <f t="shared" si="47"/>
        <v>#VALUE!</v>
      </c>
    </row>
    <row r="2172" spans="6:7" x14ac:dyDescent="0.45">
      <c r="F2172" t="s">
        <v>804</v>
      </c>
      <c r="G2172" t="e">
        <f t="shared" si="47"/>
        <v>#VALUE!</v>
      </c>
    </row>
    <row r="2173" spans="6:7" x14ac:dyDescent="0.45">
      <c r="F2173" t="s">
        <v>804</v>
      </c>
      <c r="G2173" t="e">
        <f t="shared" si="47"/>
        <v>#VALUE!</v>
      </c>
    </row>
    <row r="2174" spans="6:7" x14ac:dyDescent="0.45">
      <c r="F2174" t="s">
        <v>804</v>
      </c>
      <c r="G2174" t="e">
        <f t="shared" si="47"/>
        <v>#VALUE!</v>
      </c>
    </row>
    <row r="2175" spans="6:7" x14ac:dyDescent="0.45">
      <c r="F2175" t="s">
        <v>804</v>
      </c>
      <c r="G2175" t="e">
        <f t="shared" si="47"/>
        <v>#VALUE!</v>
      </c>
    </row>
    <row r="2176" spans="6:7" x14ac:dyDescent="0.45">
      <c r="F2176" t="s">
        <v>804</v>
      </c>
      <c r="G2176" t="e">
        <f t="shared" si="47"/>
        <v>#VALUE!</v>
      </c>
    </row>
    <row r="2177" spans="6:7" x14ac:dyDescent="0.45">
      <c r="F2177" t="s">
        <v>804</v>
      </c>
      <c r="G2177" t="e">
        <f t="shared" si="47"/>
        <v>#VALUE!</v>
      </c>
    </row>
    <row r="2178" spans="6:7" x14ac:dyDescent="0.45">
      <c r="F2178" t="s">
        <v>804</v>
      </c>
      <c r="G2178" t="e">
        <f t="shared" si="47"/>
        <v>#VALUE!</v>
      </c>
    </row>
    <row r="2179" spans="6:7" x14ac:dyDescent="0.45">
      <c r="F2179" t="s">
        <v>804</v>
      </c>
      <c r="G2179" t="e">
        <f t="shared" ref="G2179:G2242" si="48">+F2179+0</f>
        <v>#VALUE!</v>
      </c>
    </row>
    <row r="2180" spans="6:7" x14ac:dyDescent="0.45">
      <c r="F2180" t="s">
        <v>804</v>
      </c>
      <c r="G2180" t="e">
        <f t="shared" si="48"/>
        <v>#VALUE!</v>
      </c>
    </row>
    <row r="2181" spans="6:7" x14ac:dyDescent="0.45">
      <c r="F2181" t="s">
        <v>804</v>
      </c>
      <c r="G2181" t="e">
        <f t="shared" si="48"/>
        <v>#VALUE!</v>
      </c>
    </row>
    <row r="2182" spans="6:7" x14ac:dyDescent="0.45">
      <c r="F2182" t="s">
        <v>804</v>
      </c>
      <c r="G2182" t="e">
        <f t="shared" si="48"/>
        <v>#VALUE!</v>
      </c>
    </row>
    <row r="2183" spans="6:7" x14ac:dyDescent="0.45">
      <c r="F2183" t="s">
        <v>804</v>
      </c>
      <c r="G2183" t="e">
        <f t="shared" si="48"/>
        <v>#VALUE!</v>
      </c>
    </row>
    <row r="2184" spans="6:7" x14ac:dyDescent="0.45">
      <c r="F2184" t="s">
        <v>804</v>
      </c>
      <c r="G2184" t="e">
        <f t="shared" si="48"/>
        <v>#VALUE!</v>
      </c>
    </row>
    <row r="2185" spans="6:7" x14ac:dyDescent="0.45">
      <c r="F2185" t="s">
        <v>804</v>
      </c>
      <c r="G2185" t="e">
        <f t="shared" si="48"/>
        <v>#VALUE!</v>
      </c>
    </row>
    <row r="2186" spans="6:7" x14ac:dyDescent="0.45">
      <c r="F2186" t="s">
        <v>804</v>
      </c>
      <c r="G2186" t="e">
        <f t="shared" si="48"/>
        <v>#VALUE!</v>
      </c>
    </row>
    <row r="2187" spans="6:7" x14ac:dyDescent="0.45">
      <c r="F2187" t="s">
        <v>804</v>
      </c>
      <c r="G2187" t="e">
        <f t="shared" si="48"/>
        <v>#VALUE!</v>
      </c>
    </row>
    <row r="2188" spans="6:7" x14ac:dyDescent="0.45">
      <c r="F2188" t="s">
        <v>804</v>
      </c>
      <c r="G2188" t="e">
        <f t="shared" si="48"/>
        <v>#VALUE!</v>
      </c>
    </row>
    <row r="2189" spans="6:7" x14ac:dyDescent="0.45">
      <c r="F2189" t="s">
        <v>804</v>
      </c>
      <c r="G2189" t="e">
        <f t="shared" si="48"/>
        <v>#VALUE!</v>
      </c>
    </row>
    <row r="2190" spans="6:7" x14ac:dyDescent="0.45">
      <c r="F2190" t="s">
        <v>804</v>
      </c>
      <c r="G2190" t="e">
        <f t="shared" si="48"/>
        <v>#VALUE!</v>
      </c>
    </row>
    <row r="2191" spans="6:7" x14ac:dyDescent="0.45">
      <c r="F2191" t="s">
        <v>804</v>
      </c>
      <c r="G2191" t="e">
        <f t="shared" si="48"/>
        <v>#VALUE!</v>
      </c>
    </row>
    <row r="2192" spans="6:7" x14ac:dyDescent="0.45">
      <c r="F2192" t="s">
        <v>804</v>
      </c>
      <c r="G2192" t="e">
        <f t="shared" si="48"/>
        <v>#VALUE!</v>
      </c>
    </row>
    <row r="2193" spans="6:7" x14ac:dyDescent="0.45">
      <c r="F2193" t="s">
        <v>804</v>
      </c>
      <c r="G2193" t="e">
        <f t="shared" si="48"/>
        <v>#VALUE!</v>
      </c>
    </row>
    <row r="2194" spans="6:7" x14ac:dyDescent="0.45">
      <c r="F2194" t="s">
        <v>804</v>
      </c>
      <c r="G2194" t="e">
        <f t="shared" si="48"/>
        <v>#VALUE!</v>
      </c>
    </row>
    <row r="2195" spans="6:7" x14ac:dyDescent="0.45">
      <c r="F2195" t="s">
        <v>804</v>
      </c>
      <c r="G2195" t="e">
        <f t="shared" si="48"/>
        <v>#VALUE!</v>
      </c>
    </row>
    <row r="2196" spans="6:7" x14ac:dyDescent="0.45">
      <c r="F2196" t="s">
        <v>804</v>
      </c>
      <c r="G2196" t="e">
        <f t="shared" si="48"/>
        <v>#VALUE!</v>
      </c>
    </row>
    <row r="2197" spans="6:7" x14ac:dyDescent="0.45">
      <c r="F2197" t="s">
        <v>804</v>
      </c>
      <c r="G2197" t="e">
        <f t="shared" si="48"/>
        <v>#VALUE!</v>
      </c>
    </row>
    <row r="2198" spans="6:7" x14ac:dyDescent="0.45">
      <c r="F2198" t="s">
        <v>804</v>
      </c>
      <c r="G2198" t="e">
        <f t="shared" si="48"/>
        <v>#VALUE!</v>
      </c>
    </row>
    <row r="2199" spans="6:7" x14ac:dyDescent="0.45">
      <c r="F2199" t="s">
        <v>804</v>
      </c>
      <c r="G2199" t="e">
        <f t="shared" si="48"/>
        <v>#VALUE!</v>
      </c>
    </row>
    <row r="2200" spans="6:7" x14ac:dyDescent="0.45">
      <c r="F2200" t="s">
        <v>804</v>
      </c>
      <c r="G2200" t="e">
        <f t="shared" si="48"/>
        <v>#VALUE!</v>
      </c>
    </row>
    <row r="2201" spans="6:7" x14ac:dyDescent="0.45">
      <c r="F2201" t="s">
        <v>804</v>
      </c>
      <c r="G2201" t="e">
        <f t="shared" si="48"/>
        <v>#VALUE!</v>
      </c>
    </row>
    <row r="2202" spans="6:7" x14ac:dyDescent="0.45">
      <c r="F2202" t="s">
        <v>804</v>
      </c>
      <c r="G2202" t="e">
        <f t="shared" si="48"/>
        <v>#VALUE!</v>
      </c>
    </row>
    <row r="2203" spans="6:7" x14ac:dyDescent="0.45">
      <c r="F2203" t="s">
        <v>804</v>
      </c>
      <c r="G2203" t="e">
        <f t="shared" si="48"/>
        <v>#VALUE!</v>
      </c>
    </row>
    <row r="2204" spans="6:7" x14ac:dyDescent="0.45">
      <c r="F2204" t="s">
        <v>804</v>
      </c>
      <c r="G2204" t="e">
        <f t="shared" si="48"/>
        <v>#VALUE!</v>
      </c>
    </row>
    <row r="2205" spans="6:7" x14ac:dyDescent="0.45">
      <c r="F2205" t="s">
        <v>804</v>
      </c>
      <c r="G2205" t="e">
        <f t="shared" si="48"/>
        <v>#VALUE!</v>
      </c>
    </row>
    <row r="2206" spans="6:7" x14ac:dyDescent="0.45">
      <c r="F2206" t="s">
        <v>804</v>
      </c>
      <c r="G2206" t="e">
        <f t="shared" si="48"/>
        <v>#VALUE!</v>
      </c>
    </row>
    <row r="2207" spans="6:7" x14ac:dyDescent="0.45">
      <c r="F2207" t="s">
        <v>804</v>
      </c>
      <c r="G2207" t="e">
        <f t="shared" si="48"/>
        <v>#VALUE!</v>
      </c>
    </row>
    <row r="2208" spans="6:7" x14ac:dyDescent="0.45">
      <c r="F2208" t="s">
        <v>804</v>
      </c>
      <c r="G2208" t="e">
        <f t="shared" si="48"/>
        <v>#VALUE!</v>
      </c>
    </row>
    <row r="2209" spans="6:7" x14ac:dyDescent="0.45">
      <c r="F2209" t="s">
        <v>804</v>
      </c>
      <c r="G2209" t="e">
        <f t="shared" si="48"/>
        <v>#VALUE!</v>
      </c>
    </row>
    <row r="2210" spans="6:7" x14ac:dyDescent="0.45">
      <c r="F2210" t="s">
        <v>804</v>
      </c>
      <c r="G2210" t="e">
        <f t="shared" si="48"/>
        <v>#VALUE!</v>
      </c>
    </row>
    <row r="2211" spans="6:7" x14ac:dyDescent="0.45">
      <c r="F2211" t="s">
        <v>804</v>
      </c>
      <c r="G2211" t="e">
        <f t="shared" si="48"/>
        <v>#VALUE!</v>
      </c>
    </row>
    <row r="2212" spans="6:7" x14ac:dyDescent="0.45">
      <c r="F2212" t="s">
        <v>804</v>
      </c>
      <c r="G2212" t="e">
        <f t="shared" si="48"/>
        <v>#VALUE!</v>
      </c>
    </row>
    <row r="2213" spans="6:7" x14ac:dyDescent="0.45">
      <c r="F2213" t="s">
        <v>804</v>
      </c>
      <c r="G2213" t="e">
        <f t="shared" si="48"/>
        <v>#VALUE!</v>
      </c>
    </row>
    <row r="2214" spans="6:7" x14ac:dyDescent="0.45">
      <c r="F2214" t="s">
        <v>804</v>
      </c>
      <c r="G2214" t="e">
        <f t="shared" si="48"/>
        <v>#VALUE!</v>
      </c>
    </row>
    <row r="2215" spans="6:7" x14ac:dyDescent="0.45">
      <c r="F2215" t="s">
        <v>804</v>
      </c>
      <c r="G2215" t="e">
        <f t="shared" si="48"/>
        <v>#VALUE!</v>
      </c>
    </row>
    <row r="2216" spans="6:7" x14ac:dyDescent="0.45">
      <c r="F2216" t="s">
        <v>804</v>
      </c>
      <c r="G2216" t="e">
        <f t="shared" si="48"/>
        <v>#VALUE!</v>
      </c>
    </row>
    <row r="2217" spans="6:7" x14ac:dyDescent="0.45">
      <c r="F2217" t="s">
        <v>804</v>
      </c>
      <c r="G2217" t="e">
        <f t="shared" si="48"/>
        <v>#VALUE!</v>
      </c>
    </row>
    <row r="2218" spans="6:7" x14ac:dyDescent="0.45">
      <c r="F2218" t="s">
        <v>804</v>
      </c>
      <c r="G2218" t="e">
        <f t="shared" si="48"/>
        <v>#VALUE!</v>
      </c>
    </row>
    <row r="2219" spans="6:7" x14ac:dyDescent="0.45">
      <c r="F2219" t="s">
        <v>804</v>
      </c>
      <c r="G2219" t="e">
        <f t="shared" si="48"/>
        <v>#VALUE!</v>
      </c>
    </row>
    <row r="2220" spans="6:7" x14ac:dyDescent="0.45">
      <c r="F2220" t="s">
        <v>804</v>
      </c>
      <c r="G2220" t="e">
        <f t="shared" si="48"/>
        <v>#VALUE!</v>
      </c>
    </row>
    <row r="2221" spans="6:7" x14ac:dyDescent="0.45">
      <c r="F2221" t="s">
        <v>804</v>
      </c>
      <c r="G2221" t="e">
        <f t="shared" si="48"/>
        <v>#VALUE!</v>
      </c>
    </row>
    <row r="2222" spans="6:7" x14ac:dyDescent="0.45">
      <c r="F2222" t="s">
        <v>804</v>
      </c>
      <c r="G2222" t="e">
        <f t="shared" si="48"/>
        <v>#VALUE!</v>
      </c>
    </row>
    <row r="2223" spans="6:7" x14ac:dyDescent="0.45">
      <c r="F2223" t="s">
        <v>804</v>
      </c>
      <c r="G2223" t="e">
        <f t="shared" si="48"/>
        <v>#VALUE!</v>
      </c>
    </row>
    <row r="2224" spans="6:7" x14ac:dyDescent="0.45">
      <c r="F2224" t="s">
        <v>804</v>
      </c>
      <c r="G2224" t="e">
        <f t="shared" si="48"/>
        <v>#VALUE!</v>
      </c>
    </row>
    <row r="2225" spans="6:7" x14ac:dyDescent="0.45">
      <c r="F2225" t="s">
        <v>804</v>
      </c>
      <c r="G2225" t="e">
        <f t="shared" si="48"/>
        <v>#VALUE!</v>
      </c>
    </row>
    <row r="2226" spans="6:7" x14ac:dyDescent="0.45">
      <c r="F2226" t="s">
        <v>804</v>
      </c>
      <c r="G2226" t="e">
        <f t="shared" si="48"/>
        <v>#VALUE!</v>
      </c>
    </row>
    <row r="2227" spans="6:7" x14ac:dyDescent="0.45">
      <c r="F2227" t="s">
        <v>804</v>
      </c>
      <c r="G2227" t="e">
        <f t="shared" si="48"/>
        <v>#VALUE!</v>
      </c>
    </row>
    <row r="2228" spans="6:7" x14ac:dyDescent="0.45">
      <c r="F2228" t="s">
        <v>804</v>
      </c>
      <c r="G2228" t="e">
        <f t="shared" si="48"/>
        <v>#VALUE!</v>
      </c>
    </row>
    <row r="2229" spans="6:7" x14ac:dyDescent="0.45">
      <c r="F2229" t="s">
        <v>804</v>
      </c>
      <c r="G2229" t="e">
        <f t="shared" si="48"/>
        <v>#VALUE!</v>
      </c>
    </row>
    <row r="2230" spans="6:7" x14ac:dyDescent="0.45">
      <c r="F2230" t="s">
        <v>804</v>
      </c>
      <c r="G2230" t="e">
        <f t="shared" si="48"/>
        <v>#VALUE!</v>
      </c>
    </row>
    <row r="2231" spans="6:7" x14ac:dyDescent="0.45">
      <c r="F2231" t="s">
        <v>804</v>
      </c>
      <c r="G2231" t="e">
        <f t="shared" si="48"/>
        <v>#VALUE!</v>
      </c>
    </row>
    <row r="2232" spans="6:7" x14ac:dyDescent="0.45">
      <c r="F2232" t="s">
        <v>804</v>
      </c>
      <c r="G2232" t="e">
        <f t="shared" si="48"/>
        <v>#VALUE!</v>
      </c>
    </row>
    <row r="2233" spans="6:7" x14ac:dyDescent="0.45">
      <c r="F2233" t="s">
        <v>804</v>
      </c>
      <c r="G2233" t="e">
        <f t="shared" si="48"/>
        <v>#VALUE!</v>
      </c>
    </row>
    <row r="2234" spans="6:7" x14ac:dyDescent="0.45">
      <c r="F2234" t="s">
        <v>804</v>
      </c>
      <c r="G2234" t="e">
        <f t="shared" si="48"/>
        <v>#VALUE!</v>
      </c>
    </row>
    <row r="2235" spans="6:7" x14ac:dyDescent="0.45">
      <c r="F2235" t="s">
        <v>804</v>
      </c>
      <c r="G2235" t="e">
        <f t="shared" si="48"/>
        <v>#VALUE!</v>
      </c>
    </row>
    <row r="2236" spans="6:7" x14ac:dyDescent="0.45">
      <c r="F2236" t="s">
        <v>804</v>
      </c>
      <c r="G2236" t="e">
        <f t="shared" si="48"/>
        <v>#VALUE!</v>
      </c>
    </row>
    <row r="2237" spans="6:7" x14ac:dyDescent="0.45">
      <c r="F2237" t="s">
        <v>804</v>
      </c>
      <c r="G2237" t="e">
        <f t="shared" si="48"/>
        <v>#VALUE!</v>
      </c>
    </row>
    <row r="2238" spans="6:7" x14ac:dyDescent="0.45">
      <c r="F2238" t="s">
        <v>804</v>
      </c>
      <c r="G2238" t="e">
        <f t="shared" si="48"/>
        <v>#VALUE!</v>
      </c>
    </row>
    <row r="2239" spans="6:7" x14ac:dyDescent="0.45">
      <c r="F2239" t="s">
        <v>804</v>
      </c>
      <c r="G2239" t="e">
        <f t="shared" si="48"/>
        <v>#VALUE!</v>
      </c>
    </row>
    <row r="2240" spans="6:7" x14ac:dyDescent="0.45">
      <c r="F2240" t="s">
        <v>804</v>
      </c>
      <c r="G2240" t="e">
        <f t="shared" si="48"/>
        <v>#VALUE!</v>
      </c>
    </row>
    <row r="2241" spans="6:7" x14ac:dyDescent="0.45">
      <c r="F2241" t="s">
        <v>804</v>
      </c>
      <c r="G2241" t="e">
        <f t="shared" si="48"/>
        <v>#VALUE!</v>
      </c>
    </row>
    <row r="2242" spans="6:7" x14ac:dyDescent="0.45">
      <c r="F2242" t="s">
        <v>804</v>
      </c>
      <c r="G2242" t="e">
        <f t="shared" si="48"/>
        <v>#VALUE!</v>
      </c>
    </row>
    <row r="2243" spans="6:7" x14ac:dyDescent="0.45">
      <c r="F2243" t="s">
        <v>804</v>
      </c>
      <c r="G2243" t="e">
        <f t="shared" ref="G2243:G2306" si="49">+F2243+0</f>
        <v>#VALUE!</v>
      </c>
    </row>
    <row r="2244" spans="6:7" x14ac:dyDescent="0.45">
      <c r="F2244" t="s">
        <v>804</v>
      </c>
      <c r="G2244" t="e">
        <f t="shared" si="49"/>
        <v>#VALUE!</v>
      </c>
    </row>
    <row r="2245" spans="6:7" x14ac:dyDescent="0.45">
      <c r="F2245" t="s">
        <v>804</v>
      </c>
      <c r="G2245" t="e">
        <f t="shared" si="49"/>
        <v>#VALUE!</v>
      </c>
    </row>
    <row r="2246" spans="6:7" x14ac:dyDescent="0.45">
      <c r="F2246" t="s">
        <v>804</v>
      </c>
      <c r="G2246" t="e">
        <f t="shared" si="49"/>
        <v>#VALUE!</v>
      </c>
    </row>
    <row r="2247" spans="6:7" x14ac:dyDescent="0.45">
      <c r="F2247" t="s">
        <v>804</v>
      </c>
      <c r="G2247" t="e">
        <f t="shared" si="49"/>
        <v>#VALUE!</v>
      </c>
    </row>
    <row r="2248" spans="6:7" x14ac:dyDescent="0.45">
      <c r="F2248" t="s">
        <v>804</v>
      </c>
      <c r="G2248" t="e">
        <f t="shared" si="49"/>
        <v>#VALUE!</v>
      </c>
    </row>
    <row r="2249" spans="6:7" x14ac:dyDescent="0.45">
      <c r="F2249" t="s">
        <v>804</v>
      </c>
      <c r="G2249" t="e">
        <f t="shared" si="49"/>
        <v>#VALUE!</v>
      </c>
    </row>
    <row r="2250" spans="6:7" x14ac:dyDescent="0.45">
      <c r="F2250" t="s">
        <v>804</v>
      </c>
      <c r="G2250" t="e">
        <f t="shared" si="49"/>
        <v>#VALUE!</v>
      </c>
    </row>
    <row r="2251" spans="6:7" x14ac:dyDescent="0.45">
      <c r="F2251" t="s">
        <v>804</v>
      </c>
      <c r="G2251" t="e">
        <f t="shared" si="49"/>
        <v>#VALUE!</v>
      </c>
    </row>
    <row r="2252" spans="6:7" x14ac:dyDescent="0.45">
      <c r="F2252" t="s">
        <v>804</v>
      </c>
      <c r="G2252" t="e">
        <f t="shared" si="49"/>
        <v>#VALUE!</v>
      </c>
    </row>
    <row r="2253" spans="6:7" x14ac:dyDescent="0.45">
      <c r="F2253" t="s">
        <v>804</v>
      </c>
      <c r="G2253" t="e">
        <f t="shared" si="49"/>
        <v>#VALUE!</v>
      </c>
    </row>
    <row r="2254" spans="6:7" x14ac:dyDescent="0.45">
      <c r="F2254" t="s">
        <v>804</v>
      </c>
      <c r="G2254" t="e">
        <f t="shared" si="49"/>
        <v>#VALUE!</v>
      </c>
    </row>
    <row r="2255" spans="6:7" x14ac:dyDescent="0.45">
      <c r="F2255" t="s">
        <v>804</v>
      </c>
      <c r="G2255" t="e">
        <f t="shared" si="49"/>
        <v>#VALUE!</v>
      </c>
    </row>
    <row r="2256" spans="6:7" x14ac:dyDescent="0.45">
      <c r="F2256" t="s">
        <v>804</v>
      </c>
      <c r="G2256" t="e">
        <f t="shared" si="49"/>
        <v>#VALUE!</v>
      </c>
    </row>
    <row r="2257" spans="6:7" x14ac:dyDescent="0.45">
      <c r="F2257" t="s">
        <v>804</v>
      </c>
      <c r="G2257" t="e">
        <f t="shared" si="49"/>
        <v>#VALUE!</v>
      </c>
    </row>
    <row r="2258" spans="6:7" x14ac:dyDescent="0.45">
      <c r="F2258" t="s">
        <v>804</v>
      </c>
      <c r="G2258" t="e">
        <f t="shared" si="49"/>
        <v>#VALUE!</v>
      </c>
    </row>
    <row r="2259" spans="6:7" x14ac:dyDescent="0.45">
      <c r="F2259" t="s">
        <v>804</v>
      </c>
      <c r="G2259" t="e">
        <f t="shared" si="49"/>
        <v>#VALUE!</v>
      </c>
    </row>
    <row r="2260" spans="6:7" x14ac:dyDescent="0.45">
      <c r="F2260" t="s">
        <v>804</v>
      </c>
      <c r="G2260" t="e">
        <f t="shared" si="49"/>
        <v>#VALUE!</v>
      </c>
    </row>
    <row r="2261" spans="6:7" x14ac:dyDescent="0.45">
      <c r="F2261" t="s">
        <v>804</v>
      </c>
      <c r="G2261" t="e">
        <f t="shared" si="49"/>
        <v>#VALUE!</v>
      </c>
    </row>
    <row r="2262" spans="6:7" x14ac:dyDescent="0.45">
      <c r="F2262" t="s">
        <v>804</v>
      </c>
      <c r="G2262" t="e">
        <f t="shared" si="49"/>
        <v>#VALUE!</v>
      </c>
    </row>
    <row r="2263" spans="6:7" x14ac:dyDescent="0.45">
      <c r="F2263" t="s">
        <v>804</v>
      </c>
      <c r="G2263" t="e">
        <f t="shared" si="49"/>
        <v>#VALUE!</v>
      </c>
    </row>
    <row r="2264" spans="6:7" x14ac:dyDescent="0.45">
      <c r="F2264" t="s">
        <v>804</v>
      </c>
      <c r="G2264" t="e">
        <f t="shared" si="49"/>
        <v>#VALUE!</v>
      </c>
    </row>
    <row r="2265" spans="6:7" x14ac:dyDescent="0.45">
      <c r="F2265" t="s">
        <v>804</v>
      </c>
      <c r="G2265" t="e">
        <f t="shared" si="49"/>
        <v>#VALUE!</v>
      </c>
    </row>
    <row r="2266" spans="6:7" x14ac:dyDescent="0.45">
      <c r="F2266" t="s">
        <v>804</v>
      </c>
      <c r="G2266" t="e">
        <f t="shared" si="49"/>
        <v>#VALUE!</v>
      </c>
    </row>
    <row r="2267" spans="6:7" x14ac:dyDescent="0.45">
      <c r="F2267" t="s">
        <v>804</v>
      </c>
      <c r="G2267" t="e">
        <f t="shared" si="49"/>
        <v>#VALUE!</v>
      </c>
    </row>
    <row r="2268" spans="6:7" x14ac:dyDescent="0.45">
      <c r="F2268" t="s">
        <v>804</v>
      </c>
      <c r="G2268" t="e">
        <f t="shared" si="49"/>
        <v>#VALUE!</v>
      </c>
    </row>
    <row r="2269" spans="6:7" x14ac:dyDescent="0.45">
      <c r="F2269" t="s">
        <v>804</v>
      </c>
      <c r="G2269" t="e">
        <f t="shared" si="49"/>
        <v>#VALUE!</v>
      </c>
    </row>
    <row r="2270" spans="6:7" x14ac:dyDescent="0.45">
      <c r="F2270" t="s">
        <v>804</v>
      </c>
      <c r="G2270" t="e">
        <f t="shared" si="49"/>
        <v>#VALUE!</v>
      </c>
    </row>
    <row r="2271" spans="6:7" x14ac:dyDescent="0.45">
      <c r="F2271" t="s">
        <v>804</v>
      </c>
      <c r="G2271" t="e">
        <f t="shared" si="49"/>
        <v>#VALUE!</v>
      </c>
    </row>
    <row r="2272" spans="6:7" x14ac:dyDescent="0.45">
      <c r="F2272" t="s">
        <v>804</v>
      </c>
      <c r="G2272" t="e">
        <f t="shared" si="49"/>
        <v>#VALUE!</v>
      </c>
    </row>
    <row r="2273" spans="6:7" x14ac:dyDescent="0.45">
      <c r="F2273" t="s">
        <v>804</v>
      </c>
      <c r="G2273" t="e">
        <f t="shared" si="49"/>
        <v>#VALUE!</v>
      </c>
    </row>
    <row r="2274" spans="6:7" x14ac:dyDescent="0.45">
      <c r="F2274" t="s">
        <v>804</v>
      </c>
      <c r="G2274" t="e">
        <f t="shared" si="49"/>
        <v>#VALUE!</v>
      </c>
    </row>
    <row r="2275" spans="6:7" x14ac:dyDescent="0.45">
      <c r="F2275" t="s">
        <v>804</v>
      </c>
      <c r="G2275" t="e">
        <f t="shared" si="49"/>
        <v>#VALUE!</v>
      </c>
    </row>
    <row r="2276" spans="6:7" x14ac:dyDescent="0.45">
      <c r="F2276" t="s">
        <v>804</v>
      </c>
      <c r="G2276" t="e">
        <f t="shared" si="49"/>
        <v>#VALUE!</v>
      </c>
    </row>
    <row r="2277" spans="6:7" x14ac:dyDescent="0.45">
      <c r="F2277" t="s">
        <v>804</v>
      </c>
      <c r="G2277" t="e">
        <f t="shared" si="49"/>
        <v>#VALUE!</v>
      </c>
    </row>
    <row r="2278" spans="6:7" x14ac:dyDescent="0.45">
      <c r="F2278" t="s">
        <v>804</v>
      </c>
      <c r="G2278" t="e">
        <f t="shared" si="49"/>
        <v>#VALUE!</v>
      </c>
    </row>
    <row r="2279" spans="6:7" x14ac:dyDescent="0.45">
      <c r="F2279" t="s">
        <v>804</v>
      </c>
      <c r="G2279" t="e">
        <f t="shared" si="49"/>
        <v>#VALUE!</v>
      </c>
    </row>
    <row r="2280" spans="6:7" x14ac:dyDescent="0.45">
      <c r="F2280" t="s">
        <v>804</v>
      </c>
      <c r="G2280" t="e">
        <f t="shared" si="49"/>
        <v>#VALUE!</v>
      </c>
    </row>
    <row r="2281" spans="6:7" x14ac:dyDescent="0.45">
      <c r="F2281" t="s">
        <v>804</v>
      </c>
      <c r="G2281" t="e">
        <f t="shared" si="49"/>
        <v>#VALUE!</v>
      </c>
    </row>
    <row r="2282" spans="6:7" x14ac:dyDescent="0.45">
      <c r="F2282" t="s">
        <v>804</v>
      </c>
      <c r="G2282" t="e">
        <f t="shared" si="49"/>
        <v>#VALUE!</v>
      </c>
    </row>
    <row r="2283" spans="6:7" x14ac:dyDescent="0.45">
      <c r="F2283" t="s">
        <v>804</v>
      </c>
      <c r="G2283" t="e">
        <f t="shared" si="49"/>
        <v>#VALUE!</v>
      </c>
    </row>
    <row r="2284" spans="6:7" x14ac:dyDescent="0.45">
      <c r="F2284" t="s">
        <v>804</v>
      </c>
      <c r="G2284" t="e">
        <f t="shared" si="49"/>
        <v>#VALUE!</v>
      </c>
    </row>
    <row r="2285" spans="6:7" x14ac:dyDescent="0.45">
      <c r="F2285" t="s">
        <v>804</v>
      </c>
      <c r="G2285" t="e">
        <f t="shared" si="49"/>
        <v>#VALUE!</v>
      </c>
    </row>
    <row r="2286" spans="6:7" x14ac:dyDescent="0.45">
      <c r="F2286" t="s">
        <v>804</v>
      </c>
      <c r="G2286" t="e">
        <f t="shared" si="49"/>
        <v>#VALUE!</v>
      </c>
    </row>
    <row r="2287" spans="6:7" x14ac:dyDescent="0.45">
      <c r="F2287" t="s">
        <v>804</v>
      </c>
      <c r="G2287" t="e">
        <f t="shared" si="49"/>
        <v>#VALUE!</v>
      </c>
    </row>
    <row r="2288" spans="6:7" x14ac:dyDescent="0.45">
      <c r="F2288" t="s">
        <v>804</v>
      </c>
      <c r="G2288" t="e">
        <f t="shared" si="49"/>
        <v>#VALUE!</v>
      </c>
    </row>
    <row r="2289" spans="6:7" x14ac:dyDescent="0.45">
      <c r="F2289" t="s">
        <v>804</v>
      </c>
      <c r="G2289" t="e">
        <f t="shared" si="49"/>
        <v>#VALUE!</v>
      </c>
    </row>
    <row r="2290" spans="6:7" x14ac:dyDescent="0.45">
      <c r="F2290" t="s">
        <v>804</v>
      </c>
      <c r="G2290" t="e">
        <f t="shared" si="49"/>
        <v>#VALUE!</v>
      </c>
    </row>
    <row r="2291" spans="6:7" x14ac:dyDescent="0.45">
      <c r="F2291" t="s">
        <v>804</v>
      </c>
      <c r="G2291" t="e">
        <f t="shared" si="49"/>
        <v>#VALUE!</v>
      </c>
    </row>
    <row r="2292" spans="6:7" x14ac:dyDescent="0.45">
      <c r="F2292" t="s">
        <v>804</v>
      </c>
      <c r="G2292" t="e">
        <f t="shared" si="49"/>
        <v>#VALUE!</v>
      </c>
    </row>
    <row r="2293" spans="6:7" x14ac:dyDescent="0.45">
      <c r="F2293" t="s">
        <v>804</v>
      </c>
      <c r="G2293" t="e">
        <f t="shared" si="49"/>
        <v>#VALUE!</v>
      </c>
    </row>
    <row r="2294" spans="6:7" x14ac:dyDescent="0.45">
      <c r="F2294" t="s">
        <v>804</v>
      </c>
      <c r="G2294" t="e">
        <f t="shared" si="49"/>
        <v>#VALUE!</v>
      </c>
    </row>
    <row r="2295" spans="6:7" x14ac:dyDescent="0.45">
      <c r="F2295" t="s">
        <v>804</v>
      </c>
      <c r="G2295" t="e">
        <f t="shared" si="49"/>
        <v>#VALUE!</v>
      </c>
    </row>
    <row r="2296" spans="6:7" x14ac:dyDescent="0.45">
      <c r="F2296" t="s">
        <v>804</v>
      </c>
      <c r="G2296" t="e">
        <f t="shared" si="49"/>
        <v>#VALUE!</v>
      </c>
    </row>
    <row r="2297" spans="6:7" x14ac:dyDescent="0.45">
      <c r="F2297" t="s">
        <v>804</v>
      </c>
      <c r="G2297" t="e">
        <f t="shared" si="49"/>
        <v>#VALUE!</v>
      </c>
    </row>
    <row r="2298" spans="6:7" x14ac:dyDescent="0.45">
      <c r="F2298" t="s">
        <v>804</v>
      </c>
      <c r="G2298" t="e">
        <f t="shared" si="49"/>
        <v>#VALUE!</v>
      </c>
    </row>
    <row r="2299" spans="6:7" x14ac:dyDescent="0.45">
      <c r="F2299" t="s">
        <v>804</v>
      </c>
      <c r="G2299" t="e">
        <f t="shared" si="49"/>
        <v>#VALUE!</v>
      </c>
    </row>
    <row r="2300" spans="6:7" x14ac:dyDescent="0.45">
      <c r="F2300" t="s">
        <v>804</v>
      </c>
      <c r="G2300" t="e">
        <f t="shared" si="49"/>
        <v>#VALUE!</v>
      </c>
    </row>
    <row r="2301" spans="6:7" x14ac:dyDescent="0.45">
      <c r="F2301" t="s">
        <v>804</v>
      </c>
      <c r="G2301" t="e">
        <f t="shared" si="49"/>
        <v>#VALUE!</v>
      </c>
    </row>
    <row r="2302" spans="6:7" x14ac:dyDescent="0.45">
      <c r="F2302" t="s">
        <v>804</v>
      </c>
      <c r="G2302" t="e">
        <f t="shared" si="49"/>
        <v>#VALUE!</v>
      </c>
    </row>
    <row r="2303" spans="6:7" x14ac:dyDescent="0.45">
      <c r="F2303" t="s">
        <v>804</v>
      </c>
      <c r="G2303" t="e">
        <f t="shared" si="49"/>
        <v>#VALUE!</v>
      </c>
    </row>
    <row r="2304" spans="6:7" x14ac:dyDescent="0.45">
      <c r="F2304" t="s">
        <v>804</v>
      </c>
      <c r="G2304" t="e">
        <f t="shared" si="49"/>
        <v>#VALUE!</v>
      </c>
    </row>
    <row r="2305" spans="6:7" x14ac:dyDescent="0.45">
      <c r="F2305" t="s">
        <v>804</v>
      </c>
      <c r="G2305" t="e">
        <f t="shared" si="49"/>
        <v>#VALUE!</v>
      </c>
    </row>
    <row r="2306" spans="6:7" x14ac:dyDescent="0.45">
      <c r="F2306" t="s">
        <v>804</v>
      </c>
      <c r="G2306" t="e">
        <f t="shared" si="49"/>
        <v>#VALUE!</v>
      </c>
    </row>
    <row r="2307" spans="6:7" x14ac:dyDescent="0.45">
      <c r="F2307" t="s">
        <v>804</v>
      </c>
      <c r="G2307" t="e">
        <f t="shared" ref="G2307:G2370" si="50">+F2307+0</f>
        <v>#VALUE!</v>
      </c>
    </row>
    <row r="2308" spans="6:7" x14ac:dyDescent="0.45">
      <c r="F2308" t="s">
        <v>804</v>
      </c>
      <c r="G2308" t="e">
        <f t="shared" si="50"/>
        <v>#VALUE!</v>
      </c>
    </row>
    <row r="2309" spans="6:7" x14ac:dyDescent="0.45">
      <c r="F2309" t="s">
        <v>804</v>
      </c>
      <c r="G2309" t="e">
        <f t="shared" si="50"/>
        <v>#VALUE!</v>
      </c>
    </row>
    <row r="2310" spans="6:7" x14ac:dyDescent="0.45">
      <c r="F2310" t="s">
        <v>804</v>
      </c>
      <c r="G2310" t="e">
        <f t="shared" si="50"/>
        <v>#VALUE!</v>
      </c>
    </row>
    <row r="2311" spans="6:7" x14ac:dyDescent="0.45">
      <c r="F2311" t="s">
        <v>804</v>
      </c>
      <c r="G2311" t="e">
        <f t="shared" si="50"/>
        <v>#VALUE!</v>
      </c>
    </row>
    <row r="2312" spans="6:7" x14ac:dyDescent="0.45">
      <c r="F2312" t="s">
        <v>804</v>
      </c>
      <c r="G2312" t="e">
        <f t="shared" si="50"/>
        <v>#VALUE!</v>
      </c>
    </row>
    <row r="2313" spans="6:7" x14ac:dyDescent="0.45">
      <c r="F2313" t="s">
        <v>804</v>
      </c>
      <c r="G2313" t="e">
        <f t="shared" si="50"/>
        <v>#VALUE!</v>
      </c>
    </row>
    <row r="2314" spans="6:7" x14ac:dyDescent="0.45">
      <c r="F2314" t="s">
        <v>804</v>
      </c>
      <c r="G2314" t="e">
        <f t="shared" si="50"/>
        <v>#VALUE!</v>
      </c>
    </row>
    <row r="2315" spans="6:7" x14ac:dyDescent="0.45">
      <c r="F2315" t="s">
        <v>804</v>
      </c>
      <c r="G2315" t="e">
        <f t="shared" si="50"/>
        <v>#VALUE!</v>
      </c>
    </row>
    <row r="2316" spans="6:7" x14ac:dyDescent="0.45">
      <c r="F2316" t="s">
        <v>804</v>
      </c>
      <c r="G2316" t="e">
        <f t="shared" si="50"/>
        <v>#VALUE!</v>
      </c>
    </row>
    <row r="2317" spans="6:7" x14ac:dyDescent="0.45">
      <c r="F2317" t="s">
        <v>804</v>
      </c>
      <c r="G2317" t="e">
        <f t="shared" si="50"/>
        <v>#VALUE!</v>
      </c>
    </row>
    <row r="2318" spans="6:7" x14ac:dyDescent="0.45">
      <c r="F2318" t="s">
        <v>804</v>
      </c>
      <c r="G2318" t="e">
        <f t="shared" si="50"/>
        <v>#VALUE!</v>
      </c>
    </row>
    <row r="2319" spans="6:7" x14ac:dyDescent="0.45">
      <c r="F2319" t="s">
        <v>804</v>
      </c>
      <c r="G2319" t="e">
        <f t="shared" si="50"/>
        <v>#VALUE!</v>
      </c>
    </row>
    <row r="2320" spans="6:7" x14ac:dyDescent="0.45">
      <c r="F2320" t="s">
        <v>804</v>
      </c>
      <c r="G2320" t="e">
        <f t="shared" si="50"/>
        <v>#VALUE!</v>
      </c>
    </row>
    <row r="2321" spans="6:7" x14ac:dyDescent="0.45">
      <c r="F2321" t="s">
        <v>804</v>
      </c>
      <c r="G2321" t="e">
        <f t="shared" si="50"/>
        <v>#VALUE!</v>
      </c>
    </row>
    <row r="2322" spans="6:7" x14ac:dyDescent="0.45">
      <c r="F2322" t="s">
        <v>804</v>
      </c>
      <c r="G2322" t="e">
        <f t="shared" si="50"/>
        <v>#VALUE!</v>
      </c>
    </row>
    <row r="2323" spans="6:7" x14ac:dyDescent="0.45">
      <c r="F2323" t="s">
        <v>804</v>
      </c>
      <c r="G2323" t="e">
        <f t="shared" si="50"/>
        <v>#VALUE!</v>
      </c>
    </row>
    <row r="2324" spans="6:7" x14ac:dyDescent="0.45">
      <c r="F2324" t="s">
        <v>804</v>
      </c>
      <c r="G2324" t="e">
        <f t="shared" si="50"/>
        <v>#VALUE!</v>
      </c>
    </row>
    <row r="2325" spans="6:7" x14ac:dyDescent="0.45">
      <c r="F2325" t="s">
        <v>804</v>
      </c>
      <c r="G2325" t="e">
        <f t="shared" si="50"/>
        <v>#VALUE!</v>
      </c>
    </row>
    <row r="2326" spans="6:7" x14ac:dyDescent="0.45">
      <c r="F2326" t="s">
        <v>804</v>
      </c>
      <c r="G2326" t="e">
        <f t="shared" si="50"/>
        <v>#VALUE!</v>
      </c>
    </row>
    <row r="2327" spans="6:7" x14ac:dyDescent="0.45">
      <c r="F2327" t="s">
        <v>804</v>
      </c>
      <c r="G2327" t="e">
        <f t="shared" si="50"/>
        <v>#VALUE!</v>
      </c>
    </row>
    <row r="2328" spans="6:7" x14ac:dyDescent="0.45">
      <c r="F2328" t="s">
        <v>804</v>
      </c>
      <c r="G2328" t="e">
        <f t="shared" si="50"/>
        <v>#VALUE!</v>
      </c>
    </row>
    <row r="2329" spans="6:7" x14ac:dyDescent="0.45">
      <c r="F2329" t="s">
        <v>804</v>
      </c>
      <c r="G2329" t="e">
        <f t="shared" si="50"/>
        <v>#VALUE!</v>
      </c>
    </row>
    <row r="2330" spans="6:7" x14ac:dyDescent="0.45">
      <c r="F2330" t="s">
        <v>804</v>
      </c>
      <c r="G2330" t="e">
        <f t="shared" si="50"/>
        <v>#VALUE!</v>
      </c>
    </row>
    <row r="2331" spans="6:7" x14ac:dyDescent="0.45">
      <c r="F2331" t="s">
        <v>804</v>
      </c>
      <c r="G2331" t="e">
        <f t="shared" si="50"/>
        <v>#VALUE!</v>
      </c>
    </row>
    <row r="2332" spans="6:7" x14ac:dyDescent="0.45">
      <c r="F2332" t="s">
        <v>804</v>
      </c>
      <c r="G2332" t="e">
        <f t="shared" si="50"/>
        <v>#VALUE!</v>
      </c>
    </row>
    <row r="2333" spans="6:7" x14ac:dyDescent="0.45">
      <c r="F2333" t="s">
        <v>804</v>
      </c>
      <c r="G2333" t="e">
        <f t="shared" si="50"/>
        <v>#VALUE!</v>
      </c>
    </row>
    <row r="2334" spans="6:7" x14ac:dyDescent="0.45">
      <c r="F2334" t="s">
        <v>804</v>
      </c>
      <c r="G2334" t="e">
        <f t="shared" si="50"/>
        <v>#VALUE!</v>
      </c>
    </row>
    <row r="2335" spans="6:7" x14ac:dyDescent="0.45">
      <c r="F2335" t="s">
        <v>804</v>
      </c>
      <c r="G2335" t="e">
        <f t="shared" si="50"/>
        <v>#VALUE!</v>
      </c>
    </row>
    <row r="2336" spans="6:7" x14ac:dyDescent="0.45">
      <c r="F2336" t="s">
        <v>804</v>
      </c>
      <c r="G2336" t="e">
        <f t="shared" si="50"/>
        <v>#VALUE!</v>
      </c>
    </row>
    <row r="2337" spans="6:7" x14ac:dyDescent="0.45">
      <c r="F2337" t="s">
        <v>804</v>
      </c>
      <c r="G2337" t="e">
        <f t="shared" si="50"/>
        <v>#VALUE!</v>
      </c>
    </row>
    <row r="2338" spans="6:7" x14ac:dyDescent="0.45">
      <c r="F2338" t="s">
        <v>804</v>
      </c>
      <c r="G2338" t="e">
        <f t="shared" si="50"/>
        <v>#VALUE!</v>
      </c>
    </row>
    <row r="2339" spans="6:7" x14ac:dyDescent="0.45">
      <c r="F2339" t="s">
        <v>804</v>
      </c>
      <c r="G2339" t="e">
        <f t="shared" si="50"/>
        <v>#VALUE!</v>
      </c>
    </row>
    <row r="2340" spans="6:7" x14ac:dyDescent="0.45">
      <c r="F2340" t="s">
        <v>804</v>
      </c>
      <c r="G2340" t="e">
        <f t="shared" si="50"/>
        <v>#VALUE!</v>
      </c>
    </row>
    <row r="2341" spans="6:7" x14ac:dyDescent="0.45">
      <c r="F2341" t="s">
        <v>804</v>
      </c>
      <c r="G2341" t="e">
        <f t="shared" si="50"/>
        <v>#VALUE!</v>
      </c>
    </row>
    <row r="2342" spans="6:7" x14ac:dyDescent="0.45">
      <c r="F2342" t="s">
        <v>804</v>
      </c>
      <c r="G2342" t="e">
        <f t="shared" si="50"/>
        <v>#VALUE!</v>
      </c>
    </row>
    <row r="2343" spans="6:7" x14ac:dyDescent="0.45">
      <c r="F2343" t="s">
        <v>804</v>
      </c>
      <c r="G2343" t="e">
        <f t="shared" si="50"/>
        <v>#VALUE!</v>
      </c>
    </row>
    <row r="2344" spans="6:7" x14ac:dyDescent="0.45">
      <c r="F2344" t="s">
        <v>804</v>
      </c>
      <c r="G2344" t="e">
        <f t="shared" si="50"/>
        <v>#VALUE!</v>
      </c>
    </row>
    <row r="2345" spans="6:7" x14ac:dyDescent="0.45">
      <c r="F2345" t="s">
        <v>804</v>
      </c>
      <c r="G2345" t="e">
        <f t="shared" si="50"/>
        <v>#VALUE!</v>
      </c>
    </row>
    <row r="2346" spans="6:7" x14ac:dyDescent="0.45">
      <c r="F2346" t="s">
        <v>804</v>
      </c>
      <c r="G2346" t="e">
        <f t="shared" si="50"/>
        <v>#VALUE!</v>
      </c>
    </row>
    <row r="2347" spans="6:7" x14ac:dyDescent="0.45">
      <c r="F2347" t="s">
        <v>804</v>
      </c>
      <c r="G2347" t="e">
        <f t="shared" si="50"/>
        <v>#VALUE!</v>
      </c>
    </row>
    <row r="2348" spans="6:7" x14ac:dyDescent="0.45">
      <c r="F2348" t="s">
        <v>804</v>
      </c>
      <c r="G2348" t="e">
        <f t="shared" si="50"/>
        <v>#VALUE!</v>
      </c>
    </row>
    <row r="2349" spans="6:7" x14ac:dyDescent="0.45">
      <c r="F2349" t="s">
        <v>804</v>
      </c>
      <c r="G2349" t="e">
        <f t="shared" si="50"/>
        <v>#VALUE!</v>
      </c>
    </row>
    <row r="2350" spans="6:7" x14ac:dyDescent="0.45">
      <c r="F2350" t="s">
        <v>804</v>
      </c>
      <c r="G2350" t="e">
        <f t="shared" si="50"/>
        <v>#VALUE!</v>
      </c>
    </row>
    <row r="2351" spans="6:7" x14ac:dyDescent="0.45">
      <c r="F2351" t="s">
        <v>804</v>
      </c>
      <c r="G2351" t="e">
        <f t="shared" si="50"/>
        <v>#VALUE!</v>
      </c>
    </row>
    <row r="2352" spans="6:7" x14ac:dyDescent="0.45">
      <c r="F2352" t="s">
        <v>804</v>
      </c>
      <c r="G2352" t="e">
        <f t="shared" si="50"/>
        <v>#VALUE!</v>
      </c>
    </row>
    <row r="2353" spans="6:7" x14ac:dyDescent="0.45">
      <c r="F2353" t="s">
        <v>804</v>
      </c>
      <c r="G2353" t="e">
        <f t="shared" si="50"/>
        <v>#VALUE!</v>
      </c>
    </row>
    <row r="2354" spans="6:7" x14ac:dyDescent="0.45">
      <c r="F2354" t="s">
        <v>804</v>
      </c>
      <c r="G2354" t="e">
        <f t="shared" si="50"/>
        <v>#VALUE!</v>
      </c>
    </row>
    <row r="2355" spans="6:7" x14ac:dyDescent="0.45">
      <c r="F2355" t="s">
        <v>804</v>
      </c>
      <c r="G2355" t="e">
        <f t="shared" si="50"/>
        <v>#VALUE!</v>
      </c>
    </row>
    <row r="2356" spans="6:7" x14ac:dyDescent="0.45">
      <c r="F2356" t="s">
        <v>804</v>
      </c>
      <c r="G2356" t="e">
        <f t="shared" si="50"/>
        <v>#VALUE!</v>
      </c>
    </row>
    <row r="2357" spans="6:7" x14ac:dyDescent="0.45">
      <c r="F2357" t="s">
        <v>804</v>
      </c>
      <c r="G2357" t="e">
        <f t="shared" si="50"/>
        <v>#VALUE!</v>
      </c>
    </row>
    <row r="2358" spans="6:7" x14ac:dyDescent="0.45">
      <c r="F2358" t="s">
        <v>804</v>
      </c>
      <c r="G2358" t="e">
        <f t="shared" si="50"/>
        <v>#VALUE!</v>
      </c>
    </row>
    <row r="2359" spans="6:7" x14ac:dyDescent="0.45">
      <c r="F2359" t="s">
        <v>804</v>
      </c>
      <c r="G2359" t="e">
        <f t="shared" si="50"/>
        <v>#VALUE!</v>
      </c>
    </row>
    <row r="2360" spans="6:7" x14ac:dyDescent="0.45">
      <c r="F2360" t="s">
        <v>804</v>
      </c>
      <c r="G2360" t="e">
        <f t="shared" si="50"/>
        <v>#VALUE!</v>
      </c>
    </row>
    <row r="2361" spans="6:7" x14ac:dyDescent="0.45">
      <c r="F2361" t="s">
        <v>804</v>
      </c>
      <c r="G2361" t="e">
        <f t="shared" si="50"/>
        <v>#VALUE!</v>
      </c>
    </row>
    <row r="2362" spans="6:7" x14ac:dyDescent="0.45">
      <c r="F2362" t="s">
        <v>804</v>
      </c>
      <c r="G2362" t="e">
        <f t="shared" si="50"/>
        <v>#VALUE!</v>
      </c>
    </row>
    <row r="2363" spans="6:7" x14ac:dyDescent="0.45">
      <c r="F2363" t="s">
        <v>804</v>
      </c>
      <c r="G2363" t="e">
        <f t="shared" si="50"/>
        <v>#VALUE!</v>
      </c>
    </row>
    <row r="2364" spans="6:7" x14ac:dyDescent="0.45">
      <c r="F2364" t="s">
        <v>804</v>
      </c>
      <c r="G2364" t="e">
        <f t="shared" si="50"/>
        <v>#VALUE!</v>
      </c>
    </row>
    <row r="2365" spans="6:7" x14ac:dyDescent="0.45">
      <c r="F2365" t="s">
        <v>804</v>
      </c>
      <c r="G2365" t="e">
        <f t="shared" si="50"/>
        <v>#VALUE!</v>
      </c>
    </row>
    <row r="2366" spans="6:7" x14ac:dyDescent="0.45">
      <c r="F2366" t="s">
        <v>804</v>
      </c>
      <c r="G2366" t="e">
        <f t="shared" si="50"/>
        <v>#VALUE!</v>
      </c>
    </row>
    <row r="2367" spans="6:7" x14ac:dyDescent="0.45">
      <c r="F2367" t="s">
        <v>804</v>
      </c>
      <c r="G2367" t="e">
        <f t="shared" si="50"/>
        <v>#VALUE!</v>
      </c>
    </row>
    <row r="2368" spans="6:7" x14ac:dyDescent="0.45">
      <c r="F2368" t="s">
        <v>804</v>
      </c>
      <c r="G2368" t="e">
        <f t="shared" si="50"/>
        <v>#VALUE!</v>
      </c>
    </row>
    <row r="2369" spans="6:7" x14ac:dyDescent="0.45">
      <c r="F2369" t="s">
        <v>804</v>
      </c>
      <c r="G2369" t="e">
        <f t="shared" si="50"/>
        <v>#VALUE!</v>
      </c>
    </row>
    <row r="2370" spans="6:7" x14ac:dyDescent="0.45">
      <c r="F2370" t="s">
        <v>804</v>
      </c>
      <c r="G2370" t="e">
        <f t="shared" si="50"/>
        <v>#VALUE!</v>
      </c>
    </row>
    <row r="2371" spans="6:7" x14ac:dyDescent="0.45">
      <c r="F2371" t="s">
        <v>804</v>
      </c>
      <c r="G2371" t="e">
        <f t="shared" ref="G2371:G2434" si="51">+F2371+0</f>
        <v>#VALUE!</v>
      </c>
    </row>
    <row r="2372" spans="6:7" x14ac:dyDescent="0.45">
      <c r="F2372" t="s">
        <v>804</v>
      </c>
      <c r="G2372" t="e">
        <f t="shared" si="51"/>
        <v>#VALUE!</v>
      </c>
    </row>
    <row r="2373" spans="6:7" x14ac:dyDescent="0.45">
      <c r="F2373" t="s">
        <v>804</v>
      </c>
      <c r="G2373" t="e">
        <f t="shared" si="51"/>
        <v>#VALUE!</v>
      </c>
    </row>
    <row r="2374" spans="6:7" x14ac:dyDescent="0.45">
      <c r="F2374" t="s">
        <v>804</v>
      </c>
      <c r="G2374" t="e">
        <f t="shared" si="51"/>
        <v>#VALUE!</v>
      </c>
    </row>
    <row r="2375" spans="6:7" x14ac:dyDescent="0.45">
      <c r="F2375" t="s">
        <v>804</v>
      </c>
      <c r="G2375" t="e">
        <f t="shared" si="51"/>
        <v>#VALUE!</v>
      </c>
    </row>
    <row r="2376" spans="6:7" x14ac:dyDescent="0.45">
      <c r="F2376" t="s">
        <v>804</v>
      </c>
      <c r="G2376" t="e">
        <f t="shared" si="51"/>
        <v>#VALUE!</v>
      </c>
    </row>
    <row r="2377" spans="6:7" x14ac:dyDescent="0.45">
      <c r="F2377" t="s">
        <v>804</v>
      </c>
      <c r="G2377" t="e">
        <f t="shared" si="51"/>
        <v>#VALUE!</v>
      </c>
    </row>
    <row r="2378" spans="6:7" x14ac:dyDescent="0.45">
      <c r="F2378" t="s">
        <v>804</v>
      </c>
      <c r="G2378" t="e">
        <f t="shared" si="51"/>
        <v>#VALUE!</v>
      </c>
    </row>
    <row r="2379" spans="6:7" x14ac:dyDescent="0.45">
      <c r="F2379" t="s">
        <v>804</v>
      </c>
      <c r="G2379" t="e">
        <f t="shared" si="51"/>
        <v>#VALUE!</v>
      </c>
    </row>
    <row r="2380" spans="6:7" x14ac:dyDescent="0.45">
      <c r="F2380" t="s">
        <v>804</v>
      </c>
      <c r="G2380" t="e">
        <f t="shared" si="51"/>
        <v>#VALUE!</v>
      </c>
    </row>
    <row r="2381" spans="6:7" x14ac:dyDescent="0.45">
      <c r="F2381" t="s">
        <v>804</v>
      </c>
      <c r="G2381" t="e">
        <f t="shared" si="51"/>
        <v>#VALUE!</v>
      </c>
    </row>
    <row r="2382" spans="6:7" x14ac:dyDescent="0.45">
      <c r="F2382" t="s">
        <v>804</v>
      </c>
      <c r="G2382" t="e">
        <f t="shared" si="51"/>
        <v>#VALUE!</v>
      </c>
    </row>
    <row r="2383" spans="6:7" x14ac:dyDescent="0.45">
      <c r="F2383" t="s">
        <v>804</v>
      </c>
      <c r="G2383" t="e">
        <f t="shared" si="51"/>
        <v>#VALUE!</v>
      </c>
    </row>
    <row r="2384" spans="6:7" x14ac:dyDescent="0.45">
      <c r="F2384" t="s">
        <v>804</v>
      </c>
      <c r="G2384" t="e">
        <f t="shared" si="51"/>
        <v>#VALUE!</v>
      </c>
    </row>
    <row r="2385" spans="6:7" x14ac:dyDescent="0.45">
      <c r="F2385" t="s">
        <v>804</v>
      </c>
      <c r="G2385" t="e">
        <f t="shared" si="51"/>
        <v>#VALUE!</v>
      </c>
    </row>
    <row r="2386" spans="6:7" x14ac:dyDescent="0.45">
      <c r="F2386" t="s">
        <v>804</v>
      </c>
      <c r="G2386" t="e">
        <f t="shared" si="51"/>
        <v>#VALUE!</v>
      </c>
    </row>
    <row r="2387" spans="6:7" x14ac:dyDescent="0.45">
      <c r="F2387" t="s">
        <v>804</v>
      </c>
      <c r="G2387" t="e">
        <f t="shared" si="51"/>
        <v>#VALUE!</v>
      </c>
    </row>
    <row r="2388" spans="6:7" x14ac:dyDescent="0.45">
      <c r="F2388" t="s">
        <v>804</v>
      </c>
      <c r="G2388" t="e">
        <f t="shared" si="51"/>
        <v>#VALUE!</v>
      </c>
    </row>
    <row r="2389" spans="6:7" x14ac:dyDescent="0.45">
      <c r="F2389" t="s">
        <v>804</v>
      </c>
      <c r="G2389" t="e">
        <f t="shared" si="51"/>
        <v>#VALUE!</v>
      </c>
    </row>
    <row r="2390" spans="6:7" x14ac:dyDescent="0.45">
      <c r="F2390" t="s">
        <v>804</v>
      </c>
      <c r="G2390" t="e">
        <f t="shared" si="51"/>
        <v>#VALUE!</v>
      </c>
    </row>
    <row r="2391" spans="6:7" x14ac:dyDescent="0.45">
      <c r="F2391" t="s">
        <v>804</v>
      </c>
      <c r="G2391" t="e">
        <f t="shared" si="51"/>
        <v>#VALUE!</v>
      </c>
    </row>
    <row r="2392" spans="6:7" x14ac:dyDescent="0.45">
      <c r="F2392" t="s">
        <v>804</v>
      </c>
      <c r="G2392" t="e">
        <f t="shared" si="51"/>
        <v>#VALUE!</v>
      </c>
    </row>
    <row r="2393" spans="6:7" x14ac:dyDescent="0.45">
      <c r="F2393" t="s">
        <v>804</v>
      </c>
      <c r="G2393" t="e">
        <f t="shared" si="51"/>
        <v>#VALUE!</v>
      </c>
    </row>
    <row r="2394" spans="6:7" x14ac:dyDescent="0.45">
      <c r="F2394" t="s">
        <v>804</v>
      </c>
      <c r="G2394" t="e">
        <f t="shared" si="51"/>
        <v>#VALUE!</v>
      </c>
    </row>
    <row r="2395" spans="6:7" x14ac:dyDescent="0.45">
      <c r="F2395" t="s">
        <v>804</v>
      </c>
      <c r="G2395" t="e">
        <f t="shared" si="51"/>
        <v>#VALUE!</v>
      </c>
    </row>
    <row r="2396" spans="6:7" x14ac:dyDescent="0.45">
      <c r="F2396" t="s">
        <v>804</v>
      </c>
      <c r="G2396" t="e">
        <f t="shared" si="51"/>
        <v>#VALUE!</v>
      </c>
    </row>
    <row r="2397" spans="6:7" x14ac:dyDescent="0.45">
      <c r="F2397" t="s">
        <v>804</v>
      </c>
      <c r="G2397" t="e">
        <f t="shared" si="51"/>
        <v>#VALUE!</v>
      </c>
    </row>
    <row r="2398" spans="6:7" x14ac:dyDescent="0.45">
      <c r="F2398" t="s">
        <v>804</v>
      </c>
      <c r="G2398" t="e">
        <f t="shared" si="51"/>
        <v>#VALUE!</v>
      </c>
    </row>
    <row r="2399" spans="6:7" x14ac:dyDescent="0.45">
      <c r="F2399" t="s">
        <v>804</v>
      </c>
      <c r="G2399" t="e">
        <f t="shared" si="51"/>
        <v>#VALUE!</v>
      </c>
    </row>
    <row r="2400" spans="6:7" x14ac:dyDescent="0.45">
      <c r="F2400" t="s">
        <v>804</v>
      </c>
      <c r="G2400" t="e">
        <f t="shared" si="51"/>
        <v>#VALUE!</v>
      </c>
    </row>
    <row r="2401" spans="6:7" x14ac:dyDescent="0.45">
      <c r="F2401" t="s">
        <v>804</v>
      </c>
      <c r="G2401" t="e">
        <f t="shared" si="51"/>
        <v>#VALUE!</v>
      </c>
    </row>
    <row r="2402" spans="6:7" x14ac:dyDescent="0.45">
      <c r="F2402" t="s">
        <v>804</v>
      </c>
      <c r="G2402" t="e">
        <f t="shared" si="51"/>
        <v>#VALUE!</v>
      </c>
    </row>
    <row r="2403" spans="6:7" x14ac:dyDescent="0.45">
      <c r="F2403" t="s">
        <v>804</v>
      </c>
      <c r="G2403" t="e">
        <f t="shared" si="51"/>
        <v>#VALUE!</v>
      </c>
    </row>
    <row r="2404" spans="6:7" x14ac:dyDescent="0.45">
      <c r="F2404" t="s">
        <v>804</v>
      </c>
      <c r="G2404" t="e">
        <f t="shared" si="51"/>
        <v>#VALUE!</v>
      </c>
    </row>
    <row r="2405" spans="6:7" x14ac:dyDescent="0.45">
      <c r="F2405" t="s">
        <v>804</v>
      </c>
      <c r="G2405" t="e">
        <f t="shared" si="51"/>
        <v>#VALUE!</v>
      </c>
    </row>
    <row r="2406" spans="6:7" x14ac:dyDescent="0.45">
      <c r="F2406" t="s">
        <v>804</v>
      </c>
      <c r="G2406" t="e">
        <f t="shared" si="51"/>
        <v>#VALUE!</v>
      </c>
    </row>
    <row r="2407" spans="6:7" x14ac:dyDescent="0.45">
      <c r="F2407" t="s">
        <v>804</v>
      </c>
      <c r="G2407" t="e">
        <f t="shared" si="51"/>
        <v>#VALUE!</v>
      </c>
    </row>
    <row r="2408" spans="6:7" x14ac:dyDescent="0.45">
      <c r="F2408" t="s">
        <v>804</v>
      </c>
      <c r="G2408" t="e">
        <f t="shared" si="51"/>
        <v>#VALUE!</v>
      </c>
    </row>
    <row r="2409" spans="6:7" x14ac:dyDescent="0.45">
      <c r="F2409" t="s">
        <v>804</v>
      </c>
      <c r="G2409" t="e">
        <f t="shared" si="51"/>
        <v>#VALUE!</v>
      </c>
    </row>
    <row r="2410" spans="6:7" x14ac:dyDescent="0.45">
      <c r="F2410" t="s">
        <v>804</v>
      </c>
      <c r="G2410" t="e">
        <f t="shared" si="51"/>
        <v>#VALUE!</v>
      </c>
    </row>
    <row r="2411" spans="6:7" x14ac:dyDescent="0.45">
      <c r="F2411" t="s">
        <v>804</v>
      </c>
      <c r="G2411" t="e">
        <f t="shared" si="51"/>
        <v>#VALUE!</v>
      </c>
    </row>
    <row r="2412" spans="6:7" x14ac:dyDescent="0.45">
      <c r="F2412" t="s">
        <v>804</v>
      </c>
      <c r="G2412" t="e">
        <f t="shared" si="51"/>
        <v>#VALUE!</v>
      </c>
    </row>
    <row r="2413" spans="6:7" x14ac:dyDescent="0.45">
      <c r="F2413" t="s">
        <v>804</v>
      </c>
      <c r="G2413" t="e">
        <f t="shared" si="51"/>
        <v>#VALUE!</v>
      </c>
    </row>
    <row r="2414" spans="6:7" x14ac:dyDescent="0.45">
      <c r="F2414" t="s">
        <v>804</v>
      </c>
      <c r="G2414" t="e">
        <f t="shared" si="51"/>
        <v>#VALUE!</v>
      </c>
    </row>
    <row r="2415" spans="6:7" x14ac:dyDescent="0.45">
      <c r="F2415" t="s">
        <v>804</v>
      </c>
      <c r="G2415" t="e">
        <f t="shared" si="51"/>
        <v>#VALUE!</v>
      </c>
    </row>
    <row r="2416" spans="6:7" x14ac:dyDescent="0.45">
      <c r="F2416" t="s">
        <v>804</v>
      </c>
      <c r="G2416" t="e">
        <f t="shared" si="51"/>
        <v>#VALUE!</v>
      </c>
    </row>
    <row r="2417" spans="6:7" x14ac:dyDescent="0.45">
      <c r="F2417" t="s">
        <v>804</v>
      </c>
      <c r="G2417" t="e">
        <f t="shared" si="51"/>
        <v>#VALUE!</v>
      </c>
    </row>
    <row r="2418" spans="6:7" x14ac:dyDescent="0.45">
      <c r="F2418" t="s">
        <v>804</v>
      </c>
      <c r="G2418" t="e">
        <f t="shared" si="51"/>
        <v>#VALUE!</v>
      </c>
    </row>
    <row r="2419" spans="6:7" x14ac:dyDescent="0.45">
      <c r="F2419" t="s">
        <v>804</v>
      </c>
      <c r="G2419" t="e">
        <f t="shared" si="51"/>
        <v>#VALUE!</v>
      </c>
    </row>
    <row r="2420" spans="6:7" x14ac:dyDescent="0.45">
      <c r="F2420" t="s">
        <v>804</v>
      </c>
      <c r="G2420" t="e">
        <f t="shared" si="51"/>
        <v>#VALUE!</v>
      </c>
    </row>
    <row r="2421" spans="6:7" x14ac:dyDescent="0.45">
      <c r="F2421" t="s">
        <v>804</v>
      </c>
      <c r="G2421" t="e">
        <f t="shared" si="51"/>
        <v>#VALUE!</v>
      </c>
    </row>
    <row r="2422" spans="6:7" x14ac:dyDescent="0.45">
      <c r="F2422" t="s">
        <v>804</v>
      </c>
      <c r="G2422" t="e">
        <f t="shared" si="51"/>
        <v>#VALUE!</v>
      </c>
    </row>
    <row r="2423" spans="6:7" x14ac:dyDescent="0.45">
      <c r="F2423" t="s">
        <v>804</v>
      </c>
      <c r="G2423" t="e">
        <f t="shared" si="51"/>
        <v>#VALUE!</v>
      </c>
    </row>
    <row r="2424" spans="6:7" x14ac:dyDescent="0.45">
      <c r="F2424" t="s">
        <v>804</v>
      </c>
      <c r="G2424" t="e">
        <f t="shared" si="51"/>
        <v>#VALUE!</v>
      </c>
    </row>
    <row r="2425" spans="6:7" x14ac:dyDescent="0.45">
      <c r="F2425" t="s">
        <v>804</v>
      </c>
      <c r="G2425" t="e">
        <f t="shared" si="51"/>
        <v>#VALUE!</v>
      </c>
    </row>
    <row r="2426" spans="6:7" x14ac:dyDescent="0.45">
      <c r="F2426" t="s">
        <v>804</v>
      </c>
      <c r="G2426" t="e">
        <f t="shared" si="51"/>
        <v>#VALUE!</v>
      </c>
    </row>
    <row r="2427" spans="6:7" x14ac:dyDescent="0.45">
      <c r="F2427" t="s">
        <v>804</v>
      </c>
      <c r="G2427" t="e">
        <f t="shared" si="51"/>
        <v>#VALUE!</v>
      </c>
    </row>
    <row r="2428" spans="6:7" x14ac:dyDescent="0.45">
      <c r="F2428" t="s">
        <v>804</v>
      </c>
      <c r="G2428" t="e">
        <f t="shared" si="51"/>
        <v>#VALUE!</v>
      </c>
    </row>
    <row r="2429" spans="6:7" x14ac:dyDescent="0.45">
      <c r="F2429" t="s">
        <v>804</v>
      </c>
      <c r="G2429" t="e">
        <f t="shared" si="51"/>
        <v>#VALUE!</v>
      </c>
    </row>
    <row r="2430" spans="6:7" x14ac:dyDescent="0.45">
      <c r="F2430" t="s">
        <v>804</v>
      </c>
      <c r="G2430" t="e">
        <f t="shared" si="51"/>
        <v>#VALUE!</v>
      </c>
    </row>
    <row r="2431" spans="6:7" x14ac:dyDescent="0.45">
      <c r="F2431" t="s">
        <v>804</v>
      </c>
      <c r="G2431" t="e">
        <f t="shared" si="51"/>
        <v>#VALUE!</v>
      </c>
    </row>
    <row r="2432" spans="6:7" x14ac:dyDescent="0.45">
      <c r="F2432" t="s">
        <v>804</v>
      </c>
      <c r="G2432" t="e">
        <f t="shared" si="51"/>
        <v>#VALUE!</v>
      </c>
    </row>
    <row r="2433" spans="6:7" x14ac:dyDescent="0.45">
      <c r="F2433" t="s">
        <v>804</v>
      </c>
      <c r="G2433" t="e">
        <f t="shared" si="51"/>
        <v>#VALUE!</v>
      </c>
    </row>
    <row r="2434" spans="6:7" x14ac:dyDescent="0.45">
      <c r="F2434" t="s">
        <v>804</v>
      </c>
      <c r="G2434" t="e">
        <f t="shared" si="51"/>
        <v>#VALUE!</v>
      </c>
    </row>
    <row r="2435" spans="6:7" x14ac:dyDescent="0.45">
      <c r="F2435" t="s">
        <v>804</v>
      </c>
      <c r="G2435" t="e">
        <f t="shared" ref="G2435:G2498" si="52">+F2435+0</f>
        <v>#VALUE!</v>
      </c>
    </row>
    <row r="2436" spans="6:7" x14ac:dyDescent="0.45">
      <c r="F2436" t="s">
        <v>804</v>
      </c>
      <c r="G2436" t="e">
        <f t="shared" si="52"/>
        <v>#VALUE!</v>
      </c>
    </row>
    <row r="2437" spans="6:7" x14ac:dyDescent="0.45">
      <c r="F2437" t="s">
        <v>804</v>
      </c>
      <c r="G2437" t="e">
        <f t="shared" si="52"/>
        <v>#VALUE!</v>
      </c>
    </row>
    <row r="2438" spans="6:7" x14ac:dyDescent="0.45">
      <c r="F2438" t="s">
        <v>804</v>
      </c>
      <c r="G2438" t="e">
        <f t="shared" si="52"/>
        <v>#VALUE!</v>
      </c>
    </row>
    <row r="2439" spans="6:7" x14ac:dyDescent="0.45">
      <c r="F2439" t="s">
        <v>804</v>
      </c>
      <c r="G2439" t="e">
        <f t="shared" si="52"/>
        <v>#VALUE!</v>
      </c>
    </row>
    <row r="2440" spans="6:7" x14ac:dyDescent="0.45">
      <c r="F2440" t="s">
        <v>804</v>
      </c>
      <c r="G2440" t="e">
        <f t="shared" si="52"/>
        <v>#VALUE!</v>
      </c>
    </row>
    <row r="2441" spans="6:7" x14ac:dyDescent="0.45">
      <c r="F2441" t="s">
        <v>804</v>
      </c>
      <c r="G2441" t="e">
        <f t="shared" si="52"/>
        <v>#VALUE!</v>
      </c>
    </row>
    <row r="2442" spans="6:7" x14ac:dyDescent="0.45">
      <c r="F2442" t="s">
        <v>804</v>
      </c>
      <c r="G2442" t="e">
        <f t="shared" si="52"/>
        <v>#VALUE!</v>
      </c>
    </row>
    <row r="2443" spans="6:7" x14ac:dyDescent="0.45">
      <c r="F2443" t="s">
        <v>804</v>
      </c>
      <c r="G2443" t="e">
        <f t="shared" si="52"/>
        <v>#VALUE!</v>
      </c>
    </row>
    <row r="2444" spans="6:7" x14ac:dyDescent="0.45">
      <c r="F2444" t="s">
        <v>804</v>
      </c>
      <c r="G2444" t="e">
        <f t="shared" si="52"/>
        <v>#VALUE!</v>
      </c>
    </row>
    <row r="2445" spans="6:7" x14ac:dyDescent="0.45">
      <c r="F2445" t="s">
        <v>804</v>
      </c>
      <c r="G2445" t="e">
        <f t="shared" si="52"/>
        <v>#VALUE!</v>
      </c>
    </row>
    <row r="2446" spans="6:7" x14ac:dyDescent="0.45">
      <c r="F2446" t="s">
        <v>804</v>
      </c>
      <c r="G2446" t="e">
        <f t="shared" si="52"/>
        <v>#VALUE!</v>
      </c>
    </row>
    <row r="2447" spans="6:7" x14ac:dyDescent="0.45">
      <c r="F2447" t="s">
        <v>804</v>
      </c>
      <c r="G2447" t="e">
        <f t="shared" si="52"/>
        <v>#VALUE!</v>
      </c>
    </row>
    <row r="2448" spans="6:7" x14ac:dyDescent="0.45">
      <c r="F2448" t="s">
        <v>804</v>
      </c>
      <c r="G2448" t="e">
        <f t="shared" si="52"/>
        <v>#VALUE!</v>
      </c>
    </row>
    <row r="2449" spans="6:7" x14ac:dyDescent="0.45">
      <c r="F2449" t="s">
        <v>804</v>
      </c>
      <c r="G2449" t="e">
        <f t="shared" si="52"/>
        <v>#VALUE!</v>
      </c>
    </row>
    <row r="2450" spans="6:7" x14ac:dyDescent="0.45">
      <c r="F2450" t="s">
        <v>804</v>
      </c>
      <c r="G2450" t="e">
        <f t="shared" si="52"/>
        <v>#VALUE!</v>
      </c>
    </row>
    <row r="2451" spans="6:7" x14ac:dyDescent="0.45">
      <c r="F2451" t="s">
        <v>804</v>
      </c>
      <c r="G2451" t="e">
        <f t="shared" si="52"/>
        <v>#VALUE!</v>
      </c>
    </row>
    <row r="2452" spans="6:7" x14ac:dyDescent="0.45">
      <c r="F2452" t="s">
        <v>804</v>
      </c>
      <c r="G2452" t="e">
        <f t="shared" si="52"/>
        <v>#VALUE!</v>
      </c>
    </row>
    <row r="2453" spans="6:7" x14ac:dyDescent="0.45">
      <c r="F2453" t="s">
        <v>804</v>
      </c>
      <c r="G2453" t="e">
        <f t="shared" si="52"/>
        <v>#VALUE!</v>
      </c>
    </row>
    <row r="2454" spans="6:7" x14ac:dyDescent="0.45">
      <c r="F2454" t="s">
        <v>804</v>
      </c>
      <c r="G2454" t="e">
        <f t="shared" si="52"/>
        <v>#VALUE!</v>
      </c>
    </row>
    <row r="2455" spans="6:7" x14ac:dyDescent="0.45">
      <c r="F2455" t="s">
        <v>804</v>
      </c>
      <c r="G2455" t="e">
        <f t="shared" si="52"/>
        <v>#VALUE!</v>
      </c>
    </row>
    <row r="2456" spans="6:7" x14ac:dyDescent="0.45">
      <c r="F2456" t="s">
        <v>804</v>
      </c>
      <c r="G2456" t="e">
        <f t="shared" si="52"/>
        <v>#VALUE!</v>
      </c>
    </row>
    <row r="2457" spans="6:7" x14ac:dyDescent="0.45">
      <c r="F2457" t="s">
        <v>804</v>
      </c>
      <c r="G2457" t="e">
        <f t="shared" si="52"/>
        <v>#VALUE!</v>
      </c>
    </row>
    <row r="2458" spans="6:7" x14ac:dyDescent="0.45">
      <c r="F2458" t="s">
        <v>804</v>
      </c>
      <c r="G2458" t="e">
        <f t="shared" si="52"/>
        <v>#VALUE!</v>
      </c>
    </row>
    <row r="2459" spans="6:7" x14ac:dyDescent="0.45">
      <c r="F2459" t="s">
        <v>804</v>
      </c>
      <c r="G2459" t="e">
        <f t="shared" si="52"/>
        <v>#VALUE!</v>
      </c>
    </row>
    <row r="2460" spans="6:7" x14ac:dyDescent="0.45">
      <c r="F2460" t="s">
        <v>804</v>
      </c>
      <c r="G2460" t="e">
        <f t="shared" si="52"/>
        <v>#VALUE!</v>
      </c>
    </row>
    <row r="2461" spans="6:7" x14ac:dyDescent="0.45">
      <c r="F2461" t="s">
        <v>804</v>
      </c>
      <c r="G2461" t="e">
        <f t="shared" si="52"/>
        <v>#VALUE!</v>
      </c>
    </row>
    <row r="2462" spans="6:7" x14ac:dyDescent="0.45">
      <c r="F2462" t="s">
        <v>804</v>
      </c>
      <c r="G2462" t="e">
        <f t="shared" si="52"/>
        <v>#VALUE!</v>
      </c>
    </row>
    <row r="2463" spans="6:7" x14ac:dyDescent="0.45">
      <c r="F2463" t="s">
        <v>804</v>
      </c>
      <c r="G2463" t="e">
        <f t="shared" si="52"/>
        <v>#VALUE!</v>
      </c>
    </row>
    <row r="2464" spans="6:7" x14ac:dyDescent="0.45">
      <c r="F2464" t="s">
        <v>804</v>
      </c>
      <c r="G2464" t="e">
        <f t="shared" si="52"/>
        <v>#VALUE!</v>
      </c>
    </row>
    <row r="2465" spans="6:7" x14ac:dyDescent="0.45">
      <c r="F2465" t="s">
        <v>804</v>
      </c>
      <c r="G2465" t="e">
        <f t="shared" si="52"/>
        <v>#VALUE!</v>
      </c>
    </row>
    <row r="2466" spans="6:7" x14ac:dyDescent="0.45">
      <c r="F2466" t="s">
        <v>804</v>
      </c>
      <c r="G2466" t="e">
        <f t="shared" si="52"/>
        <v>#VALUE!</v>
      </c>
    </row>
    <row r="2467" spans="6:7" x14ac:dyDescent="0.45">
      <c r="F2467" t="s">
        <v>804</v>
      </c>
      <c r="G2467" t="e">
        <f t="shared" si="52"/>
        <v>#VALUE!</v>
      </c>
    </row>
    <row r="2468" spans="6:7" x14ac:dyDescent="0.45">
      <c r="F2468" t="s">
        <v>804</v>
      </c>
      <c r="G2468" t="e">
        <f t="shared" si="52"/>
        <v>#VALUE!</v>
      </c>
    </row>
    <row r="2469" spans="6:7" x14ac:dyDescent="0.45">
      <c r="F2469" t="s">
        <v>804</v>
      </c>
      <c r="G2469" t="e">
        <f t="shared" si="52"/>
        <v>#VALUE!</v>
      </c>
    </row>
    <row r="2470" spans="6:7" x14ac:dyDescent="0.45">
      <c r="F2470" t="s">
        <v>804</v>
      </c>
      <c r="G2470" t="e">
        <f t="shared" si="52"/>
        <v>#VALUE!</v>
      </c>
    </row>
    <row r="2471" spans="6:7" x14ac:dyDescent="0.45">
      <c r="F2471" t="s">
        <v>804</v>
      </c>
      <c r="G2471" t="e">
        <f t="shared" si="52"/>
        <v>#VALUE!</v>
      </c>
    </row>
    <row r="2472" spans="6:7" x14ac:dyDescent="0.45">
      <c r="F2472" t="s">
        <v>804</v>
      </c>
      <c r="G2472" t="e">
        <f t="shared" si="52"/>
        <v>#VALUE!</v>
      </c>
    </row>
    <row r="2473" spans="6:7" x14ac:dyDescent="0.45">
      <c r="F2473" t="s">
        <v>804</v>
      </c>
      <c r="G2473" t="e">
        <f t="shared" si="52"/>
        <v>#VALUE!</v>
      </c>
    </row>
    <row r="2474" spans="6:7" x14ac:dyDescent="0.45">
      <c r="F2474" t="s">
        <v>804</v>
      </c>
      <c r="G2474" t="e">
        <f t="shared" si="52"/>
        <v>#VALUE!</v>
      </c>
    </row>
    <row r="2475" spans="6:7" x14ac:dyDescent="0.45">
      <c r="F2475" t="s">
        <v>804</v>
      </c>
      <c r="G2475" t="e">
        <f t="shared" si="52"/>
        <v>#VALUE!</v>
      </c>
    </row>
    <row r="2476" spans="6:7" x14ac:dyDescent="0.45">
      <c r="F2476" t="s">
        <v>804</v>
      </c>
      <c r="G2476" t="e">
        <f t="shared" si="52"/>
        <v>#VALUE!</v>
      </c>
    </row>
    <row r="2477" spans="6:7" x14ac:dyDescent="0.45">
      <c r="F2477" t="s">
        <v>804</v>
      </c>
      <c r="G2477" t="e">
        <f t="shared" si="52"/>
        <v>#VALUE!</v>
      </c>
    </row>
    <row r="2478" spans="6:7" x14ac:dyDescent="0.45">
      <c r="F2478" t="s">
        <v>804</v>
      </c>
      <c r="G2478" t="e">
        <f t="shared" si="52"/>
        <v>#VALUE!</v>
      </c>
    </row>
    <row r="2479" spans="6:7" x14ac:dyDescent="0.45">
      <c r="F2479" t="s">
        <v>804</v>
      </c>
      <c r="G2479" t="e">
        <f t="shared" si="52"/>
        <v>#VALUE!</v>
      </c>
    </row>
    <row r="2480" spans="6:7" x14ac:dyDescent="0.45">
      <c r="F2480" t="s">
        <v>804</v>
      </c>
      <c r="G2480" t="e">
        <f t="shared" si="52"/>
        <v>#VALUE!</v>
      </c>
    </row>
    <row r="2481" spans="6:7" x14ac:dyDescent="0.45">
      <c r="F2481" t="s">
        <v>804</v>
      </c>
      <c r="G2481" t="e">
        <f t="shared" si="52"/>
        <v>#VALUE!</v>
      </c>
    </row>
    <row r="2482" spans="6:7" x14ac:dyDescent="0.45">
      <c r="F2482" t="s">
        <v>804</v>
      </c>
      <c r="G2482" t="e">
        <f t="shared" si="52"/>
        <v>#VALUE!</v>
      </c>
    </row>
    <row r="2483" spans="6:7" x14ac:dyDescent="0.45">
      <c r="F2483" t="s">
        <v>804</v>
      </c>
      <c r="G2483" t="e">
        <f t="shared" si="52"/>
        <v>#VALUE!</v>
      </c>
    </row>
    <row r="2484" spans="6:7" x14ac:dyDescent="0.45">
      <c r="F2484" t="s">
        <v>804</v>
      </c>
      <c r="G2484" t="e">
        <f t="shared" si="52"/>
        <v>#VALUE!</v>
      </c>
    </row>
    <row r="2485" spans="6:7" x14ac:dyDescent="0.45">
      <c r="F2485" t="s">
        <v>804</v>
      </c>
      <c r="G2485" t="e">
        <f t="shared" si="52"/>
        <v>#VALUE!</v>
      </c>
    </row>
    <row r="2486" spans="6:7" x14ac:dyDescent="0.45">
      <c r="F2486" t="s">
        <v>804</v>
      </c>
      <c r="G2486" t="e">
        <f t="shared" si="52"/>
        <v>#VALUE!</v>
      </c>
    </row>
    <row r="2487" spans="6:7" x14ac:dyDescent="0.45">
      <c r="F2487" t="s">
        <v>804</v>
      </c>
      <c r="G2487" t="e">
        <f t="shared" si="52"/>
        <v>#VALUE!</v>
      </c>
    </row>
    <row r="2488" spans="6:7" x14ac:dyDescent="0.45">
      <c r="F2488" t="s">
        <v>804</v>
      </c>
      <c r="G2488" t="e">
        <f t="shared" si="52"/>
        <v>#VALUE!</v>
      </c>
    </row>
    <row r="2489" spans="6:7" x14ac:dyDescent="0.45">
      <c r="F2489" t="s">
        <v>804</v>
      </c>
      <c r="G2489" t="e">
        <f t="shared" si="52"/>
        <v>#VALUE!</v>
      </c>
    </row>
    <row r="2490" spans="6:7" x14ac:dyDescent="0.45">
      <c r="F2490" t="s">
        <v>804</v>
      </c>
      <c r="G2490" t="e">
        <f t="shared" si="52"/>
        <v>#VALUE!</v>
      </c>
    </row>
    <row r="2491" spans="6:7" x14ac:dyDescent="0.45">
      <c r="F2491" t="s">
        <v>804</v>
      </c>
      <c r="G2491" t="e">
        <f t="shared" si="52"/>
        <v>#VALUE!</v>
      </c>
    </row>
    <row r="2492" spans="6:7" x14ac:dyDescent="0.45">
      <c r="F2492" t="s">
        <v>804</v>
      </c>
      <c r="G2492" t="e">
        <f t="shared" si="52"/>
        <v>#VALUE!</v>
      </c>
    </row>
    <row r="2493" spans="6:7" x14ac:dyDescent="0.45">
      <c r="F2493" t="s">
        <v>804</v>
      </c>
      <c r="G2493" t="e">
        <f t="shared" si="52"/>
        <v>#VALUE!</v>
      </c>
    </row>
    <row r="2494" spans="6:7" x14ac:dyDescent="0.45">
      <c r="F2494" t="s">
        <v>804</v>
      </c>
      <c r="G2494" t="e">
        <f t="shared" si="52"/>
        <v>#VALUE!</v>
      </c>
    </row>
    <row r="2495" spans="6:7" x14ac:dyDescent="0.45">
      <c r="F2495" t="s">
        <v>804</v>
      </c>
      <c r="G2495" t="e">
        <f t="shared" si="52"/>
        <v>#VALUE!</v>
      </c>
    </row>
    <row r="2496" spans="6:7" x14ac:dyDescent="0.45">
      <c r="F2496" t="s">
        <v>804</v>
      </c>
      <c r="G2496" t="e">
        <f t="shared" si="52"/>
        <v>#VALUE!</v>
      </c>
    </row>
    <row r="2497" spans="6:7" x14ac:dyDescent="0.45">
      <c r="F2497" t="s">
        <v>804</v>
      </c>
      <c r="G2497" t="e">
        <f t="shared" si="52"/>
        <v>#VALUE!</v>
      </c>
    </row>
    <row r="2498" spans="6:7" x14ac:dyDescent="0.45">
      <c r="F2498" t="s">
        <v>804</v>
      </c>
      <c r="G2498" t="e">
        <f t="shared" si="52"/>
        <v>#VALUE!</v>
      </c>
    </row>
    <row r="2499" spans="6:7" x14ac:dyDescent="0.45">
      <c r="F2499" t="s">
        <v>804</v>
      </c>
      <c r="G2499" t="e">
        <f t="shared" ref="G2499:G2562" si="53">+F2499+0</f>
        <v>#VALUE!</v>
      </c>
    </row>
    <row r="2500" spans="6:7" x14ac:dyDescent="0.45">
      <c r="F2500" t="s">
        <v>804</v>
      </c>
      <c r="G2500" t="e">
        <f t="shared" si="53"/>
        <v>#VALUE!</v>
      </c>
    </row>
    <row r="2501" spans="6:7" x14ac:dyDescent="0.45">
      <c r="F2501" t="s">
        <v>804</v>
      </c>
      <c r="G2501" t="e">
        <f t="shared" si="53"/>
        <v>#VALUE!</v>
      </c>
    </row>
    <row r="2502" spans="6:7" x14ac:dyDescent="0.45">
      <c r="F2502" t="s">
        <v>804</v>
      </c>
      <c r="G2502" t="e">
        <f t="shared" si="53"/>
        <v>#VALUE!</v>
      </c>
    </row>
    <row r="2503" spans="6:7" x14ac:dyDescent="0.45">
      <c r="F2503" t="s">
        <v>804</v>
      </c>
      <c r="G2503" t="e">
        <f t="shared" si="53"/>
        <v>#VALUE!</v>
      </c>
    </row>
    <row r="2504" spans="6:7" x14ac:dyDescent="0.45">
      <c r="F2504" t="s">
        <v>804</v>
      </c>
      <c r="G2504" t="e">
        <f t="shared" si="53"/>
        <v>#VALUE!</v>
      </c>
    </row>
    <row r="2505" spans="6:7" x14ac:dyDescent="0.45">
      <c r="F2505" t="s">
        <v>804</v>
      </c>
      <c r="G2505" t="e">
        <f t="shared" si="53"/>
        <v>#VALUE!</v>
      </c>
    </row>
    <row r="2506" spans="6:7" x14ac:dyDescent="0.45">
      <c r="F2506" t="s">
        <v>804</v>
      </c>
      <c r="G2506" t="e">
        <f t="shared" si="53"/>
        <v>#VALUE!</v>
      </c>
    </row>
    <row r="2507" spans="6:7" x14ac:dyDescent="0.45">
      <c r="F2507" t="s">
        <v>804</v>
      </c>
      <c r="G2507" t="e">
        <f t="shared" si="53"/>
        <v>#VALUE!</v>
      </c>
    </row>
    <row r="2508" spans="6:7" x14ac:dyDescent="0.45">
      <c r="F2508" t="s">
        <v>804</v>
      </c>
      <c r="G2508" t="e">
        <f t="shared" si="53"/>
        <v>#VALUE!</v>
      </c>
    </row>
    <row r="2509" spans="6:7" x14ac:dyDescent="0.45">
      <c r="F2509" t="s">
        <v>804</v>
      </c>
      <c r="G2509" t="e">
        <f t="shared" si="53"/>
        <v>#VALUE!</v>
      </c>
    </row>
    <row r="2510" spans="6:7" x14ac:dyDescent="0.45">
      <c r="F2510" t="s">
        <v>804</v>
      </c>
      <c r="G2510" t="e">
        <f t="shared" si="53"/>
        <v>#VALUE!</v>
      </c>
    </row>
    <row r="2511" spans="6:7" x14ac:dyDescent="0.45">
      <c r="F2511" t="s">
        <v>804</v>
      </c>
      <c r="G2511" t="e">
        <f t="shared" si="53"/>
        <v>#VALUE!</v>
      </c>
    </row>
    <row r="2512" spans="6:7" x14ac:dyDescent="0.45">
      <c r="F2512" t="s">
        <v>804</v>
      </c>
      <c r="G2512" t="e">
        <f t="shared" si="53"/>
        <v>#VALUE!</v>
      </c>
    </row>
    <row r="2513" spans="6:7" x14ac:dyDescent="0.45">
      <c r="F2513" t="s">
        <v>804</v>
      </c>
      <c r="G2513" t="e">
        <f t="shared" si="53"/>
        <v>#VALUE!</v>
      </c>
    </row>
    <row r="2514" spans="6:7" x14ac:dyDescent="0.45">
      <c r="F2514" t="s">
        <v>804</v>
      </c>
      <c r="G2514" t="e">
        <f t="shared" si="53"/>
        <v>#VALUE!</v>
      </c>
    </row>
    <row r="2515" spans="6:7" x14ac:dyDescent="0.45">
      <c r="F2515" t="s">
        <v>804</v>
      </c>
      <c r="G2515" t="e">
        <f t="shared" si="53"/>
        <v>#VALUE!</v>
      </c>
    </row>
    <row r="2516" spans="6:7" x14ac:dyDescent="0.45">
      <c r="F2516" t="s">
        <v>804</v>
      </c>
      <c r="G2516" t="e">
        <f t="shared" si="53"/>
        <v>#VALUE!</v>
      </c>
    </row>
    <row r="2517" spans="6:7" x14ac:dyDescent="0.45">
      <c r="F2517" t="s">
        <v>804</v>
      </c>
      <c r="G2517" t="e">
        <f t="shared" si="53"/>
        <v>#VALUE!</v>
      </c>
    </row>
    <row r="2518" spans="6:7" x14ac:dyDescent="0.45">
      <c r="F2518" t="s">
        <v>804</v>
      </c>
      <c r="G2518" t="e">
        <f t="shared" si="53"/>
        <v>#VALUE!</v>
      </c>
    </row>
    <row r="2519" spans="6:7" x14ac:dyDescent="0.45">
      <c r="F2519" t="s">
        <v>804</v>
      </c>
      <c r="G2519" t="e">
        <f t="shared" si="53"/>
        <v>#VALUE!</v>
      </c>
    </row>
    <row r="2520" spans="6:7" x14ac:dyDescent="0.45">
      <c r="F2520" t="s">
        <v>804</v>
      </c>
      <c r="G2520" t="e">
        <f t="shared" si="53"/>
        <v>#VALUE!</v>
      </c>
    </row>
    <row r="2521" spans="6:7" x14ac:dyDescent="0.45">
      <c r="F2521" t="s">
        <v>804</v>
      </c>
      <c r="G2521" t="e">
        <f t="shared" si="53"/>
        <v>#VALUE!</v>
      </c>
    </row>
    <row r="2522" spans="6:7" x14ac:dyDescent="0.45">
      <c r="F2522" t="s">
        <v>804</v>
      </c>
      <c r="G2522" t="e">
        <f t="shared" si="53"/>
        <v>#VALUE!</v>
      </c>
    </row>
    <row r="2523" spans="6:7" x14ac:dyDescent="0.45">
      <c r="F2523" t="s">
        <v>804</v>
      </c>
      <c r="G2523" t="e">
        <f t="shared" si="53"/>
        <v>#VALUE!</v>
      </c>
    </row>
    <row r="2524" spans="6:7" x14ac:dyDescent="0.45">
      <c r="F2524" t="s">
        <v>804</v>
      </c>
      <c r="G2524" t="e">
        <f t="shared" si="53"/>
        <v>#VALUE!</v>
      </c>
    </row>
    <row r="2525" spans="6:7" x14ac:dyDescent="0.45">
      <c r="F2525" t="s">
        <v>804</v>
      </c>
      <c r="G2525" t="e">
        <f t="shared" si="53"/>
        <v>#VALUE!</v>
      </c>
    </row>
    <row r="2526" spans="6:7" x14ac:dyDescent="0.45">
      <c r="F2526" t="s">
        <v>804</v>
      </c>
      <c r="G2526" t="e">
        <f t="shared" si="53"/>
        <v>#VALUE!</v>
      </c>
    </row>
    <row r="2527" spans="6:7" x14ac:dyDescent="0.45">
      <c r="F2527" t="s">
        <v>804</v>
      </c>
      <c r="G2527" t="e">
        <f t="shared" si="53"/>
        <v>#VALUE!</v>
      </c>
    </row>
    <row r="2528" spans="6:7" x14ac:dyDescent="0.45">
      <c r="F2528" t="s">
        <v>804</v>
      </c>
      <c r="G2528" t="e">
        <f t="shared" si="53"/>
        <v>#VALUE!</v>
      </c>
    </row>
    <row r="2529" spans="6:7" x14ac:dyDescent="0.45">
      <c r="F2529" t="s">
        <v>804</v>
      </c>
      <c r="G2529" t="e">
        <f t="shared" si="53"/>
        <v>#VALUE!</v>
      </c>
    </row>
    <row r="2530" spans="6:7" x14ac:dyDescent="0.45">
      <c r="F2530" t="s">
        <v>804</v>
      </c>
      <c r="G2530" t="e">
        <f t="shared" si="53"/>
        <v>#VALUE!</v>
      </c>
    </row>
    <row r="2531" spans="6:7" x14ac:dyDescent="0.45">
      <c r="F2531" t="s">
        <v>804</v>
      </c>
      <c r="G2531" t="e">
        <f t="shared" si="53"/>
        <v>#VALUE!</v>
      </c>
    </row>
    <row r="2532" spans="6:7" x14ac:dyDescent="0.45">
      <c r="F2532" t="s">
        <v>804</v>
      </c>
      <c r="G2532" t="e">
        <f t="shared" si="53"/>
        <v>#VALUE!</v>
      </c>
    </row>
    <row r="2533" spans="6:7" x14ac:dyDescent="0.45">
      <c r="F2533" t="s">
        <v>804</v>
      </c>
      <c r="G2533" t="e">
        <f t="shared" si="53"/>
        <v>#VALUE!</v>
      </c>
    </row>
    <row r="2534" spans="6:7" x14ac:dyDescent="0.45">
      <c r="F2534" t="s">
        <v>804</v>
      </c>
      <c r="G2534" t="e">
        <f t="shared" si="53"/>
        <v>#VALUE!</v>
      </c>
    </row>
    <row r="2535" spans="6:7" x14ac:dyDescent="0.45">
      <c r="F2535" t="s">
        <v>804</v>
      </c>
      <c r="G2535" t="e">
        <f t="shared" si="53"/>
        <v>#VALUE!</v>
      </c>
    </row>
    <row r="2536" spans="6:7" x14ac:dyDescent="0.45">
      <c r="F2536" t="s">
        <v>804</v>
      </c>
      <c r="G2536" t="e">
        <f t="shared" si="53"/>
        <v>#VALUE!</v>
      </c>
    </row>
    <row r="2537" spans="6:7" x14ac:dyDescent="0.45">
      <c r="F2537" t="s">
        <v>804</v>
      </c>
      <c r="G2537" t="e">
        <f t="shared" si="53"/>
        <v>#VALUE!</v>
      </c>
    </row>
    <row r="2538" spans="6:7" x14ac:dyDescent="0.45">
      <c r="F2538" t="s">
        <v>804</v>
      </c>
      <c r="G2538" t="e">
        <f t="shared" si="53"/>
        <v>#VALUE!</v>
      </c>
    </row>
    <row r="2539" spans="6:7" x14ac:dyDescent="0.45">
      <c r="F2539" t="s">
        <v>804</v>
      </c>
      <c r="G2539" t="e">
        <f t="shared" si="53"/>
        <v>#VALUE!</v>
      </c>
    </row>
    <row r="2540" spans="6:7" x14ac:dyDescent="0.45">
      <c r="F2540" t="s">
        <v>804</v>
      </c>
      <c r="G2540" t="e">
        <f t="shared" si="53"/>
        <v>#VALUE!</v>
      </c>
    </row>
    <row r="2541" spans="6:7" x14ac:dyDescent="0.45">
      <c r="F2541" t="s">
        <v>804</v>
      </c>
      <c r="G2541" t="e">
        <f t="shared" si="53"/>
        <v>#VALUE!</v>
      </c>
    </row>
    <row r="2542" spans="6:7" x14ac:dyDescent="0.45">
      <c r="F2542" t="s">
        <v>804</v>
      </c>
      <c r="G2542" t="e">
        <f t="shared" si="53"/>
        <v>#VALUE!</v>
      </c>
    </row>
    <row r="2543" spans="6:7" x14ac:dyDescent="0.45">
      <c r="F2543" t="s">
        <v>804</v>
      </c>
      <c r="G2543" t="e">
        <f t="shared" si="53"/>
        <v>#VALUE!</v>
      </c>
    </row>
    <row r="2544" spans="6:7" x14ac:dyDescent="0.45">
      <c r="F2544" t="s">
        <v>804</v>
      </c>
      <c r="G2544" t="e">
        <f t="shared" si="53"/>
        <v>#VALUE!</v>
      </c>
    </row>
    <row r="2545" spans="6:7" x14ac:dyDescent="0.45">
      <c r="F2545" t="s">
        <v>804</v>
      </c>
      <c r="G2545" t="e">
        <f t="shared" si="53"/>
        <v>#VALUE!</v>
      </c>
    </row>
    <row r="2546" spans="6:7" x14ac:dyDescent="0.45">
      <c r="F2546" t="s">
        <v>804</v>
      </c>
      <c r="G2546" t="e">
        <f t="shared" si="53"/>
        <v>#VALUE!</v>
      </c>
    </row>
    <row r="2547" spans="6:7" x14ac:dyDescent="0.45">
      <c r="F2547" t="s">
        <v>804</v>
      </c>
      <c r="G2547" t="e">
        <f t="shared" si="53"/>
        <v>#VALUE!</v>
      </c>
    </row>
    <row r="2548" spans="6:7" x14ac:dyDescent="0.45">
      <c r="F2548" t="s">
        <v>804</v>
      </c>
      <c r="G2548" t="e">
        <f t="shared" si="53"/>
        <v>#VALUE!</v>
      </c>
    </row>
    <row r="2549" spans="6:7" x14ac:dyDescent="0.45">
      <c r="F2549" t="s">
        <v>804</v>
      </c>
      <c r="G2549" t="e">
        <f t="shared" si="53"/>
        <v>#VALUE!</v>
      </c>
    </row>
    <row r="2550" spans="6:7" x14ac:dyDescent="0.45">
      <c r="F2550" t="s">
        <v>804</v>
      </c>
      <c r="G2550" t="e">
        <f t="shared" si="53"/>
        <v>#VALUE!</v>
      </c>
    </row>
    <row r="2551" spans="6:7" x14ac:dyDescent="0.45">
      <c r="F2551" t="s">
        <v>804</v>
      </c>
      <c r="G2551" t="e">
        <f t="shared" si="53"/>
        <v>#VALUE!</v>
      </c>
    </row>
    <row r="2552" spans="6:7" x14ac:dyDescent="0.45">
      <c r="F2552" t="s">
        <v>804</v>
      </c>
      <c r="G2552" t="e">
        <f t="shared" si="53"/>
        <v>#VALUE!</v>
      </c>
    </row>
    <row r="2553" spans="6:7" x14ac:dyDescent="0.45">
      <c r="F2553" t="s">
        <v>804</v>
      </c>
      <c r="G2553" t="e">
        <f t="shared" si="53"/>
        <v>#VALUE!</v>
      </c>
    </row>
    <row r="2554" spans="6:7" x14ac:dyDescent="0.45">
      <c r="F2554" t="s">
        <v>804</v>
      </c>
      <c r="G2554" t="e">
        <f t="shared" si="53"/>
        <v>#VALUE!</v>
      </c>
    </row>
    <row r="2555" spans="6:7" x14ac:dyDescent="0.45">
      <c r="F2555" t="s">
        <v>804</v>
      </c>
      <c r="G2555" t="e">
        <f t="shared" si="53"/>
        <v>#VALUE!</v>
      </c>
    </row>
    <row r="2556" spans="6:7" x14ac:dyDescent="0.45">
      <c r="F2556" t="s">
        <v>804</v>
      </c>
      <c r="G2556" t="e">
        <f t="shared" si="53"/>
        <v>#VALUE!</v>
      </c>
    </row>
    <row r="2557" spans="6:7" x14ac:dyDescent="0.45">
      <c r="F2557" t="s">
        <v>804</v>
      </c>
      <c r="G2557" t="e">
        <f t="shared" si="53"/>
        <v>#VALUE!</v>
      </c>
    </row>
    <row r="2558" spans="6:7" x14ac:dyDescent="0.45">
      <c r="F2558" t="s">
        <v>804</v>
      </c>
      <c r="G2558" t="e">
        <f t="shared" si="53"/>
        <v>#VALUE!</v>
      </c>
    </row>
    <row r="2559" spans="6:7" x14ac:dyDescent="0.45">
      <c r="F2559" t="s">
        <v>804</v>
      </c>
      <c r="G2559" t="e">
        <f t="shared" si="53"/>
        <v>#VALUE!</v>
      </c>
    </row>
    <row r="2560" spans="6:7" x14ac:dyDescent="0.45">
      <c r="F2560" t="s">
        <v>804</v>
      </c>
      <c r="G2560" t="e">
        <f t="shared" si="53"/>
        <v>#VALUE!</v>
      </c>
    </row>
    <row r="2561" spans="6:7" x14ac:dyDescent="0.45">
      <c r="F2561" t="s">
        <v>804</v>
      </c>
      <c r="G2561" t="e">
        <f t="shared" si="53"/>
        <v>#VALUE!</v>
      </c>
    </row>
    <row r="2562" spans="6:7" x14ac:dyDescent="0.45">
      <c r="F2562" t="s">
        <v>804</v>
      </c>
      <c r="G2562" t="e">
        <f t="shared" si="53"/>
        <v>#VALUE!</v>
      </c>
    </row>
    <row r="2563" spans="6:7" x14ac:dyDescent="0.45">
      <c r="F2563" t="s">
        <v>804</v>
      </c>
      <c r="G2563" t="e">
        <f t="shared" ref="G2563:G2626" si="54">+F2563+0</f>
        <v>#VALUE!</v>
      </c>
    </row>
    <row r="2564" spans="6:7" x14ac:dyDescent="0.45">
      <c r="F2564" t="s">
        <v>804</v>
      </c>
      <c r="G2564" t="e">
        <f t="shared" si="54"/>
        <v>#VALUE!</v>
      </c>
    </row>
    <row r="2565" spans="6:7" x14ac:dyDescent="0.45">
      <c r="F2565" t="s">
        <v>804</v>
      </c>
      <c r="G2565" t="e">
        <f t="shared" si="54"/>
        <v>#VALUE!</v>
      </c>
    </row>
    <row r="2566" spans="6:7" x14ac:dyDescent="0.45">
      <c r="F2566" t="s">
        <v>804</v>
      </c>
      <c r="G2566" t="e">
        <f t="shared" si="54"/>
        <v>#VALUE!</v>
      </c>
    </row>
    <row r="2567" spans="6:7" x14ac:dyDescent="0.45">
      <c r="F2567" t="s">
        <v>804</v>
      </c>
      <c r="G2567" t="e">
        <f t="shared" si="54"/>
        <v>#VALUE!</v>
      </c>
    </row>
    <row r="2568" spans="6:7" x14ac:dyDescent="0.45">
      <c r="F2568" t="s">
        <v>804</v>
      </c>
      <c r="G2568" t="e">
        <f t="shared" si="54"/>
        <v>#VALUE!</v>
      </c>
    </row>
    <row r="2569" spans="6:7" x14ac:dyDescent="0.45">
      <c r="F2569" t="s">
        <v>804</v>
      </c>
      <c r="G2569" t="e">
        <f t="shared" si="54"/>
        <v>#VALUE!</v>
      </c>
    </row>
    <row r="2570" spans="6:7" x14ac:dyDescent="0.45">
      <c r="F2570" t="s">
        <v>804</v>
      </c>
      <c r="G2570" t="e">
        <f t="shared" si="54"/>
        <v>#VALUE!</v>
      </c>
    </row>
    <row r="2571" spans="6:7" x14ac:dyDescent="0.45">
      <c r="F2571" t="s">
        <v>804</v>
      </c>
      <c r="G2571" t="e">
        <f t="shared" si="54"/>
        <v>#VALUE!</v>
      </c>
    </row>
    <row r="2572" spans="6:7" x14ac:dyDescent="0.45">
      <c r="F2572" t="s">
        <v>804</v>
      </c>
      <c r="G2572" t="e">
        <f t="shared" si="54"/>
        <v>#VALUE!</v>
      </c>
    </row>
    <row r="2573" spans="6:7" x14ac:dyDescent="0.45">
      <c r="F2573" t="s">
        <v>804</v>
      </c>
      <c r="G2573" t="e">
        <f t="shared" si="54"/>
        <v>#VALUE!</v>
      </c>
    </row>
    <row r="2574" spans="6:7" x14ac:dyDescent="0.45">
      <c r="F2574" t="s">
        <v>804</v>
      </c>
      <c r="G2574" t="e">
        <f t="shared" si="54"/>
        <v>#VALUE!</v>
      </c>
    </row>
    <row r="2575" spans="6:7" x14ac:dyDescent="0.45">
      <c r="F2575" t="s">
        <v>804</v>
      </c>
      <c r="G2575" t="e">
        <f t="shared" si="54"/>
        <v>#VALUE!</v>
      </c>
    </row>
    <row r="2576" spans="6:7" x14ac:dyDescent="0.45">
      <c r="F2576" t="s">
        <v>804</v>
      </c>
      <c r="G2576" t="e">
        <f t="shared" si="54"/>
        <v>#VALUE!</v>
      </c>
    </row>
    <row r="2577" spans="6:7" x14ac:dyDescent="0.45">
      <c r="F2577" t="s">
        <v>804</v>
      </c>
      <c r="G2577" t="e">
        <f t="shared" si="54"/>
        <v>#VALUE!</v>
      </c>
    </row>
    <row r="2578" spans="6:7" x14ac:dyDescent="0.45">
      <c r="F2578" t="s">
        <v>804</v>
      </c>
      <c r="G2578" t="e">
        <f t="shared" si="54"/>
        <v>#VALUE!</v>
      </c>
    </row>
    <row r="2579" spans="6:7" x14ac:dyDescent="0.45">
      <c r="F2579" t="s">
        <v>804</v>
      </c>
      <c r="G2579" t="e">
        <f t="shared" si="54"/>
        <v>#VALUE!</v>
      </c>
    </row>
    <row r="2580" spans="6:7" x14ac:dyDescent="0.45">
      <c r="F2580" t="s">
        <v>804</v>
      </c>
      <c r="G2580" t="e">
        <f t="shared" si="54"/>
        <v>#VALUE!</v>
      </c>
    </row>
    <row r="2581" spans="6:7" x14ac:dyDescent="0.45">
      <c r="F2581" t="s">
        <v>804</v>
      </c>
      <c r="G2581" t="e">
        <f t="shared" si="54"/>
        <v>#VALUE!</v>
      </c>
    </row>
    <row r="2582" spans="6:7" x14ac:dyDescent="0.45">
      <c r="F2582" t="s">
        <v>804</v>
      </c>
      <c r="G2582" t="e">
        <f t="shared" si="54"/>
        <v>#VALUE!</v>
      </c>
    </row>
    <row r="2583" spans="6:7" x14ac:dyDescent="0.45">
      <c r="F2583" t="s">
        <v>804</v>
      </c>
      <c r="G2583" t="e">
        <f t="shared" si="54"/>
        <v>#VALUE!</v>
      </c>
    </row>
    <row r="2584" spans="6:7" x14ac:dyDescent="0.45">
      <c r="F2584" t="s">
        <v>804</v>
      </c>
      <c r="G2584" t="e">
        <f t="shared" si="54"/>
        <v>#VALUE!</v>
      </c>
    </row>
    <row r="2585" spans="6:7" x14ac:dyDescent="0.45">
      <c r="F2585" t="s">
        <v>804</v>
      </c>
      <c r="G2585" t="e">
        <f t="shared" si="54"/>
        <v>#VALUE!</v>
      </c>
    </row>
    <row r="2586" spans="6:7" x14ac:dyDescent="0.45">
      <c r="F2586" t="s">
        <v>804</v>
      </c>
      <c r="G2586" t="e">
        <f t="shared" si="54"/>
        <v>#VALUE!</v>
      </c>
    </row>
    <row r="2587" spans="6:7" x14ac:dyDescent="0.45">
      <c r="F2587" t="s">
        <v>804</v>
      </c>
      <c r="G2587" t="e">
        <f t="shared" si="54"/>
        <v>#VALUE!</v>
      </c>
    </row>
    <row r="2588" spans="6:7" x14ac:dyDescent="0.45">
      <c r="F2588" t="s">
        <v>804</v>
      </c>
      <c r="G2588" t="e">
        <f t="shared" si="54"/>
        <v>#VALUE!</v>
      </c>
    </row>
    <row r="2589" spans="6:7" x14ac:dyDescent="0.45">
      <c r="F2589" t="s">
        <v>804</v>
      </c>
      <c r="G2589" t="e">
        <f t="shared" si="54"/>
        <v>#VALUE!</v>
      </c>
    </row>
    <row r="2590" spans="6:7" x14ac:dyDescent="0.45">
      <c r="F2590" t="s">
        <v>804</v>
      </c>
      <c r="G2590" t="e">
        <f t="shared" si="54"/>
        <v>#VALUE!</v>
      </c>
    </row>
    <row r="2591" spans="6:7" x14ac:dyDescent="0.45">
      <c r="F2591" t="s">
        <v>804</v>
      </c>
      <c r="G2591" t="e">
        <f t="shared" si="54"/>
        <v>#VALUE!</v>
      </c>
    </row>
    <row r="2592" spans="6:7" x14ac:dyDescent="0.45">
      <c r="F2592" t="s">
        <v>804</v>
      </c>
      <c r="G2592" t="e">
        <f t="shared" si="54"/>
        <v>#VALUE!</v>
      </c>
    </row>
    <row r="2593" spans="6:7" x14ac:dyDescent="0.45">
      <c r="F2593" t="s">
        <v>804</v>
      </c>
      <c r="G2593" t="e">
        <f t="shared" si="54"/>
        <v>#VALUE!</v>
      </c>
    </row>
    <row r="2594" spans="6:7" x14ac:dyDescent="0.45">
      <c r="F2594" t="s">
        <v>804</v>
      </c>
      <c r="G2594" t="e">
        <f t="shared" si="54"/>
        <v>#VALUE!</v>
      </c>
    </row>
    <row r="2595" spans="6:7" x14ac:dyDescent="0.45">
      <c r="F2595" t="s">
        <v>804</v>
      </c>
      <c r="G2595" t="e">
        <f t="shared" si="54"/>
        <v>#VALUE!</v>
      </c>
    </row>
    <row r="2596" spans="6:7" x14ac:dyDescent="0.45">
      <c r="F2596" t="s">
        <v>804</v>
      </c>
      <c r="G2596" t="e">
        <f t="shared" si="54"/>
        <v>#VALUE!</v>
      </c>
    </row>
    <row r="2597" spans="6:7" x14ac:dyDescent="0.45">
      <c r="F2597" t="s">
        <v>804</v>
      </c>
      <c r="G2597" t="e">
        <f t="shared" si="54"/>
        <v>#VALUE!</v>
      </c>
    </row>
    <row r="2598" spans="6:7" x14ac:dyDescent="0.45">
      <c r="F2598" t="s">
        <v>804</v>
      </c>
      <c r="G2598" t="e">
        <f t="shared" si="54"/>
        <v>#VALUE!</v>
      </c>
    </row>
    <row r="2599" spans="6:7" x14ac:dyDescent="0.45">
      <c r="F2599" t="s">
        <v>804</v>
      </c>
      <c r="G2599" t="e">
        <f t="shared" si="54"/>
        <v>#VALUE!</v>
      </c>
    </row>
    <row r="2600" spans="6:7" x14ac:dyDescent="0.45">
      <c r="F2600" t="s">
        <v>804</v>
      </c>
      <c r="G2600" t="e">
        <f t="shared" si="54"/>
        <v>#VALUE!</v>
      </c>
    </row>
    <row r="2601" spans="6:7" x14ac:dyDescent="0.45">
      <c r="F2601" t="s">
        <v>804</v>
      </c>
      <c r="G2601" t="e">
        <f t="shared" si="54"/>
        <v>#VALUE!</v>
      </c>
    </row>
    <row r="2602" spans="6:7" x14ac:dyDescent="0.45">
      <c r="F2602" t="s">
        <v>804</v>
      </c>
      <c r="G2602" t="e">
        <f t="shared" si="54"/>
        <v>#VALUE!</v>
      </c>
    </row>
    <row r="2603" spans="6:7" x14ac:dyDescent="0.45">
      <c r="F2603" t="s">
        <v>804</v>
      </c>
      <c r="G2603" t="e">
        <f t="shared" si="54"/>
        <v>#VALUE!</v>
      </c>
    </row>
    <row r="2604" spans="6:7" x14ac:dyDescent="0.45">
      <c r="F2604" t="s">
        <v>804</v>
      </c>
      <c r="G2604" t="e">
        <f t="shared" si="54"/>
        <v>#VALUE!</v>
      </c>
    </row>
    <row r="2605" spans="6:7" x14ac:dyDescent="0.45">
      <c r="F2605" t="s">
        <v>804</v>
      </c>
      <c r="G2605" t="e">
        <f t="shared" si="54"/>
        <v>#VALUE!</v>
      </c>
    </row>
    <row r="2606" spans="6:7" x14ac:dyDescent="0.45">
      <c r="F2606" t="s">
        <v>804</v>
      </c>
      <c r="G2606" t="e">
        <f t="shared" si="54"/>
        <v>#VALUE!</v>
      </c>
    </row>
    <row r="2607" spans="6:7" x14ac:dyDescent="0.45">
      <c r="F2607" t="s">
        <v>804</v>
      </c>
      <c r="G2607" t="e">
        <f t="shared" si="54"/>
        <v>#VALUE!</v>
      </c>
    </row>
    <row r="2608" spans="6:7" x14ac:dyDescent="0.45">
      <c r="F2608" t="s">
        <v>804</v>
      </c>
      <c r="G2608" t="e">
        <f t="shared" si="54"/>
        <v>#VALUE!</v>
      </c>
    </row>
    <row r="2609" spans="6:7" x14ac:dyDescent="0.45">
      <c r="F2609" t="s">
        <v>804</v>
      </c>
      <c r="G2609" t="e">
        <f t="shared" si="54"/>
        <v>#VALUE!</v>
      </c>
    </row>
    <row r="2610" spans="6:7" x14ac:dyDescent="0.45">
      <c r="F2610" t="s">
        <v>804</v>
      </c>
      <c r="G2610" t="e">
        <f t="shared" si="54"/>
        <v>#VALUE!</v>
      </c>
    </row>
    <row r="2611" spans="6:7" x14ac:dyDescent="0.45">
      <c r="F2611" t="s">
        <v>804</v>
      </c>
      <c r="G2611" t="e">
        <f t="shared" si="54"/>
        <v>#VALUE!</v>
      </c>
    </row>
    <row r="2612" spans="6:7" x14ac:dyDescent="0.45">
      <c r="F2612" t="s">
        <v>804</v>
      </c>
      <c r="G2612" t="e">
        <f t="shared" si="54"/>
        <v>#VALUE!</v>
      </c>
    </row>
    <row r="2613" spans="6:7" x14ac:dyDescent="0.45">
      <c r="F2613" t="s">
        <v>804</v>
      </c>
      <c r="G2613" t="e">
        <f t="shared" si="54"/>
        <v>#VALUE!</v>
      </c>
    </row>
    <row r="2614" spans="6:7" x14ac:dyDescent="0.45">
      <c r="F2614" t="s">
        <v>804</v>
      </c>
      <c r="G2614" t="e">
        <f t="shared" si="54"/>
        <v>#VALUE!</v>
      </c>
    </row>
    <row r="2615" spans="6:7" x14ac:dyDescent="0.45">
      <c r="F2615" t="s">
        <v>804</v>
      </c>
      <c r="G2615" t="e">
        <f t="shared" si="54"/>
        <v>#VALUE!</v>
      </c>
    </row>
    <row r="2616" spans="6:7" x14ac:dyDescent="0.45">
      <c r="F2616" t="s">
        <v>804</v>
      </c>
      <c r="G2616" t="e">
        <f t="shared" si="54"/>
        <v>#VALUE!</v>
      </c>
    </row>
    <row r="2617" spans="6:7" x14ac:dyDescent="0.45">
      <c r="F2617" t="s">
        <v>804</v>
      </c>
      <c r="G2617" t="e">
        <f t="shared" si="54"/>
        <v>#VALUE!</v>
      </c>
    </row>
    <row r="2618" spans="6:7" x14ac:dyDescent="0.45">
      <c r="F2618" t="s">
        <v>804</v>
      </c>
      <c r="G2618" t="e">
        <f t="shared" si="54"/>
        <v>#VALUE!</v>
      </c>
    </row>
    <row r="2619" spans="6:7" x14ac:dyDescent="0.45">
      <c r="F2619" t="s">
        <v>804</v>
      </c>
      <c r="G2619" t="e">
        <f t="shared" si="54"/>
        <v>#VALUE!</v>
      </c>
    </row>
    <row r="2620" spans="6:7" x14ac:dyDescent="0.45">
      <c r="F2620" t="s">
        <v>804</v>
      </c>
      <c r="G2620" t="e">
        <f t="shared" si="54"/>
        <v>#VALUE!</v>
      </c>
    </row>
    <row r="2621" spans="6:7" x14ac:dyDescent="0.45">
      <c r="F2621" t="s">
        <v>804</v>
      </c>
      <c r="G2621" t="e">
        <f t="shared" si="54"/>
        <v>#VALUE!</v>
      </c>
    </row>
    <row r="2622" spans="6:7" x14ac:dyDescent="0.45">
      <c r="F2622" t="s">
        <v>804</v>
      </c>
      <c r="G2622" t="e">
        <f t="shared" si="54"/>
        <v>#VALUE!</v>
      </c>
    </row>
    <row r="2623" spans="6:7" x14ac:dyDescent="0.45">
      <c r="F2623" t="s">
        <v>804</v>
      </c>
      <c r="G2623" t="e">
        <f t="shared" si="54"/>
        <v>#VALUE!</v>
      </c>
    </row>
    <row r="2624" spans="6:7" x14ac:dyDescent="0.45">
      <c r="F2624" t="s">
        <v>804</v>
      </c>
      <c r="G2624" t="e">
        <f t="shared" si="54"/>
        <v>#VALUE!</v>
      </c>
    </row>
    <row r="2625" spans="6:7" x14ac:dyDescent="0.45">
      <c r="F2625" t="s">
        <v>804</v>
      </c>
      <c r="G2625" t="e">
        <f t="shared" si="54"/>
        <v>#VALUE!</v>
      </c>
    </row>
    <row r="2626" spans="6:7" x14ac:dyDescent="0.45">
      <c r="F2626" t="s">
        <v>804</v>
      </c>
      <c r="G2626" t="e">
        <f t="shared" si="54"/>
        <v>#VALUE!</v>
      </c>
    </row>
    <row r="2627" spans="6:7" x14ac:dyDescent="0.45">
      <c r="F2627" t="s">
        <v>804</v>
      </c>
      <c r="G2627" t="e">
        <f t="shared" ref="G2627:G2690" si="55">+F2627+0</f>
        <v>#VALUE!</v>
      </c>
    </row>
    <row r="2628" spans="6:7" x14ac:dyDescent="0.45">
      <c r="F2628" t="s">
        <v>804</v>
      </c>
      <c r="G2628" t="e">
        <f t="shared" si="55"/>
        <v>#VALUE!</v>
      </c>
    </row>
    <row r="2629" spans="6:7" x14ac:dyDescent="0.45">
      <c r="F2629" t="s">
        <v>804</v>
      </c>
      <c r="G2629" t="e">
        <f t="shared" si="55"/>
        <v>#VALUE!</v>
      </c>
    </row>
    <row r="2630" spans="6:7" x14ac:dyDescent="0.45">
      <c r="F2630" t="s">
        <v>804</v>
      </c>
      <c r="G2630" t="e">
        <f t="shared" si="55"/>
        <v>#VALUE!</v>
      </c>
    </row>
    <row r="2631" spans="6:7" x14ac:dyDescent="0.45">
      <c r="F2631" t="s">
        <v>804</v>
      </c>
      <c r="G2631" t="e">
        <f t="shared" si="55"/>
        <v>#VALUE!</v>
      </c>
    </row>
    <row r="2632" spans="6:7" x14ac:dyDescent="0.45">
      <c r="F2632" t="s">
        <v>804</v>
      </c>
      <c r="G2632" t="e">
        <f t="shared" si="55"/>
        <v>#VALUE!</v>
      </c>
    </row>
    <row r="2633" spans="6:7" x14ac:dyDescent="0.45">
      <c r="F2633" t="s">
        <v>804</v>
      </c>
      <c r="G2633" t="e">
        <f t="shared" si="55"/>
        <v>#VALUE!</v>
      </c>
    </row>
    <row r="2634" spans="6:7" x14ac:dyDescent="0.45">
      <c r="F2634" t="s">
        <v>804</v>
      </c>
      <c r="G2634" t="e">
        <f t="shared" si="55"/>
        <v>#VALUE!</v>
      </c>
    </row>
    <row r="2635" spans="6:7" x14ac:dyDescent="0.45">
      <c r="F2635" t="s">
        <v>804</v>
      </c>
      <c r="G2635" t="e">
        <f t="shared" si="55"/>
        <v>#VALUE!</v>
      </c>
    </row>
    <row r="2636" spans="6:7" x14ac:dyDescent="0.45">
      <c r="F2636" t="s">
        <v>804</v>
      </c>
      <c r="G2636" t="e">
        <f t="shared" si="55"/>
        <v>#VALUE!</v>
      </c>
    </row>
    <row r="2637" spans="6:7" x14ac:dyDescent="0.45">
      <c r="F2637" t="s">
        <v>804</v>
      </c>
      <c r="G2637" t="e">
        <f t="shared" si="55"/>
        <v>#VALUE!</v>
      </c>
    </row>
    <row r="2638" spans="6:7" x14ac:dyDescent="0.45">
      <c r="F2638" t="s">
        <v>804</v>
      </c>
      <c r="G2638" t="e">
        <f t="shared" si="55"/>
        <v>#VALUE!</v>
      </c>
    </row>
    <row r="2639" spans="6:7" x14ac:dyDescent="0.45">
      <c r="F2639" t="s">
        <v>804</v>
      </c>
      <c r="G2639" t="e">
        <f t="shared" si="55"/>
        <v>#VALUE!</v>
      </c>
    </row>
    <row r="2640" spans="6:7" x14ac:dyDescent="0.45">
      <c r="F2640" t="s">
        <v>804</v>
      </c>
      <c r="G2640" t="e">
        <f t="shared" si="55"/>
        <v>#VALUE!</v>
      </c>
    </row>
    <row r="2641" spans="6:7" x14ac:dyDescent="0.45">
      <c r="F2641" t="s">
        <v>804</v>
      </c>
      <c r="G2641" t="e">
        <f t="shared" si="55"/>
        <v>#VALUE!</v>
      </c>
    </row>
    <row r="2642" spans="6:7" x14ac:dyDescent="0.45">
      <c r="F2642" t="s">
        <v>804</v>
      </c>
      <c r="G2642" t="e">
        <f t="shared" si="55"/>
        <v>#VALUE!</v>
      </c>
    </row>
    <row r="2643" spans="6:7" x14ac:dyDescent="0.45">
      <c r="F2643" t="s">
        <v>804</v>
      </c>
      <c r="G2643" t="e">
        <f t="shared" si="55"/>
        <v>#VALUE!</v>
      </c>
    </row>
    <row r="2644" spans="6:7" x14ac:dyDescent="0.45">
      <c r="F2644" t="s">
        <v>804</v>
      </c>
      <c r="G2644" t="e">
        <f t="shared" si="55"/>
        <v>#VALUE!</v>
      </c>
    </row>
    <row r="2645" spans="6:7" x14ac:dyDescent="0.45">
      <c r="F2645" t="s">
        <v>804</v>
      </c>
      <c r="G2645" t="e">
        <f t="shared" si="55"/>
        <v>#VALUE!</v>
      </c>
    </row>
    <row r="2646" spans="6:7" x14ac:dyDescent="0.45">
      <c r="F2646" t="s">
        <v>804</v>
      </c>
      <c r="G2646" t="e">
        <f t="shared" si="55"/>
        <v>#VALUE!</v>
      </c>
    </row>
    <row r="2647" spans="6:7" x14ac:dyDescent="0.45">
      <c r="F2647" t="s">
        <v>804</v>
      </c>
      <c r="G2647" t="e">
        <f t="shared" si="55"/>
        <v>#VALUE!</v>
      </c>
    </row>
    <row r="2648" spans="6:7" x14ac:dyDescent="0.45">
      <c r="F2648" t="s">
        <v>804</v>
      </c>
      <c r="G2648" t="e">
        <f t="shared" si="55"/>
        <v>#VALUE!</v>
      </c>
    </row>
    <row r="2649" spans="6:7" x14ac:dyDescent="0.45">
      <c r="F2649" t="s">
        <v>804</v>
      </c>
      <c r="G2649" t="e">
        <f t="shared" si="55"/>
        <v>#VALUE!</v>
      </c>
    </row>
    <row r="2650" spans="6:7" x14ac:dyDescent="0.45">
      <c r="F2650" t="s">
        <v>804</v>
      </c>
      <c r="G2650" t="e">
        <f t="shared" si="55"/>
        <v>#VALUE!</v>
      </c>
    </row>
    <row r="2651" spans="6:7" x14ac:dyDescent="0.45">
      <c r="F2651" t="s">
        <v>804</v>
      </c>
      <c r="G2651" t="e">
        <f t="shared" si="55"/>
        <v>#VALUE!</v>
      </c>
    </row>
    <row r="2652" spans="6:7" x14ac:dyDescent="0.45">
      <c r="F2652" t="s">
        <v>804</v>
      </c>
      <c r="G2652" t="e">
        <f t="shared" si="55"/>
        <v>#VALUE!</v>
      </c>
    </row>
    <row r="2653" spans="6:7" x14ac:dyDescent="0.45">
      <c r="F2653" t="s">
        <v>804</v>
      </c>
      <c r="G2653" t="e">
        <f t="shared" si="55"/>
        <v>#VALUE!</v>
      </c>
    </row>
    <row r="2654" spans="6:7" x14ac:dyDescent="0.45">
      <c r="F2654" t="s">
        <v>804</v>
      </c>
      <c r="G2654" t="e">
        <f t="shared" si="55"/>
        <v>#VALUE!</v>
      </c>
    </row>
    <row r="2655" spans="6:7" x14ac:dyDescent="0.45">
      <c r="F2655" t="s">
        <v>804</v>
      </c>
      <c r="G2655" t="e">
        <f t="shared" si="55"/>
        <v>#VALUE!</v>
      </c>
    </row>
    <row r="2656" spans="6:7" x14ac:dyDescent="0.45">
      <c r="F2656" t="s">
        <v>804</v>
      </c>
      <c r="G2656" t="e">
        <f t="shared" si="55"/>
        <v>#VALUE!</v>
      </c>
    </row>
    <row r="2657" spans="6:7" x14ac:dyDescent="0.45">
      <c r="F2657" t="s">
        <v>804</v>
      </c>
      <c r="G2657" t="e">
        <f t="shared" si="55"/>
        <v>#VALUE!</v>
      </c>
    </row>
    <row r="2658" spans="6:7" x14ac:dyDescent="0.45">
      <c r="F2658" t="s">
        <v>804</v>
      </c>
      <c r="G2658" t="e">
        <f t="shared" si="55"/>
        <v>#VALUE!</v>
      </c>
    </row>
    <row r="2659" spans="6:7" x14ac:dyDescent="0.45">
      <c r="F2659" t="s">
        <v>804</v>
      </c>
      <c r="G2659" t="e">
        <f t="shared" si="55"/>
        <v>#VALUE!</v>
      </c>
    </row>
    <row r="2660" spans="6:7" x14ac:dyDescent="0.45">
      <c r="F2660" t="s">
        <v>804</v>
      </c>
      <c r="G2660" t="e">
        <f t="shared" si="55"/>
        <v>#VALUE!</v>
      </c>
    </row>
    <row r="2661" spans="6:7" x14ac:dyDescent="0.45">
      <c r="F2661" t="s">
        <v>804</v>
      </c>
      <c r="G2661" t="e">
        <f t="shared" si="55"/>
        <v>#VALUE!</v>
      </c>
    </row>
    <row r="2662" spans="6:7" x14ac:dyDescent="0.45">
      <c r="F2662" t="s">
        <v>804</v>
      </c>
      <c r="G2662" t="e">
        <f t="shared" si="55"/>
        <v>#VALUE!</v>
      </c>
    </row>
    <row r="2663" spans="6:7" x14ac:dyDescent="0.45">
      <c r="F2663" t="s">
        <v>804</v>
      </c>
      <c r="G2663" t="e">
        <f t="shared" si="55"/>
        <v>#VALUE!</v>
      </c>
    </row>
    <row r="2664" spans="6:7" x14ac:dyDescent="0.45">
      <c r="F2664" t="s">
        <v>804</v>
      </c>
      <c r="G2664" t="e">
        <f t="shared" si="55"/>
        <v>#VALUE!</v>
      </c>
    </row>
    <row r="2665" spans="6:7" x14ac:dyDescent="0.45">
      <c r="F2665" t="s">
        <v>804</v>
      </c>
      <c r="G2665" t="e">
        <f t="shared" si="55"/>
        <v>#VALUE!</v>
      </c>
    </row>
    <row r="2666" spans="6:7" x14ac:dyDescent="0.45">
      <c r="F2666" t="s">
        <v>804</v>
      </c>
      <c r="G2666" t="e">
        <f t="shared" si="55"/>
        <v>#VALUE!</v>
      </c>
    </row>
    <row r="2667" spans="6:7" x14ac:dyDescent="0.45">
      <c r="F2667" t="s">
        <v>804</v>
      </c>
      <c r="G2667" t="e">
        <f t="shared" si="55"/>
        <v>#VALUE!</v>
      </c>
    </row>
    <row r="2668" spans="6:7" x14ac:dyDescent="0.45">
      <c r="F2668" t="s">
        <v>804</v>
      </c>
      <c r="G2668" t="e">
        <f t="shared" si="55"/>
        <v>#VALUE!</v>
      </c>
    </row>
    <row r="2669" spans="6:7" x14ac:dyDescent="0.45">
      <c r="F2669" t="s">
        <v>804</v>
      </c>
      <c r="G2669" t="e">
        <f t="shared" si="55"/>
        <v>#VALUE!</v>
      </c>
    </row>
    <row r="2670" spans="6:7" x14ac:dyDescent="0.45">
      <c r="F2670" t="s">
        <v>804</v>
      </c>
      <c r="G2670" t="e">
        <f t="shared" si="55"/>
        <v>#VALUE!</v>
      </c>
    </row>
    <row r="2671" spans="6:7" x14ac:dyDescent="0.45">
      <c r="F2671" t="s">
        <v>804</v>
      </c>
      <c r="G2671" t="e">
        <f t="shared" si="55"/>
        <v>#VALUE!</v>
      </c>
    </row>
    <row r="2672" spans="6:7" x14ac:dyDescent="0.45">
      <c r="F2672" t="s">
        <v>804</v>
      </c>
      <c r="G2672" t="e">
        <f t="shared" si="55"/>
        <v>#VALUE!</v>
      </c>
    </row>
    <row r="2673" spans="6:7" x14ac:dyDescent="0.45">
      <c r="F2673" t="s">
        <v>804</v>
      </c>
      <c r="G2673" t="e">
        <f t="shared" si="55"/>
        <v>#VALUE!</v>
      </c>
    </row>
    <row r="2674" spans="6:7" x14ac:dyDescent="0.45">
      <c r="F2674" t="s">
        <v>804</v>
      </c>
      <c r="G2674" t="e">
        <f t="shared" si="55"/>
        <v>#VALUE!</v>
      </c>
    </row>
    <row r="2675" spans="6:7" x14ac:dyDescent="0.45">
      <c r="F2675" t="s">
        <v>804</v>
      </c>
      <c r="G2675" t="e">
        <f t="shared" si="55"/>
        <v>#VALUE!</v>
      </c>
    </row>
    <row r="2676" spans="6:7" x14ac:dyDescent="0.45">
      <c r="F2676" t="s">
        <v>804</v>
      </c>
      <c r="G2676" t="e">
        <f t="shared" si="55"/>
        <v>#VALUE!</v>
      </c>
    </row>
    <row r="2677" spans="6:7" x14ac:dyDescent="0.45">
      <c r="F2677" t="s">
        <v>804</v>
      </c>
      <c r="G2677" t="e">
        <f t="shared" si="55"/>
        <v>#VALUE!</v>
      </c>
    </row>
    <row r="2678" spans="6:7" x14ac:dyDescent="0.45">
      <c r="F2678" t="s">
        <v>804</v>
      </c>
      <c r="G2678" t="e">
        <f t="shared" si="55"/>
        <v>#VALUE!</v>
      </c>
    </row>
    <row r="2679" spans="6:7" x14ac:dyDescent="0.45">
      <c r="F2679" t="s">
        <v>804</v>
      </c>
      <c r="G2679" t="e">
        <f t="shared" si="55"/>
        <v>#VALUE!</v>
      </c>
    </row>
    <row r="2680" spans="6:7" x14ac:dyDescent="0.45">
      <c r="F2680" t="s">
        <v>804</v>
      </c>
      <c r="G2680" t="e">
        <f t="shared" si="55"/>
        <v>#VALUE!</v>
      </c>
    </row>
    <row r="2681" spans="6:7" x14ac:dyDescent="0.45">
      <c r="F2681" t="s">
        <v>804</v>
      </c>
      <c r="G2681" t="e">
        <f t="shared" si="55"/>
        <v>#VALUE!</v>
      </c>
    </row>
    <row r="2682" spans="6:7" x14ac:dyDescent="0.45">
      <c r="F2682" t="s">
        <v>804</v>
      </c>
      <c r="G2682" t="e">
        <f t="shared" si="55"/>
        <v>#VALUE!</v>
      </c>
    </row>
    <row r="2683" spans="6:7" x14ac:dyDescent="0.45">
      <c r="F2683" t="s">
        <v>804</v>
      </c>
      <c r="G2683" t="e">
        <f t="shared" si="55"/>
        <v>#VALUE!</v>
      </c>
    </row>
    <row r="2684" spans="6:7" x14ac:dyDescent="0.45">
      <c r="F2684" t="s">
        <v>804</v>
      </c>
      <c r="G2684" t="e">
        <f t="shared" si="55"/>
        <v>#VALUE!</v>
      </c>
    </row>
    <row r="2685" spans="6:7" x14ac:dyDescent="0.45">
      <c r="F2685" t="s">
        <v>804</v>
      </c>
      <c r="G2685" t="e">
        <f t="shared" si="55"/>
        <v>#VALUE!</v>
      </c>
    </row>
    <row r="2686" spans="6:7" x14ac:dyDescent="0.45">
      <c r="F2686" t="s">
        <v>804</v>
      </c>
      <c r="G2686" t="e">
        <f t="shared" si="55"/>
        <v>#VALUE!</v>
      </c>
    </row>
    <row r="2687" spans="6:7" x14ac:dyDescent="0.45">
      <c r="F2687" t="s">
        <v>804</v>
      </c>
      <c r="G2687" t="e">
        <f t="shared" si="55"/>
        <v>#VALUE!</v>
      </c>
    </row>
    <row r="2688" spans="6:7" x14ac:dyDescent="0.45">
      <c r="F2688" t="s">
        <v>804</v>
      </c>
      <c r="G2688" t="e">
        <f t="shared" si="55"/>
        <v>#VALUE!</v>
      </c>
    </row>
    <row r="2689" spans="6:7" x14ac:dyDescent="0.45">
      <c r="F2689" t="s">
        <v>804</v>
      </c>
      <c r="G2689" t="e">
        <f t="shared" si="55"/>
        <v>#VALUE!</v>
      </c>
    </row>
    <row r="2690" spans="6:7" x14ac:dyDescent="0.45">
      <c r="F2690" t="s">
        <v>804</v>
      </c>
      <c r="G2690" t="e">
        <f t="shared" si="55"/>
        <v>#VALUE!</v>
      </c>
    </row>
    <row r="2691" spans="6:7" x14ac:dyDescent="0.45">
      <c r="F2691" t="s">
        <v>804</v>
      </c>
      <c r="G2691" t="e">
        <f t="shared" ref="G2691:G2754" si="56">+F2691+0</f>
        <v>#VALUE!</v>
      </c>
    </row>
    <row r="2692" spans="6:7" x14ac:dyDescent="0.45">
      <c r="F2692" t="s">
        <v>804</v>
      </c>
      <c r="G2692" t="e">
        <f t="shared" si="56"/>
        <v>#VALUE!</v>
      </c>
    </row>
    <row r="2693" spans="6:7" x14ac:dyDescent="0.45">
      <c r="F2693" t="s">
        <v>804</v>
      </c>
      <c r="G2693" t="e">
        <f t="shared" si="56"/>
        <v>#VALUE!</v>
      </c>
    </row>
    <row r="2694" spans="6:7" x14ac:dyDescent="0.45">
      <c r="F2694" t="s">
        <v>804</v>
      </c>
      <c r="G2694" t="e">
        <f t="shared" si="56"/>
        <v>#VALUE!</v>
      </c>
    </row>
    <row r="2695" spans="6:7" x14ac:dyDescent="0.45">
      <c r="F2695" t="s">
        <v>804</v>
      </c>
      <c r="G2695" t="e">
        <f t="shared" si="56"/>
        <v>#VALUE!</v>
      </c>
    </row>
    <row r="2696" spans="6:7" x14ac:dyDescent="0.45">
      <c r="F2696" t="s">
        <v>804</v>
      </c>
      <c r="G2696" t="e">
        <f t="shared" si="56"/>
        <v>#VALUE!</v>
      </c>
    </row>
    <row r="2697" spans="6:7" x14ac:dyDescent="0.45">
      <c r="F2697" t="s">
        <v>804</v>
      </c>
      <c r="G2697" t="e">
        <f t="shared" si="56"/>
        <v>#VALUE!</v>
      </c>
    </row>
    <row r="2698" spans="6:7" x14ac:dyDescent="0.45">
      <c r="F2698" t="s">
        <v>804</v>
      </c>
      <c r="G2698" t="e">
        <f t="shared" si="56"/>
        <v>#VALUE!</v>
      </c>
    </row>
    <row r="2699" spans="6:7" x14ac:dyDescent="0.45">
      <c r="F2699" t="s">
        <v>804</v>
      </c>
      <c r="G2699" t="e">
        <f t="shared" si="56"/>
        <v>#VALUE!</v>
      </c>
    </row>
    <row r="2700" spans="6:7" x14ac:dyDescent="0.45">
      <c r="F2700" t="s">
        <v>804</v>
      </c>
      <c r="G2700" t="e">
        <f t="shared" si="56"/>
        <v>#VALUE!</v>
      </c>
    </row>
    <row r="2701" spans="6:7" x14ac:dyDescent="0.45">
      <c r="F2701" t="s">
        <v>804</v>
      </c>
      <c r="G2701" t="e">
        <f t="shared" si="56"/>
        <v>#VALUE!</v>
      </c>
    </row>
    <row r="2702" spans="6:7" x14ac:dyDescent="0.45">
      <c r="F2702" t="s">
        <v>804</v>
      </c>
      <c r="G2702" t="e">
        <f t="shared" si="56"/>
        <v>#VALUE!</v>
      </c>
    </row>
    <row r="2703" spans="6:7" x14ac:dyDescent="0.45">
      <c r="F2703" t="s">
        <v>804</v>
      </c>
      <c r="G2703" t="e">
        <f t="shared" si="56"/>
        <v>#VALUE!</v>
      </c>
    </row>
    <row r="2704" spans="6:7" x14ac:dyDescent="0.45">
      <c r="F2704" t="s">
        <v>804</v>
      </c>
      <c r="G2704" t="e">
        <f t="shared" si="56"/>
        <v>#VALUE!</v>
      </c>
    </row>
    <row r="2705" spans="6:7" x14ac:dyDescent="0.45">
      <c r="F2705" t="s">
        <v>804</v>
      </c>
      <c r="G2705" t="e">
        <f t="shared" si="56"/>
        <v>#VALUE!</v>
      </c>
    </row>
    <row r="2706" spans="6:7" x14ac:dyDescent="0.45">
      <c r="F2706" t="s">
        <v>804</v>
      </c>
      <c r="G2706" t="e">
        <f t="shared" si="56"/>
        <v>#VALUE!</v>
      </c>
    </row>
    <row r="2707" spans="6:7" x14ac:dyDescent="0.45">
      <c r="F2707" t="s">
        <v>804</v>
      </c>
      <c r="G2707" t="e">
        <f t="shared" si="56"/>
        <v>#VALUE!</v>
      </c>
    </row>
    <row r="2708" spans="6:7" x14ac:dyDescent="0.45">
      <c r="F2708" t="s">
        <v>804</v>
      </c>
      <c r="G2708" t="e">
        <f t="shared" si="56"/>
        <v>#VALUE!</v>
      </c>
    </row>
    <row r="2709" spans="6:7" x14ac:dyDescent="0.45">
      <c r="F2709" t="s">
        <v>804</v>
      </c>
      <c r="G2709" t="e">
        <f t="shared" si="56"/>
        <v>#VALUE!</v>
      </c>
    </row>
    <row r="2710" spans="6:7" x14ac:dyDescent="0.45">
      <c r="F2710" t="s">
        <v>804</v>
      </c>
      <c r="G2710" t="e">
        <f t="shared" si="56"/>
        <v>#VALUE!</v>
      </c>
    </row>
    <row r="2711" spans="6:7" x14ac:dyDescent="0.45">
      <c r="F2711" t="s">
        <v>804</v>
      </c>
      <c r="G2711" t="e">
        <f t="shared" si="56"/>
        <v>#VALUE!</v>
      </c>
    </row>
    <row r="2712" spans="6:7" x14ac:dyDescent="0.45">
      <c r="F2712" t="s">
        <v>804</v>
      </c>
      <c r="G2712" t="e">
        <f t="shared" si="56"/>
        <v>#VALUE!</v>
      </c>
    </row>
    <row r="2713" spans="6:7" x14ac:dyDescent="0.45">
      <c r="F2713" t="s">
        <v>804</v>
      </c>
      <c r="G2713" t="e">
        <f t="shared" si="56"/>
        <v>#VALUE!</v>
      </c>
    </row>
    <row r="2714" spans="6:7" x14ac:dyDescent="0.45">
      <c r="F2714" t="s">
        <v>804</v>
      </c>
      <c r="G2714" t="e">
        <f t="shared" si="56"/>
        <v>#VALUE!</v>
      </c>
    </row>
    <row r="2715" spans="6:7" x14ac:dyDescent="0.45">
      <c r="F2715" t="s">
        <v>804</v>
      </c>
      <c r="G2715" t="e">
        <f t="shared" si="56"/>
        <v>#VALUE!</v>
      </c>
    </row>
    <row r="2716" spans="6:7" x14ac:dyDescent="0.45">
      <c r="F2716" t="s">
        <v>804</v>
      </c>
      <c r="G2716" t="e">
        <f t="shared" si="56"/>
        <v>#VALUE!</v>
      </c>
    </row>
    <row r="2717" spans="6:7" x14ac:dyDescent="0.45">
      <c r="F2717" t="s">
        <v>804</v>
      </c>
      <c r="G2717" t="e">
        <f t="shared" si="56"/>
        <v>#VALUE!</v>
      </c>
    </row>
    <row r="2718" spans="6:7" x14ac:dyDescent="0.45">
      <c r="F2718" t="s">
        <v>804</v>
      </c>
      <c r="G2718" t="e">
        <f t="shared" si="56"/>
        <v>#VALUE!</v>
      </c>
    </row>
    <row r="2719" spans="6:7" x14ac:dyDescent="0.45">
      <c r="F2719" t="s">
        <v>804</v>
      </c>
      <c r="G2719" t="e">
        <f t="shared" si="56"/>
        <v>#VALUE!</v>
      </c>
    </row>
    <row r="2720" spans="6:7" x14ac:dyDescent="0.45">
      <c r="F2720" t="s">
        <v>804</v>
      </c>
      <c r="G2720" t="e">
        <f t="shared" si="56"/>
        <v>#VALUE!</v>
      </c>
    </row>
    <row r="2721" spans="6:7" x14ac:dyDescent="0.45">
      <c r="F2721" t="s">
        <v>804</v>
      </c>
      <c r="G2721" t="e">
        <f t="shared" si="56"/>
        <v>#VALUE!</v>
      </c>
    </row>
    <row r="2722" spans="6:7" x14ac:dyDescent="0.45">
      <c r="F2722" t="s">
        <v>804</v>
      </c>
      <c r="G2722" t="e">
        <f t="shared" si="56"/>
        <v>#VALUE!</v>
      </c>
    </row>
    <row r="2723" spans="6:7" x14ac:dyDescent="0.45">
      <c r="F2723" t="s">
        <v>804</v>
      </c>
      <c r="G2723" t="e">
        <f t="shared" si="56"/>
        <v>#VALUE!</v>
      </c>
    </row>
    <row r="2724" spans="6:7" x14ac:dyDescent="0.45">
      <c r="F2724" t="s">
        <v>804</v>
      </c>
      <c r="G2724" t="e">
        <f t="shared" si="56"/>
        <v>#VALUE!</v>
      </c>
    </row>
    <row r="2725" spans="6:7" x14ac:dyDescent="0.45">
      <c r="F2725" t="s">
        <v>804</v>
      </c>
      <c r="G2725" t="e">
        <f t="shared" si="56"/>
        <v>#VALUE!</v>
      </c>
    </row>
    <row r="2726" spans="6:7" x14ac:dyDescent="0.45">
      <c r="F2726" t="s">
        <v>804</v>
      </c>
      <c r="G2726" t="e">
        <f t="shared" si="56"/>
        <v>#VALUE!</v>
      </c>
    </row>
    <row r="2727" spans="6:7" x14ac:dyDescent="0.45">
      <c r="F2727" t="s">
        <v>804</v>
      </c>
      <c r="G2727" t="e">
        <f t="shared" si="56"/>
        <v>#VALUE!</v>
      </c>
    </row>
    <row r="2728" spans="6:7" x14ac:dyDescent="0.45">
      <c r="F2728" t="s">
        <v>804</v>
      </c>
      <c r="G2728" t="e">
        <f t="shared" si="56"/>
        <v>#VALUE!</v>
      </c>
    </row>
    <row r="2729" spans="6:7" x14ac:dyDescent="0.45">
      <c r="F2729" t="s">
        <v>804</v>
      </c>
      <c r="G2729" t="e">
        <f t="shared" si="56"/>
        <v>#VALUE!</v>
      </c>
    </row>
    <row r="2730" spans="6:7" x14ac:dyDescent="0.45">
      <c r="F2730" t="s">
        <v>804</v>
      </c>
      <c r="G2730" t="e">
        <f t="shared" si="56"/>
        <v>#VALUE!</v>
      </c>
    </row>
    <row r="2731" spans="6:7" x14ac:dyDescent="0.45">
      <c r="F2731" t="s">
        <v>804</v>
      </c>
      <c r="G2731" t="e">
        <f t="shared" si="56"/>
        <v>#VALUE!</v>
      </c>
    </row>
    <row r="2732" spans="6:7" x14ac:dyDescent="0.45">
      <c r="F2732" t="s">
        <v>804</v>
      </c>
      <c r="G2732" t="e">
        <f t="shared" si="56"/>
        <v>#VALUE!</v>
      </c>
    </row>
    <row r="2733" spans="6:7" x14ac:dyDescent="0.45">
      <c r="F2733" t="s">
        <v>804</v>
      </c>
      <c r="G2733" t="e">
        <f t="shared" si="56"/>
        <v>#VALUE!</v>
      </c>
    </row>
    <row r="2734" spans="6:7" x14ac:dyDescent="0.45">
      <c r="F2734" t="s">
        <v>804</v>
      </c>
      <c r="G2734" t="e">
        <f t="shared" si="56"/>
        <v>#VALUE!</v>
      </c>
    </row>
    <row r="2735" spans="6:7" x14ac:dyDescent="0.45">
      <c r="F2735" t="s">
        <v>804</v>
      </c>
      <c r="G2735" t="e">
        <f t="shared" si="56"/>
        <v>#VALUE!</v>
      </c>
    </row>
    <row r="2736" spans="6:7" x14ac:dyDescent="0.45">
      <c r="F2736" t="s">
        <v>804</v>
      </c>
      <c r="G2736" t="e">
        <f t="shared" si="56"/>
        <v>#VALUE!</v>
      </c>
    </row>
    <row r="2737" spans="6:7" x14ac:dyDescent="0.45">
      <c r="F2737" t="s">
        <v>804</v>
      </c>
      <c r="G2737" t="e">
        <f t="shared" si="56"/>
        <v>#VALUE!</v>
      </c>
    </row>
    <row r="2738" spans="6:7" x14ac:dyDescent="0.45">
      <c r="F2738" t="s">
        <v>804</v>
      </c>
      <c r="G2738" t="e">
        <f t="shared" si="56"/>
        <v>#VALUE!</v>
      </c>
    </row>
    <row r="2739" spans="6:7" x14ac:dyDescent="0.45">
      <c r="F2739" t="s">
        <v>804</v>
      </c>
      <c r="G2739" t="e">
        <f t="shared" si="56"/>
        <v>#VALUE!</v>
      </c>
    </row>
    <row r="2740" spans="6:7" x14ac:dyDescent="0.45">
      <c r="F2740" t="s">
        <v>804</v>
      </c>
      <c r="G2740" t="e">
        <f t="shared" si="56"/>
        <v>#VALUE!</v>
      </c>
    </row>
    <row r="2741" spans="6:7" x14ac:dyDescent="0.45">
      <c r="F2741" t="s">
        <v>804</v>
      </c>
      <c r="G2741" t="e">
        <f t="shared" si="56"/>
        <v>#VALUE!</v>
      </c>
    </row>
    <row r="2742" spans="6:7" x14ac:dyDescent="0.45">
      <c r="F2742" t="s">
        <v>804</v>
      </c>
      <c r="G2742" t="e">
        <f t="shared" si="56"/>
        <v>#VALUE!</v>
      </c>
    </row>
    <row r="2743" spans="6:7" x14ac:dyDescent="0.45">
      <c r="F2743" t="s">
        <v>804</v>
      </c>
      <c r="G2743" t="e">
        <f t="shared" si="56"/>
        <v>#VALUE!</v>
      </c>
    </row>
    <row r="2744" spans="6:7" x14ac:dyDescent="0.45">
      <c r="F2744" t="s">
        <v>804</v>
      </c>
      <c r="G2744" t="e">
        <f t="shared" si="56"/>
        <v>#VALUE!</v>
      </c>
    </row>
    <row r="2745" spans="6:7" x14ac:dyDescent="0.45">
      <c r="F2745" t="s">
        <v>804</v>
      </c>
      <c r="G2745" t="e">
        <f t="shared" si="56"/>
        <v>#VALUE!</v>
      </c>
    </row>
    <row r="2746" spans="6:7" x14ac:dyDescent="0.45">
      <c r="F2746" t="s">
        <v>804</v>
      </c>
      <c r="G2746" t="e">
        <f t="shared" si="56"/>
        <v>#VALUE!</v>
      </c>
    </row>
    <row r="2747" spans="6:7" x14ac:dyDescent="0.45">
      <c r="F2747" t="s">
        <v>804</v>
      </c>
      <c r="G2747" t="e">
        <f t="shared" si="56"/>
        <v>#VALUE!</v>
      </c>
    </row>
    <row r="2748" spans="6:7" x14ac:dyDescent="0.45">
      <c r="F2748" t="s">
        <v>804</v>
      </c>
      <c r="G2748" t="e">
        <f t="shared" si="56"/>
        <v>#VALUE!</v>
      </c>
    </row>
    <row r="2749" spans="6:7" x14ac:dyDescent="0.45">
      <c r="F2749" t="s">
        <v>804</v>
      </c>
      <c r="G2749" t="e">
        <f t="shared" si="56"/>
        <v>#VALUE!</v>
      </c>
    </row>
    <row r="2750" spans="6:7" x14ac:dyDescent="0.45">
      <c r="F2750" t="s">
        <v>804</v>
      </c>
      <c r="G2750" t="e">
        <f t="shared" si="56"/>
        <v>#VALUE!</v>
      </c>
    </row>
    <row r="2751" spans="6:7" x14ac:dyDescent="0.45">
      <c r="F2751" t="s">
        <v>804</v>
      </c>
      <c r="G2751" t="e">
        <f t="shared" si="56"/>
        <v>#VALUE!</v>
      </c>
    </row>
    <row r="2752" spans="6:7" x14ac:dyDescent="0.45">
      <c r="F2752" t="s">
        <v>804</v>
      </c>
      <c r="G2752" t="e">
        <f t="shared" si="56"/>
        <v>#VALUE!</v>
      </c>
    </row>
    <row r="2753" spans="6:7" x14ac:dyDescent="0.45">
      <c r="F2753" t="s">
        <v>804</v>
      </c>
      <c r="G2753" t="e">
        <f t="shared" si="56"/>
        <v>#VALUE!</v>
      </c>
    </row>
    <row r="2754" spans="6:7" x14ac:dyDescent="0.45">
      <c r="F2754" t="s">
        <v>804</v>
      </c>
      <c r="G2754" t="e">
        <f t="shared" si="56"/>
        <v>#VALUE!</v>
      </c>
    </row>
    <row r="2755" spans="6:7" x14ac:dyDescent="0.45">
      <c r="F2755" t="s">
        <v>804</v>
      </c>
      <c r="G2755" t="e">
        <f t="shared" ref="G2755:G2818" si="57">+F2755+0</f>
        <v>#VALUE!</v>
      </c>
    </row>
    <row r="2756" spans="6:7" x14ac:dyDescent="0.45">
      <c r="F2756" t="s">
        <v>804</v>
      </c>
      <c r="G2756" t="e">
        <f t="shared" si="57"/>
        <v>#VALUE!</v>
      </c>
    </row>
    <row r="2757" spans="6:7" x14ac:dyDescent="0.45">
      <c r="F2757" t="s">
        <v>804</v>
      </c>
      <c r="G2757" t="e">
        <f t="shared" si="57"/>
        <v>#VALUE!</v>
      </c>
    </row>
    <row r="2758" spans="6:7" x14ac:dyDescent="0.45">
      <c r="F2758" t="s">
        <v>804</v>
      </c>
      <c r="G2758" t="e">
        <f t="shared" si="57"/>
        <v>#VALUE!</v>
      </c>
    </row>
    <row r="2759" spans="6:7" x14ac:dyDescent="0.45">
      <c r="F2759" t="s">
        <v>804</v>
      </c>
      <c r="G2759" t="e">
        <f t="shared" si="57"/>
        <v>#VALUE!</v>
      </c>
    </row>
    <row r="2760" spans="6:7" x14ac:dyDescent="0.45">
      <c r="F2760" t="s">
        <v>804</v>
      </c>
      <c r="G2760" t="e">
        <f t="shared" si="57"/>
        <v>#VALUE!</v>
      </c>
    </row>
    <row r="2761" spans="6:7" x14ac:dyDescent="0.45">
      <c r="F2761" t="s">
        <v>804</v>
      </c>
      <c r="G2761" t="e">
        <f t="shared" si="57"/>
        <v>#VALUE!</v>
      </c>
    </row>
    <row r="2762" spans="6:7" x14ac:dyDescent="0.45">
      <c r="F2762" t="s">
        <v>804</v>
      </c>
      <c r="G2762" t="e">
        <f t="shared" si="57"/>
        <v>#VALUE!</v>
      </c>
    </row>
    <row r="2763" spans="6:7" x14ac:dyDescent="0.45">
      <c r="F2763" t="s">
        <v>804</v>
      </c>
      <c r="G2763" t="e">
        <f t="shared" si="57"/>
        <v>#VALUE!</v>
      </c>
    </row>
    <row r="2764" spans="6:7" x14ac:dyDescent="0.45">
      <c r="F2764" t="s">
        <v>804</v>
      </c>
      <c r="G2764" t="e">
        <f t="shared" si="57"/>
        <v>#VALUE!</v>
      </c>
    </row>
    <row r="2765" spans="6:7" x14ac:dyDescent="0.45">
      <c r="F2765" t="s">
        <v>804</v>
      </c>
      <c r="G2765" t="e">
        <f t="shared" si="57"/>
        <v>#VALUE!</v>
      </c>
    </row>
    <row r="2766" spans="6:7" x14ac:dyDescent="0.45">
      <c r="F2766" t="s">
        <v>804</v>
      </c>
      <c r="G2766" t="e">
        <f t="shared" si="57"/>
        <v>#VALUE!</v>
      </c>
    </row>
    <row r="2767" spans="6:7" x14ac:dyDescent="0.45">
      <c r="F2767" t="s">
        <v>804</v>
      </c>
      <c r="G2767" t="e">
        <f t="shared" si="57"/>
        <v>#VALUE!</v>
      </c>
    </row>
    <row r="2768" spans="6:7" x14ac:dyDescent="0.45">
      <c r="F2768" t="s">
        <v>804</v>
      </c>
      <c r="G2768" t="e">
        <f t="shared" si="57"/>
        <v>#VALUE!</v>
      </c>
    </row>
    <row r="2769" spans="6:7" x14ac:dyDescent="0.45">
      <c r="F2769" t="s">
        <v>804</v>
      </c>
      <c r="G2769" t="e">
        <f t="shared" si="57"/>
        <v>#VALUE!</v>
      </c>
    </row>
    <row r="2770" spans="6:7" x14ac:dyDescent="0.45">
      <c r="F2770" t="s">
        <v>804</v>
      </c>
      <c r="G2770" t="e">
        <f t="shared" si="57"/>
        <v>#VALUE!</v>
      </c>
    </row>
    <row r="2771" spans="6:7" x14ac:dyDescent="0.45">
      <c r="F2771" t="s">
        <v>804</v>
      </c>
      <c r="G2771" t="e">
        <f t="shared" si="57"/>
        <v>#VALUE!</v>
      </c>
    </row>
    <row r="2772" spans="6:7" x14ac:dyDescent="0.45">
      <c r="F2772" t="s">
        <v>804</v>
      </c>
      <c r="G2772" t="e">
        <f t="shared" si="57"/>
        <v>#VALUE!</v>
      </c>
    </row>
    <row r="2773" spans="6:7" x14ac:dyDescent="0.45">
      <c r="F2773" t="s">
        <v>804</v>
      </c>
      <c r="G2773" t="e">
        <f t="shared" si="57"/>
        <v>#VALUE!</v>
      </c>
    </row>
    <row r="2774" spans="6:7" x14ac:dyDescent="0.45">
      <c r="F2774" t="s">
        <v>804</v>
      </c>
      <c r="G2774" t="e">
        <f t="shared" si="57"/>
        <v>#VALUE!</v>
      </c>
    </row>
    <row r="2775" spans="6:7" x14ac:dyDescent="0.45">
      <c r="F2775" t="s">
        <v>804</v>
      </c>
      <c r="G2775" t="e">
        <f t="shared" si="57"/>
        <v>#VALUE!</v>
      </c>
    </row>
    <row r="2776" spans="6:7" x14ac:dyDescent="0.45">
      <c r="F2776" t="s">
        <v>804</v>
      </c>
      <c r="G2776" t="e">
        <f t="shared" si="57"/>
        <v>#VALUE!</v>
      </c>
    </row>
    <row r="2777" spans="6:7" x14ac:dyDescent="0.45">
      <c r="F2777" t="s">
        <v>804</v>
      </c>
      <c r="G2777" t="e">
        <f t="shared" si="57"/>
        <v>#VALUE!</v>
      </c>
    </row>
    <row r="2778" spans="6:7" x14ac:dyDescent="0.45">
      <c r="F2778" t="s">
        <v>804</v>
      </c>
      <c r="G2778" t="e">
        <f t="shared" si="57"/>
        <v>#VALUE!</v>
      </c>
    </row>
    <row r="2779" spans="6:7" x14ac:dyDescent="0.45">
      <c r="F2779" t="s">
        <v>804</v>
      </c>
      <c r="G2779" t="e">
        <f t="shared" si="57"/>
        <v>#VALUE!</v>
      </c>
    </row>
    <row r="2780" spans="6:7" x14ac:dyDescent="0.45">
      <c r="F2780" t="s">
        <v>804</v>
      </c>
      <c r="G2780" t="e">
        <f t="shared" si="57"/>
        <v>#VALUE!</v>
      </c>
    </row>
    <row r="2781" spans="6:7" x14ac:dyDescent="0.45">
      <c r="F2781" t="s">
        <v>804</v>
      </c>
      <c r="G2781" t="e">
        <f t="shared" si="57"/>
        <v>#VALUE!</v>
      </c>
    </row>
    <row r="2782" spans="6:7" x14ac:dyDescent="0.45">
      <c r="F2782" t="s">
        <v>804</v>
      </c>
      <c r="G2782" t="e">
        <f t="shared" si="57"/>
        <v>#VALUE!</v>
      </c>
    </row>
    <row r="2783" spans="6:7" x14ac:dyDescent="0.45">
      <c r="F2783" t="s">
        <v>804</v>
      </c>
      <c r="G2783" t="e">
        <f t="shared" si="57"/>
        <v>#VALUE!</v>
      </c>
    </row>
    <row r="2784" spans="6:7" x14ac:dyDescent="0.45">
      <c r="F2784" t="s">
        <v>804</v>
      </c>
      <c r="G2784" t="e">
        <f t="shared" si="57"/>
        <v>#VALUE!</v>
      </c>
    </row>
    <row r="2785" spans="6:7" x14ac:dyDescent="0.45">
      <c r="F2785" t="s">
        <v>804</v>
      </c>
      <c r="G2785" t="e">
        <f t="shared" si="57"/>
        <v>#VALUE!</v>
      </c>
    </row>
    <row r="2786" spans="6:7" x14ac:dyDescent="0.45">
      <c r="F2786" t="s">
        <v>804</v>
      </c>
      <c r="G2786" t="e">
        <f t="shared" si="57"/>
        <v>#VALUE!</v>
      </c>
    </row>
    <row r="2787" spans="6:7" x14ac:dyDescent="0.45">
      <c r="F2787" t="s">
        <v>804</v>
      </c>
      <c r="G2787" t="e">
        <f t="shared" si="57"/>
        <v>#VALUE!</v>
      </c>
    </row>
    <row r="2788" spans="6:7" x14ac:dyDescent="0.45">
      <c r="F2788" t="s">
        <v>804</v>
      </c>
      <c r="G2788" t="e">
        <f t="shared" si="57"/>
        <v>#VALUE!</v>
      </c>
    </row>
    <row r="2789" spans="6:7" x14ac:dyDescent="0.45">
      <c r="F2789" t="s">
        <v>804</v>
      </c>
      <c r="G2789" t="e">
        <f t="shared" si="57"/>
        <v>#VALUE!</v>
      </c>
    </row>
    <row r="2790" spans="6:7" x14ac:dyDescent="0.45">
      <c r="F2790" t="s">
        <v>804</v>
      </c>
      <c r="G2790" t="e">
        <f t="shared" si="57"/>
        <v>#VALUE!</v>
      </c>
    </row>
    <row r="2791" spans="6:7" x14ac:dyDescent="0.45">
      <c r="F2791" t="s">
        <v>804</v>
      </c>
      <c r="G2791" t="e">
        <f t="shared" si="57"/>
        <v>#VALUE!</v>
      </c>
    </row>
    <row r="2792" spans="6:7" x14ac:dyDescent="0.45">
      <c r="F2792" t="s">
        <v>804</v>
      </c>
      <c r="G2792" t="e">
        <f t="shared" si="57"/>
        <v>#VALUE!</v>
      </c>
    </row>
    <row r="2793" spans="6:7" x14ac:dyDescent="0.45">
      <c r="F2793" t="s">
        <v>804</v>
      </c>
      <c r="G2793" t="e">
        <f t="shared" si="57"/>
        <v>#VALUE!</v>
      </c>
    </row>
    <row r="2794" spans="6:7" x14ac:dyDescent="0.45">
      <c r="F2794" t="s">
        <v>804</v>
      </c>
      <c r="G2794" t="e">
        <f t="shared" si="57"/>
        <v>#VALUE!</v>
      </c>
    </row>
    <row r="2795" spans="6:7" x14ac:dyDescent="0.45">
      <c r="F2795" t="s">
        <v>804</v>
      </c>
      <c r="G2795" t="e">
        <f t="shared" si="57"/>
        <v>#VALUE!</v>
      </c>
    </row>
    <row r="2796" spans="6:7" x14ac:dyDescent="0.45">
      <c r="F2796" t="s">
        <v>804</v>
      </c>
      <c r="G2796" t="e">
        <f t="shared" si="57"/>
        <v>#VALUE!</v>
      </c>
    </row>
    <row r="2797" spans="6:7" x14ac:dyDescent="0.45">
      <c r="F2797" t="s">
        <v>804</v>
      </c>
      <c r="G2797" t="e">
        <f t="shared" si="57"/>
        <v>#VALUE!</v>
      </c>
    </row>
    <row r="2798" spans="6:7" x14ac:dyDescent="0.45">
      <c r="F2798" t="s">
        <v>804</v>
      </c>
      <c r="G2798" t="e">
        <f t="shared" si="57"/>
        <v>#VALUE!</v>
      </c>
    </row>
    <row r="2799" spans="6:7" x14ac:dyDescent="0.45">
      <c r="F2799" t="s">
        <v>804</v>
      </c>
      <c r="G2799" t="e">
        <f t="shared" si="57"/>
        <v>#VALUE!</v>
      </c>
    </row>
    <row r="2800" spans="6:7" x14ac:dyDescent="0.45">
      <c r="F2800" t="s">
        <v>804</v>
      </c>
      <c r="G2800" t="e">
        <f t="shared" si="57"/>
        <v>#VALUE!</v>
      </c>
    </row>
    <row r="2801" spans="6:7" x14ac:dyDescent="0.45">
      <c r="F2801" t="s">
        <v>804</v>
      </c>
      <c r="G2801" t="e">
        <f t="shared" si="57"/>
        <v>#VALUE!</v>
      </c>
    </row>
    <row r="2802" spans="6:7" x14ac:dyDescent="0.45">
      <c r="F2802" t="s">
        <v>804</v>
      </c>
      <c r="G2802" t="e">
        <f t="shared" si="57"/>
        <v>#VALUE!</v>
      </c>
    </row>
    <row r="2803" spans="6:7" x14ac:dyDescent="0.45">
      <c r="F2803" t="s">
        <v>804</v>
      </c>
      <c r="G2803" t="e">
        <f t="shared" si="57"/>
        <v>#VALUE!</v>
      </c>
    </row>
    <row r="2804" spans="6:7" x14ac:dyDescent="0.45">
      <c r="F2804" t="s">
        <v>804</v>
      </c>
      <c r="G2804" t="e">
        <f t="shared" si="57"/>
        <v>#VALUE!</v>
      </c>
    </row>
    <row r="2805" spans="6:7" x14ac:dyDescent="0.45">
      <c r="F2805" t="s">
        <v>804</v>
      </c>
      <c r="G2805" t="e">
        <f t="shared" si="57"/>
        <v>#VALUE!</v>
      </c>
    </row>
    <row r="2806" spans="6:7" x14ac:dyDescent="0.45">
      <c r="F2806" t="s">
        <v>804</v>
      </c>
      <c r="G2806" t="e">
        <f t="shared" si="57"/>
        <v>#VALUE!</v>
      </c>
    </row>
    <row r="2807" spans="6:7" x14ac:dyDescent="0.45">
      <c r="F2807" t="s">
        <v>804</v>
      </c>
      <c r="G2807" t="e">
        <f t="shared" si="57"/>
        <v>#VALUE!</v>
      </c>
    </row>
    <row r="2808" spans="6:7" x14ac:dyDescent="0.45">
      <c r="F2808" t="s">
        <v>804</v>
      </c>
      <c r="G2808" t="e">
        <f t="shared" si="57"/>
        <v>#VALUE!</v>
      </c>
    </row>
    <row r="2809" spans="6:7" x14ac:dyDescent="0.45">
      <c r="F2809" t="s">
        <v>804</v>
      </c>
      <c r="G2809" t="e">
        <f t="shared" si="57"/>
        <v>#VALUE!</v>
      </c>
    </row>
    <row r="2810" spans="6:7" x14ac:dyDescent="0.45">
      <c r="F2810" t="s">
        <v>804</v>
      </c>
      <c r="G2810" t="e">
        <f t="shared" si="57"/>
        <v>#VALUE!</v>
      </c>
    </row>
    <row r="2811" spans="6:7" x14ac:dyDescent="0.45">
      <c r="F2811" t="s">
        <v>804</v>
      </c>
      <c r="G2811" t="e">
        <f t="shared" si="57"/>
        <v>#VALUE!</v>
      </c>
    </row>
    <row r="2812" spans="6:7" x14ac:dyDescent="0.45">
      <c r="F2812" t="s">
        <v>804</v>
      </c>
      <c r="G2812" t="e">
        <f t="shared" si="57"/>
        <v>#VALUE!</v>
      </c>
    </row>
    <row r="2813" spans="6:7" x14ac:dyDescent="0.45">
      <c r="F2813" t="s">
        <v>804</v>
      </c>
      <c r="G2813" t="e">
        <f t="shared" si="57"/>
        <v>#VALUE!</v>
      </c>
    </row>
    <row r="2814" spans="6:7" x14ac:dyDescent="0.45">
      <c r="F2814" t="s">
        <v>804</v>
      </c>
      <c r="G2814" t="e">
        <f t="shared" si="57"/>
        <v>#VALUE!</v>
      </c>
    </row>
    <row r="2815" spans="6:7" x14ac:dyDescent="0.45">
      <c r="F2815" t="s">
        <v>804</v>
      </c>
      <c r="G2815" t="e">
        <f t="shared" si="57"/>
        <v>#VALUE!</v>
      </c>
    </row>
    <row r="2816" spans="6:7" x14ac:dyDescent="0.45">
      <c r="F2816" t="s">
        <v>804</v>
      </c>
      <c r="G2816" t="e">
        <f t="shared" si="57"/>
        <v>#VALUE!</v>
      </c>
    </row>
    <row r="2817" spans="6:7" x14ac:dyDescent="0.45">
      <c r="F2817" t="s">
        <v>804</v>
      </c>
      <c r="G2817" t="e">
        <f t="shared" si="57"/>
        <v>#VALUE!</v>
      </c>
    </row>
    <row r="2818" spans="6:7" x14ac:dyDescent="0.45">
      <c r="F2818" t="s">
        <v>804</v>
      </c>
      <c r="G2818" t="e">
        <f t="shared" si="57"/>
        <v>#VALUE!</v>
      </c>
    </row>
    <row r="2819" spans="6:7" x14ac:dyDescent="0.45">
      <c r="F2819" t="s">
        <v>804</v>
      </c>
      <c r="G2819" t="e">
        <f t="shared" ref="G2819:G2882" si="58">+F2819+0</f>
        <v>#VALUE!</v>
      </c>
    </row>
    <row r="2820" spans="6:7" x14ac:dyDescent="0.45">
      <c r="F2820" t="s">
        <v>804</v>
      </c>
      <c r="G2820" t="e">
        <f t="shared" si="58"/>
        <v>#VALUE!</v>
      </c>
    </row>
    <row r="2821" spans="6:7" x14ac:dyDescent="0.45">
      <c r="F2821" t="s">
        <v>804</v>
      </c>
      <c r="G2821" t="e">
        <f t="shared" si="58"/>
        <v>#VALUE!</v>
      </c>
    </row>
    <row r="2822" spans="6:7" x14ac:dyDescent="0.45">
      <c r="F2822" t="s">
        <v>804</v>
      </c>
      <c r="G2822" t="e">
        <f t="shared" si="58"/>
        <v>#VALUE!</v>
      </c>
    </row>
    <row r="2823" spans="6:7" x14ac:dyDescent="0.45">
      <c r="F2823" t="s">
        <v>804</v>
      </c>
      <c r="G2823" t="e">
        <f t="shared" si="58"/>
        <v>#VALUE!</v>
      </c>
    </row>
    <row r="2824" spans="6:7" x14ac:dyDescent="0.45">
      <c r="F2824" t="s">
        <v>804</v>
      </c>
      <c r="G2824" t="e">
        <f t="shared" si="58"/>
        <v>#VALUE!</v>
      </c>
    </row>
    <row r="2825" spans="6:7" x14ac:dyDescent="0.45">
      <c r="F2825" t="s">
        <v>804</v>
      </c>
      <c r="G2825" t="e">
        <f t="shared" si="58"/>
        <v>#VALUE!</v>
      </c>
    </row>
    <row r="2826" spans="6:7" x14ac:dyDescent="0.45">
      <c r="F2826" t="s">
        <v>804</v>
      </c>
      <c r="G2826" t="e">
        <f t="shared" si="58"/>
        <v>#VALUE!</v>
      </c>
    </row>
    <row r="2827" spans="6:7" x14ac:dyDescent="0.45">
      <c r="F2827" t="s">
        <v>804</v>
      </c>
      <c r="G2827" t="e">
        <f t="shared" si="58"/>
        <v>#VALUE!</v>
      </c>
    </row>
    <row r="2828" spans="6:7" x14ac:dyDescent="0.45">
      <c r="F2828" t="s">
        <v>804</v>
      </c>
      <c r="G2828" t="e">
        <f t="shared" si="58"/>
        <v>#VALUE!</v>
      </c>
    </row>
    <row r="2829" spans="6:7" x14ac:dyDescent="0.45">
      <c r="F2829" t="s">
        <v>804</v>
      </c>
      <c r="G2829" t="e">
        <f t="shared" si="58"/>
        <v>#VALUE!</v>
      </c>
    </row>
    <row r="2830" spans="6:7" x14ac:dyDescent="0.45">
      <c r="F2830" t="s">
        <v>804</v>
      </c>
      <c r="G2830" t="e">
        <f t="shared" si="58"/>
        <v>#VALUE!</v>
      </c>
    </row>
    <row r="2831" spans="6:7" x14ac:dyDescent="0.45">
      <c r="F2831" t="s">
        <v>804</v>
      </c>
      <c r="G2831" t="e">
        <f t="shared" si="58"/>
        <v>#VALUE!</v>
      </c>
    </row>
    <row r="2832" spans="6:7" x14ac:dyDescent="0.45">
      <c r="F2832" t="s">
        <v>804</v>
      </c>
      <c r="G2832" t="e">
        <f t="shared" si="58"/>
        <v>#VALUE!</v>
      </c>
    </row>
    <row r="2833" spans="6:7" x14ac:dyDescent="0.45">
      <c r="F2833" t="s">
        <v>804</v>
      </c>
      <c r="G2833" t="e">
        <f t="shared" si="58"/>
        <v>#VALUE!</v>
      </c>
    </row>
    <row r="2834" spans="6:7" x14ac:dyDescent="0.45">
      <c r="F2834" t="s">
        <v>804</v>
      </c>
      <c r="G2834" t="e">
        <f t="shared" si="58"/>
        <v>#VALUE!</v>
      </c>
    </row>
    <row r="2835" spans="6:7" x14ac:dyDescent="0.45">
      <c r="F2835" t="s">
        <v>804</v>
      </c>
      <c r="G2835" t="e">
        <f t="shared" si="58"/>
        <v>#VALUE!</v>
      </c>
    </row>
    <row r="2836" spans="6:7" x14ac:dyDescent="0.45">
      <c r="F2836" t="s">
        <v>804</v>
      </c>
      <c r="G2836" t="e">
        <f t="shared" si="58"/>
        <v>#VALUE!</v>
      </c>
    </row>
    <row r="2837" spans="6:7" x14ac:dyDescent="0.45">
      <c r="F2837" t="s">
        <v>804</v>
      </c>
      <c r="G2837" t="e">
        <f t="shared" si="58"/>
        <v>#VALUE!</v>
      </c>
    </row>
    <row r="2838" spans="6:7" x14ac:dyDescent="0.45">
      <c r="F2838" t="s">
        <v>804</v>
      </c>
      <c r="G2838" t="e">
        <f t="shared" si="58"/>
        <v>#VALUE!</v>
      </c>
    </row>
    <row r="2839" spans="6:7" x14ac:dyDescent="0.45">
      <c r="F2839" t="s">
        <v>804</v>
      </c>
      <c r="G2839" t="e">
        <f t="shared" si="58"/>
        <v>#VALUE!</v>
      </c>
    </row>
    <row r="2840" spans="6:7" x14ac:dyDescent="0.45">
      <c r="F2840" t="s">
        <v>804</v>
      </c>
      <c r="G2840" t="e">
        <f t="shared" si="58"/>
        <v>#VALUE!</v>
      </c>
    </row>
    <row r="2841" spans="6:7" x14ac:dyDescent="0.45">
      <c r="F2841" t="s">
        <v>804</v>
      </c>
      <c r="G2841" t="e">
        <f t="shared" si="58"/>
        <v>#VALUE!</v>
      </c>
    </row>
    <row r="2842" spans="6:7" x14ac:dyDescent="0.45">
      <c r="F2842" t="s">
        <v>804</v>
      </c>
      <c r="G2842" t="e">
        <f t="shared" si="58"/>
        <v>#VALUE!</v>
      </c>
    </row>
    <row r="2843" spans="6:7" x14ac:dyDescent="0.45">
      <c r="F2843" t="s">
        <v>804</v>
      </c>
      <c r="G2843" t="e">
        <f t="shared" si="58"/>
        <v>#VALUE!</v>
      </c>
    </row>
    <row r="2844" spans="6:7" x14ac:dyDescent="0.45">
      <c r="F2844" t="s">
        <v>804</v>
      </c>
      <c r="G2844" t="e">
        <f t="shared" si="58"/>
        <v>#VALUE!</v>
      </c>
    </row>
    <row r="2845" spans="6:7" x14ac:dyDescent="0.45">
      <c r="F2845" t="s">
        <v>804</v>
      </c>
      <c r="G2845" t="e">
        <f t="shared" si="58"/>
        <v>#VALUE!</v>
      </c>
    </row>
    <row r="2846" spans="6:7" x14ac:dyDescent="0.45">
      <c r="F2846" t="s">
        <v>804</v>
      </c>
      <c r="G2846" t="e">
        <f t="shared" si="58"/>
        <v>#VALUE!</v>
      </c>
    </row>
    <row r="2847" spans="6:7" x14ac:dyDescent="0.45">
      <c r="F2847" t="s">
        <v>804</v>
      </c>
      <c r="G2847" t="e">
        <f t="shared" si="58"/>
        <v>#VALUE!</v>
      </c>
    </row>
    <row r="2848" spans="6:7" x14ac:dyDescent="0.45">
      <c r="F2848" t="s">
        <v>804</v>
      </c>
      <c r="G2848" t="e">
        <f t="shared" si="58"/>
        <v>#VALUE!</v>
      </c>
    </row>
    <row r="2849" spans="6:7" x14ac:dyDescent="0.45">
      <c r="F2849" t="s">
        <v>804</v>
      </c>
      <c r="G2849" t="e">
        <f t="shared" si="58"/>
        <v>#VALUE!</v>
      </c>
    </row>
    <row r="2850" spans="6:7" x14ac:dyDescent="0.45">
      <c r="F2850" t="s">
        <v>804</v>
      </c>
      <c r="G2850" t="e">
        <f t="shared" si="58"/>
        <v>#VALUE!</v>
      </c>
    </row>
    <row r="2851" spans="6:7" x14ac:dyDescent="0.45">
      <c r="F2851" t="s">
        <v>804</v>
      </c>
      <c r="G2851" t="e">
        <f t="shared" si="58"/>
        <v>#VALUE!</v>
      </c>
    </row>
    <row r="2852" spans="6:7" x14ac:dyDescent="0.45">
      <c r="F2852" t="s">
        <v>804</v>
      </c>
      <c r="G2852" t="e">
        <f t="shared" si="58"/>
        <v>#VALUE!</v>
      </c>
    </row>
    <row r="2853" spans="6:7" x14ac:dyDescent="0.45">
      <c r="F2853" t="s">
        <v>804</v>
      </c>
      <c r="G2853" t="e">
        <f t="shared" si="58"/>
        <v>#VALUE!</v>
      </c>
    </row>
    <row r="2854" spans="6:7" x14ac:dyDescent="0.45">
      <c r="F2854" t="s">
        <v>804</v>
      </c>
      <c r="G2854" t="e">
        <f t="shared" si="58"/>
        <v>#VALUE!</v>
      </c>
    </row>
    <row r="2855" spans="6:7" x14ac:dyDescent="0.45">
      <c r="F2855" t="s">
        <v>804</v>
      </c>
      <c r="G2855" t="e">
        <f t="shared" si="58"/>
        <v>#VALUE!</v>
      </c>
    </row>
    <row r="2856" spans="6:7" x14ac:dyDescent="0.45">
      <c r="F2856" t="s">
        <v>804</v>
      </c>
      <c r="G2856" t="e">
        <f t="shared" si="58"/>
        <v>#VALUE!</v>
      </c>
    </row>
    <row r="2857" spans="6:7" x14ac:dyDescent="0.45">
      <c r="F2857" t="s">
        <v>804</v>
      </c>
      <c r="G2857" t="e">
        <f t="shared" si="58"/>
        <v>#VALUE!</v>
      </c>
    </row>
    <row r="2858" spans="6:7" x14ac:dyDescent="0.45">
      <c r="F2858" t="s">
        <v>804</v>
      </c>
      <c r="G2858" t="e">
        <f t="shared" si="58"/>
        <v>#VALUE!</v>
      </c>
    </row>
    <row r="2859" spans="6:7" x14ac:dyDescent="0.45">
      <c r="F2859" t="s">
        <v>804</v>
      </c>
      <c r="G2859" t="e">
        <f t="shared" si="58"/>
        <v>#VALUE!</v>
      </c>
    </row>
    <row r="2860" spans="6:7" x14ac:dyDescent="0.45">
      <c r="F2860" t="s">
        <v>804</v>
      </c>
      <c r="G2860" t="e">
        <f t="shared" si="58"/>
        <v>#VALUE!</v>
      </c>
    </row>
    <row r="2861" spans="6:7" x14ac:dyDescent="0.45">
      <c r="F2861" t="s">
        <v>804</v>
      </c>
      <c r="G2861" t="e">
        <f t="shared" si="58"/>
        <v>#VALUE!</v>
      </c>
    </row>
    <row r="2862" spans="6:7" x14ac:dyDescent="0.45">
      <c r="F2862" t="s">
        <v>804</v>
      </c>
      <c r="G2862" t="e">
        <f t="shared" si="58"/>
        <v>#VALUE!</v>
      </c>
    </row>
    <row r="2863" spans="6:7" x14ac:dyDescent="0.45">
      <c r="F2863" t="s">
        <v>804</v>
      </c>
      <c r="G2863" t="e">
        <f t="shared" si="58"/>
        <v>#VALUE!</v>
      </c>
    </row>
    <row r="2864" spans="6:7" x14ac:dyDescent="0.45">
      <c r="F2864" t="s">
        <v>804</v>
      </c>
      <c r="G2864" t="e">
        <f t="shared" si="58"/>
        <v>#VALUE!</v>
      </c>
    </row>
    <row r="2865" spans="6:7" x14ac:dyDescent="0.45">
      <c r="F2865" t="s">
        <v>804</v>
      </c>
      <c r="G2865" t="e">
        <f t="shared" si="58"/>
        <v>#VALUE!</v>
      </c>
    </row>
    <row r="2866" spans="6:7" x14ac:dyDescent="0.45">
      <c r="F2866" t="s">
        <v>804</v>
      </c>
      <c r="G2866" t="e">
        <f t="shared" si="58"/>
        <v>#VALUE!</v>
      </c>
    </row>
    <row r="2867" spans="6:7" x14ac:dyDescent="0.45">
      <c r="F2867" t="s">
        <v>804</v>
      </c>
      <c r="G2867" t="e">
        <f t="shared" si="58"/>
        <v>#VALUE!</v>
      </c>
    </row>
    <row r="2868" spans="6:7" x14ac:dyDescent="0.45">
      <c r="F2868" t="s">
        <v>804</v>
      </c>
      <c r="G2868" t="e">
        <f t="shared" si="58"/>
        <v>#VALUE!</v>
      </c>
    </row>
    <row r="2869" spans="6:7" x14ac:dyDescent="0.45">
      <c r="F2869" t="s">
        <v>804</v>
      </c>
      <c r="G2869" t="e">
        <f t="shared" si="58"/>
        <v>#VALUE!</v>
      </c>
    </row>
    <row r="2870" spans="6:7" x14ac:dyDescent="0.45">
      <c r="F2870" t="s">
        <v>804</v>
      </c>
      <c r="G2870" t="e">
        <f t="shared" si="58"/>
        <v>#VALUE!</v>
      </c>
    </row>
    <row r="2871" spans="6:7" x14ac:dyDescent="0.45">
      <c r="F2871" t="s">
        <v>804</v>
      </c>
      <c r="G2871" t="e">
        <f t="shared" si="58"/>
        <v>#VALUE!</v>
      </c>
    </row>
    <row r="2872" spans="6:7" x14ac:dyDescent="0.45">
      <c r="F2872" t="s">
        <v>804</v>
      </c>
      <c r="G2872" t="e">
        <f t="shared" si="58"/>
        <v>#VALUE!</v>
      </c>
    </row>
    <row r="2873" spans="6:7" x14ac:dyDescent="0.45">
      <c r="F2873" t="s">
        <v>804</v>
      </c>
      <c r="G2873" t="e">
        <f t="shared" si="58"/>
        <v>#VALUE!</v>
      </c>
    </row>
    <row r="2874" spans="6:7" x14ac:dyDescent="0.45">
      <c r="F2874" t="s">
        <v>804</v>
      </c>
      <c r="G2874" t="e">
        <f t="shared" si="58"/>
        <v>#VALUE!</v>
      </c>
    </row>
    <row r="2875" spans="6:7" x14ac:dyDescent="0.45">
      <c r="F2875" t="s">
        <v>804</v>
      </c>
      <c r="G2875" t="e">
        <f t="shared" si="58"/>
        <v>#VALUE!</v>
      </c>
    </row>
    <row r="2876" spans="6:7" x14ac:dyDescent="0.45">
      <c r="F2876" t="s">
        <v>804</v>
      </c>
      <c r="G2876" t="e">
        <f t="shared" si="58"/>
        <v>#VALUE!</v>
      </c>
    </row>
    <row r="2877" spans="6:7" x14ac:dyDescent="0.45">
      <c r="F2877" t="s">
        <v>804</v>
      </c>
      <c r="G2877" t="e">
        <f t="shared" si="58"/>
        <v>#VALUE!</v>
      </c>
    </row>
    <row r="2878" spans="6:7" x14ac:dyDescent="0.45">
      <c r="F2878" t="s">
        <v>804</v>
      </c>
      <c r="G2878" t="e">
        <f t="shared" si="58"/>
        <v>#VALUE!</v>
      </c>
    </row>
    <row r="2879" spans="6:7" x14ac:dyDescent="0.45">
      <c r="F2879" t="s">
        <v>804</v>
      </c>
      <c r="G2879" t="e">
        <f t="shared" si="58"/>
        <v>#VALUE!</v>
      </c>
    </row>
    <row r="2880" spans="6:7" x14ac:dyDescent="0.45">
      <c r="F2880" t="s">
        <v>804</v>
      </c>
      <c r="G2880" t="e">
        <f t="shared" si="58"/>
        <v>#VALUE!</v>
      </c>
    </row>
    <row r="2881" spans="6:7" x14ac:dyDescent="0.45">
      <c r="F2881" t="s">
        <v>804</v>
      </c>
      <c r="G2881" t="e">
        <f t="shared" si="58"/>
        <v>#VALUE!</v>
      </c>
    </row>
    <row r="2882" spans="6:7" x14ac:dyDescent="0.45">
      <c r="F2882" t="s">
        <v>804</v>
      </c>
      <c r="G2882" t="e">
        <f t="shared" si="58"/>
        <v>#VALUE!</v>
      </c>
    </row>
    <row r="2883" spans="6:7" x14ac:dyDescent="0.45">
      <c r="F2883" t="s">
        <v>804</v>
      </c>
      <c r="G2883" t="e">
        <f t="shared" ref="G2883:G2946" si="59">+F2883+0</f>
        <v>#VALUE!</v>
      </c>
    </row>
    <row r="2884" spans="6:7" x14ac:dyDescent="0.45">
      <c r="F2884" t="s">
        <v>804</v>
      </c>
      <c r="G2884" t="e">
        <f t="shared" si="59"/>
        <v>#VALUE!</v>
      </c>
    </row>
    <row r="2885" spans="6:7" x14ac:dyDescent="0.45">
      <c r="F2885" t="s">
        <v>804</v>
      </c>
      <c r="G2885" t="e">
        <f t="shared" si="59"/>
        <v>#VALUE!</v>
      </c>
    </row>
    <row r="2886" spans="6:7" x14ac:dyDescent="0.45">
      <c r="F2886" t="s">
        <v>804</v>
      </c>
      <c r="G2886" t="e">
        <f t="shared" si="59"/>
        <v>#VALUE!</v>
      </c>
    </row>
    <row r="2887" spans="6:7" x14ac:dyDescent="0.45">
      <c r="F2887" t="s">
        <v>804</v>
      </c>
      <c r="G2887" t="e">
        <f t="shared" si="59"/>
        <v>#VALUE!</v>
      </c>
    </row>
    <row r="2888" spans="6:7" x14ac:dyDescent="0.45">
      <c r="F2888" t="s">
        <v>804</v>
      </c>
      <c r="G2888" t="e">
        <f t="shared" si="59"/>
        <v>#VALUE!</v>
      </c>
    </row>
    <row r="2889" spans="6:7" x14ac:dyDescent="0.45">
      <c r="F2889" t="s">
        <v>804</v>
      </c>
      <c r="G2889" t="e">
        <f t="shared" si="59"/>
        <v>#VALUE!</v>
      </c>
    </row>
    <row r="2890" spans="6:7" x14ac:dyDescent="0.45">
      <c r="F2890" t="s">
        <v>804</v>
      </c>
      <c r="G2890" t="e">
        <f t="shared" si="59"/>
        <v>#VALUE!</v>
      </c>
    </row>
    <row r="2891" spans="6:7" x14ac:dyDescent="0.45">
      <c r="F2891" t="s">
        <v>804</v>
      </c>
      <c r="G2891" t="e">
        <f t="shared" si="59"/>
        <v>#VALUE!</v>
      </c>
    </row>
    <row r="2892" spans="6:7" x14ac:dyDescent="0.45">
      <c r="F2892" t="s">
        <v>804</v>
      </c>
      <c r="G2892" t="e">
        <f t="shared" si="59"/>
        <v>#VALUE!</v>
      </c>
    </row>
    <row r="2893" spans="6:7" x14ac:dyDescent="0.45">
      <c r="F2893" t="s">
        <v>804</v>
      </c>
      <c r="G2893" t="e">
        <f t="shared" si="59"/>
        <v>#VALUE!</v>
      </c>
    </row>
    <row r="2894" spans="6:7" x14ac:dyDescent="0.45">
      <c r="F2894" t="s">
        <v>804</v>
      </c>
      <c r="G2894" t="e">
        <f t="shared" si="59"/>
        <v>#VALUE!</v>
      </c>
    </row>
    <row r="2895" spans="6:7" x14ac:dyDescent="0.45">
      <c r="F2895" t="s">
        <v>804</v>
      </c>
      <c r="G2895" t="e">
        <f t="shared" si="59"/>
        <v>#VALUE!</v>
      </c>
    </row>
    <row r="2896" spans="6:7" x14ac:dyDescent="0.45">
      <c r="F2896" t="s">
        <v>804</v>
      </c>
      <c r="G2896" t="e">
        <f t="shared" si="59"/>
        <v>#VALUE!</v>
      </c>
    </row>
    <row r="2897" spans="6:7" x14ac:dyDescent="0.45">
      <c r="F2897" t="s">
        <v>804</v>
      </c>
      <c r="G2897" t="e">
        <f t="shared" si="59"/>
        <v>#VALUE!</v>
      </c>
    </row>
    <row r="2898" spans="6:7" x14ac:dyDescent="0.45">
      <c r="F2898" t="s">
        <v>804</v>
      </c>
      <c r="G2898" t="e">
        <f t="shared" si="59"/>
        <v>#VALUE!</v>
      </c>
    </row>
    <row r="2899" spans="6:7" x14ac:dyDescent="0.45">
      <c r="F2899" t="s">
        <v>804</v>
      </c>
      <c r="G2899" t="e">
        <f t="shared" si="59"/>
        <v>#VALUE!</v>
      </c>
    </row>
    <row r="2900" spans="6:7" x14ac:dyDescent="0.45">
      <c r="F2900" t="s">
        <v>804</v>
      </c>
      <c r="G2900" t="e">
        <f t="shared" si="59"/>
        <v>#VALUE!</v>
      </c>
    </row>
    <row r="2901" spans="6:7" x14ac:dyDescent="0.45">
      <c r="F2901" t="s">
        <v>804</v>
      </c>
      <c r="G2901" t="e">
        <f t="shared" si="59"/>
        <v>#VALUE!</v>
      </c>
    </row>
    <row r="2902" spans="6:7" x14ac:dyDescent="0.45">
      <c r="F2902" t="s">
        <v>804</v>
      </c>
      <c r="G2902" t="e">
        <f t="shared" si="59"/>
        <v>#VALUE!</v>
      </c>
    </row>
    <row r="2903" spans="6:7" x14ac:dyDescent="0.45">
      <c r="F2903" t="s">
        <v>804</v>
      </c>
      <c r="G2903" t="e">
        <f t="shared" si="59"/>
        <v>#VALUE!</v>
      </c>
    </row>
    <row r="2904" spans="6:7" x14ac:dyDescent="0.45">
      <c r="F2904" t="s">
        <v>804</v>
      </c>
      <c r="G2904" t="e">
        <f t="shared" si="59"/>
        <v>#VALUE!</v>
      </c>
    </row>
    <row r="2905" spans="6:7" x14ac:dyDescent="0.45">
      <c r="F2905" t="s">
        <v>804</v>
      </c>
      <c r="G2905" t="e">
        <f t="shared" si="59"/>
        <v>#VALUE!</v>
      </c>
    </row>
    <row r="2906" spans="6:7" x14ac:dyDescent="0.45">
      <c r="F2906" t="s">
        <v>804</v>
      </c>
      <c r="G2906" t="e">
        <f t="shared" si="59"/>
        <v>#VALUE!</v>
      </c>
    </row>
    <row r="2907" spans="6:7" x14ac:dyDescent="0.45">
      <c r="F2907" t="s">
        <v>804</v>
      </c>
      <c r="G2907" t="e">
        <f t="shared" si="59"/>
        <v>#VALUE!</v>
      </c>
    </row>
    <row r="2908" spans="6:7" x14ac:dyDescent="0.45">
      <c r="F2908" t="s">
        <v>804</v>
      </c>
      <c r="G2908" t="e">
        <f t="shared" si="59"/>
        <v>#VALUE!</v>
      </c>
    </row>
    <row r="2909" spans="6:7" x14ac:dyDescent="0.45">
      <c r="F2909" t="s">
        <v>804</v>
      </c>
      <c r="G2909" t="e">
        <f t="shared" si="59"/>
        <v>#VALUE!</v>
      </c>
    </row>
    <row r="2910" spans="6:7" x14ac:dyDescent="0.45">
      <c r="F2910" t="s">
        <v>804</v>
      </c>
      <c r="G2910" t="e">
        <f t="shared" si="59"/>
        <v>#VALUE!</v>
      </c>
    </row>
    <row r="2911" spans="6:7" x14ac:dyDescent="0.45">
      <c r="F2911" t="s">
        <v>804</v>
      </c>
      <c r="G2911" t="e">
        <f t="shared" si="59"/>
        <v>#VALUE!</v>
      </c>
    </row>
    <row r="2912" spans="6:7" x14ac:dyDescent="0.45">
      <c r="F2912" t="s">
        <v>804</v>
      </c>
      <c r="G2912" t="e">
        <f t="shared" si="59"/>
        <v>#VALUE!</v>
      </c>
    </row>
    <row r="2913" spans="6:7" x14ac:dyDescent="0.45">
      <c r="F2913" t="s">
        <v>804</v>
      </c>
      <c r="G2913" t="e">
        <f t="shared" si="59"/>
        <v>#VALUE!</v>
      </c>
    </row>
    <row r="2914" spans="6:7" x14ac:dyDescent="0.45">
      <c r="F2914" t="s">
        <v>804</v>
      </c>
      <c r="G2914" t="e">
        <f t="shared" si="59"/>
        <v>#VALUE!</v>
      </c>
    </row>
    <row r="2915" spans="6:7" x14ac:dyDescent="0.45">
      <c r="F2915" t="s">
        <v>804</v>
      </c>
      <c r="G2915" t="e">
        <f t="shared" si="59"/>
        <v>#VALUE!</v>
      </c>
    </row>
    <row r="2916" spans="6:7" x14ac:dyDescent="0.45">
      <c r="F2916" t="s">
        <v>804</v>
      </c>
      <c r="G2916" t="e">
        <f t="shared" si="59"/>
        <v>#VALUE!</v>
      </c>
    </row>
    <row r="2917" spans="6:7" x14ac:dyDescent="0.45">
      <c r="F2917" t="s">
        <v>804</v>
      </c>
      <c r="G2917" t="e">
        <f t="shared" si="59"/>
        <v>#VALUE!</v>
      </c>
    </row>
    <row r="2918" spans="6:7" x14ac:dyDescent="0.45">
      <c r="F2918" t="s">
        <v>804</v>
      </c>
      <c r="G2918" t="e">
        <f t="shared" si="59"/>
        <v>#VALUE!</v>
      </c>
    </row>
    <row r="2919" spans="6:7" x14ac:dyDescent="0.45">
      <c r="F2919" t="s">
        <v>804</v>
      </c>
      <c r="G2919" t="e">
        <f t="shared" si="59"/>
        <v>#VALUE!</v>
      </c>
    </row>
    <row r="2920" spans="6:7" x14ac:dyDescent="0.45">
      <c r="F2920" t="s">
        <v>804</v>
      </c>
      <c r="G2920" t="e">
        <f t="shared" si="59"/>
        <v>#VALUE!</v>
      </c>
    </row>
    <row r="2921" spans="6:7" x14ac:dyDescent="0.45">
      <c r="F2921" t="s">
        <v>804</v>
      </c>
      <c r="G2921" t="e">
        <f t="shared" si="59"/>
        <v>#VALUE!</v>
      </c>
    </row>
    <row r="2922" spans="6:7" x14ac:dyDescent="0.45">
      <c r="F2922" t="s">
        <v>804</v>
      </c>
      <c r="G2922" t="e">
        <f t="shared" si="59"/>
        <v>#VALUE!</v>
      </c>
    </row>
    <row r="2923" spans="6:7" x14ac:dyDescent="0.45">
      <c r="F2923" t="s">
        <v>804</v>
      </c>
      <c r="G2923" t="e">
        <f t="shared" si="59"/>
        <v>#VALUE!</v>
      </c>
    </row>
    <row r="2924" spans="6:7" x14ac:dyDescent="0.45">
      <c r="F2924" t="s">
        <v>804</v>
      </c>
      <c r="G2924" t="e">
        <f t="shared" si="59"/>
        <v>#VALUE!</v>
      </c>
    </row>
    <row r="2925" spans="6:7" x14ac:dyDescent="0.45">
      <c r="F2925" t="s">
        <v>804</v>
      </c>
      <c r="G2925" t="e">
        <f t="shared" si="59"/>
        <v>#VALUE!</v>
      </c>
    </row>
    <row r="2926" spans="6:7" x14ac:dyDescent="0.45">
      <c r="F2926" t="s">
        <v>804</v>
      </c>
      <c r="G2926" t="e">
        <f t="shared" si="59"/>
        <v>#VALUE!</v>
      </c>
    </row>
    <row r="2927" spans="6:7" x14ac:dyDescent="0.45">
      <c r="F2927" t="s">
        <v>804</v>
      </c>
      <c r="G2927" t="e">
        <f t="shared" si="59"/>
        <v>#VALUE!</v>
      </c>
    </row>
    <row r="2928" spans="6:7" x14ac:dyDescent="0.45">
      <c r="F2928" t="s">
        <v>804</v>
      </c>
      <c r="G2928" t="e">
        <f t="shared" si="59"/>
        <v>#VALUE!</v>
      </c>
    </row>
    <row r="2929" spans="6:7" x14ac:dyDescent="0.45">
      <c r="F2929" t="s">
        <v>804</v>
      </c>
      <c r="G2929" t="e">
        <f t="shared" si="59"/>
        <v>#VALUE!</v>
      </c>
    </row>
    <row r="2930" spans="6:7" x14ac:dyDescent="0.45">
      <c r="F2930" t="s">
        <v>804</v>
      </c>
      <c r="G2930" t="e">
        <f t="shared" si="59"/>
        <v>#VALUE!</v>
      </c>
    </row>
    <row r="2931" spans="6:7" x14ac:dyDescent="0.45">
      <c r="F2931" t="s">
        <v>804</v>
      </c>
      <c r="G2931" t="e">
        <f t="shared" si="59"/>
        <v>#VALUE!</v>
      </c>
    </row>
    <row r="2932" spans="6:7" x14ac:dyDescent="0.45">
      <c r="F2932" t="s">
        <v>804</v>
      </c>
      <c r="G2932" t="e">
        <f t="shared" si="59"/>
        <v>#VALUE!</v>
      </c>
    </row>
    <row r="2933" spans="6:7" x14ac:dyDescent="0.45">
      <c r="F2933" t="s">
        <v>804</v>
      </c>
      <c r="G2933" t="e">
        <f t="shared" si="59"/>
        <v>#VALUE!</v>
      </c>
    </row>
    <row r="2934" spans="6:7" x14ac:dyDescent="0.45">
      <c r="F2934" t="s">
        <v>804</v>
      </c>
      <c r="G2934" t="e">
        <f t="shared" si="59"/>
        <v>#VALUE!</v>
      </c>
    </row>
    <row r="2935" spans="6:7" x14ac:dyDescent="0.45">
      <c r="F2935" t="s">
        <v>804</v>
      </c>
      <c r="G2935" t="e">
        <f t="shared" si="59"/>
        <v>#VALUE!</v>
      </c>
    </row>
    <row r="2936" spans="6:7" x14ac:dyDescent="0.45">
      <c r="F2936" t="s">
        <v>804</v>
      </c>
      <c r="G2936" t="e">
        <f t="shared" si="59"/>
        <v>#VALUE!</v>
      </c>
    </row>
    <row r="2937" spans="6:7" x14ac:dyDescent="0.45">
      <c r="F2937" t="s">
        <v>804</v>
      </c>
      <c r="G2937" t="e">
        <f t="shared" si="59"/>
        <v>#VALUE!</v>
      </c>
    </row>
    <row r="2938" spans="6:7" x14ac:dyDescent="0.45">
      <c r="F2938" t="s">
        <v>804</v>
      </c>
      <c r="G2938" t="e">
        <f t="shared" si="59"/>
        <v>#VALUE!</v>
      </c>
    </row>
    <row r="2939" spans="6:7" x14ac:dyDescent="0.45">
      <c r="F2939" t="s">
        <v>804</v>
      </c>
      <c r="G2939" t="e">
        <f t="shared" si="59"/>
        <v>#VALUE!</v>
      </c>
    </row>
    <row r="2940" spans="6:7" x14ac:dyDescent="0.45">
      <c r="F2940" t="s">
        <v>804</v>
      </c>
      <c r="G2940" t="e">
        <f t="shared" si="59"/>
        <v>#VALUE!</v>
      </c>
    </row>
    <row r="2941" spans="6:7" x14ac:dyDescent="0.45">
      <c r="F2941" t="s">
        <v>804</v>
      </c>
      <c r="G2941" t="e">
        <f t="shared" si="59"/>
        <v>#VALUE!</v>
      </c>
    </row>
    <row r="2942" spans="6:7" x14ac:dyDescent="0.45">
      <c r="F2942" t="s">
        <v>804</v>
      </c>
      <c r="G2942" t="e">
        <f t="shared" si="59"/>
        <v>#VALUE!</v>
      </c>
    </row>
    <row r="2943" spans="6:7" x14ac:dyDescent="0.45">
      <c r="F2943" t="s">
        <v>804</v>
      </c>
      <c r="G2943" t="e">
        <f t="shared" si="59"/>
        <v>#VALUE!</v>
      </c>
    </row>
    <row r="2944" spans="6:7" x14ac:dyDescent="0.45">
      <c r="F2944" t="s">
        <v>804</v>
      </c>
      <c r="G2944" t="e">
        <f t="shared" si="59"/>
        <v>#VALUE!</v>
      </c>
    </row>
    <row r="2945" spans="6:7" x14ac:dyDescent="0.45">
      <c r="F2945" t="s">
        <v>804</v>
      </c>
      <c r="G2945" t="e">
        <f t="shared" si="59"/>
        <v>#VALUE!</v>
      </c>
    </row>
    <row r="2946" spans="6:7" x14ac:dyDescent="0.45">
      <c r="F2946" t="s">
        <v>804</v>
      </c>
      <c r="G2946" t="e">
        <f t="shared" si="59"/>
        <v>#VALUE!</v>
      </c>
    </row>
    <row r="2947" spans="6:7" x14ac:dyDescent="0.45">
      <c r="F2947" t="s">
        <v>804</v>
      </c>
      <c r="G2947" t="e">
        <f t="shared" ref="G2947:G2994" si="60">+F2947+0</f>
        <v>#VALUE!</v>
      </c>
    </row>
    <row r="2948" spans="6:7" x14ac:dyDescent="0.45">
      <c r="F2948" t="s">
        <v>804</v>
      </c>
      <c r="G2948" t="e">
        <f t="shared" si="60"/>
        <v>#VALUE!</v>
      </c>
    </row>
    <row r="2949" spans="6:7" x14ac:dyDescent="0.45">
      <c r="F2949" t="s">
        <v>804</v>
      </c>
      <c r="G2949" t="e">
        <f t="shared" si="60"/>
        <v>#VALUE!</v>
      </c>
    </row>
    <row r="2950" spans="6:7" x14ac:dyDescent="0.45">
      <c r="F2950" t="s">
        <v>804</v>
      </c>
      <c r="G2950" t="e">
        <f t="shared" si="60"/>
        <v>#VALUE!</v>
      </c>
    </row>
    <row r="2951" spans="6:7" x14ac:dyDescent="0.45">
      <c r="F2951" t="s">
        <v>804</v>
      </c>
      <c r="G2951" t="e">
        <f t="shared" si="60"/>
        <v>#VALUE!</v>
      </c>
    </row>
    <row r="2952" spans="6:7" x14ac:dyDescent="0.45">
      <c r="F2952" t="s">
        <v>804</v>
      </c>
      <c r="G2952" t="e">
        <f t="shared" si="60"/>
        <v>#VALUE!</v>
      </c>
    </row>
    <row r="2953" spans="6:7" x14ac:dyDescent="0.45">
      <c r="F2953" t="s">
        <v>804</v>
      </c>
      <c r="G2953" t="e">
        <f t="shared" si="60"/>
        <v>#VALUE!</v>
      </c>
    </row>
    <row r="2954" spans="6:7" x14ac:dyDescent="0.45">
      <c r="F2954" t="s">
        <v>804</v>
      </c>
      <c r="G2954" t="e">
        <f t="shared" si="60"/>
        <v>#VALUE!</v>
      </c>
    </row>
    <row r="2955" spans="6:7" x14ac:dyDescent="0.45">
      <c r="F2955" t="s">
        <v>804</v>
      </c>
      <c r="G2955" t="e">
        <f t="shared" si="60"/>
        <v>#VALUE!</v>
      </c>
    </row>
    <row r="2956" spans="6:7" x14ac:dyDescent="0.45">
      <c r="F2956" t="s">
        <v>804</v>
      </c>
      <c r="G2956" t="e">
        <f t="shared" si="60"/>
        <v>#VALUE!</v>
      </c>
    </row>
    <row r="2957" spans="6:7" x14ac:dyDescent="0.45">
      <c r="F2957" t="s">
        <v>804</v>
      </c>
      <c r="G2957" t="e">
        <f t="shared" si="60"/>
        <v>#VALUE!</v>
      </c>
    </row>
    <row r="2958" spans="6:7" x14ac:dyDescent="0.45">
      <c r="F2958" t="s">
        <v>804</v>
      </c>
      <c r="G2958" t="e">
        <f t="shared" si="60"/>
        <v>#VALUE!</v>
      </c>
    </row>
    <row r="2959" spans="6:7" x14ac:dyDescent="0.45">
      <c r="F2959" t="s">
        <v>804</v>
      </c>
      <c r="G2959" t="e">
        <f t="shared" si="60"/>
        <v>#VALUE!</v>
      </c>
    </row>
    <row r="2960" spans="6:7" x14ac:dyDescent="0.45">
      <c r="F2960" t="s">
        <v>804</v>
      </c>
      <c r="G2960" t="e">
        <f t="shared" si="60"/>
        <v>#VALUE!</v>
      </c>
    </row>
    <row r="2961" spans="6:7" x14ac:dyDescent="0.45">
      <c r="F2961" t="s">
        <v>804</v>
      </c>
      <c r="G2961" t="e">
        <f t="shared" si="60"/>
        <v>#VALUE!</v>
      </c>
    </row>
    <row r="2962" spans="6:7" x14ac:dyDescent="0.45">
      <c r="F2962" t="s">
        <v>804</v>
      </c>
      <c r="G2962" t="e">
        <f t="shared" si="60"/>
        <v>#VALUE!</v>
      </c>
    </row>
    <row r="2963" spans="6:7" x14ac:dyDescent="0.45">
      <c r="F2963" t="s">
        <v>804</v>
      </c>
      <c r="G2963" t="e">
        <f t="shared" si="60"/>
        <v>#VALUE!</v>
      </c>
    </row>
    <row r="2964" spans="6:7" x14ac:dyDescent="0.45">
      <c r="F2964" t="s">
        <v>804</v>
      </c>
      <c r="G2964" t="e">
        <f t="shared" si="60"/>
        <v>#VALUE!</v>
      </c>
    </row>
    <row r="2965" spans="6:7" x14ac:dyDescent="0.45">
      <c r="F2965" t="s">
        <v>804</v>
      </c>
      <c r="G2965" t="e">
        <f t="shared" si="60"/>
        <v>#VALUE!</v>
      </c>
    </row>
    <row r="2966" spans="6:7" x14ac:dyDescent="0.45">
      <c r="F2966" t="s">
        <v>804</v>
      </c>
      <c r="G2966" t="e">
        <f t="shared" si="60"/>
        <v>#VALUE!</v>
      </c>
    </row>
    <row r="2967" spans="6:7" x14ac:dyDescent="0.45">
      <c r="F2967" t="s">
        <v>804</v>
      </c>
      <c r="G2967" t="e">
        <f t="shared" si="60"/>
        <v>#VALUE!</v>
      </c>
    </row>
    <row r="2968" spans="6:7" x14ac:dyDescent="0.45">
      <c r="F2968" t="s">
        <v>804</v>
      </c>
      <c r="G2968" t="e">
        <f t="shared" si="60"/>
        <v>#VALUE!</v>
      </c>
    </row>
    <row r="2969" spans="6:7" x14ac:dyDescent="0.45">
      <c r="F2969" t="s">
        <v>804</v>
      </c>
      <c r="G2969" t="e">
        <f t="shared" si="60"/>
        <v>#VALUE!</v>
      </c>
    </row>
    <row r="2970" spans="6:7" x14ac:dyDescent="0.45">
      <c r="F2970" t="s">
        <v>804</v>
      </c>
      <c r="G2970" t="e">
        <f t="shared" si="60"/>
        <v>#VALUE!</v>
      </c>
    </row>
    <row r="2971" spans="6:7" x14ac:dyDescent="0.45">
      <c r="F2971" t="s">
        <v>804</v>
      </c>
      <c r="G2971" t="e">
        <f t="shared" si="60"/>
        <v>#VALUE!</v>
      </c>
    </row>
    <row r="2972" spans="6:7" x14ac:dyDescent="0.45">
      <c r="F2972" t="s">
        <v>804</v>
      </c>
      <c r="G2972" t="e">
        <f t="shared" si="60"/>
        <v>#VALUE!</v>
      </c>
    </row>
    <row r="2973" spans="6:7" x14ac:dyDescent="0.45">
      <c r="F2973" t="s">
        <v>804</v>
      </c>
      <c r="G2973" t="e">
        <f t="shared" si="60"/>
        <v>#VALUE!</v>
      </c>
    </row>
    <row r="2974" spans="6:7" x14ac:dyDescent="0.45">
      <c r="F2974" t="s">
        <v>804</v>
      </c>
      <c r="G2974" t="e">
        <f t="shared" si="60"/>
        <v>#VALUE!</v>
      </c>
    </row>
    <row r="2975" spans="6:7" x14ac:dyDescent="0.45">
      <c r="F2975" t="s">
        <v>804</v>
      </c>
      <c r="G2975" t="e">
        <f t="shared" si="60"/>
        <v>#VALUE!</v>
      </c>
    </row>
    <row r="2976" spans="6:7" x14ac:dyDescent="0.45">
      <c r="F2976" t="s">
        <v>804</v>
      </c>
      <c r="G2976" t="e">
        <f t="shared" si="60"/>
        <v>#VALUE!</v>
      </c>
    </row>
    <row r="2977" spans="6:7" x14ac:dyDescent="0.45">
      <c r="F2977" t="s">
        <v>804</v>
      </c>
      <c r="G2977" t="e">
        <f t="shared" si="60"/>
        <v>#VALUE!</v>
      </c>
    </row>
    <row r="2978" spans="6:7" x14ac:dyDescent="0.45">
      <c r="F2978" t="s">
        <v>804</v>
      </c>
      <c r="G2978" t="e">
        <f t="shared" si="60"/>
        <v>#VALUE!</v>
      </c>
    </row>
    <row r="2979" spans="6:7" x14ac:dyDescent="0.45">
      <c r="F2979" t="s">
        <v>804</v>
      </c>
      <c r="G2979" t="e">
        <f t="shared" si="60"/>
        <v>#VALUE!</v>
      </c>
    </row>
    <row r="2980" spans="6:7" x14ac:dyDescent="0.45">
      <c r="F2980" t="s">
        <v>804</v>
      </c>
      <c r="G2980" t="e">
        <f t="shared" si="60"/>
        <v>#VALUE!</v>
      </c>
    </row>
    <row r="2981" spans="6:7" x14ac:dyDescent="0.45">
      <c r="F2981" t="s">
        <v>804</v>
      </c>
      <c r="G2981" t="e">
        <f t="shared" si="60"/>
        <v>#VALUE!</v>
      </c>
    </row>
    <row r="2982" spans="6:7" x14ac:dyDescent="0.45">
      <c r="F2982" t="s">
        <v>804</v>
      </c>
      <c r="G2982" t="e">
        <f t="shared" si="60"/>
        <v>#VALUE!</v>
      </c>
    </row>
    <row r="2983" spans="6:7" x14ac:dyDescent="0.45">
      <c r="F2983" t="s">
        <v>804</v>
      </c>
      <c r="G2983" t="e">
        <f t="shared" si="60"/>
        <v>#VALUE!</v>
      </c>
    </row>
    <row r="2984" spans="6:7" x14ac:dyDescent="0.45">
      <c r="F2984" t="s">
        <v>804</v>
      </c>
      <c r="G2984" t="e">
        <f t="shared" si="60"/>
        <v>#VALUE!</v>
      </c>
    </row>
    <row r="2985" spans="6:7" x14ac:dyDescent="0.45">
      <c r="F2985" t="s">
        <v>804</v>
      </c>
      <c r="G2985" t="e">
        <f t="shared" si="60"/>
        <v>#VALUE!</v>
      </c>
    </row>
    <row r="2986" spans="6:7" x14ac:dyDescent="0.45">
      <c r="F2986" t="s">
        <v>804</v>
      </c>
      <c r="G2986" t="e">
        <f t="shared" si="60"/>
        <v>#VALUE!</v>
      </c>
    </row>
    <row r="2987" spans="6:7" x14ac:dyDescent="0.45">
      <c r="F2987" t="s">
        <v>804</v>
      </c>
      <c r="G2987" t="e">
        <f t="shared" si="60"/>
        <v>#VALUE!</v>
      </c>
    </row>
    <row r="2988" spans="6:7" x14ac:dyDescent="0.45">
      <c r="F2988" t="s">
        <v>804</v>
      </c>
      <c r="G2988" t="e">
        <f t="shared" si="60"/>
        <v>#VALUE!</v>
      </c>
    </row>
    <row r="2989" spans="6:7" x14ac:dyDescent="0.45">
      <c r="F2989" t="s">
        <v>804</v>
      </c>
      <c r="G2989" t="e">
        <f t="shared" si="60"/>
        <v>#VALUE!</v>
      </c>
    </row>
    <row r="2990" spans="6:7" x14ac:dyDescent="0.45">
      <c r="F2990" t="s">
        <v>804</v>
      </c>
      <c r="G2990" t="e">
        <f t="shared" si="60"/>
        <v>#VALUE!</v>
      </c>
    </row>
    <row r="2991" spans="6:7" x14ac:dyDescent="0.45">
      <c r="F2991" t="s">
        <v>804</v>
      </c>
      <c r="G2991" t="e">
        <f t="shared" si="60"/>
        <v>#VALUE!</v>
      </c>
    </row>
    <row r="2992" spans="6:7" x14ac:dyDescent="0.45">
      <c r="F2992" t="s">
        <v>804</v>
      </c>
      <c r="G2992" t="e">
        <f t="shared" si="60"/>
        <v>#VALUE!</v>
      </c>
    </row>
    <row r="2993" spans="6:7" x14ac:dyDescent="0.45">
      <c r="F2993" t="s">
        <v>804</v>
      </c>
      <c r="G2993" t="e">
        <f t="shared" si="60"/>
        <v>#VALUE!</v>
      </c>
    </row>
    <row r="2994" spans="6:7" x14ac:dyDescent="0.45">
      <c r="F2994" t="s">
        <v>804</v>
      </c>
      <c r="G2994" t="e">
        <f t="shared" si="60"/>
        <v>#VALUE!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9B2E99503D3AD4DA2231F0D240043DD" ma:contentTypeVersion="19" ma:contentTypeDescription="Creare un nuovo documento." ma:contentTypeScope="" ma:versionID="5d22b860b2d7b05646517e191754a185">
  <xsd:schema xmlns:xsd="http://www.w3.org/2001/XMLSchema" xmlns:xs="http://www.w3.org/2001/XMLSchema" xmlns:p="http://schemas.microsoft.com/office/2006/metadata/properties" xmlns:ns2="77a3f60d-3740-4b8f-aea2-18b203205ead" xmlns:ns3="6c014026-a0ef-45dc-9ca9-ac355db24e99" targetNamespace="http://schemas.microsoft.com/office/2006/metadata/properties" ma:root="true" ma:fieldsID="c3ef981538194d0481c402a9a66d521d" ns2:_="" ns3:_="">
    <xsd:import namespace="77a3f60d-3740-4b8f-aea2-18b203205ead"/>
    <xsd:import namespace="6c014026-a0ef-45dc-9ca9-ac355db24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a3f60d-3740-4b8f-aea2-18b203205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Tag immagine" ma:readOnly="false" ma:fieldId="{5cf76f15-5ced-4ddc-b409-7134ff3c332f}" ma:taxonomyMulti="true" ma:sspId="bbff36a2-fd21-4e1e-a182-03a870c089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014026-a0ef-45dc-9ca9-ac355db24e9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c17ed12-4c7d-4ce0-86b8-91d9357e9166}" ma:internalName="TaxCatchAll" ma:showField="CatchAllData" ma:web="6c014026-a0ef-45dc-9ca9-ac355db24e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c014026-a0ef-45dc-9ca9-ac355db24e99" xsi:nil="true"/>
    <lcf76f155ced4ddcb4097134ff3c332f xmlns="77a3f60d-3740-4b8f-aea2-18b203205ead">
      <Terms xmlns="http://schemas.microsoft.com/office/infopath/2007/PartnerControls"/>
    </lcf76f155ced4ddcb4097134ff3c332f>
  </documentManagement>
</p:properties>
</file>

<file path=customXml/item4.xml>��
</file>

<file path=customXml/itemProps1.xml><?xml version="1.0" encoding="utf-8"?>
<ds:datastoreItem xmlns:ds="http://schemas.openxmlformats.org/officeDocument/2006/customXml" ds:itemID="{1333C510-5C20-4739-ABAD-6B7D419A12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a3f60d-3740-4b8f-aea2-18b203205ead"/>
    <ds:schemaRef ds:uri="6c014026-a0ef-45dc-9ca9-ac355db24e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3A9F544-02E1-467C-9F8A-133AB86BA30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2357224-2DDC-4803-A53D-9D51B885320B}">
  <ds:schemaRefs>
    <ds:schemaRef ds:uri="http://schemas.microsoft.com/office/2006/metadata/properties"/>
    <ds:schemaRef ds:uri="http://schemas.microsoft.com/office/infopath/2007/PartnerControls"/>
    <ds:schemaRef ds:uri="6c014026-a0ef-45dc-9ca9-ac355db24e99"/>
    <ds:schemaRef ds:uri="77a3f60d-3740-4b8f-aea2-18b203205ead"/>
  </ds:schemaRefs>
</ds:datastoreItem>
</file>

<file path=customXml/itemProps4.xml><?xml version="1.0" encoding="utf-8"?>
<ds:datastoreItem xmlns:ds="http://schemas.openxmlformats.org/officeDocument/2006/customXml" ds:itemID="{E35B0B05-40DE-4D62-98EE-5372D9FFE78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Foglio2</vt:lpstr>
      <vt:lpstr>Tabella1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Mattavelli</dc:creator>
  <cp:lastModifiedBy>Alessandro Pastore</cp:lastModifiedBy>
  <cp:lastPrinted>2026-03-10T09:27:01Z</cp:lastPrinted>
  <dcterms:created xsi:type="dcterms:W3CDTF">2026-03-10T09:03:56Z</dcterms:created>
  <dcterms:modified xsi:type="dcterms:W3CDTF">2026-03-11T17:34:18Z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0x01010049B2E99503D3AD4DA2231F0D240043DD</vt:lpwstr>
  </property>
  <property fmtid="{D5CDD505-2E9C-101B-9397-08002B2CF9AE}" pid="3" name="MediaServiceImageTags">
    <vt:lpwstr/>
  </property>
</Properties>
</file>