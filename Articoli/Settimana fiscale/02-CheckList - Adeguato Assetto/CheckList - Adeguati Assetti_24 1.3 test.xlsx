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drawings/drawing3.xml" ContentType="application/vnd.openxmlformats-officedocument.drawing+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Questa_cartella_di_lavoro" defaultThemeVersion="166925"/>
  <mc:AlternateContent xmlns:mc="http://schemas.openxmlformats.org/markup-compatibility/2006">
    <mc:Choice Requires="x15">
      <x15ac:absPath xmlns:x15ac="http://schemas.microsoft.com/office/spreadsheetml/2010/11/ac" url="Y:\Clienti\IL Sole24ore\Settimana fiscale\CheckList - Adeguato Assetto\"/>
    </mc:Choice>
  </mc:AlternateContent>
  <xr:revisionPtr revIDLastSave="0" documentId="13_ncr:1_{35AEAC54-8AE4-4F60-AA55-D29F00CAC5D4}" xr6:coauthVersionLast="47" xr6:coauthVersionMax="47" xr10:uidLastSave="{00000000-0000-0000-0000-000000000000}"/>
  <bookViews>
    <workbookView xWindow="-93" yWindow="-93" windowWidth="25786" windowHeight="15466" firstSheet="1" activeTab="5" xr2:uid="{0197A79F-3384-4DF8-8AD1-255AD3DE3040}"/>
  </bookViews>
  <sheets>
    <sheet name="Check list" sheetId="4" state="hidden" r:id="rId1"/>
    <sheet name="SEZIONI 1-2" sheetId="6" r:id="rId2"/>
    <sheet name="SEZIONI 3-4" sheetId="8" r:id="rId3"/>
    <sheet name="SEZIONI 5-6" sheetId="9" r:id="rId4"/>
    <sheet name="Relazione" sheetId="5" r:id="rId5"/>
    <sheet name="Relazione Compatta (solo 365)" sheetId="10" r:id="rId6"/>
  </sheets>
  <definedNames>
    <definedName name="_xlnm._FilterDatabase" localSheetId="4" hidden="1">Relazione!$D$3:$D$65</definedName>
    <definedName name="AC">REPT(CHAR(10),2)</definedName>
    <definedName name="_xlnm.Print_Area" localSheetId="4">Relazione!$L$2:$L$97</definedName>
    <definedName name="_xlnm.Print_Area" localSheetId="5">'Relazione Compatta (solo 365)'!$A$5:$A$17</definedName>
    <definedName name="Data">Relazione!$L$4</definedName>
    <definedName name="p">+CHAR(149)&amp; " "</definedName>
    <definedName name="pu">". "</definedName>
    <definedName name="s">" "</definedName>
    <definedName name="v">",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99" i="5" l="1"/>
  <c r="J98" i="5"/>
  <c r="J70" i="5"/>
  <c r="J67" i="5"/>
  <c r="J64" i="5"/>
  <c r="J60" i="5"/>
  <c r="L98" i="5"/>
  <c r="L4" i="5"/>
  <c r="F125" i="8"/>
  <c r="F124" i="8"/>
  <c r="F118" i="8"/>
  <c r="F117" i="8"/>
  <c r="F120" i="8"/>
  <c r="F119" i="8"/>
  <c r="F116" i="8"/>
  <c r="F115" i="8"/>
  <c r="F112" i="8"/>
  <c r="F111" i="8"/>
  <c r="F105" i="8"/>
  <c r="F106" i="8"/>
  <c r="F101" i="8"/>
  <c r="F80" i="8"/>
  <c r="F78" i="8"/>
  <c r="F70" i="8"/>
  <c r="F67" i="8"/>
  <c r="F61" i="8"/>
  <c r="F53" i="8"/>
  <c r="F43" i="8"/>
  <c r="F37" i="8"/>
  <c r="F28" i="8"/>
  <c r="F10" i="8"/>
  <c r="M151" i="8"/>
  <c r="C165" i="5" s="1"/>
  <c r="L151" i="8"/>
  <c r="D164" i="5" s="1"/>
  <c r="M150" i="8"/>
  <c r="C163" i="5" s="1"/>
  <c r="L150" i="8"/>
  <c r="D162" i="5" s="1"/>
  <c r="F79" i="8"/>
  <c r="F77" i="8"/>
  <c r="F143" i="8"/>
  <c r="F141" i="8"/>
  <c r="F139" i="8"/>
  <c r="L3" i="5"/>
  <c r="B26" i="5"/>
  <c r="I15" i="5" s="1"/>
  <c r="B5" i="5"/>
  <c r="I5" i="5" s="1"/>
  <c r="J83" i="5" l="1"/>
  <c r="M26" i="9"/>
  <c r="M21" i="9"/>
  <c r="M20" i="9"/>
  <c r="M19" i="9"/>
  <c r="M16" i="9"/>
  <c r="M10" i="9"/>
  <c r="M9" i="9"/>
  <c r="M8" i="9"/>
  <c r="M7" i="9"/>
  <c r="M6" i="9"/>
  <c r="L26" i="9"/>
  <c r="L21" i="9"/>
  <c r="L20" i="9"/>
  <c r="L19" i="9"/>
  <c r="L16" i="9"/>
  <c r="L10" i="9"/>
  <c r="L9" i="9"/>
  <c r="L8" i="9"/>
  <c r="L7" i="9"/>
  <c r="L6" i="9"/>
  <c r="M149" i="8"/>
  <c r="M135" i="8"/>
  <c r="M134" i="8"/>
  <c r="M133" i="8"/>
  <c r="M132" i="8"/>
  <c r="M131" i="8"/>
  <c r="M130" i="8"/>
  <c r="M129" i="8"/>
  <c r="M128" i="8"/>
  <c r="M127" i="8"/>
  <c r="M126" i="8"/>
  <c r="M123" i="8"/>
  <c r="M122" i="8"/>
  <c r="M114" i="8"/>
  <c r="M110" i="8"/>
  <c r="M109" i="8"/>
  <c r="M108" i="8"/>
  <c r="M103" i="8"/>
  <c r="M87" i="8"/>
  <c r="M86" i="8"/>
  <c r="M85" i="8"/>
  <c r="M84" i="8"/>
  <c r="M83" i="8"/>
  <c r="M82" i="8"/>
  <c r="M81" i="8"/>
  <c r="M76" i="8"/>
  <c r="M75" i="8"/>
  <c r="M74" i="8"/>
  <c r="M73" i="8"/>
  <c r="M72" i="8"/>
  <c r="M4" i="8"/>
  <c r="L149" i="8"/>
  <c r="L135" i="8"/>
  <c r="L134" i="8"/>
  <c r="L133" i="8"/>
  <c r="L132" i="8"/>
  <c r="L131" i="8"/>
  <c r="L130" i="8"/>
  <c r="L129" i="8"/>
  <c r="L128" i="8"/>
  <c r="L127" i="8"/>
  <c r="L126" i="8"/>
  <c r="L123" i="8"/>
  <c r="L122" i="8"/>
  <c r="L114" i="8"/>
  <c r="L110" i="8"/>
  <c r="L109" i="8"/>
  <c r="L108" i="8"/>
  <c r="L103" i="8"/>
  <c r="L87" i="8"/>
  <c r="L86" i="8"/>
  <c r="L85" i="8"/>
  <c r="L84" i="8"/>
  <c r="L83" i="8"/>
  <c r="L82" i="8"/>
  <c r="L81" i="8"/>
  <c r="L76" i="8"/>
  <c r="L75" i="8"/>
  <c r="L74" i="8"/>
  <c r="L73" i="8"/>
  <c r="L72" i="8"/>
  <c r="L4" i="8"/>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9" i="6"/>
  <c r="L10" i="6"/>
  <c r="L11" i="6"/>
  <c r="L12" i="6"/>
  <c r="L13" i="6"/>
  <c r="L14" i="6"/>
  <c r="L15" i="6"/>
  <c r="L16" i="6"/>
  <c r="L17" i="6"/>
  <c r="L18" i="6"/>
  <c r="L19" i="6"/>
  <c r="L20" i="6"/>
  <c r="L21" i="6"/>
  <c r="D27" i="5" s="1"/>
  <c r="L22" i="6"/>
  <c r="L23" i="6"/>
  <c r="L24" i="6"/>
  <c r="L25" i="6"/>
  <c r="L26" i="6"/>
  <c r="L27" i="6"/>
  <c r="L28" i="6"/>
  <c r="L29" i="6"/>
  <c r="L30" i="6"/>
  <c r="L31" i="6"/>
  <c r="L32" i="6"/>
  <c r="L33" i="6"/>
  <c r="L34" i="6"/>
  <c r="L35" i="6"/>
  <c r="L36" i="6"/>
  <c r="L37" i="6"/>
  <c r="L9" i="6"/>
  <c r="D6" i="5" s="1"/>
  <c r="J6" i="5" s="1"/>
  <c r="C21" i="5" l="1"/>
  <c r="D24" i="5"/>
  <c r="D8" i="5"/>
  <c r="J7" i="5" s="1"/>
  <c r="C19" i="5"/>
  <c r="D22" i="5"/>
  <c r="C7" i="5"/>
  <c r="C17" i="5"/>
  <c r="C15" i="5"/>
  <c r="D16" i="5"/>
  <c r="J11" i="5" s="1"/>
  <c r="C11" i="5"/>
  <c r="D14" i="5"/>
  <c r="J10" i="5" s="1"/>
  <c r="C25" i="5"/>
  <c r="C9" i="5"/>
  <c r="D10" i="5"/>
  <c r="J8" i="5" s="1"/>
  <c r="D20" i="5"/>
  <c r="D18" i="5"/>
  <c r="C13" i="5"/>
  <c r="D12" i="5"/>
  <c r="J9" i="5" s="1"/>
  <c r="C23" i="5"/>
  <c r="C56" i="5"/>
  <c r="D55" i="5"/>
  <c r="J27" i="5" s="1"/>
  <c r="C54" i="5"/>
  <c r="D53" i="5"/>
  <c r="J26" i="5" s="1"/>
  <c r="C52" i="5"/>
  <c r="D51" i="5"/>
  <c r="J25" i="5" s="1"/>
  <c r="C50" i="5"/>
  <c r="D49" i="5"/>
  <c r="C48" i="5"/>
  <c r="D47" i="5"/>
  <c r="C46" i="5"/>
  <c r="D45" i="5"/>
  <c r="C44" i="5"/>
  <c r="D43" i="5"/>
  <c r="C42" i="5"/>
  <c r="D41" i="5"/>
  <c r="J22" i="5" s="1"/>
  <c r="C40" i="5"/>
  <c r="D39" i="5"/>
  <c r="J21" i="5" s="1"/>
  <c r="C38" i="5"/>
  <c r="D37" i="5"/>
  <c r="J20" i="5" s="1"/>
  <c r="C36" i="5"/>
  <c r="D35" i="5"/>
  <c r="C34" i="5"/>
  <c r="D33" i="5"/>
  <c r="C32" i="5"/>
  <c r="D31" i="5"/>
  <c r="J18" i="5" s="1"/>
  <c r="C30" i="5"/>
  <c r="D29" i="5"/>
  <c r="J17" i="5" s="1"/>
  <c r="C28" i="5"/>
  <c r="J16" i="5"/>
  <c r="J13" i="5" l="1"/>
  <c r="J24" i="5"/>
  <c r="J12" i="5"/>
  <c r="J23" i="5"/>
  <c r="J19" i="5"/>
  <c r="I79" i="8"/>
  <c r="D94" i="5" s="1"/>
  <c r="J48" i="5" s="1"/>
  <c r="I77" i="8"/>
  <c r="D92" i="5" s="1"/>
  <c r="J47" i="5" s="1"/>
  <c r="F62" i="8"/>
  <c r="B63" i="5"/>
  <c r="I32" i="5" s="1"/>
  <c r="I115" i="8"/>
  <c r="N99" i="8"/>
  <c r="N100" i="8"/>
  <c r="F90" i="8"/>
  <c r="N138" i="8"/>
  <c r="N139" i="8"/>
  <c r="N140" i="8"/>
  <c r="N141" i="8"/>
  <c r="N142" i="8"/>
  <c r="N143" i="8"/>
  <c r="N144" i="8"/>
  <c r="N145" i="8"/>
  <c r="N146" i="8"/>
  <c r="N147" i="8"/>
  <c r="N137" i="8"/>
  <c r="N64" i="8"/>
  <c r="N65" i="8"/>
  <c r="N66" i="8"/>
  <c r="N67" i="8"/>
  <c r="N63" i="8"/>
  <c r="I62" i="8" l="1" a="1"/>
  <c r="I62" i="8" s="1"/>
  <c r="B186" i="5"/>
  <c r="B168" i="5"/>
  <c r="B111" i="5"/>
  <c r="I57" i="5" s="1"/>
  <c r="L54" i="5" s="1"/>
  <c r="I94" i="5" l="1"/>
  <c r="L91" i="5" s="1"/>
  <c r="I84" i="5"/>
  <c r="L81" i="5" s="1"/>
  <c r="L29" i="5"/>
  <c r="L15" i="5"/>
  <c r="L5" i="5"/>
  <c r="C198" i="5"/>
  <c r="D197" i="5"/>
  <c r="J100" i="5" s="1"/>
  <c r="I24" i="9"/>
  <c r="D195" i="5" s="1"/>
  <c r="I22" i="9"/>
  <c r="C192" i="5"/>
  <c r="D191" i="5"/>
  <c r="J97" i="5" s="1"/>
  <c r="C190" i="5"/>
  <c r="D189" i="5"/>
  <c r="J96" i="5" s="1"/>
  <c r="C188" i="5"/>
  <c r="D187" i="5"/>
  <c r="J95" i="5" s="1"/>
  <c r="C184" i="5"/>
  <c r="D183" i="5"/>
  <c r="J92" i="5" s="1"/>
  <c r="I13" i="9"/>
  <c r="D181" i="5" s="1"/>
  <c r="J91" i="5" s="1"/>
  <c r="I11" i="9"/>
  <c r="D179" i="5" s="1"/>
  <c r="J90" i="5" s="1"/>
  <c r="D177" i="5"/>
  <c r="J89" i="5" s="1"/>
  <c r="C176" i="5"/>
  <c r="D173" i="5"/>
  <c r="J87" i="5" s="1"/>
  <c r="C172" i="5"/>
  <c r="D169" i="5"/>
  <c r="J85" i="5" s="1"/>
  <c r="C161" i="5"/>
  <c r="D160" i="5"/>
  <c r="J82" i="5" s="1"/>
  <c r="D132" i="5"/>
  <c r="J68" i="5" s="1"/>
  <c r="C133" i="5"/>
  <c r="O137" i="8"/>
  <c r="F136" i="8"/>
  <c r="D154" i="5"/>
  <c r="C155" i="5"/>
  <c r="D156" i="5"/>
  <c r="J80" i="5" s="1"/>
  <c r="C157" i="5"/>
  <c r="D152" i="5"/>
  <c r="J78" i="5" s="1"/>
  <c r="C153" i="5"/>
  <c r="D150" i="5"/>
  <c r="J77" i="5" s="1"/>
  <c r="C151" i="5"/>
  <c r="D148" i="5"/>
  <c r="J76" i="5" s="1"/>
  <c r="C149" i="5"/>
  <c r="D146" i="5"/>
  <c r="J75" i="5" s="1"/>
  <c r="C147" i="5"/>
  <c r="D144" i="5"/>
  <c r="J74" i="5" s="1"/>
  <c r="C145" i="5"/>
  <c r="D142" i="5"/>
  <c r="J73" i="5" s="1"/>
  <c r="C143" i="5"/>
  <c r="D140" i="5"/>
  <c r="J72" i="5" s="1"/>
  <c r="C141" i="5"/>
  <c r="C139" i="5"/>
  <c r="D138" i="5"/>
  <c r="J71" i="5" s="1"/>
  <c r="J79" i="5" l="1"/>
  <c r="D193" i="5"/>
  <c r="D175" i="5"/>
  <c r="J88" i="5" s="1"/>
  <c r="C178" i="5"/>
  <c r="C174" i="5"/>
  <c r="D171" i="5"/>
  <c r="J86" i="5" s="1"/>
  <c r="C170" i="5"/>
  <c r="I137" i="8" a="1"/>
  <c r="I137" i="8" s="1"/>
  <c r="D158" i="5" s="1"/>
  <c r="J81" i="5" s="1"/>
  <c r="C135" i="5"/>
  <c r="D134" i="5"/>
  <c r="J69" i="5" s="1"/>
  <c r="I124" i="8"/>
  <c r="D136" i="5" s="1"/>
  <c r="I119" i="8"/>
  <c r="D130" i="5" s="1"/>
  <c r="D128" i="5"/>
  <c r="J66" i="5" s="1"/>
  <c r="I105" i="8"/>
  <c r="D116" i="5" s="1" a="1"/>
  <c r="D116" i="5" s="1"/>
  <c r="I111" i="8"/>
  <c r="D124" i="5" s="1"/>
  <c r="L92" i="5" l="1" a="1"/>
  <c r="L92" i="5" s="1"/>
  <c r="L82" i="5" a="1"/>
  <c r="L82" i="5" s="1"/>
  <c r="D126" i="5"/>
  <c r="J65" i="5" s="1"/>
  <c r="C127" i="5"/>
  <c r="N101" i="8"/>
  <c r="N92" i="8"/>
  <c r="N93" i="8"/>
  <c r="N94" i="8"/>
  <c r="N95" i="8"/>
  <c r="N96" i="8"/>
  <c r="N97" i="8"/>
  <c r="N98" i="8"/>
  <c r="N91" i="8"/>
  <c r="N7" i="8"/>
  <c r="D118" i="5"/>
  <c r="J61" i="5" s="1"/>
  <c r="C119" i="5"/>
  <c r="D120" i="5"/>
  <c r="J62" i="5" s="1"/>
  <c r="C121" i="5"/>
  <c r="D122" i="5"/>
  <c r="J63" i="5" s="1"/>
  <c r="C123" i="5"/>
  <c r="C115" i="5"/>
  <c r="D114" i="5"/>
  <c r="J59" i="5" s="1"/>
  <c r="D108" i="5"/>
  <c r="J55" i="5" s="1"/>
  <c r="C109" i="5"/>
  <c r="D104" i="5"/>
  <c r="J53" i="5" s="1"/>
  <c r="C105" i="5"/>
  <c r="D106" i="5"/>
  <c r="J54" i="5" s="1"/>
  <c r="C107" i="5"/>
  <c r="D98" i="5"/>
  <c r="J50" i="5" s="1"/>
  <c r="C99" i="5"/>
  <c r="D100" i="5"/>
  <c r="J51" i="5" s="1"/>
  <c r="C101" i="5"/>
  <c r="D102" i="5"/>
  <c r="J52" i="5" s="1"/>
  <c r="C103" i="5"/>
  <c r="D96" i="5"/>
  <c r="J49" i="5" s="1"/>
  <c r="C97" i="5"/>
  <c r="I91" i="8" l="1"/>
  <c r="D112" i="5" s="1"/>
  <c r="C95" i="5"/>
  <c r="C93" i="5"/>
  <c r="C91" i="5"/>
  <c r="D90" i="5"/>
  <c r="J46" i="5" s="1"/>
  <c r="C89" i="5"/>
  <c r="D88" i="5"/>
  <c r="J45" i="5" s="1"/>
  <c r="C87" i="5"/>
  <c r="D86" i="5"/>
  <c r="J44" i="5" s="1"/>
  <c r="C85" i="5"/>
  <c r="D84" i="5"/>
  <c r="J43" i="5" s="1"/>
  <c r="C83" i="5"/>
  <c r="D82" i="5"/>
  <c r="J42" i="5" s="1"/>
  <c r="N69" i="8"/>
  <c r="N56" i="8"/>
  <c r="N57" i="8"/>
  <c r="N58" i="8"/>
  <c r="N59" i="8"/>
  <c r="N60" i="8"/>
  <c r="N55" i="8"/>
  <c r="F54" i="8"/>
  <c r="F29" i="8"/>
  <c r="F11" i="8"/>
  <c r="F6" i="8"/>
  <c r="N46" i="8"/>
  <c r="N47" i="8"/>
  <c r="N48" i="8"/>
  <c r="N49" i="8"/>
  <c r="N50" i="8"/>
  <c r="N51" i="8"/>
  <c r="N52" i="8"/>
  <c r="N45" i="8"/>
  <c r="F44" i="8"/>
  <c r="F38" i="8"/>
  <c r="N42" i="8"/>
  <c r="N41" i="8"/>
  <c r="N40" i="8"/>
  <c r="N39" i="8"/>
  <c r="N36" i="8"/>
  <c r="N35" i="8"/>
  <c r="N34" i="8"/>
  <c r="N33" i="8"/>
  <c r="N32" i="8"/>
  <c r="N31" i="8"/>
  <c r="N30" i="8"/>
  <c r="J58" i="5" l="1"/>
  <c r="L55" i="5" s="1" a="1"/>
  <c r="L55" i="5" s="1"/>
  <c r="D80" i="5"/>
  <c r="J41" i="5" s="1"/>
  <c r="I54" i="8" a="1"/>
  <c r="I54" i="8" s="1"/>
  <c r="D78" i="5" s="1"/>
  <c r="J40" i="5" s="1"/>
  <c r="I38" i="8" a="1"/>
  <c r="I38" i="8" s="1"/>
  <c r="D74" i="5" s="1"/>
  <c r="J38" i="5" s="1"/>
  <c r="I44" i="8" a="1"/>
  <c r="I44" i="8" s="1"/>
  <c r="D76" i="5" s="1"/>
  <c r="J39" i="5" s="1"/>
  <c r="I29" i="8" a="1"/>
  <c r="I29" i="8" s="1"/>
  <c r="D72" i="5" s="1"/>
  <c r="J37" i="5" s="1"/>
  <c r="F23" i="8"/>
  <c r="I22" i="8" s="1" a="1"/>
  <c r="I22" i="8" s="1"/>
  <c r="N25" i="8"/>
  <c r="N26" i="8"/>
  <c r="N27" i="8"/>
  <c r="N24" i="8"/>
  <c r="N13" i="8"/>
  <c r="N14" i="8"/>
  <c r="N15" i="8"/>
  <c r="N16" i="8"/>
  <c r="N17" i="8"/>
  <c r="N18" i="8"/>
  <c r="N19" i="8"/>
  <c r="N20" i="8"/>
  <c r="N12" i="8"/>
  <c r="N8" i="8"/>
  <c r="I6" i="8" l="1" a="1"/>
  <c r="I6" i="8" s="1"/>
  <c r="D66" i="5" s="1"/>
  <c r="J34" i="5" s="1"/>
  <c r="D68" i="5"/>
  <c r="J35" i="5" s="1"/>
  <c r="I24" i="8" a="1"/>
  <c r="I24" i="8" s="1"/>
  <c r="D70" i="5" s="1"/>
  <c r="J36" i="5" s="1"/>
  <c r="C65" i="5"/>
  <c r="D64" i="5"/>
  <c r="J33" i="5" s="1"/>
  <c r="L30" i="5" l="1" a="1"/>
  <c r="L30" i="5" s="1"/>
  <c r="I14" i="4"/>
  <c r="N12" i="4"/>
  <c r="O10" i="4"/>
  <c r="N10" i="4"/>
  <c r="I16" i="4"/>
  <c r="I123" i="4"/>
  <c r="I112" i="4"/>
  <c r="I100" i="4"/>
  <c r="I87" i="4"/>
  <c r="I88" i="4"/>
  <c r="I80" i="4"/>
  <c r="I81" i="4"/>
  <c r="I69" i="4"/>
  <c r="I70" i="4"/>
  <c r="I43" i="4"/>
  <c r="I34" i="4"/>
  <c r="I32" i="4"/>
  <c r="I30" i="4"/>
  <c r="I28" i="4"/>
  <c r="I26" i="4"/>
  <c r="I24" i="4"/>
  <c r="I22" i="4"/>
  <c r="I18" i="4"/>
  <c r="I12" i="4"/>
  <c r="I10" i="4"/>
  <c r="L16" i="5" l="1" a="1"/>
  <c r="L16" i="5" s="1"/>
  <c r="L6" i="5" a="1"/>
  <c r="L6" i="5" s="1"/>
  <c r="A5" i="10" l="1" a="1"/>
  <c r="A5"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<sst xmlns="http://schemas.openxmlformats.org/spreadsheetml/2006/main" count="897" uniqueCount="543">
  <si>
    <t>1</t>
  </si>
  <si>
    <t>Il requisito dell’organizzazione dell’impresa</t>
  </si>
  <si>
    <t>1.1</t>
  </si>
  <si>
    <t>1.2</t>
  </si>
  <si>
    <t>1.3</t>
  </si>
  <si>
    <t>1.4</t>
  </si>
  <si>
    <t>1.5</t>
  </si>
  <si>
    <t>2</t>
  </si>
  <si>
    <t>Rilevazione della situazione contabile e dell’andamento corrente</t>
  </si>
  <si>
    <t>2.1</t>
  </si>
  <si>
    <t>2.2</t>
  </si>
  <si>
    <t>2.3</t>
  </si>
  <si>
    <t>2.4</t>
  </si>
  <si>
    <t>2.5</t>
  </si>
  <si>
    <t>2.6</t>
  </si>
  <si>
    <t>2.7</t>
  </si>
  <si>
    <t>2.8</t>
  </si>
  <si>
    <t>3</t>
  </si>
  <si>
    <t>3.3</t>
  </si>
  <si>
    <t>3.5</t>
  </si>
  <si>
    <t>3.7</t>
  </si>
  <si>
    <t>4</t>
  </si>
  <si>
    <t>4.1</t>
  </si>
  <si>
    <t>4.1.1</t>
  </si>
  <si>
    <t>4.1.2</t>
  </si>
  <si>
    <t>4.1.3</t>
  </si>
  <si>
    <t>4.1.4</t>
  </si>
  <si>
    <t>4.1.5</t>
  </si>
  <si>
    <t>4.1.6</t>
  </si>
  <si>
    <t>4.1.7</t>
  </si>
  <si>
    <t>4.1.8</t>
  </si>
  <si>
    <t>4.1.9</t>
  </si>
  <si>
    <t>4.1.10</t>
  </si>
  <si>
    <t>4.2</t>
  </si>
  <si>
    <t>4.3</t>
  </si>
  <si>
    <t>4.3.1</t>
  </si>
  <si>
    <t>4.3.2</t>
  </si>
  <si>
    <t>4.5</t>
  </si>
  <si>
    <t>4.6</t>
  </si>
  <si>
    <t>4.7</t>
  </si>
  <si>
    <t>4.8</t>
  </si>
  <si>
    <t>4.8.1</t>
  </si>
  <si>
    <t>4.8.2</t>
  </si>
  <si>
    <t>4.10</t>
  </si>
  <si>
    <t>4.11</t>
  </si>
  <si>
    <t>4.11.1</t>
  </si>
  <si>
    <t>4.11.2</t>
  </si>
  <si>
    <t>4.11.3</t>
  </si>
  <si>
    <t>4.11.4</t>
  </si>
  <si>
    <t>4.12</t>
  </si>
  <si>
    <t>5</t>
  </si>
  <si>
    <t>Il risanamento del debito</t>
  </si>
  <si>
    <t>5.1</t>
  </si>
  <si>
    <t>5.2</t>
  </si>
  <si>
    <t>5.3</t>
  </si>
  <si>
    <t>5.4</t>
  </si>
  <si>
    <t>5.5</t>
  </si>
  <si>
    <t>5.6</t>
  </si>
  <si>
    <t>6</t>
  </si>
  <si>
    <t>6.1</t>
  </si>
  <si>
    <t>6.2</t>
  </si>
  <si>
    <t>6.3</t>
  </si>
  <si>
    <t>6.4</t>
  </si>
  <si>
    <t>6.5</t>
  </si>
  <si>
    <t>Individuazione delle strategie di intervento atte a rimuovere le cause della crisi</t>
  </si>
  <si>
    <t>Le proiezioni dei flussi finanziari</t>
  </si>
  <si>
    <t>L’impresa ha predisposto un monitoraggio continuativo dell’andamento aziendale?</t>
  </si>
  <si>
    <t>L’impresa dispone di un piano di tesoreria a 6 mesi?</t>
  </si>
  <si>
    <t>Si è tenuto adeguatamente conto dei rischi di passività potenziali, anche derivanti dalle garanzie concesse?</t>
  </si>
  <si>
    <t/>
  </si>
  <si>
    <t xml:space="preserve">L’impresa dispone delle capacità e delle competenze manageriali per realizzare le iniziative industriali?                                             </t>
  </si>
  <si>
    <t>Le proiezioni dei ricavi sono coerenti con i dati storici e quelli correnti?</t>
  </si>
  <si>
    <t>L’impresa, alla luce del par. 4 della presente Sezione, è in grado in futuro di generare risorse al servizio deldebito ed il risultato delle proiezioni finanziarie di cui al punto 4.10 della presente Sezione tende ad esserepositivo?</t>
  </si>
  <si>
    <t>Le proposte consentono, in via prognostica, il rispetto del minimo legale del capitale sociale al momento dellaconclusione dell’accordo, fatte salve le disposizioni speciali?</t>
  </si>
  <si>
    <t>Il piano è redatto per le singole imprese?</t>
  </si>
  <si>
    <t>Il piano dà evidenza dei rapporti economici, finanziari e patrimoniali infragruppo?</t>
  </si>
  <si>
    <t>Le operazioni infragruppo previste nel piano possono arrecare un pregiudizio per i creditori di un’altra impresadel gruppo?</t>
  </si>
  <si>
    <t>Il piano tiene conto, anche attraverso prove di resistenza (stress test), dei fattori di rischio e di incertezza aiquali è maggiormente esposta l’impresa? È opportuno che tali prove siano coerenti con i rischi emersi ad esitodell’intervista delle diverse funzioni aziendali e comunque avendo riguardo alle prospettive di mercato</t>
  </si>
  <si>
    <t>La  generazione di  flussi   positivi  al servizio   del  debito  dipende    solo  dalle  iniziative    industriali?     In casoaffermativo, è opportuno che l’esito atteso delle iniziative industriali sia sottoposto a prove di resistenza (stresstest) specifiche</t>
  </si>
  <si>
    <t>È disponibile un prospetto recante l’anzianità dei crediti commerciali e le cause del ritardo di incasso tale daconsentire una valutazione oggettiva dei rischi di perdite sui crediti e una stima prudente dei tempi di incasso?</t>
  </si>
  <si>
    <t>È stata svolta una verifica di ragionevolezza della redditività prospettica quale risulta dai paragrafi precedenti?</t>
  </si>
  <si>
    <t xml:space="preserve">L’impresa dispone delle risorse chiave (umane e tecniche) per la conduzione dell’attività? </t>
  </si>
  <si>
    <t>Tenuto conto delle manifestazioni sub 3.1, quali ne sono le cause?</t>
  </si>
  <si>
    <t>stima dei ricavi (punto. 4.3 della presente Sezione)</t>
  </si>
  <si>
    <t>stima dei costi variabili correlati ai ricavi (punto. 4.4 della presente Sezione)</t>
  </si>
  <si>
    <t>stima dei costi fissi (punto 4.4 della presente Sezione)</t>
  </si>
  <si>
    <t>stima degli investimenti (punto 4.6 della presente Sezione)</t>
  </si>
  <si>
    <t>stima dell’effetto delle operazioni straordinarie, se previste (punto 4.9 della presente Sezione)</t>
  </si>
  <si>
    <t>stima del pagamento delle imposte sul reddito (punto 4.10 della presente Sezione)</t>
  </si>
  <si>
    <t>declinazione patrimoniale muovendo dalla situazione contabile di partenza (punto 4.12 della presente Sezione)</t>
  </si>
  <si>
    <t>4.9</t>
  </si>
  <si>
    <t>Nella stima del pagamento delle  imposte si è tenuto conto dell’effetto delle perdite fiscali a nuovo e delperiodo di imputazione fiscale dei costi e dei ricavi?</t>
  </si>
  <si>
    <t>Come l’imprenditore intende fronteggiare il debito che deve essere coperto nei diversi anni attraverso i flussi al servizio dello stesso?</t>
  </si>
  <si>
    <t>In caso di gruppi di imprese.</t>
  </si>
  <si>
    <t>Vi sono  altre imprese  del gruppo che presentano difficoltà economico-finanziarie o patrimoniali? Come siintende agire per affrontarle?</t>
  </si>
  <si>
    <t xml:space="preserve">Quali sono le altre imprese del gruppo la cui continuità  aziendale dipende da quella dell’impresa?  </t>
  </si>
  <si>
    <t>A quanto ammonta il debito che deve essere servito nei singoli anni del piano? Il debito da servire corrisponde a:- debito scaduto;- debito già riscadenziato o differito;- debito interessato da moratorie ex lege;- linee di credito bancarie utilizzate delle quali non ci si attende il rinnovo;-  rate di mutuo e finanziamenti in scadenza.</t>
  </si>
  <si>
    <t>Impatto nelle singole annualità del piano di risanamento delle proposte alle parti interessate quali (una possibile tipologia è riportata nell’Allegato 1): - nuovi riscadenziamenti o dilazione di una parte del debito pendente; - stralcio di parte del debito; - la sua conversione in equity o in strumenti finanziari partecipativi; - nuove linee di credito; - nuovi aumenti di capitale sociale a pagamento e nuovi finanziamenti anche postergati.</t>
  </si>
  <si>
    <t>SI</t>
  </si>
  <si>
    <t>NO</t>
  </si>
  <si>
    <t>Note</t>
  </si>
  <si>
    <t>L’impresa dispone delle competenze tecniche occorrenti per le iniziative industriali che l’imprenditore intende adottare?</t>
  </si>
  <si>
    <t>L’impresa è in grado di stimare l’andamento gestionale anche ricorrendo ad indicatori chiave gestionali (KPI) che consentano valutazioni rapide in continuo?</t>
  </si>
  <si>
    <t>Se presente, da compilare</t>
  </si>
  <si>
    <t xml:space="preserve">L’impresa dispone di una situazione contabile recante le rettifiche di competenza e gli assestamenti di chiusura, nel rispetto del principio contabile OIC 30, quanto più possibile aggiornata e comunque non anteriore di oltre 120 giorni?  </t>
  </si>
  <si>
    <t xml:space="preserve">La situazione debitoria è completa ed affidabile? Il valore contabile dei cespiti non è superiore al maggiore trail valore recuperabile e quelli di mercato?   </t>
  </si>
  <si>
    <t>È disponibile un prospetto recante le rimanenze di magazzino con i tempi di movimentazione che consenta di individuare le giacenze oggetto di lenta rotazione?</t>
  </si>
  <si>
    <t xml:space="preserve">I debiti risultanti dalla contabilità sono riconciliati con quanto risultante dal certificato unico dei debiti tributari,dalla situazione debitoria complessiva dell’Agente della Riscossione, dal certificato dei debiti contributivi e perpremi assicurativi e dall’estratto della Centrale Rischi?  </t>
  </si>
  <si>
    <t>L’organo di controllo ed il revisore legale, quando in carica, dispongono di informazioni in base alle quali la situazione contabile di cui al punto 2.1. risulti inaffidabile o inadeguata per la redazione di un piano affidabile?</t>
  </si>
  <si>
    <t>Perché l’imprenditore ha percepito uno stato di crisi o uno squilibrio patrimoniale o economico-finanziario che la rende probabile?</t>
  </si>
  <si>
    <t>Sono disponibili informazioni sull’andamento corrente in termini di ricavi, portafoglio ordini, costi e flussi finanziari? È disponibile un confronto con lo stesso periodo del precedente esercizio?</t>
  </si>
  <si>
    <t>3.1.1</t>
  </si>
  <si>
    <t>3.1.2</t>
  </si>
  <si>
    <t>Quali sono le manifestazioni esteriori di tale stato</t>
  </si>
  <si>
    <t>Scrivere risposta nella cella accanto</t>
  </si>
  <si>
    <t>3.2.1</t>
  </si>
  <si>
    <t>3.2.2</t>
  </si>
  <si>
    <t>Sono state individuate cause coerenti con le manifestazioni esteriori dello stato di crisi o dello squilibrio patrimoniale o economico-finanziario che la rende probabile?</t>
  </si>
  <si>
    <t>L’organo di controllo ed il revisore, quando in carica, ritengono che il quadro fornito dall’imprenditore sia completo e adeguato?</t>
  </si>
  <si>
    <t xml:space="preserve">Quali sono le strategie di intervento e quali le iniziative industriali che l’imprenditore intende adottare? </t>
  </si>
  <si>
    <t>3.4.1</t>
  </si>
  <si>
    <t>3.4.2</t>
  </si>
  <si>
    <t xml:space="preserve">Nel caso in cui l’imprenditore non sia in grado di individuarle, quali sono le strategie adottate dalle imprese concorrenti che hanno maggiore successo? </t>
  </si>
  <si>
    <t>3.4.3</t>
  </si>
  <si>
    <t>Nel caso in cui l’imprenditore non sia in grado di individuarle, le strategie adottate dalle imprese concorrenti che hanno maggiore successo sono replicabili dall’imprenditore?</t>
  </si>
  <si>
    <t>Quali sono i tempi e i relativi effetti in termini di ricavi, di costi e di investimenti delle iniziative da adottare?</t>
  </si>
  <si>
    <t>Quali sono le relative funzioni aziendali responsabili?</t>
  </si>
  <si>
    <t>3.6.1</t>
  </si>
  <si>
    <t>3.6.2</t>
  </si>
  <si>
    <t>3.8.1</t>
  </si>
  <si>
    <t>3.8.2</t>
  </si>
  <si>
    <t>3.8.3</t>
  </si>
  <si>
    <t xml:space="preserve">Quali sono le differenze? </t>
  </si>
  <si>
    <t xml:space="preserve">Il piano è coerente con i piani redatti in precedenza? </t>
  </si>
  <si>
    <t>Sono prospettabili iniziative alternative nel caso in cuI le iniziative dovessero dimostrarsi inefficaci e si manifestassero scostamenti tra gli obiettivi pianificati e quelli raggiunti?</t>
  </si>
  <si>
    <t>In precedenza sono stati predisposti ulteriori piani?</t>
  </si>
  <si>
    <t>3.8.4</t>
  </si>
  <si>
    <t>Nel caso ve ne siano, a cosa sono dovute?</t>
  </si>
  <si>
    <t>3.9.1</t>
  </si>
  <si>
    <t>Il piano appare credibile? Il piano è fondato su intenzioni strategiche chiare e razionali, condivisibili da parte diun lettore informato quale è l’esperto, coerenti con la situazione di fatto dell’impresa e del contesto in cuiopera?</t>
  </si>
  <si>
    <t>Le strategie di intervento e le iniziative industriali individuate dall’imprenditore appaiono appropriateper il superamento delle cause della crisi? E in caso  contrario quali sarebbero quelle da adottare?</t>
  </si>
  <si>
    <t>3.9.2</t>
  </si>
  <si>
    <t>La stima delle proiezioni dei flussi finanziari del piano è, salvo deroghe giustificate dalla tipologia dell’impresa o dall’attività svolta, l’esito di un percorso che si dipana in ordinate fasi successive così articolate:</t>
  </si>
  <si>
    <t>Inserire importo nella cella accanto</t>
  </si>
  <si>
    <t>stima degli effetti delle iniziative industriali che si intendono intraprendere in discontinuità rispetto al passato (punto 4.7 della presente Sezione)</t>
  </si>
  <si>
    <t>declinazione finanziaria delle grandezze economiche e determinazione dei flussi al servizio del debito (punto 4.11 della presente Sezione)</t>
  </si>
  <si>
    <t>Le  proiezioni fondate su previsioni coprono un  periodo massimo di 5 anni a meno che un arco temporalesuperiore sia giustificato?</t>
  </si>
  <si>
    <t>I dati economici prognostici sono coerenti (punto 4.8 della presente Sezione)?</t>
  </si>
  <si>
    <t>Le variazioni dei ricavi prospettici rispetto al dato corrente dell’esercizio in corso devono essere giustificate</t>
  </si>
  <si>
    <t>Le variazioni dei ricavi del piano sono state confrontate con le prospettive del settore?</t>
  </si>
  <si>
    <t>4.4.1</t>
  </si>
  <si>
    <t>4.4.2</t>
  </si>
  <si>
    <t>4.4.3</t>
  </si>
  <si>
    <t xml:space="preserve">La stima dei costi variabili e dei costi di struttura è coerente con la situazione in atto e con i dati storici? </t>
  </si>
  <si>
    <t xml:space="preserve">Quali sono i risparmi dei costi variabili e fissi e come l’imprenditore intende conseguirli? </t>
  </si>
  <si>
    <t>Quali sono i possibili rischi che derivano dai risparmi di costo e come intende mitigarli l’imprenditore?</t>
  </si>
  <si>
    <t>Il piano tiene conto in misura adeguata degli investimenti di mantenimento occorrenti?</t>
  </si>
  <si>
    <t>L’ammontare degli investimenti di mantenimento previsti nel piano è coerente con quello del passato?</t>
  </si>
  <si>
    <t>La  stima degli effetti dellE iniziative industrialI che l’imprenditore intende intraprendere (in  termini di investimenti, ricavi e costi) è coerente con le informazioni disponibili ed è ritenuta giustificata dalle diversefunzioni aziendali?</t>
  </si>
  <si>
    <t>La società svolge più attività?</t>
  </si>
  <si>
    <t>La redditività ed i principali indicatori chiave gestionali (KPI) prospettici, prima dell’effetto delle iniziative di cui al punto 4.7 della presente Sezione, sono coerenti con l’andamento storico?</t>
  </si>
  <si>
    <t>E' giustificata ogni differenza tra l’incidenza del margine operativo lordo sui ricavi, anche a seguito delle iniziative di cui al punto 4.7 della presente Sezione, ed i benchmark di mercatodisponibili?</t>
  </si>
  <si>
    <t>Se è stata prevista la dismissione di cespiti d'investimento, si è tenuto conto delle effettive prospettive di realizzo in termini di ammontare (al netto  dei  costi  di dismissione) e tempi?</t>
  </si>
  <si>
    <t>La determinazione dei flussi finanziari al servizio del debito deve essere effettuata muovendo dai dati economici. Essa può avere luogo:</t>
  </si>
  <si>
    <t>Attraverso il ciclo di conversione in flussi di cassa che tiene conto dei tempi di incasso dei ricavi, di pagamento dei costi e di rigiro del magazzino. I tempi sono coerenti con la serie storica dell’impresa?</t>
  </si>
  <si>
    <t>Sono stati dedotti dai flussi così determinati gli investimenti previsti (sia quelli di mantenimento che quellirelativi alle iniziative industriali) e il pagamento delle imposte?</t>
  </si>
  <si>
    <t>Sono state portate in conto l’effetto delle dismissioni di cespiti d’investimento e di altre operazioni straordinarie previste?</t>
  </si>
  <si>
    <t>È opportuno che, muovendo dalle stime economiche e finanziarie, vengano determinate anche le grandezze patrimoniali. Su di esse si innesteranno le proposte alle parti interessate di cui al successivo                              punto 5.5 dellapresente Sezione e viene calcolata la stima dell’andamento del patrimonio netto l termine dei singoli anni delpiano</t>
  </si>
  <si>
    <t>L'impresa è considerata tra le micro e piccole imprese?</t>
  </si>
  <si>
    <t>Frase SI</t>
  </si>
  <si>
    <t>Frase No</t>
  </si>
  <si>
    <t>Frase scelta</t>
  </si>
  <si>
    <t>Suggerimento</t>
  </si>
  <si>
    <t>L’impresa non dispone delle risorse chiave (umane e tecniche) per la conduzione dell’attività. Per questo motivo intende sviluppare le seguenti azioni:</t>
  </si>
  <si>
    <t>L’impresa dispone delle risorse chiave (umane e tecniche) per la conduzione dell’attività.</t>
  </si>
  <si>
    <t>Per quanto concerne le competenze tecniche la dotazione può considerarsi adeguata rispetto alle iniziative che l'impresa intende adottare.</t>
  </si>
  <si>
    <t>Considerate le iniziative che l'impresa intende adottare le competenze tecniche risultano inadeguate. Pertanto, verranno adottate le iniziative di seguito descritte.</t>
  </si>
  <si>
    <t>L’impresa ha predisposto un monitoraggio continuativo dell’andamento aziendale.</t>
  </si>
  <si>
    <t>Ha tuttavia attivato il confronto con i dati di andamento del precedente esercizio, in termini di ricavi, portafogli ordini, costi e posizione finanziaria netta</t>
  </si>
  <si>
    <t>L’impresa come pensa di procurarsi tali risorse?</t>
  </si>
  <si>
    <t>L’impresa è in grado di predisporre un prospetto delle stime delle entrate e delle uscite finanziare almeno a 13 settimane, il cui scostamento con l’andamento corrente dovrà essere valutato a consuntivo?</t>
  </si>
  <si>
    <t>L'impresa intende quanto meno appostare con prudenza adeguati fondi rischi e fondi per l’adeguamento delle attività e delle passività?</t>
  </si>
  <si>
    <t>Frase VERO</t>
  </si>
  <si>
    <t>Frase FALSO</t>
  </si>
  <si>
    <t>Frase suggerimento per commenti in caso di risposta negativa</t>
  </si>
  <si>
    <t>Indicare le iniziative industriali per le quali l'impresa sia realisticamente in grado di disporre, eventualmente acquisendole sul mercato, delle competenze tecniche occorrenti:</t>
  </si>
  <si>
    <t>Indicare cosa intende fare per controllare la gestione</t>
  </si>
  <si>
    <t>L’impresa dispone di un piano di tesoreria a 12 mesi?</t>
  </si>
  <si>
    <t>La situazione debitoria è completa ed affidabile?</t>
  </si>
  <si>
    <t xml:space="preserve"> Il valore contabile dei cespiti è adeguato e non è inferiore al maggiore tra il valore recuperabile e quelli di mercato?   </t>
  </si>
  <si>
    <t>Quali sono le giacenze di magazzino a lenta rotazione?</t>
  </si>
  <si>
    <t>Esiste l'organo di controllo o il revisore legale?</t>
  </si>
  <si>
    <t>Frase suggerimento per commenti in caso di risposta positiva</t>
  </si>
  <si>
    <t>L’impresa non dispone delle risorse chiave (umane e tecniche) per la conduzione dell’attività.</t>
  </si>
  <si>
    <t>Aggiungere eventuali commenti</t>
  </si>
  <si>
    <t>Da un punto di vista tecnico/economico, l’impresa dispone delle competenze necessarie per le iniziative industriali che l’imprenditore intende adottare.</t>
  </si>
  <si>
    <t>Da un punto di vista tecnico/economico, l’impresa  non dispone delle competenze necessarie per le iniziative industriali che l’imprenditore intende adottare.</t>
  </si>
  <si>
    <t>Il sistema informativo aziendale prevede un adeguato sistema di monitoraggio continuo dell'andamento aziendale.</t>
  </si>
  <si>
    <t>Il monitoraggio dell'andamento aziendale appare inadeguato.</t>
  </si>
  <si>
    <t>Indicare quale controllo viene fatto e come si intende intervenire per migliorare il sistema di controllo.</t>
  </si>
  <si>
    <t>Descrivere facendo riferimento ai metodi utilizzati (BSC, BMC, KPI, ecc)</t>
  </si>
  <si>
    <t>Spiegare le motivazioni per le quali non è stato redatto un piano di tesoreria e come si intende rimuovere gli ostacoli.</t>
  </si>
  <si>
    <t>Spiegare le motivazioni per le quali non è stato redatto il prospetto e come si intende rimuovere gli ostacoli.</t>
  </si>
  <si>
    <t>La situazione è da considerarsi affidabile per quanto concerne la corretta rappresentazione della situazione debitoria dell'impresa.</t>
  </si>
  <si>
    <t>La situazione non è da considerarsi affidabile per quanto concerne la corretta rappresentazione della situazione debitoria dell'impresa.</t>
  </si>
  <si>
    <t>Non sono presenti minusvalenze latenti o potenziali insite nella valutazione dei cespiti.</t>
  </si>
  <si>
    <t>Il maggior contabile dei cespiti è superiore al valore di realizzo e a quello di mercato.</t>
  </si>
  <si>
    <t>L’impresa è in grado di individuare gli indicatori di produttività coerenti con il proprio modello di business ed il proprio settore di attività, e di raccogliere ulteriori informazioni per la valutazione dell’andamento tendenziale?</t>
  </si>
  <si>
    <t xml:space="preserve">I crediti commerciali sono suddivisibili in relazione alla loro anzianità? </t>
  </si>
  <si>
    <t>Per gli scaduti che superano la fisiologia (tempi ordinari di pagamento, pur oltre la scadenza contrattuale, che caratterizzano il settore), la stima del momento dell’incasso è particolarmente prudente?</t>
  </si>
  <si>
    <t xml:space="preserve">È disponibile un prospetto recante l’anzianità dei crediti commerciali? </t>
  </si>
  <si>
    <t>Per gli scaduti che superano la fisiologia (tempi ordinari di pagamento, pur oltre la scadenza contrattuale, che caratterizzano il settore), la stima del momento dell’incasso è particolarmente prudente.</t>
  </si>
  <si>
    <t>È disponibile un prospetto recante le rimanenze di magazzino con i tempi di movimentazione che consenta di individuare le giacenze oggetto di lenta rotazione.</t>
  </si>
  <si>
    <t>Il prospetto comprende le cause del ritardo di incasso tale da consentire una valutazione oggettiva dei rischi di perdite sui crediti e una stima prudente dei tempi di incasso?</t>
  </si>
  <si>
    <t>La funzione amministrativa dispone di un prospetto recante l’anzianità dei crediti commerciali e</t>
  </si>
  <si>
    <t>le cause del ritardo di incasso tale da consentire una valutazione oggettiva dei rischi di perdite sui crediti e una stima prudente dei tempi di incasso.</t>
  </si>
  <si>
    <t xml:space="preserve">Non esiste in azienda un prospetto recante l’anzianità dei crediti commerciali </t>
  </si>
  <si>
    <t>, non sono state analizzate le cause del ritardo di incasso tale da consentire una valutazione oggettiva dei rischi di perdite sui crediti e una stima prudente dei tempi di incasso.</t>
  </si>
  <si>
    <t>Indicare le cause che impediscono un'affidabilità della situazione debitoria.</t>
  </si>
  <si>
    <t>Indicare eventuali interventi in termini di credit management</t>
  </si>
  <si>
    <t>Per gli scaduti che superano la fisiologia (tempi ordinari di pagamento, pur oltre la scadenza contrattuale, che caratterizzano il settore), la stima del momento dell’incasso non è da considerarsi sufficientemente prudente.</t>
  </si>
  <si>
    <t>Quali elementi non sono valutati con la dovuta prudenza?</t>
  </si>
  <si>
    <t>Non è stato redatto alcun prospetto recante le rimanenze di magazzino con i tempi di movimentazione che consenta di individuare le giacenze oggetto di lenta rotazione.</t>
  </si>
  <si>
    <t>Indicare le cause e gli interventi in merito</t>
  </si>
  <si>
    <t>Viene esaminata periodicamente la Centrale Rischi di Banca d'Italia?</t>
  </si>
  <si>
    <t>È disponibile un prospetto di riconciliazione tra la contabilità e quanto risultante dal certificato unico dei debiti tributari,dalla situazione debitoria complessiva dell’Agente della Riscossione?</t>
  </si>
  <si>
    <t>È disponibile un prospetto di riconciliazione tra la contabilità e quanto risultante dal certificato per debiti contributivi e assicurativi?</t>
  </si>
  <si>
    <t>È disponibile un prospetto di riconciliazione tra la contabilità e quanto risultante dalla Centrale Rischi?</t>
  </si>
  <si>
    <t xml:space="preserve">Si è tenuto adeguatamente conto dei rischi di passività potenziali? </t>
  </si>
  <si>
    <t>Individuazione delle strategie di intervento atte a prevenire e rimuovere le cause della crisi</t>
  </si>
  <si>
    <t>Indicare le differenze significative.</t>
  </si>
  <si>
    <t>La Centrale rischi di Banca D'Italia viene esaminata periodicamente e</t>
  </si>
  <si>
    <t>La Centrale rischi di Banca D'Italia non viene esaminata periodicamente e</t>
  </si>
  <si>
    <t>Il sistema di controllo dei rischi tiene conto anche delle passività potenziali.</t>
  </si>
  <si>
    <t>L’azienda non ha tenuto conto delle passività potenziali.</t>
  </si>
  <si>
    <t>Di che entità sono eventuali passività potenziali?</t>
  </si>
  <si>
    <t>Non esistono rischi derivanti dalle garanzie concesse?</t>
  </si>
  <si>
    <t>Per quanto concerne le garanzie concesse a terzi non si evidenziano rischi meritevoli di menzione.</t>
  </si>
  <si>
    <t>Esistono rilevanti rischi per garanzie concesse a terzi.</t>
  </si>
  <si>
    <t>Descrivere e precisare se ne è stato tenuto conto a livello di fondi rischi.</t>
  </si>
  <si>
    <t>Non è stato nominato l'organo di controllo o il revisore legale.</t>
  </si>
  <si>
    <t>L'organo di controllo o il revisore legale è composto da</t>
  </si>
  <si>
    <t>Indicare i nominativi e eventuali</t>
  </si>
  <si>
    <t>Chiarire le ragioni.</t>
  </si>
  <si>
    <t>L’imprenditore non percepisce uno stato di crisi o uno squilibrio patrimoniale o economico-finanziario che la rende probabile?</t>
  </si>
  <si>
    <t xml:space="preserve">Aggiungere eventuali commenti </t>
  </si>
  <si>
    <t>Frase Completa</t>
  </si>
  <si>
    <t>EBITDA</t>
  </si>
  <si>
    <t>Si sono verificati i seguenti eventi.</t>
  </si>
  <si>
    <t>Da un punto di vista commerciale</t>
  </si>
  <si>
    <t xml:space="preserve">L'impresa ha individuato le strategie di intervento e le iniziative industriali che intende adottare? </t>
  </si>
  <si>
    <t>Le strategie di successo adottate dalla concorrenza sono adottabili dall'impresa?</t>
  </si>
  <si>
    <t xml:space="preserve">Le strategie di intervento e le iniziative industriali individuate dall’imprenditore appaiono appropriate per il superamento delle cause della crisi? </t>
  </si>
  <si>
    <t>Metodologia di stima dei costi variabili correlati ai ricavi e dei costi fissi.</t>
  </si>
  <si>
    <t>Le variazioni dei ricavi prospettici rispetto al dato corrente dell’esercizio in corso sono state giustificate in maniera adeguata?</t>
  </si>
  <si>
    <t>Nella stima del pagamento delle  imposte si è tenuto conto dell’effetto delle perdite fiscali a nuovo e del periodo di imputazione fiscale dei costi e dei ricavi?</t>
  </si>
  <si>
    <t xml:space="preserve">A quanto ammonta il debito che deve essere servito nei singoli anni del piano? </t>
  </si>
  <si>
    <t>economico</t>
  </si>
  <si>
    <t>patrimoniale</t>
  </si>
  <si>
    <t>finanziario</t>
  </si>
  <si>
    <t xml:space="preserve">Sono peggiorati rispetto all'anno precedente i seguenti indicatori: </t>
  </si>
  <si>
    <t xml:space="preserve">lo squilibrio percepito è di carattere: </t>
  </si>
  <si>
    <t>mancati rilevanti pagamenti a fornitori</t>
  </si>
  <si>
    <t>significativa rinegoziazione delle condizioni di pagamento</t>
  </si>
  <si>
    <t>pagamento di penali rilevanti per mancate consegne</t>
  </si>
  <si>
    <t>svendite rilevanti di materiale</t>
  </si>
  <si>
    <t>Indicare eventuali altri eventi</t>
  </si>
  <si>
    <t>segnalazioni inframensili negative</t>
  </si>
  <si>
    <t>sofferenze</t>
  </si>
  <si>
    <t>sconfini rilevanti entro i 90 giorni</t>
  </si>
  <si>
    <t>sconfini oltre i 90 giorni</t>
  </si>
  <si>
    <t>escussione di garanzie di terzi</t>
  </si>
  <si>
    <t>escussione di nostre garanzie a terzi</t>
  </si>
  <si>
    <t>aumento anomalo dei crediti impagati</t>
  </si>
  <si>
    <t xml:space="preserve">Da un punto di vista gestionale si segnala </t>
  </si>
  <si>
    <t>la perdita di membri della direzione con responsabilità strategiche senza una loro sostituzione</t>
  </si>
  <si>
    <t>la perdita di clienti o commesse importanti</t>
  </si>
  <si>
    <t>altro (specificare)</t>
  </si>
  <si>
    <t>Indicare eventuali altri fatti gestionali meritevoli di attenzione</t>
  </si>
  <si>
    <t>Indicare altri eventi derivanti dalla crisi</t>
  </si>
  <si>
    <t>fornitori di beni e servizi indispensabili</t>
  </si>
  <si>
    <t>imposte dirette ires - irap (saldi e acconti)</t>
  </si>
  <si>
    <t>erario per ritenute fiscali</t>
  </si>
  <si>
    <t>ritenute previdenziali</t>
  </si>
  <si>
    <t>iva</t>
  </si>
  <si>
    <t>altre imposte</t>
  </si>
  <si>
    <t>dipendenti</t>
  </si>
  <si>
    <t xml:space="preserve">Sul lato delle iniziative dei creditori si segnalano </t>
  </si>
  <si>
    <t>decreti ingiuntivi ricevuti ed atti di ricognitivi di avvio di azioni per il recupero dei crediti</t>
  </si>
  <si>
    <t>protesto di assegni e cambiali</t>
  </si>
  <si>
    <t>istanze di fallimento avanzate da creditori aziendali</t>
  </si>
  <si>
    <t>default/fallimento dei garanti e default/fallimento dei garantiti (rischio infragruppo)</t>
  </si>
  <si>
    <t>intenzione della direzione di liquidare l’impresa o di cessare le attività</t>
  </si>
  <si>
    <t>Ulteriori commenti</t>
  </si>
  <si>
    <t>fornitori di beni e servizi non indispensabili</t>
  </si>
  <si>
    <t>Indicare altre eventi iniziative</t>
  </si>
  <si>
    <t>Nei rapporti con le banche</t>
  </si>
  <si>
    <t>controversie rilevanti con il personale</t>
  </si>
  <si>
    <t>comparsa di concorrenti ostili e/o nuovi entranti che rischiano di ridurre ulteriormente le quote di mercato</t>
  </si>
  <si>
    <t>iscrizioni di ipoteche giudiziarie, pegni e forme tecniche di prelazione su beni aziendali</t>
  </si>
  <si>
    <t xml:space="preserve">La situazione di difficoltà descritta ha causato un debito da ristrutturare (per mancati pagamenti e/o richieste di rientro) per </t>
  </si>
  <si>
    <t>riduzione degli investimenti e aggiornamento tecnologico</t>
  </si>
  <si>
    <t>riduzione della competività sul mercato</t>
  </si>
  <si>
    <t>Ulteriori cause</t>
  </si>
  <si>
    <t>Indicare le ragioni</t>
  </si>
  <si>
    <t>Quali strategie e quali iniziative?</t>
  </si>
  <si>
    <t>Il piano è coerente con i piani redatti in precedenza</t>
  </si>
  <si>
    <t>Esistono strategie di successo adottate dalla concorrenza?</t>
  </si>
  <si>
    <t>Quali strategie?</t>
  </si>
  <si>
    <t>Indicare le motivazioni</t>
  </si>
  <si>
    <t>Vi sono differenze significative con i piani precedenti?</t>
  </si>
  <si>
    <t>Quali capacità e competenze?</t>
  </si>
  <si>
    <t>Sono prospettabili iniziative alternative nel caso in cui le iniziative dovessero dimostrarsi inefficaci e si manifestassero scostamenti tra gli obiettivi pianificati e quelli raggiunti?</t>
  </si>
  <si>
    <t>Quali iniziative alternative?</t>
  </si>
  <si>
    <t>Il piano non è coerente con i piani redatti in precedenza</t>
  </si>
  <si>
    <t>Tali differenze a cosa sono dovute?</t>
  </si>
  <si>
    <t>Il piano appare credibile?</t>
  </si>
  <si>
    <t>Il piano è fondato su intenzioni strategiche chiare e razionali, condivisibili da parte di un lettore informato quale è l’esperto, coerenti con la situazione di fatto dell’impresa e del contesto in cui opera?</t>
  </si>
  <si>
    <t>3.9.3</t>
  </si>
  <si>
    <t>Le proiezioni fondate su previsioni coprono un periodo massimo di 5 anni a meno che un arco temporale superiore sia giustificato?</t>
  </si>
  <si>
    <t>Indicare le ragioni dell'arco temporale superiore</t>
  </si>
  <si>
    <t>Giustificarle</t>
  </si>
  <si>
    <t>Indicare la stima dei ricavi</t>
  </si>
  <si>
    <t xml:space="preserve">Quali sono i risparmi dei costi variabili e fissi? </t>
  </si>
  <si>
    <t>Quali sono i possibili rischi che derivano dai risparmi di costo?</t>
  </si>
  <si>
    <t>Indicare la metodologia di stima dei costi variabili e dei costi fissi</t>
  </si>
  <si>
    <t>Indicare la metodologia di stima degli investimenti</t>
  </si>
  <si>
    <t>Indicare la metodologia di stima degli effetti delle iniziative industriali che si intendono intraprendere in discontinuità rispetto al passato</t>
  </si>
  <si>
    <t>Quale verifica?</t>
  </si>
  <si>
    <t>La stima degli effetti delle iniziative industriali che l’imprenditore intende intraprendere (in termini di investimenti, ricavi e costi) è coerente con le informazioni disponibili ed è ritenuta giustificata dalle diverse funzioni aziendali?</t>
  </si>
  <si>
    <t>È giustificata ogni differenza tra l’incidenza del margine operativo lordo sui ricavi, anche a seguito delle iniziative di cui al punto 4.7 della presente Sezione, ed i benchmark di mercato disponibili?</t>
  </si>
  <si>
    <t>Qual'è l'effetto delle operazioni straordinarie</t>
  </si>
  <si>
    <t>È stata prevista la dismissione di cespiti d'investimento?</t>
  </si>
  <si>
    <t>Indicare se si è tenuto conto delle effettive prospettive di realizzo in termini di ammonrtare (al netto dei costi di dismissione) e tempi e indicare se le relative stime sono adeguatamente suffragate</t>
  </si>
  <si>
    <t>È stato stimato il pagamento delle imposte sul reddito</t>
  </si>
  <si>
    <t>I tempi sono coerenti con la serie storica dell’impresa?</t>
  </si>
  <si>
    <t>Attraverso il ciclo di conversione in flussi di cassa che tiene conto dei tempi di incasso dei ricavi, di pagamento dei costi e di rigiro del magazzino</t>
  </si>
  <si>
    <t>L'impresa ha verificato che l’ammontare degli investimenti di mantenimento sia adeguatamente espresso dagli
ammortamenti (portando una rettifica in caso contrario)?</t>
  </si>
  <si>
    <t>L'impresa considera l’effetto delle iniziative industriali previste?</t>
  </si>
  <si>
    <t>L'impresa tiene conto della dismissione di cespiti e delle operazioni straordinarie programmate?</t>
  </si>
  <si>
    <t>L’impresa, alla luce del par. 4 della presente Sezione, è in grado in futuro di generare risorse al servizio del debito?</t>
  </si>
  <si>
    <t>Il risultato delle proiezioni finanziarie di cui al punto 4.10 della presente Sezione tende ad essere positivo?</t>
  </si>
  <si>
    <t>Tali prove sono coerenti con i rischi emersi ad esito dell’intervista delle diverse funzioni aziendali avendo comunque riguardo alle prospettive di mercato?</t>
  </si>
  <si>
    <t>Il piano tiene conto, anche attraverso prove di resistenza (stress test), dei fattori di rischio e di incertezza ai quali è maggiormente esposta l’impresa?</t>
  </si>
  <si>
    <t>La generazione di flussi positivi al servizio del debito dipende solo dalle iniziative industriali?</t>
  </si>
  <si>
    <t>Le proposte consentono, in via prognostica, il rispetto del minimo legale del capitale sociale al momento della conclusione dell’accordo, fatte salve le disposizioni speciali?</t>
  </si>
  <si>
    <t>Vi sono altre imprese del gruppo che presentano difficoltà economico-finanziarie o patrimoniali? Come siintende agire per affrontarle?</t>
  </si>
  <si>
    <t>Vi sono altre imprese del gruppo che presentano difficoltà economico-finanziarie o patrimoniali?</t>
  </si>
  <si>
    <t>Non vi sono altre imprese del gruppo che presentano difficoltà economico-finanziarie o patrimoniali?</t>
  </si>
  <si>
    <t>Come si intende agire per affrontarle?</t>
  </si>
  <si>
    <t>indicare come l'imprenditore intende affrontarle</t>
  </si>
  <si>
    <t>indicare quali sono le altre imprese del gruppo la cui continuità aziendale dipende da quella dell'impresa</t>
  </si>
  <si>
    <t>Le operazioni infragruppo previste nel piano possono arrecare un pregiudizio per i creditori di un’altra impresa del gruppo?</t>
  </si>
  <si>
    <t>SEZIONE 1-2</t>
  </si>
  <si>
    <t>SEZIONE 3-4</t>
  </si>
  <si>
    <t>riduzione della redditività</t>
  </si>
  <si>
    <t>riduzione dei flussi di cassa</t>
  </si>
  <si>
    <t>SEZIONE 5-6</t>
  </si>
  <si>
    <t>RELAZIONE FINALE</t>
  </si>
  <si>
    <t>Ulteriori Commenti</t>
  </si>
  <si>
    <t>Indicare le differenze significative</t>
  </si>
  <si>
    <t>I ricavi sono costantemente monitorati.</t>
  </si>
  <si>
    <t>Gli ordini sono costantemente monitorati.</t>
  </si>
  <si>
    <t>La posizione finanziaria netta è costantemente monitorata.</t>
  </si>
  <si>
    <t>I ricavi non sono controllati in maniera adeguata.</t>
  </si>
  <si>
    <t>Gli ordini non sono controllati in maniera adeguata.</t>
  </si>
  <si>
    <t>La posizione finanziaria netta non è costantemente monitorata.</t>
  </si>
  <si>
    <t>I crediti sono suddivisibili in base alla loro anzianità.</t>
  </si>
  <si>
    <t>Non vi sono informazioni sufficienti per suddividere i crediti in base all'anzianità.</t>
  </si>
  <si>
    <t>È in grado di predisporre un prospetto delle stime delle entrate e delle uscite finanziare almeno a 13 settimane, il cui scostamento con l’andamento corrente dovrà essere valutato a consuntivo.</t>
  </si>
  <si>
    <t>Non è in grado di predisporre un prospetto delle stime delle entrate e delle uscite finanziare almeno a 13 settimane, il cui scostamento con l’andamento corrente dovrà essere valutato a consuntivo.</t>
  </si>
  <si>
    <t>L'impresa dispone di un prospetto di riconciliazione tra la contabilità e quanto risultante dal certificato unico dei debiti tributari, dalla situazione debitoria complessiva dell’Agente della Riscossione.</t>
  </si>
  <si>
    <t>L'impresa non ha redatto un prospetto di riconciliazione tra la contabilità e quanto risultante dal certificato unico dei debiti tributari, dalla situazione debitoria complessiva dell’Agente della Riscossione.</t>
  </si>
  <si>
    <t>Ha redatto un prospetto di riconciliazione tra la contabilità e quanto risultante dal certificato unico dei debiti contributivi e assicurativi</t>
  </si>
  <si>
    <t>Non ha compilato un prospetto di riconciliazione tra la contabilità e quanto risultante dal certificato unico dei debiti contributivi e assicurativi</t>
  </si>
  <si>
    <t>Indicare se e quando intende adottare i KPI, quale metodologia intende adottare (BSC, BMC, KPI, ecc) e  quali controlli avvengono per misurare la produttività aziendale.</t>
  </si>
  <si>
    <t>L'impresa ha altresì introdotto un sistema di KPI che consentono valutazioni rapide e continue,</t>
  </si>
  <si>
    <t>L'impresa non fa ancora ricorso a KPI che consentono valutazioni rapide e continue,</t>
  </si>
  <si>
    <t>è in grado di individuare gli indicatori di produttività coerenti con il proprio modello di business ed il proprio settore di attività, e di raccogliere ulteriori informazioni per la valutazione dell’andamento tendenziale.</t>
  </si>
  <si>
    <t>non è in grado di individuare gli indicatori di produttività coerenti con il proprio modello di business ed il proprio settore di attività, e di raccogliere ulteriori informazioni per la valutazione dell’andamento tendenziale.</t>
  </si>
  <si>
    <t>L'impresa non dispone di un piano di tesoreria a 12 mesi.</t>
  </si>
  <si>
    <t xml:space="preserve">L'impresa dispone di un piano di tesoreria a 12 mesi, </t>
  </si>
  <si>
    <t>riconciliata con la contabilità.</t>
  </si>
  <si>
    <t>non riconciliata con la contabilità.</t>
  </si>
  <si>
    <t>L’assetto contabile, amministrativo e contabile non ha rilevato elementi tali da far percepire uno stato di crisi o di squilibrio patrimoniale e/o economico finanziario.</t>
  </si>
  <si>
    <t>Esistono alcune evidenze tali da far presagire uno stato di crisi e o uno squilibrio economico patrimoniale.</t>
  </si>
  <si>
    <t>fatturato</t>
  </si>
  <si>
    <t>margine di contribuzione</t>
  </si>
  <si>
    <t>margine di contribuzione %</t>
  </si>
  <si>
    <t>risultato ante imposte</t>
  </si>
  <si>
    <t>grado di indipendenza finanziaria (PN/Totale Attivo)</t>
  </si>
  <si>
    <t>incidenza delle passività a breve</t>
  </si>
  <si>
    <t>capitale circolante netto</t>
  </si>
  <si>
    <t>posizione finanziaria netta</t>
  </si>
  <si>
    <t>copertura delle immobilizzazioni</t>
  </si>
  <si>
    <t>L’organo di controllo ed il revisore, quando in carica, ritengono che il quadro fornito dall’imprenditore sia completo e adeguato.</t>
  </si>
  <si>
    <t>L’organo di controllo ed il revisore, quando in carica, non ritengono che il quadro fornito dall’imprenditore sia completo e adeguato.</t>
  </si>
  <si>
    <t>L'impresa ha individuato le strategie di intervento e le iniziative industriali che intende adottare.</t>
  </si>
  <si>
    <t>Esistono strategie di successo adottate dalla concorrenza.</t>
  </si>
  <si>
    <t>Non esistono strategie di successo adottate dalla concorrenza.</t>
  </si>
  <si>
    <t>Tali strategie sono adottabili dall'impresa.</t>
  </si>
  <si>
    <t>Tali strategie non sono adottabili dall'impresa.</t>
  </si>
  <si>
    <t>L’impresa dispone delle capacità e delle competenze manageriali per realizzare le iniziative industriali.</t>
  </si>
  <si>
    <t>L’impresa non dispone delle capacità e delle competenze manageriali per realizzare le iniziative industriali.</t>
  </si>
  <si>
    <t>In precedenza sono stati predisposti ulteriori piani.</t>
  </si>
  <si>
    <t>Il piano appare credibile.</t>
  </si>
  <si>
    <t>Il piano non appare credibile.</t>
  </si>
  <si>
    <t>È fondato su intenzioni strategiche chiare e razionali, condivisibili da parte di un lettore informato quale è l’esperto, coerenti con la situazione di fatto dell’impresa e del contesto in cui opera.</t>
  </si>
  <si>
    <t>Non è fondato su intenzioni strategiche chiare e razionali, condivisibili da parte di un lettore informato quale è l’esperto, coerenti con la situazione di fatto dell’impresa e del contesto in cui opera.</t>
  </si>
  <si>
    <t>Le strategie di intervento e le iniziative industriali individuate dall’imprenditore appaiono appropriate per il superamento delle cause della crisi.</t>
  </si>
  <si>
    <t>Le strategie di intervento e le iniziative industriali individuate dall’imprenditore non appaiono appropriate per il superamento delle cause della crisi.</t>
  </si>
  <si>
    <t>e vi sono differenze significative.</t>
  </si>
  <si>
    <t>e non vi sono differenze significative.</t>
  </si>
  <si>
    <t>Le proiezioni fondate su previsioni coprono un periodo massimo di 5 anni.</t>
  </si>
  <si>
    <t>Le proiezioni fondate su previsioni non coprono un periodo massimo di 5 anni.</t>
  </si>
  <si>
    <t>Le proiezioni dei ricavi sono coerenti con i dati storici e quelli correnti.</t>
  </si>
  <si>
    <t>Le proiezioni dei ricavi non sono coerenti con i dati storici e quelli correnti.</t>
  </si>
  <si>
    <t>Le variazioni dei ricavi prospettici rispetto al dato corrente dell’esercizio in corso sono state giustificate in maniera adeguata.</t>
  </si>
  <si>
    <t>Le variazioni dei ricavi del piano sono state confrontate con le prospettive del settore.</t>
  </si>
  <si>
    <t>Le variazioni dei ricavi del piano non sono state confrontate con le prospettive del settore.</t>
  </si>
  <si>
    <t>La stima dei costi variabili e dei costi di struttura è coerente con la situazione in atto e con i dati storici.</t>
  </si>
  <si>
    <t>La stima dei costi variabili e dei costi di struttura non è coerente con la situazione in atto e con i dati storici.</t>
  </si>
  <si>
    <t>La società svolge più attività.</t>
  </si>
  <si>
    <t>La società non svolge più attività.</t>
  </si>
  <si>
    <t>Il piano tiene conto in misura adeguata degli investimenti di mantenimento occorrenti.</t>
  </si>
  <si>
    <t>Il piano non tiene conto in misura adeguata degli investimenti di mantenimento occorrenti.</t>
  </si>
  <si>
    <t>I dati economici prognostici sono coerenti.</t>
  </si>
  <si>
    <t>I dati economici prognostici non sono coerenti.</t>
  </si>
  <si>
    <t>È stata svolta una verifica di ragionevolezza della redditività prospettica quale risulta dai paragrafi precedenti.</t>
  </si>
  <si>
    <t>Non è stata svolta una verifica di ragionevolezza della redditività prospettica quale risulta dai paragrafi precedenti.</t>
  </si>
  <si>
    <t>La redditività ed i principali indicatori chiave gestionali (KPI) prospettici sono coerenti con l’andamento storico.</t>
  </si>
  <si>
    <t>La redditività ed i principali indicatori chiave gestionali (KPI) prospettici non sono coerenti con l’andamento storico.</t>
  </si>
  <si>
    <t>È giustificata ogni differenza tra l’incidenza del margine operativo lordo sui ricavi ed i benchmark di mercato disponibili.</t>
  </si>
  <si>
    <t>Non è giustificata ogni differenza tra l’incidenza del margine operativo lordo sui ricavi ed i benchmark di mercato disponibili.</t>
  </si>
  <si>
    <t>Sono previste operazioni straordinarie.</t>
  </si>
  <si>
    <t>Non sono previste operazioni straordinarie.</t>
  </si>
  <si>
    <t>È stata prevista la dismissione di cespiti d'investimento.</t>
  </si>
  <si>
    <t>Non è stata prevista la dismissione di cespiti d'investimento.</t>
  </si>
  <si>
    <t>È stato stimato il pagamento delle imposte sul reddito.</t>
  </si>
  <si>
    <t>Non è stato stimato il pagamento delle imposte sul reddito.</t>
  </si>
  <si>
    <t>Nella stima del pagamento delle imposte si è tenuto conto dell’effetto delle perdite fiscali a nuovo e del periodo di imputazione fiscale dei costi e dei ricavi.</t>
  </si>
  <si>
    <t>Nella stima del pagamento delle imposte non si è tenuto conto dell’effetto delle perdite fiscali a nuovo e del periodo di imputazione fiscale dei costi e dei ricavi.</t>
  </si>
  <si>
    <t>È presente declinazione finanziaria delle grandezze economiche e determinazione dei flussi al servizio del debito.</t>
  </si>
  <si>
    <t>Non è presente declinazione finanziaria delle grandezze economiche e determinazione dei flussi al servizio del debito.</t>
  </si>
  <si>
    <t>L'impresa ha determinato le grandezze patrimoniali.</t>
  </si>
  <si>
    <t>L'impresa non ha determinato le grandezze patrimoniali.</t>
  </si>
  <si>
    <t>stima dei ricavi</t>
  </si>
  <si>
    <t>stima dei costi variabili correlati ai ricavi</t>
  </si>
  <si>
    <t>stima dei costi fissi</t>
  </si>
  <si>
    <t>stima degli investimenti</t>
  </si>
  <si>
    <t>stima degli effetti delle iniziative industriali che si intendono intraprendere in discontinuità rispetto al passato</t>
  </si>
  <si>
    <t>verifica di coerenza dei dati economici prognostici</t>
  </si>
  <si>
    <t>stima dell’effetto delle operazioni straordinarie, se previste 14</t>
  </si>
  <si>
    <t>stima del pagamento delle imposte sul reddito</t>
  </si>
  <si>
    <t>declinazione finanziaria delle grandezze economiche e determinazione dei flussi al servizio del debito</t>
  </si>
  <si>
    <t>declinazione patrimoniale muovendo dalla situazione contabile di partenza</t>
  </si>
  <si>
    <t>Metodologia di stima degli investimenti</t>
  </si>
  <si>
    <t>Metodologia di stima degli effetti delle iniziative industriali che si intendono intraprendere in discontinuità rispetto al passato</t>
  </si>
  <si>
    <t>I dati economici prognostici sono coerenti?</t>
  </si>
  <si>
    <t>La  stima degli effetti di tali iniziative (in termini di investimenti, ricavi e costi) è coerente con le informazioni disponibili ed è ritenuta giustificata dalle diverse funzioni aziendali.</t>
  </si>
  <si>
    <t>La  stima degli effetti di tali iniziative (in termini di investimenti, ricavi e costi) non è coerente con le informazioni disponibili ed è ritenuta giustificata dalle diverse funzioni aziendali.</t>
  </si>
  <si>
    <t>L’impresa è in grado in futuro di generare risorse al servizio del debito.</t>
  </si>
  <si>
    <t>L’impresa non è in grado in futuro di generare risorse al servizio del debito.</t>
  </si>
  <si>
    <t>Il risultato delle proiezioni finanziarie tende ad essere positivo.</t>
  </si>
  <si>
    <t>Il risultato delle proiezioni finanziarie tende ad essere negativo.</t>
  </si>
  <si>
    <t>Il piano tiene conto, anche attraverso prove di resistenza (stress test), dei fattori di rischio e di incertezza ai quali è maggiormente esposta l’impresa.</t>
  </si>
  <si>
    <t>Il piano non tiene conto, anche attraverso prove di resistenza (stress test), dei fattori di rischio e di incertezza ai quali è maggiormente esposta l’impresa.</t>
  </si>
  <si>
    <t>La generazione di flussi positivi al servizio del debito dipende solo dalle iniziative industriali.</t>
  </si>
  <si>
    <t>La generazione di flussi positivi al servizio del debito non dipende solo dalle iniziative industriali.</t>
  </si>
  <si>
    <t>Le proposte consentono, in via prognostica, il rispetto del minimo legale del capitale sociale al momento della conclusione dell’accordo, fatte salve le disposizioni speciali.</t>
  </si>
  <si>
    <t>Le proposte non consentono, in via prognostica, il rispetto del minimo legale del capitale sociale al momento della conclusione dell’accordo, fatte salve le disposizioni speciali.</t>
  </si>
  <si>
    <t>Il piano è redatto per le singole imprese.</t>
  </si>
  <si>
    <t>Il piano non dà evidenza dei rapporti economici, finanziari e patrimoniali infragruppo.</t>
  </si>
  <si>
    <t>Il piano dà evidenza dei rapporti economici, finanziari e patrimoniali infragruppo.</t>
  </si>
  <si>
    <t>Le operazioni infragruppo previste nel piano possono arrecare un pregiudizio per i creditori di un’altra impresa del gruppo.</t>
  </si>
  <si>
    <t>Le operazioni infragruppo previste nel piano non possono arrecare un pregiudizio per i creditori di un’altra impresa del gruppo.</t>
  </si>
  <si>
    <t>In caso di gruppi di imprese</t>
  </si>
  <si>
    <t>Sono disponibili informazioni sull'andamento corrente in termini di ricavi, portafoglio ordini, costi e flussi finanziari?</t>
  </si>
  <si>
    <t>È disponibile un confronto con lo stesso periodo del precedente esercizio?</t>
  </si>
  <si>
    <t>Sono disponibili informazioni sull'andamento corrente in termini di ricavi, portafoglio ordini, costi e flussi finanziari.</t>
  </si>
  <si>
    <t>Non sono disponibili informazioni sull'andamento corrente in termini di ricavi, portafoglio ordini, costi e flussi finanziari.</t>
  </si>
  <si>
    <t>È disponibile un confronto con lo stesso periodo del precedente esercizio.</t>
  </si>
  <si>
    <t>Quali informazioni?</t>
  </si>
  <si>
    <t>Che tipo di confronto?</t>
  </si>
  <si>
    <t>Le cause individuate sono coerenti con la crisi manifestatasi.</t>
  </si>
  <si>
    <t>Sono prospettabili iniziative alternative nel caso in cui le iniziative dovessero dimostrarsi inefficaci e si manifestassero scostamenti tra gli obiettivi pianificati e quelli raggiunti.</t>
  </si>
  <si>
    <t>Non sono prospettabili iniziative alternative nel caso in cui le iniziative dovessero dimostrarsi inefficaci e si manifestassero scostamenti tra gli obiettivi pianificati e quelli raggiunti.</t>
  </si>
  <si>
    <t>I ricavi sono stati stimati nel seguente modo</t>
  </si>
  <si>
    <t>Sono previste operazioni straordinarie?</t>
  </si>
  <si>
    <t>È presente una declinazione finanziaria delle grandezze economiche e determinazione dei flussi al servizio del debito?</t>
  </si>
  <si>
    <t>Indicare la stima delle imposte sul reddito</t>
  </si>
  <si>
    <t>Inddicare la declinazione finanziaria delle grandezze economiche e la determinazione dei flussi al servizio del debito</t>
  </si>
  <si>
    <t>Nome Impresa</t>
  </si>
  <si>
    <t>Data Verifica</t>
  </si>
  <si>
    <r>
      <t>L’impresa ha attivato il confronto con i dati di andamento del precedente esercizio, in termini d</t>
    </r>
    <r>
      <rPr>
        <i/>
        <sz val="9"/>
        <color rgb="FFFF0000"/>
        <rFont val="Georgia"/>
        <family val="1"/>
      </rPr>
      <t>i ricavi?</t>
    </r>
  </si>
  <si>
    <r>
      <t>L’impresa ha quanto meno attivato il confronto con i dati di andamento del precedente esercizio, in termini d</t>
    </r>
    <r>
      <rPr>
        <i/>
        <sz val="9"/>
        <color rgb="FFFF0000"/>
        <rFont val="Georgia"/>
        <family val="1"/>
      </rPr>
      <t>i portafogli ordini ?</t>
    </r>
  </si>
  <si>
    <r>
      <t>L’impresa ha quanto meno attivato il confronto con i dati di andamento del precedente esercizio, in termi</t>
    </r>
    <r>
      <rPr>
        <i/>
        <sz val="9"/>
        <rFont val="Georgia"/>
        <family val="1"/>
      </rPr>
      <t>ni di</t>
    </r>
    <r>
      <rPr>
        <i/>
        <sz val="9"/>
        <color rgb="FFFF0000"/>
        <rFont val="Georgia"/>
        <family val="1"/>
      </rPr>
      <t xml:space="preserve"> Posizione Finanziaria Netta?</t>
    </r>
  </si>
  <si>
    <r>
      <t xml:space="preserve">Istruzioni: </t>
    </r>
    <r>
      <rPr>
        <i/>
        <sz val="9"/>
        <color theme="1"/>
        <rFont val="Georgia"/>
        <family val="1"/>
      </rPr>
      <t>Spuntare i riquadri appositi di ogni sezione e compilare le colonne azzurre se ritenuto necessario.</t>
    </r>
  </si>
  <si>
    <t>È stata disposta una situazione contabile recante le rettifiche di competenza e gli assestamenti di chiusura, nel rispetto del principio contabile OIC 30.</t>
  </si>
  <si>
    <t>L'ultima situazione redatta risale a oltre 120 giorni.</t>
  </si>
  <si>
    <t>Indicare i tempi previsti per una situazione aggiornata</t>
  </si>
  <si>
    <t>Esistono altre imprese del gruppo la cui continuità aziendale dipende da quella dell’impresa?</t>
  </si>
  <si>
    <t>Quali sono le imprese e perché?</t>
  </si>
  <si>
    <t>Specificare</t>
  </si>
  <si>
    <t>L'impresa non ha ancora individuato le strategie di intervento e le iniziative industriali che intende adottare.</t>
  </si>
  <si>
    <t>Indicare le difficoltà che non le consentono la formulazione di una strategia e i tempi previsti.</t>
  </si>
  <si>
    <t>Indicare le ragioni di tale affermazione</t>
  </si>
  <si>
    <t>Indicare se l'azienda intende avvalersene o meno</t>
  </si>
  <si>
    <t>Indicare quali lacune organizzative esistono e come l'impresa intende colmarle</t>
  </si>
  <si>
    <t>Se i tempi e gli effetti sono noti compilare il riquadro</t>
  </si>
  <si>
    <t>Se sono note le funzioni aziendali responsabili compilare il riquadro</t>
  </si>
  <si>
    <t xml:space="preserve"> Non sono mai stati predisposti piani aziendali.</t>
  </si>
  <si>
    <t>Indicare le motivazioni e le eventuali difficoltà e limiti di prima redazione</t>
  </si>
  <si>
    <t>Indicare l'occasione in cui si è reso necessaria la redazione del piano, chi lo ha redatto e il grado di raggiungimento rispetto agli obiettivi indicati.</t>
  </si>
  <si>
    <t>Indicare da dove provengono dette risorse.</t>
  </si>
  <si>
    <t>Indicare cosa si intende fare per sostenere il piano in altro modo</t>
  </si>
  <si>
    <t>Indicare i risultati dello stress test</t>
  </si>
  <si>
    <t>Indicare le ragioni che hanno condotto i relatori a non sottoporre il piano allo stress test</t>
  </si>
  <si>
    <t>I test effettuati sono coerenti con i rischi emersi ad esito dell’intervista delle diverse funzioni aziendali avendo comunque riguardo alle prospettive di mercato.</t>
  </si>
  <si>
    <t>Firmata da</t>
  </si>
  <si>
    <t>Relazione in formato compatto (Disponibile solo con Excel 365)</t>
  </si>
  <si>
    <t>Muovendo dalle stime economiche e finanziarie, l'impresa ha determinato anche le grandezze patrimoniali?</t>
  </si>
  <si>
    <t>Su di esse si innesteranno le proposte alle parti interessate di cui al successivo punto 5.5 della presente sezione?</t>
  </si>
  <si>
    <t>Viene calcolata la stima dell’andamento del patrimonio netto al termine dei singoli anni del piano?</t>
  </si>
  <si>
    <t>Su di esse si innestano le poposte alle parti interessate</t>
  </si>
  <si>
    <t>Su di esse non si innestano le poposte alle parti interessate</t>
  </si>
  <si>
    <t>e viene calcolata la stima dell’andamento del patrimonio netto al termine dei singoli anni del piano.</t>
  </si>
  <si>
    <t>e non viene calcolata la stima dell’andamento del patrimonio netto al termine dei singoli anni del piano.</t>
  </si>
  <si>
    <t>_________________________________</t>
  </si>
  <si>
    <t>aumento dei costi operativi non trasferibile sui prezzi di vendita</t>
  </si>
  <si>
    <t>I tempi previsti per le iniziative industriali sono di 12 mesi, con effetti attesi su ricavi in lieve crescita e costi iniziali moderati</t>
  </si>
  <si>
    <t>Le funzioni responsabili sono l’area manageriale e il reparto operativo per l’implementazione.</t>
  </si>
  <si>
    <t>i risparmi previsti derivano dall’efficientamento dei processi produttivi, stimati in una riduzione del 7% dei costi variabili.</t>
  </si>
  <si>
    <t>Il rischio principale è legato all’implementazione delle nuove tecnologie; sono state previste attività di formazione per mitigarlo.</t>
  </si>
  <si>
    <t>Il debito complessivo da servire è di 500.000 €, suddiviso in rate annuali di 100.000 € per cinque anni</t>
  </si>
  <si>
    <t>L’imprenditore prevede di utilizzare i flussi di cassa generati dal miglioramento operativo e da un incremento dei ricavi, insieme alla rinegoziazione di alcuni termini di pagamento con i fornitori.</t>
  </si>
  <si>
    <t>Alpha SPA</t>
  </si>
  <si>
    <t>Dispone infatti di tecnologie adeguate e l'organico risulta adeguato alle attività operative richieste per il raggiungimento degli obiettivi.</t>
  </si>
  <si>
    <t>Ad oggi la capacità produttiva risulta adeguata e il management è in grado di affrontare le sfide previste dai piani aziendali e dal Budget.</t>
  </si>
  <si>
    <t>L'azienda dispone di un ERP in cloud che consente accessi autorizzati e protetti.</t>
  </si>
  <si>
    <t>L'azienda ha predisposto un sistema di Business Intelligence collegato al gestionale aziendale che consente un monitoraggio in tempo reale</t>
  </si>
  <si>
    <t>L'azienda predispone solo un conto economico periodico e non predisponendo lo stato patrimoniale non è in grado di analizzare periodicamente le variazioni della PFN. Tuttavia è in corso un miglioramento del sistema di scritture di assestamento inframensili che consentirà di completare le analisi mensili.</t>
  </si>
  <si>
    <t>Per il momento l'azienda si limita ad utilizzare gli indicatori previsti dal sistema di qualità in quanto ritenuti adeguatamente informativi.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</si>
</sst>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0" x14ac:knownFonts="1">
    <font>
      <sz val="11"/>
      <color theme="1"/>
      <name val="Calibri"/>
      <family val="2"/>
      <scheme val="minor"/>
    </font>
    <font>
      <sz val="11"/>
      <color theme="1"/>
      <name val="Calibri"/>
      <family val="2"/>
      <scheme val="minor"/>
    </font>
    <font>
      <i/>
      <sz val="11"/>
      <color theme="1"/>
      <name val="Calibri"/>
      <family val="2"/>
      <scheme val="minor"/>
    </font>
    <font>
      <sz val="14"/>
      <color theme="1"/>
      <name val="Calibri"/>
      <family val="2"/>
      <scheme val="minor"/>
    </font>
    <font>
      <sz val="14"/>
      <color theme="1"/>
      <name val="Tw Cen MT"/>
      <family val="2"/>
    </font>
    <font>
      <i/>
      <sz val="10"/>
      <color theme="1"/>
      <name val="Calibri"/>
      <family val="2"/>
      <scheme val="minor"/>
    </font>
    <font>
      <b/>
      <sz val="10"/>
      <name val="Tw Cen MT"/>
      <family val="2"/>
    </font>
    <font>
      <sz val="12"/>
      <color theme="1"/>
      <name val="Tw Cen MT"/>
      <family val="2"/>
    </font>
    <font>
      <sz val="11"/>
      <color theme="1"/>
      <name val="Tw Cen MT"/>
      <family val="2"/>
    </font>
    <font>
      <sz val="10"/>
      <color theme="1"/>
      <name val="Calibri"/>
      <family val="2"/>
      <scheme val="minor"/>
    </font>
    <font>
      <b/>
      <sz val="11"/>
      <color theme="1"/>
      <name val="Calibri"/>
      <family val="2"/>
      <scheme val="minor"/>
    </font>
    <font>
      <sz val="11"/>
      <color theme="1"/>
      <name val="Georgia"/>
      <family val="1"/>
    </font>
    <font>
      <sz val="7"/>
      <color theme="1"/>
      <name val="Verdana"/>
      <family val="2"/>
    </font>
    <font>
      <i/>
      <sz val="7"/>
      <color theme="1"/>
      <name val="Verdana"/>
      <family val="2"/>
    </font>
    <font>
      <b/>
      <sz val="7"/>
      <color theme="1"/>
      <name val="Verdana"/>
      <family val="2"/>
    </font>
    <font>
      <sz val="7"/>
      <color rgb="FFFF0000"/>
      <name val="Verdana"/>
      <family val="2"/>
    </font>
    <font>
      <sz val="5"/>
      <color theme="1"/>
      <name val="Verdana"/>
      <family val="2"/>
    </font>
    <font>
      <sz val="7"/>
      <color theme="0"/>
      <name val="Verdana"/>
      <family val="2"/>
    </font>
    <font>
      <sz val="11"/>
      <color theme="0"/>
      <name val="Calibri"/>
      <family val="2"/>
      <scheme val="minor"/>
    </font>
    <font>
      <sz val="8"/>
      <name val="Calibri"/>
      <family val="2"/>
      <scheme val="minor"/>
    </font>
    <font>
      <sz val="9"/>
      <color theme="1"/>
      <name val="Verdana"/>
      <family val="2"/>
    </font>
    <font>
      <b/>
      <sz val="9"/>
      <color theme="1"/>
      <name val="Verdana"/>
      <family val="2"/>
    </font>
    <font>
      <i/>
      <sz val="9"/>
      <color theme="1"/>
      <name val="Verdana"/>
      <family val="2"/>
    </font>
    <font>
      <sz val="7"/>
      <color theme="1"/>
      <name val="Georgia"/>
      <family val="1"/>
    </font>
    <font>
      <b/>
      <sz val="7"/>
      <color theme="1"/>
      <name val="Georgia"/>
      <family val="1"/>
    </font>
    <font>
      <sz val="7"/>
      <color rgb="FFFF0000"/>
      <name val="Georgia"/>
      <family val="1"/>
    </font>
    <font>
      <sz val="5"/>
      <color theme="1"/>
      <name val="Georgia"/>
      <family val="1"/>
    </font>
    <font>
      <i/>
      <sz val="7"/>
      <color theme="1"/>
      <name val="Georgia"/>
      <family val="1"/>
    </font>
    <font>
      <sz val="9"/>
      <color theme="1"/>
      <name val="Georgia"/>
      <family val="1"/>
    </font>
    <font>
      <b/>
      <sz val="9"/>
      <color theme="1"/>
      <name val="Georgia"/>
      <family val="1"/>
    </font>
    <font>
      <i/>
      <sz val="9"/>
      <color theme="1"/>
      <name val="Georgia"/>
      <family val="1"/>
    </font>
    <font>
      <i/>
      <sz val="9"/>
      <color rgb="FFFF0000"/>
      <name val="Georgia"/>
      <family val="1"/>
    </font>
    <font>
      <i/>
      <sz val="9"/>
      <name val="Georgia"/>
      <family val="1"/>
    </font>
    <font>
      <sz val="7"/>
      <color theme="0"/>
      <name val="Georgia"/>
      <family val="1"/>
    </font>
    <font>
      <sz val="11"/>
      <color theme="0"/>
      <name val="Georgia"/>
      <family val="1"/>
    </font>
    <font>
      <b/>
      <sz val="12"/>
      <color theme="1"/>
      <name val="Georgia"/>
      <family val="1"/>
    </font>
    <font>
      <sz val="12"/>
      <color theme="1"/>
      <name val="Georgia"/>
      <family val="1"/>
    </font>
    <font>
      <b/>
      <sz val="7"/>
      <color theme="0"/>
      <name val="Georgia"/>
      <family val="1"/>
    </font>
    <font>
      <sz val="9"/>
      <color theme="1" tint="0.34998626667073579"/>
      <name val="Georgia"/>
      <family val="1"/>
    </font>
    <font>
      <b/>
      <sz val="9"/>
      <color theme="1" tint="0.34998626667073579"/>
      <name val="Georgia"/>
      <family val="1"/>
    </font>
    <font>
      <sz val="9"/>
      <color rgb="FFFF0000"/>
      <name val="Georgia"/>
      <family val="1"/>
    </font>
    <font>
      <b/>
      <sz val="9"/>
      <name val="Georgia"/>
      <family val="1"/>
    </font>
    <font>
      <sz val="9"/>
      <name val="Georgia"/>
      <family val="1"/>
    </font>
    <font>
      <sz val="9"/>
      <color theme="1"/>
      <name val="Calibri"/>
      <family val="2"/>
      <scheme val="minor"/>
    </font>
    <font>
      <sz val="12"/>
      <color rgb="FFFF0000"/>
      <name val="Georgia"/>
      <family val="1"/>
    </font>
    <font>
      <sz val="9"/>
      <color theme="0"/>
      <name val="Georgia"/>
      <family val="1"/>
    </font>
    <font>
      <sz val="9"/>
      <color rgb="FF70AD47"/>
      <name val="Georgia"/>
      <family val="1"/>
    </font>
    <font>
      <i/>
      <sz val="12"/>
      <color theme="1"/>
      <name val="Georgia"/>
      <family val="1"/>
    </font>
    <font>
      <b/>
      <i/>
      <sz val="12"/>
      <color theme="1"/>
      <name val="Georgia"/>
      <family val="1"/>
    </font>
    <font>
      <b/>
      <sz val="14"/>
      <color theme="1"/>
      <name val="Georgia"/>
      <family val="1"/>
    </font>
  </fonts>
  <fills count="10">
    <fill>
      <patternFill patternType="none"/>
    </fill>
    <fill>
      <patternFill patternType="gray125"/>
    </fill>
    <fill>
      <patternFill patternType="solid">
        <fgColor theme="0" tint="-4.9989318521683403E-2"/>
        <bgColor indexed="64"/>
      </patternFill>
    </fill>
    <fill>
      <patternFill patternType="solid">
        <fgColor rgb="FFC5D9F0"/>
      </patternFill>
    </fill>
    <fill>
      <patternFill patternType="solid">
        <fgColor rgb="FFFF00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70AD47"/>
        <bgColor indexed="64"/>
      </patternFill>
    </fill>
    <fill>
      <patternFill patternType="solid">
        <fgColor theme="0"/>
        <bgColor indexed="64"/>
      </patternFill>
    </fill>
    <fill>
      <patternFill patternType="solid">
        <fgColor theme="6" tint="0.79998168889431442"/>
        <bgColor indexed="64"/>
      </patternFill>
    </fill>
  </fills>
  <borders count="14">
    <border>
      <left/>
      <right/>
      <top/>
      <bottom/>
      <diagonal/>
    </border>
    <border>
      <left style="thick">
        <color theme="0" tint="-0.499984740745262"/>
      </left>
      <right style="thin">
        <color theme="0" tint="-0.499984740745262"/>
      </right>
      <top style="thick">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n">
        <color theme="0" tint="-0.499984740745262"/>
      </right>
      <top style="thick">
        <color theme="0" tint="-0.499984740745262"/>
      </top>
      <bottom/>
      <diagonal/>
    </border>
    <border>
      <left style="thick">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ck">
        <color theme="0"/>
      </left>
      <right style="thick">
        <color theme="0"/>
      </right>
      <top/>
      <bottom style="thick">
        <color theme="0"/>
      </bottom>
      <diagonal/>
    </border>
    <border>
      <left/>
      <right/>
      <top style="thin">
        <color indexed="64"/>
      </top>
      <bottom/>
      <diagonal/>
    </border>
    <border>
      <left/>
      <right style="thick">
        <color theme="0"/>
      </right>
      <top/>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00">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horizontal="right" vertical="center"/>
    </xf>
    <xf numFmtId="0" fontId="3" fillId="0" borderId="0" xfId="0" applyFont="1" applyAlignment="1">
      <alignment horizontal="center" vertical="center"/>
    </xf>
    <xf numFmtId="164" fontId="4" fillId="2" borderId="1" xfId="1" applyNumberFormat="1" applyFont="1" applyFill="1" applyBorder="1" applyAlignment="1" applyProtection="1">
      <alignment horizontal="center" vertical="center"/>
      <protection locked="0"/>
    </xf>
    <xf numFmtId="0" fontId="5"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centerContinuous" vertical="center" wrapText="1"/>
    </xf>
    <xf numFmtId="0" fontId="0" fillId="0" borderId="0" xfId="0" applyAlignment="1">
      <alignment horizontal="centerContinuous"/>
    </xf>
    <xf numFmtId="0" fontId="6" fillId="3" borderId="2" xfId="0" applyFont="1" applyFill="1" applyBorder="1" applyAlignment="1">
      <alignment horizontal="centerContinuous" vertical="center"/>
    </xf>
    <xf numFmtId="0" fontId="6" fillId="3" borderId="2" xfId="0" applyFont="1" applyFill="1" applyBorder="1" applyAlignment="1">
      <alignment horizontal="centerContinuous" vertical="center" wrapText="1"/>
    </xf>
    <xf numFmtId="0" fontId="0" fillId="0" borderId="0" xfId="0" applyAlignment="1">
      <alignment horizontal="left" vertical="top" wrapText="1"/>
    </xf>
    <xf numFmtId="0" fontId="0" fillId="0" borderId="0" xfId="0" applyAlignment="1">
      <alignment vertical="top" wrapText="1"/>
    </xf>
    <xf numFmtId="0" fontId="2" fillId="0" borderId="0" xfId="0" applyFont="1" applyAlignment="1">
      <alignment horizontal="right" vertical="center" wrapText="1"/>
    </xf>
    <xf numFmtId="164" fontId="7" fillId="2" borderId="1" xfId="1" applyNumberFormat="1" applyFont="1" applyFill="1" applyBorder="1" applyAlignment="1" applyProtection="1">
      <alignment horizontal="left" vertical="center" wrapText="1"/>
      <protection locked="0"/>
    </xf>
    <xf numFmtId="0" fontId="0" fillId="0" borderId="0" xfId="0" applyAlignment="1">
      <alignment horizontal="left" vertical="center"/>
    </xf>
    <xf numFmtId="164" fontId="8" fillId="2" borderId="1" xfId="1" applyNumberFormat="1" applyFont="1" applyFill="1" applyBorder="1" applyAlignment="1" applyProtection="1">
      <alignment horizontal="center" vertical="center"/>
      <protection locked="0"/>
    </xf>
    <xf numFmtId="0" fontId="9" fillId="0" borderId="0" xfId="0" applyFont="1" applyAlignment="1">
      <alignment vertical="center" wrapText="1"/>
    </xf>
    <xf numFmtId="0" fontId="10" fillId="0" borderId="0" xfId="0" applyFont="1" applyAlignment="1">
      <alignment horizontal="left"/>
    </xf>
    <xf numFmtId="0" fontId="10" fillId="0" borderId="0" xfId="0" applyFont="1"/>
    <xf numFmtId="0" fontId="16" fillId="0" borderId="0" xfId="0" applyFont="1" applyAlignment="1">
      <alignment vertical="top" wrapText="1"/>
    </xf>
    <xf numFmtId="0" fontId="16" fillId="0" borderId="0" xfId="0" applyFont="1" applyAlignment="1">
      <alignment vertical="center" wrapText="1"/>
    </xf>
    <xf numFmtId="0" fontId="23" fillId="0" borderId="0" xfId="0" applyFont="1" applyAlignment="1">
      <alignment vertical="top" wrapText="1"/>
    </xf>
    <xf numFmtId="0" fontId="23" fillId="0" borderId="0" xfId="0" applyFont="1" applyAlignment="1">
      <alignment horizontal="right" vertical="top" wrapText="1"/>
    </xf>
    <xf numFmtId="0" fontId="24" fillId="0" borderId="0" xfId="0" applyFont="1" applyAlignment="1">
      <alignment vertical="top" wrapText="1"/>
    </xf>
    <xf numFmtId="0" fontId="25" fillId="0" borderId="9" xfId="0" applyFont="1" applyBorder="1" applyAlignment="1">
      <alignment vertical="top" wrapText="1"/>
    </xf>
    <xf numFmtId="0" fontId="26" fillId="0" borderId="0" xfId="0" applyFont="1" applyAlignment="1">
      <alignment vertical="top" wrapText="1"/>
    </xf>
    <xf numFmtId="0" fontId="23" fillId="0" borderId="0" xfId="0" applyFont="1" applyAlignment="1">
      <alignment vertical="center" wrapText="1"/>
    </xf>
    <xf numFmtId="0" fontId="23" fillId="0" borderId="0" xfId="0" applyFont="1" applyAlignment="1">
      <alignment horizontal="right" vertical="center" wrapText="1"/>
    </xf>
    <xf numFmtId="0" fontId="26" fillId="0" borderId="0" xfId="0" applyFont="1" applyAlignment="1">
      <alignment vertical="center" wrapText="1"/>
    </xf>
    <xf numFmtId="0" fontId="23" fillId="0" borderId="0" xfId="0" applyFont="1" applyAlignment="1">
      <alignment vertical="center"/>
    </xf>
    <xf numFmtId="0" fontId="23" fillId="0" borderId="0" xfId="0" applyFont="1" applyAlignment="1">
      <alignment horizontal="right" vertical="center"/>
    </xf>
    <xf numFmtId="0" fontId="26" fillId="0" borderId="0" xfId="0" applyFont="1" applyAlignment="1">
      <alignment vertical="center"/>
    </xf>
    <xf numFmtId="0" fontId="29" fillId="0" borderId="0" xfId="0" applyFont="1" applyAlignment="1">
      <alignment vertical="top" wrapText="1"/>
    </xf>
    <xf numFmtId="0" fontId="28" fillId="0" borderId="0" xfId="0" applyFont="1" applyAlignment="1">
      <alignment vertical="top" wrapText="1"/>
    </xf>
    <xf numFmtId="0" fontId="11" fillId="0" borderId="0" xfId="0" applyFont="1"/>
    <xf numFmtId="0" fontId="11" fillId="0" borderId="0" xfId="0" applyFont="1" applyAlignment="1">
      <alignment horizontal="right"/>
    </xf>
    <xf numFmtId="0" fontId="24" fillId="9" borderId="0" xfId="0" applyFont="1" applyFill="1" applyAlignment="1">
      <alignment horizontal="center" vertical="center" wrapText="1"/>
    </xf>
    <xf numFmtId="0" fontId="29" fillId="9" borderId="0" xfId="0" applyFont="1" applyFill="1" applyAlignment="1">
      <alignment horizontal="center" vertical="center" wrapText="1"/>
    </xf>
    <xf numFmtId="0" fontId="25" fillId="9" borderId="9" xfId="0" applyFont="1" applyFill="1" applyBorder="1" applyAlignment="1">
      <alignment horizontal="centerContinuous" vertical="center" wrapText="1"/>
    </xf>
    <xf numFmtId="0" fontId="35" fillId="9" borderId="0" xfId="0" applyFont="1" applyFill="1" applyAlignment="1">
      <alignment horizontal="centerContinuous" vertical="center" wrapText="1"/>
    </xf>
    <xf numFmtId="0" fontId="29" fillId="0" borderId="0" xfId="0" applyFont="1" applyAlignment="1">
      <alignment vertical="center" wrapText="1"/>
    </xf>
    <xf numFmtId="0" fontId="28" fillId="0" borderId="0" xfId="0" applyFont="1" applyAlignment="1">
      <alignment vertical="center" wrapText="1"/>
    </xf>
    <xf numFmtId="0" fontId="30" fillId="0" borderId="0" xfId="0" applyFont="1" applyAlignment="1">
      <alignment vertical="center" wrapText="1"/>
    </xf>
    <xf numFmtId="0" fontId="24" fillId="0" borderId="0" xfId="0" applyFont="1" applyAlignment="1">
      <alignment vertical="center" wrapText="1"/>
    </xf>
    <xf numFmtId="0" fontId="24" fillId="8" borderId="0" xfId="0" applyFont="1" applyFill="1" applyAlignment="1">
      <alignment horizontal="center" vertical="center" wrapText="1"/>
    </xf>
    <xf numFmtId="0" fontId="29" fillId="0" borderId="0" xfId="0" applyFont="1" applyAlignment="1">
      <alignment vertical="center"/>
    </xf>
    <xf numFmtId="0" fontId="28" fillId="0" borderId="0" xfId="0" applyFont="1" applyAlignment="1">
      <alignment vertical="center"/>
    </xf>
    <xf numFmtId="0" fontId="33" fillId="0" borderId="0" xfId="0" applyFont="1" applyAlignment="1">
      <alignment vertical="top" wrapText="1"/>
    </xf>
    <xf numFmtId="0" fontId="33" fillId="0" borderId="0" xfId="0" applyFont="1" applyAlignment="1">
      <alignment vertical="center" wrapText="1"/>
    </xf>
    <xf numFmtId="0" fontId="33" fillId="0" borderId="0" xfId="0" applyFont="1" applyAlignment="1">
      <alignment vertical="center"/>
    </xf>
    <xf numFmtId="0" fontId="37" fillId="0" borderId="0" xfId="0" applyFont="1" applyAlignment="1">
      <alignment horizontal="center" vertical="center" wrapText="1"/>
    </xf>
    <xf numFmtId="0" fontId="33" fillId="0" borderId="0" xfId="0" applyFont="1" applyAlignment="1">
      <alignment horizontal="centerContinuous" vertical="center" wrapText="1"/>
    </xf>
    <xf numFmtId="0" fontId="34" fillId="0" borderId="0" xfId="0" applyFont="1"/>
    <xf numFmtId="0" fontId="23" fillId="0" borderId="0" xfId="0" applyFont="1"/>
    <xf numFmtId="0" fontId="29" fillId="0" borderId="0" xfId="0" applyFont="1" applyAlignment="1">
      <alignment horizontal="justify" vertical="top" wrapText="1"/>
    </xf>
    <xf numFmtId="0" fontId="28" fillId="0" borderId="0" xfId="0" applyFont="1" applyAlignment="1">
      <alignment horizontal="justify" vertical="top" wrapText="1"/>
    </xf>
    <xf numFmtId="0" fontId="28" fillId="0" borderId="0" xfId="0" applyFont="1"/>
    <xf numFmtId="0" fontId="30" fillId="0" borderId="0" xfId="0" applyFont="1" applyAlignment="1">
      <alignment horizontal="right" vertical="top" wrapText="1"/>
    </xf>
    <xf numFmtId="0" fontId="35" fillId="9" borderId="0" xfId="0" applyFont="1" applyFill="1" applyAlignment="1">
      <alignment horizontal="left" vertical="center"/>
    </xf>
    <xf numFmtId="0" fontId="35" fillId="9" borderId="0" xfId="0" applyFont="1" applyFill="1" applyAlignment="1">
      <alignment horizontal="centerContinuous" vertical="center"/>
    </xf>
    <xf numFmtId="0" fontId="44" fillId="9" borderId="9" xfId="0" applyFont="1" applyFill="1" applyBorder="1" applyAlignment="1">
      <alignment horizontal="centerContinuous" vertical="center" wrapText="1"/>
    </xf>
    <xf numFmtId="0" fontId="35" fillId="9" borderId="0" xfId="0" applyFont="1" applyFill="1" applyAlignment="1">
      <alignment vertical="center"/>
    </xf>
    <xf numFmtId="0" fontId="35" fillId="9" borderId="0" xfId="0" applyFont="1" applyFill="1" applyAlignment="1">
      <alignment horizontal="right" vertical="center" wrapText="1"/>
    </xf>
    <xf numFmtId="0" fontId="25" fillId="0" borderId="0" xfId="0" applyFont="1" applyAlignment="1">
      <alignment vertical="center" wrapText="1"/>
    </xf>
    <xf numFmtId="0" fontId="30" fillId="0" borderId="0" xfId="0" applyFont="1" applyAlignment="1">
      <alignment horizontal="justify" vertical="center" wrapText="1"/>
    </xf>
    <xf numFmtId="0" fontId="11" fillId="0" borderId="0" xfId="0" applyFont="1" applyAlignment="1">
      <alignment vertical="center"/>
    </xf>
    <xf numFmtId="0" fontId="29" fillId="0" borderId="0" xfId="0" applyFont="1" applyAlignment="1">
      <alignment horizontal="justify" vertical="center" wrapText="1"/>
    </xf>
    <xf numFmtId="0" fontId="38" fillId="0" borderId="0" xfId="0" applyFont="1" applyAlignment="1">
      <alignment horizontal="left" vertical="center" wrapText="1"/>
    </xf>
    <xf numFmtId="0" fontId="30" fillId="0" borderId="0" xfId="0" applyFont="1" applyAlignment="1">
      <alignment horizontal="right" vertical="center" wrapText="1"/>
    </xf>
    <xf numFmtId="0" fontId="28" fillId="0" borderId="0" xfId="0" applyFont="1" applyAlignment="1">
      <alignment horizontal="justify" vertical="center" wrapText="1"/>
    </xf>
    <xf numFmtId="0" fontId="39" fillId="0" borderId="0" xfId="0" applyFont="1" applyAlignment="1">
      <alignment horizontal="left" vertical="center" wrapText="1"/>
    </xf>
    <xf numFmtId="0" fontId="40" fillId="0" borderId="0" xfId="0" applyFont="1" applyAlignment="1">
      <alignment vertical="center" wrapText="1"/>
    </xf>
    <xf numFmtId="0" fontId="27" fillId="0" borderId="0" xfId="0" applyFont="1" applyAlignment="1">
      <alignment horizontal="right" vertical="center" wrapText="1"/>
    </xf>
    <xf numFmtId="0" fontId="41" fillId="0" borderId="0" xfId="0" applyFont="1" applyAlignment="1">
      <alignment vertical="center" wrapText="1"/>
    </xf>
    <xf numFmtId="0" fontId="42" fillId="0" borderId="0" xfId="0" applyFont="1" applyAlignment="1">
      <alignment vertical="center" wrapText="1"/>
    </xf>
    <xf numFmtId="0" fontId="42" fillId="0" borderId="0" xfId="0" applyFont="1" applyAlignment="1">
      <alignment horizontal="justify" vertical="center" wrapText="1"/>
    </xf>
    <xf numFmtId="0" fontId="34" fillId="0" borderId="0" xfId="0" applyFont="1" applyAlignment="1">
      <alignment vertical="center"/>
    </xf>
    <xf numFmtId="0" fontId="43" fillId="0" borderId="0" xfId="0" applyFont="1" applyAlignment="1">
      <alignment vertical="center"/>
    </xf>
    <xf numFmtId="0" fontId="21" fillId="0" borderId="0" xfId="0" applyFont="1" applyAlignment="1">
      <alignment vertical="center" wrapText="1"/>
    </xf>
    <xf numFmtId="0" fontId="20"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22" fillId="0" borderId="0" xfId="0" applyFont="1" applyAlignment="1">
      <alignment horizontal="right" vertical="center" wrapText="1"/>
    </xf>
    <xf numFmtId="0" fontId="13" fillId="0" borderId="0" xfId="0" applyFont="1" applyAlignment="1">
      <alignment horizontal="right" vertical="center" wrapText="1"/>
    </xf>
    <xf numFmtId="0" fontId="17" fillId="0" borderId="0" xfId="0" applyFont="1" applyAlignment="1">
      <alignment vertical="center" wrapText="1"/>
    </xf>
    <xf numFmtId="0" fontId="12" fillId="0" borderId="0" xfId="0" applyFont="1" applyAlignment="1">
      <alignment horizontal="justify" vertical="center" wrapText="1"/>
    </xf>
    <xf numFmtId="0" fontId="18" fillId="0" borderId="0" xfId="0" applyFont="1" applyAlignment="1">
      <alignment vertical="center"/>
    </xf>
    <xf numFmtId="0" fontId="40" fillId="0" borderId="0" xfId="0" applyFont="1" applyAlignment="1">
      <alignment vertical="top" wrapText="1"/>
    </xf>
    <xf numFmtId="0" fontId="45" fillId="0" borderId="0" xfId="0" applyFont="1"/>
    <xf numFmtId="0" fontId="45" fillId="0" borderId="0" xfId="0" applyFont="1" applyAlignment="1">
      <alignment vertical="top" wrapText="1"/>
    </xf>
    <xf numFmtId="0" fontId="46" fillId="0" borderId="0" xfId="0" applyFont="1" applyAlignment="1">
      <alignment vertical="top" wrapText="1"/>
    </xf>
    <xf numFmtId="0" fontId="29" fillId="6" borderId="0" xfId="0" applyFont="1" applyFill="1" applyAlignment="1">
      <alignment horizontal="centerContinuous" vertical="top" wrapText="1"/>
    </xf>
    <xf numFmtId="0" fontId="28" fillId="6" borderId="0" xfId="0" applyFont="1" applyFill="1" applyAlignment="1">
      <alignment horizontal="centerContinuous" vertical="top" wrapText="1"/>
    </xf>
    <xf numFmtId="0" fontId="28" fillId="0" borderId="0" xfId="0" applyFont="1" applyAlignment="1">
      <alignment horizontal="justify" vertical="top"/>
    </xf>
    <xf numFmtId="0" fontId="30" fillId="0" borderId="0" xfId="0" applyFont="1" applyAlignment="1">
      <alignment vertical="top"/>
    </xf>
    <xf numFmtId="0" fontId="28" fillId="0" borderId="0" xfId="0" applyFont="1" applyAlignment="1">
      <alignment vertical="top"/>
    </xf>
    <xf numFmtId="0" fontId="30" fillId="6" borderId="0" xfId="0" applyFont="1" applyFill="1" applyAlignment="1">
      <alignment horizontal="centerContinuous" vertical="top"/>
    </xf>
    <xf numFmtId="0" fontId="35" fillId="6" borderId="0" xfId="0" applyFont="1" applyFill="1" applyAlignment="1">
      <alignment horizontal="centerContinuous" vertical="center"/>
    </xf>
    <xf numFmtId="0" fontId="35" fillId="6" borderId="0" xfId="0" applyFont="1" applyFill="1" applyAlignment="1">
      <alignment horizontal="centerContinuous" vertical="center" wrapText="1"/>
    </xf>
    <xf numFmtId="0" fontId="36" fillId="6" borderId="0" xfId="0" applyFont="1" applyFill="1" applyAlignment="1">
      <alignment horizontal="centerContinuous" vertical="center" wrapText="1"/>
    </xf>
    <xf numFmtId="0" fontId="35" fillId="2" borderId="0" xfId="0" applyFont="1" applyFill="1" applyAlignment="1">
      <alignment horizontal="centerContinuous" vertical="center"/>
    </xf>
    <xf numFmtId="0" fontId="35" fillId="2" borderId="0" xfId="0" applyFont="1" applyFill="1" applyAlignment="1">
      <alignment horizontal="centerContinuous" vertical="center" wrapText="1"/>
    </xf>
    <xf numFmtId="0" fontId="47" fillId="6" borderId="0" xfId="0" applyFont="1" applyFill="1" applyAlignment="1">
      <alignment horizontal="centerContinuous" vertical="center"/>
    </xf>
    <xf numFmtId="0" fontId="36" fillId="2" borderId="0" xfId="0" applyFont="1" applyFill="1" applyAlignment="1">
      <alignment horizontal="centerContinuous" vertical="center"/>
    </xf>
    <xf numFmtId="0" fontId="30" fillId="0" borderId="0" xfId="0" applyFont="1" applyAlignment="1">
      <alignment vertical="top" wrapText="1"/>
    </xf>
    <xf numFmtId="0" fontId="47" fillId="2" borderId="0" xfId="0" applyFont="1" applyFill="1" applyAlignment="1">
      <alignment horizontal="centerContinuous" vertical="center" wrapText="1"/>
    </xf>
    <xf numFmtId="0" fontId="47" fillId="2" borderId="0" xfId="0" applyFont="1" applyFill="1" applyAlignment="1">
      <alignment horizontal="centerContinuous" vertical="center"/>
    </xf>
    <xf numFmtId="0" fontId="48" fillId="2" borderId="0" xfId="0" applyFont="1" applyFill="1" applyAlignment="1">
      <alignment horizontal="centerContinuous" vertical="center"/>
    </xf>
    <xf numFmtId="0" fontId="30" fillId="0" borderId="0" xfId="0" applyFont="1" applyAlignment="1">
      <alignment horizontal="justify" vertical="top" wrapText="1"/>
    </xf>
    <xf numFmtId="0" fontId="11" fillId="0" borderId="0" xfId="0" applyFont="1" applyAlignment="1">
      <alignment horizontal="justify" vertical="center"/>
    </xf>
    <xf numFmtId="0" fontId="11" fillId="0" borderId="0" xfId="0" applyFont="1" applyAlignment="1">
      <alignment horizontal="justify"/>
    </xf>
    <xf numFmtId="0" fontId="25" fillId="0" borderId="9" xfId="0" applyFont="1" applyBorder="1" applyAlignment="1" applyProtection="1">
      <alignment vertical="top" wrapText="1"/>
      <protection locked="0"/>
    </xf>
    <xf numFmtId="0" fontId="28" fillId="0" borderId="0" xfId="0" applyFont="1" applyProtection="1">
      <protection locked="0"/>
    </xf>
    <xf numFmtId="0" fontId="44" fillId="9" borderId="9" xfId="0" applyFont="1" applyFill="1" applyBorder="1" applyAlignment="1" applyProtection="1">
      <alignment horizontal="centerContinuous" vertical="center" wrapText="1"/>
      <protection locked="0"/>
    </xf>
    <xf numFmtId="0" fontId="40" fillId="4" borderId="9" xfId="0" applyFont="1" applyFill="1" applyBorder="1" applyAlignment="1" applyProtection="1">
      <alignment vertical="top" wrapText="1"/>
      <protection locked="0"/>
    </xf>
    <xf numFmtId="0" fontId="45" fillId="0" borderId="0" xfId="0" applyFont="1" applyProtection="1">
      <protection locked="0"/>
    </xf>
    <xf numFmtId="0" fontId="45" fillId="0" borderId="9" xfId="0" applyFont="1" applyBorder="1" applyAlignment="1" applyProtection="1">
      <alignment vertical="top" wrapText="1"/>
      <protection locked="0"/>
    </xf>
    <xf numFmtId="0" fontId="30" fillId="0" borderId="0" xfId="0" applyFont="1" applyAlignment="1" applyProtection="1">
      <alignment horizontal="right" vertical="top" wrapText="1"/>
      <protection locked="0"/>
    </xf>
    <xf numFmtId="0" fontId="46" fillId="7" borderId="9" xfId="0" applyFont="1" applyFill="1" applyBorder="1" applyAlignment="1" applyProtection="1">
      <alignment vertical="top" wrapText="1"/>
      <protection locked="0"/>
    </xf>
    <xf numFmtId="0" fontId="26" fillId="0" borderId="0" xfId="0" applyFont="1" applyAlignment="1" applyProtection="1">
      <alignment vertical="top" wrapText="1"/>
      <protection locked="0"/>
    </xf>
    <xf numFmtId="0" fontId="23" fillId="0" borderId="0" xfId="0" applyFont="1" applyProtection="1">
      <protection locked="0"/>
    </xf>
    <xf numFmtId="0" fontId="29" fillId="9" borderId="0" xfId="0" applyFont="1" applyFill="1" applyAlignment="1" applyProtection="1">
      <alignment horizontal="center" vertical="center" wrapText="1"/>
      <protection locked="0"/>
    </xf>
    <xf numFmtId="0" fontId="23" fillId="0" borderId="0" xfId="0" applyFont="1" applyAlignment="1" applyProtection="1">
      <alignment vertical="top" wrapText="1"/>
      <protection locked="0"/>
    </xf>
    <xf numFmtId="0" fontId="23" fillId="0" borderId="0" xfId="0" applyFont="1" applyAlignment="1" applyProtection="1">
      <alignment horizontal="center"/>
      <protection locked="0"/>
    </xf>
    <xf numFmtId="0" fontId="24" fillId="0" borderId="0" xfId="0" applyFont="1" applyAlignment="1" applyProtection="1">
      <alignment vertical="top" wrapText="1"/>
      <protection locked="0"/>
    </xf>
    <xf numFmtId="0" fontId="25" fillId="0" borderId="9" xfId="0" applyFont="1" applyBorder="1" applyAlignment="1" applyProtection="1">
      <alignment vertical="center" wrapText="1"/>
      <protection locked="0"/>
    </xf>
    <xf numFmtId="0" fontId="25" fillId="0" borderId="9" xfId="0" applyFont="1" applyBorder="1" applyAlignment="1" applyProtection="1">
      <alignment vertical="center"/>
      <protection locked="0"/>
    </xf>
    <xf numFmtId="0" fontId="25" fillId="4" borderId="9" xfId="0" applyFont="1" applyFill="1" applyBorder="1" applyAlignment="1" applyProtection="1">
      <alignment vertical="center" wrapText="1"/>
      <protection locked="0"/>
    </xf>
    <xf numFmtId="0" fontId="24" fillId="8" borderId="0" xfId="0" applyFont="1" applyFill="1" applyAlignment="1" applyProtection="1">
      <alignment horizontal="center" vertical="center" wrapText="1"/>
      <protection locked="0"/>
    </xf>
    <xf numFmtId="0" fontId="11" fillId="0" borderId="0" xfId="0" applyFont="1" applyProtection="1">
      <protection locked="0"/>
    </xf>
    <xf numFmtId="0" fontId="26" fillId="0" borderId="0" xfId="0" applyFont="1" applyAlignment="1" applyProtection="1">
      <alignment vertical="center" wrapText="1"/>
      <protection locked="0"/>
    </xf>
    <xf numFmtId="0" fontId="26" fillId="0" borderId="0" xfId="0" applyFont="1" applyAlignment="1" applyProtection="1">
      <alignment vertical="center"/>
      <protection locked="0"/>
    </xf>
    <xf numFmtId="0" fontId="23" fillId="0" borderId="0" xfId="0" applyFont="1" applyAlignment="1" applyProtection="1">
      <alignment vertical="center" wrapText="1"/>
      <protection locked="0"/>
    </xf>
    <xf numFmtId="0" fontId="0" fillId="0" borderId="0" xfId="0" applyAlignment="1" applyProtection="1">
      <alignment vertical="center"/>
      <protection locked="0"/>
    </xf>
    <xf numFmtId="0" fontId="11" fillId="0" borderId="0" xfId="0" applyFont="1" applyAlignment="1" applyProtection="1">
      <alignment vertical="center"/>
      <protection locked="0"/>
    </xf>
    <xf numFmtId="0" fontId="33" fillId="0" borderId="9" xfId="0" applyFont="1" applyBorder="1" applyAlignment="1" applyProtection="1">
      <alignment vertical="center" wrapText="1"/>
      <protection locked="0"/>
    </xf>
    <xf numFmtId="0" fontId="27" fillId="0" borderId="0" xfId="0" applyFont="1" applyAlignment="1" applyProtection="1">
      <alignment horizontal="right" vertical="center" wrapText="1"/>
      <protection locked="0"/>
    </xf>
    <xf numFmtId="0" fontId="33" fillId="8" borderId="9" xfId="0" applyFont="1" applyFill="1" applyBorder="1" applyAlignment="1" applyProtection="1">
      <alignment vertical="center" wrapText="1"/>
      <protection locked="0"/>
    </xf>
    <xf numFmtId="0" fontId="34" fillId="0" borderId="0" xfId="0" applyFont="1" applyAlignment="1" applyProtection="1">
      <alignment vertical="center"/>
      <protection locked="0"/>
    </xf>
    <xf numFmtId="0" fontId="28" fillId="0" borderId="0" xfId="0" applyFont="1" applyAlignment="1" applyProtection="1">
      <alignment horizontal="justify" vertical="center" wrapText="1"/>
      <protection locked="0"/>
    </xf>
    <xf numFmtId="0" fontId="14" fillId="0" borderId="0" xfId="0" applyFont="1" applyAlignment="1" applyProtection="1">
      <alignment vertical="center" wrapText="1"/>
      <protection locked="0"/>
    </xf>
    <xf numFmtId="0" fontId="15" fillId="4" borderId="9" xfId="0" applyFont="1" applyFill="1" applyBorder="1" applyAlignment="1" applyProtection="1">
      <alignment vertical="center" wrapText="1"/>
      <protection locked="0"/>
    </xf>
    <xf numFmtId="0" fontId="13" fillId="0" borderId="0" xfId="0" applyFont="1" applyAlignment="1" applyProtection="1">
      <alignment horizontal="right" vertical="center" wrapText="1"/>
      <protection locked="0"/>
    </xf>
    <xf numFmtId="0" fontId="16" fillId="0" borderId="0" xfId="0" applyFont="1" applyAlignment="1" applyProtection="1">
      <alignment vertical="center" wrapText="1"/>
      <protection locked="0"/>
    </xf>
    <xf numFmtId="0" fontId="17" fillId="8" borderId="9" xfId="0" applyFont="1" applyFill="1" applyBorder="1" applyAlignment="1" applyProtection="1">
      <alignment vertical="center" wrapText="1"/>
      <protection locked="0"/>
    </xf>
    <xf numFmtId="0" fontId="17" fillId="0" borderId="9" xfId="0" applyFont="1" applyBorder="1" applyAlignment="1" applyProtection="1">
      <alignment vertical="center" wrapText="1"/>
      <protection locked="0"/>
    </xf>
    <xf numFmtId="0" fontId="0" fillId="0" borderId="0" xfId="0" applyProtection="1">
      <protection locked="0"/>
    </xf>
    <xf numFmtId="0" fontId="23" fillId="0" borderId="0" xfId="0" applyFont="1" applyAlignment="1" applyProtection="1">
      <alignment vertical="center"/>
      <protection locked="0"/>
    </xf>
    <xf numFmtId="0" fontId="27" fillId="0" borderId="0" xfId="0" applyFont="1" applyAlignment="1" applyProtection="1">
      <alignment horizontal="justify" vertical="center"/>
      <protection locked="0"/>
    </xf>
    <xf numFmtId="0" fontId="24" fillId="0" borderId="0" xfId="0" applyFont="1" applyAlignment="1" applyProtection="1">
      <alignment vertical="center" wrapText="1"/>
      <protection locked="0"/>
    </xf>
    <xf numFmtId="0" fontId="23" fillId="0" borderId="0" xfId="0" applyFont="1" applyAlignment="1" applyProtection="1">
      <alignment horizontal="left" vertical="center" wrapText="1"/>
      <protection locked="0"/>
    </xf>
    <xf numFmtId="0" fontId="23" fillId="0" borderId="0" xfId="0" applyFont="1" applyAlignment="1" applyProtection="1">
      <alignment horizontal="justify" vertical="center" wrapText="1"/>
      <protection locked="0"/>
    </xf>
    <xf numFmtId="0" fontId="38" fillId="5" borderId="0" xfId="0" applyFont="1" applyFill="1" applyAlignment="1" applyProtection="1">
      <alignment horizontal="left" vertical="center" wrapText="1"/>
      <protection locked="0"/>
    </xf>
    <xf numFmtId="0" fontId="38" fillId="5" borderId="0" xfId="0" applyFont="1" applyFill="1" applyAlignment="1" applyProtection="1">
      <alignment horizontal="left" vertical="top" wrapText="1" indent="2"/>
      <protection locked="0"/>
    </xf>
    <xf numFmtId="0" fontId="28" fillId="0" borderId="0" xfId="0" applyFont="1" applyAlignment="1" applyProtection="1">
      <alignment horizontal="justify" vertical="top" wrapText="1"/>
      <protection locked="0"/>
    </xf>
    <xf numFmtId="0" fontId="35" fillId="0" borderId="0" xfId="0" applyFont="1" applyAlignment="1">
      <alignment horizontal="left" vertical="center"/>
    </xf>
    <xf numFmtId="0" fontId="29" fillId="0" borderId="0" xfId="0" applyFont="1" applyAlignment="1">
      <alignment horizontal="justify" vertical="center"/>
    </xf>
    <xf numFmtId="0" fontId="35" fillId="0" borderId="0" xfId="0" applyFont="1" applyAlignment="1">
      <alignment horizontal="centerContinuous" vertical="center"/>
    </xf>
    <xf numFmtId="0" fontId="48" fillId="0" borderId="0" xfId="0" applyFont="1" applyAlignment="1">
      <alignment vertical="top"/>
    </xf>
    <xf numFmtId="0" fontId="49" fillId="2" borderId="0" xfId="0" applyFont="1" applyFill="1" applyAlignment="1">
      <alignment horizontal="justify" vertical="top" wrapText="1"/>
    </xf>
    <xf numFmtId="0" fontId="28" fillId="0" borderId="0" xfId="0" applyFont="1" applyAlignment="1">
      <alignment horizontal="right" vertical="top"/>
    </xf>
    <xf numFmtId="0" fontId="28" fillId="0" borderId="12" xfId="0" applyFont="1" applyBorder="1" applyAlignment="1">
      <alignment horizontal="justify" vertical="center" wrapText="1"/>
    </xf>
    <xf numFmtId="0" fontId="0" fillId="0" borderId="0" xfId="0" applyAlignment="1">
      <alignment horizontal="right"/>
    </xf>
    <xf numFmtId="0" fontId="0" fillId="0" borderId="0" xfId="0" applyAlignment="1">
      <alignment horizontal="justify"/>
    </xf>
    <xf numFmtId="14" fontId="28" fillId="0" borderId="0" xfId="0" applyNumberFormat="1" applyFont="1" applyAlignment="1">
      <alignment horizontal="right" vertical="top" indent="10"/>
    </xf>
    <xf numFmtId="14" fontId="29" fillId="0" borderId="12" xfId="0" applyNumberFormat="1" applyFont="1" applyBorder="1" applyAlignment="1">
      <alignment horizontal="right" vertical="center" wrapText="1" indent="10"/>
    </xf>
    <xf numFmtId="0" fontId="28" fillId="0" borderId="0" xfId="0" applyFont="1" applyAlignment="1">
      <alignment horizontal="right" vertical="top" indent="7"/>
    </xf>
    <xf numFmtId="0" fontId="0" fillId="0" borderId="0" xfId="0" applyAlignment="1">
      <alignment horizontal="right" indent="7"/>
    </xf>
    <xf numFmtId="0" fontId="0" fillId="0" borderId="0" xfId="0" applyAlignment="1">
      <alignment wrapText="1"/>
    </xf>
    <xf numFmtId="0" fontId="28" fillId="5" borderId="0" xfId="0" applyFont="1" applyFill="1" applyAlignment="1" applyProtection="1">
      <alignment vertical="center"/>
      <protection locked="0"/>
    </xf>
    <xf numFmtId="14" fontId="28" fillId="5" borderId="0" xfId="0" applyNumberFormat="1" applyFont="1" applyFill="1" applyAlignment="1" applyProtection="1">
      <alignment horizontal="center" vertical="center"/>
      <protection locked="0"/>
    </xf>
    <xf numFmtId="0" fontId="0" fillId="0" borderId="0" xfId="0" applyAlignment="1">
      <alignment horizontal="justify" vertical="top" wrapText="1"/>
    </xf>
    <xf numFmtId="0" fontId="0" fillId="0" borderId="0" xfId="0" applyAlignment="1">
      <alignment horizontal="left" vertical="top" wrapText="1"/>
    </xf>
    <xf numFmtId="0" fontId="0" fillId="0" borderId="0" xfId="0" applyAlignment="1">
      <alignment horizontal="left" vertical="center" wrapText="1"/>
    </xf>
    <xf numFmtId="164" fontId="7" fillId="2" borderId="3" xfId="1" applyNumberFormat="1" applyFont="1" applyFill="1" applyBorder="1" applyAlignment="1" applyProtection="1">
      <alignment horizontal="left" vertical="center" wrapText="1"/>
      <protection locked="0"/>
    </xf>
    <xf numFmtId="164" fontId="7" fillId="2" borderId="4" xfId="1" applyNumberFormat="1" applyFont="1" applyFill="1" applyBorder="1" applyAlignment="1" applyProtection="1">
      <alignment horizontal="left" vertical="center" wrapText="1"/>
      <protection locked="0"/>
    </xf>
    <xf numFmtId="164" fontId="7" fillId="2" borderId="5" xfId="1" applyNumberFormat="1" applyFont="1" applyFill="1" applyBorder="1" applyAlignment="1" applyProtection="1">
      <alignment horizontal="left" vertical="center" wrapText="1"/>
      <protection locked="0"/>
    </xf>
    <xf numFmtId="164" fontId="7" fillId="2" borderId="6" xfId="1" applyNumberFormat="1" applyFont="1" applyFill="1" applyBorder="1" applyAlignment="1" applyProtection="1">
      <alignment horizontal="left" vertical="center" wrapText="1"/>
      <protection locked="0"/>
    </xf>
    <xf numFmtId="164" fontId="7" fillId="2" borderId="7" xfId="1" applyNumberFormat="1" applyFont="1" applyFill="1" applyBorder="1" applyAlignment="1" applyProtection="1">
      <alignment horizontal="left" vertical="center" wrapText="1"/>
      <protection locked="0"/>
    </xf>
    <xf numFmtId="164" fontId="7" fillId="2" borderId="8" xfId="1" applyNumberFormat="1" applyFont="1" applyFill="1" applyBorder="1" applyAlignment="1" applyProtection="1">
      <alignment horizontal="left" vertical="center" wrapText="1"/>
      <protection locked="0"/>
    </xf>
    <xf numFmtId="0" fontId="28" fillId="0" borderId="0" xfId="0" applyFont="1" applyAlignment="1">
      <alignment horizontal="left" vertical="center"/>
    </xf>
    <xf numFmtId="0" fontId="28" fillId="5" borderId="0" xfId="0" applyFont="1" applyFill="1" applyAlignment="1" applyProtection="1">
      <alignment horizontal="center" vertical="center"/>
      <protection locked="0"/>
    </xf>
    <xf numFmtId="0" fontId="28" fillId="5" borderId="11" xfId="0" applyFont="1" applyFill="1" applyBorder="1" applyAlignment="1" applyProtection="1">
      <alignment horizontal="center" vertical="center"/>
      <protection locked="0"/>
    </xf>
    <xf numFmtId="0" fontId="23" fillId="0" borderId="2" xfId="0" applyFont="1" applyBorder="1" applyAlignment="1" applyProtection="1">
      <alignment horizontal="justify" vertical="center" wrapText="1"/>
      <protection locked="0"/>
    </xf>
    <xf numFmtId="0" fontId="23" fillId="0" borderId="2" xfId="0" applyFont="1" applyBorder="1" applyAlignment="1" applyProtection="1">
      <alignment horizontal="left" vertical="center" wrapText="1"/>
      <protection locked="0"/>
    </xf>
    <xf numFmtId="0" fontId="23" fillId="0" borderId="0" xfId="0" applyFont="1" applyAlignment="1" applyProtection="1">
      <alignment horizontal="left" vertical="center" wrapText="1"/>
      <protection locked="0"/>
    </xf>
    <xf numFmtId="0" fontId="30" fillId="0" borderId="0" xfId="0" applyFont="1" applyAlignment="1">
      <alignment horizontal="right" vertical="center" wrapText="1"/>
    </xf>
    <xf numFmtId="0" fontId="23" fillId="0" borderId="13" xfId="0" applyFont="1" applyBorder="1" applyAlignment="1" applyProtection="1">
      <alignment horizontal="justify" vertical="center" wrapText="1"/>
      <protection locked="0"/>
    </xf>
    <xf numFmtId="0" fontId="23" fillId="0" borderId="2" xfId="0" applyFont="1" applyBorder="1" applyAlignment="1" applyProtection="1">
      <alignment horizontal="justify" vertical="top" wrapText="1"/>
      <protection locked="0"/>
    </xf>
    <xf numFmtId="0" fontId="30" fillId="0" borderId="0" xfId="0" applyFont="1" applyAlignment="1">
      <alignment horizontal="center" vertical="center" wrapText="1"/>
    </xf>
    <xf numFmtId="0" fontId="22" fillId="0" borderId="0" xfId="0" applyFont="1" applyAlignment="1">
      <alignment horizontal="center" vertical="center" wrapText="1"/>
    </xf>
    <xf numFmtId="0" fontId="23" fillId="0" borderId="10" xfId="0" applyFont="1" applyBorder="1" applyAlignment="1" applyProtection="1">
      <alignment horizontal="left" vertical="center" wrapText="1"/>
      <protection locked="0"/>
    </xf>
    <xf numFmtId="0" fontId="30" fillId="0" borderId="0" xfId="0" applyFont="1" applyAlignment="1">
      <alignment horizontal="center" vertical="top" wrapText="1"/>
    </xf>
    <xf numFmtId="0" fontId="23" fillId="0" borderId="2" xfId="0" applyFont="1" applyBorder="1" applyAlignment="1" applyProtection="1">
      <alignment horizontal="left" vertical="top" wrapText="1"/>
      <protection locked="0"/>
    </xf>
    <xf numFmtId="0" fontId="28" fillId="0" borderId="0" xfId="0" applyFont="1" applyAlignment="1">
      <alignment horizontal="justify" vertical="top"/>
    </xf>
    <xf numFmtId="0" fontId="28" fillId="0" borderId="0" xfId="0" applyFont="1" applyAlignment="1">
      <alignment horizontal="justify" vertical="top" wrapText="1"/>
    </xf>
    <xf numFmtId="0" fontId="28" fillId="0" borderId="12" xfId="0" applyFont="1" applyBorder="1" applyAlignment="1">
      <alignment horizontal="left" vertical="center" wrapText="1"/>
    </xf>
    <xf numFmtId="0" fontId="29" fillId="0" borderId="12" xfId="0" applyFont="1" applyBorder="1" applyAlignment="1">
      <alignment horizontal="justify" vertical="center" wrapText="1"/>
    </xf>
  </cellXfs>
  <cellStyles count="2">
    <cellStyle name="Migliaia" xfId="1" builtinId="3"/>
    <cellStyle name="Normale" xfId="0" builtinId="0"/>
  </cellStyles>
  <dxfs count="91">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9"/>
      </font>
      <fill>
        <patternFill>
          <bgColor theme="9"/>
        </patternFill>
      </fill>
    </dxf>
    <dxf>
      <fill>
        <patternFill>
          <bgColor theme="8" tint="0.79998168889431442"/>
        </patternFill>
      </fill>
    </dxf>
    <dxf>
      <numFmt numFmtId="0" formatCode="General"/>
      <fill>
        <patternFill>
          <bgColor theme="8" tint="0.79998168889431442"/>
        </patternFill>
      </fill>
    </dxf>
    <dxf>
      <fill>
        <patternFill>
          <bgColor theme="8" tint="0.79998168889431442"/>
        </patternFill>
      </fill>
    </dxf>
    <dxf>
      <font>
        <color rgb="FFFF0000"/>
      </font>
      <fill>
        <patternFill>
          <bgColor rgb="FFFF0000"/>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rgb="FFFF0000"/>
      </font>
      <fill>
        <patternFill>
          <bgColor rgb="FFFF0000"/>
        </patternFill>
      </fill>
    </dxf>
    <dxf>
      <font>
        <color rgb="FF70AD47"/>
      </font>
      <fill>
        <patternFill>
          <bgColor rgb="FF70AD47"/>
        </patternFill>
      </fill>
    </dxf>
    <dxf>
      <font>
        <color rgb="FFFF0000"/>
      </font>
      <fill>
        <patternFill>
          <bgColor rgb="FFFF0000"/>
        </patternFill>
      </fill>
    </dxf>
    <dxf>
      <font>
        <color rgb="FF70AD47"/>
      </font>
      <fill>
        <patternFill>
          <bgColor rgb="FF70AD47"/>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0"/>
      </font>
      <fill>
        <patternFill>
          <bgColor theme="0"/>
        </patternFill>
      </fill>
    </dxf>
    <dxf>
      <font>
        <color rgb="FFFF0000"/>
      </font>
      <fill>
        <patternFill>
          <bgColor rgb="FFFF0000"/>
        </patternFill>
      </fill>
    </dxf>
    <dxf>
      <font>
        <color rgb="FF70AD47"/>
      </font>
      <fill>
        <patternFill>
          <bgColor rgb="FF70AD47"/>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rgb="FF70AD47"/>
      </font>
      <fill>
        <patternFill>
          <bgColor rgb="FF70AD47"/>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rgb="FFFF0000"/>
      </font>
      <fill>
        <patternFill>
          <bgColor rgb="FFFF0000"/>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9"/>
      </font>
      <fill>
        <patternFill>
          <bgColor theme="9"/>
        </patternFill>
      </fill>
    </dxf>
  </dxfs>
  <tableStyles count="0" defaultTableStyle="TableStyleMedium2" defaultPivotStyle="PivotStyleLight16"/>
  <colors>
    <mruColors>
      <color rgb="FF001F5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checked="Checked" fmlaLink="F9" lockText="1" noThreeD="1"/>
</file>

<file path=xl/ctrlProps/ctrlProp2.xml><?xml version="1.0" encoding="utf-8"?>
<formControlPr xmlns="http://schemas.microsoft.com/office/spreadsheetml/2009/9/main" objectType="CheckBox" checked="Checked" fmlaLink="F10" lockText="1" noThreeD="1"/>
</file>

<file path=xl/ctrlProps/ctrlProp3.xml><?xml version="1.0" encoding="utf-8"?>
<formControlPr xmlns="http://schemas.microsoft.com/office/spreadsheetml/2009/9/main" objectType="CheckBox" checked="Checked" fmlaLink="F11" lockText="1" noThreeD="1"/>
</file>

<file path=xl/ctrlProps/ctrlProp4.xml><?xml version="1.0" encoding="utf-8"?>
<formControlPr xmlns="http://schemas.microsoft.com/office/spreadsheetml/2009/9/main" objectType="CheckBox" fmlaLink="F15" lockText="1" noThreeD="1"/>
</file>

<file path=xl/ctrlProps/ctrlProp5.xml><?xml version="1.0" encoding="utf-8"?>
<formControlPr xmlns="http://schemas.microsoft.com/office/spreadsheetml/2009/9/main" objectType="CheckBox" fmlaLink="F18" lockText="1" noThreeD="1"/>
</file>

<file path=xl/ctrlProps/ctrlProp6.xml><?xml version="1.0" encoding="utf-8"?>
<formControlPr xmlns="http://schemas.microsoft.com/office/spreadsheetml/2009/9/main" objectType="CheckBox" checked="Checked" fmlaLink="F21" lockText="1" noThreeD="1"/>
</file>

<file path=xl/ctrlProps/ctrlProp7.xml><?xml version="1.0" encoding="utf-8"?>
<formControlPr xmlns="http://schemas.microsoft.com/office/spreadsheetml/2009/9/main" objectType="CheckBox" checked="Checked" fmlaLink="F12" lockText="1" noThreeD="1"/>
</file>

<file path=xl/ctrlProps/ctrlProp8.xml><?xml version="1.0" encoding="utf-8"?>
<formControlPr xmlns="http://schemas.microsoft.com/office/spreadsheetml/2009/9/main" objectType="CheckBox" checked="Checked" fmlaLink="F13" lockText="1" noThreeD="1"/>
</file>

<file path=xl/ctrlProps/ctrlProp9.xml><?xml version="1.0" encoding="utf-8"?>
<formControlPr xmlns="http://schemas.microsoft.com/office/spreadsheetml/2009/9/main" objectType="CheckBox" fmlaLink="F14" lockText="1" noThreeD="1"/>
</file>

<file path=xl/ctrlProps/ctrlProp10.xml><?xml version="1.0" encoding="utf-8"?>
<formControlPr xmlns="http://schemas.microsoft.com/office/spreadsheetml/2009/9/main" objectType="CheckBox" checked="Checked" fmlaLink="F16" lockText="1" noThreeD="1"/>
</file>

<file path=xl/ctrlProps/ctrlProp11.xml><?xml version="1.0" encoding="utf-8"?>
<formControlPr xmlns="http://schemas.microsoft.com/office/spreadsheetml/2009/9/main" objectType="CheckBox" fmlaLink="F17" lockText="1" noThreeD="1"/>
</file>

<file path=xl/ctrlProps/ctrlProp12.xml><?xml version="1.0" encoding="utf-8"?>
<formControlPr xmlns="http://schemas.microsoft.com/office/spreadsheetml/2009/9/main" objectType="CheckBox" checked="Checked" fmlaLink="F22" lockText="1" noThreeD="1"/>
</file>

<file path=xl/ctrlProps/ctrlProp13.xml><?xml version="1.0" encoding="utf-8"?>
<formControlPr xmlns="http://schemas.microsoft.com/office/spreadsheetml/2009/9/main" objectType="CheckBox" fmlaLink="F23" lockText="1" noThreeD="1"/>
</file>

<file path=xl/ctrlProps/ctrlProp14.xml><?xml version="1.0" encoding="utf-8"?>
<formControlPr xmlns="http://schemas.microsoft.com/office/spreadsheetml/2009/9/main" objectType="CheckBox" checked="Checked" fmlaLink="F24" lockText="1" noThreeD="1"/>
</file>

<file path=xl/ctrlProps/ctrlProp15.xml><?xml version="1.0" encoding="utf-8"?>
<formControlPr xmlns="http://schemas.microsoft.com/office/spreadsheetml/2009/9/main" objectType="CheckBox" checked="Checked" fmlaLink="F26" lockText="1" noThreeD="1"/>
</file>

<file path=xl/ctrlProps/ctrlProp16.xml><?xml version="1.0" encoding="utf-8"?>
<formControlPr xmlns="http://schemas.microsoft.com/office/spreadsheetml/2009/9/main" objectType="CheckBox" checked="Checked" fmlaLink="F28" lockText="1" noThreeD="1"/>
</file>

<file path=xl/ctrlProps/ctrlProp17.xml><?xml version="1.0" encoding="utf-8"?>
<formControlPr xmlns="http://schemas.microsoft.com/office/spreadsheetml/2009/9/main" objectType="CheckBox" checked="Checked" fmlaLink="F33" lockText="1" noThreeD="1"/>
</file>

<file path=xl/ctrlProps/ctrlProp18.xml><?xml version="1.0" encoding="utf-8"?>
<formControlPr xmlns="http://schemas.microsoft.com/office/spreadsheetml/2009/9/main" objectType="CheckBox" fmlaLink="F27" lockText="1" noThreeD="1"/>
</file>

<file path=xl/ctrlProps/ctrlProp19.xml><?xml version="1.0" encoding="utf-8"?>
<formControlPr xmlns="http://schemas.microsoft.com/office/spreadsheetml/2009/9/main" objectType="CheckBox" fmlaLink="F25" lockText="1" noThreeD="1"/>
</file>

<file path=xl/ctrlProps/ctrlProp20.xml><?xml version="1.0" encoding="utf-8"?>
<formControlPr xmlns="http://schemas.microsoft.com/office/spreadsheetml/2009/9/main" objectType="CheckBox" fmlaLink="F30" lockText="1" noThreeD="1"/>
</file>

<file path=xl/ctrlProps/ctrlProp21.xml><?xml version="1.0" encoding="utf-8"?>
<formControlPr xmlns="http://schemas.microsoft.com/office/spreadsheetml/2009/9/main" objectType="CheckBox" fmlaLink="F32" lockText="1" noThreeD="1"/>
</file>

<file path=xl/ctrlProps/ctrlProp22.xml><?xml version="1.0" encoding="utf-8"?>
<formControlPr xmlns="http://schemas.microsoft.com/office/spreadsheetml/2009/9/main" objectType="CheckBox" fmlaLink="F34" lockText="1" noThreeD="1"/>
</file>

<file path=xl/ctrlProps/ctrlProp23.xml><?xml version="1.0" encoding="utf-8"?>
<formControlPr xmlns="http://schemas.microsoft.com/office/spreadsheetml/2009/9/main" objectType="CheckBox" checked="Checked" fmlaLink="F35" lockText="1" noThreeD="1"/>
</file>

<file path=xl/ctrlProps/ctrlProp24.xml><?xml version="1.0" encoding="utf-8"?>
<formControlPr xmlns="http://schemas.microsoft.com/office/spreadsheetml/2009/9/main" objectType="CheckBox" fmlaLink="F29" lockText="1" noThreeD="1"/>
</file>

<file path=xl/ctrlProps/ctrlProp25.xml><?xml version="1.0" encoding="utf-8"?>
<formControlPr xmlns="http://schemas.microsoft.com/office/spreadsheetml/2009/9/main" objectType="CheckBox" checked="Checked" fmlaLink="F31" lockText="1" noThreeD="1"/>
</file>

<file path=xl/ctrlProps/ctrlProp26.xml><?xml version="1.0" encoding="utf-8"?>
<formControlPr xmlns="http://schemas.microsoft.com/office/spreadsheetml/2009/9/main" objectType="CheckBox" checked="Checked" fmlaLink="F36" lockText="1" noThreeD="1"/>
</file>

<file path=xl/ctrlProps/ctrlProp27.xml><?xml version="1.0" encoding="utf-8"?>
<formControlPr xmlns="http://schemas.microsoft.com/office/spreadsheetml/2009/9/main" objectType="CheckBox" checked="Checked" fmlaLink="F37" lockText="1" noThreeD="1"/>
</file>

<file path=xl/ctrlProps/ctrlProp28.xml><?xml version="1.0" encoding="utf-8"?>
<formControlPr xmlns="http://schemas.microsoft.com/office/spreadsheetml/2009/9/main" objectType="CheckBox" checked="Checked" fmlaLink="F7" lockText="1" noThreeD="1"/>
</file>

<file path=xl/ctrlProps/ctrlProp29.xml><?xml version="1.0" encoding="utf-8"?>
<formControlPr xmlns="http://schemas.microsoft.com/office/spreadsheetml/2009/9/main" objectType="CheckBox" checked="Checked" fmlaLink="F8" lockText="1" noThreeD="1"/>
</file>

<file path=xl/ctrlProps/ctrlProp30.xml><?xml version="1.0" encoding="utf-8"?>
<formControlPr xmlns="http://schemas.microsoft.com/office/spreadsheetml/2009/9/main" objectType="CheckBox" checked="Checked" fmlaLink="F9" lockText="1" noThreeD="1"/>
</file>

<file path=xl/ctrlProps/ctrlProp31.xml><?xml version="1.0" encoding="utf-8"?>
<formControlPr xmlns="http://schemas.microsoft.com/office/spreadsheetml/2009/9/main" objectType="CheckBox" checked="Checked" fmlaLink="F12" lockText="1" noThreeD="1"/>
</file>

<file path=xl/ctrlProps/ctrlProp32.xml><?xml version="1.0" encoding="utf-8"?>
<formControlPr xmlns="http://schemas.microsoft.com/office/spreadsheetml/2009/9/main" objectType="CheckBox" checked="Checked" fmlaLink="F13" lockText="1" noThreeD="1"/>
</file>

<file path=xl/ctrlProps/ctrlProp33.xml><?xml version="1.0" encoding="utf-8"?>
<formControlPr xmlns="http://schemas.microsoft.com/office/spreadsheetml/2009/9/main" objectType="CheckBox" checked="Checked" fmlaLink="F14" lockText="1" noThreeD="1"/>
</file>

<file path=xl/ctrlProps/ctrlProp34.xml><?xml version="1.0" encoding="utf-8"?>
<formControlPr xmlns="http://schemas.microsoft.com/office/spreadsheetml/2009/9/main" objectType="CheckBox" checked="Checked" fmlaLink="F15" lockText="1" noThreeD="1"/>
</file>

<file path=xl/ctrlProps/ctrlProp35.xml><?xml version="1.0" encoding="utf-8"?>
<formControlPr xmlns="http://schemas.microsoft.com/office/spreadsheetml/2009/9/main" objectType="CheckBox" fmlaLink="F16" lockText="1" noThreeD="1"/>
</file>

<file path=xl/ctrlProps/ctrlProp36.xml><?xml version="1.0" encoding="utf-8"?>
<formControlPr xmlns="http://schemas.microsoft.com/office/spreadsheetml/2009/9/main" objectType="CheckBox" fmlaLink="F17" lockText="1" noThreeD="1"/>
</file>

<file path=xl/ctrlProps/ctrlProp37.xml><?xml version="1.0" encoding="utf-8"?>
<formControlPr xmlns="http://schemas.microsoft.com/office/spreadsheetml/2009/9/main" objectType="CheckBox" fmlaLink="F18" lockText="1" noThreeD="1"/>
</file>

<file path=xl/ctrlProps/ctrlProp38.xml><?xml version="1.0" encoding="utf-8"?>
<formControlPr xmlns="http://schemas.microsoft.com/office/spreadsheetml/2009/9/main" objectType="CheckBox" checked="Checked" fmlaLink="F19" lockText="1" noThreeD="1"/>
</file>

<file path=xl/ctrlProps/ctrlProp39.xml><?xml version="1.0" encoding="utf-8"?>
<formControlPr xmlns="http://schemas.microsoft.com/office/spreadsheetml/2009/9/main" objectType="CheckBox" checked="Checked" fmlaLink="F20" lockText="1" noThreeD="1"/>
</file>

<file path=xl/ctrlProps/ctrlProp40.xml><?xml version="1.0" encoding="utf-8"?>
<formControlPr xmlns="http://schemas.microsoft.com/office/spreadsheetml/2009/9/main" objectType="CheckBox" checked="Checked" fmlaLink="F21" lockText="1" noThreeD="1"/>
</file>

<file path=xl/ctrlProps/ctrlProp41.xml><?xml version="1.0" encoding="utf-8"?>
<formControlPr xmlns="http://schemas.microsoft.com/office/spreadsheetml/2009/9/main" objectType="CheckBox" fmlaLink="F26" lockText="1" noThreeD="1"/>
</file>

<file path=xl/ctrlProps/ctrlProp42.xml><?xml version="1.0" encoding="utf-8"?>
<formControlPr xmlns="http://schemas.microsoft.com/office/spreadsheetml/2009/9/main" objectType="CheckBox" fmlaLink="F27" lockText="1" noThreeD="1"/>
</file>

<file path=xl/ctrlProps/ctrlProp43.xml><?xml version="1.0" encoding="utf-8"?>
<formControlPr xmlns="http://schemas.microsoft.com/office/spreadsheetml/2009/9/main" objectType="CheckBox" checked="Checked" fmlaLink="F108" lockText="1" noThreeD="1"/>
</file>

<file path=xl/ctrlProps/ctrlProp44.xml><?xml version="1.0" encoding="utf-8"?>
<formControlPr xmlns="http://schemas.microsoft.com/office/spreadsheetml/2009/9/main" objectType="CheckBox" checked="Checked" fmlaLink="F109" lockText="1" noThreeD="1"/>
</file>

<file path=xl/ctrlProps/ctrlProp45.xml><?xml version="1.0" encoding="utf-8"?>
<formControlPr xmlns="http://schemas.microsoft.com/office/spreadsheetml/2009/9/main" objectType="CheckBox" checked="Checked" fmlaLink="F114" lockText="1" noThreeD="1"/>
</file>

<file path=xl/ctrlProps/ctrlProp46.xml><?xml version="1.0" encoding="utf-8"?>
<formControlPr xmlns="http://schemas.microsoft.com/office/spreadsheetml/2009/9/main" objectType="CheckBox" checked="Checked" fmlaLink="F126" lockText="1" noThreeD="1"/>
</file>

<file path=xl/ctrlProps/ctrlProp47.xml><?xml version="1.0" encoding="utf-8"?>
<formControlPr xmlns="http://schemas.microsoft.com/office/spreadsheetml/2009/9/main" objectType="CheckBox" checked="Checked" fmlaLink="F127" lockText="1" noThreeD="1"/>
</file>

<file path=xl/ctrlProps/ctrlProp48.xml><?xml version="1.0" encoding="utf-8"?>
<formControlPr xmlns="http://schemas.microsoft.com/office/spreadsheetml/2009/9/main" objectType="CheckBox" checked="Checked" fmlaLink="F128" lockText="1" noThreeD="1"/>
</file>

<file path=xl/ctrlProps/ctrlProp49.xml><?xml version="1.0" encoding="utf-8"?>
<formControlPr xmlns="http://schemas.microsoft.com/office/spreadsheetml/2009/9/main" objectType="CheckBox" checked="Checked" fmlaLink="F129" lockText="1" noThreeD="1"/>
</file>

<file path=xl/ctrlProps/ctrlProp50.xml><?xml version="1.0" encoding="utf-8"?>
<formControlPr xmlns="http://schemas.microsoft.com/office/spreadsheetml/2009/9/main" objectType="CheckBox" fmlaLink="F130" lockText="1" noThreeD="1"/>
</file>

<file path=xl/ctrlProps/ctrlProp51.xml><?xml version="1.0" encoding="utf-8"?>
<formControlPr xmlns="http://schemas.microsoft.com/office/spreadsheetml/2009/9/main" objectType="CheckBox" fmlaLink="F131" lockText="1" noThreeD="1"/>
</file>

<file path=xl/ctrlProps/ctrlProp52.xml><?xml version="1.0" encoding="utf-8"?>
<formControlPr xmlns="http://schemas.microsoft.com/office/spreadsheetml/2009/9/main" objectType="CheckBox" checked="Checked" fmlaLink="F137" lockText="1" noThreeD="1"/>
</file>

<file path=xl/ctrlProps/ctrlProp53.xml><?xml version="1.0" encoding="utf-8"?>
<formControlPr xmlns="http://schemas.microsoft.com/office/spreadsheetml/2009/9/main" objectType="CheckBox" checked="Checked" fmlaLink="F140" lockText="1" noThreeD="1"/>
</file>

<file path=xl/ctrlProps/ctrlProp54.xml><?xml version="1.0" encoding="utf-8"?>
<formControlPr xmlns="http://schemas.microsoft.com/office/spreadsheetml/2009/9/main" objectType="CheckBox" fmlaLink="F142" lockText="1" noThreeD="1"/>
</file>

<file path=xl/ctrlProps/ctrlProp55.xml><?xml version="1.0" encoding="utf-8"?>
<formControlPr xmlns="http://schemas.microsoft.com/office/spreadsheetml/2009/9/main" objectType="CheckBox" checked="Checked" fmlaLink="F144" lockText="1" noThreeD="1"/>
</file>

<file path=xl/ctrlProps/ctrlProp56.xml><?xml version="1.0" encoding="utf-8"?>
<formControlPr xmlns="http://schemas.microsoft.com/office/spreadsheetml/2009/9/main" objectType="CheckBox" checked="Checked" fmlaLink="F149" lockText="1" noThreeD="1"/>
</file>

<file path=xl/ctrlProps/ctrlProp57.xml><?xml version="1.0" encoding="utf-8"?>
<formControlPr xmlns="http://schemas.microsoft.com/office/spreadsheetml/2009/9/main" objectType="CheckBox" fmlaLink="F27" lockText="1" noThreeD="1"/>
</file>

<file path=xl/ctrlProps/ctrlProp58.xml><?xml version="1.0" encoding="utf-8"?>
<formControlPr xmlns="http://schemas.microsoft.com/office/spreadsheetml/2009/9/main" objectType="CheckBox" checked="Checked" fmlaLink="F25" lockText="1" noThreeD="1"/>
</file>

<file path=xl/ctrlProps/ctrlProp59.xml><?xml version="1.0" encoding="utf-8"?>
<formControlPr xmlns="http://schemas.microsoft.com/office/spreadsheetml/2009/9/main" objectType="CheckBox" fmlaLink="F30" lockText="1" noThreeD="1"/>
</file>

<file path=xl/ctrlProps/ctrlProp60.xml><?xml version="1.0" encoding="utf-8"?>
<formControlPr xmlns="http://schemas.microsoft.com/office/spreadsheetml/2009/9/main" objectType="CheckBox" fmlaLink="F31" lockText="1" noThreeD="1"/>
</file>

<file path=xl/ctrlProps/ctrlProp61.xml><?xml version="1.0" encoding="utf-8"?>
<formControlPr xmlns="http://schemas.microsoft.com/office/spreadsheetml/2009/9/main" objectType="CheckBox" fmlaLink="F32" lockText="1" noThreeD="1"/>
</file>

<file path=xl/ctrlProps/ctrlProp62.xml><?xml version="1.0" encoding="utf-8"?>
<formControlPr xmlns="http://schemas.microsoft.com/office/spreadsheetml/2009/9/main" objectType="CheckBox" fmlaLink="F33" lockText="1" noThreeD="1"/>
</file>

<file path=xl/ctrlProps/ctrlProp63.xml><?xml version="1.0" encoding="utf-8"?>
<formControlPr xmlns="http://schemas.microsoft.com/office/spreadsheetml/2009/9/main" objectType="CheckBox" fmlaLink="F34" lockText="1" noThreeD="1"/>
</file>

<file path=xl/ctrlProps/ctrlProp64.xml><?xml version="1.0" encoding="utf-8"?>
<formControlPr xmlns="http://schemas.microsoft.com/office/spreadsheetml/2009/9/main" objectType="CheckBox" fmlaLink="F35" lockText="1" noThreeD="1"/>
</file>

<file path=xl/ctrlProps/ctrlProp65.xml><?xml version="1.0" encoding="utf-8"?>
<formControlPr xmlns="http://schemas.microsoft.com/office/spreadsheetml/2009/9/main" objectType="CheckBox" fmlaLink="F39" lockText="1" noThreeD="1"/>
</file>

<file path=xl/ctrlProps/ctrlProp66.xml><?xml version="1.0" encoding="utf-8"?>
<formControlPr xmlns="http://schemas.microsoft.com/office/spreadsheetml/2009/9/main" objectType="CheckBox" checked="Checked" fmlaLink="F40" lockText="1" noThreeD="1"/>
</file>

<file path=xl/ctrlProps/ctrlProp67.xml><?xml version="1.0" encoding="utf-8"?>
<formControlPr xmlns="http://schemas.microsoft.com/office/spreadsheetml/2009/9/main" objectType="CheckBox" fmlaLink="F41" lockText="1" noThreeD="1"/>
</file>

<file path=xl/ctrlProps/ctrlProp68.xml><?xml version="1.0" encoding="utf-8"?>
<formControlPr xmlns="http://schemas.microsoft.com/office/spreadsheetml/2009/9/main" objectType="CheckBox" checked="Checked" fmlaLink="F42" lockText="1" noThreeD="1"/>
</file>

<file path=xl/ctrlProps/ctrlProp69.xml><?xml version="1.0" encoding="utf-8"?>
<formControlPr xmlns="http://schemas.microsoft.com/office/spreadsheetml/2009/9/main" objectType="CheckBox" fmlaLink="F45" lockText="1" noThreeD="1"/>
</file>

<file path=xl/ctrlProps/ctrlProp70.xml><?xml version="1.0" encoding="utf-8"?>
<formControlPr xmlns="http://schemas.microsoft.com/office/spreadsheetml/2009/9/main" objectType="CheckBox" checked="Checked" fmlaLink="F46" lockText="1" noThreeD="1"/>
</file>

<file path=xl/ctrlProps/ctrlProp71.xml><?xml version="1.0" encoding="utf-8"?>
<formControlPr xmlns="http://schemas.microsoft.com/office/spreadsheetml/2009/9/main" objectType="CheckBox" fmlaLink="F47" lockText="1" noThreeD="1"/>
</file>

<file path=xl/ctrlProps/ctrlProp72.xml><?xml version="1.0" encoding="utf-8"?>
<formControlPr xmlns="http://schemas.microsoft.com/office/spreadsheetml/2009/9/main" objectType="CheckBox" fmlaLink="F48" lockText="1" noThreeD="1"/>
</file>

<file path=xl/ctrlProps/ctrlProp73.xml><?xml version="1.0" encoding="utf-8"?>
<formControlPr xmlns="http://schemas.microsoft.com/office/spreadsheetml/2009/9/main" objectType="CheckBox" fmlaLink="F49" lockText="1" noThreeD="1"/>
</file>

<file path=xl/ctrlProps/ctrlProp74.xml><?xml version="1.0" encoding="utf-8"?>
<formControlPr xmlns="http://schemas.microsoft.com/office/spreadsheetml/2009/9/main" objectType="CheckBox" fmlaLink="F50" lockText="1" noThreeD="1"/>
</file>

<file path=xl/ctrlProps/ctrlProp75.xml><?xml version="1.0" encoding="utf-8"?>
<formControlPr xmlns="http://schemas.microsoft.com/office/spreadsheetml/2009/9/main" objectType="CheckBox" fmlaLink="F51" lockText="1" noThreeD="1"/>
</file>

<file path=xl/ctrlProps/ctrlProp76.xml><?xml version="1.0" encoding="utf-8"?>
<formControlPr xmlns="http://schemas.microsoft.com/office/spreadsheetml/2009/9/main" objectType="CheckBox" fmlaLink="F52" lockText="1" noThreeD="1"/>
</file>

<file path=xl/ctrlProps/ctrlProp77.xml><?xml version="1.0" encoding="utf-8"?>
<formControlPr xmlns="http://schemas.microsoft.com/office/spreadsheetml/2009/9/main" objectType="CheckBox" fmlaLink="F55" lockText="1" noThreeD="1"/>
</file>

<file path=xl/ctrlProps/ctrlProp78.xml><?xml version="1.0" encoding="utf-8"?>
<formControlPr xmlns="http://schemas.microsoft.com/office/spreadsheetml/2009/9/main" objectType="CheckBox" checked="Checked" fmlaLink="F56" lockText="1" noThreeD="1"/>
</file>

<file path=xl/ctrlProps/ctrlProp79.xml><?xml version="1.0" encoding="utf-8"?>
<formControlPr xmlns="http://schemas.microsoft.com/office/spreadsheetml/2009/9/main" objectType="CheckBox" fmlaLink="F57" lockText="1" noThreeD="1"/>
</file>

<file path=xl/ctrlProps/ctrlProp80.xml><?xml version="1.0" encoding="utf-8"?>
<formControlPr xmlns="http://schemas.microsoft.com/office/spreadsheetml/2009/9/main" objectType="CheckBox" fmlaLink="F58" lockText="1" noThreeD="1"/>
</file>

<file path=xl/ctrlProps/ctrlProp81.xml><?xml version="1.0" encoding="utf-8"?>
<formControlPr xmlns="http://schemas.microsoft.com/office/spreadsheetml/2009/9/main" objectType="CheckBox" fmlaLink="F59" lockText="1" noThreeD="1"/>
</file>

<file path=xl/ctrlProps/ctrlProp82.xml><?xml version="1.0" encoding="utf-8"?>
<formControlPr xmlns="http://schemas.microsoft.com/office/spreadsheetml/2009/9/main" objectType="CheckBox" fmlaLink="F60" lockText="1" noThreeD="1"/>
</file>

<file path=xl/ctrlProps/ctrlProp83.xml><?xml version="1.0" encoding="utf-8"?>
<formControlPr xmlns="http://schemas.microsoft.com/office/spreadsheetml/2009/9/main" objectType="CheckBox" checked="Checked" fmlaLink="F63" lockText="1" noThreeD="1"/>
</file>

<file path=xl/ctrlProps/ctrlProp84.xml><?xml version="1.0" encoding="utf-8"?>
<formControlPr xmlns="http://schemas.microsoft.com/office/spreadsheetml/2009/9/main" objectType="CheckBox" fmlaLink="F64" lockText="1" noThreeD="1"/>
</file>

<file path=xl/ctrlProps/ctrlProp85.xml><?xml version="1.0" encoding="utf-8"?>
<formControlPr xmlns="http://schemas.microsoft.com/office/spreadsheetml/2009/9/main" objectType="CheckBox" fmlaLink="F65" lockText="1" noThreeD="1"/>
</file>

<file path=xl/ctrlProps/ctrlProp86.xml><?xml version="1.0" encoding="utf-8"?>
<formControlPr xmlns="http://schemas.microsoft.com/office/spreadsheetml/2009/9/main" objectType="CheckBox" checked="Checked" fmlaLink="F66" lockText="1" noThreeD="1"/>
</file>

<file path=xl/ctrlProps/ctrlProp87.xml><?xml version="1.0" encoding="utf-8"?>
<formControlPr xmlns="http://schemas.microsoft.com/office/spreadsheetml/2009/9/main" objectType="CheckBox" checked="Checked" fmlaLink="F73" lockText="1" noThreeD="1"/>
</file>

<file path=xl/ctrlProps/ctrlProp88.xml><?xml version="1.0" encoding="utf-8"?>
<formControlPr xmlns="http://schemas.microsoft.com/office/spreadsheetml/2009/9/main" objectType="CheckBox" checked="Checked" fmlaLink="F74" lockText="1" noThreeD="1"/>
</file>

<file path=xl/ctrlProps/ctrlProp89.xml><?xml version="1.0" encoding="utf-8"?>
<formControlPr xmlns="http://schemas.microsoft.com/office/spreadsheetml/2009/9/main" objectType="CheckBox" checked="Checked" fmlaLink="F75" lockText="1" noThreeD="1"/>
</file>

<file path=xl/ctrlProps/ctrlProp90.xml><?xml version="1.0" encoding="utf-8"?>
<formControlPr xmlns="http://schemas.microsoft.com/office/spreadsheetml/2009/9/main" objectType="CheckBox" fmlaLink="F76" lockText="1" noThreeD="1"/>
</file>

<file path=xl/ctrlProps/ctrlProp91.xml><?xml version="1.0" encoding="utf-8"?>
<formControlPr xmlns="http://schemas.microsoft.com/office/spreadsheetml/2009/9/main" objectType="CheckBox" checked="Checked" fmlaLink="F81" lockText="1" noThreeD="1"/>
</file>

<file path=xl/ctrlProps/ctrlProp92.xml><?xml version="1.0" encoding="utf-8"?>
<formControlPr xmlns="http://schemas.microsoft.com/office/spreadsheetml/2009/9/main" objectType="CheckBox" checked="Checked" fmlaLink="F82" lockText="1" noThreeD="1"/>
</file>

<file path=xl/ctrlProps/ctrlProp93.xml><?xml version="1.0" encoding="utf-8"?>
<formControlPr xmlns="http://schemas.microsoft.com/office/spreadsheetml/2009/9/main" objectType="CheckBox" checked="Checked" fmlaLink="F83" lockText="1" noThreeD="1"/>
</file>

<file path=xl/ctrlProps/ctrlProp94.xml><?xml version="1.0" encoding="utf-8"?>
<formControlPr xmlns="http://schemas.microsoft.com/office/spreadsheetml/2009/9/main" objectType="CheckBox" checked="Checked" fmlaLink="F134" lockText="1" noThreeD="1"/>
</file>

<file path=xl/ctrlProps/ctrlProp95.xml><?xml version="1.0" encoding="utf-8"?>
<formControlPr xmlns="http://schemas.microsoft.com/office/spreadsheetml/2009/9/main" objectType="CheckBox" fmlaLink="F72" lockText="1" noThreeD="1"/>
</file>

<file path=xl/ctrlProps/ctrlProp96.xml><?xml version="1.0" encoding="utf-8"?>
<formControlPr xmlns="http://schemas.microsoft.com/office/spreadsheetml/2009/9/main" objectType="CheckBox" fmlaLink="F69" lockText="1" noThreeD="1"/>
</file>

<file path=xl/ctrlProps/ctrlProp97.xml><?xml version="1.0" encoding="utf-8"?>
<formControlPr xmlns="http://schemas.microsoft.com/office/spreadsheetml/2009/9/main" objectType="CheckBox" fmlaLink="F84" lockText="1" noThreeD="1"/>
</file>

<file path=xl/ctrlProps/ctrlProp98.xml><?xml version="1.0" encoding="utf-8"?>
<formControlPr xmlns="http://schemas.microsoft.com/office/spreadsheetml/2009/9/main" objectType="CheckBox" checked="Checked" fmlaLink="F85" lockText="1" noThreeD="1"/>
</file>

<file path=xl/ctrlProps/ctrlProp99.xml><?xml version="1.0" encoding="utf-8"?>
<formControlPr xmlns="http://schemas.microsoft.com/office/spreadsheetml/2009/9/main" objectType="CheckBox" checked="Checked" fmlaLink="F87" lockText="1" noThreeD="1"/>
</file>

<file path=xl/ctrlProps/ctrlProp100.xml><?xml version="1.0" encoding="utf-8"?>
<formControlPr xmlns="http://schemas.microsoft.com/office/spreadsheetml/2009/9/main" objectType="CheckBox" checked="Checked" fmlaLink="F24" lockText="1" noThreeD="1"/>
</file>

<file path=xl/ctrlProps/ctrlProp101.xml><?xml version="1.0" encoding="utf-8"?>
<formControlPr xmlns="http://schemas.microsoft.com/office/spreadsheetml/2009/9/main" objectType="CheckBox" checked="Checked" fmlaLink="F36" lockText="1" noThreeD="1"/>
</file>

<file path=xl/ctrlProps/ctrlProp102.xml><?xml version="1.0" encoding="utf-8"?>
<formControlPr xmlns="http://schemas.microsoft.com/office/spreadsheetml/2009/9/main" objectType="CheckBox" fmlaLink="F132" lockText="1" noThreeD="1"/>
</file>

<file path=xl/ctrlProps/ctrlProp103.xml><?xml version="1.0" encoding="utf-8"?>
<formControlPr xmlns="http://schemas.microsoft.com/office/spreadsheetml/2009/9/main" objectType="CheckBox" checked="Checked" fmlaLink="F81" lockText="1" noThreeD="1"/>
</file>

<file path=xl/ctrlProps/ctrlProp104.xml><?xml version="1.0" encoding="utf-8"?>
<formControlPr xmlns="http://schemas.microsoft.com/office/spreadsheetml/2009/9/main" objectType="CheckBox" checked="Checked" fmlaLink="F82" lockText="1" noThreeD="1"/>
</file>

<file path=xl/ctrlProps/ctrlProp105.xml><?xml version="1.0" encoding="utf-8"?>
<formControlPr xmlns="http://schemas.microsoft.com/office/spreadsheetml/2009/9/main" objectType="CheckBox" checked="Checked" fmlaLink="F85" lockText="1" noThreeD="1"/>
</file>

<file path=xl/ctrlProps/ctrlProp106.xml><?xml version="1.0" encoding="utf-8"?>
<formControlPr xmlns="http://schemas.microsoft.com/office/spreadsheetml/2009/9/main" objectType="CheckBox" checked="Checked" fmlaLink="F87" lockText="1" noThreeD="1"/>
</file>

<file path=xl/ctrlProps/ctrlProp107.xml><?xml version="1.0" encoding="utf-8"?>
<formControlPr xmlns="http://schemas.microsoft.com/office/spreadsheetml/2009/9/main" objectType="CheckBox" checked="Checked" fmlaLink="F85" lockText="1" noThreeD="1"/>
</file>

<file path=xl/ctrlProps/ctrlProp108.xml><?xml version="1.0" encoding="utf-8"?>
<formControlPr xmlns="http://schemas.microsoft.com/office/spreadsheetml/2009/9/main" objectType="CheckBox" checked="Checked" fmlaLink="F85" lockText="1" noThreeD="1"/>
</file>

<file path=xl/ctrlProps/ctrlProp109.xml><?xml version="1.0" encoding="utf-8"?>
<formControlPr xmlns="http://schemas.microsoft.com/office/spreadsheetml/2009/9/main" objectType="CheckBox" checked="Checked" fmlaLink="F85" lockText="1" noThreeD="1"/>
</file>

<file path=xl/ctrlProps/ctrlProp110.xml><?xml version="1.0" encoding="utf-8"?>
<formControlPr xmlns="http://schemas.microsoft.com/office/spreadsheetml/2009/9/main" objectType="CheckBox" checked="Checked" fmlaLink="F86" lockText="1" noThreeD="1"/>
</file>

<file path=xl/ctrlProps/ctrlProp111.xml><?xml version="1.0" encoding="utf-8"?>
<formControlPr xmlns="http://schemas.microsoft.com/office/spreadsheetml/2009/9/main" objectType="CheckBox" checked="Checked" fmlaLink="F87" lockText="1" noThreeD="1"/>
</file>

<file path=xl/ctrlProps/ctrlProp112.xml><?xml version="1.0" encoding="utf-8"?>
<formControlPr xmlns="http://schemas.microsoft.com/office/spreadsheetml/2009/9/main" objectType="CheckBox" checked="Checked" fmlaLink="F91" lockText="1" noThreeD="1"/>
</file>

<file path=xl/ctrlProps/ctrlProp113.xml><?xml version="1.0" encoding="utf-8"?>
<formControlPr xmlns="http://schemas.microsoft.com/office/spreadsheetml/2009/9/main" objectType="CheckBox" checked="Checked" fmlaLink="F87" lockText="1" noThreeD="1"/>
</file>

<file path=xl/ctrlProps/ctrlProp114.xml><?xml version="1.0" encoding="utf-8"?>
<formControlPr xmlns="http://schemas.microsoft.com/office/spreadsheetml/2009/9/main" objectType="CheckBox" checked="Checked" fmlaLink="F92" lockText="1" noThreeD="1"/>
</file>

<file path=xl/ctrlProps/ctrlProp115.xml><?xml version="1.0" encoding="utf-8"?>
<formControlPr xmlns="http://schemas.microsoft.com/office/spreadsheetml/2009/9/main" objectType="CheckBox" checked="Checked" fmlaLink="F87" lockText="1" noThreeD="1"/>
</file>

<file path=xl/ctrlProps/ctrlProp116.xml><?xml version="1.0" encoding="utf-8"?>
<formControlPr xmlns="http://schemas.microsoft.com/office/spreadsheetml/2009/9/main" objectType="CheckBox" checked="Checked" fmlaLink="F93" lockText="1" noThreeD="1"/>
</file>

<file path=xl/ctrlProps/ctrlProp117.xml><?xml version="1.0" encoding="utf-8"?>
<formControlPr xmlns="http://schemas.microsoft.com/office/spreadsheetml/2009/9/main" objectType="CheckBox" checked="Checked" fmlaLink="F87" lockText="1" noThreeD="1"/>
</file>

<file path=xl/ctrlProps/ctrlProp118.xml><?xml version="1.0" encoding="utf-8"?>
<formControlPr xmlns="http://schemas.microsoft.com/office/spreadsheetml/2009/9/main" objectType="CheckBox" checked="Checked" fmlaLink="F94" lockText="1" noThreeD="1"/>
</file>

<file path=xl/ctrlProps/ctrlProp119.xml><?xml version="1.0" encoding="utf-8"?>
<formControlPr xmlns="http://schemas.microsoft.com/office/spreadsheetml/2009/9/main" objectType="CheckBox" checked="Checked" fmlaLink="F87" lockText="1" noThreeD="1"/>
</file>

<file path=xl/ctrlProps/ctrlProp120.xml><?xml version="1.0" encoding="utf-8"?>
<formControlPr xmlns="http://schemas.microsoft.com/office/spreadsheetml/2009/9/main" objectType="CheckBox" checked="Checked" fmlaLink="F95" lockText="1" noThreeD="1"/>
</file>

<file path=xl/ctrlProps/ctrlProp121.xml><?xml version="1.0" encoding="utf-8"?>
<formControlPr xmlns="http://schemas.microsoft.com/office/spreadsheetml/2009/9/main" objectType="CheckBox" checked="Checked" fmlaLink="F87" lockText="1" noThreeD="1"/>
</file>

<file path=xl/ctrlProps/ctrlProp122.xml><?xml version="1.0" encoding="utf-8"?>
<formControlPr xmlns="http://schemas.microsoft.com/office/spreadsheetml/2009/9/main" objectType="CheckBox" checked="Checked" fmlaLink="F96" lockText="1" noThreeD="1"/>
</file>

<file path=xl/ctrlProps/ctrlProp123.xml><?xml version="1.0" encoding="utf-8"?>
<formControlPr xmlns="http://schemas.microsoft.com/office/spreadsheetml/2009/9/main" objectType="CheckBox" checked="Checked" fmlaLink="F87" lockText="1" noThreeD="1"/>
</file>

<file path=xl/ctrlProps/ctrlProp124.xml><?xml version="1.0" encoding="utf-8"?>
<formControlPr xmlns="http://schemas.microsoft.com/office/spreadsheetml/2009/9/main" objectType="CheckBox" fmlaLink="F97" lockText="1" noThreeD="1"/>
</file>

<file path=xl/ctrlProps/ctrlProp125.xml><?xml version="1.0" encoding="utf-8"?>
<formControlPr xmlns="http://schemas.microsoft.com/office/spreadsheetml/2009/9/main" objectType="CheckBox" checked="Checked" fmlaLink="F87" lockText="1" noThreeD="1"/>
</file>

<file path=xl/ctrlProps/ctrlProp126.xml><?xml version="1.0" encoding="utf-8"?>
<formControlPr xmlns="http://schemas.microsoft.com/office/spreadsheetml/2009/9/main" objectType="CheckBox" checked="Checked" fmlaLink="F98" lockText="1" noThreeD="1"/>
</file>

<file path=xl/ctrlProps/ctrlProp127.xml><?xml version="1.0" encoding="utf-8"?>
<formControlPr xmlns="http://schemas.microsoft.com/office/spreadsheetml/2009/9/main" objectType="CheckBox" checked="Checked" fmlaLink="F87" lockText="1" noThreeD="1"/>
</file>

<file path=xl/ctrlProps/ctrlProp128.xml><?xml version="1.0" encoding="utf-8"?>
<formControlPr xmlns="http://schemas.microsoft.com/office/spreadsheetml/2009/9/main" objectType="CheckBox" checked="Checked" fmlaLink="F99" lockText="1" noThreeD="1"/>
</file>

<file path=xl/ctrlProps/ctrlProp129.xml><?xml version="1.0" encoding="utf-8"?>
<formControlPr xmlns="http://schemas.microsoft.com/office/spreadsheetml/2009/9/main" objectType="CheckBox" checked="Checked" fmlaLink="F87" lockText="1" noThreeD="1"/>
</file>

<file path=xl/ctrlProps/ctrlProp130.xml><?xml version="1.0" encoding="utf-8"?>
<formControlPr xmlns="http://schemas.microsoft.com/office/spreadsheetml/2009/9/main" objectType="CheckBox" checked="Checked" fmlaLink="F103" lockText="1" noThreeD="1"/>
</file>

<file path=xl/ctrlProps/ctrlProp131.xml><?xml version="1.0" encoding="utf-8"?>
<formControlPr xmlns="http://schemas.microsoft.com/office/spreadsheetml/2009/9/main" objectType="CheckBox" checked="Checked" fmlaLink="F87" lockText="1" noThreeD="1"/>
</file>

<file path=xl/ctrlProps/ctrlProp132.xml><?xml version="1.0" encoding="utf-8"?>
<formControlPr xmlns="http://schemas.microsoft.com/office/spreadsheetml/2009/9/main" objectType="CheckBox" checked="Checked" fmlaLink="F100" lockText="1" noThreeD="1"/>
</file>

<file path=xl/ctrlProps/ctrlProp133.xml><?xml version="1.0" encoding="utf-8"?>
<formControlPr xmlns="http://schemas.microsoft.com/office/spreadsheetml/2009/9/main" objectType="CheckBox" fmlaLink="F135" lockText="1" noThreeD="1"/>
</file>

<file path=xl/ctrlProps/ctrlProp134.xml><?xml version="1.0" encoding="utf-8"?>
<formControlPr xmlns="http://schemas.microsoft.com/office/spreadsheetml/2009/9/main" objectType="CheckBox" checked="Checked" fmlaLink="F145" lockText="1" noThreeD="1"/>
</file>

<file path=xl/ctrlProps/ctrlProp135.xml><?xml version="1.0" encoding="utf-8"?>
<formControlPr xmlns="http://schemas.microsoft.com/office/spreadsheetml/2009/9/main" objectType="CheckBox" checked="Checked" fmlaLink="F146" lockText="1" noThreeD="1"/>
</file>

<file path=xl/ctrlProps/ctrlProp136.xml><?xml version="1.0" encoding="utf-8"?>
<formControlPr xmlns="http://schemas.microsoft.com/office/spreadsheetml/2009/9/main" objectType="CheckBox" fmlaLink="F147" lockText="1" noThreeD="1"/>
</file>

<file path=xl/ctrlProps/ctrlProp137.xml><?xml version="1.0" encoding="utf-8"?>
<formControlPr xmlns="http://schemas.microsoft.com/office/spreadsheetml/2009/9/main" objectType="CheckBox" checked="Checked" fmlaLink="F123" lockText="1" noThreeD="1"/>
</file>

<file path=xl/ctrlProps/ctrlProp138.xml><?xml version="1.0" encoding="utf-8"?>
<formControlPr xmlns="http://schemas.microsoft.com/office/spreadsheetml/2009/9/main" objectType="CheckBox" fmlaLink="F122" lockText="1" noThreeD="1"/>
</file>

<file path=xl/ctrlProps/ctrlProp139.xml><?xml version="1.0" encoding="utf-8"?>
<formControlPr xmlns="http://schemas.microsoft.com/office/spreadsheetml/2009/9/main" objectType="CheckBox" checked="Checked" fmlaLink="F4" lockText="1" noThreeD="1"/>
</file>

<file path=xl/ctrlProps/ctrlProp140.xml><?xml version="1.0" encoding="utf-8"?>
<formControlPr xmlns="http://schemas.microsoft.com/office/spreadsheetml/2009/9/main" objectType="CheckBox" checked="Checked" fmlaLink="F110" lockText="1" noThreeD="1"/>
</file>

<file path=xl/ctrlProps/ctrlProp141.xml><?xml version="1.0" encoding="utf-8"?>
<formControlPr xmlns="http://schemas.microsoft.com/office/spreadsheetml/2009/9/main" objectType="CheckBox" fmlaLink="F133" lockText="1" noThreeD="1"/>
</file>

<file path=xl/ctrlProps/ctrlProp142.xml><?xml version="1.0" encoding="utf-8"?>
<formControlPr xmlns="http://schemas.microsoft.com/office/spreadsheetml/2009/9/main" objectType="CheckBox" fmlaLink="F138" lockText="1" noThreeD="1"/>
</file>

<file path=xl/ctrlProps/ctrlProp143.xml><?xml version="1.0" encoding="utf-8"?>
<formControlPr xmlns="http://schemas.microsoft.com/office/spreadsheetml/2009/9/main" objectType="CheckBox" checked="Checked" fmlaLink="F150" lockText="1" noThreeD="1"/>
</file>

<file path=xl/ctrlProps/ctrlProp144.xml><?xml version="1.0" encoding="utf-8"?>
<formControlPr xmlns="http://schemas.microsoft.com/office/spreadsheetml/2009/9/main" objectType="CheckBox" checked="Checked" fmlaLink="F151" lockText="1" noThreeD="1"/>
</file>

<file path=xl/ctrlProps/ctrlProp145.xml><?xml version="1.0" encoding="utf-8"?>
<formControlPr xmlns="http://schemas.microsoft.com/office/spreadsheetml/2009/9/main" objectType="CheckBox" checked="Checked" fmlaLink="F6" lockText="1" noThreeD="1"/>
</file>

<file path=xl/ctrlProps/ctrlProp146.xml><?xml version="1.0" encoding="utf-8"?>
<formControlPr xmlns="http://schemas.microsoft.com/office/spreadsheetml/2009/9/main" objectType="CheckBox" fmlaLink="#REF!" lockText="1" noThreeD="1"/>
</file>

<file path=xl/ctrlProps/ctrlProp147.xml><?xml version="1.0" encoding="utf-8"?>
<formControlPr xmlns="http://schemas.microsoft.com/office/spreadsheetml/2009/9/main" objectType="CheckBox" fmlaLink="#REF!" lockText="1" noThreeD="1"/>
</file>

<file path=xl/ctrlProps/ctrlProp148.xml><?xml version="1.0" encoding="utf-8"?>
<formControlPr xmlns="http://schemas.microsoft.com/office/spreadsheetml/2009/9/main" objectType="CheckBox" fmlaLink="F7" lockText="1" noThreeD="1"/>
</file>

<file path=xl/ctrlProps/ctrlProp149.xml><?xml version="1.0" encoding="utf-8"?>
<formControlPr xmlns="http://schemas.microsoft.com/office/spreadsheetml/2009/9/main" objectType="CheckBox" fmlaLink="F8" lockText="1" noThreeD="1"/>
</file>

<file path=xl/ctrlProps/ctrlProp150.xml><?xml version="1.0" encoding="utf-8"?>
<formControlPr xmlns="http://schemas.microsoft.com/office/spreadsheetml/2009/9/main" objectType="CheckBox" fmlaLink="F10" lockText="1" noThreeD="1"/>
</file>

<file path=xl/ctrlProps/ctrlProp151.xml><?xml version="1.0" encoding="utf-8"?>
<formControlPr xmlns="http://schemas.microsoft.com/office/spreadsheetml/2009/9/main" objectType="CheckBox" fmlaLink="F9" lockText="1" noThreeD="1"/>
</file>

<file path=xl/ctrlProps/ctrlProp152.xml><?xml version="1.0" encoding="utf-8"?>
<formControlPr xmlns="http://schemas.microsoft.com/office/spreadsheetml/2009/9/main" objectType="CheckBox" fmlaLink="F11" lockText="1" noThreeD="1"/>
</file>

<file path=xl/ctrlProps/ctrlProp153.xml><?xml version="1.0" encoding="utf-8"?>
<formControlPr xmlns="http://schemas.microsoft.com/office/spreadsheetml/2009/9/main" objectType="CheckBox" fmlaLink="F13" lockText="1" noThreeD="1"/>
</file>

<file path=xl/ctrlProps/ctrlProp154.xml><?xml version="1.0" encoding="utf-8"?>
<formControlPr xmlns="http://schemas.microsoft.com/office/spreadsheetml/2009/9/main" objectType="CheckBox" fmlaLink="F16" lockText="1" noThreeD="1"/>
</file>

<file path=xl/ctrlProps/ctrlProp155.xml><?xml version="1.0" encoding="utf-8"?>
<formControlPr xmlns="http://schemas.microsoft.com/office/spreadsheetml/2009/9/main" objectType="CheckBox" fmlaLink="F19" lockText="1" noThreeD="1"/>
</file>

<file path=xl/ctrlProps/ctrlProp156.xml><?xml version="1.0" encoding="utf-8"?>
<formControlPr xmlns="http://schemas.microsoft.com/office/spreadsheetml/2009/9/main" objectType="CheckBox" fmlaLink="F21" lockText="1" noThreeD="1"/>
</file>

<file path=xl/ctrlProps/ctrlProp157.xml><?xml version="1.0" encoding="utf-8"?>
<formControlPr xmlns="http://schemas.microsoft.com/office/spreadsheetml/2009/9/main" objectType="CheckBox" fmlaLink="F24" lockText="1" noThreeD="1"/>
</file>

<file path=xl/ctrlProps/ctrlProp158.xml><?xml version="1.0" encoding="utf-8"?>
<formControlPr xmlns="http://schemas.microsoft.com/office/spreadsheetml/2009/9/main" objectType="CheckBox" fmlaLink="F26" lockText="1" noThreeD="1"/>
</file>

<file path=xl/ctrlProps/ctrlProp159.xml><?xml version="1.0" encoding="utf-8"?>
<formControlPr xmlns="http://schemas.microsoft.com/office/spreadsheetml/2009/9/main" objectType="CheckBox" fmlaLink="F20"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Relazione!A1"/><Relationship Id="rId6" Type="http://schemas.openxmlformats.org/officeDocument/2006/relationships/hyperlink" Target="#'SEZIONI 3-4'!A1"/><Relationship Id="rId5" Type="http://schemas.openxmlformats.org/officeDocument/2006/relationships/hyperlink" Target="#'SEZIONI 5-6'!A1"/><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Relazione!A1"/><Relationship Id="rId2" Type="http://schemas.openxmlformats.org/officeDocument/2006/relationships/hyperlink" Target="#'SEZIONI 5-6'!A1"/><Relationship Id="rId1" Type="http://schemas.openxmlformats.org/officeDocument/2006/relationships/image" Target="../media/image3.png"/><Relationship Id="rId6" Type="http://schemas.openxmlformats.org/officeDocument/2006/relationships/hyperlink" Target="#'SEZIONI 1-2'!A1"/><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SEZIONI 3-4'!A1"/><Relationship Id="rId2" Type="http://schemas.openxmlformats.org/officeDocument/2006/relationships/hyperlink" Target="#'SEZIONI 1-2'!A1"/><Relationship Id="rId1" Type="http://schemas.openxmlformats.org/officeDocument/2006/relationships/image" Target="../media/image3.png"/><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Relazione!A1"/></Relationships>
</file>

<file path=xl/drawings/_rels/drawing4.xml.rels><?xml version="1.0" encoding="UTF-8" standalone="yes"?>
<Relationships xmlns="http://schemas.openxmlformats.org/package/2006/relationships"><Relationship Id="rId8" Type="http://schemas.openxmlformats.org/officeDocument/2006/relationships/hyperlink" Target="#'SEZIONI 3-4'!A1"/><Relationship Id="rId3" Type="http://schemas.openxmlformats.org/officeDocument/2006/relationships/image" Target="../media/image1.png"/><Relationship Id="rId7" Type="http://schemas.openxmlformats.org/officeDocument/2006/relationships/hyperlink" Target="#'Relazione Compatta (solo 365)'!A1"/><Relationship Id="rId2" Type="http://schemas.openxmlformats.org/officeDocument/2006/relationships/hyperlink" Target="#Relazione!A1"/><Relationship Id="rId1" Type="http://schemas.openxmlformats.org/officeDocument/2006/relationships/image" Target="../media/image3.png"/><Relationship Id="rId6" Type="http://schemas.openxmlformats.org/officeDocument/2006/relationships/hyperlink" Target="#'SEZIONI 5-6'!A1"/><Relationship Id="rId5" Type="http://schemas.openxmlformats.org/officeDocument/2006/relationships/hyperlink" Target="#'SEZIONI 1-2'!A1"/><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hyperlink" Target="#'SEZIONI 5-6'!A1"/><Relationship Id="rId2" Type="http://schemas.openxmlformats.org/officeDocument/2006/relationships/hyperlink" Target="#'SEZIONI 1-2'!A1"/><Relationship Id="rId1" Type="http://schemas.openxmlformats.org/officeDocument/2006/relationships/image" Target="../media/image3.png"/><Relationship Id="rId4" Type="http://schemas.openxmlformats.org/officeDocument/2006/relationships/hyperlink" Target="#'SEZIONI 3-4'!A1"/></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5</xdr:col>
          <xdr:colOff>249767</xdr:colOff>
          <xdr:row>8</xdr:row>
          <xdr:rowOff>241300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12700</xdr:rowOff>
        </xdr:from>
        <xdr:to>
          <xdr:col>5</xdr:col>
          <xdr:colOff>249767</xdr:colOff>
          <xdr:row>9</xdr:row>
          <xdr:rowOff>249767</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5</xdr:col>
          <xdr:colOff>249767</xdr:colOff>
          <xdr:row>10</xdr:row>
          <xdr:rowOff>241300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1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5</xdr:col>
          <xdr:colOff>249767</xdr:colOff>
          <xdr:row>14</xdr:row>
          <xdr:rowOff>241300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1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17</xdr:row>
          <xdr:rowOff>0</xdr:rowOff>
        </xdr:from>
        <xdr:to>
          <xdr:col>5</xdr:col>
          <xdr:colOff>249767</xdr:colOff>
          <xdr:row>17</xdr:row>
          <xdr:rowOff>241300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1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0</xdr:rowOff>
        </xdr:from>
        <xdr:to>
          <xdr:col>5</xdr:col>
          <xdr:colOff>249767</xdr:colOff>
          <xdr:row>20</xdr:row>
          <xdr:rowOff>241300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1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5</xdr:col>
          <xdr:colOff>249767</xdr:colOff>
          <xdr:row>11</xdr:row>
          <xdr:rowOff>241300</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01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5</xdr:col>
          <xdr:colOff>249767</xdr:colOff>
          <xdr:row>12</xdr:row>
          <xdr:rowOff>241300</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01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5</xdr:col>
          <xdr:colOff>249767</xdr:colOff>
          <xdr:row>13</xdr:row>
          <xdr:rowOff>241300</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1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xdr:row>
          <xdr:rowOff>0</xdr:rowOff>
        </xdr:from>
        <xdr:to>
          <xdr:col>5</xdr:col>
          <xdr:colOff>249767</xdr:colOff>
          <xdr:row>15</xdr:row>
          <xdr:rowOff>241300</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01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xdr:row>
          <xdr:rowOff>0</xdr:rowOff>
        </xdr:from>
        <xdr:to>
          <xdr:col>5</xdr:col>
          <xdr:colOff>249767</xdr:colOff>
          <xdr:row>16</xdr:row>
          <xdr:rowOff>241300</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01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440267</xdr:rowOff>
        </xdr:from>
        <xdr:to>
          <xdr:col>5</xdr:col>
          <xdr:colOff>249767</xdr:colOff>
          <xdr:row>21</xdr:row>
          <xdr:rowOff>241300</xdr:rowOff>
        </xdr:to>
        <xdr:sp macro="" textlink="">
          <xdr:nvSpPr>
            <xdr:cNvPr id="5161" name="Check Box 41" hidden="1">
              <a:extLst>
                <a:ext uri="{63B3BB69-23CF-44E3-9099-C40C66FF867C}">
                  <a14:compatExt spid="_x0000_s5161"/>
                </a:ext>
                <a:ext uri="{FF2B5EF4-FFF2-40B4-BE49-F238E27FC236}">
                  <a16:creationId xmlns:a16="http://schemas.microsoft.com/office/drawing/2014/main" id="{00000000-0008-0000-01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5</xdr:col>
          <xdr:colOff>249767</xdr:colOff>
          <xdr:row>22</xdr:row>
          <xdr:rowOff>241300</xdr:rowOff>
        </xdr:to>
        <xdr:sp macro="" textlink="">
          <xdr:nvSpPr>
            <xdr:cNvPr id="5164" name="Check Box 44" hidden="1">
              <a:extLst>
                <a:ext uri="{63B3BB69-23CF-44E3-9099-C40C66FF867C}">
                  <a14:compatExt spid="_x0000_s5164"/>
                </a:ext>
                <a:ext uri="{FF2B5EF4-FFF2-40B4-BE49-F238E27FC236}">
                  <a16:creationId xmlns:a16="http://schemas.microsoft.com/office/drawing/2014/main" id="{00000000-0008-0000-01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5</xdr:col>
          <xdr:colOff>249767</xdr:colOff>
          <xdr:row>23</xdr:row>
          <xdr:rowOff>241300</xdr:rowOff>
        </xdr:to>
        <xdr:sp macro="" textlink="">
          <xdr:nvSpPr>
            <xdr:cNvPr id="5170" name="Check Box 50" hidden="1">
              <a:extLst>
                <a:ext uri="{63B3BB69-23CF-44E3-9099-C40C66FF867C}">
                  <a14:compatExt spid="_x0000_s5170"/>
                </a:ext>
                <a:ext uri="{FF2B5EF4-FFF2-40B4-BE49-F238E27FC236}">
                  <a16:creationId xmlns:a16="http://schemas.microsoft.com/office/drawing/2014/main" id="{00000000-0008-0000-0100-00003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5</xdr:col>
          <xdr:colOff>249767</xdr:colOff>
          <xdr:row>25</xdr:row>
          <xdr:rowOff>241300</xdr:rowOff>
        </xdr:to>
        <xdr:sp macro="" textlink="">
          <xdr:nvSpPr>
            <xdr:cNvPr id="5173" name="Check Box 53" hidden="1">
              <a:extLst>
                <a:ext uri="{63B3BB69-23CF-44E3-9099-C40C66FF867C}">
                  <a14:compatExt spid="_x0000_s5173"/>
                </a:ext>
                <a:ext uri="{FF2B5EF4-FFF2-40B4-BE49-F238E27FC236}">
                  <a16:creationId xmlns:a16="http://schemas.microsoft.com/office/drawing/2014/main" id="{00000000-0008-0000-0100-00003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5</xdr:col>
          <xdr:colOff>249767</xdr:colOff>
          <xdr:row>27</xdr:row>
          <xdr:rowOff>241300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1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28</xdr:row>
          <xdr:rowOff>0</xdr:rowOff>
        </xdr:from>
        <xdr:to>
          <xdr:col>5</xdr:col>
          <xdr:colOff>249767</xdr:colOff>
          <xdr:row>28</xdr:row>
          <xdr:rowOff>241300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1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5</xdr:col>
          <xdr:colOff>249767</xdr:colOff>
          <xdr:row>32</xdr:row>
          <xdr:rowOff>241300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1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440267</xdr:rowOff>
        </xdr:from>
        <xdr:to>
          <xdr:col>5</xdr:col>
          <xdr:colOff>249767</xdr:colOff>
          <xdr:row>34</xdr:row>
          <xdr:rowOff>241300</xdr:rowOff>
        </xdr:to>
        <xdr:sp macro="" textlink="">
          <xdr:nvSpPr>
            <xdr:cNvPr id="5185" name="Check Box 65" hidden="1">
              <a:extLst>
                <a:ext uri="{63B3BB69-23CF-44E3-9099-C40C66FF867C}">
                  <a14:compatExt spid="_x0000_s5185"/>
                </a:ext>
                <a:ext uri="{FF2B5EF4-FFF2-40B4-BE49-F238E27FC236}">
                  <a16:creationId xmlns:a16="http://schemas.microsoft.com/office/drawing/2014/main" id="{00000000-0008-0000-0100-00004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5</xdr:col>
          <xdr:colOff>249767</xdr:colOff>
          <xdr:row>26</xdr:row>
          <xdr:rowOff>241300</xdr:rowOff>
        </xdr:to>
        <xdr:sp macro="" textlink="">
          <xdr:nvSpPr>
            <xdr:cNvPr id="5188" name="Check Box 68" hidden="1">
              <a:extLst>
                <a:ext uri="{63B3BB69-23CF-44E3-9099-C40C66FF867C}">
                  <a14:compatExt spid="_x0000_s5188"/>
                </a:ext>
                <a:ext uri="{FF2B5EF4-FFF2-40B4-BE49-F238E27FC236}">
                  <a16:creationId xmlns:a16="http://schemas.microsoft.com/office/drawing/2014/main" id="{00000000-0008-0000-0100-00004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5</xdr:col>
          <xdr:colOff>249767</xdr:colOff>
          <xdr:row>24</xdr:row>
          <xdr:rowOff>241300</xdr:rowOff>
        </xdr:to>
        <xdr:sp macro="" textlink="">
          <xdr:nvSpPr>
            <xdr:cNvPr id="5191" name="Check Box 71" hidden="1">
              <a:extLst>
                <a:ext uri="{63B3BB69-23CF-44E3-9099-C40C66FF867C}">
                  <a14:compatExt spid="_x0000_s5191"/>
                </a:ext>
                <a:ext uri="{FF2B5EF4-FFF2-40B4-BE49-F238E27FC236}">
                  <a16:creationId xmlns:a16="http://schemas.microsoft.com/office/drawing/2014/main" id="{00000000-0008-0000-0100-00004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5</xdr:col>
          <xdr:colOff>249767</xdr:colOff>
          <xdr:row>29</xdr:row>
          <xdr:rowOff>241300</xdr:rowOff>
        </xdr:to>
        <xdr:sp macro="" textlink="">
          <xdr:nvSpPr>
            <xdr:cNvPr id="5194" name="Check Box 74" hidden="1">
              <a:extLst>
                <a:ext uri="{63B3BB69-23CF-44E3-9099-C40C66FF867C}">
                  <a14:compatExt spid="_x0000_s5194"/>
                </a:ext>
                <a:ext uri="{FF2B5EF4-FFF2-40B4-BE49-F238E27FC236}">
                  <a16:creationId xmlns:a16="http://schemas.microsoft.com/office/drawing/2014/main" id="{00000000-0008-0000-0100-00004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30</xdr:row>
          <xdr:rowOff>0</xdr:rowOff>
        </xdr:from>
        <xdr:to>
          <xdr:col>5</xdr:col>
          <xdr:colOff>249767</xdr:colOff>
          <xdr:row>30</xdr:row>
          <xdr:rowOff>241300</xdr:rowOff>
        </xdr:to>
        <xdr:sp macro="" textlink="">
          <xdr:nvSpPr>
            <xdr:cNvPr id="5195" name="Check Box 75" hidden="1">
              <a:extLst>
                <a:ext uri="{63B3BB69-23CF-44E3-9099-C40C66FF867C}">
                  <a14:compatExt spid="_x0000_s5195"/>
                </a:ext>
                <a:ext uri="{FF2B5EF4-FFF2-40B4-BE49-F238E27FC236}">
                  <a16:creationId xmlns:a16="http://schemas.microsoft.com/office/drawing/2014/main" id="{00000000-0008-0000-0100-00004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5</xdr:col>
          <xdr:colOff>249767</xdr:colOff>
          <xdr:row>31</xdr:row>
          <xdr:rowOff>241300</xdr:rowOff>
        </xdr:to>
        <xdr:sp macro="" textlink="">
          <xdr:nvSpPr>
            <xdr:cNvPr id="5196" name="Check Box 76" hidden="1">
              <a:extLst>
                <a:ext uri="{63B3BB69-23CF-44E3-9099-C40C66FF867C}">
                  <a14:compatExt spid="_x0000_s5196"/>
                </a:ext>
                <a:ext uri="{FF2B5EF4-FFF2-40B4-BE49-F238E27FC236}">
                  <a16:creationId xmlns:a16="http://schemas.microsoft.com/office/drawing/2014/main" id="{00000000-0008-0000-0100-00004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5</xdr:col>
          <xdr:colOff>249767</xdr:colOff>
          <xdr:row>33</xdr:row>
          <xdr:rowOff>241300</xdr:rowOff>
        </xdr:to>
        <xdr:sp macro="" textlink="">
          <xdr:nvSpPr>
            <xdr:cNvPr id="5199" name="Check Box 79" hidden="1">
              <a:extLst>
                <a:ext uri="{63B3BB69-23CF-44E3-9099-C40C66FF867C}">
                  <a14:compatExt spid="_x0000_s5199"/>
                </a:ext>
                <a:ext uri="{FF2B5EF4-FFF2-40B4-BE49-F238E27FC236}">
                  <a16:creationId xmlns:a16="http://schemas.microsoft.com/office/drawing/2014/main" id="{00000000-0008-0000-0100-00004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5</xdr:col>
          <xdr:colOff>249767</xdr:colOff>
          <xdr:row>35</xdr:row>
          <xdr:rowOff>241300</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1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xdr:row>
          <xdr:rowOff>0</xdr:rowOff>
        </xdr:from>
        <xdr:to>
          <xdr:col>5</xdr:col>
          <xdr:colOff>249767</xdr:colOff>
          <xdr:row>36</xdr:row>
          <xdr:rowOff>241300</xdr:rowOff>
        </xdr:to>
        <xdr:sp macro="" textlink="">
          <xdr:nvSpPr>
            <xdr:cNvPr id="5205" name="Check Box 85" hidden="1">
              <a:extLst>
                <a:ext uri="{63B3BB69-23CF-44E3-9099-C40C66FF867C}">
                  <a14:compatExt spid="_x0000_s5205"/>
                </a:ext>
                <a:ext uri="{FF2B5EF4-FFF2-40B4-BE49-F238E27FC236}">
                  <a16:creationId xmlns:a16="http://schemas.microsoft.com/office/drawing/2014/main" id="{00000000-0008-0000-0100-00005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223472</xdr:colOff>
      <xdr:row>0</xdr:row>
      <xdr:rowOff>169984</xdr:rowOff>
    </xdr:from>
    <xdr:to>
      <xdr:col>4</xdr:col>
      <xdr:colOff>5095875</xdr:colOff>
      <xdr:row>0</xdr:row>
      <xdr:rowOff>953965</xdr:rowOff>
    </xdr:to>
    <xdr:sp macro="" textlink="">
      <xdr:nvSpPr>
        <xdr:cNvPr id="2" name="Rettangolo con angoli arrotondati 1">
          <a:extLst>
            <a:ext uri="{FF2B5EF4-FFF2-40B4-BE49-F238E27FC236}">
              <a16:creationId xmlns:a16="http://schemas.microsoft.com/office/drawing/2014/main" id="{00000000-0008-0000-0100-000002000000}"/>
            </a:ext>
          </a:extLst>
        </xdr:cNvPr>
        <xdr:cNvSpPr/>
      </xdr:nvSpPr>
      <xdr:spPr>
        <a:xfrm>
          <a:off x="223472" y="169984"/>
          <a:ext cx="6463078"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t-IT" sz="30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rPr>
            <a:t>Check list - Adeguati Assetti</a:t>
          </a:r>
        </a:p>
      </xdr:txBody>
    </xdr:sp>
    <xdr:clientData/>
  </xdr:twoCellAnchor>
  <xdr:twoCellAnchor>
    <xdr:from>
      <xdr:col>5</xdr:col>
      <xdr:colOff>270364</xdr:colOff>
      <xdr:row>4</xdr:row>
      <xdr:rowOff>65209</xdr:rowOff>
    </xdr:from>
    <xdr:to>
      <xdr:col>7</xdr:col>
      <xdr:colOff>0</xdr:colOff>
      <xdr:row>6</xdr:row>
      <xdr:rowOff>1047750</xdr:rowOff>
    </xdr:to>
    <xdr:grpSp>
      <xdr:nvGrpSpPr>
        <xdr:cNvPr id="4" name="Gruppo 3">
          <a:hlinkClick xmlns:r="http://schemas.openxmlformats.org/officeDocument/2006/relationships" r:id="rId1"/>
          <a:extLst>
            <a:ext uri="{FF2B5EF4-FFF2-40B4-BE49-F238E27FC236}">
              <a16:creationId xmlns:a16="http://schemas.microsoft.com/office/drawing/2014/main" id="{00000000-0008-0000-0100-000004000000}"/>
            </a:ext>
          </a:extLst>
        </xdr:cNvPr>
        <xdr:cNvGrpSpPr/>
      </xdr:nvGrpSpPr>
      <xdr:grpSpPr>
        <a:xfrm>
          <a:off x="10901553" y="1839528"/>
          <a:ext cx="1319897" cy="1284396"/>
          <a:chOff x="9072034" y="1562101"/>
          <a:chExt cx="1170917" cy="1092199"/>
        </a:xfrm>
      </xdr:grpSpPr>
      <xdr:pic>
        <xdr:nvPicPr>
          <xdr:cNvPr id="5" name="Elemento grafico 4" descr="Elenco contorn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072034" y="1739900"/>
            <a:ext cx="914400" cy="914400"/>
          </a:xfrm>
          <a:prstGeom prst="rect">
            <a:avLst/>
          </a:prstGeom>
        </xdr:spPr>
      </xdr:pic>
      <xdr:sp macro="" textlink="">
        <xdr:nvSpPr>
          <xdr:cNvPr id="6" name="CasellaDiTesto 5">
            <a:extLst>
              <a:ext uri="{FF2B5EF4-FFF2-40B4-BE49-F238E27FC236}">
                <a16:creationId xmlns:a16="http://schemas.microsoft.com/office/drawing/2014/main" id="{00000000-0008-0000-0100-000006000000}"/>
              </a:ext>
            </a:extLst>
          </xdr:cNvPr>
          <xdr:cNvSpPr txBox="1"/>
        </xdr:nvSpPr>
        <xdr:spPr>
          <a:xfrm>
            <a:off x="9131300" y="1562101"/>
            <a:ext cx="11116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100"/>
              <a:t>Relazione</a:t>
            </a:r>
            <a:r>
              <a:rPr lang="it-IT" sz="1100" baseline="0"/>
              <a:t> Finale</a:t>
            </a:r>
            <a:endParaRPr lang="it-IT" sz="1100"/>
          </a:p>
        </xdr:txBody>
      </xdr:sp>
    </xdr:grpSp>
    <xdr:clientData/>
  </xdr:twoCellAnchor>
  <xdr:twoCellAnchor editAs="oneCell">
    <xdr:from>
      <xdr:col>4</xdr:col>
      <xdr:colOff>6172931</xdr:colOff>
      <xdr:row>0</xdr:row>
      <xdr:rowOff>164123</xdr:rowOff>
    </xdr:from>
    <xdr:to>
      <xdr:col>6</xdr:col>
      <xdr:colOff>875077</xdr:colOff>
      <xdr:row>0</xdr:row>
      <xdr:rowOff>905933</xdr:rowOff>
    </xdr:to>
    <xdr:pic>
      <xdr:nvPicPr>
        <xdr:cNvPr id="7" name="Immagin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49431" y="164123"/>
          <a:ext cx="2369771" cy="740752"/>
        </a:xfrm>
        <a:prstGeom prst="rect">
          <a:avLst/>
        </a:prstGeom>
      </xdr:spPr>
    </xdr:pic>
    <xdr:clientData/>
  </xdr:twoCellAnchor>
  <xdr:twoCellAnchor>
    <xdr:from>
      <xdr:col>4</xdr:col>
      <xdr:colOff>5953125</xdr:colOff>
      <xdr:row>6</xdr:row>
      <xdr:rowOff>352425</xdr:rowOff>
    </xdr:from>
    <xdr:to>
      <xdr:col>4</xdr:col>
      <xdr:colOff>7096125</xdr:colOff>
      <xdr:row>6</xdr:row>
      <xdr:rowOff>895350</xdr:rowOff>
    </xdr:to>
    <xdr:sp macro="" textlink="">
      <xdr:nvSpPr>
        <xdr:cNvPr id="9" name="Rettangolo con angoli arrotondati 8">
          <a:hlinkClick xmlns:r="http://schemas.openxmlformats.org/officeDocument/2006/relationships" r:id="rId5"/>
          <a:extLst>
            <a:ext uri="{FF2B5EF4-FFF2-40B4-BE49-F238E27FC236}">
              <a16:creationId xmlns:a16="http://schemas.microsoft.com/office/drawing/2014/main" id="{00000000-0008-0000-0100-000009000000}"/>
            </a:ext>
          </a:extLst>
        </xdr:cNvPr>
        <xdr:cNvSpPr/>
      </xdr:nvSpPr>
      <xdr:spPr>
        <a:xfrm>
          <a:off x="7543800" y="2419350"/>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5-6</a:t>
          </a:r>
          <a:endParaRPr lang="it-IT" sz="1200" b="1"/>
        </a:p>
      </xdr:txBody>
    </xdr:sp>
    <xdr:clientData/>
  </xdr:twoCellAnchor>
  <xdr:twoCellAnchor>
    <xdr:from>
      <xdr:col>4</xdr:col>
      <xdr:colOff>4352925</xdr:colOff>
      <xdr:row>6</xdr:row>
      <xdr:rowOff>352425</xdr:rowOff>
    </xdr:from>
    <xdr:to>
      <xdr:col>4</xdr:col>
      <xdr:colOff>5495925</xdr:colOff>
      <xdr:row>6</xdr:row>
      <xdr:rowOff>895350</xdr:rowOff>
    </xdr:to>
    <xdr:sp macro="" textlink="">
      <xdr:nvSpPr>
        <xdr:cNvPr id="13" name="Rettangolo con angoli arrotondati 12">
          <a:hlinkClick xmlns:r="http://schemas.openxmlformats.org/officeDocument/2006/relationships" r:id="rId6"/>
          <a:extLst>
            <a:ext uri="{FF2B5EF4-FFF2-40B4-BE49-F238E27FC236}">
              <a16:creationId xmlns:a16="http://schemas.microsoft.com/office/drawing/2014/main" id="{00000000-0008-0000-0100-00000D000000}"/>
            </a:ext>
          </a:extLst>
        </xdr:cNvPr>
        <xdr:cNvSpPr/>
      </xdr:nvSpPr>
      <xdr:spPr>
        <a:xfrm>
          <a:off x="5943600" y="2419350"/>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3-4</a:t>
          </a:r>
          <a:endParaRPr lang="it-IT" sz="1200" b="1"/>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38100</xdr:colOff>
          <xdr:row>11</xdr:row>
          <xdr:rowOff>38100</xdr:rowOff>
        </xdr:from>
        <xdr:to>
          <xdr:col>5</xdr:col>
          <xdr:colOff>254000</xdr:colOff>
          <xdr:row>11</xdr:row>
          <xdr:rowOff>241300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2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12</xdr:row>
          <xdr:rowOff>38100</xdr:rowOff>
        </xdr:from>
        <xdr:to>
          <xdr:col>5</xdr:col>
          <xdr:colOff>254000</xdr:colOff>
          <xdr:row>12</xdr:row>
          <xdr:rowOff>241300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2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xdr:row>
          <xdr:rowOff>38100</xdr:rowOff>
        </xdr:from>
        <xdr:to>
          <xdr:col>5</xdr:col>
          <xdr:colOff>254000</xdr:colOff>
          <xdr:row>13</xdr:row>
          <xdr:rowOff>241300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2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38100</xdr:rowOff>
        </xdr:from>
        <xdr:to>
          <xdr:col>5</xdr:col>
          <xdr:colOff>254000</xdr:colOff>
          <xdr:row>14</xdr:row>
          <xdr:rowOff>241300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2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38100</xdr:rowOff>
        </xdr:from>
        <xdr:to>
          <xdr:col>5</xdr:col>
          <xdr:colOff>254000</xdr:colOff>
          <xdr:row>15</xdr:row>
          <xdr:rowOff>241300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2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16</xdr:row>
          <xdr:rowOff>38100</xdr:rowOff>
        </xdr:from>
        <xdr:to>
          <xdr:col>5</xdr:col>
          <xdr:colOff>254000</xdr:colOff>
          <xdr:row>16</xdr:row>
          <xdr:rowOff>241300</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2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17</xdr:row>
          <xdr:rowOff>38100</xdr:rowOff>
        </xdr:from>
        <xdr:to>
          <xdr:col>5</xdr:col>
          <xdr:colOff>254000</xdr:colOff>
          <xdr:row>17</xdr:row>
          <xdr:rowOff>241300</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2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18</xdr:row>
          <xdr:rowOff>38100</xdr:rowOff>
        </xdr:from>
        <xdr:to>
          <xdr:col>5</xdr:col>
          <xdr:colOff>254000</xdr:colOff>
          <xdr:row>18</xdr:row>
          <xdr:rowOff>241300</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2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19</xdr:row>
          <xdr:rowOff>38100</xdr:rowOff>
        </xdr:from>
        <xdr:to>
          <xdr:col>5</xdr:col>
          <xdr:colOff>254000</xdr:colOff>
          <xdr:row>19</xdr:row>
          <xdr:rowOff>241300</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2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20</xdr:row>
          <xdr:rowOff>38100</xdr:rowOff>
        </xdr:from>
        <xdr:to>
          <xdr:col>5</xdr:col>
          <xdr:colOff>254000</xdr:colOff>
          <xdr:row>20</xdr:row>
          <xdr:rowOff>241300</xdr:rowOff>
        </xdr:to>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200-00000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xdr:row>
          <xdr:rowOff>38100</xdr:rowOff>
        </xdr:from>
        <xdr:to>
          <xdr:col>5</xdr:col>
          <xdr:colOff>254000</xdr:colOff>
          <xdr:row>6</xdr:row>
          <xdr:rowOff>241300</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2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xdr:row>
          <xdr:rowOff>38100</xdr:rowOff>
        </xdr:from>
        <xdr:to>
          <xdr:col>5</xdr:col>
          <xdr:colOff>254000</xdr:colOff>
          <xdr:row>7</xdr:row>
          <xdr:rowOff>241300</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2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xdr:row>
          <xdr:rowOff>38100</xdr:rowOff>
        </xdr:from>
        <xdr:to>
          <xdr:col>5</xdr:col>
          <xdr:colOff>254000</xdr:colOff>
          <xdr:row>8</xdr:row>
          <xdr:rowOff>241300</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200-00000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23</xdr:row>
          <xdr:rowOff>38100</xdr:rowOff>
        </xdr:from>
        <xdr:to>
          <xdr:col>5</xdr:col>
          <xdr:colOff>254000</xdr:colOff>
          <xdr:row>23</xdr:row>
          <xdr:rowOff>241300</xdr:rowOff>
        </xdr:to>
        <xdr:sp macro="" textlink="">
          <xdr:nvSpPr>
            <xdr:cNvPr id="7205" name="Check Box 37" hidden="1">
              <a:extLst>
                <a:ext uri="{63B3BB69-23CF-44E3-9099-C40C66FF867C}">
                  <a14:compatExt spid="_x0000_s7205"/>
                </a:ext>
                <a:ext uri="{FF2B5EF4-FFF2-40B4-BE49-F238E27FC236}">
                  <a16:creationId xmlns:a16="http://schemas.microsoft.com/office/drawing/2014/main" id="{00000000-0008-0000-0200-00002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24</xdr:row>
          <xdr:rowOff>38100</xdr:rowOff>
        </xdr:from>
        <xdr:to>
          <xdr:col>5</xdr:col>
          <xdr:colOff>254000</xdr:colOff>
          <xdr:row>24</xdr:row>
          <xdr:rowOff>241300</xdr:rowOff>
        </xdr:to>
        <xdr:sp macro="" textlink="">
          <xdr:nvSpPr>
            <xdr:cNvPr id="7206" name="Check Box 38" hidden="1">
              <a:extLst>
                <a:ext uri="{63B3BB69-23CF-44E3-9099-C40C66FF867C}">
                  <a14:compatExt spid="_x0000_s7206"/>
                </a:ext>
                <a:ext uri="{FF2B5EF4-FFF2-40B4-BE49-F238E27FC236}">
                  <a16:creationId xmlns:a16="http://schemas.microsoft.com/office/drawing/2014/main" id="{00000000-0008-0000-0200-00002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25</xdr:row>
          <xdr:rowOff>38100</xdr:rowOff>
        </xdr:from>
        <xdr:to>
          <xdr:col>5</xdr:col>
          <xdr:colOff>254000</xdr:colOff>
          <xdr:row>25</xdr:row>
          <xdr:rowOff>241300</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200-00002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26</xdr:row>
          <xdr:rowOff>38100</xdr:rowOff>
        </xdr:from>
        <xdr:to>
          <xdr:col>5</xdr:col>
          <xdr:colOff>254000</xdr:colOff>
          <xdr:row>26</xdr:row>
          <xdr:rowOff>241300</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200-00002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107</xdr:row>
          <xdr:rowOff>21167</xdr:rowOff>
        </xdr:from>
        <xdr:to>
          <xdr:col>6</xdr:col>
          <xdr:colOff>12700</xdr:colOff>
          <xdr:row>107</xdr:row>
          <xdr:rowOff>254000</xdr:rowOff>
        </xdr:to>
        <xdr:sp macro="" textlink="">
          <xdr:nvSpPr>
            <xdr:cNvPr id="7219" name="Check Box 51" hidden="1">
              <a:extLst>
                <a:ext uri="{63B3BB69-23CF-44E3-9099-C40C66FF867C}">
                  <a14:compatExt spid="_x0000_s7219"/>
                </a:ext>
                <a:ext uri="{FF2B5EF4-FFF2-40B4-BE49-F238E27FC236}">
                  <a16:creationId xmlns:a16="http://schemas.microsoft.com/office/drawing/2014/main" id="{00000000-0008-0000-0200-00003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108</xdr:row>
          <xdr:rowOff>0</xdr:rowOff>
        </xdr:from>
        <xdr:to>
          <xdr:col>6</xdr:col>
          <xdr:colOff>0</xdr:colOff>
          <xdr:row>108</xdr:row>
          <xdr:rowOff>241300</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200-00003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109</xdr:row>
          <xdr:rowOff>12700</xdr:rowOff>
        </xdr:from>
        <xdr:to>
          <xdr:col>6</xdr:col>
          <xdr:colOff>0</xdr:colOff>
          <xdr:row>109</xdr:row>
          <xdr:rowOff>249767</xdr:rowOff>
        </xdr:to>
        <xdr:sp macro="" textlink="">
          <xdr:nvSpPr>
            <xdr:cNvPr id="7221" name="Check Box 53" hidden="1">
              <a:extLst>
                <a:ext uri="{63B3BB69-23CF-44E3-9099-C40C66FF867C}">
                  <a14:compatExt spid="_x0000_s7221"/>
                </a:ext>
                <a:ext uri="{FF2B5EF4-FFF2-40B4-BE49-F238E27FC236}">
                  <a16:creationId xmlns:a16="http://schemas.microsoft.com/office/drawing/2014/main" id="{00000000-0008-0000-0200-00003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21167</xdr:colOff>
          <xdr:row>113</xdr:row>
          <xdr:rowOff>21167</xdr:rowOff>
        </xdr:from>
        <xdr:to>
          <xdr:col>5</xdr:col>
          <xdr:colOff>266700</xdr:colOff>
          <xdr:row>113</xdr:row>
          <xdr:rowOff>254000</xdr:rowOff>
        </xdr:to>
        <xdr:sp macro="" textlink="">
          <xdr:nvSpPr>
            <xdr:cNvPr id="7222" name="Check Box 54" hidden="1">
              <a:extLst>
                <a:ext uri="{63B3BB69-23CF-44E3-9099-C40C66FF867C}">
                  <a14:compatExt spid="_x0000_s7222"/>
                </a:ext>
                <a:ext uri="{FF2B5EF4-FFF2-40B4-BE49-F238E27FC236}">
                  <a16:creationId xmlns:a16="http://schemas.microsoft.com/office/drawing/2014/main" id="{00000000-0008-0000-0200-00003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125</xdr:row>
          <xdr:rowOff>0</xdr:rowOff>
        </xdr:from>
        <xdr:to>
          <xdr:col>6</xdr:col>
          <xdr:colOff>12700</xdr:colOff>
          <xdr:row>125</xdr:row>
          <xdr:rowOff>241300</xdr:rowOff>
        </xdr:to>
        <xdr:sp macro="" textlink="">
          <xdr:nvSpPr>
            <xdr:cNvPr id="7224" name="Check Box 56" hidden="1">
              <a:extLst>
                <a:ext uri="{63B3BB69-23CF-44E3-9099-C40C66FF867C}">
                  <a14:compatExt spid="_x0000_s7224"/>
                </a:ext>
                <a:ext uri="{FF2B5EF4-FFF2-40B4-BE49-F238E27FC236}">
                  <a16:creationId xmlns:a16="http://schemas.microsoft.com/office/drawing/2014/main" id="{00000000-0008-0000-0200-00003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126</xdr:row>
          <xdr:rowOff>0</xdr:rowOff>
        </xdr:from>
        <xdr:to>
          <xdr:col>6</xdr:col>
          <xdr:colOff>12700</xdr:colOff>
          <xdr:row>126</xdr:row>
          <xdr:rowOff>241300</xdr:rowOff>
        </xdr:to>
        <xdr:sp macro="" textlink="">
          <xdr:nvSpPr>
            <xdr:cNvPr id="7225" name="Check Box 57" hidden="1">
              <a:extLst>
                <a:ext uri="{63B3BB69-23CF-44E3-9099-C40C66FF867C}">
                  <a14:compatExt spid="_x0000_s7225"/>
                </a:ext>
                <a:ext uri="{FF2B5EF4-FFF2-40B4-BE49-F238E27FC236}">
                  <a16:creationId xmlns:a16="http://schemas.microsoft.com/office/drawing/2014/main" id="{00000000-0008-0000-0200-00003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127</xdr:row>
          <xdr:rowOff>0</xdr:rowOff>
        </xdr:from>
        <xdr:to>
          <xdr:col>6</xdr:col>
          <xdr:colOff>12700</xdr:colOff>
          <xdr:row>127</xdr:row>
          <xdr:rowOff>241300</xdr:rowOff>
        </xdr:to>
        <xdr:sp macro="" textlink="">
          <xdr:nvSpPr>
            <xdr:cNvPr id="7226" name="Check Box 58" hidden="1">
              <a:extLst>
                <a:ext uri="{63B3BB69-23CF-44E3-9099-C40C66FF867C}">
                  <a14:compatExt spid="_x0000_s7226"/>
                </a:ext>
                <a:ext uri="{FF2B5EF4-FFF2-40B4-BE49-F238E27FC236}">
                  <a16:creationId xmlns:a16="http://schemas.microsoft.com/office/drawing/2014/main" id="{00000000-0008-0000-0200-00003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128</xdr:row>
          <xdr:rowOff>0</xdr:rowOff>
        </xdr:from>
        <xdr:to>
          <xdr:col>6</xdr:col>
          <xdr:colOff>12700</xdr:colOff>
          <xdr:row>128</xdr:row>
          <xdr:rowOff>241300</xdr:rowOff>
        </xdr:to>
        <xdr:sp macro="" textlink="">
          <xdr:nvSpPr>
            <xdr:cNvPr id="7227" name="Check Box 59" hidden="1">
              <a:extLst>
                <a:ext uri="{63B3BB69-23CF-44E3-9099-C40C66FF867C}">
                  <a14:compatExt spid="_x0000_s7227"/>
                </a:ext>
                <a:ext uri="{FF2B5EF4-FFF2-40B4-BE49-F238E27FC236}">
                  <a16:creationId xmlns:a16="http://schemas.microsoft.com/office/drawing/2014/main" id="{00000000-0008-0000-0200-00003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129</xdr:row>
          <xdr:rowOff>0</xdr:rowOff>
        </xdr:from>
        <xdr:to>
          <xdr:col>6</xdr:col>
          <xdr:colOff>12700</xdr:colOff>
          <xdr:row>129</xdr:row>
          <xdr:rowOff>241300</xdr:rowOff>
        </xdr:to>
        <xdr:sp macro="" textlink="">
          <xdr:nvSpPr>
            <xdr:cNvPr id="7228" name="Check Box 60" hidden="1">
              <a:extLst>
                <a:ext uri="{63B3BB69-23CF-44E3-9099-C40C66FF867C}">
                  <a14:compatExt spid="_x0000_s7228"/>
                </a:ext>
                <a:ext uri="{FF2B5EF4-FFF2-40B4-BE49-F238E27FC236}">
                  <a16:creationId xmlns:a16="http://schemas.microsoft.com/office/drawing/2014/main" id="{00000000-0008-0000-0200-00003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130</xdr:row>
          <xdr:rowOff>25400</xdr:rowOff>
        </xdr:from>
        <xdr:to>
          <xdr:col>6</xdr:col>
          <xdr:colOff>12700</xdr:colOff>
          <xdr:row>130</xdr:row>
          <xdr:rowOff>266700</xdr:rowOff>
        </xdr:to>
        <xdr:sp macro="" textlink="">
          <xdr:nvSpPr>
            <xdr:cNvPr id="7229" name="Check Box 61" hidden="1">
              <a:extLst>
                <a:ext uri="{63B3BB69-23CF-44E3-9099-C40C66FF867C}">
                  <a14:compatExt spid="_x0000_s7229"/>
                </a:ext>
                <a:ext uri="{FF2B5EF4-FFF2-40B4-BE49-F238E27FC236}">
                  <a16:creationId xmlns:a16="http://schemas.microsoft.com/office/drawing/2014/main" id="{00000000-0008-0000-0200-00003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136</xdr:row>
          <xdr:rowOff>25400</xdr:rowOff>
        </xdr:from>
        <xdr:to>
          <xdr:col>6</xdr:col>
          <xdr:colOff>0</xdr:colOff>
          <xdr:row>136</xdr:row>
          <xdr:rowOff>266700</xdr:rowOff>
        </xdr:to>
        <xdr:sp macro="" textlink="">
          <xdr:nvSpPr>
            <xdr:cNvPr id="7231" name="Check Box 63" hidden="1">
              <a:extLst>
                <a:ext uri="{63B3BB69-23CF-44E3-9099-C40C66FF867C}">
                  <a14:compatExt spid="_x0000_s7231"/>
                </a:ext>
                <a:ext uri="{FF2B5EF4-FFF2-40B4-BE49-F238E27FC236}">
                  <a16:creationId xmlns:a16="http://schemas.microsoft.com/office/drawing/2014/main" id="{00000000-0008-0000-0200-00003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139</xdr:row>
          <xdr:rowOff>25400</xdr:rowOff>
        </xdr:from>
        <xdr:to>
          <xdr:col>6</xdr:col>
          <xdr:colOff>21167</xdr:colOff>
          <xdr:row>139</xdr:row>
          <xdr:rowOff>266700</xdr:rowOff>
        </xdr:to>
        <xdr:sp macro="" textlink="">
          <xdr:nvSpPr>
            <xdr:cNvPr id="7232" name="Check Box 64" hidden="1">
              <a:extLst>
                <a:ext uri="{63B3BB69-23CF-44E3-9099-C40C66FF867C}">
                  <a14:compatExt spid="_x0000_s7232"/>
                </a:ext>
                <a:ext uri="{FF2B5EF4-FFF2-40B4-BE49-F238E27FC236}">
                  <a16:creationId xmlns:a16="http://schemas.microsoft.com/office/drawing/2014/main" id="{00000000-0008-0000-0200-00004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141</xdr:row>
          <xdr:rowOff>25400</xdr:rowOff>
        </xdr:from>
        <xdr:to>
          <xdr:col>6</xdr:col>
          <xdr:colOff>21167</xdr:colOff>
          <xdr:row>141</xdr:row>
          <xdr:rowOff>266700</xdr:rowOff>
        </xdr:to>
        <xdr:sp macro="" textlink="">
          <xdr:nvSpPr>
            <xdr:cNvPr id="7233" name="Check Box 65" hidden="1">
              <a:extLst>
                <a:ext uri="{63B3BB69-23CF-44E3-9099-C40C66FF867C}">
                  <a14:compatExt spid="_x0000_s7233"/>
                </a:ext>
                <a:ext uri="{FF2B5EF4-FFF2-40B4-BE49-F238E27FC236}">
                  <a16:creationId xmlns:a16="http://schemas.microsoft.com/office/drawing/2014/main" id="{00000000-0008-0000-0200-00004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143</xdr:row>
          <xdr:rowOff>25400</xdr:rowOff>
        </xdr:from>
        <xdr:to>
          <xdr:col>6</xdr:col>
          <xdr:colOff>21167</xdr:colOff>
          <xdr:row>143</xdr:row>
          <xdr:rowOff>266700</xdr:rowOff>
        </xdr:to>
        <xdr:sp macro="" textlink="">
          <xdr:nvSpPr>
            <xdr:cNvPr id="7234" name="Check Box 66" hidden="1">
              <a:extLst>
                <a:ext uri="{63B3BB69-23CF-44E3-9099-C40C66FF867C}">
                  <a14:compatExt spid="_x0000_s7234"/>
                </a:ext>
                <a:ext uri="{FF2B5EF4-FFF2-40B4-BE49-F238E27FC236}">
                  <a16:creationId xmlns:a16="http://schemas.microsoft.com/office/drawing/2014/main" id="{00000000-0008-0000-0200-00004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148</xdr:row>
          <xdr:rowOff>76200</xdr:rowOff>
        </xdr:from>
        <xdr:to>
          <xdr:col>6</xdr:col>
          <xdr:colOff>0</xdr:colOff>
          <xdr:row>148</xdr:row>
          <xdr:rowOff>317500</xdr:rowOff>
        </xdr:to>
        <xdr:sp macro="" textlink="">
          <xdr:nvSpPr>
            <xdr:cNvPr id="7235" name="Check Box 67" hidden="1">
              <a:extLst>
                <a:ext uri="{63B3BB69-23CF-44E3-9099-C40C66FF867C}">
                  <a14:compatExt spid="_x0000_s7235"/>
                </a:ext>
                <a:ext uri="{FF2B5EF4-FFF2-40B4-BE49-F238E27FC236}">
                  <a16:creationId xmlns:a16="http://schemas.microsoft.com/office/drawing/2014/main" id="{00000000-0008-0000-0200-00004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7248" name="Check Box 80" hidden="1">
              <a:extLst>
                <a:ext uri="{63B3BB69-23CF-44E3-9099-C40C66FF867C}">
                  <a14:compatExt spid="_x0000_s7248"/>
                </a:ext>
                <a:ext uri="{FF2B5EF4-FFF2-40B4-BE49-F238E27FC236}">
                  <a16:creationId xmlns:a16="http://schemas.microsoft.com/office/drawing/2014/main" id="{00000000-0008-0000-0200-00005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29</xdr:row>
          <xdr:rowOff>38100</xdr:rowOff>
        </xdr:from>
        <xdr:to>
          <xdr:col>5</xdr:col>
          <xdr:colOff>254000</xdr:colOff>
          <xdr:row>29</xdr:row>
          <xdr:rowOff>241300</xdr:rowOff>
        </xdr:to>
        <xdr:sp macro="" textlink="">
          <xdr:nvSpPr>
            <xdr:cNvPr id="7251" name="Check Box 83" hidden="1">
              <a:extLst>
                <a:ext uri="{63B3BB69-23CF-44E3-9099-C40C66FF867C}">
                  <a14:compatExt spid="_x0000_s7251"/>
                </a:ext>
                <a:ext uri="{FF2B5EF4-FFF2-40B4-BE49-F238E27FC236}">
                  <a16:creationId xmlns:a16="http://schemas.microsoft.com/office/drawing/2014/main" id="{00000000-0008-0000-0200-00005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30</xdr:row>
          <xdr:rowOff>38100</xdr:rowOff>
        </xdr:from>
        <xdr:to>
          <xdr:col>5</xdr:col>
          <xdr:colOff>254000</xdr:colOff>
          <xdr:row>30</xdr:row>
          <xdr:rowOff>241300</xdr:rowOff>
        </xdr:to>
        <xdr:sp macro="" textlink="">
          <xdr:nvSpPr>
            <xdr:cNvPr id="7252" name="Check Box 84" hidden="1">
              <a:extLst>
                <a:ext uri="{63B3BB69-23CF-44E3-9099-C40C66FF867C}">
                  <a14:compatExt spid="_x0000_s7252"/>
                </a:ext>
                <a:ext uri="{FF2B5EF4-FFF2-40B4-BE49-F238E27FC236}">
                  <a16:creationId xmlns:a16="http://schemas.microsoft.com/office/drawing/2014/main" id="{00000000-0008-0000-0200-00005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31</xdr:row>
          <xdr:rowOff>38100</xdr:rowOff>
        </xdr:from>
        <xdr:to>
          <xdr:col>5</xdr:col>
          <xdr:colOff>254000</xdr:colOff>
          <xdr:row>31</xdr:row>
          <xdr:rowOff>241300</xdr:rowOff>
        </xdr:to>
        <xdr:sp macro="" textlink="">
          <xdr:nvSpPr>
            <xdr:cNvPr id="7253" name="Check Box 85" hidden="1">
              <a:extLst>
                <a:ext uri="{63B3BB69-23CF-44E3-9099-C40C66FF867C}">
                  <a14:compatExt spid="_x0000_s7253"/>
                </a:ext>
                <a:ext uri="{FF2B5EF4-FFF2-40B4-BE49-F238E27FC236}">
                  <a16:creationId xmlns:a16="http://schemas.microsoft.com/office/drawing/2014/main" id="{00000000-0008-0000-0200-00005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32</xdr:row>
          <xdr:rowOff>38100</xdr:rowOff>
        </xdr:from>
        <xdr:to>
          <xdr:col>5</xdr:col>
          <xdr:colOff>254000</xdr:colOff>
          <xdr:row>32</xdr:row>
          <xdr:rowOff>241300</xdr:rowOff>
        </xdr:to>
        <xdr:sp macro="" textlink="">
          <xdr:nvSpPr>
            <xdr:cNvPr id="7254" name="Check Box 86" hidden="1">
              <a:extLst>
                <a:ext uri="{63B3BB69-23CF-44E3-9099-C40C66FF867C}">
                  <a14:compatExt spid="_x0000_s7254"/>
                </a:ext>
                <a:ext uri="{FF2B5EF4-FFF2-40B4-BE49-F238E27FC236}">
                  <a16:creationId xmlns:a16="http://schemas.microsoft.com/office/drawing/2014/main" id="{00000000-0008-0000-0200-00005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33</xdr:row>
          <xdr:rowOff>38100</xdr:rowOff>
        </xdr:from>
        <xdr:to>
          <xdr:col>5</xdr:col>
          <xdr:colOff>254000</xdr:colOff>
          <xdr:row>33</xdr:row>
          <xdr:rowOff>241300</xdr:rowOff>
        </xdr:to>
        <xdr:sp macro="" textlink="">
          <xdr:nvSpPr>
            <xdr:cNvPr id="7255" name="Check Box 87" hidden="1">
              <a:extLst>
                <a:ext uri="{63B3BB69-23CF-44E3-9099-C40C66FF867C}">
                  <a14:compatExt spid="_x0000_s7255"/>
                </a:ext>
                <a:ext uri="{FF2B5EF4-FFF2-40B4-BE49-F238E27FC236}">
                  <a16:creationId xmlns:a16="http://schemas.microsoft.com/office/drawing/2014/main" id="{00000000-0008-0000-0200-00005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34</xdr:row>
          <xdr:rowOff>38100</xdr:rowOff>
        </xdr:from>
        <xdr:to>
          <xdr:col>5</xdr:col>
          <xdr:colOff>254000</xdr:colOff>
          <xdr:row>34</xdr:row>
          <xdr:rowOff>241300</xdr:rowOff>
        </xdr:to>
        <xdr:sp macro="" textlink="">
          <xdr:nvSpPr>
            <xdr:cNvPr id="7256" name="Check Box 88" hidden="1">
              <a:extLst>
                <a:ext uri="{63B3BB69-23CF-44E3-9099-C40C66FF867C}">
                  <a14:compatExt spid="_x0000_s7256"/>
                </a:ext>
                <a:ext uri="{FF2B5EF4-FFF2-40B4-BE49-F238E27FC236}">
                  <a16:creationId xmlns:a16="http://schemas.microsoft.com/office/drawing/2014/main" id="{00000000-0008-0000-0200-00005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35</xdr:row>
          <xdr:rowOff>38100</xdr:rowOff>
        </xdr:from>
        <xdr:to>
          <xdr:col>5</xdr:col>
          <xdr:colOff>254000</xdr:colOff>
          <xdr:row>35</xdr:row>
          <xdr:rowOff>241300</xdr:rowOff>
        </xdr:to>
        <xdr:sp macro="" textlink="">
          <xdr:nvSpPr>
            <xdr:cNvPr id="7257" name="Check Box 89" hidden="1">
              <a:extLst>
                <a:ext uri="{63B3BB69-23CF-44E3-9099-C40C66FF867C}">
                  <a14:compatExt spid="_x0000_s7257"/>
                </a:ext>
                <a:ext uri="{FF2B5EF4-FFF2-40B4-BE49-F238E27FC236}">
                  <a16:creationId xmlns:a16="http://schemas.microsoft.com/office/drawing/2014/main" id="{00000000-0008-0000-0200-00005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38</xdr:row>
          <xdr:rowOff>38100</xdr:rowOff>
        </xdr:from>
        <xdr:to>
          <xdr:col>5</xdr:col>
          <xdr:colOff>254000</xdr:colOff>
          <xdr:row>38</xdr:row>
          <xdr:rowOff>241300</xdr:rowOff>
        </xdr:to>
        <xdr:sp macro="" textlink="">
          <xdr:nvSpPr>
            <xdr:cNvPr id="7258" name="Check Box 90" hidden="1">
              <a:extLst>
                <a:ext uri="{63B3BB69-23CF-44E3-9099-C40C66FF867C}">
                  <a14:compatExt spid="_x0000_s7258"/>
                </a:ext>
                <a:ext uri="{FF2B5EF4-FFF2-40B4-BE49-F238E27FC236}">
                  <a16:creationId xmlns:a16="http://schemas.microsoft.com/office/drawing/2014/main" id="{00000000-0008-0000-0200-00005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39</xdr:row>
          <xdr:rowOff>38100</xdr:rowOff>
        </xdr:from>
        <xdr:to>
          <xdr:col>5</xdr:col>
          <xdr:colOff>254000</xdr:colOff>
          <xdr:row>39</xdr:row>
          <xdr:rowOff>241300</xdr:rowOff>
        </xdr:to>
        <xdr:sp macro="" textlink="">
          <xdr:nvSpPr>
            <xdr:cNvPr id="7259" name="Check Box 91" hidden="1">
              <a:extLst>
                <a:ext uri="{63B3BB69-23CF-44E3-9099-C40C66FF867C}">
                  <a14:compatExt spid="_x0000_s7259"/>
                </a:ext>
                <a:ext uri="{FF2B5EF4-FFF2-40B4-BE49-F238E27FC236}">
                  <a16:creationId xmlns:a16="http://schemas.microsoft.com/office/drawing/2014/main" id="{00000000-0008-0000-0200-00005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40</xdr:row>
          <xdr:rowOff>38100</xdr:rowOff>
        </xdr:from>
        <xdr:to>
          <xdr:col>5</xdr:col>
          <xdr:colOff>254000</xdr:colOff>
          <xdr:row>40</xdr:row>
          <xdr:rowOff>241300</xdr:rowOff>
        </xdr:to>
        <xdr:sp macro="" textlink="">
          <xdr:nvSpPr>
            <xdr:cNvPr id="7260" name="Check Box 92" hidden="1">
              <a:extLst>
                <a:ext uri="{63B3BB69-23CF-44E3-9099-C40C66FF867C}">
                  <a14:compatExt spid="_x0000_s7260"/>
                </a:ext>
                <a:ext uri="{FF2B5EF4-FFF2-40B4-BE49-F238E27FC236}">
                  <a16:creationId xmlns:a16="http://schemas.microsoft.com/office/drawing/2014/main" id="{00000000-0008-0000-0200-00005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41</xdr:row>
          <xdr:rowOff>38100</xdr:rowOff>
        </xdr:from>
        <xdr:to>
          <xdr:col>5</xdr:col>
          <xdr:colOff>254000</xdr:colOff>
          <xdr:row>41</xdr:row>
          <xdr:rowOff>241300</xdr:rowOff>
        </xdr:to>
        <xdr:sp macro="" textlink="">
          <xdr:nvSpPr>
            <xdr:cNvPr id="7261" name="Check Box 93" hidden="1">
              <a:extLst>
                <a:ext uri="{63B3BB69-23CF-44E3-9099-C40C66FF867C}">
                  <a14:compatExt spid="_x0000_s7261"/>
                </a:ext>
                <a:ext uri="{FF2B5EF4-FFF2-40B4-BE49-F238E27FC236}">
                  <a16:creationId xmlns:a16="http://schemas.microsoft.com/office/drawing/2014/main" id="{00000000-0008-0000-0200-00005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44</xdr:row>
          <xdr:rowOff>38100</xdr:rowOff>
        </xdr:from>
        <xdr:to>
          <xdr:col>5</xdr:col>
          <xdr:colOff>254000</xdr:colOff>
          <xdr:row>44</xdr:row>
          <xdr:rowOff>241300</xdr:rowOff>
        </xdr:to>
        <xdr:sp macro="" textlink="">
          <xdr:nvSpPr>
            <xdr:cNvPr id="7262" name="Check Box 94" hidden="1">
              <a:extLst>
                <a:ext uri="{63B3BB69-23CF-44E3-9099-C40C66FF867C}">
                  <a14:compatExt spid="_x0000_s7262"/>
                </a:ext>
                <a:ext uri="{FF2B5EF4-FFF2-40B4-BE49-F238E27FC236}">
                  <a16:creationId xmlns:a16="http://schemas.microsoft.com/office/drawing/2014/main" id="{00000000-0008-0000-0200-00005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45</xdr:row>
          <xdr:rowOff>38100</xdr:rowOff>
        </xdr:from>
        <xdr:to>
          <xdr:col>5</xdr:col>
          <xdr:colOff>254000</xdr:colOff>
          <xdr:row>45</xdr:row>
          <xdr:rowOff>241300</xdr:rowOff>
        </xdr:to>
        <xdr:sp macro="" textlink="">
          <xdr:nvSpPr>
            <xdr:cNvPr id="7263" name="Check Box 95" hidden="1">
              <a:extLst>
                <a:ext uri="{63B3BB69-23CF-44E3-9099-C40C66FF867C}">
                  <a14:compatExt spid="_x0000_s7263"/>
                </a:ext>
                <a:ext uri="{FF2B5EF4-FFF2-40B4-BE49-F238E27FC236}">
                  <a16:creationId xmlns:a16="http://schemas.microsoft.com/office/drawing/2014/main" id="{00000000-0008-0000-0200-00005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46</xdr:row>
          <xdr:rowOff>38100</xdr:rowOff>
        </xdr:from>
        <xdr:to>
          <xdr:col>5</xdr:col>
          <xdr:colOff>254000</xdr:colOff>
          <xdr:row>46</xdr:row>
          <xdr:rowOff>241300</xdr:rowOff>
        </xdr:to>
        <xdr:sp macro="" textlink="">
          <xdr:nvSpPr>
            <xdr:cNvPr id="7264" name="Check Box 96" hidden="1">
              <a:extLst>
                <a:ext uri="{63B3BB69-23CF-44E3-9099-C40C66FF867C}">
                  <a14:compatExt spid="_x0000_s7264"/>
                </a:ext>
                <a:ext uri="{FF2B5EF4-FFF2-40B4-BE49-F238E27FC236}">
                  <a16:creationId xmlns:a16="http://schemas.microsoft.com/office/drawing/2014/main" id="{00000000-0008-0000-0200-00006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47</xdr:row>
          <xdr:rowOff>38100</xdr:rowOff>
        </xdr:from>
        <xdr:to>
          <xdr:col>5</xdr:col>
          <xdr:colOff>254000</xdr:colOff>
          <xdr:row>47</xdr:row>
          <xdr:rowOff>241300</xdr:rowOff>
        </xdr:to>
        <xdr:sp macro="" textlink="">
          <xdr:nvSpPr>
            <xdr:cNvPr id="7265" name="Check Box 97" hidden="1">
              <a:extLst>
                <a:ext uri="{63B3BB69-23CF-44E3-9099-C40C66FF867C}">
                  <a14:compatExt spid="_x0000_s7265"/>
                </a:ext>
                <a:ext uri="{FF2B5EF4-FFF2-40B4-BE49-F238E27FC236}">
                  <a16:creationId xmlns:a16="http://schemas.microsoft.com/office/drawing/2014/main" id="{00000000-0008-0000-0200-00006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48</xdr:row>
          <xdr:rowOff>38100</xdr:rowOff>
        </xdr:from>
        <xdr:to>
          <xdr:col>5</xdr:col>
          <xdr:colOff>254000</xdr:colOff>
          <xdr:row>48</xdr:row>
          <xdr:rowOff>241300</xdr:rowOff>
        </xdr:to>
        <xdr:sp macro="" textlink="">
          <xdr:nvSpPr>
            <xdr:cNvPr id="7266" name="Check Box 98" hidden="1">
              <a:extLst>
                <a:ext uri="{63B3BB69-23CF-44E3-9099-C40C66FF867C}">
                  <a14:compatExt spid="_x0000_s7266"/>
                </a:ext>
                <a:ext uri="{FF2B5EF4-FFF2-40B4-BE49-F238E27FC236}">
                  <a16:creationId xmlns:a16="http://schemas.microsoft.com/office/drawing/2014/main" id="{00000000-0008-0000-0200-00006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49</xdr:row>
          <xdr:rowOff>38100</xdr:rowOff>
        </xdr:from>
        <xdr:to>
          <xdr:col>5</xdr:col>
          <xdr:colOff>254000</xdr:colOff>
          <xdr:row>49</xdr:row>
          <xdr:rowOff>241300</xdr:rowOff>
        </xdr:to>
        <xdr:sp macro="" textlink="">
          <xdr:nvSpPr>
            <xdr:cNvPr id="7267" name="Check Box 99" hidden="1">
              <a:extLst>
                <a:ext uri="{63B3BB69-23CF-44E3-9099-C40C66FF867C}">
                  <a14:compatExt spid="_x0000_s7267"/>
                </a:ext>
                <a:ext uri="{FF2B5EF4-FFF2-40B4-BE49-F238E27FC236}">
                  <a16:creationId xmlns:a16="http://schemas.microsoft.com/office/drawing/2014/main" id="{00000000-0008-0000-0200-00006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50</xdr:row>
          <xdr:rowOff>38100</xdr:rowOff>
        </xdr:from>
        <xdr:to>
          <xdr:col>5</xdr:col>
          <xdr:colOff>254000</xdr:colOff>
          <xdr:row>50</xdr:row>
          <xdr:rowOff>241300</xdr:rowOff>
        </xdr:to>
        <xdr:sp macro="" textlink="">
          <xdr:nvSpPr>
            <xdr:cNvPr id="7268" name="Check Box 100" hidden="1">
              <a:extLst>
                <a:ext uri="{63B3BB69-23CF-44E3-9099-C40C66FF867C}">
                  <a14:compatExt spid="_x0000_s7268"/>
                </a:ext>
                <a:ext uri="{FF2B5EF4-FFF2-40B4-BE49-F238E27FC236}">
                  <a16:creationId xmlns:a16="http://schemas.microsoft.com/office/drawing/2014/main" id="{00000000-0008-0000-0200-00006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51</xdr:row>
          <xdr:rowOff>38100</xdr:rowOff>
        </xdr:from>
        <xdr:to>
          <xdr:col>5</xdr:col>
          <xdr:colOff>254000</xdr:colOff>
          <xdr:row>51</xdr:row>
          <xdr:rowOff>241300</xdr:rowOff>
        </xdr:to>
        <xdr:sp macro="" textlink="">
          <xdr:nvSpPr>
            <xdr:cNvPr id="7269" name="Check Box 101" hidden="1">
              <a:extLst>
                <a:ext uri="{63B3BB69-23CF-44E3-9099-C40C66FF867C}">
                  <a14:compatExt spid="_x0000_s7269"/>
                </a:ext>
                <a:ext uri="{FF2B5EF4-FFF2-40B4-BE49-F238E27FC236}">
                  <a16:creationId xmlns:a16="http://schemas.microsoft.com/office/drawing/2014/main" id="{00000000-0008-0000-0200-00006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54</xdr:row>
          <xdr:rowOff>38100</xdr:rowOff>
        </xdr:from>
        <xdr:to>
          <xdr:col>5</xdr:col>
          <xdr:colOff>254000</xdr:colOff>
          <xdr:row>54</xdr:row>
          <xdr:rowOff>241300</xdr:rowOff>
        </xdr:to>
        <xdr:sp macro="" textlink="">
          <xdr:nvSpPr>
            <xdr:cNvPr id="7271" name="Check Box 103" hidden="1">
              <a:extLst>
                <a:ext uri="{63B3BB69-23CF-44E3-9099-C40C66FF867C}">
                  <a14:compatExt spid="_x0000_s7271"/>
                </a:ext>
                <a:ext uri="{FF2B5EF4-FFF2-40B4-BE49-F238E27FC236}">
                  <a16:creationId xmlns:a16="http://schemas.microsoft.com/office/drawing/2014/main" id="{00000000-0008-0000-0200-00006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55</xdr:row>
          <xdr:rowOff>38100</xdr:rowOff>
        </xdr:from>
        <xdr:to>
          <xdr:col>5</xdr:col>
          <xdr:colOff>254000</xdr:colOff>
          <xdr:row>55</xdr:row>
          <xdr:rowOff>241300</xdr:rowOff>
        </xdr:to>
        <xdr:sp macro="" textlink="">
          <xdr:nvSpPr>
            <xdr:cNvPr id="7272" name="Check Box 104" hidden="1">
              <a:extLst>
                <a:ext uri="{63B3BB69-23CF-44E3-9099-C40C66FF867C}">
                  <a14:compatExt spid="_x0000_s7272"/>
                </a:ext>
                <a:ext uri="{FF2B5EF4-FFF2-40B4-BE49-F238E27FC236}">
                  <a16:creationId xmlns:a16="http://schemas.microsoft.com/office/drawing/2014/main" id="{00000000-0008-0000-0200-00006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56</xdr:row>
          <xdr:rowOff>38100</xdr:rowOff>
        </xdr:from>
        <xdr:to>
          <xdr:col>5</xdr:col>
          <xdr:colOff>254000</xdr:colOff>
          <xdr:row>56</xdr:row>
          <xdr:rowOff>241300</xdr:rowOff>
        </xdr:to>
        <xdr:sp macro="" textlink="">
          <xdr:nvSpPr>
            <xdr:cNvPr id="7273" name="Check Box 105" hidden="1">
              <a:extLst>
                <a:ext uri="{63B3BB69-23CF-44E3-9099-C40C66FF867C}">
                  <a14:compatExt spid="_x0000_s7273"/>
                </a:ext>
                <a:ext uri="{FF2B5EF4-FFF2-40B4-BE49-F238E27FC236}">
                  <a16:creationId xmlns:a16="http://schemas.microsoft.com/office/drawing/2014/main" id="{00000000-0008-0000-0200-00006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57</xdr:row>
          <xdr:rowOff>38100</xdr:rowOff>
        </xdr:from>
        <xdr:to>
          <xdr:col>5</xdr:col>
          <xdr:colOff>254000</xdr:colOff>
          <xdr:row>57</xdr:row>
          <xdr:rowOff>241300</xdr:rowOff>
        </xdr:to>
        <xdr:sp macro="" textlink="">
          <xdr:nvSpPr>
            <xdr:cNvPr id="7274" name="Check Box 106" hidden="1">
              <a:extLst>
                <a:ext uri="{63B3BB69-23CF-44E3-9099-C40C66FF867C}">
                  <a14:compatExt spid="_x0000_s7274"/>
                </a:ext>
                <a:ext uri="{FF2B5EF4-FFF2-40B4-BE49-F238E27FC236}">
                  <a16:creationId xmlns:a16="http://schemas.microsoft.com/office/drawing/2014/main" id="{00000000-0008-0000-0200-00006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58</xdr:row>
          <xdr:rowOff>38100</xdr:rowOff>
        </xdr:from>
        <xdr:to>
          <xdr:col>5</xdr:col>
          <xdr:colOff>254000</xdr:colOff>
          <xdr:row>58</xdr:row>
          <xdr:rowOff>241300</xdr:rowOff>
        </xdr:to>
        <xdr:sp macro="" textlink="">
          <xdr:nvSpPr>
            <xdr:cNvPr id="7275" name="Check Box 107" hidden="1">
              <a:extLst>
                <a:ext uri="{63B3BB69-23CF-44E3-9099-C40C66FF867C}">
                  <a14:compatExt spid="_x0000_s7275"/>
                </a:ext>
                <a:ext uri="{FF2B5EF4-FFF2-40B4-BE49-F238E27FC236}">
                  <a16:creationId xmlns:a16="http://schemas.microsoft.com/office/drawing/2014/main" id="{00000000-0008-0000-0200-00006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59</xdr:row>
          <xdr:rowOff>38100</xdr:rowOff>
        </xdr:from>
        <xdr:to>
          <xdr:col>5</xdr:col>
          <xdr:colOff>254000</xdr:colOff>
          <xdr:row>59</xdr:row>
          <xdr:rowOff>241300</xdr:rowOff>
        </xdr:to>
        <xdr:sp macro="" textlink="">
          <xdr:nvSpPr>
            <xdr:cNvPr id="7276" name="Check Box 108" hidden="1">
              <a:extLst>
                <a:ext uri="{63B3BB69-23CF-44E3-9099-C40C66FF867C}">
                  <a14:compatExt spid="_x0000_s7276"/>
                </a:ext>
                <a:ext uri="{FF2B5EF4-FFF2-40B4-BE49-F238E27FC236}">
                  <a16:creationId xmlns:a16="http://schemas.microsoft.com/office/drawing/2014/main" id="{00000000-0008-0000-0200-00006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62</xdr:row>
          <xdr:rowOff>38100</xdr:rowOff>
        </xdr:from>
        <xdr:to>
          <xdr:col>5</xdr:col>
          <xdr:colOff>254000</xdr:colOff>
          <xdr:row>62</xdr:row>
          <xdr:rowOff>241300</xdr:rowOff>
        </xdr:to>
        <xdr:sp macro="" textlink="">
          <xdr:nvSpPr>
            <xdr:cNvPr id="7277" name="Check Box 109" hidden="1">
              <a:extLst>
                <a:ext uri="{63B3BB69-23CF-44E3-9099-C40C66FF867C}">
                  <a14:compatExt spid="_x0000_s7277"/>
                </a:ext>
                <a:ext uri="{FF2B5EF4-FFF2-40B4-BE49-F238E27FC236}">
                  <a16:creationId xmlns:a16="http://schemas.microsoft.com/office/drawing/2014/main" id="{00000000-0008-0000-0200-00006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63</xdr:row>
          <xdr:rowOff>38100</xdr:rowOff>
        </xdr:from>
        <xdr:to>
          <xdr:col>5</xdr:col>
          <xdr:colOff>254000</xdr:colOff>
          <xdr:row>63</xdr:row>
          <xdr:rowOff>241300</xdr:rowOff>
        </xdr:to>
        <xdr:sp macro="" textlink="">
          <xdr:nvSpPr>
            <xdr:cNvPr id="7278" name="Check Box 110" hidden="1">
              <a:extLst>
                <a:ext uri="{63B3BB69-23CF-44E3-9099-C40C66FF867C}">
                  <a14:compatExt spid="_x0000_s7278"/>
                </a:ext>
                <a:ext uri="{FF2B5EF4-FFF2-40B4-BE49-F238E27FC236}">
                  <a16:creationId xmlns:a16="http://schemas.microsoft.com/office/drawing/2014/main" id="{00000000-0008-0000-0200-00006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64</xdr:row>
          <xdr:rowOff>38100</xdr:rowOff>
        </xdr:from>
        <xdr:to>
          <xdr:col>5</xdr:col>
          <xdr:colOff>254000</xdr:colOff>
          <xdr:row>64</xdr:row>
          <xdr:rowOff>241300</xdr:rowOff>
        </xdr:to>
        <xdr:sp macro="" textlink="">
          <xdr:nvSpPr>
            <xdr:cNvPr id="7279" name="Check Box 111" hidden="1">
              <a:extLst>
                <a:ext uri="{63B3BB69-23CF-44E3-9099-C40C66FF867C}">
                  <a14:compatExt spid="_x0000_s7279"/>
                </a:ext>
                <a:ext uri="{FF2B5EF4-FFF2-40B4-BE49-F238E27FC236}">
                  <a16:creationId xmlns:a16="http://schemas.microsoft.com/office/drawing/2014/main" id="{00000000-0008-0000-0200-00006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65</xdr:row>
          <xdr:rowOff>38100</xdr:rowOff>
        </xdr:from>
        <xdr:to>
          <xdr:col>5</xdr:col>
          <xdr:colOff>254000</xdr:colOff>
          <xdr:row>65</xdr:row>
          <xdr:rowOff>241300</xdr:rowOff>
        </xdr:to>
        <xdr:sp macro="" textlink="">
          <xdr:nvSpPr>
            <xdr:cNvPr id="7280" name="Check Box 112" hidden="1">
              <a:extLst>
                <a:ext uri="{63B3BB69-23CF-44E3-9099-C40C66FF867C}">
                  <a14:compatExt spid="_x0000_s7280"/>
                </a:ext>
                <a:ext uri="{FF2B5EF4-FFF2-40B4-BE49-F238E27FC236}">
                  <a16:creationId xmlns:a16="http://schemas.microsoft.com/office/drawing/2014/main" id="{00000000-0008-0000-0200-00007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72</xdr:row>
          <xdr:rowOff>38100</xdr:rowOff>
        </xdr:from>
        <xdr:to>
          <xdr:col>5</xdr:col>
          <xdr:colOff>254000</xdr:colOff>
          <xdr:row>72</xdr:row>
          <xdr:rowOff>241300</xdr:rowOff>
        </xdr:to>
        <xdr:sp macro="" textlink="">
          <xdr:nvSpPr>
            <xdr:cNvPr id="7282" name="Check Box 114" hidden="1">
              <a:extLst>
                <a:ext uri="{63B3BB69-23CF-44E3-9099-C40C66FF867C}">
                  <a14:compatExt spid="_x0000_s7282"/>
                </a:ext>
                <a:ext uri="{FF2B5EF4-FFF2-40B4-BE49-F238E27FC236}">
                  <a16:creationId xmlns:a16="http://schemas.microsoft.com/office/drawing/2014/main" id="{00000000-0008-0000-0200-00007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73</xdr:row>
          <xdr:rowOff>38100</xdr:rowOff>
        </xdr:from>
        <xdr:to>
          <xdr:col>5</xdr:col>
          <xdr:colOff>254000</xdr:colOff>
          <xdr:row>73</xdr:row>
          <xdr:rowOff>241300</xdr:rowOff>
        </xdr:to>
        <xdr:sp macro="" textlink="">
          <xdr:nvSpPr>
            <xdr:cNvPr id="7283" name="Check Box 115" hidden="1">
              <a:extLst>
                <a:ext uri="{63B3BB69-23CF-44E3-9099-C40C66FF867C}">
                  <a14:compatExt spid="_x0000_s7283"/>
                </a:ext>
                <a:ext uri="{FF2B5EF4-FFF2-40B4-BE49-F238E27FC236}">
                  <a16:creationId xmlns:a16="http://schemas.microsoft.com/office/drawing/2014/main" id="{00000000-0008-0000-0200-00007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74</xdr:row>
          <xdr:rowOff>38100</xdr:rowOff>
        </xdr:from>
        <xdr:to>
          <xdr:col>5</xdr:col>
          <xdr:colOff>254000</xdr:colOff>
          <xdr:row>74</xdr:row>
          <xdr:rowOff>241300</xdr:rowOff>
        </xdr:to>
        <xdr:sp macro="" textlink="">
          <xdr:nvSpPr>
            <xdr:cNvPr id="7285" name="Check Box 117" hidden="1">
              <a:extLst>
                <a:ext uri="{63B3BB69-23CF-44E3-9099-C40C66FF867C}">
                  <a14:compatExt spid="_x0000_s7285"/>
                </a:ext>
                <a:ext uri="{FF2B5EF4-FFF2-40B4-BE49-F238E27FC236}">
                  <a16:creationId xmlns:a16="http://schemas.microsoft.com/office/drawing/2014/main" id="{00000000-0008-0000-0200-00007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75</xdr:row>
          <xdr:rowOff>38100</xdr:rowOff>
        </xdr:from>
        <xdr:to>
          <xdr:col>5</xdr:col>
          <xdr:colOff>254000</xdr:colOff>
          <xdr:row>75</xdr:row>
          <xdr:rowOff>241300</xdr:rowOff>
        </xdr:to>
        <xdr:sp macro="" textlink="">
          <xdr:nvSpPr>
            <xdr:cNvPr id="7287" name="Check Box 119" hidden="1">
              <a:extLst>
                <a:ext uri="{63B3BB69-23CF-44E3-9099-C40C66FF867C}">
                  <a14:compatExt spid="_x0000_s7287"/>
                </a:ext>
                <a:ext uri="{FF2B5EF4-FFF2-40B4-BE49-F238E27FC236}">
                  <a16:creationId xmlns:a16="http://schemas.microsoft.com/office/drawing/2014/main" id="{00000000-0008-0000-0200-00007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80</xdr:row>
          <xdr:rowOff>38100</xdr:rowOff>
        </xdr:from>
        <xdr:to>
          <xdr:col>5</xdr:col>
          <xdr:colOff>254000</xdr:colOff>
          <xdr:row>80</xdr:row>
          <xdr:rowOff>241300</xdr:rowOff>
        </xdr:to>
        <xdr:sp macro="" textlink="">
          <xdr:nvSpPr>
            <xdr:cNvPr id="7292" name="Check Box 124" hidden="1">
              <a:extLst>
                <a:ext uri="{63B3BB69-23CF-44E3-9099-C40C66FF867C}">
                  <a14:compatExt spid="_x0000_s7292"/>
                </a:ext>
                <a:ext uri="{FF2B5EF4-FFF2-40B4-BE49-F238E27FC236}">
                  <a16:creationId xmlns:a16="http://schemas.microsoft.com/office/drawing/2014/main" id="{00000000-0008-0000-0200-00007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81</xdr:row>
          <xdr:rowOff>38100</xdr:rowOff>
        </xdr:from>
        <xdr:to>
          <xdr:col>5</xdr:col>
          <xdr:colOff>254000</xdr:colOff>
          <xdr:row>81</xdr:row>
          <xdr:rowOff>241300</xdr:rowOff>
        </xdr:to>
        <xdr:sp macro="" textlink="">
          <xdr:nvSpPr>
            <xdr:cNvPr id="7293" name="Check Box 125" hidden="1">
              <a:extLst>
                <a:ext uri="{63B3BB69-23CF-44E3-9099-C40C66FF867C}">
                  <a14:compatExt spid="_x0000_s7293"/>
                </a:ext>
                <a:ext uri="{FF2B5EF4-FFF2-40B4-BE49-F238E27FC236}">
                  <a16:creationId xmlns:a16="http://schemas.microsoft.com/office/drawing/2014/main" id="{00000000-0008-0000-0200-00007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82</xdr:row>
          <xdr:rowOff>38100</xdr:rowOff>
        </xdr:from>
        <xdr:to>
          <xdr:col>5</xdr:col>
          <xdr:colOff>254000</xdr:colOff>
          <xdr:row>82</xdr:row>
          <xdr:rowOff>241300</xdr:rowOff>
        </xdr:to>
        <xdr:sp macro="" textlink="">
          <xdr:nvSpPr>
            <xdr:cNvPr id="7294" name="Check Box 126" hidden="1">
              <a:extLst>
                <a:ext uri="{63B3BB69-23CF-44E3-9099-C40C66FF867C}">
                  <a14:compatExt spid="_x0000_s7294"/>
                </a:ext>
                <a:ext uri="{FF2B5EF4-FFF2-40B4-BE49-F238E27FC236}">
                  <a16:creationId xmlns:a16="http://schemas.microsoft.com/office/drawing/2014/main" id="{00000000-0008-0000-0200-00007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133</xdr:row>
          <xdr:rowOff>25400</xdr:rowOff>
        </xdr:from>
        <xdr:to>
          <xdr:col>6</xdr:col>
          <xdr:colOff>21167</xdr:colOff>
          <xdr:row>133</xdr:row>
          <xdr:rowOff>266700</xdr:rowOff>
        </xdr:to>
        <xdr:sp macro="" textlink="">
          <xdr:nvSpPr>
            <xdr:cNvPr id="7295" name="Check Box 127" hidden="1">
              <a:extLst>
                <a:ext uri="{63B3BB69-23CF-44E3-9099-C40C66FF867C}">
                  <a14:compatExt spid="_x0000_s7295"/>
                </a:ext>
                <a:ext uri="{FF2B5EF4-FFF2-40B4-BE49-F238E27FC236}">
                  <a16:creationId xmlns:a16="http://schemas.microsoft.com/office/drawing/2014/main" id="{00000000-0008-0000-0200-00007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71</xdr:row>
          <xdr:rowOff>38100</xdr:rowOff>
        </xdr:from>
        <xdr:to>
          <xdr:col>5</xdr:col>
          <xdr:colOff>254000</xdr:colOff>
          <xdr:row>71</xdr:row>
          <xdr:rowOff>241300</xdr:rowOff>
        </xdr:to>
        <xdr:sp macro="" textlink="">
          <xdr:nvSpPr>
            <xdr:cNvPr id="7299" name="Check Box 131" hidden="1">
              <a:extLst>
                <a:ext uri="{63B3BB69-23CF-44E3-9099-C40C66FF867C}">
                  <a14:compatExt spid="_x0000_s7299"/>
                </a:ext>
                <a:ext uri="{FF2B5EF4-FFF2-40B4-BE49-F238E27FC236}">
                  <a16:creationId xmlns:a16="http://schemas.microsoft.com/office/drawing/2014/main" id="{00000000-0008-0000-0200-00008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68</xdr:row>
          <xdr:rowOff>38100</xdr:rowOff>
        </xdr:from>
        <xdr:to>
          <xdr:col>5</xdr:col>
          <xdr:colOff>254000</xdr:colOff>
          <xdr:row>68</xdr:row>
          <xdr:rowOff>241300</xdr:rowOff>
        </xdr:to>
        <xdr:sp macro="" textlink="">
          <xdr:nvSpPr>
            <xdr:cNvPr id="7301" name="Check Box 133" hidden="1">
              <a:extLst>
                <a:ext uri="{63B3BB69-23CF-44E3-9099-C40C66FF867C}">
                  <a14:compatExt spid="_x0000_s7301"/>
                </a:ext>
                <a:ext uri="{FF2B5EF4-FFF2-40B4-BE49-F238E27FC236}">
                  <a16:creationId xmlns:a16="http://schemas.microsoft.com/office/drawing/2014/main" id="{00000000-0008-0000-0200-00008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83</xdr:row>
          <xdr:rowOff>38100</xdr:rowOff>
        </xdr:from>
        <xdr:to>
          <xdr:col>5</xdr:col>
          <xdr:colOff>254000</xdr:colOff>
          <xdr:row>83</xdr:row>
          <xdr:rowOff>241300</xdr:rowOff>
        </xdr:to>
        <xdr:sp macro="" textlink="">
          <xdr:nvSpPr>
            <xdr:cNvPr id="7302" name="Check Box 134" hidden="1">
              <a:extLst>
                <a:ext uri="{63B3BB69-23CF-44E3-9099-C40C66FF867C}">
                  <a14:compatExt spid="_x0000_s7302"/>
                </a:ext>
                <a:ext uri="{FF2B5EF4-FFF2-40B4-BE49-F238E27FC236}">
                  <a16:creationId xmlns:a16="http://schemas.microsoft.com/office/drawing/2014/main" id="{00000000-0008-0000-0200-00008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84</xdr:row>
          <xdr:rowOff>38100</xdr:rowOff>
        </xdr:from>
        <xdr:to>
          <xdr:col>5</xdr:col>
          <xdr:colOff>254000</xdr:colOff>
          <xdr:row>84</xdr:row>
          <xdr:rowOff>241300</xdr:rowOff>
        </xdr:to>
        <xdr:sp macro="" textlink="">
          <xdr:nvSpPr>
            <xdr:cNvPr id="7303" name="Check Box 135" hidden="1">
              <a:extLst>
                <a:ext uri="{63B3BB69-23CF-44E3-9099-C40C66FF867C}">
                  <a14:compatExt spid="_x0000_s7303"/>
                </a:ext>
                <a:ext uri="{FF2B5EF4-FFF2-40B4-BE49-F238E27FC236}">
                  <a16:creationId xmlns:a16="http://schemas.microsoft.com/office/drawing/2014/main" id="{00000000-0008-0000-0200-00008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86</xdr:row>
          <xdr:rowOff>38100</xdr:rowOff>
        </xdr:from>
        <xdr:to>
          <xdr:col>5</xdr:col>
          <xdr:colOff>254000</xdr:colOff>
          <xdr:row>86</xdr:row>
          <xdr:rowOff>241300</xdr:rowOff>
        </xdr:to>
        <xdr:sp macro="" textlink="">
          <xdr:nvSpPr>
            <xdr:cNvPr id="7305" name="Check Box 137" hidden="1">
              <a:extLst>
                <a:ext uri="{63B3BB69-23CF-44E3-9099-C40C66FF867C}">
                  <a14:compatExt spid="_x0000_s7305"/>
                </a:ext>
                <a:ext uri="{FF2B5EF4-FFF2-40B4-BE49-F238E27FC236}">
                  <a16:creationId xmlns:a16="http://schemas.microsoft.com/office/drawing/2014/main" id="{00000000-0008-0000-0200-00008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131</xdr:row>
          <xdr:rowOff>0</xdr:rowOff>
        </xdr:from>
        <xdr:to>
          <xdr:col>6</xdr:col>
          <xdr:colOff>12700</xdr:colOff>
          <xdr:row>131</xdr:row>
          <xdr:rowOff>241300</xdr:rowOff>
        </xdr:to>
        <xdr:sp macro="" textlink="">
          <xdr:nvSpPr>
            <xdr:cNvPr id="7309" name="Check Box 141" hidden="1">
              <a:extLst>
                <a:ext uri="{63B3BB69-23CF-44E3-9099-C40C66FF867C}">
                  <a14:compatExt spid="_x0000_s7309"/>
                </a:ext>
                <a:ext uri="{FF2B5EF4-FFF2-40B4-BE49-F238E27FC236}">
                  <a16:creationId xmlns:a16="http://schemas.microsoft.com/office/drawing/2014/main" id="{00000000-0008-0000-0200-00008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80</xdr:row>
          <xdr:rowOff>38100</xdr:rowOff>
        </xdr:from>
        <xdr:to>
          <xdr:col>5</xdr:col>
          <xdr:colOff>254000</xdr:colOff>
          <xdr:row>80</xdr:row>
          <xdr:rowOff>241300</xdr:rowOff>
        </xdr:to>
        <xdr:sp macro="" textlink="">
          <xdr:nvSpPr>
            <xdr:cNvPr id="7315" name="Check Box 147" hidden="1">
              <a:extLst>
                <a:ext uri="{63B3BB69-23CF-44E3-9099-C40C66FF867C}">
                  <a14:compatExt spid="_x0000_s7315"/>
                </a:ext>
                <a:ext uri="{FF2B5EF4-FFF2-40B4-BE49-F238E27FC236}">
                  <a16:creationId xmlns:a16="http://schemas.microsoft.com/office/drawing/2014/main" id="{00000000-0008-0000-0200-00009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81</xdr:row>
          <xdr:rowOff>38100</xdr:rowOff>
        </xdr:from>
        <xdr:to>
          <xdr:col>5</xdr:col>
          <xdr:colOff>254000</xdr:colOff>
          <xdr:row>81</xdr:row>
          <xdr:rowOff>241300</xdr:rowOff>
        </xdr:to>
        <xdr:sp macro="" textlink="">
          <xdr:nvSpPr>
            <xdr:cNvPr id="7316" name="Check Box 148" hidden="1">
              <a:extLst>
                <a:ext uri="{63B3BB69-23CF-44E3-9099-C40C66FF867C}">
                  <a14:compatExt spid="_x0000_s7316"/>
                </a:ext>
                <a:ext uri="{FF2B5EF4-FFF2-40B4-BE49-F238E27FC236}">
                  <a16:creationId xmlns:a16="http://schemas.microsoft.com/office/drawing/2014/main" id="{00000000-0008-0000-0200-00009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84</xdr:row>
          <xdr:rowOff>38100</xdr:rowOff>
        </xdr:from>
        <xdr:to>
          <xdr:col>5</xdr:col>
          <xdr:colOff>254000</xdr:colOff>
          <xdr:row>84</xdr:row>
          <xdr:rowOff>241300</xdr:rowOff>
        </xdr:to>
        <xdr:sp macro="" textlink="">
          <xdr:nvSpPr>
            <xdr:cNvPr id="7319" name="Check Box 151" hidden="1">
              <a:extLst>
                <a:ext uri="{63B3BB69-23CF-44E3-9099-C40C66FF867C}">
                  <a14:compatExt spid="_x0000_s7319"/>
                </a:ext>
                <a:ext uri="{FF2B5EF4-FFF2-40B4-BE49-F238E27FC236}">
                  <a16:creationId xmlns:a16="http://schemas.microsoft.com/office/drawing/2014/main" id="{00000000-0008-0000-0200-00009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86</xdr:row>
          <xdr:rowOff>38100</xdr:rowOff>
        </xdr:from>
        <xdr:to>
          <xdr:col>5</xdr:col>
          <xdr:colOff>254000</xdr:colOff>
          <xdr:row>86</xdr:row>
          <xdr:rowOff>241300</xdr:rowOff>
        </xdr:to>
        <xdr:sp macro="" textlink="">
          <xdr:nvSpPr>
            <xdr:cNvPr id="7320" name="Check Box 152" hidden="1">
              <a:extLst>
                <a:ext uri="{63B3BB69-23CF-44E3-9099-C40C66FF867C}">
                  <a14:compatExt spid="_x0000_s7320"/>
                </a:ext>
                <a:ext uri="{FF2B5EF4-FFF2-40B4-BE49-F238E27FC236}">
                  <a16:creationId xmlns:a16="http://schemas.microsoft.com/office/drawing/2014/main" id="{00000000-0008-0000-0200-00009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254000</xdr:colOff>
          <xdr:row>85</xdr:row>
          <xdr:rowOff>241300</xdr:rowOff>
        </xdr:to>
        <xdr:sp macro="" textlink="">
          <xdr:nvSpPr>
            <xdr:cNvPr id="7321" name="Check Box 153" hidden="1">
              <a:extLst>
                <a:ext uri="{63B3BB69-23CF-44E3-9099-C40C66FF867C}">
                  <a14:compatExt spid="_x0000_s7321"/>
                </a:ext>
                <a:ext uri="{FF2B5EF4-FFF2-40B4-BE49-F238E27FC236}">
                  <a16:creationId xmlns:a16="http://schemas.microsoft.com/office/drawing/2014/main" id="{00000000-0008-0000-0200-00009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254000</xdr:colOff>
          <xdr:row>85</xdr:row>
          <xdr:rowOff>241300</xdr:rowOff>
        </xdr:to>
        <xdr:sp macro="" textlink="">
          <xdr:nvSpPr>
            <xdr:cNvPr id="7322" name="Check Box 154" hidden="1">
              <a:extLst>
                <a:ext uri="{63B3BB69-23CF-44E3-9099-C40C66FF867C}">
                  <a14:compatExt spid="_x0000_s7322"/>
                </a:ext>
                <a:ext uri="{FF2B5EF4-FFF2-40B4-BE49-F238E27FC236}">
                  <a16:creationId xmlns:a16="http://schemas.microsoft.com/office/drawing/2014/main" id="{00000000-0008-0000-0200-00009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254000</xdr:colOff>
          <xdr:row>85</xdr:row>
          <xdr:rowOff>241300</xdr:rowOff>
        </xdr:to>
        <xdr:sp macro="" textlink="">
          <xdr:nvSpPr>
            <xdr:cNvPr id="7323" name="Check Box 155" hidden="1">
              <a:extLst>
                <a:ext uri="{63B3BB69-23CF-44E3-9099-C40C66FF867C}">
                  <a14:compatExt spid="_x0000_s7323"/>
                </a:ext>
                <a:ext uri="{FF2B5EF4-FFF2-40B4-BE49-F238E27FC236}">
                  <a16:creationId xmlns:a16="http://schemas.microsoft.com/office/drawing/2014/main" id="{00000000-0008-0000-0200-00009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254000</xdr:colOff>
          <xdr:row>85</xdr:row>
          <xdr:rowOff>241300</xdr:rowOff>
        </xdr:to>
        <xdr:sp macro="" textlink="">
          <xdr:nvSpPr>
            <xdr:cNvPr id="7324" name="Check Box 156" hidden="1">
              <a:extLst>
                <a:ext uri="{63B3BB69-23CF-44E3-9099-C40C66FF867C}">
                  <a14:compatExt spid="_x0000_s7324"/>
                </a:ext>
                <a:ext uri="{FF2B5EF4-FFF2-40B4-BE49-F238E27FC236}">
                  <a16:creationId xmlns:a16="http://schemas.microsoft.com/office/drawing/2014/main" id="{00000000-0008-0000-0200-00009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90</xdr:row>
          <xdr:rowOff>38100</xdr:rowOff>
        </xdr:from>
        <xdr:to>
          <xdr:col>5</xdr:col>
          <xdr:colOff>254000</xdr:colOff>
          <xdr:row>90</xdr:row>
          <xdr:rowOff>241300</xdr:rowOff>
        </xdr:to>
        <xdr:sp macro="" textlink="">
          <xdr:nvSpPr>
            <xdr:cNvPr id="7325" name="Check Box 157" hidden="1">
              <a:extLst>
                <a:ext uri="{63B3BB69-23CF-44E3-9099-C40C66FF867C}">
                  <a14:compatExt spid="_x0000_s7325"/>
                </a:ext>
                <a:ext uri="{FF2B5EF4-FFF2-40B4-BE49-F238E27FC236}">
                  <a16:creationId xmlns:a16="http://schemas.microsoft.com/office/drawing/2014/main" id="{00000000-0008-0000-0200-00009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90</xdr:row>
          <xdr:rowOff>38100</xdr:rowOff>
        </xdr:from>
        <xdr:to>
          <xdr:col>5</xdr:col>
          <xdr:colOff>254000</xdr:colOff>
          <xdr:row>90</xdr:row>
          <xdr:rowOff>241300</xdr:rowOff>
        </xdr:to>
        <xdr:sp macro="" textlink="">
          <xdr:nvSpPr>
            <xdr:cNvPr id="7326" name="Check Box 158" hidden="1">
              <a:extLst>
                <a:ext uri="{63B3BB69-23CF-44E3-9099-C40C66FF867C}">
                  <a14:compatExt spid="_x0000_s7326"/>
                </a:ext>
                <a:ext uri="{FF2B5EF4-FFF2-40B4-BE49-F238E27FC236}">
                  <a16:creationId xmlns:a16="http://schemas.microsoft.com/office/drawing/2014/main" id="{00000000-0008-0000-0200-00009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91</xdr:row>
          <xdr:rowOff>38100</xdr:rowOff>
        </xdr:from>
        <xdr:to>
          <xdr:col>5</xdr:col>
          <xdr:colOff>254000</xdr:colOff>
          <xdr:row>91</xdr:row>
          <xdr:rowOff>241300</xdr:rowOff>
        </xdr:to>
        <xdr:sp macro="" textlink="">
          <xdr:nvSpPr>
            <xdr:cNvPr id="7327" name="Check Box 159" hidden="1">
              <a:extLst>
                <a:ext uri="{63B3BB69-23CF-44E3-9099-C40C66FF867C}">
                  <a14:compatExt spid="_x0000_s7327"/>
                </a:ext>
                <a:ext uri="{FF2B5EF4-FFF2-40B4-BE49-F238E27FC236}">
                  <a16:creationId xmlns:a16="http://schemas.microsoft.com/office/drawing/2014/main" id="{00000000-0008-0000-0200-00009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91</xdr:row>
          <xdr:rowOff>38100</xdr:rowOff>
        </xdr:from>
        <xdr:to>
          <xdr:col>5</xdr:col>
          <xdr:colOff>254000</xdr:colOff>
          <xdr:row>91</xdr:row>
          <xdr:rowOff>241300</xdr:rowOff>
        </xdr:to>
        <xdr:sp macro="" textlink="">
          <xdr:nvSpPr>
            <xdr:cNvPr id="7328" name="Check Box 160" hidden="1">
              <a:extLst>
                <a:ext uri="{63B3BB69-23CF-44E3-9099-C40C66FF867C}">
                  <a14:compatExt spid="_x0000_s7328"/>
                </a:ext>
                <a:ext uri="{FF2B5EF4-FFF2-40B4-BE49-F238E27FC236}">
                  <a16:creationId xmlns:a16="http://schemas.microsoft.com/office/drawing/2014/main" id="{00000000-0008-0000-0200-0000A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92</xdr:row>
          <xdr:rowOff>38100</xdr:rowOff>
        </xdr:from>
        <xdr:to>
          <xdr:col>5</xdr:col>
          <xdr:colOff>254000</xdr:colOff>
          <xdr:row>92</xdr:row>
          <xdr:rowOff>241300</xdr:rowOff>
        </xdr:to>
        <xdr:sp macro="" textlink="">
          <xdr:nvSpPr>
            <xdr:cNvPr id="7329" name="Check Box 161" hidden="1">
              <a:extLst>
                <a:ext uri="{63B3BB69-23CF-44E3-9099-C40C66FF867C}">
                  <a14:compatExt spid="_x0000_s7329"/>
                </a:ext>
                <a:ext uri="{FF2B5EF4-FFF2-40B4-BE49-F238E27FC236}">
                  <a16:creationId xmlns:a16="http://schemas.microsoft.com/office/drawing/2014/main" id="{00000000-0008-0000-0200-0000A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92</xdr:row>
          <xdr:rowOff>38100</xdr:rowOff>
        </xdr:from>
        <xdr:to>
          <xdr:col>5</xdr:col>
          <xdr:colOff>254000</xdr:colOff>
          <xdr:row>92</xdr:row>
          <xdr:rowOff>241300</xdr:rowOff>
        </xdr:to>
        <xdr:sp macro="" textlink="">
          <xdr:nvSpPr>
            <xdr:cNvPr id="7330" name="Check Box 162" hidden="1">
              <a:extLst>
                <a:ext uri="{63B3BB69-23CF-44E3-9099-C40C66FF867C}">
                  <a14:compatExt spid="_x0000_s7330"/>
                </a:ext>
                <a:ext uri="{FF2B5EF4-FFF2-40B4-BE49-F238E27FC236}">
                  <a16:creationId xmlns:a16="http://schemas.microsoft.com/office/drawing/2014/main" id="{00000000-0008-0000-0200-0000A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93</xdr:row>
          <xdr:rowOff>38100</xdr:rowOff>
        </xdr:from>
        <xdr:to>
          <xdr:col>5</xdr:col>
          <xdr:colOff>254000</xdr:colOff>
          <xdr:row>93</xdr:row>
          <xdr:rowOff>241300</xdr:rowOff>
        </xdr:to>
        <xdr:sp macro="" textlink="">
          <xdr:nvSpPr>
            <xdr:cNvPr id="7331" name="Check Box 163" hidden="1">
              <a:extLst>
                <a:ext uri="{63B3BB69-23CF-44E3-9099-C40C66FF867C}">
                  <a14:compatExt spid="_x0000_s7331"/>
                </a:ext>
                <a:ext uri="{FF2B5EF4-FFF2-40B4-BE49-F238E27FC236}">
                  <a16:creationId xmlns:a16="http://schemas.microsoft.com/office/drawing/2014/main" id="{00000000-0008-0000-0200-0000A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93</xdr:row>
          <xdr:rowOff>38100</xdr:rowOff>
        </xdr:from>
        <xdr:to>
          <xdr:col>5</xdr:col>
          <xdr:colOff>254000</xdr:colOff>
          <xdr:row>93</xdr:row>
          <xdr:rowOff>241300</xdr:rowOff>
        </xdr:to>
        <xdr:sp macro="" textlink="">
          <xdr:nvSpPr>
            <xdr:cNvPr id="7332" name="Check Box 164" hidden="1">
              <a:extLst>
                <a:ext uri="{63B3BB69-23CF-44E3-9099-C40C66FF867C}">
                  <a14:compatExt spid="_x0000_s7332"/>
                </a:ext>
                <a:ext uri="{FF2B5EF4-FFF2-40B4-BE49-F238E27FC236}">
                  <a16:creationId xmlns:a16="http://schemas.microsoft.com/office/drawing/2014/main" id="{00000000-0008-0000-0200-0000A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94</xdr:row>
          <xdr:rowOff>38100</xdr:rowOff>
        </xdr:from>
        <xdr:to>
          <xdr:col>5</xdr:col>
          <xdr:colOff>254000</xdr:colOff>
          <xdr:row>94</xdr:row>
          <xdr:rowOff>241300</xdr:rowOff>
        </xdr:to>
        <xdr:sp macro="" textlink="">
          <xdr:nvSpPr>
            <xdr:cNvPr id="7333" name="Check Box 165" hidden="1">
              <a:extLst>
                <a:ext uri="{63B3BB69-23CF-44E3-9099-C40C66FF867C}">
                  <a14:compatExt spid="_x0000_s7333"/>
                </a:ext>
                <a:ext uri="{FF2B5EF4-FFF2-40B4-BE49-F238E27FC236}">
                  <a16:creationId xmlns:a16="http://schemas.microsoft.com/office/drawing/2014/main" id="{00000000-0008-0000-0200-0000A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94</xdr:row>
          <xdr:rowOff>38100</xdr:rowOff>
        </xdr:from>
        <xdr:to>
          <xdr:col>5</xdr:col>
          <xdr:colOff>254000</xdr:colOff>
          <xdr:row>94</xdr:row>
          <xdr:rowOff>241300</xdr:rowOff>
        </xdr:to>
        <xdr:sp macro="" textlink="">
          <xdr:nvSpPr>
            <xdr:cNvPr id="7334" name="Check Box 166" hidden="1">
              <a:extLst>
                <a:ext uri="{63B3BB69-23CF-44E3-9099-C40C66FF867C}">
                  <a14:compatExt spid="_x0000_s7334"/>
                </a:ext>
                <a:ext uri="{FF2B5EF4-FFF2-40B4-BE49-F238E27FC236}">
                  <a16:creationId xmlns:a16="http://schemas.microsoft.com/office/drawing/2014/main" id="{00000000-0008-0000-0200-0000A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95</xdr:row>
          <xdr:rowOff>38100</xdr:rowOff>
        </xdr:from>
        <xdr:to>
          <xdr:col>5</xdr:col>
          <xdr:colOff>254000</xdr:colOff>
          <xdr:row>95</xdr:row>
          <xdr:rowOff>241300</xdr:rowOff>
        </xdr:to>
        <xdr:sp macro="" textlink="">
          <xdr:nvSpPr>
            <xdr:cNvPr id="7335" name="Check Box 167" hidden="1">
              <a:extLst>
                <a:ext uri="{63B3BB69-23CF-44E3-9099-C40C66FF867C}">
                  <a14:compatExt spid="_x0000_s7335"/>
                </a:ext>
                <a:ext uri="{FF2B5EF4-FFF2-40B4-BE49-F238E27FC236}">
                  <a16:creationId xmlns:a16="http://schemas.microsoft.com/office/drawing/2014/main" id="{00000000-0008-0000-0200-0000A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95</xdr:row>
          <xdr:rowOff>38100</xdr:rowOff>
        </xdr:from>
        <xdr:to>
          <xdr:col>5</xdr:col>
          <xdr:colOff>254000</xdr:colOff>
          <xdr:row>95</xdr:row>
          <xdr:rowOff>241300</xdr:rowOff>
        </xdr:to>
        <xdr:sp macro="" textlink="">
          <xdr:nvSpPr>
            <xdr:cNvPr id="7336" name="Check Box 168" hidden="1">
              <a:extLst>
                <a:ext uri="{63B3BB69-23CF-44E3-9099-C40C66FF867C}">
                  <a14:compatExt spid="_x0000_s7336"/>
                </a:ext>
                <a:ext uri="{FF2B5EF4-FFF2-40B4-BE49-F238E27FC236}">
                  <a16:creationId xmlns:a16="http://schemas.microsoft.com/office/drawing/2014/main" id="{00000000-0008-0000-0200-0000A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96</xdr:row>
          <xdr:rowOff>38100</xdr:rowOff>
        </xdr:from>
        <xdr:to>
          <xdr:col>5</xdr:col>
          <xdr:colOff>254000</xdr:colOff>
          <xdr:row>96</xdr:row>
          <xdr:rowOff>241300</xdr:rowOff>
        </xdr:to>
        <xdr:sp macro="" textlink="">
          <xdr:nvSpPr>
            <xdr:cNvPr id="7337" name="Check Box 169" hidden="1">
              <a:extLst>
                <a:ext uri="{63B3BB69-23CF-44E3-9099-C40C66FF867C}">
                  <a14:compatExt spid="_x0000_s7337"/>
                </a:ext>
                <a:ext uri="{FF2B5EF4-FFF2-40B4-BE49-F238E27FC236}">
                  <a16:creationId xmlns:a16="http://schemas.microsoft.com/office/drawing/2014/main" id="{00000000-0008-0000-0200-0000A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96</xdr:row>
          <xdr:rowOff>38100</xdr:rowOff>
        </xdr:from>
        <xdr:to>
          <xdr:col>5</xdr:col>
          <xdr:colOff>254000</xdr:colOff>
          <xdr:row>96</xdr:row>
          <xdr:rowOff>241300</xdr:rowOff>
        </xdr:to>
        <xdr:sp macro="" textlink="">
          <xdr:nvSpPr>
            <xdr:cNvPr id="7338" name="Check Box 170" hidden="1">
              <a:extLst>
                <a:ext uri="{63B3BB69-23CF-44E3-9099-C40C66FF867C}">
                  <a14:compatExt spid="_x0000_s7338"/>
                </a:ext>
                <a:ext uri="{FF2B5EF4-FFF2-40B4-BE49-F238E27FC236}">
                  <a16:creationId xmlns:a16="http://schemas.microsoft.com/office/drawing/2014/main" id="{00000000-0008-0000-0200-0000A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97</xdr:row>
          <xdr:rowOff>38100</xdr:rowOff>
        </xdr:from>
        <xdr:to>
          <xdr:col>5</xdr:col>
          <xdr:colOff>254000</xdr:colOff>
          <xdr:row>97</xdr:row>
          <xdr:rowOff>241300</xdr:rowOff>
        </xdr:to>
        <xdr:sp macro="" textlink="">
          <xdr:nvSpPr>
            <xdr:cNvPr id="7339" name="Check Box 171" hidden="1">
              <a:extLst>
                <a:ext uri="{63B3BB69-23CF-44E3-9099-C40C66FF867C}">
                  <a14:compatExt spid="_x0000_s7339"/>
                </a:ext>
                <a:ext uri="{FF2B5EF4-FFF2-40B4-BE49-F238E27FC236}">
                  <a16:creationId xmlns:a16="http://schemas.microsoft.com/office/drawing/2014/main" id="{00000000-0008-0000-0200-0000A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97</xdr:row>
          <xdr:rowOff>38100</xdr:rowOff>
        </xdr:from>
        <xdr:to>
          <xdr:col>5</xdr:col>
          <xdr:colOff>254000</xdr:colOff>
          <xdr:row>97</xdr:row>
          <xdr:rowOff>241300</xdr:rowOff>
        </xdr:to>
        <xdr:sp macro="" textlink="">
          <xdr:nvSpPr>
            <xdr:cNvPr id="7340" name="Check Box 172" hidden="1">
              <a:extLst>
                <a:ext uri="{63B3BB69-23CF-44E3-9099-C40C66FF867C}">
                  <a14:compatExt spid="_x0000_s7340"/>
                </a:ext>
                <a:ext uri="{FF2B5EF4-FFF2-40B4-BE49-F238E27FC236}">
                  <a16:creationId xmlns:a16="http://schemas.microsoft.com/office/drawing/2014/main" id="{00000000-0008-0000-0200-0000A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98</xdr:row>
          <xdr:rowOff>38100</xdr:rowOff>
        </xdr:from>
        <xdr:to>
          <xdr:col>5</xdr:col>
          <xdr:colOff>254000</xdr:colOff>
          <xdr:row>98</xdr:row>
          <xdr:rowOff>241300</xdr:rowOff>
        </xdr:to>
        <xdr:sp macro="" textlink="">
          <xdr:nvSpPr>
            <xdr:cNvPr id="7341" name="Check Box 173" hidden="1">
              <a:extLst>
                <a:ext uri="{63B3BB69-23CF-44E3-9099-C40C66FF867C}">
                  <a14:compatExt spid="_x0000_s7341"/>
                </a:ext>
                <a:ext uri="{FF2B5EF4-FFF2-40B4-BE49-F238E27FC236}">
                  <a16:creationId xmlns:a16="http://schemas.microsoft.com/office/drawing/2014/main" id="{00000000-0008-0000-0200-0000A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98</xdr:row>
          <xdr:rowOff>38100</xdr:rowOff>
        </xdr:from>
        <xdr:to>
          <xdr:col>5</xdr:col>
          <xdr:colOff>254000</xdr:colOff>
          <xdr:row>98</xdr:row>
          <xdr:rowOff>241300</xdr:rowOff>
        </xdr:to>
        <xdr:sp macro="" textlink="">
          <xdr:nvSpPr>
            <xdr:cNvPr id="7342" name="Check Box 174" hidden="1">
              <a:extLst>
                <a:ext uri="{63B3BB69-23CF-44E3-9099-C40C66FF867C}">
                  <a14:compatExt spid="_x0000_s7342"/>
                </a:ext>
                <a:ext uri="{FF2B5EF4-FFF2-40B4-BE49-F238E27FC236}">
                  <a16:creationId xmlns:a16="http://schemas.microsoft.com/office/drawing/2014/main" id="{00000000-0008-0000-0200-0000A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102</xdr:row>
          <xdr:rowOff>38100</xdr:rowOff>
        </xdr:from>
        <xdr:to>
          <xdr:col>5</xdr:col>
          <xdr:colOff>254000</xdr:colOff>
          <xdr:row>102</xdr:row>
          <xdr:rowOff>241300</xdr:rowOff>
        </xdr:to>
        <xdr:sp macro="" textlink="">
          <xdr:nvSpPr>
            <xdr:cNvPr id="7345" name="Check Box 177" hidden="1">
              <a:extLst>
                <a:ext uri="{63B3BB69-23CF-44E3-9099-C40C66FF867C}">
                  <a14:compatExt spid="_x0000_s7345"/>
                </a:ext>
                <a:ext uri="{FF2B5EF4-FFF2-40B4-BE49-F238E27FC236}">
                  <a16:creationId xmlns:a16="http://schemas.microsoft.com/office/drawing/2014/main" id="{00000000-0008-0000-0200-0000B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102</xdr:row>
          <xdr:rowOff>38100</xdr:rowOff>
        </xdr:from>
        <xdr:to>
          <xdr:col>5</xdr:col>
          <xdr:colOff>254000</xdr:colOff>
          <xdr:row>102</xdr:row>
          <xdr:rowOff>241300</xdr:rowOff>
        </xdr:to>
        <xdr:sp macro="" textlink="">
          <xdr:nvSpPr>
            <xdr:cNvPr id="7346" name="Check Box 178" hidden="1">
              <a:extLst>
                <a:ext uri="{63B3BB69-23CF-44E3-9099-C40C66FF867C}">
                  <a14:compatExt spid="_x0000_s7346"/>
                </a:ext>
                <a:ext uri="{FF2B5EF4-FFF2-40B4-BE49-F238E27FC236}">
                  <a16:creationId xmlns:a16="http://schemas.microsoft.com/office/drawing/2014/main" id="{00000000-0008-0000-0200-0000B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99</xdr:row>
          <xdr:rowOff>38100</xdr:rowOff>
        </xdr:from>
        <xdr:to>
          <xdr:col>5</xdr:col>
          <xdr:colOff>254000</xdr:colOff>
          <xdr:row>99</xdr:row>
          <xdr:rowOff>241300</xdr:rowOff>
        </xdr:to>
        <xdr:sp macro="" textlink="">
          <xdr:nvSpPr>
            <xdr:cNvPr id="7356" name="Check Box 188" hidden="1">
              <a:extLst>
                <a:ext uri="{63B3BB69-23CF-44E3-9099-C40C66FF867C}">
                  <a14:compatExt spid="_x0000_s7356"/>
                </a:ext>
                <a:ext uri="{FF2B5EF4-FFF2-40B4-BE49-F238E27FC236}">
                  <a16:creationId xmlns:a16="http://schemas.microsoft.com/office/drawing/2014/main" id="{00000000-0008-0000-0200-0000B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99</xdr:row>
          <xdr:rowOff>38100</xdr:rowOff>
        </xdr:from>
        <xdr:to>
          <xdr:col>5</xdr:col>
          <xdr:colOff>254000</xdr:colOff>
          <xdr:row>99</xdr:row>
          <xdr:rowOff>241300</xdr:rowOff>
        </xdr:to>
        <xdr:sp macro="" textlink="">
          <xdr:nvSpPr>
            <xdr:cNvPr id="7357" name="Check Box 189" hidden="1">
              <a:extLst>
                <a:ext uri="{63B3BB69-23CF-44E3-9099-C40C66FF867C}">
                  <a14:compatExt spid="_x0000_s7357"/>
                </a:ext>
                <a:ext uri="{FF2B5EF4-FFF2-40B4-BE49-F238E27FC236}">
                  <a16:creationId xmlns:a16="http://schemas.microsoft.com/office/drawing/2014/main" id="{00000000-0008-0000-0200-0000B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132</xdr:row>
          <xdr:rowOff>0</xdr:rowOff>
        </xdr:from>
        <xdr:to>
          <xdr:col>6</xdr:col>
          <xdr:colOff>12700</xdr:colOff>
          <xdr:row>132</xdr:row>
          <xdr:rowOff>241300</xdr:rowOff>
        </xdr:to>
        <xdr:sp macro="" textlink="">
          <xdr:nvSpPr>
            <xdr:cNvPr id="7371" name="Check Box 203" hidden="1">
              <a:extLst>
                <a:ext uri="{63B3BB69-23CF-44E3-9099-C40C66FF867C}">
                  <a14:compatExt spid="_x0000_s7371"/>
                </a:ext>
                <a:ext uri="{FF2B5EF4-FFF2-40B4-BE49-F238E27FC236}">
                  <a16:creationId xmlns:a16="http://schemas.microsoft.com/office/drawing/2014/main" id="{00000000-0008-0000-0200-0000C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134</xdr:row>
          <xdr:rowOff>25400</xdr:rowOff>
        </xdr:from>
        <xdr:to>
          <xdr:col>6</xdr:col>
          <xdr:colOff>21167</xdr:colOff>
          <xdr:row>134</xdr:row>
          <xdr:rowOff>266700</xdr:rowOff>
        </xdr:to>
        <xdr:sp macro="" textlink="">
          <xdr:nvSpPr>
            <xdr:cNvPr id="7372" name="Check Box 204" hidden="1">
              <a:extLst>
                <a:ext uri="{63B3BB69-23CF-44E3-9099-C40C66FF867C}">
                  <a14:compatExt spid="_x0000_s7372"/>
                </a:ext>
                <a:ext uri="{FF2B5EF4-FFF2-40B4-BE49-F238E27FC236}">
                  <a16:creationId xmlns:a16="http://schemas.microsoft.com/office/drawing/2014/main" id="{00000000-0008-0000-0200-0000C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137</xdr:row>
          <xdr:rowOff>25400</xdr:rowOff>
        </xdr:from>
        <xdr:to>
          <xdr:col>6</xdr:col>
          <xdr:colOff>21167</xdr:colOff>
          <xdr:row>137</xdr:row>
          <xdr:rowOff>266700</xdr:rowOff>
        </xdr:to>
        <xdr:sp macro="" textlink="">
          <xdr:nvSpPr>
            <xdr:cNvPr id="7375" name="Check Box 207" hidden="1">
              <a:extLst>
                <a:ext uri="{63B3BB69-23CF-44E3-9099-C40C66FF867C}">
                  <a14:compatExt spid="_x0000_s7375"/>
                </a:ext>
                <a:ext uri="{FF2B5EF4-FFF2-40B4-BE49-F238E27FC236}">
                  <a16:creationId xmlns:a16="http://schemas.microsoft.com/office/drawing/2014/main" id="{00000000-0008-0000-0200-0000C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144</xdr:row>
          <xdr:rowOff>25400</xdr:rowOff>
        </xdr:from>
        <xdr:to>
          <xdr:col>6</xdr:col>
          <xdr:colOff>21167</xdr:colOff>
          <xdr:row>144</xdr:row>
          <xdr:rowOff>266700</xdr:rowOff>
        </xdr:to>
        <xdr:sp macro="" textlink="">
          <xdr:nvSpPr>
            <xdr:cNvPr id="7378" name="Check Box 210" hidden="1">
              <a:extLst>
                <a:ext uri="{63B3BB69-23CF-44E3-9099-C40C66FF867C}">
                  <a14:compatExt spid="_x0000_s7378"/>
                </a:ext>
                <a:ext uri="{FF2B5EF4-FFF2-40B4-BE49-F238E27FC236}">
                  <a16:creationId xmlns:a16="http://schemas.microsoft.com/office/drawing/2014/main" id="{00000000-0008-0000-0200-0000D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145</xdr:row>
          <xdr:rowOff>25400</xdr:rowOff>
        </xdr:from>
        <xdr:to>
          <xdr:col>6</xdr:col>
          <xdr:colOff>21167</xdr:colOff>
          <xdr:row>145</xdr:row>
          <xdr:rowOff>266700</xdr:rowOff>
        </xdr:to>
        <xdr:sp macro="" textlink="">
          <xdr:nvSpPr>
            <xdr:cNvPr id="7379" name="Check Box 211" hidden="1">
              <a:extLst>
                <a:ext uri="{63B3BB69-23CF-44E3-9099-C40C66FF867C}">
                  <a14:compatExt spid="_x0000_s7379"/>
                </a:ext>
                <a:ext uri="{FF2B5EF4-FFF2-40B4-BE49-F238E27FC236}">
                  <a16:creationId xmlns:a16="http://schemas.microsoft.com/office/drawing/2014/main" id="{00000000-0008-0000-0200-0000D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146</xdr:row>
          <xdr:rowOff>25400</xdr:rowOff>
        </xdr:from>
        <xdr:to>
          <xdr:col>6</xdr:col>
          <xdr:colOff>21167</xdr:colOff>
          <xdr:row>146</xdr:row>
          <xdr:rowOff>266700</xdr:rowOff>
        </xdr:to>
        <xdr:sp macro="" textlink="">
          <xdr:nvSpPr>
            <xdr:cNvPr id="7380" name="Check Box 212" hidden="1">
              <a:extLst>
                <a:ext uri="{63B3BB69-23CF-44E3-9099-C40C66FF867C}">
                  <a14:compatExt spid="_x0000_s7380"/>
                </a:ext>
                <a:ext uri="{FF2B5EF4-FFF2-40B4-BE49-F238E27FC236}">
                  <a16:creationId xmlns:a16="http://schemas.microsoft.com/office/drawing/2014/main" id="{00000000-0008-0000-0200-0000D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122</xdr:row>
          <xdr:rowOff>0</xdr:rowOff>
        </xdr:from>
        <xdr:to>
          <xdr:col>6</xdr:col>
          <xdr:colOff>12700</xdr:colOff>
          <xdr:row>122</xdr:row>
          <xdr:rowOff>241300</xdr:rowOff>
        </xdr:to>
        <xdr:sp macro="" textlink="">
          <xdr:nvSpPr>
            <xdr:cNvPr id="7381" name="Check Box 213" hidden="1">
              <a:extLst>
                <a:ext uri="{63B3BB69-23CF-44E3-9099-C40C66FF867C}">
                  <a14:compatExt spid="_x0000_s7381"/>
                </a:ext>
                <a:ext uri="{FF2B5EF4-FFF2-40B4-BE49-F238E27FC236}">
                  <a16:creationId xmlns:a16="http://schemas.microsoft.com/office/drawing/2014/main" id="{00000000-0008-0000-0200-0000D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xdr:colOff>
          <xdr:row>121</xdr:row>
          <xdr:rowOff>0</xdr:rowOff>
        </xdr:from>
        <xdr:to>
          <xdr:col>6</xdr:col>
          <xdr:colOff>12700</xdr:colOff>
          <xdr:row>121</xdr:row>
          <xdr:rowOff>241300</xdr:rowOff>
        </xdr:to>
        <xdr:sp macro="" textlink="">
          <xdr:nvSpPr>
            <xdr:cNvPr id="7382" name="Check Box 214" hidden="1">
              <a:extLst>
                <a:ext uri="{63B3BB69-23CF-44E3-9099-C40C66FF867C}">
                  <a14:compatExt spid="_x0000_s7382"/>
                </a:ext>
                <a:ext uri="{FF2B5EF4-FFF2-40B4-BE49-F238E27FC236}">
                  <a16:creationId xmlns:a16="http://schemas.microsoft.com/office/drawing/2014/main" id="{00000000-0008-0000-0200-0000D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xdr:row>
          <xdr:rowOff>12700</xdr:rowOff>
        </xdr:from>
        <xdr:to>
          <xdr:col>6</xdr:col>
          <xdr:colOff>0</xdr:colOff>
          <xdr:row>3</xdr:row>
          <xdr:rowOff>249767</xdr:rowOff>
        </xdr:to>
        <xdr:sp macro="" textlink="">
          <xdr:nvSpPr>
            <xdr:cNvPr id="7383" name="Check Box 215" hidden="1">
              <a:extLst>
                <a:ext uri="{63B3BB69-23CF-44E3-9099-C40C66FF867C}">
                  <a14:compatExt spid="_x0000_s7383"/>
                </a:ext>
                <a:ext uri="{FF2B5EF4-FFF2-40B4-BE49-F238E27FC236}">
                  <a16:creationId xmlns:a16="http://schemas.microsoft.com/office/drawing/2014/main" id="{00000000-0008-0000-0200-0000D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141409</xdr:rowOff>
    </xdr:from>
    <xdr:to>
      <xdr:col>4</xdr:col>
      <xdr:colOff>4167553</xdr:colOff>
      <xdr:row>0</xdr:row>
      <xdr:rowOff>925390</xdr:rowOff>
    </xdr:to>
    <xdr:sp macro="" textlink="">
      <xdr:nvSpPr>
        <xdr:cNvPr id="2" name="Rettangolo con angoli arrotondati 1">
          <a:extLst>
            <a:ext uri="{FF2B5EF4-FFF2-40B4-BE49-F238E27FC236}">
              <a16:creationId xmlns:a16="http://schemas.microsoft.com/office/drawing/2014/main" id="{00000000-0008-0000-0200-000002000000}"/>
            </a:ext>
          </a:extLst>
        </xdr:cNvPr>
        <xdr:cNvSpPr/>
      </xdr:nvSpPr>
      <xdr:spPr>
        <a:xfrm>
          <a:off x="0" y="141409"/>
          <a:ext cx="6605953"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t-IT" sz="30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rPr>
            <a:t>Check list - Adeguati Assetti</a:t>
          </a:r>
        </a:p>
      </xdr:txBody>
    </xdr:sp>
    <xdr:clientData/>
  </xdr:twoCellAnchor>
  <xdr:twoCellAnchor editAs="oneCell">
    <xdr:from>
      <xdr:col>4</xdr:col>
      <xdr:colOff>5934075</xdr:colOff>
      <xdr:row>0</xdr:row>
      <xdr:rowOff>190500</xdr:rowOff>
    </xdr:from>
    <xdr:to>
      <xdr:col>6</xdr:col>
      <xdr:colOff>301031</xdr:colOff>
      <xdr:row>0</xdr:row>
      <xdr:rowOff>826477</xdr:rowOff>
    </xdr:to>
    <xdr:pic>
      <xdr:nvPicPr>
        <xdr:cNvPr id="4" name="Immagin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2025" y="190500"/>
          <a:ext cx="2034581" cy="635977"/>
        </a:xfrm>
        <a:prstGeom prst="rect">
          <a:avLst/>
        </a:prstGeom>
      </xdr:spPr>
    </xdr:pic>
    <xdr:clientData/>
  </xdr:twoCellAnchor>
  <xdr:twoCellAnchor>
    <xdr:from>
      <xdr:col>4</xdr:col>
      <xdr:colOff>5343525</xdr:colOff>
      <xdr:row>1</xdr:row>
      <xdr:rowOff>142875</xdr:rowOff>
    </xdr:from>
    <xdr:to>
      <xdr:col>4</xdr:col>
      <xdr:colOff>6486525</xdr:colOff>
      <xdr:row>1</xdr:row>
      <xdr:rowOff>685800</xdr:rowOff>
    </xdr:to>
    <xdr:sp macro="" textlink="">
      <xdr:nvSpPr>
        <xdr:cNvPr id="6" name="Rettangolo con angoli arrotondati 5">
          <a:hlinkClick xmlns:r="http://schemas.openxmlformats.org/officeDocument/2006/relationships" r:id="rId2"/>
          <a:extLst>
            <a:ext uri="{FF2B5EF4-FFF2-40B4-BE49-F238E27FC236}">
              <a16:creationId xmlns:a16="http://schemas.microsoft.com/office/drawing/2014/main" id="{00000000-0008-0000-0200-000006000000}"/>
            </a:ext>
          </a:extLst>
        </xdr:cNvPr>
        <xdr:cNvSpPr/>
      </xdr:nvSpPr>
      <xdr:spPr>
        <a:xfrm>
          <a:off x="7991475" y="1323975"/>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5-6</a:t>
          </a:r>
          <a:endParaRPr lang="it-IT" sz="1200" b="1"/>
        </a:p>
      </xdr:txBody>
    </xdr:sp>
    <xdr:clientData/>
  </xdr:twoCellAnchor>
  <xdr:twoCellAnchor>
    <xdr:from>
      <xdr:col>4</xdr:col>
      <xdr:colOff>6886575</xdr:colOff>
      <xdr:row>0</xdr:row>
      <xdr:rowOff>923925</xdr:rowOff>
    </xdr:from>
    <xdr:to>
      <xdr:col>6</xdr:col>
      <xdr:colOff>424961</xdr:colOff>
      <xdr:row>1</xdr:row>
      <xdr:rowOff>1020641</xdr:rowOff>
    </xdr:to>
    <xdr:grpSp>
      <xdr:nvGrpSpPr>
        <xdr:cNvPr id="10" name="Gruppo 9">
          <a:hlinkClick xmlns:r="http://schemas.openxmlformats.org/officeDocument/2006/relationships" r:id="rId3"/>
          <a:extLst>
            <a:ext uri="{FF2B5EF4-FFF2-40B4-BE49-F238E27FC236}">
              <a16:creationId xmlns:a16="http://schemas.microsoft.com/office/drawing/2014/main" id="{00000000-0008-0000-0200-00000A000000}"/>
            </a:ext>
          </a:extLst>
        </xdr:cNvPr>
        <xdr:cNvGrpSpPr/>
      </xdr:nvGrpSpPr>
      <xdr:grpSpPr>
        <a:xfrm>
          <a:off x="9536143" y="923925"/>
          <a:ext cx="1815798" cy="1277069"/>
          <a:chOff x="9072034" y="1562101"/>
          <a:chExt cx="1170917" cy="1092199"/>
        </a:xfrm>
      </xdr:grpSpPr>
      <xdr:pic>
        <xdr:nvPicPr>
          <xdr:cNvPr id="11" name="Elemento grafico 10" descr="Elenco contorno">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072034" y="1739900"/>
            <a:ext cx="914400" cy="914400"/>
          </a:xfrm>
          <a:prstGeom prst="rect">
            <a:avLst/>
          </a:prstGeom>
        </xdr:spPr>
      </xdr:pic>
      <xdr:sp macro="" textlink="">
        <xdr:nvSpPr>
          <xdr:cNvPr id="12" name="CasellaDiTesto 11">
            <a:extLst>
              <a:ext uri="{FF2B5EF4-FFF2-40B4-BE49-F238E27FC236}">
                <a16:creationId xmlns:a16="http://schemas.microsoft.com/office/drawing/2014/main" id="{00000000-0008-0000-0200-00000C000000}"/>
              </a:ext>
            </a:extLst>
          </xdr:cNvPr>
          <xdr:cNvSpPr txBox="1"/>
        </xdr:nvSpPr>
        <xdr:spPr>
          <a:xfrm>
            <a:off x="9131300" y="1562101"/>
            <a:ext cx="11116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100"/>
              <a:t>Relazione</a:t>
            </a:r>
            <a:r>
              <a:rPr lang="it-IT" sz="1100" baseline="0"/>
              <a:t> Finale</a:t>
            </a:r>
            <a:endParaRPr lang="it-IT" sz="1100"/>
          </a:p>
        </xdr:txBody>
      </xdr:sp>
    </xdr:grpSp>
    <xdr:clientData/>
  </xdr:twoCellAnchor>
  <xdr:twoCellAnchor>
    <xdr:from>
      <xdr:col>1</xdr:col>
      <xdr:colOff>85725</xdr:colOff>
      <xdr:row>1</xdr:row>
      <xdr:rowOff>180975</xdr:rowOff>
    </xdr:from>
    <xdr:to>
      <xdr:col>3</xdr:col>
      <xdr:colOff>0</xdr:colOff>
      <xdr:row>1</xdr:row>
      <xdr:rowOff>723900</xdr:rowOff>
    </xdr:to>
    <xdr:sp macro="" textlink="">
      <xdr:nvSpPr>
        <xdr:cNvPr id="13" name="Rettangolo con angoli arrotondati 12">
          <a:hlinkClick xmlns:r="http://schemas.openxmlformats.org/officeDocument/2006/relationships" r:id="rId6"/>
          <a:extLst>
            <a:ext uri="{FF2B5EF4-FFF2-40B4-BE49-F238E27FC236}">
              <a16:creationId xmlns:a16="http://schemas.microsoft.com/office/drawing/2014/main" id="{00000000-0008-0000-0200-00000D000000}"/>
            </a:ext>
          </a:extLst>
        </xdr:cNvPr>
        <xdr:cNvSpPr/>
      </xdr:nvSpPr>
      <xdr:spPr>
        <a:xfrm>
          <a:off x="600075" y="1362075"/>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1-2</a:t>
          </a:r>
          <a:endParaRPr lang="it-IT" sz="1200" b="1"/>
        </a:p>
      </xdr:txBody>
    </xdr:sp>
    <xdr:clientData/>
  </xdr:twoCellAnchor>
  <mc:AlternateContent xmlns:mc="http://schemas.openxmlformats.org/markup-compatibility/2006">
    <mc:Choice xmlns:a14="http://schemas.microsoft.com/office/drawing/2010/main" Requires="a14">
      <xdr:twoCellAnchor editAs="oneCell">
        <xdr:from>
          <xdr:col>5</xdr:col>
          <xdr:colOff>38100</xdr:colOff>
          <xdr:row>149</xdr:row>
          <xdr:rowOff>76200</xdr:rowOff>
        </xdr:from>
        <xdr:to>
          <xdr:col>6</xdr:col>
          <xdr:colOff>0</xdr:colOff>
          <xdr:row>149</xdr:row>
          <xdr:rowOff>317500</xdr:rowOff>
        </xdr:to>
        <xdr:sp macro="" textlink="">
          <xdr:nvSpPr>
            <xdr:cNvPr id="7384" name="Check Box 216" hidden="1">
              <a:extLst>
                <a:ext uri="{63B3BB69-23CF-44E3-9099-C40C66FF867C}">
                  <a14:compatExt spid="_x0000_s7384"/>
                </a:ext>
                <a:ext uri="{FF2B5EF4-FFF2-40B4-BE49-F238E27FC236}">
                  <a16:creationId xmlns:a16="http://schemas.microsoft.com/office/drawing/2014/main" id="{00000000-0008-0000-0200-0000D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150</xdr:row>
          <xdr:rowOff>76200</xdr:rowOff>
        </xdr:from>
        <xdr:to>
          <xdr:col>6</xdr:col>
          <xdr:colOff>0</xdr:colOff>
          <xdr:row>150</xdr:row>
          <xdr:rowOff>317500</xdr:rowOff>
        </xdr:to>
        <xdr:sp macro="" textlink="">
          <xdr:nvSpPr>
            <xdr:cNvPr id="7385" name="Check Box 217" hidden="1">
              <a:extLst>
                <a:ext uri="{63B3BB69-23CF-44E3-9099-C40C66FF867C}">
                  <a14:compatExt spid="_x0000_s7385"/>
                </a:ext>
                <a:ext uri="{FF2B5EF4-FFF2-40B4-BE49-F238E27FC236}">
                  <a16:creationId xmlns:a16="http://schemas.microsoft.com/office/drawing/2014/main" id="{00000000-0008-0000-0200-0000D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59267</xdr:colOff>
          <xdr:row>5</xdr:row>
          <xdr:rowOff>25400</xdr:rowOff>
        </xdr:from>
        <xdr:to>
          <xdr:col>5</xdr:col>
          <xdr:colOff>304800</xdr:colOff>
          <xdr:row>5</xdr:row>
          <xdr:rowOff>266700</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7</xdr:row>
          <xdr:rowOff>25400</xdr:rowOff>
        </xdr:from>
        <xdr:to>
          <xdr:col>5</xdr:col>
          <xdr:colOff>304800</xdr:colOff>
          <xdr:row>7</xdr:row>
          <xdr:rowOff>266700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3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9</xdr:row>
          <xdr:rowOff>25400</xdr:rowOff>
        </xdr:from>
        <xdr:to>
          <xdr:col>5</xdr:col>
          <xdr:colOff>304800</xdr:colOff>
          <xdr:row>9</xdr:row>
          <xdr:rowOff>266700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3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6</xdr:row>
          <xdr:rowOff>25400</xdr:rowOff>
        </xdr:from>
        <xdr:to>
          <xdr:col>5</xdr:col>
          <xdr:colOff>304800</xdr:colOff>
          <xdr:row>6</xdr:row>
          <xdr:rowOff>266700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3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7</xdr:row>
          <xdr:rowOff>25400</xdr:rowOff>
        </xdr:from>
        <xdr:to>
          <xdr:col>5</xdr:col>
          <xdr:colOff>304800</xdr:colOff>
          <xdr:row>7</xdr:row>
          <xdr:rowOff>266700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3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9</xdr:row>
          <xdr:rowOff>25400</xdr:rowOff>
        </xdr:from>
        <xdr:to>
          <xdr:col>5</xdr:col>
          <xdr:colOff>304800</xdr:colOff>
          <xdr:row>9</xdr:row>
          <xdr:rowOff>266700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3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8</xdr:row>
          <xdr:rowOff>25400</xdr:rowOff>
        </xdr:from>
        <xdr:to>
          <xdr:col>5</xdr:col>
          <xdr:colOff>304800</xdr:colOff>
          <xdr:row>8</xdr:row>
          <xdr:rowOff>266700</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3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10</xdr:row>
          <xdr:rowOff>88900</xdr:rowOff>
        </xdr:from>
        <xdr:to>
          <xdr:col>5</xdr:col>
          <xdr:colOff>279400</xdr:colOff>
          <xdr:row>10</xdr:row>
          <xdr:rowOff>287867</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3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12</xdr:row>
          <xdr:rowOff>88900</xdr:rowOff>
        </xdr:from>
        <xdr:to>
          <xdr:col>5</xdr:col>
          <xdr:colOff>279400</xdr:colOff>
          <xdr:row>12</xdr:row>
          <xdr:rowOff>287867</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3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15</xdr:row>
          <xdr:rowOff>88900</xdr:rowOff>
        </xdr:from>
        <xdr:to>
          <xdr:col>5</xdr:col>
          <xdr:colOff>279400</xdr:colOff>
          <xdr:row>15</xdr:row>
          <xdr:rowOff>287867</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3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18</xdr:row>
          <xdr:rowOff>88900</xdr:rowOff>
        </xdr:from>
        <xdr:to>
          <xdr:col>5</xdr:col>
          <xdr:colOff>279400</xdr:colOff>
          <xdr:row>18</xdr:row>
          <xdr:rowOff>287867</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3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20</xdr:row>
          <xdr:rowOff>88900</xdr:rowOff>
        </xdr:from>
        <xdr:to>
          <xdr:col>5</xdr:col>
          <xdr:colOff>279400</xdr:colOff>
          <xdr:row>20</xdr:row>
          <xdr:rowOff>287867</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3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23</xdr:row>
          <xdr:rowOff>88900</xdr:rowOff>
        </xdr:from>
        <xdr:to>
          <xdr:col>5</xdr:col>
          <xdr:colOff>279400</xdr:colOff>
          <xdr:row>23</xdr:row>
          <xdr:rowOff>287867</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3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25</xdr:row>
          <xdr:rowOff>88900</xdr:rowOff>
        </xdr:from>
        <xdr:to>
          <xdr:col>5</xdr:col>
          <xdr:colOff>279400</xdr:colOff>
          <xdr:row>25</xdr:row>
          <xdr:rowOff>287867</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3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59267</xdr:colOff>
          <xdr:row>19</xdr:row>
          <xdr:rowOff>88900</xdr:rowOff>
        </xdr:from>
        <xdr:to>
          <xdr:col>5</xdr:col>
          <xdr:colOff>279400</xdr:colOff>
          <xdr:row>19</xdr:row>
          <xdr:rowOff>287867</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3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223472</xdr:colOff>
      <xdr:row>0</xdr:row>
      <xdr:rowOff>169984</xdr:rowOff>
    </xdr:from>
    <xdr:to>
      <xdr:col>4</xdr:col>
      <xdr:colOff>5095875</xdr:colOff>
      <xdr:row>0</xdr:row>
      <xdr:rowOff>953965</xdr:rowOff>
    </xdr:to>
    <xdr:sp macro="" textlink="">
      <xdr:nvSpPr>
        <xdr:cNvPr id="5" name="Rettangolo con angoli arrotondati 4">
          <a:extLst>
            <a:ext uri="{FF2B5EF4-FFF2-40B4-BE49-F238E27FC236}">
              <a16:creationId xmlns:a16="http://schemas.microsoft.com/office/drawing/2014/main" id="{00000000-0008-0000-0300-000005000000}"/>
            </a:ext>
          </a:extLst>
        </xdr:cNvPr>
        <xdr:cNvSpPr/>
      </xdr:nvSpPr>
      <xdr:spPr>
        <a:xfrm>
          <a:off x="223472" y="169984"/>
          <a:ext cx="6815503"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t-IT" sz="30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rPr>
            <a:t>Check list - Adeguati Assetti</a:t>
          </a:r>
        </a:p>
      </xdr:txBody>
    </xdr:sp>
    <xdr:clientData/>
  </xdr:twoCellAnchor>
  <xdr:twoCellAnchor editAs="oneCell">
    <xdr:from>
      <xdr:col>4</xdr:col>
      <xdr:colOff>5565146</xdr:colOff>
      <xdr:row>0</xdr:row>
      <xdr:rowOff>278423</xdr:rowOff>
    </xdr:from>
    <xdr:to>
      <xdr:col>5</xdr:col>
      <xdr:colOff>217852</xdr:colOff>
      <xdr:row>0</xdr:row>
      <xdr:rowOff>914400</xdr:rowOff>
    </xdr:to>
    <xdr:pic>
      <xdr:nvPicPr>
        <xdr:cNvPr id="6" name="Immagin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08246" y="278423"/>
          <a:ext cx="2034581" cy="635977"/>
        </a:xfrm>
        <a:prstGeom prst="rect">
          <a:avLst/>
        </a:prstGeom>
      </xdr:spPr>
    </xdr:pic>
    <xdr:clientData/>
  </xdr:twoCellAnchor>
  <xdr:twoCellAnchor>
    <xdr:from>
      <xdr:col>1</xdr:col>
      <xdr:colOff>0</xdr:colOff>
      <xdr:row>1</xdr:row>
      <xdr:rowOff>57150</xdr:rowOff>
    </xdr:from>
    <xdr:to>
      <xdr:col>2</xdr:col>
      <xdr:colOff>628650</xdr:colOff>
      <xdr:row>1</xdr:row>
      <xdr:rowOff>600075</xdr:rowOff>
    </xdr:to>
    <xdr:sp macro="" textlink="">
      <xdr:nvSpPr>
        <xdr:cNvPr id="7" name="Rettangolo con angoli arrotondati 6">
          <a:hlinkClick xmlns:r="http://schemas.openxmlformats.org/officeDocument/2006/relationships" r:id="rId2"/>
          <a:extLst>
            <a:ext uri="{FF2B5EF4-FFF2-40B4-BE49-F238E27FC236}">
              <a16:creationId xmlns:a16="http://schemas.microsoft.com/office/drawing/2014/main" id="{00000000-0008-0000-0300-000007000000}"/>
            </a:ext>
          </a:extLst>
        </xdr:cNvPr>
        <xdr:cNvSpPr/>
      </xdr:nvSpPr>
      <xdr:spPr>
        <a:xfrm>
          <a:off x="514350" y="1238250"/>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1-2</a:t>
          </a:r>
          <a:endParaRPr lang="it-IT" sz="1200" b="1"/>
        </a:p>
      </xdr:txBody>
    </xdr:sp>
    <xdr:clientData/>
  </xdr:twoCellAnchor>
  <xdr:twoCellAnchor>
    <xdr:from>
      <xdr:col>3</xdr:col>
      <xdr:colOff>57150</xdr:colOff>
      <xdr:row>1</xdr:row>
      <xdr:rowOff>66675</xdr:rowOff>
    </xdr:from>
    <xdr:to>
      <xdr:col>4</xdr:col>
      <xdr:colOff>485775</xdr:colOff>
      <xdr:row>1</xdr:row>
      <xdr:rowOff>609600</xdr:rowOff>
    </xdr:to>
    <xdr:sp macro="" textlink="">
      <xdr:nvSpPr>
        <xdr:cNvPr id="8" name="Rettangolo con angoli arrotondati 7">
          <a:hlinkClick xmlns:r="http://schemas.openxmlformats.org/officeDocument/2006/relationships" r:id="rId3"/>
          <a:extLst>
            <a:ext uri="{FF2B5EF4-FFF2-40B4-BE49-F238E27FC236}">
              <a16:creationId xmlns:a16="http://schemas.microsoft.com/office/drawing/2014/main" id="{00000000-0008-0000-0300-000008000000}"/>
            </a:ext>
          </a:extLst>
        </xdr:cNvPr>
        <xdr:cNvSpPr/>
      </xdr:nvSpPr>
      <xdr:spPr>
        <a:xfrm>
          <a:off x="1800225" y="1247775"/>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3-4</a:t>
          </a:r>
          <a:endParaRPr lang="it-IT" sz="1200" b="1"/>
        </a:p>
      </xdr:txBody>
    </xdr:sp>
    <xdr:clientData/>
  </xdr:twoCellAnchor>
  <xdr:twoCellAnchor>
    <xdr:from>
      <xdr:col>4</xdr:col>
      <xdr:colOff>6543675</xdr:colOff>
      <xdr:row>0</xdr:row>
      <xdr:rowOff>1057275</xdr:rowOff>
    </xdr:from>
    <xdr:to>
      <xdr:col>6</xdr:col>
      <xdr:colOff>57150</xdr:colOff>
      <xdr:row>1</xdr:row>
      <xdr:rowOff>1143000</xdr:rowOff>
    </xdr:to>
    <xdr:grpSp>
      <xdr:nvGrpSpPr>
        <xdr:cNvPr id="9" name="Gruppo 8">
          <a:hlinkClick xmlns:r="http://schemas.openxmlformats.org/officeDocument/2006/relationships" r:id="rId4"/>
          <a:extLst>
            <a:ext uri="{FF2B5EF4-FFF2-40B4-BE49-F238E27FC236}">
              <a16:creationId xmlns:a16="http://schemas.microsoft.com/office/drawing/2014/main" id="{00000000-0008-0000-0300-000009000000}"/>
            </a:ext>
          </a:extLst>
        </xdr:cNvPr>
        <xdr:cNvGrpSpPr/>
      </xdr:nvGrpSpPr>
      <xdr:grpSpPr>
        <a:xfrm>
          <a:off x="9193243" y="1057275"/>
          <a:ext cx="1865593" cy="1266078"/>
          <a:chOff x="9072034" y="1562101"/>
          <a:chExt cx="1170917" cy="1092199"/>
        </a:xfrm>
      </xdr:grpSpPr>
      <xdr:pic>
        <xdr:nvPicPr>
          <xdr:cNvPr id="10" name="Elemento grafico 9" descr="Elenco contorno">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072034" y="1739900"/>
            <a:ext cx="914400" cy="914400"/>
          </a:xfrm>
          <a:prstGeom prst="rect">
            <a:avLst/>
          </a:prstGeom>
        </xdr:spPr>
      </xdr:pic>
      <xdr:sp macro="" textlink="">
        <xdr:nvSpPr>
          <xdr:cNvPr id="11" name="CasellaDiTesto 10">
            <a:extLst>
              <a:ext uri="{FF2B5EF4-FFF2-40B4-BE49-F238E27FC236}">
                <a16:creationId xmlns:a16="http://schemas.microsoft.com/office/drawing/2014/main" id="{00000000-0008-0000-0300-00000B000000}"/>
              </a:ext>
            </a:extLst>
          </xdr:cNvPr>
          <xdr:cNvSpPr txBox="1"/>
        </xdr:nvSpPr>
        <xdr:spPr>
          <a:xfrm>
            <a:off x="9131300" y="1562101"/>
            <a:ext cx="11116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100"/>
              <a:t>Relazione</a:t>
            </a:r>
            <a:r>
              <a:rPr lang="it-IT" sz="1100" baseline="0"/>
              <a:t> Finale</a:t>
            </a:r>
            <a:endParaRPr lang="it-IT"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223472</xdr:colOff>
      <xdr:row>0</xdr:row>
      <xdr:rowOff>169984</xdr:rowOff>
    </xdr:from>
    <xdr:to>
      <xdr:col>4</xdr:col>
      <xdr:colOff>5095875</xdr:colOff>
      <xdr:row>0</xdr:row>
      <xdr:rowOff>953965</xdr:rowOff>
    </xdr:to>
    <xdr:sp macro="" textlink="">
      <xdr:nvSpPr>
        <xdr:cNvPr id="2" name="Rettangolo con angoli arrotondati 1">
          <a:extLst>
            <a:ext uri="{FF2B5EF4-FFF2-40B4-BE49-F238E27FC236}">
              <a16:creationId xmlns:a16="http://schemas.microsoft.com/office/drawing/2014/main" id="{00000000-0008-0000-0400-000002000000}"/>
            </a:ext>
          </a:extLst>
        </xdr:cNvPr>
        <xdr:cNvSpPr/>
      </xdr:nvSpPr>
      <xdr:spPr>
        <a:xfrm>
          <a:off x="223472" y="169984"/>
          <a:ext cx="7329853"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t-IT" sz="30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rPr>
            <a:t>Check list - Adeguati Assetti</a:t>
          </a:r>
        </a:p>
      </xdr:txBody>
    </xdr:sp>
    <xdr:clientData/>
  </xdr:twoCellAnchor>
  <xdr:twoCellAnchor editAs="oneCell">
    <xdr:from>
      <xdr:col>11</xdr:col>
      <xdr:colOff>66675</xdr:colOff>
      <xdr:row>0</xdr:row>
      <xdr:rowOff>183173</xdr:rowOff>
    </xdr:from>
    <xdr:to>
      <xdr:col>11</xdr:col>
      <xdr:colOff>2705100</xdr:colOff>
      <xdr:row>4</xdr:row>
      <xdr:rowOff>56987</xdr:rowOff>
    </xdr:to>
    <xdr:pic>
      <xdr:nvPicPr>
        <xdr:cNvPr id="3" name="Immagin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775" y="183173"/>
          <a:ext cx="2638425" cy="635977"/>
        </a:xfrm>
        <a:prstGeom prst="rect">
          <a:avLst/>
        </a:prstGeom>
      </xdr:spPr>
    </xdr:pic>
    <xdr:clientData/>
  </xdr:twoCellAnchor>
  <xdr:twoCellAnchor>
    <xdr:from>
      <xdr:col>4</xdr:col>
      <xdr:colOff>0</xdr:colOff>
      <xdr:row>0</xdr:row>
      <xdr:rowOff>1057275</xdr:rowOff>
    </xdr:from>
    <xdr:to>
      <xdr:col>4</xdr:col>
      <xdr:colOff>0</xdr:colOff>
      <xdr:row>2</xdr:row>
      <xdr:rowOff>0</xdr:rowOff>
    </xdr:to>
    <xdr:grpSp>
      <xdr:nvGrpSpPr>
        <xdr:cNvPr id="4" name="Gruppo 3">
          <a:hlinkClick xmlns:r="http://schemas.openxmlformats.org/officeDocument/2006/relationships" r:id="rId2"/>
          <a:extLst>
            <a:ext uri="{FF2B5EF4-FFF2-40B4-BE49-F238E27FC236}">
              <a16:creationId xmlns:a16="http://schemas.microsoft.com/office/drawing/2014/main" id="{00000000-0008-0000-0400-000004000000}"/>
            </a:ext>
          </a:extLst>
        </xdr:cNvPr>
        <xdr:cNvGrpSpPr/>
      </xdr:nvGrpSpPr>
      <xdr:grpSpPr>
        <a:xfrm>
          <a:off x="10488506" y="117475"/>
          <a:ext cx="0" cy="197485"/>
          <a:chOff x="9072034" y="1562101"/>
          <a:chExt cx="1170917" cy="1092199"/>
        </a:xfrm>
      </xdr:grpSpPr>
      <xdr:pic>
        <xdr:nvPicPr>
          <xdr:cNvPr id="5" name="Elemento grafico 4" descr="Elenco contorno">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072034" y="1739900"/>
            <a:ext cx="914400" cy="914400"/>
          </a:xfrm>
          <a:prstGeom prst="rect">
            <a:avLst/>
          </a:prstGeom>
        </xdr:spPr>
      </xdr:pic>
      <xdr:sp macro="" textlink="">
        <xdr:nvSpPr>
          <xdr:cNvPr id="6" name="CasellaDiTesto 5">
            <a:extLst>
              <a:ext uri="{FF2B5EF4-FFF2-40B4-BE49-F238E27FC236}">
                <a16:creationId xmlns:a16="http://schemas.microsoft.com/office/drawing/2014/main" id="{00000000-0008-0000-0400-000006000000}"/>
              </a:ext>
            </a:extLst>
          </xdr:cNvPr>
          <xdr:cNvSpPr txBox="1"/>
        </xdr:nvSpPr>
        <xdr:spPr>
          <a:xfrm>
            <a:off x="9131300" y="1562101"/>
            <a:ext cx="11116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100"/>
              <a:t>Relazione</a:t>
            </a:r>
            <a:r>
              <a:rPr lang="it-IT" sz="1100" baseline="0"/>
              <a:t> Finale</a:t>
            </a:r>
            <a:endParaRPr lang="it-IT" sz="1100"/>
          </a:p>
        </xdr:txBody>
      </xdr:sp>
    </xdr:grpSp>
    <xdr:clientData/>
  </xdr:twoCellAnchor>
  <xdr:twoCellAnchor>
    <xdr:from>
      <xdr:col>2</xdr:col>
      <xdr:colOff>95250</xdr:colOff>
      <xdr:row>1</xdr:row>
      <xdr:rowOff>495300</xdr:rowOff>
    </xdr:from>
    <xdr:to>
      <xdr:col>2</xdr:col>
      <xdr:colOff>1238250</xdr:colOff>
      <xdr:row>2</xdr:row>
      <xdr:rowOff>514350</xdr:rowOff>
    </xdr:to>
    <xdr:sp macro="" textlink="">
      <xdr:nvSpPr>
        <xdr:cNvPr id="7" name="Rettangolo con angoli arrotondati 6">
          <a:hlinkClick xmlns:r="http://schemas.openxmlformats.org/officeDocument/2006/relationships" r:id="rId5"/>
          <a:extLst>
            <a:ext uri="{FF2B5EF4-FFF2-40B4-BE49-F238E27FC236}">
              <a16:creationId xmlns:a16="http://schemas.microsoft.com/office/drawing/2014/main" id="{00000000-0008-0000-0400-000007000000}"/>
            </a:ext>
          </a:extLst>
        </xdr:cNvPr>
        <xdr:cNvSpPr/>
      </xdr:nvSpPr>
      <xdr:spPr>
        <a:xfrm>
          <a:off x="457200" y="1085850"/>
          <a:ext cx="1143000" cy="609600"/>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1-2</a:t>
          </a:r>
          <a:endParaRPr lang="it-IT" sz="1200" b="1"/>
        </a:p>
      </xdr:txBody>
    </xdr:sp>
    <xdr:clientData/>
  </xdr:twoCellAnchor>
  <xdr:twoCellAnchor>
    <xdr:from>
      <xdr:col>3</xdr:col>
      <xdr:colOff>742950</xdr:colOff>
      <xdr:row>1</xdr:row>
      <xdr:rowOff>504825</xdr:rowOff>
    </xdr:from>
    <xdr:to>
      <xdr:col>3</xdr:col>
      <xdr:colOff>1885950</xdr:colOff>
      <xdr:row>2</xdr:row>
      <xdr:rowOff>523875</xdr:rowOff>
    </xdr:to>
    <xdr:sp macro="" textlink="">
      <xdr:nvSpPr>
        <xdr:cNvPr id="10" name="Rettangolo con angoli arrotondati 9">
          <a:hlinkClick xmlns:r="http://schemas.openxmlformats.org/officeDocument/2006/relationships" r:id="rId6"/>
          <a:extLst>
            <a:ext uri="{FF2B5EF4-FFF2-40B4-BE49-F238E27FC236}">
              <a16:creationId xmlns:a16="http://schemas.microsoft.com/office/drawing/2014/main" id="{00000000-0008-0000-0400-00000A000000}"/>
            </a:ext>
          </a:extLst>
        </xdr:cNvPr>
        <xdr:cNvSpPr/>
      </xdr:nvSpPr>
      <xdr:spPr>
        <a:xfrm>
          <a:off x="3076575" y="1095375"/>
          <a:ext cx="1143000" cy="609600"/>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5-6</a:t>
          </a:r>
          <a:endParaRPr lang="it-IT" sz="1200" b="1"/>
        </a:p>
      </xdr:txBody>
    </xdr:sp>
    <xdr:clientData/>
  </xdr:twoCellAnchor>
  <xdr:twoCellAnchor>
    <xdr:from>
      <xdr:col>3</xdr:col>
      <xdr:colOff>3892329</xdr:colOff>
      <xdr:row>1</xdr:row>
      <xdr:rowOff>76200</xdr:rowOff>
    </xdr:from>
    <xdr:to>
      <xdr:col>3</xdr:col>
      <xdr:colOff>5228529</xdr:colOff>
      <xdr:row>2</xdr:row>
      <xdr:rowOff>946288</xdr:rowOff>
    </xdr:to>
    <xdr:grpSp>
      <xdr:nvGrpSpPr>
        <xdr:cNvPr id="9" name="Gruppo 8">
          <a:hlinkClick xmlns:r="http://schemas.openxmlformats.org/officeDocument/2006/relationships" r:id="rId7"/>
          <a:extLst>
            <a:ext uri="{FF2B5EF4-FFF2-40B4-BE49-F238E27FC236}">
              <a16:creationId xmlns:a16="http://schemas.microsoft.com/office/drawing/2014/main" id="{00000000-0008-0000-0400-000009000000}"/>
            </a:ext>
          </a:extLst>
        </xdr:cNvPr>
        <xdr:cNvGrpSpPr/>
      </xdr:nvGrpSpPr>
      <xdr:grpSpPr>
        <a:xfrm>
          <a:off x="6412009" y="194734"/>
          <a:ext cx="1336200" cy="308747"/>
          <a:chOff x="8976211" y="1398289"/>
          <a:chExt cx="1087816" cy="1256011"/>
        </a:xfrm>
      </xdr:grpSpPr>
      <xdr:pic>
        <xdr:nvPicPr>
          <xdr:cNvPr id="11" name="Elemento grafico 10" descr="Elenco contorno">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072034" y="1739900"/>
            <a:ext cx="914400" cy="914400"/>
          </a:xfrm>
          <a:prstGeom prst="rect">
            <a:avLst/>
          </a:prstGeom>
        </xdr:spPr>
      </xdr:pic>
      <xdr:sp macro="" textlink="">
        <xdr:nvSpPr>
          <xdr:cNvPr id="12" name="CasellaDiTesto 11">
            <a:extLst>
              <a:ext uri="{FF2B5EF4-FFF2-40B4-BE49-F238E27FC236}">
                <a16:creationId xmlns:a16="http://schemas.microsoft.com/office/drawing/2014/main" id="{00000000-0008-0000-0400-00000C000000}"/>
              </a:ext>
            </a:extLst>
          </xdr:cNvPr>
          <xdr:cNvSpPr txBox="1"/>
        </xdr:nvSpPr>
        <xdr:spPr>
          <a:xfrm>
            <a:off x="8976211" y="1398289"/>
            <a:ext cx="1087816" cy="37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it-IT" sz="1100"/>
              <a:t>Relazione</a:t>
            </a:r>
            <a:r>
              <a:rPr lang="it-IT" sz="1100" baseline="0"/>
              <a:t> Compatta</a:t>
            </a:r>
            <a:br>
              <a:rPr lang="it-IT" sz="1100" baseline="0"/>
            </a:br>
            <a:r>
              <a:rPr lang="it-IT" sz="1100" baseline="0"/>
              <a:t>(solo 365)</a:t>
            </a:r>
            <a:endParaRPr lang="it-IT" sz="1100"/>
          </a:p>
        </xdr:txBody>
      </xdr:sp>
    </xdr:grpSp>
    <xdr:clientData/>
  </xdr:twoCellAnchor>
  <xdr:twoCellAnchor>
    <xdr:from>
      <xdr:col>2</xdr:col>
      <xdr:colOff>1400175</xdr:colOff>
      <xdr:row>1</xdr:row>
      <xdr:rowOff>495300</xdr:rowOff>
    </xdr:from>
    <xdr:to>
      <xdr:col>3</xdr:col>
      <xdr:colOff>571500</xdr:colOff>
      <xdr:row>2</xdr:row>
      <xdr:rowOff>514350</xdr:rowOff>
    </xdr:to>
    <xdr:sp macro="" textlink="">
      <xdr:nvSpPr>
        <xdr:cNvPr id="14" name="Rettangolo con angoli arrotondati 13">
          <a:hlinkClick xmlns:r="http://schemas.openxmlformats.org/officeDocument/2006/relationships" r:id="rId8"/>
          <a:extLst>
            <a:ext uri="{FF2B5EF4-FFF2-40B4-BE49-F238E27FC236}">
              <a16:creationId xmlns:a16="http://schemas.microsoft.com/office/drawing/2014/main" id="{00000000-0008-0000-0400-00000E000000}"/>
            </a:ext>
          </a:extLst>
        </xdr:cNvPr>
        <xdr:cNvSpPr/>
      </xdr:nvSpPr>
      <xdr:spPr>
        <a:xfrm>
          <a:off x="1762125" y="1085850"/>
          <a:ext cx="1143000" cy="609600"/>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3-4</a:t>
          </a:r>
          <a:endParaRPr lang="it-IT"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2710228</xdr:colOff>
      <xdr:row>1</xdr:row>
      <xdr:rowOff>98181</xdr:rowOff>
    </xdr:to>
    <xdr:sp macro="" textlink="">
      <xdr:nvSpPr>
        <xdr:cNvPr id="2" name="Rettangolo con angoli arrotondati 1">
          <a:extLst>
            <a:ext uri="{FF2B5EF4-FFF2-40B4-BE49-F238E27FC236}">
              <a16:creationId xmlns:a16="http://schemas.microsoft.com/office/drawing/2014/main" id="{00000000-0008-0000-0500-000002000000}"/>
            </a:ext>
          </a:extLst>
        </xdr:cNvPr>
        <xdr:cNvSpPr/>
      </xdr:nvSpPr>
      <xdr:spPr>
        <a:xfrm>
          <a:off x="0" y="0"/>
          <a:ext cx="9530128"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t-IT" sz="30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rPr>
            <a:t>Check list - Adeguati Assetti</a:t>
          </a:r>
        </a:p>
      </xdr:txBody>
    </xdr:sp>
    <xdr:clientData/>
  </xdr:twoCellAnchor>
  <xdr:twoCellAnchor editAs="oneCell">
    <xdr:from>
      <xdr:col>0</xdr:col>
      <xdr:colOff>8682403</xdr:colOff>
      <xdr:row>0</xdr:row>
      <xdr:rowOff>222739</xdr:rowOff>
    </xdr:from>
    <xdr:to>
      <xdr:col>0</xdr:col>
      <xdr:colOff>11320828</xdr:colOff>
      <xdr:row>1</xdr:row>
      <xdr:rowOff>314325</xdr:rowOff>
    </xdr:to>
    <xdr:pic>
      <xdr:nvPicPr>
        <xdr:cNvPr id="3" name="Immagin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2403" y="222739"/>
          <a:ext cx="2638425" cy="777386"/>
        </a:xfrm>
        <a:prstGeom prst="rect">
          <a:avLst/>
        </a:prstGeom>
      </xdr:spPr>
    </xdr:pic>
    <xdr:clientData/>
  </xdr:twoCellAnchor>
  <xdr:twoCellAnchor>
    <xdr:from>
      <xdr:col>0</xdr:col>
      <xdr:colOff>224203</xdr:colOff>
      <xdr:row>1</xdr:row>
      <xdr:rowOff>411041</xdr:rowOff>
    </xdr:from>
    <xdr:to>
      <xdr:col>0</xdr:col>
      <xdr:colOff>1367203</xdr:colOff>
      <xdr:row>2</xdr:row>
      <xdr:rowOff>268166</xdr:rowOff>
    </xdr:to>
    <xdr:sp macro="" textlink="">
      <xdr:nvSpPr>
        <xdr:cNvPr id="4" name="Rettangolo con angoli arrotondati 3">
          <a:hlinkClick xmlns:r="http://schemas.openxmlformats.org/officeDocument/2006/relationships" r:id="rId2"/>
          <a:extLst>
            <a:ext uri="{FF2B5EF4-FFF2-40B4-BE49-F238E27FC236}">
              <a16:creationId xmlns:a16="http://schemas.microsoft.com/office/drawing/2014/main" id="{00000000-0008-0000-0500-000004000000}"/>
            </a:ext>
          </a:extLst>
        </xdr:cNvPr>
        <xdr:cNvSpPr/>
      </xdr:nvSpPr>
      <xdr:spPr>
        <a:xfrm>
          <a:off x="224203" y="1096841"/>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1-2</a:t>
          </a:r>
          <a:endParaRPr lang="it-IT" sz="1200" b="1"/>
        </a:p>
      </xdr:txBody>
    </xdr:sp>
    <xdr:clientData/>
  </xdr:twoCellAnchor>
  <xdr:twoCellAnchor>
    <xdr:from>
      <xdr:col>0</xdr:col>
      <xdr:colOff>3167428</xdr:colOff>
      <xdr:row>1</xdr:row>
      <xdr:rowOff>420566</xdr:rowOff>
    </xdr:from>
    <xdr:to>
      <xdr:col>0</xdr:col>
      <xdr:colOff>4310428</xdr:colOff>
      <xdr:row>2</xdr:row>
      <xdr:rowOff>277691</xdr:rowOff>
    </xdr:to>
    <xdr:sp macro="" textlink="">
      <xdr:nvSpPr>
        <xdr:cNvPr id="6" name="Rettangolo con angoli arrotondati 5">
          <a:hlinkClick xmlns:r="http://schemas.openxmlformats.org/officeDocument/2006/relationships" r:id="rId3"/>
          <a:extLst>
            <a:ext uri="{FF2B5EF4-FFF2-40B4-BE49-F238E27FC236}">
              <a16:creationId xmlns:a16="http://schemas.microsoft.com/office/drawing/2014/main" id="{00000000-0008-0000-0500-000006000000}"/>
            </a:ext>
          </a:extLst>
        </xdr:cNvPr>
        <xdr:cNvSpPr/>
      </xdr:nvSpPr>
      <xdr:spPr>
        <a:xfrm>
          <a:off x="3167428" y="1106366"/>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5-6</a:t>
          </a:r>
          <a:endParaRPr lang="it-IT" sz="1200" b="1"/>
        </a:p>
      </xdr:txBody>
    </xdr:sp>
    <xdr:clientData/>
  </xdr:twoCellAnchor>
  <xdr:twoCellAnchor>
    <xdr:from>
      <xdr:col>0</xdr:col>
      <xdr:colOff>1695450</xdr:colOff>
      <xdr:row>1</xdr:row>
      <xdr:rowOff>419100</xdr:rowOff>
    </xdr:from>
    <xdr:to>
      <xdr:col>0</xdr:col>
      <xdr:colOff>2838450</xdr:colOff>
      <xdr:row>2</xdr:row>
      <xdr:rowOff>276225</xdr:rowOff>
    </xdr:to>
    <xdr:sp macro="" textlink="">
      <xdr:nvSpPr>
        <xdr:cNvPr id="7" name="Rettangolo con angoli arrotondati 6">
          <a:hlinkClick xmlns:r="http://schemas.openxmlformats.org/officeDocument/2006/relationships" r:id="rId4"/>
          <a:extLst>
            <a:ext uri="{FF2B5EF4-FFF2-40B4-BE49-F238E27FC236}">
              <a16:creationId xmlns:a16="http://schemas.microsoft.com/office/drawing/2014/main" id="{00000000-0008-0000-0500-000007000000}"/>
            </a:ext>
          </a:extLst>
        </xdr:cNvPr>
        <xdr:cNvSpPr/>
      </xdr:nvSpPr>
      <xdr:spPr>
        <a:xfrm>
          <a:off x="1695450" y="1104900"/>
          <a:ext cx="1143000" cy="542925"/>
        </a:xfrm>
        <a:prstGeom prst="roundRect">
          <a:avLst/>
        </a:prstGeom>
        <a:solidFill>
          <a:srgbClr val="001F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b="1"/>
            <a:t>SEZIONI</a:t>
          </a:r>
          <a:r>
            <a:rPr lang="it-IT" sz="1200" b="1" baseline="0"/>
            <a:t> 3-4</a:t>
          </a:r>
          <a:endParaRPr lang="it-IT" sz="1200" b="1"/>
        </a:p>
      </xdr:txBody>
    </xdr:sp>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50.xml"/><Relationship Id="rId117" Type="http://schemas.openxmlformats.org/officeDocument/2006/relationships/ctrlProp" Target="../ctrlProps/ctrlProp141.xml"/><Relationship Id="rId21" Type="http://schemas.openxmlformats.org/officeDocument/2006/relationships/ctrlProp" Target="../ctrlProps/ctrlProp45.xml"/><Relationship Id="rId42" Type="http://schemas.openxmlformats.org/officeDocument/2006/relationships/ctrlProp" Target="../ctrlProps/ctrlProp66.xml"/><Relationship Id="rId47" Type="http://schemas.openxmlformats.org/officeDocument/2006/relationships/ctrlProp" Target="../ctrlProps/ctrlProp71.xml"/><Relationship Id="rId63" Type="http://schemas.openxmlformats.org/officeDocument/2006/relationships/ctrlProp" Target="../ctrlProps/ctrlProp87.xml"/><Relationship Id="rId68" Type="http://schemas.openxmlformats.org/officeDocument/2006/relationships/ctrlProp" Target="../ctrlProps/ctrlProp92.xml"/><Relationship Id="rId84" Type="http://schemas.openxmlformats.org/officeDocument/2006/relationships/ctrlProp" Target="../ctrlProps/ctrlProp108.xml"/><Relationship Id="rId89" Type="http://schemas.openxmlformats.org/officeDocument/2006/relationships/ctrlProp" Target="../ctrlProps/ctrlProp113.xml"/><Relationship Id="rId112" Type="http://schemas.openxmlformats.org/officeDocument/2006/relationships/ctrlProp" Target="../ctrlProps/ctrlProp136.xml"/><Relationship Id="rId16" Type="http://schemas.openxmlformats.org/officeDocument/2006/relationships/ctrlProp" Target="../ctrlProps/ctrlProp40.xml"/><Relationship Id="rId107" Type="http://schemas.openxmlformats.org/officeDocument/2006/relationships/ctrlProp" Target="../ctrlProps/ctrlProp131.xml"/><Relationship Id="rId11" Type="http://schemas.openxmlformats.org/officeDocument/2006/relationships/ctrlProp" Target="../ctrlProps/ctrlProp35.xml"/><Relationship Id="rId32" Type="http://schemas.openxmlformats.org/officeDocument/2006/relationships/ctrlProp" Target="../ctrlProps/ctrlProp56.xml"/><Relationship Id="rId37" Type="http://schemas.openxmlformats.org/officeDocument/2006/relationships/ctrlProp" Target="../ctrlProps/ctrlProp61.xml"/><Relationship Id="rId53" Type="http://schemas.openxmlformats.org/officeDocument/2006/relationships/ctrlProp" Target="../ctrlProps/ctrlProp77.xml"/><Relationship Id="rId58" Type="http://schemas.openxmlformats.org/officeDocument/2006/relationships/ctrlProp" Target="../ctrlProps/ctrlProp82.xml"/><Relationship Id="rId74" Type="http://schemas.openxmlformats.org/officeDocument/2006/relationships/ctrlProp" Target="../ctrlProps/ctrlProp98.xml"/><Relationship Id="rId79" Type="http://schemas.openxmlformats.org/officeDocument/2006/relationships/ctrlProp" Target="../ctrlProps/ctrlProp103.xml"/><Relationship Id="rId102" Type="http://schemas.openxmlformats.org/officeDocument/2006/relationships/ctrlProp" Target="../ctrlProps/ctrlProp126.xml"/><Relationship Id="rId5" Type="http://schemas.openxmlformats.org/officeDocument/2006/relationships/ctrlProp" Target="../ctrlProps/ctrlProp29.xml"/><Relationship Id="rId90" Type="http://schemas.openxmlformats.org/officeDocument/2006/relationships/ctrlProp" Target="../ctrlProps/ctrlProp114.xml"/><Relationship Id="rId95" Type="http://schemas.openxmlformats.org/officeDocument/2006/relationships/ctrlProp" Target="../ctrlProps/ctrlProp119.xml"/><Relationship Id="rId22" Type="http://schemas.openxmlformats.org/officeDocument/2006/relationships/ctrlProp" Target="../ctrlProps/ctrlProp46.xml"/><Relationship Id="rId27" Type="http://schemas.openxmlformats.org/officeDocument/2006/relationships/ctrlProp" Target="../ctrlProps/ctrlProp51.xml"/><Relationship Id="rId43" Type="http://schemas.openxmlformats.org/officeDocument/2006/relationships/ctrlProp" Target="../ctrlProps/ctrlProp67.xml"/><Relationship Id="rId48" Type="http://schemas.openxmlformats.org/officeDocument/2006/relationships/ctrlProp" Target="../ctrlProps/ctrlProp72.xml"/><Relationship Id="rId64" Type="http://schemas.openxmlformats.org/officeDocument/2006/relationships/ctrlProp" Target="../ctrlProps/ctrlProp88.xml"/><Relationship Id="rId69" Type="http://schemas.openxmlformats.org/officeDocument/2006/relationships/ctrlProp" Target="../ctrlProps/ctrlProp93.xml"/><Relationship Id="rId113" Type="http://schemas.openxmlformats.org/officeDocument/2006/relationships/ctrlProp" Target="../ctrlProps/ctrlProp137.xml"/><Relationship Id="rId118" Type="http://schemas.openxmlformats.org/officeDocument/2006/relationships/ctrlProp" Target="../ctrlProps/ctrlProp142.xml"/><Relationship Id="rId80" Type="http://schemas.openxmlformats.org/officeDocument/2006/relationships/ctrlProp" Target="../ctrlProps/ctrlProp104.xml"/><Relationship Id="rId85" Type="http://schemas.openxmlformats.org/officeDocument/2006/relationships/ctrlProp" Target="../ctrlProps/ctrlProp109.xml"/><Relationship Id="rId12" Type="http://schemas.openxmlformats.org/officeDocument/2006/relationships/ctrlProp" Target="../ctrlProps/ctrlProp36.xml"/><Relationship Id="rId17" Type="http://schemas.openxmlformats.org/officeDocument/2006/relationships/ctrlProp" Target="../ctrlProps/ctrlProp41.xml"/><Relationship Id="rId33" Type="http://schemas.openxmlformats.org/officeDocument/2006/relationships/ctrlProp" Target="../ctrlProps/ctrlProp57.xml"/><Relationship Id="rId38" Type="http://schemas.openxmlformats.org/officeDocument/2006/relationships/ctrlProp" Target="../ctrlProps/ctrlProp62.xml"/><Relationship Id="rId59" Type="http://schemas.openxmlformats.org/officeDocument/2006/relationships/ctrlProp" Target="../ctrlProps/ctrlProp83.xml"/><Relationship Id="rId103" Type="http://schemas.openxmlformats.org/officeDocument/2006/relationships/ctrlProp" Target="../ctrlProps/ctrlProp127.xml"/><Relationship Id="rId108" Type="http://schemas.openxmlformats.org/officeDocument/2006/relationships/ctrlProp" Target="../ctrlProps/ctrlProp132.xml"/><Relationship Id="rId54" Type="http://schemas.openxmlformats.org/officeDocument/2006/relationships/ctrlProp" Target="../ctrlProps/ctrlProp78.xml"/><Relationship Id="rId70" Type="http://schemas.openxmlformats.org/officeDocument/2006/relationships/ctrlProp" Target="../ctrlProps/ctrlProp94.xml"/><Relationship Id="rId75" Type="http://schemas.openxmlformats.org/officeDocument/2006/relationships/ctrlProp" Target="../ctrlProps/ctrlProp99.xml"/><Relationship Id="rId91" Type="http://schemas.openxmlformats.org/officeDocument/2006/relationships/ctrlProp" Target="../ctrlProps/ctrlProp115.xml"/><Relationship Id="rId96" Type="http://schemas.openxmlformats.org/officeDocument/2006/relationships/ctrlProp" Target="../ctrlProps/ctrlProp120.xml"/><Relationship Id="rId1" Type="http://schemas.openxmlformats.org/officeDocument/2006/relationships/printerSettings" Target="../printerSettings/printerSettings2.bin"/><Relationship Id="rId6" Type="http://schemas.openxmlformats.org/officeDocument/2006/relationships/ctrlProp" Target="../ctrlProps/ctrlProp30.xml"/><Relationship Id="rId23" Type="http://schemas.openxmlformats.org/officeDocument/2006/relationships/ctrlProp" Target="../ctrlProps/ctrlProp47.xml"/><Relationship Id="rId28" Type="http://schemas.openxmlformats.org/officeDocument/2006/relationships/ctrlProp" Target="../ctrlProps/ctrlProp52.xml"/><Relationship Id="rId49" Type="http://schemas.openxmlformats.org/officeDocument/2006/relationships/ctrlProp" Target="../ctrlProps/ctrlProp73.xml"/><Relationship Id="rId114" Type="http://schemas.openxmlformats.org/officeDocument/2006/relationships/ctrlProp" Target="../ctrlProps/ctrlProp138.xml"/><Relationship Id="rId119" Type="http://schemas.openxmlformats.org/officeDocument/2006/relationships/ctrlProp" Target="../ctrlProps/ctrlProp143.xml"/><Relationship Id="rId10" Type="http://schemas.openxmlformats.org/officeDocument/2006/relationships/ctrlProp" Target="../ctrlProps/ctrlProp34.xml"/><Relationship Id="rId31" Type="http://schemas.openxmlformats.org/officeDocument/2006/relationships/ctrlProp" Target="../ctrlProps/ctrlProp55.xml"/><Relationship Id="rId44" Type="http://schemas.openxmlformats.org/officeDocument/2006/relationships/ctrlProp" Target="../ctrlProps/ctrlProp68.xml"/><Relationship Id="rId52" Type="http://schemas.openxmlformats.org/officeDocument/2006/relationships/ctrlProp" Target="../ctrlProps/ctrlProp76.xml"/><Relationship Id="rId60" Type="http://schemas.openxmlformats.org/officeDocument/2006/relationships/ctrlProp" Target="../ctrlProps/ctrlProp84.xml"/><Relationship Id="rId65" Type="http://schemas.openxmlformats.org/officeDocument/2006/relationships/ctrlProp" Target="../ctrlProps/ctrlProp89.xml"/><Relationship Id="rId73" Type="http://schemas.openxmlformats.org/officeDocument/2006/relationships/ctrlProp" Target="../ctrlProps/ctrlProp97.xml"/><Relationship Id="rId78" Type="http://schemas.openxmlformats.org/officeDocument/2006/relationships/ctrlProp" Target="../ctrlProps/ctrlProp102.xml"/><Relationship Id="rId81" Type="http://schemas.openxmlformats.org/officeDocument/2006/relationships/ctrlProp" Target="../ctrlProps/ctrlProp105.xml"/><Relationship Id="rId86" Type="http://schemas.openxmlformats.org/officeDocument/2006/relationships/ctrlProp" Target="../ctrlProps/ctrlProp110.xml"/><Relationship Id="rId94" Type="http://schemas.openxmlformats.org/officeDocument/2006/relationships/ctrlProp" Target="../ctrlProps/ctrlProp118.xml"/><Relationship Id="rId99" Type="http://schemas.openxmlformats.org/officeDocument/2006/relationships/ctrlProp" Target="../ctrlProps/ctrlProp123.xml"/><Relationship Id="rId101" Type="http://schemas.openxmlformats.org/officeDocument/2006/relationships/ctrlProp" Target="../ctrlProps/ctrlProp125.xml"/><Relationship Id="rId4" Type="http://schemas.openxmlformats.org/officeDocument/2006/relationships/ctrlProp" Target="../ctrlProps/ctrlProp28.xml"/><Relationship Id="rId9" Type="http://schemas.openxmlformats.org/officeDocument/2006/relationships/ctrlProp" Target="../ctrlProps/ctrlProp33.xml"/><Relationship Id="rId13" Type="http://schemas.openxmlformats.org/officeDocument/2006/relationships/ctrlProp" Target="../ctrlProps/ctrlProp37.xml"/><Relationship Id="rId18" Type="http://schemas.openxmlformats.org/officeDocument/2006/relationships/ctrlProp" Target="../ctrlProps/ctrlProp42.xml"/><Relationship Id="rId39" Type="http://schemas.openxmlformats.org/officeDocument/2006/relationships/ctrlProp" Target="../ctrlProps/ctrlProp63.xml"/><Relationship Id="rId109" Type="http://schemas.openxmlformats.org/officeDocument/2006/relationships/ctrlProp" Target="../ctrlProps/ctrlProp133.xml"/><Relationship Id="rId34" Type="http://schemas.openxmlformats.org/officeDocument/2006/relationships/ctrlProp" Target="../ctrlProps/ctrlProp58.xml"/><Relationship Id="rId50" Type="http://schemas.openxmlformats.org/officeDocument/2006/relationships/ctrlProp" Target="../ctrlProps/ctrlProp74.xml"/><Relationship Id="rId55" Type="http://schemas.openxmlformats.org/officeDocument/2006/relationships/ctrlProp" Target="../ctrlProps/ctrlProp79.xml"/><Relationship Id="rId76" Type="http://schemas.openxmlformats.org/officeDocument/2006/relationships/ctrlProp" Target="../ctrlProps/ctrlProp100.xml"/><Relationship Id="rId97" Type="http://schemas.openxmlformats.org/officeDocument/2006/relationships/ctrlProp" Target="../ctrlProps/ctrlProp121.xml"/><Relationship Id="rId104" Type="http://schemas.openxmlformats.org/officeDocument/2006/relationships/ctrlProp" Target="../ctrlProps/ctrlProp128.xml"/><Relationship Id="rId120" Type="http://schemas.openxmlformats.org/officeDocument/2006/relationships/ctrlProp" Target="../ctrlProps/ctrlProp144.xml"/><Relationship Id="rId7" Type="http://schemas.openxmlformats.org/officeDocument/2006/relationships/ctrlProp" Target="../ctrlProps/ctrlProp31.xml"/><Relationship Id="rId71" Type="http://schemas.openxmlformats.org/officeDocument/2006/relationships/ctrlProp" Target="../ctrlProps/ctrlProp95.xml"/><Relationship Id="rId92" Type="http://schemas.openxmlformats.org/officeDocument/2006/relationships/ctrlProp" Target="../ctrlProps/ctrlProp116.xml"/><Relationship Id="rId2" Type="http://schemas.openxmlformats.org/officeDocument/2006/relationships/drawing" Target="../drawings/drawing2.xml"/><Relationship Id="rId29" Type="http://schemas.openxmlformats.org/officeDocument/2006/relationships/ctrlProp" Target="../ctrlProps/ctrlProp53.xml"/><Relationship Id="rId24" Type="http://schemas.openxmlformats.org/officeDocument/2006/relationships/ctrlProp" Target="../ctrlProps/ctrlProp48.xml"/><Relationship Id="rId40" Type="http://schemas.openxmlformats.org/officeDocument/2006/relationships/ctrlProp" Target="../ctrlProps/ctrlProp64.xml"/><Relationship Id="rId45" Type="http://schemas.openxmlformats.org/officeDocument/2006/relationships/ctrlProp" Target="../ctrlProps/ctrlProp69.xml"/><Relationship Id="rId66" Type="http://schemas.openxmlformats.org/officeDocument/2006/relationships/ctrlProp" Target="../ctrlProps/ctrlProp90.xml"/><Relationship Id="rId87" Type="http://schemas.openxmlformats.org/officeDocument/2006/relationships/ctrlProp" Target="../ctrlProps/ctrlProp111.xml"/><Relationship Id="rId110" Type="http://schemas.openxmlformats.org/officeDocument/2006/relationships/ctrlProp" Target="../ctrlProps/ctrlProp134.xml"/><Relationship Id="rId115" Type="http://schemas.openxmlformats.org/officeDocument/2006/relationships/ctrlProp" Target="../ctrlProps/ctrlProp139.xml"/><Relationship Id="rId61" Type="http://schemas.openxmlformats.org/officeDocument/2006/relationships/ctrlProp" Target="../ctrlProps/ctrlProp85.xml"/><Relationship Id="rId82" Type="http://schemas.openxmlformats.org/officeDocument/2006/relationships/ctrlProp" Target="../ctrlProps/ctrlProp106.xml"/><Relationship Id="rId19" Type="http://schemas.openxmlformats.org/officeDocument/2006/relationships/ctrlProp" Target="../ctrlProps/ctrlProp43.xml"/><Relationship Id="rId14" Type="http://schemas.openxmlformats.org/officeDocument/2006/relationships/ctrlProp" Target="../ctrlProps/ctrlProp38.xml"/><Relationship Id="rId30" Type="http://schemas.openxmlformats.org/officeDocument/2006/relationships/ctrlProp" Target="../ctrlProps/ctrlProp54.xml"/><Relationship Id="rId35" Type="http://schemas.openxmlformats.org/officeDocument/2006/relationships/ctrlProp" Target="../ctrlProps/ctrlProp59.xml"/><Relationship Id="rId56" Type="http://schemas.openxmlformats.org/officeDocument/2006/relationships/ctrlProp" Target="../ctrlProps/ctrlProp80.xml"/><Relationship Id="rId77" Type="http://schemas.openxmlformats.org/officeDocument/2006/relationships/ctrlProp" Target="../ctrlProps/ctrlProp101.xml"/><Relationship Id="rId100" Type="http://schemas.openxmlformats.org/officeDocument/2006/relationships/ctrlProp" Target="../ctrlProps/ctrlProp124.xml"/><Relationship Id="rId105" Type="http://schemas.openxmlformats.org/officeDocument/2006/relationships/ctrlProp" Target="../ctrlProps/ctrlProp129.xml"/><Relationship Id="rId8" Type="http://schemas.openxmlformats.org/officeDocument/2006/relationships/ctrlProp" Target="../ctrlProps/ctrlProp32.xml"/><Relationship Id="rId51" Type="http://schemas.openxmlformats.org/officeDocument/2006/relationships/ctrlProp" Target="../ctrlProps/ctrlProp75.xml"/><Relationship Id="rId72" Type="http://schemas.openxmlformats.org/officeDocument/2006/relationships/ctrlProp" Target="../ctrlProps/ctrlProp96.xml"/><Relationship Id="rId93" Type="http://schemas.openxmlformats.org/officeDocument/2006/relationships/ctrlProp" Target="../ctrlProps/ctrlProp117.xml"/><Relationship Id="rId98" Type="http://schemas.openxmlformats.org/officeDocument/2006/relationships/ctrlProp" Target="../ctrlProps/ctrlProp122.xml"/><Relationship Id="rId3" Type="http://schemas.openxmlformats.org/officeDocument/2006/relationships/vmlDrawing" Target="../drawings/vmlDrawing2.vml"/><Relationship Id="rId25" Type="http://schemas.openxmlformats.org/officeDocument/2006/relationships/ctrlProp" Target="../ctrlProps/ctrlProp49.xml"/><Relationship Id="rId46" Type="http://schemas.openxmlformats.org/officeDocument/2006/relationships/ctrlProp" Target="../ctrlProps/ctrlProp70.xml"/><Relationship Id="rId67" Type="http://schemas.openxmlformats.org/officeDocument/2006/relationships/ctrlProp" Target="../ctrlProps/ctrlProp91.xml"/><Relationship Id="rId116" Type="http://schemas.openxmlformats.org/officeDocument/2006/relationships/ctrlProp" Target="../ctrlProps/ctrlProp140.xml"/><Relationship Id="rId20" Type="http://schemas.openxmlformats.org/officeDocument/2006/relationships/ctrlProp" Target="../ctrlProps/ctrlProp44.xml"/><Relationship Id="rId41" Type="http://schemas.openxmlformats.org/officeDocument/2006/relationships/ctrlProp" Target="../ctrlProps/ctrlProp65.xml"/><Relationship Id="rId62" Type="http://schemas.openxmlformats.org/officeDocument/2006/relationships/ctrlProp" Target="../ctrlProps/ctrlProp86.xml"/><Relationship Id="rId83" Type="http://schemas.openxmlformats.org/officeDocument/2006/relationships/ctrlProp" Target="../ctrlProps/ctrlProp107.xml"/><Relationship Id="rId88" Type="http://schemas.openxmlformats.org/officeDocument/2006/relationships/ctrlProp" Target="../ctrlProps/ctrlProp112.xml"/><Relationship Id="rId111" Type="http://schemas.openxmlformats.org/officeDocument/2006/relationships/ctrlProp" Target="../ctrlProps/ctrlProp135.xml"/><Relationship Id="rId15" Type="http://schemas.openxmlformats.org/officeDocument/2006/relationships/ctrlProp" Target="../ctrlProps/ctrlProp39.xml"/><Relationship Id="rId36" Type="http://schemas.openxmlformats.org/officeDocument/2006/relationships/ctrlProp" Target="../ctrlProps/ctrlProp60.xml"/><Relationship Id="rId57" Type="http://schemas.openxmlformats.org/officeDocument/2006/relationships/ctrlProp" Target="../ctrlProps/ctrlProp81.xml"/><Relationship Id="rId106" Type="http://schemas.openxmlformats.org/officeDocument/2006/relationships/ctrlProp" Target="../ctrlProps/ctrlProp130.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0.xml"/><Relationship Id="rId13" Type="http://schemas.openxmlformats.org/officeDocument/2006/relationships/ctrlProp" Target="../ctrlProps/ctrlProp155.xml"/><Relationship Id="rId3" Type="http://schemas.openxmlformats.org/officeDocument/2006/relationships/ctrlProp" Target="../ctrlProps/ctrlProp145.xml"/><Relationship Id="rId7" Type="http://schemas.openxmlformats.org/officeDocument/2006/relationships/ctrlProp" Target="../ctrlProps/ctrlProp149.xml"/><Relationship Id="rId12" Type="http://schemas.openxmlformats.org/officeDocument/2006/relationships/ctrlProp" Target="../ctrlProps/ctrlProp154.xml"/><Relationship Id="rId17" Type="http://schemas.openxmlformats.org/officeDocument/2006/relationships/ctrlProp" Target="../ctrlProps/ctrlProp159.xml"/><Relationship Id="rId2" Type="http://schemas.openxmlformats.org/officeDocument/2006/relationships/vmlDrawing" Target="../drawings/vmlDrawing3.vml"/><Relationship Id="rId16" Type="http://schemas.openxmlformats.org/officeDocument/2006/relationships/ctrlProp" Target="../ctrlProps/ctrlProp158.xml"/><Relationship Id="rId1" Type="http://schemas.openxmlformats.org/officeDocument/2006/relationships/drawing" Target="../drawings/drawing3.xml"/><Relationship Id="rId6" Type="http://schemas.openxmlformats.org/officeDocument/2006/relationships/ctrlProp" Target="../ctrlProps/ctrlProp148.xml"/><Relationship Id="rId11" Type="http://schemas.openxmlformats.org/officeDocument/2006/relationships/ctrlProp" Target="../ctrlProps/ctrlProp153.xml"/><Relationship Id="rId5" Type="http://schemas.openxmlformats.org/officeDocument/2006/relationships/ctrlProp" Target="../ctrlProps/ctrlProp147.xml"/><Relationship Id="rId15" Type="http://schemas.openxmlformats.org/officeDocument/2006/relationships/ctrlProp" Target="../ctrlProps/ctrlProp157.xml"/><Relationship Id="rId10" Type="http://schemas.openxmlformats.org/officeDocument/2006/relationships/ctrlProp" Target="../ctrlProps/ctrlProp152.xml"/><Relationship Id="rId4" Type="http://schemas.openxmlformats.org/officeDocument/2006/relationships/ctrlProp" Target="../ctrlProps/ctrlProp146.xml"/><Relationship Id="rId9" Type="http://schemas.openxmlformats.org/officeDocument/2006/relationships/ctrlProp" Target="../ctrlProps/ctrlProp151.xml"/><Relationship Id="rId14" Type="http://schemas.openxmlformats.org/officeDocument/2006/relationships/ctrlProp" Target="../ctrlProps/ctrlProp15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62A5-A17E-41DF-B0AA-0E5FFAFE65A9}">
  <sheetPr codeName="Foglio1"/>
  <dimension ref="B1:O140"/>
  <sheetViews>
    <sheetView showGridLines="0" topLeftCell="A49" zoomScaleNormal="100" workbookViewId="0">
      <selection activeCell="B66" sqref="B66"/>
    </sheetView>
  </sheetViews>
  <sheetFormatPr defaultRowHeight="18" x14ac:dyDescent="0.5"/>
  <cols>
    <col min="1" max="1" width="2.703125" customWidth="1"/>
    <col min="2" max="2" width="2.3515625" customWidth="1"/>
    <col min="3" max="3" width="5.29296875" customWidth="1"/>
    <col min="4" max="4" width="6" bestFit="1" customWidth="1"/>
    <col min="5" max="5" width="93.3515625" style="2" customWidth="1"/>
    <col min="6" max="6" width="3.703125" style="1" customWidth="1"/>
    <col min="7" max="7" width="10.703125" style="4" customWidth="1"/>
    <col min="8" max="8" width="3.703125" style="3" customWidth="1"/>
    <col min="9" max="9" width="85.52734375" style="2" customWidth="1"/>
    <col min="10" max="10" width="45.8203125" style="2" customWidth="1"/>
    <col min="11" max="11" width="8.703125" customWidth="1"/>
    <col min="12" max="13" width="33" customWidth="1"/>
    <col min="14" max="14" width="52" customWidth="1"/>
  </cols>
  <sheetData>
    <row r="1" spans="2:15" x14ac:dyDescent="0.5">
      <c r="F1"/>
      <c r="H1" s="4"/>
    </row>
    <row r="2" spans="2:15" x14ac:dyDescent="0.5">
      <c r="F2"/>
      <c r="H2" s="4"/>
    </row>
    <row r="3" spans="2:15" x14ac:dyDescent="0.5">
      <c r="F3"/>
      <c r="H3" s="4"/>
    </row>
    <row r="4" spans="2:15" x14ac:dyDescent="0.5">
      <c r="F4"/>
      <c r="H4" s="4"/>
    </row>
    <row r="5" spans="2:15" x14ac:dyDescent="0.5">
      <c r="F5"/>
      <c r="H5" s="4"/>
    </row>
    <row r="6" spans="2:15" x14ac:dyDescent="0.5">
      <c r="F6"/>
      <c r="H6" s="4"/>
    </row>
    <row r="7" spans="2:15" x14ac:dyDescent="0.5">
      <c r="F7"/>
      <c r="H7" s="4"/>
    </row>
    <row r="8" spans="2:15" ht="33" customHeight="1" x14ac:dyDescent="0.5">
      <c r="B8" t="s">
        <v>0</v>
      </c>
      <c r="C8" t="s">
        <v>1</v>
      </c>
      <c r="F8"/>
      <c r="H8" s="4"/>
      <c r="I8" s="6" t="s">
        <v>100</v>
      </c>
      <c r="J8" s="8" t="s">
        <v>103</v>
      </c>
      <c r="K8" s="9"/>
      <c r="L8" s="19" t="s">
        <v>169</v>
      </c>
      <c r="M8" s="19" t="s">
        <v>170</v>
      </c>
      <c r="N8" s="20" t="s">
        <v>171</v>
      </c>
      <c r="O8" t="s">
        <v>172</v>
      </c>
    </row>
    <row r="9" spans="2:15" ht="20.2" customHeight="1" thickBot="1" x14ac:dyDescent="0.55000000000000004">
      <c r="F9"/>
      <c r="H9" s="4"/>
      <c r="I9" s="6"/>
      <c r="J9" s="8"/>
      <c r="K9" s="9"/>
      <c r="L9" s="9"/>
    </row>
    <row r="10" spans="2:15" ht="25" customHeight="1" thickTop="1" x14ac:dyDescent="0.5">
      <c r="C10" s="1" t="s">
        <v>2</v>
      </c>
      <c r="E10" s="174" t="s">
        <v>81</v>
      </c>
      <c r="F10" s="3"/>
      <c r="G10" s="5" t="s">
        <v>99</v>
      </c>
      <c r="H10"/>
      <c r="I10" s="175" t="str">
        <f>+IF(G10="NO","L’impresa come pensa di procurarsi tali risorse?","")</f>
        <v>L’impresa come pensa di procurarsi tali risorse?</v>
      </c>
      <c r="J10" s="7"/>
      <c r="L10" s="174" t="s">
        <v>174</v>
      </c>
      <c r="M10" s="174" t="s">
        <v>173</v>
      </c>
      <c r="N10" s="174" t="str">
        <f>+IF(G10="NO",M10,N10)</f>
        <v>L’impresa non dispone delle risorse chiave (umane e tecniche) per la conduzione dell’attività. Per questo motivo intende sviluppare le seguenti azioni:</v>
      </c>
      <c r="O10" t="str">
        <f>+IF(G10="NO","Compilare spiegando: ",N10)</f>
        <v xml:space="preserve">Compilare spiegando: </v>
      </c>
    </row>
    <row r="11" spans="2:15" ht="25" customHeight="1" thickBot="1" x14ac:dyDescent="0.55000000000000004">
      <c r="C11" s="1"/>
      <c r="E11" s="174"/>
      <c r="F11" s="3"/>
      <c r="G11" s="3"/>
      <c r="H11"/>
      <c r="I11" s="175"/>
      <c r="J11" s="7"/>
      <c r="L11" s="174"/>
      <c r="M11" s="174"/>
      <c r="N11" s="174"/>
    </row>
    <row r="12" spans="2:15" ht="25" customHeight="1" thickTop="1" x14ac:dyDescent="0.5">
      <c r="C12" s="1" t="s">
        <v>3</v>
      </c>
      <c r="E12" s="174" t="s">
        <v>101</v>
      </c>
      <c r="F12" s="3"/>
      <c r="G12" s="5" t="s">
        <v>99</v>
      </c>
      <c r="H12"/>
      <c r="I12" s="174" t="str">
        <f>+IF(G12="NO","Indicare le iniziative industriali per le quali l'impresa sia realisticamente in grado di disporre, eventualmente acquisendole sul mercato, delle competenzetecniche occorrenti:","")</f>
        <v>Indicare le iniziative industriali per le quali l'impresa sia realisticamente in grado di disporre, eventualmente acquisendole sul mercato, delle competenzetecniche occorrenti:</v>
      </c>
      <c r="J12" s="7"/>
      <c r="L12" s="173" t="s">
        <v>175</v>
      </c>
      <c r="M12" s="173" t="s">
        <v>176</v>
      </c>
      <c r="N12" s="174" t="str">
        <f>+IF(G12="NO",M12,N12)</f>
        <v>Considerate le iniziative che l'impresa intende adottare le competenze tecniche risultano inadeguate. Pertanto, verranno adottate le iniziative di seguito descritte.</v>
      </c>
    </row>
    <row r="13" spans="2:15" ht="25" customHeight="1" thickBot="1" x14ac:dyDescent="0.55000000000000004">
      <c r="C13" s="1"/>
      <c r="E13" s="174"/>
      <c r="F13" s="3"/>
      <c r="G13" s="3"/>
      <c r="H13"/>
      <c r="I13" s="174"/>
      <c r="J13" s="7"/>
      <c r="L13" s="173"/>
      <c r="M13" s="173"/>
      <c r="N13" s="174"/>
    </row>
    <row r="14" spans="2:15" ht="25" customHeight="1" thickTop="1" x14ac:dyDescent="0.5">
      <c r="C14" s="1" t="s">
        <v>4</v>
      </c>
      <c r="E14" s="174" t="s">
        <v>66</v>
      </c>
      <c r="F14" s="3"/>
      <c r="G14" s="5" t="s">
        <v>99</v>
      </c>
      <c r="H14"/>
      <c r="I14" s="175" t="str">
        <f>+IF(G14="NO","L’impresa ha quanto meno attivato il confronto con i dati di andamento del precedente esercizio, in termini di ricavi, portafogli ordini, costi e posizione finanziaria netta?","")</f>
        <v>L’impresa ha quanto meno attivato il confronto con i dati di andamento del precedente esercizio, in termini di ricavi, portafogli ordini, costi e posizione finanziaria netta?</v>
      </c>
      <c r="J14" s="7"/>
      <c r="K14" s="5" t="s">
        <v>99</v>
      </c>
      <c r="L14" s="13" t="s">
        <v>177</v>
      </c>
    </row>
    <row r="15" spans="2:15" ht="25" customHeight="1" thickBot="1" x14ac:dyDescent="0.55000000000000004">
      <c r="C15" s="1"/>
      <c r="E15" s="174"/>
      <c r="F15" s="3"/>
      <c r="G15" s="3"/>
      <c r="H15"/>
      <c r="I15" s="175"/>
      <c r="J15" s="7"/>
      <c r="L15" s="13" t="s">
        <v>178</v>
      </c>
    </row>
    <row r="16" spans="2:15" ht="25" customHeight="1" thickTop="1" x14ac:dyDescent="0.5">
      <c r="C16" s="1" t="s">
        <v>5</v>
      </c>
      <c r="E16" s="174" t="s">
        <v>102</v>
      </c>
      <c r="F16" s="3"/>
      <c r="G16" s="5" t="s">
        <v>99</v>
      </c>
      <c r="H16"/>
      <c r="I16" s="175" t="str">
        <f>+IF(G16="NO","L’impresa è in grado di individuare gli indicatori di produttività coerenti con il proprio modello di business ed il proprio settore di attività, e di raccogliele ulteriori informazioni per la valutazione dell’andamento tendenziale?","")</f>
        <v>L’impresa è in grado di individuare gli indicatori di produttività coerenti con il proprio modello di business ed il proprio settore di attività, e di raccogliele ulteriori informazioni per la valutazione dell’andamento tendenziale?</v>
      </c>
      <c r="J16" s="7"/>
      <c r="K16" s="5" t="s">
        <v>99</v>
      </c>
    </row>
    <row r="17" spans="2:11" ht="25" customHeight="1" thickBot="1" x14ac:dyDescent="0.55000000000000004">
      <c r="C17" s="1"/>
      <c r="E17" s="174"/>
      <c r="F17" s="3"/>
      <c r="G17" s="3"/>
      <c r="H17"/>
      <c r="I17" s="175"/>
      <c r="J17" s="7"/>
      <c r="K17" s="7"/>
    </row>
    <row r="18" spans="2:11" ht="25" customHeight="1" thickTop="1" x14ac:dyDescent="0.5">
      <c r="C18" s="1" t="s">
        <v>6</v>
      </c>
      <c r="E18" s="174" t="s">
        <v>67</v>
      </c>
      <c r="F18" s="3"/>
      <c r="G18" s="5" t="s">
        <v>99</v>
      </c>
      <c r="H18"/>
      <c r="I18" s="175" t="str">
        <f>+IF(G18="NO","L’impresa è in grado di predisporre un prospetto delle stime delle entrate e delle uscite finanziare almeno a 13 settimane, il cui scostamento con l’andamento corrente dovrà essere valutato a consuntivo?","")</f>
        <v>L’impresa è in grado di predisporre un prospetto delle stime delle entrate e delle uscite finanziare almeno a 13 settimane, il cui scostamento con l’andamento corrente dovrà essere valutato a consuntivo?</v>
      </c>
      <c r="J18" s="7"/>
      <c r="K18" s="5" t="s">
        <v>99</v>
      </c>
    </row>
    <row r="19" spans="2:11" ht="25" customHeight="1" x14ac:dyDescent="0.5">
      <c r="C19" s="1"/>
      <c r="E19" s="174"/>
      <c r="F19" s="3"/>
      <c r="H19" s="4"/>
      <c r="I19" s="175"/>
    </row>
    <row r="20" spans="2:11" ht="25" customHeight="1" x14ac:dyDescent="0.5">
      <c r="B20" t="s">
        <v>7</v>
      </c>
      <c r="C20" s="1" t="s">
        <v>8</v>
      </c>
      <c r="F20" s="3"/>
      <c r="H20" s="4"/>
    </row>
    <row r="21" spans="2:11" ht="25" customHeight="1" thickBot="1" x14ac:dyDescent="0.55000000000000004">
      <c r="C21" s="1"/>
      <c r="F21" s="3"/>
      <c r="H21" s="4"/>
    </row>
    <row r="22" spans="2:11" ht="25" customHeight="1" thickTop="1" x14ac:dyDescent="0.5">
      <c r="C22" s="1" t="s">
        <v>9</v>
      </c>
      <c r="E22" s="174" t="s">
        <v>104</v>
      </c>
      <c r="F22" s="3"/>
      <c r="G22" s="5" t="s">
        <v>99</v>
      </c>
      <c r="H22" s="4"/>
      <c r="I22" s="174" t="str">
        <f>+IF(G22="NO","L’imprenditore è in grado di redigerla quale presupposto necessario per la predisposizione del piano?"&amp;" La situazione contabile dovrà essere aggiornata all’occorrenza nel corso delle trattative anche per accertare le cause di eventuali scostamenti rispetto alle attese","")</f>
        <v>L’imprenditore è in grado di redigerla quale presupposto necessario per la predisposizione del piano? La situazione contabile dovrà essere aggiornata all’occorrenza nel corso delle trattative anche per accertare le cause di eventuali scostamenti rispetto alle attese</v>
      </c>
      <c r="K22" s="5"/>
    </row>
    <row r="23" spans="2:11" ht="25" customHeight="1" thickBot="1" x14ac:dyDescent="0.55000000000000004">
      <c r="C23" s="1"/>
      <c r="E23" s="174"/>
      <c r="F23" s="3"/>
      <c r="G23" s="3"/>
      <c r="I23" s="174"/>
      <c r="K23" s="3"/>
    </row>
    <row r="24" spans="2:11" ht="25" customHeight="1" thickTop="1" x14ac:dyDescent="0.5">
      <c r="C24" s="1" t="s">
        <v>10</v>
      </c>
      <c r="E24" s="174" t="s">
        <v>105</v>
      </c>
      <c r="F24" s="3"/>
      <c r="G24" s="5" t="s">
        <v>99</v>
      </c>
      <c r="H24" s="4"/>
      <c r="I24" s="174" t="str">
        <f>+IF(G24="NO","L'impresa intende quanto meno appostare con prudenza adeguati fondi rischi e fondi per l’adeguamento delle attività e delle passività?","")</f>
        <v>L'impresa intende quanto meno appostare con prudenza adeguati fondi rischi e fondi per l’adeguamento delle attività e delle passività?</v>
      </c>
      <c r="K24" s="5"/>
    </row>
    <row r="25" spans="2:11" ht="25" customHeight="1" thickBot="1" x14ac:dyDescent="0.55000000000000004">
      <c r="C25" s="1"/>
      <c r="E25" s="174"/>
      <c r="F25" s="3"/>
      <c r="G25" s="3"/>
      <c r="I25" s="174"/>
      <c r="K25" s="3"/>
    </row>
    <row r="26" spans="2:11" ht="25" customHeight="1" thickTop="1" x14ac:dyDescent="0.5">
      <c r="C26" s="1" t="s">
        <v>11</v>
      </c>
      <c r="E26" s="174" t="s">
        <v>79</v>
      </c>
      <c r="F26" s="3"/>
      <c r="G26" s="5" t="s">
        <v>99</v>
      </c>
      <c r="H26" s="4"/>
      <c r="I26" s="174" t="str">
        <f>+IF(G26="NO","I crediti commerciali siano suddivisi in relazione alla loro anzianità?"&amp;" Per gli scaduti che superano la fisiologia (tempi ordinari di pagamento, pur oltre la scadenza contrattuale, che caratterizzano il settore), la stima del momento dell’incasso è particolarmente prudente?","")</f>
        <v>I crediti commerciali siano suddivisi in relazione alla loro anzianità? Per gli scaduti che superano la fisiologia (tempi ordinari di pagamento, pur oltre la scadenza contrattuale, che caratterizzano il settore), la stima del momento dell’incasso è particolarmente prudente?</v>
      </c>
      <c r="K26" s="5"/>
    </row>
    <row r="27" spans="2:11" ht="25" customHeight="1" thickBot="1" x14ac:dyDescent="0.55000000000000004">
      <c r="C27" s="1"/>
      <c r="E27" s="174"/>
      <c r="F27" s="3"/>
      <c r="G27" s="3"/>
      <c r="I27" s="174"/>
      <c r="K27" s="3"/>
    </row>
    <row r="28" spans="2:11" ht="25" customHeight="1" thickTop="1" x14ac:dyDescent="0.5">
      <c r="C28" s="1" t="s">
        <v>12</v>
      </c>
      <c r="E28" s="174" t="s">
        <v>106</v>
      </c>
      <c r="F28" s="3"/>
      <c r="G28" s="5" t="s">
        <v>99</v>
      </c>
      <c r="H28" s="4"/>
      <c r="I28" s="174" t="str">
        <f>+IF(G28="NO","L’imprenditore isola le giacenze di magazzino a lenta rotazione per consentire una stima corretta degli approvvigionamenti necessari?","")</f>
        <v>L’imprenditore isola le giacenze di magazzino a lenta rotazione per consentire una stima corretta degli approvvigionamenti necessari?</v>
      </c>
      <c r="K28" s="5"/>
    </row>
    <row r="29" spans="2:11" ht="25" customHeight="1" thickBot="1" x14ac:dyDescent="0.55000000000000004">
      <c r="C29" s="1"/>
      <c r="E29" s="174"/>
      <c r="F29" s="3"/>
      <c r="G29" s="3"/>
      <c r="I29" s="174"/>
      <c r="K29" s="3"/>
    </row>
    <row r="30" spans="2:11" ht="25" customHeight="1" thickTop="1" x14ac:dyDescent="0.5">
      <c r="C30" s="1" t="s">
        <v>13</v>
      </c>
      <c r="E30" s="174" t="s">
        <v>107</v>
      </c>
      <c r="F30" s="3"/>
      <c r="G30" s="5" t="s">
        <v>99</v>
      </c>
      <c r="H30" s="4"/>
      <c r="I30" s="174" t="str">
        <f>+IF(G30="NO","L'imprenditore intende individuare le cause delle differenze significative?","")</f>
        <v>L'imprenditore intende individuare le cause delle differenze significative?</v>
      </c>
      <c r="K30" s="5"/>
    </row>
    <row r="31" spans="2:11" ht="25" customHeight="1" thickBot="1" x14ac:dyDescent="0.55000000000000004">
      <c r="C31" s="1"/>
      <c r="E31" s="174"/>
      <c r="F31" s="3"/>
      <c r="G31" s="3"/>
      <c r="I31" s="174"/>
      <c r="K31" s="3"/>
    </row>
    <row r="32" spans="2:11" ht="25" customHeight="1" thickTop="1" x14ac:dyDescent="0.5">
      <c r="C32" s="1" t="s">
        <v>14</v>
      </c>
      <c r="E32" s="174" t="s">
        <v>68</v>
      </c>
      <c r="F32" s="3"/>
      <c r="G32" s="5" t="s">
        <v>99</v>
      </c>
      <c r="H32" s="4"/>
      <c r="I32" s="174" t="str">
        <f>+IF(G32="NO","L'imprenditore, anche con l’aiuto dei professionisti che assistono l’impresa, ha intenzione di stimare entità e momento del pagamento di eventuali passività potenziali?","")</f>
        <v>L'imprenditore, anche con l’aiuto dei professionisti che assistono l’impresa, ha intenzione di stimare entità e momento del pagamento di eventuali passività potenziali?</v>
      </c>
      <c r="K32" s="5"/>
    </row>
    <row r="33" spans="2:11" ht="25" customHeight="1" thickBot="1" x14ac:dyDescent="0.55000000000000004">
      <c r="C33" s="1"/>
      <c r="E33" s="174"/>
      <c r="F33" s="3"/>
      <c r="G33" s="3"/>
      <c r="I33" s="174"/>
      <c r="K33" s="3"/>
    </row>
    <row r="34" spans="2:11" ht="25" customHeight="1" thickTop="1" x14ac:dyDescent="0.5">
      <c r="C34" s="1" t="s">
        <v>15</v>
      </c>
      <c r="E34" s="174" t="s">
        <v>108</v>
      </c>
      <c r="F34" s="3"/>
      <c r="G34" s="5" t="s">
        <v>99</v>
      </c>
      <c r="H34" s="4"/>
      <c r="I34" s="174" t="str">
        <f>+IF(G34="SI","L’imprenditore ha intenzione di rimuovere le criticità quanto meno con l’appostazione di passività ulteriori o rettificando i flussi economico-finanziari attesi?","")</f>
        <v/>
      </c>
      <c r="K34" s="5"/>
    </row>
    <row r="35" spans="2:11" ht="25" customHeight="1" thickBot="1" x14ac:dyDescent="0.55000000000000004">
      <c r="C35" s="1"/>
      <c r="E35" s="174"/>
      <c r="F35" s="3"/>
      <c r="G35" s="3"/>
      <c r="I35" s="174"/>
      <c r="K35" s="3"/>
    </row>
    <row r="36" spans="2:11" ht="25" customHeight="1" thickTop="1" x14ac:dyDescent="0.5">
      <c r="C36" s="1" t="s">
        <v>16</v>
      </c>
      <c r="E36" s="174" t="s">
        <v>110</v>
      </c>
      <c r="F36" s="3"/>
      <c r="G36" s="5" t="s">
        <v>99</v>
      </c>
      <c r="H36" s="4"/>
      <c r="I36" s="174" t="s">
        <v>69</v>
      </c>
    </row>
    <row r="37" spans="2:11" ht="25" customHeight="1" x14ac:dyDescent="0.5">
      <c r="C37" s="1"/>
      <c r="E37" s="174"/>
      <c r="F37" s="3"/>
      <c r="H37" s="4"/>
      <c r="I37" s="174"/>
    </row>
    <row r="38" spans="2:11" ht="18.350000000000001" thickBot="1" x14ac:dyDescent="0.55000000000000004">
      <c r="B38" t="s">
        <v>17</v>
      </c>
      <c r="C38" s="1" t="s">
        <v>64</v>
      </c>
      <c r="F38" s="3"/>
      <c r="H38" s="4"/>
    </row>
    <row r="39" spans="2:11" ht="45" customHeight="1" thickTop="1" thickBot="1" x14ac:dyDescent="0.55000000000000004">
      <c r="C39" s="1" t="s">
        <v>111</v>
      </c>
      <c r="E39" s="2" t="s">
        <v>109</v>
      </c>
      <c r="F39" s="11" t="s">
        <v>114</v>
      </c>
      <c r="G39" s="10"/>
      <c r="H39" s="10"/>
      <c r="I39" s="15"/>
    </row>
    <row r="40" spans="2:11" ht="45" customHeight="1" thickTop="1" thickBot="1" x14ac:dyDescent="0.55000000000000004">
      <c r="C40" s="1" t="s">
        <v>112</v>
      </c>
      <c r="E40" s="2" t="s">
        <v>113</v>
      </c>
      <c r="F40" s="11" t="s">
        <v>114</v>
      </c>
      <c r="G40" s="10"/>
      <c r="H40" s="10"/>
      <c r="I40" s="15"/>
    </row>
    <row r="41" spans="2:11" ht="45" customHeight="1" thickTop="1" x14ac:dyDescent="0.5">
      <c r="C41" s="1" t="s">
        <v>115</v>
      </c>
      <c r="E41" s="2" t="s">
        <v>82</v>
      </c>
      <c r="F41" s="11" t="s">
        <v>114</v>
      </c>
      <c r="G41" s="10"/>
      <c r="H41" s="10"/>
      <c r="I41" s="15"/>
    </row>
    <row r="42" spans="2:11" ht="18.350000000000001" thickBot="1" x14ac:dyDescent="0.55000000000000004">
      <c r="C42" s="1"/>
      <c r="F42" s="3"/>
      <c r="H42" s="4"/>
    </row>
    <row r="43" spans="2:11" ht="25" customHeight="1" thickTop="1" x14ac:dyDescent="0.5">
      <c r="C43" s="1" t="s">
        <v>116</v>
      </c>
      <c r="E43" s="174" t="s">
        <v>117</v>
      </c>
      <c r="F43" s="3"/>
      <c r="G43" s="5" t="s">
        <v>99</v>
      </c>
      <c r="I43" s="174" t="str">
        <f>+IF(G43="NO","L'imprenditore ha intensione di predisporre la comparazione storica degli stati patrimoniali e dei conti economici di un numero adeguato di anni?"&amp;" la comparazione dei dati economici dovrebbe essere svolta anche sulla base dei rendiconti gestionali, sedisponibili."&amp;" Da tale comparazione l’esperto, anche attraverso l’intervista delle principali funzioni aziendali (commerciale, operativa, risorse umane, contabile), si forma il convincimento sulle cause del declino dell’andamento aziendale","")</f>
        <v>L'imprenditore ha intensione di predisporre la comparazione storica degli stati patrimoniali e dei conti economici di un numero adeguato di anni? la comparazione dei dati economici dovrebbe essere svolta anche sulla base dei rendiconti gestionali, sedisponibili. Da tale comparazione l’esperto, anche attraverso l’intervista delle principali funzioni aziendali (commerciale, operativa, risorse umane, contabile), si forma il convincimento sulle cause del declino dell’andamento aziendale</v>
      </c>
      <c r="K43" s="5"/>
    </row>
    <row r="44" spans="2:11" ht="21.75" customHeight="1" x14ac:dyDescent="0.5">
      <c r="C44" s="1"/>
      <c r="E44" s="174"/>
      <c r="F44" s="3"/>
      <c r="I44" s="174"/>
    </row>
    <row r="45" spans="2:11" ht="45" customHeight="1" thickBot="1" x14ac:dyDescent="0.55000000000000004">
      <c r="C45" s="1"/>
      <c r="E45" s="13"/>
      <c r="F45" s="3"/>
      <c r="G45" s="3"/>
      <c r="I45" s="174"/>
    </row>
    <row r="46" spans="2:11" ht="25" customHeight="1" thickTop="1" x14ac:dyDescent="0.5">
      <c r="C46" s="1" t="s">
        <v>18</v>
      </c>
      <c r="E46" s="174" t="s">
        <v>118</v>
      </c>
      <c r="F46" s="3"/>
      <c r="G46" s="5" t="s">
        <v>98</v>
      </c>
      <c r="H46" s="4"/>
    </row>
    <row r="47" spans="2:11" ht="25" customHeight="1" thickBot="1" x14ac:dyDescent="0.55000000000000004">
      <c r="C47" s="1"/>
      <c r="E47" s="174"/>
      <c r="F47" s="3"/>
      <c r="G47" s="3"/>
    </row>
    <row r="48" spans="2:11" ht="45" customHeight="1" thickTop="1" thickBot="1" x14ac:dyDescent="0.55000000000000004">
      <c r="C48" s="1" t="s">
        <v>120</v>
      </c>
      <c r="E48" s="2" t="s">
        <v>119</v>
      </c>
      <c r="F48" s="11" t="s">
        <v>114</v>
      </c>
      <c r="G48" s="10"/>
      <c r="H48" s="10"/>
      <c r="I48" s="15"/>
    </row>
    <row r="49" spans="3:9" ht="45" customHeight="1" thickTop="1" x14ac:dyDescent="0.5">
      <c r="C49" s="1" t="s">
        <v>121</v>
      </c>
      <c r="E49" s="2" t="s">
        <v>122</v>
      </c>
      <c r="F49" s="11" t="s">
        <v>114</v>
      </c>
      <c r="G49" s="10"/>
      <c r="H49" s="10"/>
      <c r="I49" s="15"/>
    </row>
    <row r="50" spans="3:9" ht="18.350000000000001" thickBot="1" x14ac:dyDescent="0.55000000000000004">
      <c r="C50" s="1"/>
      <c r="F50" s="3"/>
      <c r="H50" s="4"/>
    </row>
    <row r="51" spans="3:9" ht="25" customHeight="1" thickTop="1" x14ac:dyDescent="0.5">
      <c r="C51" s="1" t="s">
        <v>123</v>
      </c>
      <c r="E51" s="174" t="s">
        <v>124</v>
      </c>
      <c r="F51" s="3"/>
      <c r="G51" s="5" t="s">
        <v>98</v>
      </c>
      <c r="H51" s="4"/>
    </row>
    <row r="52" spans="3:9" ht="25" customHeight="1" thickBot="1" x14ac:dyDescent="0.55000000000000004">
      <c r="C52" s="1"/>
      <c r="E52" s="174"/>
      <c r="F52" s="3"/>
      <c r="G52" s="3"/>
    </row>
    <row r="53" spans="3:9" ht="25" customHeight="1" thickTop="1" x14ac:dyDescent="0.5">
      <c r="C53" s="1" t="s">
        <v>19</v>
      </c>
      <c r="E53" s="174" t="s">
        <v>70</v>
      </c>
      <c r="F53" s="3"/>
      <c r="G53" s="5" t="s">
        <v>98</v>
      </c>
      <c r="I53" s="2" t="s">
        <v>69</v>
      </c>
    </row>
    <row r="54" spans="3:9" ht="25" customHeight="1" thickBot="1" x14ac:dyDescent="0.55000000000000004">
      <c r="C54" s="1"/>
      <c r="E54" s="174"/>
      <c r="F54" s="3"/>
      <c r="G54" s="3"/>
    </row>
    <row r="55" spans="3:9" ht="45" customHeight="1" thickTop="1" thickBot="1" x14ac:dyDescent="0.55000000000000004">
      <c r="C55" s="1" t="s">
        <v>127</v>
      </c>
      <c r="E55" s="2" t="s">
        <v>125</v>
      </c>
      <c r="F55" s="11" t="s">
        <v>114</v>
      </c>
      <c r="G55" s="10"/>
      <c r="H55" s="10"/>
      <c r="I55" s="15"/>
    </row>
    <row r="56" spans="3:9" ht="45" customHeight="1" thickTop="1" x14ac:dyDescent="0.5">
      <c r="C56" s="1" t="s">
        <v>128</v>
      </c>
      <c r="E56" s="2" t="s">
        <v>126</v>
      </c>
      <c r="F56" s="11" t="s">
        <v>114</v>
      </c>
      <c r="G56" s="10"/>
      <c r="H56" s="10"/>
      <c r="I56" s="15"/>
    </row>
    <row r="57" spans="3:9" ht="18.350000000000001" thickBot="1" x14ac:dyDescent="0.55000000000000004">
      <c r="C57" s="1"/>
      <c r="F57" s="3"/>
      <c r="H57" s="4"/>
    </row>
    <row r="58" spans="3:9" ht="25" customHeight="1" thickTop="1" x14ac:dyDescent="0.5">
      <c r="C58" s="1" t="s">
        <v>20</v>
      </c>
      <c r="E58" s="174" t="s">
        <v>134</v>
      </c>
      <c r="F58" s="3"/>
      <c r="G58" s="5" t="s">
        <v>98</v>
      </c>
    </row>
    <row r="59" spans="3:9" ht="25" customHeight="1" thickBot="1" x14ac:dyDescent="0.55000000000000004">
      <c r="C59" s="1"/>
      <c r="E59" s="174"/>
      <c r="F59" s="3"/>
      <c r="G59" s="3"/>
    </row>
    <row r="60" spans="3:9" ht="25" customHeight="1" thickTop="1" x14ac:dyDescent="0.5">
      <c r="C60" s="1" t="s">
        <v>129</v>
      </c>
      <c r="E60" s="12" t="s">
        <v>135</v>
      </c>
      <c r="F60" s="3"/>
      <c r="G60" s="5" t="s">
        <v>98</v>
      </c>
    </row>
    <row r="61" spans="3:9" ht="25" customHeight="1" thickBot="1" x14ac:dyDescent="0.55000000000000004">
      <c r="C61" s="1"/>
      <c r="E61" s="12"/>
      <c r="F61" s="3"/>
      <c r="G61" s="3"/>
    </row>
    <row r="62" spans="3:9" ht="25" customHeight="1" thickTop="1" x14ac:dyDescent="0.5">
      <c r="C62" s="1" t="s">
        <v>130</v>
      </c>
      <c r="E62" s="174" t="s">
        <v>133</v>
      </c>
      <c r="F62" s="3"/>
      <c r="G62" s="5" t="s">
        <v>98</v>
      </c>
    </row>
    <row r="63" spans="3:9" ht="25" customHeight="1" thickBot="1" x14ac:dyDescent="0.55000000000000004">
      <c r="C63" s="1"/>
      <c r="E63" s="174"/>
      <c r="F63" s="3"/>
      <c r="G63" s="3"/>
    </row>
    <row r="64" spans="3:9" ht="45" customHeight="1" thickTop="1" thickBot="1" x14ac:dyDescent="0.55000000000000004">
      <c r="C64" s="1" t="s">
        <v>131</v>
      </c>
      <c r="E64" s="2" t="s">
        <v>132</v>
      </c>
      <c r="F64" s="11" t="s">
        <v>114</v>
      </c>
      <c r="G64" s="10"/>
      <c r="H64" s="10"/>
      <c r="I64" s="15"/>
    </row>
    <row r="65" spans="2:12" ht="45" customHeight="1" thickTop="1" x14ac:dyDescent="0.5">
      <c r="C65" s="1" t="s">
        <v>136</v>
      </c>
      <c r="E65" s="2" t="s">
        <v>137</v>
      </c>
      <c r="F65" s="11" t="s">
        <v>114</v>
      </c>
      <c r="G65" s="10"/>
      <c r="H65" s="10"/>
      <c r="I65" s="15"/>
    </row>
    <row r="66" spans="2:12" ht="18.350000000000001" thickBot="1" x14ac:dyDescent="0.55000000000000004">
      <c r="C66" s="1"/>
      <c r="F66" s="3"/>
      <c r="H66" s="4"/>
    </row>
    <row r="67" spans="2:12" ht="25" customHeight="1" thickTop="1" x14ac:dyDescent="0.5">
      <c r="C67" s="1" t="s">
        <v>138</v>
      </c>
      <c r="E67" s="174" t="s">
        <v>139</v>
      </c>
      <c r="F67" s="3"/>
      <c r="G67" s="5" t="s">
        <v>98</v>
      </c>
    </row>
    <row r="68" spans="2:12" ht="25" customHeight="1" thickBot="1" x14ac:dyDescent="0.55000000000000004">
      <c r="C68" s="1"/>
      <c r="E68" s="174"/>
      <c r="F68" s="3"/>
      <c r="G68" s="3"/>
    </row>
    <row r="69" spans="2:12" ht="25" customHeight="1" thickTop="1" x14ac:dyDescent="0.5">
      <c r="C69" s="1" t="s">
        <v>141</v>
      </c>
      <c r="E69" s="174" t="s">
        <v>140</v>
      </c>
      <c r="F69" s="3"/>
      <c r="G69" s="5" t="s">
        <v>99</v>
      </c>
      <c r="I69" s="2" t="str">
        <f>+IF(G69="NO","Quali sarebbero quelle da adottare?","")</f>
        <v>Quali sarebbero quelle da adottare?</v>
      </c>
      <c r="J69" s="176"/>
      <c r="K69" s="177"/>
      <c r="L69" s="178"/>
    </row>
    <row r="70" spans="2:12" ht="25" customHeight="1" x14ac:dyDescent="0.5">
      <c r="C70" s="1"/>
      <c r="E70" s="174"/>
      <c r="F70" s="3"/>
      <c r="G70" s="3"/>
      <c r="I70" s="14" t="str">
        <f>+IF(I69="","","Scrivere risposta nella cella accanto")</f>
        <v>Scrivere risposta nella cella accanto</v>
      </c>
      <c r="J70" s="179"/>
      <c r="K70" s="180"/>
      <c r="L70" s="181"/>
    </row>
    <row r="71" spans="2:12" x14ac:dyDescent="0.5">
      <c r="C71" s="1"/>
      <c r="F71" s="3"/>
      <c r="H71" s="4"/>
    </row>
    <row r="72" spans="2:12" x14ac:dyDescent="0.5">
      <c r="B72" t="s">
        <v>21</v>
      </c>
      <c r="C72" s="1" t="s">
        <v>65</v>
      </c>
      <c r="F72" s="3"/>
      <c r="H72" s="4"/>
    </row>
    <row r="73" spans="2:12" ht="45" customHeight="1" thickBot="1" x14ac:dyDescent="0.55000000000000004">
      <c r="C73" s="1" t="s">
        <v>22</v>
      </c>
      <c r="E73" s="2" t="s">
        <v>142</v>
      </c>
      <c r="F73" s="3"/>
      <c r="H73" s="4"/>
    </row>
    <row r="74" spans="2:12" ht="45" customHeight="1" thickTop="1" thickBot="1" x14ac:dyDescent="0.55000000000000004">
      <c r="C74" s="1"/>
      <c r="D74" s="2" t="s">
        <v>23</v>
      </c>
      <c r="E74" s="2" t="s">
        <v>83</v>
      </c>
      <c r="F74" s="11" t="s">
        <v>143</v>
      </c>
      <c r="G74" s="11"/>
      <c r="H74" s="11"/>
      <c r="I74" s="15"/>
    </row>
    <row r="75" spans="2:12" ht="45" customHeight="1" thickTop="1" thickBot="1" x14ac:dyDescent="0.55000000000000004">
      <c r="C75" s="1"/>
      <c r="D75" s="2" t="s">
        <v>24</v>
      </c>
      <c r="E75" s="2" t="s">
        <v>84</v>
      </c>
      <c r="F75" s="11" t="s">
        <v>143</v>
      </c>
      <c r="G75" s="11"/>
      <c r="H75" s="11"/>
      <c r="I75" s="15"/>
    </row>
    <row r="76" spans="2:12" ht="45" customHeight="1" thickTop="1" thickBot="1" x14ac:dyDescent="0.55000000000000004">
      <c r="C76" s="1"/>
      <c r="D76" s="2" t="s">
        <v>25</v>
      </c>
      <c r="E76" s="2" t="s">
        <v>85</v>
      </c>
      <c r="F76" s="11" t="s">
        <v>143</v>
      </c>
      <c r="G76" s="11"/>
      <c r="H76" s="11"/>
      <c r="I76" s="15"/>
    </row>
    <row r="77" spans="2:12" ht="45" customHeight="1" thickTop="1" thickBot="1" x14ac:dyDescent="0.55000000000000004">
      <c r="C77" s="1"/>
      <c r="D77" s="2" t="s">
        <v>26</v>
      </c>
      <c r="E77" s="2" t="s">
        <v>86</v>
      </c>
      <c r="F77" s="11" t="s">
        <v>143</v>
      </c>
      <c r="G77" s="11"/>
      <c r="H77" s="11"/>
      <c r="I77" s="15"/>
    </row>
    <row r="78" spans="2:12" ht="45" customHeight="1" thickTop="1" x14ac:dyDescent="0.5">
      <c r="C78" s="1"/>
      <c r="D78" s="2" t="s">
        <v>27</v>
      </c>
      <c r="E78" s="2" t="s">
        <v>144</v>
      </c>
      <c r="F78" s="11" t="s">
        <v>143</v>
      </c>
      <c r="G78" s="11"/>
      <c r="H78" s="11"/>
      <c r="I78" s="15"/>
    </row>
    <row r="79" spans="2:12" ht="25" customHeight="1" thickBot="1" x14ac:dyDescent="0.55000000000000004">
      <c r="C79" s="1"/>
      <c r="F79" s="3"/>
      <c r="H79" s="4"/>
    </row>
    <row r="80" spans="2:12" ht="25" customHeight="1" thickTop="1" x14ac:dyDescent="0.5">
      <c r="C80" s="1"/>
      <c r="D80" s="2" t="s">
        <v>28</v>
      </c>
      <c r="E80" s="2" t="s">
        <v>147</v>
      </c>
      <c r="F80" s="3"/>
      <c r="G80" s="5" t="s">
        <v>99</v>
      </c>
      <c r="I80" s="16" t="str">
        <f>+IF(G80="NO","Perché è giustificata la mancata coerenza?","")</f>
        <v>Perché è giustificata la mancata coerenza?</v>
      </c>
      <c r="J80" s="176"/>
      <c r="K80" s="177"/>
      <c r="L80" s="178"/>
    </row>
    <row r="81" spans="3:12" ht="25" customHeight="1" thickBot="1" x14ac:dyDescent="0.55000000000000004">
      <c r="C81" s="1"/>
      <c r="F81" s="3"/>
      <c r="H81" s="4"/>
      <c r="I81" s="14" t="str">
        <f>+IF(I80="","","Scrivere risposta nella cella accanto")</f>
        <v>Scrivere risposta nella cella accanto</v>
      </c>
      <c r="J81" s="179"/>
      <c r="K81" s="180"/>
      <c r="L81" s="181"/>
    </row>
    <row r="82" spans="3:12" ht="45" customHeight="1" thickTop="1" thickBot="1" x14ac:dyDescent="0.55000000000000004">
      <c r="C82" s="1"/>
      <c r="D82" s="2" t="s">
        <v>29</v>
      </c>
      <c r="E82" s="2" t="s">
        <v>87</v>
      </c>
      <c r="F82" s="11" t="s">
        <v>143</v>
      </c>
      <c r="G82" s="11"/>
      <c r="H82" s="11"/>
      <c r="I82" s="15"/>
    </row>
    <row r="83" spans="3:12" ht="45" customHeight="1" thickTop="1" thickBot="1" x14ac:dyDescent="0.55000000000000004">
      <c r="C83" s="1"/>
      <c r="D83" s="2" t="s">
        <v>30</v>
      </c>
      <c r="E83" s="2" t="s">
        <v>88</v>
      </c>
      <c r="F83" s="11" t="s">
        <v>143</v>
      </c>
      <c r="G83" s="11"/>
      <c r="H83" s="11"/>
      <c r="I83" s="15"/>
    </row>
    <row r="84" spans="3:12" ht="45" customHeight="1" thickTop="1" thickBot="1" x14ac:dyDescent="0.55000000000000004">
      <c r="C84" s="1"/>
      <c r="D84" s="2" t="s">
        <v>31</v>
      </c>
      <c r="E84" s="2" t="s">
        <v>145</v>
      </c>
      <c r="F84" s="11" t="s">
        <v>143</v>
      </c>
      <c r="G84" s="11"/>
      <c r="H84" s="11"/>
      <c r="I84" s="15"/>
    </row>
    <row r="85" spans="3:12" ht="45" customHeight="1" thickTop="1" x14ac:dyDescent="0.5">
      <c r="C85" s="1"/>
      <c r="D85" s="2" t="s">
        <v>32</v>
      </c>
      <c r="E85" s="2" t="s">
        <v>89</v>
      </c>
      <c r="F85" s="11" t="s">
        <v>143</v>
      </c>
      <c r="G85" s="11"/>
      <c r="H85" s="11"/>
      <c r="I85" s="15"/>
    </row>
    <row r="86" spans="3:12" ht="25" customHeight="1" thickBot="1" x14ac:dyDescent="0.55000000000000004">
      <c r="C86" s="1"/>
      <c r="F86" s="3"/>
      <c r="H86" s="4"/>
    </row>
    <row r="87" spans="3:12" ht="25" customHeight="1" thickTop="1" x14ac:dyDescent="0.5">
      <c r="C87" s="1" t="s">
        <v>33</v>
      </c>
      <c r="E87" s="174" t="s">
        <v>146</v>
      </c>
      <c r="F87" s="3"/>
      <c r="G87" s="5" t="s">
        <v>99</v>
      </c>
      <c r="I87" s="2" t="str">
        <f>+IF(G87="NO","Perché è giustificato un maggior arco temporale?","")</f>
        <v>Perché è giustificato un maggior arco temporale?</v>
      </c>
      <c r="J87" s="176"/>
      <c r="K87" s="177"/>
      <c r="L87" s="178"/>
    </row>
    <row r="88" spans="3:12" ht="25" customHeight="1" thickBot="1" x14ac:dyDescent="0.55000000000000004">
      <c r="C88" s="1"/>
      <c r="E88" s="174"/>
      <c r="F88" s="3"/>
      <c r="G88" s="3"/>
      <c r="I88" s="14" t="str">
        <f>+IF(I87="","","Scrivere risposta nella cella accanto")</f>
        <v>Scrivere risposta nella cella accanto</v>
      </c>
      <c r="J88" s="179"/>
      <c r="K88" s="180"/>
      <c r="L88" s="181"/>
    </row>
    <row r="89" spans="3:12" ht="25" customHeight="1" thickTop="1" x14ac:dyDescent="0.5">
      <c r="C89" s="1" t="s">
        <v>34</v>
      </c>
      <c r="E89" s="2" t="s">
        <v>71</v>
      </c>
      <c r="F89" s="3"/>
      <c r="G89" s="5" t="s">
        <v>99</v>
      </c>
      <c r="H89" s="4"/>
    </row>
    <row r="90" spans="3:12" ht="25" customHeight="1" thickBot="1" x14ac:dyDescent="0.55000000000000004">
      <c r="C90" s="1"/>
      <c r="F90" s="3"/>
      <c r="G90" s="3"/>
      <c r="I90" s="14"/>
    </row>
    <row r="91" spans="3:12" ht="45" customHeight="1" thickTop="1" x14ac:dyDescent="0.5">
      <c r="C91" s="1"/>
      <c r="D91" s="2" t="s">
        <v>35</v>
      </c>
      <c r="E91" s="2" t="s">
        <v>148</v>
      </c>
      <c r="F91" s="11" t="s">
        <v>143</v>
      </c>
      <c r="G91" s="11"/>
      <c r="H91" s="11"/>
      <c r="I91" s="15"/>
    </row>
    <row r="92" spans="3:12" ht="25" customHeight="1" thickBot="1" x14ac:dyDescent="0.55000000000000004">
      <c r="C92" s="1"/>
      <c r="F92" s="3"/>
    </row>
    <row r="93" spans="3:12" ht="25" customHeight="1" thickTop="1" x14ac:dyDescent="0.5">
      <c r="C93" s="1"/>
      <c r="D93" s="2" t="s">
        <v>36</v>
      </c>
      <c r="E93" s="174" t="s">
        <v>149</v>
      </c>
      <c r="F93" s="3"/>
      <c r="G93" s="5" t="s">
        <v>98</v>
      </c>
    </row>
    <row r="94" spans="3:12" ht="25" customHeight="1" thickBot="1" x14ac:dyDescent="0.55000000000000004">
      <c r="C94" s="1"/>
      <c r="E94" s="174"/>
      <c r="F94" s="3"/>
    </row>
    <row r="95" spans="3:12" ht="25" customHeight="1" thickTop="1" x14ac:dyDescent="0.5">
      <c r="C95" s="1" t="s">
        <v>150</v>
      </c>
      <c r="E95" s="2" t="s">
        <v>153</v>
      </c>
      <c r="F95" s="3"/>
      <c r="G95" s="5" t="s">
        <v>98</v>
      </c>
      <c r="I95" s="2" t="s">
        <v>69</v>
      </c>
    </row>
    <row r="96" spans="3:12" ht="25" customHeight="1" thickBot="1" x14ac:dyDescent="0.55000000000000004">
      <c r="C96" s="1"/>
      <c r="F96" s="3"/>
    </row>
    <row r="97" spans="3:11" ht="45" customHeight="1" thickTop="1" thickBot="1" x14ac:dyDescent="0.55000000000000004">
      <c r="C97" s="1" t="s">
        <v>151</v>
      </c>
      <c r="D97" s="2"/>
      <c r="E97" s="2" t="s">
        <v>154</v>
      </c>
      <c r="F97" s="11" t="s">
        <v>143</v>
      </c>
      <c r="G97" s="11"/>
      <c r="H97" s="11"/>
      <c r="I97" s="15"/>
    </row>
    <row r="98" spans="3:11" ht="45" customHeight="1" thickTop="1" x14ac:dyDescent="0.5">
      <c r="C98" s="1" t="s">
        <v>152</v>
      </c>
      <c r="E98" s="2" t="s">
        <v>155</v>
      </c>
      <c r="F98" s="11" t="s">
        <v>143</v>
      </c>
      <c r="G98" s="11"/>
      <c r="H98" s="11"/>
      <c r="I98" s="15"/>
    </row>
    <row r="99" spans="3:11" ht="25" customHeight="1" thickBot="1" x14ac:dyDescent="0.55000000000000004">
      <c r="C99" s="1"/>
      <c r="F99" s="3"/>
    </row>
    <row r="100" spans="3:11" ht="25" customHeight="1" thickTop="1" x14ac:dyDescent="0.5">
      <c r="C100" s="1" t="s">
        <v>37</v>
      </c>
      <c r="E100" s="2" t="s">
        <v>159</v>
      </c>
      <c r="F100" s="3"/>
      <c r="G100" s="5" t="s">
        <v>98</v>
      </c>
      <c r="I100" s="2" t="str">
        <f>+IF(G100="SI","La stima dei costi e dei ricavi è stata effettuata separatamente per ciascuna di esse?","")</f>
        <v>La stima dei costi e dei ricavi è stata effettuata separatamente per ciascuna di esse?</v>
      </c>
      <c r="K100" s="5" t="s">
        <v>98</v>
      </c>
    </row>
    <row r="101" spans="3:11" ht="25" customHeight="1" thickBot="1" x14ac:dyDescent="0.55000000000000004">
      <c r="C101" s="1"/>
      <c r="F101" s="3"/>
      <c r="G101" s="3"/>
    </row>
    <row r="102" spans="3:11" ht="25" customHeight="1" thickTop="1" x14ac:dyDescent="0.5">
      <c r="C102" s="1" t="s">
        <v>38</v>
      </c>
      <c r="E102" s="2" t="s">
        <v>156</v>
      </c>
      <c r="F102" s="3"/>
      <c r="G102" s="5" t="s">
        <v>98</v>
      </c>
      <c r="I102" s="174" t="s">
        <v>157</v>
      </c>
      <c r="K102" s="5" t="s">
        <v>98</v>
      </c>
    </row>
    <row r="103" spans="3:11" ht="25" customHeight="1" thickBot="1" x14ac:dyDescent="0.55000000000000004">
      <c r="C103" s="1"/>
      <c r="F103" s="3"/>
      <c r="G103" s="3"/>
      <c r="I103" s="174"/>
    </row>
    <row r="104" spans="3:11" ht="25" customHeight="1" thickTop="1" x14ac:dyDescent="0.5">
      <c r="C104" s="1" t="s">
        <v>39</v>
      </c>
      <c r="E104" s="174" t="s">
        <v>158</v>
      </c>
      <c r="F104" s="3"/>
      <c r="G104" s="5" t="s">
        <v>98</v>
      </c>
      <c r="I104" s="2" t="s">
        <v>69</v>
      </c>
    </row>
    <row r="105" spans="3:11" ht="25" customHeight="1" thickBot="1" x14ac:dyDescent="0.55000000000000004">
      <c r="C105" s="1"/>
      <c r="E105" s="174"/>
      <c r="F105" s="3"/>
      <c r="G105" s="3"/>
    </row>
    <row r="106" spans="3:11" ht="25" customHeight="1" thickTop="1" x14ac:dyDescent="0.5">
      <c r="C106" s="1" t="s">
        <v>40</v>
      </c>
      <c r="E106" s="2" t="s">
        <v>80</v>
      </c>
      <c r="F106" s="3"/>
      <c r="G106" s="5" t="s">
        <v>98</v>
      </c>
    </row>
    <row r="107" spans="3:11" ht="25" customHeight="1" thickBot="1" x14ac:dyDescent="0.55000000000000004">
      <c r="C107" s="1"/>
      <c r="F107" s="3"/>
      <c r="G107" s="3"/>
    </row>
    <row r="108" spans="3:11" ht="25" customHeight="1" thickTop="1" x14ac:dyDescent="0.5">
      <c r="C108" s="1"/>
      <c r="D108" s="2" t="s">
        <v>41</v>
      </c>
      <c r="E108" s="174" t="s">
        <v>160</v>
      </c>
      <c r="F108" s="3"/>
      <c r="G108" s="5" t="s">
        <v>98</v>
      </c>
    </row>
    <row r="109" spans="3:11" ht="25" customHeight="1" thickBot="1" x14ac:dyDescent="0.55000000000000004">
      <c r="C109" s="1"/>
      <c r="E109" s="174"/>
      <c r="F109" s="3"/>
      <c r="G109" s="3"/>
    </row>
    <row r="110" spans="3:11" ht="25" customHeight="1" thickTop="1" x14ac:dyDescent="0.5">
      <c r="C110" s="1"/>
      <c r="D110" s="2" t="s">
        <v>42</v>
      </c>
      <c r="E110" s="174" t="s">
        <v>161</v>
      </c>
      <c r="F110" s="3"/>
      <c r="G110" s="5" t="s">
        <v>98</v>
      </c>
      <c r="I110" s="2" t="s">
        <v>69</v>
      </c>
    </row>
    <row r="111" spans="3:11" ht="25" customHeight="1" thickBot="1" x14ac:dyDescent="0.55000000000000004">
      <c r="C111" s="1"/>
      <c r="E111" s="174"/>
      <c r="F111" s="3"/>
      <c r="G111" s="3"/>
    </row>
    <row r="112" spans="3:11" ht="25" customHeight="1" thickTop="1" x14ac:dyDescent="0.5">
      <c r="C112" s="1" t="s">
        <v>90</v>
      </c>
      <c r="E112" s="174" t="s">
        <v>162</v>
      </c>
      <c r="F112" s="3"/>
      <c r="G112" s="5" t="s">
        <v>98</v>
      </c>
      <c r="I112" s="2" t="str">
        <f>+IF(G112="SI","Le relative stime sono adeguatamente suffragate?","")</f>
        <v>Le relative stime sono adeguatamente suffragate?</v>
      </c>
      <c r="K112" s="5" t="s">
        <v>98</v>
      </c>
    </row>
    <row r="113" spans="2:11" ht="25" customHeight="1" thickBot="1" x14ac:dyDescent="0.55000000000000004">
      <c r="C113" s="1"/>
      <c r="E113" s="174"/>
      <c r="F113" s="3"/>
      <c r="G113" s="3"/>
    </row>
    <row r="114" spans="2:11" ht="25" customHeight="1" thickTop="1" x14ac:dyDescent="0.5">
      <c r="C114" s="1" t="s">
        <v>43</v>
      </c>
      <c r="E114" s="174" t="s">
        <v>91</v>
      </c>
      <c r="F114" s="3"/>
      <c r="G114" s="5" t="s">
        <v>98</v>
      </c>
      <c r="I114" s="2" t="s">
        <v>69</v>
      </c>
    </row>
    <row r="115" spans="2:11" ht="25" customHeight="1" x14ac:dyDescent="0.5">
      <c r="C115" s="1"/>
      <c r="E115" s="174"/>
      <c r="F115" s="3"/>
      <c r="G115" s="3"/>
    </row>
    <row r="116" spans="2:11" ht="45" customHeight="1" thickBot="1" x14ac:dyDescent="0.55000000000000004">
      <c r="C116" s="1" t="s">
        <v>44</v>
      </c>
      <c r="E116" s="2" t="s">
        <v>163</v>
      </c>
      <c r="F116" s="3"/>
      <c r="H116" s="4"/>
    </row>
    <row r="117" spans="2:11" ht="25" customHeight="1" thickTop="1" x14ac:dyDescent="0.5">
      <c r="C117" s="1"/>
      <c r="D117" s="2" t="s">
        <v>45</v>
      </c>
      <c r="E117" s="174" t="s">
        <v>164</v>
      </c>
      <c r="F117" s="3"/>
      <c r="G117" s="5" t="s">
        <v>98</v>
      </c>
    </row>
    <row r="118" spans="2:11" ht="25" customHeight="1" thickBot="1" x14ac:dyDescent="0.55000000000000004">
      <c r="C118" s="1"/>
      <c r="E118" s="174"/>
      <c r="F118" s="3"/>
      <c r="G118" s="3"/>
    </row>
    <row r="119" spans="2:11" ht="25" customHeight="1" thickTop="1" x14ac:dyDescent="0.5">
      <c r="C119" s="1"/>
      <c r="D119" s="2" t="s">
        <v>46</v>
      </c>
      <c r="E119" s="174" t="s">
        <v>165</v>
      </c>
      <c r="F119" s="3"/>
      <c r="G119" s="5" t="s">
        <v>98</v>
      </c>
    </row>
    <row r="120" spans="2:11" ht="25" customHeight="1" thickBot="1" x14ac:dyDescent="0.55000000000000004">
      <c r="C120" s="1"/>
      <c r="E120" s="174"/>
      <c r="F120" s="3"/>
      <c r="G120" s="3"/>
    </row>
    <row r="121" spans="2:11" ht="25" customHeight="1" thickTop="1" x14ac:dyDescent="0.5">
      <c r="C121" s="1"/>
      <c r="D121" s="2" t="s">
        <v>47</v>
      </c>
      <c r="E121" s="174" t="s">
        <v>166</v>
      </c>
      <c r="F121" s="3"/>
      <c r="G121" s="17"/>
      <c r="I121" s="18"/>
    </row>
    <row r="122" spans="2:11" ht="25" customHeight="1" thickBot="1" x14ac:dyDescent="0.55000000000000004">
      <c r="C122" s="1"/>
      <c r="E122" s="174"/>
      <c r="F122" s="3"/>
      <c r="G122" s="3"/>
    </row>
    <row r="123" spans="2:11" ht="25" customHeight="1" thickTop="1" x14ac:dyDescent="0.5">
      <c r="C123" s="1"/>
      <c r="D123" s="2" t="s">
        <v>48</v>
      </c>
      <c r="E123" s="2" t="s">
        <v>168</v>
      </c>
      <c r="F123" s="3"/>
      <c r="G123" s="5" t="s">
        <v>98</v>
      </c>
      <c r="I123" s="175" t="str">
        <f>+IF(G123="SI","Sono state comunque poste in essere le seguenti operazioni: (i) verifica che l’ammontare degli investimenti di mantenimento sia adeguatamente espresso dagli"&amp;" ammortamenti (portando una rettifica in caso contrario); (ii) portato in conto l’effetto delle iniziative industriali previste; (iii) tenuto conto della dismissione di cespiti e delle operazioni straordinarie programmate?","")</f>
        <v>Sono state comunque poste in essere le seguenti operazioni: (i) verifica che l’ammontare degli investimenti di mantenimento sia adeguatamente espresso dagli ammortamenti (portando una rettifica in caso contrario); (ii) portato in conto l’effetto delle iniziative industriali previste; (iii) tenuto conto della dismissione di cespiti e delle operazioni straordinarie programmate?</v>
      </c>
      <c r="K123" s="5" t="s">
        <v>98</v>
      </c>
    </row>
    <row r="124" spans="2:11" ht="33" customHeight="1" thickBot="1" x14ac:dyDescent="0.55000000000000004">
      <c r="C124" s="1"/>
      <c r="F124" s="3"/>
      <c r="G124" s="3"/>
      <c r="I124" s="175"/>
    </row>
    <row r="125" spans="2:11" ht="45" customHeight="1" thickTop="1" x14ac:dyDescent="0.5">
      <c r="C125" s="1" t="s">
        <v>49</v>
      </c>
      <c r="E125" s="2" t="s">
        <v>167</v>
      </c>
      <c r="F125" s="3"/>
      <c r="G125" s="5" t="s">
        <v>98</v>
      </c>
      <c r="I125" s="2" t="s">
        <v>69</v>
      </c>
    </row>
    <row r="126" spans="2:11" x14ac:dyDescent="0.5">
      <c r="C126" s="1"/>
      <c r="F126" s="3"/>
    </row>
    <row r="127" spans="2:11" ht="18.350000000000001" thickBot="1" x14ac:dyDescent="0.55000000000000004">
      <c r="B127" t="s">
        <v>50</v>
      </c>
      <c r="C127" s="1" t="s">
        <v>51</v>
      </c>
      <c r="F127" s="3"/>
    </row>
    <row r="128" spans="2:11" ht="45" customHeight="1" thickTop="1" thickBot="1" x14ac:dyDescent="0.55000000000000004">
      <c r="C128" s="1" t="s">
        <v>52</v>
      </c>
      <c r="E128" s="2" t="s">
        <v>72</v>
      </c>
      <c r="F128" s="3"/>
      <c r="G128" s="5" t="s">
        <v>98</v>
      </c>
    </row>
    <row r="129" spans="2:9" ht="45" customHeight="1" thickTop="1" thickBot="1" x14ac:dyDescent="0.55000000000000004">
      <c r="C129" s="1" t="s">
        <v>53</v>
      </c>
      <c r="E129" s="2" t="s">
        <v>77</v>
      </c>
      <c r="F129" s="3"/>
      <c r="G129" s="5" t="s">
        <v>98</v>
      </c>
      <c r="I129" s="2" t="s">
        <v>69</v>
      </c>
    </row>
    <row r="130" spans="2:9" ht="45" customHeight="1" thickTop="1" thickBot="1" x14ac:dyDescent="0.55000000000000004">
      <c r="C130" s="1" t="s">
        <v>54</v>
      </c>
      <c r="E130" s="2" t="s">
        <v>78</v>
      </c>
      <c r="F130" s="3"/>
      <c r="G130" s="5" t="s">
        <v>98</v>
      </c>
      <c r="I130" s="2" t="s">
        <v>69</v>
      </c>
    </row>
    <row r="131" spans="2:9" ht="45" customHeight="1" thickTop="1" thickBot="1" x14ac:dyDescent="0.55000000000000004">
      <c r="C131" s="1" t="s">
        <v>55</v>
      </c>
      <c r="E131" s="2" t="s">
        <v>96</v>
      </c>
      <c r="F131" s="3"/>
      <c r="G131" s="5" t="s">
        <v>98</v>
      </c>
    </row>
    <row r="132" spans="2:9" ht="45" customHeight="1" thickTop="1" thickBot="1" x14ac:dyDescent="0.55000000000000004">
      <c r="C132" s="1" t="s">
        <v>56</v>
      </c>
      <c r="E132" s="2" t="s">
        <v>92</v>
      </c>
      <c r="F132" s="3"/>
      <c r="G132" s="5" t="s">
        <v>98</v>
      </c>
      <c r="I132" s="2" t="s">
        <v>97</v>
      </c>
    </row>
    <row r="133" spans="2:9" ht="45" customHeight="1" thickTop="1" x14ac:dyDescent="0.5">
      <c r="C133" s="1" t="s">
        <v>57</v>
      </c>
      <c r="E133" s="2" t="s">
        <v>73</v>
      </c>
      <c r="F133" s="3"/>
      <c r="G133" s="5" t="s">
        <v>98</v>
      </c>
      <c r="I133" s="2" t="s">
        <v>69</v>
      </c>
    </row>
    <row r="134" spans="2:9" x14ac:dyDescent="0.5">
      <c r="C134" s="1"/>
      <c r="F134" s="3"/>
    </row>
    <row r="135" spans="2:9" ht="18.350000000000001" thickBot="1" x14ac:dyDescent="0.55000000000000004">
      <c r="B135" t="s">
        <v>58</v>
      </c>
      <c r="C135" s="1" t="s">
        <v>93</v>
      </c>
      <c r="F135" s="3"/>
    </row>
    <row r="136" spans="2:9" ht="45" customHeight="1" thickTop="1" thickBot="1" x14ac:dyDescent="0.55000000000000004">
      <c r="C136" s="1" t="s">
        <v>59</v>
      </c>
      <c r="E136" s="2" t="s">
        <v>74</v>
      </c>
      <c r="F136" s="3"/>
      <c r="G136" s="5" t="s">
        <v>98</v>
      </c>
    </row>
    <row r="137" spans="2:9" ht="45" customHeight="1" thickTop="1" thickBot="1" x14ac:dyDescent="0.55000000000000004">
      <c r="C137" s="1" t="s">
        <v>60</v>
      </c>
      <c r="E137" s="2" t="s">
        <v>75</v>
      </c>
      <c r="F137" s="3"/>
      <c r="G137" s="5" t="s">
        <v>98</v>
      </c>
    </row>
    <row r="138" spans="2:9" ht="45" customHeight="1" thickTop="1" thickBot="1" x14ac:dyDescent="0.55000000000000004">
      <c r="C138" s="1" t="s">
        <v>61</v>
      </c>
      <c r="E138" s="2" t="s">
        <v>94</v>
      </c>
      <c r="F138" s="3"/>
      <c r="G138" s="5" t="s">
        <v>98</v>
      </c>
    </row>
    <row r="139" spans="2:9" ht="45" customHeight="1" thickTop="1" thickBot="1" x14ac:dyDescent="0.55000000000000004">
      <c r="C139" s="1" t="s">
        <v>62</v>
      </c>
      <c r="E139" s="2" t="s">
        <v>95</v>
      </c>
      <c r="F139" s="3"/>
      <c r="G139" s="5" t="s">
        <v>98</v>
      </c>
    </row>
    <row r="140" spans="2:9" ht="45" customHeight="1" thickTop="1" x14ac:dyDescent="0.5">
      <c r="C140" s="1" t="s">
        <v>63</v>
      </c>
      <c r="E140" s="2" t="s">
        <v>76</v>
      </c>
      <c r="F140" s="3"/>
      <c r="G140" s="5" t="s">
        <v>98</v>
      </c>
    </row>
  </sheetData>
  <mergeCells count="56">
    <mergeCell ref="E114:E115"/>
    <mergeCell ref="E117:E118"/>
    <mergeCell ref="E119:E120"/>
    <mergeCell ref="E121:E122"/>
    <mergeCell ref="I123:I124"/>
    <mergeCell ref="I102:I103"/>
    <mergeCell ref="E108:E109"/>
    <mergeCell ref="E104:E105"/>
    <mergeCell ref="E110:E111"/>
    <mergeCell ref="E112:E113"/>
    <mergeCell ref="J80:L81"/>
    <mergeCell ref="E87:E88"/>
    <mergeCell ref="J87:L88"/>
    <mergeCell ref="E93:E94"/>
    <mergeCell ref="I36:I37"/>
    <mergeCell ref="E36:E37"/>
    <mergeCell ref="E69:E70"/>
    <mergeCell ref="J69:L70"/>
    <mergeCell ref="E43:E44"/>
    <mergeCell ref="E46:E47"/>
    <mergeCell ref="E51:E52"/>
    <mergeCell ref="E53:E54"/>
    <mergeCell ref="E67:E68"/>
    <mergeCell ref="E62:E63"/>
    <mergeCell ref="E58:E59"/>
    <mergeCell ref="I43:I45"/>
    <mergeCell ref="E10:E11"/>
    <mergeCell ref="I18:I19"/>
    <mergeCell ref="I16:I17"/>
    <mergeCell ref="I14:I15"/>
    <mergeCell ref="I12:I13"/>
    <mergeCell ref="I10:I11"/>
    <mergeCell ref="E18:E19"/>
    <mergeCell ref="E16:E17"/>
    <mergeCell ref="E14:E15"/>
    <mergeCell ref="I24:I25"/>
    <mergeCell ref="E24:E25"/>
    <mergeCell ref="I34:I35"/>
    <mergeCell ref="E34:E35"/>
    <mergeCell ref="E12:E13"/>
    <mergeCell ref="I32:I33"/>
    <mergeCell ref="E32:E33"/>
    <mergeCell ref="I30:I31"/>
    <mergeCell ref="E30:E31"/>
    <mergeCell ref="I22:I23"/>
    <mergeCell ref="E22:E23"/>
    <mergeCell ref="I28:I29"/>
    <mergeCell ref="E28:E29"/>
    <mergeCell ref="I26:I27"/>
    <mergeCell ref="E26:E27"/>
    <mergeCell ref="L12:L13"/>
    <mergeCell ref="M12:M13"/>
    <mergeCell ref="N12:N13"/>
    <mergeCell ref="L10:L11"/>
    <mergeCell ref="M10:M11"/>
    <mergeCell ref="N10:N11"/>
  </mergeCells>
  <dataValidations count="3">
    <dataValidation type="list" allowBlank="1" showInputMessage="1" showErrorMessage="1" sqref="G43 K16 G36:H36 G69 G89 K102 G128:G133 G136:G140 G104 G18 K43 K18 G10 G12 G14 G16 G22:H22 G24:H24 G26:H26 G28:H28 G30:H30 G32:H32 G34:H34 K34 K32 K30 K28 K26 K22 K24 H46 H51 G53 G62 G67 G58 G60 G80 G87 G93:G96 K100 G100 G110 K112 G114 G108 G106 G102 G117 G119 G123 G125 K123 K14" xr:uid="{1861F8A6-8B7C-40D9-94D2-DC7985444B2B}">
      <formula1>"SI,NO"</formula1>
    </dataValidation>
    <dataValidation type="list" allowBlank="1" showInputMessage="1" showErrorMessage="1" sqref="G46 G51 G121" xr:uid="{35DF2705-281F-4C16-8B5C-2C84EB872389}">
      <formula1>"SI,NO,Non Presenti"</formula1>
    </dataValidation>
    <dataValidation type="list" allowBlank="1" showInputMessage="1" showErrorMessage="1" sqref="G112" xr:uid="{C05397F4-2361-4A37-9A1B-3616075F9BF3}">
      <formula1>"SI,Non previsto"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7D51-132A-45EF-BEC6-B3167E17C556}">
  <sheetPr codeName="Foglio2"/>
  <dimension ref="A1:M40"/>
  <sheetViews>
    <sheetView showGridLines="0" topLeftCell="A26" zoomScale="115" zoomScaleNormal="115" workbookViewId="0">
      <selection activeCell="G9" sqref="G9"/>
    </sheetView>
  </sheetViews>
  <sheetFormatPr defaultColWidth="0" defaultRowHeight="30.45" customHeight="1" zeroHeight="1" outlineLevelCol="1" x14ac:dyDescent="0.4"/>
  <cols>
    <col min="1" max="1" width="8.703125" style="36" customWidth="1"/>
    <col min="2" max="2" width="5.3515625" style="37" customWidth="1"/>
    <col min="3" max="3" width="12.29296875" style="36" customWidth="1"/>
    <col min="4" max="4" width="10.703125" style="36" customWidth="1"/>
    <col min="5" max="5" width="110.703125" style="36" customWidth="1"/>
    <col min="6" max="6" width="4.29296875" style="131" customWidth="1"/>
    <col min="7" max="7" width="17.8203125" style="54" customWidth="1"/>
    <col min="8" max="9" width="35.703125" style="131" hidden="1" customWidth="1" outlineLevel="1"/>
    <col min="10" max="11" width="25.703125" style="131" hidden="1" customWidth="1" outlineLevel="1"/>
    <col min="12" max="12" width="25.703125" style="36" hidden="1" customWidth="1" collapsed="1"/>
    <col min="13" max="13" width="25.703125" style="36" hidden="1" customWidth="1"/>
    <col min="14" max="16384" width="8.8203125" style="36" hidden="1"/>
  </cols>
  <sheetData>
    <row r="1" spans="1:13" s="23" customFormat="1" ht="93" customHeight="1" thickBot="1" x14ac:dyDescent="0.55000000000000004">
      <c r="B1" s="24"/>
      <c r="C1" s="25"/>
      <c r="F1" s="113"/>
      <c r="G1" s="49"/>
      <c r="H1" s="121"/>
      <c r="I1" s="121"/>
      <c r="J1" s="121"/>
      <c r="K1" s="121"/>
      <c r="L1" s="27"/>
      <c r="M1" s="27"/>
    </row>
    <row r="2" spans="1:13" s="28" customFormat="1" ht="23.25" customHeight="1" thickTop="1" thickBot="1" x14ac:dyDescent="0.55000000000000004">
      <c r="B2" s="29"/>
      <c r="C2" s="47" t="s">
        <v>497</v>
      </c>
      <c r="D2" s="43"/>
      <c r="F2" s="127"/>
      <c r="G2" s="50"/>
      <c r="H2" s="132"/>
      <c r="I2" s="132"/>
      <c r="J2" s="132"/>
      <c r="K2" s="132"/>
      <c r="L2" s="30"/>
      <c r="M2" s="30"/>
    </row>
    <row r="3" spans="1:13" s="31" customFormat="1" ht="20.2" customHeight="1" thickTop="1" thickBot="1" x14ac:dyDescent="0.55000000000000004">
      <c r="A3" s="182" t="s">
        <v>492</v>
      </c>
      <c r="B3" s="182"/>
      <c r="C3" s="183" t="s">
        <v>536</v>
      </c>
      <c r="D3" s="183"/>
      <c r="E3" s="184"/>
      <c r="F3" s="128"/>
      <c r="G3" s="51"/>
      <c r="H3" s="133"/>
      <c r="I3" s="133"/>
      <c r="J3" s="133"/>
      <c r="K3" s="133"/>
      <c r="L3" s="33"/>
      <c r="M3" s="33"/>
    </row>
    <row r="4" spans="1:13" s="31" customFormat="1" ht="3.75" customHeight="1" thickTop="1" thickBot="1" x14ac:dyDescent="0.55000000000000004">
      <c r="B4" s="32"/>
      <c r="C4" s="48"/>
      <c r="D4" s="48"/>
      <c r="F4" s="128"/>
      <c r="G4" s="51"/>
      <c r="H4" s="133"/>
      <c r="I4" s="133"/>
      <c r="J4" s="133"/>
      <c r="K4" s="133"/>
      <c r="L4" s="33"/>
      <c r="M4" s="33"/>
    </row>
    <row r="5" spans="1:13" s="31" customFormat="1" ht="20.2" customHeight="1" thickTop="1" thickBot="1" x14ac:dyDescent="0.55000000000000004">
      <c r="A5" s="48" t="s">
        <v>493</v>
      </c>
      <c r="B5" s="48"/>
      <c r="C5" s="172"/>
      <c r="D5" s="48" t="s">
        <v>519</v>
      </c>
      <c r="E5" s="171"/>
      <c r="F5" s="128"/>
      <c r="G5" s="51"/>
      <c r="H5" s="133"/>
      <c r="I5" s="133"/>
      <c r="J5" s="133"/>
      <c r="K5" s="133"/>
      <c r="L5" s="33"/>
      <c r="M5" s="33"/>
    </row>
    <row r="6" spans="1:13" s="31" customFormat="1" ht="3.75" customHeight="1" thickTop="1" thickBot="1" x14ac:dyDescent="0.55000000000000004">
      <c r="B6" s="32"/>
      <c r="F6" s="128"/>
      <c r="G6" s="51"/>
      <c r="H6" s="133"/>
      <c r="I6" s="133"/>
      <c r="J6" s="133"/>
      <c r="K6" s="133"/>
      <c r="L6" s="33"/>
      <c r="M6" s="33"/>
    </row>
    <row r="7" spans="1:13" s="23" customFormat="1" ht="99.75" customHeight="1" thickTop="1" thickBot="1" x14ac:dyDescent="0.55000000000000004">
      <c r="B7" s="24"/>
      <c r="C7" s="25"/>
      <c r="F7" s="113"/>
      <c r="G7" s="49"/>
      <c r="H7" s="121"/>
      <c r="I7" s="121"/>
      <c r="J7" s="121"/>
      <c r="K7" s="121"/>
      <c r="L7" s="27"/>
      <c r="M7" s="27"/>
    </row>
    <row r="8" spans="1:13" s="38" customFormat="1" ht="40" customHeight="1" thickTop="1" thickBot="1" x14ac:dyDescent="0.55000000000000004">
      <c r="A8" s="64">
        <v>1</v>
      </c>
      <c r="C8" s="61"/>
      <c r="D8" s="60" t="s">
        <v>1</v>
      </c>
      <c r="E8" s="41"/>
      <c r="F8" s="115"/>
      <c r="G8" s="40"/>
      <c r="H8" s="123" t="s">
        <v>182</v>
      </c>
      <c r="I8" s="123" t="s">
        <v>183</v>
      </c>
      <c r="J8" s="123" t="s">
        <v>192</v>
      </c>
      <c r="K8" s="123" t="s">
        <v>184</v>
      </c>
      <c r="L8" s="39" t="s">
        <v>246</v>
      </c>
      <c r="M8" s="39" t="s">
        <v>172</v>
      </c>
    </row>
    <row r="9" spans="1:13" s="28" customFormat="1" ht="35.200000000000003" customHeight="1" thickTop="1" thickBot="1" x14ac:dyDescent="0.55000000000000004">
      <c r="B9" s="29"/>
      <c r="C9" s="42" t="s">
        <v>2</v>
      </c>
      <c r="D9" s="43"/>
      <c r="E9" s="43" t="s">
        <v>81</v>
      </c>
      <c r="F9" s="129" t="b">
        <v>1</v>
      </c>
      <c r="G9" s="50"/>
      <c r="H9" s="134" t="s">
        <v>174</v>
      </c>
      <c r="I9" s="134" t="s">
        <v>193</v>
      </c>
      <c r="J9" s="134" t="s">
        <v>194</v>
      </c>
      <c r="K9" s="134" t="s">
        <v>179</v>
      </c>
      <c r="L9" s="28" t="str">
        <f ca="1">+OFFSET(F9,0,IF(F9,2,3))</f>
        <v>L’impresa dispone delle risorse chiave (umane e tecniche) per la conduzione dell’attività.</v>
      </c>
      <c r="M9" s="28" t="str">
        <f ca="1">+OFFSET(F9,0,IF(F9,4,5))</f>
        <v>Aggiungere eventuali commenti</v>
      </c>
    </row>
    <row r="10" spans="1:13" s="28" customFormat="1" ht="35.200000000000003" customHeight="1" thickTop="1" thickBot="1" x14ac:dyDescent="0.55000000000000004">
      <c r="B10" s="29"/>
      <c r="C10" s="42" t="s">
        <v>3</v>
      </c>
      <c r="D10" s="43"/>
      <c r="E10" s="43" t="s">
        <v>101</v>
      </c>
      <c r="F10" s="129" t="b">
        <v>1</v>
      </c>
      <c r="G10" s="50"/>
      <c r="H10" s="134" t="s">
        <v>195</v>
      </c>
      <c r="I10" s="134" t="s">
        <v>196</v>
      </c>
      <c r="J10" s="134" t="s">
        <v>194</v>
      </c>
      <c r="K10" s="134" t="s">
        <v>185</v>
      </c>
      <c r="L10" s="28" t="str">
        <f t="shared" ref="L10:L37" ca="1" si="0">+OFFSET(F10,0,IF(F10,2,3))</f>
        <v>Da un punto di vista tecnico/economico, l’impresa dispone delle competenze necessarie per le iniziative industriali che l’imprenditore intende adottare.</v>
      </c>
      <c r="M10" s="28" t="str">
        <f t="shared" ref="M10:M37" ca="1" si="1">+OFFSET(F10,0,IF(F10,4,5))</f>
        <v>Aggiungere eventuali commenti</v>
      </c>
    </row>
    <row r="11" spans="1:13" s="28" customFormat="1" ht="35.200000000000003" customHeight="1" thickTop="1" thickBot="1" x14ac:dyDescent="0.55000000000000004">
      <c r="B11" s="29"/>
      <c r="C11" s="42" t="s">
        <v>4</v>
      </c>
      <c r="D11" s="43"/>
      <c r="E11" s="43" t="s">
        <v>66</v>
      </c>
      <c r="F11" s="129" t="b">
        <v>1</v>
      </c>
      <c r="G11" s="50"/>
      <c r="H11" s="134" t="s">
        <v>197</v>
      </c>
      <c r="I11" s="134" t="s">
        <v>198</v>
      </c>
      <c r="J11" s="134" t="s">
        <v>194</v>
      </c>
      <c r="K11" s="134" t="s">
        <v>186</v>
      </c>
      <c r="L11" s="28" t="str">
        <f t="shared" ca="1" si="0"/>
        <v>Il sistema informativo aziendale prevede un adeguato sistema di monitoraggio continuo dell'andamento aziendale.</v>
      </c>
      <c r="M11" s="28" t="str">
        <f t="shared" ca="1" si="1"/>
        <v>Aggiungere eventuali commenti</v>
      </c>
    </row>
    <row r="12" spans="1:13" s="28" customFormat="1" ht="35.200000000000003" customHeight="1" thickTop="1" thickBot="1" x14ac:dyDescent="0.55000000000000004">
      <c r="B12" s="29"/>
      <c r="C12" s="42"/>
      <c r="D12" s="43"/>
      <c r="E12" s="44" t="s">
        <v>494</v>
      </c>
      <c r="F12" s="129" t="b">
        <v>1</v>
      </c>
      <c r="G12" s="50"/>
      <c r="H12" s="134" t="s">
        <v>361</v>
      </c>
      <c r="I12" s="134" t="s">
        <v>364</v>
      </c>
      <c r="J12" s="134" t="s">
        <v>194</v>
      </c>
      <c r="K12" s="134" t="s">
        <v>199</v>
      </c>
      <c r="L12" s="28" t="str">
        <f t="shared" ca="1" si="0"/>
        <v>I ricavi sono costantemente monitorati.</v>
      </c>
      <c r="M12" s="28" t="str">
        <f t="shared" ca="1" si="1"/>
        <v>Aggiungere eventuali commenti</v>
      </c>
    </row>
    <row r="13" spans="1:13" s="28" customFormat="1" ht="35.200000000000003" customHeight="1" thickTop="1" thickBot="1" x14ac:dyDescent="0.55000000000000004">
      <c r="B13" s="29"/>
      <c r="C13" s="42"/>
      <c r="D13" s="43"/>
      <c r="E13" s="44" t="s">
        <v>495</v>
      </c>
      <c r="F13" s="129" t="b">
        <v>1</v>
      </c>
      <c r="G13" s="50"/>
      <c r="H13" s="134" t="s">
        <v>362</v>
      </c>
      <c r="I13" s="134" t="s">
        <v>365</v>
      </c>
      <c r="J13" s="134" t="s">
        <v>194</v>
      </c>
      <c r="K13" s="134" t="s">
        <v>199</v>
      </c>
      <c r="L13" s="28" t="str">
        <f t="shared" ca="1" si="0"/>
        <v>Gli ordini sono costantemente monitorati.</v>
      </c>
      <c r="M13" s="28" t="str">
        <f t="shared" ca="1" si="1"/>
        <v>Aggiungere eventuali commenti</v>
      </c>
    </row>
    <row r="14" spans="1:13" s="28" customFormat="1" ht="35.200000000000003" customHeight="1" thickTop="1" thickBot="1" x14ac:dyDescent="0.55000000000000004">
      <c r="B14" s="29"/>
      <c r="C14" s="42"/>
      <c r="D14" s="43"/>
      <c r="E14" s="44" t="s">
        <v>496</v>
      </c>
      <c r="F14" s="129" t="b">
        <v>0</v>
      </c>
      <c r="G14" s="50"/>
      <c r="H14" s="134" t="s">
        <v>363</v>
      </c>
      <c r="I14" s="134" t="s">
        <v>366</v>
      </c>
      <c r="J14" s="134" t="s">
        <v>194</v>
      </c>
      <c r="K14" s="134" t="s">
        <v>199</v>
      </c>
      <c r="L14" s="28" t="str">
        <f t="shared" ca="1" si="0"/>
        <v>La posizione finanziaria netta non è costantemente monitorata.</v>
      </c>
      <c r="M14" s="28" t="str">
        <f t="shared" ca="1" si="1"/>
        <v>Indicare quale controllo viene fatto e come si intende intervenire per migliorare il sistema di controllo.</v>
      </c>
    </row>
    <row r="15" spans="1:13" s="28" customFormat="1" ht="35.200000000000003" customHeight="1" thickTop="1" thickBot="1" x14ac:dyDescent="0.55000000000000004">
      <c r="B15" s="29"/>
      <c r="C15" s="42" t="s">
        <v>5</v>
      </c>
      <c r="D15" s="43"/>
      <c r="E15" s="43" t="s">
        <v>102</v>
      </c>
      <c r="F15" s="129" t="b">
        <v>0</v>
      </c>
      <c r="G15" s="50"/>
      <c r="H15" s="134" t="s">
        <v>376</v>
      </c>
      <c r="I15" s="134" t="s">
        <v>377</v>
      </c>
      <c r="J15" s="134"/>
      <c r="K15" s="134"/>
      <c r="L15" s="28" t="str">
        <f t="shared" ca="1" si="0"/>
        <v>L'impresa non fa ancora ricorso a KPI che consentono valutazioni rapide e continue,</v>
      </c>
      <c r="M15" s="28">
        <f t="shared" ca="1" si="1"/>
        <v>0</v>
      </c>
    </row>
    <row r="16" spans="1:13" s="28" customFormat="1" ht="35.200000000000003" customHeight="1" thickTop="1" thickBot="1" x14ac:dyDescent="0.55000000000000004">
      <c r="B16" s="29"/>
      <c r="C16" s="42"/>
      <c r="D16" s="43"/>
      <c r="E16" s="44" t="s">
        <v>207</v>
      </c>
      <c r="F16" s="129" t="b">
        <v>1</v>
      </c>
      <c r="G16" s="50"/>
      <c r="H16" s="134" t="s">
        <v>378</v>
      </c>
      <c r="I16" s="134" t="s">
        <v>379</v>
      </c>
      <c r="J16" s="134" t="s">
        <v>200</v>
      </c>
      <c r="K16" s="134" t="s">
        <v>375</v>
      </c>
      <c r="L16" s="28" t="str">
        <f t="shared" ca="1" si="0"/>
        <v>è in grado di individuare gli indicatori di produttività coerenti con il proprio modello di business ed il proprio settore di attività, e di raccogliere ulteriori informazioni per la valutazione dell’andamento tendenziale.</v>
      </c>
      <c r="M16" s="28" t="str">
        <f t="shared" ca="1" si="1"/>
        <v>Descrivere facendo riferimento ai metodi utilizzati (BSC, BMC, KPI, ecc)</v>
      </c>
    </row>
    <row r="17" spans="1:13" s="28" customFormat="1" ht="35.200000000000003" customHeight="1" thickTop="1" thickBot="1" x14ac:dyDescent="0.55000000000000004">
      <c r="B17" s="29"/>
      <c r="C17" s="42" t="s">
        <v>6</v>
      </c>
      <c r="D17" s="43"/>
      <c r="E17" s="43" t="s">
        <v>187</v>
      </c>
      <c r="F17" s="129" t="b">
        <v>0</v>
      </c>
      <c r="G17" s="50"/>
      <c r="H17" s="134" t="s">
        <v>381</v>
      </c>
      <c r="I17" s="134" t="s">
        <v>380</v>
      </c>
      <c r="J17" s="134" t="s">
        <v>194</v>
      </c>
      <c r="K17" s="134" t="s">
        <v>201</v>
      </c>
      <c r="L17" s="28" t="str">
        <f t="shared" ca="1" si="0"/>
        <v>L'impresa non dispone di un piano di tesoreria a 12 mesi.</v>
      </c>
      <c r="M17" s="28" t="str">
        <f t="shared" ca="1" si="1"/>
        <v>Spiegare le motivazioni per le quali non è stato redatto un piano di tesoreria e come si intende rimuovere gli ostacoli.</v>
      </c>
    </row>
    <row r="18" spans="1:13" s="45" customFormat="1" ht="35.200000000000003" customHeight="1" thickTop="1" thickBot="1" x14ac:dyDescent="0.55000000000000004">
      <c r="A18" s="28"/>
      <c r="B18" s="29"/>
      <c r="C18" s="42"/>
      <c r="D18" s="42"/>
      <c r="E18" s="44" t="s">
        <v>180</v>
      </c>
      <c r="F18" s="129" t="b">
        <v>0</v>
      </c>
      <c r="G18" s="50"/>
      <c r="H18" s="134" t="s">
        <v>369</v>
      </c>
      <c r="I18" s="134" t="s">
        <v>370</v>
      </c>
      <c r="J18" s="134" t="s">
        <v>194</v>
      </c>
      <c r="K18" s="134" t="s">
        <v>202</v>
      </c>
      <c r="L18" s="28" t="str">
        <f t="shared" ca="1" si="0"/>
        <v>Non è in grado di predisporre un prospetto delle stime delle entrate e delle uscite finanziare almeno a 13 settimane, il cui scostamento con l’andamento corrente dovrà essere valutato a consuntivo.</v>
      </c>
      <c r="M18" s="28" t="str">
        <f t="shared" ca="1" si="1"/>
        <v>Spiegare le motivazioni per le quali non è stato redatto il prospetto e come si intende rimuovere gli ostacoli.</v>
      </c>
    </row>
    <row r="19" spans="1:13" s="46" customFormat="1" ht="23.25" customHeight="1" thickTop="1" x14ac:dyDescent="0.5">
      <c r="F19" s="130"/>
      <c r="G19" s="52"/>
      <c r="H19" s="130"/>
      <c r="I19" s="130"/>
      <c r="J19" s="130"/>
      <c r="K19" s="130"/>
      <c r="L19" s="28">
        <f t="shared" ca="1" si="0"/>
        <v>0</v>
      </c>
      <c r="M19" s="28">
        <f t="shared" ca="1" si="1"/>
        <v>0</v>
      </c>
    </row>
    <row r="20" spans="1:13" s="28" customFormat="1" ht="40" customHeight="1" thickBot="1" x14ac:dyDescent="0.55000000000000004">
      <c r="A20" s="64" t="s">
        <v>7</v>
      </c>
      <c r="B20" s="64"/>
      <c r="C20" s="63"/>
      <c r="D20" s="60" t="s">
        <v>8</v>
      </c>
      <c r="E20" s="41"/>
      <c r="F20" s="115"/>
      <c r="G20" s="53"/>
      <c r="H20" s="123" t="s">
        <v>182</v>
      </c>
      <c r="I20" s="123" t="s">
        <v>183</v>
      </c>
      <c r="J20" s="123" t="s">
        <v>192</v>
      </c>
      <c r="K20" s="123" t="s">
        <v>184</v>
      </c>
      <c r="L20" s="28" t="str">
        <f t="shared" ca="1" si="0"/>
        <v>Frase FALSO</v>
      </c>
      <c r="M20" s="28" t="str">
        <f t="shared" ca="1" si="1"/>
        <v>Frase suggerimento per commenti in caso di risposta negativa</v>
      </c>
    </row>
    <row r="21" spans="1:13" s="28" customFormat="1" ht="35.200000000000003" customHeight="1" thickTop="1" thickBot="1" x14ac:dyDescent="0.55000000000000004">
      <c r="B21" s="29"/>
      <c r="C21" s="42" t="s">
        <v>9</v>
      </c>
      <c r="D21" s="43"/>
      <c r="E21" s="43" t="s">
        <v>104</v>
      </c>
      <c r="F21" s="129" t="b">
        <v>1</v>
      </c>
      <c r="G21" s="50"/>
      <c r="H21" s="134" t="s">
        <v>498</v>
      </c>
      <c r="I21" s="134" t="s">
        <v>499</v>
      </c>
      <c r="J21" s="134" t="s">
        <v>194</v>
      </c>
      <c r="K21" s="134" t="s">
        <v>500</v>
      </c>
      <c r="L21" s="28" t="str">
        <f t="shared" ca="1" si="0"/>
        <v>È stata disposta una situazione contabile recante le rettifiche di competenza e gli assestamenti di chiusura, nel rispetto del principio contabile OIC 30.</v>
      </c>
      <c r="M21" s="28" t="str">
        <f t="shared" ca="1" si="1"/>
        <v>Aggiungere eventuali commenti</v>
      </c>
    </row>
    <row r="22" spans="1:13" s="28" customFormat="1" ht="35.200000000000003" customHeight="1" thickTop="1" thickBot="1" x14ac:dyDescent="0.55000000000000004">
      <c r="B22" s="29"/>
      <c r="C22" s="42" t="s">
        <v>10</v>
      </c>
      <c r="D22" s="43"/>
      <c r="E22" s="43" t="s">
        <v>188</v>
      </c>
      <c r="F22" s="129" t="b">
        <v>1</v>
      </c>
      <c r="G22" s="50"/>
      <c r="H22" s="134" t="s">
        <v>203</v>
      </c>
      <c r="I22" s="134" t="s">
        <v>204</v>
      </c>
      <c r="J22" s="134" t="s">
        <v>194</v>
      </c>
      <c r="K22" s="134" t="s">
        <v>218</v>
      </c>
      <c r="L22" s="28" t="str">
        <f t="shared" ca="1" si="0"/>
        <v>La situazione è da considerarsi affidabile per quanto concerne la corretta rappresentazione della situazione debitoria dell'impresa.</v>
      </c>
      <c r="M22" s="28" t="str">
        <f t="shared" ca="1" si="1"/>
        <v>Aggiungere eventuali commenti</v>
      </c>
    </row>
    <row r="23" spans="1:13" s="28" customFormat="1" ht="35.200000000000003" customHeight="1" thickTop="1" thickBot="1" x14ac:dyDescent="0.55000000000000004">
      <c r="B23" s="29"/>
      <c r="C23" s="42"/>
      <c r="D23" s="43"/>
      <c r="E23" s="43" t="s">
        <v>189</v>
      </c>
      <c r="F23" s="129" t="b">
        <v>0</v>
      </c>
      <c r="G23" s="50"/>
      <c r="H23" s="134" t="s">
        <v>205</v>
      </c>
      <c r="I23" s="134" t="s">
        <v>206</v>
      </c>
      <c r="J23" s="134" t="s">
        <v>194</v>
      </c>
      <c r="K23" s="134" t="s">
        <v>181</v>
      </c>
      <c r="L23" s="28" t="str">
        <f t="shared" ca="1" si="0"/>
        <v>Il maggior contabile dei cespiti è superiore al valore di realizzo e a quello di mercato.</v>
      </c>
      <c r="M23" s="28" t="str">
        <f t="shared" ca="1" si="1"/>
        <v>L'impresa intende quanto meno appostare con prudenza adeguati fondi rischi e fondi per l’adeguamento delle attività e delle passività?</v>
      </c>
    </row>
    <row r="24" spans="1:13" s="28" customFormat="1" ht="35.200000000000003" customHeight="1" thickTop="1" thickBot="1" x14ac:dyDescent="0.55000000000000004">
      <c r="B24" s="29"/>
      <c r="C24" s="42" t="s">
        <v>11</v>
      </c>
      <c r="D24" s="43"/>
      <c r="E24" s="43" t="s">
        <v>210</v>
      </c>
      <c r="F24" s="129" t="b">
        <v>1</v>
      </c>
      <c r="G24" s="50"/>
      <c r="H24" s="134" t="s">
        <v>214</v>
      </c>
      <c r="I24" s="134" t="s">
        <v>216</v>
      </c>
      <c r="J24" s="134"/>
      <c r="K24" s="134"/>
      <c r="L24" s="28" t="str">
        <f t="shared" ca="1" si="0"/>
        <v>La funzione amministrativa dispone di un prospetto recante l’anzianità dei crediti commerciali e</v>
      </c>
      <c r="M24" s="28">
        <f t="shared" ca="1" si="1"/>
        <v>0</v>
      </c>
    </row>
    <row r="25" spans="1:13" s="28" customFormat="1" ht="35.200000000000003" customHeight="1" thickTop="1" thickBot="1" x14ac:dyDescent="0.55000000000000004">
      <c r="B25" s="29"/>
      <c r="C25" s="42"/>
      <c r="D25" s="43"/>
      <c r="E25" s="43" t="s">
        <v>213</v>
      </c>
      <c r="F25" s="129" t="b">
        <v>0</v>
      </c>
      <c r="G25" s="50"/>
      <c r="H25" s="134" t="s">
        <v>215</v>
      </c>
      <c r="I25" s="134" t="s">
        <v>217</v>
      </c>
      <c r="J25" s="134" t="s">
        <v>194</v>
      </c>
      <c r="K25" s="134" t="s">
        <v>219</v>
      </c>
      <c r="L25" s="28" t="str">
        <f t="shared" ca="1" si="0"/>
        <v>, non sono state analizzate le cause del ritardo di incasso tale da consentire una valutazione oggettiva dei rischi di perdite sui crediti e una stima prudente dei tempi di incasso.</v>
      </c>
      <c r="M25" s="28" t="str">
        <f t="shared" ca="1" si="1"/>
        <v>Indicare eventuali interventi in termini di credit management</v>
      </c>
    </row>
    <row r="26" spans="1:13" s="28" customFormat="1" ht="35.200000000000003" customHeight="1" thickTop="1" thickBot="1" x14ac:dyDescent="0.55000000000000004">
      <c r="B26" s="29"/>
      <c r="C26" s="42"/>
      <c r="D26" s="43"/>
      <c r="E26" s="44" t="s">
        <v>208</v>
      </c>
      <c r="F26" s="129" t="b">
        <v>1</v>
      </c>
      <c r="G26" s="50"/>
      <c r="H26" s="134" t="s">
        <v>367</v>
      </c>
      <c r="I26" s="134" t="s">
        <v>368</v>
      </c>
      <c r="J26" s="134" t="s">
        <v>194</v>
      </c>
      <c r="K26" s="134" t="s">
        <v>219</v>
      </c>
      <c r="L26" s="28" t="str">
        <f t="shared" ca="1" si="0"/>
        <v>I crediti sono suddivisibili in base alla loro anzianità.</v>
      </c>
      <c r="M26" s="28" t="str">
        <f t="shared" ca="1" si="1"/>
        <v>Aggiungere eventuali commenti</v>
      </c>
    </row>
    <row r="27" spans="1:13" s="28" customFormat="1" ht="35.200000000000003" customHeight="1" thickTop="1" thickBot="1" x14ac:dyDescent="0.55000000000000004">
      <c r="B27" s="29"/>
      <c r="C27" s="42"/>
      <c r="D27" s="43"/>
      <c r="E27" s="44" t="s">
        <v>209</v>
      </c>
      <c r="F27" s="129" t="b">
        <v>0</v>
      </c>
      <c r="G27" s="50"/>
      <c r="H27" s="134" t="s">
        <v>211</v>
      </c>
      <c r="I27" s="134" t="s">
        <v>220</v>
      </c>
      <c r="J27" s="134" t="s">
        <v>194</v>
      </c>
      <c r="K27" s="134" t="s">
        <v>221</v>
      </c>
      <c r="L27" s="28" t="str">
        <f t="shared" ca="1" si="0"/>
        <v>Per gli scaduti che superano la fisiologia (tempi ordinari di pagamento, pur oltre la scadenza contrattuale, che caratterizzano il settore), la stima del momento dell’incasso non è da considerarsi sufficientemente prudente.</v>
      </c>
      <c r="M27" s="28" t="str">
        <f t="shared" ca="1" si="1"/>
        <v>Quali elementi non sono valutati con la dovuta prudenza?</v>
      </c>
    </row>
    <row r="28" spans="1:13" s="28" customFormat="1" ht="35.200000000000003" customHeight="1" thickTop="1" thickBot="1" x14ac:dyDescent="0.55000000000000004">
      <c r="B28" s="29"/>
      <c r="C28" s="42" t="s">
        <v>12</v>
      </c>
      <c r="D28" s="43"/>
      <c r="E28" s="43" t="s">
        <v>106</v>
      </c>
      <c r="F28" s="129" t="b">
        <v>1</v>
      </c>
      <c r="G28" s="50"/>
      <c r="H28" s="134" t="s">
        <v>212</v>
      </c>
      <c r="I28" s="134" t="s">
        <v>222</v>
      </c>
      <c r="J28" s="134" t="s">
        <v>190</v>
      </c>
      <c r="K28" s="134" t="s">
        <v>223</v>
      </c>
      <c r="L28" s="28" t="str">
        <f t="shared" ca="1" si="0"/>
        <v>È disponibile un prospetto recante le rimanenze di magazzino con i tempi di movimentazione che consenta di individuare le giacenze oggetto di lenta rotazione.</v>
      </c>
      <c r="M28" s="28" t="str">
        <f t="shared" ca="1" si="1"/>
        <v>Quali sono le giacenze di magazzino a lenta rotazione?</v>
      </c>
    </row>
    <row r="29" spans="1:13" s="28" customFormat="1" ht="35.200000000000003" customHeight="1" thickTop="1" thickBot="1" x14ac:dyDescent="0.55000000000000004">
      <c r="B29" s="29"/>
      <c r="C29" s="42" t="s">
        <v>13</v>
      </c>
      <c r="D29" s="43"/>
      <c r="E29" s="43" t="s">
        <v>225</v>
      </c>
      <c r="F29" s="129" t="b">
        <v>0</v>
      </c>
      <c r="G29" s="50"/>
      <c r="H29" s="134" t="s">
        <v>371</v>
      </c>
      <c r="I29" s="134" t="s">
        <v>372</v>
      </c>
      <c r="J29" s="134" t="s">
        <v>360</v>
      </c>
      <c r="K29" s="134" t="s">
        <v>223</v>
      </c>
      <c r="L29" s="28" t="str">
        <f t="shared" ca="1" si="0"/>
        <v>L'impresa non ha redatto un prospetto di riconciliazione tra la contabilità e quanto risultante dal certificato unico dei debiti tributari, dalla situazione debitoria complessiva dell’Agente della Riscossione.</v>
      </c>
      <c r="M29" s="28" t="str">
        <f t="shared" ca="1" si="1"/>
        <v>Indicare le cause e gli interventi in merito</v>
      </c>
    </row>
    <row r="30" spans="1:13" s="28" customFormat="1" ht="35.200000000000003" customHeight="1" thickTop="1" thickBot="1" x14ac:dyDescent="0.55000000000000004">
      <c r="B30" s="29"/>
      <c r="C30" s="42"/>
      <c r="D30" s="43"/>
      <c r="E30" s="43" t="s">
        <v>226</v>
      </c>
      <c r="F30" s="129" t="b">
        <v>0</v>
      </c>
      <c r="G30" s="50"/>
      <c r="H30" s="134" t="s">
        <v>374</v>
      </c>
      <c r="I30" s="134" t="s">
        <v>373</v>
      </c>
      <c r="J30" s="134" t="s">
        <v>230</v>
      </c>
      <c r="K30" s="134" t="s">
        <v>223</v>
      </c>
      <c r="L30" s="28" t="str">
        <f t="shared" ca="1" si="0"/>
        <v>Ha redatto un prospetto di riconciliazione tra la contabilità e quanto risultante dal certificato unico dei debiti contributivi e assicurativi</v>
      </c>
      <c r="M30" s="28" t="str">
        <f t="shared" ca="1" si="1"/>
        <v>Indicare le cause e gli interventi in merito</v>
      </c>
    </row>
    <row r="31" spans="1:13" s="28" customFormat="1" ht="35.200000000000003" customHeight="1" thickTop="1" thickBot="1" x14ac:dyDescent="0.55000000000000004">
      <c r="B31" s="29"/>
      <c r="C31" s="42"/>
      <c r="D31" s="43"/>
      <c r="E31" s="43" t="s">
        <v>224</v>
      </c>
      <c r="F31" s="129" t="b">
        <v>1</v>
      </c>
      <c r="G31" s="50"/>
      <c r="H31" s="134" t="s">
        <v>231</v>
      </c>
      <c r="I31" s="134" t="s">
        <v>232</v>
      </c>
      <c r="J31" s="134"/>
      <c r="K31" s="134"/>
      <c r="L31" s="28" t="str">
        <f t="shared" ca="1" si="0"/>
        <v>La Centrale rischi di Banca D'Italia viene esaminata periodicamente e</v>
      </c>
      <c r="M31" s="28">
        <f t="shared" ca="1" si="1"/>
        <v>0</v>
      </c>
    </row>
    <row r="32" spans="1:13" s="28" customFormat="1" ht="35.200000000000003" customHeight="1" thickTop="1" thickBot="1" x14ac:dyDescent="0.55000000000000004">
      <c r="B32" s="29"/>
      <c r="C32" s="42"/>
      <c r="D32" s="43"/>
      <c r="E32" s="43" t="s">
        <v>227</v>
      </c>
      <c r="F32" s="129" t="b">
        <v>0</v>
      </c>
      <c r="G32" s="50"/>
      <c r="H32" s="134" t="s">
        <v>382</v>
      </c>
      <c r="I32" s="134" t="s">
        <v>383</v>
      </c>
      <c r="J32" s="134" t="s">
        <v>194</v>
      </c>
      <c r="K32" s="134" t="s">
        <v>223</v>
      </c>
      <c r="L32" s="28" t="str">
        <f t="shared" ca="1" si="0"/>
        <v>non riconciliata con la contabilità.</v>
      </c>
      <c r="M32" s="28" t="str">
        <f t="shared" ca="1" si="1"/>
        <v>Indicare le cause e gli interventi in merito</v>
      </c>
    </row>
    <row r="33" spans="1:13" s="28" customFormat="1" ht="35.200000000000003" customHeight="1" thickTop="1" thickBot="1" x14ac:dyDescent="0.55000000000000004">
      <c r="B33" s="29"/>
      <c r="C33" s="42" t="s">
        <v>14</v>
      </c>
      <c r="D33" s="43"/>
      <c r="E33" s="43" t="s">
        <v>228</v>
      </c>
      <c r="F33" s="129" t="b">
        <v>1</v>
      </c>
      <c r="G33" s="50"/>
      <c r="H33" s="134" t="s">
        <v>233</v>
      </c>
      <c r="I33" s="134" t="s">
        <v>234</v>
      </c>
      <c r="J33" s="134" t="s">
        <v>235</v>
      </c>
      <c r="K33" s="134" t="s">
        <v>235</v>
      </c>
      <c r="L33" s="28" t="str">
        <f t="shared" ca="1" si="0"/>
        <v>Il sistema di controllo dei rischi tiene conto anche delle passività potenziali.</v>
      </c>
      <c r="M33" s="28" t="str">
        <f t="shared" ca="1" si="1"/>
        <v>Di che entità sono eventuali passività potenziali?</v>
      </c>
    </row>
    <row r="34" spans="1:13" s="28" customFormat="1" ht="35.200000000000003" customHeight="1" thickTop="1" thickBot="1" x14ac:dyDescent="0.55000000000000004">
      <c r="B34" s="29"/>
      <c r="C34" s="42"/>
      <c r="D34" s="43"/>
      <c r="E34" s="43" t="s">
        <v>236</v>
      </c>
      <c r="F34" s="129" t="b">
        <v>0</v>
      </c>
      <c r="G34" s="50"/>
      <c r="H34" s="134" t="s">
        <v>237</v>
      </c>
      <c r="I34" s="134" t="s">
        <v>238</v>
      </c>
      <c r="J34" s="134" t="s">
        <v>194</v>
      </c>
      <c r="K34" s="134" t="s">
        <v>239</v>
      </c>
      <c r="L34" s="28" t="str">
        <f t="shared" ca="1" si="0"/>
        <v>Esistono rilevanti rischi per garanzie concesse a terzi.</v>
      </c>
      <c r="M34" s="28" t="str">
        <f t="shared" ca="1" si="1"/>
        <v>Descrivere e precisare se ne è stato tenuto conto a livello di fondi rischi.</v>
      </c>
    </row>
    <row r="35" spans="1:13" s="28" customFormat="1" ht="35.200000000000003" customHeight="1" thickTop="1" thickBot="1" x14ac:dyDescent="0.55000000000000004">
      <c r="B35" s="29"/>
      <c r="C35" s="42" t="s">
        <v>15</v>
      </c>
      <c r="D35" s="43"/>
      <c r="E35" s="43" t="s">
        <v>191</v>
      </c>
      <c r="F35" s="129" t="b">
        <v>1</v>
      </c>
      <c r="G35" s="50"/>
      <c r="H35" s="134" t="s">
        <v>241</v>
      </c>
      <c r="I35" s="134" t="s">
        <v>240</v>
      </c>
      <c r="J35" s="134" t="s">
        <v>242</v>
      </c>
      <c r="K35" s="134" t="s">
        <v>243</v>
      </c>
      <c r="L35" s="28" t="str">
        <f t="shared" ca="1" si="0"/>
        <v>L'organo di controllo o il revisore legale è composto da</v>
      </c>
      <c r="M35" s="28" t="str">
        <f t="shared" ca="1" si="1"/>
        <v>Indicare i nominativi e eventuali</v>
      </c>
    </row>
    <row r="36" spans="1:13" s="28" customFormat="1" ht="35.200000000000003" customHeight="1" thickTop="1" thickBot="1" x14ac:dyDescent="0.55000000000000004">
      <c r="B36" s="29"/>
      <c r="C36" s="42" t="s">
        <v>16</v>
      </c>
      <c r="D36" s="43"/>
      <c r="E36" s="43" t="s">
        <v>477</v>
      </c>
      <c r="F36" s="129" t="b">
        <v>1</v>
      </c>
      <c r="G36" s="50"/>
      <c r="H36" s="134" t="s">
        <v>479</v>
      </c>
      <c r="I36" s="134" t="s">
        <v>480</v>
      </c>
      <c r="J36" s="134" t="s">
        <v>482</v>
      </c>
      <c r="K36" s="134" t="s">
        <v>194</v>
      </c>
      <c r="L36" s="28" t="str">
        <f t="shared" ca="1" si="0"/>
        <v>Sono disponibili informazioni sull'andamento corrente in termini di ricavi, portafoglio ordini, costi e flussi finanziari.</v>
      </c>
      <c r="M36" s="28" t="str">
        <f t="shared" ca="1" si="1"/>
        <v>Quali informazioni?</v>
      </c>
    </row>
    <row r="37" spans="1:13" s="23" customFormat="1" ht="30.45" customHeight="1" thickTop="1" thickBot="1" x14ac:dyDescent="0.55000000000000004">
      <c r="A37" s="25"/>
      <c r="B37" s="29"/>
      <c r="C37" s="42"/>
      <c r="D37" s="43"/>
      <c r="E37" s="43" t="s">
        <v>478</v>
      </c>
      <c r="F37" s="129" t="b">
        <v>1</v>
      </c>
      <c r="G37" s="50"/>
      <c r="H37" s="134" t="s">
        <v>481</v>
      </c>
      <c r="I37" s="134" t="s">
        <v>481</v>
      </c>
      <c r="J37" s="134" t="s">
        <v>483</v>
      </c>
      <c r="K37" s="134" t="s">
        <v>194</v>
      </c>
      <c r="L37" s="28" t="str">
        <f t="shared" ca="1" si="0"/>
        <v>È disponibile un confronto con lo stesso periodo del precedente esercizio.</v>
      </c>
      <c r="M37" s="28" t="str">
        <f t="shared" ca="1" si="1"/>
        <v>Che tipo di confronto?</v>
      </c>
    </row>
    <row r="38" spans="1:13" s="23" customFormat="1" ht="30.45" customHeight="1" thickTop="1" x14ac:dyDescent="0.5">
      <c r="B38" s="24"/>
      <c r="F38" s="124"/>
      <c r="G38" s="49"/>
      <c r="H38" s="124"/>
      <c r="I38" s="124"/>
      <c r="J38" s="124"/>
      <c r="K38" s="124"/>
    </row>
    <row r="39" spans="1:13" ht="30.45" customHeight="1" x14ac:dyDescent="0.4"/>
    <row r="40" spans="1:13" ht="30.45" customHeight="1" x14ac:dyDescent="0.4"/>
  </sheetData>
  <sheetProtection algorithmName="SHA-512" hashValue="o4x4fW4JoVjJou5qVmunuCWgCNJBJddVA7yHjD7thsK1DUa7REqNujmdC3qFxDdH2g14GCq7/K4trz9mutfDhg==" saltValue="GcBZvn6zgg7quBaOEgwXaQ==" spinCount="100000" sheet="1" formatCells="0" formatColumns="0" formatRows="0"/>
  <mergeCells count="2">
    <mergeCell ref="A3:B3"/>
    <mergeCell ref="C3:E3"/>
  </mergeCells>
  <conditionalFormatting sqref="F1:G18 F20:G37">
    <cfRule type="cellIs" dxfId="90" priority="12" operator="equal">
      <formula>TRUE</formula>
    </cfRule>
  </conditionalFormatting>
  <conditionalFormatting sqref="F15:G18">
    <cfRule type="iconSet" priority="14">
      <iconSet iconSet="3Symbols2">
        <cfvo type="percent" val="0"/>
        <cfvo type="percent" val="33"/>
        <cfvo type="formula" val="#REF!"/>
      </iconSet>
    </cfRule>
  </conditionalFormatting>
  <conditionalFormatting sqref="F21:G37">
    <cfRule type="iconSet" priority="25">
      <iconSet iconSet="3Symbols2">
        <cfvo type="percent" val="0"/>
        <cfvo type="percent" val="33"/>
        <cfvo type="formula" val="#REF!"/>
      </iconSet>
    </cfRule>
  </conditionalFormatting>
  <pageMargins left="0.7" right="0.7" top="0.75" bottom="0.75" header="0.3" footer="0.3"/>
  <pageSetup paperSize="9" orientation="portrait" horizontalDpi="200" verticalDpi="200"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5</xdr:col>
                    <xdr:colOff>0</xdr:colOff>
                    <xdr:row>8</xdr:row>
                    <xdr:rowOff>0</xdr:rowOff>
                  </from>
                  <to>
                    <xdr:col>5</xdr:col>
                    <xdr:colOff>249767</xdr:colOff>
                    <xdr:row>8</xdr:row>
                    <xdr:rowOff>241300</xdr:rowOff>
                  </to>
                </anchor>
              </controlPr>
            </control>
          </mc:Choice>
        </mc:AlternateContent>
        <mc:AlternateContent xmlns:mc="http://schemas.openxmlformats.org/markup-compatibility/2006">
          <mc:Choice Requires="x14">
            <control shapeId="5123" r:id="rId5" name="Check Box 3">
              <controlPr defaultSize="0" autoFill="0" autoLine="0" autoPict="0">
                <anchor moveWithCells="1">
                  <from>
                    <xdr:col>5</xdr:col>
                    <xdr:colOff>0</xdr:colOff>
                    <xdr:row>9</xdr:row>
                    <xdr:rowOff>12700</xdr:rowOff>
                  </from>
                  <to>
                    <xdr:col>5</xdr:col>
                    <xdr:colOff>249767</xdr:colOff>
                    <xdr:row>9</xdr:row>
                    <xdr:rowOff>249767</xdr:rowOff>
                  </to>
                </anchor>
              </controlPr>
            </control>
          </mc:Choice>
        </mc:AlternateContent>
        <mc:AlternateContent xmlns:mc="http://schemas.openxmlformats.org/markup-compatibility/2006">
          <mc:Choice Requires="x14">
            <control shapeId="5129" r:id="rId6" name="Check Box 9">
              <controlPr defaultSize="0" autoFill="0" autoLine="0" autoPict="0">
                <anchor moveWithCells="1">
                  <from>
                    <xdr:col>5</xdr:col>
                    <xdr:colOff>0</xdr:colOff>
                    <xdr:row>10</xdr:row>
                    <xdr:rowOff>0</xdr:rowOff>
                  </from>
                  <to>
                    <xdr:col>5</xdr:col>
                    <xdr:colOff>249767</xdr:colOff>
                    <xdr:row>10</xdr:row>
                    <xdr:rowOff>241300</xdr:rowOff>
                  </to>
                </anchor>
              </controlPr>
            </control>
          </mc:Choice>
        </mc:AlternateContent>
        <mc:AlternateContent xmlns:mc="http://schemas.openxmlformats.org/markup-compatibility/2006">
          <mc:Choice Requires="x14">
            <control shapeId="5137" r:id="rId7" name="Check Box 17">
              <controlPr defaultSize="0" autoFill="0" autoLine="0" autoPict="0">
                <anchor moveWithCells="1">
                  <from>
                    <xdr:col>5</xdr:col>
                    <xdr:colOff>0</xdr:colOff>
                    <xdr:row>14</xdr:row>
                    <xdr:rowOff>0</xdr:rowOff>
                  </from>
                  <to>
                    <xdr:col>5</xdr:col>
                    <xdr:colOff>249767</xdr:colOff>
                    <xdr:row>14</xdr:row>
                    <xdr:rowOff>241300</xdr:rowOff>
                  </to>
                </anchor>
              </controlPr>
            </control>
          </mc:Choice>
        </mc:AlternateContent>
        <mc:AlternateContent xmlns:mc="http://schemas.openxmlformats.org/markup-compatibility/2006">
          <mc:Choice Requires="x14">
            <control shapeId="5140" r:id="rId8" name="Check Box 20">
              <controlPr defaultSize="0" autoFill="0" autoLine="0" autoPict="0">
                <anchor moveWithCells="1">
                  <from>
                    <xdr:col>5</xdr:col>
                    <xdr:colOff>0</xdr:colOff>
                    <xdr:row>17</xdr:row>
                    <xdr:rowOff>0</xdr:rowOff>
                  </from>
                  <to>
                    <xdr:col>5</xdr:col>
                    <xdr:colOff>249767</xdr:colOff>
                    <xdr:row>17</xdr:row>
                    <xdr:rowOff>241300</xdr:rowOff>
                  </to>
                </anchor>
              </controlPr>
            </control>
          </mc:Choice>
        </mc:AlternateContent>
        <mc:AlternateContent xmlns:mc="http://schemas.openxmlformats.org/markup-compatibility/2006">
          <mc:Choice Requires="x14">
            <control shapeId="5143" r:id="rId9" name="Check Box 23">
              <controlPr defaultSize="0" autoFill="0" autoLine="0" autoPict="0">
                <anchor moveWithCells="1">
                  <from>
                    <xdr:col>5</xdr:col>
                    <xdr:colOff>0</xdr:colOff>
                    <xdr:row>20</xdr:row>
                    <xdr:rowOff>0</xdr:rowOff>
                  </from>
                  <to>
                    <xdr:col>5</xdr:col>
                    <xdr:colOff>249767</xdr:colOff>
                    <xdr:row>20</xdr:row>
                    <xdr:rowOff>241300</xdr:rowOff>
                  </to>
                </anchor>
              </controlPr>
            </control>
          </mc:Choice>
        </mc:AlternateContent>
        <mc:AlternateContent xmlns:mc="http://schemas.openxmlformats.org/markup-compatibility/2006">
          <mc:Choice Requires="x14">
            <control shapeId="5146" r:id="rId10" name="Check Box 26">
              <controlPr defaultSize="0" autoFill="0" autoLine="0" autoPict="0">
                <anchor moveWithCells="1">
                  <from>
                    <xdr:col>5</xdr:col>
                    <xdr:colOff>0</xdr:colOff>
                    <xdr:row>11</xdr:row>
                    <xdr:rowOff>0</xdr:rowOff>
                  </from>
                  <to>
                    <xdr:col>5</xdr:col>
                    <xdr:colOff>249767</xdr:colOff>
                    <xdr:row>11</xdr:row>
                    <xdr:rowOff>241300</xdr:rowOff>
                  </to>
                </anchor>
              </controlPr>
            </control>
          </mc:Choice>
        </mc:AlternateContent>
        <mc:AlternateContent xmlns:mc="http://schemas.openxmlformats.org/markup-compatibility/2006">
          <mc:Choice Requires="x14">
            <control shapeId="5149" r:id="rId11" name="Check Box 29">
              <controlPr defaultSize="0" autoFill="0" autoLine="0" autoPict="0">
                <anchor moveWithCells="1">
                  <from>
                    <xdr:col>5</xdr:col>
                    <xdr:colOff>0</xdr:colOff>
                    <xdr:row>12</xdr:row>
                    <xdr:rowOff>0</xdr:rowOff>
                  </from>
                  <to>
                    <xdr:col>5</xdr:col>
                    <xdr:colOff>249767</xdr:colOff>
                    <xdr:row>12</xdr:row>
                    <xdr:rowOff>241300</xdr:rowOff>
                  </to>
                </anchor>
              </controlPr>
            </control>
          </mc:Choice>
        </mc:AlternateContent>
        <mc:AlternateContent xmlns:mc="http://schemas.openxmlformats.org/markup-compatibility/2006">
          <mc:Choice Requires="x14">
            <control shapeId="5152" r:id="rId12" name="Check Box 32">
              <controlPr defaultSize="0" autoFill="0" autoLine="0" autoPict="0">
                <anchor moveWithCells="1">
                  <from>
                    <xdr:col>5</xdr:col>
                    <xdr:colOff>0</xdr:colOff>
                    <xdr:row>13</xdr:row>
                    <xdr:rowOff>0</xdr:rowOff>
                  </from>
                  <to>
                    <xdr:col>5</xdr:col>
                    <xdr:colOff>249767</xdr:colOff>
                    <xdr:row>13</xdr:row>
                    <xdr:rowOff>241300</xdr:rowOff>
                  </to>
                </anchor>
              </controlPr>
            </control>
          </mc:Choice>
        </mc:AlternateContent>
        <mc:AlternateContent xmlns:mc="http://schemas.openxmlformats.org/markup-compatibility/2006">
          <mc:Choice Requires="x14">
            <control shapeId="5155" r:id="rId13" name="Check Box 35">
              <controlPr defaultSize="0" autoFill="0" autoLine="0" autoPict="0">
                <anchor moveWithCells="1">
                  <from>
                    <xdr:col>5</xdr:col>
                    <xdr:colOff>0</xdr:colOff>
                    <xdr:row>15</xdr:row>
                    <xdr:rowOff>0</xdr:rowOff>
                  </from>
                  <to>
                    <xdr:col>5</xdr:col>
                    <xdr:colOff>249767</xdr:colOff>
                    <xdr:row>15</xdr:row>
                    <xdr:rowOff>241300</xdr:rowOff>
                  </to>
                </anchor>
              </controlPr>
            </control>
          </mc:Choice>
        </mc:AlternateContent>
        <mc:AlternateContent xmlns:mc="http://schemas.openxmlformats.org/markup-compatibility/2006">
          <mc:Choice Requires="x14">
            <control shapeId="5158" r:id="rId14" name="Check Box 38">
              <controlPr defaultSize="0" autoFill="0" autoLine="0" autoPict="0">
                <anchor moveWithCells="1">
                  <from>
                    <xdr:col>5</xdr:col>
                    <xdr:colOff>0</xdr:colOff>
                    <xdr:row>16</xdr:row>
                    <xdr:rowOff>0</xdr:rowOff>
                  </from>
                  <to>
                    <xdr:col>5</xdr:col>
                    <xdr:colOff>249767</xdr:colOff>
                    <xdr:row>16</xdr:row>
                    <xdr:rowOff>241300</xdr:rowOff>
                  </to>
                </anchor>
              </controlPr>
            </control>
          </mc:Choice>
        </mc:AlternateContent>
        <mc:AlternateContent xmlns:mc="http://schemas.openxmlformats.org/markup-compatibility/2006">
          <mc:Choice Requires="x14">
            <control shapeId="5161" r:id="rId15" name="Check Box 41">
              <controlPr defaultSize="0" autoFill="0" autoLine="0" autoPict="0">
                <anchor moveWithCells="1">
                  <from>
                    <xdr:col>5</xdr:col>
                    <xdr:colOff>0</xdr:colOff>
                    <xdr:row>20</xdr:row>
                    <xdr:rowOff>440267</xdr:rowOff>
                  </from>
                  <to>
                    <xdr:col>5</xdr:col>
                    <xdr:colOff>249767</xdr:colOff>
                    <xdr:row>21</xdr:row>
                    <xdr:rowOff>241300</xdr:rowOff>
                  </to>
                </anchor>
              </controlPr>
            </control>
          </mc:Choice>
        </mc:AlternateContent>
        <mc:AlternateContent xmlns:mc="http://schemas.openxmlformats.org/markup-compatibility/2006">
          <mc:Choice Requires="x14">
            <control shapeId="5164" r:id="rId16" name="Check Box 44">
              <controlPr defaultSize="0" autoFill="0" autoLine="0" autoPict="0">
                <anchor moveWithCells="1">
                  <from>
                    <xdr:col>5</xdr:col>
                    <xdr:colOff>0</xdr:colOff>
                    <xdr:row>22</xdr:row>
                    <xdr:rowOff>0</xdr:rowOff>
                  </from>
                  <to>
                    <xdr:col>5</xdr:col>
                    <xdr:colOff>249767</xdr:colOff>
                    <xdr:row>22</xdr:row>
                    <xdr:rowOff>241300</xdr:rowOff>
                  </to>
                </anchor>
              </controlPr>
            </control>
          </mc:Choice>
        </mc:AlternateContent>
        <mc:AlternateContent xmlns:mc="http://schemas.openxmlformats.org/markup-compatibility/2006">
          <mc:Choice Requires="x14">
            <control shapeId="5170" r:id="rId17" name="Check Box 50">
              <controlPr defaultSize="0" autoFill="0" autoLine="0" autoPict="0">
                <anchor moveWithCells="1">
                  <from>
                    <xdr:col>5</xdr:col>
                    <xdr:colOff>0</xdr:colOff>
                    <xdr:row>23</xdr:row>
                    <xdr:rowOff>0</xdr:rowOff>
                  </from>
                  <to>
                    <xdr:col>5</xdr:col>
                    <xdr:colOff>249767</xdr:colOff>
                    <xdr:row>23</xdr:row>
                    <xdr:rowOff>241300</xdr:rowOff>
                  </to>
                </anchor>
              </controlPr>
            </control>
          </mc:Choice>
        </mc:AlternateContent>
        <mc:AlternateContent xmlns:mc="http://schemas.openxmlformats.org/markup-compatibility/2006">
          <mc:Choice Requires="x14">
            <control shapeId="5173" r:id="rId18" name="Check Box 53">
              <controlPr defaultSize="0" autoFill="0" autoLine="0" autoPict="0">
                <anchor moveWithCells="1">
                  <from>
                    <xdr:col>5</xdr:col>
                    <xdr:colOff>0</xdr:colOff>
                    <xdr:row>25</xdr:row>
                    <xdr:rowOff>0</xdr:rowOff>
                  </from>
                  <to>
                    <xdr:col>5</xdr:col>
                    <xdr:colOff>249767</xdr:colOff>
                    <xdr:row>25</xdr:row>
                    <xdr:rowOff>241300</xdr:rowOff>
                  </to>
                </anchor>
              </controlPr>
            </control>
          </mc:Choice>
        </mc:AlternateContent>
        <mc:AlternateContent xmlns:mc="http://schemas.openxmlformats.org/markup-compatibility/2006">
          <mc:Choice Requires="x14">
            <control shapeId="5176" r:id="rId19" name="Check Box 56">
              <controlPr defaultSize="0" autoFill="0" autoLine="0" autoPict="0">
                <anchor moveWithCells="1">
                  <from>
                    <xdr:col>5</xdr:col>
                    <xdr:colOff>0</xdr:colOff>
                    <xdr:row>27</xdr:row>
                    <xdr:rowOff>0</xdr:rowOff>
                  </from>
                  <to>
                    <xdr:col>5</xdr:col>
                    <xdr:colOff>249767</xdr:colOff>
                    <xdr:row>27</xdr:row>
                    <xdr:rowOff>241300</xdr:rowOff>
                  </to>
                </anchor>
              </controlPr>
            </control>
          </mc:Choice>
        </mc:AlternateContent>
        <mc:AlternateContent xmlns:mc="http://schemas.openxmlformats.org/markup-compatibility/2006">
          <mc:Choice Requires="x14">
            <control shapeId="5182" r:id="rId20" name="Check Box 62">
              <controlPr defaultSize="0" autoFill="0" autoLine="0" autoPict="0">
                <anchor moveWithCells="1">
                  <from>
                    <xdr:col>5</xdr:col>
                    <xdr:colOff>0</xdr:colOff>
                    <xdr:row>32</xdr:row>
                    <xdr:rowOff>0</xdr:rowOff>
                  </from>
                  <to>
                    <xdr:col>5</xdr:col>
                    <xdr:colOff>249767</xdr:colOff>
                    <xdr:row>32</xdr:row>
                    <xdr:rowOff>241300</xdr:rowOff>
                  </to>
                </anchor>
              </controlPr>
            </control>
          </mc:Choice>
        </mc:AlternateContent>
        <mc:AlternateContent xmlns:mc="http://schemas.openxmlformats.org/markup-compatibility/2006">
          <mc:Choice Requires="x14">
            <control shapeId="5188" r:id="rId21" name="Check Box 68">
              <controlPr defaultSize="0" autoFill="0" autoLine="0" autoPict="0">
                <anchor moveWithCells="1">
                  <from>
                    <xdr:col>5</xdr:col>
                    <xdr:colOff>0</xdr:colOff>
                    <xdr:row>26</xdr:row>
                    <xdr:rowOff>0</xdr:rowOff>
                  </from>
                  <to>
                    <xdr:col>5</xdr:col>
                    <xdr:colOff>249767</xdr:colOff>
                    <xdr:row>26</xdr:row>
                    <xdr:rowOff>241300</xdr:rowOff>
                  </to>
                </anchor>
              </controlPr>
            </control>
          </mc:Choice>
        </mc:AlternateContent>
        <mc:AlternateContent xmlns:mc="http://schemas.openxmlformats.org/markup-compatibility/2006">
          <mc:Choice Requires="x14">
            <control shapeId="5191" r:id="rId22" name="Check Box 71">
              <controlPr defaultSize="0" autoFill="0" autoLine="0" autoPict="0">
                <anchor moveWithCells="1">
                  <from>
                    <xdr:col>5</xdr:col>
                    <xdr:colOff>0</xdr:colOff>
                    <xdr:row>24</xdr:row>
                    <xdr:rowOff>0</xdr:rowOff>
                  </from>
                  <to>
                    <xdr:col>5</xdr:col>
                    <xdr:colOff>249767</xdr:colOff>
                    <xdr:row>24</xdr:row>
                    <xdr:rowOff>241300</xdr:rowOff>
                  </to>
                </anchor>
              </controlPr>
            </control>
          </mc:Choice>
        </mc:AlternateContent>
        <mc:AlternateContent xmlns:mc="http://schemas.openxmlformats.org/markup-compatibility/2006">
          <mc:Choice Requires="x14">
            <control shapeId="5194" r:id="rId23" name="Check Box 74">
              <controlPr defaultSize="0" autoFill="0" autoLine="0" autoPict="0">
                <anchor moveWithCells="1">
                  <from>
                    <xdr:col>5</xdr:col>
                    <xdr:colOff>0</xdr:colOff>
                    <xdr:row>29</xdr:row>
                    <xdr:rowOff>0</xdr:rowOff>
                  </from>
                  <to>
                    <xdr:col>5</xdr:col>
                    <xdr:colOff>249767</xdr:colOff>
                    <xdr:row>29</xdr:row>
                    <xdr:rowOff>241300</xdr:rowOff>
                  </to>
                </anchor>
              </controlPr>
            </control>
          </mc:Choice>
        </mc:AlternateContent>
        <mc:AlternateContent xmlns:mc="http://schemas.openxmlformats.org/markup-compatibility/2006">
          <mc:Choice Requires="x14">
            <control shapeId="5196" r:id="rId24" name="Check Box 76">
              <controlPr defaultSize="0" autoFill="0" autoLine="0" autoPict="0">
                <anchor moveWithCells="1">
                  <from>
                    <xdr:col>5</xdr:col>
                    <xdr:colOff>0</xdr:colOff>
                    <xdr:row>31</xdr:row>
                    <xdr:rowOff>0</xdr:rowOff>
                  </from>
                  <to>
                    <xdr:col>5</xdr:col>
                    <xdr:colOff>249767</xdr:colOff>
                    <xdr:row>31</xdr:row>
                    <xdr:rowOff>241300</xdr:rowOff>
                  </to>
                </anchor>
              </controlPr>
            </control>
          </mc:Choice>
        </mc:AlternateContent>
        <mc:AlternateContent xmlns:mc="http://schemas.openxmlformats.org/markup-compatibility/2006">
          <mc:Choice Requires="x14">
            <control shapeId="5199" r:id="rId25" name="Check Box 79">
              <controlPr defaultSize="0" autoFill="0" autoLine="0" autoPict="0">
                <anchor moveWithCells="1">
                  <from>
                    <xdr:col>5</xdr:col>
                    <xdr:colOff>0</xdr:colOff>
                    <xdr:row>33</xdr:row>
                    <xdr:rowOff>0</xdr:rowOff>
                  </from>
                  <to>
                    <xdr:col>5</xdr:col>
                    <xdr:colOff>249767</xdr:colOff>
                    <xdr:row>33</xdr:row>
                    <xdr:rowOff>241300</xdr:rowOff>
                  </to>
                </anchor>
              </controlPr>
            </control>
          </mc:Choice>
        </mc:AlternateContent>
        <mc:AlternateContent xmlns:mc="http://schemas.openxmlformats.org/markup-compatibility/2006">
          <mc:Choice Requires="x14">
            <control shapeId="5185" r:id="rId26" name="Check Box 65">
              <controlPr defaultSize="0" autoFill="0" autoLine="0" autoPict="0">
                <anchor moveWithCells="1">
                  <from>
                    <xdr:col>5</xdr:col>
                    <xdr:colOff>0</xdr:colOff>
                    <xdr:row>33</xdr:row>
                    <xdr:rowOff>440267</xdr:rowOff>
                  </from>
                  <to>
                    <xdr:col>5</xdr:col>
                    <xdr:colOff>249767</xdr:colOff>
                    <xdr:row>34</xdr:row>
                    <xdr:rowOff>241300</xdr:rowOff>
                  </to>
                </anchor>
              </controlPr>
            </control>
          </mc:Choice>
        </mc:AlternateContent>
        <mc:AlternateContent xmlns:mc="http://schemas.openxmlformats.org/markup-compatibility/2006">
          <mc:Choice Requires="x14">
            <control shapeId="5179" r:id="rId27" name="Check Box 59">
              <controlPr defaultSize="0" autoFill="0" autoLine="0" autoPict="0">
                <anchor moveWithCells="1">
                  <from>
                    <xdr:col>5</xdr:col>
                    <xdr:colOff>0</xdr:colOff>
                    <xdr:row>28</xdr:row>
                    <xdr:rowOff>0</xdr:rowOff>
                  </from>
                  <to>
                    <xdr:col>5</xdr:col>
                    <xdr:colOff>249767</xdr:colOff>
                    <xdr:row>28</xdr:row>
                    <xdr:rowOff>241300</xdr:rowOff>
                  </to>
                </anchor>
              </controlPr>
            </control>
          </mc:Choice>
        </mc:AlternateContent>
        <mc:AlternateContent xmlns:mc="http://schemas.openxmlformats.org/markup-compatibility/2006">
          <mc:Choice Requires="x14">
            <control shapeId="5195" r:id="rId28" name="Check Box 75">
              <controlPr defaultSize="0" autoFill="0" autoLine="0" autoPict="0">
                <anchor moveWithCells="1">
                  <from>
                    <xdr:col>5</xdr:col>
                    <xdr:colOff>0</xdr:colOff>
                    <xdr:row>30</xdr:row>
                    <xdr:rowOff>0</xdr:rowOff>
                  </from>
                  <to>
                    <xdr:col>5</xdr:col>
                    <xdr:colOff>249767</xdr:colOff>
                    <xdr:row>30</xdr:row>
                    <xdr:rowOff>241300</xdr:rowOff>
                  </to>
                </anchor>
              </controlPr>
            </control>
          </mc:Choice>
        </mc:AlternateContent>
        <mc:AlternateContent xmlns:mc="http://schemas.openxmlformats.org/markup-compatibility/2006">
          <mc:Choice Requires="x14">
            <control shapeId="5202" r:id="rId29" name="Check Box 82">
              <controlPr defaultSize="0" autoFill="0" autoLine="0" autoPict="0">
                <anchor moveWithCells="1">
                  <from>
                    <xdr:col>5</xdr:col>
                    <xdr:colOff>0</xdr:colOff>
                    <xdr:row>35</xdr:row>
                    <xdr:rowOff>0</xdr:rowOff>
                  </from>
                  <to>
                    <xdr:col>5</xdr:col>
                    <xdr:colOff>249767</xdr:colOff>
                    <xdr:row>35</xdr:row>
                    <xdr:rowOff>241300</xdr:rowOff>
                  </to>
                </anchor>
              </controlPr>
            </control>
          </mc:Choice>
        </mc:AlternateContent>
        <mc:AlternateContent xmlns:mc="http://schemas.openxmlformats.org/markup-compatibility/2006">
          <mc:Choice Requires="x14">
            <control shapeId="5205" r:id="rId30" name="Check Box 85">
              <controlPr defaultSize="0" autoFill="0" autoLine="0" autoPict="0">
                <anchor moveWithCells="1">
                  <from>
                    <xdr:col>5</xdr:col>
                    <xdr:colOff>0</xdr:colOff>
                    <xdr:row>36</xdr:row>
                    <xdr:rowOff>0</xdr:rowOff>
                  </from>
                  <to>
                    <xdr:col>5</xdr:col>
                    <xdr:colOff>249767</xdr:colOff>
                    <xdr:row>36</xdr:row>
                    <xdr:rowOff>241300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607D-6AE4-4A2A-B137-F3F5355F82B4}">
  <sheetPr codeName="Foglio3"/>
  <dimension ref="A1:O159"/>
  <sheetViews>
    <sheetView showGridLines="0" topLeftCell="A2" zoomScale="85" zoomScaleNormal="85" workbookViewId="0">
      <selection activeCell="E138" sqref="E138"/>
    </sheetView>
  </sheetViews>
  <sheetFormatPr defaultColWidth="0" defaultRowHeight="21.75" customHeight="1" zeroHeight="1" outlineLevelRow="1" outlineLevelCol="1" x14ac:dyDescent="0.5"/>
  <cols>
    <col min="1" max="2" width="7.703125" customWidth="1"/>
    <col min="3" max="4" width="10.703125" customWidth="1"/>
    <col min="5" max="5" width="110.703125" style="112" customWidth="1"/>
    <col min="6" max="6" width="4.29296875" style="148" customWidth="1"/>
    <col min="7" max="7" width="13.17578125" customWidth="1"/>
    <col min="8" max="9" width="35.703125" style="122" hidden="1" customWidth="1" outlineLevel="1"/>
    <col min="10" max="11" width="25.703125" style="122" hidden="1" customWidth="1" outlineLevel="1"/>
    <col min="12" max="12" width="25.703125" style="55" hidden="1" customWidth="1" collapsed="1"/>
    <col min="13" max="13" width="25.703125" style="55" hidden="1" customWidth="1"/>
    <col min="14" max="14" width="19.29296875" style="55" hidden="1" customWidth="1"/>
    <col min="15" max="16384" width="9.17578125" style="55" hidden="1"/>
  </cols>
  <sheetData>
    <row r="1" spans="1:14" s="23" customFormat="1" ht="93" customHeight="1" thickBot="1" x14ac:dyDescent="0.55000000000000004">
      <c r="B1" s="24"/>
      <c r="C1" s="25"/>
      <c r="F1" s="113"/>
      <c r="G1" s="49"/>
      <c r="H1" s="124"/>
      <c r="I1" s="124"/>
      <c r="J1" s="124"/>
      <c r="K1" s="124"/>
    </row>
    <row r="2" spans="1:14" s="31" customFormat="1" ht="86.25" customHeight="1" thickTop="1" x14ac:dyDescent="0.5">
      <c r="A2" s="1"/>
      <c r="B2" s="1"/>
      <c r="C2" s="1"/>
      <c r="D2" s="1"/>
      <c r="E2" s="111"/>
      <c r="F2" s="135"/>
      <c r="G2" s="1"/>
      <c r="H2" s="149"/>
      <c r="I2" s="149"/>
      <c r="J2" s="149"/>
      <c r="K2" s="149"/>
    </row>
    <row r="3" spans="1:14" s="28" customFormat="1" ht="40" customHeight="1" thickBot="1" x14ac:dyDescent="0.55000000000000004">
      <c r="A3" s="64" t="s">
        <v>17</v>
      </c>
      <c r="B3" s="64"/>
      <c r="C3" s="63"/>
      <c r="D3" s="60" t="s">
        <v>229</v>
      </c>
      <c r="E3" s="41"/>
      <c r="F3" s="115"/>
      <c r="G3" s="53"/>
      <c r="H3" s="123"/>
      <c r="I3" s="123"/>
      <c r="J3" s="123"/>
      <c r="K3" s="123"/>
    </row>
    <row r="4" spans="1:14" s="31" customFormat="1" ht="35.200000000000003" customHeight="1" thickTop="1" thickBot="1" x14ac:dyDescent="0.55000000000000004">
      <c r="A4" s="1"/>
      <c r="B4" s="42" t="s">
        <v>111</v>
      </c>
      <c r="C4" s="1"/>
      <c r="D4" s="43"/>
      <c r="E4" s="43" t="s">
        <v>244</v>
      </c>
      <c r="F4" s="129" t="b">
        <v>1</v>
      </c>
      <c r="G4" s="65"/>
      <c r="H4" s="134" t="s">
        <v>384</v>
      </c>
      <c r="I4" s="134" t="s">
        <v>385</v>
      </c>
      <c r="J4" s="134" t="s">
        <v>245</v>
      </c>
      <c r="K4" s="134" t="s">
        <v>503</v>
      </c>
      <c r="L4" s="28" t="str">
        <f ca="1">+OFFSET(F4,0,IF(F4,2,3))</f>
        <v>L’assetto contabile, amministrativo e contabile non ha rilevato elementi tali da far percepire uno stato di crisi o di squilibrio patrimoniale e/o economico finanziario.</v>
      </c>
      <c r="M4" s="28" t="str">
        <f ca="1">+OFFSET(F4,0,IF(F4,4,5))</f>
        <v xml:space="preserve">Aggiungere eventuali commenti </v>
      </c>
    </row>
    <row r="5" spans="1:14" s="31" customFormat="1" ht="35.200000000000003" customHeight="1" thickTop="1" x14ac:dyDescent="0.5">
      <c r="A5" s="1"/>
      <c r="B5" s="42" t="s">
        <v>112</v>
      </c>
      <c r="C5" s="1"/>
      <c r="D5" s="43"/>
      <c r="E5" s="66" t="s">
        <v>113</v>
      </c>
      <c r="F5" s="136"/>
      <c r="G5" s="67"/>
      <c r="H5" s="149"/>
      <c r="I5" s="149"/>
      <c r="J5" s="149"/>
      <c r="K5" s="149"/>
    </row>
    <row r="6" spans="1:14" s="31" customFormat="1" ht="35.200000000000003" customHeight="1" thickBot="1" x14ac:dyDescent="0.55000000000000004">
      <c r="A6" s="1"/>
      <c r="B6" s="43"/>
      <c r="C6" s="42"/>
      <c r="D6" s="43"/>
      <c r="E6" s="68" t="s">
        <v>261</v>
      </c>
      <c r="F6" s="137" t="b">
        <f>+COUNTIF(F7:F9,TRUE)&gt;0</f>
        <v>1</v>
      </c>
      <c r="G6" s="50"/>
      <c r="I6" s="190" t="str" cm="1">
        <f t="array" ref="I6">IF(F6,
+CONCATENATE("Per quanto concerne lo stato di crisi, ",E6,
IF(F7,E7&amp;N7,""),
IF(F8,E8&amp;N8,""),
IF(F9,E9&amp;N9,""),".")&amp;
IF(F11,CONCATENATE(AC,E11,
IF(F12,E12&amp;N12,""),
IF(F13,E13&amp;N13,""),
IF(F14,E14&amp;N14,""),
IF(F15,E15&amp;N15,""),
IF(F16,E16&amp;N16,""),
IF(F17,E17&amp;N17,""),
IF(F18,E18&amp;N18,""),
IF(F19,E19&amp;N19,""),
IF(F20,E20&amp;N20,""),
IF(F21,E21&amp;N21,""))&amp;pu&amp;AC&amp;E10,""),"")</f>
        <v>Per quanto concerne lo stato di crisi, lo squilibrio percepito è di carattere: economico, patrimoniale e finanziario.
Sono peggiorati rispetto all'anno precedente i seguenti indicatori: fatturato, margine di contribuzione, margine di contribuzione %, EBITDA, incidenza delle passività a breve, capitale circolante netto e posizione finanziaria netta. 
altro (specificare)</v>
      </c>
      <c r="J6" s="190"/>
      <c r="K6" s="190"/>
      <c r="N6" s="149"/>
    </row>
    <row r="7" spans="1:14" s="31" customFormat="1" ht="35.200000000000003" customHeight="1" thickTop="1" thickBot="1" x14ac:dyDescent="0.55000000000000004">
      <c r="A7" s="1"/>
      <c r="B7" s="43"/>
      <c r="C7" s="42"/>
      <c r="D7" s="43"/>
      <c r="E7" s="69" t="s">
        <v>257</v>
      </c>
      <c r="F7" s="137" t="b">
        <v>1</v>
      </c>
      <c r="G7" s="50"/>
      <c r="I7" s="190"/>
      <c r="J7" s="190"/>
      <c r="K7" s="190"/>
      <c r="N7" s="149" t="str">
        <f>+IF(
COUNTIF(F8:$F$9,TRUE)=1," e ",
IF(
COUNTIF(F8:$F$9,TRUE)&gt;1,", ",""))</f>
        <v xml:space="preserve">, </v>
      </c>
    </row>
    <row r="8" spans="1:14" s="31" customFormat="1" ht="35.200000000000003" customHeight="1" thickTop="1" thickBot="1" x14ac:dyDescent="0.55000000000000004">
      <c r="A8" s="1"/>
      <c r="B8" s="43"/>
      <c r="C8" s="42"/>
      <c r="D8" s="43"/>
      <c r="E8" s="69" t="s">
        <v>258</v>
      </c>
      <c r="F8" s="137" t="b">
        <v>1</v>
      </c>
      <c r="G8" s="50"/>
      <c r="I8" s="190"/>
      <c r="J8" s="190"/>
      <c r="K8" s="190"/>
      <c r="N8" s="149" t="str">
        <f>+IF(
COUNTIF(F9:$F$9,TRUE)=1," e ",
IF(
COUNTIF(F9:$F$9,TRUE)&gt;1,", ",""))</f>
        <v xml:space="preserve"> e </v>
      </c>
    </row>
    <row r="9" spans="1:14" s="31" customFormat="1" ht="35.200000000000003" customHeight="1" thickTop="1" thickBot="1" x14ac:dyDescent="0.55000000000000004">
      <c r="A9" s="1"/>
      <c r="B9" s="43"/>
      <c r="C9" s="42"/>
      <c r="D9" s="43"/>
      <c r="E9" s="69" t="s">
        <v>259</v>
      </c>
      <c r="F9" s="137" t="b">
        <v>1</v>
      </c>
      <c r="G9" s="50"/>
      <c r="I9" s="190"/>
      <c r="J9" s="190"/>
      <c r="K9" s="190"/>
      <c r="N9" s="149"/>
    </row>
    <row r="10" spans="1:14" s="31" customFormat="1" ht="35.200000000000003" customHeight="1" thickTop="1" thickBot="1" x14ac:dyDescent="0.55000000000000004">
      <c r="A10" s="1"/>
      <c r="B10" s="43"/>
      <c r="C10" s="188" t="s">
        <v>359</v>
      </c>
      <c r="D10" s="188"/>
      <c r="E10" s="154" t="s">
        <v>277</v>
      </c>
      <c r="F10" s="143" t="b">
        <f>+IF(E10&gt;"",TRUE,FALSE)</f>
        <v>1</v>
      </c>
      <c r="G10" s="50"/>
      <c r="I10" s="190"/>
      <c r="J10" s="190"/>
      <c r="K10" s="190"/>
      <c r="N10" s="149"/>
    </row>
    <row r="11" spans="1:14" s="31" customFormat="1" ht="35.200000000000003" customHeight="1" thickTop="1" thickBot="1" x14ac:dyDescent="0.55000000000000004">
      <c r="A11" s="1"/>
      <c r="B11" s="43"/>
      <c r="C11" s="42"/>
      <c r="D11" s="43"/>
      <c r="E11" s="71" t="s">
        <v>260</v>
      </c>
      <c r="F11" s="137" t="b">
        <f>+COUNTIF(F12:F21,TRUE)&gt;0</f>
        <v>1</v>
      </c>
      <c r="G11" s="50"/>
      <c r="I11" s="190"/>
      <c r="J11" s="190"/>
      <c r="K11" s="190"/>
      <c r="N11" s="149"/>
    </row>
    <row r="12" spans="1:14" s="31" customFormat="1" ht="35.200000000000003" customHeight="1" thickTop="1" thickBot="1" x14ac:dyDescent="0.55000000000000004">
      <c r="A12" s="1"/>
      <c r="B12" s="43"/>
      <c r="C12" s="42"/>
      <c r="D12" s="43"/>
      <c r="E12" s="69" t="s">
        <v>386</v>
      </c>
      <c r="F12" s="137" t="b">
        <v>1</v>
      </c>
      <c r="G12" s="50"/>
      <c r="I12" s="190"/>
      <c r="J12" s="190"/>
      <c r="K12" s="190"/>
      <c r="N12" s="149" t="str">
        <f>+IF(
COUNTIF(F13:$F$21,TRUE)=1," e ",
IF(
COUNTIF(F13:$F$21,TRUE)&gt;1,", ",""))</f>
        <v xml:space="preserve">, </v>
      </c>
    </row>
    <row r="13" spans="1:14" s="31" customFormat="1" ht="35.200000000000003" customHeight="1" thickTop="1" thickBot="1" x14ac:dyDescent="0.55000000000000004">
      <c r="A13" s="1"/>
      <c r="B13" s="43"/>
      <c r="C13" s="42"/>
      <c r="D13" s="43"/>
      <c r="E13" s="69" t="s">
        <v>387</v>
      </c>
      <c r="F13" s="137" t="b">
        <v>1</v>
      </c>
      <c r="G13" s="50"/>
      <c r="I13" s="190"/>
      <c r="J13" s="190"/>
      <c r="K13" s="190"/>
      <c r="N13" s="149" t="str">
        <f>+IF(
COUNTIF(F14:$F$21,TRUE)=1," e ",
IF(
COUNTIF(F14:$F$21,TRUE)&gt;1,", ",""))</f>
        <v xml:space="preserve">, </v>
      </c>
    </row>
    <row r="14" spans="1:14" s="31" customFormat="1" ht="35.200000000000003" customHeight="1" thickTop="1" thickBot="1" x14ac:dyDescent="0.55000000000000004">
      <c r="A14" s="1"/>
      <c r="B14" s="43"/>
      <c r="C14" s="42"/>
      <c r="D14" s="43"/>
      <c r="E14" s="69" t="s">
        <v>388</v>
      </c>
      <c r="F14" s="137" t="b">
        <v>1</v>
      </c>
      <c r="G14" s="50"/>
      <c r="I14" s="190"/>
      <c r="J14" s="190"/>
      <c r="K14" s="190"/>
      <c r="N14" s="149" t="str">
        <f>+IF(
COUNTIF(F15:$F$21,TRUE)=1," e ",
IF(
COUNTIF(F15:$F$21,TRUE)&gt;1,", ",""))</f>
        <v xml:space="preserve">, </v>
      </c>
    </row>
    <row r="15" spans="1:14" s="31" customFormat="1" ht="35.200000000000003" customHeight="1" thickTop="1" thickBot="1" x14ac:dyDescent="0.55000000000000004">
      <c r="A15" s="1"/>
      <c r="B15" s="43"/>
      <c r="C15" s="42"/>
      <c r="D15" s="43"/>
      <c r="E15" s="69" t="s">
        <v>247</v>
      </c>
      <c r="F15" s="137" t="b">
        <v>1</v>
      </c>
      <c r="G15" s="50"/>
      <c r="I15" s="190"/>
      <c r="J15" s="190"/>
      <c r="K15" s="190"/>
      <c r="N15" s="149" t="str">
        <f>+IF(
COUNTIF(F16:$F$21,TRUE)=1," e ",
IF(
COUNTIF(F16:$F$21,TRUE)&gt;1,", ",""))</f>
        <v xml:space="preserve">, </v>
      </c>
    </row>
    <row r="16" spans="1:14" s="31" customFormat="1" ht="35.200000000000003" customHeight="1" thickTop="1" thickBot="1" x14ac:dyDescent="0.55000000000000004">
      <c r="A16" s="1"/>
      <c r="B16" s="43"/>
      <c r="C16" s="42"/>
      <c r="D16" s="43"/>
      <c r="E16" s="69" t="s">
        <v>389</v>
      </c>
      <c r="F16" s="137" t="b">
        <v>0</v>
      </c>
      <c r="G16" s="50"/>
      <c r="I16" s="190"/>
      <c r="J16" s="190"/>
      <c r="K16" s="190"/>
      <c r="N16" s="149" t="str">
        <f>+IF(
COUNTIF(F17:$F$21,TRUE)=1," e ",
IF(
COUNTIF(F17:$F$21,TRUE)&gt;1,", ",""))</f>
        <v xml:space="preserve">, </v>
      </c>
    </row>
    <row r="17" spans="1:14" s="31" customFormat="1" ht="35.200000000000003" customHeight="1" thickTop="1" thickBot="1" x14ac:dyDescent="0.55000000000000004">
      <c r="A17" s="1"/>
      <c r="B17" s="43"/>
      <c r="C17" s="42"/>
      <c r="D17" s="43"/>
      <c r="E17" s="69" t="s">
        <v>390</v>
      </c>
      <c r="F17" s="137" t="b">
        <v>0</v>
      </c>
      <c r="G17" s="50"/>
      <c r="I17" s="190"/>
      <c r="J17" s="190"/>
      <c r="K17" s="190"/>
      <c r="N17" s="149" t="str">
        <f>+IF(
COUNTIF(F18:$F$21,TRUE)=1," e ",
IF(
COUNTIF(F18:$F$21,TRUE)&gt;1,", ",""))</f>
        <v xml:space="preserve">, </v>
      </c>
    </row>
    <row r="18" spans="1:14" s="31" customFormat="1" ht="35.200000000000003" customHeight="1" thickTop="1" thickBot="1" x14ac:dyDescent="0.55000000000000004">
      <c r="A18" s="1"/>
      <c r="B18" s="43"/>
      <c r="C18" s="42"/>
      <c r="D18" s="43"/>
      <c r="E18" s="69" t="s">
        <v>394</v>
      </c>
      <c r="F18" s="137" t="b">
        <v>0</v>
      </c>
      <c r="G18" s="50"/>
      <c r="I18" s="190"/>
      <c r="J18" s="190"/>
      <c r="K18" s="190"/>
      <c r="N18" s="149" t="str">
        <f>+IF(
COUNTIF(F19:$F$21,TRUE)=1," e ",
IF(
COUNTIF(F19:$F$21,TRUE)&gt;1,", ",""))</f>
        <v xml:space="preserve">, </v>
      </c>
    </row>
    <row r="19" spans="1:14" s="31" customFormat="1" ht="35.200000000000003" customHeight="1" thickTop="1" thickBot="1" x14ac:dyDescent="0.55000000000000004">
      <c r="A19" s="1"/>
      <c r="B19" s="43"/>
      <c r="C19" s="42"/>
      <c r="D19" s="43"/>
      <c r="E19" s="69" t="s">
        <v>391</v>
      </c>
      <c r="F19" s="137" t="b">
        <v>1</v>
      </c>
      <c r="G19" s="50"/>
      <c r="I19" s="190"/>
      <c r="J19" s="190"/>
      <c r="K19" s="190"/>
      <c r="N19" s="149" t="str">
        <f>+IF(
COUNTIF(F20:$F$21,TRUE)=1," e ",
IF(
COUNTIF(F20:$F$21,TRUE)&gt;1,", ",""))</f>
        <v xml:space="preserve">, </v>
      </c>
    </row>
    <row r="20" spans="1:14" s="31" customFormat="1" ht="35.200000000000003" customHeight="1" thickTop="1" thickBot="1" x14ac:dyDescent="0.55000000000000004">
      <c r="A20" s="1"/>
      <c r="B20" s="43"/>
      <c r="C20" s="42"/>
      <c r="D20" s="43"/>
      <c r="E20" s="69" t="s">
        <v>392</v>
      </c>
      <c r="F20" s="137" t="b">
        <v>1</v>
      </c>
      <c r="G20" s="50"/>
      <c r="I20" s="190"/>
      <c r="J20" s="190"/>
      <c r="K20" s="190"/>
      <c r="N20" s="149" t="str">
        <f>+IF(
COUNTIF(F21:$F$21,TRUE)=1," e ",
IF(
COUNTIF(F21:$F$21,TRUE)&gt;1,", ",""))</f>
        <v xml:space="preserve"> e </v>
      </c>
    </row>
    <row r="21" spans="1:14" s="31" customFormat="1" ht="35.200000000000003" customHeight="1" thickTop="1" thickBot="1" x14ac:dyDescent="0.55000000000000004">
      <c r="A21" s="1"/>
      <c r="B21" s="43"/>
      <c r="C21" s="42"/>
      <c r="D21" s="43"/>
      <c r="E21" s="69" t="s">
        <v>393</v>
      </c>
      <c r="F21" s="137" t="b">
        <v>1</v>
      </c>
      <c r="G21" s="50"/>
      <c r="I21" s="190"/>
      <c r="J21" s="190"/>
      <c r="K21" s="190"/>
      <c r="N21" s="149"/>
    </row>
    <row r="22" spans="1:14" s="31" customFormat="1" ht="35.200000000000003" customHeight="1" thickTop="1" x14ac:dyDescent="0.5">
      <c r="A22" s="1"/>
      <c r="B22" s="43"/>
      <c r="C22" s="42"/>
      <c r="D22" s="43"/>
      <c r="E22" s="71" t="s">
        <v>248</v>
      </c>
      <c r="F22" s="136"/>
      <c r="G22" s="67"/>
      <c r="I22" s="189" t="str" cm="1">
        <f t="array" ref="I22">IF(OR(F23,F29,F38),+"Lo stato di crisi ha causato anomalie:"&amp;CHAR(10)&amp;
IF(COUNTIF(F24:F28,TRUE)&gt;0,CHAR(10)&amp;p&amp;"da un punto di vista commerciale"&amp;IF(OR(F29,F38),";",pu),"")&amp;
IF(COUNTIF(F30:F36,TRUE)&gt;0,CHAR(10)&amp;p&amp;"nei rapporti con le banche"&amp;IF(F38,";",pu),"")&amp;
IF(COUNTIF(F39:F42,TRUE)&gt;0,CHAR(10)&amp;p&amp;"da un punto di vista gestionale"&amp;pu,""),"")</f>
        <v xml:space="preserve">Lo stato di crisi ha causato anomalie:
• da un punto di vista commerciale;
• nei rapporti con le banche;
• da un punto di vista gestionale. </v>
      </c>
      <c r="J22" s="189"/>
      <c r="K22" s="189"/>
      <c r="N22" s="149"/>
    </row>
    <row r="23" spans="1:14" s="31" customFormat="1" ht="35.200000000000003" customHeight="1" thickBot="1" x14ac:dyDescent="0.55000000000000004">
      <c r="A23" s="1"/>
      <c r="B23" s="43"/>
      <c r="C23" s="42"/>
      <c r="D23" s="43"/>
      <c r="E23" s="72" t="s">
        <v>249</v>
      </c>
      <c r="F23" s="137" t="b">
        <f>+COUNTIF(F24:F28,TRUE)&gt;0</f>
        <v>1</v>
      </c>
      <c r="G23" s="50"/>
      <c r="I23" s="185"/>
      <c r="J23" s="185"/>
      <c r="K23" s="185"/>
      <c r="N23" s="149"/>
    </row>
    <row r="24" spans="1:14" s="31" customFormat="1" ht="35.200000000000003" customHeight="1" outlineLevel="1" thickTop="1" thickBot="1" x14ac:dyDescent="0.55000000000000004">
      <c r="A24" s="1"/>
      <c r="B24" s="43"/>
      <c r="C24" s="42"/>
      <c r="D24" s="43"/>
      <c r="E24" s="69" t="s">
        <v>262</v>
      </c>
      <c r="F24" s="137" t="b">
        <v>1</v>
      </c>
      <c r="G24" s="50"/>
      <c r="I24" s="185" t="str" cm="1">
        <f t="array" ref="I24">+IF(F23,E23&amp;" si sono verificati "&amp;
IF(F24,E24&amp;N24,"")&amp;
IF(F25,E25&amp;N25,"")&amp;
IF(F26,E26&amp;N26,"")&amp;
IF(F27,E27&amp;N27,"")&amp;
IF(F28,E28&amp;N28,"")&amp;
pu&amp;AC,"")</f>
        <v xml:space="preserve">Da un punto di vista commerciale si sono verificati mancati rilevanti pagamenti a fornitori, significativa rinegoziazione delle condizioni di pagamento e altro (specificare). 
</v>
      </c>
      <c r="J24" s="185"/>
      <c r="K24" s="185"/>
      <c r="N24" s="149" t="str">
        <f>+IF(
COUNTIF(F25:$F$28,TRUE)=1," e ",
IF(
COUNTIF(F25:$F$28,TRUE)&gt;1,", ",""))</f>
        <v xml:space="preserve">, </v>
      </c>
    </row>
    <row r="25" spans="1:14" s="31" customFormat="1" ht="35.200000000000003" customHeight="1" outlineLevel="1" thickTop="1" thickBot="1" x14ac:dyDescent="0.55000000000000004">
      <c r="A25" s="1"/>
      <c r="B25" s="43"/>
      <c r="C25" s="42"/>
      <c r="D25" s="43"/>
      <c r="E25" s="69" t="s">
        <v>263</v>
      </c>
      <c r="F25" s="137" t="b">
        <v>1</v>
      </c>
      <c r="G25" s="50"/>
      <c r="I25" s="185"/>
      <c r="J25" s="185"/>
      <c r="K25" s="185"/>
      <c r="N25" s="149" t="str">
        <f>+IF(
COUNTIF(F26:$F$28,TRUE)=1," e ",
IF(
COUNTIF(F26:$F$28,TRUE)&gt;1,", ",""))</f>
        <v xml:space="preserve"> e </v>
      </c>
    </row>
    <row r="26" spans="1:14" s="31" customFormat="1" ht="35.200000000000003" customHeight="1" outlineLevel="1" thickTop="1" thickBot="1" x14ac:dyDescent="0.55000000000000004">
      <c r="A26" s="1"/>
      <c r="B26" s="43"/>
      <c r="C26" s="42"/>
      <c r="D26" s="43"/>
      <c r="E26" s="69" t="s">
        <v>264</v>
      </c>
      <c r="F26" s="137" t="b">
        <v>0</v>
      </c>
      <c r="G26" s="50"/>
      <c r="I26" s="185"/>
      <c r="J26" s="185"/>
      <c r="K26" s="185"/>
      <c r="N26" s="149" t="str">
        <f>+IF(
COUNTIF(F27:$F$28,TRUE)=1," e ",
IF(
COUNTIF(F27:$F$28,TRUE)&gt;1,", ",""))</f>
        <v xml:space="preserve"> e </v>
      </c>
    </row>
    <row r="27" spans="1:14" s="31" customFormat="1" ht="35.200000000000003" customHeight="1" outlineLevel="1" thickTop="1" thickBot="1" x14ac:dyDescent="0.55000000000000004">
      <c r="A27" s="1"/>
      <c r="B27" s="43"/>
      <c r="C27" s="42"/>
      <c r="D27" s="43"/>
      <c r="E27" s="69" t="s">
        <v>265</v>
      </c>
      <c r="F27" s="137" t="b">
        <v>0</v>
      </c>
      <c r="G27" s="50"/>
      <c r="I27" s="185"/>
      <c r="J27" s="185"/>
      <c r="K27" s="185"/>
      <c r="N27" s="149" t="str">
        <f>+IF(
COUNTIF(F28:$F$28,TRUE)=1," e ",
IF(
COUNTIF(F28:$F$28,TRUE)&gt;1,", ",""))</f>
        <v xml:space="preserve"> e </v>
      </c>
    </row>
    <row r="28" spans="1:14" s="31" customFormat="1" ht="35.200000000000003" customHeight="1" outlineLevel="1" thickTop="1" thickBot="1" x14ac:dyDescent="0.55000000000000004">
      <c r="A28" s="1"/>
      <c r="B28" s="1"/>
      <c r="C28" s="191" t="s">
        <v>266</v>
      </c>
      <c r="D28" s="191"/>
      <c r="E28" s="154" t="s">
        <v>277</v>
      </c>
      <c r="F28" s="143" t="b">
        <f>+IF(E28&gt;"",TRUE,FALSE)</f>
        <v>1</v>
      </c>
      <c r="G28" s="50"/>
      <c r="I28" s="185"/>
      <c r="J28" s="185"/>
      <c r="K28" s="185"/>
      <c r="N28" s="149"/>
    </row>
    <row r="29" spans="1:14" s="31" customFormat="1" ht="35.200000000000003" customHeight="1" thickTop="1" thickBot="1" x14ac:dyDescent="0.55000000000000004">
      <c r="A29" s="1"/>
      <c r="B29" s="43"/>
      <c r="C29" s="42"/>
      <c r="D29" s="43"/>
      <c r="E29" s="72" t="s">
        <v>296</v>
      </c>
      <c r="F29" s="137" t="b">
        <f>+COUNTIF(F30:F37,TRUE)&gt;0</f>
        <v>1</v>
      </c>
      <c r="G29" s="50"/>
      <c r="I29" s="185" t="str" cm="1">
        <f t="array" ref="I29">+IF(F29,E29&amp;" sono state rilevate "&amp;
IF(F30,E30&amp;N30,"")&amp;
IF(F31,E31&amp;N31,"")&amp;
IF(F32,E32&amp;N32,"")&amp;
IF(F33,E33&amp;N33,"")&amp;
IF(F34,E34&amp;N34,"")&amp;
IF(F35,E35&amp;N35,"")&amp;
IF(F36,E36&amp;N36,"")&amp;
IF(F37,E37&amp;N37,"")&amp;
pu&amp;AC,"")</f>
        <v xml:space="preserve">Nei rapporti con le banche sono state rilevate aumento anomalo dei crediti impagati e altro (specificare). 
</v>
      </c>
      <c r="J29" s="185"/>
      <c r="K29" s="185"/>
      <c r="N29" s="149"/>
    </row>
    <row r="30" spans="1:14" s="31" customFormat="1" ht="35.200000000000003" customHeight="1" outlineLevel="1" thickTop="1" thickBot="1" x14ac:dyDescent="0.55000000000000004">
      <c r="A30" s="1"/>
      <c r="B30" s="43"/>
      <c r="C30" s="42"/>
      <c r="D30" s="43"/>
      <c r="E30" s="69" t="s">
        <v>267</v>
      </c>
      <c r="F30" s="137" t="b">
        <v>0</v>
      </c>
      <c r="G30" s="50"/>
      <c r="I30" s="185"/>
      <c r="J30" s="185"/>
      <c r="K30" s="185"/>
      <c r="N30" s="149" t="str">
        <f>+IF(
COUNTIF(F31:$F$37,TRUE)=1," e ",
IF(
COUNTIF(F31:$F$37,TRUE)&gt;1,", ",""))</f>
        <v xml:space="preserve">, </v>
      </c>
    </row>
    <row r="31" spans="1:14" s="31" customFormat="1" ht="35.200000000000003" customHeight="1" outlineLevel="1" thickTop="1" thickBot="1" x14ac:dyDescent="0.55000000000000004">
      <c r="A31" s="1"/>
      <c r="B31" s="43"/>
      <c r="C31" s="42"/>
      <c r="D31" s="43"/>
      <c r="E31" s="69" t="s">
        <v>268</v>
      </c>
      <c r="F31" s="137" t="b">
        <v>0</v>
      </c>
      <c r="G31" s="50"/>
      <c r="I31" s="185"/>
      <c r="J31" s="185"/>
      <c r="K31" s="185"/>
      <c r="N31" s="149" t="str">
        <f>+IF(
COUNTIF(F32:$F$37,TRUE)=1," e ",
IF(
COUNTIF(F32:$F$37,TRUE)&gt;1,", ",""))</f>
        <v xml:space="preserve">, </v>
      </c>
    </row>
    <row r="32" spans="1:14" s="31" customFormat="1" ht="35.200000000000003" customHeight="1" outlineLevel="1" thickTop="1" thickBot="1" x14ac:dyDescent="0.55000000000000004">
      <c r="A32" s="1"/>
      <c r="B32" s="43"/>
      <c r="C32" s="42"/>
      <c r="D32" s="43"/>
      <c r="E32" s="69" t="s">
        <v>269</v>
      </c>
      <c r="F32" s="137" t="b">
        <v>0</v>
      </c>
      <c r="G32" s="50"/>
      <c r="I32" s="185"/>
      <c r="J32" s="185"/>
      <c r="K32" s="185"/>
      <c r="N32" s="149" t="str">
        <f>+IF(
COUNTIF(F33:$F$37,TRUE)=1," e ",
IF(
COUNTIF(F33:$F$37,TRUE)&gt;1,", ",""))</f>
        <v xml:space="preserve">, </v>
      </c>
    </row>
    <row r="33" spans="1:14" s="31" customFormat="1" ht="35.200000000000003" customHeight="1" outlineLevel="1" thickTop="1" thickBot="1" x14ac:dyDescent="0.55000000000000004">
      <c r="A33" s="1"/>
      <c r="B33" s="43"/>
      <c r="C33" s="48"/>
      <c r="D33" s="43"/>
      <c r="E33" s="69" t="s">
        <v>270</v>
      </c>
      <c r="F33" s="137" t="b">
        <v>0</v>
      </c>
      <c r="G33" s="50"/>
      <c r="I33" s="185"/>
      <c r="J33" s="185"/>
      <c r="K33" s="185"/>
      <c r="N33" s="149" t="str">
        <f>+IF(
COUNTIF(F34:$F$37,TRUE)=1," e ",
IF(
COUNTIF(F34:$F$37,TRUE)&gt;1,", ",""))</f>
        <v xml:space="preserve">, </v>
      </c>
    </row>
    <row r="34" spans="1:14" s="31" customFormat="1" ht="35.200000000000003" customHeight="1" outlineLevel="1" thickTop="1" thickBot="1" x14ac:dyDescent="0.55000000000000004">
      <c r="A34" s="1"/>
      <c r="B34" s="43"/>
      <c r="C34" s="48"/>
      <c r="D34" s="43"/>
      <c r="E34" s="69" t="s">
        <v>271</v>
      </c>
      <c r="F34" s="137" t="b">
        <v>0</v>
      </c>
      <c r="G34" s="50"/>
      <c r="I34" s="185"/>
      <c r="J34" s="185"/>
      <c r="K34" s="185"/>
      <c r="N34" s="149" t="str">
        <f>+IF(
COUNTIF(F35:$F$37,TRUE)=1," e ",
IF(
COUNTIF(F35:$F$37,TRUE)&gt;1,", ",""))</f>
        <v xml:space="preserve">, </v>
      </c>
    </row>
    <row r="35" spans="1:14" s="31" customFormat="1" ht="35.200000000000003" customHeight="1" outlineLevel="1" thickTop="1" thickBot="1" x14ac:dyDescent="0.55000000000000004">
      <c r="A35" s="1"/>
      <c r="B35" s="43"/>
      <c r="C35" s="48"/>
      <c r="D35" s="43"/>
      <c r="E35" s="69" t="s">
        <v>272</v>
      </c>
      <c r="F35" s="137" t="b">
        <v>0</v>
      </c>
      <c r="G35" s="50"/>
      <c r="I35" s="185"/>
      <c r="J35" s="185"/>
      <c r="K35" s="185"/>
      <c r="N35" s="149" t="str">
        <f>+IF(
COUNTIF(F36:$F$37,TRUE)=1," e ",
IF(
COUNTIF(F36:$F$37,TRUE)&gt;1,", ",""))</f>
        <v xml:space="preserve">, </v>
      </c>
    </row>
    <row r="36" spans="1:14" s="31" customFormat="1" ht="35.200000000000003" customHeight="1" outlineLevel="1" thickTop="1" thickBot="1" x14ac:dyDescent="0.55000000000000004">
      <c r="A36" s="1"/>
      <c r="B36" s="43"/>
      <c r="C36" s="48"/>
      <c r="D36" s="43"/>
      <c r="E36" s="69" t="s">
        <v>273</v>
      </c>
      <c r="F36" s="137" t="b">
        <v>1</v>
      </c>
      <c r="G36" s="50"/>
      <c r="I36" s="185"/>
      <c r="J36" s="185"/>
      <c r="K36" s="185"/>
      <c r="N36" s="149" t="str">
        <f>+IF(
COUNTIF(F37:$F$37,TRUE)=1," e ",
IF(
COUNTIF(F37:$F$37,TRUE)&gt;1,", ",""))</f>
        <v xml:space="preserve"> e </v>
      </c>
    </row>
    <row r="37" spans="1:14" s="31" customFormat="1" ht="35.200000000000003" customHeight="1" outlineLevel="1" thickTop="1" thickBot="1" x14ac:dyDescent="0.55000000000000004">
      <c r="A37" s="1"/>
      <c r="B37" s="1"/>
      <c r="C37" s="191" t="s">
        <v>266</v>
      </c>
      <c r="D37" s="191"/>
      <c r="E37" s="154" t="s">
        <v>277</v>
      </c>
      <c r="F37" s="143" t="b">
        <f>+IF(E37&gt;"",TRUE,FALSE)</f>
        <v>1</v>
      </c>
      <c r="G37" s="50"/>
      <c r="I37" s="149"/>
      <c r="J37" s="149"/>
      <c r="K37" s="149"/>
      <c r="N37" s="149"/>
    </row>
    <row r="38" spans="1:14" s="31" customFormat="1" ht="35.200000000000003" customHeight="1" thickTop="1" thickBot="1" x14ac:dyDescent="0.55000000000000004">
      <c r="A38" s="1"/>
      <c r="B38" s="43"/>
      <c r="C38" s="48"/>
      <c r="D38" s="43"/>
      <c r="E38" s="72" t="s">
        <v>274</v>
      </c>
      <c r="F38" s="137" t="b">
        <f>+COUNTIF(F39:F43,TRUE)&gt;0</f>
        <v>1</v>
      </c>
      <c r="G38" s="50"/>
      <c r="I38" s="185" t="str" cm="1">
        <f t="array" ref="I38">+IF(F38,E38&amp;
IF(F39,E39&amp;N39,"")&amp;
IF(F40,E40&amp;N40,"")&amp;
IF(F41,E41&amp;N41,"")&amp;
IF(F42,E42&amp;N42,"")&amp;
IF(F43,E43&amp;N43,"")&amp;
pu&amp;AC,"")</f>
        <v xml:space="preserve">Da un punto di vista gestionale si segnala la perdita di clienti o commesse importanti, comparsa di concorrenti ostili e/o nuovi entranti che rischiano di ridurre ulteriormente le quote di mercato e altro (specificare). 
</v>
      </c>
      <c r="J38" s="185"/>
      <c r="K38" s="185"/>
      <c r="N38" s="149"/>
    </row>
    <row r="39" spans="1:14" s="31" customFormat="1" ht="35.200000000000003" customHeight="1" outlineLevel="1" thickTop="1" thickBot="1" x14ac:dyDescent="0.55000000000000004">
      <c r="A39" s="1"/>
      <c r="B39" s="43"/>
      <c r="C39" s="48"/>
      <c r="D39" s="43"/>
      <c r="E39" s="69" t="s">
        <v>275</v>
      </c>
      <c r="F39" s="137" t="b">
        <v>0</v>
      </c>
      <c r="G39" s="50"/>
      <c r="I39" s="185"/>
      <c r="J39" s="185"/>
      <c r="K39" s="185"/>
      <c r="N39" s="149" t="str">
        <f>+IF(
COUNTIF(F40:$F$43,TRUE)=1," e ",
IF(
COUNTIF(F40:$F$43,TRUE)&gt;1,", ",""))</f>
        <v xml:space="preserve">, </v>
      </c>
    </row>
    <row r="40" spans="1:14" s="31" customFormat="1" ht="35.200000000000003" customHeight="1" outlineLevel="1" thickTop="1" thickBot="1" x14ac:dyDescent="0.55000000000000004">
      <c r="A40" s="1"/>
      <c r="B40" s="43"/>
      <c r="C40" s="48"/>
      <c r="D40" s="43"/>
      <c r="E40" s="69" t="s">
        <v>276</v>
      </c>
      <c r="F40" s="137" t="b">
        <v>1</v>
      </c>
      <c r="G40" s="50"/>
      <c r="I40" s="185"/>
      <c r="J40" s="185"/>
      <c r="K40" s="185"/>
      <c r="N40" s="149" t="str">
        <f>+IF(
COUNTIF(F41:$F$43,TRUE)=1," e ",
IF(
COUNTIF(F41:$F$43,TRUE)&gt;1,", ",""))</f>
        <v xml:space="preserve">, </v>
      </c>
    </row>
    <row r="41" spans="1:14" s="31" customFormat="1" ht="35.200000000000003" customHeight="1" outlineLevel="1" thickTop="1" thickBot="1" x14ac:dyDescent="0.55000000000000004">
      <c r="A41" s="1"/>
      <c r="B41" s="43"/>
      <c r="C41" s="48"/>
      <c r="D41" s="43"/>
      <c r="E41" s="69" t="s">
        <v>297</v>
      </c>
      <c r="F41" s="137" t="b">
        <v>0</v>
      </c>
      <c r="G41" s="50"/>
      <c r="I41" s="185"/>
      <c r="J41" s="185"/>
      <c r="K41" s="185"/>
      <c r="N41" s="149" t="str">
        <f>+IF(
COUNTIF(F43:$F$43,TRUE)=1," e ",
IF(
COUNTIF(F43:$F$43,TRUE)&gt;1,", ",""))</f>
        <v xml:space="preserve"> e </v>
      </c>
    </row>
    <row r="42" spans="1:14" s="31" customFormat="1" ht="35.200000000000003" customHeight="1" outlineLevel="1" thickTop="1" thickBot="1" x14ac:dyDescent="0.55000000000000004">
      <c r="A42" s="1"/>
      <c r="B42" s="43"/>
      <c r="C42" s="48"/>
      <c r="D42" s="43"/>
      <c r="E42" s="69" t="s">
        <v>298</v>
      </c>
      <c r="F42" s="137" t="b">
        <v>1</v>
      </c>
      <c r="G42" s="50"/>
      <c r="I42" s="185"/>
      <c r="J42" s="185"/>
      <c r="K42" s="185"/>
      <c r="N42" s="149" t="str">
        <f>+IF(
COUNTIF(F$43:$F43,TRUE)=1," e ",
IF(
COUNTIF(F$43:$F43,TRUE)&gt;1,", ",""))</f>
        <v xml:space="preserve"> e </v>
      </c>
    </row>
    <row r="43" spans="1:14" s="31" customFormat="1" ht="35.200000000000003" customHeight="1" outlineLevel="1" thickTop="1" thickBot="1" x14ac:dyDescent="0.55000000000000004">
      <c r="A43" s="1"/>
      <c r="B43" s="1"/>
      <c r="C43" s="191" t="s">
        <v>278</v>
      </c>
      <c r="D43" s="191"/>
      <c r="E43" s="154" t="s">
        <v>277</v>
      </c>
      <c r="F43" s="143" t="b">
        <f>+IF(E43&gt;"",TRUE,FALSE)</f>
        <v>1</v>
      </c>
      <c r="G43" s="50"/>
      <c r="I43" s="185"/>
      <c r="J43" s="185"/>
      <c r="K43" s="185"/>
      <c r="N43" s="149"/>
    </row>
    <row r="44" spans="1:14" s="31" customFormat="1" ht="35.200000000000003" customHeight="1" thickTop="1" thickBot="1" x14ac:dyDescent="0.55000000000000004">
      <c r="A44" s="1"/>
      <c r="B44" s="43"/>
      <c r="C44" s="48"/>
      <c r="D44" s="73"/>
      <c r="E44" s="69" t="s">
        <v>300</v>
      </c>
      <c r="F44" s="137" t="b">
        <f>+COUNTIF(F45:F53,TRUE)&gt;0</f>
        <v>1</v>
      </c>
      <c r="G44" s="50"/>
      <c r="I44" s="185" t="str" cm="1">
        <f t="array" ref="I44">+IF(F44,E44&amp;
IF(F45,E45&amp;N45,"")&amp;
IF(F46,E46&amp;N46,"")&amp;
IF(F47,E47&amp;N47,"")&amp;
IF(F48,E48&amp;N48,"")&amp;
IF(F49,E49&amp;N49,"")&amp;
IF(F50,E50&amp;N50,"")&amp;
IF(F51,E51&amp;N51,"")&amp;
IF(F52,E52&amp;N52,"")&amp;
IF(F53,E53&amp;N53,"")&amp;
pu&amp;AC,"")</f>
        <v xml:space="preserve">La situazione di difficoltà descritta ha causato un debito da ristrutturare (per mancati pagamenti e/o richieste di rientro) per fornitori di beni e servizi indispensabili e altro (specificare). 
</v>
      </c>
      <c r="J44" s="185"/>
      <c r="K44" s="185"/>
      <c r="N44" s="149"/>
    </row>
    <row r="45" spans="1:14" s="31" customFormat="1" ht="35.200000000000003" customHeight="1" outlineLevel="1" thickTop="1" thickBot="1" x14ac:dyDescent="0.55000000000000004">
      <c r="A45" s="1"/>
      <c r="B45" s="43"/>
      <c r="C45" s="48"/>
      <c r="D45" s="43"/>
      <c r="E45" s="69" t="s">
        <v>294</v>
      </c>
      <c r="F45" s="137" t="b">
        <v>0</v>
      </c>
      <c r="G45" s="50"/>
      <c r="I45" s="185"/>
      <c r="J45" s="185"/>
      <c r="K45" s="185"/>
      <c r="N45" s="149" t="str">
        <f>+IF(
COUNTIF(F46:$F$53,TRUE)=1," e ",
IF(
COUNTIF(F46:$F$53,TRUE)&gt;1,", ",""))</f>
        <v xml:space="preserve">, </v>
      </c>
    </row>
    <row r="46" spans="1:14" s="31" customFormat="1" ht="35.200000000000003" customHeight="1" outlineLevel="1" thickTop="1" thickBot="1" x14ac:dyDescent="0.55000000000000004">
      <c r="A46" s="1"/>
      <c r="B46" s="43"/>
      <c r="C46" s="48"/>
      <c r="D46" s="43"/>
      <c r="E46" s="69" t="s">
        <v>280</v>
      </c>
      <c r="F46" s="137" t="b">
        <v>1</v>
      </c>
      <c r="G46" s="50"/>
      <c r="I46" s="185"/>
      <c r="J46" s="185"/>
      <c r="K46" s="185"/>
      <c r="N46" s="149" t="str">
        <f>+IF(
COUNTIF(F47:$F$53,TRUE)=1," e ",
IF(
COUNTIF(F47:$F$53,TRUE)&gt;1,", ",""))</f>
        <v xml:space="preserve"> e </v>
      </c>
    </row>
    <row r="47" spans="1:14" s="31" customFormat="1" ht="35.200000000000003" customHeight="1" outlineLevel="1" thickTop="1" thickBot="1" x14ac:dyDescent="0.55000000000000004">
      <c r="A47" s="1"/>
      <c r="B47" s="43"/>
      <c r="C47" s="48"/>
      <c r="D47" s="43"/>
      <c r="E47" s="69" t="s">
        <v>281</v>
      </c>
      <c r="F47" s="137" t="b">
        <v>0</v>
      </c>
      <c r="G47" s="50"/>
      <c r="I47" s="185"/>
      <c r="J47" s="185"/>
      <c r="K47" s="185"/>
      <c r="N47" s="149" t="str">
        <f>+IF(
COUNTIF(F48:$F$53,TRUE)=1," e ",
IF(
COUNTIF(F48:$F$53,TRUE)&gt;1,", ",""))</f>
        <v xml:space="preserve"> e </v>
      </c>
    </row>
    <row r="48" spans="1:14" s="31" customFormat="1" ht="35.200000000000003" customHeight="1" outlineLevel="1" thickTop="1" thickBot="1" x14ac:dyDescent="0.55000000000000004">
      <c r="A48" s="1"/>
      <c r="B48" s="43"/>
      <c r="C48" s="48"/>
      <c r="D48" s="43"/>
      <c r="E48" s="69" t="s">
        <v>282</v>
      </c>
      <c r="F48" s="137" t="b">
        <v>0</v>
      </c>
      <c r="G48" s="50"/>
      <c r="I48" s="185"/>
      <c r="J48" s="185"/>
      <c r="K48" s="185"/>
      <c r="N48" s="149" t="str">
        <f>+IF(
COUNTIF(F49:$F$53,TRUE)=1," e ",
IF(
COUNTIF(F49:$F$53,TRUE)&gt;1,", ",""))</f>
        <v xml:space="preserve"> e </v>
      </c>
    </row>
    <row r="49" spans="1:14" s="31" customFormat="1" ht="35.200000000000003" customHeight="1" outlineLevel="1" thickTop="1" thickBot="1" x14ac:dyDescent="0.55000000000000004">
      <c r="A49" s="1"/>
      <c r="B49" s="43"/>
      <c r="C49" s="48"/>
      <c r="D49" s="43"/>
      <c r="E49" s="69" t="s">
        <v>283</v>
      </c>
      <c r="F49" s="137" t="b">
        <v>0</v>
      </c>
      <c r="G49" s="50"/>
      <c r="I49" s="185"/>
      <c r="J49" s="185"/>
      <c r="K49" s="185"/>
      <c r="N49" s="149" t="str">
        <f>+IF(
COUNTIF(F50:$F$53,TRUE)=1," e ",
IF(
COUNTIF(F50:$F$53,TRUE)&gt;1,", ",""))</f>
        <v xml:space="preserve"> e </v>
      </c>
    </row>
    <row r="50" spans="1:14" s="31" customFormat="1" ht="35.200000000000003" customHeight="1" outlineLevel="1" thickTop="1" thickBot="1" x14ac:dyDescent="0.55000000000000004">
      <c r="A50" s="1"/>
      <c r="B50" s="43"/>
      <c r="C50" s="48"/>
      <c r="D50" s="43"/>
      <c r="E50" s="69" t="s">
        <v>284</v>
      </c>
      <c r="F50" s="137" t="b">
        <v>0</v>
      </c>
      <c r="G50" s="50"/>
      <c r="I50" s="150"/>
      <c r="J50" s="149"/>
      <c r="K50" s="149"/>
      <c r="N50" s="149" t="str">
        <f>+IF(
COUNTIF(F51:$F$53,TRUE)=1," e ",
IF(
COUNTIF(F51:$F$53,TRUE)&gt;1,", ",""))</f>
        <v xml:space="preserve"> e </v>
      </c>
    </row>
    <row r="51" spans="1:14" s="31" customFormat="1" ht="35.200000000000003" customHeight="1" outlineLevel="1" thickTop="1" thickBot="1" x14ac:dyDescent="0.55000000000000004">
      <c r="A51" s="1"/>
      <c r="B51" s="43"/>
      <c r="C51" s="48"/>
      <c r="D51" s="43"/>
      <c r="E51" s="69" t="s">
        <v>285</v>
      </c>
      <c r="F51" s="137" t="b">
        <v>0</v>
      </c>
      <c r="G51" s="50"/>
      <c r="I51" s="150"/>
      <c r="J51" s="149"/>
      <c r="K51" s="149"/>
      <c r="N51" s="149" t="str">
        <f>+IF(
COUNTIF(F52:$F$53,TRUE)=1," e ",
IF(
COUNTIF(F52:$F$53,TRUE)&gt;1,", ",""))</f>
        <v xml:space="preserve"> e </v>
      </c>
    </row>
    <row r="52" spans="1:14" s="31" customFormat="1" ht="35.200000000000003" customHeight="1" outlineLevel="1" thickTop="1" thickBot="1" x14ac:dyDescent="0.55000000000000004">
      <c r="A52" s="1"/>
      <c r="B52" s="43"/>
      <c r="C52" s="48"/>
      <c r="D52" s="43"/>
      <c r="E52" s="69" t="s">
        <v>286</v>
      </c>
      <c r="F52" s="137" t="b">
        <v>0</v>
      </c>
      <c r="G52" s="50"/>
      <c r="I52" s="150"/>
      <c r="J52" s="149"/>
      <c r="K52" s="149"/>
      <c r="N52" s="149" t="str">
        <f>+IF(
COUNTIF(F53:$F$53,TRUE)=1," e ",
IF(
COUNTIF(F53:$F$53,TRUE)&gt;1,", ",""))</f>
        <v xml:space="preserve"> e </v>
      </c>
    </row>
    <row r="53" spans="1:14" s="31" customFormat="1" ht="35.200000000000003" customHeight="1" outlineLevel="1" thickTop="1" thickBot="1" x14ac:dyDescent="0.55000000000000004">
      <c r="A53" s="1"/>
      <c r="B53" s="1"/>
      <c r="C53" s="191" t="s">
        <v>279</v>
      </c>
      <c r="D53" s="191"/>
      <c r="E53" s="154" t="s">
        <v>277</v>
      </c>
      <c r="F53" s="143" t="b">
        <f>+IF(E53&gt;"",TRUE,FALSE)</f>
        <v>1</v>
      </c>
      <c r="G53" s="50"/>
      <c r="I53" s="150"/>
      <c r="J53" s="149"/>
      <c r="K53" s="149"/>
      <c r="N53" s="149"/>
    </row>
    <row r="54" spans="1:14" s="31" customFormat="1" ht="35.200000000000003" customHeight="1" thickTop="1" thickBot="1" x14ac:dyDescent="0.55000000000000004">
      <c r="A54" s="1"/>
      <c r="B54" s="43"/>
      <c r="C54" s="48"/>
      <c r="D54" s="43"/>
      <c r="E54" s="72" t="s">
        <v>287</v>
      </c>
      <c r="F54" s="137" t="b">
        <f>+COUNTIF(F55:F61,TRUE)&gt;0</f>
        <v>1</v>
      </c>
      <c r="G54" s="50"/>
      <c r="I54" s="185" t="str" cm="1">
        <f t="array" ref="I54">+IF(F54,E54&amp;
IF(F55,E55&amp;N55,"")&amp;
IF(F56,E56&amp;N56,"")&amp;
IF(F57,E57&amp;N57,"")&amp;
IF(F58,E58&amp;N58,"")&amp;
IF(F59,E59&amp;N59,"")&amp;
IF(F60,E60&amp;N60,"")&amp;
IF(F61,E61&amp;N61,"")&amp;
pu&amp;AC,"")</f>
        <v xml:space="preserve">Sul lato delle iniziative dei creditori si segnalano decreti ingiuntivi ricevuti ed atti di ricognitivi di avvio di azioni per il recupero dei crediti e altro (specificare). 
</v>
      </c>
      <c r="J54" s="185"/>
      <c r="K54" s="185"/>
      <c r="N54" s="149"/>
    </row>
    <row r="55" spans="1:14" s="31" customFormat="1" ht="35.200000000000003" customHeight="1" outlineLevel="1" thickTop="1" thickBot="1" x14ac:dyDescent="0.55000000000000004">
      <c r="A55" s="1"/>
      <c r="B55" s="43"/>
      <c r="C55" s="48"/>
      <c r="D55" s="43"/>
      <c r="E55" s="69" t="s">
        <v>299</v>
      </c>
      <c r="F55" s="137" t="b">
        <v>0</v>
      </c>
      <c r="G55" s="50"/>
      <c r="I55" s="185"/>
      <c r="J55" s="185"/>
      <c r="K55" s="185"/>
      <c r="N55" s="149" t="str">
        <f>+IF(
COUNTIF(F56:$F$61,TRUE)=1," e ",
IF(
COUNTIF(F56:$F$61,TRUE)&gt;1,", ",""))</f>
        <v xml:space="preserve">, </v>
      </c>
    </row>
    <row r="56" spans="1:14" s="31" customFormat="1" ht="35.200000000000003" customHeight="1" outlineLevel="1" thickTop="1" thickBot="1" x14ac:dyDescent="0.55000000000000004">
      <c r="A56" s="1"/>
      <c r="B56" s="43"/>
      <c r="C56" s="48"/>
      <c r="D56" s="43"/>
      <c r="E56" s="69" t="s">
        <v>288</v>
      </c>
      <c r="F56" s="137" t="b">
        <v>1</v>
      </c>
      <c r="G56" s="50"/>
      <c r="I56" s="185"/>
      <c r="J56" s="185"/>
      <c r="K56" s="185"/>
      <c r="N56" s="149" t="str">
        <f>+IF(
COUNTIF(F57:$F$61,TRUE)=1," e ",
IF(
COUNTIF(F57:$F$61,TRUE)&gt;1,", ",""))</f>
        <v xml:space="preserve"> e </v>
      </c>
    </row>
    <row r="57" spans="1:14" s="31" customFormat="1" ht="35.200000000000003" customHeight="1" outlineLevel="1" thickTop="1" thickBot="1" x14ac:dyDescent="0.55000000000000004">
      <c r="A57" s="1"/>
      <c r="B57" s="43"/>
      <c r="C57" s="48"/>
      <c r="D57" s="43"/>
      <c r="E57" s="69" t="s">
        <v>289</v>
      </c>
      <c r="F57" s="137" t="b">
        <v>0</v>
      </c>
      <c r="G57" s="50"/>
      <c r="I57" s="185"/>
      <c r="J57" s="185"/>
      <c r="K57" s="185"/>
      <c r="N57" s="149" t="str">
        <f>+IF(
COUNTIF(F58:$F$61,TRUE)=1," e ",
IF(
COUNTIF(F58:$F$61,TRUE)&gt;1,", ",""))</f>
        <v xml:space="preserve"> e </v>
      </c>
    </row>
    <row r="58" spans="1:14" s="31" customFormat="1" ht="35.200000000000003" customHeight="1" outlineLevel="1" thickTop="1" thickBot="1" x14ac:dyDescent="0.55000000000000004">
      <c r="A58" s="1"/>
      <c r="B58" s="43"/>
      <c r="C58" s="48"/>
      <c r="D58" s="43"/>
      <c r="E58" s="69" t="s">
        <v>290</v>
      </c>
      <c r="F58" s="137" t="b">
        <v>0</v>
      </c>
      <c r="G58" s="50"/>
      <c r="I58" s="185"/>
      <c r="J58" s="185"/>
      <c r="K58" s="185"/>
      <c r="N58" s="149" t="str">
        <f>+IF(
COUNTIF(F59:$F$61,TRUE)=1," e ",
IF(
COUNTIF(F59:$F$61,TRUE)&gt;1,", ",""))</f>
        <v xml:space="preserve"> e </v>
      </c>
    </row>
    <row r="59" spans="1:14" s="31" customFormat="1" ht="35.200000000000003" customHeight="1" outlineLevel="1" thickTop="1" thickBot="1" x14ac:dyDescent="0.55000000000000004">
      <c r="A59" s="1"/>
      <c r="B59" s="43"/>
      <c r="C59" s="48"/>
      <c r="D59" s="43"/>
      <c r="E59" s="69" t="s">
        <v>291</v>
      </c>
      <c r="F59" s="137" t="b">
        <v>0</v>
      </c>
      <c r="G59" s="50"/>
      <c r="I59" s="185"/>
      <c r="J59" s="185"/>
      <c r="K59" s="185"/>
      <c r="N59" s="149" t="str">
        <f>+IF(
COUNTIF(F60:$F$61,TRUE)=1," e ",
IF(
COUNTIF(F60:$F$61,TRUE)&gt;1,", ",""))</f>
        <v xml:space="preserve"> e </v>
      </c>
    </row>
    <row r="60" spans="1:14" s="31" customFormat="1" ht="35.200000000000003" customHeight="1" outlineLevel="1" thickTop="1" thickBot="1" x14ac:dyDescent="0.55000000000000004">
      <c r="A60" s="1"/>
      <c r="B60" s="43"/>
      <c r="C60" s="48"/>
      <c r="D60" s="43"/>
      <c r="E60" s="69" t="s">
        <v>292</v>
      </c>
      <c r="F60" s="137" t="b">
        <v>0</v>
      </c>
      <c r="G60" s="50"/>
      <c r="I60" s="150"/>
      <c r="J60" s="149"/>
      <c r="K60" s="149"/>
      <c r="N60" s="149" t="str">
        <f>+IF(
COUNTIF(F61:$F$61,TRUE)=1," e ",
IF(
COUNTIF(F61:$F$61,TRUE)&gt;1,", ",""))</f>
        <v xml:space="preserve"> e </v>
      </c>
    </row>
    <row r="61" spans="1:14" s="31" customFormat="1" ht="35.200000000000003" customHeight="1" outlineLevel="1" thickTop="1" thickBot="1" x14ac:dyDescent="0.55000000000000004">
      <c r="A61" s="1"/>
      <c r="B61" s="1"/>
      <c r="C61" s="191" t="s">
        <v>295</v>
      </c>
      <c r="D61" s="191"/>
      <c r="E61" s="154" t="s">
        <v>277</v>
      </c>
      <c r="F61" s="143" t="b">
        <f>+IF(E61&gt;"",TRUE,FALSE)</f>
        <v>1</v>
      </c>
      <c r="G61" s="50"/>
      <c r="I61" s="150"/>
      <c r="J61" s="149"/>
      <c r="K61" s="149"/>
      <c r="N61" s="149"/>
    </row>
    <row r="62" spans="1:14" s="31" customFormat="1" ht="35.200000000000003" customHeight="1" thickTop="1" thickBot="1" x14ac:dyDescent="0.55000000000000004">
      <c r="A62" s="1"/>
      <c r="B62" s="42" t="s">
        <v>115</v>
      </c>
      <c r="C62" s="1"/>
      <c r="D62" s="43"/>
      <c r="E62" s="66" t="s">
        <v>82</v>
      </c>
      <c r="F62" s="137" t="b">
        <f>+COUNTIF(F63:F68,TRUE)&gt;0</f>
        <v>1</v>
      </c>
      <c r="G62" s="50"/>
      <c r="I62" s="185" t="str" cm="1">
        <f t="array" ref="I62">+IF(F62,"Tenuto conto delle manifestazioni, le cause sono:"&amp;s&amp;
IF(F63,E63&amp;N63,"")&amp;
IF(F64,E64&amp;N64,"")&amp;
IF(F65,E65&amp;N65,"")&amp;
IF(F66,E66&amp;N66,"")&amp;
IF(F67,E67&amp;N67,"")&amp;
IF(F69,CONCATENATE(AC,E69&amp;N69,IF(F70,E70&amp;N70,"")),""),"")</f>
        <v>Tenuto conto delle manifestazioni, le cause sono: riduzione della redditività, riduzione della competività sul mercato e aumento dei costi operativi non trasferibile sui prezzi di vendita.</v>
      </c>
      <c r="J62" s="185"/>
      <c r="K62" s="185"/>
      <c r="N62" s="149"/>
    </row>
    <row r="63" spans="1:14" s="31" customFormat="1" ht="35.200000000000003" customHeight="1" thickTop="1" thickBot="1" x14ac:dyDescent="0.55000000000000004">
      <c r="A63" s="1"/>
      <c r="B63" s="48"/>
      <c r="C63" s="42"/>
      <c r="D63" s="43"/>
      <c r="E63" s="69" t="s">
        <v>355</v>
      </c>
      <c r="F63" s="137" t="b">
        <v>1</v>
      </c>
      <c r="G63" s="50"/>
      <c r="I63" s="185"/>
      <c r="J63" s="185"/>
      <c r="K63" s="185"/>
      <c r="N63" s="149" t="str">
        <f>+IF(
COUNTIF(F64:$F$68,TRUE)=1," e ",
IF(
COUNTIF(F64:$F$68,TRUE)&gt;1,", ","."))</f>
        <v xml:space="preserve">, </v>
      </c>
    </row>
    <row r="64" spans="1:14" s="31" customFormat="1" ht="35.200000000000003" customHeight="1" thickTop="1" thickBot="1" x14ac:dyDescent="0.55000000000000004">
      <c r="A64" s="1"/>
      <c r="B64" s="48"/>
      <c r="C64" s="42"/>
      <c r="D64" s="43"/>
      <c r="E64" s="69" t="s">
        <v>356</v>
      </c>
      <c r="F64" s="137" t="b">
        <v>0</v>
      </c>
      <c r="G64" s="50"/>
      <c r="I64" s="185"/>
      <c r="J64" s="185"/>
      <c r="K64" s="185"/>
      <c r="N64" s="149" t="str">
        <f>+IF(
COUNTIF(F65:$F$68,TRUE)=1," e ",
IF(
COUNTIF(F65:$F$68,TRUE)&gt;1,", ","."))</f>
        <v xml:space="preserve">, </v>
      </c>
    </row>
    <row r="65" spans="1:14" s="31" customFormat="1" ht="35.200000000000003" customHeight="1" thickTop="1" thickBot="1" x14ac:dyDescent="0.55000000000000004">
      <c r="A65" s="1"/>
      <c r="B65" s="48"/>
      <c r="C65" s="42"/>
      <c r="D65" s="43"/>
      <c r="E65" s="69" t="s">
        <v>301</v>
      </c>
      <c r="F65" s="137" t="b">
        <v>0</v>
      </c>
      <c r="G65" s="50"/>
      <c r="I65" s="185"/>
      <c r="J65" s="185"/>
      <c r="K65" s="185"/>
      <c r="N65" s="149" t="str">
        <f>+IF(
COUNTIF(F66:$F$68,TRUE)=1," e ",
IF(
COUNTIF(F66:$F$68,TRUE)&gt;1,", ","."))</f>
        <v xml:space="preserve">, </v>
      </c>
    </row>
    <row r="66" spans="1:14" s="31" customFormat="1" ht="35.200000000000003" customHeight="1" thickTop="1" thickBot="1" x14ac:dyDescent="0.55000000000000004">
      <c r="A66" s="1"/>
      <c r="B66" s="48"/>
      <c r="C66" s="42"/>
      <c r="D66" s="43"/>
      <c r="E66" s="69" t="s">
        <v>302</v>
      </c>
      <c r="F66" s="137" t="b">
        <v>1</v>
      </c>
      <c r="G66" s="50"/>
      <c r="I66" s="185"/>
      <c r="J66" s="185"/>
      <c r="K66" s="185"/>
      <c r="N66" s="149" t="str">
        <f>+IF(
COUNTIF(F67:$F$68,TRUE)=1," e ",
IF(
COUNTIF(F67:$F$68,TRUE)&gt;1,", ","."))</f>
        <v xml:space="preserve"> e </v>
      </c>
    </row>
    <row r="67" spans="1:14" s="31" customFormat="1" ht="35.200000000000003" customHeight="1" thickTop="1" thickBot="1" x14ac:dyDescent="0.55000000000000004">
      <c r="A67" s="1"/>
      <c r="B67" s="1"/>
      <c r="C67" s="191" t="s">
        <v>303</v>
      </c>
      <c r="D67" s="191"/>
      <c r="E67" s="154" t="s">
        <v>529</v>
      </c>
      <c r="F67" s="143" t="b">
        <f>+IF(E67&gt;"",TRUE,FALSE)</f>
        <v>1</v>
      </c>
      <c r="G67" s="50"/>
      <c r="I67" s="185"/>
      <c r="J67" s="185"/>
      <c r="K67" s="185"/>
      <c r="N67" s="149" t="str">
        <f>+IF(
COUNTIF(F68:$F$68,TRUE)=1," e ",
IF(
COUNTIF(F68:$F$68,TRUE)&gt;1,", ","."))</f>
        <v>.</v>
      </c>
    </row>
    <row r="68" spans="1:14" s="31" customFormat="1" ht="35.200000000000003" customHeight="1" thickTop="1" x14ac:dyDescent="0.5">
      <c r="A68" s="1"/>
      <c r="B68" s="70"/>
      <c r="C68" s="70"/>
      <c r="D68" s="70"/>
      <c r="E68" s="70"/>
      <c r="F68" s="136"/>
      <c r="G68" s="67"/>
      <c r="I68" s="185"/>
      <c r="J68" s="185"/>
      <c r="K68" s="185"/>
      <c r="N68" s="149"/>
    </row>
    <row r="69" spans="1:14" s="31" customFormat="1" ht="35.200000000000003" customHeight="1" thickBot="1" x14ac:dyDescent="0.55000000000000004">
      <c r="A69" s="1"/>
      <c r="B69" s="42" t="s">
        <v>116</v>
      </c>
      <c r="C69" s="1"/>
      <c r="D69" s="43"/>
      <c r="E69" s="66" t="s">
        <v>484</v>
      </c>
      <c r="F69" s="129" t="b">
        <v>0</v>
      </c>
      <c r="G69" s="65"/>
      <c r="I69" s="185"/>
      <c r="J69" s="185"/>
      <c r="K69" s="185"/>
      <c r="N69" s="149" t="str">
        <f>+IF(
COUNTIF(F70:F$70,TRUE)=1," e ",
IF(
COUNTIF(F70:F$70,TRUE)&gt;1,", ",""))</f>
        <v xml:space="preserve"> e </v>
      </c>
    </row>
    <row r="70" spans="1:14" s="31" customFormat="1" ht="35.200000000000003" customHeight="1" thickTop="1" thickBot="1" x14ac:dyDescent="0.55000000000000004">
      <c r="A70" s="1"/>
      <c r="B70" s="1"/>
      <c r="C70" s="191" t="s">
        <v>293</v>
      </c>
      <c r="D70" s="191"/>
      <c r="E70" s="154" t="s">
        <v>277</v>
      </c>
      <c r="F70" s="143" t="b">
        <f>+IF(E70&gt;"",TRUE,FALSE)</f>
        <v>1</v>
      </c>
      <c r="G70" s="50"/>
      <c r="I70" s="150"/>
      <c r="J70" s="149"/>
      <c r="K70" s="149"/>
      <c r="N70" s="149"/>
    </row>
    <row r="71" spans="1:14" s="31" customFormat="1" ht="35.200000000000003" customHeight="1" thickTop="1" x14ac:dyDescent="0.5">
      <c r="A71" s="1"/>
      <c r="B71" s="70"/>
      <c r="C71" s="70"/>
      <c r="D71" s="70"/>
      <c r="E71" s="70"/>
      <c r="F71" s="138"/>
      <c r="G71" s="74"/>
      <c r="H71" s="151" t="s">
        <v>182</v>
      </c>
      <c r="I71" s="151" t="s">
        <v>183</v>
      </c>
      <c r="J71" s="151" t="s">
        <v>192</v>
      </c>
      <c r="K71" s="151" t="s">
        <v>184</v>
      </c>
      <c r="L71" s="45" t="s">
        <v>246</v>
      </c>
      <c r="M71" s="45" t="s">
        <v>172</v>
      </c>
    </row>
    <row r="72" spans="1:14" s="31" customFormat="1" ht="35.200000000000003" customHeight="1" thickBot="1" x14ac:dyDescent="0.55000000000000004">
      <c r="A72" s="1"/>
      <c r="B72" s="42" t="s">
        <v>18</v>
      </c>
      <c r="C72" s="1"/>
      <c r="D72" s="43"/>
      <c r="E72" s="66" t="s">
        <v>118</v>
      </c>
      <c r="F72" s="129" t="b">
        <v>0</v>
      </c>
      <c r="G72" s="65"/>
      <c r="H72" s="134" t="s">
        <v>395</v>
      </c>
      <c r="I72" s="134" t="s">
        <v>396</v>
      </c>
      <c r="J72" s="134" t="s">
        <v>194</v>
      </c>
      <c r="K72" s="134" t="s">
        <v>304</v>
      </c>
      <c r="L72" s="28" t="str">
        <f ca="1">+OFFSET(F72,0,IF(F72,2,3))</f>
        <v>L’organo di controllo ed il revisore, quando in carica, non ritengono che il quadro fornito dall’imprenditore sia completo e adeguato.</v>
      </c>
      <c r="M72" s="28" t="str">
        <f ca="1">+OFFSET(F72,0,IF(F72,4,5))</f>
        <v>Indicare le ragioni</v>
      </c>
    </row>
    <row r="73" spans="1:14" s="31" customFormat="1" ht="35.200000000000003" customHeight="1" thickTop="1" thickBot="1" x14ac:dyDescent="0.55000000000000004">
      <c r="A73" s="1"/>
      <c r="B73" s="42" t="s">
        <v>120</v>
      </c>
      <c r="C73" s="1"/>
      <c r="D73" s="43"/>
      <c r="E73" s="71" t="s">
        <v>250</v>
      </c>
      <c r="F73" s="129" t="b">
        <v>1</v>
      </c>
      <c r="G73" s="65"/>
      <c r="H73" s="134" t="s">
        <v>397</v>
      </c>
      <c r="I73" s="134" t="s">
        <v>504</v>
      </c>
      <c r="J73" s="134" t="s">
        <v>305</v>
      </c>
      <c r="K73" s="134" t="s">
        <v>505</v>
      </c>
      <c r="L73" s="28" t="str">
        <f ca="1">+OFFSET(F73,0,IF(F73,2,3))</f>
        <v>L'impresa ha individuato le strategie di intervento e le iniziative industriali che intende adottare.</v>
      </c>
      <c r="M73" s="28" t="str">
        <f ca="1">+OFFSET(F73,0,IF(F73,4,5))</f>
        <v>Quali strategie e quali iniziative?</v>
      </c>
    </row>
    <row r="74" spans="1:14" s="31" customFormat="1" ht="35.200000000000003" customHeight="1" thickTop="1" thickBot="1" x14ac:dyDescent="0.55000000000000004">
      <c r="A74" s="1"/>
      <c r="B74" s="42" t="s">
        <v>121</v>
      </c>
      <c r="C74" s="1"/>
      <c r="D74" s="43"/>
      <c r="E74" s="71" t="s">
        <v>307</v>
      </c>
      <c r="F74" s="129" t="b">
        <v>1</v>
      </c>
      <c r="G74" s="65"/>
      <c r="H74" s="134" t="s">
        <v>398</v>
      </c>
      <c r="I74" s="134" t="s">
        <v>399</v>
      </c>
      <c r="J74" s="134" t="s">
        <v>308</v>
      </c>
      <c r="K74" s="134" t="s">
        <v>506</v>
      </c>
      <c r="L74" s="28" t="str">
        <f ca="1">+OFFSET(F74,0,IF(F74,2,3))</f>
        <v>Esistono strategie di successo adottate dalla concorrenza.</v>
      </c>
      <c r="M74" s="28" t="str">
        <f ca="1">+OFFSET(F74,0,IF(F74,4,5))</f>
        <v>Quali strategie?</v>
      </c>
    </row>
    <row r="75" spans="1:14" s="31" customFormat="1" ht="35.200000000000003" customHeight="1" thickTop="1" thickBot="1" x14ac:dyDescent="0.55000000000000004">
      <c r="A75" s="1"/>
      <c r="B75" s="42" t="s">
        <v>123</v>
      </c>
      <c r="C75" s="1"/>
      <c r="D75" s="43"/>
      <c r="E75" s="71" t="s">
        <v>251</v>
      </c>
      <c r="F75" s="129" t="b">
        <v>1</v>
      </c>
      <c r="G75" s="65"/>
      <c r="H75" s="134" t="s">
        <v>400</v>
      </c>
      <c r="I75" s="134" t="s">
        <v>401</v>
      </c>
      <c r="J75" s="134" t="s">
        <v>507</v>
      </c>
      <c r="K75" s="134" t="s">
        <v>309</v>
      </c>
      <c r="L75" s="28" t="str">
        <f ca="1">+OFFSET(F75,0,IF(F75,2,3))</f>
        <v>Tali strategie sono adottabili dall'impresa.</v>
      </c>
      <c r="M75" s="28" t="str">
        <f ca="1">+OFFSET(F75,0,IF(F75,4,5))</f>
        <v>Indicare se l'azienda intende avvalersene o meno</v>
      </c>
    </row>
    <row r="76" spans="1:14" s="31" customFormat="1" ht="35.200000000000003" customHeight="1" thickTop="1" thickBot="1" x14ac:dyDescent="0.55000000000000004">
      <c r="A76" s="1"/>
      <c r="B76" s="42" t="s">
        <v>19</v>
      </c>
      <c r="C76" s="1"/>
      <c r="D76" s="43"/>
      <c r="E76" s="71" t="s">
        <v>70</v>
      </c>
      <c r="F76" s="129" t="b">
        <v>0</v>
      </c>
      <c r="G76" s="65"/>
      <c r="H76" s="134" t="s">
        <v>402</v>
      </c>
      <c r="I76" s="134" t="s">
        <v>403</v>
      </c>
      <c r="J76" s="134" t="s">
        <v>311</v>
      </c>
      <c r="K76" s="134" t="s">
        <v>508</v>
      </c>
      <c r="L76" s="28" t="str">
        <f ca="1">+OFFSET(F76,0,IF(F76,2,3))</f>
        <v>L’impresa non dispone delle capacità e delle competenze manageriali per realizzare le iniziative industriali.</v>
      </c>
      <c r="M76" s="28" t="str">
        <f ca="1">+OFFSET(F76,0,IF(F76,4,5))</f>
        <v>Indicare quali lacune organizzative esistono e come l'impresa intende colmarle</v>
      </c>
    </row>
    <row r="77" spans="1:14" s="31" customFormat="1" ht="35.200000000000003" customHeight="1" thickTop="1" thickBot="1" x14ac:dyDescent="0.55000000000000004">
      <c r="A77" s="1"/>
      <c r="B77" s="42" t="s">
        <v>127</v>
      </c>
      <c r="C77" s="1"/>
      <c r="D77" s="43"/>
      <c r="E77" s="71" t="s">
        <v>125</v>
      </c>
      <c r="F77" s="139" t="b">
        <f>+IF(E78&gt;"",TRUE,FALSE)</f>
        <v>1</v>
      </c>
      <c r="G77" s="50"/>
      <c r="H77" s="134"/>
      <c r="I77" s="187" t="str">
        <f>+IF(F77,"Per quanto concerne i tempi e gli effetti in termini di ricavi, di costi e di investimenti delle iniziative da adottare"&amp;s&amp;E78&amp;pu,"")</f>
        <v xml:space="preserve">Per quanto concerne i tempi e gli effetti in termini di ricavi, di costi e di investimenti delle iniziative da adottare I tempi previsti per le iniziative industriali sono di 12 mesi, con effetti attesi su ricavi in lieve crescita e costi iniziali moderati. </v>
      </c>
      <c r="J77" s="187"/>
      <c r="K77" s="187"/>
      <c r="L77" s="28"/>
      <c r="M77" s="28"/>
    </row>
    <row r="78" spans="1:14" s="31" customFormat="1" ht="35.200000000000003" customHeight="1" thickTop="1" thickBot="1" x14ac:dyDescent="0.55000000000000004">
      <c r="A78" s="1"/>
      <c r="B78" s="1"/>
      <c r="C78" s="191" t="s">
        <v>509</v>
      </c>
      <c r="D78" s="191"/>
      <c r="E78" s="154" t="s">
        <v>530</v>
      </c>
      <c r="F78" s="143" t="b">
        <f>+IF(E78&gt;"",TRUE,FALSE)</f>
        <v>1</v>
      </c>
      <c r="G78" s="50"/>
      <c r="H78" s="134"/>
      <c r="I78" s="187"/>
      <c r="J78" s="187"/>
      <c r="K78" s="187"/>
      <c r="L78" s="28"/>
      <c r="M78" s="28"/>
    </row>
    <row r="79" spans="1:14" s="31" customFormat="1" ht="35.200000000000003" customHeight="1" thickTop="1" thickBot="1" x14ac:dyDescent="0.55000000000000004">
      <c r="A79" s="1"/>
      <c r="B79" s="42" t="s">
        <v>128</v>
      </c>
      <c r="C79" s="1"/>
      <c r="D79" s="43"/>
      <c r="E79" s="71" t="s">
        <v>126</v>
      </c>
      <c r="F79" s="139" t="b">
        <f>+IF(E80&gt;"",TRUE,FALSE)</f>
        <v>1</v>
      </c>
      <c r="G79" s="50"/>
      <c r="H79" s="134"/>
      <c r="I79" s="187" t="str">
        <f>+IF(F79,"Le relative funzioni aziendali responsabili sono"&amp;s&amp;E80&amp;pu,"")</f>
        <v xml:space="preserve">Le relative funzioni aziendali responsabili sono Le funzioni responsabili sono l’area manageriale e il reparto operativo per l’implementazione.. </v>
      </c>
      <c r="J79" s="187"/>
      <c r="K79" s="187"/>
      <c r="L79" s="28"/>
      <c r="M79" s="28"/>
    </row>
    <row r="80" spans="1:14" s="31" customFormat="1" ht="35.200000000000003" customHeight="1" thickTop="1" thickBot="1" x14ac:dyDescent="0.55000000000000004">
      <c r="A80" s="1"/>
      <c r="B80" s="1"/>
      <c r="C80" s="191" t="s">
        <v>510</v>
      </c>
      <c r="D80" s="191"/>
      <c r="E80" s="154" t="s">
        <v>531</v>
      </c>
      <c r="F80" s="143" t="b">
        <f>+IF(E80&gt;"",TRUE,FALSE)</f>
        <v>1</v>
      </c>
      <c r="G80" s="50"/>
      <c r="H80" s="134"/>
      <c r="I80" s="187"/>
      <c r="J80" s="187"/>
      <c r="K80" s="187"/>
      <c r="L80" s="28"/>
      <c r="M80" s="28"/>
    </row>
    <row r="81" spans="1:14" s="31" customFormat="1" ht="35.200000000000003" customHeight="1" thickTop="1" thickBot="1" x14ac:dyDescent="0.55000000000000004">
      <c r="A81" s="1"/>
      <c r="B81" s="75" t="s">
        <v>20</v>
      </c>
      <c r="C81" s="1"/>
      <c r="D81" s="76"/>
      <c r="E81" s="77" t="s">
        <v>312</v>
      </c>
      <c r="F81" s="129" t="b">
        <v>1</v>
      </c>
      <c r="G81" s="65"/>
      <c r="H81" s="134" t="s">
        <v>485</v>
      </c>
      <c r="I81" s="134" t="s">
        <v>486</v>
      </c>
      <c r="J81" s="134" t="s">
        <v>313</v>
      </c>
      <c r="K81" s="134" t="s">
        <v>304</v>
      </c>
      <c r="L81" s="28" t="str">
        <f t="shared" ref="L81:L87" ca="1" si="0">+OFFSET(F81,0,IF(F81,2,3))</f>
        <v>Sono prospettabili iniziative alternative nel caso in cui le iniziative dovessero dimostrarsi inefficaci e si manifestassero scostamenti tra gli obiettivi pianificati e quelli raggiunti.</v>
      </c>
      <c r="M81" s="28" t="str">
        <f t="shared" ref="M81:M87" ca="1" si="1">+OFFSET(F81,0,IF(F81,4,5))</f>
        <v>Quali iniziative alternative?</v>
      </c>
    </row>
    <row r="82" spans="1:14" s="31" customFormat="1" ht="35.200000000000003" customHeight="1" thickTop="1" thickBot="1" x14ac:dyDescent="0.55000000000000004">
      <c r="A82" s="1"/>
      <c r="B82" s="42" t="s">
        <v>129</v>
      </c>
      <c r="C82" s="1"/>
      <c r="D82" s="43"/>
      <c r="E82" s="71" t="s">
        <v>135</v>
      </c>
      <c r="F82" s="129" t="b">
        <v>1</v>
      </c>
      <c r="G82" s="65"/>
      <c r="H82" s="134" t="s">
        <v>404</v>
      </c>
      <c r="I82" s="134" t="s">
        <v>511</v>
      </c>
      <c r="J82" s="134" t="s">
        <v>513</v>
      </c>
      <c r="K82" s="134" t="s">
        <v>512</v>
      </c>
      <c r="L82" s="28" t="str">
        <f t="shared" ca="1" si="0"/>
        <v>In precedenza sono stati predisposti ulteriori piani.</v>
      </c>
      <c r="M82" s="28" t="str">
        <f t="shared" ca="1" si="1"/>
        <v>Indicare l'occasione in cui si è reso necessaria la redazione del piano, chi lo ha redatto e il grado di raggiungimento rispetto agli obiettivi indicati.</v>
      </c>
    </row>
    <row r="83" spans="1:14" s="31" customFormat="1" ht="35.200000000000003" customHeight="1" thickTop="1" thickBot="1" x14ac:dyDescent="0.55000000000000004">
      <c r="A83" s="1"/>
      <c r="B83" s="42" t="s">
        <v>130</v>
      </c>
      <c r="C83" s="1"/>
      <c r="D83" s="43"/>
      <c r="E83" s="66" t="s">
        <v>133</v>
      </c>
      <c r="F83" s="129" t="b">
        <v>1</v>
      </c>
      <c r="G83" s="65"/>
      <c r="H83" s="134" t="s">
        <v>306</v>
      </c>
      <c r="I83" s="134" t="s">
        <v>314</v>
      </c>
      <c r="J83" s="134"/>
      <c r="K83" s="134"/>
      <c r="L83" s="28" t="str">
        <f t="shared" ca="1" si="0"/>
        <v>Il piano è coerente con i piani redatti in precedenza</v>
      </c>
      <c r="M83" s="28">
        <f t="shared" ca="1" si="1"/>
        <v>0</v>
      </c>
    </row>
    <row r="84" spans="1:14" s="31" customFormat="1" ht="35.200000000000003" customHeight="1" thickTop="1" x14ac:dyDescent="0.5">
      <c r="A84" s="1"/>
      <c r="B84" s="42" t="s">
        <v>131</v>
      </c>
      <c r="C84" s="1"/>
      <c r="D84" s="43"/>
      <c r="E84" s="66" t="s">
        <v>310</v>
      </c>
      <c r="F84" s="140" t="b">
        <v>0</v>
      </c>
      <c r="G84" s="78"/>
      <c r="H84" s="134" t="s">
        <v>411</v>
      </c>
      <c r="I84" s="134" t="s">
        <v>412</v>
      </c>
      <c r="J84" s="134" t="s">
        <v>315</v>
      </c>
      <c r="K84" s="134" t="s">
        <v>194</v>
      </c>
      <c r="L84" s="28" t="str">
        <f t="shared" ca="1" si="0"/>
        <v>e non vi sono differenze significative.</v>
      </c>
      <c r="M84" s="28" t="str">
        <f t="shared" ca="1" si="1"/>
        <v>Aggiungere eventuali commenti</v>
      </c>
    </row>
    <row r="85" spans="1:14" s="31" customFormat="1" ht="35.200000000000003" customHeight="1" thickBot="1" x14ac:dyDescent="0.55000000000000004">
      <c r="A85" s="1"/>
      <c r="B85" s="42" t="s">
        <v>138</v>
      </c>
      <c r="C85" s="1"/>
      <c r="D85" s="43"/>
      <c r="E85" s="71" t="s">
        <v>316</v>
      </c>
      <c r="F85" s="129" t="b">
        <v>1</v>
      </c>
      <c r="G85" s="65"/>
      <c r="H85" s="134" t="s">
        <v>405</v>
      </c>
      <c r="I85" s="134" t="s">
        <v>406</v>
      </c>
      <c r="J85" s="134" t="s">
        <v>304</v>
      </c>
      <c r="K85" s="134" t="s">
        <v>304</v>
      </c>
      <c r="L85" s="28" t="str">
        <f t="shared" ca="1" si="0"/>
        <v>Il piano appare credibile.</v>
      </c>
      <c r="M85" s="28" t="str">
        <f t="shared" ca="1" si="1"/>
        <v>Indicare le ragioni</v>
      </c>
    </row>
    <row r="86" spans="1:14" s="31" customFormat="1" ht="35.200000000000003" customHeight="1" thickTop="1" thickBot="1" x14ac:dyDescent="0.55000000000000004">
      <c r="A86" s="1"/>
      <c r="B86" s="42" t="s">
        <v>141</v>
      </c>
      <c r="C86" s="1"/>
      <c r="D86" s="43"/>
      <c r="E86" s="71" t="s">
        <v>317</v>
      </c>
      <c r="F86" s="129" t="b">
        <v>1</v>
      </c>
      <c r="G86" s="65"/>
      <c r="H86" s="134" t="s">
        <v>407</v>
      </c>
      <c r="I86" s="134" t="s">
        <v>408</v>
      </c>
      <c r="J86" s="134" t="s">
        <v>194</v>
      </c>
      <c r="K86" s="134" t="s">
        <v>309</v>
      </c>
      <c r="L86" s="28" t="str">
        <f t="shared" ca="1" si="0"/>
        <v>È fondato su intenzioni strategiche chiare e razionali, condivisibili da parte di un lettore informato quale è l’esperto, coerenti con la situazione di fatto dell’impresa e del contesto in cui opera.</v>
      </c>
      <c r="M86" s="28" t="str">
        <f t="shared" ca="1" si="1"/>
        <v>Aggiungere eventuali commenti</v>
      </c>
    </row>
    <row r="87" spans="1:14" s="31" customFormat="1" ht="35.200000000000003" customHeight="1" thickTop="1" thickBot="1" x14ac:dyDescent="0.55000000000000004">
      <c r="A87" s="1"/>
      <c r="B87" s="42" t="s">
        <v>318</v>
      </c>
      <c r="C87" s="1"/>
      <c r="D87" s="43"/>
      <c r="E87" s="71" t="s">
        <v>252</v>
      </c>
      <c r="F87" s="129" t="b">
        <v>1</v>
      </c>
      <c r="G87" s="65"/>
      <c r="H87" s="134" t="s">
        <v>409</v>
      </c>
      <c r="I87" s="134" t="s">
        <v>410</v>
      </c>
      <c r="J87" s="134" t="s">
        <v>304</v>
      </c>
      <c r="K87" s="134" t="s">
        <v>309</v>
      </c>
      <c r="L87" s="28" t="str">
        <f t="shared" ca="1" si="0"/>
        <v>Le strategie di intervento e le iniziative industriali individuate dall’imprenditore appaiono appropriate per il superamento delle cause della crisi.</v>
      </c>
      <c r="M87" s="28" t="str">
        <f t="shared" ca="1" si="1"/>
        <v>Indicare le ragioni</v>
      </c>
    </row>
    <row r="88" spans="1:14" s="31" customFormat="1" ht="35.200000000000003" customHeight="1" thickTop="1" x14ac:dyDescent="0.5">
      <c r="A88" s="1"/>
      <c r="B88" s="42"/>
      <c r="C88" s="1"/>
      <c r="D88" s="43"/>
      <c r="E88" s="71"/>
      <c r="F88" s="141"/>
      <c r="G88" s="65"/>
      <c r="H88" s="134"/>
      <c r="I88" s="134"/>
      <c r="J88" s="134"/>
      <c r="K88" s="134"/>
      <c r="L88" s="28"/>
      <c r="M88" s="28"/>
    </row>
    <row r="89" spans="1:14" s="28" customFormat="1" ht="40" customHeight="1" thickBot="1" x14ac:dyDescent="0.55000000000000004">
      <c r="A89" s="64">
        <v>4</v>
      </c>
      <c r="B89" s="64"/>
      <c r="C89" s="63"/>
      <c r="D89" s="60" t="s">
        <v>65</v>
      </c>
      <c r="E89" s="41"/>
      <c r="F89" s="115"/>
      <c r="G89" s="53"/>
      <c r="H89" s="123"/>
      <c r="I89" s="123"/>
      <c r="J89" s="123"/>
      <c r="K89" s="123"/>
    </row>
    <row r="90" spans="1:14" s="31" customFormat="1" ht="35.200000000000003" customHeight="1" thickTop="1" thickBot="1" x14ac:dyDescent="0.55000000000000004">
      <c r="A90" s="1"/>
      <c r="B90" s="42" t="s">
        <v>22</v>
      </c>
      <c r="C90" s="1"/>
      <c r="D90" s="43"/>
      <c r="E90" s="71" t="s">
        <v>142</v>
      </c>
      <c r="F90" s="137" t="b">
        <f>+COUNTIF(F91:F101,TRUE)&gt;0</f>
        <v>1</v>
      </c>
      <c r="G90" s="50"/>
      <c r="H90" s="134"/>
      <c r="I90" s="134"/>
      <c r="J90" s="134"/>
      <c r="K90" s="134"/>
      <c r="L90" s="28"/>
      <c r="M90" s="28"/>
    </row>
    <row r="91" spans="1:14" s="31" customFormat="1" ht="35.200000000000003" customHeight="1" thickTop="1" thickBot="1" x14ac:dyDescent="0.55000000000000004">
      <c r="A91" s="1"/>
      <c r="B91" s="43" t="s">
        <v>23</v>
      </c>
      <c r="C91" s="42"/>
      <c r="D91" s="1"/>
      <c r="E91" s="71" t="s">
        <v>446</v>
      </c>
      <c r="F91" s="129" t="b">
        <v>1</v>
      </c>
      <c r="G91" s="65"/>
      <c r="I91" s="186" t="str">
        <f>+IF(F90,"La stima delle proiezioni dei flussi finanziari del piano è l'esito di un percorso che si dipana nelle seguenti fasi successive:"&amp;
IF(F91,s&amp;E91&amp;N91,"")&amp;
IF(F92,s&amp;E92&amp;N92,"")&amp;
IF(F93,s&amp;E93&amp;N93,"")&amp;
IF(F94,s&amp;E94&amp;N94,"")&amp;
IF(F95,s&amp;E95&amp;N95,"")&amp;
IF(F96,s&amp;E96&amp;N96,"")&amp;
IF(F97,s&amp;E97&amp;N97,"")&amp;
IF(F98,s&amp;E98&amp;N98,"")&amp;
IF(F99,s&amp;E99&amp;N99,"")&amp;
IF(F100,s&amp;E100&amp;N100,"")&amp;
IF(F101,s&amp;E101&amp;N101,"")&amp;pu,"")</f>
        <v xml:space="preserve">La stima delle proiezioni dei flussi finanziari del piano è l'esito di un percorso che si dipana nelle seguenti fasi successive: stima dei ricavi,  stima dei costi variabili correlati ai ricavi,  stima dei costi fissi,  stima degli investimenti,  stima degli effetti delle iniziative industriali che si intendono intraprendere in discontinuità rispetto al passato,  verifica di coerenza dei dati economici prognostici,  stima del pagamento delle imposte sul reddito,  declinazione finanziaria delle grandezze economiche e determinazione dei flussi al servizio del debito,  declinazione patrimoniale muovendo dalla situazione contabile di partenza e  altro (specificare). </v>
      </c>
      <c r="J91" s="186"/>
      <c r="K91" s="186"/>
      <c r="L91" s="28"/>
      <c r="M91" s="28"/>
      <c r="N91" s="149" t="str">
        <f>+IF(
COUNTIF(F92:$F$102,TRUE)=1," e ",
IF(
COUNTIF(F92:$F$102,TRUE)&gt;1,", ",""))</f>
        <v xml:space="preserve">, </v>
      </c>
    </row>
    <row r="92" spans="1:14" s="31" customFormat="1" ht="35.200000000000003" customHeight="1" thickTop="1" thickBot="1" x14ac:dyDescent="0.55000000000000004">
      <c r="A92" s="1"/>
      <c r="B92" s="43" t="s">
        <v>24</v>
      </c>
      <c r="C92" s="42"/>
      <c r="D92" s="1"/>
      <c r="E92" s="71" t="s">
        <v>447</v>
      </c>
      <c r="F92" s="129" t="b">
        <v>1</v>
      </c>
      <c r="G92" s="65"/>
      <c r="I92" s="186"/>
      <c r="J92" s="186"/>
      <c r="K92" s="186"/>
      <c r="L92" s="28"/>
      <c r="M92" s="28"/>
      <c r="N92" s="149" t="str">
        <f>+IF(
COUNTIF(F93:$F$102,TRUE)=1," e ",
IF(
COUNTIF(F93:$F$102,TRUE)&gt;1,", ",""))</f>
        <v xml:space="preserve">, </v>
      </c>
    </row>
    <row r="93" spans="1:14" s="31" customFormat="1" ht="35.200000000000003" customHeight="1" thickTop="1" thickBot="1" x14ac:dyDescent="0.55000000000000004">
      <c r="A93" s="1"/>
      <c r="B93" s="43" t="s">
        <v>25</v>
      </c>
      <c r="C93" s="42"/>
      <c r="D93" s="1"/>
      <c r="E93" s="71" t="s">
        <v>448</v>
      </c>
      <c r="F93" s="129" t="b">
        <v>1</v>
      </c>
      <c r="G93" s="65"/>
      <c r="I93" s="186"/>
      <c r="J93" s="186"/>
      <c r="K93" s="186"/>
      <c r="L93" s="28"/>
      <c r="M93" s="28"/>
      <c r="N93" s="149" t="str">
        <f>+IF(
COUNTIF(F94:$F$102,TRUE)=1," e ",
IF(
COUNTIF(F94:$F$102,TRUE)&gt;1,", ",""))</f>
        <v xml:space="preserve">, </v>
      </c>
    </row>
    <row r="94" spans="1:14" s="31" customFormat="1" ht="35.200000000000003" customHeight="1" thickTop="1" thickBot="1" x14ac:dyDescent="0.55000000000000004">
      <c r="A94" s="1"/>
      <c r="B94" s="43" t="s">
        <v>26</v>
      </c>
      <c r="C94" s="42"/>
      <c r="D94" s="1"/>
      <c r="E94" s="71" t="s">
        <v>449</v>
      </c>
      <c r="F94" s="129" t="b">
        <v>1</v>
      </c>
      <c r="G94" s="65"/>
      <c r="I94" s="186"/>
      <c r="J94" s="186"/>
      <c r="K94" s="186"/>
      <c r="L94" s="28"/>
      <c r="M94" s="28"/>
      <c r="N94" s="149" t="str">
        <f>+IF(
COUNTIF(F95:$F$102,TRUE)=1," e ",
IF(
COUNTIF(F95:$F$102,TRUE)&gt;1,", ",""))</f>
        <v xml:space="preserve">, </v>
      </c>
    </row>
    <row r="95" spans="1:14" s="31" customFormat="1" ht="35.200000000000003" customHeight="1" thickTop="1" thickBot="1" x14ac:dyDescent="0.55000000000000004">
      <c r="A95" s="1"/>
      <c r="B95" s="43" t="s">
        <v>27</v>
      </c>
      <c r="C95" s="42"/>
      <c r="D95" s="1"/>
      <c r="E95" s="71" t="s">
        <v>450</v>
      </c>
      <c r="F95" s="129" t="b">
        <v>1</v>
      </c>
      <c r="G95" s="65"/>
      <c r="I95" s="186"/>
      <c r="J95" s="186"/>
      <c r="K95" s="186"/>
      <c r="L95" s="28"/>
      <c r="M95" s="28"/>
      <c r="N95" s="149" t="str">
        <f>+IF(
COUNTIF(F96:$F$102,TRUE)=1," e ",
IF(
COUNTIF(F96:$F$102,TRUE)&gt;1,", ",""))</f>
        <v xml:space="preserve">, </v>
      </c>
    </row>
    <row r="96" spans="1:14" s="31" customFormat="1" ht="35.200000000000003" customHeight="1" thickTop="1" thickBot="1" x14ac:dyDescent="0.55000000000000004">
      <c r="A96" s="1"/>
      <c r="B96" s="43" t="s">
        <v>28</v>
      </c>
      <c r="C96" s="42"/>
      <c r="D96" s="1"/>
      <c r="E96" s="71" t="s">
        <v>451</v>
      </c>
      <c r="F96" s="129" t="b">
        <v>1</v>
      </c>
      <c r="G96" s="65"/>
      <c r="I96" s="186"/>
      <c r="J96" s="186"/>
      <c r="K96" s="186"/>
      <c r="L96" s="28"/>
      <c r="M96" s="28"/>
      <c r="N96" s="149" t="str">
        <f>+IF(
COUNTIF(F97:$F$102,TRUE)=1," e ",
IF(
COUNTIF(F97:$F$102,TRUE)&gt;1,", ",""))</f>
        <v xml:space="preserve">, </v>
      </c>
    </row>
    <row r="97" spans="1:14" s="31" customFormat="1" ht="35.200000000000003" customHeight="1" thickTop="1" thickBot="1" x14ac:dyDescent="0.55000000000000004">
      <c r="A97" s="1"/>
      <c r="B97" s="43" t="s">
        <v>29</v>
      </c>
      <c r="C97" s="42"/>
      <c r="D97" s="1"/>
      <c r="E97" s="71" t="s">
        <v>452</v>
      </c>
      <c r="F97" s="129" t="b">
        <v>0</v>
      </c>
      <c r="G97" s="65"/>
      <c r="I97" s="186"/>
      <c r="J97" s="186"/>
      <c r="K97" s="186"/>
      <c r="L97" s="28"/>
      <c r="M97" s="28"/>
      <c r="N97" s="149" t="str">
        <f>+IF(
COUNTIF(F98:$F$102,TRUE)=1," e ",
IF(
COUNTIF(F98:$F$102,TRUE)&gt;1,", ",""))</f>
        <v xml:space="preserve">, </v>
      </c>
    </row>
    <row r="98" spans="1:14" s="31" customFormat="1" ht="35.200000000000003" customHeight="1" thickTop="1" thickBot="1" x14ac:dyDescent="0.55000000000000004">
      <c r="A98" s="1"/>
      <c r="B98" s="43" t="s">
        <v>30</v>
      </c>
      <c r="C98" s="42"/>
      <c r="D98" s="1"/>
      <c r="E98" s="71" t="s">
        <v>453</v>
      </c>
      <c r="F98" s="129" t="b">
        <v>1</v>
      </c>
      <c r="G98" s="65"/>
      <c r="I98" s="186"/>
      <c r="J98" s="186"/>
      <c r="K98" s="186"/>
      <c r="L98" s="28"/>
      <c r="M98" s="28"/>
      <c r="N98" s="149" t="str">
        <f>+IF(
COUNTIF(F99:$F$102,TRUE)=1," e ",
IF(
COUNTIF(F99:$F$102,TRUE)&gt;1,", ",""))</f>
        <v xml:space="preserve">, </v>
      </c>
    </row>
    <row r="99" spans="1:14" s="31" customFormat="1" ht="35.200000000000003" customHeight="1" thickTop="1" thickBot="1" x14ac:dyDescent="0.55000000000000004">
      <c r="A99" s="1"/>
      <c r="B99" s="43" t="s">
        <v>31</v>
      </c>
      <c r="C99" s="42"/>
      <c r="D99" s="1"/>
      <c r="E99" s="71" t="s">
        <v>454</v>
      </c>
      <c r="F99" s="129" t="b">
        <v>1</v>
      </c>
      <c r="G99" s="65"/>
      <c r="I99" s="186"/>
      <c r="J99" s="186"/>
      <c r="K99" s="186"/>
      <c r="L99" s="28"/>
      <c r="M99" s="28"/>
      <c r="N99" s="149" t="str">
        <f>+IF(
COUNTIF(F100:$F$102,TRUE)=1," e ",
IF(
COUNTIF(F100:$F$102,TRUE)&gt;1,", ",""))</f>
        <v xml:space="preserve">, </v>
      </c>
    </row>
    <row r="100" spans="1:14" s="31" customFormat="1" ht="35.200000000000003" customHeight="1" thickTop="1" thickBot="1" x14ac:dyDescent="0.55000000000000004">
      <c r="A100" s="1"/>
      <c r="B100" s="43" t="s">
        <v>32</v>
      </c>
      <c r="C100" s="42"/>
      <c r="D100" s="1"/>
      <c r="E100" s="71" t="s">
        <v>455</v>
      </c>
      <c r="F100" s="129" t="b">
        <v>1</v>
      </c>
      <c r="G100" s="65"/>
      <c r="I100" s="150"/>
      <c r="J100" s="149"/>
      <c r="K100" s="149"/>
      <c r="N100" s="149" t="str">
        <f>+IF(
COUNTIF(F101:$F$102,TRUE)=1," e ",
IF(
COUNTIF(F102:$F$102,TRUE)&gt;1,", ",""))</f>
        <v xml:space="preserve"> e </v>
      </c>
    </row>
    <row r="101" spans="1:14" s="31" customFormat="1" ht="35.200000000000003" customHeight="1" thickTop="1" thickBot="1" x14ac:dyDescent="0.55000000000000004">
      <c r="A101" s="1"/>
      <c r="B101" s="1"/>
      <c r="C101" s="191" t="s">
        <v>293</v>
      </c>
      <c r="D101" s="191"/>
      <c r="E101" s="154" t="s">
        <v>277</v>
      </c>
      <c r="F101" s="143" t="b">
        <f>+IF(E101&gt;"",TRUE,FALSE)</f>
        <v>1</v>
      </c>
      <c r="G101" s="65"/>
      <c r="I101" s="152"/>
      <c r="J101" s="152"/>
      <c r="K101" s="152"/>
      <c r="L101" s="28"/>
      <c r="M101" s="28"/>
      <c r="N101" s="149" t="str">
        <f>+IF(
COUNTIF(F102:$F$102,TRUE)=1," e ",
IF(
COUNTIF(F102:$F$102,TRUE)&gt;1,", ",""))</f>
        <v/>
      </c>
    </row>
    <row r="102" spans="1:14" s="31" customFormat="1" ht="35.200000000000003" customHeight="1" thickTop="1" x14ac:dyDescent="0.5">
      <c r="A102" s="1"/>
      <c r="B102" s="70"/>
      <c r="C102" s="70"/>
      <c r="D102" s="70"/>
      <c r="E102" s="70"/>
      <c r="F102" s="138"/>
      <c r="G102" s="74"/>
      <c r="H102" s="151" t="s">
        <v>182</v>
      </c>
      <c r="I102" s="151" t="s">
        <v>183</v>
      </c>
      <c r="J102" s="151" t="s">
        <v>192</v>
      </c>
      <c r="K102" s="151" t="s">
        <v>184</v>
      </c>
      <c r="L102" s="45" t="s">
        <v>246</v>
      </c>
      <c r="M102" s="45" t="s">
        <v>172</v>
      </c>
    </row>
    <row r="103" spans="1:14" s="31" customFormat="1" ht="35.200000000000003" customHeight="1" thickBot="1" x14ac:dyDescent="0.55000000000000004">
      <c r="A103" s="1"/>
      <c r="B103" s="42" t="s">
        <v>33</v>
      </c>
      <c r="C103" s="1"/>
      <c r="D103" s="43"/>
      <c r="E103" s="71" t="s">
        <v>319</v>
      </c>
      <c r="F103" s="129" t="b">
        <v>1</v>
      </c>
      <c r="G103" s="65"/>
      <c r="H103" s="134" t="s">
        <v>413</v>
      </c>
      <c r="I103" s="134" t="s">
        <v>414</v>
      </c>
      <c r="J103" s="134" t="s">
        <v>194</v>
      </c>
      <c r="K103" s="134" t="s">
        <v>320</v>
      </c>
      <c r="L103" s="28" t="str">
        <f ca="1">+OFFSET(F103,0,IF(F103,2,3))</f>
        <v>Le proiezioni fondate su previsioni coprono un periodo massimo di 5 anni.</v>
      </c>
      <c r="M103" s="28" t="str">
        <f ca="1">+OFFSET(F103,0,IF(F103,4,5))</f>
        <v>Aggiungere eventuali commenti</v>
      </c>
    </row>
    <row r="104" spans="1:14" s="31" customFormat="1" ht="35.200000000000003" customHeight="1" thickTop="1" x14ac:dyDescent="0.5">
      <c r="A104" s="1"/>
      <c r="B104" s="79"/>
      <c r="C104" s="80"/>
      <c r="D104" s="81"/>
      <c r="E104" s="42"/>
      <c r="F104" s="142"/>
      <c r="G104" s="82"/>
      <c r="H104" s="151"/>
      <c r="I104" s="151"/>
      <c r="J104" s="134"/>
      <c r="K104" s="134"/>
      <c r="L104" s="28"/>
      <c r="M104" s="28"/>
    </row>
    <row r="105" spans="1:14" s="31" customFormat="1" ht="35.200000000000003" customHeight="1" thickBot="1" x14ac:dyDescent="0.55000000000000004">
      <c r="A105" s="1"/>
      <c r="B105" s="81" t="s">
        <v>23</v>
      </c>
      <c r="C105" s="80"/>
      <c r="D105" s="1"/>
      <c r="E105" s="71" t="s">
        <v>487</v>
      </c>
      <c r="F105" s="139" t="b">
        <f>+IF(E106&gt;"",TRUE,FALSE)</f>
        <v>1</v>
      </c>
      <c r="G105" s="83"/>
      <c r="H105" s="134"/>
      <c r="I105" s="186" t="str">
        <f>+IF(F105,"I ricavi sono stati stimati nel seguente modo:"&amp;s&amp;E106&amp;pu,"")</f>
        <v xml:space="preserve">I ricavi sono stati stimati nel seguente modo: Indicare la stima dei ricavi. </v>
      </c>
      <c r="J105" s="186"/>
      <c r="K105" s="186"/>
      <c r="L105" s="28"/>
      <c r="M105" s="28"/>
    </row>
    <row r="106" spans="1:14" s="31" customFormat="1" ht="35.200000000000003" customHeight="1" thickTop="1" thickBot="1" x14ac:dyDescent="0.55000000000000004">
      <c r="A106" s="1"/>
      <c r="B106" s="1"/>
      <c r="C106" s="192" t="s">
        <v>293</v>
      </c>
      <c r="D106" s="192"/>
      <c r="E106" s="154" t="s">
        <v>322</v>
      </c>
      <c r="F106" s="143" t="b">
        <f>+IF(E106&gt;"",TRUE,FALSE)</f>
        <v>1</v>
      </c>
      <c r="G106" s="1"/>
      <c r="H106" s="134"/>
      <c r="I106" s="134"/>
      <c r="J106" s="134"/>
      <c r="K106" s="134"/>
      <c r="L106" s="28"/>
      <c r="M106" s="28"/>
    </row>
    <row r="107" spans="1:14" s="31" customFormat="1" ht="35.200000000000003" customHeight="1" thickTop="1" x14ac:dyDescent="0.5">
      <c r="A107" s="1"/>
      <c r="B107" s="84"/>
      <c r="C107" s="84"/>
      <c r="D107" s="84"/>
      <c r="E107" s="70"/>
      <c r="F107" s="144"/>
      <c r="G107" s="85"/>
      <c r="H107" s="151" t="s">
        <v>182</v>
      </c>
      <c r="I107" s="151" t="s">
        <v>183</v>
      </c>
      <c r="J107" s="151" t="s">
        <v>192</v>
      </c>
      <c r="K107" s="151" t="s">
        <v>184</v>
      </c>
      <c r="L107" s="45" t="s">
        <v>246</v>
      </c>
      <c r="M107" s="45" t="s">
        <v>172</v>
      </c>
    </row>
    <row r="108" spans="1:14" s="31" customFormat="1" ht="35.200000000000003" customHeight="1" thickBot="1" x14ac:dyDescent="0.55000000000000004">
      <c r="A108" s="1"/>
      <c r="B108" s="80" t="s">
        <v>34</v>
      </c>
      <c r="C108" s="1"/>
      <c r="D108" s="81"/>
      <c r="E108" s="71" t="s">
        <v>71</v>
      </c>
      <c r="F108" s="143" t="b">
        <v>1</v>
      </c>
      <c r="G108" s="83"/>
      <c r="H108" s="134" t="s">
        <v>415</v>
      </c>
      <c r="I108" s="134" t="s">
        <v>416</v>
      </c>
      <c r="J108" s="134" t="s">
        <v>194</v>
      </c>
      <c r="K108" s="134" t="s">
        <v>194</v>
      </c>
      <c r="L108" s="28" t="str">
        <f ca="1">+OFFSET(F108,0,IF(F108,2,3))</f>
        <v>Le proiezioni dei ricavi sono coerenti con i dati storici e quelli correnti.</v>
      </c>
      <c r="M108" s="28" t="str">
        <f ca="1">+OFFSET(F108,0,IF(F108,4,5))</f>
        <v>Aggiungere eventuali commenti</v>
      </c>
    </row>
    <row r="109" spans="1:14" s="31" customFormat="1" ht="35.200000000000003" customHeight="1" thickTop="1" thickBot="1" x14ac:dyDescent="0.55000000000000004">
      <c r="A109" s="1"/>
      <c r="B109" s="81" t="s">
        <v>35</v>
      </c>
      <c r="C109" s="80"/>
      <c r="D109" s="1"/>
      <c r="E109" s="71" t="s">
        <v>254</v>
      </c>
      <c r="F109" s="143" t="b">
        <v>1</v>
      </c>
      <c r="G109" s="83"/>
      <c r="H109" s="134" t="s">
        <v>417</v>
      </c>
      <c r="I109" s="134" t="s">
        <v>417</v>
      </c>
      <c r="J109" s="134" t="s">
        <v>194</v>
      </c>
      <c r="K109" s="134" t="s">
        <v>321</v>
      </c>
      <c r="L109" s="28" t="str">
        <f ca="1">+OFFSET(F109,0,IF(F109,2,3))</f>
        <v>Le variazioni dei ricavi prospettici rispetto al dato corrente dell’esercizio in corso sono state giustificate in maniera adeguata.</v>
      </c>
      <c r="M109" s="28" t="str">
        <f ca="1">+OFFSET(F109,0,IF(F109,4,5))</f>
        <v>Aggiungere eventuali commenti</v>
      </c>
    </row>
    <row r="110" spans="1:14" s="31" customFormat="1" ht="35.200000000000003" customHeight="1" thickTop="1" thickBot="1" x14ac:dyDescent="0.55000000000000004">
      <c r="A110" s="1"/>
      <c r="B110" s="81" t="s">
        <v>36</v>
      </c>
      <c r="C110" s="80"/>
      <c r="D110" s="1"/>
      <c r="E110" s="71" t="s">
        <v>149</v>
      </c>
      <c r="F110" s="143" t="b">
        <v>1</v>
      </c>
      <c r="G110" s="83"/>
      <c r="H110" s="134" t="s">
        <v>418</v>
      </c>
      <c r="I110" s="134" t="s">
        <v>419</v>
      </c>
      <c r="J110" s="134" t="s">
        <v>194</v>
      </c>
      <c r="K110" s="134" t="s">
        <v>304</v>
      </c>
      <c r="L110" s="28" t="str">
        <f ca="1">+OFFSET(F110,0,IF(F110,2,3))</f>
        <v>Le variazioni dei ricavi del piano sono state confrontate con le prospettive del settore.</v>
      </c>
      <c r="M110" s="28" t="str">
        <f ca="1">+OFFSET(F110,0,IF(F110,4,5))</f>
        <v>Aggiungere eventuali commenti</v>
      </c>
    </row>
    <row r="111" spans="1:14" s="31" customFormat="1" ht="35.200000000000003" customHeight="1" thickTop="1" thickBot="1" x14ac:dyDescent="0.55000000000000004">
      <c r="A111" s="1"/>
      <c r="B111" s="81" t="s">
        <v>24</v>
      </c>
      <c r="C111" s="80"/>
      <c r="D111" s="1"/>
      <c r="E111" s="71" t="s">
        <v>253</v>
      </c>
      <c r="F111" s="139" t="b">
        <f>+IF(E112&gt;"",TRUE,FALSE)</f>
        <v>1</v>
      </c>
      <c r="G111" s="83"/>
      <c r="H111" s="134"/>
      <c r="I111" s="186" t="str">
        <f>+IF(F111,"La metodologia di stima dei costi variabili correlati ai ricavi e dei costi fissi è la seguente:"&amp;s&amp;E112&amp;pu,"")</f>
        <v xml:space="preserve">La metodologia di stima dei costi variabili correlati ai ricavi e dei costi fissi è la seguente: Indicare la metodologia di stima dei costi variabili e dei costi fissi. </v>
      </c>
      <c r="J111" s="186"/>
      <c r="K111" s="186"/>
      <c r="L111" s="28"/>
      <c r="M111" s="28"/>
    </row>
    <row r="112" spans="1:14" s="31" customFormat="1" ht="35.200000000000003" customHeight="1" thickTop="1" thickBot="1" x14ac:dyDescent="0.55000000000000004">
      <c r="A112" s="1"/>
      <c r="B112" s="1"/>
      <c r="C112" s="192" t="s">
        <v>293</v>
      </c>
      <c r="D112" s="192"/>
      <c r="E112" s="154" t="s">
        <v>325</v>
      </c>
      <c r="F112" s="143" t="b">
        <f>+IF(E112&gt;"",TRUE,FALSE)</f>
        <v>1</v>
      </c>
      <c r="G112" s="22"/>
      <c r="H112" s="134"/>
      <c r="I112" s="186"/>
      <c r="J112" s="186"/>
      <c r="K112" s="186"/>
      <c r="L112" s="28"/>
      <c r="M112" s="28"/>
    </row>
    <row r="113" spans="1:13" s="31" customFormat="1" ht="35.200000000000003" customHeight="1" thickTop="1" x14ac:dyDescent="0.5">
      <c r="A113" s="1"/>
      <c r="B113" s="84"/>
      <c r="C113" s="84"/>
      <c r="D113" s="84"/>
      <c r="E113" s="70"/>
      <c r="F113" s="144"/>
      <c r="G113" s="85"/>
      <c r="H113" s="151" t="s">
        <v>182</v>
      </c>
      <c r="I113" s="151" t="s">
        <v>183</v>
      </c>
      <c r="J113" s="151" t="s">
        <v>192</v>
      </c>
      <c r="K113" s="151" t="s">
        <v>184</v>
      </c>
      <c r="L113" s="45" t="s">
        <v>246</v>
      </c>
      <c r="M113" s="45" t="s">
        <v>172</v>
      </c>
    </row>
    <row r="114" spans="1:13" s="31" customFormat="1" ht="35.200000000000003" customHeight="1" thickBot="1" x14ac:dyDescent="0.55000000000000004">
      <c r="A114" s="1"/>
      <c r="B114" s="80" t="s">
        <v>150</v>
      </c>
      <c r="C114" s="1"/>
      <c r="D114" s="81"/>
      <c r="E114" s="71" t="s">
        <v>153</v>
      </c>
      <c r="F114" s="146" t="b">
        <v>1</v>
      </c>
      <c r="G114" s="85"/>
      <c r="H114" s="134" t="s">
        <v>420</v>
      </c>
      <c r="I114" s="134" t="s">
        <v>421</v>
      </c>
      <c r="J114" s="134" t="s">
        <v>194</v>
      </c>
      <c r="K114" s="134" t="s">
        <v>194</v>
      </c>
      <c r="L114" s="28" t="str">
        <f ca="1">+OFFSET(F114,0,IF(F114,2,3))</f>
        <v>La stima dei costi variabili e dei costi di struttura è coerente con la situazione in atto e con i dati storici.</v>
      </c>
      <c r="M114" s="28" t="str">
        <f ca="1">+OFFSET(F114,0,IF(F114,4,5))</f>
        <v>Aggiungere eventuali commenti</v>
      </c>
    </row>
    <row r="115" spans="1:13" s="31" customFormat="1" ht="35.200000000000003" customHeight="1" thickTop="1" thickBot="1" x14ac:dyDescent="0.55000000000000004">
      <c r="A115" s="1"/>
      <c r="B115" s="79"/>
      <c r="C115" s="80"/>
      <c r="D115" s="81"/>
      <c r="E115" s="71" t="s">
        <v>323</v>
      </c>
      <c r="F115" s="139" t="b">
        <f>+IF(E116&gt;"",TRUE,FALSE)</f>
        <v>1</v>
      </c>
      <c r="G115" s="83"/>
      <c r="H115" s="153"/>
      <c r="I115" s="186" t="str">
        <f>+IF(F115,"I risparmi dei costi variabili e fissi sono:"&amp;s&amp;E116&amp;pu&amp;
IF(F117,s&amp;"I possibili rischi che derivano dai risparmi di costo:"&amp;s&amp;E116&amp;pu,""),"")</f>
        <v xml:space="preserve">I risparmi dei costi variabili e fissi sono: i risparmi previsti derivano dall’efficientamento dei processi produttivi, stimati in una riduzione del 7% dei costi variabili..  I possibili rischi che derivano dai risparmi di costo: i risparmi previsti derivano dall’efficientamento dei processi produttivi, stimati in una riduzione del 7% dei costi variabili.. </v>
      </c>
      <c r="J115" s="186"/>
      <c r="K115" s="186"/>
      <c r="L115" s="28"/>
      <c r="M115" s="28"/>
    </row>
    <row r="116" spans="1:13" s="31" customFormat="1" ht="35.200000000000003" customHeight="1" thickTop="1" thickBot="1" x14ac:dyDescent="0.55000000000000004">
      <c r="A116" s="1"/>
      <c r="B116" s="1"/>
      <c r="C116" s="192" t="s">
        <v>293</v>
      </c>
      <c r="D116" s="192"/>
      <c r="E116" s="154" t="s">
        <v>532</v>
      </c>
      <c r="F116" s="143" t="b">
        <f>+IF(E116&gt;"",TRUE,FALSE)</f>
        <v>1</v>
      </c>
      <c r="G116" s="87"/>
      <c r="H116" s="153"/>
      <c r="I116" s="186"/>
      <c r="J116" s="186"/>
      <c r="K116" s="186"/>
      <c r="L116" s="28"/>
      <c r="M116" s="28"/>
    </row>
    <row r="117" spans="1:13" s="31" customFormat="1" ht="35.200000000000003" customHeight="1" thickTop="1" thickBot="1" x14ac:dyDescent="0.55000000000000004">
      <c r="A117" s="1"/>
      <c r="B117" s="79"/>
      <c r="C117" s="80"/>
      <c r="D117" s="81"/>
      <c r="E117" s="71" t="s">
        <v>324</v>
      </c>
      <c r="F117" s="139" t="b">
        <f>+IF(E118&gt;"",TRUE,FALSE)</f>
        <v>1</v>
      </c>
      <c r="G117" s="83"/>
      <c r="H117" s="134"/>
      <c r="I117" s="186"/>
      <c r="J117" s="186"/>
      <c r="K117" s="186"/>
      <c r="L117" s="28"/>
      <c r="M117" s="28"/>
    </row>
    <row r="118" spans="1:13" s="31" customFormat="1" ht="35.200000000000003" customHeight="1" thickTop="1" thickBot="1" x14ac:dyDescent="0.55000000000000004">
      <c r="A118" s="1"/>
      <c r="B118" s="1"/>
      <c r="C118" s="192" t="s">
        <v>293</v>
      </c>
      <c r="D118" s="192"/>
      <c r="E118" s="154" t="s">
        <v>533</v>
      </c>
      <c r="F118" s="143" t="b">
        <f>+IF(E118&gt;"",TRUE,FALSE)</f>
        <v>1</v>
      </c>
      <c r="G118" s="22"/>
      <c r="H118" s="134"/>
      <c r="I118" s="186"/>
      <c r="J118" s="186"/>
      <c r="K118" s="186"/>
      <c r="L118" s="28"/>
      <c r="M118" s="28"/>
    </row>
    <row r="119" spans="1:13" s="31" customFormat="1" ht="35.200000000000003" customHeight="1" thickTop="1" thickBot="1" x14ac:dyDescent="0.55000000000000004">
      <c r="A119" s="1"/>
      <c r="B119" s="81" t="s">
        <v>26</v>
      </c>
      <c r="C119" s="80"/>
      <c r="D119" s="1"/>
      <c r="E119" s="71" t="s">
        <v>456</v>
      </c>
      <c r="F119" s="139" t="b">
        <f>+IF(E120&gt;"",TRUE,FALSE)</f>
        <v>1</v>
      </c>
      <c r="G119" s="83"/>
      <c r="H119" s="134"/>
      <c r="I119" s="186" t="str">
        <f>+IF(F119,"La metodologia di stima degli investimenti è la seguente:"&amp;s&amp;E120&amp;pu,"")</f>
        <v xml:space="preserve">La metodologia di stima degli investimenti è la seguente: Indicare la metodologia di stima degli investimenti. </v>
      </c>
      <c r="J119" s="186"/>
      <c r="K119" s="186"/>
      <c r="L119" s="28"/>
      <c r="M119" s="28"/>
    </row>
    <row r="120" spans="1:13" s="31" customFormat="1" ht="35.200000000000003" customHeight="1" thickTop="1" thickBot="1" x14ac:dyDescent="0.55000000000000004">
      <c r="A120" s="1"/>
      <c r="B120" s="1"/>
      <c r="C120" s="192" t="s">
        <v>293</v>
      </c>
      <c r="D120" s="192"/>
      <c r="E120" s="154" t="s">
        <v>326</v>
      </c>
      <c r="F120" s="143" t="b">
        <f>+IF(E120&gt;"",TRUE,FALSE)</f>
        <v>1</v>
      </c>
      <c r="G120" s="22"/>
      <c r="H120" s="134"/>
      <c r="I120" s="186"/>
      <c r="J120" s="186"/>
      <c r="K120" s="186"/>
      <c r="L120" s="28"/>
      <c r="M120" s="28"/>
    </row>
    <row r="121" spans="1:13" s="31" customFormat="1" ht="35.200000000000003" customHeight="1" thickTop="1" x14ac:dyDescent="0.5">
      <c r="A121" s="1"/>
      <c r="B121" s="84"/>
      <c r="C121" s="84"/>
      <c r="D121" s="84"/>
      <c r="E121" s="70"/>
      <c r="F121" s="145"/>
      <c r="G121" s="22"/>
      <c r="H121" s="151" t="s">
        <v>182</v>
      </c>
      <c r="I121" s="151" t="s">
        <v>183</v>
      </c>
      <c r="J121" s="151" t="s">
        <v>192</v>
      </c>
      <c r="K121" s="151" t="s">
        <v>184</v>
      </c>
      <c r="L121" s="45" t="s">
        <v>246</v>
      </c>
      <c r="M121" s="45" t="s">
        <v>172</v>
      </c>
    </row>
    <row r="122" spans="1:13" s="31" customFormat="1" ht="35.200000000000003" customHeight="1" thickBot="1" x14ac:dyDescent="0.55000000000000004">
      <c r="A122" s="1"/>
      <c r="B122" s="80" t="s">
        <v>37</v>
      </c>
      <c r="C122" s="1"/>
      <c r="D122" s="81"/>
      <c r="E122" s="71" t="s">
        <v>159</v>
      </c>
      <c r="F122" s="146" t="b">
        <v>0</v>
      </c>
      <c r="G122" s="86"/>
      <c r="H122" s="134" t="s">
        <v>422</v>
      </c>
      <c r="I122" s="134" t="s">
        <v>423</v>
      </c>
      <c r="J122" s="134" t="s">
        <v>194</v>
      </c>
      <c r="K122" s="134" t="s">
        <v>194</v>
      </c>
      <c r="L122" s="28" t="str">
        <f ca="1">+OFFSET(F122,0,IF(F122,2,3))</f>
        <v>La società non svolge più attività.</v>
      </c>
      <c r="M122" s="28" t="str">
        <f ca="1">+OFFSET(F122,0,IF(F122,4,5))</f>
        <v>Aggiungere eventuali commenti</v>
      </c>
    </row>
    <row r="123" spans="1:13" s="31" customFormat="1" ht="35.200000000000003" customHeight="1" thickTop="1" thickBot="1" x14ac:dyDescent="0.55000000000000004">
      <c r="A123" s="1"/>
      <c r="B123" s="80" t="s">
        <v>38</v>
      </c>
      <c r="C123" s="1"/>
      <c r="D123" s="81"/>
      <c r="E123" s="71" t="s">
        <v>156</v>
      </c>
      <c r="F123" s="143" t="b">
        <v>1</v>
      </c>
      <c r="G123" s="83"/>
      <c r="H123" s="134" t="s">
        <v>424</v>
      </c>
      <c r="I123" s="134" t="s">
        <v>425</v>
      </c>
      <c r="J123" s="134" t="s">
        <v>194</v>
      </c>
      <c r="K123" s="134" t="s">
        <v>194</v>
      </c>
      <c r="L123" s="28" t="str">
        <f ca="1">+OFFSET(F123,0,IF(F123,2,3))</f>
        <v>Il piano tiene conto in misura adeguata degli investimenti di mantenimento occorrenti.</v>
      </c>
      <c r="M123" s="28" t="str">
        <f ca="1">+OFFSET(F123,0,IF(F123,4,5))</f>
        <v>Aggiungere eventuali commenti</v>
      </c>
    </row>
    <row r="124" spans="1:13" s="31" customFormat="1" ht="35.200000000000003" customHeight="1" thickTop="1" thickBot="1" x14ac:dyDescent="0.55000000000000004">
      <c r="A124" s="1"/>
      <c r="B124" s="81" t="s">
        <v>27</v>
      </c>
      <c r="C124" s="80"/>
      <c r="D124" s="1"/>
      <c r="E124" s="71" t="s">
        <v>457</v>
      </c>
      <c r="F124" s="139" t="b">
        <f>+IF(E125&gt;"",TRUE,FALSE)</f>
        <v>1</v>
      </c>
      <c r="G124" s="86"/>
      <c r="H124" s="134"/>
      <c r="I124" s="186" t="str">
        <f>+IF(F124,"La metodologia di stima degli effetti delle iniziative industriali che si intendono intraprendere in discontinuità rispetto al passato è la seguente:"&amp;s&amp;E125&amp;pu,"")</f>
        <v xml:space="preserve">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v>
      </c>
      <c r="J124" s="186"/>
      <c r="K124" s="186"/>
      <c r="L124" s="28"/>
      <c r="M124" s="28"/>
    </row>
    <row r="125" spans="1:13" s="31" customFormat="1" ht="35.200000000000003" customHeight="1" thickTop="1" thickBot="1" x14ac:dyDescent="0.55000000000000004">
      <c r="A125" s="1"/>
      <c r="B125" s="1"/>
      <c r="C125" s="192" t="s">
        <v>293</v>
      </c>
      <c r="D125" s="192"/>
      <c r="E125" s="154" t="s">
        <v>327</v>
      </c>
      <c r="F125" s="143" t="b">
        <f>+IF(E125&gt;"",TRUE,FALSE)</f>
        <v>1</v>
      </c>
      <c r="G125" s="88"/>
      <c r="H125" s="134"/>
      <c r="I125" s="186"/>
      <c r="J125" s="186"/>
      <c r="K125" s="186"/>
      <c r="L125" s="28"/>
      <c r="M125" s="28"/>
    </row>
    <row r="126" spans="1:13" s="31" customFormat="1" ht="35.200000000000003" customHeight="1" thickTop="1" thickBot="1" x14ac:dyDescent="0.55000000000000004">
      <c r="A126" s="1"/>
      <c r="B126" s="80" t="s">
        <v>39</v>
      </c>
      <c r="C126" s="1"/>
      <c r="D126" s="81"/>
      <c r="E126" s="71" t="s">
        <v>329</v>
      </c>
      <c r="F126" s="143" t="b">
        <v>1</v>
      </c>
      <c r="G126" s="83"/>
      <c r="H126" s="134" t="s">
        <v>459</v>
      </c>
      <c r="I126" s="134" t="s">
        <v>460</v>
      </c>
      <c r="J126" s="134" t="s">
        <v>194</v>
      </c>
      <c r="K126" s="134" t="s">
        <v>194</v>
      </c>
      <c r="L126" s="28" t="str">
        <f t="shared" ref="L126:L135" ca="1" si="2">+OFFSET(F126,0,IF(F126,2,3))</f>
        <v>La  stima degli effetti di tali iniziative (in termini di investimenti, ricavi e costi) è coerente con le informazioni disponibili ed è ritenuta giustificata dalle diverse funzioni aziendali.</v>
      </c>
      <c r="M126" s="28" t="str">
        <f t="shared" ref="M126:M135" ca="1" si="3">+OFFSET(F126,0,IF(F126,4,5))</f>
        <v>Aggiungere eventuali commenti</v>
      </c>
    </row>
    <row r="127" spans="1:13" s="31" customFormat="1" ht="35.200000000000003" customHeight="1" thickTop="1" thickBot="1" x14ac:dyDescent="0.55000000000000004">
      <c r="A127" s="1"/>
      <c r="B127" s="81" t="s">
        <v>28</v>
      </c>
      <c r="C127" s="1"/>
      <c r="D127" s="1"/>
      <c r="E127" s="71" t="s">
        <v>458</v>
      </c>
      <c r="F127" s="143" t="b">
        <v>1</v>
      </c>
      <c r="G127" s="83"/>
      <c r="H127" s="134" t="s">
        <v>426</v>
      </c>
      <c r="I127" s="134" t="s">
        <v>427</v>
      </c>
      <c r="J127" s="134" t="s">
        <v>194</v>
      </c>
      <c r="K127" s="134" t="s">
        <v>194</v>
      </c>
      <c r="L127" s="28" t="str">
        <f t="shared" ca="1" si="2"/>
        <v>I dati economici prognostici sono coerenti.</v>
      </c>
      <c r="M127" s="28" t="str">
        <f t="shared" ca="1" si="3"/>
        <v>Aggiungere eventuali commenti</v>
      </c>
    </row>
    <row r="128" spans="1:13" s="31" customFormat="1" ht="35.200000000000003" customHeight="1" thickTop="1" thickBot="1" x14ac:dyDescent="0.55000000000000004">
      <c r="A128" s="1"/>
      <c r="B128" s="80" t="s">
        <v>40</v>
      </c>
      <c r="C128" s="1"/>
      <c r="D128" s="81"/>
      <c r="E128" s="71" t="s">
        <v>80</v>
      </c>
      <c r="F128" s="143" t="b">
        <v>1</v>
      </c>
      <c r="G128" s="83"/>
      <c r="H128" s="134" t="s">
        <v>428</v>
      </c>
      <c r="I128" s="134" t="s">
        <v>429</v>
      </c>
      <c r="J128" s="134" t="s">
        <v>328</v>
      </c>
      <c r="K128" s="134" t="s">
        <v>309</v>
      </c>
      <c r="L128" s="28" t="str">
        <f t="shared" ca="1" si="2"/>
        <v>È stata svolta una verifica di ragionevolezza della redditività prospettica quale risulta dai paragrafi precedenti.</v>
      </c>
      <c r="M128" s="28" t="str">
        <f t="shared" ca="1" si="3"/>
        <v>Quale verifica?</v>
      </c>
    </row>
    <row r="129" spans="1:15" s="31" customFormat="1" ht="35.200000000000003" customHeight="1" thickTop="1" thickBot="1" x14ac:dyDescent="0.55000000000000004">
      <c r="A129" s="1"/>
      <c r="B129" s="81" t="s">
        <v>41</v>
      </c>
      <c r="C129" s="1"/>
      <c r="D129" s="1"/>
      <c r="E129" s="71" t="s">
        <v>160</v>
      </c>
      <c r="F129" s="143" t="b">
        <v>1</v>
      </c>
      <c r="G129" s="83"/>
      <c r="H129" s="134" t="s">
        <v>430</v>
      </c>
      <c r="I129" s="134" t="s">
        <v>431</v>
      </c>
      <c r="J129" s="134" t="s">
        <v>304</v>
      </c>
      <c r="K129" s="134" t="s">
        <v>309</v>
      </c>
      <c r="L129" s="28" t="str">
        <f t="shared" ca="1" si="2"/>
        <v>La redditività ed i principali indicatori chiave gestionali (KPI) prospettici sono coerenti con l’andamento storico.</v>
      </c>
      <c r="M129" s="28" t="str">
        <f t="shared" ca="1" si="3"/>
        <v>Indicare le ragioni</v>
      </c>
    </row>
    <row r="130" spans="1:15" s="31" customFormat="1" ht="35.200000000000003" customHeight="1" thickTop="1" thickBot="1" x14ac:dyDescent="0.55000000000000004">
      <c r="A130" s="1"/>
      <c r="B130" s="81" t="s">
        <v>42</v>
      </c>
      <c r="C130" s="1"/>
      <c r="D130" s="1"/>
      <c r="E130" s="71" t="s">
        <v>330</v>
      </c>
      <c r="F130" s="143" t="b">
        <v>0</v>
      </c>
      <c r="G130" s="83"/>
      <c r="H130" s="134" t="s">
        <v>432</v>
      </c>
      <c r="I130" s="134" t="s">
        <v>433</v>
      </c>
      <c r="J130" s="134" t="s">
        <v>304</v>
      </c>
      <c r="K130" s="134" t="s">
        <v>309</v>
      </c>
      <c r="L130" s="28" t="str">
        <f t="shared" ca="1" si="2"/>
        <v>Non è giustificata ogni differenza tra l’incidenza del margine operativo lordo sui ricavi ed i benchmark di mercato disponibili.</v>
      </c>
      <c r="M130" s="28" t="str">
        <f t="shared" ca="1" si="3"/>
        <v>Indicare le motivazioni</v>
      </c>
    </row>
    <row r="131" spans="1:15" s="31" customFormat="1" ht="35.200000000000003" customHeight="1" thickTop="1" thickBot="1" x14ac:dyDescent="0.55000000000000004">
      <c r="A131" s="1"/>
      <c r="B131" s="81" t="s">
        <v>29</v>
      </c>
      <c r="C131" s="1"/>
      <c r="D131" s="1"/>
      <c r="E131" s="71" t="s">
        <v>488</v>
      </c>
      <c r="F131" s="143" t="b">
        <v>0</v>
      </c>
      <c r="G131" s="83"/>
      <c r="H131" s="134" t="s">
        <v>434</v>
      </c>
      <c r="I131" s="134" t="s">
        <v>435</v>
      </c>
      <c r="J131" s="134" t="s">
        <v>331</v>
      </c>
      <c r="K131" s="134" t="s">
        <v>194</v>
      </c>
      <c r="L131" s="28" t="str">
        <f t="shared" ca="1" si="2"/>
        <v>Non sono previste operazioni straordinarie.</v>
      </c>
      <c r="M131" s="28" t="str">
        <f t="shared" ca="1" si="3"/>
        <v>Aggiungere eventuali commenti</v>
      </c>
    </row>
    <row r="132" spans="1:15" s="31" customFormat="1" ht="35.200000000000003" customHeight="1" thickTop="1" thickBot="1" x14ac:dyDescent="0.55000000000000004">
      <c r="A132" s="1"/>
      <c r="B132" s="80" t="s">
        <v>90</v>
      </c>
      <c r="C132" s="1"/>
      <c r="D132" s="81"/>
      <c r="E132" s="71" t="s">
        <v>332</v>
      </c>
      <c r="F132" s="143" t="b">
        <v>0</v>
      </c>
      <c r="G132" s="83"/>
      <c r="H132" s="134" t="s">
        <v>436</v>
      </c>
      <c r="I132" s="134" t="s">
        <v>437</v>
      </c>
      <c r="J132" s="134" t="s">
        <v>333</v>
      </c>
      <c r="K132" s="134" t="s">
        <v>194</v>
      </c>
      <c r="L132" s="28" t="str">
        <f t="shared" ca="1" si="2"/>
        <v>Non è stata prevista la dismissione di cespiti d'investimento.</v>
      </c>
      <c r="M132" s="28" t="str">
        <f t="shared" ca="1" si="3"/>
        <v>Aggiungere eventuali commenti</v>
      </c>
    </row>
    <row r="133" spans="1:15" s="31" customFormat="1" ht="35.200000000000003" customHeight="1" thickTop="1" thickBot="1" x14ac:dyDescent="0.55000000000000004">
      <c r="A133" s="1"/>
      <c r="B133" s="81" t="s">
        <v>30</v>
      </c>
      <c r="C133" s="1"/>
      <c r="D133" s="1"/>
      <c r="E133" s="71" t="s">
        <v>334</v>
      </c>
      <c r="F133" s="143" t="b">
        <v>0</v>
      </c>
      <c r="G133" s="83"/>
      <c r="H133" s="134" t="s">
        <v>438</v>
      </c>
      <c r="I133" s="134" t="s">
        <v>439</v>
      </c>
      <c r="J133" s="134" t="s">
        <v>490</v>
      </c>
      <c r="K133" s="134" t="s">
        <v>194</v>
      </c>
      <c r="L133" s="28" t="str">
        <f t="shared" ca="1" si="2"/>
        <v>Non è stato stimato il pagamento delle imposte sul reddito.</v>
      </c>
      <c r="M133" s="28" t="str">
        <f t="shared" ca="1" si="3"/>
        <v>Aggiungere eventuali commenti</v>
      </c>
    </row>
    <row r="134" spans="1:15" s="31" customFormat="1" ht="35.200000000000003" customHeight="1" thickTop="1" thickBot="1" x14ac:dyDescent="0.55000000000000004">
      <c r="A134" s="1"/>
      <c r="B134" s="80" t="s">
        <v>43</v>
      </c>
      <c r="C134" s="1"/>
      <c r="D134" s="81"/>
      <c r="E134" s="71" t="s">
        <v>255</v>
      </c>
      <c r="F134" s="143" t="b">
        <v>1</v>
      </c>
      <c r="G134" s="83"/>
      <c r="H134" s="134" t="s">
        <v>440</v>
      </c>
      <c r="I134" s="134" t="s">
        <v>441</v>
      </c>
      <c r="J134" s="134" t="s">
        <v>194</v>
      </c>
      <c r="K134" s="134" t="s">
        <v>194</v>
      </c>
      <c r="L134" s="28" t="str">
        <f t="shared" ca="1" si="2"/>
        <v>Nella stima del pagamento delle imposte si è tenuto conto dell’effetto delle perdite fiscali a nuovo e del periodo di imputazione fiscale dei costi e dei ricavi.</v>
      </c>
      <c r="M134" s="28" t="str">
        <f t="shared" ca="1" si="3"/>
        <v>Aggiungere eventuali commenti</v>
      </c>
    </row>
    <row r="135" spans="1:15" s="31" customFormat="1" ht="35.200000000000003" customHeight="1" thickTop="1" thickBot="1" x14ac:dyDescent="0.55000000000000004">
      <c r="A135" s="1"/>
      <c r="B135" s="81" t="s">
        <v>31</v>
      </c>
      <c r="C135" s="1"/>
      <c r="D135" s="1"/>
      <c r="E135" s="71" t="s">
        <v>489</v>
      </c>
      <c r="F135" s="143" t="b">
        <v>0</v>
      </c>
      <c r="G135" s="83"/>
      <c r="H135" s="134" t="s">
        <v>442</v>
      </c>
      <c r="I135" s="134" t="s">
        <v>443</v>
      </c>
      <c r="J135" s="134" t="s">
        <v>491</v>
      </c>
      <c r="K135" s="134" t="s">
        <v>194</v>
      </c>
      <c r="L135" s="28" t="str">
        <f t="shared" ca="1" si="2"/>
        <v>Non è presente declinazione finanziaria delle grandezze economiche e determinazione dei flussi al servizio del debito.</v>
      </c>
      <c r="M135" s="28" t="str">
        <f t="shared" ca="1" si="3"/>
        <v>Aggiungere eventuali commenti</v>
      </c>
    </row>
    <row r="136" spans="1:15" s="31" customFormat="1" ht="35.200000000000003" customHeight="1" thickTop="1" thickBot="1" x14ac:dyDescent="0.55000000000000004">
      <c r="A136" s="1"/>
      <c r="B136" s="80" t="s">
        <v>44</v>
      </c>
      <c r="C136" s="1"/>
      <c r="D136" s="81"/>
      <c r="E136" s="71" t="s">
        <v>163</v>
      </c>
      <c r="F136" s="147">
        <f>(+COUNTIF(F137,TRUE)&gt;0)+
(COUNTIF(F140,TRUE)&gt;0)+
(COUNTIF(F142,TRUE)&gt;0)+
(COUNTIF(F144,TRUE)&gt;0)</f>
        <v>3</v>
      </c>
      <c r="G136" s="83"/>
      <c r="H136" s="149"/>
      <c r="I136" s="134"/>
      <c r="J136" s="134"/>
      <c r="K136" s="134"/>
    </row>
    <row r="137" spans="1:15" s="31" customFormat="1" ht="35.200000000000003" customHeight="1" thickTop="1" thickBot="1" x14ac:dyDescent="0.55000000000000004">
      <c r="A137" s="1"/>
      <c r="B137" s="81" t="s">
        <v>45</v>
      </c>
      <c r="C137" s="80"/>
      <c r="D137" s="1"/>
      <c r="E137" s="71" t="s">
        <v>336</v>
      </c>
      <c r="F137" s="143" t="b">
        <v>1</v>
      </c>
      <c r="G137" s="86"/>
      <c r="I137" s="193" t="str" cm="1">
        <f t="array" ref="I137">+IF(F136,"La determinazione dei flussi finanziari al servizio del debito è stata effettuata muovendo dai dati economici. Essa ha avuto luogo:"&amp;
IF(F137,AC&amp;p&amp;s&amp;E137&amp;N137&amp;IF(F138,s&amp;"I tempi sono coerenti con la serie storica dell'impresa"&amp;N138&amp;IF(F139,s&amp;E139&amp;N139,""),""),"")&amp;
IF(F140,AC&amp;p&amp;s&amp;"Deducendo dai flussi così determinati gli investimenti previsti (sia quelli di mantenimento che quelli relativi alle iniziative industriali) e il pagamento delle imposte"&amp;N140&amp;IF(F141,s&amp;E141&amp;N141,""),"")&amp;
IF(F142,AC&amp;p&amp;s&amp;"Portando in conto l'effetto delle dismissioni di cespiti d'investimento e di altre operazioni straordinarie previste"&amp;N142&amp;IF(F143,s&amp;E143&amp;N143,""),"")&amp;
IF(F144,AC&amp;p&amp;s&amp;"Per semplicità le micro e le piccole imprese possono ricorrere alle sole grandezze economiche senza convertirle in flussi di cassa. L'impresa è considerata tra le micro e piccole imprese"&amp;N144&amp;IF(F145,s&amp;"L'impresa ha verificato che l’ammontare degli investimenti di mantenimento sia adeguatamente espresso dagli ammortamenti (portando una rettifica in caso contrario)"&amp;N145&amp;IF(F146,s&amp;"L'impresa ha considerato l’effetto delle iniziative industriali previste"&amp;N146&amp;IF(F147,s&amp;"L'impresa ha tenuto conto della dismissione di cespiti e delle operazioni straordinarie programmate"&amp;N147,""),""),""),"")&amp;pu,"")</f>
        <v xml:space="preserve">La determinazione dei flussi finanziari al servizio del debito è stata effettuata muovendo dai dati economici. Essa ha avuto luogo:
•  Attraverso il ciclo di conversione in flussi di cassa che tiene conto dei tempi di incasso dei ricavi, di pagamento dei costi e di rigiro del magazzino. 
•  Deducendo dai flussi così determinati gli investimenti previsti (sia quelli di mantenimento che quelli relativi alle iniziative industriali) e il pagamento delle imposte.  Aggiungere eventuali commenti. 
•  Per semplicità le micro e le piccole imprese possono ricorrere alle sole grandezze economiche senza convertirle in flussi di cassa. L'impresa è considerata tra le micro e piccole imprese.  L'impresa ha verificato che l’ammontare degli investimenti di mantenimento sia adeguatamente espresso dagli ammortamenti (portando una rettifica in caso contrario).  L'impresa ha considerato l’effetto delle iniziative industriali previste. </v>
      </c>
      <c r="J137" s="193"/>
      <c r="K137" s="193"/>
      <c r="N137" s="149" t="str">
        <f>+IF(
COUNTIF(F138:$F$148,TRUE)=1,pu,
IF(
COUNTIF(F138:$F$148,TRUE)&gt;1,pu,""))</f>
        <v xml:space="preserve">. </v>
      </c>
      <c r="O137" s="31" t="str">
        <f>UPPER(LEFT(E98,1))&amp;LOWER(RIGHT(E98, LEN(E98)-1))</f>
        <v>Stima del pagamento delle imposte sul reddito</v>
      </c>
    </row>
    <row r="138" spans="1:15" s="31" customFormat="1" ht="35.200000000000003" customHeight="1" thickTop="1" thickBot="1" x14ac:dyDescent="0.55000000000000004">
      <c r="A138" s="1"/>
      <c r="B138" s="79"/>
      <c r="C138" s="80"/>
      <c r="D138" s="81"/>
      <c r="E138" s="71" t="s">
        <v>335</v>
      </c>
      <c r="F138" s="143" t="b">
        <v>0</v>
      </c>
      <c r="G138" s="83"/>
      <c r="I138" s="187"/>
      <c r="J138" s="187"/>
      <c r="K138" s="187"/>
      <c r="N138" s="149" t="str">
        <f>+IF(
COUNTIF(F139:$F$148,TRUE)=1,pu,
IF(
COUNTIF(F139:$F$148,TRUE)&gt;1,pu,""))</f>
        <v xml:space="preserve">. </v>
      </c>
    </row>
    <row r="139" spans="1:15" s="31" customFormat="1" ht="35.200000000000003" customHeight="1" thickTop="1" thickBot="1" x14ac:dyDescent="0.55000000000000004">
      <c r="A139" s="1"/>
      <c r="B139" s="1"/>
      <c r="C139" s="192" t="s">
        <v>293</v>
      </c>
      <c r="D139" s="192"/>
      <c r="E139" s="154" t="s">
        <v>194</v>
      </c>
      <c r="F139" s="143" t="b">
        <f>+IF(E139&gt;"",TRUE,FALSE)</f>
        <v>1</v>
      </c>
      <c r="G139" s="83"/>
      <c r="I139" s="187"/>
      <c r="J139" s="187"/>
      <c r="K139" s="187"/>
      <c r="N139" s="149" t="str">
        <f>+IF(
COUNTIF(F140:$F$148,TRUE)=1,pu,
IF(
COUNTIF(F140:$F$148,TRUE)&gt;1,pu,""))</f>
        <v xml:space="preserve">. </v>
      </c>
    </row>
    <row r="140" spans="1:15" s="31" customFormat="1" ht="35.200000000000003" customHeight="1" thickTop="1" thickBot="1" x14ac:dyDescent="0.55000000000000004">
      <c r="A140" s="1"/>
      <c r="B140" s="81" t="s">
        <v>46</v>
      </c>
      <c r="C140" s="80"/>
      <c r="D140" s="1"/>
      <c r="E140" s="71" t="s">
        <v>165</v>
      </c>
      <c r="F140" s="143" t="b">
        <v>1</v>
      </c>
      <c r="G140" s="83"/>
      <c r="I140" s="187"/>
      <c r="J140" s="187"/>
      <c r="K140" s="187"/>
      <c r="N140" s="149" t="str">
        <f>+IF(
COUNTIF(F141:$F$148,TRUE)=1,pu,
IF(
COUNTIF(F141:$F$148,TRUE)&gt;1,pu,""))</f>
        <v xml:space="preserve">. </v>
      </c>
    </row>
    <row r="141" spans="1:15" s="31" customFormat="1" ht="35.200000000000003" customHeight="1" thickTop="1" thickBot="1" x14ac:dyDescent="0.55000000000000004">
      <c r="A141" s="1"/>
      <c r="B141" s="1"/>
      <c r="C141" s="192" t="s">
        <v>293</v>
      </c>
      <c r="D141" s="192"/>
      <c r="E141" s="154" t="s">
        <v>194</v>
      </c>
      <c r="F141" s="143" t="b">
        <f>+IF(E141&gt;"",TRUE,FALSE)</f>
        <v>1</v>
      </c>
      <c r="G141" s="83"/>
      <c r="I141" s="187"/>
      <c r="J141" s="187"/>
      <c r="K141" s="187"/>
      <c r="N141" s="149" t="str">
        <f>+IF(
COUNTIF(F142:$F$148,TRUE)=1,pu,
IF(
COUNTIF(F142:$F$148,TRUE)&gt;1,pu,""))</f>
        <v xml:space="preserve">. </v>
      </c>
    </row>
    <row r="142" spans="1:15" s="31" customFormat="1" ht="35.200000000000003" customHeight="1" thickTop="1" thickBot="1" x14ac:dyDescent="0.55000000000000004">
      <c r="A142" s="1"/>
      <c r="B142" s="81" t="s">
        <v>47</v>
      </c>
      <c r="C142" s="80"/>
      <c r="D142" s="1"/>
      <c r="E142" s="71" t="s">
        <v>166</v>
      </c>
      <c r="F142" s="143" t="b">
        <v>0</v>
      </c>
      <c r="G142" s="83"/>
      <c r="I142" s="187"/>
      <c r="J142" s="187"/>
      <c r="K142" s="187"/>
      <c r="N142" s="149" t="str">
        <f>+IF(
COUNTIF(F143:$F$148,TRUE)=1,pu,
IF(
COUNTIF(F143:$F$148,TRUE)&gt;1,pu,""))</f>
        <v xml:space="preserve">. </v>
      </c>
    </row>
    <row r="143" spans="1:15" s="31" customFormat="1" ht="35.200000000000003" customHeight="1" thickTop="1" thickBot="1" x14ac:dyDescent="0.55000000000000004">
      <c r="A143" s="1"/>
      <c r="B143" s="1"/>
      <c r="C143" s="192" t="s">
        <v>293</v>
      </c>
      <c r="D143" s="192"/>
      <c r="E143" s="154" t="s">
        <v>194</v>
      </c>
      <c r="F143" s="143" t="b">
        <f>+IF(E143&gt;"",TRUE,FALSE)</f>
        <v>1</v>
      </c>
      <c r="G143" s="86"/>
      <c r="I143" s="187"/>
      <c r="J143" s="187"/>
      <c r="K143" s="187"/>
      <c r="N143" s="149" t="str">
        <f>+IF(
COUNTIF(F144:$F$148,TRUE)=1,pu,
IF(
COUNTIF(F144:$F$148,TRUE)&gt;1,pu,""))</f>
        <v xml:space="preserve">. </v>
      </c>
    </row>
    <row r="144" spans="1:15" s="31" customFormat="1" ht="35.200000000000003" customHeight="1" thickTop="1" thickBot="1" x14ac:dyDescent="0.55000000000000004">
      <c r="A144" s="1"/>
      <c r="B144" s="81" t="s">
        <v>48</v>
      </c>
      <c r="C144" s="80"/>
      <c r="D144" s="1"/>
      <c r="E144" s="71" t="s">
        <v>168</v>
      </c>
      <c r="F144" s="147" t="b">
        <v>1</v>
      </c>
      <c r="G144" s="86"/>
      <c r="I144" s="187"/>
      <c r="J144" s="187"/>
      <c r="K144" s="187"/>
      <c r="N144" s="149" t="str">
        <f>+IF(
COUNTIF(F145:$F$148,TRUE)=1,pu,
IF(
COUNTIF(F145:$F$148,TRUE)&gt;1,pu,""))</f>
        <v xml:space="preserve">. </v>
      </c>
    </row>
    <row r="145" spans="1:14" s="31" customFormat="1" ht="35.200000000000003" customHeight="1" thickTop="1" thickBot="1" x14ac:dyDescent="0.55000000000000004">
      <c r="A145" s="1"/>
      <c r="B145" s="79"/>
      <c r="C145" s="80"/>
      <c r="D145" s="81"/>
      <c r="E145" s="71" t="s">
        <v>337</v>
      </c>
      <c r="F145" s="143" t="b">
        <v>1</v>
      </c>
      <c r="G145" s="83"/>
      <c r="I145" s="187"/>
      <c r="J145" s="187"/>
      <c r="K145" s="187"/>
      <c r="N145" s="149" t="str">
        <f>+IF(
COUNTIF(F146:$F$148,TRUE)=1,pu,
IF(
COUNTIF(F146:$F$148,TRUE)&gt;1,pu,""))</f>
        <v xml:space="preserve">. </v>
      </c>
    </row>
    <row r="146" spans="1:14" s="31" customFormat="1" ht="35.200000000000003" customHeight="1" thickTop="1" thickBot="1" x14ac:dyDescent="0.55000000000000004">
      <c r="A146" s="1"/>
      <c r="B146" s="79"/>
      <c r="C146" s="80"/>
      <c r="D146" s="81"/>
      <c r="E146" s="71" t="s">
        <v>338</v>
      </c>
      <c r="F146" s="143" t="b">
        <v>1</v>
      </c>
      <c r="G146" s="83"/>
      <c r="I146" s="187"/>
      <c r="J146" s="187"/>
      <c r="K146" s="187"/>
      <c r="N146" s="149" t="str">
        <f>+IF(
COUNTIF(F147:$F$148,TRUE)=1,pu,
IF(
COUNTIF(F147:$F$148,TRUE)&gt;1,pu,""))</f>
        <v/>
      </c>
    </row>
    <row r="147" spans="1:14" s="31" customFormat="1" ht="35.200000000000003" customHeight="1" thickTop="1" thickBot="1" x14ac:dyDescent="0.55000000000000004">
      <c r="A147" s="1"/>
      <c r="B147" s="79"/>
      <c r="C147" s="80"/>
      <c r="D147" s="81"/>
      <c r="E147" s="71" t="s">
        <v>339</v>
      </c>
      <c r="F147" s="143" t="b">
        <v>0</v>
      </c>
      <c r="G147" s="83"/>
      <c r="I147" s="187"/>
      <c r="J147" s="187"/>
      <c r="K147" s="187"/>
      <c r="N147" s="149" t="str">
        <f>+IF(
COUNTIF(F148:$F$148,TRUE)=1,pu,
IF(
COUNTIF(F148:$F$148,TRUE)&gt;1,pu,""))</f>
        <v/>
      </c>
    </row>
    <row r="148" spans="1:14" s="31" customFormat="1" ht="35.200000000000003" customHeight="1" thickTop="1" thickBot="1" x14ac:dyDescent="0.55000000000000004">
      <c r="A148" s="1"/>
      <c r="B148" s="79"/>
      <c r="C148" s="80"/>
      <c r="D148" s="81"/>
      <c r="E148" s="71"/>
      <c r="F148" s="147"/>
      <c r="G148" s="86"/>
      <c r="H148" s="149"/>
      <c r="I148" s="152"/>
      <c r="J148" s="152"/>
      <c r="K148" s="152"/>
    </row>
    <row r="149" spans="1:14" s="31" customFormat="1" ht="35.200000000000003" customHeight="1" thickTop="1" thickBot="1" x14ac:dyDescent="0.55000000000000004">
      <c r="A149" s="1"/>
      <c r="B149" s="80" t="s">
        <v>49</v>
      </c>
      <c r="C149" s="1"/>
      <c r="D149" s="81"/>
      <c r="E149" s="71" t="s">
        <v>521</v>
      </c>
      <c r="F149" s="143" t="b">
        <v>1</v>
      </c>
      <c r="G149" s="83"/>
      <c r="H149" s="134" t="s">
        <v>444</v>
      </c>
      <c r="I149" s="134" t="s">
        <v>445</v>
      </c>
      <c r="J149" s="134" t="s">
        <v>194</v>
      </c>
      <c r="K149" s="134" t="s">
        <v>194</v>
      </c>
      <c r="L149" s="28" t="str">
        <f ca="1">+OFFSET(F149,0,IF(F149,2,3))</f>
        <v>L'impresa ha determinato le grandezze patrimoniali.</v>
      </c>
      <c r="M149" s="28" t="str">
        <f ca="1">+OFFSET(F149,0,IF(F149,4,5))</f>
        <v>Aggiungere eventuali commenti</v>
      </c>
    </row>
    <row r="150" spans="1:14" s="31" customFormat="1" ht="35.200000000000003" customHeight="1" thickTop="1" thickBot="1" x14ac:dyDescent="0.55000000000000004">
      <c r="A150" s="1"/>
      <c r="B150" s="80"/>
      <c r="C150" s="1"/>
      <c r="D150" s="81"/>
      <c r="E150" s="71" t="s">
        <v>522</v>
      </c>
      <c r="F150" s="143" t="b">
        <v>1</v>
      </c>
      <c r="G150" s="83"/>
      <c r="H150" s="134" t="s">
        <v>524</v>
      </c>
      <c r="I150" s="134" t="s">
        <v>525</v>
      </c>
      <c r="J150" s="134"/>
      <c r="K150" s="134"/>
      <c r="L150" s="28" t="str">
        <f ca="1">+OFFSET(F150,0,IF(F150,2,3))</f>
        <v>Su di esse si innestano le poposte alle parti interessate</v>
      </c>
      <c r="M150" s="28">
        <f ca="1">+OFFSET(F150,0,IF(F150,4,5))</f>
        <v>0</v>
      </c>
    </row>
    <row r="151" spans="1:14" s="31" customFormat="1" ht="35.200000000000003" customHeight="1" thickTop="1" thickBot="1" x14ac:dyDescent="0.55000000000000004">
      <c r="A151" s="1"/>
      <c r="B151" s="80"/>
      <c r="C151" s="1"/>
      <c r="D151" s="81"/>
      <c r="E151" s="71" t="s">
        <v>523</v>
      </c>
      <c r="F151" s="143" t="b">
        <v>1</v>
      </c>
      <c r="G151" s="83"/>
      <c r="H151" s="134" t="s">
        <v>526</v>
      </c>
      <c r="I151" s="134" t="s">
        <v>527</v>
      </c>
      <c r="J151" s="134" t="s">
        <v>194</v>
      </c>
      <c r="K151" s="134" t="s">
        <v>194</v>
      </c>
      <c r="L151" s="28" t="str">
        <f ca="1">+OFFSET(F151,0,IF(F151,2,3))</f>
        <v>e viene calcolata la stima dell’andamento del patrimonio netto al termine dei singoli anni del piano.</v>
      </c>
      <c r="M151" s="28" t="str">
        <f ca="1">+OFFSET(F151,0,IF(F151,4,5))</f>
        <v>Aggiungere eventuali commenti</v>
      </c>
    </row>
    <row r="152" spans="1:14" ht="35.25" hidden="1" customHeight="1" x14ac:dyDescent="0.5"/>
    <row r="153" spans="1:14" ht="50.25" hidden="1" customHeight="1" x14ac:dyDescent="0.5"/>
    <row r="154" spans="1:14" ht="40.5" hidden="1" customHeight="1" x14ac:dyDescent="0.5"/>
    <row r="155" spans="1:14" ht="35.25" hidden="1" customHeight="1" x14ac:dyDescent="0.5"/>
    <row r="156" spans="1:14" ht="35.25" hidden="1" customHeight="1" x14ac:dyDescent="0.5"/>
    <row r="157" spans="1:14" ht="35.25" hidden="1" customHeight="1" x14ac:dyDescent="0.5"/>
    <row r="158" spans="1:14" ht="21.75" customHeight="1" thickTop="1" x14ac:dyDescent="0.5"/>
    <row r="159" spans="1:14" ht="21.75" customHeight="1" x14ac:dyDescent="0.5"/>
  </sheetData>
  <sheetProtection algorithmName="SHA-512" hashValue="aksUEzcFVOn+C3x/c553YlzJXL4tGwpNw/YN2g5CHVOP9KoY3PZtHe+zO2yu76FNkHapuaZXZUUUjg/9VuWCnQ==" saltValue="UWHSc64lBDR74b7ll8G4pg==" spinCount="100000" sheet="1" formatCells="0" formatColumns="0" formatRows="0"/>
  <mergeCells count="37">
    <mergeCell ref="C70:D70"/>
    <mergeCell ref="C78:D78"/>
    <mergeCell ref="C80:D80"/>
    <mergeCell ref="C101:D101"/>
    <mergeCell ref="C106:D106"/>
    <mergeCell ref="C37:D37"/>
    <mergeCell ref="C43:D43"/>
    <mergeCell ref="C53:D53"/>
    <mergeCell ref="C61:D61"/>
    <mergeCell ref="C67:D67"/>
    <mergeCell ref="C120:D120"/>
    <mergeCell ref="C125:D125"/>
    <mergeCell ref="C139:D139"/>
    <mergeCell ref="C141:D141"/>
    <mergeCell ref="I105:K105"/>
    <mergeCell ref="I137:K147"/>
    <mergeCell ref="I124:K125"/>
    <mergeCell ref="I115:K118"/>
    <mergeCell ref="I119:K120"/>
    <mergeCell ref="C143:D143"/>
    <mergeCell ref="C112:D112"/>
    <mergeCell ref="C116:D116"/>
    <mergeCell ref="C118:D118"/>
    <mergeCell ref="C10:D10"/>
    <mergeCell ref="I24:K28"/>
    <mergeCell ref="I22:K23"/>
    <mergeCell ref="I6:K21"/>
    <mergeCell ref="C28:D28"/>
    <mergeCell ref="I29:K36"/>
    <mergeCell ref="I91:K99"/>
    <mergeCell ref="I111:K112"/>
    <mergeCell ref="I44:K49"/>
    <mergeCell ref="I54:K59"/>
    <mergeCell ref="I38:K43"/>
    <mergeCell ref="I62:K69"/>
    <mergeCell ref="I77:K78"/>
    <mergeCell ref="I79:K80"/>
  </mergeCells>
  <phoneticPr fontId="19" type="noConversion"/>
  <conditionalFormatting sqref="E11:F21">
    <cfRule type="expression" dxfId="89" priority="88">
      <formula>$F$6=FALSE</formula>
    </cfRule>
  </conditionalFormatting>
  <conditionalFormatting sqref="E114:F116 E117:E118">
    <cfRule type="expression" dxfId="88" priority="17">
      <formula>$F$111=FALSE</formula>
    </cfRule>
  </conditionalFormatting>
  <conditionalFormatting sqref="E108:G110">
    <cfRule type="expression" dxfId="87" priority="111">
      <formula>$F$105=FALSE</formula>
    </cfRule>
  </conditionalFormatting>
  <conditionalFormatting sqref="E126:G126">
    <cfRule type="expression" dxfId="86" priority="104">
      <formula>$F$124=FALSE</formula>
    </cfRule>
  </conditionalFormatting>
  <conditionalFormatting sqref="F10">
    <cfRule type="expression" dxfId="85" priority="85">
      <formula>$F$135=FALSE</formula>
    </cfRule>
    <cfRule type="iconSet" priority="84">
      <iconSet iconSet="3Symbols2">
        <cfvo type="percent" val="0"/>
        <cfvo type="percent" val="33"/>
        <cfvo type="formula" val="#REF!"/>
      </iconSet>
    </cfRule>
    <cfRule type="cellIs" dxfId="84" priority="86" operator="equal">
      <formula>TRUE</formula>
    </cfRule>
    <cfRule type="iconSet" priority="87">
      <iconSet iconSet="3Symbols2">
        <cfvo type="percent" val="0"/>
        <cfvo type="percent" val="33"/>
        <cfvo type="formula" val="#REF!"/>
      </iconSet>
    </cfRule>
  </conditionalFormatting>
  <conditionalFormatting sqref="F28">
    <cfRule type="iconSet" priority="80">
      <iconSet iconSet="3Symbols2">
        <cfvo type="percent" val="0"/>
        <cfvo type="percent" val="33"/>
        <cfvo type="formula" val="#REF!"/>
      </iconSet>
    </cfRule>
    <cfRule type="iconSet" priority="83">
      <iconSet iconSet="3Symbols2">
        <cfvo type="percent" val="0"/>
        <cfvo type="percent" val="33"/>
        <cfvo type="formula" val="#REF!"/>
      </iconSet>
    </cfRule>
    <cfRule type="cellIs" dxfId="83" priority="82" operator="equal">
      <formula>TRUE</formula>
    </cfRule>
    <cfRule type="expression" dxfId="82" priority="81">
      <formula>$F$135=FALSE</formula>
    </cfRule>
  </conditionalFormatting>
  <conditionalFormatting sqref="F37">
    <cfRule type="iconSet" priority="79">
      <iconSet iconSet="3Symbols2">
        <cfvo type="percent" val="0"/>
        <cfvo type="percent" val="33"/>
        <cfvo type="formula" val="#REF!"/>
      </iconSet>
    </cfRule>
    <cfRule type="cellIs" dxfId="81" priority="78" operator="equal">
      <formula>TRUE</formula>
    </cfRule>
    <cfRule type="iconSet" priority="76">
      <iconSet iconSet="3Symbols2">
        <cfvo type="percent" val="0"/>
        <cfvo type="percent" val="33"/>
        <cfvo type="formula" val="#REF!"/>
      </iconSet>
    </cfRule>
    <cfRule type="expression" dxfId="80" priority="77">
      <formula>$F$135=FALSE</formula>
    </cfRule>
  </conditionalFormatting>
  <conditionalFormatting sqref="F43">
    <cfRule type="iconSet" priority="71">
      <iconSet iconSet="3Symbols2">
        <cfvo type="percent" val="0"/>
        <cfvo type="percent" val="33"/>
        <cfvo type="formula" val="#REF!"/>
      </iconSet>
    </cfRule>
    <cfRule type="cellIs" dxfId="79" priority="70" operator="equal">
      <formula>TRUE</formula>
    </cfRule>
    <cfRule type="expression" dxfId="78" priority="69">
      <formula>$F$135=FALSE</formula>
    </cfRule>
    <cfRule type="iconSet" priority="68">
      <iconSet iconSet="3Symbols2">
        <cfvo type="percent" val="0"/>
        <cfvo type="percent" val="33"/>
        <cfvo type="formula" val="#REF!"/>
      </iconSet>
    </cfRule>
  </conditionalFormatting>
  <conditionalFormatting sqref="F53">
    <cfRule type="iconSet" priority="63">
      <iconSet iconSet="3Symbols2">
        <cfvo type="percent" val="0"/>
        <cfvo type="percent" val="33"/>
        <cfvo type="formula" val="#REF!"/>
      </iconSet>
    </cfRule>
    <cfRule type="cellIs" dxfId="77" priority="62" operator="equal">
      <formula>TRUE</formula>
    </cfRule>
    <cfRule type="expression" dxfId="76" priority="61">
      <formula>$F$135=FALSE</formula>
    </cfRule>
    <cfRule type="iconSet" priority="60">
      <iconSet iconSet="3Symbols2">
        <cfvo type="percent" val="0"/>
        <cfvo type="percent" val="33"/>
        <cfvo type="formula" val="#REF!"/>
      </iconSet>
    </cfRule>
  </conditionalFormatting>
  <conditionalFormatting sqref="F61">
    <cfRule type="expression" dxfId="75" priority="57">
      <formula>$F$135=FALSE</formula>
    </cfRule>
    <cfRule type="iconSet" priority="59">
      <iconSet iconSet="3Symbols2">
        <cfvo type="percent" val="0"/>
        <cfvo type="percent" val="33"/>
        <cfvo type="formula" val="#REF!"/>
      </iconSet>
    </cfRule>
    <cfRule type="cellIs" dxfId="74" priority="58" operator="equal">
      <formula>TRUE</formula>
    </cfRule>
    <cfRule type="iconSet" priority="56">
      <iconSet iconSet="3Symbols2">
        <cfvo type="percent" val="0"/>
        <cfvo type="percent" val="33"/>
        <cfvo type="formula" val="#REF!"/>
      </iconSet>
    </cfRule>
  </conditionalFormatting>
  <conditionalFormatting sqref="F63:F66">
    <cfRule type="cellIs" dxfId="73" priority="177" operator="equal">
      <formula>TRUE</formula>
    </cfRule>
  </conditionalFormatting>
  <conditionalFormatting sqref="F67">
    <cfRule type="iconSet" priority="55">
      <iconSet iconSet="3Symbols2">
        <cfvo type="percent" val="0"/>
        <cfvo type="percent" val="33"/>
        <cfvo type="formula" val="#REF!"/>
      </iconSet>
    </cfRule>
    <cfRule type="expression" dxfId="72" priority="53">
      <formula>$F$135=FALSE</formula>
    </cfRule>
    <cfRule type="iconSet" priority="52">
      <iconSet iconSet="3Symbols2">
        <cfvo type="percent" val="0"/>
        <cfvo type="percent" val="33"/>
        <cfvo type="formula" val="#REF!"/>
      </iconSet>
    </cfRule>
    <cfRule type="cellIs" dxfId="71" priority="54" operator="equal">
      <formula>TRUE</formula>
    </cfRule>
  </conditionalFormatting>
  <conditionalFormatting sqref="F70">
    <cfRule type="iconSet" priority="48">
      <iconSet iconSet="3Symbols2">
        <cfvo type="percent" val="0"/>
        <cfvo type="percent" val="33"/>
        <cfvo type="formula" val="#REF!"/>
      </iconSet>
    </cfRule>
    <cfRule type="expression" dxfId="70" priority="49">
      <formula>$F$135=FALSE</formula>
    </cfRule>
    <cfRule type="cellIs" dxfId="69" priority="50" operator="equal">
      <formula>TRUE</formula>
    </cfRule>
    <cfRule type="iconSet" priority="51">
      <iconSet iconSet="3Symbols2">
        <cfvo type="percent" val="0"/>
        <cfvo type="percent" val="33"/>
        <cfvo type="formula" val="#REF!"/>
      </iconSet>
    </cfRule>
  </conditionalFormatting>
  <conditionalFormatting sqref="F78">
    <cfRule type="iconSet" priority="42">
      <iconSet iconSet="3Symbols2">
        <cfvo type="percent" val="0"/>
        <cfvo type="percent" val="33"/>
        <cfvo type="formula" val="#REF!"/>
      </iconSet>
    </cfRule>
    <cfRule type="cellIs" dxfId="68" priority="44" operator="equal">
      <formula>TRUE</formula>
    </cfRule>
    <cfRule type="expression" dxfId="67" priority="43">
      <formula>$F$135=FALSE</formula>
    </cfRule>
    <cfRule type="iconSet" priority="45">
      <iconSet iconSet="3Symbols2">
        <cfvo type="percent" val="0"/>
        <cfvo type="percent" val="33"/>
        <cfvo type="formula" val="#REF!"/>
      </iconSet>
    </cfRule>
  </conditionalFormatting>
  <conditionalFormatting sqref="F80">
    <cfRule type="iconSet" priority="38">
      <iconSet iconSet="3Symbols2">
        <cfvo type="percent" val="0"/>
        <cfvo type="percent" val="33"/>
        <cfvo type="formula" val="#REF!"/>
      </iconSet>
    </cfRule>
    <cfRule type="expression" dxfId="66" priority="39">
      <formula>$F$135=FALSE</formula>
    </cfRule>
    <cfRule type="cellIs" dxfId="65" priority="40" operator="equal">
      <formula>TRUE</formula>
    </cfRule>
    <cfRule type="iconSet" priority="41">
      <iconSet iconSet="3Symbols2">
        <cfvo type="percent" val="0"/>
        <cfvo type="percent" val="33"/>
        <cfvo type="formula" val="#REF!"/>
      </iconSet>
    </cfRule>
  </conditionalFormatting>
  <conditionalFormatting sqref="F101">
    <cfRule type="iconSet" priority="33">
      <iconSet iconSet="3Symbols2">
        <cfvo type="percent" val="0"/>
        <cfvo type="percent" val="33"/>
        <cfvo type="formula" val="#REF!"/>
      </iconSet>
    </cfRule>
    <cfRule type="iconSet" priority="30">
      <iconSet iconSet="3Symbols2">
        <cfvo type="percent" val="0"/>
        <cfvo type="percent" val="33"/>
        <cfvo type="formula" val="#REF!"/>
      </iconSet>
    </cfRule>
    <cfRule type="expression" dxfId="64" priority="31">
      <formula>$F$135=FALSE</formula>
    </cfRule>
    <cfRule type="cellIs" dxfId="63" priority="32" operator="equal">
      <formula>TRUE</formula>
    </cfRule>
  </conditionalFormatting>
  <conditionalFormatting sqref="F106">
    <cfRule type="iconSet" priority="26">
      <iconSet iconSet="3Symbols2">
        <cfvo type="percent" val="0"/>
        <cfvo type="percent" val="33"/>
        <cfvo type="formula" val="#REF!"/>
      </iconSet>
    </cfRule>
    <cfRule type="cellIs" dxfId="62" priority="28" operator="equal">
      <formula>TRUE</formula>
    </cfRule>
    <cfRule type="iconSet" priority="29">
      <iconSet iconSet="3Symbols2">
        <cfvo type="percent" val="0"/>
        <cfvo type="percent" val="33"/>
        <cfvo type="formula" val="#REF!"/>
      </iconSet>
    </cfRule>
    <cfRule type="expression" dxfId="61" priority="27">
      <formula>$F$135=FALSE</formula>
    </cfRule>
  </conditionalFormatting>
  <conditionalFormatting sqref="F112">
    <cfRule type="cellIs" dxfId="60" priority="24" operator="equal">
      <formula>TRUE</formula>
    </cfRule>
    <cfRule type="iconSet" priority="25">
      <iconSet iconSet="3Symbols2">
        <cfvo type="percent" val="0"/>
        <cfvo type="percent" val="33"/>
        <cfvo type="formula" val="#REF!"/>
      </iconSet>
    </cfRule>
    <cfRule type="iconSet" priority="22">
      <iconSet iconSet="3Symbols2">
        <cfvo type="percent" val="0"/>
        <cfvo type="percent" val="33"/>
        <cfvo type="formula" val="#REF!"/>
      </iconSet>
    </cfRule>
    <cfRule type="expression" dxfId="59" priority="23">
      <formula>$F$135=FALSE</formula>
    </cfRule>
  </conditionalFormatting>
  <conditionalFormatting sqref="F114">
    <cfRule type="cellIs" dxfId="58" priority="129" operator="equal">
      <formula>TRUE</formula>
    </cfRule>
    <cfRule type="iconSet" priority="130">
      <iconSet iconSet="3Symbols2">
        <cfvo type="percent" val="0"/>
        <cfvo type="percent" val="33"/>
        <cfvo type="formula" val="#REF!"/>
      </iconSet>
    </cfRule>
    <cfRule type="expression" dxfId="57" priority="106">
      <formula>$F$114=TRUE</formula>
    </cfRule>
  </conditionalFormatting>
  <conditionalFormatting sqref="F116">
    <cfRule type="expression" dxfId="56" priority="19">
      <formula>$F$135=FALSE</formula>
    </cfRule>
    <cfRule type="iconSet" priority="18">
      <iconSet iconSet="3Symbols2">
        <cfvo type="percent" val="0"/>
        <cfvo type="percent" val="33"/>
        <cfvo type="formula" val="#REF!"/>
      </iconSet>
    </cfRule>
    <cfRule type="cellIs" dxfId="55" priority="20" operator="equal">
      <formula>TRUE</formula>
    </cfRule>
    <cfRule type="iconSet" priority="21">
      <iconSet iconSet="3Symbols2">
        <cfvo type="percent" val="0"/>
        <cfvo type="percent" val="33"/>
        <cfvo type="formula" val="#REF!"/>
      </iconSet>
    </cfRule>
  </conditionalFormatting>
  <conditionalFormatting sqref="F117:F120">
    <cfRule type="expression" dxfId="54" priority="12">
      <formula>$F$111=FALSE</formula>
    </cfRule>
  </conditionalFormatting>
  <conditionalFormatting sqref="F118">
    <cfRule type="cellIs" dxfId="53" priority="10" operator="equal">
      <formula>TRUE</formula>
    </cfRule>
    <cfRule type="iconSet" priority="11">
      <iconSet iconSet="3Symbols2">
        <cfvo type="percent" val="0"/>
        <cfvo type="percent" val="33"/>
        <cfvo type="formula" val="#REF!"/>
      </iconSet>
    </cfRule>
    <cfRule type="expression" dxfId="52" priority="9">
      <formula>$F$135=FALSE</formula>
    </cfRule>
    <cfRule type="iconSet" priority="8">
      <iconSet iconSet="3Symbols2">
        <cfvo type="percent" val="0"/>
        <cfvo type="percent" val="33"/>
        <cfvo type="formula" val="#REF!"/>
      </iconSet>
    </cfRule>
  </conditionalFormatting>
  <conditionalFormatting sqref="F120">
    <cfRule type="cellIs" dxfId="51" priority="15" operator="equal">
      <formula>TRUE</formula>
    </cfRule>
    <cfRule type="expression" dxfId="50" priority="14">
      <formula>$F$135=FALSE</formula>
    </cfRule>
    <cfRule type="iconSet" priority="13">
      <iconSet iconSet="3Symbols2">
        <cfvo type="percent" val="0"/>
        <cfvo type="percent" val="33"/>
        <cfvo type="formula" val="#REF!"/>
      </iconSet>
    </cfRule>
    <cfRule type="iconSet" priority="16">
      <iconSet iconSet="3Symbols2">
        <cfvo type="percent" val="0"/>
        <cfvo type="percent" val="33"/>
        <cfvo type="formula" val="#REF!"/>
      </iconSet>
    </cfRule>
  </conditionalFormatting>
  <conditionalFormatting sqref="F124:F125">
    <cfRule type="expression" dxfId="49" priority="3">
      <formula>$F$111=FALSE</formula>
    </cfRule>
  </conditionalFormatting>
  <conditionalFormatting sqref="F125">
    <cfRule type="iconSet" priority="7">
      <iconSet iconSet="3Symbols2">
        <cfvo type="percent" val="0"/>
        <cfvo type="percent" val="33"/>
        <cfvo type="formula" val="#REF!"/>
      </iconSet>
    </cfRule>
    <cfRule type="cellIs" dxfId="48" priority="6" operator="equal">
      <formula>TRUE</formula>
    </cfRule>
    <cfRule type="expression" dxfId="47" priority="5">
      <formula>$F$135=FALSE</formula>
    </cfRule>
    <cfRule type="iconSet" priority="4">
      <iconSet iconSet="3Symbols2">
        <cfvo type="percent" val="0"/>
        <cfvo type="percent" val="33"/>
        <cfvo type="formula" val="#REF!"/>
      </iconSet>
    </cfRule>
  </conditionalFormatting>
  <conditionalFormatting sqref="F137">
    <cfRule type="iconSet" priority="2">
      <iconSet iconSet="3Symbols2">
        <cfvo type="percent" val="0"/>
        <cfvo type="percent" val="33"/>
        <cfvo type="formula" val="#REF!"/>
      </iconSet>
    </cfRule>
    <cfRule type="cellIs" dxfId="46" priority="1" operator="equal">
      <formula>TRUE</formula>
    </cfRule>
  </conditionalFormatting>
  <conditionalFormatting sqref="F143">
    <cfRule type="iconSet" priority="98">
      <iconSet iconSet="3Symbols2">
        <cfvo type="percent" val="0"/>
        <cfvo type="percent" val="33"/>
        <cfvo type="formula" val="#REF!"/>
      </iconSet>
    </cfRule>
  </conditionalFormatting>
  <conditionalFormatting sqref="F1:G1">
    <cfRule type="cellIs" dxfId="45" priority="101" operator="equal">
      <formula>TRUE</formula>
    </cfRule>
  </conditionalFormatting>
  <conditionalFormatting sqref="F3:G4">
    <cfRule type="cellIs" dxfId="44" priority="100" operator="equal">
      <formula>TRUE</formula>
    </cfRule>
  </conditionalFormatting>
  <conditionalFormatting sqref="F4:G4">
    <cfRule type="iconSet" priority="142">
      <iconSet iconSet="3Symbols2">
        <cfvo type="percent" val="0"/>
        <cfvo type="percent" val="33"/>
        <cfvo type="formula" val="#REF!"/>
      </iconSet>
    </cfRule>
  </conditionalFormatting>
  <conditionalFormatting sqref="F6:G6">
    <cfRule type="iconSet" priority="180">
      <iconSet iconSet="3Symbols2">
        <cfvo type="percent" val="0"/>
        <cfvo type="percent" val="33"/>
        <cfvo type="formula" val="#REF!"/>
      </iconSet>
    </cfRule>
  </conditionalFormatting>
  <conditionalFormatting sqref="F7:G9 G10">
    <cfRule type="iconSet" priority="265">
      <iconSet iconSet="3Symbols2">
        <cfvo type="percent" val="0"/>
        <cfvo type="percent" val="33"/>
        <cfvo type="formula" val="#REF!"/>
      </iconSet>
    </cfRule>
  </conditionalFormatting>
  <conditionalFormatting sqref="F12:G21 F6:G9 G10">
    <cfRule type="cellIs" dxfId="43" priority="179" operator="equal">
      <formula>TRUE</formula>
    </cfRule>
  </conditionalFormatting>
  <conditionalFormatting sqref="F23:G27 F11:G21 G28 F29:G36 F38:G38 G37">
    <cfRule type="iconSet" priority="290">
      <iconSet iconSet="3Symbols2">
        <cfvo type="percent" val="0"/>
        <cfvo type="percent" val="33"/>
        <cfvo type="formula" val="#REF!"/>
      </iconSet>
    </cfRule>
  </conditionalFormatting>
  <conditionalFormatting sqref="F24:G27 F30:G36 G37">
    <cfRule type="cellIs" dxfId="42" priority="266" operator="equal">
      <formula>TRUE</formula>
    </cfRule>
  </conditionalFormatting>
  <conditionalFormatting sqref="F39:G42">
    <cfRule type="cellIs" dxfId="41" priority="200" operator="equal">
      <formula>TRUE</formula>
    </cfRule>
    <cfRule type="iconSet" priority="201">
      <iconSet iconSet="3Symbols2">
        <cfvo type="percent" val="0"/>
        <cfvo type="percent" val="33"/>
        <cfvo type="formula" val="#REF!"/>
      </iconSet>
    </cfRule>
  </conditionalFormatting>
  <conditionalFormatting sqref="F44:G44">
    <cfRule type="iconSet" priority="186">
      <iconSet iconSet="3Symbols2">
        <cfvo type="percent" val="0"/>
        <cfvo type="percent" val="33"/>
        <cfvo type="formula" val="#REF!"/>
      </iconSet>
    </cfRule>
  </conditionalFormatting>
  <conditionalFormatting sqref="F45:G52">
    <cfRule type="cellIs" dxfId="40" priority="117" operator="equal">
      <formula>TRUE</formula>
    </cfRule>
    <cfRule type="iconSet" priority="118">
      <iconSet iconSet="3Symbols2">
        <cfvo type="percent" val="0"/>
        <cfvo type="percent" val="33"/>
        <cfvo type="formula" val="#REF!"/>
      </iconSet>
    </cfRule>
  </conditionalFormatting>
  <conditionalFormatting sqref="F54:G54">
    <cfRule type="iconSet" priority="184">
      <iconSet iconSet="3Symbols2">
        <cfvo type="percent" val="0"/>
        <cfvo type="percent" val="33"/>
        <cfvo type="formula" val="#REF!"/>
      </iconSet>
    </cfRule>
  </conditionalFormatting>
  <conditionalFormatting sqref="F55:G60">
    <cfRule type="cellIs" dxfId="39" priority="183" operator="equal">
      <formula>TRUE</formula>
    </cfRule>
    <cfRule type="iconSet" priority="197">
      <iconSet iconSet="3Symbols2">
        <cfvo type="percent" val="0"/>
        <cfvo type="percent" val="33"/>
        <cfvo type="formula" val="#REF!"/>
      </iconSet>
    </cfRule>
  </conditionalFormatting>
  <conditionalFormatting sqref="F62:G62">
    <cfRule type="iconSet" priority="178">
      <iconSet iconSet="3Symbols2">
        <cfvo type="percent" val="0"/>
        <cfvo type="percent" val="33"/>
        <cfvo type="formula" val="#REF!"/>
      </iconSet>
    </cfRule>
  </conditionalFormatting>
  <conditionalFormatting sqref="F69:G69 G70">
    <cfRule type="cellIs" dxfId="38" priority="190" operator="equal">
      <formula>TRUE</formula>
    </cfRule>
    <cfRule type="cellIs" dxfId="37" priority="195" operator="equal">
      <formula>TRUE</formula>
    </cfRule>
  </conditionalFormatting>
  <conditionalFormatting sqref="F69:G69">
    <cfRule type="expression" dxfId="36" priority="116">
      <formula>$F$62=FALSE</formula>
    </cfRule>
  </conditionalFormatting>
  <conditionalFormatting sqref="F72:G76 F81:G83 F85:G87 G88">
    <cfRule type="cellIs" dxfId="35" priority="175" operator="equal">
      <formula>TRUE</formula>
    </cfRule>
  </conditionalFormatting>
  <conditionalFormatting sqref="F85:G87 F72:G76 G88 F81:G83">
    <cfRule type="iconSet" priority="176">
      <iconSet iconSet="3Symbols2">
        <cfvo type="percent" val="0"/>
        <cfvo type="percent" val="33"/>
        <cfvo type="formula" val="#REF!"/>
      </iconSet>
    </cfRule>
  </conditionalFormatting>
  <conditionalFormatting sqref="F90:G90">
    <cfRule type="iconSet" priority="156">
      <iconSet iconSet="3Symbols2">
        <cfvo type="percent" val="0"/>
        <cfvo type="percent" val="33"/>
        <cfvo type="formula" val="#REF!"/>
      </iconSet>
    </cfRule>
  </conditionalFormatting>
  <conditionalFormatting sqref="F91:G91">
    <cfRule type="iconSet" priority="174">
      <iconSet iconSet="3Symbols2">
        <cfvo type="percent" val="0"/>
        <cfvo type="percent" val="33"/>
        <cfvo type="formula" val="#REF!"/>
      </iconSet>
    </cfRule>
  </conditionalFormatting>
  <conditionalFormatting sqref="F91:G100">
    <cfRule type="cellIs" dxfId="34" priority="99" operator="equal">
      <formula>TRUE</formula>
    </cfRule>
  </conditionalFormatting>
  <conditionalFormatting sqref="F92:G92">
    <cfRule type="iconSet" priority="172">
      <iconSet iconSet="3Symbols2">
        <cfvo type="percent" val="0"/>
        <cfvo type="percent" val="33"/>
        <cfvo type="formula" val="#REF!"/>
      </iconSet>
    </cfRule>
  </conditionalFormatting>
  <conditionalFormatting sqref="F93:G93">
    <cfRule type="iconSet" priority="170">
      <iconSet iconSet="3Symbols2">
        <cfvo type="percent" val="0"/>
        <cfvo type="percent" val="33"/>
        <cfvo type="formula" val="#REF!"/>
      </iconSet>
    </cfRule>
  </conditionalFormatting>
  <conditionalFormatting sqref="F94:G94">
    <cfRule type="iconSet" priority="168">
      <iconSet iconSet="3Symbols2">
        <cfvo type="percent" val="0"/>
        <cfvo type="percent" val="33"/>
        <cfvo type="formula" val="#REF!"/>
      </iconSet>
    </cfRule>
  </conditionalFormatting>
  <conditionalFormatting sqref="F95:G95">
    <cfRule type="iconSet" priority="166">
      <iconSet iconSet="3Symbols2">
        <cfvo type="percent" val="0"/>
        <cfvo type="percent" val="33"/>
        <cfvo type="formula" val="#REF!"/>
      </iconSet>
    </cfRule>
  </conditionalFormatting>
  <conditionalFormatting sqref="F96:G96">
    <cfRule type="iconSet" priority="164">
      <iconSet iconSet="3Symbols2">
        <cfvo type="percent" val="0"/>
        <cfvo type="percent" val="33"/>
        <cfvo type="formula" val="#REF!"/>
      </iconSet>
    </cfRule>
  </conditionalFormatting>
  <conditionalFormatting sqref="F97:G97">
    <cfRule type="iconSet" priority="162">
      <iconSet iconSet="3Symbols2">
        <cfvo type="percent" val="0"/>
        <cfvo type="percent" val="33"/>
        <cfvo type="formula" val="#REF!"/>
      </iconSet>
    </cfRule>
  </conditionalFormatting>
  <conditionalFormatting sqref="F98:G98">
    <cfRule type="iconSet" priority="160">
      <iconSet iconSet="3Symbols2">
        <cfvo type="percent" val="0"/>
        <cfvo type="percent" val="33"/>
        <cfvo type="formula" val="#REF!"/>
      </iconSet>
    </cfRule>
  </conditionalFormatting>
  <conditionalFormatting sqref="F103:G103">
    <cfRule type="cellIs" dxfId="33" priority="139" operator="equal">
      <formula>TRUE</formula>
    </cfRule>
  </conditionalFormatting>
  <conditionalFormatting sqref="F108:G108">
    <cfRule type="iconSet" priority="311">
      <iconSet iconSet="3Symbols2">
        <cfvo type="percent" val="0"/>
        <cfvo type="percent" val="33"/>
        <cfvo type="formula" val="#REF!"/>
      </iconSet>
    </cfRule>
  </conditionalFormatting>
  <conditionalFormatting sqref="F108:G110">
    <cfRule type="cellIs" dxfId="32" priority="133" operator="equal">
      <formula>TRUE</formula>
    </cfRule>
  </conditionalFormatting>
  <conditionalFormatting sqref="F109:G109">
    <cfRule type="iconSet" priority="306">
      <iconSet iconSet="3Symbols2">
        <cfvo type="percent" val="0"/>
        <cfvo type="percent" val="33"/>
        <cfvo type="formula" val="#REF!"/>
      </iconSet>
    </cfRule>
  </conditionalFormatting>
  <conditionalFormatting sqref="F110:G110">
    <cfRule type="iconSet" priority="134">
      <iconSet iconSet="3Symbols2">
        <cfvo type="percent" val="0"/>
        <cfvo type="percent" val="33"/>
        <cfvo type="formula" val="#REF!"/>
      </iconSet>
    </cfRule>
  </conditionalFormatting>
  <conditionalFormatting sqref="F122:G123 G124">
    <cfRule type="cellIs" dxfId="31" priority="148" operator="equal">
      <formula>TRUE</formula>
    </cfRule>
    <cfRule type="iconSet" priority="149">
      <iconSet iconSet="3Symbols2">
        <cfvo type="percent" val="0"/>
        <cfvo type="percent" val="33"/>
        <cfvo type="formula" val="#REF!"/>
      </iconSet>
    </cfRule>
  </conditionalFormatting>
  <conditionalFormatting sqref="F122:G123">
    <cfRule type="expression" dxfId="30" priority="107">
      <formula>$F$119=FALSE</formula>
    </cfRule>
  </conditionalFormatting>
  <conditionalFormatting sqref="F126:G136">
    <cfRule type="cellIs" dxfId="29" priority="146" operator="equal">
      <formula>TRUE</formula>
    </cfRule>
    <cfRule type="iconSet" priority="147">
      <iconSet iconSet="3Symbols2">
        <cfvo type="percent" val="0"/>
        <cfvo type="percent" val="33"/>
        <cfvo type="formula" val="#REF!"/>
      </iconSet>
    </cfRule>
  </conditionalFormatting>
  <conditionalFormatting sqref="F134:G134">
    <cfRule type="expression" dxfId="28" priority="103">
      <formula>$F$133=FALSE</formula>
    </cfRule>
  </conditionalFormatting>
  <conditionalFormatting sqref="F137:G137">
    <cfRule type="iconSet" priority="227">
      <iconSet iconSet="3Symbols2">
        <cfvo type="percent" val="0"/>
        <cfvo type="percent" val="33"/>
        <cfvo type="formula" val="#REF!"/>
      </iconSet>
    </cfRule>
  </conditionalFormatting>
  <conditionalFormatting sqref="F137:G147">
    <cfRule type="expression" dxfId="27" priority="102">
      <formula>$F$135=FALSE</formula>
    </cfRule>
  </conditionalFormatting>
  <conditionalFormatting sqref="F138:G142">
    <cfRule type="iconSet" priority="128">
      <iconSet iconSet="3Symbols2">
        <cfvo type="percent" val="0"/>
        <cfvo type="percent" val="33"/>
        <cfvo type="formula" val="#REF!"/>
      </iconSet>
    </cfRule>
  </conditionalFormatting>
  <conditionalFormatting sqref="F138:G150">
    <cfRule type="cellIs" dxfId="26" priority="119" operator="equal">
      <formula>TRUE</formula>
    </cfRule>
  </conditionalFormatting>
  <conditionalFormatting sqref="F143:G143">
    <cfRule type="iconSet" priority="145">
      <iconSet iconSet="3Symbols2">
        <cfvo type="percent" val="0"/>
        <cfvo type="percent" val="33"/>
        <cfvo type="formula" val="#REF!"/>
      </iconSet>
    </cfRule>
  </conditionalFormatting>
  <conditionalFormatting sqref="F144:G144 F148:G148">
    <cfRule type="iconSet" priority="221">
      <iconSet iconSet="3Symbols2">
        <cfvo type="percent" val="0"/>
        <cfvo type="percent" val="33"/>
        <cfvo type="formula" val="#REF!"/>
      </iconSet>
    </cfRule>
  </conditionalFormatting>
  <conditionalFormatting sqref="F145:G145">
    <cfRule type="iconSet" priority="126">
      <iconSet iconSet="3Symbols2">
        <cfvo type="percent" val="0"/>
        <cfvo type="percent" val="33"/>
        <cfvo type="formula" val="#REF!"/>
      </iconSet>
    </cfRule>
  </conditionalFormatting>
  <conditionalFormatting sqref="F146:G146">
    <cfRule type="iconSet" priority="124">
      <iconSet iconSet="3Symbols2">
        <cfvo type="percent" val="0"/>
        <cfvo type="percent" val="33"/>
        <cfvo type="formula" val="#REF!"/>
      </iconSet>
    </cfRule>
  </conditionalFormatting>
  <conditionalFormatting sqref="F147:G147">
    <cfRule type="iconSet" priority="122">
      <iconSet iconSet="3Symbols2">
        <cfvo type="percent" val="0"/>
        <cfvo type="percent" val="33"/>
        <cfvo type="formula" val="#REF!"/>
      </iconSet>
    </cfRule>
  </conditionalFormatting>
  <conditionalFormatting sqref="F149:G149">
    <cfRule type="iconSet" priority="120">
      <iconSet iconSet="3Symbols2">
        <cfvo type="percent" val="0"/>
        <cfvo type="percent" val="33"/>
        <cfvo type="formula" val="#REF!"/>
      </iconSet>
    </cfRule>
  </conditionalFormatting>
  <conditionalFormatting sqref="F150:G150">
    <cfRule type="iconSet" priority="93">
      <iconSet iconSet="3Symbols2">
        <cfvo type="percent" val="0"/>
        <cfvo type="percent" val="33"/>
        <cfvo type="formula" val="#REF!"/>
      </iconSet>
    </cfRule>
  </conditionalFormatting>
  <conditionalFormatting sqref="F151:G151">
    <cfRule type="cellIs" dxfId="25" priority="91" operator="equal">
      <formula>TRUE</formula>
    </cfRule>
    <cfRule type="iconSet" priority="92">
      <iconSet iconSet="3Symbols2">
        <cfvo type="percent" val="0"/>
        <cfvo type="percent" val="33"/>
        <cfvo type="formula" val="#REF!"/>
      </iconSet>
    </cfRule>
  </conditionalFormatting>
  <conditionalFormatting sqref="G43">
    <cfRule type="iconSet" priority="188">
      <iconSet iconSet="3Symbols2">
        <cfvo type="percent" val="0"/>
        <cfvo type="percent" val="33"/>
        <cfvo type="formula" val="#REF!"/>
      </iconSet>
    </cfRule>
  </conditionalFormatting>
  <conditionalFormatting sqref="G53">
    <cfRule type="iconSet" priority="199">
      <iconSet iconSet="3Symbols2">
        <cfvo type="percent" val="0"/>
        <cfvo type="percent" val="33"/>
        <cfvo type="formula" val="#REF!"/>
      </iconSet>
    </cfRule>
  </conditionalFormatting>
  <conditionalFormatting sqref="G61">
    <cfRule type="iconSet" priority="182">
      <iconSet iconSet="3Symbols2">
        <cfvo type="percent" val="0"/>
        <cfvo type="percent" val="33"/>
        <cfvo type="formula" val="#REF!"/>
      </iconSet>
    </cfRule>
  </conditionalFormatting>
  <conditionalFormatting sqref="G78">
    <cfRule type="cellIs" dxfId="24" priority="114" operator="equal">
      <formula>TRUE</formula>
    </cfRule>
    <cfRule type="cellIs" dxfId="23" priority="115" operator="equal">
      <formula>TRUE</formula>
    </cfRule>
  </conditionalFormatting>
  <conditionalFormatting sqref="G80">
    <cfRule type="cellIs" dxfId="22" priority="112" operator="equal">
      <formula>TRUE</formula>
    </cfRule>
    <cfRule type="cellIs" dxfId="21" priority="113" operator="equal">
      <formula>TRUE</formula>
    </cfRule>
  </conditionalFormatting>
  <conditionalFormatting sqref="G105">
    <cfRule type="iconSet" priority="153">
      <iconSet iconSet="3Symbols2">
        <cfvo type="percent" val="0"/>
        <cfvo type="percent" val="33"/>
        <cfvo type="formula" val="#REF!"/>
      </iconSet>
    </cfRule>
    <cfRule type="cellIs" dxfId="20" priority="152" operator="equal">
      <formula>TRUE</formula>
    </cfRule>
  </conditionalFormatting>
  <conditionalFormatting sqref="G111">
    <cfRule type="cellIs" dxfId="19" priority="109" operator="equal">
      <formula>TRUE</formula>
    </cfRule>
    <cfRule type="iconSet" priority="110">
      <iconSet iconSet="3Symbols2">
        <cfvo type="percent" val="0"/>
        <cfvo type="percent" val="33"/>
        <cfvo type="formula" val="#REF!"/>
      </iconSet>
    </cfRule>
  </conditionalFormatting>
  <conditionalFormatting sqref="G115 G117 F103:G103 F99:G100 G101">
    <cfRule type="iconSet" priority="298">
      <iconSet iconSet="3Symbols2">
        <cfvo type="percent" val="0"/>
        <cfvo type="percent" val="33"/>
        <cfvo type="formula" val="#REF!"/>
      </iconSet>
    </cfRule>
  </conditionalFormatting>
  <conditionalFormatting sqref="G119">
    <cfRule type="cellIs" dxfId="18" priority="150" operator="equal">
      <formula>TRUE</formula>
    </cfRule>
    <cfRule type="iconSet" priority="151">
      <iconSet iconSet="3Symbols2">
        <cfvo type="percent" val="0"/>
        <cfvo type="percent" val="33"/>
        <cfvo type="formula" val="#REF!"/>
      </iconSet>
    </cfRule>
  </conditionalFormatting>
  <pageMargins left="0.7" right="0.7" top="0.75" bottom="0.75" header="0.3" footer="0.3"/>
  <pageSetup paperSize="9" orientation="portrait" horizontalDpi="200" verticalDpi="200" r:id="rId1"/>
  <drawing r:id="rId2"/>
  <legacyDrawing r:id="rId3"/>
  <mc:AlternateContent xmlns:mc="http://schemas.openxmlformats.org/markup-compatibility/2006">
    <mc:Choice Requires="x14">
      <controls>
        <mc:AlternateContent xmlns:mc="http://schemas.openxmlformats.org/markup-compatibility/2006">
          <mc:Choice Requires="x14">
            <control shapeId="7181" r:id="rId4" name="Check Box 13">
              <controlPr defaultSize="0" autoFill="0" autoLine="0" autoPict="0">
                <anchor moveWithCells="1">
                  <from>
                    <xdr:col>5</xdr:col>
                    <xdr:colOff>38100</xdr:colOff>
                    <xdr:row>6</xdr:row>
                    <xdr:rowOff>38100</xdr:rowOff>
                  </from>
                  <to>
                    <xdr:col>5</xdr:col>
                    <xdr:colOff>254000</xdr:colOff>
                    <xdr:row>6</xdr:row>
                    <xdr:rowOff>241300</xdr:rowOff>
                  </to>
                </anchor>
              </controlPr>
            </control>
          </mc:Choice>
        </mc:AlternateContent>
        <mc:AlternateContent xmlns:mc="http://schemas.openxmlformats.org/markup-compatibility/2006">
          <mc:Choice Requires="x14">
            <control shapeId="7182" r:id="rId5" name="Check Box 14">
              <controlPr defaultSize="0" autoFill="0" autoLine="0" autoPict="0">
                <anchor moveWithCells="1">
                  <from>
                    <xdr:col>5</xdr:col>
                    <xdr:colOff>38100</xdr:colOff>
                    <xdr:row>7</xdr:row>
                    <xdr:rowOff>38100</xdr:rowOff>
                  </from>
                  <to>
                    <xdr:col>5</xdr:col>
                    <xdr:colOff>254000</xdr:colOff>
                    <xdr:row>7</xdr:row>
                    <xdr:rowOff>241300</xdr:rowOff>
                  </to>
                </anchor>
              </controlPr>
            </control>
          </mc:Choice>
        </mc:AlternateContent>
        <mc:AlternateContent xmlns:mc="http://schemas.openxmlformats.org/markup-compatibility/2006">
          <mc:Choice Requires="x14">
            <control shapeId="7183" r:id="rId6" name="Check Box 15">
              <controlPr defaultSize="0" autoFill="0" autoLine="0" autoPict="0">
                <anchor moveWithCells="1">
                  <from>
                    <xdr:col>5</xdr:col>
                    <xdr:colOff>38100</xdr:colOff>
                    <xdr:row>8</xdr:row>
                    <xdr:rowOff>38100</xdr:rowOff>
                  </from>
                  <to>
                    <xdr:col>5</xdr:col>
                    <xdr:colOff>254000</xdr:colOff>
                    <xdr:row>8</xdr:row>
                    <xdr:rowOff>241300</xdr:rowOff>
                  </to>
                </anchor>
              </controlPr>
            </control>
          </mc:Choice>
        </mc:AlternateContent>
        <mc:AlternateContent xmlns:mc="http://schemas.openxmlformats.org/markup-compatibility/2006">
          <mc:Choice Requires="x14">
            <control shapeId="7170" r:id="rId7" name="Check Box 2">
              <controlPr defaultSize="0" autoFill="0" autoLine="0" autoPict="0">
                <anchor moveWithCells="1">
                  <from>
                    <xdr:col>5</xdr:col>
                    <xdr:colOff>38100</xdr:colOff>
                    <xdr:row>11</xdr:row>
                    <xdr:rowOff>38100</xdr:rowOff>
                  </from>
                  <to>
                    <xdr:col>5</xdr:col>
                    <xdr:colOff>254000</xdr:colOff>
                    <xdr:row>11</xdr:row>
                    <xdr:rowOff>241300</xdr:rowOff>
                  </to>
                </anchor>
              </controlPr>
            </control>
          </mc:Choice>
        </mc:AlternateContent>
        <mc:AlternateContent xmlns:mc="http://schemas.openxmlformats.org/markup-compatibility/2006">
          <mc:Choice Requires="x14">
            <control shapeId="7172" r:id="rId8" name="Check Box 4">
              <controlPr defaultSize="0" autoFill="0" autoLine="0" autoPict="0">
                <anchor moveWithCells="1">
                  <from>
                    <xdr:col>5</xdr:col>
                    <xdr:colOff>38100</xdr:colOff>
                    <xdr:row>12</xdr:row>
                    <xdr:rowOff>38100</xdr:rowOff>
                  </from>
                  <to>
                    <xdr:col>5</xdr:col>
                    <xdr:colOff>254000</xdr:colOff>
                    <xdr:row>12</xdr:row>
                    <xdr:rowOff>241300</xdr:rowOff>
                  </to>
                </anchor>
              </controlPr>
            </control>
          </mc:Choice>
        </mc:AlternateContent>
        <mc:AlternateContent xmlns:mc="http://schemas.openxmlformats.org/markup-compatibility/2006">
          <mc:Choice Requires="x14">
            <control shapeId="7173" r:id="rId9" name="Check Box 5">
              <controlPr defaultSize="0" autoFill="0" autoLine="0" autoPict="0">
                <anchor moveWithCells="1">
                  <from>
                    <xdr:col>5</xdr:col>
                    <xdr:colOff>38100</xdr:colOff>
                    <xdr:row>13</xdr:row>
                    <xdr:rowOff>38100</xdr:rowOff>
                  </from>
                  <to>
                    <xdr:col>5</xdr:col>
                    <xdr:colOff>254000</xdr:colOff>
                    <xdr:row>13</xdr:row>
                    <xdr:rowOff>241300</xdr:rowOff>
                  </to>
                </anchor>
              </controlPr>
            </control>
          </mc:Choice>
        </mc:AlternateContent>
        <mc:AlternateContent xmlns:mc="http://schemas.openxmlformats.org/markup-compatibility/2006">
          <mc:Choice Requires="x14">
            <control shapeId="7174" r:id="rId10" name="Check Box 6">
              <controlPr defaultSize="0" autoFill="0" autoLine="0" autoPict="0">
                <anchor moveWithCells="1">
                  <from>
                    <xdr:col>5</xdr:col>
                    <xdr:colOff>38100</xdr:colOff>
                    <xdr:row>14</xdr:row>
                    <xdr:rowOff>38100</xdr:rowOff>
                  </from>
                  <to>
                    <xdr:col>5</xdr:col>
                    <xdr:colOff>254000</xdr:colOff>
                    <xdr:row>14</xdr:row>
                    <xdr:rowOff>241300</xdr:rowOff>
                  </to>
                </anchor>
              </controlPr>
            </control>
          </mc:Choice>
        </mc:AlternateContent>
        <mc:AlternateContent xmlns:mc="http://schemas.openxmlformats.org/markup-compatibility/2006">
          <mc:Choice Requires="x14">
            <control shapeId="7175" r:id="rId11" name="Check Box 7">
              <controlPr defaultSize="0" autoFill="0" autoLine="0" autoPict="0">
                <anchor moveWithCells="1">
                  <from>
                    <xdr:col>5</xdr:col>
                    <xdr:colOff>38100</xdr:colOff>
                    <xdr:row>15</xdr:row>
                    <xdr:rowOff>38100</xdr:rowOff>
                  </from>
                  <to>
                    <xdr:col>5</xdr:col>
                    <xdr:colOff>254000</xdr:colOff>
                    <xdr:row>15</xdr:row>
                    <xdr:rowOff>241300</xdr:rowOff>
                  </to>
                </anchor>
              </controlPr>
            </control>
          </mc:Choice>
        </mc:AlternateContent>
        <mc:AlternateContent xmlns:mc="http://schemas.openxmlformats.org/markup-compatibility/2006">
          <mc:Choice Requires="x14">
            <control shapeId="7176" r:id="rId12" name="Check Box 8">
              <controlPr defaultSize="0" autoFill="0" autoLine="0" autoPict="0">
                <anchor moveWithCells="1">
                  <from>
                    <xdr:col>5</xdr:col>
                    <xdr:colOff>38100</xdr:colOff>
                    <xdr:row>16</xdr:row>
                    <xdr:rowOff>38100</xdr:rowOff>
                  </from>
                  <to>
                    <xdr:col>5</xdr:col>
                    <xdr:colOff>254000</xdr:colOff>
                    <xdr:row>16</xdr:row>
                    <xdr:rowOff>241300</xdr:rowOff>
                  </to>
                </anchor>
              </controlPr>
            </control>
          </mc:Choice>
        </mc:AlternateContent>
        <mc:AlternateContent xmlns:mc="http://schemas.openxmlformats.org/markup-compatibility/2006">
          <mc:Choice Requires="x14">
            <control shapeId="7177" r:id="rId13" name="Check Box 9">
              <controlPr defaultSize="0" autoFill="0" autoLine="0" autoPict="0">
                <anchor moveWithCells="1">
                  <from>
                    <xdr:col>5</xdr:col>
                    <xdr:colOff>38100</xdr:colOff>
                    <xdr:row>17</xdr:row>
                    <xdr:rowOff>38100</xdr:rowOff>
                  </from>
                  <to>
                    <xdr:col>5</xdr:col>
                    <xdr:colOff>254000</xdr:colOff>
                    <xdr:row>17</xdr:row>
                    <xdr:rowOff>241300</xdr:rowOff>
                  </to>
                </anchor>
              </controlPr>
            </control>
          </mc:Choice>
        </mc:AlternateContent>
        <mc:AlternateContent xmlns:mc="http://schemas.openxmlformats.org/markup-compatibility/2006">
          <mc:Choice Requires="x14">
            <control shapeId="7178" r:id="rId14" name="Check Box 10">
              <controlPr defaultSize="0" autoFill="0" autoLine="0" autoPict="0">
                <anchor moveWithCells="1">
                  <from>
                    <xdr:col>5</xdr:col>
                    <xdr:colOff>38100</xdr:colOff>
                    <xdr:row>18</xdr:row>
                    <xdr:rowOff>38100</xdr:rowOff>
                  </from>
                  <to>
                    <xdr:col>5</xdr:col>
                    <xdr:colOff>254000</xdr:colOff>
                    <xdr:row>18</xdr:row>
                    <xdr:rowOff>241300</xdr:rowOff>
                  </to>
                </anchor>
              </controlPr>
            </control>
          </mc:Choice>
        </mc:AlternateContent>
        <mc:AlternateContent xmlns:mc="http://schemas.openxmlformats.org/markup-compatibility/2006">
          <mc:Choice Requires="x14">
            <control shapeId="7179" r:id="rId15" name="Check Box 11">
              <controlPr defaultSize="0" autoFill="0" autoLine="0" autoPict="0">
                <anchor moveWithCells="1">
                  <from>
                    <xdr:col>5</xdr:col>
                    <xdr:colOff>38100</xdr:colOff>
                    <xdr:row>19</xdr:row>
                    <xdr:rowOff>38100</xdr:rowOff>
                  </from>
                  <to>
                    <xdr:col>5</xdr:col>
                    <xdr:colOff>254000</xdr:colOff>
                    <xdr:row>19</xdr:row>
                    <xdr:rowOff>241300</xdr:rowOff>
                  </to>
                </anchor>
              </controlPr>
            </control>
          </mc:Choice>
        </mc:AlternateContent>
        <mc:AlternateContent xmlns:mc="http://schemas.openxmlformats.org/markup-compatibility/2006">
          <mc:Choice Requires="x14">
            <control shapeId="7180" r:id="rId16" name="Check Box 12">
              <controlPr defaultSize="0" autoFill="0" autoLine="0" autoPict="0">
                <anchor moveWithCells="1">
                  <from>
                    <xdr:col>5</xdr:col>
                    <xdr:colOff>38100</xdr:colOff>
                    <xdr:row>20</xdr:row>
                    <xdr:rowOff>38100</xdr:rowOff>
                  </from>
                  <to>
                    <xdr:col>5</xdr:col>
                    <xdr:colOff>254000</xdr:colOff>
                    <xdr:row>20</xdr:row>
                    <xdr:rowOff>241300</xdr:rowOff>
                  </to>
                </anchor>
              </controlPr>
            </control>
          </mc:Choice>
        </mc:AlternateContent>
        <mc:AlternateContent xmlns:mc="http://schemas.openxmlformats.org/markup-compatibility/2006">
          <mc:Choice Requires="x14">
            <control shapeId="7207" r:id="rId17" name="Check Box 39">
              <controlPr defaultSize="0" autoFill="0" autoLine="0" autoPict="0">
                <anchor moveWithCells="1">
                  <from>
                    <xdr:col>5</xdr:col>
                    <xdr:colOff>38100</xdr:colOff>
                    <xdr:row>25</xdr:row>
                    <xdr:rowOff>38100</xdr:rowOff>
                  </from>
                  <to>
                    <xdr:col>5</xdr:col>
                    <xdr:colOff>254000</xdr:colOff>
                    <xdr:row>25</xdr:row>
                    <xdr:rowOff>241300</xdr:rowOff>
                  </to>
                </anchor>
              </controlPr>
            </control>
          </mc:Choice>
        </mc:AlternateContent>
        <mc:AlternateContent xmlns:mc="http://schemas.openxmlformats.org/markup-compatibility/2006">
          <mc:Choice Requires="x14">
            <control shapeId="7208" r:id="rId18" name="Check Box 40">
              <controlPr defaultSize="0" autoFill="0" autoLine="0" autoPict="0">
                <anchor moveWithCells="1">
                  <from>
                    <xdr:col>5</xdr:col>
                    <xdr:colOff>38100</xdr:colOff>
                    <xdr:row>26</xdr:row>
                    <xdr:rowOff>38100</xdr:rowOff>
                  </from>
                  <to>
                    <xdr:col>5</xdr:col>
                    <xdr:colOff>254000</xdr:colOff>
                    <xdr:row>26</xdr:row>
                    <xdr:rowOff>241300</xdr:rowOff>
                  </to>
                </anchor>
              </controlPr>
            </control>
          </mc:Choice>
        </mc:AlternateContent>
        <mc:AlternateContent xmlns:mc="http://schemas.openxmlformats.org/markup-compatibility/2006">
          <mc:Choice Requires="x14">
            <control shapeId="7219" r:id="rId19" name="Check Box 51">
              <controlPr defaultSize="0" autoFill="0" autoLine="0" autoPict="0">
                <anchor moveWithCells="1">
                  <from>
                    <xdr:col>5</xdr:col>
                    <xdr:colOff>50800</xdr:colOff>
                    <xdr:row>107</xdr:row>
                    <xdr:rowOff>21167</xdr:rowOff>
                  </from>
                  <to>
                    <xdr:col>6</xdr:col>
                    <xdr:colOff>12700</xdr:colOff>
                    <xdr:row>107</xdr:row>
                    <xdr:rowOff>254000</xdr:rowOff>
                  </to>
                </anchor>
              </controlPr>
            </control>
          </mc:Choice>
        </mc:AlternateContent>
        <mc:AlternateContent xmlns:mc="http://schemas.openxmlformats.org/markup-compatibility/2006">
          <mc:Choice Requires="x14">
            <control shapeId="7220" r:id="rId20" name="Check Box 52">
              <controlPr defaultSize="0" autoFill="0" autoLine="0" autoPict="0">
                <anchor moveWithCells="1">
                  <from>
                    <xdr:col>5</xdr:col>
                    <xdr:colOff>38100</xdr:colOff>
                    <xdr:row>108</xdr:row>
                    <xdr:rowOff>0</xdr:rowOff>
                  </from>
                  <to>
                    <xdr:col>6</xdr:col>
                    <xdr:colOff>0</xdr:colOff>
                    <xdr:row>108</xdr:row>
                    <xdr:rowOff>241300</xdr:rowOff>
                  </to>
                </anchor>
              </controlPr>
            </control>
          </mc:Choice>
        </mc:AlternateContent>
        <mc:AlternateContent xmlns:mc="http://schemas.openxmlformats.org/markup-compatibility/2006">
          <mc:Choice Requires="x14">
            <control shapeId="7222" r:id="rId21" name="Check Box 54">
              <controlPr defaultSize="0" autoFill="0" autoLine="0" autoPict="0">
                <anchor moveWithCells="1">
                  <from>
                    <xdr:col>5</xdr:col>
                    <xdr:colOff>21167</xdr:colOff>
                    <xdr:row>113</xdr:row>
                    <xdr:rowOff>21167</xdr:rowOff>
                  </from>
                  <to>
                    <xdr:col>5</xdr:col>
                    <xdr:colOff>266700</xdr:colOff>
                    <xdr:row>113</xdr:row>
                    <xdr:rowOff>254000</xdr:rowOff>
                  </to>
                </anchor>
              </controlPr>
            </control>
          </mc:Choice>
        </mc:AlternateContent>
        <mc:AlternateContent xmlns:mc="http://schemas.openxmlformats.org/markup-compatibility/2006">
          <mc:Choice Requires="x14">
            <control shapeId="7224" r:id="rId22" name="Check Box 56">
              <controlPr defaultSize="0" autoFill="0" autoLine="0" autoPict="0">
                <anchor moveWithCells="1">
                  <from>
                    <xdr:col>5</xdr:col>
                    <xdr:colOff>50800</xdr:colOff>
                    <xdr:row>125</xdr:row>
                    <xdr:rowOff>0</xdr:rowOff>
                  </from>
                  <to>
                    <xdr:col>6</xdr:col>
                    <xdr:colOff>12700</xdr:colOff>
                    <xdr:row>125</xdr:row>
                    <xdr:rowOff>241300</xdr:rowOff>
                  </to>
                </anchor>
              </controlPr>
            </control>
          </mc:Choice>
        </mc:AlternateContent>
        <mc:AlternateContent xmlns:mc="http://schemas.openxmlformats.org/markup-compatibility/2006">
          <mc:Choice Requires="x14">
            <control shapeId="7225" r:id="rId23" name="Check Box 57">
              <controlPr defaultSize="0" autoFill="0" autoLine="0" autoPict="0">
                <anchor moveWithCells="1">
                  <from>
                    <xdr:col>5</xdr:col>
                    <xdr:colOff>50800</xdr:colOff>
                    <xdr:row>126</xdr:row>
                    <xdr:rowOff>0</xdr:rowOff>
                  </from>
                  <to>
                    <xdr:col>6</xdr:col>
                    <xdr:colOff>12700</xdr:colOff>
                    <xdr:row>126</xdr:row>
                    <xdr:rowOff>241300</xdr:rowOff>
                  </to>
                </anchor>
              </controlPr>
            </control>
          </mc:Choice>
        </mc:AlternateContent>
        <mc:AlternateContent xmlns:mc="http://schemas.openxmlformats.org/markup-compatibility/2006">
          <mc:Choice Requires="x14">
            <control shapeId="7226" r:id="rId24" name="Check Box 58">
              <controlPr defaultSize="0" autoFill="0" autoLine="0" autoPict="0">
                <anchor moveWithCells="1">
                  <from>
                    <xdr:col>5</xdr:col>
                    <xdr:colOff>50800</xdr:colOff>
                    <xdr:row>127</xdr:row>
                    <xdr:rowOff>0</xdr:rowOff>
                  </from>
                  <to>
                    <xdr:col>6</xdr:col>
                    <xdr:colOff>12700</xdr:colOff>
                    <xdr:row>127</xdr:row>
                    <xdr:rowOff>241300</xdr:rowOff>
                  </to>
                </anchor>
              </controlPr>
            </control>
          </mc:Choice>
        </mc:AlternateContent>
        <mc:AlternateContent xmlns:mc="http://schemas.openxmlformats.org/markup-compatibility/2006">
          <mc:Choice Requires="x14">
            <control shapeId="7227" r:id="rId25" name="Check Box 59">
              <controlPr defaultSize="0" autoFill="0" autoLine="0" autoPict="0">
                <anchor moveWithCells="1">
                  <from>
                    <xdr:col>5</xdr:col>
                    <xdr:colOff>50800</xdr:colOff>
                    <xdr:row>128</xdr:row>
                    <xdr:rowOff>0</xdr:rowOff>
                  </from>
                  <to>
                    <xdr:col>6</xdr:col>
                    <xdr:colOff>12700</xdr:colOff>
                    <xdr:row>128</xdr:row>
                    <xdr:rowOff>241300</xdr:rowOff>
                  </to>
                </anchor>
              </controlPr>
            </control>
          </mc:Choice>
        </mc:AlternateContent>
        <mc:AlternateContent xmlns:mc="http://schemas.openxmlformats.org/markup-compatibility/2006">
          <mc:Choice Requires="x14">
            <control shapeId="7228" r:id="rId26" name="Check Box 60">
              <controlPr defaultSize="0" autoFill="0" autoLine="0" autoPict="0">
                <anchor moveWithCells="1">
                  <from>
                    <xdr:col>5</xdr:col>
                    <xdr:colOff>50800</xdr:colOff>
                    <xdr:row>129</xdr:row>
                    <xdr:rowOff>0</xdr:rowOff>
                  </from>
                  <to>
                    <xdr:col>6</xdr:col>
                    <xdr:colOff>12700</xdr:colOff>
                    <xdr:row>129</xdr:row>
                    <xdr:rowOff>241300</xdr:rowOff>
                  </to>
                </anchor>
              </controlPr>
            </control>
          </mc:Choice>
        </mc:AlternateContent>
        <mc:AlternateContent xmlns:mc="http://schemas.openxmlformats.org/markup-compatibility/2006">
          <mc:Choice Requires="x14">
            <control shapeId="7229" r:id="rId27" name="Check Box 61">
              <controlPr defaultSize="0" autoFill="0" autoLine="0" autoPict="0">
                <anchor moveWithCells="1">
                  <from>
                    <xdr:col>5</xdr:col>
                    <xdr:colOff>50800</xdr:colOff>
                    <xdr:row>130</xdr:row>
                    <xdr:rowOff>25400</xdr:rowOff>
                  </from>
                  <to>
                    <xdr:col>6</xdr:col>
                    <xdr:colOff>12700</xdr:colOff>
                    <xdr:row>130</xdr:row>
                    <xdr:rowOff>266700</xdr:rowOff>
                  </to>
                </anchor>
              </controlPr>
            </control>
          </mc:Choice>
        </mc:AlternateContent>
        <mc:AlternateContent xmlns:mc="http://schemas.openxmlformats.org/markup-compatibility/2006">
          <mc:Choice Requires="x14">
            <control shapeId="7231" r:id="rId28" name="Check Box 63">
              <controlPr defaultSize="0" autoFill="0" autoLine="0" autoPict="0">
                <anchor moveWithCells="1">
                  <from>
                    <xdr:col>5</xdr:col>
                    <xdr:colOff>38100</xdr:colOff>
                    <xdr:row>136</xdr:row>
                    <xdr:rowOff>25400</xdr:rowOff>
                  </from>
                  <to>
                    <xdr:col>6</xdr:col>
                    <xdr:colOff>0</xdr:colOff>
                    <xdr:row>136</xdr:row>
                    <xdr:rowOff>266700</xdr:rowOff>
                  </to>
                </anchor>
              </controlPr>
            </control>
          </mc:Choice>
        </mc:AlternateContent>
        <mc:AlternateContent xmlns:mc="http://schemas.openxmlformats.org/markup-compatibility/2006">
          <mc:Choice Requires="x14">
            <control shapeId="7232" r:id="rId29" name="Check Box 64">
              <controlPr defaultSize="0" autoFill="0" autoLine="0" autoPict="0">
                <anchor moveWithCells="1">
                  <from>
                    <xdr:col>5</xdr:col>
                    <xdr:colOff>59267</xdr:colOff>
                    <xdr:row>139</xdr:row>
                    <xdr:rowOff>25400</xdr:rowOff>
                  </from>
                  <to>
                    <xdr:col>6</xdr:col>
                    <xdr:colOff>21167</xdr:colOff>
                    <xdr:row>139</xdr:row>
                    <xdr:rowOff>266700</xdr:rowOff>
                  </to>
                </anchor>
              </controlPr>
            </control>
          </mc:Choice>
        </mc:AlternateContent>
        <mc:AlternateContent xmlns:mc="http://schemas.openxmlformats.org/markup-compatibility/2006">
          <mc:Choice Requires="x14">
            <control shapeId="7233" r:id="rId30" name="Check Box 65">
              <controlPr defaultSize="0" autoFill="0" autoLine="0" autoPict="0">
                <anchor moveWithCells="1">
                  <from>
                    <xdr:col>5</xdr:col>
                    <xdr:colOff>59267</xdr:colOff>
                    <xdr:row>141</xdr:row>
                    <xdr:rowOff>25400</xdr:rowOff>
                  </from>
                  <to>
                    <xdr:col>6</xdr:col>
                    <xdr:colOff>21167</xdr:colOff>
                    <xdr:row>141</xdr:row>
                    <xdr:rowOff>266700</xdr:rowOff>
                  </to>
                </anchor>
              </controlPr>
            </control>
          </mc:Choice>
        </mc:AlternateContent>
        <mc:AlternateContent xmlns:mc="http://schemas.openxmlformats.org/markup-compatibility/2006">
          <mc:Choice Requires="x14">
            <control shapeId="7234" r:id="rId31" name="Check Box 66">
              <controlPr defaultSize="0" autoFill="0" autoLine="0" autoPict="0">
                <anchor moveWithCells="1">
                  <from>
                    <xdr:col>5</xdr:col>
                    <xdr:colOff>59267</xdr:colOff>
                    <xdr:row>143</xdr:row>
                    <xdr:rowOff>25400</xdr:rowOff>
                  </from>
                  <to>
                    <xdr:col>6</xdr:col>
                    <xdr:colOff>21167</xdr:colOff>
                    <xdr:row>143</xdr:row>
                    <xdr:rowOff>266700</xdr:rowOff>
                  </to>
                </anchor>
              </controlPr>
            </control>
          </mc:Choice>
        </mc:AlternateContent>
        <mc:AlternateContent xmlns:mc="http://schemas.openxmlformats.org/markup-compatibility/2006">
          <mc:Choice Requires="x14">
            <control shapeId="7235" r:id="rId32" name="Check Box 67">
              <controlPr defaultSize="0" autoFill="0" autoLine="0" autoPict="0">
                <anchor moveWithCells="1">
                  <from>
                    <xdr:col>5</xdr:col>
                    <xdr:colOff>38100</xdr:colOff>
                    <xdr:row>148</xdr:row>
                    <xdr:rowOff>76200</xdr:rowOff>
                  </from>
                  <to>
                    <xdr:col>6</xdr:col>
                    <xdr:colOff>0</xdr:colOff>
                    <xdr:row>148</xdr:row>
                    <xdr:rowOff>317500</xdr:rowOff>
                  </to>
                </anchor>
              </controlPr>
            </control>
          </mc:Choice>
        </mc:AlternateContent>
        <mc:AlternateContent xmlns:mc="http://schemas.openxmlformats.org/markup-compatibility/2006">
          <mc:Choice Requires="x14">
            <control shapeId="7248" r:id="rId33" name="Check Box 80">
              <controlPr defaultSize="0" autoFill="0" autoLin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7206" r:id="rId34" name="Check Box 38">
              <controlPr defaultSize="0" autoFill="0" autoLine="0" autoPict="0">
                <anchor moveWithCells="1">
                  <from>
                    <xdr:col>5</xdr:col>
                    <xdr:colOff>38100</xdr:colOff>
                    <xdr:row>24</xdr:row>
                    <xdr:rowOff>38100</xdr:rowOff>
                  </from>
                  <to>
                    <xdr:col>5</xdr:col>
                    <xdr:colOff>254000</xdr:colOff>
                    <xdr:row>24</xdr:row>
                    <xdr:rowOff>241300</xdr:rowOff>
                  </to>
                </anchor>
              </controlPr>
            </control>
          </mc:Choice>
        </mc:AlternateContent>
        <mc:AlternateContent xmlns:mc="http://schemas.openxmlformats.org/markup-compatibility/2006">
          <mc:Choice Requires="x14">
            <control shapeId="7251" r:id="rId35" name="Check Box 83">
              <controlPr defaultSize="0" autoFill="0" autoLine="0" autoPict="0">
                <anchor moveWithCells="1">
                  <from>
                    <xdr:col>5</xdr:col>
                    <xdr:colOff>38100</xdr:colOff>
                    <xdr:row>29</xdr:row>
                    <xdr:rowOff>38100</xdr:rowOff>
                  </from>
                  <to>
                    <xdr:col>5</xdr:col>
                    <xdr:colOff>254000</xdr:colOff>
                    <xdr:row>29</xdr:row>
                    <xdr:rowOff>241300</xdr:rowOff>
                  </to>
                </anchor>
              </controlPr>
            </control>
          </mc:Choice>
        </mc:AlternateContent>
        <mc:AlternateContent xmlns:mc="http://schemas.openxmlformats.org/markup-compatibility/2006">
          <mc:Choice Requires="x14">
            <control shapeId="7252" r:id="rId36" name="Check Box 84">
              <controlPr defaultSize="0" autoFill="0" autoLine="0" autoPict="0">
                <anchor moveWithCells="1">
                  <from>
                    <xdr:col>5</xdr:col>
                    <xdr:colOff>38100</xdr:colOff>
                    <xdr:row>30</xdr:row>
                    <xdr:rowOff>38100</xdr:rowOff>
                  </from>
                  <to>
                    <xdr:col>5</xdr:col>
                    <xdr:colOff>254000</xdr:colOff>
                    <xdr:row>30</xdr:row>
                    <xdr:rowOff>241300</xdr:rowOff>
                  </to>
                </anchor>
              </controlPr>
            </control>
          </mc:Choice>
        </mc:AlternateContent>
        <mc:AlternateContent xmlns:mc="http://schemas.openxmlformats.org/markup-compatibility/2006">
          <mc:Choice Requires="x14">
            <control shapeId="7253" r:id="rId37" name="Check Box 85">
              <controlPr defaultSize="0" autoFill="0" autoLine="0" autoPict="0">
                <anchor moveWithCells="1">
                  <from>
                    <xdr:col>5</xdr:col>
                    <xdr:colOff>38100</xdr:colOff>
                    <xdr:row>31</xdr:row>
                    <xdr:rowOff>38100</xdr:rowOff>
                  </from>
                  <to>
                    <xdr:col>5</xdr:col>
                    <xdr:colOff>254000</xdr:colOff>
                    <xdr:row>31</xdr:row>
                    <xdr:rowOff>241300</xdr:rowOff>
                  </to>
                </anchor>
              </controlPr>
            </control>
          </mc:Choice>
        </mc:AlternateContent>
        <mc:AlternateContent xmlns:mc="http://schemas.openxmlformats.org/markup-compatibility/2006">
          <mc:Choice Requires="x14">
            <control shapeId="7254" r:id="rId38" name="Check Box 86">
              <controlPr defaultSize="0" autoFill="0" autoLine="0" autoPict="0">
                <anchor moveWithCells="1">
                  <from>
                    <xdr:col>5</xdr:col>
                    <xdr:colOff>38100</xdr:colOff>
                    <xdr:row>32</xdr:row>
                    <xdr:rowOff>38100</xdr:rowOff>
                  </from>
                  <to>
                    <xdr:col>5</xdr:col>
                    <xdr:colOff>254000</xdr:colOff>
                    <xdr:row>32</xdr:row>
                    <xdr:rowOff>241300</xdr:rowOff>
                  </to>
                </anchor>
              </controlPr>
            </control>
          </mc:Choice>
        </mc:AlternateContent>
        <mc:AlternateContent xmlns:mc="http://schemas.openxmlformats.org/markup-compatibility/2006">
          <mc:Choice Requires="x14">
            <control shapeId="7255" r:id="rId39" name="Check Box 87">
              <controlPr defaultSize="0" autoFill="0" autoLine="0" autoPict="0">
                <anchor moveWithCells="1">
                  <from>
                    <xdr:col>5</xdr:col>
                    <xdr:colOff>38100</xdr:colOff>
                    <xdr:row>33</xdr:row>
                    <xdr:rowOff>38100</xdr:rowOff>
                  </from>
                  <to>
                    <xdr:col>5</xdr:col>
                    <xdr:colOff>254000</xdr:colOff>
                    <xdr:row>33</xdr:row>
                    <xdr:rowOff>241300</xdr:rowOff>
                  </to>
                </anchor>
              </controlPr>
            </control>
          </mc:Choice>
        </mc:AlternateContent>
        <mc:AlternateContent xmlns:mc="http://schemas.openxmlformats.org/markup-compatibility/2006">
          <mc:Choice Requires="x14">
            <control shapeId="7256" r:id="rId40" name="Check Box 88">
              <controlPr defaultSize="0" autoFill="0" autoLine="0" autoPict="0">
                <anchor moveWithCells="1">
                  <from>
                    <xdr:col>5</xdr:col>
                    <xdr:colOff>38100</xdr:colOff>
                    <xdr:row>34</xdr:row>
                    <xdr:rowOff>38100</xdr:rowOff>
                  </from>
                  <to>
                    <xdr:col>5</xdr:col>
                    <xdr:colOff>254000</xdr:colOff>
                    <xdr:row>34</xdr:row>
                    <xdr:rowOff>241300</xdr:rowOff>
                  </to>
                </anchor>
              </controlPr>
            </control>
          </mc:Choice>
        </mc:AlternateContent>
        <mc:AlternateContent xmlns:mc="http://schemas.openxmlformats.org/markup-compatibility/2006">
          <mc:Choice Requires="x14">
            <control shapeId="7258" r:id="rId41" name="Check Box 90">
              <controlPr defaultSize="0" autoFill="0" autoLine="0" autoPict="0">
                <anchor moveWithCells="1">
                  <from>
                    <xdr:col>5</xdr:col>
                    <xdr:colOff>38100</xdr:colOff>
                    <xdr:row>38</xdr:row>
                    <xdr:rowOff>38100</xdr:rowOff>
                  </from>
                  <to>
                    <xdr:col>5</xdr:col>
                    <xdr:colOff>254000</xdr:colOff>
                    <xdr:row>38</xdr:row>
                    <xdr:rowOff>241300</xdr:rowOff>
                  </to>
                </anchor>
              </controlPr>
            </control>
          </mc:Choice>
        </mc:AlternateContent>
        <mc:AlternateContent xmlns:mc="http://schemas.openxmlformats.org/markup-compatibility/2006">
          <mc:Choice Requires="x14">
            <control shapeId="7259" r:id="rId42" name="Check Box 91">
              <controlPr defaultSize="0" autoFill="0" autoLine="0" autoPict="0">
                <anchor moveWithCells="1">
                  <from>
                    <xdr:col>5</xdr:col>
                    <xdr:colOff>38100</xdr:colOff>
                    <xdr:row>39</xdr:row>
                    <xdr:rowOff>38100</xdr:rowOff>
                  </from>
                  <to>
                    <xdr:col>5</xdr:col>
                    <xdr:colOff>254000</xdr:colOff>
                    <xdr:row>39</xdr:row>
                    <xdr:rowOff>241300</xdr:rowOff>
                  </to>
                </anchor>
              </controlPr>
            </control>
          </mc:Choice>
        </mc:AlternateContent>
        <mc:AlternateContent xmlns:mc="http://schemas.openxmlformats.org/markup-compatibility/2006">
          <mc:Choice Requires="x14">
            <control shapeId="7260" r:id="rId43" name="Check Box 92">
              <controlPr defaultSize="0" autoFill="0" autoLine="0" autoPict="0">
                <anchor moveWithCells="1">
                  <from>
                    <xdr:col>5</xdr:col>
                    <xdr:colOff>38100</xdr:colOff>
                    <xdr:row>40</xdr:row>
                    <xdr:rowOff>38100</xdr:rowOff>
                  </from>
                  <to>
                    <xdr:col>5</xdr:col>
                    <xdr:colOff>254000</xdr:colOff>
                    <xdr:row>40</xdr:row>
                    <xdr:rowOff>241300</xdr:rowOff>
                  </to>
                </anchor>
              </controlPr>
            </control>
          </mc:Choice>
        </mc:AlternateContent>
        <mc:AlternateContent xmlns:mc="http://schemas.openxmlformats.org/markup-compatibility/2006">
          <mc:Choice Requires="x14">
            <control shapeId="7261" r:id="rId44" name="Check Box 93">
              <controlPr defaultSize="0" autoFill="0" autoLine="0" autoPict="0">
                <anchor moveWithCells="1">
                  <from>
                    <xdr:col>5</xdr:col>
                    <xdr:colOff>38100</xdr:colOff>
                    <xdr:row>41</xdr:row>
                    <xdr:rowOff>38100</xdr:rowOff>
                  </from>
                  <to>
                    <xdr:col>5</xdr:col>
                    <xdr:colOff>254000</xdr:colOff>
                    <xdr:row>41</xdr:row>
                    <xdr:rowOff>241300</xdr:rowOff>
                  </to>
                </anchor>
              </controlPr>
            </control>
          </mc:Choice>
        </mc:AlternateContent>
        <mc:AlternateContent xmlns:mc="http://schemas.openxmlformats.org/markup-compatibility/2006">
          <mc:Choice Requires="x14">
            <control shapeId="7262" r:id="rId45" name="Check Box 94">
              <controlPr defaultSize="0" autoFill="0" autoLine="0" autoPict="0">
                <anchor moveWithCells="1">
                  <from>
                    <xdr:col>5</xdr:col>
                    <xdr:colOff>38100</xdr:colOff>
                    <xdr:row>44</xdr:row>
                    <xdr:rowOff>38100</xdr:rowOff>
                  </from>
                  <to>
                    <xdr:col>5</xdr:col>
                    <xdr:colOff>254000</xdr:colOff>
                    <xdr:row>44</xdr:row>
                    <xdr:rowOff>241300</xdr:rowOff>
                  </to>
                </anchor>
              </controlPr>
            </control>
          </mc:Choice>
        </mc:AlternateContent>
        <mc:AlternateContent xmlns:mc="http://schemas.openxmlformats.org/markup-compatibility/2006">
          <mc:Choice Requires="x14">
            <control shapeId="7263" r:id="rId46" name="Check Box 95">
              <controlPr defaultSize="0" autoFill="0" autoLine="0" autoPict="0">
                <anchor moveWithCells="1">
                  <from>
                    <xdr:col>5</xdr:col>
                    <xdr:colOff>38100</xdr:colOff>
                    <xdr:row>45</xdr:row>
                    <xdr:rowOff>38100</xdr:rowOff>
                  </from>
                  <to>
                    <xdr:col>5</xdr:col>
                    <xdr:colOff>254000</xdr:colOff>
                    <xdr:row>45</xdr:row>
                    <xdr:rowOff>241300</xdr:rowOff>
                  </to>
                </anchor>
              </controlPr>
            </control>
          </mc:Choice>
        </mc:AlternateContent>
        <mc:AlternateContent xmlns:mc="http://schemas.openxmlformats.org/markup-compatibility/2006">
          <mc:Choice Requires="x14">
            <control shapeId="7264" r:id="rId47" name="Check Box 96">
              <controlPr defaultSize="0" autoFill="0" autoLine="0" autoPict="0">
                <anchor moveWithCells="1">
                  <from>
                    <xdr:col>5</xdr:col>
                    <xdr:colOff>38100</xdr:colOff>
                    <xdr:row>46</xdr:row>
                    <xdr:rowOff>38100</xdr:rowOff>
                  </from>
                  <to>
                    <xdr:col>5</xdr:col>
                    <xdr:colOff>254000</xdr:colOff>
                    <xdr:row>46</xdr:row>
                    <xdr:rowOff>241300</xdr:rowOff>
                  </to>
                </anchor>
              </controlPr>
            </control>
          </mc:Choice>
        </mc:AlternateContent>
        <mc:AlternateContent xmlns:mc="http://schemas.openxmlformats.org/markup-compatibility/2006">
          <mc:Choice Requires="x14">
            <control shapeId="7265" r:id="rId48" name="Check Box 97">
              <controlPr defaultSize="0" autoFill="0" autoLine="0" autoPict="0">
                <anchor moveWithCells="1">
                  <from>
                    <xdr:col>5</xdr:col>
                    <xdr:colOff>38100</xdr:colOff>
                    <xdr:row>47</xdr:row>
                    <xdr:rowOff>38100</xdr:rowOff>
                  </from>
                  <to>
                    <xdr:col>5</xdr:col>
                    <xdr:colOff>254000</xdr:colOff>
                    <xdr:row>47</xdr:row>
                    <xdr:rowOff>241300</xdr:rowOff>
                  </to>
                </anchor>
              </controlPr>
            </control>
          </mc:Choice>
        </mc:AlternateContent>
        <mc:AlternateContent xmlns:mc="http://schemas.openxmlformats.org/markup-compatibility/2006">
          <mc:Choice Requires="x14">
            <control shapeId="7266" r:id="rId49" name="Check Box 98">
              <controlPr defaultSize="0" autoFill="0" autoLine="0" autoPict="0">
                <anchor moveWithCells="1">
                  <from>
                    <xdr:col>5</xdr:col>
                    <xdr:colOff>38100</xdr:colOff>
                    <xdr:row>48</xdr:row>
                    <xdr:rowOff>38100</xdr:rowOff>
                  </from>
                  <to>
                    <xdr:col>5</xdr:col>
                    <xdr:colOff>254000</xdr:colOff>
                    <xdr:row>48</xdr:row>
                    <xdr:rowOff>241300</xdr:rowOff>
                  </to>
                </anchor>
              </controlPr>
            </control>
          </mc:Choice>
        </mc:AlternateContent>
        <mc:AlternateContent xmlns:mc="http://schemas.openxmlformats.org/markup-compatibility/2006">
          <mc:Choice Requires="x14">
            <control shapeId="7267" r:id="rId50" name="Check Box 99">
              <controlPr defaultSize="0" autoFill="0" autoLine="0" autoPict="0">
                <anchor moveWithCells="1">
                  <from>
                    <xdr:col>5</xdr:col>
                    <xdr:colOff>38100</xdr:colOff>
                    <xdr:row>49</xdr:row>
                    <xdr:rowOff>38100</xdr:rowOff>
                  </from>
                  <to>
                    <xdr:col>5</xdr:col>
                    <xdr:colOff>254000</xdr:colOff>
                    <xdr:row>49</xdr:row>
                    <xdr:rowOff>241300</xdr:rowOff>
                  </to>
                </anchor>
              </controlPr>
            </control>
          </mc:Choice>
        </mc:AlternateContent>
        <mc:AlternateContent xmlns:mc="http://schemas.openxmlformats.org/markup-compatibility/2006">
          <mc:Choice Requires="x14">
            <control shapeId="7268" r:id="rId51" name="Check Box 100">
              <controlPr defaultSize="0" autoFill="0" autoLine="0" autoPict="0">
                <anchor moveWithCells="1">
                  <from>
                    <xdr:col>5</xdr:col>
                    <xdr:colOff>38100</xdr:colOff>
                    <xdr:row>50</xdr:row>
                    <xdr:rowOff>38100</xdr:rowOff>
                  </from>
                  <to>
                    <xdr:col>5</xdr:col>
                    <xdr:colOff>254000</xdr:colOff>
                    <xdr:row>50</xdr:row>
                    <xdr:rowOff>241300</xdr:rowOff>
                  </to>
                </anchor>
              </controlPr>
            </control>
          </mc:Choice>
        </mc:AlternateContent>
        <mc:AlternateContent xmlns:mc="http://schemas.openxmlformats.org/markup-compatibility/2006">
          <mc:Choice Requires="x14">
            <control shapeId="7269" r:id="rId52" name="Check Box 101">
              <controlPr defaultSize="0" autoFill="0" autoLine="0" autoPict="0">
                <anchor moveWithCells="1">
                  <from>
                    <xdr:col>5</xdr:col>
                    <xdr:colOff>38100</xdr:colOff>
                    <xdr:row>51</xdr:row>
                    <xdr:rowOff>38100</xdr:rowOff>
                  </from>
                  <to>
                    <xdr:col>5</xdr:col>
                    <xdr:colOff>254000</xdr:colOff>
                    <xdr:row>51</xdr:row>
                    <xdr:rowOff>241300</xdr:rowOff>
                  </to>
                </anchor>
              </controlPr>
            </control>
          </mc:Choice>
        </mc:AlternateContent>
        <mc:AlternateContent xmlns:mc="http://schemas.openxmlformats.org/markup-compatibility/2006">
          <mc:Choice Requires="x14">
            <control shapeId="7271" r:id="rId53" name="Check Box 103">
              <controlPr defaultSize="0" autoFill="0" autoLine="0" autoPict="0">
                <anchor moveWithCells="1">
                  <from>
                    <xdr:col>5</xdr:col>
                    <xdr:colOff>38100</xdr:colOff>
                    <xdr:row>54</xdr:row>
                    <xdr:rowOff>38100</xdr:rowOff>
                  </from>
                  <to>
                    <xdr:col>5</xdr:col>
                    <xdr:colOff>254000</xdr:colOff>
                    <xdr:row>54</xdr:row>
                    <xdr:rowOff>241300</xdr:rowOff>
                  </to>
                </anchor>
              </controlPr>
            </control>
          </mc:Choice>
        </mc:AlternateContent>
        <mc:AlternateContent xmlns:mc="http://schemas.openxmlformats.org/markup-compatibility/2006">
          <mc:Choice Requires="x14">
            <control shapeId="7272" r:id="rId54" name="Check Box 104">
              <controlPr defaultSize="0" autoFill="0" autoLine="0" autoPict="0">
                <anchor moveWithCells="1">
                  <from>
                    <xdr:col>5</xdr:col>
                    <xdr:colOff>38100</xdr:colOff>
                    <xdr:row>55</xdr:row>
                    <xdr:rowOff>38100</xdr:rowOff>
                  </from>
                  <to>
                    <xdr:col>5</xdr:col>
                    <xdr:colOff>254000</xdr:colOff>
                    <xdr:row>55</xdr:row>
                    <xdr:rowOff>241300</xdr:rowOff>
                  </to>
                </anchor>
              </controlPr>
            </control>
          </mc:Choice>
        </mc:AlternateContent>
        <mc:AlternateContent xmlns:mc="http://schemas.openxmlformats.org/markup-compatibility/2006">
          <mc:Choice Requires="x14">
            <control shapeId="7273" r:id="rId55" name="Check Box 105">
              <controlPr defaultSize="0" autoFill="0" autoLine="0" autoPict="0">
                <anchor moveWithCells="1">
                  <from>
                    <xdr:col>5</xdr:col>
                    <xdr:colOff>38100</xdr:colOff>
                    <xdr:row>56</xdr:row>
                    <xdr:rowOff>38100</xdr:rowOff>
                  </from>
                  <to>
                    <xdr:col>5</xdr:col>
                    <xdr:colOff>254000</xdr:colOff>
                    <xdr:row>56</xdr:row>
                    <xdr:rowOff>241300</xdr:rowOff>
                  </to>
                </anchor>
              </controlPr>
            </control>
          </mc:Choice>
        </mc:AlternateContent>
        <mc:AlternateContent xmlns:mc="http://schemas.openxmlformats.org/markup-compatibility/2006">
          <mc:Choice Requires="x14">
            <control shapeId="7274" r:id="rId56" name="Check Box 106">
              <controlPr defaultSize="0" autoFill="0" autoLine="0" autoPict="0">
                <anchor moveWithCells="1">
                  <from>
                    <xdr:col>5</xdr:col>
                    <xdr:colOff>38100</xdr:colOff>
                    <xdr:row>57</xdr:row>
                    <xdr:rowOff>38100</xdr:rowOff>
                  </from>
                  <to>
                    <xdr:col>5</xdr:col>
                    <xdr:colOff>254000</xdr:colOff>
                    <xdr:row>57</xdr:row>
                    <xdr:rowOff>241300</xdr:rowOff>
                  </to>
                </anchor>
              </controlPr>
            </control>
          </mc:Choice>
        </mc:AlternateContent>
        <mc:AlternateContent xmlns:mc="http://schemas.openxmlformats.org/markup-compatibility/2006">
          <mc:Choice Requires="x14">
            <control shapeId="7275" r:id="rId57" name="Check Box 107">
              <controlPr defaultSize="0" autoFill="0" autoLine="0" autoPict="0">
                <anchor moveWithCells="1">
                  <from>
                    <xdr:col>5</xdr:col>
                    <xdr:colOff>38100</xdr:colOff>
                    <xdr:row>58</xdr:row>
                    <xdr:rowOff>38100</xdr:rowOff>
                  </from>
                  <to>
                    <xdr:col>5</xdr:col>
                    <xdr:colOff>254000</xdr:colOff>
                    <xdr:row>58</xdr:row>
                    <xdr:rowOff>241300</xdr:rowOff>
                  </to>
                </anchor>
              </controlPr>
            </control>
          </mc:Choice>
        </mc:AlternateContent>
        <mc:AlternateContent xmlns:mc="http://schemas.openxmlformats.org/markup-compatibility/2006">
          <mc:Choice Requires="x14">
            <control shapeId="7276" r:id="rId58" name="Check Box 108">
              <controlPr defaultSize="0" autoFill="0" autoLine="0" autoPict="0">
                <anchor moveWithCells="1">
                  <from>
                    <xdr:col>5</xdr:col>
                    <xdr:colOff>38100</xdr:colOff>
                    <xdr:row>59</xdr:row>
                    <xdr:rowOff>38100</xdr:rowOff>
                  </from>
                  <to>
                    <xdr:col>5</xdr:col>
                    <xdr:colOff>254000</xdr:colOff>
                    <xdr:row>59</xdr:row>
                    <xdr:rowOff>241300</xdr:rowOff>
                  </to>
                </anchor>
              </controlPr>
            </control>
          </mc:Choice>
        </mc:AlternateContent>
        <mc:AlternateContent xmlns:mc="http://schemas.openxmlformats.org/markup-compatibility/2006">
          <mc:Choice Requires="x14">
            <control shapeId="7277" r:id="rId59" name="Check Box 109">
              <controlPr defaultSize="0" autoFill="0" autoLine="0" autoPict="0">
                <anchor moveWithCells="1">
                  <from>
                    <xdr:col>5</xdr:col>
                    <xdr:colOff>38100</xdr:colOff>
                    <xdr:row>62</xdr:row>
                    <xdr:rowOff>38100</xdr:rowOff>
                  </from>
                  <to>
                    <xdr:col>5</xdr:col>
                    <xdr:colOff>254000</xdr:colOff>
                    <xdr:row>62</xdr:row>
                    <xdr:rowOff>241300</xdr:rowOff>
                  </to>
                </anchor>
              </controlPr>
            </control>
          </mc:Choice>
        </mc:AlternateContent>
        <mc:AlternateContent xmlns:mc="http://schemas.openxmlformats.org/markup-compatibility/2006">
          <mc:Choice Requires="x14">
            <control shapeId="7278" r:id="rId60" name="Check Box 110">
              <controlPr defaultSize="0" autoFill="0" autoLine="0" autoPict="0">
                <anchor moveWithCells="1">
                  <from>
                    <xdr:col>5</xdr:col>
                    <xdr:colOff>38100</xdr:colOff>
                    <xdr:row>63</xdr:row>
                    <xdr:rowOff>38100</xdr:rowOff>
                  </from>
                  <to>
                    <xdr:col>5</xdr:col>
                    <xdr:colOff>254000</xdr:colOff>
                    <xdr:row>63</xdr:row>
                    <xdr:rowOff>241300</xdr:rowOff>
                  </to>
                </anchor>
              </controlPr>
            </control>
          </mc:Choice>
        </mc:AlternateContent>
        <mc:AlternateContent xmlns:mc="http://schemas.openxmlformats.org/markup-compatibility/2006">
          <mc:Choice Requires="x14">
            <control shapeId="7279" r:id="rId61" name="Check Box 111">
              <controlPr defaultSize="0" autoFill="0" autoLine="0" autoPict="0">
                <anchor moveWithCells="1">
                  <from>
                    <xdr:col>5</xdr:col>
                    <xdr:colOff>38100</xdr:colOff>
                    <xdr:row>64</xdr:row>
                    <xdr:rowOff>38100</xdr:rowOff>
                  </from>
                  <to>
                    <xdr:col>5</xdr:col>
                    <xdr:colOff>254000</xdr:colOff>
                    <xdr:row>64</xdr:row>
                    <xdr:rowOff>241300</xdr:rowOff>
                  </to>
                </anchor>
              </controlPr>
            </control>
          </mc:Choice>
        </mc:AlternateContent>
        <mc:AlternateContent xmlns:mc="http://schemas.openxmlformats.org/markup-compatibility/2006">
          <mc:Choice Requires="x14">
            <control shapeId="7280" r:id="rId62" name="Check Box 112">
              <controlPr defaultSize="0" autoFill="0" autoLine="0" autoPict="0">
                <anchor moveWithCells="1">
                  <from>
                    <xdr:col>5</xdr:col>
                    <xdr:colOff>38100</xdr:colOff>
                    <xdr:row>65</xdr:row>
                    <xdr:rowOff>38100</xdr:rowOff>
                  </from>
                  <to>
                    <xdr:col>5</xdr:col>
                    <xdr:colOff>254000</xdr:colOff>
                    <xdr:row>65</xdr:row>
                    <xdr:rowOff>241300</xdr:rowOff>
                  </to>
                </anchor>
              </controlPr>
            </control>
          </mc:Choice>
        </mc:AlternateContent>
        <mc:AlternateContent xmlns:mc="http://schemas.openxmlformats.org/markup-compatibility/2006">
          <mc:Choice Requires="x14">
            <control shapeId="7282" r:id="rId63" name="Check Box 114">
              <controlPr defaultSize="0" autoFill="0" autoLine="0" autoPict="0">
                <anchor moveWithCells="1">
                  <from>
                    <xdr:col>5</xdr:col>
                    <xdr:colOff>38100</xdr:colOff>
                    <xdr:row>72</xdr:row>
                    <xdr:rowOff>38100</xdr:rowOff>
                  </from>
                  <to>
                    <xdr:col>5</xdr:col>
                    <xdr:colOff>254000</xdr:colOff>
                    <xdr:row>72</xdr:row>
                    <xdr:rowOff>241300</xdr:rowOff>
                  </to>
                </anchor>
              </controlPr>
            </control>
          </mc:Choice>
        </mc:AlternateContent>
        <mc:AlternateContent xmlns:mc="http://schemas.openxmlformats.org/markup-compatibility/2006">
          <mc:Choice Requires="x14">
            <control shapeId="7283" r:id="rId64" name="Check Box 115">
              <controlPr defaultSize="0" autoFill="0" autoLine="0" autoPict="0">
                <anchor moveWithCells="1">
                  <from>
                    <xdr:col>5</xdr:col>
                    <xdr:colOff>38100</xdr:colOff>
                    <xdr:row>73</xdr:row>
                    <xdr:rowOff>38100</xdr:rowOff>
                  </from>
                  <to>
                    <xdr:col>5</xdr:col>
                    <xdr:colOff>254000</xdr:colOff>
                    <xdr:row>73</xdr:row>
                    <xdr:rowOff>241300</xdr:rowOff>
                  </to>
                </anchor>
              </controlPr>
            </control>
          </mc:Choice>
        </mc:AlternateContent>
        <mc:AlternateContent xmlns:mc="http://schemas.openxmlformats.org/markup-compatibility/2006">
          <mc:Choice Requires="x14">
            <control shapeId="7285" r:id="rId65" name="Check Box 117">
              <controlPr defaultSize="0" autoFill="0" autoLine="0" autoPict="0">
                <anchor moveWithCells="1">
                  <from>
                    <xdr:col>5</xdr:col>
                    <xdr:colOff>38100</xdr:colOff>
                    <xdr:row>74</xdr:row>
                    <xdr:rowOff>38100</xdr:rowOff>
                  </from>
                  <to>
                    <xdr:col>5</xdr:col>
                    <xdr:colOff>254000</xdr:colOff>
                    <xdr:row>74</xdr:row>
                    <xdr:rowOff>241300</xdr:rowOff>
                  </to>
                </anchor>
              </controlPr>
            </control>
          </mc:Choice>
        </mc:AlternateContent>
        <mc:AlternateContent xmlns:mc="http://schemas.openxmlformats.org/markup-compatibility/2006">
          <mc:Choice Requires="x14">
            <control shapeId="7287" r:id="rId66" name="Check Box 119">
              <controlPr defaultSize="0" autoFill="0" autoLine="0" autoPict="0">
                <anchor moveWithCells="1">
                  <from>
                    <xdr:col>5</xdr:col>
                    <xdr:colOff>38100</xdr:colOff>
                    <xdr:row>75</xdr:row>
                    <xdr:rowOff>38100</xdr:rowOff>
                  </from>
                  <to>
                    <xdr:col>5</xdr:col>
                    <xdr:colOff>254000</xdr:colOff>
                    <xdr:row>75</xdr:row>
                    <xdr:rowOff>241300</xdr:rowOff>
                  </to>
                </anchor>
              </controlPr>
            </control>
          </mc:Choice>
        </mc:AlternateContent>
        <mc:AlternateContent xmlns:mc="http://schemas.openxmlformats.org/markup-compatibility/2006">
          <mc:Choice Requires="x14">
            <control shapeId="7292" r:id="rId67" name="Check Box 124">
              <controlPr defaultSize="0" autoFill="0" autoLine="0" autoPict="0">
                <anchor moveWithCells="1">
                  <from>
                    <xdr:col>5</xdr:col>
                    <xdr:colOff>38100</xdr:colOff>
                    <xdr:row>80</xdr:row>
                    <xdr:rowOff>38100</xdr:rowOff>
                  </from>
                  <to>
                    <xdr:col>5</xdr:col>
                    <xdr:colOff>254000</xdr:colOff>
                    <xdr:row>80</xdr:row>
                    <xdr:rowOff>241300</xdr:rowOff>
                  </to>
                </anchor>
              </controlPr>
            </control>
          </mc:Choice>
        </mc:AlternateContent>
        <mc:AlternateContent xmlns:mc="http://schemas.openxmlformats.org/markup-compatibility/2006">
          <mc:Choice Requires="x14">
            <control shapeId="7293" r:id="rId68" name="Check Box 125">
              <controlPr defaultSize="0" autoFill="0" autoLine="0" autoPict="0">
                <anchor moveWithCells="1">
                  <from>
                    <xdr:col>5</xdr:col>
                    <xdr:colOff>38100</xdr:colOff>
                    <xdr:row>81</xdr:row>
                    <xdr:rowOff>38100</xdr:rowOff>
                  </from>
                  <to>
                    <xdr:col>5</xdr:col>
                    <xdr:colOff>254000</xdr:colOff>
                    <xdr:row>81</xdr:row>
                    <xdr:rowOff>241300</xdr:rowOff>
                  </to>
                </anchor>
              </controlPr>
            </control>
          </mc:Choice>
        </mc:AlternateContent>
        <mc:AlternateContent xmlns:mc="http://schemas.openxmlformats.org/markup-compatibility/2006">
          <mc:Choice Requires="x14">
            <control shapeId="7294" r:id="rId69" name="Check Box 126">
              <controlPr defaultSize="0" autoFill="0" autoLine="0" autoPict="0">
                <anchor moveWithCells="1">
                  <from>
                    <xdr:col>5</xdr:col>
                    <xdr:colOff>38100</xdr:colOff>
                    <xdr:row>82</xdr:row>
                    <xdr:rowOff>38100</xdr:rowOff>
                  </from>
                  <to>
                    <xdr:col>5</xdr:col>
                    <xdr:colOff>254000</xdr:colOff>
                    <xdr:row>82</xdr:row>
                    <xdr:rowOff>241300</xdr:rowOff>
                  </to>
                </anchor>
              </controlPr>
            </control>
          </mc:Choice>
        </mc:AlternateContent>
        <mc:AlternateContent xmlns:mc="http://schemas.openxmlformats.org/markup-compatibility/2006">
          <mc:Choice Requires="x14">
            <control shapeId="7295" r:id="rId70" name="Check Box 127">
              <controlPr defaultSize="0" autoFill="0" autoLine="0" autoPict="0">
                <anchor moveWithCells="1">
                  <from>
                    <xdr:col>5</xdr:col>
                    <xdr:colOff>59267</xdr:colOff>
                    <xdr:row>133</xdr:row>
                    <xdr:rowOff>25400</xdr:rowOff>
                  </from>
                  <to>
                    <xdr:col>6</xdr:col>
                    <xdr:colOff>21167</xdr:colOff>
                    <xdr:row>133</xdr:row>
                    <xdr:rowOff>266700</xdr:rowOff>
                  </to>
                </anchor>
              </controlPr>
            </control>
          </mc:Choice>
        </mc:AlternateContent>
        <mc:AlternateContent xmlns:mc="http://schemas.openxmlformats.org/markup-compatibility/2006">
          <mc:Choice Requires="x14">
            <control shapeId="7299" r:id="rId71" name="Check Box 131">
              <controlPr defaultSize="0" autoFill="0" autoLine="0" autoPict="0">
                <anchor moveWithCells="1">
                  <from>
                    <xdr:col>5</xdr:col>
                    <xdr:colOff>38100</xdr:colOff>
                    <xdr:row>71</xdr:row>
                    <xdr:rowOff>38100</xdr:rowOff>
                  </from>
                  <to>
                    <xdr:col>5</xdr:col>
                    <xdr:colOff>254000</xdr:colOff>
                    <xdr:row>71</xdr:row>
                    <xdr:rowOff>241300</xdr:rowOff>
                  </to>
                </anchor>
              </controlPr>
            </control>
          </mc:Choice>
        </mc:AlternateContent>
        <mc:AlternateContent xmlns:mc="http://schemas.openxmlformats.org/markup-compatibility/2006">
          <mc:Choice Requires="x14">
            <control shapeId="7301" r:id="rId72" name="Check Box 133">
              <controlPr defaultSize="0" autoFill="0" autoLine="0" autoPict="0">
                <anchor moveWithCells="1">
                  <from>
                    <xdr:col>5</xdr:col>
                    <xdr:colOff>38100</xdr:colOff>
                    <xdr:row>68</xdr:row>
                    <xdr:rowOff>38100</xdr:rowOff>
                  </from>
                  <to>
                    <xdr:col>5</xdr:col>
                    <xdr:colOff>254000</xdr:colOff>
                    <xdr:row>68</xdr:row>
                    <xdr:rowOff>241300</xdr:rowOff>
                  </to>
                </anchor>
              </controlPr>
            </control>
          </mc:Choice>
        </mc:AlternateContent>
        <mc:AlternateContent xmlns:mc="http://schemas.openxmlformats.org/markup-compatibility/2006">
          <mc:Choice Requires="x14">
            <control shapeId="7302" r:id="rId73" name="Check Box 134">
              <controlPr defaultSize="0" autoFill="0" autoLine="0" autoPict="0">
                <anchor moveWithCells="1">
                  <from>
                    <xdr:col>5</xdr:col>
                    <xdr:colOff>38100</xdr:colOff>
                    <xdr:row>83</xdr:row>
                    <xdr:rowOff>38100</xdr:rowOff>
                  </from>
                  <to>
                    <xdr:col>5</xdr:col>
                    <xdr:colOff>254000</xdr:colOff>
                    <xdr:row>83</xdr:row>
                    <xdr:rowOff>241300</xdr:rowOff>
                  </to>
                </anchor>
              </controlPr>
            </control>
          </mc:Choice>
        </mc:AlternateContent>
        <mc:AlternateContent xmlns:mc="http://schemas.openxmlformats.org/markup-compatibility/2006">
          <mc:Choice Requires="x14">
            <control shapeId="7303" r:id="rId74" name="Check Box 135">
              <controlPr defaultSize="0" autoFill="0" autoLine="0" autoPict="0">
                <anchor moveWithCells="1">
                  <from>
                    <xdr:col>5</xdr:col>
                    <xdr:colOff>38100</xdr:colOff>
                    <xdr:row>84</xdr:row>
                    <xdr:rowOff>38100</xdr:rowOff>
                  </from>
                  <to>
                    <xdr:col>5</xdr:col>
                    <xdr:colOff>254000</xdr:colOff>
                    <xdr:row>84</xdr:row>
                    <xdr:rowOff>241300</xdr:rowOff>
                  </to>
                </anchor>
              </controlPr>
            </control>
          </mc:Choice>
        </mc:AlternateContent>
        <mc:AlternateContent xmlns:mc="http://schemas.openxmlformats.org/markup-compatibility/2006">
          <mc:Choice Requires="x14">
            <control shapeId="7305" r:id="rId75" name="Check Box 137">
              <controlPr defaultSize="0" autoFill="0" autoLine="0" autoPict="0">
                <anchor moveWithCells="1">
                  <from>
                    <xdr:col>5</xdr:col>
                    <xdr:colOff>38100</xdr:colOff>
                    <xdr:row>86</xdr:row>
                    <xdr:rowOff>38100</xdr:rowOff>
                  </from>
                  <to>
                    <xdr:col>5</xdr:col>
                    <xdr:colOff>254000</xdr:colOff>
                    <xdr:row>86</xdr:row>
                    <xdr:rowOff>241300</xdr:rowOff>
                  </to>
                </anchor>
              </controlPr>
            </control>
          </mc:Choice>
        </mc:AlternateContent>
        <mc:AlternateContent xmlns:mc="http://schemas.openxmlformats.org/markup-compatibility/2006">
          <mc:Choice Requires="x14">
            <control shapeId="7205" r:id="rId76" name="Check Box 37">
              <controlPr defaultSize="0" autoFill="0" autoLine="0" autoPict="0">
                <anchor moveWithCells="1">
                  <from>
                    <xdr:col>5</xdr:col>
                    <xdr:colOff>38100</xdr:colOff>
                    <xdr:row>23</xdr:row>
                    <xdr:rowOff>38100</xdr:rowOff>
                  </from>
                  <to>
                    <xdr:col>5</xdr:col>
                    <xdr:colOff>254000</xdr:colOff>
                    <xdr:row>23</xdr:row>
                    <xdr:rowOff>241300</xdr:rowOff>
                  </to>
                </anchor>
              </controlPr>
            </control>
          </mc:Choice>
        </mc:AlternateContent>
        <mc:AlternateContent xmlns:mc="http://schemas.openxmlformats.org/markup-compatibility/2006">
          <mc:Choice Requires="x14">
            <control shapeId="7257" r:id="rId77" name="Check Box 89">
              <controlPr defaultSize="0" autoFill="0" autoLine="0" autoPict="0">
                <anchor moveWithCells="1">
                  <from>
                    <xdr:col>5</xdr:col>
                    <xdr:colOff>38100</xdr:colOff>
                    <xdr:row>35</xdr:row>
                    <xdr:rowOff>38100</xdr:rowOff>
                  </from>
                  <to>
                    <xdr:col>5</xdr:col>
                    <xdr:colOff>254000</xdr:colOff>
                    <xdr:row>35</xdr:row>
                    <xdr:rowOff>241300</xdr:rowOff>
                  </to>
                </anchor>
              </controlPr>
            </control>
          </mc:Choice>
        </mc:AlternateContent>
        <mc:AlternateContent xmlns:mc="http://schemas.openxmlformats.org/markup-compatibility/2006">
          <mc:Choice Requires="x14">
            <control shapeId="7309" r:id="rId78" name="Check Box 141">
              <controlPr defaultSize="0" autoFill="0" autoLine="0" autoPict="0">
                <anchor moveWithCells="1">
                  <from>
                    <xdr:col>5</xdr:col>
                    <xdr:colOff>50800</xdr:colOff>
                    <xdr:row>131</xdr:row>
                    <xdr:rowOff>0</xdr:rowOff>
                  </from>
                  <to>
                    <xdr:col>6</xdr:col>
                    <xdr:colOff>12700</xdr:colOff>
                    <xdr:row>131</xdr:row>
                    <xdr:rowOff>241300</xdr:rowOff>
                  </to>
                </anchor>
              </controlPr>
            </control>
          </mc:Choice>
        </mc:AlternateContent>
        <mc:AlternateContent xmlns:mc="http://schemas.openxmlformats.org/markup-compatibility/2006">
          <mc:Choice Requires="x14">
            <control shapeId="7315" r:id="rId79" name="Check Box 147">
              <controlPr defaultSize="0" autoFill="0" autoLine="0" autoPict="0">
                <anchor moveWithCells="1">
                  <from>
                    <xdr:col>5</xdr:col>
                    <xdr:colOff>38100</xdr:colOff>
                    <xdr:row>80</xdr:row>
                    <xdr:rowOff>38100</xdr:rowOff>
                  </from>
                  <to>
                    <xdr:col>5</xdr:col>
                    <xdr:colOff>254000</xdr:colOff>
                    <xdr:row>80</xdr:row>
                    <xdr:rowOff>241300</xdr:rowOff>
                  </to>
                </anchor>
              </controlPr>
            </control>
          </mc:Choice>
        </mc:AlternateContent>
        <mc:AlternateContent xmlns:mc="http://schemas.openxmlformats.org/markup-compatibility/2006">
          <mc:Choice Requires="x14">
            <control shapeId="7316" r:id="rId80" name="Check Box 148">
              <controlPr defaultSize="0" autoFill="0" autoLine="0" autoPict="0">
                <anchor moveWithCells="1">
                  <from>
                    <xdr:col>5</xdr:col>
                    <xdr:colOff>38100</xdr:colOff>
                    <xdr:row>81</xdr:row>
                    <xdr:rowOff>38100</xdr:rowOff>
                  </from>
                  <to>
                    <xdr:col>5</xdr:col>
                    <xdr:colOff>254000</xdr:colOff>
                    <xdr:row>81</xdr:row>
                    <xdr:rowOff>241300</xdr:rowOff>
                  </to>
                </anchor>
              </controlPr>
            </control>
          </mc:Choice>
        </mc:AlternateContent>
        <mc:AlternateContent xmlns:mc="http://schemas.openxmlformats.org/markup-compatibility/2006">
          <mc:Choice Requires="x14">
            <control shapeId="7319" r:id="rId81" name="Check Box 151">
              <controlPr defaultSize="0" autoFill="0" autoLine="0" autoPict="0">
                <anchor moveWithCells="1">
                  <from>
                    <xdr:col>5</xdr:col>
                    <xdr:colOff>38100</xdr:colOff>
                    <xdr:row>84</xdr:row>
                    <xdr:rowOff>38100</xdr:rowOff>
                  </from>
                  <to>
                    <xdr:col>5</xdr:col>
                    <xdr:colOff>254000</xdr:colOff>
                    <xdr:row>84</xdr:row>
                    <xdr:rowOff>241300</xdr:rowOff>
                  </to>
                </anchor>
              </controlPr>
            </control>
          </mc:Choice>
        </mc:AlternateContent>
        <mc:AlternateContent xmlns:mc="http://schemas.openxmlformats.org/markup-compatibility/2006">
          <mc:Choice Requires="x14">
            <control shapeId="7320" r:id="rId82" name="Check Box 152">
              <controlPr defaultSize="0" autoFill="0" autoLine="0" autoPict="0">
                <anchor moveWithCells="1">
                  <from>
                    <xdr:col>5</xdr:col>
                    <xdr:colOff>38100</xdr:colOff>
                    <xdr:row>86</xdr:row>
                    <xdr:rowOff>38100</xdr:rowOff>
                  </from>
                  <to>
                    <xdr:col>5</xdr:col>
                    <xdr:colOff>254000</xdr:colOff>
                    <xdr:row>86</xdr:row>
                    <xdr:rowOff>241300</xdr:rowOff>
                  </to>
                </anchor>
              </controlPr>
            </control>
          </mc:Choice>
        </mc:AlternateContent>
        <mc:AlternateContent xmlns:mc="http://schemas.openxmlformats.org/markup-compatibility/2006">
          <mc:Choice Requires="x14">
            <control shapeId="7321" r:id="rId83" name="Check Box 153">
              <controlPr defaultSize="0" autoFill="0" autoLine="0" autoPict="0">
                <anchor moveWithCells="1">
                  <from>
                    <xdr:col>5</xdr:col>
                    <xdr:colOff>38100</xdr:colOff>
                    <xdr:row>85</xdr:row>
                    <xdr:rowOff>38100</xdr:rowOff>
                  </from>
                  <to>
                    <xdr:col>5</xdr:col>
                    <xdr:colOff>254000</xdr:colOff>
                    <xdr:row>85</xdr:row>
                    <xdr:rowOff>241300</xdr:rowOff>
                  </to>
                </anchor>
              </controlPr>
            </control>
          </mc:Choice>
        </mc:AlternateContent>
        <mc:AlternateContent xmlns:mc="http://schemas.openxmlformats.org/markup-compatibility/2006">
          <mc:Choice Requires="x14">
            <control shapeId="7322" r:id="rId84" name="Check Box 154">
              <controlPr defaultSize="0" autoFill="0" autoLine="0" autoPict="0">
                <anchor moveWithCells="1">
                  <from>
                    <xdr:col>5</xdr:col>
                    <xdr:colOff>38100</xdr:colOff>
                    <xdr:row>85</xdr:row>
                    <xdr:rowOff>38100</xdr:rowOff>
                  </from>
                  <to>
                    <xdr:col>5</xdr:col>
                    <xdr:colOff>254000</xdr:colOff>
                    <xdr:row>85</xdr:row>
                    <xdr:rowOff>241300</xdr:rowOff>
                  </to>
                </anchor>
              </controlPr>
            </control>
          </mc:Choice>
        </mc:AlternateContent>
        <mc:AlternateContent xmlns:mc="http://schemas.openxmlformats.org/markup-compatibility/2006">
          <mc:Choice Requires="x14">
            <control shapeId="7323" r:id="rId85" name="Check Box 155">
              <controlPr defaultSize="0" autoFill="0" autoLine="0" autoPict="0">
                <anchor moveWithCells="1">
                  <from>
                    <xdr:col>5</xdr:col>
                    <xdr:colOff>38100</xdr:colOff>
                    <xdr:row>85</xdr:row>
                    <xdr:rowOff>38100</xdr:rowOff>
                  </from>
                  <to>
                    <xdr:col>5</xdr:col>
                    <xdr:colOff>254000</xdr:colOff>
                    <xdr:row>85</xdr:row>
                    <xdr:rowOff>241300</xdr:rowOff>
                  </to>
                </anchor>
              </controlPr>
            </control>
          </mc:Choice>
        </mc:AlternateContent>
        <mc:AlternateContent xmlns:mc="http://schemas.openxmlformats.org/markup-compatibility/2006">
          <mc:Choice Requires="x14">
            <control shapeId="7324" r:id="rId86" name="Check Box 156">
              <controlPr defaultSize="0" autoFill="0" autoLine="0" autoPict="0">
                <anchor moveWithCells="1">
                  <from>
                    <xdr:col>5</xdr:col>
                    <xdr:colOff>38100</xdr:colOff>
                    <xdr:row>85</xdr:row>
                    <xdr:rowOff>38100</xdr:rowOff>
                  </from>
                  <to>
                    <xdr:col>5</xdr:col>
                    <xdr:colOff>254000</xdr:colOff>
                    <xdr:row>85</xdr:row>
                    <xdr:rowOff>241300</xdr:rowOff>
                  </to>
                </anchor>
              </controlPr>
            </control>
          </mc:Choice>
        </mc:AlternateContent>
        <mc:AlternateContent xmlns:mc="http://schemas.openxmlformats.org/markup-compatibility/2006">
          <mc:Choice Requires="x14">
            <control shapeId="7325" r:id="rId87" name="Check Box 157">
              <controlPr defaultSize="0" autoFill="0" autoLine="0" autoPict="0">
                <anchor moveWithCells="1">
                  <from>
                    <xdr:col>5</xdr:col>
                    <xdr:colOff>38100</xdr:colOff>
                    <xdr:row>90</xdr:row>
                    <xdr:rowOff>38100</xdr:rowOff>
                  </from>
                  <to>
                    <xdr:col>5</xdr:col>
                    <xdr:colOff>254000</xdr:colOff>
                    <xdr:row>90</xdr:row>
                    <xdr:rowOff>241300</xdr:rowOff>
                  </to>
                </anchor>
              </controlPr>
            </control>
          </mc:Choice>
        </mc:AlternateContent>
        <mc:AlternateContent xmlns:mc="http://schemas.openxmlformats.org/markup-compatibility/2006">
          <mc:Choice Requires="x14">
            <control shapeId="7326" r:id="rId88" name="Check Box 158">
              <controlPr defaultSize="0" autoFill="0" autoLine="0" autoPict="0">
                <anchor moveWithCells="1">
                  <from>
                    <xdr:col>5</xdr:col>
                    <xdr:colOff>38100</xdr:colOff>
                    <xdr:row>90</xdr:row>
                    <xdr:rowOff>38100</xdr:rowOff>
                  </from>
                  <to>
                    <xdr:col>5</xdr:col>
                    <xdr:colOff>254000</xdr:colOff>
                    <xdr:row>90</xdr:row>
                    <xdr:rowOff>241300</xdr:rowOff>
                  </to>
                </anchor>
              </controlPr>
            </control>
          </mc:Choice>
        </mc:AlternateContent>
        <mc:AlternateContent xmlns:mc="http://schemas.openxmlformats.org/markup-compatibility/2006">
          <mc:Choice Requires="x14">
            <control shapeId="7327" r:id="rId89" name="Check Box 159">
              <controlPr defaultSize="0" autoFill="0" autoLine="0" autoPict="0">
                <anchor moveWithCells="1">
                  <from>
                    <xdr:col>5</xdr:col>
                    <xdr:colOff>38100</xdr:colOff>
                    <xdr:row>91</xdr:row>
                    <xdr:rowOff>38100</xdr:rowOff>
                  </from>
                  <to>
                    <xdr:col>5</xdr:col>
                    <xdr:colOff>254000</xdr:colOff>
                    <xdr:row>91</xdr:row>
                    <xdr:rowOff>241300</xdr:rowOff>
                  </to>
                </anchor>
              </controlPr>
            </control>
          </mc:Choice>
        </mc:AlternateContent>
        <mc:AlternateContent xmlns:mc="http://schemas.openxmlformats.org/markup-compatibility/2006">
          <mc:Choice Requires="x14">
            <control shapeId="7328" r:id="rId90" name="Check Box 160">
              <controlPr defaultSize="0" autoFill="0" autoLine="0" autoPict="0">
                <anchor moveWithCells="1">
                  <from>
                    <xdr:col>5</xdr:col>
                    <xdr:colOff>38100</xdr:colOff>
                    <xdr:row>91</xdr:row>
                    <xdr:rowOff>38100</xdr:rowOff>
                  </from>
                  <to>
                    <xdr:col>5</xdr:col>
                    <xdr:colOff>254000</xdr:colOff>
                    <xdr:row>91</xdr:row>
                    <xdr:rowOff>241300</xdr:rowOff>
                  </to>
                </anchor>
              </controlPr>
            </control>
          </mc:Choice>
        </mc:AlternateContent>
        <mc:AlternateContent xmlns:mc="http://schemas.openxmlformats.org/markup-compatibility/2006">
          <mc:Choice Requires="x14">
            <control shapeId="7329" r:id="rId91" name="Check Box 161">
              <controlPr defaultSize="0" autoFill="0" autoLine="0" autoPict="0">
                <anchor moveWithCells="1">
                  <from>
                    <xdr:col>5</xdr:col>
                    <xdr:colOff>38100</xdr:colOff>
                    <xdr:row>92</xdr:row>
                    <xdr:rowOff>38100</xdr:rowOff>
                  </from>
                  <to>
                    <xdr:col>5</xdr:col>
                    <xdr:colOff>254000</xdr:colOff>
                    <xdr:row>92</xdr:row>
                    <xdr:rowOff>241300</xdr:rowOff>
                  </to>
                </anchor>
              </controlPr>
            </control>
          </mc:Choice>
        </mc:AlternateContent>
        <mc:AlternateContent xmlns:mc="http://schemas.openxmlformats.org/markup-compatibility/2006">
          <mc:Choice Requires="x14">
            <control shapeId="7330" r:id="rId92" name="Check Box 162">
              <controlPr defaultSize="0" autoFill="0" autoLine="0" autoPict="0">
                <anchor moveWithCells="1">
                  <from>
                    <xdr:col>5</xdr:col>
                    <xdr:colOff>38100</xdr:colOff>
                    <xdr:row>92</xdr:row>
                    <xdr:rowOff>38100</xdr:rowOff>
                  </from>
                  <to>
                    <xdr:col>5</xdr:col>
                    <xdr:colOff>254000</xdr:colOff>
                    <xdr:row>92</xdr:row>
                    <xdr:rowOff>241300</xdr:rowOff>
                  </to>
                </anchor>
              </controlPr>
            </control>
          </mc:Choice>
        </mc:AlternateContent>
        <mc:AlternateContent xmlns:mc="http://schemas.openxmlformats.org/markup-compatibility/2006">
          <mc:Choice Requires="x14">
            <control shapeId="7331" r:id="rId93" name="Check Box 163">
              <controlPr defaultSize="0" autoFill="0" autoLine="0" autoPict="0">
                <anchor moveWithCells="1">
                  <from>
                    <xdr:col>5</xdr:col>
                    <xdr:colOff>38100</xdr:colOff>
                    <xdr:row>93</xdr:row>
                    <xdr:rowOff>38100</xdr:rowOff>
                  </from>
                  <to>
                    <xdr:col>5</xdr:col>
                    <xdr:colOff>254000</xdr:colOff>
                    <xdr:row>93</xdr:row>
                    <xdr:rowOff>241300</xdr:rowOff>
                  </to>
                </anchor>
              </controlPr>
            </control>
          </mc:Choice>
        </mc:AlternateContent>
        <mc:AlternateContent xmlns:mc="http://schemas.openxmlformats.org/markup-compatibility/2006">
          <mc:Choice Requires="x14">
            <control shapeId="7332" r:id="rId94" name="Check Box 164">
              <controlPr defaultSize="0" autoFill="0" autoLine="0" autoPict="0">
                <anchor moveWithCells="1">
                  <from>
                    <xdr:col>5</xdr:col>
                    <xdr:colOff>38100</xdr:colOff>
                    <xdr:row>93</xdr:row>
                    <xdr:rowOff>38100</xdr:rowOff>
                  </from>
                  <to>
                    <xdr:col>5</xdr:col>
                    <xdr:colOff>254000</xdr:colOff>
                    <xdr:row>93</xdr:row>
                    <xdr:rowOff>241300</xdr:rowOff>
                  </to>
                </anchor>
              </controlPr>
            </control>
          </mc:Choice>
        </mc:AlternateContent>
        <mc:AlternateContent xmlns:mc="http://schemas.openxmlformats.org/markup-compatibility/2006">
          <mc:Choice Requires="x14">
            <control shapeId="7333" r:id="rId95" name="Check Box 165">
              <controlPr defaultSize="0" autoFill="0" autoLine="0" autoPict="0">
                <anchor moveWithCells="1">
                  <from>
                    <xdr:col>5</xdr:col>
                    <xdr:colOff>38100</xdr:colOff>
                    <xdr:row>94</xdr:row>
                    <xdr:rowOff>38100</xdr:rowOff>
                  </from>
                  <to>
                    <xdr:col>5</xdr:col>
                    <xdr:colOff>254000</xdr:colOff>
                    <xdr:row>94</xdr:row>
                    <xdr:rowOff>241300</xdr:rowOff>
                  </to>
                </anchor>
              </controlPr>
            </control>
          </mc:Choice>
        </mc:AlternateContent>
        <mc:AlternateContent xmlns:mc="http://schemas.openxmlformats.org/markup-compatibility/2006">
          <mc:Choice Requires="x14">
            <control shapeId="7334" r:id="rId96" name="Check Box 166">
              <controlPr defaultSize="0" autoFill="0" autoLine="0" autoPict="0">
                <anchor moveWithCells="1">
                  <from>
                    <xdr:col>5</xdr:col>
                    <xdr:colOff>38100</xdr:colOff>
                    <xdr:row>94</xdr:row>
                    <xdr:rowOff>38100</xdr:rowOff>
                  </from>
                  <to>
                    <xdr:col>5</xdr:col>
                    <xdr:colOff>254000</xdr:colOff>
                    <xdr:row>94</xdr:row>
                    <xdr:rowOff>241300</xdr:rowOff>
                  </to>
                </anchor>
              </controlPr>
            </control>
          </mc:Choice>
        </mc:AlternateContent>
        <mc:AlternateContent xmlns:mc="http://schemas.openxmlformats.org/markup-compatibility/2006">
          <mc:Choice Requires="x14">
            <control shapeId="7335" r:id="rId97" name="Check Box 167">
              <controlPr defaultSize="0" autoFill="0" autoLine="0" autoPict="0">
                <anchor moveWithCells="1">
                  <from>
                    <xdr:col>5</xdr:col>
                    <xdr:colOff>38100</xdr:colOff>
                    <xdr:row>95</xdr:row>
                    <xdr:rowOff>38100</xdr:rowOff>
                  </from>
                  <to>
                    <xdr:col>5</xdr:col>
                    <xdr:colOff>254000</xdr:colOff>
                    <xdr:row>95</xdr:row>
                    <xdr:rowOff>241300</xdr:rowOff>
                  </to>
                </anchor>
              </controlPr>
            </control>
          </mc:Choice>
        </mc:AlternateContent>
        <mc:AlternateContent xmlns:mc="http://schemas.openxmlformats.org/markup-compatibility/2006">
          <mc:Choice Requires="x14">
            <control shapeId="7336" r:id="rId98" name="Check Box 168">
              <controlPr defaultSize="0" autoFill="0" autoLine="0" autoPict="0">
                <anchor moveWithCells="1">
                  <from>
                    <xdr:col>5</xdr:col>
                    <xdr:colOff>38100</xdr:colOff>
                    <xdr:row>95</xdr:row>
                    <xdr:rowOff>38100</xdr:rowOff>
                  </from>
                  <to>
                    <xdr:col>5</xdr:col>
                    <xdr:colOff>254000</xdr:colOff>
                    <xdr:row>95</xdr:row>
                    <xdr:rowOff>241300</xdr:rowOff>
                  </to>
                </anchor>
              </controlPr>
            </control>
          </mc:Choice>
        </mc:AlternateContent>
        <mc:AlternateContent xmlns:mc="http://schemas.openxmlformats.org/markup-compatibility/2006">
          <mc:Choice Requires="x14">
            <control shapeId="7337" r:id="rId99" name="Check Box 169">
              <controlPr defaultSize="0" autoFill="0" autoLine="0" autoPict="0">
                <anchor moveWithCells="1">
                  <from>
                    <xdr:col>5</xdr:col>
                    <xdr:colOff>38100</xdr:colOff>
                    <xdr:row>96</xdr:row>
                    <xdr:rowOff>38100</xdr:rowOff>
                  </from>
                  <to>
                    <xdr:col>5</xdr:col>
                    <xdr:colOff>254000</xdr:colOff>
                    <xdr:row>96</xdr:row>
                    <xdr:rowOff>241300</xdr:rowOff>
                  </to>
                </anchor>
              </controlPr>
            </control>
          </mc:Choice>
        </mc:AlternateContent>
        <mc:AlternateContent xmlns:mc="http://schemas.openxmlformats.org/markup-compatibility/2006">
          <mc:Choice Requires="x14">
            <control shapeId="7338" r:id="rId100" name="Check Box 170">
              <controlPr defaultSize="0" autoFill="0" autoLine="0" autoPict="0">
                <anchor moveWithCells="1">
                  <from>
                    <xdr:col>5</xdr:col>
                    <xdr:colOff>38100</xdr:colOff>
                    <xdr:row>96</xdr:row>
                    <xdr:rowOff>38100</xdr:rowOff>
                  </from>
                  <to>
                    <xdr:col>5</xdr:col>
                    <xdr:colOff>254000</xdr:colOff>
                    <xdr:row>96</xdr:row>
                    <xdr:rowOff>241300</xdr:rowOff>
                  </to>
                </anchor>
              </controlPr>
            </control>
          </mc:Choice>
        </mc:AlternateContent>
        <mc:AlternateContent xmlns:mc="http://schemas.openxmlformats.org/markup-compatibility/2006">
          <mc:Choice Requires="x14">
            <control shapeId="7339" r:id="rId101" name="Check Box 171">
              <controlPr defaultSize="0" autoFill="0" autoLine="0" autoPict="0">
                <anchor moveWithCells="1">
                  <from>
                    <xdr:col>5</xdr:col>
                    <xdr:colOff>38100</xdr:colOff>
                    <xdr:row>97</xdr:row>
                    <xdr:rowOff>38100</xdr:rowOff>
                  </from>
                  <to>
                    <xdr:col>5</xdr:col>
                    <xdr:colOff>254000</xdr:colOff>
                    <xdr:row>97</xdr:row>
                    <xdr:rowOff>241300</xdr:rowOff>
                  </to>
                </anchor>
              </controlPr>
            </control>
          </mc:Choice>
        </mc:AlternateContent>
        <mc:AlternateContent xmlns:mc="http://schemas.openxmlformats.org/markup-compatibility/2006">
          <mc:Choice Requires="x14">
            <control shapeId="7340" r:id="rId102" name="Check Box 172">
              <controlPr defaultSize="0" autoFill="0" autoLine="0" autoPict="0">
                <anchor moveWithCells="1">
                  <from>
                    <xdr:col>5</xdr:col>
                    <xdr:colOff>38100</xdr:colOff>
                    <xdr:row>97</xdr:row>
                    <xdr:rowOff>38100</xdr:rowOff>
                  </from>
                  <to>
                    <xdr:col>5</xdr:col>
                    <xdr:colOff>254000</xdr:colOff>
                    <xdr:row>97</xdr:row>
                    <xdr:rowOff>241300</xdr:rowOff>
                  </to>
                </anchor>
              </controlPr>
            </control>
          </mc:Choice>
        </mc:AlternateContent>
        <mc:AlternateContent xmlns:mc="http://schemas.openxmlformats.org/markup-compatibility/2006">
          <mc:Choice Requires="x14">
            <control shapeId="7341" r:id="rId103" name="Check Box 173">
              <controlPr defaultSize="0" autoFill="0" autoLine="0" autoPict="0">
                <anchor moveWithCells="1">
                  <from>
                    <xdr:col>5</xdr:col>
                    <xdr:colOff>38100</xdr:colOff>
                    <xdr:row>98</xdr:row>
                    <xdr:rowOff>38100</xdr:rowOff>
                  </from>
                  <to>
                    <xdr:col>5</xdr:col>
                    <xdr:colOff>254000</xdr:colOff>
                    <xdr:row>98</xdr:row>
                    <xdr:rowOff>241300</xdr:rowOff>
                  </to>
                </anchor>
              </controlPr>
            </control>
          </mc:Choice>
        </mc:AlternateContent>
        <mc:AlternateContent xmlns:mc="http://schemas.openxmlformats.org/markup-compatibility/2006">
          <mc:Choice Requires="x14">
            <control shapeId="7342" r:id="rId104" name="Check Box 174">
              <controlPr defaultSize="0" autoFill="0" autoLine="0" autoPict="0">
                <anchor moveWithCells="1">
                  <from>
                    <xdr:col>5</xdr:col>
                    <xdr:colOff>38100</xdr:colOff>
                    <xdr:row>98</xdr:row>
                    <xdr:rowOff>38100</xdr:rowOff>
                  </from>
                  <to>
                    <xdr:col>5</xdr:col>
                    <xdr:colOff>254000</xdr:colOff>
                    <xdr:row>98</xdr:row>
                    <xdr:rowOff>241300</xdr:rowOff>
                  </to>
                </anchor>
              </controlPr>
            </control>
          </mc:Choice>
        </mc:AlternateContent>
        <mc:AlternateContent xmlns:mc="http://schemas.openxmlformats.org/markup-compatibility/2006">
          <mc:Choice Requires="x14">
            <control shapeId="7345" r:id="rId105" name="Check Box 177">
              <controlPr defaultSize="0" autoFill="0" autoLine="0" autoPict="0">
                <anchor moveWithCells="1">
                  <from>
                    <xdr:col>5</xdr:col>
                    <xdr:colOff>38100</xdr:colOff>
                    <xdr:row>102</xdr:row>
                    <xdr:rowOff>38100</xdr:rowOff>
                  </from>
                  <to>
                    <xdr:col>5</xdr:col>
                    <xdr:colOff>254000</xdr:colOff>
                    <xdr:row>102</xdr:row>
                    <xdr:rowOff>241300</xdr:rowOff>
                  </to>
                </anchor>
              </controlPr>
            </control>
          </mc:Choice>
        </mc:AlternateContent>
        <mc:AlternateContent xmlns:mc="http://schemas.openxmlformats.org/markup-compatibility/2006">
          <mc:Choice Requires="x14">
            <control shapeId="7346" r:id="rId106" name="Check Box 178">
              <controlPr defaultSize="0" autoFill="0" autoLine="0" autoPict="0">
                <anchor moveWithCells="1">
                  <from>
                    <xdr:col>5</xdr:col>
                    <xdr:colOff>38100</xdr:colOff>
                    <xdr:row>102</xdr:row>
                    <xdr:rowOff>38100</xdr:rowOff>
                  </from>
                  <to>
                    <xdr:col>5</xdr:col>
                    <xdr:colOff>254000</xdr:colOff>
                    <xdr:row>102</xdr:row>
                    <xdr:rowOff>241300</xdr:rowOff>
                  </to>
                </anchor>
              </controlPr>
            </control>
          </mc:Choice>
        </mc:AlternateContent>
        <mc:AlternateContent xmlns:mc="http://schemas.openxmlformats.org/markup-compatibility/2006">
          <mc:Choice Requires="x14">
            <control shapeId="7356" r:id="rId107" name="Check Box 188">
              <controlPr defaultSize="0" autoFill="0" autoLine="0" autoPict="0">
                <anchor moveWithCells="1">
                  <from>
                    <xdr:col>5</xdr:col>
                    <xdr:colOff>38100</xdr:colOff>
                    <xdr:row>99</xdr:row>
                    <xdr:rowOff>38100</xdr:rowOff>
                  </from>
                  <to>
                    <xdr:col>5</xdr:col>
                    <xdr:colOff>254000</xdr:colOff>
                    <xdr:row>99</xdr:row>
                    <xdr:rowOff>241300</xdr:rowOff>
                  </to>
                </anchor>
              </controlPr>
            </control>
          </mc:Choice>
        </mc:AlternateContent>
        <mc:AlternateContent xmlns:mc="http://schemas.openxmlformats.org/markup-compatibility/2006">
          <mc:Choice Requires="x14">
            <control shapeId="7357" r:id="rId108" name="Check Box 189">
              <controlPr defaultSize="0" autoFill="0" autoLine="0" autoPict="0">
                <anchor moveWithCells="1">
                  <from>
                    <xdr:col>5</xdr:col>
                    <xdr:colOff>38100</xdr:colOff>
                    <xdr:row>99</xdr:row>
                    <xdr:rowOff>38100</xdr:rowOff>
                  </from>
                  <to>
                    <xdr:col>5</xdr:col>
                    <xdr:colOff>254000</xdr:colOff>
                    <xdr:row>99</xdr:row>
                    <xdr:rowOff>241300</xdr:rowOff>
                  </to>
                </anchor>
              </controlPr>
            </control>
          </mc:Choice>
        </mc:AlternateContent>
        <mc:AlternateContent xmlns:mc="http://schemas.openxmlformats.org/markup-compatibility/2006">
          <mc:Choice Requires="x14">
            <control shapeId="7372" r:id="rId109" name="Check Box 204">
              <controlPr defaultSize="0" autoFill="0" autoLine="0" autoPict="0">
                <anchor moveWithCells="1">
                  <from>
                    <xdr:col>5</xdr:col>
                    <xdr:colOff>59267</xdr:colOff>
                    <xdr:row>134</xdr:row>
                    <xdr:rowOff>25400</xdr:rowOff>
                  </from>
                  <to>
                    <xdr:col>6</xdr:col>
                    <xdr:colOff>21167</xdr:colOff>
                    <xdr:row>134</xdr:row>
                    <xdr:rowOff>266700</xdr:rowOff>
                  </to>
                </anchor>
              </controlPr>
            </control>
          </mc:Choice>
        </mc:AlternateContent>
        <mc:AlternateContent xmlns:mc="http://schemas.openxmlformats.org/markup-compatibility/2006">
          <mc:Choice Requires="x14">
            <control shapeId="7378" r:id="rId110" name="Check Box 210">
              <controlPr defaultSize="0" autoFill="0" autoLine="0" autoPict="0">
                <anchor moveWithCells="1">
                  <from>
                    <xdr:col>5</xdr:col>
                    <xdr:colOff>59267</xdr:colOff>
                    <xdr:row>144</xdr:row>
                    <xdr:rowOff>25400</xdr:rowOff>
                  </from>
                  <to>
                    <xdr:col>6</xdr:col>
                    <xdr:colOff>21167</xdr:colOff>
                    <xdr:row>144</xdr:row>
                    <xdr:rowOff>266700</xdr:rowOff>
                  </to>
                </anchor>
              </controlPr>
            </control>
          </mc:Choice>
        </mc:AlternateContent>
        <mc:AlternateContent xmlns:mc="http://schemas.openxmlformats.org/markup-compatibility/2006">
          <mc:Choice Requires="x14">
            <control shapeId="7379" r:id="rId111" name="Check Box 211">
              <controlPr defaultSize="0" autoFill="0" autoLine="0" autoPict="0">
                <anchor moveWithCells="1">
                  <from>
                    <xdr:col>5</xdr:col>
                    <xdr:colOff>59267</xdr:colOff>
                    <xdr:row>145</xdr:row>
                    <xdr:rowOff>25400</xdr:rowOff>
                  </from>
                  <to>
                    <xdr:col>6</xdr:col>
                    <xdr:colOff>21167</xdr:colOff>
                    <xdr:row>145</xdr:row>
                    <xdr:rowOff>266700</xdr:rowOff>
                  </to>
                </anchor>
              </controlPr>
            </control>
          </mc:Choice>
        </mc:AlternateContent>
        <mc:AlternateContent xmlns:mc="http://schemas.openxmlformats.org/markup-compatibility/2006">
          <mc:Choice Requires="x14">
            <control shapeId="7380" r:id="rId112" name="Check Box 212">
              <controlPr defaultSize="0" autoFill="0" autoLine="0" autoPict="0">
                <anchor moveWithCells="1">
                  <from>
                    <xdr:col>5</xdr:col>
                    <xdr:colOff>59267</xdr:colOff>
                    <xdr:row>146</xdr:row>
                    <xdr:rowOff>25400</xdr:rowOff>
                  </from>
                  <to>
                    <xdr:col>6</xdr:col>
                    <xdr:colOff>21167</xdr:colOff>
                    <xdr:row>146</xdr:row>
                    <xdr:rowOff>266700</xdr:rowOff>
                  </to>
                </anchor>
              </controlPr>
            </control>
          </mc:Choice>
        </mc:AlternateContent>
        <mc:AlternateContent xmlns:mc="http://schemas.openxmlformats.org/markup-compatibility/2006">
          <mc:Choice Requires="x14">
            <control shapeId="7381" r:id="rId113" name="Check Box 213">
              <controlPr defaultSize="0" autoFill="0" autoLine="0" autoPict="0">
                <anchor moveWithCells="1">
                  <from>
                    <xdr:col>5</xdr:col>
                    <xdr:colOff>50800</xdr:colOff>
                    <xdr:row>122</xdr:row>
                    <xdr:rowOff>0</xdr:rowOff>
                  </from>
                  <to>
                    <xdr:col>6</xdr:col>
                    <xdr:colOff>12700</xdr:colOff>
                    <xdr:row>122</xdr:row>
                    <xdr:rowOff>241300</xdr:rowOff>
                  </to>
                </anchor>
              </controlPr>
            </control>
          </mc:Choice>
        </mc:AlternateContent>
        <mc:AlternateContent xmlns:mc="http://schemas.openxmlformats.org/markup-compatibility/2006">
          <mc:Choice Requires="x14">
            <control shapeId="7382" r:id="rId114" name="Check Box 214">
              <controlPr defaultSize="0" autoFill="0" autoLine="0" autoPict="0">
                <anchor moveWithCells="1">
                  <from>
                    <xdr:col>5</xdr:col>
                    <xdr:colOff>50800</xdr:colOff>
                    <xdr:row>121</xdr:row>
                    <xdr:rowOff>0</xdr:rowOff>
                  </from>
                  <to>
                    <xdr:col>6</xdr:col>
                    <xdr:colOff>12700</xdr:colOff>
                    <xdr:row>121</xdr:row>
                    <xdr:rowOff>241300</xdr:rowOff>
                  </to>
                </anchor>
              </controlPr>
            </control>
          </mc:Choice>
        </mc:AlternateContent>
        <mc:AlternateContent xmlns:mc="http://schemas.openxmlformats.org/markup-compatibility/2006">
          <mc:Choice Requires="x14">
            <control shapeId="7383" r:id="rId115" name="Check Box 215">
              <controlPr defaultSize="0" autoFill="0" autoLine="0" autoPict="0">
                <anchor moveWithCells="1">
                  <from>
                    <xdr:col>5</xdr:col>
                    <xdr:colOff>38100</xdr:colOff>
                    <xdr:row>3</xdr:row>
                    <xdr:rowOff>12700</xdr:rowOff>
                  </from>
                  <to>
                    <xdr:col>6</xdr:col>
                    <xdr:colOff>0</xdr:colOff>
                    <xdr:row>3</xdr:row>
                    <xdr:rowOff>249767</xdr:rowOff>
                  </to>
                </anchor>
              </controlPr>
            </control>
          </mc:Choice>
        </mc:AlternateContent>
        <mc:AlternateContent xmlns:mc="http://schemas.openxmlformats.org/markup-compatibility/2006">
          <mc:Choice Requires="x14">
            <control shapeId="7221" r:id="rId116" name="Check Box 53">
              <controlPr defaultSize="0" autoFill="0" autoLine="0" autoPict="0">
                <anchor moveWithCells="1">
                  <from>
                    <xdr:col>5</xdr:col>
                    <xdr:colOff>38100</xdr:colOff>
                    <xdr:row>109</xdr:row>
                    <xdr:rowOff>12700</xdr:rowOff>
                  </from>
                  <to>
                    <xdr:col>6</xdr:col>
                    <xdr:colOff>0</xdr:colOff>
                    <xdr:row>109</xdr:row>
                    <xdr:rowOff>249767</xdr:rowOff>
                  </to>
                </anchor>
              </controlPr>
            </control>
          </mc:Choice>
        </mc:AlternateContent>
        <mc:AlternateContent xmlns:mc="http://schemas.openxmlformats.org/markup-compatibility/2006">
          <mc:Choice Requires="x14">
            <control shapeId="7371" r:id="rId117" name="Check Box 203">
              <controlPr defaultSize="0" autoFill="0" autoLine="0" autoPict="0">
                <anchor moveWithCells="1">
                  <from>
                    <xdr:col>5</xdr:col>
                    <xdr:colOff>50800</xdr:colOff>
                    <xdr:row>132</xdr:row>
                    <xdr:rowOff>0</xdr:rowOff>
                  </from>
                  <to>
                    <xdr:col>6</xdr:col>
                    <xdr:colOff>12700</xdr:colOff>
                    <xdr:row>132</xdr:row>
                    <xdr:rowOff>241300</xdr:rowOff>
                  </to>
                </anchor>
              </controlPr>
            </control>
          </mc:Choice>
        </mc:AlternateContent>
        <mc:AlternateContent xmlns:mc="http://schemas.openxmlformats.org/markup-compatibility/2006">
          <mc:Choice Requires="x14">
            <control shapeId="7375" r:id="rId118" name="Check Box 207">
              <controlPr defaultSize="0" autoFill="0" autoLine="0" autoPict="0">
                <anchor moveWithCells="1">
                  <from>
                    <xdr:col>5</xdr:col>
                    <xdr:colOff>59267</xdr:colOff>
                    <xdr:row>137</xdr:row>
                    <xdr:rowOff>25400</xdr:rowOff>
                  </from>
                  <to>
                    <xdr:col>6</xdr:col>
                    <xdr:colOff>21167</xdr:colOff>
                    <xdr:row>137</xdr:row>
                    <xdr:rowOff>266700</xdr:rowOff>
                  </to>
                </anchor>
              </controlPr>
            </control>
          </mc:Choice>
        </mc:AlternateContent>
        <mc:AlternateContent xmlns:mc="http://schemas.openxmlformats.org/markup-compatibility/2006">
          <mc:Choice Requires="x14">
            <control shapeId="7384" r:id="rId119" name="Check Box 216">
              <controlPr defaultSize="0" autoFill="0" autoLine="0" autoPict="0">
                <anchor moveWithCells="1">
                  <from>
                    <xdr:col>5</xdr:col>
                    <xdr:colOff>38100</xdr:colOff>
                    <xdr:row>149</xdr:row>
                    <xdr:rowOff>76200</xdr:rowOff>
                  </from>
                  <to>
                    <xdr:col>6</xdr:col>
                    <xdr:colOff>0</xdr:colOff>
                    <xdr:row>149</xdr:row>
                    <xdr:rowOff>317500</xdr:rowOff>
                  </to>
                </anchor>
              </controlPr>
            </control>
          </mc:Choice>
        </mc:AlternateContent>
        <mc:AlternateContent xmlns:mc="http://schemas.openxmlformats.org/markup-compatibility/2006">
          <mc:Choice Requires="x14">
            <control shapeId="7385" r:id="rId120" name="Check Box 217">
              <controlPr defaultSize="0" autoFill="0" autoLine="0" autoPict="0">
                <anchor moveWithCells="1">
                  <from>
                    <xdr:col>5</xdr:col>
                    <xdr:colOff>38100</xdr:colOff>
                    <xdr:row>150</xdr:row>
                    <xdr:rowOff>76200</xdr:rowOff>
                  </from>
                  <to>
                    <xdr:col>6</xdr:col>
                    <xdr:colOff>0</xdr:colOff>
                    <xdr:row>150</xdr:row>
                    <xdr:rowOff>317500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FF8BE-11FF-4B4B-8446-0304F4683DA8}">
  <dimension ref="A1:Q30"/>
  <sheetViews>
    <sheetView showGridLines="0" zoomScale="85" zoomScaleNormal="85" workbookViewId="0">
      <selection activeCell="F15" sqref="F15"/>
    </sheetView>
  </sheetViews>
  <sheetFormatPr defaultColWidth="0" defaultRowHeight="14.35" zeroHeight="1" outlineLevelCol="1" x14ac:dyDescent="0.5"/>
  <cols>
    <col min="1" max="1" width="7.703125" customWidth="1"/>
    <col min="2" max="2" width="7.703125" style="58" customWidth="1"/>
    <col min="3" max="4" width="10.703125" style="58" customWidth="1"/>
    <col min="5" max="5" width="110.703125" style="58" customWidth="1"/>
    <col min="6" max="6" width="5.29296875" style="114" customWidth="1"/>
    <col min="7" max="7" width="18" style="58" customWidth="1"/>
    <col min="8" max="9" width="35.703125" style="122" hidden="1" customWidth="1" outlineLevel="1"/>
    <col min="10" max="13" width="25.703125" style="122" hidden="1" customWidth="1" outlineLevel="1"/>
    <col min="14" max="14" width="9.17578125" hidden="1" customWidth="1" collapsed="1"/>
    <col min="15" max="16384" width="9.17578125" hidden="1"/>
  </cols>
  <sheetData>
    <row r="1" spans="1:17" s="23" customFormat="1" ht="93" customHeight="1" thickBot="1" x14ac:dyDescent="0.55000000000000004">
      <c r="B1" s="24"/>
      <c r="C1" s="25"/>
      <c r="F1" s="113"/>
      <c r="G1" s="49"/>
      <c r="H1" s="121"/>
      <c r="I1" s="121"/>
      <c r="J1" s="121"/>
      <c r="K1" s="121"/>
      <c r="L1" s="121"/>
      <c r="M1" s="121"/>
    </row>
    <row r="2" spans="1:17" ht="93.75" customHeight="1" thickTop="1" x14ac:dyDescent="0.5"/>
    <row r="5" spans="1:17" s="28" customFormat="1" ht="40" customHeight="1" thickBot="1" x14ac:dyDescent="0.55000000000000004">
      <c r="A5" s="64">
        <v>5</v>
      </c>
      <c r="B5" s="64"/>
      <c r="C5" s="63" t="s">
        <v>51</v>
      </c>
      <c r="D5" s="60"/>
      <c r="E5" s="41"/>
      <c r="F5" s="115"/>
      <c r="G5" s="62"/>
      <c r="H5" s="123" t="s">
        <v>182</v>
      </c>
      <c r="I5" s="123" t="s">
        <v>183</v>
      </c>
      <c r="J5" s="123" t="s">
        <v>192</v>
      </c>
      <c r="K5" s="123" t="s">
        <v>184</v>
      </c>
      <c r="L5" s="123" t="s">
        <v>246</v>
      </c>
      <c r="M5" s="123" t="s">
        <v>172</v>
      </c>
    </row>
    <row r="6" spans="1:17" ht="35.200000000000003" customHeight="1" thickTop="1" thickBot="1" x14ac:dyDescent="0.55000000000000004">
      <c r="B6" s="34" t="s">
        <v>52</v>
      </c>
      <c r="D6" s="35"/>
      <c r="E6" s="57" t="s">
        <v>340</v>
      </c>
      <c r="F6" s="116" t="b">
        <v>1</v>
      </c>
      <c r="G6" s="89"/>
      <c r="H6" s="124" t="s">
        <v>461</v>
      </c>
      <c r="I6" s="124" t="s">
        <v>462</v>
      </c>
      <c r="J6" s="124" t="s">
        <v>514</v>
      </c>
      <c r="K6" s="124" t="s">
        <v>515</v>
      </c>
      <c r="L6" s="124" t="str">
        <f ca="1">+OFFSET(F6,0,IF(F6,2,3))</f>
        <v>L’impresa è in grado in futuro di generare risorse al servizio del debito.</v>
      </c>
      <c r="M6" s="124" t="str">
        <f ca="1">+OFFSET(F6,0,IF(F6,4,5))</f>
        <v>Indicare da dove provengono dette risorse.</v>
      </c>
    </row>
    <row r="7" spans="1:17" ht="35.200000000000003" customHeight="1" thickTop="1" thickBot="1" x14ac:dyDescent="0.55000000000000004">
      <c r="B7" s="34"/>
      <c r="D7" s="35"/>
      <c r="E7" s="57" t="s">
        <v>341</v>
      </c>
      <c r="F7" s="116" t="b">
        <v>0</v>
      </c>
      <c r="G7" s="89"/>
      <c r="H7" s="124" t="s">
        <v>463</v>
      </c>
      <c r="I7" s="124" t="s">
        <v>464</v>
      </c>
      <c r="J7" s="124" t="s">
        <v>194</v>
      </c>
      <c r="K7" s="124" t="s">
        <v>194</v>
      </c>
      <c r="L7" s="124" t="str">
        <f ca="1">+OFFSET(F7,0,IF(F7,2,3))</f>
        <v>Il risultato delle proiezioni finanziarie tende ad essere negativo.</v>
      </c>
      <c r="M7" s="124" t="str">
        <f ca="1">+OFFSET(F7,0,IF(F7,4,5))</f>
        <v>Aggiungere eventuali commenti</v>
      </c>
    </row>
    <row r="8" spans="1:17" ht="35.200000000000003" customHeight="1" thickTop="1" thickBot="1" x14ac:dyDescent="0.55000000000000004">
      <c r="B8" s="34" t="s">
        <v>53</v>
      </c>
      <c r="D8" s="35"/>
      <c r="E8" s="57" t="s">
        <v>343</v>
      </c>
      <c r="F8" s="116" t="b">
        <v>0</v>
      </c>
      <c r="G8" s="89"/>
      <c r="H8" s="124" t="s">
        <v>465</v>
      </c>
      <c r="I8" s="124" t="s">
        <v>466</v>
      </c>
      <c r="J8" s="124" t="s">
        <v>516</v>
      </c>
      <c r="K8" s="124" t="s">
        <v>517</v>
      </c>
      <c r="L8" s="124" t="str">
        <f ca="1">+OFFSET(F8,0,IF(F8,2,3))</f>
        <v>Il piano non tiene conto, anche attraverso prove di resistenza (stress test), dei fattori di rischio e di incertezza ai quali è maggiormente esposta l’impresa.</v>
      </c>
      <c r="M8" s="124" t="str">
        <f ca="1">+OFFSET(F8,0,IF(F8,4,5))</f>
        <v>Indicare le ragioni che hanno condotto i relatori a non sottoporre il piano allo stress test</v>
      </c>
    </row>
    <row r="9" spans="1:17" ht="35.200000000000003" customHeight="1" thickTop="1" thickBot="1" x14ac:dyDescent="0.55000000000000004">
      <c r="B9" s="34"/>
      <c r="D9" s="35"/>
      <c r="E9" s="57" t="s">
        <v>342</v>
      </c>
      <c r="F9" s="116"/>
      <c r="G9" s="89"/>
      <c r="H9" s="124" t="s">
        <v>518</v>
      </c>
      <c r="I9" s="124" t="s">
        <v>518</v>
      </c>
      <c r="J9" s="124" t="s">
        <v>194</v>
      </c>
      <c r="K9" s="124" t="s">
        <v>194</v>
      </c>
      <c r="L9" s="124" t="str">
        <f ca="1">+OFFSET(F9,0,IF(F9,2,3))</f>
        <v>I test effettuati sono coerenti con i rischi emersi ad esito dell’intervista delle diverse funzioni aziendali avendo comunque riguardo alle prospettive di mercato.</v>
      </c>
      <c r="M9" s="124" t="str">
        <f ca="1">+OFFSET(F9,0,IF(F9,4,5))</f>
        <v>Aggiungere eventuali commenti</v>
      </c>
    </row>
    <row r="10" spans="1:17" ht="35.200000000000003" customHeight="1" thickTop="1" x14ac:dyDescent="0.5">
      <c r="B10" s="34" t="s">
        <v>54</v>
      </c>
      <c r="D10" s="35"/>
      <c r="E10" s="57" t="s">
        <v>344</v>
      </c>
      <c r="F10" s="117" t="b">
        <v>0</v>
      </c>
      <c r="G10" s="90"/>
      <c r="H10" s="124" t="s">
        <v>467</v>
      </c>
      <c r="I10" s="124" t="s">
        <v>468</v>
      </c>
      <c r="J10" s="124" t="s">
        <v>194</v>
      </c>
      <c r="K10" s="124" t="s">
        <v>194</v>
      </c>
      <c r="L10" s="124" t="str">
        <f ca="1">+OFFSET(F10,0,IF(F10,2,3))</f>
        <v>La generazione di flussi positivi al servizio del debito non dipende solo dalle iniziative industriali.</v>
      </c>
      <c r="M10" s="124" t="str">
        <f ca="1">+OFFSET(F10,0,IF(F10,4,5))</f>
        <v>Aggiungere eventuali commenti</v>
      </c>
    </row>
    <row r="11" spans="1:17" ht="35.200000000000003" customHeight="1" x14ac:dyDescent="0.5">
      <c r="B11" s="34" t="s">
        <v>55</v>
      </c>
      <c r="D11" s="35"/>
      <c r="E11" s="57" t="s">
        <v>256</v>
      </c>
      <c r="F11" s="117" t="b">
        <v>0</v>
      </c>
      <c r="G11" s="90"/>
      <c r="H11" s="124"/>
      <c r="I11" s="195" t="str">
        <f>+IF(F11,"Il debito che deve essere servito nei singoli anni del piano ammonta a"&amp;s&amp;E12&amp;pu,"")</f>
        <v/>
      </c>
      <c r="J11" s="195"/>
      <c r="K11" s="195"/>
      <c r="L11" s="27"/>
      <c r="M11" s="27"/>
    </row>
    <row r="12" spans="1:17" ht="35.200000000000003" customHeight="1" thickBot="1" x14ac:dyDescent="0.55000000000000004">
      <c r="C12" s="194" t="s">
        <v>293</v>
      </c>
      <c r="D12" s="194"/>
      <c r="E12" s="155" t="s">
        <v>534</v>
      </c>
      <c r="F12" s="118" t="b">
        <v>0</v>
      </c>
      <c r="G12" s="91"/>
      <c r="H12" s="124"/>
      <c r="I12" s="124"/>
      <c r="J12" s="124"/>
      <c r="K12" s="124"/>
      <c r="L12" s="124"/>
      <c r="M12" s="124"/>
    </row>
    <row r="13" spans="1:17" ht="35.200000000000003" customHeight="1" thickTop="1" x14ac:dyDescent="0.5">
      <c r="B13" s="34" t="s">
        <v>56</v>
      </c>
      <c r="D13" s="35"/>
      <c r="E13" s="57" t="s">
        <v>92</v>
      </c>
      <c r="F13" s="117" t="b">
        <v>0</v>
      </c>
      <c r="G13" s="90"/>
      <c r="I13" s="195" t="str">
        <f>+IF(F13,"L’imprenditore intende fronteggiare il debito che deve essere coperto nei diversi anni attraverso i flussi al servizio dello stesso"&amp;s&amp;E14&amp;pu,"")</f>
        <v/>
      </c>
      <c r="J13" s="195"/>
      <c r="K13" s="195"/>
      <c r="L13" s="36"/>
      <c r="M13" s="36"/>
    </row>
    <row r="14" spans="1:17" ht="35.200000000000003" customHeight="1" thickBot="1" x14ac:dyDescent="0.55000000000000004">
      <c r="C14" s="194" t="s">
        <v>293</v>
      </c>
      <c r="D14" s="194"/>
      <c r="E14" s="155" t="s">
        <v>535</v>
      </c>
      <c r="F14" s="118" t="b">
        <v>0</v>
      </c>
      <c r="G14" s="91"/>
      <c r="I14" s="125"/>
      <c r="J14" s="125"/>
      <c r="K14" s="125"/>
      <c r="L14" s="125"/>
      <c r="M14" s="125"/>
    </row>
    <row r="15" spans="1:17" ht="35.200000000000003" customHeight="1" thickTop="1" x14ac:dyDescent="0.5">
      <c r="B15" s="59"/>
      <c r="C15" s="59"/>
      <c r="D15" s="59"/>
      <c r="E15" s="59"/>
      <c r="F15" s="119"/>
      <c r="G15" s="59"/>
      <c r="H15" s="126" t="s">
        <v>182</v>
      </c>
      <c r="I15" s="126" t="s">
        <v>183</v>
      </c>
      <c r="J15" s="126" t="s">
        <v>192</v>
      </c>
      <c r="K15" s="126" t="s">
        <v>184</v>
      </c>
      <c r="L15" s="126" t="s">
        <v>246</v>
      </c>
      <c r="M15" s="126" t="s">
        <v>172</v>
      </c>
    </row>
    <row r="16" spans="1:17" ht="35.200000000000003" customHeight="1" thickBot="1" x14ac:dyDescent="0.55000000000000004">
      <c r="B16" s="34" t="s">
        <v>57</v>
      </c>
      <c r="D16" s="35"/>
      <c r="E16" s="57" t="s">
        <v>345</v>
      </c>
      <c r="F16" s="116" t="b">
        <v>0</v>
      </c>
      <c r="G16" s="89"/>
      <c r="H16" s="124" t="s">
        <v>469</v>
      </c>
      <c r="I16" s="124" t="s">
        <v>470</v>
      </c>
      <c r="J16" s="124" t="s">
        <v>194</v>
      </c>
      <c r="K16" s="124" t="s">
        <v>194</v>
      </c>
      <c r="L16" s="124" t="str">
        <f ca="1">+OFFSET(F16,0,IF(F16,2,3))</f>
        <v>Le proposte non consentono, in via prognostica, il rispetto del minimo legale del capitale sociale al momento della conclusione dell’accordo, fatte salve le disposizioni speciali.</v>
      </c>
      <c r="M16" s="124" t="str">
        <f ca="1">+OFFSET(F16,0,IF(F16,4,5))</f>
        <v>Aggiungere eventuali commenti</v>
      </c>
      <c r="N16" s="21"/>
      <c r="O16" s="21"/>
      <c r="P16" s="21"/>
      <c r="Q16" s="21"/>
    </row>
    <row r="17" spans="1:13" ht="35.200000000000003" customHeight="1" thickTop="1" x14ac:dyDescent="0.5">
      <c r="C17" s="34"/>
      <c r="D17" s="35"/>
      <c r="E17" s="57"/>
    </row>
    <row r="18" spans="1:13" s="28" customFormat="1" ht="40" customHeight="1" thickBot="1" x14ac:dyDescent="0.55000000000000004">
      <c r="A18" s="64">
        <v>6</v>
      </c>
      <c r="B18" s="64"/>
      <c r="C18" s="63" t="s">
        <v>476</v>
      </c>
      <c r="D18" s="60"/>
      <c r="E18" s="41"/>
      <c r="F18" s="115"/>
      <c r="G18" s="62"/>
      <c r="H18" s="123"/>
      <c r="I18" s="123"/>
      <c r="J18" s="123"/>
      <c r="K18" s="123"/>
      <c r="L18" s="123"/>
      <c r="M18" s="123"/>
    </row>
    <row r="19" spans="1:13" ht="35.200000000000003" customHeight="1" thickTop="1" thickBot="1" x14ac:dyDescent="0.55000000000000004">
      <c r="B19" s="34" t="s">
        <v>59</v>
      </c>
      <c r="D19" s="35"/>
      <c r="E19" s="57" t="s">
        <v>74</v>
      </c>
      <c r="F19" s="116" t="b">
        <v>0</v>
      </c>
      <c r="G19" s="89"/>
      <c r="H19" s="124" t="s">
        <v>471</v>
      </c>
      <c r="I19" s="124" t="s">
        <v>471</v>
      </c>
      <c r="J19" s="124" t="s">
        <v>194</v>
      </c>
      <c r="K19" s="124" t="s">
        <v>194</v>
      </c>
      <c r="L19" s="124" t="str">
        <f ca="1">+OFFSET(F19,0,IF(F19,2,3))</f>
        <v>Il piano è redatto per le singole imprese.</v>
      </c>
      <c r="M19" s="124" t="str">
        <f ca="1">+OFFSET(F19,0,IF(F19,4,5))</f>
        <v>Aggiungere eventuali commenti</v>
      </c>
    </row>
    <row r="20" spans="1:13" ht="35.200000000000003" customHeight="1" thickTop="1" thickBot="1" x14ac:dyDescent="0.55000000000000004">
      <c r="B20" s="34" t="s">
        <v>60</v>
      </c>
      <c r="D20" s="35"/>
      <c r="E20" s="57" t="s">
        <v>75</v>
      </c>
      <c r="F20" s="116" t="b">
        <v>0</v>
      </c>
      <c r="G20" s="89"/>
      <c r="H20" s="124" t="s">
        <v>473</v>
      </c>
      <c r="I20" s="124" t="s">
        <v>472</v>
      </c>
      <c r="J20" s="124" t="s">
        <v>194</v>
      </c>
      <c r="K20" s="124" t="s">
        <v>194</v>
      </c>
      <c r="L20" s="124" t="str">
        <f ca="1">+OFFSET(F20,0,IF(F20,2,3))</f>
        <v>Il piano non dà evidenza dei rapporti economici, finanziari e patrimoniali infragruppo.</v>
      </c>
      <c r="M20" s="124" t="str">
        <f ca="1">+OFFSET(F20,0,IF(F20,4,5))</f>
        <v>Aggiungere eventuali commenti</v>
      </c>
    </row>
    <row r="21" spans="1:13" ht="35.200000000000003" customHeight="1" thickTop="1" thickBot="1" x14ac:dyDescent="0.55000000000000004">
      <c r="B21" s="34" t="s">
        <v>61</v>
      </c>
      <c r="D21" s="35"/>
      <c r="E21" s="57" t="s">
        <v>346</v>
      </c>
      <c r="F21" s="116" t="b">
        <v>0</v>
      </c>
      <c r="G21" s="89"/>
      <c r="H21" s="124" t="s">
        <v>347</v>
      </c>
      <c r="I21" s="124" t="s">
        <v>348</v>
      </c>
      <c r="J21" s="124" t="s">
        <v>194</v>
      </c>
      <c r="K21" s="124" t="s">
        <v>194</v>
      </c>
      <c r="L21" s="124" t="str">
        <f ca="1">+OFFSET(F21,0,IF(F21,2,3))</f>
        <v>Non vi sono altre imprese del gruppo che presentano difficoltà economico-finanziarie o patrimoniali?</v>
      </c>
      <c r="M21" s="124" t="str">
        <f ca="1">+OFFSET(F21,0,IF(F21,4,5))</f>
        <v>Aggiungere eventuali commenti</v>
      </c>
    </row>
    <row r="22" spans="1:13" ht="35.200000000000003" hidden="1" customHeight="1" thickTop="1" x14ac:dyDescent="0.5">
      <c r="C22" s="34"/>
      <c r="D22" s="35"/>
      <c r="E22" s="57"/>
      <c r="F22" s="117" t="b">
        <v>0</v>
      </c>
      <c r="G22" s="90"/>
      <c r="H22" s="124"/>
      <c r="I22" s="195" t="str">
        <f>+IF(F22,"L’imprenditore intende affrontarle"&amp;s&amp;E23&amp;pu,"")</f>
        <v/>
      </c>
      <c r="J22" s="195"/>
      <c r="K22" s="195"/>
      <c r="L22" s="21"/>
      <c r="M22" s="21"/>
    </row>
    <row r="23" spans="1:13" ht="35.200000000000003" customHeight="1" thickTop="1" thickBot="1" x14ac:dyDescent="0.55000000000000004">
      <c r="C23" s="194" t="s">
        <v>349</v>
      </c>
      <c r="D23" s="194"/>
      <c r="E23" s="155" t="s">
        <v>350</v>
      </c>
      <c r="F23" s="118" t="b">
        <v>0</v>
      </c>
      <c r="G23" s="91"/>
      <c r="H23" s="124"/>
      <c r="I23" s="124"/>
      <c r="J23" s="124"/>
      <c r="K23" s="124"/>
      <c r="L23" s="124"/>
      <c r="M23" s="124"/>
    </row>
    <row r="24" spans="1:13" ht="35.200000000000003" customHeight="1" thickTop="1" x14ac:dyDescent="0.5">
      <c r="B24" s="34" t="s">
        <v>62</v>
      </c>
      <c r="D24" s="35"/>
      <c r="E24" s="57" t="s">
        <v>501</v>
      </c>
      <c r="F24" s="117" t="b">
        <v>0</v>
      </c>
      <c r="G24" s="90"/>
      <c r="H24" s="124"/>
      <c r="I24" s="195" t="str">
        <f>+IF(F24,"Le altre imprese del gruppo la cui continuità aziendale dipende da quella dell’impresa sono"&amp;s&amp;E25&amp;pu,"")</f>
        <v/>
      </c>
      <c r="J24" s="195"/>
      <c r="K24" s="195"/>
      <c r="L24" s="21"/>
      <c r="M24" s="21"/>
    </row>
    <row r="25" spans="1:13" ht="35.200000000000003" customHeight="1" thickBot="1" x14ac:dyDescent="0.55000000000000004">
      <c r="C25" s="194" t="s">
        <v>502</v>
      </c>
      <c r="D25" s="194"/>
      <c r="E25" s="155" t="s">
        <v>351</v>
      </c>
      <c r="F25" s="118" t="b">
        <v>0</v>
      </c>
      <c r="G25" s="91"/>
      <c r="H25" s="124"/>
      <c r="I25" s="124"/>
      <c r="J25" s="124"/>
      <c r="K25" s="124"/>
      <c r="L25" s="124"/>
      <c r="M25" s="124"/>
    </row>
    <row r="26" spans="1:13" ht="35.200000000000003" customHeight="1" thickTop="1" thickBot="1" x14ac:dyDescent="0.55000000000000004">
      <c r="B26" s="34" t="s">
        <v>63</v>
      </c>
      <c r="D26" s="35"/>
      <c r="E26" s="57" t="s">
        <v>352</v>
      </c>
      <c r="F26" s="120" t="b">
        <v>0</v>
      </c>
      <c r="G26" s="92"/>
      <c r="H26" s="124" t="s">
        <v>474</v>
      </c>
      <c r="I26" s="124" t="s">
        <v>475</v>
      </c>
      <c r="J26" s="124" t="s">
        <v>194</v>
      </c>
      <c r="K26" s="124" t="s">
        <v>194</v>
      </c>
      <c r="L26" s="124" t="str">
        <f ca="1">+OFFSET(F26,0,IF(F26,2,3))</f>
        <v>Le operazioni infragruppo previste nel piano non possono arrecare un pregiudizio per i creditori di un’altra impresa del gruppo.</v>
      </c>
      <c r="M26" s="124" t="str">
        <f ca="1">+OFFSET(F26,0,IF(F26,4,5))</f>
        <v>Aggiungere eventuali commenti</v>
      </c>
    </row>
    <row r="27" spans="1:13" ht="35.200000000000003" customHeight="1" thickTop="1" x14ac:dyDescent="0.5">
      <c r="C27" s="194" t="s">
        <v>503</v>
      </c>
      <c r="D27" s="194"/>
      <c r="E27" s="155" t="s">
        <v>351</v>
      </c>
    </row>
    <row r="28" spans="1:13" ht="35.200000000000003" customHeight="1" x14ac:dyDescent="0.5"/>
    <row r="29" spans="1:13" ht="35.200000000000003" customHeight="1" x14ac:dyDescent="0.5"/>
    <row r="30" spans="1:13" ht="35.200000000000003" customHeight="1" x14ac:dyDescent="0.5"/>
  </sheetData>
  <sheetProtection algorithmName="SHA-512" hashValue="AvdroEFBpqDXu/9vXR0aXXa4nw15evr8UHI1FYx+dBLJMLtf6UNQ15FeRFcResCIe7Ew7baw5Pne3HGtU6bl9g==" saltValue="GVMW3sjZt+y8pCPy4bGu8g==" spinCount="100000" sheet="1" formatCells="0" formatColumns="0" formatRows="0"/>
  <mergeCells count="9">
    <mergeCell ref="C27:D27"/>
    <mergeCell ref="C25:D25"/>
    <mergeCell ref="I24:K24"/>
    <mergeCell ref="I11:K11"/>
    <mergeCell ref="I13:K13"/>
    <mergeCell ref="I22:K22"/>
    <mergeCell ref="C12:D12"/>
    <mergeCell ref="C14:D14"/>
    <mergeCell ref="C23:D23"/>
  </mergeCells>
  <conditionalFormatting sqref="F1:G1">
    <cfRule type="cellIs" dxfId="17" priority="1" operator="equal">
      <formula>TRUE</formula>
    </cfRule>
  </conditionalFormatting>
  <conditionalFormatting sqref="F5:G9">
    <cfRule type="cellIs" dxfId="16" priority="3" operator="equal">
      <formula>TRUE</formula>
    </cfRule>
  </conditionalFormatting>
  <conditionalFormatting sqref="F6:G9">
    <cfRule type="iconSet" priority="23">
      <iconSet iconSet="3Symbols2">
        <cfvo type="percent" val="0"/>
        <cfvo type="percent" val="33"/>
        <cfvo type="formula" val="#REF!"/>
      </iconSet>
    </cfRule>
  </conditionalFormatting>
  <conditionalFormatting sqref="F12:G12">
    <cfRule type="cellIs" dxfId="15" priority="20" operator="equal">
      <formula>TRUE</formula>
    </cfRule>
    <cfRule type="iconSet" priority="21">
      <iconSet iconSet="3Symbols2">
        <cfvo type="percent" val="0"/>
        <cfvo type="percent" val="33"/>
        <cfvo type="formula" val="#REF!"/>
      </iconSet>
    </cfRule>
  </conditionalFormatting>
  <conditionalFormatting sqref="F14:G14">
    <cfRule type="cellIs" dxfId="14" priority="18" operator="equal">
      <formula>TRUE</formula>
    </cfRule>
    <cfRule type="iconSet" priority="19">
      <iconSet iconSet="3Symbols2">
        <cfvo type="percent" val="0"/>
        <cfvo type="percent" val="33"/>
        <cfvo type="formula" val="#REF!"/>
      </iconSet>
    </cfRule>
  </conditionalFormatting>
  <conditionalFormatting sqref="F16:G16">
    <cfRule type="cellIs" dxfId="13" priority="16" operator="equal">
      <formula>TRUE</formula>
    </cfRule>
    <cfRule type="iconSet" priority="17">
      <iconSet iconSet="3Symbols2">
        <cfvo type="percent" val="0"/>
        <cfvo type="percent" val="33"/>
        <cfvo type="formula" val="#REF!"/>
      </iconSet>
    </cfRule>
  </conditionalFormatting>
  <conditionalFormatting sqref="F18:G21">
    <cfRule type="cellIs" dxfId="12" priority="2" operator="equal">
      <formula>TRUE</formula>
    </cfRule>
  </conditionalFormatting>
  <conditionalFormatting sqref="F19:G21">
    <cfRule type="iconSet" priority="15">
      <iconSet iconSet="3Symbols2">
        <cfvo type="percent" val="0"/>
        <cfvo type="percent" val="33"/>
        <cfvo type="formula" val="#REF!"/>
      </iconSet>
    </cfRule>
  </conditionalFormatting>
  <conditionalFormatting sqref="F23:G23">
    <cfRule type="cellIs" dxfId="11" priority="12" operator="equal">
      <formula>TRUE</formula>
    </cfRule>
    <cfRule type="iconSet" priority="13">
      <iconSet iconSet="3Symbols2">
        <cfvo type="percent" val="0"/>
        <cfvo type="percent" val="33"/>
        <cfvo type="formula" val="#REF!"/>
      </iconSet>
    </cfRule>
  </conditionalFormatting>
  <conditionalFormatting sqref="F25:G25">
    <cfRule type="cellIs" dxfId="10" priority="10" operator="equal">
      <formula>TRUE</formula>
    </cfRule>
    <cfRule type="iconSet" priority="11">
      <iconSet iconSet="3Symbols2">
        <cfvo type="percent" val="0"/>
        <cfvo type="percent" val="33"/>
        <cfvo type="formula" val="#REF!"/>
      </iconSet>
    </cfRule>
  </conditionalFormatting>
  <conditionalFormatting sqref="F26:G26">
    <cfRule type="cellIs" dxfId="9" priority="6" operator="equal">
      <formula>TRUE</formula>
    </cfRule>
    <cfRule type="iconSet" priority="7">
      <iconSet iconSet="3Symbols2">
        <cfvo type="percent" val="0"/>
        <cfvo type="percent" val="33"/>
        <cfvo type="formula" val="#REF!"/>
      </iconSet>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Check Box 1">
              <controlPr defaultSize="0" autoFill="0" autoLine="0" autoPict="0">
                <anchor moveWithCells="1">
                  <from>
                    <xdr:col>5</xdr:col>
                    <xdr:colOff>59267</xdr:colOff>
                    <xdr:row>5</xdr:row>
                    <xdr:rowOff>25400</xdr:rowOff>
                  </from>
                  <to>
                    <xdr:col>5</xdr:col>
                    <xdr:colOff>304800</xdr:colOff>
                    <xdr:row>5</xdr:row>
                    <xdr:rowOff>266700</xdr:rowOff>
                  </to>
                </anchor>
              </controlPr>
            </control>
          </mc:Choice>
        </mc:AlternateContent>
        <mc:AlternateContent xmlns:mc="http://schemas.openxmlformats.org/markup-compatibility/2006">
          <mc:Choice Requires="x14">
            <control shapeId="10242" r:id="rId4" name="Check Box 2">
              <controlPr defaultSize="0" autoFill="0" autoLine="0" autoPict="0">
                <anchor moveWithCells="1">
                  <from>
                    <xdr:col>5</xdr:col>
                    <xdr:colOff>59267</xdr:colOff>
                    <xdr:row>7</xdr:row>
                    <xdr:rowOff>25400</xdr:rowOff>
                  </from>
                  <to>
                    <xdr:col>5</xdr:col>
                    <xdr:colOff>304800</xdr:colOff>
                    <xdr:row>7</xdr:row>
                    <xdr:rowOff>266700</xdr:rowOff>
                  </to>
                </anchor>
              </controlPr>
            </control>
          </mc:Choice>
        </mc:AlternateContent>
        <mc:AlternateContent xmlns:mc="http://schemas.openxmlformats.org/markup-compatibility/2006">
          <mc:Choice Requires="x14">
            <control shapeId="10249" r:id="rId5" name="Check Box 9">
              <controlPr defaultSize="0" autoFill="0" autoLine="0" autoPict="0">
                <anchor moveWithCells="1">
                  <from>
                    <xdr:col>5</xdr:col>
                    <xdr:colOff>59267</xdr:colOff>
                    <xdr:row>9</xdr:row>
                    <xdr:rowOff>25400</xdr:rowOff>
                  </from>
                  <to>
                    <xdr:col>5</xdr:col>
                    <xdr:colOff>304800</xdr:colOff>
                    <xdr:row>9</xdr:row>
                    <xdr:rowOff>266700</xdr:rowOff>
                  </to>
                </anchor>
              </controlPr>
            </control>
          </mc:Choice>
        </mc:AlternateContent>
        <mc:AlternateContent xmlns:mc="http://schemas.openxmlformats.org/markup-compatibility/2006">
          <mc:Choice Requires="x14">
            <control shapeId="10250" r:id="rId6" name="Check Box 10">
              <controlPr defaultSize="0" autoFill="0" autoLine="0" autoPict="0">
                <anchor moveWithCells="1">
                  <from>
                    <xdr:col>5</xdr:col>
                    <xdr:colOff>59267</xdr:colOff>
                    <xdr:row>6</xdr:row>
                    <xdr:rowOff>25400</xdr:rowOff>
                  </from>
                  <to>
                    <xdr:col>5</xdr:col>
                    <xdr:colOff>304800</xdr:colOff>
                    <xdr:row>6</xdr:row>
                    <xdr:rowOff>266700</xdr:rowOff>
                  </to>
                </anchor>
              </controlPr>
            </control>
          </mc:Choice>
        </mc:AlternateContent>
        <mc:AlternateContent xmlns:mc="http://schemas.openxmlformats.org/markup-compatibility/2006">
          <mc:Choice Requires="x14">
            <control shapeId="10251" r:id="rId7" name="Check Box 11">
              <controlPr defaultSize="0" autoFill="0" autoLine="0" autoPict="0">
                <anchor moveWithCells="1">
                  <from>
                    <xdr:col>5</xdr:col>
                    <xdr:colOff>59267</xdr:colOff>
                    <xdr:row>7</xdr:row>
                    <xdr:rowOff>25400</xdr:rowOff>
                  </from>
                  <to>
                    <xdr:col>5</xdr:col>
                    <xdr:colOff>304800</xdr:colOff>
                    <xdr:row>7</xdr:row>
                    <xdr:rowOff>266700</xdr:rowOff>
                  </to>
                </anchor>
              </controlPr>
            </control>
          </mc:Choice>
        </mc:AlternateContent>
        <mc:AlternateContent xmlns:mc="http://schemas.openxmlformats.org/markup-compatibility/2006">
          <mc:Choice Requires="x14">
            <control shapeId="10252" r:id="rId8" name="Check Box 12">
              <controlPr defaultSize="0" autoFill="0" autoLine="0" autoPict="0">
                <anchor moveWithCells="1">
                  <from>
                    <xdr:col>5</xdr:col>
                    <xdr:colOff>59267</xdr:colOff>
                    <xdr:row>9</xdr:row>
                    <xdr:rowOff>25400</xdr:rowOff>
                  </from>
                  <to>
                    <xdr:col>5</xdr:col>
                    <xdr:colOff>304800</xdr:colOff>
                    <xdr:row>9</xdr:row>
                    <xdr:rowOff>266700</xdr:rowOff>
                  </to>
                </anchor>
              </controlPr>
            </control>
          </mc:Choice>
        </mc:AlternateContent>
        <mc:AlternateContent xmlns:mc="http://schemas.openxmlformats.org/markup-compatibility/2006">
          <mc:Choice Requires="x14">
            <control shapeId="10253" r:id="rId9" name="Check Box 13">
              <controlPr defaultSize="0" autoFill="0" autoLine="0" autoPict="0">
                <anchor moveWithCells="1">
                  <from>
                    <xdr:col>5</xdr:col>
                    <xdr:colOff>59267</xdr:colOff>
                    <xdr:row>8</xdr:row>
                    <xdr:rowOff>25400</xdr:rowOff>
                  </from>
                  <to>
                    <xdr:col>5</xdr:col>
                    <xdr:colOff>304800</xdr:colOff>
                    <xdr:row>8</xdr:row>
                    <xdr:rowOff>266700</xdr:rowOff>
                  </to>
                </anchor>
              </controlPr>
            </control>
          </mc:Choice>
        </mc:AlternateContent>
        <mc:AlternateContent xmlns:mc="http://schemas.openxmlformats.org/markup-compatibility/2006">
          <mc:Choice Requires="x14">
            <control shapeId="10254" r:id="rId10" name="Check Box 14">
              <controlPr defaultSize="0" autoFill="0" autoLine="0" autoPict="0">
                <anchor moveWithCells="1">
                  <from>
                    <xdr:col>5</xdr:col>
                    <xdr:colOff>59267</xdr:colOff>
                    <xdr:row>10</xdr:row>
                    <xdr:rowOff>88900</xdr:rowOff>
                  </from>
                  <to>
                    <xdr:col>5</xdr:col>
                    <xdr:colOff>279400</xdr:colOff>
                    <xdr:row>10</xdr:row>
                    <xdr:rowOff>287867</xdr:rowOff>
                  </to>
                </anchor>
              </controlPr>
            </control>
          </mc:Choice>
        </mc:AlternateContent>
        <mc:AlternateContent xmlns:mc="http://schemas.openxmlformats.org/markup-compatibility/2006">
          <mc:Choice Requires="x14">
            <control shapeId="10255" r:id="rId11" name="Check Box 15">
              <controlPr defaultSize="0" autoFill="0" autoLine="0" autoPict="0">
                <anchor moveWithCells="1">
                  <from>
                    <xdr:col>5</xdr:col>
                    <xdr:colOff>59267</xdr:colOff>
                    <xdr:row>12</xdr:row>
                    <xdr:rowOff>88900</xdr:rowOff>
                  </from>
                  <to>
                    <xdr:col>5</xdr:col>
                    <xdr:colOff>279400</xdr:colOff>
                    <xdr:row>12</xdr:row>
                    <xdr:rowOff>287867</xdr:rowOff>
                  </to>
                </anchor>
              </controlPr>
            </control>
          </mc:Choice>
        </mc:AlternateContent>
        <mc:AlternateContent xmlns:mc="http://schemas.openxmlformats.org/markup-compatibility/2006">
          <mc:Choice Requires="x14">
            <control shapeId="10256" r:id="rId12" name="Check Box 16">
              <controlPr defaultSize="0" autoFill="0" autoLine="0" autoPict="0">
                <anchor moveWithCells="1">
                  <from>
                    <xdr:col>5</xdr:col>
                    <xdr:colOff>59267</xdr:colOff>
                    <xdr:row>15</xdr:row>
                    <xdr:rowOff>88900</xdr:rowOff>
                  </from>
                  <to>
                    <xdr:col>5</xdr:col>
                    <xdr:colOff>279400</xdr:colOff>
                    <xdr:row>15</xdr:row>
                    <xdr:rowOff>287867</xdr:rowOff>
                  </to>
                </anchor>
              </controlPr>
            </control>
          </mc:Choice>
        </mc:AlternateContent>
        <mc:AlternateContent xmlns:mc="http://schemas.openxmlformats.org/markup-compatibility/2006">
          <mc:Choice Requires="x14">
            <control shapeId="10257" r:id="rId13" name="Check Box 17">
              <controlPr defaultSize="0" autoFill="0" autoLine="0" autoPict="0">
                <anchor moveWithCells="1">
                  <from>
                    <xdr:col>5</xdr:col>
                    <xdr:colOff>59267</xdr:colOff>
                    <xdr:row>18</xdr:row>
                    <xdr:rowOff>88900</xdr:rowOff>
                  </from>
                  <to>
                    <xdr:col>5</xdr:col>
                    <xdr:colOff>279400</xdr:colOff>
                    <xdr:row>18</xdr:row>
                    <xdr:rowOff>287867</xdr:rowOff>
                  </to>
                </anchor>
              </controlPr>
            </control>
          </mc:Choice>
        </mc:AlternateContent>
        <mc:AlternateContent xmlns:mc="http://schemas.openxmlformats.org/markup-compatibility/2006">
          <mc:Choice Requires="x14">
            <control shapeId="10259" r:id="rId14" name="Check Box 19">
              <controlPr defaultSize="0" autoFill="0" autoLine="0" autoPict="0">
                <anchor moveWithCells="1">
                  <from>
                    <xdr:col>5</xdr:col>
                    <xdr:colOff>59267</xdr:colOff>
                    <xdr:row>20</xdr:row>
                    <xdr:rowOff>88900</xdr:rowOff>
                  </from>
                  <to>
                    <xdr:col>5</xdr:col>
                    <xdr:colOff>279400</xdr:colOff>
                    <xdr:row>20</xdr:row>
                    <xdr:rowOff>287867</xdr:rowOff>
                  </to>
                </anchor>
              </controlPr>
            </control>
          </mc:Choice>
        </mc:AlternateContent>
        <mc:AlternateContent xmlns:mc="http://schemas.openxmlformats.org/markup-compatibility/2006">
          <mc:Choice Requires="x14">
            <control shapeId="10260" r:id="rId15" name="Check Box 20">
              <controlPr defaultSize="0" autoFill="0" autoLine="0" autoPict="0">
                <anchor moveWithCells="1">
                  <from>
                    <xdr:col>5</xdr:col>
                    <xdr:colOff>59267</xdr:colOff>
                    <xdr:row>23</xdr:row>
                    <xdr:rowOff>88900</xdr:rowOff>
                  </from>
                  <to>
                    <xdr:col>5</xdr:col>
                    <xdr:colOff>279400</xdr:colOff>
                    <xdr:row>23</xdr:row>
                    <xdr:rowOff>287867</xdr:rowOff>
                  </to>
                </anchor>
              </controlPr>
            </control>
          </mc:Choice>
        </mc:AlternateContent>
        <mc:AlternateContent xmlns:mc="http://schemas.openxmlformats.org/markup-compatibility/2006">
          <mc:Choice Requires="x14">
            <control shapeId="10261" r:id="rId16" name="Check Box 21">
              <controlPr defaultSize="0" autoFill="0" autoLine="0" autoPict="0">
                <anchor moveWithCells="1">
                  <from>
                    <xdr:col>5</xdr:col>
                    <xdr:colOff>59267</xdr:colOff>
                    <xdr:row>25</xdr:row>
                    <xdr:rowOff>88900</xdr:rowOff>
                  </from>
                  <to>
                    <xdr:col>5</xdr:col>
                    <xdr:colOff>279400</xdr:colOff>
                    <xdr:row>25</xdr:row>
                    <xdr:rowOff>287867</xdr:rowOff>
                  </to>
                </anchor>
              </controlPr>
            </control>
          </mc:Choice>
        </mc:AlternateContent>
        <mc:AlternateContent xmlns:mc="http://schemas.openxmlformats.org/markup-compatibility/2006">
          <mc:Choice Requires="x14">
            <control shapeId="10262" r:id="rId17" name="Check Box 22">
              <controlPr defaultSize="0" autoFill="0" autoLine="0" autoPict="0">
                <anchor moveWithCells="1">
                  <from>
                    <xdr:col>5</xdr:col>
                    <xdr:colOff>59267</xdr:colOff>
                    <xdr:row>19</xdr:row>
                    <xdr:rowOff>88900</xdr:rowOff>
                  </from>
                  <to>
                    <xdr:col>5</xdr:col>
                    <xdr:colOff>279400</xdr:colOff>
                    <xdr:row>19</xdr:row>
                    <xdr:rowOff>287867</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FA888-D87F-4DD3-ABD9-0F7C9F140364}">
  <sheetPr codeName="Foglio4"/>
  <dimension ref="A1:XFC199"/>
  <sheetViews>
    <sheetView showGridLines="0" showZeros="0" zoomScale="125" zoomScaleNormal="125" workbookViewId="0">
      <pane ySplit="3" topLeftCell="A10" activePane="bottomLeft" state="frozen"/>
      <selection pane="bottomLeft" activeCell="L6" sqref="L6:L14"/>
    </sheetView>
  </sheetViews>
  <sheetFormatPr defaultColWidth="0" defaultRowHeight="11.35" x14ac:dyDescent="0.5"/>
  <cols>
    <col min="1" max="2" width="2.703125" style="97" customWidth="1"/>
    <col min="3" max="3" width="29.52734375" style="96" customWidth="1"/>
    <col min="4" max="4" width="110.703125" style="57" customWidth="1"/>
    <col min="5" max="5" width="5" style="97" customWidth="1"/>
    <col min="6" max="6" width="4" style="97" customWidth="1"/>
    <col min="7" max="7" width="11.52734375" style="97" customWidth="1"/>
    <col min="8" max="8" width="13" style="97" hidden="1" customWidth="1"/>
    <col min="9" max="9" width="9.17578125" style="97" hidden="1" customWidth="1"/>
    <col min="10" max="10" width="153.703125" style="35" hidden="1" customWidth="1"/>
    <col min="11" max="11" width="9.17578125" style="97" hidden="1" customWidth="1"/>
    <col min="12" max="12" width="147" style="95" customWidth="1"/>
    <col min="13" max="13" width="10.3515625" style="95" customWidth="1"/>
    <col min="14" max="14" width="97.17578125" style="97" hidden="1" customWidth="1"/>
    <col min="15" max="16382" width="0" style="97" hidden="1"/>
    <col min="16383" max="16383" width="0.17578125" style="97" hidden="1" customWidth="1"/>
    <col min="16384" max="16384" width="4.29296875" style="97" hidden="1" customWidth="1"/>
  </cols>
  <sheetData>
    <row r="1" spans="1:14" s="23" customFormat="1" ht="9.35" thickBot="1" x14ac:dyDescent="0.55000000000000004">
      <c r="B1" s="24"/>
      <c r="C1" s="25"/>
      <c r="F1" s="26"/>
      <c r="G1" s="49"/>
      <c r="H1" s="27"/>
      <c r="I1" s="27"/>
      <c r="J1" s="27"/>
      <c r="K1" s="27"/>
      <c r="L1" s="27"/>
      <c r="M1" s="27"/>
      <c r="N1" s="27"/>
    </row>
    <row r="2" spans="1:14" ht="15.35" thickTop="1" x14ac:dyDescent="0.5">
      <c r="J2" s="97"/>
      <c r="L2" s="99" t="s">
        <v>358</v>
      </c>
      <c r="M2" s="159"/>
    </row>
    <row r="3" spans="1:14" ht="15" x14ac:dyDescent="0.5">
      <c r="D3" s="56"/>
      <c r="H3" s="56"/>
      <c r="J3" s="97"/>
      <c r="L3" s="157" t="str">
        <f>+'SEZIONI 1-2'!$C$3</f>
        <v>Alpha SPA</v>
      </c>
      <c r="M3" s="157"/>
    </row>
    <row r="4" spans="1:14" ht="15" x14ac:dyDescent="0.5">
      <c r="A4" s="99" t="s">
        <v>353</v>
      </c>
      <c r="B4" s="100"/>
      <c r="C4" s="104"/>
      <c r="D4" s="101"/>
      <c r="H4" s="93"/>
      <c r="I4" s="98"/>
      <c r="J4" s="94"/>
      <c r="L4" s="166">
        <f>+'SEZIONI 1-2'!C5</f>
        <v>0</v>
      </c>
      <c r="M4" s="97"/>
    </row>
    <row r="5" spans="1:14" ht="15" x14ac:dyDescent="0.5">
      <c r="B5" s="102" t="str">
        <f>+'SEZIONI 1-2'!$D$8</f>
        <v>Il requisito dell’organizzazione dell’impresa</v>
      </c>
      <c r="C5" s="105"/>
      <c r="D5" s="102"/>
      <c r="I5" s="96" t="str">
        <f>+B5</f>
        <v>Il requisito dell’organizzazione dell’impresa</v>
      </c>
      <c r="J5" s="96"/>
      <c r="L5" s="158" t="str">
        <f>+I5</f>
        <v>Il requisito dell’organizzazione dell’impresa</v>
      </c>
      <c r="M5" s="158"/>
    </row>
    <row r="6" spans="1:14" ht="22.7" x14ac:dyDescent="0.5">
      <c r="D6" s="57" t="str">
        <f ca="1">+'SEZIONI 1-2'!L9</f>
        <v>L’impresa dispone delle risorse chiave (umane e tecniche) per la conduzione dell’attività.</v>
      </c>
      <c r="G6" s="35"/>
      <c r="I6" s="96"/>
      <c r="J6" s="95" t="str">
        <f ca="1">+CONCATENATE(D6,
IF(D7&gt;"",(s&amp;D7),""))</f>
        <v>L’impresa dispone delle risorse chiave (umane e tecniche) per la conduzione dell’attività. Dispone infatti di tecnologie adeguate e l'organico risulta adeguato alle attività operative richieste per il raggiungimento degli obiettivi.</v>
      </c>
      <c r="L6" s="197" t="str" cm="1">
        <f t="array" aca="1" ref="L6" ca="1">+CONCATENATE(J6,AC,J7,AC,J8,s,J9,s,J10,s,J11,AC,J12,AC,J13)</f>
        <v>L’impresa dispone delle risorse chiave (umane e tecniche) per la conduzione dell’attività. Dispone infatti di tecnologie adeguate e l'organico risulta adeguato alle attività operative richieste per il raggiungimento degli obiettivi.
Da un punto di vista tecnico/economico, l’impresa dispone delle competenze necessarie per le iniziative industriali che l’imprenditore intende adottare. Ad oggi la capacità produttiva risulta adeguata e il management è in grado di affrontare le sfide previste dai piani aziendali e dal Budget.
Il sistema informativo aziendale prevede un adeguato sistema di monitoraggio continuo dell'andamento aziendale. L'azienda dispone di un ERP in cloud che consente accessi autorizzati e protetti. I ricavi sono costantemente monitorati. L'azienda ha predisposto un sistema di Business Intelligence collegato al gestionale aziendale che consente un monitoraggio in tempo reale Gli ordini sono costantemente monitorati. La posizione finanziaria netta non è costantemente monitorata. L'azienda predispone solo un conto economico periodico e non predisponendo lo stato patrimoniale non è in grado di analizzare periodicamente le variazioni della PFN. Tuttavia è in corso un miglioramento del sistema di scritture di assestamento inframensili che consentirà di completare le analisi mensili.
L'impresa non fa ancora ricorso a KPI che consentono valutazioni rapide e continue, è in grado di individuare gli indicatori di produttività coerenti con il proprio modello di business ed il proprio settore di attività, e di raccogliere ulteriori informazioni per la valutazione dell’andamento tendenziale. Per il momento l'azienda si limita ad utilizzare gli indicatori previsti dal sistema di qualità in quanto ritenuti adeguatamente informativi.
L'impresa non dispone di un piano di tesoreria a 12 mesi. Non è in grado di predisporre un prospetto delle stime delle entrate e delle uscite finanziare almeno a 13 settimane, il cui scostamento con l’andamento corrente dovrà essere valutato a consuntivo.</v>
      </c>
      <c r="M6" s="57"/>
    </row>
    <row r="7" spans="1:14" ht="22.7" x14ac:dyDescent="0.5">
      <c r="C7" s="106" t="str">
        <f ca="1">+'SEZIONI 1-2'!M9</f>
        <v>Aggiungere eventuali commenti</v>
      </c>
      <c r="D7" s="156" t="s">
        <v>537</v>
      </c>
      <c r="I7" s="96"/>
      <c r="J7" s="95" t="str">
        <f ca="1">CONCATENATE(D8,
IF(D9&gt;"",(s&amp;D9),""))</f>
        <v>Da un punto di vista tecnico/economico, l’impresa dispone delle competenze necessarie per le iniziative industriali che l’imprenditore intende adottare. Ad oggi la capacità produttiva risulta adeguata e il management è in grado di affrontare le sfide previste dai piani aziendali e dal Budget.</v>
      </c>
      <c r="L7" s="197"/>
      <c r="M7" s="57"/>
    </row>
    <row r="8" spans="1:14" x14ac:dyDescent="0.5">
      <c r="C8" s="106"/>
      <c r="D8" s="57" t="str">
        <f ca="1">+'SEZIONI 1-2'!L10</f>
        <v>Da un punto di vista tecnico/economico, l’impresa dispone delle competenze necessarie per le iniziative industriali che l’imprenditore intende adottare.</v>
      </c>
      <c r="J8" s="35" t="str">
        <f ca="1">+CONCATENATE(D10,
IF(D11&gt;"",(s&amp;D11),""))</f>
        <v>Il sistema informativo aziendale prevede un adeguato sistema di monitoraggio continuo dell'andamento aziendale. L'azienda dispone di un ERP in cloud che consente accessi autorizzati e protetti.</v>
      </c>
      <c r="L8" s="197"/>
      <c r="M8" s="57"/>
    </row>
    <row r="9" spans="1:14" x14ac:dyDescent="0.5">
      <c r="C9" s="106" t="str">
        <f ca="1">+'SEZIONI 1-2'!M10</f>
        <v>Aggiungere eventuali commenti</v>
      </c>
      <c r="D9" s="156" t="s">
        <v>538</v>
      </c>
      <c r="J9" s="35" t="str">
        <f ca="1">+CONCATENATE(D12,
IF(D13&gt;"",(s&amp;D13),""))</f>
        <v>I ricavi sono costantemente monitorati. L'azienda ha predisposto un sistema di Business Intelligence collegato al gestionale aziendale che consente un monitoraggio in tempo reale</v>
      </c>
      <c r="L9" s="197"/>
      <c r="M9" s="57"/>
    </row>
    <row r="10" spans="1:14" x14ac:dyDescent="0.5">
      <c r="C10" s="106"/>
      <c r="D10" s="57" t="str">
        <f ca="1">+'SEZIONI 1-2'!L11</f>
        <v>Il sistema informativo aziendale prevede un adeguato sistema di monitoraggio continuo dell'andamento aziendale.</v>
      </c>
      <c r="J10" s="35" t="str">
        <f ca="1">CONCATENATE(D14,
IF(D15&gt;"",(s&amp;D15),""))</f>
        <v>Gli ordini sono costantemente monitorati.</v>
      </c>
      <c r="L10" s="197"/>
      <c r="M10" s="57"/>
    </row>
    <row r="11" spans="1:14" ht="22.7" x14ac:dyDescent="0.5">
      <c r="C11" s="106" t="str">
        <f ca="1">+'SEZIONI 1-2'!M11</f>
        <v>Aggiungere eventuali commenti</v>
      </c>
      <c r="D11" s="156" t="s">
        <v>539</v>
      </c>
      <c r="J11" s="35" t="str">
        <f ca="1">CONCATENATE(D16,
IF(D17&gt;"",(s&amp;D17),""))</f>
        <v>La posizione finanziaria netta non è costantemente monitorata. L'azienda predispone solo un conto economico periodico e non predisponendo lo stato patrimoniale non è in grado di analizzare periodicamente le variazioni della PFN. Tuttavia è in corso un miglioramento del sistema di scritture di assestamento inframensili che consentirà di completare le analisi mensili.</v>
      </c>
      <c r="L11" s="197"/>
      <c r="M11" s="57"/>
    </row>
    <row r="12" spans="1:14" ht="34" x14ac:dyDescent="0.5">
      <c r="C12" s="106"/>
      <c r="D12" s="57" t="str">
        <f ca="1">+'SEZIONI 1-2'!L12</f>
        <v>I ricavi sono costantemente monitorati.</v>
      </c>
      <c r="J12" s="35" t="str">
        <f ca="1">CONCATENATE(D18,
IF(D19&gt;"",(s&amp;D19),""),s,D20,IF(D21&gt;"",(s&amp;D21),""))</f>
        <v>L'impresa non fa ancora ricorso a KPI che consentono valutazioni rapide e continue, è in grado di individuare gli indicatori di produttività coerenti con il proprio modello di business ed il proprio settore di attività, e di raccogliere ulteriori informazioni per la valutazione dell’andamento tendenziale. Per il momento l'azienda si limita ad utilizzare gli indicatori previsti dal sistema di qualità in quanto ritenuti adeguatamente informativi.</v>
      </c>
      <c r="L12" s="197"/>
      <c r="M12" s="57"/>
    </row>
    <row r="13" spans="1:14" ht="22.7" x14ac:dyDescent="0.5">
      <c r="C13" s="106" t="str">
        <f ca="1">+'SEZIONI 1-2'!M12</f>
        <v>Aggiungere eventuali commenti</v>
      </c>
      <c r="D13" s="156" t="s">
        <v>540</v>
      </c>
      <c r="J13" s="35" t="str">
        <f ca="1">CONCATENATE(D22,
IF(D23&gt;"",(s&amp;D23),""),s,D24,IF(D25&gt;"",(s&amp;D25),""))</f>
        <v>L'impresa non dispone di un piano di tesoreria a 12 mesi. Non è in grado di predisporre un prospetto delle stime delle entrate e delle uscite finanziare almeno a 13 settimane, il cui scostamento con l’andamento corrente dovrà essere valutato a consuntivo.</v>
      </c>
      <c r="L13" s="197"/>
      <c r="M13" s="57"/>
    </row>
    <row r="14" spans="1:14" x14ac:dyDescent="0.5">
      <c r="C14" s="106"/>
      <c r="D14" s="57" t="str">
        <f ca="1">+'SEZIONI 1-2'!L13</f>
        <v>Gli ordini sono costantemente monitorati.</v>
      </c>
      <c r="L14" s="197"/>
      <c r="M14" s="57"/>
    </row>
    <row r="15" spans="1:14" x14ac:dyDescent="0.5">
      <c r="C15" s="106" t="str">
        <f ca="1">+'SEZIONI 1-2'!M13</f>
        <v>Aggiungere eventuali commenti</v>
      </c>
      <c r="D15" s="156"/>
      <c r="I15" s="96" t="str">
        <f>+B26</f>
        <v>Rilevazione della situazione contabile e dell’andamento corrente</v>
      </c>
      <c r="L15" s="158" t="str">
        <f>+I15</f>
        <v>Rilevazione della situazione contabile e dell’andamento corrente</v>
      </c>
      <c r="M15" s="158"/>
    </row>
    <row r="16" spans="1:14" x14ac:dyDescent="0.5">
      <c r="C16" s="106"/>
      <c r="D16" s="57" t="str">
        <f ca="1">+'SEZIONI 1-2'!L14</f>
        <v>La posizione finanziaria netta non è costantemente monitorata.</v>
      </c>
      <c r="J16" s="35" t="str">
        <f ca="1">CONCATENATE(D27,
IF(D28&gt;"",(s&amp;D28),""))</f>
        <v>È stata disposta una situazione contabile recante le rettifiche di competenza e gli assestamenti di chiusura, nel rispetto del principio contabile OIC 30.</v>
      </c>
      <c r="L16" s="196" t="str" cm="1">
        <f t="array" aca="1" ref="L16" ca="1">+CONCATENATE(J16,s,J17,s,J18,s,J19,s,J20,s,J21,s,J22,AC,J23,AC,J24,AC,J25,AC,J26,AC,J27)</f>
        <v>È stata disposta una situazione contabile recante le rettifiche di competenza e gli assestamenti di chiusura, nel rispetto del principio contabile OIC 30. La situazione è da considerarsi affidabile per quanto concerne la corretta rappresentazione della situazione debitoria dell'impresa. Il maggior contabile dei cespiti è superiore al valore di realizzo e a quello di mercato. La funzione amministrativa dispone di un prospetto recante l’anzianità dei crediti commerciali e , non sono state analizzate le cause del ritardo di incasso tale da consentire una valutazione oggettiva dei rischi di perdite sui crediti e una stima prudente dei tempi di incasso. I crediti sono suddivisibili in base alla loro anzianità. Per gli scaduti che superano la fisiologia (tempi ordinari di pagamento, pur oltre la scadenza contrattuale, che caratterizzano il settore), la stima del momento dell’incasso non è da considerarsi sufficientemente prudente. È disponibile un prospetto recante le rimanenze di magazzino con i tempi di movimentazione che consenta di individuare le giacenze oggetto di lenta rotazione.
L'impresa non ha redatto un prospetto di riconciliazione tra la contabilità e quanto risultante dal certificato unico dei debiti tributari, dalla situazione debitoria complessiva dell’Agente della Riscossione. Ha redatto un prospetto di riconciliazione tra la contabilità e quanto risultante dal certificato unico dei debiti contributivi e assicurativi
La Centrale rischi di Banca D'Italia viene esaminata periodicamente e non riconciliata con la contabilità.
Il sistema di controllo dei rischi tiene conto anche delle passività potenziali.
Esistono rilevanti rischi per garanzie concesse a terzi.
L'organo di controllo o il revisore legale è composto da</v>
      </c>
    </row>
    <row r="17" spans="2:14" ht="34" x14ac:dyDescent="0.5">
      <c r="C17" s="106" t="str">
        <f ca="1">+'SEZIONI 1-2'!M14</f>
        <v>Indicare quale controllo viene fatto e come si intende intervenire per migliorare il sistema di controllo.</v>
      </c>
      <c r="D17" s="156" t="s">
        <v>541</v>
      </c>
      <c r="J17" s="35" t="str">
        <f ca="1">CONCATENATE(D29,
IF(D30&gt;"",(s&amp;D30),""))</f>
        <v>La situazione è da considerarsi affidabile per quanto concerne la corretta rappresentazione della situazione debitoria dell'impresa.</v>
      </c>
      <c r="L17" s="196"/>
    </row>
    <row r="18" spans="2:14" x14ac:dyDescent="0.5">
      <c r="C18" s="106"/>
      <c r="D18" s="57" t="str">
        <f ca="1">+'SEZIONI 1-2'!L15</f>
        <v>L'impresa non fa ancora ricorso a KPI che consentono valutazioni rapide e continue,</v>
      </c>
      <c r="J18" s="35" t="str">
        <f ca="1">CONCATENATE(D31,
IF(D32&gt;"",(s&amp;D32),""))</f>
        <v>Il maggior contabile dei cespiti è superiore al valore di realizzo e a quello di mercato.</v>
      </c>
      <c r="L18" s="196"/>
    </row>
    <row r="19" spans="2:14" ht="22.7" x14ac:dyDescent="0.5">
      <c r="C19" s="106">
        <f ca="1">+'SEZIONI 1-2'!M15</f>
        <v>0</v>
      </c>
      <c r="J19" s="35" t="str">
        <f ca="1">CONCATENATE(D33,
IF(D34&gt;"",(s&amp;D34),""),s,D35,IF(D36&gt;"",(s&amp;D36),""))</f>
        <v>La funzione amministrativa dispone di un prospetto recante l’anzianità dei crediti commerciali e , non sono state analizzate le cause del ritardo di incasso tale da consentire una valutazione oggettiva dei rischi di perdite sui crediti e una stima prudente dei tempi di incasso.</v>
      </c>
      <c r="L19" s="196"/>
    </row>
    <row r="20" spans="2:14" ht="22.7" x14ac:dyDescent="0.5">
      <c r="C20" s="106"/>
      <c r="D20" s="57" t="str">
        <f ca="1">+'SEZIONI 1-2'!L16</f>
        <v>è in grado di individuare gli indicatori di produttività coerenti con il proprio modello di business ed il proprio settore di attività, e di raccogliere ulteriori informazioni per la valutazione dell’andamento tendenziale.</v>
      </c>
      <c r="J20" s="35" t="str">
        <f ca="1">CONCATENATE(D37,IF(D38&gt;"",(s&amp;D38),""))</f>
        <v>I crediti sono suddivisibili in base alla loro anzianità.</v>
      </c>
      <c r="L20" s="196"/>
    </row>
    <row r="21" spans="2:14" ht="22.7" x14ac:dyDescent="0.5">
      <c r="C21" s="106" t="str">
        <f ca="1">+'SEZIONI 1-2'!M16</f>
        <v>Descrivere facendo riferimento ai metodi utilizzati (BSC, BMC, KPI, ecc)</v>
      </c>
      <c r="D21" s="156" t="s">
        <v>542</v>
      </c>
      <c r="J21" s="35" t="str">
        <f ca="1">CONCATENATE(D39,IF(D40&gt;"",(s&amp;D40),""))</f>
        <v>Per gli scaduti che superano la fisiologia (tempi ordinari di pagamento, pur oltre la scadenza contrattuale, che caratterizzano il settore), la stima del momento dell’incasso non è da considerarsi sufficientemente prudente.</v>
      </c>
      <c r="L21" s="196"/>
    </row>
    <row r="22" spans="2:14" x14ac:dyDescent="0.5">
      <c r="C22" s="106"/>
      <c r="D22" s="57" t="str">
        <f ca="1">+'SEZIONI 1-2'!L17</f>
        <v>L'impresa non dispone di un piano di tesoreria a 12 mesi.</v>
      </c>
      <c r="J22" s="35" t="str">
        <f ca="1">CONCATENATE(D41,IF(D42&gt;"",(s&amp;D42),""))</f>
        <v>È disponibile un prospetto recante le rimanenze di magazzino con i tempi di movimentazione che consenta di individuare le giacenze oggetto di lenta rotazione.</v>
      </c>
      <c r="L22" s="196"/>
    </row>
    <row r="23" spans="2:14" ht="45.35" x14ac:dyDescent="0.5">
      <c r="C23" s="106" t="str">
        <f ca="1">+'SEZIONI 1-2'!M17</f>
        <v>Spiegare le motivazioni per le quali non è stato redatto un piano di tesoreria e come si intende rimuovere gli ostacoli.</v>
      </c>
      <c r="D23" s="156"/>
      <c r="J23" s="35" t="str">
        <f ca="1">CONCATENATE(D43,
IF(D44&gt;"",(s&amp;D44),""),s,D45,IF(D46&gt;"",(s&amp;D46),""))</f>
        <v>L'impresa non ha redatto un prospetto di riconciliazione tra la contabilità e quanto risultante dal certificato unico dei debiti tributari, dalla situazione debitoria complessiva dell’Agente della Riscossione. Ha redatto un prospetto di riconciliazione tra la contabilità e quanto risultante dal certificato unico dei debiti contributivi e assicurativi</v>
      </c>
      <c r="L23" s="196"/>
    </row>
    <row r="24" spans="2:14" ht="22.7" x14ac:dyDescent="0.5">
      <c r="C24" s="106"/>
      <c r="D24" s="57" t="str">
        <f ca="1">+'SEZIONI 1-2'!L18</f>
        <v>Non è in grado di predisporre un prospetto delle stime delle entrate e delle uscite finanziare almeno a 13 settimane, il cui scostamento con l’andamento corrente dovrà essere valutato a consuntivo.</v>
      </c>
      <c r="J24" s="35" t="str">
        <f ca="1">CONCATENATE(D47,
IF(D48&gt;"",(s&amp;D48),""),s,D49,IF(D50&gt;"",(s&amp;D50),""))</f>
        <v>La Centrale rischi di Banca D'Italia viene esaminata periodicamente e non riconciliata con la contabilità.</v>
      </c>
      <c r="L24" s="196"/>
    </row>
    <row r="25" spans="2:14" ht="34" x14ac:dyDescent="0.5">
      <c r="C25" s="106" t="str">
        <f ca="1">+'SEZIONI 1-2'!M18</f>
        <v>Spiegare le motivazioni per le quali non è stato redatto il prospetto e come si intende rimuovere gli ostacoli.</v>
      </c>
      <c r="D25" s="156"/>
      <c r="J25" s="35" t="str">
        <f ca="1">CONCATENATE(D51,IF(D52&gt;"",(s&amp;D52),""))</f>
        <v>Il sistema di controllo dei rischi tiene conto anche delle passività potenziali.</v>
      </c>
      <c r="L25" s="196"/>
    </row>
    <row r="26" spans="2:14" ht="15" x14ac:dyDescent="0.5">
      <c r="B26" s="102" t="str">
        <f>+'SEZIONI 1-2'!$D$20</f>
        <v>Rilevazione della situazione contabile e dell’andamento corrente</v>
      </c>
      <c r="C26" s="107"/>
      <c r="D26" s="103"/>
      <c r="J26" s="35" t="str">
        <f ca="1">CONCATENATE(D53,IF(D54&gt;"",(s&amp;D54),""))</f>
        <v>Esistono rilevanti rischi per garanzie concesse a terzi.</v>
      </c>
      <c r="L26" s="196"/>
    </row>
    <row r="27" spans="2:14" x14ac:dyDescent="0.5">
      <c r="C27" s="106"/>
      <c r="D27" s="57" t="str">
        <f ca="1">+'SEZIONI 1-2'!L21</f>
        <v>È stata disposta una situazione contabile recante le rettifiche di competenza e gli assestamenti di chiusura, nel rispetto del principio contabile OIC 30.</v>
      </c>
      <c r="J27" s="35" t="str">
        <f ca="1">CONCATENATE(D55,IF(D56&gt;"",(s&amp;D56),""))</f>
        <v>L'organo di controllo o il revisore legale è composto da</v>
      </c>
      <c r="L27" s="196"/>
      <c r="N27" s="57"/>
    </row>
    <row r="28" spans="2:14" x14ac:dyDescent="0.5">
      <c r="C28" s="106" t="str">
        <f ca="1">+'SEZIONI 1-2'!M21</f>
        <v>Aggiungere eventuali commenti</v>
      </c>
      <c r="D28" s="156"/>
      <c r="L28" s="196"/>
    </row>
    <row r="29" spans="2:14" x14ac:dyDescent="0.5">
      <c r="C29" s="106"/>
      <c r="D29" s="57" t="str">
        <f ca="1">+'SEZIONI 1-2'!L22</f>
        <v>La situazione è da considerarsi affidabile per quanto concerne la corretta rappresentazione della situazione debitoria dell'impresa.</v>
      </c>
      <c r="L29" s="158" t="str">
        <f>+I32</f>
        <v>Individuazione delle strategie di intervento atte a prevenire e rimuovere le cause della crisi</v>
      </c>
      <c r="M29" s="158"/>
    </row>
    <row r="30" spans="2:14" x14ac:dyDescent="0.5">
      <c r="C30" s="106" t="str">
        <f ca="1">+'SEZIONI 1-2'!M22</f>
        <v>Aggiungere eventuali commenti</v>
      </c>
      <c r="D30" s="156"/>
      <c r="L30" s="197" t="str" cm="1">
        <f t="array" aca="1" ref="L30" ca="1">+CONCATENATE(J33,s,J34,s,J35,AC,J36,s,J37,s,J38,s,J39,s,J40,s,J41,s,J42,AC,J43,AC,J44,s,J45,s,J46,s,J47,s,J48,s,J49,AC,J50,s,J51,s,J52,s,J53,s,J54,AC,J55)</f>
        <v>L’assetto contabile, amministrativo e contabile non ha rilevato elementi tali da far percepire uno stato di crisi o di squilibrio patrimoniale e/o economico finanziario. Per quanto concerne lo stato di crisi, lo squilibrio percepito è di carattere: economico, patrimoniale e finanziario.
Sono peggiorati rispetto all'anno precedente i seguenti indicatori: fatturato, margine di contribuzione, margine di contribuzione %, EBITDA, incidenza delle passività a breve, capitale circolante netto e posizione finanziaria netta. 
altro (specificare) Lo stato di crisi ha causato anomalie:
• da un punto di vista commerciale;
• nei rapporti con le banche;
• da un punto di vista gestionale. 
Da un punto di vista commerciale si sono verificati mancati rilevanti pagamenti a fornitori, significativa rinegoziazione delle condizioni di pagamento e altro (specificare). 
 Nei rapporti con le banche sono state rilevate aumento anomalo dei crediti impagati e altro (specificare). 
 Da un punto di vista gestionale si segnala la perdita di clienti o commesse importanti, comparsa di concorrenti ostili e/o nuovi entranti che rischiano di ridurre ulteriormente le quote di mercato e altro (specificare). 
 La situazione di difficoltà descritta ha causato un debito da ristrutturare (per mancati pagamenti e/o richieste di rientro) per fornitori di beni e servizi indispensabili e altro (specificare). 
 Sul lato delle iniziative dei creditori si segnalano decreti ingiuntivi ricevuti ed atti di ricognitivi di avvio di azioni per il recupero dei crediti e altro (specificare). 
 Tenuto conto delle manifestazioni, le cause sono: riduzione della redditività, riduzione della competività sul mercato e aumento dei costi operativi non trasferibile sui prezzi di vendita. L’organo di controllo ed il revisore, quando in carica, non ritengono che il quadro fornito dall’imprenditore sia completo e adeguato.
L'impresa ha individuato le strategie di intervento e le iniziative industriali che intende adottare.
Esistono strategie di successo adottate dalla concorrenza. Tali strategie sono adottabili dall'impresa. L’impresa non dispone delle capacità e delle competenze manageriali per realizzare le iniziative industriali. Per quanto concerne i tempi e gli effetti in termini di ricavi, di costi e di investimenti delle iniziative da adottare I tempi previsti per le iniziative industriali sono di 12 mesi, con effetti attesi su ricavi in lieve crescita e costi iniziali moderati.  Le relative funzioni aziendali responsabili sono Le funzioni responsabili sono l’area manageriale e il reparto operativo per l’implementazione..  Sono prospettabili iniziative alternative nel caso in cui le iniziative dovessero dimostrarsi inefficaci e si manifestassero scostamenti tra gli obiettivi pianificati e quelli raggiunti.
In precedenza sono stati predisposti ulteriori piani. Il piano è coerente con i piani redatti in precedenza e non vi sono differenze significative. Il piano appare credibile. È fondato su intenzioni strategiche chiare e razionali, condivisibili da parte di un lettore informato quale è l’esperto, coerenti con la situazione di fatto dell’impresa e del contesto in cui opera.
Le strategie di intervento e le iniziative industriali individuate dall’imprenditore appaiono appropriate per il superamento delle cause della crisi.</v>
      </c>
      <c r="M30" s="57"/>
    </row>
    <row r="31" spans="2:14" x14ac:dyDescent="0.5">
      <c r="C31" s="106"/>
      <c r="D31" s="57" t="str">
        <f ca="1">+'SEZIONI 1-2'!L23</f>
        <v>Il maggior contabile dei cespiti è superiore al valore di realizzo e a quello di mercato.</v>
      </c>
      <c r="L31" s="197"/>
      <c r="M31" s="57"/>
    </row>
    <row r="32" spans="2:14" ht="45.35" x14ac:dyDescent="0.5">
      <c r="C32" s="106" t="str">
        <f ca="1">+'SEZIONI 1-2'!M23</f>
        <v>L'impresa intende quanto meno appostare con prudenza adeguati fondi rischi e fondi per l’adeguamento delle attività e delle passività?</v>
      </c>
      <c r="D32" s="156"/>
      <c r="I32" s="96" t="str">
        <f>+B63</f>
        <v>Individuazione delle strategie di intervento atte a prevenire e rimuovere le cause della crisi</v>
      </c>
      <c r="L32" s="197"/>
      <c r="M32" s="57"/>
    </row>
    <row r="33" spans="3:13" x14ac:dyDescent="0.5">
      <c r="C33" s="106"/>
      <c r="D33" s="57" t="str">
        <f ca="1">+'SEZIONI 1-2'!L24</f>
        <v>La funzione amministrativa dispone di un prospetto recante l’anzianità dei crediti commerciali e</v>
      </c>
      <c r="J33" s="35" t="str">
        <f ca="1">CONCATENATE(D64,IF(D65&gt;"",(s&amp;D65),""))</f>
        <v>L’assetto contabile, amministrativo e contabile non ha rilevato elementi tali da far percepire uno stato di crisi o di squilibrio patrimoniale e/o economico finanziario.</v>
      </c>
      <c r="L33" s="197"/>
      <c r="M33" s="57"/>
    </row>
    <row r="34" spans="3:13" ht="56.7" x14ac:dyDescent="0.5">
      <c r="C34" s="106">
        <f ca="1">+'SEZIONI 1-2'!M24</f>
        <v>0</v>
      </c>
      <c r="J34" s="35" t="str">
        <f>CONCATENATE(D66,IF(D67&gt;"",(s&amp;D67),""))</f>
        <v>Per quanto concerne lo stato di crisi, lo squilibrio percepito è di carattere: economico, patrimoniale e finanziario.
Sono peggiorati rispetto all'anno precedente i seguenti indicatori: fatturato, margine di contribuzione, margine di contribuzione %, EBITDA, incidenza delle passività a breve, capitale circolante netto e posizione finanziaria netta. 
altro (specificare)</v>
      </c>
      <c r="L34" s="197"/>
      <c r="M34" s="57"/>
    </row>
    <row r="35" spans="3:13" ht="56.7" x14ac:dyDescent="0.5">
      <c r="C35" s="106"/>
      <c r="D35" s="57" t="str">
        <f ca="1">+'SEZIONI 1-2'!L25</f>
        <v>, non sono state analizzate le cause del ritardo di incasso tale da consentire una valutazione oggettiva dei rischi di perdite sui crediti e una stima prudente dei tempi di incasso.</v>
      </c>
      <c r="J35" s="35" t="str">
        <f>CONCATENATE(D68,IF(D69&gt;"",(s&amp;D69),""))</f>
        <v xml:space="preserve">Lo stato di crisi ha causato anomalie:
• da un punto di vista commerciale;
• nei rapporti con le banche;
• da un punto di vista gestionale. </v>
      </c>
      <c r="L35" s="197"/>
      <c r="M35" s="57"/>
    </row>
    <row r="36" spans="3:13" ht="34" x14ac:dyDescent="0.5">
      <c r="C36" s="106" t="str">
        <f ca="1">+'SEZIONI 1-2'!M25</f>
        <v>Indicare eventuali interventi in termini di credit management</v>
      </c>
      <c r="D36" s="156"/>
      <c r="J36" s="35" t="str">
        <f>CONCATENATE(D70,IF(D71&gt;"",(s&amp;D71),""))</f>
        <v xml:space="preserve">Da un punto di vista commerciale si sono verificati mancati rilevanti pagamenti a fornitori, significativa rinegoziazione delle condizioni di pagamento e altro (specificare). 
</v>
      </c>
      <c r="L36" s="197"/>
      <c r="M36" s="57"/>
    </row>
    <row r="37" spans="3:13" ht="34" x14ac:dyDescent="0.5">
      <c r="C37" s="106"/>
      <c r="D37" s="57" t="str">
        <f ca="1">+'SEZIONI 1-2'!L26</f>
        <v>I crediti sono suddivisibili in base alla loro anzianità.</v>
      </c>
      <c r="J37" s="35" t="str">
        <f>CONCATENATE(D72,IF(D73&gt;"",(s&amp;D73),""))</f>
        <v xml:space="preserve">Nei rapporti con le banche sono state rilevate aumento anomalo dei crediti impagati e altro (specificare). 
</v>
      </c>
      <c r="L37" s="197"/>
      <c r="M37" s="57"/>
    </row>
    <row r="38" spans="3:13" ht="34" x14ac:dyDescent="0.5">
      <c r="C38" s="106" t="str">
        <f ca="1">+'SEZIONI 1-2'!M26</f>
        <v>Aggiungere eventuali commenti</v>
      </c>
      <c r="D38" s="156"/>
      <c r="J38" s="35" t="str">
        <f>CONCATENATE(D74,IF(D75&gt;"",(s&amp;D75),""))</f>
        <v xml:space="preserve">Da un punto di vista gestionale si segnala la perdita di clienti o commesse importanti, comparsa di concorrenti ostili e/o nuovi entranti che rischiano di ridurre ulteriormente le quote di mercato e altro (specificare). 
</v>
      </c>
      <c r="L38" s="197"/>
      <c r="M38" s="57"/>
    </row>
    <row r="39" spans="3:13" ht="34" x14ac:dyDescent="0.5">
      <c r="C39" s="106"/>
      <c r="D39" s="57" t="str">
        <f ca="1">+'SEZIONI 1-2'!L27</f>
        <v>Per gli scaduti che superano la fisiologia (tempi ordinari di pagamento, pur oltre la scadenza contrattuale, che caratterizzano il settore), la stima del momento dell’incasso non è da considerarsi sufficientemente prudente.</v>
      </c>
      <c r="J39" s="35" t="str">
        <f>CONCATENATE(D76,IF(D77&gt;"",(s&amp;D77),""))</f>
        <v xml:space="preserve">La situazione di difficoltà descritta ha causato un debito da ristrutturare (per mancati pagamenti e/o richieste di rientro) per fornitori di beni e servizi indispensabili e altro (specificare). 
</v>
      </c>
      <c r="L39" s="197"/>
      <c r="M39" s="57"/>
    </row>
    <row r="40" spans="3:13" ht="34" x14ac:dyDescent="0.5">
      <c r="C40" s="106" t="str">
        <f ca="1">+'SEZIONI 1-2'!M27</f>
        <v>Quali elementi non sono valutati con la dovuta prudenza?</v>
      </c>
      <c r="D40" s="156"/>
      <c r="J40" s="35" t="str">
        <f>CONCATENATE(D78,IF(D79&gt;"",(s&amp;D79),""))</f>
        <v xml:space="preserve">Sul lato delle iniziative dei creditori si segnalano decreti ingiuntivi ricevuti ed atti di ricognitivi di avvio di azioni per il recupero dei crediti e altro (specificare). 
</v>
      </c>
      <c r="L40" s="197"/>
      <c r="M40" s="57"/>
    </row>
    <row r="41" spans="3:13" ht="22.7" x14ac:dyDescent="0.5">
      <c r="C41" s="106"/>
      <c r="D41" s="57" t="str">
        <f ca="1">+'SEZIONI 1-2'!L28</f>
        <v>È disponibile un prospetto recante le rimanenze di magazzino con i tempi di movimentazione che consenta di individuare le giacenze oggetto di lenta rotazione.</v>
      </c>
      <c r="J41" s="35" t="str">
        <f>CONCATENATE(D80,IF(D81&gt;"",(s&amp;D81),""))</f>
        <v>Tenuto conto delle manifestazioni, le cause sono: riduzione della redditività, riduzione della competività sul mercato e aumento dei costi operativi non trasferibile sui prezzi di vendita.</v>
      </c>
      <c r="L41" s="197"/>
      <c r="M41" s="57"/>
    </row>
    <row r="42" spans="3:13" ht="22.7" x14ac:dyDescent="0.5">
      <c r="C42" s="106" t="str">
        <f ca="1">+'SEZIONI 1-2'!M28</f>
        <v>Quali sono le giacenze di magazzino a lenta rotazione?</v>
      </c>
      <c r="D42" s="156"/>
      <c r="J42" s="35" t="str">
        <f ca="1">CONCATENATE(D82,IF(D83&gt;"",(s&amp;D83),""))</f>
        <v>L’organo di controllo ed il revisore, quando in carica, non ritengono che il quadro fornito dall’imprenditore sia completo e adeguato.</v>
      </c>
      <c r="L42" s="197"/>
      <c r="M42" s="57"/>
    </row>
    <row r="43" spans="3:13" ht="22.7" x14ac:dyDescent="0.5">
      <c r="C43" s="106"/>
      <c r="D43" s="57" t="str">
        <f ca="1">+'SEZIONI 1-2'!L29</f>
        <v>L'impresa non ha redatto un prospetto di riconciliazione tra la contabilità e quanto risultante dal certificato unico dei debiti tributari, dalla situazione debitoria complessiva dell’Agente della Riscossione.</v>
      </c>
      <c r="J43" s="35" t="str">
        <f ca="1">CONCATENATE(D84,IF(D85&gt;"",(s&amp;D85),""))</f>
        <v>L'impresa ha individuato le strategie di intervento e le iniziative industriali che intende adottare.</v>
      </c>
      <c r="L43" s="197"/>
      <c r="M43" s="57"/>
    </row>
    <row r="44" spans="3:13" ht="22.7" x14ac:dyDescent="0.5">
      <c r="C44" s="106" t="str">
        <f ca="1">+'SEZIONI 1-2'!M29</f>
        <v>Indicare le cause e gli interventi in merito</v>
      </c>
      <c r="D44" s="156"/>
      <c r="J44" s="35" t="str">
        <f ca="1">CONCATENATE(D86,IF(D87&gt;"",(s&amp;D87),""))</f>
        <v>Esistono strategie di successo adottate dalla concorrenza.</v>
      </c>
      <c r="L44" s="197"/>
      <c r="M44" s="57"/>
    </row>
    <row r="45" spans="3:13" x14ac:dyDescent="0.5">
      <c r="C45" s="106"/>
      <c r="D45" s="57" t="str">
        <f ca="1">+'SEZIONI 1-2'!L30</f>
        <v>Ha redatto un prospetto di riconciliazione tra la contabilità e quanto risultante dal certificato unico dei debiti contributivi e assicurativi</v>
      </c>
      <c r="J45" s="35" t="str">
        <f ca="1">CONCATENATE(D88,IF(D89&gt;"",(s&amp;D89),""))</f>
        <v>Tali strategie sono adottabili dall'impresa.</v>
      </c>
      <c r="L45" s="197"/>
      <c r="M45" s="57"/>
    </row>
    <row r="46" spans="3:13" ht="22.7" x14ac:dyDescent="0.5">
      <c r="C46" s="106" t="str">
        <f ca="1">+'SEZIONI 1-2'!M30</f>
        <v>Indicare le cause e gli interventi in merito</v>
      </c>
      <c r="D46" s="156"/>
      <c r="J46" s="35" t="str">
        <f ca="1">CONCATENATE(D90,IF(D91&gt;"",(s&amp;D91),""))</f>
        <v>L’impresa non dispone delle capacità e delle competenze manageriali per realizzare le iniziative industriali.</v>
      </c>
      <c r="L46" s="197"/>
      <c r="M46" s="57"/>
    </row>
    <row r="47" spans="3:13" ht="22.7" x14ac:dyDescent="0.5">
      <c r="C47" s="106"/>
      <c r="D47" s="57" t="str">
        <f ca="1">+'SEZIONI 1-2'!L31</f>
        <v>La Centrale rischi di Banca D'Italia viene esaminata periodicamente e</v>
      </c>
      <c r="J47" s="35" t="str">
        <f>CONCATENATE(D92,IF(D93&gt;"",(s&amp;D93),""))</f>
        <v xml:space="preserve">Per quanto concerne i tempi e gli effetti in termini di ricavi, di costi e di investimenti delle iniziative da adottare I tempi previsti per le iniziative industriali sono di 12 mesi, con effetti attesi su ricavi in lieve crescita e costi iniziali moderati. </v>
      </c>
      <c r="L47" s="197"/>
      <c r="M47" s="57"/>
    </row>
    <row r="48" spans="3:13" x14ac:dyDescent="0.5">
      <c r="C48" s="106">
        <f ca="1">+'SEZIONI 1-2'!M31</f>
        <v>0</v>
      </c>
      <c r="J48" s="35" t="str">
        <f>CONCATENATE(D94,IF(D95&gt;"",(s&amp;D95),""))</f>
        <v xml:space="preserve">Le relative funzioni aziendali responsabili sono Le funzioni responsabili sono l’area manageriale e il reparto operativo per l’implementazione.. </v>
      </c>
      <c r="L48" s="197"/>
      <c r="M48" s="57"/>
    </row>
    <row r="49" spans="1:13" x14ac:dyDescent="0.5">
      <c r="C49" s="106"/>
      <c r="D49" s="57" t="str">
        <f ca="1">+'SEZIONI 1-2'!L32</f>
        <v>non riconciliata con la contabilità.</v>
      </c>
      <c r="J49" s="35" t="str">
        <f ca="1">CONCATENATE(D96,IF(D97&gt;"",(s&amp;D97),""))</f>
        <v>Sono prospettabili iniziative alternative nel caso in cui le iniziative dovessero dimostrarsi inefficaci e si manifestassero scostamenti tra gli obiettivi pianificati e quelli raggiunti.</v>
      </c>
      <c r="L49" s="197"/>
      <c r="M49" s="57"/>
    </row>
    <row r="50" spans="1:13" ht="22.7" x14ac:dyDescent="0.5">
      <c r="C50" s="106" t="str">
        <f ca="1">+'SEZIONI 1-2'!M32</f>
        <v>Indicare le cause e gli interventi in merito</v>
      </c>
      <c r="D50" s="156"/>
      <c r="J50" s="35" t="str">
        <f ca="1">CONCATENATE(D98,IF(D99&gt;"",(s&amp;D99),""))</f>
        <v>In precedenza sono stati predisposti ulteriori piani.</v>
      </c>
      <c r="L50" s="197"/>
      <c r="M50" s="57"/>
    </row>
    <row r="51" spans="1:13" x14ac:dyDescent="0.5">
      <c r="C51" s="106"/>
      <c r="D51" s="57" t="str">
        <f ca="1">+'SEZIONI 1-2'!L33</f>
        <v>Il sistema di controllo dei rischi tiene conto anche delle passività potenziali.</v>
      </c>
      <c r="J51" s="35" t="str">
        <f ca="1">CONCATENATE(D100,IF(D101&gt;"",(s&amp;D101),""))</f>
        <v>Il piano è coerente con i piani redatti in precedenza</v>
      </c>
      <c r="L51" s="197"/>
      <c r="M51" s="57"/>
    </row>
    <row r="52" spans="1:13" ht="22.7" x14ac:dyDescent="0.5">
      <c r="C52" s="106" t="str">
        <f ca="1">+'SEZIONI 1-2'!M33</f>
        <v>Di che entità sono eventuali passività potenziali?</v>
      </c>
      <c r="D52" s="156"/>
      <c r="J52" s="35" t="str">
        <f ca="1">CONCATENATE(D102,IF(D103&gt;"",(s&amp;D103),""))</f>
        <v>e non vi sono differenze significative.</v>
      </c>
      <c r="L52" s="197"/>
      <c r="M52" s="57"/>
    </row>
    <row r="53" spans="1:13" x14ac:dyDescent="0.5">
      <c r="C53" s="57"/>
      <c r="D53" s="57" t="str">
        <f ca="1">+'SEZIONI 1-2'!L34</f>
        <v>Esistono rilevanti rischi per garanzie concesse a terzi.</v>
      </c>
      <c r="J53" s="35" t="str">
        <f ca="1">CONCATENATE(D104,IF(D105&gt;"",(s&amp;D105),""))</f>
        <v>Il piano appare credibile.</v>
      </c>
      <c r="L53" s="197"/>
      <c r="M53" s="57"/>
    </row>
    <row r="54" spans="1:13" ht="22.7" x14ac:dyDescent="0.5">
      <c r="C54" s="106" t="str">
        <f ca="1">+'SEZIONI 1-2'!M34</f>
        <v>Descrivere e precisare se ne è stato tenuto conto a livello di fondi rischi.</v>
      </c>
      <c r="D54" s="156"/>
      <c r="J54" s="35" t="str">
        <f ca="1">CONCATENATE(D106,IF(D107&gt;"",(s&amp;D107),""))</f>
        <v>È fondato su intenzioni strategiche chiare e razionali, condivisibili da parte di un lettore informato quale è l’esperto, coerenti con la situazione di fatto dell’impresa e del contesto in cui opera.</v>
      </c>
      <c r="L54" s="68" t="str">
        <f>+I57</f>
        <v>Le proiezioni dei flussi finanziari</v>
      </c>
      <c r="M54" s="68"/>
    </row>
    <row r="55" spans="1:13" x14ac:dyDescent="0.5">
      <c r="C55" s="106"/>
      <c r="D55" s="57" t="str">
        <f ca="1">+'SEZIONI 1-2'!L35</f>
        <v>L'organo di controllo o il revisore legale è composto da</v>
      </c>
      <c r="J55" s="35" t="str">
        <f ca="1">CONCATENATE(D108,IF(D109&gt;"",(s&amp;D109),""))</f>
        <v>Le strategie di intervento e le iniziative industriali individuate dall’imprenditore appaiono appropriate per il superamento delle cause della crisi.</v>
      </c>
      <c r="L55" s="197" t="str" cm="1">
        <f t="array" aca="1" ref="L55" ca="1">+CONCATENATE(J58,AC,J59,AC,J60,s,J61,s,J62,s,J63,AC,J64,s,J65,s,J66,AC,J67,AC,J68,AC,J69,AC,J70,s,J71,AC,J72,AC,J73,s,J74,s,J75,s,J76,AC,J77,AC,J78,AC,J79,AC,J80,AC,J81,AC,J82,AC,J83)</f>
        <v>La stima delle proiezioni dei flussi finanziari del piano è l'esito di un percorso che si dipana nelle seguenti fasi successive: stima dei ricavi,  stima dei costi variabili correlati ai ricavi,  stima dei costi fissi,  stima degli investimenti,  stima degli effetti delle iniziative industriali che si intendono intraprendere in discontinuità rispetto al passato,  verifica di coerenza dei dati economici prognostici,  stima del pagamento delle imposte sul reddito,  declinazione finanziaria delle grandezze economiche e determinazione dei flussi al servizio del debito,  declinazione patrimoniale muovendo dalla situazione contabile di partenza e  altro (specificare). 
Le proiezioni fondate su previsioni coprono un periodo massimo di 5 anni.
I ricavi sono stati stimati nel seguente modo: Indicare la stima dei ricavi.  Le proiezioni dei ricavi sono coerenti con i dati storici e quelli correnti. Le variazioni dei ricavi prospettici rispetto al dato corrente dell’esercizio in corso sono state giustificate in maniera adeguata. Le variazioni dei ricavi del piano sono state confrontate con le prospettive del settore.
La metodologia di stima dei costi variabili correlati ai ricavi e dei costi fissi è la seguente: Indicare la metodologia di stima dei costi variabili e dei costi fissi.  La stima dei costi variabili e dei costi di struttura è coerente con la situazione in atto e con i dati storici. I risparmi dei costi variabili e fissi sono: i risparmi previsti derivano dall’efficientamento dei processi produttivi, stimati in una riduzione del 7% dei costi variabili..  I possibili rischi che derivano dai risparmi di costo: i risparmi previsti derivano dall’efficientamento dei processi produttivi, stimati in una riduzione del 7% dei costi variabili.. 
La metodologia di stima degli investimenti è la seguente: Indicare la metodologia di stima degli investimenti. 
La società non svolge più attività.
Il piano tiene conto in misura adeguata degli investimenti di mantenimento occorrenti.
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La  stima degli effetti di tali iniziative (in termini di investimenti, ricavi e costi) è coerente con le informazioni disponibili ed è ritenuta giustificata dalle diverse funzioni aziendali.
I dati economici prognostici sono coerenti.
È stata svolta una verifica di ragionevolezza della redditività prospettica quale risulta dai paragrafi precedenti. La redditività ed i principali indicatori chiave gestionali (KPI) prospettici sono coerenti con l’andamento storico. Non è giustificata ogni differenza tra l’incidenza del margine operativo lordo sui ricavi ed i benchmark di mercato disponibili. Non sono previste operazioni straordinarie.
Non è stata prevista la dismissione di cespiti d'investimento.
Non è stato stimato il pagamento delle imposte sul reddito.
Nella stima del pagamento delle imposte si è tenuto conto dell’effetto delle perdite fiscali a nuovo e del periodo di imputazione fiscale dei costi e dei ricavi.
Non è presente declinazione finanziaria delle grandezze economiche e determinazione dei flussi al servizio del debito.
La determinazione dei flussi finanziari al servizio del debito è stata effettuata muovendo dai dati economici. Essa ha avuto luogo:
•  Attraverso il ciclo di conversione in flussi di cassa che tiene conto dei tempi di incasso dei ricavi, di pagamento dei costi e di rigiro del magazzino. 
•  Deducendo dai flussi così determinati gli investimenti previsti (sia quelli di mantenimento che quelli relativi alle iniziative industriali) e il pagamento delle imposte.  Aggiungere eventuali commenti. 
•  Per semplicità le micro e le piccole imprese possono ricorrere alle sole grandezze economiche senza convertirle in flussi di cassa. L'impresa è considerata tra le micro e piccole imprese.  L'impresa ha verificato che l’ammontare degli investimenti di mantenimento sia adeguatamente espresso dagli ammortamenti (portando una rettifica in caso contrario).  L'impresa ha considerato l’effetto delle iniziative industriali previste. 
L'impresa ha determinato le grandezze patrimoniali.
Su di esse si innestano le poposte alle parti interessate e viene calcolata la stima dell’andamento del patrimonio netto al termine dei singoli anni del piano.</v>
      </c>
      <c r="M55" s="57"/>
    </row>
    <row r="56" spans="1:13" x14ac:dyDescent="0.5">
      <c r="C56" s="106" t="str">
        <f ca="1">+'SEZIONI 1-2'!M35</f>
        <v>Indicare i nominativi e eventuali</v>
      </c>
      <c r="D56" s="156"/>
      <c r="L56" s="197"/>
      <c r="M56" s="57"/>
    </row>
    <row r="57" spans="1:13" ht="14.35" x14ac:dyDescent="0.5">
      <c r="A57"/>
      <c r="B57"/>
      <c r="C57" s="170"/>
      <c r="D57"/>
      <c r="I57" s="97" t="str">
        <f>+B111</f>
        <v>Le proiezioni dei flussi finanziari</v>
      </c>
      <c r="L57" s="197"/>
      <c r="M57" s="57"/>
    </row>
    <row r="58" spans="1:13" ht="34" x14ac:dyDescent="0.5">
      <c r="A58"/>
      <c r="B58"/>
      <c r="C58" s="170"/>
      <c r="D58"/>
      <c r="J58" s="35" t="str">
        <f>CONCATENATE(D112,IF(D113&gt;"",(s&amp;D113),""))</f>
        <v xml:space="preserve">La stima delle proiezioni dei flussi finanziari del piano è l'esito di un percorso che si dipana nelle seguenti fasi successive: stima dei ricavi,  stima dei costi variabili correlati ai ricavi,  stima dei costi fissi,  stima degli investimenti,  stima degli effetti delle iniziative industriali che si intendono intraprendere in discontinuità rispetto al passato,  verifica di coerenza dei dati economici prognostici,  stima del pagamento delle imposte sul reddito,  declinazione finanziaria delle grandezze economiche e determinazione dei flussi al servizio del debito,  declinazione patrimoniale muovendo dalla situazione contabile di partenza e  altro (specificare). </v>
      </c>
      <c r="L58" s="197"/>
      <c r="M58" s="57"/>
    </row>
    <row r="59" spans="1:13" x14ac:dyDescent="0.5">
      <c r="C59" s="106"/>
      <c r="J59" s="35" t="str">
        <f ca="1">CONCATENATE(D114,IF(D115&gt;"",(s&amp;D115),""))</f>
        <v>Le proiezioni fondate su previsioni coprono un periodo massimo di 5 anni.</v>
      </c>
      <c r="L59" s="197"/>
      <c r="M59" s="57"/>
    </row>
    <row r="60" spans="1:13" x14ac:dyDescent="0.5">
      <c r="C60" s="106"/>
      <c r="J60" s="35" t="str">
        <f>CONCATENATE(D116,IF(D117&gt;"",(s&amp;D117),""))</f>
        <v xml:space="preserve">I ricavi sono stati stimati nel seguente modo: Indicare la stima dei ricavi. </v>
      </c>
      <c r="L60" s="197"/>
      <c r="M60" s="57"/>
    </row>
    <row r="61" spans="1:13" x14ac:dyDescent="0.5">
      <c r="C61" s="106"/>
      <c r="J61" s="35" t="str">
        <f ca="1">IF(J60="","",CONCATENATE(D118,IF(D119&gt;"",(s&amp;D119),"")))</f>
        <v>Le proiezioni dei ricavi sono coerenti con i dati storici e quelli correnti.</v>
      </c>
      <c r="L61" s="197"/>
      <c r="M61" s="57"/>
    </row>
    <row r="62" spans="1:13" ht="15" x14ac:dyDescent="0.5">
      <c r="A62" s="100" t="s">
        <v>354</v>
      </c>
      <c r="B62" s="100"/>
      <c r="C62" s="104"/>
      <c r="D62" s="101"/>
      <c r="J62" s="35" t="str">
        <f ca="1">IF(J60="","",CONCATENATE(D120,IF(D121&gt;"",(s&amp;D121),"")))</f>
        <v>Le variazioni dei ricavi prospettici rispetto al dato corrente dell’esercizio in corso sono state giustificate in maniera adeguata.</v>
      </c>
      <c r="L62" s="197"/>
      <c r="M62" s="57"/>
    </row>
    <row r="63" spans="1:13" ht="15" x14ac:dyDescent="0.5">
      <c r="B63" s="102" t="str">
        <f>+'SEZIONI 3-4'!D3</f>
        <v>Individuazione delle strategie di intervento atte a prevenire e rimuovere le cause della crisi</v>
      </c>
      <c r="C63" s="107"/>
      <c r="D63" s="103"/>
      <c r="J63" s="35" t="str">
        <f ca="1">IF(J60="","",CONCATENATE(D122,IF(D123&gt;"",(s&amp;D123),"")))</f>
        <v>Le variazioni dei ricavi del piano sono state confrontate con le prospettive del settore.</v>
      </c>
      <c r="L63" s="197"/>
      <c r="M63" s="57"/>
    </row>
    <row r="64" spans="1:13" x14ac:dyDescent="0.5">
      <c r="C64" s="106"/>
      <c r="D64" s="57" t="str">
        <f ca="1">+'SEZIONI 3-4'!L4</f>
        <v>L’assetto contabile, amministrativo e contabile non ha rilevato elementi tali da far percepire uno stato di crisi o di squilibrio patrimoniale e/o economico finanziario.</v>
      </c>
      <c r="J64" s="35" t="str">
        <f>CONCATENATE(D124,IF(D125&gt;"",(s&amp;D125),""))</f>
        <v xml:space="preserve">La metodologia di stima dei costi variabili correlati ai ricavi e dei costi fissi è la seguente: Indicare la metodologia di stima dei costi variabili e dei costi fissi. </v>
      </c>
      <c r="L64" s="197"/>
      <c r="M64" s="57"/>
    </row>
    <row r="65" spans="3:13" x14ac:dyDescent="0.5">
      <c r="C65" s="57" t="str">
        <f ca="1">+'SEZIONI 3-4'!M4</f>
        <v xml:space="preserve">Aggiungere eventuali commenti </v>
      </c>
      <c r="D65" s="156"/>
      <c r="J65" s="35" t="str">
        <f ca="1">IF(J64="","",CONCATENATE(D126,IF(D127&gt;"",(s&amp;D127),"")))</f>
        <v>La stima dei costi variabili e dei costi di struttura è coerente con la situazione in atto e con i dati storici.</v>
      </c>
      <c r="L65" s="197"/>
      <c r="M65" s="57"/>
    </row>
    <row r="66" spans="3:13" ht="68" x14ac:dyDescent="0.5">
      <c r="C66" s="106"/>
      <c r="D66" s="57" t="str">
        <f>+'SEZIONI 3-4'!I6</f>
        <v>Per quanto concerne lo stato di crisi, lo squilibrio percepito è di carattere: economico, patrimoniale e finanziario.
Sono peggiorati rispetto all'anno precedente i seguenti indicatori: fatturato, margine di contribuzione, margine di contribuzione %, EBITDA, incidenza delle passività a breve, capitale circolante netto e posizione finanziaria netta. 
altro (specificare)</v>
      </c>
      <c r="J66" s="35" t="str">
        <f>IF(J64="","",CONCATENATE(D128,IF(D129&gt;"",(s&amp;D129),"")))</f>
        <v xml:space="preserve">I risparmi dei costi variabili e fissi sono: i risparmi previsti derivano dall’efficientamento dei processi produttivi, stimati in una riduzione del 7% dei costi variabili..  I possibili rischi che derivano dai risparmi di costo: i risparmi previsti derivano dall’efficientamento dei processi produttivi, stimati in una riduzione del 7% dei costi variabili.. </v>
      </c>
      <c r="L66" s="197"/>
      <c r="M66" s="57"/>
    </row>
    <row r="67" spans="3:13" x14ac:dyDescent="0.5">
      <c r="C67" s="57"/>
      <c r="J67" s="35" t="str">
        <f>CONCATENATE(D130,IF(D131&gt;"",(s&amp;D131),""))</f>
        <v xml:space="preserve">La metodologia di stima degli investimenti è la seguente: Indicare la metodologia di stima degli investimenti. </v>
      </c>
      <c r="L67" s="197"/>
      <c r="M67" s="57"/>
    </row>
    <row r="68" spans="3:13" ht="56.7" x14ac:dyDescent="0.5">
      <c r="C68" s="106"/>
      <c r="D68" s="57" t="str">
        <f>+'SEZIONI 3-4'!I22</f>
        <v xml:space="preserve">Lo stato di crisi ha causato anomalie:
• da un punto di vista commerciale;
• nei rapporti con le banche;
• da un punto di vista gestionale. </v>
      </c>
      <c r="J68" s="35" t="str">
        <f ca="1">CONCATENATE(D132,IF(D133&gt;"",(s&amp;D133),""))</f>
        <v>La società non svolge più attività.</v>
      </c>
      <c r="L68" s="197"/>
      <c r="M68" s="57"/>
    </row>
    <row r="69" spans="3:13" x14ac:dyDescent="0.5">
      <c r="C69" s="57"/>
      <c r="J69" s="35" t="str">
        <f ca="1">IF(J67="","",CONCATENATE(D134,IF(D135&gt;"",(s&amp;D135),"")))</f>
        <v>Il piano tiene conto in misura adeguata degli investimenti di mantenimento occorrenti.</v>
      </c>
      <c r="L69" s="197"/>
      <c r="M69" s="57"/>
    </row>
    <row r="70" spans="3:13" ht="45.35" x14ac:dyDescent="0.5">
      <c r="C70" s="106"/>
      <c r="D70" s="57" t="str">
        <f>+'SEZIONI 3-4'!I24</f>
        <v xml:space="preserve">Da un punto di vista commerciale si sono verificati mancati rilevanti pagamenti a fornitori, significativa rinegoziazione delle condizioni di pagamento e altro (specificare). 
</v>
      </c>
      <c r="J70" s="35" t="str">
        <f>CONCATENATE(D136,IF(D137&gt;"",(s&amp;D137),""))</f>
        <v xml:space="preserve">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v>
      </c>
      <c r="L70" s="197"/>
      <c r="M70" s="57"/>
    </row>
    <row r="71" spans="3:13" x14ac:dyDescent="0.5">
      <c r="C71" s="57"/>
      <c r="J71" s="35" t="str">
        <f ca="1">+IF(J70="","",CONCATENATE(D138,IF(D139&gt;"",(s&amp;D139),"")))</f>
        <v>La  stima degli effetti di tali iniziative (in termini di investimenti, ricavi e costi) è coerente con le informazioni disponibili ed è ritenuta giustificata dalle diverse funzioni aziendali.</v>
      </c>
      <c r="L71" s="197"/>
      <c r="M71" s="57"/>
    </row>
    <row r="72" spans="3:13" ht="34" x14ac:dyDescent="0.5">
      <c r="C72" s="106"/>
      <c r="D72" s="57" t="str">
        <f>+'SEZIONI 3-4'!I29</f>
        <v xml:space="preserve">Nei rapporti con le banche sono state rilevate aumento anomalo dei crediti impagati e altro (specificare). 
</v>
      </c>
      <c r="J72" s="35" t="str">
        <f ca="1">CONCATENATE(D140,IF(D141&gt;"",(s&amp;D141),""))</f>
        <v>I dati economici prognostici sono coerenti.</v>
      </c>
      <c r="L72" s="197"/>
      <c r="M72" s="57"/>
    </row>
    <row r="73" spans="3:13" x14ac:dyDescent="0.5">
      <c r="C73" s="57"/>
      <c r="J73" s="35" t="str">
        <f ca="1">CONCATENATE(D142,IF(D143&gt;"",(s&amp;D143),""))</f>
        <v>È stata svolta una verifica di ragionevolezza della redditività prospettica quale risulta dai paragrafi precedenti.</v>
      </c>
      <c r="L73" s="197"/>
      <c r="M73" s="57"/>
    </row>
    <row r="74" spans="3:13" ht="45.35" x14ac:dyDescent="0.5">
      <c r="C74" s="106"/>
      <c r="D74" s="57" t="str">
        <f>+'SEZIONI 3-4'!I38</f>
        <v xml:space="preserve">Da un punto di vista gestionale si segnala la perdita di clienti o commesse importanti, comparsa di concorrenti ostili e/o nuovi entranti che rischiano di ridurre ulteriormente le quote di mercato e altro (specificare). 
</v>
      </c>
      <c r="J74" s="35" t="str">
        <f ca="1">CONCATENATE(D144,IF(D145&gt;"",(s&amp;D145),""))</f>
        <v>La redditività ed i principali indicatori chiave gestionali (KPI) prospettici sono coerenti con l’andamento storico.</v>
      </c>
      <c r="L74" s="197"/>
      <c r="M74" s="57"/>
    </row>
    <row r="75" spans="3:13" x14ac:dyDescent="0.5">
      <c r="C75" s="106"/>
      <c r="J75" s="35" t="str">
        <f ca="1">CONCATENATE(D146,IF(D147&gt;"",(s&amp;D147),""))</f>
        <v>Non è giustificata ogni differenza tra l’incidenza del margine operativo lordo sui ricavi ed i benchmark di mercato disponibili.</v>
      </c>
      <c r="L75" s="197"/>
      <c r="M75" s="57"/>
    </row>
    <row r="76" spans="3:13" ht="45.35" x14ac:dyDescent="0.5">
      <c r="C76" s="106"/>
      <c r="D76" s="57" t="str">
        <f>+'SEZIONI 3-4'!I44</f>
        <v xml:space="preserve">La situazione di difficoltà descritta ha causato un debito da ristrutturare (per mancati pagamenti e/o richieste di rientro) per fornitori di beni e servizi indispensabili e altro (specificare). 
</v>
      </c>
      <c r="J76" s="35" t="str">
        <f ca="1">CONCATENATE(D148,IF(D149&gt;"",(s&amp;D149),""))</f>
        <v>Non sono previste operazioni straordinarie.</v>
      </c>
      <c r="L76" s="197"/>
      <c r="M76" s="57"/>
    </row>
    <row r="77" spans="3:13" x14ac:dyDescent="0.5">
      <c r="C77" s="106"/>
      <c r="J77" s="35" t="str">
        <f ca="1">CONCATENATE(D150,IF(D151&gt;"",(s&amp;D151),""))</f>
        <v>Non è stata prevista la dismissione di cespiti d'investimento.</v>
      </c>
      <c r="L77" s="197"/>
      <c r="M77" s="57"/>
    </row>
    <row r="78" spans="3:13" ht="45.35" x14ac:dyDescent="0.5">
      <c r="C78" s="106"/>
      <c r="D78" s="57" t="str">
        <f>+'SEZIONI 3-4'!I54</f>
        <v xml:space="preserve">Sul lato delle iniziative dei creditori si segnalano decreti ingiuntivi ricevuti ed atti di ricognitivi di avvio di azioni per il recupero dei crediti e altro (specificare). 
</v>
      </c>
      <c r="J78" s="35" t="str">
        <f ca="1">CONCATENATE(D152,IF(D153&gt;"",(s&amp;D153),""))</f>
        <v>Non è stato stimato il pagamento delle imposte sul reddito.</v>
      </c>
      <c r="L78" s="197"/>
      <c r="M78" s="57"/>
    </row>
    <row r="79" spans="3:13" x14ac:dyDescent="0.5">
      <c r="C79" s="106"/>
      <c r="J79" s="35" t="str">
        <f ca="1">IF(J78="","",CONCATENATE(D154,IF(D155&gt;"",(s&amp;D155),"")))</f>
        <v>Nella stima del pagamento delle imposte si è tenuto conto dell’effetto delle perdite fiscali a nuovo e del periodo di imputazione fiscale dei costi e dei ricavi.</v>
      </c>
      <c r="L79" s="197"/>
      <c r="M79" s="57"/>
    </row>
    <row r="80" spans="3:13" ht="22.7" x14ac:dyDescent="0.5">
      <c r="C80" s="106"/>
      <c r="D80" s="57" t="str">
        <f>+'SEZIONI 3-4'!I62</f>
        <v>Tenuto conto delle manifestazioni, le cause sono: riduzione della redditività, riduzione della competività sul mercato e aumento dei costi operativi non trasferibile sui prezzi di vendita.</v>
      </c>
      <c r="J80" s="35" t="str">
        <f ca="1">CONCATENATE(D156,IF(D157&gt;"",(s&amp;D157),""))</f>
        <v>Non è presente declinazione finanziaria delle grandezze economiche e determinazione dei flussi al servizio del debito.</v>
      </c>
      <c r="L80" s="197"/>
      <c r="M80" s="57"/>
    </row>
    <row r="81" spans="3:13" ht="90.7" x14ac:dyDescent="0.5">
      <c r="C81" s="106"/>
      <c r="J81" s="35" t="str">
        <f ca="1">IF(J80="","",CONCATENATE(D158,IF(D159&gt;"",(s&amp;D159),"")))</f>
        <v xml:space="preserve">La determinazione dei flussi finanziari al servizio del debito è stata effettuata muovendo dai dati economici. Essa ha avuto luogo:
•  Attraverso il ciclo di conversione in flussi di cassa che tiene conto dei tempi di incasso dei ricavi, di pagamento dei costi e di rigiro del magazzino. 
•  Deducendo dai flussi così determinati gli investimenti previsti (sia quelli di mantenimento che quelli relativi alle iniziative industriali) e il pagamento delle imposte.  Aggiungere eventuali commenti. 
•  Per semplicità le micro e le piccole imprese possono ricorrere alle sole grandezze economiche senza convertirle in flussi di cassa. L'impresa è considerata tra le micro e piccole imprese.  L'impresa ha verificato che l’ammontare degli investimenti di mantenimento sia adeguatamente espresso dagli ammortamenti (portando una rettifica in caso contrario).  L'impresa ha considerato l’effetto delle iniziative industriali previste. </v>
      </c>
      <c r="L81" s="68" t="str">
        <f>+I84</f>
        <v>Il risanamento del debito</v>
      </c>
      <c r="M81" s="68"/>
    </row>
    <row r="82" spans="3:13" x14ac:dyDescent="0.5">
      <c r="C82" s="106"/>
      <c r="D82" s="57" t="str">
        <f ca="1">+'SEZIONI 3-4'!L72</f>
        <v>L’organo di controllo ed il revisore, quando in carica, non ritengono che il quadro fornito dall’imprenditore sia completo e adeguato.</v>
      </c>
      <c r="J82" s="35" t="str">
        <f ca="1">CONCATENATE(D160,IF(D161&gt;"",(s&amp;D161),""))</f>
        <v>L'impresa ha determinato le grandezze patrimoniali.</v>
      </c>
      <c r="L82" s="197" t="str" cm="1">
        <f t="array" aca="1" ref="L82" ca="1">+CONCATENATE(J85,s,J86,AC,J87,s,J88,AC,J89,AC,J90,AC,J91,AC,J92)</f>
        <v>L’impresa è in grado in futuro di generare risorse al servizio del debito. Il risultato delle proiezioni finanziarie tende ad essere negativo.
Il piano non tiene conto, anche attraverso prove di resistenza (stress test), dei fattori di rischio e di incertezza ai quali è maggiormente esposta l’impresa. I test effettuati sono coerenti con i rischi emersi ad esito dell’intervista delle diverse funzioni aziendali avendo comunque riguardo alle prospettive di mercato.
La generazione di flussi positivi al servizio del debito non dipende solo dalle iniziative industriali.
Le proposte non consentono, in via prognostica, il rispetto del minimo legale del capitale sociale al momento della conclusione dell’accordo, fatte salve le disposizioni speciali.</v>
      </c>
      <c r="M82" s="57"/>
    </row>
    <row r="83" spans="3:13" x14ac:dyDescent="0.5">
      <c r="C83" s="106" t="str">
        <f ca="1">+'SEZIONI 3-4'!M72</f>
        <v>Indicare le ragioni</v>
      </c>
      <c r="D83" s="156"/>
      <c r="J83" s="35" t="str">
        <f ca="1">CONCATENATE(D162,
IF(D163&gt;"",(s&amp;D163),""),s,D164,IF(D165&gt;"",(s&amp;D165),""))</f>
        <v>Su di esse si innestano le poposte alle parti interessate e viene calcolata la stima dell’andamento del patrimonio netto al termine dei singoli anni del piano.</v>
      </c>
      <c r="L83" s="197"/>
      <c r="M83" s="57"/>
    </row>
    <row r="84" spans="3:13" x14ac:dyDescent="0.5">
      <c r="C84" s="106"/>
      <c r="D84" s="57" t="str">
        <f ca="1">+'SEZIONI 3-4'!L73</f>
        <v>L'impresa ha individuato le strategie di intervento e le iniziative industriali che intende adottare.</v>
      </c>
      <c r="I84" s="96" t="str">
        <f>+'SEZIONI 5-6'!C5</f>
        <v>Il risanamento del debito</v>
      </c>
      <c r="L84" s="197"/>
      <c r="M84" s="57"/>
    </row>
    <row r="85" spans="3:13" x14ac:dyDescent="0.5">
      <c r="C85" s="106" t="str">
        <f ca="1">+'SEZIONI 3-4'!M73</f>
        <v>Quali strategie e quali iniziative?</v>
      </c>
      <c r="D85" s="156"/>
      <c r="J85" s="35" t="str">
        <f ca="1">CONCATENATE(D169,IF(D170&gt;"",(s&amp;D170),""))</f>
        <v>L’impresa è in grado in futuro di generare risorse al servizio del debito.</v>
      </c>
      <c r="L85" s="197"/>
      <c r="M85" s="57"/>
    </row>
    <row r="86" spans="3:13" x14ac:dyDescent="0.5">
      <c r="C86" s="106"/>
      <c r="D86" s="57" t="str">
        <f ca="1">+'SEZIONI 3-4'!L74</f>
        <v>Esistono strategie di successo adottate dalla concorrenza.</v>
      </c>
      <c r="J86" s="35" t="str">
        <f ca="1">CONCATENATE(D171,IF(D172&gt;"",(s&amp;D172),""))</f>
        <v>Il risultato delle proiezioni finanziarie tende ad essere negativo.</v>
      </c>
      <c r="L86" s="197"/>
      <c r="M86" s="57"/>
    </row>
    <row r="87" spans="3:13" x14ac:dyDescent="0.5">
      <c r="C87" s="106" t="str">
        <f ca="1">+'SEZIONI 3-4'!M74</f>
        <v>Quali strategie?</v>
      </c>
      <c r="D87" s="156"/>
      <c r="J87" s="35" t="str">
        <f ca="1">CONCATENATE(D173,IF(D174&gt;"",(s&amp;D174),""))</f>
        <v>Il piano non tiene conto, anche attraverso prove di resistenza (stress test), dei fattori di rischio e di incertezza ai quali è maggiormente esposta l’impresa.</v>
      </c>
      <c r="L87" s="197"/>
      <c r="M87" s="57"/>
    </row>
    <row r="88" spans="3:13" x14ac:dyDescent="0.5">
      <c r="C88" s="106"/>
      <c r="D88" s="57" t="str">
        <f ca="1">+'SEZIONI 3-4'!L75</f>
        <v>Tali strategie sono adottabili dall'impresa.</v>
      </c>
      <c r="J88" s="35" t="str">
        <f ca="1">CONCATENATE(D175,IF(D176&gt;"",(s&amp;D176),""))</f>
        <v>I test effettuati sono coerenti con i rischi emersi ad esito dell’intervista delle diverse funzioni aziendali avendo comunque riguardo alle prospettive di mercato.</v>
      </c>
      <c r="L88" s="197"/>
      <c r="M88" s="57"/>
    </row>
    <row r="89" spans="3:13" ht="22.7" x14ac:dyDescent="0.5">
      <c r="C89" s="106" t="str">
        <f ca="1">+'SEZIONI 3-4'!M75</f>
        <v>Indicare se l'azienda intende avvalersene o meno</v>
      </c>
      <c r="D89" s="156"/>
      <c r="J89" s="35" t="str">
        <f ca="1">CONCATENATE(D177,IF(D178&gt;"",(s&amp;D178),""))</f>
        <v>La generazione di flussi positivi al servizio del debito non dipende solo dalle iniziative industriali.</v>
      </c>
      <c r="L89" s="197"/>
      <c r="M89" s="57"/>
    </row>
    <row r="90" spans="3:13" x14ac:dyDescent="0.5">
      <c r="C90" s="106"/>
      <c r="D90" s="57" t="str">
        <f ca="1">+'SEZIONI 3-4'!L76</f>
        <v>L’impresa non dispone delle capacità e delle competenze manageriali per realizzare le iniziative industriali.</v>
      </c>
      <c r="J90" s="35" t="str">
        <f>CONCATENATE(D179,IF(D180&gt;"",(s&amp;D180),""))</f>
        <v/>
      </c>
      <c r="L90" s="197"/>
      <c r="M90" s="57"/>
    </row>
    <row r="91" spans="3:13" ht="34" x14ac:dyDescent="0.5">
      <c r="C91" s="106" t="str">
        <f ca="1">+'SEZIONI 3-4'!M76</f>
        <v>Indicare quali lacune organizzative esistono e come l'impresa intende colmarle</v>
      </c>
      <c r="D91" s="156"/>
      <c r="J91" s="35" t="str">
        <f>CONCATENATE(D181,IF(D182&gt;"",(s&amp;D182),""))</f>
        <v/>
      </c>
      <c r="L91" s="158" t="str">
        <f>+I94</f>
        <v>In caso di gruppi di imprese</v>
      </c>
      <c r="M91" s="158"/>
    </row>
    <row r="92" spans="3:13" ht="22.7" x14ac:dyDescent="0.5">
      <c r="C92" s="106"/>
      <c r="D92" s="57" t="str">
        <f>+'SEZIONI 3-4'!I77</f>
        <v xml:space="preserve">Per quanto concerne i tempi e gli effetti in termini di ricavi, di costi e di investimenti delle iniziative da adottare I tempi previsti per le iniziative industriali sono di 12 mesi, con effetti attesi su ricavi in lieve crescita e costi iniziali moderati. </v>
      </c>
      <c r="J92" s="35" t="str">
        <f ca="1">CONCATENATE(D183,IF(D184&gt;"",(s&amp;D184),""))</f>
        <v>Le proposte non consentono, in via prognostica, il rispetto del minimo legale del capitale sociale al momento della conclusione dell’accordo, fatte salve le disposizioni speciali.</v>
      </c>
      <c r="L92" s="196" t="str" cm="1">
        <f t="array" aca="1" ref="L92" ca="1">+CONCATENATE(J95,AC,J96,AC,J97,s,J98,AC,J99,AC,J100)</f>
        <v>Il piano è redatto per le singole imprese.
Il piano non dà evidenza dei rapporti economici, finanziari e patrimoniali infragruppo.
Non vi sono altre imprese del gruppo che presentano difficoltà economico-finanziarie o patrimoniali? 
Le operazioni infragruppo previste nel piano non possono arrecare un pregiudizio per i creditori di un’altra impresa del gruppo.</v>
      </c>
    </row>
    <row r="93" spans="3:13" x14ac:dyDescent="0.5">
      <c r="C93" s="106">
        <f>+'SEZIONI 3-4'!M77</f>
        <v>0</v>
      </c>
      <c r="I93" s="96"/>
      <c r="L93" s="196"/>
    </row>
    <row r="94" spans="3:13" x14ac:dyDescent="0.5">
      <c r="C94" s="106"/>
      <c r="D94" s="57" t="str">
        <f>+'SEZIONI 3-4'!I79</f>
        <v xml:space="preserve">Le relative funzioni aziendali responsabili sono Le funzioni responsabili sono l’area manageriale e il reparto operativo per l’implementazione.. </v>
      </c>
      <c r="I94" s="96" t="str">
        <f>+'SEZIONI 5-6'!C18</f>
        <v>In caso di gruppi di imprese</v>
      </c>
      <c r="L94" s="196"/>
    </row>
    <row r="95" spans="3:13" x14ac:dyDescent="0.5">
      <c r="C95" s="106">
        <f>+'SEZIONI 3-4'!M79</f>
        <v>0</v>
      </c>
      <c r="J95" s="35" t="str">
        <f ca="1">CONCATENATE(D187,IF(D188&gt;"",(s&amp;D188),""))</f>
        <v>Il piano è redatto per le singole imprese.</v>
      </c>
      <c r="L95" s="196"/>
    </row>
    <row r="96" spans="3:13" ht="22.7" x14ac:dyDescent="0.5">
      <c r="C96" s="106"/>
      <c r="D96" s="57" t="str">
        <f ca="1">+'SEZIONI 3-4'!L81</f>
        <v>Sono prospettabili iniziative alternative nel caso in cui le iniziative dovessero dimostrarsi inefficaci e si manifestassero scostamenti tra gli obiettivi pianificati e quelli raggiunti.</v>
      </c>
      <c r="I96" s="96"/>
      <c r="J96" s="35" t="str">
        <f ca="1">CONCATENATE(D189,IF(D190&gt;"",(s&amp;D190),""))</f>
        <v>Il piano non dà evidenza dei rapporti economici, finanziari e patrimoniali infragruppo.</v>
      </c>
      <c r="L96" s="196"/>
    </row>
    <row r="97" spans="2:12" x14ac:dyDescent="0.5">
      <c r="C97" s="106" t="str">
        <f ca="1">+'SEZIONI 3-4'!M81</f>
        <v>Quali iniziative alternative?</v>
      </c>
      <c r="D97" s="156"/>
      <c r="I97" s="96"/>
      <c r="J97" s="35" t="str">
        <f ca="1">CONCATENATE(D191,IF(D192&gt;"",(s&amp;D192),""))</f>
        <v>Non vi sono altre imprese del gruppo che presentano difficoltà economico-finanziarie o patrimoniali?</v>
      </c>
      <c r="L97" s="196"/>
    </row>
    <row r="98" spans="2:12" x14ac:dyDescent="0.5">
      <c r="C98" s="106"/>
      <c r="D98" s="57" t="str">
        <f ca="1">+'SEZIONI 3-4'!L82</f>
        <v>In precedenza sono stati predisposti ulteriori piani.</v>
      </c>
      <c r="I98" s="96"/>
      <c r="J98" s="35" t="str">
        <f>CONCATENATE(D193,IF(D194&gt;"",(s&amp;D194),""))</f>
        <v/>
      </c>
      <c r="L98" s="168">
        <f>'SEZIONI 1-2'!E5</f>
        <v>0</v>
      </c>
    </row>
    <row r="99" spans="2:12" ht="56.7" x14ac:dyDescent="0.5">
      <c r="C99" s="106" t="str">
        <f ca="1">+'SEZIONI 3-4'!M82</f>
        <v>Indicare l'occasione in cui si è reso necessaria la redazione del piano, chi lo ha redatto e il grado di raggiungimento rispetto agli obiettivi indicati.</v>
      </c>
      <c r="D99" s="156"/>
      <c r="I99" s="96"/>
      <c r="J99" s="35" t="str">
        <f>CONCATENATE(D195,IF(D196&gt;"",(s&amp;D196),""))</f>
        <v/>
      </c>
      <c r="L99" s="162" t="s">
        <v>528</v>
      </c>
    </row>
    <row r="100" spans="2:12" x14ac:dyDescent="0.5">
      <c r="C100" s="106"/>
      <c r="D100" s="57" t="str">
        <f ca="1">+'SEZIONI 3-4'!L83</f>
        <v>Il piano è coerente con i piani redatti in precedenza</v>
      </c>
      <c r="I100" s="96"/>
      <c r="J100" s="35" t="str">
        <f ca="1">CONCATENATE(D197,IF(D198&gt;"",(s&amp;D198),""))</f>
        <v>Le operazioni infragruppo previste nel piano non possono arrecare un pregiudizio per i creditori di un’altra impresa del gruppo.</v>
      </c>
    </row>
    <row r="101" spans="2:12" x14ac:dyDescent="0.5">
      <c r="C101" s="106">
        <f ca="1">+'SEZIONI 3-4'!M83</f>
        <v>0</v>
      </c>
    </row>
    <row r="102" spans="2:12" x14ac:dyDescent="0.5">
      <c r="C102" s="106"/>
      <c r="D102" s="57" t="str">
        <f ca="1">+'SEZIONI 3-4'!L84</f>
        <v>e non vi sono differenze significative.</v>
      </c>
    </row>
    <row r="103" spans="2:12" x14ac:dyDescent="0.5">
      <c r="C103" s="106" t="str">
        <f ca="1">+'SEZIONI 3-4'!M84</f>
        <v>Aggiungere eventuali commenti</v>
      </c>
      <c r="D103" s="156"/>
    </row>
    <row r="104" spans="2:12" x14ac:dyDescent="0.5">
      <c r="C104" s="106"/>
      <c r="D104" s="57" t="str">
        <f ca="1">+'SEZIONI 3-4'!L85</f>
        <v>Il piano appare credibile.</v>
      </c>
    </row>
    <row r="105" spans="2:12" x14ac:dyDescent="0.5">
      <c r="C105" s="106" t="str">
        <f ca="1">+'SEZIONI 3-4'!M85</f>
        <v>Indicare le ragioni</v>
      </c>
      <c r="D105" s="156"/>
    </row>
    <row r="106" spans="2:12" ht="22.7" x14ac:dyDescent="0.5">
      <c r="C106" s="106"/>
      <c r="D106" s="57" t="str">
        <f ca="1">+'SEZIONI 3-4'!L86</f>
        <v>È fondato su intenzioni strategiche chiare e razionali, condivisibili da parte di un lettore informato quale è l’esperto, coerenti con la situazione di fatto dell’impresa e del contesto in cui opera.</v>
      </c>
      <c r="I106" s="96"/>
    </row>
    <row r="107" spans="2:12" x14ac:dyDescent="0.5">
      <c r="C107" s="106" t="str">
        <f ca="1">+'SEZIONI 3-4'!M86</f>
        <v>Aggiungere eventuali commenti</v>
      </c>
      <c r="D107" s="156"/>
      <c r="I107" s="96"/>
    </row>
    <row r="108" spans="2:12" x14ac:dyDescent="0.5">
      <c r="C108" s="106"/>
      <c r="D108" s="57" t="str">
        <f ca="1">+'SEZIONI 3-4'!L87</f>
        <v>Le strategie di intervento e le iniziative industriali individuate dall’imprenditore appaiono appropriate per il superamento delle cause della crisi.</v>
      </c>
      <c r="I108" s="96"/>
    </row>
    <row r="109" spans="2:12" x14ac:dyDescent="0.5">
      <c r="C109" s="106" t="str">
        <f ca="1">+'SEZIONI 3-4'!M87</f>
        <v>Indicare le ragioni</v>
      </c>
      <c r="D109" s="156"/>
      <c r="I109" s="96"/>
    </row>
    <row r="110" spans="2:12" x14ac:dyDescent="0.5">
      <c r="C110" s="106"/>
    </row>
    <row r="111" spans="2:12" ht="15" x14ac:dyDescent="0.5">
      <c r="B111" s="102" t="str">
        <f>+'SEZIONI 3-4'!D89</f>
        <v>Le proiezioni dei flussi finanziari</v>
      </c>
      <c r="C111" s="108"/>
      <c r="D111" s="103"/>
    </row>
    <row r="112" spans="2:12" ht="56.7" x14ac:dyDescent="0.5">
      <c r="C112" s="106"/>
      <c r="D112" s="57" t="str">
        <f>+'SEZIONI 3-4'!I91</f>
        <v xml:space="preserve">La stima delle proiezioni dei flussi finanziari del piano è l'esito di un percorso che si dipana nelle seguenti fasi successive: stima dei ricavi,  stima dei costi variabili correlati ai ricavi,  stima dei costi fissi,  stima degli investimenti,  stima degli effetti delle iniziative industriali che si intendono intraprendere in discontinuità rispetto al passato,  verifica di coerenza dei dati economici prognostici,  stima del pagamento delle imposte sul reddito,  declinazione finanziaria delle grandezze economiche e determinazione dei flussi al servizio del debito,  declinazione patrimoniale muovendo dalla situazione contabile di partenza e  altro (specificare). </v>
      </c>
    </row>
    <row r="113" spans="3:6" x14ac:dyDescent="0.5">
      <c r="C113" s="106"/>
    </row>
    <row r="114" spans="3:6" x14ac:dyDescent="0.5">
      <c r="C114" s="106"/>
      <c r="D114" s="57" t="str">
        <f ca="1">+'SEZIONI 3-4'!L103</f>
        <v>Le proiezioni fondate su previsioni coprono un periodo massimo di 5 anni.</v>
      </c>
    </row>
    <row r="115" spans="3:6" x14ac:dyDescent="0.5">
      <c r="C115" s="106" t="str">
        <f ca="1">+'SEZIONI 3-4'!M103</f>
        <v>Aggiungere eventuali commenti</v>
      </c>
      <c r="D115" s="156"/>
    </row>
    <row r="116" spans="3:6" x14ac:dyDescent="0.5">
      <c r="C116" s="106"/>
      <c r="D116" s="57" t="str" cm="1">
        <f t="array" ref="D116:F116">+'SEZIONI 3-4'!I105:K105</f>
        <v xml:space="preserve">I ricavi sono stati stimati nel seguente modo: Indicare la stima dei ricavi. </v>
      </c>
      <c r="E116" s="97">
        <v>0</v>
      </c>
      <c r="F116" s="97">
        <v>0</v>
      </c>
    </row>
    <row r="117" spans="3:6" x14ac:dyDescent="0.5">
      <c r="C117" s="106"/>
    </row>
    <row r="118" spans="3:6" x14ac:dyDescent="0.5">
      <c r="C118" s="106"/>
      <c r="D118" s="57" t="str">
        <f ca="1">+'SEZIONI 3-4'!L108</f>
        <v>Le proiezioni dei ricavi sono coerenti con i dati storici e quelli correnti.</v>
      </c>
    </row>
    <row r="119" spans="3:6" x14ac:dyDescent="0.5">
      <c r="C119" s="106" t="str">
        <f ca="1">+'SEZIONI 3-4'!M108</f>
        <v>Aggiungere eventuali commenti</v>
      </c>
      <c r="D119" s="156"/>
    </row>
    <row r="120" spans="3:6" x14ac:dyDescent="0.5">
      <c r="C120" s="106"/>
      <c r="D120" s="57" t="str">
        <f ca="1">+'SEZIONI 3-4'!L109</f>
        <v>Le variazioni dei ricavi prospettici rispetto al dato corrente dell’esercizio in corso sono state giustificate in maniera adeguata.</v>
      </c>
    </row>
    <row r="121" spans="3:6" x14ac:dyDescent="0.5">
      <c r="C121" s="106" t="str">
        <f ca="1">+'SEZIONI 3-4'!M109</f>
        <v>Aggiungere eventuali commenti</v>
      </c>
      <c r="D121" s="156"/>
    </row>
    <row r="122" spans="3:6" x14ac:dyDescent="0.5">
      <c r="C122" s="106"/>
      <c r="D122" s="57" t="str">
        <f ca="1">+'SEZIONI 3-4'!L110</f>
        <v>Le variazioni dei ricavi del piano sono state confrontate con le prospettive del settore.</v>
      </c>
    </row>
    <row r="123" spans="3:6" x14ac:dyDescent="0.5">
      <c r="C123" s="106" t="str">
        <f ca="1">+'SEZIONI 3-4'!M110</f>
        <v>Aggiungere eventuali commenti</v>
      </c>
      <c r="D123" s="156"/>
    </row>
    <row r="124" spans="3:6" ht="22.7" x14ac:dyDescent="0.5">
      <c r="C124" s="106"/>
      <c r="D124" s="57" t="str">
        <f>+'SEZIONI 3-4'!I111</f>
        <v xml:space="preserve">La metodologia di stima dei costi variabili correlati ai ricavi e dei costi fissi è la seguente: Indicare la metodologia di stima dei costi variabili e dei costi fissi. </v>
      </c>
    </row>
    <row r="125" spans="3:6" x14ac:dyDescent="0.5">
      <c r="C125" s="106"/>
    </row>
    <row r="126" spans="3:6" x14ac:dyDescent="0.5">
      <c r="C126" s="106"/>
      <c r="D126" s="57" t="str">
        <f ca="1">+'SEZIONI 3-4'!L114</f>
        <v>La stima dei costi variabili e dei costi di struttura è coerente con la situazione in atto e con i dati storici.</v>
      </c>
    </row>
    <row r="127" spans="3:6" x14ac:dyDescent="0.5">
      <c r="C127" s="106" t="str">
        <f ca="1">+'SEZIONI 3-4'!M114</f>
        <v>Aggiungere eventuali commenti</v>
      </c>
      <c r="D127" s="156"/>
    </row>
    <row r="128" spans="3:6" ht="34" x14ac:dyDescent="0.5">
      <c r="C128" s="106"/>
      <c r="D128" s="57" t="str">
        <f>+'SEZIONI 3-4'!I115</f>
        <v xml:space="preserve">I risparmi dei costi variabili e fissi sono: i risparmi previsti derivano dall’efficientamento dei processi produttivi, stimati in una riduzione del 7% dei costi variabili..  I possibili rischi che derivano dai risparmi di costo: i risparmi previsti derivano dall’efficientamento dei processi produttivi, stimati in una riduzione del 7% dei costi variabili.. </v>
      </c>
    </row>
    <row r="129" spans="3:4" x14ac:dyDescent="0.5">
      <c r="C129" s="106"/>
    </row>
    <row r="130" spans="3:4" x14ac:dyDescent="0.5">
      <c r="C130" s="106"/>
      <c r="D130" s="57" t="str">
        <f>+'SEZIONI 3-4'!I119</f>
        <v xml:space="preserve">La metodologia di stima degli investimenti è la seguente: Indicare la metodologia di stima degli investimenti. </v>
      </c>
    </row>
    <row r="131" spans="3:4" x14ac:dyDescent="0.5">
      <c r="C131" s="106"/>
    </row>
    <row r="132" spans="3:4" x14ac:dyDescent="0.5">
      <c r="C132" s="106"/>
      <c r="D132" s="57" t="str">
        <f ca="1">+'SEZIONI 3-4'!L122</f>
        <v>La società non svolge più attività.</v>
      </c>
    </row>
    <row r="133" spans="3:4" x14ac:dyDescent="0.5">
      <c r="C133" s="106" t="str">
        <f ca="1">+'SEZIONI 3-4'!M122</f>
        <v>Aggiungere eventuali commenti</v>
      </c>
      <c r="D133" s="156"/>
    </row>
    <row r="134" spans="3:4" x14ac:dyDescent="0.5">
      <c r="C134" s="106"/>
      <c r="D134" s="57" t="str">
        <f ca="1">+'SEZIONI 3-4'!L123</f>
        <v>Il piano tiene conto in misura adeguata degli investimenti di mantenimento occorrenti.</v>
      </c>
    </row>
    <row r="135" spans="3:4" x14ac:dyDescent="0.5">
      <c r="C135" s="106" t="str">
        <f ca="1">+'SEZIONI 3-4'!M123</f>
        <v>Aggiungere eventuali commenti</v>
      </c>
      <c r="D135" s="156"/>
    </row>
    <row r="136" spans="3:4" ht="22.7" x14ac:dyDescent="0.5">
      <c r="C136" s="106"/>
      <c r="D136" s="57" t="str">
        <f>+'SEZIONI 3-4'!I124</f>
        <v xml:space="preserve">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v>
      </c>
    </row>
    <row r="137" spans="3:4" x14ac:dyDescent="0.5">
      <c r="C137" s="106"/>
    </row>
    <row r="138" spans="3:4" ht="22.7" x14ac:dyDescent="0.5">
      <c r="C138" s="106"/>
      <c r="D138" s="57" t="str">
        <f ca="1">+'SEZIONI 3-4'!L126</f>
        <v>La  stima degli effetti di tali iniziative (in termini di investimenti, ricavi e costi) è coerente con le informazioni disponibili ed è ritenuta giustificata dalle diverse funzioni aziendali.</v>
      </c>
    </row>
    <row r="139" spans="3:4" x14ac:dyDescent="0.5">
      <c r="C139" s="106" t="str">
        <f ca="1">+'SEZIONI 3-4'!M126</f>
        <v>Aggiungere eventuali commenti</v>
      </c>
      <c r="D139" s="156"/>
    </row>
    <row r="140" spans="3:4" x14ac:dyDescent="0.5">
      <c r="C140" s="106"/>
      <c r="D140" s="57" t="str">
        <f ca="1">+'SEZIONI 3-4'!L127</f>
        <v>I dati economici prognostici sono coerenti.</v>
      </c>
    </row>
    <row r="141" spans="3:4" x14ac:dyDescent="0.5">
      <c r="C141" s="106" t="str">
        <f ca="1">+'SEZIONI 3-4'!M127</f>
        <v>Aggiungere eventuali commenti</v>
      </c>
      <c r="D141" s="156"/>
    </row>
    <row r="142" spans="3:4" x14ac:dyDescent="0.5">
      <c r="C142" s="106"/>
      <c r="D142" s="57" t="str">
        <f ca="1">+'SEZIONI 3-4'!L128</f>
        <v>È stata svolta una verifica di ragionevolezza della redditività prospettica quale risulta dai paragrafi precedenti.</v>
      </c>
    </row>
    <row r="143" spans="3:4" x14ac:dyDescent="0.5">
      <c r="C143" s="106" t="str">
        <f ca="1">+'SEZIONI 3-4'!M128</f>
        <v>Quale verifica?</v>
      </c>
      <c r="D143" s="156"/>
    </row>
    <row r="144" spans="3:4" x14ac:dyDescent="0.5">
      <c r="C144" s="106"/>
      <c r="D144" s="57" t="str">
        <f ca="1">+'SEZIONI 3-4'!L129</f>
        <v>La redditività ed i principali indicatori chiave gestionali (KPI) prospettici sono coerenti con l’andamento storico.</v>
      </c>
    </row>
    <row r="145" spans="3:4" x14ac:dyDescent="0.5">
      <c r="C145" s="106" t="str">
        <f ca="1">+'SEZIONI 3-4'!M129</f>
        <v>Indicare le ragioni</v>
      </c>
      <c r="D145" s="156"/>
    </row>
    <row r="146" spans="3:4" x14ac:dyDescent="0.5">
      <c r="C146" s="106"/>
      <c r="D146" s="57" t="str">
        <f ca="1">+'SEZIONI 3-4'!L130</f>
        <v>Non è giustificata ogni differenza tra l’incidenza del margine operativo lordo sui ricavi ed i benchmark di mercato disponibili.</v>
      </c>
    </row>
    <row r="147" spans="3:4" x14ac:dyDescent="0.5">
      <c r="C147" s="106" t="str">
        <f ca="1">+'SEZIONI 3-4'!M130</f>
        <v>Indicare le motivazioni</v>
      </c>
      <c r="D147" s="156"/>
    </row>
    <row r="148" spans="3:4" x14ac:dyDescent="0.5">
      <c r="C148" s="106"/>
      <c r="D148" s="57" t="str">
        <f ca="1">+'SEZIONI 3-4'!L131</f>
        <v>Non sono previste operazioni straordinarie.</v>
      </c>
    </row>
    <row r="149" spans="3:4" x14ac:dyDescent="0.5">
      <c r="C149" s="106" t="str">
        <f ca="1">+'SEZIONI 3-4'!M131</f>
        <v>Aggiungere eventuali commenti</v>
      </c>
      <c r="D149" s="156"/>
    </row>
    <row r="150" spans="3:4" x14ac:dyDescent="0.5">
      <c r="C150" s="106"/>
      <c r="D150" s="57" t="str">
        <f ca="1">+'SEZIONI 3-4'!L132</f>
        <v>Non è stata prevista la dismissione di cespiti d'investimento.</v>
      </c>
    </row>
    <row r="151" spans="3:4" ht="68" x14ac:dyDescent="0.5">
      <c r="C151" s="106" t="str">
        <f ca="1">+'SEZIONI 3-4'!M132</f>
        <v>Aggiungere eventuali commenti</v>
      </c>
      <c r="D151" s="156"/>
    </row>
    <row r="152" spans="3:4" x14ac:dyDescent="0.5">
      <c r="C152" s="106"/>
      <c r="D152" s="57" t="str">
        <f ca="1">+'SEZIONI 3-4'!L133</f>
        <v>Non è stato stimato il pagamento delle imposte sul reddito.</v>
      </c>
    </row>
    <row r="153" spans="3:4" x14ac:dyDescent="0.5">
      <c r="C153" s="106" t="str">
        <f ca="1">+'SEZIONI 3-4'!M133</f>
        <v>Aggiungere eventuali commenti</v>
      </c>
      <c r="D153" s="156"/>
    </row>
    <row r="154" spans="3:4" ht="22.7" x14ac:dyDescent="0.5">
      <c r="C154" s="106"/>
      <c r="D154" s="57" t="str">
        <f ca="1">+'SEZIONI 3-4'!L134</f>
        <v>Nella stima del pagamento delle imposte si è tenuto conto dell’effetto delle perdite fiscali a nuovo e del periodo di imputazione fiscale dei costi e dei ricavi.</v>
      </c>
    </row>
    <row r="155" spans="3:4" x14ac:dyDescent="0.5">
      <c r="C155" s="106" t="str">
        <f ca="1">+'SEZIONI 3-4'!M134</f>
        <v>Aggiungere eventuali commenti</v>
      </c>
      <c r="D155" s="156"/>
    </row>
    <row r="156" spans="3:4" x14ac:dyDescent="0.5">
      <c r="C156" s="106"/>
      <c r="D156" s="57" t="str">
        <f ca="1">+'SEZIONI 3-4'!L135</f>
        <v>Non è presente declinazione finanziaria delle grandezze economiche e determinazione dei flussi al servizio del debito.</v>
      </c>
    </row>
    <row r="157" spans="3:4" x14ac:dyDescent="0.5">
      <c r="C157" s="106" t="str">
        <f ca="1">+'SEZIONI 3-4'!M135</f>
        <v>Aggiungere eventuali commenti</v>
      </c>
      <c r="D157" s="156"/>
    </row>
    <row r="158" spans="3:4" ht="113.35" x14ac:dyDescent="0.5">
      <c r="C158" s="106"/>
      <c r="D158" s="57" t="str">
        <f>+'SEZIONI 3-4'!I137</f>
        <v xml:space="preserve">La determinazione dei flussi finanziari al servizio del debito è stata effettuata muovendo dai dati economici. Essa ha avuto luogo:
•  Attraverso il ciclo di conversione in flussi di cassa che tiene conto dei tempi di incasso dei ricavi, di pagamento dei costi e di rigiro del magazzino. 
•  Deducendo dai flussi così determinati gli investimenti previsti (sia quelli di mantenimento che quelli relativi alle iniziative industriali) e il pagamento delle imposte.  Aggiungere eventuali commenti. 
•  Per semplicità le micro e le piccole imprese possono ricorrere alle sole grandezze economiche senza convertirle in flussi di cassa. L'impresa è considerata tra le micro e piccole imprese.  L'impresa ha verificato che l’ammontare degli investimenti di mantenimento sia adeguatamente espresso dagli ammortamenti (portando una rettifica in caso contrario).  L'impresa ha considerato l’effetto delle iniziative industriali previste. </v>
      </c>
    </row>
    <row r="159" spans="3:4" x14ac:dyDescent="0.5">
      <c r="C159" s="106"/>
    </row>
    <row r="160" spans="3:4" x14ac:dyDescent="0.5">
      <c r="C160" s="106"/>
      <c r="D160" s="57" t="str">
        <f ca="1">+'SEZIONI 3-4'!L149</f>
        <v>L'impresa ha determinato le grandezze patrimoniali.</v>
      </c>
    </row>
    <row r="161" spans="1:4" x14ac:dyDescent="0.5">
      <c r="C161" s="106" t="str">
        <f ca="1">+'SEZIONI 3-4'!M149</f>
        <v>Aggiungere eventuali commenti</v>
      </c>
      <c r="D161" s="156"/>
    </row>
    <row r="162" spans="1:4" x14ac:dyDescent="0.5">
      <c r="C162" s="106"/>
      <c r="D162" s="57" t="str">
        <f ca="1">+'SEZIONI 3-4'!L150</f>
        <v>Su di esse si innestano le poposte alle parti interessate</v>
      </c>
    </row>
    <row r="163" spans="1:4" x14ac:dyDescent="0.5">
      <c r="C163" s="106">
        <f ca="1">+'SEZIONI 3-4'!M150</f>
        <v>0</v>
      </c>
      <c r="D163" s="156"/>
    </row>
    <row r="164" spans="1:4" x14ac:dyDescent="0.5">
      <c r="C164" s="106"/>
      <c r="D164" s="57" t="str">
        <f ca="1">+'SEZIONI 3-4'!L151</f>
        <v>e viene calcolata la stima dell’andamento del patrimonio netto al termine dei singoli anni del piano.</v>
      </c>
    </row>
    <row r="165" spans="1:4" x14ac:dyDescent="0.5">
      <c r="C165" s="106" t="str">
        <f ca="1">+'SEZIONI 3-4'!M151</f>
        <v>Aggiungere eventuali commenti</v>
      </c>
      <c r="D165" s="156"/>
    </row>
    <row r="166" spans="1:4" x14ac:dyDescent="0.5">
      <c r="C166" s="106"/>
    </row>
    <row r="167" spans="1:4" ht="15" x14ac:dyDescent="0.5">
      <c r="A167" s="100" t="s">
        <v>357</v>
      </c>
      <c r="B167" s="100"/>
      <c r="C167" s="104"/>
      <c r="D167" s="101"/>
    </row>
    <row r="168" spans="1:4" ht="15" x14ac:dyDescent="0.5">
      <c r="B168" s="102" t="str">
        <f>+'SEZIONI 5-6'!C5</f>
        <v>Il risanamento del debito</v>
      </c>
      <c r="C168" s="102"/>
      <c r="D168" s="102"/>
    </row>
    <row r="169" spans="1:4" x14ac:dyDescent="0.5">
      <c r="C169" s="106"/>
      <c r="D169" s="57" t="str">
        <f ca="1">+'SEZIONI 5-6'!L6</f>
        <v>L’impresa è in grado in futuro di generare risorse al servizio del debito.</v>
      </c>
    </row>
    <row r="170" spans="1:4" ht="22.7" x14ac:dyDescent="0.5">
      <c r="C170" s="110" t="str">
        <f ca="1">+'SEZIONI 5-6'!L6</f>
        <v>L’impresa è in grado in futuro di generare risorse al servizio del debito.</v>
      </c>
      <c r="D170" s="156"/>
    </row>
    <row r="171" spans="1:4" x14ac:dyDescent="0.5">
      <c r="C171" s="106"/>
      <c r="D171" s="57" t="str">
        <f ca="1">+'SEZIONI 5-6'!L7</f>
        <v>Il risultato delle proiezioni finanziarie tende ad essere negativo.</v>
      </c>
    </row>
    <row r="172" spans="1:4" ht="22.7" x14ac:dyDescent="0.5">
      <c r="C172" s="110" t="str">
        <f ca="1">+'SEZIONI 5-6'!L7</f>
        <v>Il risultato delle proiezioni finanziarie tende ad essere negativo.</v>
      </c>
      <c r="D172" s="156"/>
    </row>
    <row r="173" spans="1:4" x14ac:dyDescent="0.5">
      <c r="C173" s="106"/>
      <c r="D173" s="57" t="str">
        <f ca="1">+'SEZIONI 5-6'!L8</f>
        <v>Il piano non tiene conto, anche attraverso prove di resistenza (stress test), dei fattori di rischio e di incertezza ai quali è maggiormente esposta l’impresa.</v>
      </c>
    </row>
    <row r="174" spans="1:4" ht="45.35" x14ac:dyDescent="0.5">
      <c r="C174" s="110" t="str">
        <f ca="1">+'SEZIONI 5-6'!L8</f>
        <v>Il piano non tiene conto, anche attraverso prove di resistenza (stress test), dei fattori di rischio e di incertezza ai quali è maggiormente esposta l’impresa.</v>
      </c>
      <c r="D174" s="156"/>
    </row>
    <row r="175" spans="1:4" ht="22.7" x14ac:dyDescent="0.5">
      <c r="C175" s="106"/>
      <c r="D175" s="57" t="str">
        <f ca="1">+'SEZIONI 5-6'!L9</f>
        <v>I test effettuati sono coerenti con i rischi emersi ad esito dell’intervista delle diverse funzioni aziendali avendo comunque riguardo alle prospettive di mercato.</v>
      </c>
    </row>
    <row r="176" spans="1:4" ht="56.7" x14ac:dyDescent="0.5">
      <c r="C176" s="110" t="str">
        <f ca="1">+'SEZIONI 5-6'!L9</f>
        <v>I test effettuati sono coerenti con i rischi emersi ad esito dell’intervista delle diverse funzioni aziendali avendo comunque riguardo alle prospettive di mercato.</v>
      </c>
      <c r="D176" s="156"/>
    </row>
    <row r="177" spans="2:4" x14ac:dyDescent="0.5">
      <c r="C177" s="106"/>
      <c r="D177" s="57" t="str">
        <f ca="1">+'SEZIONI 5-6'!L10</f>
        <v>La generazione di flussi positivi al servizio del debito non dipende solo dalle iniziative industriali.</v>
      </c>
    </row>
    <row r="178" spans="2:4" ht="34" x14ac:dyDescent="0.5">
      <c r="C178" s="110" t="str">
        <f ca="1">+'SEZIONI 5-6'!L10</f>
        <v>La generazione di flussi positivi al servizio del debito non dipende solo dalle iniziative industriali.</v>
      </c>
      <c r="D178" s="156"/>
    </row>
    <row r="179" spans="2:4" x14ac:dyDescent="0.5">
      <c r="C179" s="106"/>
      <c r="D179" s="57" t="str">
        <f>+'SEZIONI 5-6'!I11</f>
        <v/>
      </c>
    </row>
    <row r="180" spans="2:4" x14ac:dyDescent="0.5">
      <c r="C180" s="106"/>
    </row>
    <row r="181" spans="2:4" x14ac:dyDescent="0.5">
      <c r="C181" s="106"/>
      <c r="D181" s="57" t="str">
        <f>+'SEZIONI 5-6'!I13</f>
        <v/>
      </c>
    </row>
    <row r="182" spans="2:4" x14ac:dyDescent="0.5">
      <c r="C182" s="106"/>
    </row>
    <row r="183" spans="2:4" ht="22.7" x14ac:dyDescent="0.5">
      <c r="C183" s="106"/>
      <c r="D183" s="57" t="str">
        <f ca="1">+'SEZIONI 5-6'!L16</f>
        <v>Le proposte non consentono, in via prognostica, il rispetto del minimo legale del capitale sociale al momento della conclusione dell’accordo, fatte salve le disposizioni speciali.</v>
      </c>
    </row>
    <row r="184" spans="2:4" x14ac:dyDescent="0.5">
      <c r="C184" s="106" t="str">
        <f ca="1">+'SEZIONI 5-6'!M16</f>
        <v>Aggiungere eventuali commenti</v>
      </c>
      <c r="D184" s="156"/>
    </row>
    <row r="185" spans="2:4" x14ac:dyDescent="0.5">
      <c r="C185" s="106"/>
    </row>
    <row r="186" spans="2:4" ht="15" x14ac:dyDescent="0.5">
      <c r="B186" s="102" t="str">
        <f>+'SEZIONI 5-6'!C18</f>
        <v>In caso di gruppi di imprese</v>
      </c>
      <c r="C186" s="109"/>
      <c r="D186" s="103"/>
    </row>
    <row r="187" spans="2:4" x14ac:dyDescent="0.5">
      <c r="C187" s="106"/>
      <c r="D187" s="57" t="str">
        <f ca="1">+'SEZIONI 5-6'!L19</f>
        <v>Il piano è redatto per le singole imprese.</v>
      </c>
    </row>
    <row r="188" spans="2:4" x14ac:dyDescent="0.5">
      <c r="C188" s="106" t="str">
        <f ca="1">+'SEZIONI 5-6'!M19</f>
        <v>Aggiungere eventuali commenti</v>
      </c>
      <c r="D188" s="156"/>
    </row>
    <row r="189" spans="2:4" x14ac:dyDescent="0.5">
      <c r="C189" s="106"/>
      <c r="D189" s="57" t="str">
        <f ca="1">+'SEZIONI 5-6'!L20</f>
        <v>Il piano non dà evidenza dei rapporti economici, finanziari e patrimoniali infragruppo.</v>
      </c>
    </row>
    <row r="190" spans="2:4" x14ac:dyDescent="0.5">
      <c r="C190" s="106" t="str">
        <f ca="1">+'SEZIONI 5-6'!M20</f>
        <v>Aggiungere eventuali commenti</v>
      </c>
      <c r="D190" s="156"/>
    </row>
    <row r="191" spans="2:4" x14ac:dyDescent="0.5">
      <c r="C191" s="106"/>
      <c r="D191" s="57" t="str">
        <f ca="1">+'SEZIONI 5-6'!L21</f>
        <v>Non vi sono altre imprese del gruppo che presentano difficoltà economico-finanziarie o patrimoniali?</v>
      </c>
    </row>
    <row r="192" spans="2:4" x14ac:dyDescent="0.5">
      <c r="C192" s="106" t="str">
        <f ca="1">+'SEZIONI 5-6'!M21</f>
        <v>Aggiungere eventuali commenti</v>
      </c>
      <c r="D192" s="156"/>
    </row>
    <row r="193" spans="3:4" x14ac:dyDescent="0.5">
      <c r="C193" s="106"/>
      <c r="D193" s="57" t="str">
        <f>+'SEZIONI 5-6'!I22</f>
        <v/>
      </c>
    </row>
    <row r="194" spans="3:4" x14ac:dyDescent="0.5">
      <c r="C194" s="106"/>
    </row>
    <row r="195" spans="3:4" x14ac:dyDescent="0.5">
      <c r="C195" s="106"/>
      <c r="D195" s="57" t="str">
        <f>+'SEZIONI 5-6'!I24</f>
        <v/>
      </c>
    </row>
    <row r="196" spans="3:4" x14ac:dyDescent="0.5">
      <c r="C196" s="106"/>
    </row>
    <row r="197" spans="3:4" x14ac:dyDescent="0.5">
      <c r="C197" s="106"/>
      <c r="D197" s="57" t="str">
        <f ca="1">+'SEZIONI 5-6'!L26</f>
        <v>Le operazioni infragruppo previste nel piano non possono arrecare un pregiudizio per i creditori di un’altra impresa del gruppo.</v>
      </c>
    </row>
    <row r="198" spans="3:4" x14ac:dyDescent="0.5">
      <c r="C198" s="106" t="str">
        <f ca="1">+'SEZIONI 5-6'!M26</f>
        <v>Aggiungere eventuali commenti</v>
      </c>
      <c r="D198" s="156"/>
    </row>
    <row r="199" spans="3:4" x14ac:dyDescent="0.5">
      <c r="D199" s="96"/>
    </row>
  </sheetData>
  <sheetProtection algorithmName="SHA-512" hashValue="AajUszdK5YaNDCkzDWeavinT6yzc7SwJMV+J6PjJXJuyPvE3uBAfheiDLuudFEiTK0t1cWL7m/ScclAun8jxKA==" saltValue="dy6uJedBYUY5PkbR1XQmJQ==" spinCount="100000" sheet="1" formatCells="0" formatColumns="0" formatRows="0"/>
  <mergeCells count="6">
    <mergeCell ref="L92:L97"/>
    <mergeCell ref="L6:L14"/>
    <mergeCell ref="L16:L28"/>
    <mergeCell ref="L30:L53"/>
    <mergeCell ref="L55:L80"/>
    <mergeCell ref="L82:L90"/>
  </mergeCells>
  <conditionalFormatting sqref="A4:B4 D62:D165 A167:B167 D167 D169:D198">
    <cfRule type="expression" dxfId="8" priority="9">
      <formula>$C4&gt;""</formula>
    </cfRule>
  </conditionalFormatting>
  <conditionalFormatting sqref="D2:D4 D6:D56 D59:D60 A62:B62">
    <cfRule type="expression" dxfId="7" priority="10">
      <formula>$C2&gt;""</formula>
    </cfRule>
  </conditionalFormatting>
  <conditionalFormatting sqref="D210:D1048576">
    <cfRule type="expression" dxfId="6" priority="166">
      <formula>$B216&gt;""</formula>
    </cfRule>
  </conditionalFormatting>
  <conditionalFormatting sqref="F1:G1">
    <cfRule type="cellIs" dxfId="5" priority="3" operator="equal">
      <formula>TRUE</formula>
    </cfRule>
  </conditionalFormatting>
  <conditionalFormatting sqref="H3">
    <cfRule type="expression" dxfId="4" priority="4">
      <formula>$C3&gt;""</formula>
    </cfRule>
  </conditionalFormatting>
  <conditionalFormatting sqref="H4 J4">
    <cfRule type="expression" dxfId="3" priority="178">
      <formula>$I4&gt;""</formula>
    </cfRule>
  </conditionalFormatting>
  <conditionalFormatting sqref="J7">
    <cfRule type="expression" dxfId="2" priority="189">
      <formula>$I97&gt;""</formula>
    </cfRule>
  </conditionalFormatting>
  <conditionalFormatting sqref="L2:M2">
    <cfRule type="expression" dxfId="1" priority="1">
      <formula>$C2&gt;""</formula>
    </cfRule>
  </conditionalFormatting>
  <conditionalFormatting sqref="N27">
    <cfRule type="expression" dxfId="0" priority="190">
      <formula>$I96&gt;""</formula>
    </cfRule>
  </conditionalFormatting>
  <pageMargins left="0.7" right="0.7" top="0.75" bottom="0.75" header="0.3" footer="0.3"/>
  <pageSetup paperSize="9"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FA53-DA8E-44A9-A9F4-989A3D874120}">
  <dimension ref="A1:B20"/>
  <sheetViews>
    <sheetView showGridLines="0" tabSelected="1" topLeftCell="A5" zoomScale="115" zoomScaleNormal="115" workbookViewId="0">
      <selection activeCell="B6" sqref="B6"/>
    </sheetView>
  </sheetViews>
  <sheetFormatPr defaultColWidth="0" defaultRowHeight="14.35" x14ac:dyDescent="0.5"/>
  <cols>
    <col min="1" max="1" width="177.703125" customWidth="1"/>
    <col min="2" max="2" width="32.703125" customWidth="1"/>
    <col min="3" max="16384" width="99.52734375" hidden="1"/>
  </cols>
  <sheetData>
    <row r="1" spans="1:2" ht="54" customHeight="1" x14ac:dyDescent="0.5"/>
    <row r="2" spans="1:2" ht="54" customHeight="1" x14ac:dyDescent="0.5"/>
    <row r="3" spans="1:2" ht="54" customHeight="1" x14ac:dyDescent="0.5"/>
    <row r="4" spans="1:2" ht="15" x14ac:dyDescent="0.5">
      <c r="A4" s="160" t="s">
        <v>520</v>
      </c>
    </row>
    <row r="5" spans="1:2" ht="31.5" customHeight="1" x14ac:dyDescent="0.5">
      <c r="A5" s="161" t="str" cm="1">
        <f t="array" aca="1" ref="A5:A18" ca="1">+_xlfn._xlws.FILTER(Relazione!L3:L99,(Relazione!L3:L99)&gt;0)</f>
        <v>Alpha SPA</v>
      </c>
      <c r="B5" s="161"/>
    </row>
    <row r="6" spans="1:2" s="1" customFormat="1" ht="33" customHeight="1" x14ac:dyDescent="0.5">
      <c r="A6" s="167" t="str">
        <f ca="1"/>
        <v>Il requisito dell’organizzazione dell’impresa</v>
      </c>
    </row>
    <row r="7" spans="1:2" ht="208.35" customHeight="1" x14ac:dyDescent="0.5">
      <c r="A7" s="198" t="str">
        <f ca="1"/>
        <v>L’impresa dispone delle risorse chiave (umane e tecniche) per la conduzione dell’attività. Dispone infatti di tecnologie adeguate e l'organico risulta adeguato alle attività operative richieste per il raggiungimento degli obiettivi.
Da un punto di vista tecnico/economico, l’impresa dispone delle competenze necessarie per le iniziative industriali che l’imprenditore intende adottare. Ad oggi la capacità produttiva risulta adeguata e il management è in grado di affrontare le sfide previste dai piani aziendali e dal Budget.
Il sistema informativo aziendale prevede un adeguato sistema di monitoraggio continuo dell'andamento aziendale. L'azienda dispone di un ERP in cloud che consente accessi autorizzati e protetti. I ricavi sono costantemente monitorati. L'azienda ha predisposto un sistema di Business Intelligence collegato al gestionale aziendale che consente un monitoraggio in tempo reale Gli ordini sono costantemente monitorati. La posizione finanziaria netta non è costantemente monitorata. L'azienda predispone solo un conto economico periodico e non predisponendo lo stato patrimoniale non è in grado di analizzare periodicamente le variazioni della PFN. Tuttavia è in corso un miglioramento del sistema di scritture di assestamento inframensili che consentirà di completare le analisi mensili.
L'impresa non fa ancora ricorso a KPI che consentono valutazioni rapide e continue, è in grado di individuare gli indicatori di produttività coerenti con il proprio modello di business ed il proprio settore di attività, e di raccogliere ulteriori informazioni per la valutazione dell’andamento tendenziale. Per il momento l'azienda si limita ad utilizzare gli indicatori previsti dal sistema di qualità in quanto ritenuti adeguatamente informativi.
L'impresa non dispone di un piano di tesoreria a 12 mesi. Non è in grado di predisporre un prospetto delle stime delle entrate e delle uscite finanziare almeno a 13 settimane, il cui scostamento con l’andamento corrente dovrà essere valutato a consuntivo.</v>
      </c>
    </row>
    <row r="8" spans="1:2" s="1" customFormat="1" ht="29.6" customHeight="1" x14ac:dyDescent="0.5">
      <c r="A8" s="199" t="str">
        <f ca="1"/>
        <v>Rilevazione della situazione contabile e dell’andamento corrente</v>
      </c>
    </row>
    <row r="9" spans="1:2" s="20" customFormat="1" ht="181.35" x14ac:dyDescent="0.5">
      <c r="A9" s="57" t="str">
        <f ca="1"/>
        <v>È stata disposta una situazione contabile recante le rettifiche di competenza e gli assestamenti di chiusura, nel rispetto del principio contabile OIC 30. La situazione è da considerarsi affidabile per quanto concerne la corretta rappresentazione della situazione debitoria dell'impresa. Il maggior contabile dei cespiti è superiore al valore di realizzo e a quello di mercato. La funzione amministrativa dispone di un prospetto recante l’anzianità dei crediti commerciali e , non sono state analizzate le cause del ritardo di incasso tale da consentire una valutazione oggettiva dei rischi di perdite sui crediti e una stima prudente dei tempi di incasso. I crediti sono suddivisibili in base alla loro anzianità. Per gli scaduti che superano la fisiologia (tempi ordinari di pagamento, pur oltre la scadenza contrattuale, che caratterizzano il settore), la stima del momento dell’incasso non è da considerarsi sufficientemente prudente. È disponibile un prospetto recante le rimanenze di magazzino con i tempi di movimentazione che consenta di individuare le giacenze oggetto di lenta rotazione.
L'impresa non ha redatto un prospetto di riconciliazione tra la contabilità e quanto risultante dal certificato unico dei debiti tributari, dalla situazione debitoria complessiva dell’Agente della Riscossione. Ha redatto un prospetto di riconciliazione tra la contabilità e quanto risultante dal certificato unico dei debiti contributivi e assicurativi
La Centrale rischi di Banca D'Italia viene esaminata periodicamente e non riconciliata con la contabilità.
Il sistema di controllo dei rischi tiene conto anche delle passività potenziali.
Esistono rilevanti rischi per garanzie concesse a terzi.
L'organo di controllo o il revisore legale è composto da</v>
      </c>
    </row>
    <row r="10" spans="1:2" s="1" customFormat="1" ht="25.35" customHeight="1" x14ac:dyDescent="0.5">
      <c r="A10" s="163" t="str">
        <f ca="1"/>
        <v>Individuazione delle strategie di intervento atte a prevenire e rimuovere le cause della crisi</v>
      </c>
    </row>
    <row r="11" spans="1:2" s="20" customFormat="1" ht="25" customHeight="1" x14ac:dyDescent="0.5">
      <c r="A11" s="56" t="str">
        <f ca="1"/>
        <v>L’assetto contabile, amministrativo e contabile non ha rilevato elementi tali da far percepire uno stato di crisi o di squilibrio patrimoniale e/o economico finanziario. Per quanto concerne lo stato di crisi, lo squilibrio percepito è di carattere: economico, patrimoniale e finanziario.
Sono peggiorati rispetto all'anno precedente i seguenti indicatori: fatturato, margine di contribuzione, margine di contribuzione %, EBITDA, incidenza delle passività a breve, capitale circolante netto e posizione finanziaria netta. 
altro (specificare) Lo stato di crisi ha causato anomalie:
• da un punto di vista commerciale;
• nei rapporti con le banche;
• da un punto di vista gestionale. 
Da un punto di vista commerciale si sono verificati mancati rilevanti pagamenti a fornitori, significativa rinegoziazione delle condizioni di pagamento e altro (specificare). 
 Nei rapporti con le banche sono state rilevate aumento anomalo dei crediti impagati e altro (specificare). 
 Da un punto di vista gestionale si segnala la perdita di clienti o commesse importanti, comparsa di concorrenti ostili e/o nuovi entranti che rischiano di ridurre ulteriormente le quote di mercato e altro (specificare). 
 La situazione di difficoltà descritta ha causato un debito da ristrutturare (per mancati pagamenti e/o richieste di rientro) per fornitori di beni e servizi indispensabili e altro (specificare). 
 Sul lato delle iniziative dei creditori si segnalano decreti ingiuntivi ricevuti ed atti di ricognitivi di avvio di azioni per il recupero dei crediti e altro (specificare). 
 Tenuto conto delle manifestazioni, le cause sono: riduzione della redditività, riduzione della competività sul mercato e aumento dei costi operativi non trasferibile sui prezzi di vendita. L’organo di controllo ed il revisore, quando in carica, non ritengono che il quadro fornito dall’imprenditore sia completo e adeguato.
L'impresa ha individuato le strategie di intervento e le iniziative industriali che intende adottare.
Esistono strategie di successo adottate dalla concorrenza. Tali strategie sono adottabili dall'impresa. L’impresa non dispone delle capacità e delle competenze manageriali per realizzare le iniziative industriali. Per quanto concerne i tempi e gli effetti in termini di ricavi, di costi e di investimenti delle iniziative da adottare I tempi previsti per le iniziative industriali sono di 12 mesi, con effetti attesi su ricavi in lieve crescita e costi iniziali moderati.  Le relative funzioni aziendali responsabili sono Le funzioni responsabili sono l’area manageriale e il reparto operativo per l’implementazione..  Sono prospettabili iniziative alternative nel caso in cui le iniziative dovessero dimostrarsi inefficaci e si manifestassero scostamenti tra gli obiettivi pianificati e quelli raggiunti.
In precedenza sono stati predisposti ulteriori piani. Il piano è coerente con i piani redatti in precedenza e non vi sono differenze significative. Il piano appare credibile. È fondato su intenzioni strategiche chiare e razionali, condivisibili da parte di un lettore informato quale è l’esperto, coerenti con la situazione di fatto dell’impresa e del contesto in cui opera.
Le strategie di intervento e le iniziative industriali individuate dall’imprenditore appaiono appropriate per il superamento delle cause della crisi.</v>
      </c>
    </row>
    <row r="12" spans="1:2" s="1" customFormat="1" x14ac:dyDescent="0.5">
      <c r="A12" s="163" t="str">
        <f ca="1"/>
        <v>Le proiezioni dei flussi finanziari</v>
      </c>
    </row>
    <row r="13" spans="1:2" s="20" customFormat="1" ht="25" customHeight="1" x14ac:dyDescent="0.5">
      <c r="A13" s="56" t="str">
        <f ca="1"/>
        <v>La stima delle proiezioni dei flussi finanziari del piano è l'esito di un percorso che si dipana nelle seguenti fasi successive: stima dei ricavi,  stima dei costi variabili correlati ai ricavi,  stima dei costi fissi,  stima degli investimenti,  stima degli effetti delle iniziative industriali che si intendono intraprendere in discontinuità rispetto al passato,  verifica di coerenza dei dati economici prognostici,  stima del pagamento delle imposte sul reddito,  declinazione finanziaria delle grandezze economiche e determinazione dei flussi al servizio del debito,  declinazione patrimoniale muovendo dalla situazione contabile di partenza e  altro (specificare). 
Le proiezioni fondate su previsioni coprono un periodo massimo di 5 anni.
I ricavi sono stati stimati nel seguente modo: Indicare la stima dei ricavi.  Le proiezioni dei ricavi sono coerenti con i dati storici e quelli correnti. Le variazioni dei ricavi prospettici rispetto al dato corrente dell’esercizio in corso sono state giustificate in maniera adeguata. Le variazioni dei ricavi del piano sono state confrontate con le prospettive del settore.
La metodologia di stima dei costi variabili correlati ai ricavi e dei costi fissi è la seguente: Indicare la metodologia di stima dei costi variabili e dei costi fissi.  La stima dei costi variabili e dei costi di struttura è coerente con la situazione in atto e con i dati storici. I risparmi dei costi variabili e fissi sono: i risparmi previsti derivano dall’efficientamento dei processi produttivi, stimati in una riduzione del 7% dei costi variabili..  I possibili rischi che derivano dai risparmi di costo: i risparmi previsti derivano dall’efficientamento dei processi produttivi, stimati in una riduzione del 7% dei costi variabili.. 
La metodologia di stima degli investimenti è la seguente: Indicare la metodologia di stima degli investimenti. 
La società non svolge più attività.
Il piano tiene conto in misura adeguata degli investimenti di mantenimento occorrenti.
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La  stima degli effetti di tali iniziative (in termini di investimenti, ricavi e costi) è coerente con le informazioni disponibili ed è ritenuta giustificata dalle diverse funzioni aziendali.
I dati economici prognostici sono coerenti.
È stata svolta una verifica di ragionevolezza della redditività prospettica quale risulta dai paragrafi precedenti. La redditività ed i principali indicatori chiave gestionali (KPI) prospettici sono coerenti con l’andamento storico. Non è giustificata ogni differenza tra l’incidenza del margine operativo lordo sui ricavi ed i benchmark di mercato disponibili. Non sono previste operazioni straordinarie.
Non è stata prevista la dismissione di cespiti d'investimento.
Non è stato stimato il pagamento delle imposte sul reddito.
Nella stima del pagamento delle imposte si è tenuto conto dell’effetto delle perdite fiscali a nuovo e del periodo di imputazione fiscale dei costi e dei ricavi.
Non è presente declinazione finanziaria delle grandezze economiche e determinazione dei flussi al servizio del debito.
La determinazione dei flussi finanziari al servizio del debito è stata effettuata muovendo dai dati economici. Essa ha avuto luogo:
•  Attraverso il ciclo di conversione in flussi di cassa che tiene conto dei tempi di incasso dei ricavi, di pagamento dei costi e di rigiro del magazzino. 
•  Deducendo dai flussi così determinati gli investimenti previsti (sia quelli di mantenimento che quelli relativi alle iniziative industriali) e il pagamento delle imposte.  Aggiungere eventuali commenti. 
•  Per semplicità le micro e le piccole imprese possono ricorrere alle sole grandezze economiche senza convertirle in flussi di cassa. L'impresa è considerata tra le micro e piccole imprese.  L'impresa ha verificato che l’ammontare degli investimenti di mantenimento sia adeguatamente espresso dagli ammortamenti (portando una rettifica in caso contrario).  L'impresa ha considerato l’effetto delle iniziative industriali previste. 
L'impresa ha determinato le grandezze patrimoniali.
Su di esse si innestano le poposte alle parti interessate e viene calcolata la stima dell’andamento del patrimonio netto al termine dei singoli anni del piano.</v>
      </c>
    </row>
    <row r="14" spans="1:2" s="1" customFormat="1" ht="409" customHeight="1" x14ac:dyDescent="0.5">
      <c r="A14" s="163" t="str">
        <f ca="1"/>
        <v>Il risanamento del debito</v>
      </c>
    </row>
    <row r="15" spans="1:2" s="20" customFormat="1" ht="25" customHeight="1" x14ac:dyDescent="0.5">
      <c r="A15" s="56" t="str">
        <f ca="1"/>
        <v>L’impresa è in grado in futuro di generare risorse al servizio del debito. Il risultato delle proiezioni finanziarie tende ad essere negativo.
Il piano non tiene conto, anche attraverso prove di resistenza (stress test), dei fattori di rischio e di incertezza ai quali è maggiormente esposta l’impresa. I test effettuati sono coerenti con i rischi emersi ad esito dell’intervista delle diverse funzioni aziendali avendo comunque riguardo alle prospettive di mercato.
La generazione di flussi positivi al servizio del debito non dipende solo dalle iniziative industriali.
Le proposte non consentono, in via prognostica, il rispetto del minimo legale del capitale sociale al momento della conclusione dell’accordo, fatte salve le disposizioni speciali.</v>
      </c>
    </row>
    <row r="16" spans="1:2" s="1" customFormat="1" ht="98.25" customHeight="1" x14ac:dyDescent="0.5">
      <c r="A16" s="163" t="str">
        <f ca="1"/>
        <v>In caso di gruppi di imprese</v>
      </c>
    </row>
    <row r="17" spans="1:1" s="20" customFormat="1" ht="18.75" customHeight="1" x14ac:dyDescent="0.5">
      <c r="A17" s="56" t="str">
        <f ca="1"/>
        <v>Il piano è redatto per le singole imprese.
Il piano non dà evidenza dei rapporti economici, finanziari e patrimoniali infragruppo.
Non vi sono altre imprese del gruppo che presentano difficoltà economico-finanziarie o patrimoniali? 
Le operazioni infragruppo previste nel piano non possono arrecare un pregiudizio per i creditori di un’altra impresa del gruppo.</v>
      </c>
    </row>
    <row r="18" spans="1:1" ht="144.75" customHeight="1" x14ac:dyDescent="0.5">
      <c r="A18" s="165" t="str">
        <f ca="1"/>
        <v>_________________________________</v>
      </c>
    </row>
    <row r="19" spans="1:1" ht="105" customHeight="1" x14ac:dyDescent="0.5">
      <c r="A19" s="169"/>
    </row>
    <row r="20" spans="1:1" ht="35.25" customHeight="1" x14ac:dyDescent="0.5">
      <c r="A20" s="164"/>
    </row>
  </sheetData>
  <sheetProtection algorithmName="SHA-512" hashValue="rKGvlOeqxkPBH6t5YeRvLeYczspDJ5mQmqpH5wKoHudHyY3yt2hrBDCSCFoyDP9v1bVpBrOW+9y+B3qlU+mXJg==" saltValue="pyzIr2dCRMuR+hTrP0EXQQ==" spinCount="100000" sheet="1" formatCells="0" formatColumns="0" formatRows="0"/>
  <pageMargins left="0.7" right="0.7" top="0.75" bottom="0.75" header="0.3" footer="0.3"/>
  <pageSetup paperSize="9" orientation="portrait" horizontalDpi="200"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9B2E99503D3AD4DA2231F0D240043DD" ma:contentTypeVersion="18" ma:contentTypeDescription="Creare un nuovo documento." ma:contentTypeScope="" ma:versionID="57b8045e8abefa85dedc7991371a38b2">
  <xsd:schema xmlns:xsd="http://www.w3.org/2001/XMLSchema" xmlns:xs="http://www.w3.org/2001/XMLSchema" xmlns:p="http://schemas.microsoft.com/office/2006/metadata/properties" xmlns:ns2="77a3f60d-3740-4b8f-aea2-18b203205ead" xmlns:ns3="6c014026-a0ef-45dc-9ca9-ac355db24e99" targetNamespace="http://schemas.microsoft.com/office/2006/metadata/properties" ma:root="true" ma:fieldsID="f5ecd2ee382a35af39c71524ba84a011" ns2:_="" ns3:_="">
    <xsd:import namespace="77a3f60d-3740-4b8f-aea2-18b203205ead"/>
    <xsd:import namespace="6c014026-a0ef-45dc-9ca9-ac355db24e9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3f60d-3740-4b8f-aea2-18b203205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bbff36a2-fd21-4e1e-a182-03a870c089d7"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014026-a0ef-45dc-9ca9-ac355db24e99" elementFormDefault="qualified">
    <xsd:import namespace="http://schemas.microsoft.com/office/2006/documentManagement/types"/>
    <xsd:import namespace="http://schemas.microsoft.com/office/infopath/2007/PartnerControls"/>
    <xsd:element name="SharedWithUsers" ma:index="1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8c17ed12-4c7d-4ce0-86b8-91d9357e9166}" ma:internalName="TaxCatchAll" ma:showField="CatchAllData" ma:web="6c014026-a0ef-45dc-9ca9-ac355db24e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c014026-a0ef-45dc-9ca9-ac355db24e99" xsi:nil="true"/>
    <lcf76f155ced4ddcb4097134ff3c332f xmlns="77a3f60d-3740-4b8f-aea2-18b203205ead">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DD2AABAA-CC77-4FDE-93CD-C054D2E932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a3f60d-3740-4b8f-aea2-18b203205ead"/>
    <ds:schemaRef ds:uri="6c014026-a0ef-45dc-9ca9-ac355db24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190B15-F6C1-467F-AF57-11D64E7257E6}">
  <ds:schemaRefs>
    <ds:schemaRef ds:uri="http://schemas.microsoft.com/sharepoint/v3/contenttype/forms"/>
  </ds:schemaRefs>
</ds:datastoreItem>
</file>

<file path=customXml/itemProps3.xml><?xml version="1.0" encoding="utf-8"?>
<ds:datastoreItem xmlns:ds="http://schemas.openxmlformats.org/officeDocument/2006/customXml" ds:itemID="{ECA1B038-8706-4EFF-BC5A-96D78D884455}">
  <ds:schemaRefs>
    <ds:schemaRef ds:uri="http://purl.org/dc/elements/1.1/"/>
    <ds:schemaRef ds:uri="http://www.w3.org/XML/1998/namespace"/>
    <ds:schemaRef ds:uri="6c014026-a0ef-45dc-9ca9-ac355db24e99"/>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77a3f60d-3740-4b8f-aea2-18b203205ead"/>
    <ds:schemaRef ds:uri="http://purl.org/dc/dcmitype/"/>
    <ds:schemaRef ds:uri="http://purl.org/dc/terms/"/>
  </ds:schemaRefs>
</ds:datastoreItem>
</file>

<file path=customXml/itemProps4.xml><?xml version="1.0" encoding="utf-8"?>
<ds:datastoreItem xmlns:ds="http://schemas.openxmlformats.org/officeDocument/2006/customXml" ds:itemID="{886A38CA-65E3-42D8-8B2A-2920D4B8F2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6</vt:i4>
      </vt:variant>
      <vt:variant>
        <vt:lpstr>Intervalli denominati</vt:lpstr>
      </vt:variant>
      <vt:variant>
        <vt:i4>3</vt:i4>
      </vt:variant>
    </vt:vector>
  </HeadingPairs>
  <TitlesOfParts>
    <vt:vector size="9" baseType="lpstr">
      <vt:lpstr>Check list</vt:lpstr>
      <vt:lpstr>SEZIONI 1-2</vt:lpstr>
      <vt:lpstr>SEZIONI 3-4</vt:lpstr>
      <vt:lpstr>SEZIONI 5-6</vt:lpstr>
      <vt:lpstr>Relazione</vt:lpstr>
      <vt:lpstr>Relazione Compatta (solo 365)</vt:lpstr>
      <vt:lpstr>Relazione!Area_stampa</vt:lpstr>
      <vt:lpstr>'Relazione Compatta (solo 365)'!Area_stampa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Pastore</dc:creator>
  <cp:lastModifiedBy>Alessandro Mattavelli</cp:lastModifiedBy>
  <cp:lastPrinted>2023-06-09T13:16:40Z</cp:lastPrinted>
  <dcterms:created xsi:type="dcterms:W3CDTF">2023-04-11T15:21:13Z</dcterms:created>
  <dcterms:modified xsi:type="dcterms:W3CDTF">2024-12-01T11:34:36Z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0x01010049B2E99503D3AD4DA2231F0D240043DD</vt:lpwstr>
  </property>
  <property fmtid="{D5CDD505-2E9C-101B-9397-08002B2CF9AE}" pid="3" name="MediaServiceImageTags">
    <vt:lpwstr/>
  </property>
</Properties>
</file>