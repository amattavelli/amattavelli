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18 - Scomposizione ROE/"/>
    </mc:Choice>
  </mc:AlternateContent>
  <xr:revisionPtr revIDLastSave="3" documentId="8_{49205578-4B6B-45F6-A802-64484932D567}" xr6:coauthVersionLast="47" xr6:coauthVersionMax="47" xr10:uidLastSave="{0BEC91A2-7A55-470B-94E7-66B1A02A5D60}"/>
  <bookViews>
    <workbookView xWindow="-28920" yWindow="-120" windowWidth="29040" windowHeight="15720" activeTab="3" xr2:uid="{00000000-000D-0000-FFFF-FFFF00000000}"/>
  </bookViews>
  <sheets>
    <sheet name="SP" sheetId="2" r:id="rId1"/>
    <sheet name="CE" sheetId="3" r:id="rId2"/>
    <sheet name="CE ricl. e ROE" sheetId="4" r:id="rId3"/>
    <sheet name="ROE" sheetId="6" r:id="rId4"/>
  </sheets>
  <externalReferences>
    <externalReference r:id="rId5"/>
  </externalReferences>
  <definedNames>
    <definedName name="_xlnm._FilterDatabase" localSheetId="1" hidden="1">CE!$B$7:$E$32</definedName>
    <definedName name="_xlnm._FilterDatabase" localSheetId="0" hidden="1">SP!$A$11:$D$34</definedName>
    <definedName name="anscount" hidden="1">1</definedName>
    <definedName name="Bi">[1]COEFFICIENTI!$U$40:$Z$55</definedName>
    <definedName name="CE">CE!$B$7:$E$32</definedName>
    <definedName name="CE01.">CE!A$8</definedName>
    <definedName name="CE01T.">CE!A$34</definedName>
    <definedName name="CE02.">CE!A$9</definedName>
    <definedName name="CE03.">CE!A$10</definedName>
    <definedName name="CE04.">CE!A$11</definedName>
    <definedName name="CE05.">CE!A$12</definedName>
    <definedName name="CE06.">CE!A$13</definedName>
    <definedName name="CE06T.">CE!A$35</definedName>
    <definedName name="CE07.">CE!A$14</definedName>
    <definedName name="CE08.">CE!A$15</definedName>
    <definedName name="CE09.">CE!A$16</definedName>
    <definedName name="CE10.">CE!A$17</definedName>
    <definedName name="CE11.">CE!A$18</definedName>
    <definedName name="CE12.">CE!A$19</definedName>
    <definedName name="CE13.">CE!A$20</definedName>
    <definedName name="CE14.">CE!A$21</definedName>
    <definedName name="CE15.">CE!A$22</definedName>
    <definedName name="CE16.">CE!A$23</definedName>
    <definedName name="CE17.">CE!A$24</definedName>
    <definedName name="CE18.">CE!A$25</definedName>
    <definedName name="CE19.">CE!A$26</definedName>
    <definedName name="CE20.">CE!A$27</definedName>
    <definedName name="CE21.">CE!A$28</definedName>
    <definedName name="CE22.">CE!A$29</definedName>
    <definedName name="CE23.">CE!A$30</definedName>
    <definedName name="CE24.">CE!A$31</definedName>
    <definedName name="CE25.">CE!A$32</definedName>
    <definedName name="LEASING" localSheetId="3" hidden="1">{#N/A,#N/A,TRUE,"Attivo";#N/A,#N/A,TRUE,"Passivo";#N/A,#N/A,TRUE,"Conto Economico"}</definedName>
    <definedName name="LEASING" hidden="1">{#N/A,#N/A,TRUE,"Attivo";#N/A,#N/A,TRUE,"Passivo";#N/A,#N/A,TRUE,"Conto Economico"}</definedName>
    <definedName name="SP">SP!$A$11:$D$34</definedName>
    <definedName name="SP01.">SP!A$12</definedName>
    <definedName name="SP02.">SP!A$13</definedName>
    <definedName name="SP03.">SP!A$14</definedName>
    <definedName name="SP04.">SP!A$15</definedName>
    <definedName name="SP05.">SP!A$16</definedName>
    <definedName name="SP06.">SP!A$17</definedName>
    <definedName name="SP07.">SP!A$18</definedName>
    <definedName name="SP08.">SP!A$19</definedName>
    <definedName name="SP09.">SP!A$20</definedName>
    <definedName name="SP10.">SP!A$21</definedName>
    <definedName name="SP11.">SP!A$22</definedName>
    <definedName name="SP12.">SP!A$23</definedName>
    <definedName name="SP13.">SP!A$24</definedName>
    <definedName name="SP14.">SP!A$25</definedName>
    <definedName name="SP15.">SP!A$26</definedName>
    <definedName name="SP16.">SP!A$27</definedName>
    <definedName name="SP17.">SP!A$28</definedName>
    <definedName name="SP18.">SP!A$29</definedName>
    <definedName name="SP19.">SP!A$30</definedName>
    <definedName name="SP20.">SP!A$31</definedName>
    <definedName name="SP21.">SP!A$32</definedName>
    <definedName name="SP22.">SP!A$33</definedName>
    <definedName name="SP23.">SP!A$34</definedName>
    <definedName name="w" localSheetId="3" hidden="1">{#N/A,#N/A,TRUE,"Attivo";#N/A,#N/A,TRUE,"Passivo";#N/A,#N/A,TRUE,"Conto Economico"}</definedName>
    <definedName name="w" hidden="1">{#N/A,#N/A,TRUE,"Attivo";#N/A,#N/A,TRUE,"Passivo";#N/A,#N/A,TRUE,"Conto Economico"}</definedName>
    <definedName name="wrn.Bilancio." localSheetId="3" hidden="1">{#N/A,#N/A,TRUE,"Attivo";#N/A,#N/A,TRUE,"Passivo";#N/A,#N/A,TRUE,"Conto Economico"}</definedName>
    <definedName name="wrn.Bilancio." hidden="1">{#N/A,#N/A,TRUE,"Attivo";#N/A,#N/A,TRUE,"Passivo";#N/A,#N/A,TRUE,"Conto Economico"}</definedName>
    <definedName name="wrn.Bracco." localSheetId="3" hidden="1">{"Bracco_Ce",#N/A,FALSE,"BRACCO_8";"Bracco_SP",#N/A,FALSE,"BRACCO_8";"Bracco_DF",#N/A,FALSE,"BRACCO_8";"Bracco_IB",#N/A,FALSE,"BRACCO_8"}</definedName>
    <definedName name="wrn.Bracco." hidden="1">{"Bracco_Ce",#N/A,FALSE,"BRACCO_8";"Bracco_SP",#N/A,FALSE,"BRACCO_8";"Bracco_DF",#N/A,FALSE,"BRACCO_8";"Bracco_IB",#N/A,FALSE,"BRACCO_8"}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7" i="4" l="1"/>
  <c r="R47" i="4"/>
  <c r="E58" i="3"/>
  <c r="E56" i="3"/>
  <c r="D58" i="3"/>
  <c r="D56" i="3"/>
  <c r="E55" i="3"/>
  <c r="D55" i="3"/>
  <c r="E57" i="3"/>
  <c r="D57" i="3"/>
  <c r="E54" i="3"/>
  <c r="D54" i="3"/>
  <c r="E52" i="3"/>
  <c r="D52" i="3"/>
  <c r="E53" i="3"/>
  <c r="D53" i="3"/>
  <c r="E50" i="3"/>
  <c r="D50" i="3"/>
  <c r="E49" i="3"/>
  <c r="D49" i="3"/>
  <c r="B48" i="3"/>
  <c r="C48" i="3"/>
  <c r="D48" i="3"/>
  <c r="E48" i="3"/>
  <c r="E47" i="3"/>
  <c r="D47" i="3"/>
  <c r="E46" i="3"/>
  <c r="D46" i="3"/>
  <c r="E41" i="3"/>
  <c r="E43" i="3"/>
  <c r="E42" i="3"/>
  <c r="D44" i="3"/>
  <c r="D43" i="3"/>
  <c r="D42" i="3"/>
  <c r="D41" i="3"/>
  <c r="E39" i="3"/>
  <c r="D39" i="3"/>
  <c r="E38" i="3"/>
  <c r="D38" i="3"/>
  <c r="S3" i="4"/>
  <c r="R3" i="4"/>
  <c r="E32" i="3"/>
  <c r="D32" i="2"/>
  <c r="D20" i="2"/>
  <c r="C20" i="2"/>
  <c r="E13" i="3"/>
  <c r="C16" i="2"/>
  <c r="S2" i="4"/>
  <c r="R2" i="4"/>
  <c r="D11" i="2"/>
  <c r="C11" i="2"/>
  <c r="E44" i="3" l="1"/>
  <c r="E7" i="3"/>
  <c r="AY11" i="6" s="1"/>
  <c r="AZ46" i="6" s="1"/>
  <c r="D7" i="3"/>
  <c r="AY8" i="6" s="1"/>
  <c r="I12" i="3" l="1"/>
  <c r="H17" i="3"/>
  <c r="H12" i="3"/>
  <c r="I17" i="3"/>
  <c r="CF43" i="6" l="1"/>
  <c r="AZ43" i="6"/>
  <c r="DT43" i="6"/>
  <c r="CF46" i="6"/>
  <c r="DT46" i="6"/>
  <c r="AV18" i="6"/>
  <c r="CM30" i="6"/>
  <c r="BA30" i="6"/>
  <c r="R30" i="6"/>
  <c r="Q21" i="6"/>
  <c r="CM33" i="6"/>
  <c r="R33" i="6"/>
  <c r="BA33" i="6"/>
  <c r="Q18" i="6"/>
  <c r="BZ18" i="6"/>
  <c r="AV21" i="6"/>
  <c r="BZ21" i="6"/>
  <c r="D19" i="4"/>
  <c r="C19" i="4"/>
  <c r="I21" i="3"/>
  <c r="H21" i="3"/>
  <c r="D20" i="4" l="1"/>
  <c r="R34" i="6" s="1"/>
  <c r="C20" i="4"/>
  <c r="R31" i="6" s="1"/>
  <c r="D4" i="4"/>
  <c r="C4" i="4"/>
  <c r="D17" i="4"/>
  <c r="C17" i="4"/>
  <c r="D14" i="4"/>
  <c r="C14" i="4"/>
  <c r="D5" i="4"/>
  <c r="C5" i="4"/>
  <c r="D3" i="4"/>
  <c r="C7" i="4"/>
  <c r="C3" i="4"/>
  <c r="D13" i="3"/>
  <c r="C23" i="2"/>
  <c r="C25" i="2" s="1"/>
  <c r="H15" i="3"/>
  <c r="D16" i="2"/>
  <c r="D23" i="2"/>
  <c r="D20" i="3"/>
  <c r="E20" i="3"/>
  <c r="I15" i="3"/>
  <c r="R37" i="4" l="1"/>
  <c r="D25" i="2"/>
  <c r="S38" i="4" s="1"/>
  <c r="CF47" i="6"/>
  <c r="CF44" i="6"/>
  <c r="C15" i="4"/>
  <c r="D15" i="4"/>
  <c r="E25" i="3"/>
  <c r="E30" i="3" s="1"/>
  <c r="D25" i="3"/>
  <c r="D30" i="3" s="1"/>
  <c r="D7" i="4"/>
  <c r="D6" i="4"/>
  <c r="C6" i="4"/>
  <c r="R38" i="4"/>
  <c r="S37" i="4" l="1"/>
  <c r="C32" i="2"/>
  <c r="R17" i="4"/>
  <c r="AV19" i="6" s="1"/>
  <c r="AZ44" i="6"/>
  <c r="U17" i="4"/>
  <c r="AZ47" i="6"/>
  <c r="S17" i="4"/>
  <c r="AV22" i="6" s="1"/>
  <c r="BA31" i="6"/>
  <c r="BA34" i="6"/>
  <c r="D12" i="4"/>
  <c r="D8" i="4"/>
  <c r="C12" i="4"/>
  <c r="C8" i="4"/>
  <c r="D22" i="4"/>
  <c r="D32" i="3"/>
  <c r="C22" i="4"/>
  <c r="D9" i="4"/>
  <c r="C9" i="4"/>
  <c r="D34" i="2" l="1"/>
  <c r="C34" i="2"/>
  <c r="C10" i="4"/>
  <c r="C11" i="4" s="1"/>
  <c r="C13" i="4" s="1"/>
  <c r="D10" i="4"/>
  <c r="D11" i="4" s="1"/>
  <c r="D13" i="4" s="1"/>
  <c r="R26" i="4" l="1"/>
  <c r="U15" i="4"/>
  <c r="C16" i="4"/>
  <c r="C18" i="4" s="1"/>
  <c r="R13" i="4"/>
  <c r="S26" i="4"/>
  <c r="S13" i="4"/>
  <c r="D16" i="4"/>
  <c r="D18" i="4" s="1"/>
  <c r="S15" i="4" s="1"/>
  <c r="R24" i="4" l="1"/>
  <c r="R22" i="4" s="1"/>
  <c r="R15" i="4"/>
  <c r="S44" i="4"/>
  <c r="BZ22" i="6"/>
  <c r="R11" i="4"/>
  <c r="C21" i="4"/>
  <c r="S24" i="4"/>
  <c r="S11" i="4"/>
  <c r="D21" i="4"/>
  <c r="R44" i="4" l="1"/>
  <c r="BZ19" i="6"/>
  <c r="S46" i="4"/>
  <c r="S43" i="4" s="1"/>
  <c r="C23" i="4"/>
  <c r="R48" i="4"/>
  <c r="D23" i="4"/>
  <c r="S36" i="4" s="1"/>
  <c r="S35" i="4" s="1"/>
  <c r="S48" i="4"/>
  <c r="CM34" i="6"/>
  <c r="S19" i="4"/>
  <c r="DT47" i="6"/>
  <c r="R9" i="4"/>
  <c r="D24" i="4"/>
  <c r="S22" i="4"/>
  <c r="S9" i="4"/>
  <c r="R46" i="4" l="1"/>
  <c r="R43" i="4" s="1"/>
  <c r="R36" i="4"/>
  <c r="R35" i="4" s="1"/>
  <c r="U19" i="4"/>
  <c r="CM31" i="6"/>
  <c r="U4" i="4"/>
  <c r="R19" i="4"/>
  <c r="Q19" i="6" s="1"/>
  <c r="C24" i="4"/>
  <c r="DT44" i="6"/>
  <c r="Q22" i="6"/>
  <c r="R7" i="4"/>
  <c r="S7" i="4"/>
  <c r="S4" i="4" s="1"/>
  <c r="R4" i="4" l="1"/>
  <c r="AY12" i="6"/>
  <c r="V4" i="4" l="1"/>
  <c r="AY9" i="6"/>
</calcChain>
</file>

<file path=xl/sharedStrings.xml><?xml version="1.0" encoding="utf-8"?>
<sst xmlns="http://schemas.openxmlformats.org/spreadsheetml/2006/main" count="199" uniqueCount="188">
  <si>
    <t>CODICE</t>
  </si>
  <si>
    <t>DESCRIZIONE</t>
  </si>
  <si>
    <t>SP01</t>
  </si>
  <si>
    <t>Crediti verso soci per versamenti ancora dovuti</t>
  </si>
  <si>
    <t>SP02</t>
  </si>
  <si>
    <t>Totale immobilizzazioni immateriali</t>
  </si>
  <si>
    <t>SP03</t>
  </si>
  <si>
    <t>Totale immobilizzazioni materiali</t>
  </si>
  <si>
    <t>SP04</t>
  </si>
  <si>
    <t>Totale immobilizzazioni finanziarie</t>
  </si>
  <si>
    <t>SP05</t>
  </si>
  <si>
    <t>Totale Immobilizzazioni</t>
  </si>
  <si>
    <t>SP06</t>
  </si>
  <si>
    <t>Totale rimanenze</t>
  </si>
  <si>
    <t>SP07</t>
  </si>
  <si>
    <t>Crediti esigibili entro l'esercizio successivo</t>
  </si>
  <si>
    <t>SP08</t>
  </si>
  <si>
    <t>Crediti esigibili oltre l'esercizio successivo</t>
  </si>
  <si>
    <t>SP09</t>
  </si>
  <si>
    <t>Totale Crediti</t>
  </si>
  <si>
    <t>SP10</t>
  </si>
  <si>
    <t>Attività finanziarie che non costituiscono immobilizzazioni</t>
  </si>
  <si>
    <t>SP11</t>
  </si>
  <si>
    <t>Disponibilità liquide</t>
  </si>
  <si>
    <t>SP12</t>
  </si>
  <si>
    <t>Totale attivo circolante</t>
  </si>
  <si>
    <t>SP13</t>
  </si>
  <si>
    <t>Totale ratei e risconti</t>
  </si>
  <si>
    <t>SP14</t>
  </si>
  <si>
    <t>Totale Attivo</t>
  </si>
  <si>
    <t>SP15</t>
  </si>
  <si>
    <t>Patrimonio netto</t>
  </si>
  <si>
    <t>SP16</t>
  </si>
  <si>
    <t>Di cui Utile (Perdita) di esercizio</t>
  </si>
  <si>
    <t>SP17</t>
  </si>
  <si>
    <t>Totale fondi per rischi e oneri</t>
  </si>
  <si>
    <t>SP18</t>
  </si>
  <si>
    <t>Trattamento di fine rapporto di lavoro subordinato</t>
  </si>
  <si>
    <t>SP19</t>
  </si>
  <si>
    <t>Debiti esigibili entro l'esercizio successivo</t>
  </si>
  <si>
    <t>SP20</t>
  </si>
  <si>
    <t>Debiti esigibili oltre l'esercizio successivo</t>
  </si>
  <si>
    <t>SP21</t>
  </si>
  <si>
    <t>Totale debiti</t>
  </si>
  <si>
    <t>SP22</t>
  </si>
  <si>
    <t>SP23</t>
  </si>
  <si>
    <t>Totale Passivo</t>
  </si>
  <si>
    <t>CE04</t>
  </si>
  <si>
    <t>Incrementi di immobilizzazioni per lavori interni</t>
  </si>
  <si>
    <t>CE05</t>
  </si>
  <si>
    <t>Totale altri ricavi e proventi</t>
  </si>
  <si>
    <t>CE06</t>
  </si>
  <si>
    <t>Totale valore della produzione</t>
  </si>
  <si>
    <t>CE07</t>
  </si>
  <si>
    <t>Costi per materie prime, sussidiarie, di consumo e di merci</t>
  </si>
  <si>
    <t>CE08</t>
  </si>
  <si>
    <t>Costi per servizi</t>
  </si>
  <si>
    <t>CE09</t>
  </si>
  <si>
    <t>Costi per godimento di beni di terzi</t>
  </si>
  <si>
    <t>CE10</t>
  </si>
  <si>
    <t>Totale costi per il personale</t>
  </si>
  <si>
    <t>CE11</t>
  </si>
  <si>
    <t>Ammortamento delle immobilizzazioni immateriali</t>
  </si>
  <si>
    <t>CE12</t>
  </si>
  <si>
    <t>Ammortamento delle immobilizzazioni materiali</t>
  </si>
  <si>
    <t>CE13</t>
  </si>
  <si>
    <t>Totale ammortamenti e svalutazioni</t>
  </si>
  <si>
    <t>CE14</t>
  </si>
  <si>
    <t>CE15</t>
  </si>
  <si>
    <t>Accantonamento per rischi</t>
  </si>
  <si>
    <t>CE16</t>
  </si>
  <si>
    <t>Altri accantonamenti</t>
  </si>
  <si>
    <t>CE17</t>
  </si>
  <si>
    <t>Oneri diversi di gestione</t>
  </si>
  <si>
    <t>CE18</t>
  </si>
  <si>
    <t>Totale costi della produzione</t>
  </si>
  <si>
    <t>CE19</t>
  </si>
  <si>
    <t>Totale interessi e altri oneri finanziari</t>
  </si>
  <si>
    <t>CE20</t>
  </si>
  <si>
    <t>Totale proventi e oneri finanziari</t>
  </si>
  <si>
    <t>CE21</t>
  </si>
  <si>
    <t>Totale delle rettifiche di valore di attività finanziarie</t>
  </si>
  <si>
    <t>CE22</t>
  </si>
  <si>
    <t>Totale delle partite straordinarie</t>
  </si>
  <si>
    <t>CE23</t>
  </si>
  <si>
    <t>Risultato prima delle imposte</t>
  </si>
  <si>
    <t>CE24</t>
  </si>
  <si>
    <t>Totale delle imposte sul reddito dell'esercizio, correnti, differite e anticipate</t>
  </si>
  <si>
    <t>CE25</t>
  </si>
  <si>
    <t>Utile (perdita) di esercizio</t>
  </si>
  <si>
    <t>CE01 t-1</t>
  </si>
  <si>
    <t>Totale valore della produzione anno precedente</t>
  </si>
  <si>
    <t>CE06 t-1</t>
  </si>
  <si>
    <t>CONTO ECONOMICO RICLASSIFICATO</t>
  </si>
  <si>
    <t>cursore</t>
  </si>
  <si>
    <t>Descrizione</t>
  </si>
  <si>
    <t>1+2+3=A</t>
  </si>
  <si>
    <t>Vendite</t>
  </si>
  <si>
    <t>Delta rimanenze PF e SML</t>
  </si>
  <si>
    <t>Altri ricavi operativi</t>
  </si>
  <si>
    <t>Valore della produzione</t>
  </si>
  <si>
    <t>Costo delle MP</t>
  </si>
  <si>
    <t>Altri costi di produzione</t>
  </si>
  <si>
    <t>Costi del personale di produzione</t>
  </si>
  <si>
    <t>4+5+6=B</t>
  </si>
  <si>
    <t>A-B=C</t>
  </si>
  <si>
    <t>Margine industriale</t>
  </si>
  <si>
    <t>Costi variabili di vendita</t>
  </si>
  <si>
    <t>C-7=D</t>
  </si>
  <si>
    <t>Margine lordo</t>
  </si>
  <si>
    <t>Costi del personale G&amp;A</t>
  </si>
  <si>
    <t>Altri costi del personale</t>
  </si>
  <si>
    <t>D-8-9=E</t>
  </si>
  <si>
    <t>Margine operativo lordo (MOL)</t>
  </si>
  <si>
    <t>E-10=F</t>
  </si>
  <si>
    <t>Reddito operativo</t>
  </si>
  <si>
    <t>Altri ricavi (spese) straordinarie</t>
  </si>
  <si>
    <t>Ricavi (oneri) finanziari</t>
  </si>
  <si>
    <t>F+11+12=G</t>
  </si>
  <si>
    <t>Imposte</t>
  </si>
  <si>
    <t>G-13=H</t>
  </si>
  <si>
    <t>Utile (perdita) ante imposte</t>
  </si>
  <si>
    <t>Utile (perdita) netto</t>
  </si>
  <si>
    <t>Dettaglio costi del personale</t>
  </si>
  <si>
    <t>Dettaglio costi per servizi</t>
  </si>
  <si>
    <t>Altri servizi</t>
  </si>
  <si>
    <t>Ammortamenti e svalutazioni</t>
  </si>
  <si>
    <t>Check must be zero</t>
  </si>
  <si>
    <t>CE01</t>
  </si>
  <si>
    <t>Ricavi delle vendite e delle prestazioni</t>
  </si>
  <si>
    <t>CE02</t>
  </si>
  <si>
    <t>CE03</t>
  </si>
  <si>
    <t>Variazione dei lavori in corso su ordinazione</t>
  </si>
  <si>
    <t>EBITDA</t>
  </si>
  <si>
    <t xml:space="preserve">EBIT   </t>
  </si>
  <si>
    <t xml:space="preserve">EBT   </t>
  </si>
  <si>
    <t>NET PROFIT</t>
  </si>
  <si>
    <t>ROE = RN/CN = RO/TA * TA/CN * RN/RO</t>
  </si>
  <si>
    <t>Gross profit</t>
  </si>
  <si>
    <t>RO/TA = ROA ovvero Return On Assets</t>
  </si>
  <si>
    <t>ROA = Operating profit margin * Turnover ratio</t>
  </si>
  <si>
    <t>Operating profit margin = (Net income + Interest expense) / Gross revenue</t>
  </si>
  <si>
    <t>Gross margin (revenue)</t>
  </si>
  <si>
    <t>Net Income = Net operating income + Other income - Interest expense</t>
  </si>
  <si>
    <t>Net operating income = Gross revenue - fixed expense - variable expense</t>
  </si>
  <si>
    <t>Turnover ratio = Gross revenue / Total Assets</t>
  </si>
  <si>
    <t>TA / CN</t>
  </si>
  <si>
    <t>RN / RO</t>
  </si>
  <si>
    <t>RN / RO = Utile netto / Operating profit margin</t>
  </si>
  <si>
    <t>DATI AGGIUNTIVI</t>
  </si>
  <si>
    <t>ANNO BILANCIO 1</t>
  </si>
  <si>
    <t>ANNO BILANCIO 2</t>
  </si>
  <si>
    <t>Servizi produzione</t>
  </si>
  <si>
    <t>Personale produzione</t>
  </si>
  <si>
    <t>Altro personale</t>
  </si>
  <si>
    <t>ROE=  RO/CI  ×RN/RO×CI/PN</t>
  </si>
  <si>
    <t>ROI</t>
  </si>
  <si>
    <t>Variazione delle rimanenze di materie prime, sussidiarie, di consumo e merci</t>
  </si>
  <si>
    <t>Variazione rimanenze prodotti in corso di lavorazione, semilavorati e finiti</t>
  </si>
  <si>
    <t>RN/Ricavi</t>
  </si>
  <si>
    <t>ROE = RN/CP = RN/Ricavi * Ricavi/TA * TA/CP</t>
  </si>
  <si>
    <t>Prima Scomposizione</t>
  </si>
  <si>
    <t>Seconda Scomposizione</t>
  </si>
  <si>
    <t>Ricavi/TA = Rotazione CI</t>
  </si>
  <si>
    <t>TA/CP = TA/CN = Rap. Ind.</t>
  </si>
  <si>
    <t>ROE = ROI + (ROI - ROD) × (Debiti / Patrimonio Netto)</t>
  </si>
  <si>
    <t>Roi</t>
  </si>
  <si>
    <t>Roi - ROD</t>
  </si>
  <si>
    <t>Debiti/PN</t>
  </si>
  <si>
    <t>DuPont:</t>
  </si>
  <si>
    <t>Spread decomposition del ROE</t>
  </si>
  <si>
    <t>PN</t>
  </si>
  <si>
    <t>ROE</t>
  </si>
  <si>
    <t>UTILE/VENDITE</t>
  </si>
  <si>
    <t>VENDITE/ATTIVO</t>
  </si>
  <si>
    <t>X</t>
  </si>
  <si>
    <t>x</t>
  </si>
  <si>
    <t>ATTIVO/PATRIMONIO NETTO</t>
  </si>
  <si>
    <t>RN/RO</t>
  </si>
  <si>
    <t>RO</t>
  </si>
  <si>
    <t>DEBITI</t>
  </si>
  <si>
    <t xml:space="preserve">INTERESSI </t>
  </si>
  <si>
    <t>ROI-ROD</t>
  </si>
  <si>
    <t>D/E</t>
  </si>
  <si>
    <t>t = IMPOSTE/ANTE IMPOSTE</t>
  </si>
  <si>
    <t>1-t</t>
  </si>
  <si>
    <t>Rod</t>
  </si>
  <si>
    <t>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</si>
</sst>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_-;\-* #,##0_-;_-* &quot;-&quot;??_-;_-@_-"/>
    <numFmt numFmtId="166" formatCode="0.0%"/>
    <numFmt numFmtId="167" formatCode="0.000%"/>
    <numFmt numFmtId="168" formatCode="_-* #,##0.00\ _€_-;\-* #,##0.00\ _€_-;_-* &quot;-&quot;??\ _€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FF00"/>
      <name val="Arial Narrow"/>
      <family val="2"/>
    </font>
    <font>
      <i/>
      <sz val="10"/>
      <color theme="1"/>
      <name val="Arial Narrow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6"/>
      <color theme="1"/>
      <name val="Georgia"/>
      <family val="1"/>
    </font>
    <font>
      <sz val="10"/>
      <color theme="1"/>
      <name val="Georgia"/>
      <family val="1"/>
    </font>
    <font>
      <i/>
      <u/>
      <sz val="10"/>
      <color rgb="FF7030A0"/>
      <name val="Georgia"/>
      <family val="1"/>
    </font>
    <font>
      <sz val="10"/>
      <color rgb="FFFF0000"/>
      <name val="Georgia"/>
      <family val="1"/>
    </font>
    <font>
      <b/>
      <sz val="10"/>
      <color theme="4" tint="-0.499984740745262"/>
      <name val="Georgia"/>
      <family val="1"/>
    </font>
    <font>
      <sz val="10"/>
      <name val="Georgia"/>
      <family val="1"/>
    </font>
    <font>
      <b/>
      <sz val="10"/>
      <color theme="1"/>
      <name val="Georgia"/>
      <family val="1"/>
    </font>
    <font>
      <sz val="6"/>
      <name val="Georgia"/>
      <family val="1"/>
    </font>
    <font>
      <b/>
      <sz val="14"/>
      <color rgb="FF333333"/>
      <name val="Verdana"/>
      <family val="2"/>
    </font>
    <font>
      <sz val="11"/>
      <color theme="1"/>
      <name val="Tw Cen MT"/>
      <family val="2"/>
    </font>
    <font>
      <b/>
      <sz val="16"/>
      <name val="Georgia"/>
      <family val="1"/>
    </font>
    <font>
      <sz val="16"/>
      <name val="Georgia"/>
      <family val="1"/>
    </font>
    <font>
      <b/>
      <sz val="10"/>
      <color theme="0"/>
      <name val="Verdana"/>
      <family val="2"/>
    </font>
    <font>
      <sz val="10"/>
      <name val="Verdana"/>
      <family val="2"/>
    </font>
    <font>
      <sz val="11"/>
      <color theme="1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2"/>
      <color theme="1"/>
      <name val="Verdana"/>
      <family val="2"/>
    </font>
    <font>
      <sz val="10"/>
      <color rgb="FF4472C4"/>
      <name val="Verdana"/>
      <family val="2"/>
    </font>
    <font>
      <sz val="11"/>
      <color rgb="FF4472C4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4" tint="-0.249977111117893"/>
      <name val="Verdana"/>
      <family val="2"/>
    </font>
    <font>
      <b/>
      <sz val="10"/>
      <color rgb="FFFF0000"/>
      <name val="Arial Narrow"/>
      <family val="2"/>
    </font>
    <font>
      <sz val="8"/>
      <color theme="1"/>
      <name val="Georgia"/>
      <family val="1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ck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mediumDashed">
        <color theme="4" tint="-0.24994659260841701"/>
      </left>
      <right/>
      <top style="mediumDashed">
        <color theme="4" tint="-0.24994659260841701"/>
      </top>
      <bottom style="mediumDashed">
        <color theme="4" tint="-0.24994659260841701"/>
      </bottom>
      <diagonal/>
    </border>
    <border>
      <left/>
      <right style="mediumDashed">
        <color theme="4" tint="-0.24994659260841701"/>
      </right>
      <top style="mediumDashed">
        <color theme="4" tint="-0.24994659260841701"/>
      </top>
      <bottom style="mediumDashed">
        <color theme="4" tint="-0.24994659260841701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5" fillId="0" borderId="0" xfId="0" applyFont="1"/>
    <xf numFmtId="0" fontId="4" fillId="0" borderId="0" xfId="0" applyFont="1"/>
    <xf numFmtId="164" fontId="4" fillId="5" borderId="0" xfId="0" applyNumberFormat="1" applyFont="1" applyFill="1"/>
    <xf numFmtId="164" fontId="4" fillId="7" borderId="0" xfId="0" applyNumberFormat="1" applyFont="1" applyFill="1"/>
    <xf numFmtId="164" fontId="4" fillId="8" borderId="0" xfId="0" applyNumberFormat="1" applyFont="1" applyFill="1"/>
    <xf numFmtId="0" fontId="5" fillId="0" borderId="0" xfId="0" quotePrefix="1" applyFont="1"/>
    <xf numFmtId="164" fontId="5" fillId="0" borderId="0" xfId="0" applyNumberFormat="1" applyFont="1"/>
    <xf numFmtId="164" fontId="4" fillId="9" borderId="0" xfId="0" applyNumberFormat="1" applyFont="1" applyFill="1"/>
    <xf numFmtId="164" fontId="4" fillId="10" borderId="0" xfId="0" applyNumberFormat="1" applyFont="1" applyFill="1"/>
    <xf numFmtId="164" fontId="4" fillId="11" borderId="0" xfId="0" applyNumberFormat="1" applyFont="1" applyFill="1"/>
    <xf numFmtId="164" fontId="4" fillId="13" borderId="0" xfId="0" applyNumberFormat="1" applyFont="1" applyFill="1"/>
    <xf numFmtId="164" fontId="4" fillId="12" borderId="0" xfId="0" applyNumberFormat="1" applyFont="1" applyFill="1"/>
    <xf numFmtId="164" fontId="4" fillId="14" borderId="0" xfId="0" applyNumberFormat="1" applyFont="1" applyFill="1"/>
    <xf numFmtId="164" fontId="4" fillId="15" borderId="0" xfId="0" applyNumberFormat="1" applyFont="1" applyFill="1"/>
    <xf numFmtId="164" fontId="4" fillId="16" borderId="0" xfId="0" applyNumberFormat="1" applyFont="1" applyFill="1"/>
    <xf numFmtId="164" fontId="4" fillId="17" borderId="0" xfId="0" applyNumberFormat="1" applyFont="1" applyFill="1"/>
    <xf numFmtId="164" fontId="4" fillId="18" borderId="0" xfId="0" applyNumberFormat="1" applyFont="1" applyFill="1"/>
    <xf numFmtId="164" fontId="6" fillId="6" borderId="0" xfId="0" applyNumberFormat="1" applyFont="1" applyFill="1"/>
    <xf numFmtId="0" fontId="6" fillId="6" borderId="0" xfId="0" applyFont="1" applyFill="1"/>
    <xf numFmtId="164" fontId="4" fillId="0" borderId="0" xfId="0" applyNumberFormat="1" applyFont="1"/>
    <xf numFmtId="10" fontId="4" fillId="0" borderId="3" xfId="0" applyNumberFormat="1" applyFont="1" applyBorder="1"/>
    <xf numFmtId="0" fontId="7" fillId="0" borderId="0" xfId="0" applyFont="1"/>
    <xf numFmtId="164" fontId="4" fillId="0" borderId="2" xfId="0" applyNumberFormat="1" applyFont="1" applyBorder="1"/>
    <xf numFmtId="0" fontId="8" fillId="19" borderId="0" xfId="0" applyFont="1" applyFill="1" applyProtection="1">
      <protection hidden="1"/>
    </xf>
    <xf numFmtId="0" fontId="8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0" fontId="9" fillId="0" borderId="0" xfId="0" applyFont="1" applyProtection="1">
      <protection hidden="1"/>
    </xf>
    <xf numFmtId="0" fontId="0" fillId="0" borderId="0" xfId="0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12" fillId="0" borderId="0" xfId="0" applyFont="1" applyProtection="1">
      <protection hidden="1"/>
    </xf>
    <xf numFmtId="0" fontId="13" fillId="0" borderId="0" xfId="0" applyFont="1" applyAlignment="1" applyProtection="1">
      <alignment vertical="top"/>
      <protection hidden="1"/>
    </xf>
    <xf numFmtId="0" fontId="14" fillId="0" borderId="0" xfId="0" applyFont="1" applyProtection="1">
      <protection hidden="1"/>
    </xf>
    <xf numFmtId="165" fontId="16" fillId="3" borderId="2" xfId="6" applyNumberFormat="1" applyFont="1" applyFill="1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5" fillId="0" borderId="0" xfId="0" applyFont="1" applyAlignment="1" applyProtection="1">
      <alignment vertical="top" wrapText="1"/>
      <protection hidden="1"/>
    </xf>
    <xf numFmtId="0" fontId="13" fillId="0" borderId="0" xfId="0" applyFont="1" applyAlignment="1" applyProtection="1">
      <alignment vertical="top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15" fillId="19" borderId="0" xfId="0" applyFont="1" applyFill="1" applyAlignment="1" applyProtection="1">
      <alignment vertical="top" wrapText="1"/>
      <protection hidden="1"/>
    </xf>
    <xf numFmtId="0" fontId="11" fillId="19" borderId="0" xfId="0" applyFont="1" applyFill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9" fontId="4" fillId="0" borderId="0" xfId="7" applyFont="1"/>
    <xf numFmtId="44" fontId="4" fillId="8" borderId="0" xfId="0" applyNumberFormat="1" applyFont="1" applyFill="1"/>
    <xf numFmtId="10" fontId="4" fillId="17" borderId="3" xfId="0" applyNumberFormat="1" applyFont="1" applyFill="1" applyBorder="1"/>
    <xf numFmtId="9" fontId="4" fillId="17" borderId="2" xfId="7" applyFont="1" applyFill="1" applyBorder="1"/>
    <xf numFmtId="0" fontId="18" fillId="0" borderId="0" xfId="0" applyFont="1"/>
    <xf numFmtId="10" fontId="4" fillId="0" borderId="0" xfId="7" applyNumberFormat="1" applyFont="1"/>
    <xf numFmtId="1" fontId="19" fillId="4" borderId="14" xfId="6" applyNumberFormat="1" applyFont="1" applyFill="1" applyBorder="1" applyProtection="1">
      <protection locked="0"/>
    </xf>
    <xf numFmtId="165" fontId="11" fillId="0" borderId="0" xfId="6" applyNumberFormat="1" applyFont="1" applyProtection="1">
      <protection hidden="1"/>
    </xf>
    <xf numFmtId="164" fontId="8" fillId="0" borderId="0" xfId="0" applyNumberFormat="1" applyFont="1" applyProtection="1">
      <protection hidden="1"/>
    </xf>
    <xf numFmtId="0" fontId="8" fillId="20" borderId="4" xfId="0" applyFont="1" applyFill="1" applyBorder="1" applyProtection="1">
      <protection hidden="1"/>
    </xf>
    <xf numFmtId="0" fontId="8" fillId="20" borderId="5" xfId="0" applyFont="1" applyFill="1" applyBorder="1" applyProtection="1">
      <protection hidden="1"/>
    </xf>
    <xf numFmtId="0" fontId="8" fillId="20" borderId="6" xfId="0" applyFont="1" applyFill="1" applyBorder="1" applyProtection="1">
      <protection hidden="1"/>
    </xf>
    <xf numFmtId="0" fontId="8" fillId="20" borderId="7" xfId="0" applyFont="1" applyFill="1" applyBorder="1" applyProtection="1">
      <protection hidden="1"/>
    </xf>
    <xf numFmtId="0" fontId="8" fillId="20" borderId="0" xfId="0" applyFont="1" applyFill="1" applyProtection="1">
      <protection hidden="1"/>
    </xf>
    <xf numFmtId="0" fontId="8" fillId="20" borderId="8" xfId="0" applyFont="1" applyFill="1" applyBorder="1" applyProtection="1">
      <protection hidden="1"/>
    </xf>
    <xf numFmtId="0" fontId="10" fillId="20" borderId="0" xfId="0" applyFont="1" applyFill="1" applyProtection="1">
      <protection hidden="1"/>
    </xf>
    <xf numFmtId="0" fontId="8" fillId="20" borderId="9" xfId="0" applyFont="1" applyFill="1" applyBorder="1" applyProtection="1">
      <protection hidden="1"/>
    </xf>
    <xf numFmtId="0" fontId="8" fillId="20" borderId="10" xfId="0" applyFont="1" applyFill="1" applyBorder="1" applyProtection="1">
      <protection hidden="1"/>
    </xf>
    <xf numFmtId="0" fontId="8" fillId="20" borderId="11" xfId="0" applyFont="1" applyFill="1" applyBorder="1" applyProtection="1">
      <protection hidden="1"/>
    </xf>
    <xf numFmtId="0" fontId="10" fillId="20" borderId="10" xfId="0" applyFont="1" applyFill="1" applyBorder="1" applyProtection="1">
      <protection hidden="1"/>
    </xf>
    <xf numFmtId="1" fontId="5" fillId="0" borderId="0" xfId="0" applyNumberFormat="1" applyFont="1"/>
    <xf numFmtId="0" fontId="22" fillId="2" borderId="15" xfId="0" applyFont="1" applyFill="1" applyBorder="1" applyAlignment="1" applyProtection="1">
      <alignment horizontal="center" vertical="top" wrapText="1"/>
      <protection hidden="1"/>
    </xf>
    <xf numFmtId="0" fontId="23" fillId="3" borderId="15" xfId="0" applyFont="1" applyFill="1" applyBorder="1" applyAlignment="1" applyProtection="1">
      <alignment horizontal="center" vertical="top" wrapText="1"/>
      <protection hidden="1"/>
    </xf>
    <xf numFmtId="0" fontId="23" fillId="3" borderId="15" xfId="0" applyFont="1" applyFill="1" applyBorder="1" applyAlignment="1" applyProtection="1">
      <alignment horizontal="left" vertical="top" wrapText="1"/>
      <protection hidden="1"/>
    </xf>
    <xf numFmtId="165" fontId="24" fillId="20" borderId="14" xfId="6" applyNumberFormat="1" applyFont="1" applyFill="1" applyBorder="1" applyProtection="1">
      <protection locked="0"/>
    </xf>
    <xf numFmtId="0" fontId="25" fillId="3" borderId="15" xfId="0" applyFont="1" applyFill="1" applyBorder="1" applyAlignment="1" applyProtection="1">
      <alignment horizontal="left" vertical="top" wrapText="1"/>
      <protection hidden="1"/>
    </xf>
    <xf numFmtId="165" fontId="24" fillId="3" borderId="14" xfId="6" applyNumberFormat="1" applyFont="1" applyFill="1" applyBorder="1" applyProtection="1">
      <protection locked="0"/>
    </xf>
    <xf numFmtId="0" fontId="26" fillId="3" borderId="15" xfId="0" applyFont="1" applyFill="1" applyBorder="1" applyAlignment="1" applyProtection="1">
      <alignment horizontal="left" vertical="top" wrapText="1"/>
      <protection hidden="1"/>
    </xf>
    <xf numFmtId="165" fontId="27" fillId="3" borderId="14" xfId="6" applyNumberFormat="1" applyFont="1" applyFill="1" applyBorder="1" applyProtection="1">
      <protection locked="0"/>
    </xf>
    <xf numFmtId="0" fontId="28" fillId="3" borderId="15" xfId="0" applyFont="1" applyFill="1" applyBorder="1" applyAlignment="1" applyProtection="1">
      <alignment horizontal="center" vertical="top" wrapText="1"/>
      <protection hidden="1"/>
    </xf>
    <xf numFmtId="0" fontId="28" fillId="3" borderId="15" xfId="0" applyFont="1" applyFill="1" applyBorder="1" applyAlignment="1" applyProtection="1">
      <alignment horizontal="left" vertical="top" wrapText="1"/>
      <protection hidden="1"/>
    </xf>
    <xf numFmtId="165" fontId="29" fillId="3" borderId="14" xfId="6" applyNumberFormat="1" applyFont="1" applyFill="1" applyBorder="1" applyProtection="1">
      <protection locked="0"/>
    </xf>
    <xf numFmtId="0" fontId="30" fillId="0" borderId="0" xfId="0" applyFont="1" applyAlignment="1" applyProtection="1">
      <alignment horizontal="right"/>
      <protection hidden="1"/>
    </xf>
    <xf numFmtId="0" fontId="23" fillId="3" borderId="1" xfId="0" applyFont="1" applyFill="1" applyBorder="1" applyAlignment="1" applyProtection="1">
      <alignment vertical="top"/>
      <protection hidden="1"/>
    </xf>
    <xf numFmtId="0" fontId="30" fillId="3" borderId="0" xfId="0" applyFont="1" applyFill="1" applyAlignment="1" applyProtection="1">
      <alignment horizontal="center"/>
      <protection hidden="1"/>
    </xf>
    <xf numFmtId="0" fontId="30" fillId="3" borderId="0" xfId="0" applyFont="1" applyFill="1" applyAlignment="1" applyProtection="1">
      <alignment horizontal="left"/>
      <protection hidden="1"/>
    </xf>
    <xf numFmtId="0" fontId="30" fillId="3" borderId="19" xfId="0" applyFont="1" applyFill="1" applyBorder="1" applyAlignment="1" applyProtection="1">
      <alignment horizontal="center"/>
      <protection hidden="1"/>
    </xf>
    <xf numFmtId="0" fontId="30" fillId="3" borderId="18" xfId="0" applyFont="1" applyFill="1" applyBorder="1" applyAlignment="1" applyProtection="1">
      <alignment horizontal="left"/>
      <protection hidden="1"/>
    </xf>
    <xf numFmtId="0" fontId="30" fillId="3" borderId="17" xfId="0" applyFont="1" applyFill="1" applyBorder="1" applyAlignment="1" applyProtection="1">
      <alignment horizontal="left"/>
      <protection hidden="1"/>
    </xf>
    <xf numFmtId="165" fontId="30" fillId="20" borderId="14" xfId="6" applyNumberFormat="1" applyFont="1" applyFill="1" applyBorder="1" applyProtection="1">
      <protection locked="0"/>
    </xf>
    <xf numFmtId="165" fontId="30" fillId="3" borderId="14" xfId="6" applyNumberFormat="1" applyFont="1" applyFill="1" applyBorder="1" applyProtection="1">
      <protection locked="0"/>
    </xf>
    <xf numFmtId="165" fontId="30" fillId="20" borderId="16" xfId="6" applyNumberFormat="1" applyFont="1" applyFill="1" applyBorder="1" applyProtection="1">
      <protection locked="0"/>
    </xf>
    <xf numFmtId="0" fontId="30" fillId="0" borderId="0" xfId="0" applyFont="1" applyAlignment="1" applyProtection="1">
      <alignment horizontal="center"/>
      <protection hidden="1"/>
    </xf>
    <xf numFmtId="0" fontId="30" fillId="0" borderId="15" xfId="0" applyFont="1" applyBorder="1" applyAlignment="1" applyProtection="1">
      <alignment horizontal="center"/>
      <protection hidden="1"/>
    </xf>
    <xf numFmtId="43" fontId="31" fillId="3" borderId="2" xfId="6" applyFont="1" applyFill="1" applyBorder="1" applyAlignment="1" applyProtection="1">
      <alignment horizontal="center"/>
      <protection hidden="1"/>
    </xf>
    <xf numFmtId="165" fontId="30" fillId="20" borderId="20" xfId="6" applyNumberFormat="1" applyFont="1" applyFill="1" applyBorder="1" applyProtection="1">
      <protection locked="0"/>
    </xf>
    <xf numFmtId="9" fontId="4" fillId="0" borderId="15" xfId="0" applyNumberFormat="1" applyFont="1" applyBorder="1"/>
    <xf numFmtId="9" fontId="4" fillId="0" borderId="3" xfId="0" applyNumberFormat="1" applyFont="1" applyBorder="1"/>
    <xf numFmtId="9" fontId="4" fillId="0" borderId="0" xfId="0" applyNumberFormat="1" applyFont="1"/>
    <xf numFmtId="0" fontId="33" fillId="0" borderId="0" xfId="0" applyFont="1"/>
    <xf numFmtId="166" fontId="4" fillId="0" borderId="3" xfId="0" applyNumberFormat="1" applyFont="1" applyBorder="1"/>
    <xf numFmtId="0" fontId="11" fillId="0" borderId="0" xfId="0" quotePrefix="1" applyFont="1" applyAlignment="1" applyProtection="1">
      <alignment horizontal="right"/>
      <protection hidden="1"/>
    </xf>
    <xf numFmtId="43" fontId="11" fillId="0" borderId="0" xfId="6" applyFont="1" applyAlignment="1" applyProtection="1">
      <alignment horizontal="center"/>
      <protection hidden="1"/>
    </xf>
    <xf numFmtId="166" fontId="16" fillId="0" borderId="0" xfId="7" applyNumberFormat="1" applyFont="1" applyAlignment="1" applyProtection="1">
      <alignment horizontal="right"/>
      <protection hidden="1"/>
    </xf>
    <xf numFmtId="43" fontId="11" fillId="0" borderId="0" xfId="6" applyFont="1" applyAlignment="1" applyProtection="1">
      <alignment horizontal="right"/>
      <protection hidden="1"/>
    </xf>
    <xf numFmtId="9" fontId="11" fillId="0" borderId="0" xfId="7" applyFont="1" applyAlignment="1" applyProtection="1">
      <alignment horizontal="right"/>
      <protection hidden="1"/>
    </xf>
    <xf numFmtId="165" fontId="11" fillId="0" borderId="0" xfId="0" applyNumberFormat="1" applyFont="1" applyAlignment="1" applyProtection="1">
      <alignment horizontal="center"/>
      <protection hidden="1"/>
    </xf>
    <xf numFmtId="43" fontId="11" fillId="0" borderId="0" xfId="6" applyFont="1" applyAlignment="1" applyProtection="1">
      <alignment horizontal="left"/>
      <protection hidden="1"/>
    </xf>
    <xf numFmtId="43" fontId="34" fillId="0" borderId="0" xfId="6" applyFont="1" applyAlignment="1" applyProtection="1">
      <alignment horizontal="right"/>
      <protection hidden="1"/>
    </xf>
    <xf numFmtId="10" fontId="11" fillId="0" borderId="0" xfId="7" applyNumberFormat="1" applyFont="1" applyAlignment="1" applyProtection="1">
      <alignment horizontal="right"/>
      <protection hidden="1"/>
    </xf>
    <xf numFmtId="168" fontId="11" fillId="0" borderId="0" xfId="0" applyNumberFormat="1" applyFont="1" applyAlignment="1" applyProtection="1">
      <alignment horizontal="center"/>
      <protection hidden="1"/>
    </xf>
    <xf numFmtId="167" fontId="11" fillId="0" borderId="0" xfId="7" applyNumberFormat="1" applyFont="1" applyAlignment="1" applyProtection="1">
      <alignment horizontal="right"/>
      <protection hidden="1"/>
    </xf>
    <xf numFmtId="167" fontId="11" fillId="0" borderId="0" xfId="0" applyNumberFormat="1" applyFont="1" applyAlignment="1" applyProtection="1">
      <alignment horizontal="right"/>
      <protection hidden="1"/>
    </xf>
    <xf numFmtId="166" fontId="4" fillId="0" borderId="15" xfId="0" applyNumberFormat="1" applyFont="1" applyBorder="1"/>
    <xf numFmtId="10" fontId="4" fillId="0" borderId="15" xfId="0" applyNumberFormat="1" applyFont="1" applyBorder="1"/>
    <xf numFmtId="10" fontId="11" fillId="0" borderId="0" xfId="7" applyNumberFormat="1" applyFont="1" applyAlignment="1" applyProtection="1">
      <alignment horizontal="right" indent="1"/>
      <protection hidden="1"/>
    </xf>
    <xf numFmtId="0" fontId="30" fillId="0" borderId="0" xfId="0" applyFont="1" applyAlignment="1" applyProtection="1">
      <alignment horizontal="right"/>
      <protection hidden="1"/>
    </xf>
    <xf numFmtId="0" fontId="25" fillId="3" borderId="15" xfId="0" applyFont="1" applyFill="1" applyBorder="1" applyAlignment="1" applyProtection="1">
      <alignment horizontal="center"/>
      <protection hidden="1"/>
    </xf>
    <xf numFmtId="0" fontId="32" fillId="0" borderId="12" xfId="0" applyFont="1" applyBorder="1" applyAlignment="1" applyProtection="1">
      <alignment horizontal="center" vertical="center"/>
      <protection hidden="1"/>
    </xf>
    <xf numFmtId="0" fontId="32" fillId="0" borderId="13" xfId="0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/>
    </xf>
    <xf numFmtId="1" fontId="20" fillId="3" borderId="15" xfId="2" applyNumberFormat="1" applyFont="1" applyFill="1" applyBorder="1" applyAlignment="1" applyProtection="1">
      <alignment horizontal="center"/>
      <protection hidden="1"/>
    </xf>
    <xf numFmtId="165" fontId="21" fillId="3" borderId="15" xfId="6" applyNumberFormat="1" applyFont="1" applyFill="1" applyBorder="1" applyAlignment="1" applyProtection="1">
      <alignment horizontal="center"/>
      <protection hidden="1"/>
    </xf>
    <xf numFmtId="10" fontId="21" fillId="3" borderId="15" xfId="0" applyNumberFormat="1" applyFont="1" applyFill="1" applyBorder="1" applyAlignment="1" applyProtection="1">
      <alignment horizontal="center"/>
      <protection hidden="1"/>
    </xf>
    <xf numFmtId="9" fontId="21" fillId="3" borderId="15" xfId="7" applyFont="1" applyFill="1" applyBorder="1" applyAlignment="1" applyProtection="1">
      <protection hidden="1"/>
    </xf>
    <xf numFmtId="9" fontId="21" fillId="3" borderId="15" xfId="0" applyNumberFormat="1" applyFont="1" applyFill="1" applyBorder="1" applyAlignment="1" applyProtection="1">
      <alignment horizontal="center"/>
      <protection hidden="1"/>
    </xf>
    <xf numFmtId="9" fontId="21" fillId="3" borderId="15" xfId="7" applyFont="1" applyFill="1" applyBorder="1" applyAlignment="1" applyProtection="1">
      <alignment horizontal="center"/>
      <protection hidden="1"/>
    </xf>
  </cellXfs>
  <cellStyles count="8">
    <cellStyle name="Migliaia" xfId="6" builtinId="3"/>
    <cellStyle name="Migliaia 9" xfId="5" xr:uid="{00000000-0005-0000-0000-000001000000}"/>
    <cellStyle name="Migliaia 9 2" xfId="3" xr:uid="{00000000-0005-0000-0000-000002000000}"/>
    <cellStyle name="Normale" xfId="0" builtinId="0"/>
    <cellStyle name="Normale 14" xfId="1" xr:uid="{00000000-0005-0000-0000-000004000000}"/>
    <cellStyle name="Normale 7" xfId="2" xr:uid="{00000000-0005-0000-0000-000005000000}"/>
    <cellStyle name="Percentuale" xfId="7" builtinId="5"/>
    <cellStyle name="Percentuale 10" xfId="4" xr:uid="{00000000-0005-0000-0000-000006000000}"/>
  </cellStyles>
  <dxfs count="0"/>
  <tableStyles count="0" defaultTableStyle="TableStyleMedium2" defaultPivotStyle="PivotStyleLight16"/>
  <colors>
    <mruColors>
      <color rgb="FF002060"/>
      <color rgb="FF4472C4"/>
      <color rgb="FFFFFFE7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E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ROE!A1"/><Relationship Id="rId1" Type="http://schemas.openxmlformats.org/officeDocument/2006/relationships/image" Target="../media/image4.png"/><Relationship Id="rId5" Type="http://schemas.openxmlformats.org/officeDocument/2006/relationships/hyperlink" Target="#SP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2" Type="http://schemas.openxmlformats.org/officeDocument/2006/relationships/hyperlink" Target="#SP!A1"/><Relationship Id="rId1" Type="http://schemas.openxmlformats.org/officeDocument/2006/relationships/image" Target="../media/image4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2577549</xdr:colOff>
      <xdr:row>0</xdr:row>
      <xdr:rowOff>39757</xdr:rowOff>
    </xdr:from>
    <xdr:to>
      <xdr:col>8</xdr:col>
      <xdr:colOff>568611</xdr:colOff>
      <xdr:row>3</xdr:row>
      <xdr:rowOff>78832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A8C326C6-587C-4321-8B58-D835F401E7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4679" y="205409"/>
          <a:ext cx="1959610" cy="541020"/>
        </a:xfrm>
        <a:prstGeom prst="rect">
          <a:avLst/>
        </a:prstGeom>
      </xdr:spPr>
    </xdr:pic>
    <xdr:clientData/>
  </xdr:twoCellAnchor>
  <xdr:twoCellAnchor>
    <xdr:from>
      <xdr:col>0</xdr:col>
      <xdr:colOff>61528</xdr:colOff>
      <xdr:row>0</xdr:row>
      <xdr:rowOff>0</xdr:rowOff>
    </xdr:from>
    <xdr:to>
      <xdr:col>6</xdr:col>
      <xdr:colOff>351419</xdr:colOff>
      <xdr:row>3</xdr:row>
      <xdr:rowOff>124239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67A42EFB-286B-46B6-8106-ACBBB888A33E}"/>
            </a:ext>
          </a:extLst>
        </xdr:cNvPr>
        <xdr:cNvSpPr/>
      </xdr:nvSpPr>
      <xdr:spPr>
        <a:xfrm>
          <a:off x="61528" y="0"/>
          <a:ext cx="6977506" cy="6211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6</xdr:col>
      <xdr:colOff>1053547</xdr:colOff>
      <xdr:row>13</xdr:row>
      <xdr:rowOff>59636</xdr:rowOff>
    </xdr:from>
    <xdr:to>
      <xdr:col>6</xdr:col>
      <xdr:colOff>3253409</xdr:colOff>
      <xdr:row>15</xdr:row>
      <xdr:rowOff>172279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EF5096B8-2B84-4294-863E-F03568791975}"/>
            </a:ext>
          </a:extLst>
        </xdr:cNvPr>
        <xdr:cNvSpPr/>
      </xdr:nvSpPr>
      <xdr:spPr>
        <a:xfrm>
          <a:off x="6420677" y="2504662"/>
          <a:ext cx="2199862" cy="49695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2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Guida all'uso</a:t>
          </a:r>
          <a:endParaRPr lang="it-IT" sz="6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389283</xdr:colOff>
      <xdr:row>16</xdr:row>
      <xdr:rowOff>8282</xdr:rowOff>
    </xdr:from>
    <xdr:to>
      <xdr:col>8</xdr:col>
      <xdr:colOff>571500</xdr:colOff>
      <xdr:row>22</xdr:row>
      <xdr:rowOff>82826</xdr:rowOff>
    </xdr:to>
    <xdr:sp macro="" textlink="">
      <xdr:nvSpPr>
        <xdr:cNvPr id="3" name="Rettangolo con angoli arrotondati 2">
          <a:extLst>
            <a:ext uri="{FF2B5EF4-FFF2-40B4-BE49-F238E27FC236}">
              <a16:creationId xmlns:a16="http://schemas.microsoft.com/office/drawing/2014/main" id="{C0D1A1D8-A27E-08F1-DC22-B4A2E37686CE}"/>
            </a:ext>
          </a:extLst>
        </xdr:cNvPr>
        <xdr:cNvSpPr/>
      </xdr:nvSpPr>
      <xdr:spPr>
        <a:xfrm>
          <a:off x="6195392" y="2708412"/>
          <a:ext cx="4555434" cy="121754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1. INSERIRE I DATI DI BILANCIO NELLE CELLE AZZURRE (FOGLI "SP" E "CE")</a:t>
          </a:r>
        </a:p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2. NEL FOGLIO "CE" COMPLETARE I DATI AGGIUNTIVI RICHIESTI (COSTI PER SERVIZI E PERSONALE)</a:t>
          </a:r>
        </a:p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3. IL SOFTWARE RESTITUISCE LA SCOMPOSIZIONE DEL ROE</a:t>
          </a:r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1979543</xdr:colOff>
      <xdr:row>29</xdr:row>
      <xdr:rowOff>104854</xdr:rowOff>
    </xdr:to>
    <xdr:sp macro="" textlink="">
      <xdr:nvSpPr>
        <xdr:cNvPr id="4" name="Rettango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E6A6F0-DFD2-464D-B3D3-BD9675E8138C}"/>
            </a:ext>
          </a:extLst>
        </xdr:cNvPr>
        <xdr:cNvSpPr/>
      </xdr:nvSpPr>
      <xdr:spPr>
        <a:xfrm>
          <a:off x="6311348" y="5201478"/>
          <a:ext cx="1979543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Vai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del CE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6</xdr:col>
      <xdr:colOff>1118152</xdr:colOff>
      <xdr:row>27</xdr:row>
      <xdr:rowOff>91109</xdr:rowOff>
    </xdr:from>
    <xdr:to>
      <xdr:col>6</xdr:col>
      <xdr:colOff>2326573</xdr:colOff>
      <xdr:row>33</xdr:row>
      <xdr:rowOff>73071</xdr:rowOff>
    </xdr:to>
    <xdr:pic>
      <xdr:nvPicPr>
        <xdr:cNvPr id="5" name="Elemento grafico 4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D6BA74-6B4A-459F-BE80-5AF75CCE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29500" y="5292587"/>
          <a:ext cx="1210235" cy="1114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795131</xdr:colOff>
      <xdr:row>0</xdr:row>
      <xdr:rowOff>26504</xdr:rowOff>
    </xdr:from>
    <xdr:to>
      <xdr:col>7</xdr:col>
      <xdr:colOff>1260144</xdr:colOff>
      <xdr:row>3</xdr:row>
      <xdr:rowOff>75329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AE32AD11-7EC6-46A7-8AD6-507CB88B31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0" y="192156"/>
          <a:ext cx="1959610" cy="5410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41413</xdr:rowOff>
    </xdr:from>
    <xdr:to>
      <xdr:col>4</xdr:col>
      <xdr:colOff>314739</xdr:colOff>
      <xdr:row>3</xdr:row>
      <xdr:rowOff>144156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71969838-F6EF-4805-A5B1-9840D2B46B63}"/>
            </a:ext>
          </a:extLst>
        </xdr:cNvPr>
        <xdr:cNvSpPr/>
      </xdr:nvSpPr>
      <xdr:spPr>
        <a:xfrm>
          <a:off x="0" y="41413"/>
          <a:ext cx="6236804" cy="599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6</xdr:col>
      <xdr:colOff>1308652</xdr:colOff>
      <xdr:row>25</xdr:row>
      <xdr:rowOff>41413</xdr:rowOff>
    </xdr:from>
    <xdr:to>
      <xdr:col>9</xdr:col>
      <xdr:colOff>24848</xdr:colOff>
      <xdr:row>27</xdr:row>
      <xdr:rowOff>129702</xdr:rowOff>
    </xdr:to>
    <xdr:sp macro="" textlink="">
      <xdr:nvSpPr>
        <xdr:cNvPr id="2" name="Rettango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6F1B1-5923-435B-B01D-303DB31A1FAB}"/>
            </a:ext>
          </a:extLst>
        </xdr:cNvPr>
        <xdr:cNvSpPr/>
      </xdr:nvSpPr>
      <xdr:spPr>
        <a:xfrm>
          <a:off x="8042413" y="5400261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Vai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scomposizione del ROE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8</xdr:col>
      <xdr:colOff>41414</xdr:colOff>
      <xdr:row>25</xdr:row>
      <xdr:rowOff>149087</xdr:rowOff>
    </xdr:from>
    <xdr:to>
      <xdr:col>8</xdr:col>
      <xdr:colOff>1253858</xdr:colOff>
      <xdr:row>32</xdr:row>
      <xdr:rowOff>382</xdr:rowOff>
    </xdr:to>
    <xdr:pic>
      <xdr:nvPicPr>
        <xdr:cNvPr id="3" name="Elemento grafico 2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06241D-91C4-406A-B4AF-160131A35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85414" y="5507935"/>
          <a:ext cx="1210235" cy="1114985"/>
        </a:xfrm>
        <a:prstGeom prst="rect">
          <a:avLst/>
        </a:prstGeom>
      </xdr:spPr>
    </xdr:pic>
    <xdr:clientData/>
  </xdr:twoCellAnchor>
  <xdr:twoCellAnchor>
    <xdr:from>
      <xdr:col>6</xdr:col>
      <xdr:colOff>1316934</xdr:colOff>
      <xdr:row>30</xdr:row>
      <xdr:rowOff>74544</xdr:rowOff>
    </xdr:from>
    <xdr:to>
      <xdr:col>9</xdr:col>
      <xdr:colOff>33130</xdr:colOff>
      <xdr:row>32</xdr:row>
      <xdr:rowOff>171116</xdr:rowOff>
    </xdr:to>
    <xdr:sp macro="" textlink="">
      <xdr:nvSpPr>
        <xdr:cNvPr id="4" name="Rettangolo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F2396A-2614-4E03-9C52-25CB6A8B9705}"/>
            </a:ext>
          </a:extLst>
        </xdr:cNvPr>
        <xdr:cNvSpPr/>
      </xdr:nvSpPr>
      <xdr:spPr>
        <a:xfrm>
          <a:off x="8050695" y="6427305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Torna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SP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8</xdr:col>
      <xdr:colOff>107674</xdr:colOff>
      <xdr:row>31</xdr:row>
      <xdr:rowOff>24847</xdr:rowOff>
    </xdr:from>
    <xdr:to>
      <xdr:col>8</xdr:col>
      <xdr:colOff>1313768</xdr:colOff>
      <xdr:row>37</xdr:row>
      <xdr:rowOff>110856</xdr:rowOff>
    </xdr:to>
    <xdr:pic>
      <xdr:nvPicPr>
        <xdr:cNvPr id="8" name="Elemento grafico 7" descr="Freccia: leggera curva contorn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5BF27D-0BED-4CF8-9144-0975B800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9251674" y="6576390"/>
          <a:ext cx="1210235" cy="1114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62320</xdr:colOff>
      <xdr:row>7</xdr:row>
      <xdr:rowOff>180975</xdr:rowOff>
    </xdr:from>
    <xdr:to>
      <xdr:col>47</xdr:col>
      <xdr:colOff>84177</xdr:colOff>
      <xdr:row>11</xdr:row>
      <xdr:rowOff>97971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215220" y="2171700"/>
          <a:ext cx="1622057" cy="774246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4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ROE</a:t>
          </a:r>
          <a:endParaRPr lang="it-IT" sz="5100" b="1" kern="1200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  <a:latin typeface="Georgia" panose="020405020504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99057</xdr:colOff>
      <xdr:row>17</xdr:row>
      <xdr:rowOff>58783</xdr:rowOff>
    </xdr:from>
    <xdr:to>
      <xdr:col>17</xdr:col>
      <xdr:colOff>47624</xdr:colOff>
      <xdr:row>21</xdr:row>
      <xdr:rowOff>58910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41957" y="4792708"/>
          <a:ext cx="1548767" cy="10574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RN/RO</a:t>
          </a:r>
        </a:p>
      </xdr:txBody>
    </xdr:sp>
    <xdr:clientData/>
  </xdr:twoCellAnchor>
  <xdr:twoCellAnchor>
    <xdr:from>
      <xdr:col>32</xdr:col>
      <xdr:colOff>29662</xdr:colOff>
      <xdr:row>17</xdr:row>
      <xdr:rowOff>47625</xdr:rowOff>
    </xdr:from>
    <xdr:to>
      <xdr:col>47</xdr:col>
      <xdr:colOff>76200</xdr:colOff>
      <xdr:row>21</xdr:row>
      <xdr:rowOff>22170</xdr:rowOff>
    </xdr:to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3896812" y="3571875"/>
          <a:ext cx="1761038" cy="803220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RAP</a:t>
          </a: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.IND</a:t>
          </a:r>
        </a:p>
      </xdr:txBody>
    </xdr:sp>
    <xdr:clientData/>
  </xdr:twoCellAnchor>
  <xdr:twoCellAnchor>
    <xdr:from>
      <xdr:col>64</xdr:col>
      <xdr:colOff>33744</xdr:colOff>
      <xdr:row>17</xdr:row>
      <xdr:rowOff>26127</xdr:rowOff>
    </xdr:from>
    <xdr:to>
      <xdr:col>75</xdr:col>
      <xdr:colOff>35219</xdr:colOff>
      <xdr:row>21</xdr:row>
      <xdr:rowOff>26254</xdr:rowOff>
    </xdr:to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1158944" y="5000898"/>
          <a:ext cx="2211275" cy="107781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ROI</a:t>
          </a:r>
        </a:p>
      </xdr:txBody>
    </xdr:sp>
    <xdr:clientData/>
  </xdr:twoCellAnchor>
  <xdr:twoCellAnchor>
    <xdr:from>
      <xdr:col>44</xdr:col>
      <xdr:colOff>2931</xdr:colOff>
      <xdr:row>13</xdr:row>
      <xdr:rowOff>106973</xdr:rowOff>
    </xdr:from>
    <xdr:to>
      <xdr:col>50</xdr:col>
      <xdr:colOff>46893</xdr:colOff>
      <xdr:row>15</xdr:row>
      <xdr:rowOff>171450</xdr:rowOff>
    </xdr:to>
    <xdr:sp macro="" textlink="">
      <xdr:nvSpPr>
        <xdr:cNvPr id="14" name="Uguale a 5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241681" y="2793023"/>
          <a:ext cx="729762" cy="569302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76</xdr:col>
      <xdr:colOff>27584</xdr:colOff>
      <xdr:row>23</xdr:row>
      <xdr:rowOff>123782</xdr:rowOff>
    </xdr:from>
    <xdr:to>
      <xdr:col>82</xdr:col>
      <xdr:colOff>73787</xdr:colOff>
      <xdr:row>25</xdr:row>
      <xdr:rowOff>188259</xdr:rowOff>
    </xdr:to>
    <xdr:sp macro="" textlink="">
      <xdr:nvSpPr>
        <xdr:cNvPr id="22" name="Uguale a 56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479560" y="5350206"/>
          <a:ext cx="745451" cy="593394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17930</xdr:colOff>
      <xdr:row>21</xdr:row>
      <xdr:rowOff>202267</xdr:rowOff>
    </xdr:from>
    <xdr:to>
      <xdr:col>32</xdr:col>
      <xdr:colOff>89647</xdr:colOff>
      <xdr:row>24</xdr:row>
      <xdr:rowOff>157443</xdr:rowOff>
    </xdr:to>
    <xdr:sp macro="" textlink="">
      <xdr:nvSpPr>
        <xdr:cNvPr id="18" name="Segno di moltiplicazion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199280" y="4555192"/>
          <a:ext cx="757517" cy="545726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66</xdr:col>
      <xdr:colOff>262219</xdr:colOff>
      <xdr:row>30</xdr:row>
      <xdr:rowOff>94691</xdr:rowOff>
    </xdr:from>
    <xdr:to>
      <xdr:col>73</xdr:col>
      <xdr:colOff>45945</xdr:colOff>
      <xdr:row>33</xdr:row>
      <xdr:rowOff>49867</xdr:rowOff>
    </xdr:to>
    <xdr:sp macro="" textlink="">
      <xdr:nvSpPr>
        <xdr:cNvPr id="50" name="Segno di moltiplicazion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8329894" y="6362141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106</xdr:col>
      <xdr:colOff>81372</xdr:colOff>
      <xdr:row>35</xdr:row>
      <xdr:rowOff>159641</xdr:rowOff>
    </xdr:from>
    <xdr:to>
      <xdr:col>113</xdr:col>
      <xdr:colOff>11034</xdr:colOff>
      <xdr:row>37</xdr:row>
      <xdr:rowOff>224117</xdr:rowOff>
    </xdr:to>
    <xdr:sp macro="" textlink="">
      <xdr:nvSpPr>
        <xdr:cNvPr id="54" name="Uguale a 56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6226807" y="8819547"/>
          <a:ext cx="745451" cy="593394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47625</xdr:colOff>
      <xdr:row>43</xdr:row>
      <xdr:rowOff>122145</xdr:rowOff>
    </xdr:from>
    <xdr:to>
      <xdr:col>67</xdr:col>
      <xdr:colOff>7284</xdr:colOff>
      <xdr:row>45</xdr:row>
      <xdr:rowOff>184898</xdr:rowOff>
    </xdr:to>
    <xdr:sp macro="" textlink="">
      <xdr:nvSpPr>
        <xdr:cNvPr id="64" name="Segno di division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7658100" y="9628095"/>
          <a:ext cx="702609" cy="396128"/>
        </a:xfrm>
        <a:prstGeom prst="mathDivide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87086</xdr:colOff>
      <xdr:row>29</xdr:row>
      <xdr:rowOff>97971</xdr:rowOff>
    </xdr:from>
    <xdr:to>
      <xdr:col>15</xdr:col>
      <xdr:colOff>23247</xdr:colOff>
      <xdr:row>33</xdr:row>
      <xdr:rowOff>98099</xdr:rowOff>
    </xdr:to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33E6B815-5B83-43B7-BE20-FE3224BF7E7D}"/>
            </a:ext>
          </a:extLst>
        </xdr:cNvPr>
        <xdr:cNvSpPr txBox="1"/>
      </xdr:nvSpPr>
      <xdr:spPr>
        <a:xfrm>
          <a:off x="1763486" y="8534400"/>
          <a:ext cx="2211275" cy="107781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ROD</a:t>
          </a:r>
        </a:p>
      </xdr:txBody>
    </xdr:sp>
    <xdr:clientData/>
  </xdr:twoCellAnchor>
  <xdr:twoCellAnchor>
    <xdr:from>
      <xdr:col>38</xdr:col>
      <xdr:colOff>9525</xdr:colOff>
      <xdr:row>29</xdr:row>
      <xdr:rowOff>87086</xdr:rowOff>
    </xdr:from>
    <xdr:to>
      <xdr:col>52</xdr:col>
      <xdr:colOff>57150</xdr:colOff>
      <xdr:row>33</xdr:row>
      <xdr:rowOff>87214</xdr:rowOff>
    </xdr:to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6B4BB50C-E424-4F2B-B527-23E0EB75A3C6}"/>
            </a:ext>
          </a:extLst>
        </xdr:cNvPr>
        <xdr:cNvSpPr txBox="1"/>
      </xdr:nvSpPr>
      <xdr:spPr>
        <a:xfrm>
          <a:off x="5305425" y="7659461"/>
          <a:ext cx="1647825" cy="105740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ROTAZ.CI</a:t>
          </a:r>
        </a:p>
      </xdr:txBody>
    </xdr:sp>
    <xdr:clientData/>
  </xdr:twoCellAnchor>
  <xdr:twoCellAnchor>
    <xdr:from>
      <xdr:col>75</xdr:col>
      <xdr:colOff>88447</xdr:colOff>
      <xdr:row>29</xdr:row>
      <xdr:rowOff>95250</xdr:rowOff>
    </xdr:from>
    <xdr:to>
      <xdr:col>92</xdr:col>
      <xdr:colOff>68150</xdr:colOff>
      <xdr:row>33</xdr:row>
      <xdr:rowOff>95378</xdr:rowOff>
    </xdr:to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7B2E4ECD-317E-4DCF-81F9-53ACFC83514D}"/>
            </a:ext>
          </a:extLst>
        </xdr:cNvPr>
        <xdr:cNvSpPr txBox="1"/>
      </xdr:nvSpPr>
      <xdr:spPr>
        <a:xfrm>
          <a:off x="9356272" y="6772275"/>
          <a:ext cx="2113303" cy="895478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ROS</a:t>
          </a:r>
        </a:p>
      </xdr:txBody>
    </xdr:sp>
    <xdr:clientData/>
  </xdr:twoCellAnchor>
  <xdr:twoCellAnchor>
    <xdr:from>
      <xdr:col>40</xdr:col>
      <xdr:colOff>54428</xdr:colOff>
      <xdr:row>42</xdr:row>
      <xdr:rowOff>156482</xdr:rowOff>
    </xdr:from>
    <xdr:to>
      <xdr:col>49</xdr:col>
      <xdr:colOff>38099</xdr:colOff>
      <xdr:row>46</xdr:row>
      <xdr:rowOff>156609</xdr:rowOff>
    </xdr:to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86A59EC2-5B6D-4AA9-B08B-09D8940A1377}"/>
            </a:ext>
          </a:extLst>
        </xdr:cNvPr>
        <xdr:cNvSpPr txBox="1"/>
      </xdr:nvSpPr>
      <xdr:spPr>
        <a:xfrm>
          <a:off x="4835978" y="9414782"/>
          <a:ext cx="1012371" cy="8288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C.I.</a:t>
          </a:r>
        </a:p>
      </xdr:txBody>
    </xdr:sp>
    <xdr:clientData/>
  </xdr:twoCellAnchor>
  <xdr:twoCellAnchor>
    <xdr:from>
      <xdr:col>66</xdr:col>
      <xdr:colOff>238125</xdr:colOff>
      <xdr:row>42</xdr:row>
      <xdr:rowOff>142875</xdr:rowOff>
    </xdr:from>
    <xdr:to>
      <xdr:col>85</xdr:col>
      <xdr:colOff>28575</xdr:colOff>
      <xdr:row>46</xdr:row>
      <xdr:rowOff>137559</xdr:rowOff>
    </xdr:to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9A1AC70D-C68F-443F-97F7-1CEE9CA1473A}"/>
            </a:ext>
          </a:extLst>
        </xdr:cNvPr>
        <xdr:cNvSpPr txBox="1"/>
      </xdr:nvSpPr>
      <xdr:spPr>
        <a:xfrm>
          <a:off x="8305800" y="9401175"/>
          <a:ext cx="2133600" cy="823359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FATTURATO</a:t>
          </a:r>
        </a:p>
      </xdr:txBody>
    </xdr:sp>
    <xdr:clientData/>
  </xdr:twoCellAnchor>
  <xdr:twoCellAnchor>
    <xdr:from>
      <xdr:col>109</xdr:col>
      <xdr:colOff>88446</xdr:colOff>
      <xdr:row>42</xdr:row>
      <xdr:rowOff>170090</xdr:rowOff>
    </xdr:from>
    <xdr:to>
      <xdr:col>122</xdr:col>
      <xdr:colOff>24607</xdr:colOff>
      <xdr:row>46</xdr:row>
      <xdr:rowOff>170217</xdr:rowOff>
    </xdr:to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D0736A65-F863-4972-8235-FE68ECBA6579}"/>
            </a:ext>
          </a:extLst>
        </xdr:cNvPr>
        <xdr:cNvSpPr txBox="1"/>
      </xdr:nvSpPr>
      <xdr:spPr>
        <a:xfrm>
          <a:off x="13432971" y="9428390"/>
          <a:ext cx="1422061" cy="8288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</a:t>
          </a:r>
        </a:p>
      </xdr:txBody>
    </xdr:sp>
    <xdr:clientData/>
  </xdr:twoCellAnchor>
  <xdr:twoCellAnchor editAs="oneCell">
    <xdr:from>
      <xdr:col>80</xdr:col>
      <xdr:colOff>10885</xdr:colOff>
      <xdr:row>0</xdr:row>
      <xdr:rowOff>21772</xdr:rowOff>
    </xdr:from>
    <xdr:to>
      <xdr:col>99</xdr:col>
      <xdr:colOff>111599</xdr:colOff>
      <xdr:row>3</xdr:row>
      <xdr:rowOff>94706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2D394453-0DDD-48C0-96BB-C5977E57C0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6142" y="544286"/>
          <a:ext cx="2765153" cy="856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76</xdr:col>
      <xdr:colOff>32657</xdr:colOff>
      <xdr:row>4</xdr:row>
      <xdr:rowOff>97971</xdr:rowOff>
    </xdr:to>
    <xdr:sp macro="" textlink="">
      <xdr:nvSpPr>
        <xdr:cNvPr id="32" name="Rettangolo con angoli arrotondati 31">
          <a:extLst>
            <a:ext uri="{FF2B5EF4-FFF2-40B4-BE49-F238E27FC236}">
              <a16:creationId xmlns:a16="http://schemas.microsoft.com/office/drawing/2014/main" id="{968FAE5A-E02A-459E-BCDE-7913D2396A99}"/>
            </a:ext>
          </a:extLst>
        </xdr:cNvPr>
        <xdr:cNvSpPr/>
      </xdr:nvSpPr>
      <xdr:spPr>
        <a:xfrm>
          <a:off x="0" y="0"/>
          <a:ext cx="9414782" cy="108857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4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10</xdr:col>
      <xdr:colOff>78828</xdr:colOff>
      <xdr:row>23</xdr:row>
      <xdr:rowOff>85397</xdr:rowOff>
    </xdr:from>
    <xdr:to>
      <xdr:col>14</xdr:col>
      <xdr:colOff>91308</xdr:colOff>
      <xdr:row>27</xdr:row>
      <xdr:rowOff>75871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2FF9D9F0-158C-DACC-AF83-A0663B0D7C88}"/>
            </a:ext>
          </a:extLst>
        </xdr:cNvPr>
        <xdr:cNvCxnSpPr/>
      </xdr:nvCxnSpPr>
      <xdr:spPr>
        <a:xfrm flipH="1" flipV="1">
          <a:off x="1195552" y="4795345"/>
          <a:ext cx="459170" cy="995526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85725</xdr:colOff>
      <xdr:row>24</xdr:row>
      <xdr:rowOff>66675</xdr:rowOff>
    </xdr:from>
    <xdr:to>
      <xdr:col>37</xdr:col>
      <xdr:colOff>47625</xdr:colOff>
      <xdr:row>27</xdr:row>
      <xdr:rowOff>28575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37340211-136E-45B1-A7D5-9ECF9B2BAFB3}"/>
            </a:ext>
          </a:extLst>
        </xdr:cNvPr>
        <xdr:cNvCxnSpPr/>
      </xdr:nvCxnSpPr>
      <xdr:spPr>
        <a:xfrm flipH="1">
          <a:off x="2714625" y="5619750"/>
          <a:ext cx="1771650" cy="70485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47625</xdr:colOff>
      <xdr:row>24</xdr:row>
      <xdr:rowOff>152400</xdr:rowOff>
    </xdr:from>
    <xdr:to>
      <xdr:col>73</xdr:col>
      <xdr:colOff>28575</xdr:colOff>
      <xdr:row>27</xdr:row>
      <xdr:rowOff>161925</xdr:rowOff>
    </xdr:to>
    <xdr:cxnSp macro="">
      <xdr:nvCxnSpPr>
        <xdr:cNvPr id="12" name="Connettore 2 11">
          <a:extLst>
            <a:ext uri="{FF2B5EF4-FFF2-40B4-BE49-F238E27FC236}">
              <a16:creationId xmlns:a16="http://schemas.microsoft.com/office/drawing/2014/main" id="{357DAC25-DF86-4AF6-ACB7-6E18AEF6C4CC}"/>
            </a:ext>
          </a:extLst>
        </xdr:cNvPr>
        <xdr:cNvCxnSpPr/>
      </xdr:nvCxnSpPr>
      <xdr:spPr>
        <a:xfrm flipV="1">
          <a:off x="7315200" y="5705475"/>
          <a:ext cx="1752600" cy="752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104775</xdr:colOff>
      <xdr:row>24</xdr:row>
      <xdr:rowOff>171450</xdr:rowOff>
    </xdr:from>
    <xdr:to>
      <xdr:col>94</xdr:col>
      <xdr:colOff>47625</xdr:colOff>
      <xdr:row>27</xdr:row>
      <xdr:rowOff>95250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D7D4F876-4CFA-44F5-B3BA-00428C715652}"/>
            </a:ext>
          </a:extLst>
        </xdr:cNvPr>
        <xdr:cNvCxnSpPr/>
      </xdr:nvCxnSpPr>
      <xdr:spPr>
        <a:xfrm flipH="1" flipV="1">
          <a:off x="10287000" y="5114925"/>
          <a:ext cx="1390650" cy="6667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9525</xdr:colOff>
      <xdr:row>36</xdr:row>
      <xdr:rowOff>104775</xdr:rowOff>
    </xdr:from>
    <xdr:to>
      <xdr:col>55</xdr:col>
      <xdr:colOff>19050</xdr:colOff>
      <xdr:row>40</xdr:row>
      <xdr:rowOff>76200</xdr:rowOff>
    </xdr:to>
    <xdr:cxnSp macro="">
      <xdr:nvCxnSpPr>
        <xdr:cNvPr id="23" name="Connettore 2 22">
          <a:extLst>
            <a:ext uri="{FF2B5EF4-FFF2-40B4-BE49-F238E27FC236}">
              <a16:creationId xmlns:a16="http://schemas.microsoft.com/office/drawing/2014/main" id="{7755B56D-2C4D-4042-9F06-2F3A688B349C}"/>
            </a:ext>
          </a:extLst>
        </xdr:cNvPr>
        <xdr:cNvCxnSpPr/>
      </xdr:nvCxnSpPr>
      <xdr:spPr>
        <a:xfrm flipV="1">
          <a:off x="5705475" y="8258175"/>
          <a:ext cx="809625" cy="962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47625</xdr:colOff>
      <xdr:row>36</xdr:row>
      <xdr:rowOff>133350</xdr:rowOff>
    </xdr:from>
    <xdr:to>
      <xdr:col>75</xdr:col>
      <xdr:colOff>76200</xdr:colOff>
      <xdr:row>40</xdr:row>
      <xdr:rowOff>0</xdr:rowOff>
    </xdr:to>
    <xdr:cxnSp macro="">
      <xdr:nvCxnSpPr>
        <xdr:cNvPr id="26" name="Connettore 2 25">
          <a:extLst>
            <a:ext uri="{FF2B5EF4-FFF2-40B4-BE49-F238E27FC236}">
              <a16:creationId xmlns:a16="http://schemas.microsoft.com/office/drawing/2014/main" id="{188E2E14-5ADB-4950-95D1-B9ECDA0A51B1}"/>
            </a:ext>
          </a:extLst>
        </xdr:cNvPr>
        <xdr:cNvCxnSpPr/>
      </xdr:nvCxnSpPr>
      <xdr:spPr>
        <a:xfrm flipH="1" flipV="1">
          <a:off x="7429500" y="8286750"/>
          <a:ext cx="1914525" cy="857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104775</xdr:colOff>
      <xdr:row>36</xdr:row>
      <xdr:rowOff>209550</xdr:rowOff>
    </xdr:from>
    <xdr:to>
      <xdr:col>103</xdr:col>
      <xdr:colOff>66675</xdr:colOff>
      <xdr:row>39</xdr:row>
      <xdr:rowOff>219075</xdr:rowOff>
    </xdr:to>
    <xdr:cxnSp macro="">
      <xdr:nvCxnSpPr>
        <xdr:cNvPr id="28" name="Connettore 2 27">
          <a:extLst>
            <a:ext uri="{FF2B5EF4-FFF2-40B4-BE49-F238E27FC236}">
              <a16:creationId xmlns:a16="http://schemas.microsoft.com/office/drawing/2014/main" id="{089DBB16-B165-425F-8F04-96AAA10670C2}"/>
            </a:ext>
          </a:extLst>
        </xdr:cNvPr>
        <xdr:cNvCxnSpPr/>
      </xdr:nvCxnSpPr>
      <xdr:spPr>
        <a:xfrm flipV="1">
          <a:off x="10972800" y="8362950"/>
          <a:ext cx="1752600" cy="752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38100</xdr:colOff>
      <xdr:row>37</xdr:row>
      <xdr:rowOff>9525</xdr:rowOff>
    </xdr:from>
    <xdr:to>
      <xdr:col>127</xdr:col>
      <xdr:colOff>95250</xdr:colOff>
      <xdr:row>39</xdr:row>
      <xdr:rowOff>219075</xdr:rowOff>
    </xdr:to>
    <xdr:cxnSp macro="">
      <xdr:nvCxnSpPr>
        <xdr:cNvPr id="33" name="Connettore 2 32">
          <a:extLst>
            <a:ext uri="{FF2B5EF4-FFF2-40B4-BE49-F238E27FC236}">
              <a16:creationId xmlns:a16="http://schemas.microsoft.com/office/drawing/2014/main" id="{474F2AB0-BA43-42A8-AB86-5091BA4480ED}"/>
            </a:ext>
          </a:extLst>
        </xdr:cNvPr>
        <xdr:cNvCxnSpPr/>
      </xdr:nvCxnSpPr>
      <xdr:spPr>
        <a:xfrm flipH="1" flipV="1">
          <a:off x="14068425" y="8410575"/>
          <a:ext cx="1428750" cy="7048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85725</xdr:colOff>
      <xdr:row>43</xdr:row>
      <xdr:rowOff>123825</xdr:rowOff>
    </xdr:from>
    <xdr:to>
      <xdr:col>103</xdr:col>
      <xdr:colOff>102534</xdr:colOff>
      <xdr:row>45</xdr:row>
      <xdr:rowOff>186578</xdr:rowOff>
    </xdr:to>
    <xdr:sp macro="" textlink="">
      <xdr:nvSpPr>
        <xdr:cNvPr id="35" name="Segno di divisione 34">
          <a:extLst>
            <a:ext uri="{FF2B5EF4-FFF2-40B4-BE49-F238E27FC236}">
              <a16:creationId xmlns:a16="http://schemas.microsoft.com/office/drawing/2014/main" id="{A11B02CA-DB22-4B56-B48B-F71CE50AA024}"/>
            </a:ext>
          </a:extLst>
        </xdr:cNvPr>
        <xdr:cNvSpPr/>
      </xdr:nvSpPr>
      <xdr:spPr>
        <a:xfrm>
          <a:off x="12058650" y="9629775"/>
          <a:ext cx="702609" cy="396128"/>
        </a:xfrm>
        <a:prstGeom prst="mathDivide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82</xdr:col>
      <xdr:colOff>76200</xdr:colOff>
      <xdr:row>5</xdr:row>
      <xdr:rowOff>19050</xdr:rowOff>
    </xdr:from>
    <xdr:to>
      <xdr:col>99</xdr:col>
      <xdr:colOff>104361</xdr:colOff>
      <xdr:row>7</xdr:row>
      <xdr:rowOff>247729</xdr:rowOff>
    </xdr:to>
    <xdr:sp macro="" textlink="">
      <xdr:nvSpPr>
        <xdr:cNvPr id="37" name="Rettangolo 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578F06-829A-4521-BBA0-98E15E910A94}"/>
            </a:ext>
          </a:extLst>
        </xdr:cNvPr>
        <xdr:cNvSpPr/>
      </xdr:nvSpPr>
      <xdr:spPr>
        <a:xfrm>
          <a:off x="10144125" y="1257300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Torna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SP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92</xdr:col>
      <xdr:colOff>38100</xdr:colOff>
      <xdr:row>7</xdr:row>
      <xdr:rowOff>38100</xdr:rowOff>
    </xdr:from>
    <xdr:to>
      <xdr:col>102</xdr:col>
      <xdr:colOff>105336</xdr:colOff>
      <xdr:row>12</xdr:row>
      <xdr:rowOff>38660</xdr:rowOff>
    </xdr:to>
    <xdr:pic>
      <xdr:nvPicPr>
        <xdr:cNvPr id="38" name="Elemento grafico 37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6D3A57-A8A1-4274-BBDF-649F1718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11439525" y="1533525"/>
          <a:ext cx="1210235" cy="1114985"/>
        </a:xfrm>
        <a:prstGeom prst="rect">
          <a:avLst/>
        </a:prstGeom>
      </xdr:spPr>
    </xdr:pic>
    <xdr:clientData/>
  </xdr:twoCellAnchor>
  <xdr:twoCellAnchor>
    <xdr:from>
      <xdr:col>49</xdr:col>
      <xdr:colOff>57150</xdr:colOff>
      <xdr:row>61</xdr:row>
      <xdr:rowOff>66675</xdr:rowOff>
    </xdr:from>
    <xdr:to>
      <xdr:col>55</xdr:col>
      <xdr:colOff>101112</xdr:colOff>
      <xdr:row>64</xdr:row>
      <xdr:rowOff>64477</xdr:rowOff>
    </xdr:to>
    <xdr:sp macro="" textlink="">
      <xdr:nvSpPr>
        <xdr:cNvPr id="9" name="Uguale a 56">
          <a:extLst>
            <a:ext uri="{FF2B5EF4-FFF2-40B4-BE49-F238E27FC236}">
              <a16:creationId xmlns:a16="http://schemas.microsoft.com/office/drawing/2014/main" id="{5A8CDAC0-6FE1-41F8-B239-682F87ACD85C}"/>
            </a:ext>
          </a:extLst>
        </xdr:cNvPr>
        <xdr:cNvSpPr/>
      </xdr:nvSpPr>
      <xdr:spPr>
        <a:xfrm>
          <a:off x="5772150" y="12897410"/>
          <a:ext cx="716315" cy="569302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12440</xdr:colOff>
      <xdr:row>53</xdr:row>
      <xdr:rowOff>12635</xdr:rowOff>
    </xdr:from>
    <xdr:to>
      <xdr:col>64</xdr:col>
      <xdr:colOff>75525</xdr:colOff>
      <xdr:row>60</xdr:row>
      <xdr:rowOff>180198</xdr:rowOff>
    </xdr:to>
    <xdr:grpSp>
      <xdr:nvGrpSpPr>
        <xdr:cNvPr id="71" name="Gruppo 70">
          <a:extLst>
            <a:ext uri="{FF2B5EF4-FFF2-40B4-BE49-F238E27FC236}">
              <a16:creationId xmlns:a16="http://schemas.microsoft.com/office/drawing/2014/main" id="{24C36E6F-DEB1-96E3-529F-8BBC073F0F2C}"/>
            </a:ext>
          </a:extLst>
        </xdr:cNvPr>
        <xdr:cNvGrpSpPr/>
      </xdr:nvGrpSpPr>
      <xdr:grpSpPr>
        <a:xfrm>
          <a:off x="4472768" y="11462342"/>
          <a:ext cx="3459240" cy="1402528"/>
          <a:chOff x="4457699" y="11363325"/>
          <a:chExt cx="3346877" cy="1390650"/>
        </a:xfrm>
      </xdr:grpSpPr>
      <xdr:pic>
        <xdr:nvPicPr>
          <xdr:cNvPr id="69" name="Immagine 68">
            <a:extLst>
              <a:ext uri="{FF2B5EF4-FFF2-40B4-BE49-F238E27FC236}">
                <a16:creationId xmlns:a16="http://schemas.microsoft.com/office/drawing/2014/main" id="{9D913B2F-5AF7-7302-792D-BBE82A4D1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57699" y="11363325"/>
            <a:ext cx="3346877" cy="1390650"/>
          </a:xfrm>
          <a:prstGeom prst="rect">
            <a:avLst/>
          </a:prstGeom>
        </xdr:spPr>
      </xdr:pic>
      <xdr:sp macro="" textlink="">
        <xdr:nvSpPr>
          <xdr:cNvPr id="19" name="CasellaDiTesto 18">
            <a:extLst>
              <a:ext uri="{FF2B5EF4-FFF2-40B4-BE49-F238E27FC236}">
                <a16:creationId xmlns:a16="http://schemas.microsoft.com/office/drawing/2014/main" id="{9CA102C8-E552-46AD-810C-92A6635243CC}"/>
              </a:ext>
            </a:extLst>
          </xdr:cNvPr>
          <xdr:cNvSpPr txBox="1"/>
        </xdr:nvSpPr>
        <xdr:spPr>
          <a:xfrm>
            <a:off x="4600574" y="11668125"/>
            <a:ext cx="1924248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94310" tIns="194310" rIns="19431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40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ROE</a:t>
            </a:r>
            <a:endParaRPr lang="it-IT" sz="51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20" name="CasellaDiTesto 19">
            <a:extLst>
              <a:ext uri="{FF2B5EF4-FFF2-40B4-BE49-F238E27FC236}">
                <a16:creationId xmlns:a16="http://schemas.microsoft.com/office/drawing/2014/main" id="{6C4DC130-7C41-32A8-A2CE-10C5A77EE81C}"/>
              </a:ext>
            </a:extLst>
          </xdr:cNvPr>
          <xdr:cNvSpPr txBox="1"/>
        </xdr:nvSpPr>
        <xdr:spPr>
          <a:xfrm>
            <a:off x="6715125" y="11458575"/>
            <a:ext cx="904875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5">
        <xdr:nvSpPr>
          <xdr:cNvPr id="24" name="CasellaDiTesto 23">
            <a:extLst>
              <a:ext uri="{FF2B5EF4-FFF2-40B4-BE49-F238E27FC236}">
                <a16:creationId xmlns:a16="http://schemas.microsoft.com/office/drawing/2014/main" id="{EAFDCE81-3455-41DA-8A31-51E4BB897A0E}"/>
              </a:ext>
            </a:extLst>
          </xdr:cNvPr>
          <xdr:cNvSpPr txBox="1"/>
        </xdr:nvSpPr>
        <xdr:spPr>
          <a:xfrm>
            <a:off x="6616458" y="11751706"/>
            <a:ext cx="1028701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marL="0" indent="0" algn="ctr"/>
            <a:fld id="{161E75FE-5451-4212-A70C-4B08398D3ABB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  <a:ea typeface="+mn-ea"/>
                <a:cs typeface="+mn-cs"/>
              </a:rPr>
              <a:pPr marL="0" indent="0" algn="ctr"/>
              <a:t>31,1%</a:t>
            </a:fld>
            <a:endParaRPr lang="it-IT" sz="1600" b="0" i="0" u="none" strike="noStrike">
              <a:solidFill>
                <a:srgbClr val="000000"/>
              </a:solidFill>
              <a:latin typeface="Georgia" panose="02040502050405020303" pitchFamily="18" charset="0"/>
              <a:ea typeface="+mn-ea"/>
              <a:cs typeface="+mn-cs"/>
            </a:endParaRPr>
          </a:p>
        </xdr:txBody>
      </xdr:sp>
      <xdr:sp macro="" textlink="SP!C8">
        <xdr:nvSpPr>
          <xdr:cNvPr id="25" name="CasellaDiTesto 24">
            <a:extLst>
              <a:ext uri="{FF2B5EF4-FFF2-40B4-BE49-F238E27FC236}">
                <a16:creationId xmlns:a16="http://schemas.microsoft.com/office/drawing/2014/main" id="{055E1BE6-8477-470C-9B37-53A1FB3B5250}"/>
              </a:ext>
            </a:extLst>
          </xdr:cNvPr>
          <xdr:cNvSpPr txBox="1"/>
        </xdr:nvSpPr>
        <xdr:spPr>
          <a:xfrm>
            <a:off x="6629399" y="12115800"/>
            <a:ext cx="981076" cy="2190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5">
        <xdr:nvSpPr>
          <xdr:cNvPr id="27" name="CasellaDiTesto 26">
            <a:extLst>
              <a:ext uri="{FF2B5EF4-FFF2-40B4-BE49-F238E27FC236}">
                <a16:creationId xmlns:a16="http://schemas.microsoft.com/office/drawing/2014/main" id="{4D1EF3A7-B13A-4AAF-A744-17C514FEA5E9}"/>
              </a:ext>
            </a:extLst>
          </xdr:cNvPr>
          <xdr:cNvSpPr txBox="1"/>
        </xdr:nvSpPr>
        <xdr:spPr>
          <a:xfrm>
            <a:off x="6619874" y="12392025"/>
            <a:ext cx="1009651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B9A431B5-2541-4299-B057-F2976A6E436B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18,1%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1</xdr:col>
      <xdr:colOff>38100</xdr:colOff>
      <xdr:row>66</xdr:row>
      <xdr:rowOff>38100</xdr:rowOff>
    </xdr:from>
    <xdr:to>
      <xdr:col>26</xdr:col>
      <xdr:colOff>83820</xdr:colOff>
      <xdr:row>72</xdr:row>
      <xdr:rowOff>167640</xdr:rowOff>
    </xdr:to>
    <xdr:grpSp>
      <xdr:nvGrpSpPr>
        <xdr:cNvPr id="72" name="Gruppo 71">
          <a:extLst>
            <a:ext uri="{FF2B5EF4-FFF2-40B4-BE49-F238E27FC236}">
              <a16:creationId xmlns:a16="http://schemas.microsoft.com/office/drawing/2014/main" id="{27D236F1-F273-A3DB-2CF2-C0374C6DECAF}"/>
            </a:ext>
          </a:extLst>
        </xdr:cNvPr>
        <xdr:cNvGrpSpPr/>
      </xdr:nvGrpSpPr>
      <xdr:grpSpPr>
        <a:xfrm>
          <a:off x="149772" y="13865772"/>
          <a:ext cx="3054307" cy="1272540"/>
          <a:chOff x="152400" y="13801725"/>
          <a:chExt cx="3112770" cy="1272540"/>
        </a:xfrm>
      </xdr:grpSpPr>
      <xdr:pic>
        <xdr:nvPicPr>
          <xdr:cNvPr id="70" name="Immagine 69">
            <a:extLst>
              <a:ext uri="{FF2B5EF4-FFF2-40B4-BE49-F238E27FC236}">
                <a16:creationId xmlns:a16="http://schemas.microsoft.com/office/drawing/2014/main" id="{0256F1E9-C5CA-6836-A241-D1D59B6241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0025" y="13801725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34" name="CasellaDiTesto 33">
            <a:extLst>
              <a:ext uri="{FF2B5EF4-FFF2-40B4-BE49-F238E27FC236}">
                <a16:creationId xmlns:a16="http://schemas.microsoft.com/office/drawing/2014/main" id="{C562018F-9CC7-43A2-9692-4E0FF3C3F7BD}"/>
              </a:ext>
            </a:extLst>
          </xdr:cNvPr>
          <xdr:cNvSpPr txBox="1"/>
        </xdr:nvSpPr>
        <xdr:spPr>
          <a:xfrm>
            <a:off x="152400" y="14030325"/>
            <a:ext cx="2057400" cy="819150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40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RN/ Ricavi</a:t>
            </a:r>
            <a:endParaRPr lang="it-IT" sz="51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36" name="CasellaDiTesto 35">
            <a:extLst>
              <a:ext uri="{FF2B5EF4-FFF2-40B4-BE49-F238E27FC236}">
                <a16:creationId xmlns:a16="http://schemas.microsoft.com/office/drawing/2014/main" id="{97E9D7EC-C964-4697-A009-6E47AB29AE29}"/>
              </a:ext>
            </a:extLst>
          </xdr:cNvPr>
          <xdr:cNvSpPr txBox="1"/>
        </xdr:nvSpPr>
        <xdr:spPr>
          <a:xfrm>
            <a:off x="2143126" y="13896975"/>
            <a:ext cx="962023" cy="1905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6">
        <xdr:nvSpPr>
          <xdr:cNvPr id="39" name="CasellaDiTesto 38">
            <a:extLst>
              <a:ext uri="{FF2B5EF4-FFF2-40B4-BE49-F238E27FC236}">
                <a16:creationId xmlns:a16="http://schemas.microsoft.com/office/drawing/2014/main" id="{3C4A9364-615B-418A-9D35-0C609766D0B3}"/>
              </a:ext>
            </a:extLst>
          </xdr:cNvPr>
          <xdr:cNvSpPr txBox="1"/>
        </xdr:nvSpPr>
        <xdr:spPr>
          <a:xfrm>
            <a:off x="2162175" y="14144626"/>
            <a:ext cx="949901" cy="17929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90241C5-D4CA-4BC3-A4CE-DB80CDCDE2EE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3%</a:t>
            </a:fld>
            <a:endParaRPr lang="it-IT" sz="1600">
              <a:latin typeface="Georgia" panose="02040502050405020303" pitchFamily="18" charset="0"/>
            </a:endParaRPr>
          </a:p>
        </xdr:txBody>
      </xdr:sp>
      <xdr:sp macro="" textlink="SP!C8">
        <xdr:nvSpPr>
          <xdr:cNvPr id="40" name="CasellaDiTesto 39">
            <a:extLst>
              <a:ext uri="{FF2B5EF4-FFF2-40B4-BE49-F238E27FC236}">
                <a16:creationId xmlns:a16="http://schemas.microsoft.com/office/drawing/2014/main" id="{E9429035-3A73-4BEA-8629-2EDD6EABCC36}"/>
              </a:ext>
            </a:extLst>
          </xdr:cNvPr>
          <xdr:cNvSpPr txBox="1"/>
        </xdr:nvSpPr>
        <xdr:spPr>
          <a:xfrm>
            <a:off x="2162176" y="14514419"/>
            <a:ext cx="893114" cy="1921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6">
        <xdr:nvSpPr>
          <xdr:cNvPr id="41" name="CasellaDiTesto 40">
            <a:extLst>
              <a:ext uri="{FF2B5EF4-FFF2-40B4-BE49-F238E27FC236}">
                <a16:creationId xmlns:a16="http://schemas.microsoft.com/office/drawing/2014/main" id="{AAE9D0FC-B364-4022-867F-133C61534B46}"/>
              </a:ext>
            </a:extLst>
          </xdr:cNvPr>
          <xdr:cNvSpPr txBox="1"/>
        </xdr:nvSpPr>
        <xdr:spPr>
          <a:xfrm>
            <a:off x="2171700" y="14735175"/>
            <a:ext cx="93345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24C13E31-4AEF-46C5-B63D-02142B2DAC7A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38</xdr:col>
      <xdr:colOff>38101</xdr:colOff>
      <xdr:row>65</xdr:row>
      <xdr:rowOff>169769</xdr:rowOff>
    </xdr:from>
    <xdr:to>
      <xdr:col>63</xdr:col>
      <xdr:colOff>28350</xdr:colOff>
      <xdr:row>72</xdr:row>
      <xdr:rowOff>108809</xdr:rowOff>
    </xdr:to>
    <xdr:grpSp>
      <xdr:nvGrpSpPr>
        <xdr:cNvPr id="74" name="Gruppo 73">
          <a:extLst>
            <a:ext uri="{FF2B5EF4-FFF2-40B4-BE49-F238E27FC236}">
              <a16:creationId xmlns:a16="http://schemas.microsoft.com/office/drawing/2014/main" id="{E0FC5E9E-815D-6C71-5954-47CEB9773A32}"/>
            </a:ext>
          </a:extLst>
        </xdr:cNvPr>
        <xdr:cNvGrpSpPr/>
      </xdr:nvGrpSpPr>
      <xdr:grpSpPr>
        <a:xfrm>
          <a:off x="4498429" y="13806941"/>
          <a:ext cx="3274731" cy="1272540"/>
          <a:chOff x="4505326" y="13761944"/>
          <a:chExt cx="3161842" cy="1272540"/>
        </a:xfrm>
      </xdr:grpSpPr>
      <xdr:pic>
        <xdr:nvPicPr>
          <xdr:cNvPr id="73" name="Immagine 72">
            <a:extLst>
              <a:ext uri="{FF2B5EF4-FFF2-40B4-BE49-F238E27FC236}">
                <a16:creationId xmlns:a16="http://schemas.microsoft.com/office/drawing/2014/main" id="{E7BB92BF-2E03-D824-A3D1-307AEC032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02023" y="13761944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5" name="CasellaDiTesto 44">
            <a:extLst>
              <a:ext uri="{FF2B5EF4-FFF2-40B4-BE49-F238E27FC236}">
                <a16:creationId xmlns:a16="http://schemas.microsoft.com/office/drawing/2014/main" id="{547B683F-9CAF-46B2-B4EF-D4925E85BFB8}"/>
              </a:ext>
            </a:extLst>
          </xdr:cNvPr>
          <xdr:cNvSpPr txBox="1"/>
        </xdr:nvSpPr>
        <xdr:spPr>
          <a:xfrm>
            <a:off x="4505326" y="14049375"/>
            <a:ext cx="2095499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36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ROTAZ. CI</a:t>
            </a:r>
            <a:endParaRPr lang="it-IT" sz="48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46" name="CasellaDiTesto 45">
            <a:extLst>
              <a:ext uri="{FF2B5EF4-FFF2-40B4-BE49-F238E27FC236}">
                <a16:creationId xmlns:a16="http://schemas.microsoft.com/office/drawing/2014/main" id="{161F3E2B-CADD-48B7-B4C7-160D343EC4D6}"/>
              </a:ext>
            </a:extLst>
          </xdr:cNvPr>
          <xdr:cNvSpPr txBox="1"/>
        </xdr:nvSpPr>
        <xdr:spPr>
          <a:xfrm>
            <a:off x="6619044" y="13905940"/>
            <a:ext cx="855757" cy="1686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7">
        <xdr:nvSpPr>
          <xdr:cNvPr id="47" name="CasellaDiTesto 46">
            <a:extLst>
              <a:ext uri="{FF2B5EF4-FFF2-40B4-BE49-F238E27FC236}">
                <a16:creationId xmlns:a16="http://schemas.microsoft.com/office/drawing/2014/main" id="{D2C3310A-C3CD-4788-B874-2C2CCFCA2412}"/>
              </a:ext>
            </a:extLst>
          </xdr:cNvPr>
          <xdr:cNvSpPr txBox="1"/>
        </xdr:nvSpPr>
        <xdr:spPr>
          <a:xfrm>
            <a:off x="6630016" y="14130057"/>
            <a:ext cx="833811" cy="16976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D7DF0E63-9E77-424E-AFB8-1A9A8392E1D6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220%</a:t>
            </a:fld>
            <a:endParaRPr lang="it-IT" sz="1600">
              <a:latin typeface="Georgia" panose="02040502050405020303" pitchFamily="18" charset="0"/>
            </a:endParaRPr>
          </a:p>
        </xdr:txBody>
      </xdr:sp>
      <xdr:sp macro="" textlink="SP!C8">
        <xdr:nvSpPr>
          <xdr:cNvPr id="48" name="CasellaDiTesto 47">
            <a:extLst>
              <a:ext uri="{FF2B5EF4-FFF2-40B4-BE49-F238E27FC236}">
                <a16:creationId xmlns:a16="http://schemas.microsoft.com/office/drawing/2014/main" id="{CC599E61-C360-43CA-8B59-517B3F58E942}"/>
              </a:ext>
            </a:extLst>
          </xdr:cNvPr>
          <xdr:cNvSpPr txBox="1"/>
        </xdr:nvSpPr>
        <xdr:spPr>
          <a:xfrm>
            <a:off x="6553200" y="14458950"/>
            <a:ext cx="952500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7">
        <xdr:nvSpPr>
          <xdr:cNvPr id="49" name="CasellaDiTesto 48">
            <a:extLst>
              <a:ext uri="{FF2B5EF4-FFF2-40B4-BE49-F238E27FC236}">
                <a16:creationId xmlns:a16="http://schemas.microsoft.com/office/drawing/2014/main" id="{3C1912B4-E556-4A26-A7FA-E1737775FACE}"/>
              </a:ext>
            </a:extLst>
          </xdr:cNvPr>
          <xdr:cNvSpPr txBox="1"/>
        </xdr:nvSpPr>
        <xdr:spPr>
          <a:xfrm>
            <a:off x="6618854" y="14746381"/>
            <a:ext cx="886846" cy="168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E7292182-9843-4BEC-8B86-904DBE4624A1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214%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71</xdr:col>
      <xdr:colOff>66676</xdr:colOff>
      <xdr:row>66</xdr:row>
      <xdr:rowOff>9525</xdr:rowOff>
    </xdr:from>
    <xdr:to>
      <xdr:col>98</xdr:col>
      <xdr:colOff>7620</xdr:colOff>
      <xdr:row>72</xdr:row>
      <xdr:rowOff>139065</xdr:rowOff>
    </xdr:to>
    <xdr:grpSp>
      <xdr:nvGrpSpPr>
        <xdr:cNvPr id="76" name="Gruppo 75">
          <a:extLst>
            <a:ext uri="{FF2B5EF4-FFF2-40B4-BE49-F238E27FC236}">
              <a16:creationId xmlns:a16="http://schemas.microsoft.com/office/drawing/2014/main" id="{BBFF0F88-D5AF-56C8-F423-AE25532482DF}"/>
            </a:ext>
          </a:extLst>
        </xdr:cNvPr>
        <xdr:cNvGrpSpPr/>
      </xdr:nvGrpSpPr>
      <xdr:grpSpPr>
        <a:xfrm>
          <a:off x="8882228" y="13837197"/>
          <a:ext cx="3323961" cy="1272540"/>
          <a:chOff x="8877301" y="13773150"/>
          <a:chExt cx="3217544" cy="1272540"/>
        </a:xfrm>
      </xdr:grpSpPr>
      <xdr:pic>
        <xdr:nvPicPr>
          <xdr:cNvPr id="75" name="Immagine 74">
            <a:extLst>
              <a:ext uri="{FF2B5EF4-FFF2-40B4-BE49-F238E27FC236}">
                <a16:creationId xmlns:a16="http://schemas.microsoft.com/office/drawing/2014/main" id="{62D7A87F-F591-C69D-A6B8-7D2C8CE5EB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29700" y="13773150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52" name="CasellaDiTesto 51">
            <a:extLst>
              <a:ext uri="{FF2B5EF4-FFF2-40B4-BE49-F238E27FC236}">
                <a16:creationId xmlns:a16="http://schemas.microsoft.com/office/drawing/2014/main" id="{1430BEA4-A8AF-4746-AC3D-E3EA538AE858}"/>
              </a:ext>
            </a:extLst>
          </xdr:cNvPr>
          <xdr:cNvSpPr txBox="1"/>
        </xdr:nvSpPr>
        <xdr:spPr>
          <a:xfrm>
            <a:off x="8877301" y="14020800"/>
            <a:ext cx="2076449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36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RAP.</a:t>
            </a:r>
            <a:r>
              <a:rPr lang="it-IT" sz="3600" b="1" kern="1200" cap="none" spc="0" baseline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 IND.</a:t>
            </a:r>
            <a:endParaRPr lang="it-IT" sz="48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53" name="CasellaDiTesto 52">
            <a:extLst>
              <a:ext uri="{FF2B5EF4-FFF2-40B4-BE49-F238E27FC236}">
                <a16:creationId xmlns:a16="http://schemas.microsoft.com/office/drawing/2014/main" id="{25705657-D7F0-41EC-8DF0-843E63055A0A}"/>
              </a:ext>
            </a:extLst>
          </xdr:cNvPr>
          <xdr:cNvSpPr txBox="1"/>
        </xdr:nvSpPr>
        <xdr:spPr>
          <a:xfrm>
            <a:off x="10972802" y="13868400"/>
            <a:ext cx="962023" cy="20954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8">
        <xdr:nvSpPr>
          <xdr:cNvPr id="55" name="CasellaDiTesto 54">
            <a:extLst>
              <a:ext uri="{FF2B5EF4-FFF2-40B4-BE49-F238E27FC236}">
                <a16:creationId xmlns:a16="http://schemas.microsoft.com/office/drawing/2014/main" id="{6B4CE503-A0C5-4CB9-B2FD-608621363CD9}"/>
              </a:ext>
            </a:extLst>
          </xdr:cNvPr>
          <xdr:cNvSpPr txBox="1"/>
        </xdr:nvSpPr>
        <xdr:spPr>
          <a:xfrm>
            <a:off x="11014966" y="14116050"/>
            <a:ext cx="920162" cy="2302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410571CA-AA3C-4F0C-B958-964BD2D07F15}" type="TxLink">
              <a:rPr lang="en-US" sz="12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413%</a:t>
            </a:fld>
            <a:endParaRPr lang="it-IT" sz="1200">
              <a:latin typeface="Georgia" panose="02040502050405020303" pitchFamily="18" charset="0"/>
            </a:endParaRPr>
          </a:p>
        </xdr:txBody>
      </xdr:sp>
      <xdr:sp macro="" textlink="SP!C8">
        <xdr:nvSpPr>
          <xdr:cNvPr id="56" name="CasellaDiTesto 55">
            <a:extLst>
              <a:ext uri="{FF2B5EF4-FFF2-40B4-BE49-F238E27FC236}">
                <a16:creationId xmlns:a16="http://schemas.microsoft.com/office/drawing/2014/main" id="{05626005-DA73-4177-A3E9-7ABF8D763DB3}"/>
              </a:ext>
            </a:extLst>
          </xdr:cNvPr>
          <xdr:cNvSpPr txBox="1"/>
        </xdr:nvSpPr>
        <xdr:spPr>
          <a:xfrm>
            <a:off x="10982325" y="14449425"/>
            <a:ext cx="97155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8">
        <xdr:nvSpPr>
          <xdr:cNvPr id="57" name="CasellaDiTesto 56">
            <a:extLst>
              <a:ext uri="{FF2B5EF4-FFF2-40B4-BE49-F238E27FC236}">
                <a16:creationId xmlns:a16="http://schemas.microsoft.com/office/drawing/2014/main" id="{35DC3B0A-B3D1-45F3-9799-75F2990E6D56}"/>
              </a:ext>
            </a:extLst>
          </xdr:cNvPr>
          <xdr:cNvSpPr txBox="1"/>
        </xdr:nvSpPr>
        <xdr:spPr>
          <a:xfrm>
            <a:off x="10991850" y="14716125"/>
            <a:ext cx="94297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2E2549B4-B53C-4D89-B660-0F90D7C9E99F}" type="TxLink">
              <a:rPr lang="en-US" sz="12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542%</a:t>
            </a:fld>
            <a:endParaRPr lang="it-IT" sz="12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30</xdr:col>
      <xdr:colOff>19050</xdr:colOff>
      <xdr:row>67</xdr:row>
      <xdr:rowOff>123825</xdr:rowOff>
    </xdr:from>
    <xdr:to>
      <xdr:col>36</xdr:col>
      <xdr:colOff>88526</xdr:colOff>
      <xdr:row>70</xdr:row>
      <xdr:rowOff>88526</xdr:rowOff>
    </xdr:to>
    <xdr:sp macro="" textlink="">
      <xdr:nvSpPr>
        <xdr:cNvPr id="63" name="Segno di moltiplicazione 62">
          <a:extLst>
            <a:ext uri="{FF2B5EF4-FFF2-40B4-BE49-F238E27FC236}">
              <a16:creationId xmlns:a16="http://schemas.microsoft.com/office/drawing/2014/main" id="{EFFD86BF-BFDD-4F98-9817-C08A9DFBC436}"/>
            </a:ext>
          </a:extLst>
        </xdr:cNvPr>
        <xdr:cNvSpPr/>
      </xdr:nvSpPr>
      <xdr:spPr>
        <a:xfrm>
          <a:off x="3657600" y="13877925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65</xdr:col>
      <xdr:colOff>66675</xdr:colOff>
      <xdr:row>67</xdr:row>
      <xdr:rowOff>85725</xdr:rowOff>
    </xdr:from>
    <xdr:to>
      <xdr:col>70</xdr:col>
      <xdr:colOff>79001</xdr:colOff>
      <xdr:row>70</xdr:row>
      <xdr:rowOff>50426</xdr:rowOff>
    </xdr:to>
    <xdr:sp macro="" textlink="">
      <xdr:nvSpPr>
        <xdr:cNvPr id="68" name="Segno di moltiplicazione 67">
          <a:extLst>
            <a:ext uri="{FF2B5EF4-FFF2-40B4-BE49-F238E27FC236}">
              <a16:creationId xmlns:a16="http://schemas.microsoft.com/office/drawing/2014/main" id="{BFB9E8FB-B00F-4D58-A5EF-080E691823BA}"/>
            </a:ext>
          </a:extLst>
        </xdr:cNvPr>
        <xdr:cNvSpPr/>
      </xdr:nvSpPr>
      <xdr:spPr>
        <a:xfrm>
          <a:off x="8020050" y="13839825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55</xdr:col>
      <xdr:colOff>298258</xdr:colOff>
      <xdr:row>88</xdr:row>
      <xdr:rowOff>15550</xdr:rowOff>
    </xdr:from>
    <xdr:to>
      <xdr:col>60</xdr:col>
      <xdr:colOff>6456</xdr:colOff>
      <xdr:row>91</xdr:row>
      <xdr:rowOff>13352</xdr:rowOff>
    </xdr:to>
    <xdr:sp macro="" textlink="">
      <xdr:nvSpPr>
        <xdr:cNvPr id="83" name="Uguale a 56">
          <a:extLst>
            <a:ext uri="{FF2B5EF4-FFF2-40B4-BE49-F238E27FC236}">
              <a16:creationId xmlns:a16="http://schemas.microsoft.com/office/drawing/2014/main" id="{985D919E-FD3D-4A9F-914B-1B911B6DE0DB}"/>
            </a:ext>
          </a:extLst>
        </xdr:cNvPr>
        <xdr:cNvSpPr/>
      </xdr:nvSpPr>
      <xdr:spPr>
        <a:xfrm>
          <a:off x="6685611" y="17989785"/>
          <a:ext cx="705521" cy="569302"/>
        </a:xfrm>
        <a:prstGeom prst="mathEqual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14300" prst="hardEdge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76</xdr:col>
      <xdr:colOff>38878</xdr:colOff>
      <xdr:row>96</xdr:row>
      <xdr:rowOff>155510</xdr:rowOff>
    </xdr:from>
    <xdr:ext cx="184731" cy="655885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7C7CE275-F7E2-02FA-FC0B-39518D9566D0}"/>
            </a:ext>
          </a:extLst>
        </xdr:cNvPr>
        <xdr:cNvSpPr txBox="1"/>
      </xdr:nvSpPr>
      <xdr:spPr>
        <a:xfrm>
          <a:off x="9664959" y="19648714"/>
          <a:ext cx="1847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3600"/>
        </a:p>
      </xdr:txBody>
    </xdr:sp>
    <xdr:clientData/>
  </xdr:oneCellAnchor>
  <xdr:twoCellAnchor>
    <xdr:from>
      <xdr:col>72</xdr:col>
      <xdr:colOff>105289</xdr:colOff>
      <xdr:row>93</xdr:row>
      <xdr:rowOff>105426</xdr:rowOff>
    </xdr:from>
    <xdr:to>
      <xdr:col>79</xdr:col>
      <xdr:colOff>67851</xdr:colOff>
      <xdr:row>96</xdr:row>
      <xdr:rowOff>70125</xdr:rowOff>
    </xdr:to>
    <xdr:sp macro="" textlink="">
      <xdr:nvSpPr>
        <xdr:cNvPr id="106" name="Segno di moltiplicazione 105">
          <a:extLst>
            <a:ext uri="{FF2B5EF4-FFF2-40B4-BE49-F238E27FC236}">
              <a16:creationId xmlns:a16="http://schemas.microsoft.com/office/drawing/2014/main" id="{6F5733A9-57E6-4660-A981-69B6E815AFBF}"/>
            </a:ext>
          </a:extLst>
        </xdr:cNvPr>
        <xdr:cNvSpPr/>
      </xdr:nvSpPr>
      <xdr:spPr>
        <a:xfrm>
          <a:off x="9013965" y="19032161"/>
          <a:ext cx="746974" cy="536199"/>
        </a:xfrm>
        <a:prstGeom prst="mathMultiply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01600" prst="riblet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69</xdr:col>
      <xdr:colOff>46653</xdr:colOff>
      <xdr:row>96</xdr:row>
      <xdr:rowOff>101082</xdr:rowOff>
    </xdr:from>
    <xdr:ext cx="184731" cy="655885"/>
    <xdr:sp macro="" textlink="">
      <xdr:nvSpPr>
        <xdr:cNvPr id="110" name="CasellaDiTesto 109">
          <a:extLst>
            <a:ext uri="{FF2B5EF4-FFF2-40B4-BE49-F238E27FC236}">
              <a16:creationId xmlns:a16="http://schemas.microsoft.com/office/drawing/2014/main" id="{D7FDE8F1-F3DC-A878-A0CD-EB38AB317C3D}"/>
            </a:ext>
          </a:extLst>
        </xdr:cNvPr>
        <xdr:cNvSpPr txBox="1"/>
      </xdr:nvSpPr>
      <xdr:spPr>
        <a:xfrm>
          <a:off x="8856306" y="19594286"/>
          <a:ext cx="1847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3600"/>
        </a:p>
      </xdr:txBody>
    </xdr:sp>
    <xdr:clientData/>
  </xdr:oneCellAnchor>
  <xdr:oneCellAnchor>
    <xdr:from>
      <xdr:col>35</xdr:col>
      <xdr:colOff>76842</xdr:colOff>
      <xdr:row>92</xdr:row>
      <xdr:rowOff>54201</xdr:rowOff>
    </xdr:from>
    <xdr:ext cx="1106455" cy="937629"/>
    <xdr:sp macro="" textlink="">
      <xdr:nvSpPr>
        <xdr:cNvPr id="111" name="Rettangolo 110">
          <a:extLst>
            <a:ext uri="{FF2B5EF4-FFF2-40B4-BE49-F238E27FC236}">
              <a16:creationId xmlns:a16="http://schemas.microsoft.com/office/drawing/2014/main" id="{60A13B85-F941-9DDB-27B4-B17B46083E84}"/>
            </a:ext>
          </a:extLst>
        </xdr:cNvPr>
        <xdr:cNvSpPr/>
      </xdr:nvSpPr>
      <xdr:spPr>
        <a:xfrm>
          <a:off x="4223018" y="18790436"/>
          <a:ext cx="110645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it-IT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+</a:t>
          </a:r>
        </a:p>
      </xdr:txBody>
    </xdr:sp>
    <xdr:clientData/>
  </xdr:oneCellAnchor>
  <xdr:oneCellAnchor>
    <xdr:from>
      <xdr:col>66</xdr:col>
      <xdr:colOff>280859</xdr:colOff>
      <xdr:row>96</xdr:row>
      <xdr:rowOff>133788</xdr:rowOff>
    </xdr:from>
    <xdr:ext cx="184731" cy="937629"/>
    <xdr:sp macro="" textlink="">
      <xdr:nvSpPr>
        <xdr:cNvPr id="112" name="Rettangolo 111">
          <a:extLst>
            <a:ext uri="{FF2B5EF4-FFF2-40B4-BE49-F238E27FC236}">
              <a16:creationId xmlns:a16="http://schemas.microsoft.com/office/drawing/2014/main" id="{07AB4D74-9B40-FE15-18CB-75210CDA8FB5}"/>
            </a:ext>
          </a:extLst>
        </xdr:cNvPr>
        <xdr:cNvSpPr/>
      </xdr:nvSpPr>
      <xdr:spPr>
        <a:xfrm>
          <a:off x="8554002" y="19626992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it-IT" sz="54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twoCellAnchor>
    <xdr:from>
      <xdr:col>7</xdr:col>
      <xdr:colOff>67236</xdr:colOff>
      <xdr:row>92</xdr:row>
      <xdr:rowOff>78441</xdr:rowOff>
    </xdr:from>
    <xdr:to>
      <xdr:col>33</xdr:col>
      <xdr:colOff>67236</xdr:colOff>
      <xdr:row>98</xdr:row>
      <xdr:rowOff>168088</xdr:rowOff>
    </xdr:to>
    <xdr:grpSp>
      <xdr:nvGrpSpPr>
        <xdr:cNvPr id="147" name="Gruppo 146">
          <a:extLst>
            <a:ext uri="{FF2B5EF4-FFF2-40B4-BE49-F238E27FC236}">
              <a16:creationId xmlns:a16="http://schemas.microsoft.com/office/drawing/2014/main" id="{0138036B-C2EF-F06A-6FAD-5361A041C94A}"/>
            </a:ext>
          </a:extLst>
        </xdr:cNvPr>
        <xdr:cNvGrpSpPr/>
      </xdr:nvGrpSpPr>
      <xdr:grpSpPr>
        <a:xfrm>
          <a:off x="848943" y="18859113"/>
          <a:ext cx="3120259" cy="1232647"/>
          <a:chOff x="851648" y="18814676"/>
          <a:chExt cx="3137647" cy="1232647"/>
        </a:xfrm>
      </xdr:grpSpPr>
      <xdr:grpSp>
        <xdr:nvGrpSpPr>
          <xdr:cNvPr id="101" name="Gruppo 100">
            <a:extLst>
              <a:ext uri="{FF2B5EF4-FFF2-40B4-BE49-F238E27FC236}">
                <a16:creationId xmlns:a16="http://schemas.microsoft.com/office/drawing/2014/main" id="{C419147C-DDF9-4FC0-A249-254E6E0FE088}"/>
              </a:ext>
            </a:extLst>
          </xdr:cNvPr>
          <xdr:cNvGrpSpPr/>
        </xdr:nvGrpSpPr>
        <xdr:grpSpPr>
          <a:xfrm>
            <a:off x="851648" y="18814676"/>
            <a:ext cx="3137647" cy="1232647"/>
            <a:chOff x="9043147" y="15195176"/>
            <a:chExt cx="3137647" cy="1232647"/>
          </a:xfrm>
        </xdr:grpSpPr>
        <xdr:sp macro="" textlink="">
          <xdr:nvSpPr>
            <xdr:cNvPr id="103" name="Rettangolo 102">
              <a:extLst>
                <a:ext uri="{FF2B5EF4-FFF2-40B4-BE49-F238E27FC236}">
                  <a16:creationId xmlns:a16="http://schemas.microsoft.com/office/drawing/2014/main" id="{A02D10FD-7627-4DC7-6A7D-AD9EF60C415D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4" name="Rettangolo 103">
              <a:extLst>
                <a:ext uri="{FF2B5EF4-FFF2-40B4-BE49-F238E27FC236}">
                  <a16:creationId xmlns:a16="http://schemas.microsoft.com/office/drawing/2014/main" id="{9F27D900-CF13-993D-4178-A3BD63C7A075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5" name="Rettangolo 104">
              <a:extLst>
                <a:ext uri="{FF2B5EF4-FFF2-40B4-BE49-F238E27FC236}">
                  <a16:creationId xmlns:a16="http://schemas.microsoft.com/office/drawing/2014/main" id="{66DB8D38-4994-F4F4-856E-16AC6FBA2289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8" name="Rettangolo 107">
              <a:extLst>
                <a:ext uri="{FF2B5EF4-FFF2-40B4-BE49-F238E27FC236}">
                  <a16:creationId xmlns:a16="http://schemas.microsoft.com/office/drawing/2014/main" id="{331B1242-2BB7-A251-F7BD-DAD0A2F616E0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3" name="Rettangolo 112">
              <a:extLst>
                <a:ext uri="{FF2B5EF4-FFF2-40B4-BE49-F238E27FC236}">
                  <a16:creationId xmlns:a16="http://schemas.microsoft.com/office/drawing/2014/main" id="{8C006A7D-33AA-7964-A900-CFC68DEE7BE5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pic>
        <xdr:nvPicPr>
          <xdr:cNvPr id="120" name="Immagine 119">
            <a:extLst>
              <a:ext uri="{FF2B5EF4-FFF2-40B4-BE49-F238E27FC236}">
                <a16:creationId xmlns:a16="http://schemas.microsoft.com/office/drawing/2014/main" id="{DE92B47A-EB84-96B8-4331-BBDAEE3D2F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28388" y="19039708"/>
            <a:ext cx="926274" cy="395774"/>
          </a:xfrm>
          <a:prstGeom prst="rect">
            <a:avLst/>
          </a:prstGeom>
        </xdr:spPr>
      </xdr:pic>
      <xdr:sp macro="" textlink="SP!C6">
        <xdr:nvSpPr>
          <xdr:cNvPr id="123" name="CasellaDiTesto 122">
            <a:extLst>
              <a:ext uri="{FF2B5EF4-FFF2-40B4-BE49-F238E27FC236}">
                <a16:creationId xmlns:a16="http://schemas.microsoft.com/office/drawing/2014/main" id="{0142E5AA-5AC2-40BE-8957-7E7249EF9F7B}"/>
              </a:ext>
            </a:extLst>
          </xdr:cNvPr>
          <xdr:cNvSpPr txBox="1"/>
        </xdr:nvSpPr>
        <xdr:spPr>
          <a:xfrm>
            <a:off x="2896558" y="18926734"/>
            <a:ext cx="935855" cy="195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4">
        <xdr:nvSpPr>
          <xdr:cNvPr id="125" name="CasellaDiTesto 124">
            <a:extLst>
              <a:ext uri="{FF2B5EF4-FFF2-40B4-BE49-F238E27FC236}">
                <a16:creationId xmlns:a16="http://schemas.microsoft.com/office/drawing/2014/main" id="{6A41601C-E70A-46FD-A504-5E9E034EB62F}"/>
              </a:ext>
            </a:extLst>
          </xdr:cNvPr>
          <xdr:cNvSpPr txBox="1"/>
        </xdr:nvSpPr>
        <xdr:spPr>
          <a:xfrm>
            <a:off x="2890794" y="19206882"/>
            <a:ext cx="964032" cy="1713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ACF0F5FE-8988-44D4-BADA-F988CE379D37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12,37%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sp macro="" textlink="SP!C8">
        <xdr:nvSpPr>
          <xdr:cNvPr id="126" name="CasellaDiTesto 125">
            <a:extLst>
              <a:ext uri="{FF2B5EF4-FFF2-40B4-BE49-F238E27FC236}">
                <a16:creationId xmlns:a16="http://schemas.microsoft.com/office/drawing/2014/main" id="{1C25E951-7AD2-47E1-868F-645798D93480}"/>
              </a:ext>
            </a:extLst>
          </xdr:cNvPr>
          <xdr:cNvSpPr txBox="1"/>
        </xdr:nvSpPr>
        <xdr:spPr>
          <a:xfrm>
            <a:off x="2971796" y="19498235"/>
            <a:ext cx="827000" cy="224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4">
        <xdr:nvSpPr>
          <xdr:cNvPr id="128" name="CasellaDiTesto 127">
            <a:extLst>
              <a:ext uri="{FF2B5EF4-FFF2-40B4-BE49-F238E27FC236}">
                <a16:creationId xmlns:a16="http://schemas.microsoft.com/office/drawing/2014/main" id="{ACE27C1B-290D-4F75-8393-7BA95BDC9D78}"/>
              </a:ext>
            </a:extLst>
          </xdr:cNvPr>
          <xdr:cNvSpPr txBox="1"/>
        </xdr:nvSpPr>
        <xdr:spPr>
          <a:xfrm>
            <a:off x="2904879" y="19770698"/>
            <a:ext cx="882709" cy="1981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D64542E-B303-4B9D-AB78-D388910F078E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5,06%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  <xdr:twoCellAnchor>
    <xdr:from>
      <xdr:col>90</xdr:col>
      <xdr:colOff>61701</xdr:colOff>
      <xdr:row>94</xdr:row>
      <xdr:rowOff>23052</xdr:rowOff>
    </xdr:from>
    <xdr:to>
      <xdr:col>92</xdr:col>
      <xdr:colOff>61472</xdr:colOff>
      <xdr:row>96</xdr:row>
      <xdr:rowOff>12166</xdr:rowOff>
    </xdr:to>
    <xdr:sp macro="" textlink="">
      <xdr:nvSpPr>
        <xdr:cNvPr id="109" name="Segno di divisione 108">
          <a:extLst>
            <a:ext uri="{FF2B5EF4-FFF2-40B4-BE49-F238E27FC236}">
              <a16:creationId xmlns:a16="http://schemas.microsoft.com/office/drawing/2014/main" id="{2B170266-EC04-492A-8D03-C1C526500B3A}"/>
            </a:ext>
          </a:extLst>
        </xdr:cNvPr>
        <xdr:cNvSpPr/>
      </xdr:nvSpPr>
      <xdr:spPr>
        <a:xfrm>
          <a:off x="10987436" y="19140287"/>
          <a:ext cx="571271" cy="370114"/>
        </a:xfrm>
        <a:prstGeom prst="mathDivide">
          <a:avLst/>
        </a:prstGeom>
        <a:solidFill>
          <a:schemeClr val="bg1">
            <a:lumMod val="65000"/>
          </a:scheme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14300" prst="hardEdge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83</xdr:col>
      <xdr:colOff>78441</xdr:colOff>
      <xdr:row>91</xdr:row>
      <xdr:rowOff>123016</xdr:rowOff>
    </xdr:from>
    <xdr:to>
      <xdr:col>108</xdr:col>
      <xdr:colOff>67236</xdr:colOff>
      <xdr:row>98</xdr:row>
      <xdr:rowOff>44822</xdr:rowOff>
    </xdr:to>
    <xdr:grpSp>
      <xdr:nvGrpSpPr>
        <xdr:cNvPr id="144" name="Gruppo 143">
          <a:extLst>
            <a:ext uri="{FF2B5EF4-FFF2-40B4-BE49-F238E27FC236}">
              <a16:creationId xmlns:a16="http://schemas.microsoft.com/office/drawing/2014/main" id="{443616C7-0C37-52E5-D2D3-CA2184CD3E05}"/>
            </a:ext>
          </a:extLst>
        </xdr:cNvPr>
        <xdr:cNvGrpSpPr/>
      </xdr:nvGrpSpPr>
      <xdr:grpSpPr>
        <a:xfrm>
          <a:off x="10234062" y="18713188"/>
          <a:ext cx="3148467" cy="1255306"/>
          <a:chOff x="10197353" y="18646340"/>
          <a:chExt cx="3137647" cy="1255306"/>
        </a:xfrm>
      </xdr:grpSpPr>
      <xdr:grpSp>
        <xdr:nvGrpSpPr>
          <xdr:cNvPr id="140" name="Gruppo 139">
            <a:extLst>
              <a:ext uri="{FF2B5EF4-FFF2-40B4-BE49-F238E27FC236}">
                <a16:creationId xmlns:a16="http://schemas.microsoft.com/office/drawing/2014/main" id="{96B8DD21-9A22-0A0B-DBAC-BEF17944DE27}"/>
              </a:ext>
            </a:extLst>
          </xdr:cNvPr>
          <xdr:cNvGrpSpPr/>
        </xdr:nvGrpSpPr>
        <xdr:grpSpPr>
          <a:xfrm>
            <a:off x="10197353" y="18646340"/>
            <a:ext cx="3137647" cy="1255306"/>
            <a:chOff x="10219765" y="18668752"/>
            <a:chExt cx="3137647" cy="1255306"/>
          </a:xfrm>
        </xdr:grpSpPr>
        <xdr:grpSp>
          <xdr:nvGrpSpPr>
            <xdr:cNvPr id="129" name="Gruppo 128">
              <a:extLst>
                <a:ext uri="{FF2B5EF4-FFF2-40B4-BE49-F238E27FC236}">
                  <a16:creationId xmlns:a16="http://schemas.microsoft.com/office/drawing/2014/main" id="{941DD214-1C6E-4FD7-97DE-0B63C67044EF}"/>
                </a:ext>
              </a:extLst>
            </xdr:cNvPr>
            <xdr:cNvGrpSpPr/>
          </xdr:nvGrpSpPr>
          <xdr:grpSpPr>
            <a:xfrm>
              <a:off x="10219765" y="18691411"/>
              <a:ext cx="3137647" cy="1232647"/>
              <a:chOff x="9043147" y="15195176"/>
              <a:chExt cx="3137647" cy="1232647"/>
            </a:xfrm>
          </xdr:grpSpPr>
          <xdr:sp macro="" textlink="">
            <xdr:nvSpPr>
              <xdr:cNvPr id="132" name="Rettangolo 131">
                <a:extLst>
                  <a:ext uri="{FF2B5EF4-FFF2-40B4-BE49-F238E27FC236}">
                    <a16:creationId xmlns:a16="http://schemas.microsoft.com/office/drawing/2014/main" id="{683A0DCC-0B29-D1F2-64CF-225B6DD94580}"/>
                  </a:ext>
                </a:extLst>
              </xdr:cNvPr>
              <xdr:cNvSpPr/>
            </xdr:nvSpPr>
            <xdr:spPr>
              <a:xfrm>
                <a:off x="9043147" y="15195176"/>
                <a:ext cx="3137647" cy="1232647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5" name="Rettangolo 134">
                <a:extLst>
                  <a:ext uri="{FF2B5EF4-FFF2-40B4-BE49-F238E27FC236}">
                    <a16:creationId xmlns:a16="http://schemas.microsoft.com/office/drawing/2014/main" id="{C2C8C7A1-4D7D-9D93-3E2A-B4025E54B967}"/>
                  </a:ext>
                </a:extLst>
              </xdr:cNvPr>
              <xdr:cNvSpPr/>
            </xdr:nvSpPr>
            <xdr:spPr>
              <a:xfrm>
                <a:off x="11049000" y="1527361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6" name="Rettangolo 135">
                <a:extLst>
                  <a:ext uri="{FF2B5EF4-FFF2-40B4-BE49-F238E27FC236}">
                    <a16:creationId xmlns:a16="http://schemas.microsoft.com/office/drawing/2014/main" id="{A2F593D3-43E4-8EF7-1113-A94F9697E136}"/>
                  </a:ext>
                </a:extLst>
              </xdr:cNvPr>
              <xdr:cNvSpPr/>
            </xdr:nvSpPr>
            <xdr:spPr>
              <a:xfrm>
                <a:off x="11049000" y="15520148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7" name="Rettangolo 136">
                <a:extLst>
                  <a:ext uri="{FF2B5EF4-FFF2-40B4-BE49-F238E27FC236}">
                    <a16:creationId xmlns:a16="http://schemas.microsoft.com/office/drawing/2014/main" id="{CA9DA733-2C7C-881D-5EC8-FB083BF946A2}"/>
                  </a:ext>
                </a:extLst>
              </xdr:cNvPr>
              <xdr:cNvSpPr/>
            </xdr:nvSpPr>
            <xdr:spPr>
              <a:xfrm>
                <a:off x="11049000" y="1586752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8" name="Rettangolo 137">
                <a:extLst>
                  <a:ext uri="{FF2B5EF4-FFF2-40B4-BE49-F238E27FC236}">
                    <a16:creationId xmlns:a16="http://schemas.microsoft.com/office/drawing/2014/main" id="{7DA07624-F7A1-B769-4C40-1974A080F46E}"/>
                  </a:ext>
                </a:extLst>
              </xdr:cNvPr>
              <xdr:cNvSpPr/>
            </xdr:nvSpPr>
            <xdr:spPr>
              <a:xfrm>
                <a:off x="11049001" y="1611405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</xdr:grpSp>
        <xdr:sp macro="" textlink="">
          <xdr:nvSpPr>
            <xdr:cNvPr id="121" name="Rettangolo 120">
              <a:extLst>
                <a:ext uri="{FF2B5EF4-FFF2-40B4-BE49-F238E27FC236}">
                  <a16:creationId xmlns:a16="http://schemas.microsoft.com/office/drawing/2014/main" id="{D1268F6F-859A-DF4C-F002-6D757142136E}"/>
                </a:ext>
              </a:extLst>
            </xdr:cNvPr>
            <xdr:cNvSpPr/>
          </xdr:nvSpPr>
          <xdr:spPr>
            <a:xfrm>
              <a:off x="10248470" y="18668752"/>
              <a:ext cx="2191659" cy="593304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noAutofit/>
            </a:bodyPr>
            <a:lstStyle/>
            <a:p>
              <a:pPr algn="ctr"/>
              <a:r>
                <a:rPr kumimoji="0" lang="it-IT" sz="3200" b="1" i="0" u="none" strike="noStrike" kern="1200" cap="none" spc="0" normalizeH="0" baseline="0" noProof="0">
                  <a:ln w="12700">
                    <a:solidFill>
                      <a:srgbClr val="A5A5A5">
                        <a:lumMod val="50000"/>
                      </a:srgbClr>
                    </a:solidFill>
                    <a:prstDash val="solid"/>
                  </a:ln>
                  <a:pattFill prst="narHorz">
                    <a:fgClr>
                      <a:srgbClr val="A5A5A5"/>
                    </a:fgClr>
                    <a:bgClr>
                      <a:srgbClr val="A5A5A5">
                        <a:lumMod val="40000"/>
                        <a:lumOff val="60000"/>
                      </a:srgbClr>
                    </a:bgClr>
                  </a:pattFill>
                  <a:effectLst>
                    <a:innerShdw blurRad="177800">
                      <a:srgbClr val="A5A5A5">
                        <a:lumMod val="50000"/>
                      </a:srgbClr>
                    </a:innerShdw>
                  </a:effectLst>
                  <a:uLnTx/>
                  <a:uFillTx/>
                  <a:latin typeface="Georgia" panose="02040502050405020303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DEBITI</a:t>
              </a:r>
              <a:endParaRPr lang="it-IT" sz="3200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endParaRPr>
            </a:p>
          </xdr:txBody>
        </xdr:sp>
      </xdr:grpSp>
      <xdr:sp macro="" textlink="">
        <xdr:nvSpPr>
          <xdr:cNvPr id="122" name="Rettangolo 121">
            <a:extLst>
              <a:ext uri="{FF2B5EF4-FFF2-40B4-BE49-F238E27FC236}">
                <a16:creationId xmlns:a16="http://schemas.microsoft.com/office/drawing/2014/main" id="{1C23527B-3A3D-957F-8EF9-70271F57551B}"/>
              </a:ext>
            </a:extLst>
          </xdr:cNvPr>
          <xdr:cNvSpPr/>
        </xdr:nvSpPr>
        <xdr:spPr>
          <a:xfrm>
            <a:off x="10727245" y="19434202"/>
            <a:ext cx="1197734" cy="46733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kumimoji="0" lang="it-IT" sz="2800" b="1" i="0" u="none" strike="noStrike" kern="1200" cap="none" spc="0" normalizeH="0" baseline="0" noProof="0">
                <a:ln w="12700">
                  <a:solidFill>
                    <a:srgbClr val="A5A5A5">
                      <a:lumMod val="50000"/>
                    </a:srgbClr>
                  </a:solidFill>
                  <a:prstDash val="solid"/>
                </a:ln>
                <a:pattFill prst="narHorz">
                  <a:fgClr>
                    <a:srgbClr val="A5A5A5"/>
                  </a:fgClr>
                  <a:bgClr>
                    <a:srgbClr val="A5A5A5">
                      <a:lumMod val="40000"/>
                      <a:lumOff val="60000"/>
                    </a:srgbClr>
                  </a:bgClr>
                </a:pattFill>
                <a:effectLst>
                  <a:innerShdw blurRad="177800">
                    <a:srgbClr val="A5A5A5">
                      <a:lumMod val="50000"/>
                    </a:srgbClr>
                  </a:innerShdw>
                </a:effectLst>
                <a:uLnTx/>
                <a:uFillTx/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PN</a:t>
            </a:r>
            <a:endParaRPr lang="it-IT" sz="28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endParaRPr>
          </a:p>
        </xdr:txBody>
      </xdr:sp>
      <xdr:sp macro="" textlink="SP!C6">
        <xdr:nvSpPr>
          <xdr:cNvPr id="130" name="CasellaDiTesto 129">
            <a:extLst>
              <a:ext uri="{FF2B5EF4-FFF2-40B4-BE49-F238E27FC236}">
                <a16:creationId xmlns:a16="http://schemas.microsoft.com/office/drawing/2014/main" id="{E6D5B0FA-3E80-49C3-A4B9-7D32BDCBA0D0}"/>
              </a:ext>
            </a:extLst>
          </xdr:cNvPr>
          <xdr:cNvSpPr txBox="1"/>
        </xdr:nvSpPr>
        <xdr:spPr>
          <a:xfrm>
            <a:off x="12304058" y="18781059"/>
            <a:ext cx="863359" cy="179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7">
        <xdr:nvSpPr>
          <xdr:cNvPr id="131" name="CasellaDiTesto 130">
            <a:extLst>
              <a:ext uri="{FF2B5EF4-FFF2-40B4-BE49-F238E27FC236}">
                <a16:creationId xmlns:a16="http://schemas.microsoft.com/office/drawing/2014/main" id="{0F6D9A53-BB61-4EBF-992A-02EA9ECC3760}"/>
              </a:ext>
            </a:extLst>
          </xdr:cNvPr>
          <xdr:cNvSpPr txBox="1"/>
        </xdr:nvSpPr>
        <xdr:spPr>
          <a:xfrm>
            <a:off x="12348881" y="19038794"/>
            <a:ext cx="777699" cy="188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D9F7E087-CC3A-4AAB-A7B2-910D0E648EE1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313%</a:t>
            </a:fld>
            <a:endParaRPr lang="en-US" sz="1600" b="0" i="0" u="none" strike="noStrike">
              <a:solidFill>
                <a:srgbClr val="000000"/>
              </a:solidFill>
            </a:endParaRPr>
          </a:p>
        </xdr:txBody>
      </xdr:sp>
      <xdr:sp macro="" textlink="SP!C8">
        <xdr:nvSpPr>
          <xdr:cNvPr id="133" name="CasellaDiTesto 132">
            <a:extLst>
              <a:ext uri="{FF2B5EF4-FFF2-40B4-BE49-F238E27FC236}">
                <a16:creationId xmlns:a16="http://schemas.microsoft.com/office/drawing/2014/main" id="{E72B7046-8161-43A9-B71F-0C17CB35C744}"/>
              </a:ext>
            </a:extLst>
          </xdr:cNvPr>
          <xdr:cNvSpPr txBox="1"/>
        </xdr:nvSpPr>
        <xdr:spPr>
          <a:xfrm>
            <a:off x="12337675" y="19374971"/>
            <a:ext cx="778979" cy="1846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7">
        <xdr:nvSpPr>
          <xdr:cNvPr id="134" name="CasellaDiTesto 133">
            <a:extLst>
              <a:ext uri="{FF2B5EF4-FFF2-40B4-BE49-F238E27FC236}">
                <a16:creationId xmlns:a16="http://schemas.microsoft.com/office/drawing/2014/main" id="{6421F057-7FB6-4F2B-A191-DECDA76EECBD}"/>
              </a:ext>
            </a:extLst>
          </xdr:cNvPr>
          <xdr:cNvSpPr txBox="1"/>
        </xdr:nvSpPr>
        <xdr:spPr>
          <a:xfrm>
            <a:off x="12337676" y="19643911"/>
            <a:ext cx="760306" cy="1456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70EEBF09-FB90-4899-9F09-4B36642547D1}" type="TxLink">
              <a:rPr lang="en-US" sz="1600" b="0" i="0" u="none" strike="noStrike">
                <a:solidFill>
                  <a:srgbClr val="000000"/>
                </a:solidFill>
                <a:latin typeface="Arial Narrow"/>
                <a:ea typeface="Verdana"/>
              </a:rPr>
              <a:pPr algn="ctr"/>
              <a:t>442%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  <xdr:twoCellAnchor>
    <xdr:from>
      <xdr:col>127</xdr:col>
      <xdr:colOff>70757</xdr:colOff>
      <xdr:row>98</xdr:row>
      <xdr:rowOff>114300</xdr:rowOff>
    </xdr:from>
    <xdr:to>
      <xdr:col>136</xdr:col>
      <xdr:colOff>13128</xdr:colOff>
      <xdr:row>99</xdr:row>
      <xdr:rowOff>103414</xdr:rowOff>
    </xdr:to>
    <xdr:sp macro="" textlink="">
      <xdr:nvSpPr>
        <xdr:cNvPr id="149" name="CasellaDiTesto 148">
          <a:extLst>
            <a:ext uri="{FF2B5EF4-FFF2-40B4-BE49-F238E27FC236}">
              <a16:creationId xmlns:a16="http://schemas.microsoft.com/office/drawing/2014/main" id="{D818D700-FDFE-40A8-A523-1FAF2F13ECCA}"/>
            </a:ext>
          </a:extLst>
        </xdr:cNvPr>
        <xdr:cNvSpPr txBox="1"/>
      </xdr:nvSpPr>
      <xdr:spPr>
        <a:xfrm>
          <a:off x="16219714" y="19931743"/>
          <a:ext cx="1020057" cy="17417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endParaRPr lang="en-US" sz="1000" b="0" i="0" u="none" strike="noStrike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46</xdr:col>
      <xdr:colOff>78440</xdr:colOff>
      <xdr:row>92</xdr:row>
      <xdr:rowOff>33617</xdr:rowOff>
    </xdr:from>
    <xdr:to>
      <xdr:col>69</xdr:col>
      <xdr:colOff>22411</xdr:colOff>
      <xdr:row>98</xdr:row>
      <xdr:rowOff>123264</xdr:rowOff>
    </xdr:to>
    <xdr:grpSp>
      <xdr:nvGrpSpPr>
        <xdr:cNvPr id="145" name="Gruppo 144">
          <a:extLst>
            <a:ext uri="{FF2B5EF4-FFF2-40B4-BE49-F238E27FC236}">
              <a16:creationId xmlns:a16="http://schemas.microsoft.com/office/drawing/2014/main" id="{C371FA86-50FD-F6D8-3626-F6899EF73751}"/>
            </a:ext>
          </a:extLst>
        </xdr:cNvPr>
        <xdr:cNvGrpSpPr/>
      </xdr:nvGrpSpPr>
      <xdr:grpSpPr>
        <a:xfrm>
          <a:off x="5432147" y="18814289"/>
          <a:ext cx="3182471" cy="1232647"/>
          <a:chOff x="5367617" y="18725029"/>
          <a:chExt cx="3137647" cy="1232647"/>
        </a:xfrm>
      </xdr:grpSpPr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7DD45732-C5D5-4AA4-AD81-F195AB539943}"/>
              </a:ext>
            </a:extLst>
          </xdr:cNvPr>
          <xdr:cNvGrpSpPr/>
        </xdr:nvGrpSpPr>
        <xdr:grpSpPr>
          <a:xfrm>
            <a:off x="5367617" y="18725029"/>
            <a:ext cx="3137647" cy="1232647"/>
            <a:chOff x="9043147" y="15195176"/>
            <a:chExt cx="3137647" cy="1232647"/>
          </a:xfrm>
        </xdr:grpSpPr>
        <xdr:sp macro="" textlink="">
          <xdr:nvSpPr>
            <xdr:cNvPr id="115" name="Rettangolo 114">
              <a:extLst>
                <a:ext uri="{FF2B5EF4-FFF2-40B4-BE49-F238E27FC236}">
                  <a16:creationId xmlns:a16="http://schemas.microsoft.com/office/drawing/2014/main" id="{5F49C2DD-E206-2ED0-2527-90D275754F83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7" name="Rettangolo 116">
              <a:extLst>
                <a:ext uri="{FF2B5EF4-FFF2-40B4-BE49-F238E27FC236}">
                  <a16:creationId xmlns:a16="http://schemas.microsoft.com/office/drawing/2014/main" id="{3026C659-7280-8D32-2CF3-5337CAAB03A8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9" name="Rettangolo 118">
              <a:extLst>
                <a:ext uri="{FF2B5EF4-FFF2-40B4-BE49-F238E27FC236}">
                  <a16:creationId xmlns:a16="http://schemas.microsoft.com/office/drawing/2014/main" id="{8C029887-821D-2709-6383-BE0EB9949CBF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24" name="Rettangolo 123">
              <a:extLst>
                <a:ext uri="{FF2B5EF4-FFF2-40B4-BE49-F238E27FC236}">
                  <a16:creationId xmlns:a16="http://schemas.microsoft.com/office/drawing/2014/main" id="{47BAD347-9F90-0DE4-691F-6465BB6F9FD4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27" name="Rettangolo 126">
              <a:extLst>
                <a:ext uri="{FF2B5EF4-FFF2-40B4-BE49-F238E27FC236}">
                  <a16:creationId xmlns:a16="http://schemas.microsoft.com/office/drawing/2014/main" id="{B0B8A131-5619-1730-4DA1-79F9A00480C4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116" name="Rettangolo 115">
            <a:extLst>
              <a:ext uri="{FF2B5EF4-FFF2-40B4-BE49-F238E27FC236}">
                <a16:creationId xmlns:a16="http://schemas.microsoft.com/office/drawing/2014/main" id="{9BADB29F-2761-A12D-7FF0-2CE435F58B1A}"/>
              </a:ext>
            </a:extLst>
          </xdr:cNvPr>
          <xdr:cNvSpPr/>
        </xdr:nvSpPr>
        <xdr:spPr>
          <a:xfrm>
            <a:off x="5970125" y="18806032"/>
            <a:ext cx="887234" cy="59327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it-IT" sz="5400" b="1" cap="none" spc="0">
                <a:ln/>
                <a:solidFill>
                  <a:schemeClr val="accent3"/>
                </a:solidFill>
                <a:effectLst/>
              </a:rPr>
              <a:t>-</a:t>
            </a:r>
          </a:p>
        </xdr:txBody>
      </xdr:sp>
      <xdr:pic>
        <xdr:nvPicPr>
          <xdr:cNvPr id="118" name="Immagine 117">
            <a:extLst>
              <a:ext uri="{FF2B5EF4-FFF2-40B4-BE49-F238E27FC236}">
                <a16:creationId xmlns:a16="http://schemas.microsoft.com/office/drawing/2014/main" id="{ED68226A-A821-EFB8-43FD-76D1109E53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969394" y="19530706"/>
            <a:ext cx="853707" cy="288233"/>
          </a:xfrm>
          <a:prstGeom prst="rect">
            <a:avLst/>
          </a:prstGeom>
        </xdr:spPr>
      </xdr:pic>
      <xdr:sp macro="" textlink="SP!C6">
        <xdr:nvSpPr>
          <xdr:cNvPr id="139" name="CasellaDiTesto 138">
            <a:extLst>
              <a:ext uri="{FF2B5EF4-FFF2-40B4-BE49-F238E27FC236}">
                <a16:creationId xmlns:a16="http://schemas.microsoft.com/office/drawing/2014/main" id="{AF44C133-5785-46F1-8675-2F0A130EA4FB}"/>
              </a:ext>
            </a:extLst>
          </xdr:cNvPr>
          <xdr:cNvSpPr txBox="1"/>
        </xdr:nvSpPr>
        <xdr:spPr>
          <a:xfrm>
            <a:off x="7430553" y="18837088"/>
            <a:ext cx="906623" cy="17405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6">
        <xdr:nvSpPr>
          <xdr:cNvPr id="141" name="CasellaDiTesto 140">
            <a:extLst>
              <a:ext uri="{FF2B5EF4-FFF2-40B4-BE49-F238E27FC236}">
                <a16:creationId xmlns:a16="http://schemas.microsoft.com/office/drawing/2014/main" id="{47983C1A-2A23-4ADA-A98E-CE3729701A9D}"/>
              </a:ext>
            </a:extLst>
          </xdr:cNvPr>
          <xdr:cNvSpPr txBox="1"/>
        </xdr:nvSpPr>
        <xdr:spPr>
          <a:xfrm>
            <a:off x="7492666" y="19072411"/>
            <a:ext cx="777274" cy="2171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404AF48-D443-4024-B743-F81A0E4FC6D1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11,58%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sp macro="" textlink="SP!C8">
        <xdr:nvSpPr>
          <xdr:cNvPr id="142" name="CasellaDiTesto 141">
            <a:extLst>
              <a:ext uri="{FF2B5EF4-FFF2-40B4-BE49-F238E27FC236}">
                <a16:creationId xmlns:a16="http://schemas.microsoft.com/office/drawing/2014/main" id="{E82DF0FE-DC43-4CD7-8489-B9F7D43277CA}"/>
              </a:ext>
            </a:extLst>
          </xdr:cNvPr>
          <xdr:cNvSpPr txBox="1"/>
        </xdr:nvSpPr>
        <xdr:spPr>
          <a:xfrm>
            <a:off x="7419348" y="19408588"/>
            <a:ext cx="884211" cy="20748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6">
        <xdr:nvSpPr>
          <xdr:cNvPr id="143" name="CasellaDiTesto 142">
            <a:extLst>
              <a:ext uri="{FF2B5EF4-FFF2-40B4-BE49-F238E27FC236}">
                <a16:creationId xmlns:a16="http://schemas.microsoft.com/office/drawing/2014/main" id="{9A76E642-70C1-4FED-8D92-E43EA6CAAD63}"/>
              </a:ext>
            </a:extLst>
          </xdr:cNvPr>
          <xdr:cNvSpPr txBox="1"/>
        </xdr:nvSpPr>
        <xdr:spPr>
          <a:xfrm>
            <a:off x="7416559" y="19688735"/>
            <a:ext cx="909412" cy="1516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96A95CF-66DA-4697-8D40-427B699AE87D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4,28%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pic>
        <xdr:nvPicPr>
          <xdr:cNvPr id="152" name="Immagine 151">
            <a:extLst>
              <a:ext uri="{FF2B5EF4-FFF2-40B4-BE49-F238E27FC236}">
                <a16:creationId xmlns:a16="http://schemas.microsoft.com/office/drawing/2014/main" id="{525E786A-C356-4F85-8E36-0EE2EC9025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30869" y="18895404"/>
            <a:ext cx="806959" cy="344456"/>
          </a:xfrm>
          <a:prstGeom prst="rect">
            <a:avLst/>
          </a:prstGeom>
        </xdr:spPr>
      </xdr:pic>
    </xdr:grpSp>
    <xdr:clientData/>
  </xdr:twoCellAnchor>
  <xdr:oneCellAnchor>
    <xdr:from>
      <xdr:col>66</xdr:col>
      <xdr:colOff>296798</xdr:colOff>
      <xdr:row>95</xdr:row>
      <xdr:rowOff>154393</xdr:rowOff>
    </xdr:from>
    <xdr:ext cx="184731" cy="937629"/>
    <xdr:sp macro="" textlink="">
      <xdr:nvSpPr>
        <xdr:cNvPr id="155" name="Rettangolo 154">
          <a:extLst>
            <a:ext uri="{FF2B5EF4-FFF2-40B4-BE49-F238E27FC236}">
              <a16:creationId xmlns:a16="http://schemas.microsoft.com/office/drawing/2014/main" id="{F4652999-4D1D-A98A-3A3B-E847C504781F}"/>
            </a:ext>
          </a:extLst>
        </xdr:cNvPr>
        <xdr:cNvSpPr/>
      </xdr:nvSpPr>
      <xdr:spPr>
        <a:xfrm>
          <a:off x="8760441" y="1941666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it-IT" sz="54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oneCellAnchor>
  <xdr:twoCellAnchor>
    <xdr:from>
      <xdr:col>45</xdr:col>
      <xdr:colOff>56029</xdr:colOff>
      <xdr:row>80</xdr:row>
      <xdr:rowOff>100853</xdr:rowOff>
    </xdr:from>
    <xdr:to>
      <xdr:col>68</xdr:col>
      <xdr:colOff>0</xdr:colOff>
      <xdr:row>87</xdr:row>
      <xdr:rowOff>0</xdr:rowOff>
    </xdr:to>
    <xdr:grpSp>
      <xdr:nvGrpSpPr>
        <xdr:cNvPr id="148" name="Gruppo 147">
          <a:extLst>
            <a:ext uri="{FF2B5EF4-FFF2-40B4-BE49-F238E27FC236}">
              <a16:creationId xmlns:a16="http://schemas.microsoft.com/office/drawing/2014/main" id="{41F5796D-BE20-668E-C287-85250ED671D5}"/>
            </a:ext>
          </a:extLst>
        </xdr:cNvPr>
        <xdr:cNvGrpSpPr/>
      </xdr:nvGrpSpPr>
      <xdr:grpSpPr>
        <a:xfrm>
          <a:off x="5298063" y="16595525"/>
          <a:ext cx="3182471" cy="1232647"/>
          <a:chOff x="5322794" y="16551088"/>
          <a:chExt cx="3137647" cy="1232647"/>
        </a:xfrm>
      </xdr:grpSpPr>
      <xdr:grpSp>
        <xdr:nvGrpSpPr>
          <xdr:cNvPr id="94" name="Gruppo 93">
            <a:extLst>
              <a:ext uri="{FF2B5EF4-FFF2-40B4-BE49-F238E27FC236}">
                <a16:creationId xmlns:a16="http://schemas.microsoft.com/office/drawing/2014/main" id="{8A6C5F8E-7BBF-4885-8B79-FB8517F1D134}"/>
              </a:ext>
            </a:extLst>
          </xdr:cNvPr>
          <xdr:cNvGrpSpPr/>
        </xdr:nvGrpSpPr>
        <xdr:grpSpPr>
          <a:xfrm>
            <a:off x="5322794" y="16551088"/>
            <a:ext cx="3137647" cy="1232647"/>
            <a:chOff x="9043147" y="15195176"/>
            <a:chExt cx="3137647" cy="1232647"/>
          </a:xfrm>
        </xdr:grpSpPr>
        <xdr:sp macro="" textlink="">
          <xdr:nvSpPr>
            <xdr:cNvPr id="96" name="Rettangolo 95">
              <a:extLst>
                <a:ext uri="{FF2B5EF4-FFF2-40B4-BE49-F238E27FC236}">
                  <a16:creationId xmlns:a16="http://schemas.microsoft.com/office/drawing/2014/main" id="{2C741A76-8229-6A68-0150-88A0DF7F41AB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7" name="Rettangolo 96">
              <a:extLst>
                <a:ext uri="{FF2B5EF4-FFF2-40B4-BE49-F238E27FC236}">
                  <a16:creationId xmlns:a16="http://schemas.microsoft.com/office/drawing/2014/main" id="{62722019-84B3-8491-BEDD-39405894332E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8" name="Rettangolo 97">
              <a:extLst>
                <a:ext uri="{FF2B5EF4-FFF2-40B4-BE49-F238E27FC236}">
                  <a16:creationId xmlns:a16="http://schemas.microsoft.com/office/drawing/2014/main" id="{0FE6F881-142A-3E3A-10F5-36266F15CF03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9" name="Rettangolo 98">
              <a:extLst>
                <a:ext uri="{FF2B5EF4-FFF2-40B4-BE49-F238E27FC236}">
                  <a16:creationId xmlns:a16="http://schemas.microsoft.com/office/drawing/2014/main" id="{C0FA73D7-8F29-A5F6-CCCE-620F4ACA1154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0" name="Rettangolo 99">
              <a:extLst>
                <a:ext uri="{FF2B5EF4-FFF2-40B4-BE49-F238E27FC236}">
                  <a16:creationId xmlns:a16="http://schemas.microsoft.com/office/drawing/2014/main" id="{09E101A9-444C-50D6-D2A8-60AAA3DF88FE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15" name="Rettangolo 14">
            <a:extLst>
              <a:ext uri="{FF2B5EF4-FFF2-40B4-BE49-F238E27FC236}">
                <a16:creationId xmlns:a16="http://schemas.microsoft.com/office/drawing/2014/main" id="{1069F738-5CE4-5AF9-85B9-494337A32F85}"/>
              </a:ext>
            </a:extLst>
          </xdr:cNvPr>
          <xdr:cNvSpPr/>
        </xdr:nvSpPr>
        <xdr:spPr>
          <a:xfrm>
            <a:off x="5652999" y="16854930"/>
            <a:ext cx="1300822" cy="56445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marL="0" marR="0" lvl="0" indent="0" algn="ctr" defTabSz="2266950" eaLnBrk="1" fontAlgn="auto" latinLnBrk="0" hangingPunct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ClrTx/>
              <a:buSzTx/>
              <a:buFontTx/>
              <a:buNone/>
              <a:tabLst/>
              <a:defRPr/>
            </a:pPr>
            <a:r>
              <a:rPr kumimoji="0" lang="it-IT" sz="3600" b="1" i="0" u="none" strike="noStrike" kern="1200" cap="none" spc="0" normalizeH="0" baseline="0" noProof="0">
                <a:ln w="12700">
                  <a:solidFill>
                    <a:srgbClr val="A5A5A5">
                      <a:lumMod val="50000"/>
                    </a:srgbClr>
                  </a:solidFill>
                  <a:prstDash val="solid"/>
                </a:ln>
                <a:pattFill prst="narHorz">
                  <a:fgClr>
                    <a:srgbClr val="A5A5A5"/>
                  </a:fgClr>
                  <a:bgClr>
                    <a:srgbClr val="A5A5A5">
                      <a:lumMod val="40000"/>
                      <a:lumOff val="60000"/>
                    </a:srgbClr>
                  </a:bgClr>
                </a:pattFill>
                <a:effectLst>
                  <a:innerShdw blurRad="177800">
                    <a:srgbClr val="A5A5A5">
                      <a:lumMod val="50000"/>
                    </a:srgbClr>
                  </a:innerShdw>
                </a:effectLst>
                <a:uLnTx/>
                <a:uFillTx/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ROE</a:t>
            </a:r>
            <a:endParaRPr kumimoji="0" lang="it-IT" sz="4800" b="1" i="0" u="none" strike="noStrike" kern="1200" cap="none" spc="0" normalizeH="0" baseline="0" noProof="0">
              <a:ln w="12700">
                <a:solidFill>
                  <a:srgbClr val="A5A5A5">
                    <a:lumMod val="50000"/>
                  </a:srgbClr>
                </a:solidFill>
                <a:prstDash val="solid"/>
              </a:ln>
              <a:pattFill prst="narHorz">
                <a:fgClr>
                  <a:srgbClr val="A5A5A5"/>
                </a:fgClr>
                <a:bgClr>
                  <a:srgbClr val="A5A5A5">
                    <a:lumMod val="40000"/>
                    <a:lumOff val="60000"/>
                  </a:srgbClr>
                </a:bgClr>
              </a:pattFill>
              <a:effectLst>
                <a:innerShdw blurRad="177800">
                  <a:srgbClr val="A5A5A5">
                    <a:lumMod val="50000"/>
                  </a:srgbClr>
                </a:innerShdw>
              </a:effectLst>
              <a:uLnTx/>
              <a:uFillTx/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21" name="CasellaDiTesto 20">
            <a:extLst>
              <a:ext uri="{FF2B5EF4-FFF2-40B4-BE49-F238E27FC236}">
                <a16:creationId xmlns:a16="http://schemas.microsoft.com/office/drawing/2014/main" id="{A380FC58-DE04-4DAA-BF38-EB76B42A2F3C}"/>
              </a:ext>
            </a:extLst>
          </xdr:cNvPr>
          <xdr:cNvSpPr txBox="1"/>
        </xdr:nvSpPr>
        <xdr:spPr>
          <a:xfrm>
            <a:off x="7394557" y="16640737"/>
            <a:ext cx="909001" cy="2015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3">
        <xdr:nvSpPr>
          <xdr:cNvPr id="30" name="CasellaDiTesto 29">
            <a:extLst>
              <a:ext uri="{FF2B5EF4-FFF2-40B4-BE49-F238E27FC236}">
                <a16:creationId xmlns:a16="http://schemas.microsoft.com/office/drawing/2014/main" id="{6262630E-BE17-4D1B-9C83-8D77AD2CEDD3}"/>
              </a:ext>
            </a:extLst>
          </xdr:cNvPr>
          <xdr:cNvSpPr txBox="1"/>
        </xdr:nvSpPr>
        <xdr:spPr>
          <a:xfrm>
            <a:off x="7381659" y="16920883"/>
            <a:ext cx="888282" cy="1889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029B4F70-210F-4DDE-93EE-0809D4076437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31,1%</a:t>
            </a:fld>
            <a:endParaRPr lang="en-US" sz="1600" b="0" i="0" u="none" strike="noStrike">
              <a:solidFill>
                <a:srgbClr val="000000"/>
              </a:solidFill>
              <a:latin typeface="Georgia" panose="02040502050405020303" pitchFamily="18" charset="0"/>
            </a:endParaRPr>
          </a:p>
        </xdr:txBody>
      </xdr:sp>
      <xdr:sp macro="" textlink="SP!C8">
        <xdr:nvSpPr>
          <xdr:cNvPr id="42" name="CasellaDiTesto 41">
            <a:extLst>
              <a:ext uri="{FF2B5EF4-FFF2-40B4-BE49-F238E27FC236}">
                <a16:creationId xmlns:a16="http://schemas.microsoft.com/office/drawing/2014/main" id="{8084F27B-99FD-4432-AC84-AC837747394D}"/>
              </a:ext>
            </a:extLst>
          </xdr:cNvPr>
          <xdr:cNvSpPr txBox="1"/>
        </xdr:nvSpPr>
        <xdr:spPr>
          <a:xfrm>
            <a:off x="7440021" y="17234649"/>
            <a:ext cx="818714" cy="224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3">
        <xdr:nvSpPr>
          <xdr:cNvPr id="44" name="CasellaDiTesto 43">
            <a:extLst>
              <a:ext uri="{FF2B5EF4-FFF2-40B4-BE49-F238E27FC236}">
                <a16:creationId xmlns:a16="http://schemas.microsoft.com/office/drawing/2014/main" id="{D1E9BDA2-62B2-4E4E-A4EF-2B74D2EFA9CA}"/>
              </a:ext>
            </a:extLst>
          </xdr:cNvPr>
          <xdr:cNvSpPr txBox="1"/>
        </xdr:nvSpPr>
        <xdr:spPr>
          <a:xfrm>
            <a:off x="7416513" y="17503589"/>
            <a:ext cx="898251" cy="16285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33B8465-BBFF-4AA3-8A32-204344E62626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18,1%</a:t>
            </a:fld>
            <a:endParaRPr lang="en-US" sz="1600" b="0" i="0" u="none" strike="noStrike">
              <a:solidFill>
                <a:srgbClr val="000000"/>
              </a:solidFill>
              <a:latin typeface="Georgia" panose="02040502050405020303" pitchFamily="18" charset="0"/>
            </a:endParaRPr>
          </a:p>
        </xdr:txBody>
      </xdr:sp>
    </xdr:grpSp>
    <xdr:clientData/>
  </xdr:twoCellAnchor>
  <xdr:twoCellAnchor editAs="oneCell">
    <xdr:from>
      <xdr:col>67</xdr:col>
      <xdr:colOff>76200</xdr:colOff>
      <xdr:row>80</xdr:row>
      <xdr:rowOff>123825</xdr:rowOff>
    </xdr:from>
    <xdr:to>
      <xdr:col>91</xdr:col>
      <xdr:colOff>330014</xdr:colOff>
      <xdr:row>87</xdr:row>
      <xdr:rowOff>57150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F4CC02E-83CE-6774-0BA3-FE981E41118E}"/>
            </a:ext>
          </a:extLst>
        </xdr:cNvPr>
        <xdr:cNvSpPr>
          <a:spLocks noChangeAspect="1" noChangeArrowheads="1"/>
        </xdr:cNvSpPr>
      </xdr:nvSpPr>
      <xdr:spPr bwMode="auto">
        <a:xfrm>
          <a:off x="8553450" y="16554450"/>
          <a:ext cx="301942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58</xdr:col>
      <xdr:colOff>0</xdr:colOff>
      <xdr:row>23</xdr:row>
      <xdr:rowOff>0</xdr:rowOff>
    </xdr:from>
    <xdr:to>
      <xdr:col>63</xdr:col>
      <xdr:colOff>60511</xdr:colOff>
      <xdr:row>25</xdr:row>
      <xdr:rowOff>44824</xdr:rowOff>
    </xdr:to>
    <xdr:sp macro="" textlink="">
      <xdr:nvSpPr>
        <xdr:cNvPr id="2" name="Segno di moltiplicazione 1">
          <a:extLst>
            <a:ext uri="{FF2B5EF4-FFF2-40B4-BE49-F238E27FC236}">
              <a16:creationId xmlns:a16="http://schemas.microsoft.com/office/drawing/2014/main" id="{8B8FA3E8-526B-4C9A-B065-6E909134315B}"/>
            </a:ext>
          </a:extLst>
        </xdr:cNvPr>
        <xdr:cNvSpPr/>
      </xdr:nvSpPr>
      <xdr:spPr>
        <a:xfrm>
          <a:off x="7037294" y="4695265"/>
          <a:ext cx="744070" cy="549088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29</xdr:col>
      <xdr:colOff>108858</xdr:colOff>
      <xdr:row>36</xdr:row>
      <xdr:rowOff>199572</xdr:rowOff>
    </xdr:from>
    <xdr:to>
      <xdr:col>38</xdr:col>
      <xdr:colOff>54428</xdr:colOff>
      <xdr:row>40</xdr:row>
      <xdr:rowOff>36285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343EB374-A10D-19B4-1C69-D6DF7F93D08C}"/>
            </a:ext>
          </a:extLst>
        </xdr:cNvPr>
        <xdr:cNvSpPr/>
      </xdr:nvSpPr>
      <xdr:spPr>
        <a:xfrm>
          <a:off x="3737429" y="7656286"/>
          <a:ext cx="1006928" cy="8164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27214</xdr:colOff>
      <xdr:row>36</xdr:row>
      <xdr:rowOff>145143</xdr:rowOff>
    </xdr:from>
    <xdr:to>
      <xdr:col>39</xdr:col>
      <xdr:colOff>27214</xdr:colOff>
      <xdr:row>40</xdr:row>
      <xdr:rowOff>36285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A1A6A4C4-79C7-449B-0C5A-42A7EC32AC03}"/>
            </a:ext>
          </a:extLst>
        </xdr:cNvPr>
        <xdr:cNvSpPr/>
      </xdr:nvSpPr>
      <xdr:spPr>
        <a:xfrm>
          <a:off x="3302000" y="7601857"/>
          <a:ext cx="1533071" cy="8708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55</xdr:col>
      <xdr:colOff>199571</xdr:colOff>
      <xdr:row>101</xdr:row>
      <xdr:rowOff>9624</xdr:rowOff>
    </xdr:from>
    <xdr:to>
      <xdr:col>59</xdr:col>
      <xdr:colOff>92737</xdr:colOff>
      <xdr:row>103</xdr:row>
      <xdr:rowOff>161648</xdr:rowOff>
    </xdr:to>
    <xdr:sp macro="" textlink="">
      <xdr:nvSpPr>
        <xdr:cNvPr id="11" name="Segno di moltiplicazione 10">
          <a:extLst>
            <a:ext uri="{FF2B5EF4-FFF2-40B4-BE49-F238E27FC236}">
              <a16:creationId xmlns:a16="http://schemas.microsoft.com/office/drawing/2014/main" id="{2B647C67-14DD-4DD1-89B7-B73E212FFA7E}"/>
            </a:ext>
          </a:extLst>
        </xdr:cNvPr>
        <xdr:cNvSpPr/>
      </xdr:nvSpPr>
      <xdr:spPr>
        <a:xfrm>
          <a:off x="6948714" y="20438481"/>
          <a:ext cx="791237" cy="533024"/>
        </a:xfrm>
        <a:prstGeom prst="mathMultiply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01600" prst="riblet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72680</xdr:colOff>
      <xdr:row>105</xdr:row>
      <xdr:rowOff>167803</xdr:rowOff>
    </xdr:from>
    <xdr:to>
      <xdr:col>69</xdr:col>
      <xdr:colOff>19553</xdr:colOff>
      <xdr:row>112</xdr:row>
      <xdr:rowOff>75911</xdr:rowOff>
    </xdr:to>
    <xdr:grpSp>
      <xdr:nvGrpSpPr>
        <xdr:cNvPr id="16" name="Gruppo 15">
          <a:extLst>
            <a:ext uri="{FF2B5EF4-FFF2-40B4-BE49-F238E27FC236}">
              <a16:creationId xmlns:a16="http://schemas.microsoft.com/office/drawing/2014/main" id="{E6BECC0B-C924-4714-98CE-BD2441A9FCE3}"/>
            </a:ext>
          </a:extLst>
        </xdr:cNvPr>
        <xdr:cNvGrpSpPr/>
      </xdr:nvGrpSpPr>
      <xdr:grpSpPr>
        <a:xfrm>
          <a:off x="5426387" y="21424975"/>
          <a:ext cx="3185373" cy="1241608"/>
          <a:chOff x="10148365" y="18659928"/>
          <a:chExt cx="3152138" cy="1241608"/>
        </a:xfrm>
      </xdr:grpSpPr>
      <xdr:grpSp>
        <xdr:nvGrpSpPr>
          <xdr:cNvPr id="29" name="Gruppo 28">
            <a:extLst>
              <a:ext uri="{FF2B5EF4-FFF2-40B4-BE49-F238E27FC236}">
                <a16:creationId xmlns:a16="http://schemas.microsoft.com/office/drawing/2014/main" id="{7160CCFF-3586-EFD8-DA28-5C517CB94F29}"/>
              </a:ext>
            </a:extLst>
          </xdr:cNvPr>
          <xdr:cNvGrpSpPr/>
        </xdr:nvGrpSpPr>
        <xdr:grpSpPr>
          <a:xfrm>
            <a:off x="10148365" y="18659928"/>
            <a:ext cx="3152138" cy="1232647"/>
            <a:chOff x="10170777" y="18682340"/>
            <a:chExt cx="3152138" cy="1232647"/>
          </a:xfrm>
        </xdr:grpSpPr>
        <xdr:grpSp>
          <xdr:nvGrpSpPr>
            <xdr:cNvPr id="78" name="Gruppo 77">
              <a:extLst>
                <a:ext uri="{FF2B5EF4-FFF2-40B4-BE49-F238E27FC236}">
                  <a16:creationId xmlns:a16="http://schemas.microsoft.com/office/drawing/2014/main" id="{BF894C2F-D507-0A85-0AC0-28A2E3A92630}"/>
                </a:ext>
              </a:extLst>
            </xdr:cNvPr>
            <xdr:cNvGrpSpPr/>
          </xdr:nvGrpSpPr>
          <xdr:grpSpPr>
            <a:xfrm>
              <a:off x="10185268" y="18682340"/>
              <a:ext cx="3137647" cy="1232647"/>
              <a:chOff x="9008650" y="15186105"/>
              <a:chExt cx="3137647" cy="1232647"/>
            </a:xfrm>
          </xdr:grpSpPr>
          <xdr:sp macro="" textlink="">
            <xdr:nvSpPr>
              <xdr:cNvPr id="80" name="Rettangolo 79">
                <a:extLst>
                  <a:ext uri="{FF2B5EF4-FFF2-40B4-BE49-F238E27FC236}">
                    <a16:creationId xmlns:a16="http://schemas.microsoft.com/office/drawing/2014/main" id="{72D43077-4363-306D-FB54-DDB393F60707}"/>
                  </a:ext>
                </a:extLst>
              </xdr:cNvPr>
              <xdr:cNvSpPr/>
            </xdr:nvSpPr>
            <xdr:spPr>
              <a:xfrm>
                <a:off x="9008650" y="15186105"/>
                <a:ext cx="3137647" cy="1232647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1" name="Rettangolo 80">
                <a:extLst>
                  <a:ext uri="{FF2B5EF4-FFF2-40B4-BE49-F238E27FC236}">
                    <a16:creationId xmlns:a16="http://schemas.microsoft.com/office/drawing/2014/main" id="{1412C0F6-0EE9-4AE0-0DC0-5FCE30C5E723}"/>
                  </a:ext>
                </a:extLst>
              </xdr:cNvPr>
              <xdr:cNvSpPr/>
            </xdr:nvSpPr>
            <xdr:spPr>
              <a:xfrm>
                <a:off x="11049000" y="1527361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2" name="Rettangolo 81">
                <a:extLst>
                  <a:ext uri="{FF2B5EF4-FFF2-40B4-BE49-F238E27FC236}">
                    <a16:creationId xmlns:a16="http://schemas.microsoft.com/office/drawing/2014/main" id="{301B0598-A80A-423B-9384-FAD4D86126D3}"/>
                  </a:ext>
                </a:extLst>
              </xdr:cNvPr>
              <xdr:cNvSpPr/>
            </xdr:nvSpPr>
            <xdr:spPr>
              <a:xfrm>
                <a:off x="11049000" y="15520148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4" name="Rettangolo 83">
                <a:extLst>
                  <a:ext uri="{FF2B5EF4-FFF2-40B4-BE49-F238E27FC236}">
                    <a16:creationId xmlns:a16="http://schemas.microsoft.com/office/drawing/2014/main" id="{48BDA0C7-6756-002C-AE2A-F7C743472964}"/>
                  </a:ext>
                </a:extLst>
              </xdr:cNvPr>
              <xdr:cNvSpPr/>
            </xdr:nvSpPr>
            <xdr:spPr>
              <a:xfrm>
                <a:off x="11049000" y="1586752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5" name="Rettangolo 84">
                <a:extLst>
                  <a:ext uri="{FF2B5EF4-FFF2-40B4-BE49-F238E27FC236}">
                    <a16:creationId xmlns:a16="http://schemas.microsoft.com/office/drawing/2014/main" id="{C8DC65F4-DA3A-441F-592F-D552EAB3BE30}"/>
                  </a:ext>
                </a:extLst>
              </xdr:cNvPr>
              <xdr:cNvSpPr/>
            </xdr:nvSpPr>
            <xdr:spPr>
              <a:xfrm>
                <a:off x="11049001" y="1611405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</xdr:grpSp>
        <xdr:sp macro="" textlink="">
          <xdr:nvSpPr>
            <xdr:cNvPr id="79" name="Rettangolo 78">
              <a:extLst>
                <a:ext uri="{FF2B5EF4-FFF2-40B4-BE49-F238E27FC236}">
                  <a16:creationId xmlns:a16="http://schemas.microsoft.com/office/drawing/2014/main" id="{4BCEC3A9-2217-6D1A-FC45-861870F6FFBE}"/>
                </a:ext>
              </a:extLst>
            </xdr:cNvPr>
            <xdr:cNvSpPr/>
          </xdr:nvSpPr>
          <xdr:spPr>
            <a:xfrm>
              <a:off x="10170777" y="18977180"/>
              <a:ext cx="2191659" cy="593304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noAutofit/>
            </a:bodyPr>
            <a:lstStyle/>
            <a:p>
              <a:pPr algn="ctr"/>
              <a:r>
                <a:rPr kumimoji="0" lang="it-IT" sz="3200" b="1" i="0" u="none" strike="noStrike" kern="1200" cap="none" spc="0" normalizeH="0" baseline="0" noProof="0">
                  <a:ln w="12700">
                    <a:solidFill>
                      <a:srgbClr val="A5A5A5">
                        <a:lumMod val="50000"/>
                      </a:srgbClr>
                    </a:solidFill>
                    <a:prstDash val="solid"/>
                  </a:ln>
                  <a:pattFill prst="narHorz">
                    <a:fgClr>
                      <a:srgbClr val="A5A5A5"/>
                    </a:fgClr>
                    <a:bgClr>
                      <a:srgbClr val="A5A5A5">
                        <a:lumMod val="40000"/>
                        <a:lumOff val="60000"/>
                      </a:srgbClr>
                    </a:bgClr>
                  </a:pattFill>
                  <a:effectLst>
                    <a:innerShdw blurRad="177800">
                      <a:srgbClr val="A5A5A5">
                        <a:lumMod val="50000"/>
                      </a:srgbClr>
                    </a:innerShdw>
                  </a:effectLst>
                  <a:uLnTx/>
                  <a:uFillTx/>
                  <a:latin typeface="Georgia" panose="02040502050405020303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1-t</a:t>
              </a:r>
              <a:endParaRPr lang="it-IT" sz="3200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endParaRPr>
            </a:p>
          </xdr:txBody>
        </xdr:sp>
      </xdr:grpSp>
      <xdr:sp macro="" textlink="">
        <xdr:nvSpPr>
          <xdr:cNvPr id="43" name="Rettangolo 42">
            <a:extLst>
              <a:ext uri="{FF2B5EF4-FFF2-40B4-BE49-F238E27FC236}">
                <a16:creationId xmlns:a16="http://schemas.microsoft.com/office/drawing/2014/main" id="{941014EA-6BC4-1C91-DD7D-5BDCFB051014}"/>
              </a:ext>
            </a:extLst>
          </xdr:cNvPr>
          <xdr:cNvSpPr/>
        </xdr:nvSpPr>
        <xdr:spPr>
          <a:xfrm>
            <a:off x="10727245" y="19434202"/>
            <a:ext cx="1197734" cy="46733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endParaRPr lang="it-IT" sz="28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endParaRPr>
          </a:p>
        </xdr:txBody>
      </xdr:sp>
      <xdr:sp macro="" textlink="SP!C6">
        <xdr:nvSpPr>
          <xdr:cNvPr id="51" name="CasellaDiTesto 50">
            <a:extLst>
              <a:ext uri="{FF2B5EF4-FFF2-40B4-BE49-F238E27FC236}">
                <a16:creationId xmlns:a16="http://schemas.microsoft.com/office/drawing/2014/main" id="{588DA34F-232A-04B3-CE8E-07E2C586DFFE}"/>
              </a:ext>
            </a:extLst>
          </xdr:cNvPr>
          <xdr:cNvSpPr txBox="1"/>
        </xdr:nvSpPr>
        <xdr:spPr>
          <a:xfrm>
            <a:off x="12304058" y="18781059"/>
            <a:ext cx="863359" cy="179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8">
        <xdr:nvSpPr>
          <xdr:cNvPr id="61" name="CasellaDiTesto 60">
            <a:extLst>
              <a:ext uri="{FF2B5EF4-FFF2-40B4-BE49-F238E27FC236}">
                <a16:creationId xmlns:a16="http://schemas.microsoft.com/office/drawing/2014/main" id="{CB9B94D2-B976-7E11-EAF5-77F25BAAC135}"/>
              </a:ext>
            </a:extLst>
          </xdr:cNvPr>
          <xdr:cNvSpPr txBox="1"/>
        </xdr:nvSpPr>
        <xdr:spPr>
          <a:xfrm>
            <a:off x="12348881" y="19038794"/>
            <a:ext cx="777699" cy="188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0E82B14-6E3D-405A-A2B5-1EF6B83F5A81}" type="TxLink">
              <a:rPr lang="en-US" sz="1400" b="0" i="0" u="none" strike="noStrike">
                <a:solidFill>
                  <a:srgbClr val="000000"/>
                </a:solidFill>
                <a:latin typeface="Arial Narrow"/>
              </a:rPr>
              <a:pPr algn="ctr"/>
              <a:t>64%</a:t>
            </a:fld>
            <a:endParaRPr lang="en-US" sz="2800" b="0" i="0" u="none" strike="noStrike">
              <a:solidFill>
                <a:srgbClr val="000000"/>
              </a:solidFill>
            </a:endParaRPr>
          </a:p>
        </xdr:txBody>
      </xdr:sp>
      <xdr:sp macro="" textlink="SP!C8">
        <xdr:nvSpPr>
          <xdr:cNvPr id="62" name="CasellaDiTesto 61">
            <a:extLst>
              <a:ext uri="{FF2B5EF4-FFF2-40B4-BE49-F238E27FC236}">
                <a16:creationId xmlns:a16="http://schemas.microsoft.com/office/drawing/2014/main" id="{1B2A20ED-0EFB-C62E-11C7-51E6C15F3801}"/>
              </a:ext>
            </a:extLst>
          </xdr:cNvPr>
          <xdr:cNvSpPr txBox="1"/>
        </xdr:nvSpPr>
        <xdr:spPr>
          <a:xfrm>
            <a:off x="12337675" y="19374971"/>
            <a:ext cx="778979" cy="1846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8">
        <xdr:nvSpPr>
          <xdr:cNvPr id="77" name="CasellaDiTesto 76">
            <a:extLst>
              <a:ext uri="{FF2B5EF4-FFF2-40B4-BE49-F238E27FC236}">
                <a16:creationId xmlns:a16="http://schemas.microsoft.com/office/drawing/2014/main" id="{5A874BB1-E05D-C097-B31B-4D97954D6BBD}"/>
              </a:ext>
            </a:extLst>
          </xdr:cNvPr>
          <xdr:cNvSpPr txBox="1"/>
        </xdr:nvSpPr>
        <xdr:spPr>
          <a:xfrm>
            <a:off x="12337676" y="19643911"/>
            <a:ext cx="760306" cy="1456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6490695-86AC-4A50-AF2D-0F2BF7F7B56F}" type="TxLink">
              <a:rPr lang="en-US" sz="1400" b="0" i="0" u="none" strike="noStrike">
                <a:solidFill>
                  <a:srgbClr val="000000"/>
                </a:solidFill>
                <a:latin typeface="Arial Narrow"/>
                <a:ea typeface="Verdana"/>
              </a:rPr>
              <a:pPr algn="ctr"/>
              <a:t>75%</a:t>
            </a:fld>
            <a:endParaRPr lang="en-US" sz="28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i/TOOLS/MEDIOCREDITO_v1Rev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O_CREDITO_CENTRALE"/>
      <sheetName val="INDICE"/>
      <sheetName val="S"/>
      <sheetName val="Foglio2"/>
      <sheetName val="Foglio1"/>
      <sheetName val="C"/>
      <sheetName val="Foglio3"/>
      <sheetName val="QUALITY CHECK"/>
      <sheetName val="CALCOLO KPI"/>
      <sheetName val="TABELLE"/>
      <sheetName val="COEFFICIENTI"/>
      <sheetName val="SCORE ECO-FIN"/>
      <sheetName val="VALUTAZIONE INTEGRATA"/>
    </sheetNames>
    <sheetDataSet>
      <sheetData sheetId="0"/>
      <sheetData sheetId="1">
        <row r="2">
          <cell r="N2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0">
          <cell r="U40">
            <v>0</v>
          </cell>
          <cell r="V40" t="str">
            <v>INDUSTRIA</v>
          </cell>
          <cell r="W40" t="str">
            <v>EDILIZIA</v>
          </cell>
          <cell r="X40" t="str">
            <v>COMMERCIO</v>
          </cell>
          <cell r="Y40" t="str">
            <v>IMMOBILIARE</v>
          </cell>
          <cell r="Z40" t="str">
            <v>SERVIZI</v>
          </cell>
        </row>
        <row r="41">
          <cell r="U41">
            <v>1</v>
          </cell>
          <cell r="V41" t="str">
            <v>1,709764</v>
          </cell>
          <cell r="W41">
            <v>0.37764999999999999</v>
          </cell>
          <cell r="X41" t="str">
            <v>-1,68061</v>
          </cell>
          <cell r="Y41">
            <v>-2.721187</v>
          </cell>
          <cell r="Z41" t="str">
            <v>0,427293</v>
          </cell>
        </row>
        <row r="42">
          <cell r="U42">
            <v>2</v>
          </cell>
          <cell r="V42" t="str">
            <v>1,006155</v>
          </cell>
          <cell r="W42">
            <v>-0.77986699999999998</v>
          </cell>
          <cell r="X42" t="str">
            <v>-2,86327</v>
          </cell>
          <cell r="Y42">
            <v>14.011900000000001</v>
          </cell>
          <cell r="Z42" t="str">
            <v>29,88155</v>
          </cell>
        </row>
        <row r="43">
          <cell r="U43">
            <v>3</v>
          </cell>
          <cell r="V43" t="str">
            <v>-1,380648</v>
          </cell>
          <cell r="W43">
            <v>34.641449999999999</v>
          </cell>
          <cell r="X43" t="str">
            <v>0,73753</v>
          </cell>
          <cell r="Y43">
            <v>0.81306480000000003</v>
          </cell>
          <cell r="Z43" t="str">
            <v>0,031407</v>
          </cell>
        </row>
        <row r="44">
          <cell r="U44">
            <v>4</v>
          </cell>
          <cell r="V44" t="str">
            <v>0,502537</v>
          </cell>
          <cell r="W44">
            <v>-1.8828659999999999</v>
          </cell>
          <cell r="X44" t="str">
            <v>-1,3164</v>
          </cell>
          <cell r="Y44">
            <v>-1.401464</v>
          </cell>
          <cell r="Z44" t="str">
            <v>0,542214</v>
          </cell>
        </row>
        <row r="45">
          <cell r="U45">
            <v>5</v>
          </cell>
          <cell r="V45" t="str">
            <v>21,7339</v>
          </cell>
          <cell r="W45">
            <v>1.314629</v>
          </cell>
          <cell r="X45" t="str">
            <v>16,97147</v>
          </cell>
          <cell r="Y45">
            <v>-0.13910829999999999</v>
          </cell>
          <cell r="Z45" t="str">
            <v>-7,428313</v>
          </cell>
        </row>
        <row r="46">
          <cell r="U46">
            <v>6</v>
          </cell>
          <cell r="V46" t="str">
            <v>-3,257383</v>
          </cell>
          <cell r="W46">
            <v>0.44865500000000003</v>
          </cell>
          <cell r="X46" t="str">
            <v>-3,97341</v>
          </cell>
          <cell r="Y46">
            <v>-0.56884270000000003</v>
          </cell>
          <cell r="Z46" t="str">
            <v>0,668981</v>
          </cell>
        </row>
        <row r="47">
          <cell r="U47">
            <v>7</v>
          </cell>
          <cell r="V47" t="str">
            <v>-0,035931</v>
          </cell>
          <cell r="W47">
            <v>-5.6389269999999998</v>
          </cell>
          <cell r="X47" t="str">
            <v>-0,33307</v>
          </cell>
          <cell r="Y47">
            <v>1.7652239999999999</v>
          </cell>
          <cell r="Z47" t="str">
            <v>-1,558519</v>
          </cell>
        </row>
        <row r="48">
          <cell r="U48">
            <v>8</v>
          </cell>
          <cell r="V48" t="str">
            <v>-1,842869</v>
          </cell>
          <cell r="W48">
            <v>-5.176E-2</v>
          </cell>
          <cell r="X48" t="str">
            <v>-0,85672</v>
          </cell>
          <cell r="Y48">
            <v>-2.5692349999999999</v>
          </cell>
          <cell r="Z48" t="str">
            <v>0,82794</v>
          </cell>
        </row>
        <row r="49">
          <cell r="U49">
            <v>9</v>
          </cell>
          <cell r="V49" t="str">
            <v>0,874921</v>
          </cell>
          <cell r="W49">
            <v>0.32928800000000003</v>
          </cell>
          <cell r="X49" t="str">
            <v>1,446892</v>
          </cell>
          <cell r="Y49">
            <v>0</v>
          </cell>
          <cell r="Z49" t="str">
            <v>-0,245774</v>
          </cell>
        </row>
        <row r="50">
          <cell r="U50">
            <v>10</v>
          </cell>
          <cell r="V50" t="str">
            <v>-1,318575</v>
          </cell>
          <cell r="W50">
            <v>-0.99843400000000004</v>
          </cell>
          <cell r="X50" t="str">
            <v>-2,98436</v>
          </cell>
          <cell r="Y50">
            <v>0</v>
          </cell>
          <cell r="Z50" t="str">
            <v>5,362561</v>
          </cell>
        </row>
        <row r="51">
          <cell r="U51">
            <v>11</v>
          </cell>
          <cell r="V51" t="str">
            <v>0,925375</v>
          </cell>
          <cell r="W51">
            <v>0.48568</v>
          </cell>
          <cell r="X51" t="str">
            <v>1,368938</v>
          </cell>
          <cell r="Y51">
            <v>0</v>
          </cell>
          <cell r="Z51" t="str">
            <v>-4,689249</v>
          </cell>
        </row>
        <row r="52">
          <cell r="U52">
            <v>12</v>
          </cell>
          <cell r="V52" t="str">
            <v>-0,672704</v>
          </cell>
          <cell r="W52">
            <v>-0.65572699999999995</v>
          </cell>
          <cell r="X52" t="str">
            <v>0,207691</v>
          </cell>
          <cell r="Y52">
            <v>0</v>
          </cell>
          <cell r="Z52">
            <v>0</v>
          </cell>
        </row>
        <row r="53">
          <cell r="U53">
            <v>13</v>
          </cell>
          <cell r="V53" t="str">
            <v>-11,51058</v>
          </cell>
          <cell r="W53">
            <v>-4.2584580000000001</v>
          </cell>
          <cell r="X53" t="str">
            <v>-8,28285</v>
          </cell>
          <cell r="Y53">
            <v>0</v>
          </cell>
          <cell r="Z53">
            <v>0</v>
          </cell>
        </row>
        <row r="54">
          <cell r="U54">
            <v>14</v>
          </cell>
          <cell r="V54" t="str">
            <v>1,934049</v>
          </cell>
          <cell r="W54">
            <v>0</v>
          </cell>
          <cell r="X54" t="str">
            <v>-1,88977</v>
          </cell>
          <cell r="Y54">
            <v>0</v>
          </cell>
          <cell r="Z54">
            <v>0</v>
          </cell>
        </row>
        <row r="55">
          <cell r="U55">
            <v>15</v>
          </cell>
          <cell r="V55" t="str">
            <v>-4,584023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rgb="FFFFC000"/>
    <pageSetUpPr fitToPage="1"/>
  </sheetPr>
  <dimension ref="A1:NJ39"/>
  <sheetViews>
    <sheetView showGridLines="0" zoomScale="110" zoomScaleNormal="110" workbookViewId="0">
      <pane ySplit="11" topLeftCell="A19" activePane="bottomLeft" state="frozen"/>
      <selection activeCell="B31" sqref="B31"/>
      <selection pane="bottomLeft" activeCell="C31" sqref="C31"/>
    </sheetView>
  </sheetViews>
  <sheetFormatPr defaultColWidth="0" defaultRowHeight="12.75" zeroHeight="1" x14ac:dyDescent="0.2"/>
  <cols>
    <col min="1" max="1" width="9.85546875" style="35" customWidth="1"/>
    <col min="2" max="2" width="43.28515625" style="35" customWidth="1"/>
    <col min="3" max="4" width="22.7109375" style="35" customWidth="1"/>
    <col min="5" max="5" width="2.28515625" style="36" customWidth="1"/>
    <col min="6" max="6" width="7.5703125" style="36" customWidth="1"/>
    <col min="7" max="7" width="50.28515625" style="36" bestFit="1" customWidth="1"/>
    <col min="8" max="8" width="7.5703125" style="36" customWidth="1"/>
    <col min="9" max="9" width="9" style="36" bestFit="1" customWidth="1"/>
    <col min="10" max="10" width="2.28515625" style="36" customWidth="1"/>
    <col min="11" max="374" width="0" style="39" hidden="1" customWidth="1"/>
    <col min="375" max="16384" width="7.5703125" style="40" hidden="1"/>
  </cols>
  <sheetData>
    <row r="1" spans="1:374" s="35" customFormat="1" x14ac:dyDescent="0.2"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</row>
    <row r="2" spans="1:374" s="35" customFormat="1" x14ac:dyDescent="0.2"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</row>
    <row r="3" spans="1:374" s="35" customFormat="1" x14ac:dyDescent="0.2"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</row>
    <row r="4" spans="1:374" s="35" customFormat="1" x14ac:dyDescent="0.2"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</row>
    <row r="5" spans="1:374" s="35" customFormat="1" ht="9.75" customHeight="1" thickBot="1" x14ac:dyDescent="0.25"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</row>
    <row r="6" spans="1:374" s="35" customFormat="1" ht="15" thickTop="1" x14ac:dyDescent="0.2">
      <c r="A6" s="108" t="s">
        <v>150</v>
      </c>
      <c r="B6" s="108"/>
      <c r="C6" s="48">
        <v>2023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</row>
    <row r="7" spans="1:374" s="35" customFormat="1" ht="5.65" customHeight="1" thickBot="1" x14ac:dyDescent="0.25">
      <c r="A7" s="41"/>
      <c r="B7" s="41"/>
      <c r="C7" s="41"/>
      <c r="D7" s="41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</row>
    <row r="8" spans="1:374" s="35" customFormat="1" ht="15" thickTop="1" x14ac:dyDescent="0.2">
      <c r="A8" s="108" t="s">
        <v>151</v>
      </c>
      <c r="B8" s="108"/>
      <c r="C8" s="48">
        <v>2024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</row>
    <row r="9" spans="1:374" s="35" customFormat="1" x14ac:dyDescent="0.2"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</row>
    <row r="10" spans="1:374" s="35" customFormat="1" ht="10.5" customHeight="1" x14ac:dyDescent="0.2"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</row>
    <row r="11" spans="1:374" s="33" customFormat="1" ht="17.25" customHeight="1" thickBot="1" x14ac:dyDescent="0.25">
      <c r="A11" s="63" t="s">
        <v>0</v>
      </c>
      <c r="B11" s="63" t="s">
        <v>1</v>
      </c>
      <c r="C11" s="63">
        <f>+C6</f>
        <v>2023</v>
      </c>
      <c r="D11" s="63">
        <f>+C8</f>
        <v>2024</v>
      </c>
      <c r="E11" s="31"/>
      <c r="F11" s="32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</row>
    <row r="12" spans="1:374" s="35" customFormat="1" ht="15" customHeight="1" thickTop="1" thickBot="1" x14ac:dyDescent="0.25">
      <c r="A12" s="64" t="s">
        <v>2</v>
      </c>
      <c r="B12" s="65" t="s">
        <v>3</v>
      </c>
      <c r="C12" s="66"/>
      <c r="D12" s="6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</row>
    <row r="13" spans="1:374" s="35" customFormat="1" ht="15" customHeight="1" thickTop="1" thickBot="1" x14ac:dyDescent="0.25">
      <c r="A13" s="64" t="s">
        <v>4</v>
      </c>
      <c r="B13" s="65" t="s">
        <v>5</v>
      </c>
      <c r="C13" s="66"/>
      <c r="D13" s="6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</row>
    <row r="14" spans="1:374" s="35" customFormat="1" ht="15" customHeight="1" thickTop="1" thickBot="1" x14ac:dyDescent="0.25">
      <c r="A14" s="64" t="s">
        <v>6</v>
      </c>
      <c r="B14" s="65" t="s">
        <v>7</v>
      </c>
      <c r="C14" s="66">
        <v>3597</v>
      </c>
      <c r="D14" s="66">
        <v>3970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</row>
    <row r="15" spans="1:374" s="35" customFormat="1" ht="15" customHeight="1" thickTop="1" thickBot="1" x14ac:dyDescent="0.25">
      <c r="A15" s="64" t="s">
        <v>8</v>
      </c>
      <c r="B15" s="65" t="s">
        <v>9</v>
      </c>
      <c r="C15" s="66"/>
      <c r="D15" s="6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</row>
    <row r="16" spans="1:374" s="35" customFormat="1" ht="15" customHeight="1" thickTop="1" thickBot="1" x14ac:dyDescent="0.25">
      <c r="A16" s="64" t="s">
        <v>10</v>
      </c>
      <c r="B16" s="67" t="s">
        <v>11</v>
      </c>
      <c r="C16" s="68">
        <f>SUM(C13:C15)</f>
        <v>3597</v>
      </c>
      <c r="D16" s="68">
        <f>SUM(D13:D15)</f>
        <v>3970</v>
      </c>
      <c r="E16" s="36"/>
      <c r="F16" s="36"/>
      <c r="G16" s="3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</row>
    <row r="17" spans="1:7" ht="15" customHeight="1" thickTop="1" thickBot="1" x14ac:dyDescent="0.25">
      <c r="A17" s="64" t="s">
        <v>12</v>
      </c>
      <c r="B17" s="65" t="s">
        <v>13</v>
      </c>
      <c r="C17" s="66"/>
      <c r="D17" s="66"/>
    </row>
    <row r="18" spans="1:7" ht="15" customHeight="1" thickTop="1" thickBot="1" x14ac:dyDescent="0.25">
      <c r="A18" s="64" t="s">
        <v>14</v>
      </c>
      <c r="B18" s="65" t="s">
        <v>15</v>
      </c>
      <c r="C18" s="66">
        <v>82093</v>
      </c>
      <c r="D18" s="66">
        <v>60589</v>
      </c>
    </row>
    <row r="19" spans="1:7" ht="15" customHeight="1" thickTop="1" thickBot="1" x14ac:dyDescent="0.25">
      <c r="A19" s="64" t="s">
        <v>16</v>
      </c>
      <c r="B19" s="65" t="s">
        <v>17</v>
      </c>
      <c r="C19" s="66"/>
      <c r="D19" s="66"/>
    </row>
    <row r="20" spans="1:7" ht="15" customHeight="1" thickTop="1" thickBot="1" x14ac:dyDescent="0.25">
      <c r="A20" s="64" t="s">
        <v>18</v>
      </c>
      <c r="B20" s="67" t="s">
        <v>19</v>
      </c>
      <c r="C20" s="68">
        <f>+SUM(C18:C19)</f>
        <v>82093</v>
      </c>
      <c r="D20" s="68">
        <f>+SUM(D18:D19)</f>
        <v>60589</v>
      </c>
    </row>
    <row r="21" spans="1:7" ht="15" customHeight="1" thickTop="1" thickBot="1" x14ac:dyDescent="0.25">
      <c r="A21" s="64" t="s">
        <v>20</v>
      </c>
      <c r="B21" s="65" t="s">
        <v>21</v>
      </c>
      <c r="C21" s="66"/>
      <c r="D21" s="66"/>
    </row>
    <row r="22" spans="1:7" ht="15" customHeight="1" thickTop="1" thickBot="1" x14ac:dyDescent="0.25">
      <c r="A22" s="64" t="s">
        <v>22</v>
      </c>
      <c r="B22" s="65" t="s">
        <v>23</v>
      </c>
      <c r="C22" s="66">
        <v>30153</v>
      </c>
      <c r="D22" s="66">
        <v>49883</v>
      </c>
      <c r="G22" s="38"/>
    </row>
    <row r="23" spans="1:7" ht="15" customHeight="1" thickTop="1" thickBot="1" x14ac:dyDescent="0.25">
      <c r="A23" s="64" t="s">
        <v>24</v>
      </c>
      <c r="B23" s="67" t="s">
        <v>25</v>
      </c>
      <c r="C23" s="68">
        <f>+C22+C21+C20+C17</f>
        <v>112246</v>
      </c>
      <c r="D23" s="68">
        <f>+D22+D21+D20+D17</f>
        <v>110472</v>
      </c>
    </row>
    <row r="24" spans="1:7" ht="15" customHeight="1" thickTop="1" thickBot="1" x14ac:dyDescent="0.25">
      <c r="A24" s="64" t="s">
        <v>26</v>
      </c>
      <c r="B24" s="65" t="s">
        <v>27</v>
      </c>
      <c r="C24" s="66">
        <v>7448</v>
      </c>
      <c r="D24" s="66">
        <v>5047</v>
      </c>
    </row>
    <row r="25" spans="1:7" ht="17.25" customHeight="1" thickTop="1" thickBot="1" x14ac:dyDescent="0.25">
      <c r="A25" s="64" t="s">
        <v>28</v>
      </c>
      <c r="B25" s="69" t="s">
        <v>29</v>
      </c>
      <c r="C25" s="70">
        <f>+C24+C23+C16+C12</f>
        <v>123291</v>
      </c>
      <c r="D25" s="70">
        <f>+D24+D23+D16+D12</f>
        <v>119489</v>
      </c>
    </row>
    <row r="26" spans="1:7" ht="15" customHeight="1" thickTop="1" thickBot="1" x14ac:dyDescent="0.25">
      <c r="A26" s="64" t="s">
        <v>30</v>
      </c>
      <c r="B26" s="65" t="s">
        <v>31</v>
      </c>
      <c r="C26" s="66">
        <v>29851</v>
      </c>
      <c r="D26" s="66">
        <v>22031</v>
      </c>
    </row>
    <row r="27" spans="1:7" ht="15" customHeight="1" thickTop="1" thickBot="1" x14ac:dyDescent="0.25">
      <c r="A27" s="71" t="s">
        <v>32</v>
      </c>
      <c r="B27" s="72" t="s">
        <v>33</v>
      </c>
      <c r="C27" s="73">
        <v>9289</v>
      </c>
      <c r="D27" s="73">
        <v>3980</v>
      </c>
    </row>
    <row r="28" spans="1:7" ht="15" customHeight="1" thickTop="1" thickBot="1" x14ac:dyDescent="0.25">
      <c r="A28" s="64" t="s">
        <v>34</v>
      </c>
      <c r="B28" s="65" t="s">
        <v>35</v>
      </c>
      <c r="C28" s="66"/>
      <c r="D28" s="66"/>
    </row>
    <row r="29" spans="1:7" ht="15" customHeight="1" thickTop="1" thickBot="1" x14ac:dyDescent="0.25">
      <c r="A29" s="64" t="s">
        <v>36</v>
      </c>
      <c r="B29" s="65" t="s">
        <v>37</v>
      </c>
      <c r="C29" s="66">
        <v>23861</v>
      </c>
      <c r="D29" s="66">
        <v>28869</v>
      </c>
    </row>
    <row r="30" spans="1:7" ht="15" customHeight="1" thickTop="1" thickBot="1" x14ac:dyDescent="0.25">
      <c r="A30" s="64" t="s">
        <v>38</v>
      </c>
      <c r="B30" s="65" t="s">
        <v>39</v>
      </c>
      <c r="C30" s="66">
        <v>64163</v>
      </c>
      <c r="D30" s="66">
        <v>64733</v>
      </c>
    </row>
    <row r="31" spans="1:7" ht="15" customHeight="1" thickTop="1" thickBot="1" x14ac:dyDescent="0.25">
      <c r="A31" s="64" t="s">
        <v>40</v>
      </c>
      <c r="B31" s="65" t="s">
        <v>41</v>
      </c>
      <c r="C31" s="66">
        <v>4480</v>
      </c>
      <c r="D31" s="66">
        <v>3815</v>
      </c>
    </row>
    <row r="32" spans="1:7" ht="15" customHeight="1" thickTop="1" thickBot="1" x14ac:dyDescent="0.25">
      <c r="A32" s="64" t="s">
        <v>42</v>
      </c>
      <c r="B32" s="67" t="s">
        <v>43</v>
      </c>
      <c r="C32" s="68">
        <f>SUM(C30:C31)</f>
        <v>68643</v>
      </c>
      <c r="D32" s="68">
        <f>SUM(D30:D31)</f>
        <v>68548</v>
      </c>
    </row>
    <row r="33" spans="1:4" ht="15" customHeight="1" thickTop="1" thickBot="1" x14ac:dyDescent="0.25">
      <c r="A33" s="64" t="s">
        <v>44</v>
      </c>
      <c r="B33" s="65" t="s">
        <v>27</v>
      </c>
      <c r="C33" s="66">
        <v>936</v>
      </c>
      <c r="D33" s="66">
        <v>41</v>
      </c>
    </row>
    <row r="34" spans="1:4" ht="17.25" customHeight="1" thickTop="1" x14ac:dyDescent="0.2">
      <c r="A34" s="64" t="s">
        <v>45</v>
      </c>
      <c r="B34" s="69" t="s">
        <v>46</v>
      </c>
      <c r="C34" s="70">
        <f>+C33+C32+C29+C28+C26</f>
        <v>123291</v>
      </c>
      <c r="D34" s="70">
        <f>+D33+D32+D29+D28+D26</f>
        <v>119489</v>
      </c>
    </row>
    <row r="35" spans="1:4" x14ac:dyDescent="0.2">
      <c r="C35" s="49"/>
      <c r="D35" s="49"/>
    </row>
    <row r="37" spans="1:4" hidden="1" x14ac:dyDescent="0.2">
      <c r="C37" s="36"/>
      <c r="D37" s="36"/>
    </row>
    <row r="38" spans="1:4" x14ac:dyDescent="0.2"/>
    <row r="39" spans="1:4" x14ac:dyDescent="0.2"/>
  </sheetData>
  <sheetProtection algorithmName="SHA-512" hashValue="TUL5ReIulkB8S7OxhBQfSx0IM3WpYBKMoG3zgRVBJ2Z1GYJ9nExbVWpY4jqJ95VfJlzoBd4oBPB5CHTCqoS8Dw==" saltValue="cTjbwCk0LvXNItKJaeifJw==" spinCount="100000" sheet="1" selectLockedCells="1"/>
  <mergeCells count="2">
    <mergeCell ref="A6:B6"/>
    <mergeCell ref="A8:B8"/>
  </mergeCells>
  <printOptions horizontalCentered="1" verticalCentered="1"/>
  <pageMargins left="0.25" right="0.25" top="0.75" bottom="0.75" header="0.3" footer="0.3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rgb="FFFFC000"/>
    <pageSetUpPr fitToPage="1"/>
  </sheetPr>
  <dimension ref="A7:J58"/>
  <sheetViews>
    <sheetView showGridLines="0" zoomScale="110" zoomScaleNormal="110" workbookViewId="0">
      <pane ySplit="7" topLeftCell="A32" activePane="bottomLeft" state="frozen"/>
      <selection activeCell="B31" sqref="B31"/>
      <selection pane="bottomLeft" activeCell="D8" sqref="D8"/>
    </sheetView>
  </sheetViews>
  <sheetFormatPr defaultColWidth="0" defaultRowHeight="12.75" x14ac:dyDescent="0.2"/>
  <cols>
    <col min="1" max="1" width="2.85546875" style="29" customWidth="1"/>
    <col min="2" max="2" width="10" style="29" bestFit="1" customWidth="1"/>
    <col min="3" max="3" width="74.5703125" style="30" bestFit="1" customWidth="1"/>
    <col min="4" max="5" width="22.7109375" style="29" customWidth="1"/>
    <col min="6" max="6" width="3.28515625" style="29" customWidth="1"/>
    <col min="7" max="7" width="21.140625" style="29" customWidth="1"/>
    <col min="8" max="9" width="22.7109375" style="29" customWidth="1"/>
    <col min="10" max="10" width="11.28515625" style="29" customWidth="1"/>
    <col min="11" max="12" width="11.28515625" style="29" hidden="1" customWidth="1"/>
    <col min="13" max="16384" width="11.28515625" style="29" hidden="1"/>
  </cols>
  <sheetData>
    <row r="7" spans="2:9" s="33" customFormat="1" ht="13.5" thickBot="1" x14ac:dyDescent="0.25">
      <c r="B7" s="63" t="s">
        <v>0</v>
      </c>
      <c r="C7" s="63" t="s">
        <v>1</v>
      </c>
      <c r="D7" s="63">
        <f>+SP!C11</f>
        <v>2023</v>
      </c>
      <c r="E7" s="63">
        <f>+SP!D11</f>
        <v>2024</v>
      </c>
      <c r="F7" s="31"/>
      <c r="G7" s="32"/>
    </row>
    <row r="8" spans="2:9" ht="14.25" thickTop="1" thickBot="1" x14ac:dyDescent="0.25">
      <c r="B8" s="64" t="s">
        <v>128</v>
      </c>
      <c r="C8" s="65" t="s">
        <v>129</v>
      </c>
      <c r="D8" s="81">
        <v>271268</v>
      </c>
      <c r="E8" s="81">
        <v>255388</v>
      </c>
    </row>
    <row r="9" spans="2:9" ht="16.5" thickTop="1" thickBot="1" x14ac:dyDescent="0.25">
      <c r="B9" s="64" t="s">
        <v>130</v>
      </c>
      <c r="C9" s="65" t="s">
        <v>158</v>
      </c>
      <c r="D9" s="81"/>
      <c r="E9" s="81"/>
      <c r="H9" s="110" t="s">
        <v>149</v>
      </c>
      <c r="I9" s="111"/>
    </row>
    <row r="10" spans="2:9" ht="14.25" thickTop="1" thickBot="1" x14ac:dyDescent="0.25">
      <c r="B10" s="64" t="s">
        <v>131</v>
      </c>
      <c r="C10" s="65" t="s">
        <v>132</v>
      </c>
      <c r="D10" s="81"/>
      <c r="E10" s="81"/>
    </row>
    <row r="11" spans="2:9" ht="14.25" thickTop="1" thickBot="1" x14ac:dyDescent="0.25">
      <c r="B11" s="64" t="s">
        <v>47</v>
      </c>
      <c r="C11" s="65" t="s">
        <v>48</v>
      </c>
      <c r="D11" s="81"/>
      <c r="E11" s="81"/>
      <c r="G11" s="84"/>
      <c r="H11" s="109" t="s">
        <v>124</v>
      </c>
      <c r="I11" s="109"/>
    </row>
    <row r="12" spans="2:9" ht="14.25" thickTop="1" thickBot="1" x14ac:dyDescent="0.25">
      <c r="B12" s="64" t="s">
        <v>49</v>
      </c>
      <c r="C12" s="65" t="s">
        <v>50</v>
      </c>
      <c r="D12" s="81">
        <v>13</v>
      </c>
      <c r="E12" s="81">
        <v>805</v>
      </c>
      <c r="G12" s="84"/>
      <c r="H12" s="85">
        <f>+D7</f>
        <v>2023</v>
      </c>
      <c r="I12" s="85">
        <f>+E7</f>
        <v>2024</v>
      </c>
    </row>
    <row r="13" spans="2:9" ht="14.25" thickTop="1" thickBot="1" x14ac:dyDescent="0.25">
      <c r="B13" s="64" t="s">
        <v>51</v>
      </c>
      <c r="C13" s="67" t="s">
        <v>52</v>
      </c>
      <c r="D13" s="82">
        <f>SUM(D8:D12)</f>
        <v>271281</v>
      </c>
      <c r="E13" s="82">
        <f>SUM(E8:E12)</f>
        <v>256193</v>
      </c>
      <c r="G13" s="74" t="s">
        <v>152</v>
      </c>
      <c r="H13" s="87">
        <v>51394</v>
      </c>
      <c r="I13" s="87">
        <v>56917</v>
      </c>
    </row>
    <row r="14" spans="2:9" ht="14.25" thickTop="1" thickBot="1" x14ac:dyDescent="0.25">
      <c r="B14" s="64" t="s">
        <v>53</v>
      </c>
      <c r="C14" s="65" t="s">
        <v>54</v>
      </c>
      <c r="D14" s="81">
        <v>3901</v>
      </c>
      <c r="E14" s="81">
        <v>1721</v>
      </c>
      <c r="G14" s="74" t="s">
        <v>125</v>
      </c>
      <c r="H14" s="81"/>
      <c r="I14" s="81"/>
    </row>
    <row r="15" spans="2:9" ht="14.25" thickTop="1" thickBot="1" x14ac:dyDescent="0.25">
      <c r="B15" s="64" t="s">
        <v>55</v>
      </c>
      <c r="C15" s="65" t="s">
        <v>56</v>
      </c>
      <c r="D15" s="81">
        <v>51394</v>
      </c>
      <c r="E15" s="81">
        <v>56917</v>
      </c>
      <c r="G15" s="74"/>
      <c r="H15" s="86">
        <f>+D15</f>
        <v>51394</v>
      </c>
      <c r="I15" s="86">
        <f>+E15</f>
        <v>56917</v>
      </c>
    </row>
    <row r="16" spans="2:9" ht="14.25" thickTop="1" thickBot="1" x14ac:dyDescent="0.25">
      <c r="B16" s="64" t="s">
        <v>57</v>
      </c>
      <c r="C16" s="65" t="s">
        <v>58</v>
      </c>
      <c r="D16" s="81">
        <v>57233</v>
      </c>
      <c r="E16" s="81">
        <v>35517</v>
      </c>
      <c r="G16" s="74"/>
      <c r="H16" s="109" t="s">
        <v>123</v>
      </c>
      <c r="I16" s="109"/>
    </row>
    <row r="17" spans="2:9" ht="14.25" thickTop="1" thickBot="1" x14ac:dyDescent="0.25">
      <c r="B17" s="64" t="s">
        <v>59</v>
      </c>
      <c r="C17" s="65" t="s">
        <v>60</v>
      </c>
      <c r="D17" s="81">
        <v>134612</v>
      </c>
      <c r="E17" s="81">
        <v>149309</v>
      </c>
      <c r="G17" s="74"/>
      <c r="H17" s="85">
        <f>+D7</f>
        <v>2023</v>
      </c>
      <c r="I17" s="85">
        <f>+E7</f>
        <v>2024</v>
      </c>
    </row>
    <row r="18" spans="2:9" ht="14.25" thickTop="1" thickBot="1" x14ac:dyDescent="0.25">
      <c r="B18" s="64" t="s">
        <v>61</v>
      </c>
      <c r="C18" s="65" t="s">
        <v>62</v>
      </c>
      <c r="D18" s="81"/>
      <c r="E18" s="81"/>
      <c r="G18" s="74" t="s">
        <v>153</v>
      </c>
      <c r="H18" s="87">
        <v>134612</v>
      </c>
      <c r="I18" s="87">
        <v>149309</v>
      </c>
    </row>
    <row r="19" spans="2:9" ht="14.25" thickTop="1" thickBot="1" x14ac:dyDescent="0.25">
      <c r="B19" s="64" t="s">
        <v>63</v>
      </c>
      <c r="C19" s="65" t="s">
        <v>64</v>
      </c>
      <c r="D19" s="81">
        <v>3488</v>
      </c>
      <c r="E19" s="81">
        <v>3148</v>
      </c>
      <c r="G19" s="74" t="s">
        <v>154</v>
      </c>
      <c r="H19" s="81"/>
      <c r="I19" s="81"/>
    </row>
    <row r="20" spans="2:9" ht="14.25" thickTop="1" thickBot="1" x14ac:dyDescent="0.25">
      <c r="B20" s="64" t="s">
        <v>65</v>
      </c>
      <c r="C20" s="65" t="s">
        <v>66</v>
      </c>
      <c r="D20" s="82">
        <f>SUM(D18:D19)</f>
        <v>3488</v>
      </c>
      <c r="E20" s="82">
        <f>SUM(E18:E19)</f>
        <v>3148</v>
      </c>
      <c r="G20" s="74" t="s">
        <v>111</v>
      </c>
      <c r="H20" s="81"/>
      <c r="I20" s="81"/>
    </row>
    <row r="21" spans="2:9" ht="14.25" thickTop="1" thickBot="1" x14ac:dyDescent="0.25">
      <c r="B21" s="64" t="s">
        <v>67</v>
      </c>
      <c r="C21" s="65" t="s">
        <v>157</v>
      </c>
      <c r="D21" s="81"/>
      <c r="E21" s="81"/>
      <c r="H21" s="34">
        <f>+D17</f>
        <v>134612</v>
      </c>
      <c r="I21" s="34">
        <f>+E17</f>
        <v>149309</v>
      </c>
    </row>
    <row r="22" spans="2:9" ht="14.25" thickTop="1" thickBot="1" x14ac:dyDescent="0.25">
      <c r="B22" s="64" t="s">
        <v>68</v>
      </c>
      <c r="C22" s="65" t="s">
        <v>69</v>
      </c>
      <c r="D22" s="81"/>
      <c r="E22" s="81"/>
    </row>
    <row r="23" spans="2:9" ht="14.25" thickTop="1" thickBot="1" x14ac:dyDescent="0.25">
      <c r="B23" s="64" t="s">
        <v>70</v>
      </c>
      <c r="C23" s="65" t="s">
        <v>71</v>
      </c>
      <c r="D23" s="81"/>
      <c r="E23" s="81"/>
    </row>
    <row r="24" spans="2:9" ht="14.25" thickTop="1" thickBot="1" x14ac:dyDescent="0.25">
      <c r="B24" s="64" t="s">
        <v>72</v>
      </c>
      <c r="C24" s="65" t="s">
        <v>73</v>
      </c>
      <c r="D24" s="81">
        <v>5405</v>
      </c>
      <c r="E24" s="81">
        <v>3535</v>
      </c>
    </row>
    <row r="25" spans="2:9" ht="14.25" thickTop="1" thickBot="1" x14ac:dyDescent="0.25">
      <c r="B25" s="64" t="s">
        <v>74</v>
      </c>
      <c r="C25" s="67" t="s">
        <v>75</v>
      </c>
      <c r="D25" s="82">
        <f>+SUM(D14:D19,D21:D24)</f>
        <v>256033</v>
      </c>
      <c r="E25" s="82">
        <f>+SUM(E14:E19,E21:E24)</f>
        <v>250147</v>
      </c>
    </row>
    <row r="26" spans="2:9" ht="14.25" thickTop="1" thickBot="1" x14ac:dyDescent="0.25">
      <c r="B26" s="64" t="s">
        <v>76</v>
      </c>
      <c r="C26" s="65" t="s">
        <v>77</v>
      </c>
      <c r="D26" s="81">
        <v>736</v>
      </c>
      <c r="E26" s="81">
        <v>764</v>
      </c>
    </row>
    <row r="27" spans="2:9" ht="14.25" thickTop="1" thickBot="1" x14ac:dyDescent="0.25">
      <c r="B27" s="64" t="s">
        <v>78</v>
      </c>
      <c r="C27" s="65" t="s">
        <v>79</v>
      </c>
      <c r="D27" s="81"/>
      <c r="E27" s="81"/>
    </row>
    <row r="28" spans="2:9" ht="14.25" thickTop="1" thickBot="1" x14ac:dyDescent="0.25">
      <c r="B28" s="64" t="s">
        <v>80</v>
      </c>
      <c r="C28" s="65" t="s">
        <v>81</v>
      </c>
      <c r="D28" s="81"/>
      <c r="E28" s="81"/>
    </row>
    <row r="29" spans="2:9" ht="14.25" thickTop="1" thickBot="1" x14ac:dyDescent="0.25">
      <c r="B29" s="64" t="s">
        <v>82</v>
      </c>
      <c r="C29" s="65" t="s">
        <v>83</v>
      </c>
      <c r="D29" s="81"/>
      <c r="E29" s="81"/>
    </row>
    <row r="30" spans="2:9" ht="14.25" thickTop="1" thickBot="1" x14ac:dyDescent="0.25">
      <c r="B30" s="64" t="s">
        <v>84</v>
      </c>
      <c r="C30" s="67" t="s">
        <v>85</v>
      </c>
      <c r="D30" s="82">
        <f>D13-SUM(D25:D29)</f>
        <v>14512</v>
      </c>
      <c r="E30" s="82">
        <f>E13-SUM(E25:E29)</f>
        <v>5282</v>
      </c>
    </row>
    <row r="31" spans="2:9" ht="14.25" thickTop="1" thickBot="1" x14ac:dyDescent="0.25">
      <c r="B31" s="64" t="s">
        <v>86</v>
      </c>
      <c r="C31" s="75" t="s">
        <v>87</v>
      </c>
      <c r="D31" s="81">
        <v>5223</v>
      </c>
      <c r="E31" s="81">
        <v>1302</v>
      </c>
    </row>
    <row r="32" spans="2:9" ht="13.5" thickTop="1" x14ac:dyDescent="0.2">
      <c r="B32" s="64" t="s">
        <v>88</v>
      </c>
      <c r="C32" s="67" t="s">
        <v>89</v>
      </c>
      <c r="D32" s="82">
        <f>+D30-D31</f>
        <v>9289</v>
      </c>
      <c r="E32" s="82">
        <f>+E30-E31</f>
        <v>3980</v>
      </c>
    </row>
    <row r="33" spans="2:5" ht="13.5" thickBot="1" x14ac:dyDescent="0.25">
      <c r="B33" s="76"/>
      <c r="C33" s="77"/>
      <c r="D33" s="76"/>
      <c r="E33" s="76"/>
    </row>
    <row r="34" spans="2:5" ht="14.25" thickTop="1" thickBot="1" x14ac:dyDescent="0.25">
      <c r="B34" s="78" t="s">
        <v>90</v>
      </c>
      <c r="C34" s="79" t="s">
        <v>91</v>
      </c>
      <c r="D34" s="83">
        <v>306816</v>
      </c>
      <c r="E34" s="81">
        <v>271268</v>
      </c>
    </row>
    <row r="35" spans="2:5" ht="13.5" thickTop="1" x14ac:dyDescent="0.2">
      <c r="B35" s="78" t="s">
        <v>92</v>
      </c>
      <c r="C35" s="80" t="s">
        <v>91</v>
      </c>
      <c r="D35" s="83">
        <v>306822</v>
      </c>
      <c r="E35" s="81">
        <v>271281</v>
      </c>
    </row>
    <row r="38" spans="2:5" x14ac:dyDescent="0.2">
      <c r="C38" s="30" t="s">
        <v>171</v>
      </c>
      <c r="D38" s="94">
        <f>+SP!C26</f>
        <v>29851</v>
      </c>
      <c r="E38" s="94">
        <f>+SP!D26</f>
        <v>22031</v>
      </c>
    </row>
    <row r="39" spans="2:5" x14ac:dyDescent="0.2">
      <c r="C39" s="30" t="s">
        <v>172</v>
      </c>
      <c r="D39" s="95">
        <f>+D32/D38</f>
        <v>0.31117885497973269</v>
      </c>
      <c r="E39" s="95">
        <f>+E32/E38</f>
        <v>0.18065453225001135</v>
      </c>
    </row>
    <row r="40" spans="2:5" x14ac:dyDescent="0.2">
      <c r="D40" s="96"/>
      <c r="E40" s="96"/>
    </row>
    <row r="41" spans="2:5" x14ac:dyDescent="0.2">
      <c r="C41" s="30" t="s">
        <v>173</v>
      </c>
      <c r="D41" s="97">
        <f>+D32/D8</f>
        <v>3.4242888951147944E-2</v>
      </c>
      <c r="E41" s="97">
        <f>+E32/E8</f>
        <v>1.5584130812724169E-2</v>
      </c>
    </row>
    <row r="42" spans="2:5" x14ac:dyDescent="0.2">
      <c r="B42" s="41" t="s">
        <v>176</v>
      </c>
      <c r="C42" s="30" t="s">
        <v>174</v>
      </c>
      <c r="D42" s="94">
        <f>+D8/SP!C34</f>
        <v>2.2002254828008532</v>
      </c>
      <c r="E42" s="94">
        <f>+E8/SP!D34</f>
        <v>2.1373348174308933</v>
      </c>
    </row>
    <row r="43" spans="2:5" x14ac:dyDescent="0.2">
      <c r="B43" s="93" t="s">
        <v>176</v>
      </c>
      <c r="C43" s="30" t="s">
        <v>177</v>
      </c>
      <c r="D43" s="94">
        <f>+SP!C25/SP!C26</f>
        <v>4.1302133931861578</v>
      </c>
      <c r="E43" s="94">
        <f>+SP!D25/SP!D26</f>
        <v>5.4236757296536702</v>
      </c>
    </row>
    <row r="44" spans="2:5" x14ac:dyDescent="0.2">
      <c r="D44" s="95">
        <f>+D41*D42*D43</f>
        <v>0.31117885497973263</v>
      </c>
      <c r="E44" s="95">
        <f>+E41*E42*E43</f>
        <v>0.18065453225001138</v>
      </c>
    </row>
    <row r="46" spans="2:5" x14ac:dyDescent="0.2">
      <c r="C46" s="30" t="s">
        <v>179</v>
      </c>
      <c r="D46" s="98">
        <f>+D13-D25</f>
        <v>15248</v>
      </c>
      <c r="E46" s="98">
        <f>+E13-E25</f>
        <v>6046</v>
      </c>
    </row>
    <row r="47" spans="2:5" x14ac:dyDescent="0.2">
      <c r="C47" s="30" t="s">
        <v>178</v>
      </c>
      <c r="D47" s="101">
        <f>+D32/D46</f>
        <v>0.60919464847848903</v>
      </c>
      <c r="E47" s="101">
        <f>+E32/E46</f>
        <v>0.65828647039364874</v>
      </c>
    </row>
    <row r="48" spans="2:5" x14ac:dyDescent="0.2">
      <c r="B48" s="96" t="str">
        <f t="shared" ref="B48:E48" si="0">B43</f>
        <v>x</v>
      </c>
      <c r="C48" s="99" t="str">
        <f t="shared" si="0"/>
        <v>ATTIVO/PATRIMONIO NETTO</v>
      </c>
      <c r="D48" s="94">
        <f t="shared" si="0"/>
        <v>4.1302133931861578</v>
      </c>
      <c r="E48" s="94">
        <f t="shared" si="0"/>
        <v>5.4236757296536702</v>
      </c>
    </row>
    <row r="49" spans="2:6" x14ac:dyDescent="0.2">
      <c r="B49" s="100" t="s">
        <v>175</v>
      </c>
      <c r="C49" s="30" t="s">
        <v>156</v>
      </c>
      <c r="D49" s="101">
        <f>+D46/SP!C34</f>
        <v>0.12367488300038121</v>
      </c>
      <c r="E49" s="101">
        <f>+E46/SP!D34</f>
        <v>5.0598799889529582E-2</v>
      </c>
    </row>
    <row r="50" spans="2:6" x14ac:dyDescent="0.2">
      <c r="D50" s="95">
        <f>+D47*D48*D49</f>
        <v>0.31117885497973269</v>
      </c>
      <c r="E50" s="95">
        <f>+E47*E48*E49</f>
        <v>0.18065453225001138</v>
      </c>
    </row>
    <row r="52" spans="2:6" x14ac:dyDescent="0.2">
      <c r="C52" s="30" t="s">
        <v>181</v>
      </c>
      <c r="D52" s="98">
        <f>+D26</f>
        <v>736</v>
      </c>
      <c r="E52" s="98">
        <f>+E26</f>
        <v>764</v>
      </c>
      <c r="F52" s="102"/>
    </row>
    <row r="53" spans="2:6" x14ac:dyDescent="0.2">
      <c r="C53" s="30" t="s">
        <v>180</v>
      </c>
      <c r="D53" s="96">
        <f>+SP!C34-CE!D38</f>
        <v>93440</v>
      </c>
      <c r="E53" s="96">
        <f>+SP!D34-CE!E38</f>
        <v>97458</v>
      </c>
    </row>
    <row r="54" spans="2:6" x14ac:dyDescent="0.2">
      <c r="C54" s="30" t="s">
        <v>187</v>
      </c>
      <c r="D54" s="103">
        <f>+D52/D53</f>
        <v>7.8767123287671239E-3</v>
      </c>
      <c r="E54" s="103">
        <f>+E52/E53</f>
        <v>7.839274354080732E-3</v>
      </c>
    </row>
    <row r="55" spans="2:6" x14ac:dyDescent="0.2">
      <c r="C55" s="30" t="s">
        <v>184</v>
      </c>
      <c r="D55" s="107">
        <f>+D31/D30</f>
        <v>0.3599090407938258</v>
      </c>
      <c r="E55" s="107">
        <f>+E31/E30</f>
        <v>0.2464975388110564</v>
      </c>
    </row>
    <row r="56" spans="2:6" x14ac:dyDescent="0.2">
      <c r="C56" s="30" t="s">
        <v>182</v>
      </c>
      <c r="D56" s="104">
        <f>+D49-D54</f>
        <v>0.11579817067161409</v>
      </c>
      <c r="E56" s="104">
        <f>+E49-E54</f>
        <v>4.2759525535448852E-2</v>
      </c>
    </row>
    <row r="57" spans="2:6" x14ac:dyDescent="0.2">
      <c r="C57" s="30" t="s">
        <v>183</v>
      </c>
      <c r="D57" s="102">
        <f>+D53/D38</f>
        <v>3.1302133931861578</v>
      </c>
      <c r="E57" s="102">
        <f>+E53/E38</f>
        <v>4.4236757296536702</v>
      </c>
    </row>
    <row r="58" spans="2:6" x14ac:dyDescent="0.2">
      <c r="D58" s="95">
        <f>+(1-D55)*(D57*D56+D49)</f>
        <v>0.31117885497973269</v>
      </c>
      <c r="E58" s="95">
        <f>+(1-E55)*(E57*E56+E49)</f>
        <v>0.18065453225001138</v>
      </c>
    </row>
  </sheetData>
  <sheetProtection algorithmName="SHA-512" hashValue="s8YoMFYYZfqhirHjjUnutslZmqGGXtbCRvkTqTvQhHGR+xGwDiOycLsLjjWBOxHAA2oTB9pHntGdLNkfM+T+Iw==" saltValue="ga/b2UqUCTuCdstxcJNcKQ==" spinCount="100000" sheet="1" selectLockedCells="1"/>
  <mergeCells count="3">
    <mergeCell ref="H11:I11"/>
    <mergeCell ref="H16:I16"/>
    <mergeCell ref="H9:I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V4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9" sqref="R9"/>
    </sheetView>
  </sheetViews>
  <sheetFormatPr defaultColWidth="9.140625" defaultRowHeight="12.75" x14ac:dyDescent="0.2"/>
  <cols>
    <col min="1" max="1" width="9.85546875" style="2" customWidth="1"/>
    <col min="2" max="2" width="24.28515625" style="2" bestFit="1" customWidth="1"/>
    <col min="3" max="4" width="13.5703125" style="2" bestFit="1" customWidth="1"/>
    <col min="5" max="6" width="9.140625" style="2"/>
    <col min="7" max="7" width="3.85546875" style="2" customWidth="1"/>
    <col min="8" max="17" width="9.140625" style="2"/>
    <col min="18" max="19" width="14.28515625" style="2" bestFit="1" customWidth="1"/>
    <col min="20" max="20" width="9.140625" style="2"/>
    <col min="21" max="21" width="9.5703125" style="2" bestFit="1" customWidth="1"/>
    <col min="22" max="22" width="10" style="2" bestFit="1" customWidth="1"/>
    <col min="23" max="16384" width="9.140625" style="2"/>
  </cols>
  <sheetData>
    <row r="1" spans="1:22" x14ac:dyDescent="0.2">
      <c r="A1" s="112" t="s">
        <v>93</v>
      </c>
      <c r="B1" s="112"/>
      <c r="C1" s="112"/>
      <c r="D1" s="112"/>
    </row>
    <row r="2" spans="1:22" x14ac:dyDescent="0.2">
      <c r="A2" s="1" t="s">
        <v>94</v>
      </c>
      <c r="B2" s="1" t="s">
        <v>95</v>
      </c>
      <c r="C2" s="1">
        <v>2023</v>
      </c>
      <c r="D2" s="1">
        <v>2024</v>
      </c>
      <c r="R2" s="62">
        <f>+SP!C6</f>
        <v>2023</v>
      </c>
      <c r="S2" s="62">
        <f>+SP!C8</f>
        <v>2024</v>
      </c>
    </row>
    <row r="3" spans="1:22" ht="13.5" thickBot="1" x14ac:dyDescent="0.25">
      <c r="A3" s="2">
        <v>1</v>
      </c>
      <c r="B3" s="2" t="s">
        <v>97</v>
      </c>
      <c r="C3" s="3">
        <f>+CE!D8</f>
        <v>271268</v>
      </c>
      <c r="D3" s="3">
        <f>+CE!E8</f>
        <v>255388</v>
      </c>
      <c r="H3" s="1" t="s">
        <v>161</v>
      </c>
      <c r="R3" s="47">
        <f>+CE!D32/SP!C26</f>
        <v>0.31117885497973269</v>
      </c>
      <c r="S3" s="47">
        <f>+CE!E32/SP!D26</f>
        <v>0.18065453225001135</v>
      </c>
    </row>
    <row r="4" spans="1:22" ht="15.75" thickBot="1" x14ac:dyDescent="0.3">
      <c r="A4" s="2">
        <v>2</v>
      </c>
      <c r="B4" s="2" t="s">
        <v>98</v>
      </c>
      <c r="C4" s="4">
        <f>+CE!D9+CE!D10-CE!D21</f>
        <v>0</v>
      </c>
      <c r="D4" s="4">
        <f>+CE!E9+CE!E10-CE!E21</f>
        <v>0</v>
      </c>
      <c r="H4" t="s">
        <v>137</v>
      </c>
      <c r="R4" s="21">
        <f>R7*R17*R19</f>
        <v>0.25371307582570435</v>
      </c>
      <c r="S4" s="21">
        <f>S7*S17*S19</f>
        <v>0.11879892342653565</v>
      </c>
      <c r="U4" s="47">
        <f>+C23/SP!C26</f>
        <v>0.31117885497973269</v>
      </c>
      <c r="V4" s="2" t="str">
        <f>+IF(U4=R4,"OK","ATTENZIONE")</f>
        <v>ATTENZIONE</v>
      </c>
    </row>
    <row r="5" spans="1:22" x14ac:dyDescent="0.2">
      <c r="A5" s="2">
        <v>3</v>
      </c>
      <c r="B5" s="2" t="s">
        <v>99</v>
      </c>
      <c r="C5" s="5">
        <f>+CE!D11+CE!D12</f>
        <v>13</v>
      </c>
      <c r="D5" s="5">
        <f>+CE!E11+CE!E12</f>
        <v>805</v>
      </c>
      <c r="I5" s="22" t="s">
        <v>139</v>
      </c>
    </row>
    <row r="6" spans="1:22" ht="13.5" thickBot="1" x14ac:dyDescent="0.25">
      <c r="A6" s="6" t="s">
        <v>96</v>
      </c>
      <c r="B6" s="1" t="s">
        <v>100</v>
      </c>
      <c r="C6" s="7">
        <f>SUM(C3:C5)</f>
        <v>271281</v>
      </c>
      <c r="D6" s="7">
        <f>SUM(D3:D5)</f>
        <v>256193</v>
      </c>
    </row>
    <row r="7" spans="1:22" ht="13.5" thickBot="1" x14ac:dyDescent="0.25">
      <c r="A7" s="2">
        <v>4</v>
      </c>
      <c r="B7" s="2" t="s">
        <v>101</v>
      </c>
      <c r="C7" s="8">
        <f>+CE!D14</f>
        <v>3901</v>
      </c>
      <c r="D7" s="8">
        <f>+CE!E14</f>
        <v>1721</v>
      </c>
      <c r="J7" s="2" t="s">
        <v>140</v>
      </c>
      <c r="R7" s="21">
        <f>$R$9*$R$15</f>
        <v>0.10083569132759519</v>
      </c>
      <c r="S7" s="21">
        <f>$S$9*$S$15</f>
        <v>3.327391169589905E-2</v>
      </c>
    </row>
    <row r="8" spans="1:22" ht="13.5" thickBot="1" x14ac:dyDescent="0.25">
      <c r="A8" s="2">
        <v>5</v>
      </c>
      <c r="B8" s="2" t="s">
        <v>102</v>
      </c>
      <c r="C8" s="9">
        <f>+CE!H13+CE!D16</f>
        <v>108627</v>
      </c>
      <c r="D8" s="9">
        <f>+CE!I13+CE!E16</f>
        <v>92434</v>
      </c>
    </row>
    <row r="9" spans="1:22" ht="13.5" thickBot="1" x14ac:dyDescent="0.25">
      <c r="A9" s="2">
        <v>6</v>
      </c>
      <c r="B9" s="2" t="s">
        <v>103</v>
      </c>
      <c r="C9" s="10">
        <f>+CE!H18</f>
        <v>134612</v>
      </c>
      <c r="D9" s="10">
        <f>+CE!I18</f>
        <v>149309</v>
      </c>
      <c r="K9" s="2" t="s">
        <v>141</v>
      </c>
      <c r="R9" s="21">
        <f>($R$24+CE!$E$26)/$C$13</f>
        <v>0.81532877882152011</v>
      </c>
      <c r="S9" s="21">
        <f>($S$24+CE!$E$26)/$D$13</f>
        <v>0.65760278442462472</v>
      </c>
    </row>
    <row r="10" spans="1:22" x14ac:dyDescent="0.2">
      <c r="A10" s="6" t="s">
        <v>104</v>
      </c>
      <c r="B10" s="1" t="s">
        <v>100</v>
      </c>
      <c r="C10" s="7">
        <f>SUM(C7:C9)</f>
        <v>247140</v>
      </c>
      <c r="D10" s="7">
        <f>SUM(D7:D9)</f>
        <v>243464</v>
      </c>
    </row>
    <row r="11" spans="1:22" ht="13.5" thickBot="1" x14ac:dyDescent="0.25">
      <c r="A11" s="6" t="s">
        <v>105</v>
      </c>
      <c r="B11" s="1" t="s">
        <v>106</v>
      </c>
      <c r="C11" s="7">
        <f>+C6-C10</f>
        <v>24141</v>
      </c>
      <c r="D11" s="7">
        <f>+D6-D10</f>
        <v>12729</v>
      </c>
      <c r="E11" s="1" t="s">
        <v>138</v>
      </c>
      <c r="L11" s="2" t="s">
        <v>143</v>
      </c>
      <c r="R11" s="23">
        <f>+$C$18+(IF($C$19&gt;0,$C$19,0))+(IF($C$20&gt;0,$C$20,0))-CE!$D$26</f>
        <v>14512</v>
      </c>
      <c r="S11" s="23">
        <f>+$D$18+(IF($D$19&gt;0,$D$19,0))+(IF($D$20&gt;0,$D$20,0))-CE!$E$26</f>
        <v>5282</v>
      </c>
    </row>
    <row r="12" spans="1:22" ht="13.5" thickTop="1" x14ac:dyDescent="0.2">
      <c r="A12" s="2">
        <v>7</v>
      </c>
      <c r="B12" s="2" t="s">
        <v>107</v>
      </c>
      <c r="C12" s="11">
        <f>+CE!H14+CE!D24</f>
        <v>5405</v>
      </c>
      <c r="D12" s="11">
        <f>+CE!I14+CE!E24</f>
        <v>3535</v>
      </c>
    </row>
    <row r="13" spans="1:22" ht="13.5" thickBot="1" x14ac:dyDescent="0.25">
      <c r="A13" s="6" t="s">
        <v>108</v>
      </c>
      <c r="B13" s="1" t="s">
        <v>109</v>
      </c>
      <c r="C13" s="7">
        <f>+C11-C12</f>
        <v>18736</v>
      </c>
      <c r="D13" s="7">
        <f>+D11-D12</f>
        <v>9194</v>
      </c>
      <c r="E13" s="1" t="s">
        <v>142</v>
      </c>
      <c r="L13" s="2" t="s">
        <v>144</v>
      </c>
      <c r="R13" s="23">
        <f>+$C$13-$C$10-$C$12-$C$14-$C$15</f>
        <v>-233809</v>
      </c>
      <c r="S13" s="23">
        <f>+$D$13-$D$10-$D$12-$D$14-$D$15</f>
        <v>-237805</v>
      </c>
    </row>
    <row r="14" spans="1:22" ht="14.25" thickTop="1" thickBot="1" x14ac:dyDescent="0.25">
      <c r="A14" s="2">
        <v>8</v>
      </c>
      <c r="B14" s="2" t="s">
        <v>110</v>
      </c>
      <c r="C14" s="12">
        <f>+CE!H19</f>
        <v>0</v>
      </c>
      <c r="D14" s="12">
        <f>+CE!I19</f>
        <v>0</v>
      </c>
    </row>
    <row r="15" spans="1:22" ht="13.5" thickBot="1" x14ac:dyDescent="0.25">
      <c r="A15" s="2">
        <v>9</v>
      </c>
      <c r="B15" s="2" t="s">
        <v>111</v>
      </c>
      <c r="C15" s="13">
        <f>+CE!H20</f>
        <v>0</v>
      </c>
      <c r="D15" s="13">
        <f>+CE!I20</f>
        <v>0</v>
      </c>
      <c r="J15" s="2" t="s">
        <v>156</v>
      </c>
      <c r="K15" s="2" t="s">
        <v>145</v>
      </c>
      <c r="R15" s="44">
        <f>$C$18/SP!$C$25</f>
        <v>0.12367488300038121</v>
      </c>
      <c r="S15" s="44">
        <f>$D$18/SP!$D$25</f>
        <v>5.0598799889529582E-2</v>
      </c>
      <c r="U15" s="42">
        <f>$C$13/SP!$C$16</f>
        <v>5.2087850986933555</v>
      </c>
    </row>
    <row r="16" spans="1:22" ht="13.5" thickBot="1" x14ac:dyDescent="0.25">
      <c r="A16" s="6" t="s">
        <v>112</v>
      </c>
      <c r="B16" s="1" t="s">
        <v>113</v>
      </c>
      <c r="C16" s="7">
        <f>+C13-C14-C15</f>
        <v>18736</v>
      </c>
      <c r="D16" s="7">
        <f>+D13-D14-D15</f>
        <v>9194</v>
      </c>
      <c r="E16" s="1" t="s">
        <v>133</v>
      </c>
    </row>
    <row r="17" spans="1:21" ht="13.5" thickBot="1" x14ac:dyDescent="0.25">
      <c r="A17" s="2">
        <v>10</v>
      </c>
      <c r="B17" s="2" t="s">
        <v>126</v>
      </c>
      <c r="C17" s="14">
        <f>+CE!D18+CE!D19+CE!D22+CE!D23</f>
        <v>3488</v>
      </c>
      <c r="D17" s="14">
        <f>+CE!E18+CE!E19+CE!E22+CE!E23</f>
        <v>3148</v>
      </c>
      <c r="E17" s="1"/>
      <c r="I17" s="2" t="s">
        <v>146</v>
      </c>
      <c r="R17" s="44">
        <f>SP!C25/SP!C26</f>
        <v>4.1302133931861578</v>
      </c>
      <c r="S17" s="44">
        <f>SP!D25/SP!D26</f>
        <v>5.4236757296536702</v>
      </c>
      <c r="U17" s="42">
        <f>+SP!C25/SP!C26</f>
        <v>4.1302133931861578</v>
      </c>
    </row>
    <row r="18" spans="1:21" x14ac:dyDescent="0.2">
      <c r="A18" s="6" t="s">
        <v>114</v>
      </c>
      <c r="B18" s="1" t="s">
        <v>115</v>
      </c>
      <c r="C18" s="7">
        <f>+C16-C17</f>
        <v>15248</v>
      </c>
      <c r="D18" s="7">
        <f>+D16-D17</f>
        <v>6046</v>
      </c>
      <c r="E18" s="1" t="s">
        <v>134</v>
      </c>
    </row>
    <row r="19" spans="1:21" ht="13.5" thickBot="1" x14ac:dyDescent="0.25">
      <c r="A19" s="2">
        <v>11</v>
      </c>
      <c r="B19" s="2" t="s">
        <v>116</v>
      </c>
      <c r="C19" s="15">
        <f>-CE!D29</f>
        <v>0</v>
      </c>
      <c r="D19" s="15">
        <f>-CE!E29</f>
        <v>0</v>
      </c>
      <c r="E19" s="1"/>
      <c r="I19" s="2" t="s">
        <v>147</v>
      </c>
      <c r="R19" s="45">
        <f>+C23/C18</f>
        <v>0.60919464847848903</v>
      </c>
      <c r="S19" s="45">
        <f>+D23/D18</f>
        <v>0.65828647039364874</v>
      </c>
      <c r="U19" s="42">
        <f>+C23/C18</f>
        <v>0.60919464847848903</v>
      </c>
    </row>
    <row r="20" spans="1:21" ht="13.5" thickTop="1" x14ac:dyDescent="0.2">
      <c r="A20" s="2">
        <v>12</v>
      </c>
      <c r="B20" s="2" t="s">
        <v>117</v>
      </c>
      <c r="C20" s="16">
        <f>-CE!D26-CE!D27-CE!D28</f>
        <v>-736</v>
      </c>
      <c r="D20" s="16">
        <f>-CE!E26-CE!E27-CE!E28</f>
        <v>-764</v>
      </c>
      <c r="E20" s="1"/>
      <c r="J20" s="22" t="s">
        <v>148</v>
      </c>
    </row>
    <row r="21" spans="1:21" ht="13.5" thickBot="1" x14ac:dyDescent="0.25">
      <c r="A21" s="6" t="s">
        <v>118</v>
      </c>
      <c r="B21" s="1" t="s">
        <v>121</v>
      </c>
      <c r="C21" s="7">
        <f>+C18+C19+C20</f>
        <v>14512</v>
      </c>
      <c r="D21" s="7">
        <f>+D18+D19+D20</f>
        <v>5282</v>
      </c>
      <c r="E21" s="1" t="s">
        <v>135</v>
      </c>
    </row>
    <row r="22" spans="1:21" ht="13.5" thickBot="1" x14ac:dyDescent="0.25">
      <c r="A22" s="2">
        <v>13</v>
      </c>
      <c r="B22" s="2" t="s">
        <v>119</v>
      </c>
      <c r="C22" s="17">
        <f>+CE!D31</f>
        <v>5223</v>
      </c>
      <c r="D22" s="17">
        <f>+CE!E31</f>
        <v>1302</v>
      </c>
      <c r="E22" s="1"/>
      <c r="K22" s="2" t="s">
        <v>141</v>
      </c>
      <c r="R22" s="21">
        <f>($R$24+CE!$E$26)/$C$13</f>
        <v>0.81532877882152011</v>
      </c>
      <c r="S22" s="21">
        <f>($S$24+CE!$E$26)/$D$13</f>
        <v>0.65760278442462472</v>
      </c>
      <c r="U22" s="42"/>
    </row>
    <row r="23" spans="1:21" x14ac:dyDescent="0.2">
      <c r="A23" s="6" t="s">
        <v>120</v>
      </c>
      <c r="B23" s="1" t="s">
        <v>122</v>
      </c>
      <c r="C23" s="7">
        <f>+C21-C22</f>
        <v>9289</v>
      </c>
      <c r="D23" s="7">
        <f>+D21-D22</f>
        <v>3980</v>
      </c>
      <c r="E23" s="1" t="s">
        <v>136</v>
      </c>
    </row>
    <row r="24" spans="1:21" ht="13.5" thickBot="1" x14ac:dyDescent="0.25">
      <c r="C24" s="18">
        <f>+C23-CE!D32</f>
        <v>0</v>
      </c>
      <c r="D24" s="18">
        <f>+D23-CE!E32</f>
        <v>0</v>
      </c>
      <c r="E24" s="19" t="s">
        <v>127</v>
      </c>
      <c r="F24" s="19"/>
      <c r="L24" s="2" t="s">
        <v>143</v>
      </c>
      <c r="R24" s="23">
        <f>+$C$18+(IF($C$19&gt;0,$C$19,0))+(IF($C$20&gt;0,$C$20,0))-CE!D26</f>
        <v>14512</v>
      </c>
      <c r="S24" s="23">
        <f>+$D$18+(IF($D$19&gt;0,$D$19,0))+(IF($D$20&gt;0,$D$20,0))-CE!$E$26</f>
        <v>5282</v>
      </c>
      <c r="U24" s="43"/>
    </row>
    <row r="25" spans="1:21" ht="13.5" thickTop="1" x14ac:dyDescent="0.2">
      <c r="C25" s="20"/>
      <c r="D25" s="20"/>
    </row>
    <row r="26" spans="1:21" ht="13.5" thickBot="1" x14ac:dyDescent="0.25">
      <c r="L26" s="2" t="s">
        <v>144</v>
      </c>
      <c r="R26" s="23">
        <f>+$C$13-$C$10-$C$12-$C$14-$C$15</f>
        <v>-233809</v>
      </c>
      <c r="S26" s="23">
        <f>+$D$13-$D$10-$D$12-$D$14-$D$15</f>
        <v>-237805</v>
      </c>
    </row>
    <row r="27" spans="1:21" ht="13.5" thickTop="1" x14ac:dyDescent="0.2"/>
    <row r="29" spans="1:21" x14ac:dyDescent="0.2">
      <c r="R29" s="42"/>
    </row>
    <row r="31" spans="1:21" x14ac:dyDescent="0.2">
      <c r="H31" s="91" t="s">
        <v>169</v>
      </c>
    </row>
    <row r="32" spans="1:21" ht="18" x14ac:dyDescent="0.25">
      <c r="I32" s="46" t="s">
        <v>155</v>
      </c>
      <c r="Q32" s="47"/>
      <c r="R32" s="47"/>
      <c r="S32" s="47"/>
      <c r="T32" s="47"/>
    </row>
    <row r="34" spans="8:19" ht="13.5" thickBot="1" x14ac:dyDescent="0.25">
      <c r="H34" s="1" t="s">
        <v>162</v>
      </c>
    </row>
    <row r="35" spans="8:19" ht="13.5" thickBot="1" x14ac:dyDescent="0.25">
      <c r="H35" s="2" t="s">
        <v>160</v>
      </c>
      <c r="R35" s="92">
        <f>+IFERROR(R36*R37*R38,"")</f>
        <v>0.31117885497973263</v>
      </c>
      <c r="S35" s="92">
        <f>+IFERROR(S36*S37*S38,"")</f>
        <v>0.18065453225001138</v>
      </c>
    </row>
    <row r="36" spans="8:19" ht="13.5" thickBot="1" x14ac:dyDescent="0.25">
      <c r="I36" s="2" t="s">
        <v>159</v>
      </c>
      <c r="R36" s="89">
        <f>+IFERROR(C23/C3,"")</f>
        <v>3.4242888951147944E-2</v>
      </c>
      <c r="S36" s="89">
        <f>+IFERROR(D23/D3,"")</f>
        <v>1.5584130812724169E-2</v>
      </c>
    </row>
    <row r="37" spans="8:19" ht="13.5" thickBot="1" x14ac:dyDescent="0.25">
      <c r="I37" s="2" t="s">
        <v>163</v>
      </c>
      <c r="R37" s="89">
        <f>+IFERROR(C3/SP!C25,"")</f>
        <v>2.2002254828008532</v>
      </c>
      <c r="S37" s="89">
        <f>+IFERROR(D3/SP!D25,"")</f>
        <v>2.1373348174308933</v>
      </c>
    </row>
    <row r="38" spans="8:19" ht="13.5" thickBot="1" x14ac:dyDescent="0.25">
      <c r="I38" s="2" t="s">
        <v>164</v>
      </c>
      <c r="R38" s="89">
        <f>+IFERROR(SP!C25/SP!C26,"")</f>
        <v>4.1302133931861578</v>
      </c>
      <c r="S38" s="89">
        <f>+IFERROR(SP!D25/SP!D26,"")</f>
        <v>5.4236757296536702</v>
      </c>
    </row>
    <row r="39" spans="8:19" x14ac:dyDescent="0.2">
      <c r="R39" s="90"/>
      <c r="S39" s="90"/>
    </row>
    <row r="40" spans="8:19" x14ac:dyDescent="0.2">
      <c r="R40" s="90"/>
      <c r="S40" s="90"/>
    </row>
    <row r="41" spans="8:19" x14ac:dyDescent="0.2">
      <c r="H41" s="91" t="s">
        <v>170</v>
      </c>
      <c r="R41" s="90"/>
      <c r="S41" s="90"/>
    </row>
    <row r="42" spans="8:19" x14ac:dyDescent="0.2">
      <c r="R42" s="90"/>
      <c r="S42" s="90"/>
    </row>
    <row r="43" spans="8:19" ht="15" x14ac:dyDescent="0.25">
      <c r="H43" t="s">
        <v>165</v>
      </c>
      <c r="R43" s="105">
        <f>+(R44+R46*R47)*R48</f>
        <v>0.31117885497973269</v>
      </c>
      <c r="S43" s="105">
        <f>+(S44+S46*S47)*S48</f>
        <v>0.18065453225001138</v>
      </c>
    </row>
    <row r="44" spans="8:19" x14ac:dyDescent="0.2">
      <c r="I44" s="2" t="s">
        <v>166</v>
      </c>
      <c r="R44" s="106">
        <f>+IFERROR(+'CE ricl. e ROE'!R15,"")</f>
        <v>0.12367488300038121</v>
      </c>
      <c r="S44" s="106">
        <f>+IFERROR(+'CE ricl. e ROE'!S15,"")</f>
        <v>5.0598799889529582E-2</v>
      </c>
    </row>
    <row r="45" spans="8:19" x14ac:dyDescent="0.2">
      <c r="I45" s="2" t="s">
        <v>186</v>
      </c>
      <c r="R45" s="106"/>
      <c r="S45" s="106"/>
    </row>
    <row r="46" spans="8:19" x14ac:dyDescent="0.2">
      <c r="I46" s="2" t="s">
        <v>167</v>
      </c>
      <c r="R46" s="106">
        <f>R44-IFERROR(-'CE ricl. e ROE'!C20/(SP!C34-SP!C26),"")</f>
        <v>0.11579817067161409</v>
      </c>
      <c r="S46" s="106">
        <f>S44-IFERROR(-'CE ricl. e ROE'!D20/(SP!D34-SP!D26),"")</f>
        <v>4.2759525535448852E-2</v>
      </c>
    </row>
    <row r="47" spans="8:19" x14ac:dyDescent="0.2">
      <c r="I47" s="2" t="s">
        <v>168</v>
      </c>
      <c r="R47" s="88">
        <f>+(SP!C34-SP!C26)/SP!C26</f>
        <v>3.1302133931861578</v>
      </c>
      <c r="S47" s="88">
        <f>+(SP!D34-SP!D26)/SP!D26</f>
        <v>4.4236757296536702</v>
      </c>
    </row>
    <row r="48" spans="8:19" x14ac:dyDescent="0.2">
      <c r="I48" s="2" t="s">
        <v>185</v>
      </c>
      <c r="R48" s="88">
        <f>1-C22/C21</f>
        <v>0.6400909592061742</v>
      </c>
      <c r="S48" s="88">
        <f>1-D22/D21</f>
        <v>0.7535024611889436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A1:FV355"/>
  <sheetViews>
    <sheetView showGridLines="0" showRowColHeaders="0" tabSelected="1" topLeftCell="A14" zoomScale="145" zoomScaleNormal="145" workbookViewId="0">
      <selection activeCell="DY76" sqref="DY76"/>
    </sheetView>
  </sheetViews>
  <sheetFormatPr defaultColWidth="0" defaultRowHeight="19.5" x14ac:dyDescent="0.25"/>
  <cols>
    <col min="1" max="23" width="1.7109375" style="24" customWidth="1"/>
    <col min="24" max="24" width="3.28515625" style="24" customWidth="1"/>
    <col min="25" max="25" width="2.85546875" style="24" customWidth="1"/>
    <col min="26" max="26" width="2.140625" style="24" customWidth="1"/>
    <col min="27" max="54" width="1.7109375" style="24" customWidth="1"/>
    <col min="55" max="55" width="2.5703125" style="24" customWidth="1"/>
    <col min="56" max="56" width="6.28515625" style="24" customWidth="1"/>
    <col min="57" max="58" width="1.7109375" style="24" customWidth="1"/>
    <col min="59" max="59" width="3.5703125" style="24" customWidth="1"/>
    <col min="60" max="66" width="1.7109375" style="24" customWidth="1"/>
    <col min="67" max="67" width="4.28515625" style="24" customWidth="1"/>
    <col min="68" max="89" width="1.7109375" style="24" customWidth="1"/>
    <col min="90" max="90" width="2" style="24" customWidth="1"/>
    <col min="91" max="91" width="1.7109375" style="24" customWidth="1"/>
    <col min="92" max="92" width="6.85546875" style="24" customWidth="1"/>
    <col min="93" max="128" width="1.7109375" style="24" customWidth="1"/>
    <col min="129" max="129" width="5.28515625" style="24" customWidth="1"/>
    <col min="130" max="131" width="1.7109375" style="24" customWidth="1"/>
    <col min="132" max="132" width="4.28515625" style="24" customWidth="1"/>
    <col min="133" max="140" width="1.7109375" style="24" customWidth="1"/>
    <col min="141" max="155" width="1.7109375" style="24" hidden="1" customWidth="1"/>
    <col min="156" max="178" width="0" style="24" hidden="1" customWidth="1"/>
    <col min="179" max="16384" width="8.85546875" style="24" hidden="1"/>
  </cols>
  <sheetData>
    <row r="1" spans="1:155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</row>
    <row r="2" spans="1:155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</row>
    <row r="3" spans="1:15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</row>
    <row r="4" spans="1:155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spans="1:155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</row>
    <row r="6" spans="1:155" ht="14.2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</row>
    <row r="7" spans="1:155" ht="6.6" customHeight="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51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</row>
    <row r="8" spans="1:155" ht="20.25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54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113">
        <f>+CE!$D$7</f>
        <v>2023</v>
      </c>
      <c r="AZ8" s="113"/>
      <c r="BA8" s="113"/>
      <c r="BB8" s="113"/>
      <c r="BC8" s="113"/>
      <c r="BD8" s="113"/>
      <c r="BE8" s="56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</row>
    <row r="9" spans="1:155" ht="20.25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54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117">
        <f>+IFERROR(+'CE ricl. e ROE'!R4,"")</f>
        <v>0.25371307582570435</v>
      </c>
      <c r="AZ9" s="117"/>
      <c r="BA9" s="117"/>
      <c r="BB9" s="117"/>
      <c r="BC9" s="117"/>
      <c r="BD9" s="117"/>
      <c r="BE9" s="56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</row>
    <row r="10" spans="1:155" ht="7.1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54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7"/>
      <c r="AZ10" s="57"/>
      <c r="BA10" s="57"/>
      <c r="BB10" s="57"/>
      <c r="BC10" s="57"/>
      <c r="BD10" s="57"/>
      <c r="BE10" s="56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</row>
    <row r="11" spans="1:155" ht="20.25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54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113">
        <f>+CE!$E$7</f>
        <v>2024</v>
      </c>
      <c r="AZ11" s="113"/>
      <c r="BA11" s="113"/>
      <c r="BB11" s="113"/>
      <c r="BC11" s="113"/>
      <c r="BD11" s="113"/>
      <c r="BE11" s="56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</row>
    <row r="12" spans="1:155" ht="20.25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54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117">
        <f>+IFERROR(+'CE ricl. e ROE'!S4,"")</f>
        <v>0.11879892342653565</v>
      </c>
      <c r="AZ12" s="117"/>
      <c r="BA12" s="117"/>
      <c r="BB12" s="117"/>
      <c r="BC12" s="117"/>
      <c r="BD12" s="117"/>
      <c r="BE12" s="56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</row>
    <row r="13" spans="1:155" ht="6.6" customHeight="1" thickBo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58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</row>
    <row r="14" spans="1:155" ht="20.25" thickTop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</row>
    <row r="15" spans="1:155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</row>
    <row r="16" spans="1:155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</row>
    <row r="17" spans="1:155" ht="7.15" customHeight="1" x14ac:dyDescent="0.25">
      <c r="A17" s="25"/>
      <c r="B17" s="25"/>
      <c r="C17" s="25"/>
      <c r="D17" s="25"/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25"/>
      <c r="AB17" s="25"/>
      <c r="AC17" s="25"/>
      <c r="AD17" s="25"/>
      <c r="AE17" s="25"/>
      <c r="AF17" s="25"/>
      <c r="AG17" s="25"/>
      <c r="AH17" s="51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  <c r="BF17" s="25"/>
      <c r="BG17" s="25"/>
      <c r="BH17" s="25"/>
      <c r="BI17" s="25"/>
      <c r="BJ17" s="25"/>
      <c r="BK17" s="25"/>
      <c r="BL17" s="25"/>
      <c r="BM17" s="51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3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</row>
    <row r="18" spans="1:155" ht="20.100000000000001" customHeight="1" x14ac:dyDescent="0.3">
      <c r="A18" s="25"/>
      <c r="B18" s="25"/>
      <c r="C18" s="25"/>
      <c r="D18" s="25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113">
        <f>+$AY$8</f>
        <v>2023</v>
      </c>
      <c r="R18" s="113"/>
      <c r="S18" s="113"/>
      <c r="T18" s="113"/>
      <c r="U18" s="113"/>
      <c r="V18" s="113"/>
      <c r="W18" s="113"/>
      <c r="X18" s="113"/>
      <c r="Y18" s="113"/>
      <c r="Z18" s="56"/>
      <c r="AA18" s="25"/>
      <c r="AB18" s="25"/>
      <c r="AC18" s="25"/>
      <c r="AD18" s="25"/>
      <c r="AE18" s="25"/>
      <c r="AF18" s="25"/>
      <c r="AG18" s="25"/>
      <c r="AH18" s="54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113">
        <f>+$AY$8</f>
        <v>2023</v>
      </c>
      <c r="AW18" s="113"/>
      <c r="AX18" s="113"/>
      <c r="AY18" s="113"/>
      <c r="AZ18" s="113"/>
      <c r="BA18" s="113"/>
      <c r="BB18" s="113"/>
      <c r="BC18" s="113"/>
      <c r="BD18" s="113"/>
      <c r="BE18" s="56"/>
      <c r="BF18" s="25"/>
      <c r="BG18" s="25"/>
      <c r="BH18" s="25"/>
      <c r="BI18" s="25"/>
      <c r="BJ18" s="25"/>
      <c r="BK18" s="25"/>
      <c r="BL18" s="25"/>
      <c r="BM18" s="54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113">
        <f>+$AY$8</f>
        <v>2023</v>
      </c>
      <c r="CA18" s="113"/>
      <c r="CB18" s="113"/>
      <c r="CC18" s="113"/>
      <c r="CD18" s="113"/>
      <c r="CE18" s="113"/>
      <c r="CF18" s="113"/>
      <c r="CG18" s="113"/>
      <c r="CH18" s="113"/>
      <c r="CI18" s="56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</row>
    <row r="19" spans="1:155" ht="20.100000000000001" customHeight="1" x14ac:dyDescent="0.3">
      <c r="A19" s="25"/>
      <c r="B19" s="25"/>
      <c r="C19" s="25"/>
      <c r="D19" s="25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118">
        <f>+IFERROR(+'CE ricl. e ROE'!R19,"")</f>
        <v>0.60919464847848903</v>
      </c>
      <c r="R19" s="118"/>
      <c r="S19" s="118"/>
      <c r="T19" s="118"/>
      <c r="U19" s="118"/>
      <c r="V19" s="118"/>
      <c r="W19" s="118"/>
      <c r="X19" s="118"/>
      <c r="Y19" s="118"/>
      <c r="Z19" s="56"/>
      <c r="AA19" s="25"/>
      <c r="AB19" s="25"/>
      <c r="AC19" s="25"/>
      <c r="AD19" s="25"/>
      <c r="AE19" s="25"/>
      <c r="AF19" s="25"/>
      <c r="AG19" s="25"/>
      <c r="AH19" s="54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117">
        <f>+IFERROR(+'CE ricl. e ROE'!R17,"")</f>
        <v>4.1302133931861578</v>
      </c>
      <c r="AW19" s="117"/>
      <c r="AX19" s="117"/>
      <c r="AY19" s="117"/>
      <c r="AZ19" s="117"/>
      <c r="BA19" s="117"/>
      <c r="BB19" s="117"/>
      <c r="BC19" s="117"/>
      <c r="BD19" s="117"/>
      <c r="BE19" s="56"/>
      <c r="BF19" s="25"/>
      <c r="BG19" s="25"/>
      <c r="BH19" s="25"/>
      <c r="BI19" s="25"/>
      <c r="BJ19" s="25"/>
      <c r="BK19" s="25"/>
      <c r="BL19" s="25"/>
      <c r="BM19" s="54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117">
        <f>+IFERROR(+'CE ricl. e ROE'!R15,"")</f>
        <v>0.12367488300038121</v>
      </c>
      <c r="CA19" s="117"/>
      <c r="CB19" s="117"/>
      <c r="CC19" s="117"/>
      <c r="CD19" s="117"/>
      <c r="CE19" s="117"/>
      <c r="CF19" s="117"/>
      <c r="CG19" s="117"/>
      <c r="CH19" s="117"/>
      <c r="CI19" s="56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</row>
    <row r="20" spans="1:155" ht="7.15" customHeight="1" x14ac:dyDescent="0.3">
      <c r="A20" s="25"/>
      <c r="B20" s="25"/>
      <c r="C20" s="25"/>
      <c r="D20" s="25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25"/>
      <c r="AB20" s="25"/>
      <c r="AC20" s="25"/>
      <c r="AD20" s="25"/>
      <c r="AE20" s="25"/>
      <c r="AF20" s="25"/>
      <c r="AG20" s="25"/>
      <c r="AH20" s="54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7"/>
      <c r="AX20" s="57"/>
      <c r="AY20" s="57"/>
      <c r="AZ20" s="57"/>
      <c r="BA20" s="57"/>
      <c r="BB20" s="57"/>
      <c r="BC20" s="57"/>
      <c r="BD20" s="57"/>
      <c r="BE20" s="56"/>
      <c r="BF20" s="25"/>
      <c r="BG20" s="25"/>
      <c r="BH20" s="25"/>
      <c r="BI20" s="25"/>
      <c r="BJ20" s="25"/>
      <c r="BK20" s="25"/>
      <c r="BL20" s="25"/>
      <c r="BM20" s="54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7"/>
      <c r="CA20" s="57"/>
      <c r="CB20" s="57"/>
      <c r="CC20" s="57"/>
      <c r="CD20" s="57"/>
      <c r="CE20" s="57"/>
      <c r="CF20" s="57"/>
      <c r="CG20" s="57"/>
      <c r="CH20" s="57"/>
      <c r="CI20" s="56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</row>
    <row r="21" spans="1:155" ht="20.100000000000001" customHeight="1" x14ac:dyDescent="0.3">
      <c r="A21" s="25"/>
      <c r="B21" s="25"/>
      <c r="C21" s="25"/>
      <c r="D21" s="25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113">
        <f>+$AY$11</f>
        <v>2024</v>
      </c>
      <c r="R21" s="113"/>
      <c r="S21" s="113"/>
      <c r="T21" s="113"/>
      <c r="U21" s="113"/>
      <c r="V21" s="113"/>
      <c r="W21" s="113"/>
      <c r="X21" s="113"/>
      <c r="Y21" s="113"/>
      <c r="Z21" s="56"/>
      <c r="AA21" s="25"/>
      <c r="AB21" s="25"/>
      <c r="AC21" s="25"/>
      <c r="AD21" s="25"/>
      <c r="AE21" s="25"/>
      <c r="AF21" s="25"/>
      <c r="AG21" s="25"/>
      <c r="AH21" s="54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113">
        <f>+$AY$11</f>
        <v>2024</v>
      </c>
      <c r="AW21" s="113"/>
      <c r="AX21" s="113"/>
      <c r="AY21" s="113"/>
      <c r="AZ21" s="113"/>
      <c r="BA21" s="113"/>
      <c r="BB21" s="113"/>
      <c r="BC21" s="113"/>
      <c r="BD21" s="113"/>
      <c r="BE21" s="56"/>
      <c r="BF21" s="25"/>
      <c r="BG21" s="25"/>
      <c r="BH21" s="25"/>
      <c r="BI21" s="25"/>
      <c r="BJ21" s="25"/>
      <c r="BK21" s="25"/>
      <c r="BL21" s="25"/>
      <c r="BM21" s="54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113">
        <f>+$AY$11</f>
        <v>2024</v>
      </c>
      <c r="CA21" s="113"/>
      <c r="CB21" s="113"/>
      <c r="CC21" s="113"/>
      <c r="CD21" s="113"/>
      <c r="CE21" s="113"/>
      <c r="CF21" s="113"/>
      <c r="CG21" s="113"/>
      <c r="CH21" s="113"/>
      <c r="CI21" s="56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</row>
    <row r="22" spans="1:155" ht="20.100000000000001" customHeight="1" x14ac:dyDescent="0.3">
      <c r="A22" s="25"/>
      <c r="B22" s="25"/>
      <c r="C22" s="25"/>
      <c r="D22" s="25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118">
        <f>+IFERROR(+'CE ricl. e ROE'!S19,"")</f>
        <v>0.65828647039364874</v>
      </c>
      <c r="R22" s="118"/>
      <c r="S22" s="118"/>
      <c r="T22" s="118"/>
      <c r="U22" s="118"/>
      <c r="V22" s="118"/>
      <c r="W22" s="118"/>
      <c r="X22" s="118"/>
      <c r="Y22" s="118"/>
      <c r="Z22" s="56"/>
      <c r="AA22" s="25"/>
      <c r="AB22" s="25"/>
      <c r="AC22" s="25"/>
      <c r="AD22" s="25"/>
      <c r="AE22" s="25"/>
      <c r="AF22" s="25"/>
      <c r="AG22" s="25"/>
      <c r="AH22" s="54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117">
        <f>+IFERROR(+'CE ricl. e ROE'!S17,"")</f>
        <v>5.4236757296536702</v>
      </c>
      <c r="AW22" s="117"/>
      <c r="AX22" s="117"/>
      <c r="AY22" s="117"/>
      <c r="AZ22" s="117"/>
      <c r="BA22" s="117"/>
      <c r="BB22" s="117"/>
      <c r="BC22" s="117"/>
      <c r="BD22" s="117"/>
      <c r="BE22" s="56"/>
      <c r="BF22" s="25"/>
      <c r="BG22" s="25"/>
      <c r="BH22" s="25"/>
      <c r="BI22" s="25"/>
      <c r="BJ22" s="25"/>
      <c r="BK22" s="25"/>
      <c r="BL22" s="25"/>
      <c r="BM22" s="54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117">
        <f>+IFERROR(+'CE ricl. e ROE'!S15,"")</f>
        <v>5.0598799889529582E-2</v>
      </c>
      <c r="CA22" s="117"/>
      <c r="CB22" s="117"/>
      <c r="CC22" s="117"/>
      <c r="CD22" s="117"/>
      <c r="CE22" s="117"/>
      <c r="CF22" s="117"/>
      <c r="CG22" s="117"/>
      <c r="CH22" s="117"/>
      <c r="CI22" s="56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</row>
    <row r="23" spans="1:155" ht="7.15" customHeight="1" thickBot="1" x14ac:dyDescent="0.35">
      <c r="A23" s="25"/>
      <c r="B23" s="25"/>
      <c r="C23" s="25"/>
      <c r="D23" s="25"/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25"/>
      <c r="AB23" s="25"/>
      <c r="AC23" s="25"/>
      <c r="AD23" s="25"/>
      <c r="AE23" s="25"/>
      <c r="AF23" s="25"/>
      <c r="AG23" s="25"/>
      <c r="AH23" s="58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61"/>
      <c r="AW23" s="61"/>
      <c r="AX23" s="61"/>
      <c r="AY23" s="61"/>
      <c r="AZ23" s="61"/>
      <c r="BA23" s="61"/>
      <c r="BB23" s="61"/>
      <c r="BC23" s="61"/>
      <c r="BD23" s="61"/>
      <c r="BE23" s="60"/>
      <c r="BF23" s="25"/>
      <c r="BG23" s="25"/>
      <c r="BH23" s="25"/>
      <c r="BI23" s="25"/>
      <c r="BJ23" s="25"/>
      <c r="BK23" s="25"/>
      <c r="BL23" s="25"/>
      <c r="BM23" s="58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60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</row>
    <row r="24" spans="1:155" ht="20.25" thickTop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</row>
    <row r="25" spans="1:15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</row>
    <row r="26" spans="1:15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</row>
    <row r="27" spans="1:15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</row>
    <row r="28" spans="1:15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</row>
    <row r="29" spans="1:155" ht="7.15" customHeight="1" x14ac:dyDescent="0.25">
      <c r="A29" s="25"/>
      <c r="B29" s="25"/>
      <c r="C29" s="25"/>
      <c r="D29" s="25"/>
      <c r="E29" s="25"/>
      <c r="F29" s="51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51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3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</row>
    <row r="30" spans="1:155" ht="20.100000000000001" customHeight="1" x14ac:dyDescent="0.3">
      <c r="A30" s="25"/>
      <c r="B30" s="25"/>
      <c r="C30" s="25"/>
      <c r="D30" s="25"/>
      <c r="E30" s="25"/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113">
        <f>+$AY$8</f>
        <v>2023</v>
      </c>
      <c r="S30" s="113"/>
      <c r="T30" s="113"/>
      <c r="U30" s="113"/>
      <c r="V30" s="113"/>
      <c r="W30" s="113"/>
      <c r="X30" s="113"/>
      <c r="Y30" s="113"/>
      <c r="Z30" s="113"/>
      <c r="AA30" s="56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54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113">
        <f>+$AY$8</f>
        <v>2023</v>
      </c>
      <c r="BB30" s="113"/>
      <c r="BC30" s="113"/>
      <c r="BD30" s="113"/>
      <c r="BE30" s="113"/>
      <c r="BF30" s="113"/>
      <c r="BG30" s="113"/>
      <c r="BH30" s="113"/>
      <c r="BI30" s="113"/>
      <c r="BJ30" s="56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54"/>
      <c r="CD30" s="55"/>
      <c r="CE30" s="55"/>
      <c r="CF30" s="55"/>
      <c r="CG30" s="55"/>
      <c r="CH30" s="55"/>
      <c r="CI30" s="55"/>
      <c r="CJ30" s="55"/>
      <c r="CK30" s="55"/>
      <c r="CL30" s="55"/>
      <c r="CM30" s="113">
        <f>+$AY$8</f>
        <v>2023</v>
      </c>
      <c r="CN30" s="113"/>
      <c r="CO30" s="113"/>
      <c r="CP30" s="113"/>
      <c r="CQ30" s="113"/>
      <c r="CR30" s="113"/>
      <c r="CS30" s="113"/>
      <c r="CT30" s="113"/>
      <c r="CU30" s="113"/>
      <c r="CV30" s="56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</row>
    <row r="31" spans="1:155" ht="20.100000000000001" customHeight="1" x14ac:dyDescent="0.3">
      <c r="A31" s="25"/>
      <c r="B31" s="25"/>
      <c r="C31" s="25"/>
      <c r="D31" s="25"/>
      <c r="E31" s="25"/>
      <c r="F31" s="5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115">
        <f>+IFERROR(-'CE ricl. e ROE'!C20/(SP!C30+SP!C31),"")</f>
        <v>1.0722142097519047E-2</v>
      </c>
      <c r="S31" s="115"/>
      <c r="T31" s="115"/>
      <c r="U31" s="115"/>
      <c r="V31" s="115"/>
      <c r="W31" s="115"/>
      <c r="X31" s="115"/>
      <c r="Y31" s="115"/>
      <c r="Z31" s="115"/>
      <c r="AA31" s="56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54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116">
        <f>+IFERROR(+'CE ricl. e ROE'!C3/SP!C25,"")</f>
        <v>2.2002254828008532</v>
      </c>
      <c r="BB31" s="116"/>
      <c r="BC31" s="116"/>
      <c r="BD31" s="116"/>
      <c r="BE31" s="116"/>
      <c r="BF31" s="116"/>
      <c r="BG31" s="116"/>
      <c r="BH31" s="116"/>
      <c r="BI31" s="116"/>
      <c r="BJ31" s="56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54"/>
      <c r="CD31" s="55"/>
      <c r="CE31" s="55"/>
      <c r="CF31" s="55"/>
      <c r="CG31" s="55"/>
      <c r="CH31" s="55"/>
      <c r="CI31" s="55"/>
      <c r="CJ31" s="55"/>
      <c r="CK31" s="55"/>
      <c r="CL31" s="55"/>
      <c r="CM31" s="117">
        <f>+IFERROR(+'CE ricl. e ROE'!C23/'CE ricl. e ROE'!C6,"")</f>
        <v>3.4241248004836314E-2</v>
      </c>
      <c r="CN31" s="117"/>
      <c r="CO31" s="117"/>
      <c r="CP31" s="117"/>
      <c r="CQ31" s="117"/>
      <c r="CR31" s="117"/>
      <c r="CS31" s="117"/>
      <c r="CT31" s="117"/>
      <c r="CU31" s="117"/>
      <c r="CV31" s="56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</row>
    <row r="32" spans="1:155" ht="7.15" customHeight="1" x14ac:dyDescent="0.3">
      <c r="A32" s="25"/>
      <c r="B32" s="25"/>
      <c r="C32" s="25"/>
      <c r="D32" s="25"/>
      <c r="E32" s="25"/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7"/>
      <c r="S32" s="57"/>
      <c r="T32" s="57"/>
      <c r="U32" s="57"/>
      <c r="V32" s="57"/>
      <c r="W32" s="57"/>
      <c r="X32" s="57"/>
      <c r="Y32" s="57"/>
      <c r="Z32" s="57"/>
      <c r="AA32" s="56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54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7"/>
      <c r="BB32" s="57"/>
      <c r="BC32" s="57"/>
      <c r="BD32" s="57"/>
      <c r="BE32" s="57"/>
      <c r="BF32" s="57"/>
      <c r="BG32" s="57"/>
      <c r="BH32" s="57"/>
      <c r="BI32" s="57"/>
      <c r="BJ32" s="56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54"/>
      <c r="CD32" s="55"/>
      <c r="CE32" s="55"/>
      <c r="CF32" s="55"/>
      <c r="CG32" s="55"/>
      <c r="CH32" s="55"/>
      <c r="CI32" s="55"/>
      <c r="CJ32" s="55"/>
      <c r="CK32" s="55"/>
      <c r="CL32" s="55"/>
      <c r="CM32" s="57"/>
      <c r="CN32" s="57"/>
      <c r="CO32" s="57"/>
      <c r="CP32" s="57"/>
      <c r="CQ32" s="57"/>
      <c r="CR32" s="57"/>
      <c r="CS32" s="57"/>
      <c r="CT32" s="57"/>
      <c r="CU32" s="57"/>
      <c r="CV32" s="56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</row>
    <row r="33" spans="1:155" ht="20.100000000000001" customHeight="1" x14ac:dyDescent="0.3">
      <c r="A33" s="25"/>
      <c r="B33" s="25"/>
      <c r="C33" s="25"/>
      <c r="D33" s="25"/>
      <c r="E33" s="25"/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113">
        <f>+$AY$11</f>
        <v>2024</v>
      </c>
      <c r="S33" s="113"/>
      <c r="T33" s="113"/>
      <c r="U33" s="113"/>
      <c r="V33" s="113"/>
      <c r="W33" s="113"/>
      <c r="X33" s="113"/>
      <c r="Y33" s="113"/>
      <c r="Z33" s="113"/>
      <c r="AA33" s="56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54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113">
        <f>+$AY$11</f>
        <v>2024</v>
      </c>
      <c r="BB33" s="113"/>
      <c r="BC33" s="113"/>
      <c r="BD33" s="113"/>
      <c r="BE33" s="113"/>
      <c r="BF33" s="113"/>
      <c r="BG33" s="113"/>
      <c r="BH33" s="113"/>
      <c r="BI33" s="113"/>
      <c r="BJ33" s="56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54"/>
      <c r="CD33" s="55"/>
      <c r="CE33" s="55"/>
      <c r="CF33" s="55"/>
      <c r="CG33" s="55"/>
      <c r="CH33" s="55"/>
      <c r="CI33" s="55"/>
      <c r="CJ33" s="55"/>
      <c r="CK33" s="55"/>
      <c r="CL33" s="55"/>
      <c r="CM33" s="113">
        <f>+$AY$11</f>
        <v>2024</v>
      </c>
      <c r="CN33" s="113"/>
      <c r="CO33" s="113"/>
      <c r="CP33" s="113"/>
      <c r="CQ33" s="113"/>
      <c r="CR33" s="113"/>
      <c r="CS33" s="113"/>
      <c r="CT33" s="113"/>
      <c r="CU33" s="113"/>
      <c r="CV33" s="56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</row>
    <row r="34" spans="1:155" ht="20.100000000000001" customHeight="1" x14ac:dyDescent="0.3">
      <c r="A34" s="25"/>
      <c r="B34" s="25"/>
      <c r="C34" s="25"/>
      <c r="D34" s="25"/>
      <c r="E34" s="25"/>
      <c r="F34" s="5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115">
        <f>+IFERROR(-'CE ricl. e ROE'!D20/(SP!D30+SP!D31),"")</f>
        <v>1.114547470385715E-2</v>
      </c>
      <c r="S34" s="115"/>
      <c r="T34" s="115"/>
      <c r="U34" s="115"/>
      <c r="V34" s="115"/>
      <c r="W34" s="115"/>
      <c r="X34" s="115"/>
      <c r="Y34" s="115"/>
      <c r="Z34" s="115"/>
      <c r="AA34" s="56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54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116">
        <f>+IFERROR(+'CE ricl. e ROE'!D3/SP!D25,"")</f>
        <v>2.1373348174308933</v>
      </c>
      <c r="BB34" s="116"/>
      <c r="BC34" s="116"/>
      <c r="BD34" s="116"/>
      <c r="BE34" s="116"/>
      <c r="BF34" s="116"/>
      <c r="BG34" s="116"/>
      <c r="BH34" s="116"/>
      <c r="BI34" s="116"/>
      <c r="BJ34" s="56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54"/>
      <c r="CD34" s="55"/>
      <c r="CE34" s="55"/>
      <c r="CF34" s="55"/>
      <c r="CG34" s="55"/>
      <c r="CH34" s="55"/>
      <c r="CI34" s="55"/>
      <c r="CJ34" s="55"/>
      <c r="CK34" s="55"/>
      <c r="CL34" s="55"/>
      <c r="CM34" s="117">
        <f>+IFERROR(+'CE ricl. e ROE'!D23/'CE ricl. e ROE'!D6,"")</f>
        <v>1.5535162943562081E-2</v>
      </c>
      <c r="CN34" s="117"/>
      <c r="CO34" s="117"/>
      <c r="CP34" s="117"/>
      <c r="CQ34" s="117"/>
      <c r="CR34" s="117"/>
      <c r="CS34" s="117"/>
      <c r="CT34" s="117"/>
      <c r="CU34" s="117"/>
      <c r="CV34" s="56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</row>
    <row r="35" spans="1:155" ht="7.15" customHeight="1" thickBot="1" x14ac:dyDescent="0.35">
      <c r="A35" s="25"/>
      <c r="B35" s="25"/>
      <c r="C35" s="25"/>
      <c r="D35" s="25"/>
      <c r="E35" s="25"/>
      <c r="F35" s="58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60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58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60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58"/>
      <c r="CD35" s="59"/>
      <c r="CE35" s="59"/>
      <c r="CF35" s="59"/>
      <c r="CG35" s="59"/>
      <c r="CH35" s="59"/>
      <c r="CI35" s="59"/>
      <c r="CJ35" s="59"/>
      <c r="CK35" s="59"/>
      <c r="CL35" s="59"/>
      <c r="CM35" s="61"/>
      <c r="CN35" s="61"/>
      <c r="CO35" s="61"/>
      <c r="CP35" s="61"/>
      <c r="CQ35" s="61"/>
      <c r="CR35" s="61"/>
      <c r="CS35" s="61"/>
      <c r="CT35" s="61"/>
      <c r="CU35" s="61"/>
      <c r="CV35" s="60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</row>
    <row r="36" spans="1:155" ht="20.25" thickTop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</row>
    <row r="37" spans="1:15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6"/>
      <c r="DH37" s="26"/>
      <c r="DI37" s="26"/>
      <c r="DJ37" s="26"/>
      <c r="DK37" s="26"/>
      <c r="DL37" s="26"/>
      <c r="DM37" s="26"/>
      <c r="DN37" s="26"/>
      <c r="DO37" s="50"/>
      <c r="DP37" s="50"/>
      <c r="DQ37" s="50"/>
      <c r="DR37" s="50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</row>
    <row r="38" spans="1:15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7"/>
      <c r="DH38" s="27"/>
      <c r="DI38" s="27"/>
      <c r="DJ38" s="27"/>
      <c r="DK38" s="27"/>
      <c r="DL38" s="27"/>
      <c r="DM38" s="27"/>
      <c r="DN38" s="27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</row>
    <row r="39" spans="1:15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7"/>
      <c r="DH39" s="27"/>
      <c r="DI39" s="27"/>
      <c r="DJ39" s="27"/>
      <c r="DK39" s="27"/>
      <c r="DL39" s="27"/>
      <c r="DM39" s="27"/>
      <c r="DN39" s="27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</row>
    <row r="40" spans="1:15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</row>
    <row r="41" spans="1:15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</row>
    <row r="42" spans="1:155" ht="7.1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51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3"/>
      <c r="BJ42" s="25"/>
      <c r="BK42" s="25"/>
      <c r="BL42" s="25"/>
      <c r="BM42" s="25"/>
      <c r="BN42" s="25"/>
      <c r="BO42" s="25"/>
      <c r="BP42" s="25"/>
      <c r="BQ42" s="25"/>
      <c r="BR42" s="51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3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51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3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</row>
    <row r="43" spans="1:155" ht="20.100000000000001" customHeight="1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54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113">
        <f>+$AY$8</f>
        <v>2023</v>
      </c>
      <c r="BA43" s="113"/>
      <c r="BB43" s="113"/>
      <c r="BC43" s="113"/>
      <c r="BD43" s="113"/>
      <c r="BE43" s="113"/>
      <c r="BF43" s="113"/>
      <c r="BG43" s="113"/>
      <c r="BH43" s="113"/>
      <c r="BI43" s="56"/>
      <c r="BJ43" s="25"/>
      <c r="BK43" s="25"/>
      <c r="BL43" s="25"/>
      <c r="BM43" s="25"/>
      <c r="BN43" s="25"/>
      <c r="BO43" s="25"/>
      <c r="BP43" s="25"/>
      <c r="BQ43" s="25"/>
      <c r="BR43" s="54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113">
        <f>+$AY$8</f>
        <v>2023</v>
      </c>
      <c r="CG43" s="113"/>
      <c r="CH43" s="113"/>
      <c r="CI43" s="113"/>
      <c r="CJ43" s="113"/>
      <c r="CK43" s="113"/>
      <c r="CL43" s="113"/>
      <c r="CM43" s="113"/>
      <c r="CN43" s="113"/>
      <c r="CO43" s="56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54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113">
        <f>+$AY$8</f>
        <v>2023</v>
      </c>
      <c r="DU43" s="113"/>
      <c r="DV43" s="113"/>
      <c r="DW43" s="113"/>
      <c r="DX43" s="113"/>
      <c r="DY43" s="113"/>
      <c r="DZ43" s="113"/>
      <c r="EA43" s="113"/>
      <c r="EB43" s="113"/>
      <c r="EC43" s="56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</row>
    <row r="44" spans="1:155" ht="20.100000000000001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54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114">
        <f>+SP!C25</f>
        <v>123291</v>
      </c>
      <c r="BA44" s="114"/>
      <c r="BB44" s="114"/>
      <c r="BC44" s="114"/>
      <c r="BD44" s="114"/>
      <c r="BE44" s="114"/>
      <c r="BF44" s="114"/>
      <c r="BG44" s="114"/>
      <c r="BH44" s="114"/>
      <c r="BI44" s="56"/>
      <c r="BJ44" s="25"/>
      <c r="BK44" s="25"/>
      <c r="BL44" s="25"/>
      <c r="BM44" s="25"/>
      <c r="BN44" s="25"/>
      <c r="BO44" s="25"/>
      <c r="BP44" s="25"/>
      <c r="BQ44" s="25"/>
      <c r="BR44" s="54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114">
        <f>+'CE ricl. e ROE'!C3</f>
        <v>271268</v>
      </c>
      <c r="CG44" s="114"/>
      <c r="CH44" s="114"/>
      <c r="CI44" s="114"/>
      <c r="CJ44" s="114"/>
      <c r="CK44" s="114"/>
      <c r="CL44" s="114"/>
      <c r="CM44" s="114"/>
      <c r="CN44" s="114"/>
      <c r="CO44" s="56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54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114">
        <f>+'CE ricl. e ROE'!C23</f>
        <v>9289</v>
      </c>
      <c r="DU44" s="114"/>
      <c r="DV44" s="114"/>
      <c r="DW44" s="114"/>
      <c r="DX44" s="114"/>
      <c r="DY44" s="114"/>
      <c r="DZ44" s="114"/>
      <c r="EA44" s="114"/>
      <c r="EB44" s="114"/>
      <c r="EC44" s="56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</row>
    <row r="45" spans="1:155" ht="7.1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54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7"/>
      <c r="BA45" s="57"/>
      <c r="BB45" s="57"/>
      <c r="BC45" s="57"/>
      <c r="BD45" s="57"/>
      <c r="BE45" s="57"/>
      <c r="BF45" s="57"/>
      <c r="BG45" s="57"/>
      <c r="BH45" s="57"/>
      <c r="BI45" s="56"/>
      <c r="BJ45" s="25"/>
      <c r="BK45" s="25"/>
      <c r="BL45" s="25"/>
      <c r="BM45" s="25"/>
      <c r="BN45" s="25"/>
      <c r="BO45" s="25"/>
      <c r="BP45" s="25"/>
      <c r="BQ45" s="25"/>
      <c r="BR45" s="54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7"/>
      <c r="CG45" s="57"/>
      <c r="CH45" s="57"/>
      <c r="CI45" s="57"/>
      <c r="CJ45" s="57"/>
      <c r="CK45" s="57"/>
      <c r="CL45" s="57"/>
      <c r="CM45" s="57"/>
      <c r="CN45" s="57"/>
      <c r="CO45" s="56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54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7"/>
      <c r="DU45" s="57"/>
      <c r="DV45" s="57"/>
      <c r="DW45" s="57"/>
      <c r="DX45" s="57"/>
      <c r="DY45" s="57"/>
      <c r="DZ45" s="57"/>
      <c r="EA45" s="57"/>
      <c r="EB45" s="57"/>
      <c r="EC45" s="56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</row>
    <row r="46" spans="1:155" ht="20.100000000000001" customHeight="1" x14ac:dyDescent="0.3">
      <c r="A46" s="25"/>
      <c r="B46" s="25"/>
      <c r="C46" s="25"/>
      <c r="D46" s="25"/>
      <c r="E46" s="25"/>
      <c r="F46" s="2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5"/>
      <c r="AK46" s="25"/>
      <c r="AL46" s="25"/>
      <c r="AM46" s="25"/>
      <c r="AN46" s="25"/>
      <c r="AO46" s="54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113">
        <f>+$AY$11</f>
        <v>2024</v>
      </c>
      <c r="BA46" s="113"/>
      <c r="BB46" s="113"/>
      <c r="BC46" s="113"/>
      <c r="BD46" s="113"/>
      <c r="BE46" s="113"/>
      <c r="BF46" s="113"/>
      <c r="BG46" s="113"/>
      <c r="BH46" s="113"/>
      <c r="BI46" s="56"/>
      <c r="BJ46" s="25"/>
      <c r="BK46" s="25"/>
      <c r="BL46" s="25"/>
      <c r="BM46" s="25"/>
      <c r="BN46" s="25"/>
      <c r="BO46" s="25"/>
      <c r="BP46" s="25"/>
      <c r="BQ46" s="25"/>
      <c r="BR46" s="54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113">
        <f>+$AY$11</f>
        <v>2024</v>
      </c>
      <c r="CG46" s="113"/>
      <c r="CH46" s="113"/>
      <c r="CI46" s="113"/>
      <c r="CJ46" s="113"/>
      <c r="CK46" s="113"/>
      <c r="CL46" s="113"/>
      <c r="CM46" s="113"/>
      <c r="CN46" s="113"/>
      <c r="CO46" s="56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54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113">
        <f>+$AY$11</f>
        <v>2024</v>
      </c>
      <c r="DU46" s="113"/>
      <c r="DV46" s="113"/>
      <c r="DW46" s="113"/>
      <c r="DX46" s="113"/>
      <c r="DY46" s="113"/>
      <c r="DZ46" s="113"/>
      <c r="EA46" s="113"/>
      <c r="EB46" s="113"/>
      <c r="EC46" s="56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</row>
    <row r="47" spans="1:155" ht="20.100000000000001" customHeight="1" x14ac:dyDescent="0.3">
      <c r="A47" s="25"/>
      <c r="B47" s="25"/>
      <c r="C47" s="25"/>
      <c r="D47" s="25"/>
      <c r="E47" s="25"/>
      <c r="F47" s="2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5"/>
      <c r="AK47" s="25"/>
      <c r="AL47" s="25"/>
      <c r="AM47" s="25"/>
      <c r="AN47" s="25"/>
      <c r="AO47" s="54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114">
        <f>+SP!D25</f>
        <v>119489</v>
      </c>
      <c r="BA47" s="114"/>
      <c r="BB47" s="114"/>
      <c r="BC47" s="114"/>
      <c r="BD47" s="114"/>
      <c r="BE47" s="114"/>
      <c r="BF47" s="114"/>
      <c r="BG47" s="114"/>
      <c r="BH47" s="114"/>
      <c r="BI47" s="56"/>
      <c r="BJ47" s="25"/>
      <c r="BK47" s="25"/>
      <c r="BL47" s="25"/>
      <c r="BM47" s="25"/>
      <c r="BN47" s="25"/>
      <c r="BO47" s="25"/>
      <c r="BP47" s="25"/>
      <c r="BQ47" s="25"/>
      <c r="BR47" s="54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114">
        <f>+'CE ricl. e ROE'!D3</f>
        <v>255388</v>
      </c>
      <c r="CG47" s="114"/>
      <c r="CH47" s="114"/>
      <c r="CI47" s="114"/>
      <c r="CJ47" s="114"/>
      <c r="CK47" s="114"/>
      <c r="CL47" s="114"/>
      <c r="CM47" s="114"/>
      <c r="CN47" s="114"/>
      <c r="CO47" s="56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54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114">
        <f>+'CE ricl. e ROE'!D23</f>
        <v>3980</v>
      </c>
      <c r="DU47" s="114"/>
      <c r="DV47" s="114"/>
      <c r="DW47" s="114"/>
      <c r="DX47" s="114"/>
      <c r="DY47" s="114"/>
      <c r="DZ47" s="114"/>
      <c r="EA47" s="114"/>
      <c r="EB47" s="114"/>
      <c r="EC47" s="56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</row>
    <row r="48" spans="1:155" ht="7.15" customHeight="1" thickBot="1" x14ac:dyDescent="0.35">
      <c r="A48" s="25"/>
      <c r="B48" s="25"/>
      <c r="C48" s="25"/>
      <c r="D48" s="25"/>
      <c r="E48" s="25"/>
      <c r="F48" s="2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5"/>
      <c r="AK48" s="25"/>
      <c r="AL48" s="25"/>
      <c r="AM48" s="25"/>
      <c r="AN48" s="25"/>
      <c r="AO48" s="58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60"/>
      <c r="BJ48" s="25"/>
      <c r="BK48" s="25"/>
      <c r="BL48" s="25"/>
      <c r="BM48" s="25"/>
      <c r="BN48" s="25"/>
      <c r="BO48" s="25"/>
      <c r="BP48" s="25"/>
      <c r="BQ48" s="25"/>
      <c r="BR48" s="58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0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58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61"/>
      <c r="DU48" s="61"/>
      <c r="DV48" s="61"/>
      <c r="DW48" s="61"/>
      <c r="DX48" s="61"/>
      <c r="DY48" s="61"/>
      <c r="DZ48" s="61"/>
      <c r="EA48" s="61"/>
      <c r="EB48" s="61"/>
      <c r="EC48" s="60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</row>
    <row r="49" spans="1:155" ht="20.25" thickTop="1" x14ac:dyDescent="0.25">
      <c r="A49" s="25"/>
      <c r="B49" s="25"/>
      <c r="C49" s="25"/>
      <c r="D49" s="25"/>
      <c r="E49" s="25"/>
      <c r="F49" s="2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</row>
    <row r="50" spans="1:155" ht="35.25" customHeight="1" x14ac:dyDescent="0.25">
      <c r="A50" s="25"/>
      <c r="B50" s="25"/>
      <c r="C50" s="25"/>
      <c r="D50" s="25"/>
      <c r="E50" s="25"/>
      <c r="F50" s="25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</row>
    <row r="51" spans="1:155" s="28" customFormat="1" ht="30.75" customHeight="1" x14ac:dyDescent="0.25"/>
    <row r="52" spans="1:155" s="28" customFormat="1" ht="15" x14ac:dyDescent="0.25"/>
    <row r="53" spans="1:155" s="28" customFormat="1" ht="15" x14ac:dyDescent="0.25"/>
    <row r="54" spans="1:155" s="28" customFormat="1" ht="6.6" customHeight="1" x14ac:dyDescent="0.25"/>
    <row r="55" spans="1:155" s="28" customFormat="1" ht="20.100000000000001" customHeight="1" x14ac:dyDescent="0.25"/>
    <row r="56" spans="1:155" s="28" customFormat="1" ht="20.100000000000001" customHeight="1" x14ac:dyDescent="0.25"/>
    <row r="57" spans="1:155" s="28" customFormat="1" ht="6.6" customHeight="1" x14ac:dyDescent="0.25"/>
    <row r="58" spans="1:155" s="28" customFormat="1" ht="20.100000000000001" customHeight="1" x14ac:dyDescent="0.25"/>
    <row r="59" spans="1:155" s="28" customFormat="1" ht="20.100000000000001" customHeight="1" x14ac:dyDescent="0.25"/>
    <row r="60" spans="1:155" s="28" customFormat="1" ht="6.6" customHeight="1" x14ac:dyDescent="0.25"/>
    <row r="61" spans="1:155" s="28" customFormat="1" ht="15" x14ac:dyDescent="0.25"/>
    <row r="62" spans="1:155" s="28" customFormat="1" ht="15" x14ac:dyDescent="0.25"/>
    <row r="63" spans="1:155" s="28" customFormat="1" ht="15" x14ac:dyDescent="0.25"/>
    <row r="64" spans="1:155" s="28" customFormat="1" ht="15" x14ac:dyDescent="0.25"/>
    <row r="65" s="28" customFormat="1" ht="15" x14ac:dyDescent="0.25"/>
    <row r="66" s="28" customFormat="1" ht="15" x14ac:dyDescent="0.25"/>
    <row r="67" s="28" customFormat="1" ht="15" x14ac:dyDescent="0.25"/>
    <row r="68" s="28" customFormat="1" ht="15" x14ac:dyDescent="0.25"/>
    <row r="69" s="28" customFormat="1" ht="15" x14ac:dyDescent="0.25"/>
    <row r="70" s="28" customFormat="1" ht="15" x14ac:dyDescent="0.25"/>
    <row r="71" s="28" customFormat="1" ht="15" x14ac:dyDescent="0.25"/>
    <row r="72" s="28" customFormat="1" ht="15" x14ac:dyDescent="0.25"/>
    <row r="73" s="28" customFormat="1" ht="15" x14ac:dyDescent="0.25"/>
    <row r="74" s="28" customFormat="1" ht="15" x14ac:dyDescent="0.25"/>
    <row r="75" s="28" customFormat="1" ht="15" x14ac:dyDescent="0.25"/>
    <row r="76" s="28" customFormat="1" ht="15" x14ac:dyDescent="0.25"/>
    <row r="77" s="28" customFormat="1" ht="15" x14ac:dyDescent="0.25"/>
    <row r="78" s="28" customFormat="1" ht="15" x14ac:dyDescent="0.25"/>
    <row r="79" s="28" customFormat="1" ht="15" x14ac:dyDescent="0.25"/>
    <row r="80" s="28" customFormat="1" ht="15" x14ac:dyDescent="0.25"/>
    <row r="81" spans="25:25" s="28" customFormat="1" ht="15" x14ac:dyDescent="0.25"/>
    <row r="82" spans="25:25" s="28" customFormat="1" ht="15" x14ac:dyDescent="0.25"/>
    <row r="83" spans="25:25" s="28" customFormat="1" ht="15" x14ac:dyDescent="0.25">
      <c r="Y83"/>
    </row>
    <row r="84" spans="25:25" s="28" customFormat="1" ht="15" x14ac:dyDescent="0.25"/>
    <row r="85" spans="25:25" s="28" customFormat="1" ht="15" x14ac:dyDescent="0.25"/>
    <row r="86" spans="25:25" s="28" customFormat="1" ht="15" x14ac:dyDescent="0.25"/>
    <row r="87" spans="25:25" s="28" customFormat="1" ht="15" x14ac:dyDescent="0.25"/>
    <row r="88" spans="25:25" s="28" customFormat="1" ht="15" x14ac:dyDescent="0.25"/>
    <row r="89" spans="25:25" s="28" customFormat="1" ht="15" x14ac:dyDescent="0.25"/>
    <row r="90" spans="25:25" s="28" customFormat="1" ht="15" x14ac:dyDescent="0.25"/>
    <row r="91" spans="25:25" s="28" customFormat="1" ht="15" x14ac:dyDescent="0.25"/>
    <row r="92" spans="25:25" s="28" customFormat="1" ht="15" x14ac:dyDescent="0.25"/>
    <row r="93" spans="25:25" s="28" customFormat="1" ht="15" x14ac:dyDescent="0.25"/>
    <row r="94" spans="25:25" s="28" customFormat="1" ht="15" x14ac:dyDescent="0.25"/>
    <row r="95" spans="25:25" s="28" customFormat="1" ht="15" x14ac:dyDescent="0.25"/>
    <row r="96" spans="25:25" s="28" customFormat="1" ht="15" x14ac:dyDescent="0.25"/>
    <row r="97" s="28" customFormat="1" ht="15" x14ac:dyDescent="0.25"/>
    <row r="98" s="28" customFormat="1" ht="15" x14ac:dyDescent="0.25"/>
    <row r="99" s="28" customFormat="1" ht="15" x14ac:dyDescent="0.25"/>
    <row r="100" s="28" customFormat="1" ht="15" x14ac:dyDescent="0.25"/>
    <row r="101" s="28" customFormat="1" ht="15" x14ac:dyDescent="0.25"/>
    <row r="102" s="28" customFormat="1" ht="15" x14ac:dyDescent="0.25"/>
    <row r="103" s="28" customFormat="1" ht="15" x14ac:dyDescent="0.25"/>
    <row r="104" s="28" customFormat="1" ht="15" x14ac:dyDescent="0.25"/>
    <row r="105" s="28" customFormat="1" ht="15" x14ac:dyDescent="0.25"/>
    <row r="106" s="28" customFormat="1" ht="15" x14ac:dyDescent="0.25"/>
    <row r="107" s="28" customFormat="1" ht="15" x14ac:dyDescent="0.25"/>
    <row r="108" s="28" customFormat="1" ht="15" x14ac:dyDescent="0.25"/>
    <row r="109" s="28" customFormat="1" ht="15" x14ac:dyDescent="0.25"/>
    <row r="110" s="28" customFormat="1" ht="15" x14ac:dyDescent="0.25"/>
    <row r="111" s="28" customFormat="1" ht="15" x14ac:dyDescent="0.25"/>
    <row r="112" s="28" customFormat="1" ht="15" x14ac:dyDescent="0.25"/>
    <row r="113" s="28" customFormat="1" ht="15" x14ac:dyDescent="0.25"/>
    <row r="114" s="28" customFormat="1" ht="15" x14ac:dyDescent="0.25"/>
    <row r="115" s="28" customFormat="1" ht="15" x14ac:dyDescent="0.25"/>
    <row r="116" s="28" customFormat="1" ht="15" x14ac:dyDescent="0.25"/>
    <row r="117" s="28" customFormat="1" ht="15" x14ac:dyDescent="0.25"/>
    <row r="118" s="28" customFormat="1" ht="15" x14ac:dyDescent="0.25"/>
    <row r="119" s="28" customFormat="1" ht="15" x14ac:dyDescent="0.25"/>
    <row r="120" s="28" customFormat="1" ht="15" x14ac:dyDescent="0.25"/>
    <row r="121" s="28" customFormat="1" ht="15" x14ac:dyDescent="0.25"/>
    <row r="122" s="28" customFormat="1" ht="15" x14ac:dyDescent="0.25"/>
    <row r="123" s="28" customFormat="1" ht="15" x14ac:dyDescent="0.25"/>
    <row r="124" s="28" customFormat="1" ht="15" x14ac:dyDescent="0.25"/>
    <row r="125" s="28" customFormat="1" ht="15" x14ac:dyDescent="0.25"/>
    <row r="126" s="28" customFormat="1" ht="15" x14ac:dyDescent="0.25"/>
    <row r="127" s="28" customFormat="1" ht="15" x14ac:dyDescent="0.25"/>
    <row r="128" s="28" customFormat="1" ht="15" x14ac:dyDescent="0.25"/>
    <row r="129" s="28" customFormat="1" ht="15" x14ac:dyDescent="0.25"/>
    <row r="130" s="28" customFormat="1" ht="15" x14ac:dyDescent="0.25"/>
    <row r="131" s="28" customFormat="1" ht="15" x14ac:dyDescent="0.25"/>
    <row r="132" s="28" customFormat="1" ht="15" x14ac:dyDescent="0.25"/>
    <row r="133" s="28" customFormat="1" ht="15" x14ac:dyDescent="0.25"/>
    <row r="134" s="28" customFormat="1" ht="15" x14ac:dyDescent="0.25"/>
    <row r="135" s="28" customFormat="1" ht="15" x14ac:dyDescent="0.25"/>
    <row r="136" s="28" customFormat="1" ht="15" x14ac:dyDescent="0.25"/>
    <row r="137" s="28" customFormat="1" ht="15" x14ac:dyDescent="0.25"/>
    <row r="138" s="28" customFormat="1" ht="15" x14ac:dyDescent="0.25"/>
    <row r="139" s="28" customFormat="1" ht="15" x14ac:dyDescent="0.25"/>
    <row r="140" s="28" customFormat="1" ht="15" x14ac:dyDescent="0.25"/>
    <row r="141" s="28" customFormat="1" ht="15" x14ac:dyDescent="0.25"/>
    <row r="142" s="28" customFormat="1" ht="15" x14ac:dyDescent="0.25"/>
    <row r="143" s="28" customFormat="1" ht="15" x14ac:dyDescent="0.25"/>
    <row r="144" s="28" customFormat="1" ht="15" x14ac:dyDescent="0.25"/>
    <row r="145" s="28" customFormat="1" ht="15" x14ac:dyDescent="0.25"/>
    <row r="146" s="28" customFormat="1" ht="15" x14ac:dyDescent="0.25"/>
    <row r="147" s="28" customFormat="1" ht="15" x14ac:dyDescent="0.25"/>
    <row r="148" s="28" customFormat="1" ht="15" x14ac:dyDescent="0.25"/>
    <row r="149" s="28" customFormat="1" ht="15" x14ac:dyDescent="0.25"/>
    <row r="150" s="28" customFormat="1" ht="15" x14ac:dyDescent="0.25"/>
    <row r="151" s="28" customFormat="1" ht="15" x14ac:dyDescent="0.25"/>
    <row r="152" s="28" customFormat="1" ht="15" x14ac:dyDescent="0.25"/>
    <row r="153" s="28" customFormat="1" ht="15" x14ac:dyDescent="0.25"/>
    <row r="154" s="28" customFormat="1" ht="15" x14ac:dyDescent="0.25"/>
    <row r="155" s="28" customFormat="1" ht="15" x14ac:dyDescent="0.25"/>
    <row r="156" s="28" customFormat="1" ht="15" x14ac:dyDescent="0.25"/>
    <row r="157" s="28" customFormat="1" ht="15" x14ac:dyDescent="0.25"/>
    <row r="158" s="28" customFormat="1" ht="15" x14ac:dyDescent="0.25"/>
    <row r="159" s="28" customFormat="1" ht="15" x14ac:dyDescent="0.25"/>
    <row r="160" s="28" customFormat="1" ht="15" x14ac:dyDescent="0.25"/>
    <row r="161" s="28" customFormat="1" ht="15" x14ac:dyDescent="0.25"/>
    <row r="162" s="28" customFormat="1" ht="15" x14ac:dyDescent="0.25"/>
    <row r="163" s="28" customFormat="1" ht="15" x14ac:dyDescent="0.25"/>
    <row r="164" s="28" customFormat="1" ht="15" x14ac:dyDescent="0.25"/>
    <row r="165" s="28" customFormat="1" ht="15" x14ac:dyDescent="0.25"/>
    <row r="166" s="28" customFormat="1" ht="15" x14ac:dyDescent="0.25"/>
    <row r="167" s="28" customFormat="1" ht="15" x14ac:dyDescent="0.25"/>
    <row r="168" s="28" customFormat="1" ht="15" x14ac:dyDescent="0.25"/>
    <row r="169" s="28" customFormat="1" ht="15" x14ac:dyDescent="0.25"/>
    <row r="170" s="28" customFormat="1" ht="15" x14ac:dyDescent="0.25"/>
    <row r="171" s="28" customFormat="1" ht="15" x14ac:dyDescent="0.25"/>
    <row r="172" s="28" customFormat="1" ht="15" x14ac:dyDescent="0.25"/>
    <row r="173" s="28" customFormat="1" ht="15" x14ac:dyDescent="0.25"/>
    <row r="174" s="28" customFormat="1" ht="15" x14ac:dyDescent="0.25"/>
    <row r="175" s="28" customFormat="1" ht="15" x14ac:dyDescent="0.25"/>
    <row r="176" s="28" customFormat="1" ht="15" x14ac:dyDescent="0.25"/>
    <row r="177" s="28" customFormat="1" ht="15" x14ac:dyDescent="0.25"/>
    <row r="178" s="28" customFormat="1" ht="15" x14ac:dyDescent="0.25"/>
    <row r="179" s="28" customFormat="1" ht="15" x14ac:dyDescent="0.25"/>
    <row r="180" s="28" customFormat="1" ht="15" x14ac:dyDescent="0.25"/>
    <row r="181" s="28" customFormat="1" ht="15" x14ac:dyDescent="0.25"/>
    <row r="182" s="28" customFormat="1" ht="15" x14ac:dyDescent="0.25"/>
    <row r="183" s="28" customFormat="1" ht="15" x14ac:dyDescent="0.25"/>
    <row r="184" s="28" customFormat="1" ht="15" x14ac:dyDescent="0.25"/>
    <row r="185" s="28" customFormat="1" ht="15" x14ac:dyDescent="0.25"/>
    <row r="186" s="28" customFormat="1" ht="15" x14ac:dyDescent="0.25"/>
    <row r="187" s="28" customFormat="1" ht="15" x14ac:dyDescent="0.25"/>
    <row r="188" s="28" customFormat="1" ht="15" x14ac:dyDescent="0.25"/>
    <row r="189" s="28" customFormat="1" ht="15" x14ac:dyDescent="0.25"/>
    <row r="190" s="28" customFormat="1" ht="15" x14ac:dyDescent="0.25"/>
    <row r="191" s="28" customFormat="1" ht="15" x14ac:dyDescent="0.25"/>
    <row r="192" s="28" customFormat="1" ht="15" x14ac:dyDescent="0.25"/>
    <row r="193" s="28" customFormat="1" ht="15" x14ac:dyDescent="0.25"/>
    <row r="194" s="28" customFormat="1" ht="15" x14ac:dyDescent="0.25"/>
    <row r="195" s="28" customFormat="1" ht="15" x14ac:dyDescent="0.25"/>
    <row r="196" s="28" customFormat="1" ht="15" x14ac:dyDescent="0.25"/>
    <row r="197" s="28" customFormat="1" ht="15" x14ac:dyDescent="0.25"/>
    <row r="198" s="28" customFormat="1" ht="15" x14ac:dyDescent="0.25"/>
    <row r="199" s="28" customFormat="1" ht="15" x14ac:dyDescent="0.25"/>
    <row r="200" s="28" customFormat="1" ht="15" x14ac:dyDescent="0.25"/>
    <row r="201" s="28" customFormat="1" ht="15" x14ac:dyDescent="0.25"/>
    <row r="202" s="28" customFormat="1" ht="15" x14ac:dyDescent="0.25"/>
    <row r="203" s="28" customFormat="1" ht="15" x14ac:dyDescent="0.25"/>
    <row r="204" s="28" customFormat="1" ht="15" x14ac:dyDescent="0.25"/>
    <row r="205" s="28" customFormat="1" ht="15" x14ac:dyDescent="0.25"/>
    <row r="206" s="28" customFormat="1" ht="15" x14ac:dyDescent="0.25"/>
    <row r="207" s="28" customFormat="1" ht="15" x14ac:dyDescent="0.25"/>
    <row r="208" s="28" customFormat="1" ht="15" x14ac:dyDescent="0.25"/>
    <row r="209" s="28" customFormat="1" ht="15" x14ac:dyDescent="0.25"/>
    <row r="210" s="28" customFormat="1" ht="15" x14ac:dyDescent="0.25"/>
    <row r="211" s="28" customFormat="1" ht="15" x14ac:dyDescent="0.25"/>
    <row r="212" s="28" customFormat="1" ht="15" x14ac:dyDescent="0.25"/>
    <row r="213" s="28" customFormat="1" ht="15" x14ac:dyDescent="0.25"/>
    <row r="214" s="28" customFormat="1" ht="15" x14ac:dyDescent="0.25"/>
    <row r="215" s="28" customFormat="1" ht="15" x14ac:dyDescent="0.25"/>
    <row r="216" s="28" customFormat="1" ht="15" x14ac:dyDescent="0.25"/>
    <row r="217" s="28" customFormat="1" ht="15" x14ac:dyDescent="0.25"/>
    <row r="218" s="28" customFormat="1" ht="15" x14ac:dyDescent="0.25"/>
    <row r="219" s="28" customFormat="1" ht="15" x14ac:dyDescent="0.25"/>
    <row r="220" s="28" customFormat="1" ht="15" x14ac:dyDescent="0.25"/>
    <row r="221" s="28" customFormat="1" ht="15" x14ac:dyDescent="0.25"/>
    <row r="222" s="28" customFormat="1" ht="15" x14ac:dyDescent="0.25"/>
    <row r="223" s="28" customFormat="1" ht="15" x14ac:dyDescent="0.25"/>
    <row r="224" s="28" customFormat="1" ht="15" x14ac:dyDescent="0.25"/>
    <row r="225" s="28" customFormat="1" ht="15" x14ac:dyDescent="0.25"/>
    <row r="226" s="28" customFormat="1" ht="15" x14ac:dyDescent="0.25"/>
    <row r="227" s="28" customFormat="1" ht="15" x14ac:dyDescent="0.25"/>
    <row r="228" s="28" customFormat="1" ht="15" x14ac:dyDescent="0.25"/>
    <row r="229" s="28" customFormat="1" ht="15" x14ac:dyDescent="0.25"/>
    <row r="230" s="28" customFormat="1" ht="15" x14ac:dyDescent="0.25"/>
    <row r="231" s="28" customFormat="1" ht="15" x14ac:dyDescent="0.25"/>
    <row r="232" s="28" customFormat="1" ht="15" x14ac:dyDescent="0.25"/>
    <row r="233" s="28" customFormat="1" ht="15" x14ac:dyDescent="0.25"/>
    <row r="234" s="28" customFormat="1" ht="15" x14ac:dyDescent="0.25"/>
    <row r="235" s="28" customFormat="1" ht="15" x14ac:dyDescent="0.25"/>
    <row r="236" s="28" customFormat="1" ht="15" x14ac:dyDescent="0.25"/>
    <row r="237" s="28" customFormat="1" ht="15" x14ac:dyDescent="0.25"/>
    <row r="238" s="28" customFormat="1" ht="15" x14ac:dyDescent="0.25"/>
    <row r="239" s="28" customFormat="1" ht="15" x14ac:dyDescent="0.25"/>
    <row r="240" s="28" customFormat="1" ht="15" x14ac:dyDescent="0.25"/>
    <row r="241" s="28" customFormat="1" ht="15" x14ac:dyDescent="0.25"/>
    <row r="242" s="28" customFormat="1" ht="15" x14ac:dyDescent="0.25"/>
    <row r="243" s="28" customFormat="1" ht="15" x14ac:dyDescent="0.25"/>
    <row r="244" s="28" customFormat="1" ht="15" x14ac:dyDescent="0.25"/>
    <row r="245" s="28" customFormat="1" ht="15" x14ac:dyDescent="0.25"/>
    <row r="246" s="28" customFormat="1" ht="15" x14ac:dyDescent="0.25"/>
    <row r="247" s="28" customFormat="1" ht="15" x14ac:dyDescent="0.25"/>
    <row r="248" s="28" customFormat="1" ht="15" x14ac:dyDescent="0.25"/>
    <row r="249" s="28" customFormat="1" ht="15" x14ac:dyDescent="0.25"/>
    <row r="250" s="28" customFormat="1" ht="15" x14ac:dyDescent="0.25"/>
    <row r="251" s="28" customFormat="1" ht="15" x14ac:dyDescent="0.25"/>
    <row r="252" s="28" customFormat="1" ht="15" x14ac:dyDescent="0.25"/>
    <row r="253" s="28" customFormat="1" ht="15" x14ac:dyDescent="0.25"/>
    <row r="254" s="28" customFormat="1" ht="15" x14ac:dyDescent="0.25"/>
    <row r="255" s="28" customFormat="1" ht="15" x14ac:dyDescent="0.25"/>
    <row r="256" s="28" customFormat="1" ht="15" x14ac:dyDescent="0.25"/>
    <row r="257" s="28" customFormat="1" ht="15" x14ac:dyDescent="0.25"/>
    <row r="258" s="28" customFormat="1" ht="15" x14ac:dyDescent="0.25"/>
    <row r="259" s="28" customFormat="1" ht="15" x14ac:dyDescent="0.25"/>
    <row r="260" s="28" customFormat="1" ht="15" x14ac:dyDescent="0.25"/>
    <row r="261" s="28" customFormat="1" ht="15" x14ac:dyDescent="0.25"/>
    <row r="262" s="28" customFormat="1" ht="15" x14ac:dyDescent="0.25"/>
    <row r="263" s="28" customFormat="1" ht="15" x14ac:dyDescent="0.25"/>
    <row r="264" s="28" customFormat="1" ht="15" x14ac:dyDescent="0.25"/>
    <row r="265" s="28" customFormat="1" ht="15" x14ac:dyDescent="0.25"/>
    <row r="266" s="28" customFormat="1" ht="15" x14ac:dyDescent="0.25"/>
    <row r="267" s="28" customFormat="1" ht="15" x14ac:dyDescent="0.25"/>
    <row r="268" s="28" customFormat="1" ht="15" x14ac:dyDescent="0.25"/>
    <row r="269" s="28" customFormat="1" ht="15" x14ac:dyDescent="0.25"/>
    <row r="270" s="28" customFormat="1" ht="15" x14ac:dyDescent="0.25"/>
    <row r="271" s="28" customFormat="1" ht="15" x14ac:dyDescent="0.25"/>
    <row r="272" s="28" customFormat="1" ht="15" x14ac:dyDescent="0.25"/>
    <row r="273" s="28" customFormat="1" ht="15" x14ac:dyDescent="0.25"/>
    <row r="274" s="28" customFormat="1" ht="15" x14ac:dyDescent="0.25"/>
    <row r="275" s="28" customFormat="1" ht="15" x14ac:dyDescent="0.25"/>
    <row r="276" s="28" customFormat="1" ht="15" x14ac:dyDescent="0.25"/>
    <row r="277" s="28" customFormat="1" ht="15" x14ac:dyDescent="0.25"/>
    <row r="278" s="28" customFormat="1" ht="15" x14ac:dyDescent="0.25"/>
    <row r="279" s="28" customFormat="1" ht="15" x14ac:dyDescent="0.25"/>
    <row r="280" s="28" customFormat="1" ht="15" x14ac:dyDescent="0.25"/>
    <row r="281" s="28" customFormat="1" ht="15" x14ac:dyDescent="0.25"/>
    <row r="282" s="28" customFormat="1" ht="15" x14ac:dyDescent="0.25"/>
    <row r="283" s="28" customFormat="1" ht="15" x14ac:dyDescent="0.25"/>
    <row r="284" s="28" customFormat="1" ht="15" x14ac:dyDescent="0.25"/>
    <row r="285" s="28" customFormat="1" ht="15" x14ac:dyDescent="0.25"/>
    <row r="286" s="28" customFormat="1" ht="15" x14ac:dyDescent="0.25"/>
    <row r="287" s="28" customFormat="1" ht="15" x14ac:dyDescent="0.25"/>
    <row r="288" s="28" customFormat="1" ht="15" x14ac:dyDescent="0.25"/>
    <row r="289" s="28" customFormat="1" ht="15" x14ac:dyDescent="0.25"/>
    <row r="290" s="28" customFormat="1" ht="15" x14ac:dyDescent="0.25"/>
    <row r="291" s="28" customFormat="1" ht="15" x14ac:dyDescent="0.25"/>
    <row r="292" s="28" customFormat="1" ht="15" x14ac:dyDescent="0.25"/>
    <row r="293" s="28" customFormat="1" ht="15" x14ac:dyDescent="0.25"/>
    <row r="294" s="28" customFormat="1" ht="15" x14ac:dyDescent="0.25"/>
    <row r="295" s="28" customFormat="1" ht="15" x14ac:dyDescent="0.25"/>
    <row r="296" s="28" customFormat="1" ht="15" x14ac:dyDescent="0.25"/>
    <row r="297" s="28" customFormat="1" ht="15" x14ac:dyDescent="0.25"/>
    <row r="298" s="28" customFormat="1" ht="15" x14ac:dyDescent="0.25"/>
    <row r="299" s="28" customFormat="1" ht="15" x14ac:dyDescent="0.25"/>
    <row r="300" s="28" customFormat="1" ht="15" x14ac:dyDescent="0.25"/>
    <row r="301" s="28" customFormat="1" ht="15" x14ac:dyDescent="0.25"/>
    <row r="302" s="28" customFormat="1" ht="15" x14ac:dyDescent="0.25"/>
    <row r="303" s="28" customFormat="1" ht="15" x14ac:dyDescent="0.25"/>
    <row r="304" s="28" customFormat="1" ht="15" x14ac:dyDescent="0.25"/>
    <row r="305" s="28" customFormat="1" ht="15" x14ac:dyDescent="0.25"/>
    <row r="306" s="28" customFormat="1" ht="15" x14ac:dyDescent="0.25"/>
    <row r="307" s="28" customFormat="1" ht="15" x14ac:dyDescent="0.25"/>
    <row r="308" s="28" customFormat="1" ht="15" x14ac:dyDescent="0.25"/>
    <row r="309" s="28" customFormat="1" ht="15" x14ac:dyDescent="0.25"/>
    <row r="310" s="28" customFormat="1" ht="15" x14ac:dyDescent="0.25"/>
    <row r="311" s="28" customFormat="1" ht="15" x14ac:dyDescent="0.25"/>
    <row r="312" s="28" customFormat="1" ht="15" x14ac:dyDescent="0.25"/>
    <row r="313" s="28" customFormat="1" ht="15" x14ac:dyDescent="0.25"/>
    <row r="314" s="28" customFormat="1" ht="15" x14ac:dyDescent="0.25"/>
    <row r="315" s="28" customFormat="1" ht="15" x14ac:dyDescent="0.25"/>
    <row r="316" s="28" customFormat="1" ht="15" x14ac:dyDescent="0.25"/>
    <row r="317" s="28" customFormat="1" ht="15" x14ac:dyDescent="0.25"/>
    <row r="318" s="28" customFormat="1" ht="15" x14ac:dyDescent="0.25"/>
    <row r="319" s="28" customFormat="1" ht="15" x14ac:dyDescent="0.25"/>
    <row r="320" s="28" customFormat="1" ht="15" x14ac:dyDescent="0.25"/>
    <row r="321" s="28" customFormat="1" ht="15" x14ac:dyDescent="0.25"/>
    <row r="322" s="28" customFormat="1" ht="15" x14ac:dyDescent="0.25"/>
    <row r="323" s="28" customFormat="1" ht="15" x14ac:dyDescent="0.25"/>
    <row r="324" s="28" customFormat="1" ht="15" x14ac:dyDescent="0.25"/>
    <row r="325" s="28" customFormat="1" ht="15" x14ac:dyDescent="0.25"/>
    <row r="326" s="28" customFormat="1" ht="15" x14ac:dyDescent="0.25"/>
    <row r="327" s="28" customFormat="1" ht="15" x14ac:dyDescent="0.25"/>
    <row r="328" s="28" customFormat="1" ht="15" x14ac:dyDescent="0.25"/>
    <row r="329" s="28" customFormat="1" ht="15" x14ac:dyDescent="0.25"/>
    <row r="330" s="28" customFormat="1" ht="15" x14ac:dyDescent="0.25"/>
    <row r="331" s="28" customFormat="1" ht="15" x14ac:dyDescent="0.25"/>
    <row r="332" s="28" customFormat="1" ht="15" x14ac:dyDescent="0.25"/>
    <row r="333" s="28" customFormat="1" ht="15" x14ac:dyDescent="0.25"/>
    <row r="334" s="28" customFormat="1" ht="15" x14ac:dyDescent="0.25"/>
    <row r="335" s="28" customFormat="1" ht="15" x14ac:dyDescent="0.25"/>
    <row r="336" s="28" customFormat="1" ht="15" x14ac:dyDescent="0.25"/>
    <row r="337" s="28" customFormat="1" ht="15" x14ac:dyDescent="0.25"/>
    <row r="338" s="28" customFormat="1" ht="15" x14ac:dyDescent="0.25"/>
    <row r="339" s="28" customFormat="1" ht="15" x14ac:dyDescent="0.25"/>
    <row r="340" s="28" customFormat="1" ht="15" x14ac:dyDescent="0.25"/>
    <row r="341" s="28" customFormat="1" ht="15" x14ac:dyDescent="0.25"/>
    <row r="342" s="28" customFormat="1" ht="15" x14ac:dyDescent="0.25"/>
    <row r="343" s="28" customFormat="1" ht="15" x14ac:dyDescent="0.25"/>
    <row r="344" s="28" customFormat="1" ht="15" x14ac:dyDescent="0.25"/>
    <row r="345" s="28" customFormat="1" ht="15" x14ac:dyDescent="0.25"/>
    <row r="346" s="28" customFormat="1" ht="15" x14ac:dyDescent="0.25"/>
    <row r="347" s="28" customFormat="1" ht="15" x14ac:dyDescent="0.25"/>
    <row r="348" s="28" customFormat="1" ht="15" x14ac:dyDescent="0.25"/>
    <row r="349" s="28" customFormat="1" ht="15" x14ac:dyDescent="0.25"/>
    <row r="350" s="28" customFormat="1" ht="15" x14ac:dyDescent="0.25"/>
    <row r="351" s="28" customFormat="1" ht="15" x14ac:dyDescent="0.25"/>
    <row r="352" s="28" customFormat="1" ht="15" x14ac:dyDescent="0.25"/>
    <row r="353" s="28" customFormat="1" ht="15" x14ac:dyDescent="0.25"/>
    <row r="354" s="28" customFormat="1" ht="15" x14ac:dyDescent="0.25"/>
    <row r="355" s="28" customFormat="1" ht="15" x14ac:dyDescent="0.25"/>
  </sheetData>
  <sheetProtection algorithmName="SHA-512" hashValue="/PyLPyw0qVtTsekadLyK4SpjCk6hA0Iv6thUXgQGVhwsZehIbu0R6dNNilRw/dSYtQJ5lPkqvzLQ0CrI7N7qFA==" saltValue="RT48drO2Bqqym5hIzQBtyw==" spinCount="100000" sheet="1" selectLockedCells="1"/>
  <mergeCells count="40">
    <mergeCell ref="Q18:Y18"/>
    <mergeCell ref="Q19:Y19"/>
    <mergeCell ref="Q21:Y21"/>
    <mergeCell ref="Q22:Y22"/>
    <mergeCell ref="AV19:BD19"/>
    <mergeCell ref="AV21:BD21"/>
    <mergeCell ref="AV22:BD22"/>
    <mergeCell ref="CM30:CU30"/>
    <mergeCell ref="CM31:CU31"/>
    <mergeCell ref="CM33:CU33"/>
    <mergeCell ref="CM34:CU34"/>
    <mergeCell ref="AY8:BD8"/>
    <mergeCell ref="AY11:BD11"/>
    <mergeCell ref="AY12:BD12"/>
    <mergeCell ref="AY9:BD9"/>
    <mergeCell ref="AV18:BD18"/>
    <mergeCell ref="BZ18:CH18"/>
    <mergeCell ref="BZ21:CH21"/>
    <mergeCell ref="BZ19:CH19"/>
    <mergeCell ref="BZ22:CH22"/>
    <mergeCell ref="R30:Z30"/>
    <mergeCell ref="R31:Z31"/>
    <mergeCell ref="R33:Z33"/>
    <mergeCell ref="R34:Z34"/>
    <mergeCell ref="BA30:BI30"/>
    <mergeCell ref="BA31:BI31"/>
    <mergeCell ref="BA33:BI33"/>
    <mergeCell ref="BA34:BI34"/>
    <mergeCell ref="DT43:EB43"/>
    <mergeCell ref="DT44:EB44"/>
    <mergeCell ref="DT46:EB46"/>
    <mergeCell ref="DT47:EB47"/>
    <mergeCell ref="AZ43:BH43"/>
    <mergeCell ref="AZ44:BH44"/>
    <mergeCell ref="AZ46:BH46"/>
    <mergeCell ref="AZ47:BH47"/>
    <mergeCell ref="CF43:CN43"/>
    <mergeCell ref="CF44:CN44"/>
    <mergeCell ref="CF46:CN46"/>
    <mergeCell ref="CF47:CN4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22957244c50e327efd2a679e0bd8d1db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e98c80d96d6165678046d3cbd7da068c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D1D782-2D05-4F2C-86C7-D2DFEF58DCD0}">
  <ds:schemaRefs>
    <ds:schemaRef ds:uri="http://purl.org/dc/terms/"/>
    <ds:schemaRef ds:uri="77a3f60d-3740-4b8f-aea2-18b203205ead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c014026-a0ef-45dc-9ca9-ac355db24e99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DD81876-7612-43AB-BBF3-AB26CEC6F5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F01382-9C8B-4C2C-A2A2-7012ED5769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52</vt:i4>
      </vt:variant>
    </vt:vector>
  </HeadingPairs>
  <TitlesOfParts>
    <vt:vector size="56" baseType="lpstr">
      <vt:lpstr>SP</vt:lpstr>
      <vt:lpstr>CE</vt:lpstr>
      <vt:lpstr>CE ricl. e ROE</vt:lpstr>
      <vt:lpstr>ROE</vt:lpstr>
      <vt:lpstr>CE</vt:lpstr>
      <vt:lpstr>CE01.</vt:lpstr>
      <vt:lpstr>CE01T.</vt:lpstr>
      <vt:lpstr>CE02.</vt:lpstr>
      <vt:lpstr>CE03.</vt:lpstr>
      <vt:lpstr>CE04.</vt:lpstr>
      <vt:lpstr>CE05.</vt:lpstr>
      <vt:lpstr>CE06.</vt:lpstr>
      <vt:lpstr>CE06T.</vt:lpstr>
      <vt:lpstr>CE07.</vt:lpstr>
      <vt:lpstr>CE08.</vt:lpstr>
      <vt:lpstr>CE09.</vt:lpstr>
      <vt:lpstr>CE10.</vt:lpstr>
      <vt:lpstr>CE11.</vt:lpstr>
      <vt:lpstr>CE12.</vt:lpstr>
      <vt:lpstr>CE13.</vt:lpstr>
      <vt:lpstr>CE14.</vt:lpstr>
      <vt:lpstr>CE15.</vt:lpstr>
      <vt:lpstr>CE16.</vt:lpstr>
      <vt:lpstr>CE17.</vt:lpstr>
      <vt:lpstr>CE18.</vt:lpstr>
      <vt:lpstr>CE19.</vt:lpstr>
      <vt:lpstr>CE20.</vt:lpstr>
      <vt:lpstr>CE21.</vt:lpstr>
      <vt:lpstr>CE22.</vt:lpstr>
      <vt:lpstr>CE23.</vt:lpstr>
      <vt:lpstr>CE24.</vt:lpstr>
      <vt:lpstr>CE25.</vt:lpstr>
      <vt:lpstr>SP</vt:lpstr>
      <vt:lpstr>SP01.</vt:lpstr>
      <vt:lpstr>SP02.</vt:lpstr>
      <vt:lpstr>SP03.</vt:lpstr>
      <vt:lpstr>SP04.</vt:lpstr>
      <vt:lpstr>SP05.</vt:lpstr>
      <vt:lpstr>SP06.</vt:lpstr>
      <vt:lpstr>SP07.</vt:lpstr>
      <vt:lpstr>SP08.</vt:lpstr>
      <vt:lpstr>SP09.</vt:lpstr>
      <vt:lpstr>SP10.</vt:lpstr>
      <vt:lpstr>SP11.</vt:lpstr>
      <vt:lpstr>SP12.</vt:lpstr>
      <vt:lpstr>SP13.</vt:lpstr>
      <vt:lpstr>SP14.</vt:lpstr>
      <vt:lpstr>SP15.</vt:lpstr>
      <vt:lpstr>SP16.</vt:lpstr>
      <vt:lpstr>SP17.</vt:lpstr>
      <vt:lpstr>SP18.</vt:lpstr>
      <vt:lpstr>SP19.</vt:lpstr>
      <vt:lpstr>SP20.</vt:lpstr>
      <vt:lpstr>SP21.</vt:lpstr>
      <vt:lpstr>SP22.</vt:lpstr>
      <vt:lpstr>SP23.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Pastore</dc:creator>
  <cp:lastModifiedBy>Alessandro Mattavelli</cp:lastModifiedBy>
  <cp:lastPrinted>2018-04-09T23:31:51Z</cp:lastPrinted>
  <dcterms:created xsi:type="dcterms:W3CDTF">2018-03-28T16:08:47Z</dcterms:created>
  <dcterms:modified xsi:type="dcterms:W3CDTF">2025-12-01T11:25:01Z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