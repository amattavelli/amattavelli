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5.xml" ContentType="application/vnd.openxmlformats-officedocument.drawing+xml"/>
  <Override PartName="/xl/tables/table12.xml" ContentType="application/vnd.openxmlformats-officedocument.spreadsheetml.table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tables/table13.xml" ContentType="application/vnd.openxmlformats-officedocument.spreadsheetml.table+xml"/>
  <Override PartName="/xl/drawings/drawing7.xml" ContentType="application/vnd.openxmlformats-officedocument.drawing+xml"/>
  <Override PartName="/xl/tables/table14.xml" ContentType="application/vnd.openxmlformats-officedocument.spreadsheetml.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trlProps/ctrlProp8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updateLinks="never" codeName="Questa_cartella_di_lavoro"/>
  <mc:AlternateContent xmlns:mc="http://schemas.openxmlformats.org/markup-compatibility/2006">
    <mc:Choice Requires="x15">
      <x15ac:absPath xmlns:x15ac="http://schemas.microsoft.com/office/spreadsheetml/2010/11/ac" url="Y:\Clienti\IL Sole24ore\Settimana fiscale\08-Assegnazione agevolata dei beni ai soci (Seconda parte)\"/>
    </mc:Choice>
  </mc:AlternateContent>
  <xr:revisionPtr revIDLastSave="0" documentId="13_ncr:1_{B04EF556-2693-46E2-8C5B-978E788EDA99}" xr6:coauthVersionLast="47" xr6:coauthVersionMax="47" xr10:uidLastSave="{00000000-0000-0000-0000-000000000000}"/>
  <bookViews>
    <workbookView xWindow="-120" yWindow="-120" windowWidth="29040" windowHeight="15720" tabRatio="747" firstSheet="1" activeTab="2" xr2:uid="{00000000-000D-0000-FFFF-FFFF00000000}"/>
  </bookViews>
  <sheets>
    <sheet name="Foglio1" sheetId="13" state="veryHidden" r:id="rId1"/>
    <sheet name="Intro" sheetId="19" r:id="rId2"/>
    <sheet name="DATI" sheetId="1" r:id="rId3"/>
    <sheet name="Società" sheetId="5" r:id="rId4"/>
    <sheet name="Soci" sheetId="6" r:id="rId5"/>
    <sheet name="Beni" sheetId="9" r:id="rId6"/>
    <sheet name="Tabelle" sheetId="2" r:id="rId7"/>
    <sheet name="Assegnazione" sheetId="8" r:id="rId8"/>
    <sheet name="Tassazione Soci" sheetId="10" r:id="rId9"/>
    <sheet name="Rettifica della detrazione" sheetId="11" r:id="rId10"/>
    <sheet name="Tariffa" sheetId="18" r:id="rId11"/>
    <sheet name="CalcoloRapido" sheetId="12" r:id="rId12"/>
  </sheets>
  <definedNames>
    <definedName name="anscount" hidden="1">1</definedName>
    <definedName name="_xlnm.Print_Area" localSheetId="7">Assegnazione!$A$3:$AB$30</definedName>
    <definedName name="_xlnm.Print_Area" localSheetId="5">Beni!$A$3:$Z$60</definedName>
    <definedName name="_xlnm.Print_Area" localSheetId="11">CalcoloRapido!$B$4:$L$18</definedName>
    <definedName name="_xlnm.Print_Area" localSheetId="2">DATI!$B$18:$Q$54</definedName>
    <definedName name="_xlnm.Print_Area" localSheetId="9">'Rettifica della detrazione'!$A$3:$F$24</definedName>
    <definedName name="_xlnm.Print_Area" localSheetId="4">Soci!$B$4:$K$105</definedName>
    <definedName name="_xlnm.Print_Area" localSheetId="3">Società!$A$4:$G$10</definedName>
    <definedName name="_xlnm.Print_Area" localSheetId="10">Tariffa!$B$6:$D$16</definedName>
    <definedName name="_xlnm.Print_Area" localSheetId="8">'Tassazione Soci'!$A$13:$O$33</definedName>
    <definedName name="Beni">B[Bene]</definedName>
    <definedName name="Cat">Gruppi[Cat]</definedName>
    <definedName name="ic">DATI!$A$24</definedName>
    <definedName name="IR">RIGHT(DATI!$D$24,4)="IRES"</definedName>
    <definedName name="LEASING" hidden="1">{#N/A,#N/A,TRUE,"Attivo";#N/A,#N/A,TRUE,"Passivo";#N/A,#N/A,TRUE,"Conto Economico"}</definedName>
    <definedName name="p">DATI!$A$1</definedName>
    <definedName name="Prat">Tabella3[Nome Pratica]</definedName>
    <definedName name="Ris">CalcoloRapido!A$12</definedName>
    <definedName name="ristr">Tabelle!$AF$8</definedName>
    <definedName name="t">DATI!$E$24</definedName>
    <definedName name="Tipi">TipoSoc[TIPO]</definedName>
    <definedName name="Tipim">TipoImm[Tipologia]</definedName>
    <definedName name="_xlnm.Print_Titles" localSheetId="7">Assegnazione!$A:$C,Assegnazione!$3:$4</definedName>
    <definedName name="_xlnm.Print_Titles" localSheetId="5">Beni!$A:$C,Beni!$3:$4</definedName>
    <definedName name="_xlnm.Print_Titles" localSheetId="4">Soci!$4:$5</definedName>
    <definedName name="Valfisc">CalcoloRapido!A$8</definedName>
    <definedName name="Valnorm">CalcoloRapido!A$6</definedName>
    <definedName name="Valnormù">CalcoloRapido!A$6</definedName>
    <definedName name="VC">CalcoloRapido!A$7</definedName>
    <definedName name="VF">DATI!$E$33</definedName>
    <definedName name="VN">DATI!$E$32</definedName>
    <definedName name="VOE">CalcoloRapido!A$6</definedName>
    <definedName name="VP_1">CalcoloRapido!A$9</definedName>
    <definedName name="wrn.Bilancio." hidden="1">{#N/A,#N/A,TRUE,"Attivo";#N/A,#N/A,TRUE,"Passivo";#N/A,#N/A,TRUE,"Conto Economico"}</definedName>
    <definedName name="wrn.Bracco." hidden="1">{"Bracco_Ce",#N/A,FALSE,"BRACCO_8";"Bracco_SP",#N/A,FALSE,"BRACCO_8";"Bracco_DF",#N/A,FALSE,"BRACCO_8";"Bracco_IB",#N/A,FALSE,"BRACCO_8"}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6" l="1"/>
  <c r="I12" i="6"/>
  <c r="I13" i="6"/>
  <c r="I19" i="6"/>
  <c r="I20" i="6"/>
  <c r="I21" i="6"/>
  <c r="I27" i="6"/>
  <c r="I28" i="6"/>
  <c r="I29" i="6"/>
  <c r="I35" i="6"/>
  <c r="I36" i="6"/>
  <c r="I37" i="6"/>
  <c r="I43" i="6"/>
  <c r="I44" i="6"/>
  <c r="I45" i="6"/>
  <c r="I51" i="6"/>
  <c r="I52" i="6"/>
  <c r="I53" i="6"/>
  <c r="I59" i="6"/>
  <c r="I60" i="6"/>
  <c r="I61" i="6"/>
  <c r="I67" i="6"/>
  <c r="I68" i="6"/>
  <c r="I69" i="6"/>
  <c r="I75" i="6"/>
  <c r="I76" i="6"/>
  <c r="I77" i="6"/>
  <c r="I83" i="6"/>
  <c r="I84" i="6"/>
  <c r="I85" i="6"/>
  <c r="I91" i="6"/>
  <c r="I92" i="6"/>
  <c r="I93" i="6"/>
  <c r="I99" i="6"/>
  <c r="I100" i="6"/>
  <c r="I101" i="6"/>
  <c r="I18" i="12"/>
  <c r="L18" i="12"/>
  <c r="K18" i="12"/>
  <c r="J18" i="12"/>
  <c r="H18" i="12"/>
  <c r="G18" i="12"/>
  <c r="F18" i="12"/>
  <c r="L17" i="12"/>
  <c r="K17" i="12"/>
  <c r="J17" i="12"/>
  <c r="I17" i="12"/>
  <c r="H17" i="12"/>
  <c r="G17" i="12"/>
  <c r="F17" i="12"/>
  <c r="L16" i="12"/>
  <c r="K16" i="12"/>
  <c r="J16" i="12"/>
  <c r="I16" i="12"/>
  <c r="H16" i="12"/>
  <c r="G16" i="12"/>
  <c r="F16" i="12"/>
  <c r="L15" i="12"/>
  <c r="K15" i="12"/>
  <c r="J15" i="12"/>
  <c r="I15" i="12"/>
  <c r="H15" i="12"/>
  <c r="G15" i="12"/>
  <c r="F15" i="12"/>
  <c r="L14" i="12"/>
  <c r="I14" i="12"/>
  <c r="L13" i="12"/>
  <c r="K13" i="12"/>
  <c r="K14" i="12" s="1"/>
  <c r="J13" i="12"/>
  <c r="J14" i="12" s="1"/>
  <c r="I13" i="12"/>
  <c r="H13" i="12"/>
  <c r="H14" i="12" s="1"/>
  <c r="G13" i="12"/>
  <c r="G14" i="12" s="1"/>
  <c r="F13" i="12"/>
  <c r="F14" i="12" s="1"/>
  <c r="I6" i="6"/>
  <c r="I7" i="6"/>
  <c r="I8" i="6"/>
  <c r="I9" i="6"/>
  <c r="I10" i="6"/>
  <c r="I14" i="6"/>
  <c r="I15" i="6"/>
  <c r="I16" i="6"/>
  <c r="I17" i="6"/>
  <c r="I18" i="6"/>
  <c r="I22" i="6"/>
  <c r="I23" i="6"/>
  <c r="I24" i="6"/>
  <c r="I25" i="6"/>
  <c r="I26" i="6"/>
  <c r="I30" i="6"/>
  <c r="I31" i="6"/>
  <c r="I32" i="6"/>
  <c r="I33" i="6"/>
  <c r="I34" i="6"/>
  <c r="I38" i="6"/>
  <c r="I39" i="6"/>
  <c r="I40" i="6"/>
  <c r="I41" i="6"/>
  <c r="I42" i="6"/>
  <c r="I46" i="6"/>
  <c r="I47" i="6"/>
  <c r="I48" i="6"/>
  <c r="I49" i="6"/>
  <c r="I50" i="6"/>
  <c r="I54" i="6"/>
  <c r="I55" i="6"/>
  <c r="I56" i="6"/>
  <c r="I57" i="6"/>
  <c r="I58" i="6"/>
  <c r="I62" i="6"/>
  <c r="I63" i="6"/>
  <c r="I64" i="6"/>
  <c r="I65" i="6"/>
  <c r="I66" i="6"/>
  <c r="I70" i="6"/>
  <c r="I71" i="6"/>
  <c r="I72" i="6"/>
  <c r="I73" i="6"/>
  <c r="I74" i="6"/>
  <c r="I78" i="6"/>
  <c r="I79" i="6"/>
  <c r="I80" i="6"/>
  <c r="I81" i="6"/>
  <c r="I82" i="6"/>
  <c r="I86" i="6"/>
  <c r="I87" i="6"/>
  <c r="I88" i="6"/>
  <c r="I89" i="6"/>
  <c r="I90" i="6"/>
  <c r="I94" i="6"/>
  <c r="I95" i="6"/>
  <c r="I96" i="6"/>
  <c r="I97" i="6"/>
  <c r="I98" i="6"/>
  <c r="I102" i="6"/>
  <c r="I103" i="6"/>
  <c r="I104" i="6"/>
  <c r="I105" i="6"/>
  <c r="W10" i="9" l="1"/>
  <c r="W11" i="9"/>
  <c r="W12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41" i="9"/>
  <c r="W42" i="9"/>
  <c r="W43" i="9"/>
  <c r="W44" i="9"/>
  <c r="W45" i="9"/>
  <c r="W46" i="9"/>
  <c r="W47" i="9"/>
  <c r="W48" i="9"/>
  <c r="W49" i="9"/>
  <c r="W50" i="9"/>
  <c r="W51" i="9"/>
  <c r="W52" i="9"/>
  <c r="W53" i="9"/>
  <c r="W54" i="9"/>
  <c r="W55" i="9"/>
  <c r="W56" i="9"/>
  <c r="W57" i="9"/>
  <c r="W58" i="9"/>
  <c r="W59" i="9"/>
  <c r="W60" i="9"/>
  <c r="W61" i="9"/>
  <c r="W62" i="9"/>
  <c r="W63" i="9"/>
  <c r="W64" i="9"/>
  <c r="W65" i="9"/>
  <c r="W66" i="9"/>
  <c r="W67" i="9"/>
  <c r="W68" i="9"/>
  <c r="W69" i="9"/>
  <c r="W70" i="9"/>
  <c r="W71" i="9"/>
  <c r="W72" i="9"/>
  <c r="W73" i="9"/>
  <c r="W74" i="9"/>
  <c r="W75" i="9"/>
  <c r="W76" i="9"/>
  <c r="W77" i="9"/>
  <c r="W78" i="9"/>
  <c r="W79" i="9"/>
  <c r="W80" i="9"/>
  <c r="W81" i="9"/>
  <c r="W82" i="9"/>
  <c r="W83" i="9"/>
  <c r="W84" i="9"/>
  <c r="W85" i="9"/>
  <c r="W86" i="9"/>
  <c r="W87" i="9"/>
  <c r="W88" i="9"/>
  <c r="W89" i="9"/>
  <c r="W90" i="9"/>
  <c r="W91" i="9"/>
  <c r="W92" i="9"/>
  <c r="W93" i="9"/>
  <c r="W94" i="9"/>
  <c r="W95" i="9"/>
  <c r="W96" i="9"/>
  <c r="W97" i="9"/>
  <c r="W98" i="9"/>
  <c r="W99" i="9"/>
  <c r="W100" i="9"/>
  <c r="W101" i="9"/>
  <c r="W102" i="9"/>
  <c r="W103" i="9"/>
  <c r="W104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T86" i="9"/>
  <c r="T87" i="9"/>
  <c r="T88" i="9"/>
  <c r="T89" i="9"/>
  <c r="T90" i="9"/>
  <c r="T91" i="9"/>
  <c r="T92" i="9"/>
  <c r="T93" i="9"/>
  <c r="T94" i="9"/>
  <c r="T95" i="9"/>
  <c r="T96" i="9"/>
  <c r="T97" i="9"/>
  <c r="T98" i="9"/>
  <c r="T99" i="9"/>
  <c r="T100" i="9"/>
  <c r="T101" i="9"/>
  <c r="T102" i="9"/>
  <c r="T103" i="9"/>
  <c r="T104" i="9"/>
  <c r="Y6" i="9" l="1"/>
  <c r="Y7" i="9"/>
  <c r="Y8" i="9"/>
  <c r="Y9" i="9"/>
  <c r="Y10" i="9"/>
  <c r="Y11" i="9"/>
  <c r="Y12" i="9"/>
  <c r="Y13" i="9"/>
  <c r="Y14" i="9"/>
  <c r="Y15" i="9"/>
  <c r="Y16" i="9"/>
  <c r="Y17" i="9"/>
  <c r="Y18" i="9"/>
  <c r="Y19" i="9"/>
  <c r="Y20" i="9"/>
  <c r="Y21" i="9"/>
  <c r="Y22" i="9"/>
  <c r="Y23" i="9"/>
  <c r="Y24" i="9"/>
  <c r="Y25" i="9"/>
  <c r="Y26" i="9"/>
  <c r="Y27" i="9"/>
  <c r="Y28" i="9"/>
  <c r="Y29" i="9"/>
  <c r="Y30" i="9"/>
  <c r="Y31" i="9"/>
  <c r="Y32" i="9"/>
  <c r="Y33" i="9"/>
  <c r="Y34" i="9"/>
  <c r="Y35" i="9"/>
  <c r="Y36" i="9"/>
  <c r="Y37" i="9"/>
  <c r="Y38" i="9"/>
  <c r="Y39" i="9"/>
  <c r="Y40" i="9"/>
  <c r="Y41" i="9"/>
  <c r="Y42" i="9"/>
  <c r="Y43" i="9"/>
  <c r="Y44" i="9"/>
  <c r="Y45" i="9"/>
  <c r="Y46" i="9"/>
  <c r="Y47" i="9"/>
  <c r="Y48" i="9"/>
  <c r="Y49" i="9"/>
  <c r="Y50" i="9"/>
  <c r="Y51" i="9"/>
  <c r="Y52" i="9"/>
  <c r="Y53" i="9"/>
  <c r="Y54" i="9"/>
  <c r="Y55" i="9"/>
  <c r="Y56" i="9"/>
  <c r="Y57" i="9"/>
  <c r="Y58" i="9"/>
  <c r="Y59" i="9"/>
  <c r="Y60" i="9"/>
  <c r="Y61" i="9"/>
  <c r="Y62" i="9"/>
  <c r="Y63" i="9"/>
  <c r="Y64" i="9"/>
  <c r="Y65" i="9"/>
  <c r="Y66" i="9"/>
  <c r="Y67" i="9"/>
  <c r="Y68" i="9"/>
  <c r="Y69" i="9"/>
  <c r="Y70" i="9"/>
  <c r="Y71" i="9"/>
  <c r="Y72" i="9"/>
  <c r="Y73" i="9"/>
  <c r="Y74" i="9"/>
  <c r="Y75" i="9"/>
  <c r="Y76" i="9"/>
  <c r="Y77" i="9"/>
  <c r="Y78" i="9"/>
  <c r="Y79" i="9"/>
  <c r="Y80" i="9"/>
  <c r="Y81" i="9"/>
  <c r="Y82" i="9"/>
  <c r="Y83" i="9"/>
  <c r="Y84" i="9"/>
  <c r="Y85" i="9"/>
  <c r="Y86" i="9"/>
  <c r="Y87" i="9"/>
  <c r="Y88" i="9"/>
  <c r="Y89" i="9"/>
  <c r="Y90" i="9"/>
  <c r="Y91" i="9"/>
  <c r="Y92" i="9"/>
  <c r="Y93" i="9"/>
  <c r="Y94" i="9"/>
  <c r="Y95" i="9"/>
  <c r="Y96" i="9"/>
  <c r="Y97" i="9"/>
  <c r="Y98" i="9"/>
  <c r="Y99" i="9"/>
  <c r="Y100" i="9"/>
  <c r="Y101" i="9"/>
  <c r="Y102" i="9"/>
  <c r="Y103" i="9"/>
  <c r="Y104" i="9"/>
  <c r="Y5" i="9"/>
  <c r="N5" i="9" l="1"/>
  <c r="T5" i="9" s="1"/>
  <c r="K6" i="8" l="1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5" i="8"/>
  <c r="I69" i="1" l="1"/>
  <c r="H69" i="1"/>
  <c r="I73" i="1"/>
  <c r="H73" i="1"/>
  <c r="J69" i="1" l="1"/>
  <c r="N6" i="9"/>
  <c r="T6" i="9" s="1"/>
  <c r="N7" i="9"/>
  <c r="T7" i="9" s="1"/>
  <c r="N8" i="9"/>
  <c r="T8" i="9" s="1"/>
  <c r="N9" i="9"/>
  <c r="T9" i="9" s="1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J11" i="10" l="1"/>
  <c r="L40" i="1" s="1"/>
  <c r="E12" i="10"/>
  <c r="F8" i="10" l="1"/>
  <c r="N25" i="1"/>
  <c r="G7" i="8" l="1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F4" i="6"/>
  <c r="E4" i="6"/>
  <c r="G4" i="6" l="1"/>
  <c r="N23" i="1"/>
  <c r="N7" i="10"/>
  <c r="Z5" i="9"/>
  <c r="Z6" i="9"/>
  <c r="Z7" i="9"/>
  <c r="Z8" i="9"/>
  <c r="Z9" i="9"/>
  <c r="Z10" i="9"/>
  <c r="Z11" i="9"/>
  <c r="Z12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32" i="9"/>
  <c r="Z33" i="9"/>
  <c r="Z34" i="9"/>
  <c r="Z35" i="9"/>
  <c r="Z36" i="9"/>
  <c r="Z37" i="9"/>
  <c r="Z38" i="9"/>
  <c r="Z39" i="9"/>
  <c r="Z40" i="9"/>
  <c r="Z41" i="9"/>
  <c r="Z42" i="9"/>
  <c r="Z43" i="9"/>
  <c r="Z44" i="9"/>
  <c r="Z45" i="9"/>
  <c r="Z46" i="9"/>
  <c r="Z47" i="9"/>
  <c r="Z48" i="9"/>
  <c r="Z49" i="9"/>
  <c r="Z50" i="9"/>
  <c r="Z51" i="9"/>
  <c r="Z52" i="9"/>
  <c r="Z53" i="9"/>
  <c r="Z54" i="9"/>
  <c r="Z55" i="9"/>
  <c r="Z56" i="9"/>
  <c r="Z57" i="9"/>
  <c r="Z58" i="9"/>
  <c r="Z59" i="9"/>
  <c r="Z60" i="9"/>
  <c r="Z61" i="9"/>
  <c r="Z62" i="9"/>
  <c r="Z63" i="9"/>
  <c r="Z64" i="9"/>
  <c r="Z65" i="9"/>
  <c r="Z66" i="9"/>
  <c r="Z67" i="9"/>
  <c r="Z68" i="9"/>
  <c r="Z69" i="9"/>
  <c r="Z70" i="9"/>
  <c r="Z71" i="9"/>
  <c r="Z72" i="9"/>
  <c r="Z73" i="9"/>
  <c r="Z74" i="9"/>
  <c r="Z75" i="9"/>
  <c r="Z76" i="9"/>
  <c r="Z77" i="9"/>
  <c r="Z78" i="9"/>
  <c r="Z79" i="9"/>
  <c r="Z80" i="9"/>
  <c r="Z81" i="9"/>
  <c r="Z82" i="9"/>
  <c r="Z83" i="9"/>
  <c r="Z84" i="9"/>
  <c r="Z85" i="9"/>
  <c r="Z86" i="9"/>
  <c r="Z87" i="9"/>
  <c r="Z88" i="9"/>
  <c r="Z89" i="9"/>
  <c r="Z90" i="9"/>
  <c r="Z91" i="9"/>
  <c r="Z92" i="9"/>
  <c r="Z93" i="9"/>
  <c r="Z94" i="9"/>
  <c r="Z95" i="9"/>
  <c r="Z96" i="9"/>
  <c r="Z97" i="9"/>
  <c r="Z98" i="9"/>
  <c r="Z99" i="9"/>
  <c r="Z100" i="9"/>
  <c r="Z101" i="9"/>
  <c r="Z102" i="9"/>
  <c r="Z103" i="9"/>
  <c r="Z104" i="9"/>
  <c r="R9" i="8" l="1"/>
  <c r="R10" i="8"/>
  <c r="R11" i="8"/>
  <c r="R12" i="8"/>
  <c r="R13" i="8"/>
  <c r="R14" i="8"/>
  <c r="R15" i="8"/>
  <c r="R16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92" i="8"/>
  <c r="R93" i="8"/>
  <c r="R94" i="8"/>
  <c r="R95" i="8"/>
  <c r="R96" i="8"/>
  <c r="R97" i="8"/>
  <c r="R98" i="8"/>
  <c r="R99" i="8"/>
  <c r="R100" i="8"/>
  <c r="R101" i="8"/>
  <c r="R102" i="8"/>
  <c r="R103" i="8"/>
  <c r="R104" i="8"/>
  <c r="R105" i="8"/>
  <c r="R106" i="8"/>
  <c r="R107" i="8"/>
  <c r="R108" i="8"/>
  <c r="R109" i="8"/>
  <c r="R110" i="8"/>
  <c r="R111" i="8"/>
  <c r="R112" i="8"/>
  <c r="R113" i="8"/>
  <c r="R114" i="8"/>
  <c r="R115" i="8"/>
  <c r="R116" i="8"/>
  <c r="R117" i="8"/>
  <c r="R118" i="8"/>
  <c r="R119" i="8"/>
  <c r="R120" i="8"/>
  <c r="R121" i="8"/>
  <c r="R122" i="8"/>
  <c r="R123" i="8"/>
  <c r="R124" i="8"/>
  <c r="R125" i="8"/>
  <c r="R126" i="8"/>
  <c r="R127" i="8"/>
  <c r="R128" i="8"/>
  <c r="R129" i="8"/>
  <c r="R130" i="8"/>
  <c r="R131" i="8"/>
  <c r="R132" i="8"/>
  <c r="R133" i="8"/>
  <c r="R134" i="8"/>
  <c r="R135" i="8"/>
  <c r="R136" i="8"/>
  <c r="R137" i="8"/>
  <c r="R138" i="8"/>
  <c r="R139" i="8"/>
  <c r="R140" i="8"/>
  <c r="R141" i="8"/>
  <c r="R142" i="8"/>
  <c r="R143" i="8"/>
  <c r="R144" i="8"/>
  <c r="R145" i="8"/>
  <c r="R146" i="8"/>
  <c r="R147" i="8"/>
  <c r="R148" i="8"/>
  <c r="R149" i="8"/>
  <c r="R150" i="8"/>
  <c r="R151" i="8"/>
  <c r="R152" i="8"/>
  <c r="R153" i="8"/>
  <c r="R154" i="8"/>
  <c r="R155" i="8"/>
  <c r="R156" i="8"/>
  <c r="R157" i="8"/>
  <c r="R158" i="8"/>
  <c r="R159" i="8"/>
  <c r="R160" i="8"/>
  <c r="R161" i="8"/>
  <c r="R162" i="8"/>
  <c r="R163" i="8"/>
  <c r="R164" i="8"/>
  <c r="R165" i="8"/>
  <c r="R166" i="8"/>
  <c r="R167" i="8"/>
  <c r="R168" i="8"/>
  <c r="R169" i="8"/>
  <c r="R170" i="8"/>
  <c r="R171" i="8"/>
  <c r="R172" i="8"/>
  <c r="R173" i="8"/>
  <c r="R174" i="8"/>
  <c r="R175" i="8"/>
  <c r="R176" i="8"/>
  <c r="R177" i="8"/>
  <c r="R178" i="8"/>
  <c r="R179" i="8"/>
  <c r="R180" i="8"/>
  <c r="R181" i="8"/>
  <c r="R182" i="8"/>
  <c r="R183" i="8"/>
  <c r="R184" i="8"/>
  <c r="R185" i="8"/>
  <c r="R186" i="8"/>
  <c r="R187" i="8"/>
  <c r="R188" i="8"/>
  <c r="R189" i="8"/>
  <c r="R190" i="8"/>
  <c r="R191" i="8"/>
  <c r="R192" i="8"/>
  <c r="R193" i="8"/>
  <c r="R194" i="8"/>
  <c r="R195" i="8"/>
  <c r="R196" i="8"/>
  <c r="R197" i="8"/>
  <c r="R198" i="8"/>
  <c r="R199" i="8"/>
  <c r="R200" i="8"/>
  <c r="R201" i="8"/>
  <c r="R202" i="8"/>
  <c r="R203" i="8"/>
  <c r="R204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65" i="8"/>
  <c r="S66" i="8"/>
  <c r="S67" i="8"/>
  <c r="S68" i="8"/>
  <c r="S69" i="8"/>
  <c r="S70" i="8"/>
  <c r="S71" i="8"/>
  <c r="S72" i="8"/>
  <c r="S73" i="8"/>
  <c r="S74" i="8"/>
  <c r="S75" i="8"/>
  <c r="S76" i="8"/>
  <c r="S77" i="8"/>
  <c r="S78" i="8"/>
  <c r="S79" i="8"/>
  <c r="S80" i="8"/>
  <c r="S81" i="8"/>
  <c r="S82" i="8"/>
  <c r="S83" i="8"/>
  <c r="S84" i="8"/>
  <c r="S85" i="8"/>
  <c r="S86" i="8"/>
  <c r="S87" i="8"/>
  <c r="S88" i="8"/>
  <c r="S89" i="8"/>
  <c r="S90" i="8"/>
  <c r="S91" i="8"/>
  <c r="S92" i="8"/>
  <c r="S93" i="8"/>
  <c r="S94" i="8"/>
  <c r="S95" i="8"/>
  <c r="S96" i="8"/>
  <c r="S97" i="8"/>
  <c r="S98" i="8"/>
  <c r="S99" i="8"/>
  <c r="S100" i="8"/>
  <c r="S101" i="8"/>
  <c r="S102" i="8"/>
  <c r="S103" i="8"/>
  <c r="S104" i="8"/>
  <c r="S105" i="8"/>
  <c r="S106" i="8"/>
  <c r="S107" i="8"/>
  <c r="S108" i="8"/>
  <c r="S109" i="8"/>
  <c r="S110" i="8"/>
  <c r="S111" i="8"/>
  <c r="S112" i="8"/>
  <c r="S113" i="8"/>
  <c r="S114" i="8"/>
  <c r="S115" i="8"/>
  <c r="S116" i="8"/>
  <c r="S117" i="8"/>
  <c r="S118" i="8"/>
  <c r="S119" i="8"/>
  <c r="S120" i="8"/>
  <c r="S121" i="8"/>
  <c r="S122" i="8"/>
  <c r="S123" i="8"/>
  <c r="S124" i="8"/>
  <c r="S125" i="8"/>
  <c r="S126" i="8"/>
  <c r="S127" i="8"/>
  <c r="S128" i="8"/>
  <c r="S129" i="8"/>
  <c r="S130" i="8"/>
  <c r="S131" i="8"/>
  <c r="S132" i="8"/>
  <c r="S133" i="8"/>
  <c r="S134" i="8"/>
  <c r="S135" i="8"/>
  <c r="S136" i="8"/>
  <c r="S137" i="8"/>
  <c r="S138" i="8"/>
  <c r="S139" i="8"/>
  <c r="S140" i="8"/>
  <c r="S141" i="8"/>
  <c r="S142" i="8"/>
  <c r="S143" i="8"/>
  <c r="S144" i="8"/>
  <c r="S145" i="8"/>
  <c r="S146" i="8"/>
  <c r="S147" i="8"/>
  <c r="S148" i="8"/>
  <c r="S149" i="8"/>
  <c r="S150" i="8"/>
  <c r="S151" i="8"/>
  <c r="S152" i="8"/>
  <c r="S153" i="8"/>
  <c r="S154" i="8"/>
  <c r="S155" i="8"/>
  <c r="S156" i="8"/>
  <c r="S157" i="8"/>
  <c r="S158" i="8"/>
  <c r="S159" i="8"/>
  <c r="S160" i="8"/>
  <c r="S161" i="8"/>
  <c r="S162" i="8"/>
  <c r="S163" i="8"/>
  <c r="S164" i="8"/>
  <c r="S165" i="8"/>
  <c r="S166" i="8"/>
  <c r="S167" i="8"/>
  <c r="S168" i="8"/>
  <c r="S169" i="8"/>
  <c r="S170" i="8"/>
  <c r="S171" i="8"/>
  <c r="S172" i="8"/>
  <c r="S173" i="8"/>
  <c r="S174" i="8"/>
  <c r="S175" i="8"/>
  <c r="S176" i="8"/>
  <c r="S177" i="8"/>
  <c r="S178" i="8"/>
  <c r="S179" i="8"/>
  <c r="S180" i="8"/>
  <c r="S181" i="8"/>
  <c r="S182" i="8"/>
  <c r="S183" i="8"/>
  <c r="S184" i="8"/>
  <c r="S185" i="8"/>
  <c r="S186" i="8"/>
  <c r="S187" i="8"/>
  <c r="S188" i="8"/>
  <c r="S189" i="8"/>
  <c r="S190" i="8"/>
  <c r="S191" i="8"/>
  <c r="S192" i="8"/>
  <c r="S193" i="8"/>
  <c r="S194" i="8"/>
  <c r="S195" i="8"/>
  <c r="S196" i="8"/>
  <c r="S197" i="8"/>
  <c r="S198" i="8"/>
  <c r="S199" i="8"/>
  <c r="S200" i="8"/>
  <c r="S201" i="8"/>
  <c r="S202" i="8"/>
  <c r="S203" i="8"/>
  <c r="S204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T70" i="8"/>
  <c r="T71" i="8"/>
  <c r="T72" i="8"/>
  <c r="T73" i="8"/>
  <c r="T74" i="8"/>
  <c r="T75" i="8"/>
  <c r="T76" i="8"/>
  <c r="T77" i="8"/>
  <c r="T78" i="8"/>
  <c r="T79" i="8"/>
  <c r="T80" i="8"/>
  <c r="T81" i="8"/>
  <c r="T82" i="8"/>
  <c r="T83" i="8"/>
  <c r="T84" i="8"/>
  <c r="T85" i="8"/>
  <c r="T86" i="8"/>
  <c r="T87" i="8"/>
  <c r="T88" i="8"/>
  <c r="T89" i="8"/>
  <c r="T90" i="8"/>
  <c r="T91" i="8"/>
  <c r="T92" i="8"/>
  <c r="T93" i="8"/>
  <c r="T94" i="8"/>
  <c r="T95" i="8"/>
  <c r="T96" i="8"/>
  <c r="T97" i="8"/>
  <c r="T98" i="8"/>
  <c r="T99" i="8"/>
  <c r="T100" i="8"/>
  <c r="T101" i="8"/>
  <c r="T102" i="8"/>
  <c r="T103" i="8"/>
  <c r="T104" i="8"/>
  <c r="T105" i="8"/>
  <c r="T106" i="8"/>
  <c r="T107" i="8"/>
  <c r="T108" i="8"/>
  <c r="T109" i="8"/>
  <c r="T110" i="8"/>
  <c r="T111" i="8"/>
  <c r="T112" i="8"/>
  <c r="T113" i="8"/>
  <c r="T114" i="8"/>
  <c r="T115" i="8"/>
  <c r="T116" i="8"/>
  <c r="T117" i="8"/>
  <c r="T118" i="8"/>
  <c r="T119" i="8"/>
  <c r="T120" i="8"/>
  <c r="T121" i="8"/>
  <c r="T122" i="8"/>
  <c r="T123" i="8"/>
  <c r="T124" i="8"/>
  <c r="T125" i="8"/>
  <c r="T126" i="8"/>
  <c r="T127" i="8"/>
  <c r="T128" i="8"/>
  <c r="T129" i="8"/>
  <c r="T130" i="8"/>
  <c r="T131" i="8"/>
  <c r="T132" i="8"/>
  <c r="T133" i="8"/>
  <c r="T134" i="8"/>
  <c r="T135" i="8"/>
  <c r="T136" i="8"/>
  <c r="T137" i="8"/>
  <c r="T138" i="8"/>
  <c r="T139" i="8"/>
  <c r="T140" i="8"/>
  <c r="T141" i="8"/>
  <c r="T142" i="8"/>
  <c r="T143" i="8"/>
  <c r="T144" i="8"/>
  <c r="T145" i="8"/>
  <c r="T146" i="8"/>
  <c r="T147" i="8"/>
  <c r="T148" i="8"/>
  <c r="T149" i="8"/>
  <c r="T150" i="8"/>
  <c r="T151" i="8"/>
  <c r="T152" i="8"/>
  <c r="T153" i="8"/>
  <c r="T154" i="8"/>
  <c r="T155" i="8"/>
  <c r="T156" i="8"/>
  <c r="T157" i="8"/>
  <c r="T158" i="8"/>
  <c r="T159" i="8"/>
  <c r="T160" i="8"/>
  <c r="T161" i="8"/>
  <c r="T162" i="8"/>
  <c r="T163" i="8"/>
  <c r="T164" i="8"/>
  <c r="T165" i="8"/>
  <c r="T166" i="8"/>
  <c r="T167" i="8"/>
  <c r="T168" i="8"/>
  <c r="T169" i="8"/>
  <c r="T170" i="8"/>
  <c r="T171" i="8"/>
  <c r="T172" i="8"/>
  <c r="T173" i="8"/>
  <c r="T174" i="8"/>
  <c r="T175" i="8"/>
  <c r="T176" i="8"/>
  <c r="T177" i="8"/>
  <c r="T178" i="8"/>
  <c r="T179" i="8"/>
  <c r="T180" i="8"/>
  <c r="T181" i="8"/>
  <c r="T182" i="8"/>
  <c r="T183" i="8"/>
  <c r="T184" i="8"/>
  <c r="T185" i="8"/>
  <c r="T186" i="8"/>
  <c r="T187" i="8"/>
  <c r="T188" i="8"/>
  <c r="T189" i="8"/>
  <c r="T190" i="8"/>
  <c r="T191" i="8"/>
  <c r="T192" i="8"/>
  <c r="T193" i="8"/>
  <c r="T194" i="8"/>
  <c r="T195" i="8"/>
  <c r="T196" i="8"/>
  <c r="T197" i="8"/>
  <c r="T198" i="8"/>
  <c r="T199" i="8"/>
  <c r="T200" i="8"/>
  <c r="T201" i="8"/>
  <c r="T202" i="8"/>
  <c r="T203" i="8"/>
  <c r="T204" i="8"/>
  <c r="W56" i="8"/>
  <c r="W57" i="8"/>
  <c r="W58" i="8"/>
  <c r="W59" i="8"/>
  <c r="W60" i="8"/>
  <c r="W61" i="8"/>
  <c r="W62" i="8"/>
  <c r="W63" i="8"/>
  <c r="W64" i="8"/>
  <c r="W65" i="8"/>
  <c r="W66" i="8"/>
  <c r="W67" i="8"/>
  <c r="W68" i="8"/>
  <c r="W69" i="8"/>
  <c r="W70" i="8"/>
  <c r="W71" i="8"/>
  <c r="W72" i="8"/>
  <c r="W73" i="8"/>
  <c r="W74" i="8"/>
  <c r="W75" i="8"/>
  <c r="W76" i="8"/>
  <c r="W77" i="8"/>
  <c r="W78" i="8"/>
  <c r="W79" i="8"/>
  <c r="W80" i="8"/>
  <c r="W81" i="8"/>
  <c r="W82" i="8"/>
  <c r="W83" i="8"/>
  <c r="W84" i="8"/>
  <c r="W85" i="8"/>
  <c r="W86" i="8"/>
  <c r="W87" i="8"/>
  <c r="W88" i="8"/>
  <c r="W89" i="8"/>
  <c r="W90" i="8"/>
  <c r="W91" i="8"/>
  <c r="W92" i="8"/>
  <c r="W93" i="8"/>
  <c r="W94" i="8"/>
  <c r="W95" i="8"/>
  <c r="W96" i="8"/>
  <c r="W97" i="8"/>
  <c r="W98" i="8"/>
  <c r="W99" i="8"/>
  <c r="W100" i="8"/>
  <c r="W101" i="8"/>
  <c r="W102" i="8"/>
  <c r="W103" i="8"/>
  <c r="W104" i="8"/>
  <c r="W105" i="8"/>
  <c r="W106" i="8"/>
  <c r="W107" i="8"/>
  <c r="W108" i="8"/>
  <c r="W109" i="8"/>
  <c r="W110" i="8"/>
  <c r="W111" i="8"/>
  <c r="W112" i="8"/>
  <c r="W113" i="8"/>
  <c r="W114" i="8"/>
  <c r="W115" i="8"/>
  <c r="W116" i="8"/>
  <c r="W117" i="8"/>
  <c r="W118" i="8"/>
  <c r="W119" i="8"/>
  <c r="W120" i="8"/>
  <c r="W121" i="8"/>
  <c r="W122" i="8"/>
  <c r="W123" i="8"/>
  <c r="W124" i="8"/>
  <c r="W125" i="8"/>
  <c r="W126" i="8"/>
  <c r="W127" i="8"/>
  <c r="W128" i="8"/>
  <c r="W129" i="8"/>
  <c r="W130" i="8"/>
  <c r="W131" i="8"/>
  <c r="W132" i="8"/>
  <c r="W133" i="8"/>
  <c r="W134" i="8"/>
  <c r="W135" i="8"/>
  <c r="W136" i="8"/>
  <c r="W137" i="8"/>
  <c r="W138" i="8"/>
  <c r="W139" i="8"/>
  <c r="W140" i="8"/>
  <c r="W141" i="8"/>
  <c r="W142" i="8"/>
  <c r="W143" i="8"/>
  <c r="W144" i="8"/>
  <c r="W145" i="8"/>
  <c r="W146" i="8"/>
  <c r="W147" i="8"/>
  <c r="W148" i="8"/>
  <c r="W149" i="8"/>
  <c r="W150" i="8"/>
  <c r="W151" i="8"/>
  <c r="W152" i="8"/>
  <c r="W153" i="8"/>
  <c r="W154" i="8"/>
  <c r="W155" i="8"/>
  <c r="W156" i="8"/>
  <c r="W157" i="8"/>
  <c r="W158" i="8"/>
  <c r="W159" i="8"/>
  <c r="W160" i="8"/>
  <c r="W161" i="8"/>
  <c r="W162" i="8"/>
  <c r="W163" i="8"/>
  <c r="W164" i="8"/>
  <c r="W165" i="8"/>
  <c r="W166" i="8"/>
  <c r="W167" i="8"/>
  <c r="W168" i="8"/>
  <c r="W169" i="8"/>
  <c r="W170" i="8"/>
  <c r="W171" i="8"/>
  <c r="W172" i="8"/>
  <c r="W173" i="8"/>
  <c r="W174" i="8"/>
  <c r="W175" i="8"/>
  <c r="W176" i="8"/>
  <c r="W177" i="8"/>
  <c r="W178" i="8"/>
  <c r="W179" i="8"/>
  <c r="W180" i="8"/>
  <c r="W181" i="8"/>
  <c r="W182" i="8"/>
  <c r="W183" i="8"/>
  <c r="W184" i="8"/>
  <c r="W185" i="8"/>
  <c r="W186" i="8"/>
  <c r="W187" i="8"/>
  <c r="W188" i="8"/>
  <c r="W189" i="8"/>
  <c r="W190" i="8"/>
  <c r="W191" i="8"/>
  <c r="W192" i="8"/>
  <c r="W193" i="8"/>
  <c r="W194" i="8"/>
  <c r="W195" i="8"/>
  <c r="W196" i="8"/>
  <c r="W197" i="8"/>
  <c r="W198" i="8"/>
  <c r="W199" i="8"/>
  <c r="W200" i="8"/>
  <c r="W201" i="8"/>
  <c r="W202" i="8"/>
  <c r="W203" i="8"/>
  <c r="W204" i="8"/>
  <c r="X56" i="8"/>
  <c r="X57" i="8"/>
  <c r="X58" i="8"/>
  <c r="X59" i="8"/>
  <c r="X60" i="8"/>
  <c r="X61" i="8"/>
  <c r="X62" i="8"/>
  <c r="X63" i="8"/>
  <c r="X64" i="8"/>
  <c r="X65" i="8"/>
  <c r="X66" i="8"/>
  <c r="X67" i="8"/>
  <c r="X68" i="8"/>
  <c r="X69" i="8"/>
  <c r="X70" i="8"/>
  <c r="X71" i="8"/>
  <c r="X72" i="8"/>
  <c r="X73" i="8"/>
  <c r="X74" i="8"/>
  <c r="X75" i="8"/>
  <c r="X76" i="8"/>
  <c r="X77" i="8"/>
  <c r="X78" i="8"/>
  <c r="X79" i="8"/>
  <c r="X80" i="8"/>
  <c r="X81" i="8"/>
  <c r="X82" i="8"/>
  <c r="X83" i="8"/>
  <c r="X84" i="8"/>
  <c r="X85" i="8"/>
  <c r="X86" i="8"/>
  <c r="X87" i="8"/>
  <c r="X88" i="8"/>
  <c r="X89" i="8"/>
  <c r="X90" i="8"/>
  <c r="X91" i="8"/>
  <c r="X92" i="8"/>
  <c r="X93" i="8"/>
  <c r="X94" i="8"/>
  <c r="X95" i="8"/>
  <c r="X96" i="8"/>
  <c r="X97" i="8"/>
  <c r="X98" i="8"/>
  <c r="X99" i="8"/>
  <c r="X100" i="8"/>
  <c r="X101" i="8"/>
  <c r="X102" i="8"/>
  <c r="X103" i="8"/>
  <c r="X104" i="8"/>
  <c r="X105" i="8"/>
  <c r="X106" i="8"/>
  <c r="X107" i="8"/>
  <c r="X108" i="8"/>
  <c r="X109" i="8"/>
  <c r="X110" i="8"/>
  <c r="X111" i="8"/>
  <c r="X112" i="8"/>
  <c r="X113" i="8"/>
  <c r="X114" i="8"/>
  <c r="X115" i="8"/>
  <c r="X116" i="8"/>
  <c r="X117" i="8"/>
  <c r="X118" i="8"/>
  <c r="X119" i="8"/>
  <c r="X120" i="8"/>
  <c r="X121" i="8"/>
  <c r="X122" i="8"/>
  <c r="X123" i="8"/>
  <c r="X124" i="8"/>
  <c r="X125" i="8"/>
  <c r="X126" i="8"/>
  <c r="X127" i="8"/>
  <c r="X128" i="8"/>
  <c r="X129" i="8"/>
  <c r="X130" i="8"/>
  <c r="X131" i="8"/>
  <c r="X132" i="8"/>
  <c r="X133" i="8"/>
  <c r="X134" i="8"/>
  <c r="X135" i="8"/>
  <c r="X136" i="8"/>
  <c r="X137" i="8"/>
  <c r="X138" i="8"/>
  <c r="X139" i="8"/>
  <c r="X140" i="8"/>
  <c r="X141" i="8"/>
  <c r="X142" i="8"/>
  <c r="X143" i="8"/>
  <c r="X144" i="8"/>
  <c r="X145" i="8"/>
  <c r="X146" i="8"/>
  <c r="X147" i="8"/>
  <c r="X148" i="8"/>
  <c r="X149" i="8"/>
  <c r="X150" i="8"/>
  <c r="X151" i="8"/>
  <c r="X152" i="8"/>
  <c r="X153" i="8"/>
  <c r="X154" i="8"/>
  <c r="X155" i="8"/>
  <c r="X156" i="8"/>
  <c r="X157" i="8"/>
  <c r="X158" i="8"/>
  <c r="X159" i="8"/>
  <c r="X160" i="8"/>
  <c r="X161" i="8"/>
  <c r="X162" i="8"/>
  <c r="X163" i="8"/>
  <c r="X164" i="8"/>
  <c r="X165" i="8"/>
  <c r="X166" i="8"/>
  <c r="X167" i="8"/>
  <c r="X168" i="8"/>
  <c r="X169" i="8"/>
  <c r="X170" i="8"/>
  <c r="X171" i="8"/>
  <c r="X172" i="8"/>
  <c r="X173" i="8"/>
  <c r="X174" i="8"/>
  <c r="X175" i="8"/>
  <c r="X176" i="8"/>
  <c r="X177" i="8"/>
  <c r="X178" i="8"/>
  <c r="X179" i="8"/>
  <c r="X180" i="8"/>
  <c r="X181" i="8"/>
  <c r="X182" i="8"/>
  <c r="X183" i="8"/>
  <c r="X184" i="8"/>
  <c r="X185" i="8"/>
  <c r="X186" i="8"/>
  <c r="X187" i="8"/>
  <c r="X188" i="8"/>
  <c r="X189" i="8"/>
  <c r="X190" i="8"/>
  <c r="X191" i="8"/>
  <c r="X192" i="8"/>
  <c r="X193" i="8"/>
  <c r="X194" i="8"/>
  <c r="X195" i="8"/>
  <c r="X196" i="8"/>
  <c r="X197" i="8"/>
  <c r="X198" i="8"/>
  <c r="X199" i="8"/>
  <c r="X200" i="8"/>
  <c r="X201" i="8"/>
  <c r="X202" i="8"/>
  <c r="X203" i="8"/>
  <c r="X204" i="8"/>
  <c r="Z5" i="8"/>
  <c r="Z6" i="8"/>
  <c r="Z7" i="8"/>
  <c r="Z8" i="8"/>
  <c r="Z9" i="8"/>
  <c r="Z10" i="8"/>
  <c r="Z11" i="8"/>
  <c r="Z12" i="8"/>
  <c r="Z13" i="8"/>
  <c r="Z14" i="8"/>
  <c r="Z15" i="8"/>
  <c r="Z16" i="8"/>
  <c r="Z17" i="8"/>
  <c r="Z18" i="8"/>
  <c r="Z19" i="8"/>
  <c r="Z20" i="8"/>
  <c r="Z21" i="8"/>
  <c r="Z22" i="8"/>
  <c r="Z23" i="8"/>
  <c r="Z24" i="8"/>
  <c r="Z25" i="8"/>
  <c r="Z26" i="8"/>
  <c r="Z27" i="8"/>
  <c r="Z28" i="8"/>
  <c r="Z29" i="8"/>
  <c r="Z30" i="8"/>
  <c r="Z31" i="8"/>
  <c r="Z32" i="8"/>
  <c r="Z33" i="8"/>
  <c r="Z34" i="8"/>
  <c r="Z35" i="8"/>
  <c r="Z36" i="8"/>
  <c r="Z37" i="8"/>
  <c r="Z38" i="8"/>
  <c r="Z39" i="8"/>
  <c r="Z40" i="8"/>
  <c r="Z41" i="8"/>
  <c r="Z42" i="8"/>
  <c r="Z43" i="8"/>
  <c r="Z44" i="8"/>
  <c r="Z45" i="8"/>
  <c r="Z46" i="8"/>
  <c r="Z47" i="8"/>
  <c r="Z48" i="8"/>
  <c r="Z49" i="8"/>
  <c r="Z50" i="8"/>
  <c r="Z51" i="8"/>
  <c r="Z52" i="8"/>
  <c r="Z53" i="8"/>
  <c r="Z54" i="8"/>
  <c r="Z55" i="8"/>
  <c r="Z56" i="8"/>
  <c r="Z57" i="8"/>
  <c r="Z58" i="8"/>
  <c r="Z59" i="8"/>
  <c r="Z60" i="8"/>
  <c r="Z61" i="8"/>
  <c r="Z62" i="8"/>
  <c r="Z63" i="8"/>
  <c r="Z64" i="8"/>
  <c r="Z65" i="8"/>
  <c r="Z66" i="8"/>
  <c r="Z67" i="8"/>
  <c r="Z68" i="8"/>
  <c r="Z69" i="8"/>
  <c r="Z70" i="8"/>
  <c r="Z71" i="8"/>
  <c r="Z72" i="8"/>
  <c r="Z73" i="8"/>
  <c r="Z74" i="8"/>
  <c r="Z75" i="8"/>
  <c r="Z76" i="8"/>
  <c r="Z77" i="8"/>
  <c r="Z78" i="8"/>
  <c r="Z79" i="8"/>
  <c r="Z80" i="8"/>
  <c r="Z81" i="8"/>
  <c r="Z82" i="8"/>
  <c r="Z83" i="8"/>
  <c r="Z84" i="8"/>
  <c r="Z85" i="8"/>
  <c r="Z86" i="8"/>
  <c r="Z87" i="8"/>
  <c r="Z88" i="8"/>
  <c r="Z89" i="8"/>
  <c r="Z90" i="8"/>
  <c r="Z91" i="8"/>
  <c r="Z92" i="8"/>
  <c r="Z93" i="8"/>
  <c r="Z94" i="8"/>
  <c r="Z95" i="8"/>
  <c r="Z96" i="8"/>
  <c r="Z97" i="8"/>
  <c r="Z98" i="8"/>
  <c r="Z99" i="8"/>
  <c r="Z100" i="8"/>
  <c r="Z101" i="8"/>
  <c r="Z102" i="8"/>
  <c r="Z103" i="8"/>
  <c r="Z104" i="8"/>
  <c r="Z105" i="8"/>
  <c r="Z106" i="8"/>
  <c r="Z107" i="8"/>
  <c r="Z108" i="8"/>
  <c r="Z109" i="8"/>
  <c r="Z110" i="8"/>
  <c r="Z111" i="8"/>
  <c r="Z112" i="8"/>
  <c r="Z113" i="8"/>
  <c r="Z114" i="8"/>
  <c r="Z115" i="8"/>
  <c r="Z116" i="8"/>
  <c r="Z117" i="8"/>
  <c r="Z118" i="8"/>
  <c r="Z119" i="8"/>
  <c r="Z120" i="8"/>
  <c r="Z121" i="8"/>
  <c r="Z122" i="8"/>
  <c r="Z123" i="8"/>
  <c r="Z124" i="8"/>
  <c r="Z125" i="8"/>
  <c r="Z126" i="8"/>
  <c r="Z127" i="8"/>
  <c r="Z128" i="8"/>
  <c r="Z129" i="8"/>
  <c r="Z130" i="8"/>
  <c r="Z131" i="8"/>
  <c r="Z132" i="8"/>
  <c r="Z133" i="8"/>
  <c r="Z134" i="8"/>
  <c r="Z135" i="8"/>
  <c r="Z136" i="8"/>
  <c r="Z137" i="8"/>
  <c r="Z138" i="8"/>
  <c r="Z139" i="8"/>
  <c r="Z140" i="8"/>
  <c r="Z141" i="8"/>
  <c r="Z142" i="8"/>
  <c r="Z143" i="8"/>
  <c r="Z144" i="8"/>
  <c r="Z145" i="8"/>
  <c r="Z146" i="8"/>
  <c r="Z147" i="8"/>
  <c r="Z148" i="8"/>
  <c r="Z149" i="8"/>
  <c r="Z150" i="8"/>
  <c r="Z151" i="8"/>
  <c r="Z152" i="8"/>
  <c r="Z153" i="8"/>
  <c r="Z154" i="8"/>
  <c r="Z155" i="8"/>
  <c r="Z156" i="8"/>
  <c r="Z157" i="8"/>
  <c r="Z158" i="8"/>
  <c r="Z159" i="8"/>
  <c r="Z160" i="8"/>
  <c r="Z161" i="8"/>
  <c r="Z162" i="8"/>
  <c r="Z163" i="8"/>
  <c r="Z164" i="8"/>
  <c r="Z165" i="8"/>
  <c r="Z166" i="8"/>
  <c r="Z167" i="8"/>
  <c r="Z168" i="8"/>
  <c r="Z169" i="8"/>
  <c r="Z170" i="8"/>
  <c r="Z171" i="8"/>
  <c r="Z172" i="8"/>
  <c r="Z173" i="8"/>
  <c r="Z174" i="8"/>
  <c r="Z175" i="8"/>
  <c r="Z176" i="8"/>
  <c r="Z177" i="8"/>
  <c r="Z178" i="8"/>
  <c r="Z179" i="8"/>
  <c r="Z180" i="8"/>
  <c r="Z181" i="8"/>
  <c r="Z182" i="8"/>
  <c r="Z183" i="8"/>
  <c r="Z184" i="8"/>
  <c r="Z185" i="8"/>
  <c r="Z186" i="8"/>
  <c r="Z187" i="8"/>
  <c r="Z188" i="8"/>
  <c r="Z189" i="8"/>
  <c r="Z190" i="8"/>
  <c r="Z191" i="8"/>
  <c r="Z192" i="8"/>
  <c r="Z193" i="8"/>
  <c r="Z194" i="8"/>
  <c r="Z195" i="8"/>
  <c r="Z196" i="8"/>
  <c r="Z197" i="8"/>
  <c r="Z198" i="8"/>
  <c r="Z199" i="8"/>
  <c r="Z200" i="8"/>
  <c r="Z201" i="8"/>
  <c r="Z202" i="8"/>
  <c r="Z203" i="8"/>
  <c r="Z204" i="8"/>
  <c r="O5" i="8" l="1"/>
  <c r="O6" i="8"/>
  <c r="O7" i="8" l="1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P21" i="9" l="1"/>
  <c r="R21" i="9" s="1"/>
  <c r="P22" i="9"/>
  <c r="R22" i="9" s="1"/>
  <c r="P23" i="9"/>
  <c r="R23" i="9" s="1"/>
  <c r="P24" i="9"/>
  <c r="R24" i="9" s="1"/>
  <c r="P25" i="9"/>
  <c r="R25" i="9" s="1"/>
  <c r="P26" i="9"/>
  <c r="R26" i="9" s="1"/>
  <c r="P27" i="9"/>
  <c r="R27" i="9" s="1"/>
  <c r="P28" i="9"/>
  <c r="R28" i="9" s="1"/>
  <c r="P30" i="9"/>
  <c r="R30" i="9" s="1"/>
  <c r="P31" i="9"/>
  <c r="R31" i="9" s="1"/>
  <c r="P33" i="9"/>
  <c r="R33" i="9" s="1"/>
  <c r="P34" i="9"/>
  <c r="R34" i="9" s="1"/>
  <c r="P35" i="9"/>
  <c r="R35" i="9" s="1"/>
  <c r="P37" i="9"/>
  <c r="R37" i="9" s="1"/>
  <c r="P38" i="9"/>
  <c r="R38" i="9" s="1"/>
  <c r="P39" i="9"/>
  <c r="R39" i="9" s="1"/>
  <c r="P41" i="9"/>
  <c r="R41" i="9" s="1"/>
  <c r="P42" i="9"/>
  <c r="R42" i="9" s="1"/>
  <c r="P43" i="9"/>
  <c r="R43" i="9" s="1"/>
  <c r="P45" i="9"/>
  <c r="R45" i="9" s="1"/>
  <c r="P46" i="9"/>
  <c r="R46" i="9" s="1"/>
  <c r="P47" i="9"/>
  <c r="R47" i="9" s="1"/>
  <c r="P49" i="9"/>
  <c r="R49" i="9" s="1"/>
  <c r="P50" i="9"/>
  <c r="R50" i="9" s="1"/>
  <c r="P51" i="9"/>
  <c r="R51" i="9" s="1"/>
  <c r="P53" i="9"/>
  <c r="R53" i="9" s="1"/>
  <c r="P54" i="9"/>
  <c r="R54" i="9" s="1"/>
  <c r="P55" i="9"/>
  <c r="R55" i="9" s="1"/>
  <c r="P57" i="9"/>
  <c r="R57" i="9" s="1"/>
  <c r="P58" i="9"/>
  <c r="R58" i="9" s="1"/>
  <c r="P59" i="9"/>
  <c r="R59" i="9" s="1"/>
  <c r="P61" i="9"/>
  <c r="R61" i="9" s="1"/>
  <c r="P62" i="9"/>
  <c r="R62" i="9" s="1"/>
  <c r="P63" i="9"/>
  <c r="R63" i="9" s="1"/>
  <c r="P65" i="9"/>
  <c r="R65" i="9" s="1"/>
  <c r="P66" i="9"/>
  <c r="R66" i="9" s="1"/>
  <c r="P67" i="9"/>
  <c r="R67" i="9" s="1"/>
  <c r="P69" i="9"/>
  <c r="R69" i="9" s="1"/>
  <c r="P70" i="9"/>
  <c r="R70" i="9" s="1"/>
  <c r="P71" i="9"/>
  <c r="R71" i="9" s="1"/>
  <c r="P73" i="9"/>
  <c r="R73" i="9" s="1"/>
  <c r="P74" i="9"/>
  <c r="R74" i="9" s="1"/>
  <c r="P75" i="9"/>
  <c r="R75" i="9" s="1"/>
  <c r="P77" i="9"/>
  <c r="R77" i="9" s="1"/>
  <c r="P78" i="9"/>
  <c r="R78" i="9" s="1"/>
  <c r="P79" i="9"/>
  <c r="R79" i="9" s="1"/>
  <c r="P81" i="9"/>
  <c r="R81" i="9" s="1"/>
  <c r="P82" i="9"/>
  <c r="R82" i="9" s="1"/>
  <c r="P83" i="9"/>
  <c r="R83" i="9" s="1"/>
  <c r="P85" i="9"/>
  <c r="R85" i="9" s="1"/>
  <c r="P86" i="9"/>
  <c r="R86" i="9" s="1"/>
  <c r="P87" i="9"/>
  <c r="R87" i="9" s="1"/>
  <c r="P89" i="9"/>
  <c r="R89" i="9" s="1"/>
  <c r="P90" i="9"/>
  <c r="R90" i="9" s="1"/>
  <c r="P91" i="9"/>
  <c r="R91" i="9" s="1"/>
  <c r="P93" i="9"/>
  <c r="R93" i="9" s="1"/>
  <c r="P94" i="9"/>
  <c r="R94" i="9" s="1"/>
  <c r="P95" i="9"/>
  <c r="R95" i="9" s="1"/>
  <c r="P97" i="9"/>
  <c r="R97" i="9" s="1"/>
  <c r="P98" i="9"/>
  <c r="R98" i="9" s="1"/>
  <c r="P99" i="9"/>
  <c r="R99" i="9" s="1"/>
  <c r="P101" i="9"/>
  <c r="R101" i="9" s="1"/>
  <c r="P102" i="9"/>
  <c r="R102" i="9" s="1"/>
  <c r="P103" i="9"/>
  <c r="R103" i="9" s="1"/>
  <c r="Q21" i="9"/>
  <c r="Q22" i="9"/>
  <c r="Q23" i="9"/>
  <c r="Q24" i="9"/>
  <c r="Q25" i="9"/>
  <c r="Q26" i="9"/>
  <c r="Q27" i="9"/>
  <c r="Q28" i="9"/>
  <c r="Q30" i="9"/>
  <c r="Q33" i="9"/>
  <c r="Q34" i="9"/>
  <c r="Q38" i="9"/>
  <c r="Q41" i="9"/>
  <c r="Q42" i="9"/>
  <c r="Q43" i="9"/>
  <c r="Q45" i="9"/>
  <c r="Q46" i="9"/>
  <c r="Q50" i="9"/>
  <c r="Q53" i="9"/>
  <c r="Q54" i="9"/>
  <c r="Q57" i="9"/>
  <c r="Q58" i="9"/>
  <c r="Q59" i="9"/>
  <c r="Q62" i="9"/>
  <c r="Q66" i="9"/>
  <c r="Q70" i="9"/>
  <c r="Q74" i="9"/>
  <c r="Q89" i="9"/>
  <c r="Q90" i="9"/>
  <c r="Q91" i="9"/>
  <c r="Q101" i="9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U5" i="9"/>
  <c r="T5" i="8" s="1"/>
  <c r="U6" i="9"/>
  <c r="U7" i="9"/>
  <c r="T8" i="8" s="1"/>
  <c r="U8" i="9"/>
  <c r="T9" i="8" s="1"/>
  <c r="U9" i="9"/>
  <c r="T10" i="8" s="1"/>
  <c r="U10" i="9"/>
  <c r="T11" i="8" s="1"/>
  <c r="U11" i="9"/>
  <c r="T12" i="8" s="1"/>
  <c r="U12" i="9"/>
  <c r="T13" i="8" s="1"/>
  <c r="U13" i="9"/>
  <c r="T14" i="8" s="1"/>
  <c r="U14" i="9"/>
  <c r="T15" i="8" s="1"/>
  <c r="U15" i="9"/>
  <c r="T16" i="8" s="1"/>
  <c r="U16" i="9"/>
  <c r="U17" i="9"/>
  <c r="T18" i="8" s="1"/>
  <c r="U18" i="9"/>
  <c r="U19" i="9"/>
  <c r="T20" i="8" s="1"/>
  <c r="U20" i="9"/>
  <c r="T21" i="8" s="1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48" i="9"/>
  <c r="U49" i="9"/>
  <c r="U50" i="9"/>
  <c r="U51" i="9"/>
  <c r="U52" i="9"/>
  <c r="U53" i="9"/>
  <c r="U54" i="9"/>
  <c r="U55" i="9"/>
  <c r="U56" i="9"/>
  <c r="U57" i="9"/>
  <c r="U58" i="9"/>
  <c r="U59" i="9"/>
  <c r="U60" i="9"/>
  <c r="U61" i="9"/>
  <c r="U62" i="9"/>
  <c r="U63" i="9"/>
  <c r="U64" i="9"/>
  <c r="U65" i="9"/>
  <c r="U66" i="9"/>
  <c r="U67" i="9"/>
  <c r="U68" i="9"/>
  <c r="U69" i="9"/>
  <c r="U70" i="9"/>
  <c r="U71" i="9"/>
  <c r="U72" i="9"/>
  <c r="U73" i="9"/>
  <c r="U74" i="9"/>
  <c r="U75" i="9"/>
  <c r="U76" i="9"/>
  <c r="U77" i="9"/>
  <c r="U78" i="9"/>
  <c r="U79" i="9"/>
  <c r="U80" i="9"/>
  <c r="U81" i="9"/>
  <c r="U82" i="9"/>
  <c r="U83" i="9"/>
  <c r="U84" i="9"/>
  <c r="U85" i="9"/>
  <c r="U86" i="9"/>
  <c r="U87" i="9"/>
  <c r="U88" i="9"/>
  <c r="U89" i="9"/>
  <c r="U90" i="9"/>
  <c r="U91" i="9"/>
  <c r="U92" i="9"/>
  <c r="U93" i="9"/>
  <c r="U94" i="9"/>
  <c r="U95" i="9"/>
  <c r="U96" i="9"/>
  <c r="U97" i="9"/>
  <c r="U98" i="9"/>
  <c r="U99" i="9"/>
  <c r="U100" i="9"/>
  <c r="U101" i="9"/>
  <c r="U102" i="9"/>
  <c r="U103" i="9"/>
  <c r="U104" i="9"/>
  <c r="S5" i="8"/>
  <c r="S8" i="8"/>
  <c r="S9" i="8"/>
  <c r="S10" i="8"/>
  <c r="S11" i="8"/>
  <c r="S12" i="8"/>
  <c r="S13" i="8"/>
  <c r="S14" i="8"/>
  <c r="S15" i="8"/>
  <c r="S16" i="8"/>
  <c r="S18" i="8"/>
  <c r="S20" i="8"/>
  <c r="S21" i="8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55" i="9"/>
  <c r="S56" i="9"/>
  <c r="S57" i="9"/>
  <c r="S58" i="9"/>
  <c r="S59" i="9"/>
  <c r="S60" i="9"/>
  <c r="S61" i="9"/>
  <c r="S62" i="9"/>
  <c r="S63" i="9"/>
  <c r="S64" i="9"/>
  <c r="S65" i="9"/>
  <c r="S66" i="9"/>
  <c r="S67" i="9"/>
  <c r="S68" i="9"/>
  <c r="S69" i="9"/>
  <c r="S70" i="9"/>
  <c r="S71" i="9"/>
  <c r="S72" i="9"/>
  <c r="S73" i="9"/>
  <c r="S74" i="9"/>
  <c r="S75" i="9"/>
  <c r="S76" i="9"/>
  <c r="S77" i="9"/>
  <c r="S78" i="9"/>
  <c r="S79" i="9"/>
  <c r="S80" i="9"/>
  <c r="S81" i="9"/>
  <c r="S82" i="9"/>
  <c r="S83" i="9"/>
  <c r="S84" i="9"/>
  <c r="S85" i="9"/>
  <c r="S86" i="9"/>
  <c r="S87" i="9"/>
  <c r="S88" i="9"/>
  <c r="S89" i="9"/>
  <c r="S90" i="9"/>
  <c r="S91" i="9"/>
  <c r="S92" i="9"/>
  <c r="S93" i="9"/>
  <c r="S94" i="9"/>
  <c r="S95" i="9"/>
  <c r="S96" i="9"/>
  <c r="S97" i="9"/>
  <c r="S98" i="9"/>
  <c r="S99" i="9"/>
  <c r="S100" i="9"/>
  <c r="S101" i="9"/>
  <c r="S102" i="9"/>
  <c r="S103" i="9"/>
  <c r="S104" i="9"/>
  <c r="S17" i="8" l="1"/>
  <c r="T17" i="8"/>
  <c r="R17" i="8"/>
  <c r="R18" i="8"/>
  <c r="R19" i="8"/>
  <c r="S19" i="8"/>
  <c r="T19" i="8"/>
  <c r="R7" i="8"/>
  <c r="R8" i="8"/>
  <c r="Q97" i="9"/>
  <c r="Q85" i="9"/>
  <c r="R5" i="8"/>
  <c r="R6" i="8"/>
  <c r="S6" i="8"/>
  <c r="S7" i="8"/>
  <c r="T6" i="8"/>
  <c r="T7" i="8"/>
  <c r="Q102" i="9"/>
  <c r="Q94" i="9"/>
  <c r="Q86" i="9"/>
  <c r="Q78" i="9"/>
  <c r="Q69" i="9"/>
  <c r="Q61" i="9"/>
  <c r="Q55" i="9"/>
  <c r="Q49" i="9"/>
  <c r="Q37" i="9"/>
  <c r="Q99" i="9"/>
  <c r="Q81" i="9"/>
  <c r="Q73" i="9"/>
  <c r="Q65" i="9"/>
  <c r="Q39" i="9"/>
  <c r="Q79" i="9"/>
  <c r="Q83" i="9"/>
  <c r="Q75" i="9"/>
  <c r="Q63" i="9"/>
  <c r="Q47" i="9"/>
  <c r="Q31" i="9"/>
  <c r="Q95" i="9"/>
  <c r="Q67" i="9"/>
  <c r="Q51" i="9"/>
  <c r="Q35" i="9"/>
  <c r="S3" i="9"/>
  <c r="T3" i="9"/>
  <c r="U3" i="9"/>
  <c r="Q103" i="9"/>
  <c r="Q98" i="9"/>
  <c r="Q93" i="9"/>
  <c r="Q87" i="9"/>
  <c r="Q82" i="9"/>
  <c r="Q77" i="9"/>
  <c r="Q71" i="9"/>
  <c r="Y3" i="9"/>
  <c r="Q92" i="9"/>
  <c r="P92" i="9"/>
  <c r="R92" i="9" s="1"/>
  <c r="Q96" i="9"/>
  <c r="P96" i="9"/>
  <c r="R96" i="9" s="1"/>
  <c r="Q84" i="9"/>
  <c r="P84" i="9"/>
  <c r="R84" i="9" s="1"/>
  <c r="Q80" i="9"/>
  <c r="P80" i="9"/>
  <c r="R80" i="9" s="1"/>
  <c r="Q68" i="9"/>
  <c r="P68" i="9"/>
  <c r="R68" i="9" s="1"/>
  <c r="Q64" i="9"/>
  <c r="P64" i="9"/>
  <c r="R64" i="9" s="1"/>
  <c r="Q56" i="9"/>
  <c r="P56" i="9"/>
  <c r="R56" i="9" s="1"/>
  <c r="Q48" i="9"/>
  <c r="P48" i="9"/>
  <c r="R48" i="9" s="1"/>
  <c r="Q104" i="9"/>
  <c r="P104" i="9"/>
  <c r="R104" i="9" s="1"/>
  <c r="Q100" i="9"/>
  <c r="P100" i="9"/>
  <c r="R100" i="9" s="1"/>
  <c r="Q88" i="9"/>
  <c r="P88" i="9"/>
  <c r="R88" i="9" s="1"/>
  <c r="Q76" i="9"/>
  <c r="P76" i="9"/>
  <c r="R76" i="9" s="1"/>
  <c r="Q72" i="9"/>
  <c r="P72" i="9"/>
  <c r="R72" i="9" s="1"/>
  <c r="Q60" i="9"/>
  <c r="P60" i="9"/>
  <c r="R60" i="9" s="1"/>
  <c r="Q52" i="9"/>
  <c r="P52" i="9"/>
  <c r="R52" i="9" s="1"/>
  <c r="Q44" i="9"/>
  <c r="P44" i="9"/>
  <c r="R44" i="9" s="1"/>
  <c r="Q40" i="9"/>
  <c r="P40" i="9"/>
  <c r="R40" i="9" s="1"/>
  <c r="Q36" i="9"/>
  <c r="P36" i="9"/>
  <c r="R36" i="9" s="1"/>
  <c r="Q32" i="9"/>
  <c r="P32" i="9"/>
  <c r="R32" i="9" s="1"/>
  <c r="Q29" i="9"/>
  <c r="P29" i="9"/>
  <c r="R29" i="9" s="1"/>
  <c r="H5" i="8"/>
  <c r="I5" i="8"/>
  <c r="F5" i="8"/>
  <c r="P5" i="8" l="1"/>
  <c r="K15" i="10"/>
  <c r="E37" i="1" l="1"/>
  <c r="E38" i="1" s="1"/>
  <c r="E36" i="1"/>
  <c r="E42" i="1" l="1"/>
  <c r="E40" i="1"/>
  <c r="E39" i="1"/>
  <c r="D37" i="1"/>
  <c r="B13" i="13"/>
  <c r="B7" i="13"/>
  <c r="D5" i="8" l="1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Y59" i="8" l="1"/>
  <c r="Y67" i="8"/>
  <c r="Y75" i="8"/>
  <c r="Y83" i="8"/>
  <c r="Y91" i="8"/>
  <c r="Y99" i="8"/>
  <c r="Y107" i="8"/>
  <c r="Y63" i="8"/>
  <c r="Y71" i="8"/>
  <c r="Y79" i="8"/>
  <c r="Y87" i="8"/>
  <c r="Y95" i="8"/>
  <c r="Y103" i="8"/>
  <c r="Y115" i="8"/>
  <c r="Y123" i="8"/>
  <c r="Y131" i="8"/>
  <c r="Y139" i="8"/>
  <c r="Y147" i="8"/>
  <c r="Y155" i="8"/>
  <c r="Y163" i="8"/>
  <c r="Y171" i="8"/>
  <c r="Y179" i="8"/>
  <c r="Y187" i="8"/>
  <c r="Y195" i="8"/>
  <c r="Y203" i="8"/>
  <c r="Y56" i="8"/>
  <c r="Y64" i="8"/>
  <c r="Y72" i="8"/>
  <c r="Y80" i="8"/>
  <c r="Y88" i="8"/>
  <c r="Y96" i="8"/>
  <c r="Y104" i="8"/>
  <c r="Y112" i="8"/>
  <c r="Y120" i="8"/>
  <c r="Y128" i="8"/>
  <c r="Y136" i="8"/>
  <c r="Y144" i="8"/>
  <c r="Y152" i="8"/>
  <c r="Y160" i="8"/>
  <c r="Y168" i="8"/>
  <c r="Y176" i="8"/>
  <c r="Y184" i="8"/>
  <c r="Y192" i="8"/>
  <c r="Y200" i="8"/>
  <c r="Y57" i="8"/>
  <c r="Y65" i="8"/>
  <c r="Y73" i="8"/>
  <c r="Y81" i="8"/>
  <c r="Y89" i="8"/>
  <c r="Y97" i="8"/>
  <c r="Y105" i="8"/>
  <c r="Y113" i="8"/>
  <c r="Y121" i="8"/>
  <c r="Y129" i="8"/>
  <c r="Y137" i="8"/>
  <c r="Y145" i="8"/>
  <c r="Y153" i="8"/>
  <c r="Y161" i="8"/>
  <c r="Y169" i="8"/>
  <c r="Y177" i="8"/>
  <c r="Y185" i="8"/>
  <c r="Y193" i="8"/>
  <c r="Y201" i="8"/>
  <c r="Y62" i="8"/>
  <c r="Y70" i="8"/>
  <c r="Y78" i="8"/>
  <c r="Y86" i="8"/>
  <c r="Y94" i="8"/>
  <c r="Y102" i="8"/>
  <c r="Y110" i="8"/>
  <c r="Y118" i="8"/>
  <c r="Y126" i="8"/>
  <c r="Y134" i="8"/>
  <c r="Y142" i="8"/>
  <c r="Y150" i="8"/>
  <c r="Y158" i="8"/>
  <c r="Y166" i="8"/>
  <c r="Y174" i="8"/>
  <c r="Y182" i="8"/>
  <c r="Y190" i="8"/>
  <c r="Y198" i="8"/>
  <c r="Y111" i="8"/>
  <c r="Y119" i="8"/>
  <c r="Y127" i="8"/>
  <c r="Y135" i="8"/>
  <c r="Y143" i="8"/>
  <c r="Y151" i="8"/>
  <c r="Y159" i="8"/>
  <c r="Y167" i="8"/>
  <c r="Y175" i="8"/>
  <c r="Y183" i="8"/>
  <c r="Y191" i="8"/>
  <c r="Y199" i="8"/>
  <c r="Y60" i="8"/>
  <c r="Y68" i="8"/>
  <c r="Y76" i="8"/>
  <c r="Y84" i="8"/>
  <c r="Y92" i="8"/>
  <c r="Y100" i="8"/>
  <c r="Y108" i="8"/>
  <c r="Y116" i="8"/>
  <c r="Y124" i="8"/>
  <c r="Y132" i="8"/>
  <c r="Y140" i="8"/>
  <c r="Y148" i="8"/>
  <c r="Y156" i="8"/>
  <c r="Y164" i="8"/>
  <c r="Y172" i="8"/>
  <c r="Y180" i="8"/>
  <c r="Y188" i="8"/>
  <c r="Y196" i="8"/>
  <c r="Y61" i="8"/>
  <c r="Y69" i="8"/>
  <c r="Y77" i="8"/>
  <c r="Y85" i="8"/>
  <c r="Y93" i="8"/>
  <c r="Y101" i="8"/>
  <c r="Y109" i="8"/>
  <c r="Y117" i="8"/>
  <c r="Y125" i="8"/>
  <c r="Y133" i="8"/>
  <c r="Y141" i="8"/>
  <c r="Y149" i="8"/>
  <c r="Y157" i="8"/>
  <c r="Y165" i="8"/>
  <c r="Y173" i="8"/>
  <c r="Y181" i="8"/>
  <c r="Y189" i="8"/>
  <c r="Y197" i="8"/>
  <c r="Y204" i="8"/>
  <c r="Y58" i="8"/>
  <c r="Y66" i="8"/>
  <c r="Y74" i="8"/>
  <c r="Y82" i="8"/>
  <c r="Y90" i="8"/>
  <c r="Y98" i="8"/>
  <c r="Y106" i="8"/>
  <c r="Y114" i="8"/>
  <c r="Y122" i="8"/>
  <c r="Y130" i="8"/>
  <c r="Y138" i="8"/>
  <c r="Y146" i="8"/>
  <c r="Y154" i="8"/>
  <c r="Y162" i="8"/>
  <c r="Y170" i="8"/>
  <c r="Y178" i="8"/>
  <c r="Y186" i="8"/>
  <c r="Y194" i="8"/>
  <c r="Y202" i="8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2" i="10"/>
  <c r="I63" i="10" l="1"/>
  <c r="I110" i="10"/>
  <c r="I46" i="10"/>
  <c r="I88" i="10"/>
  <c r="I93" i="10"/>
  <c r="I61" i="10"/>
  <c r="I29" i="10"/>
  <c r="I81" i="10"/>
  <c r="I33" i="10"/>
  <c r="I64" i="10"/>
  <c r="I71" i="10"/>
  <c r="I52" i="10"/>
  <c r="I99" i="10"/>
  <c r="I67" i="10"/>
  <c r="I35" i="10"/>
  <c r="I89" i="10"/>
  <c r="I104" i="10"/>
  <c r="I108" i="10"/>
  <c r="I44" i="10"/>
  <c r="I58" i="10"/>
  <c r="I42" i="10"/>
  <c r="I26" i="10"/>
  <c r="B46" i="10"/>
  <c r="B30" i="10"/>
  <c r="I30" i="10" s="1"/>
  <c r="B50" i="10"/>
  <c r="I50" i="10" s="1"/>
  <c r="B34" i="10"/>
  <c r="I34" i="10" s="1"/>
  <c r="B18" i="10"/>
  <c r="I18" i="10" s="1"/>
  <c r="B17" i="10"/>
  <c r="I17" i="10" s="1"/>
  <c r="B22" i="10"/>
  <c r="I22" i="10" s="1"/>
  <c r="B38" i="10"/>
  <c r="I38" i="10" s="1"/>
  <c r="B54" i="10"/>
  <c r="I54" i="10" s="1"/>
  <c r="B26" i="10"/>
  <c r="B42" i="10"/>
  <c r="B58" i="10"/>
  <c r="B62" i="10"/>
  <c r="I62" i="10" s="1"/>
  <c r="B78" i="10"/>
  <c r="I78" i="10" s="1"/>
  <c r="B94" i="10"/>
  <c r="I94" i="10" s="1"/>
  <c r="B110" i="10"/>
  <c r="B66" i="10"/>
  <c r="I66" i="10" s="1"/>
  <c r="B82" i="10"/>
  <c r="I82" i="10" s="1"/>
  <c r="B98" i="10"/>
  <c r="I98" i="10" s="1"/>
  <c r="B112" i="10"/>
  <c r="I112" i="10" s="1"/>
  <c r="B108" i="10"/>
  <c r="B104" i="10"/>
  <c r="B100" i="10"/>
  <c r="I100" i="10" s="1"/>
  <c r="B96" i="10"/>
  <c r="I96" i="10" s="1"/>
  <c r="B92" i="10"/>
  <c r="I92" i="10" s="1"/>
  <c r="B88" i="10"/>
  <c r="B84" i="10"/>
  <c r="I84" i="10" s="1"/>
  <c r="B80" i="10"/>
  <c r="I80" i="10" s="1"/>
  <c r="B76" i="10"/>
  <c r="I76" i="10" s="1"/>
  <c r="B72" i="10"/>
  <c r="I72" i="10" s="1"/>
  <c r="B68" i="10"/>
  <c r="I68" i="10" s="1"/>
  <c r="B64" i="10"/>
  <c r="B60" i="10"/>
  <c r="I60" i="10" s="1"/>
  <c r="B56" i="10"/>
  <c r="I56" i="10" s="1"/>
  <c r="B52" i="10"/>
  <c r="B48" i="10"/>
  <c r="I48" i="10" s="1"/>
  <c r="B44" i="10"/>
  <c r="B40" i="10"/>
  <c r="I40" i="10" s="1"/>
  <c r="B36" i="10"/>
  <c r="I36" i="10" s="1"/>
  <c r="B32" i="10"/>
  <c r="I32" i="10" s="1"/>
  <c r="B28" i="10"/>
  <c r="I28" i="10" s="1"/>
  <c r="B24" i="10"/>
  <c r="I24" i="10" s="1"/>
  <c r="B20" i="10"/>
  <c r="I20" i="10" s="1"/>
  <c r="B16" i="10"/>
  <c r="B70" i="10"/>
  <c r="I70" i="10" s="1"/>
  <c r="B86" i="10"/>
  <c r="I86" i="10" s="1"/>
  <c r="B102" i="10"/>
  <c r="I102" i="10" s="1"/>
  <c r="B74" i="10"/>
  <c r="I74" i="10" s="1"/>
  <c r="B90" i="10"/>
  <c r="I90" i="10" s="1"/>
  <c r="B106" i="10"/>
  <c r="I106" i="10" s="1"/>
  <c r="B19" i="10"/>
  <c r="I19" i="10" s="1"/>
  <c r="B23" i="10"/>
  <c r="I23" i="10" s="1"/>
  <c r="B27" i="10"/>
  <c r="I27" i="10" s="1"/>
  <c r="B31" i="10"/>
  <c r="I31" i="10" s="1"/>
  <c r="B35" i="10"/>
  <c r="B39" i="10"/>
  <c r="I39" i="10" s="1"/>
  <c r="B43" i="10"/>
  <c r="I43" i="10" s="1"/>
  <c r="B47" i="10"/>
  <c r="I47" i="10" s="1"/>
  <c r="B51" i="10"/>
  <c r="I51" i="10" s="1"/>
  <c r="B55" i="10"/>
  <c r="I55" i="10" s="1"/>
  <c r="B59" i="10"/>
  <c r="I59" i="10" s="1"/>
  <c r="B63" i="10"/>
  <c r="B67" i="10"/>
  <c r="B71" i="10"/>
  <c r="B75" i="10"/>
  <c r="I75" i="10" s="1"/>
  <c r="B79" i="10"/>
  <c r="I79" i="10" s="1"/>
  <c r="B83" i="10"/>
  <c r="I83" i="10" s="1"/>
  <c r="B87" i="10"/>
  <c r="I87" i="10" s="1"/>
  <c r="B91" i="10"/>
  <c r="I91" i="10" s="1"/>
  <c r="B95" i="10"/>
  <c r="I95" i="10" s="1"/>
  <c r="B99" i="10"/>
  <c r="B103" i="10"/>
  <c r="I103" i="10" s="1"/>
  <c r="B107" i="10"/>
  <c r="I107" i="10" s="1"/>
  <c r="B111" i="10"/>
  <c r="I111" i="10" s="1"/>
  <c r="B21" i="10"/>
  <c r="I21" i="10" s="1"/>
  <c r="B25" i="10"/>
  <c r="I25" i="10" s="1"/>
  <c r="B29" i="10"/>
  <c r="B33" i="10"/>
  <c r="B37" i="10"/>
  <c r="I37" i="10" s="1"/>
  <c r="B41" i="10"/>
  <c r="I41" i="10" s="1"/>
  <c r="B45" i="10"/>
  <c r="I45" i="10" s="1"/>
  <c r="B49" i="10"/>
  <c r="I49" i="10" s="1"/>
  <c r="B53" i="10"/>
  <c r="I53" i="10" s="1"/>
  <c r="B57" i="10"/>
  <c r="I57" i="10" s="1"/>
  <c r="B61" i="10"/>
  <c r="B65" i="10"/>
  <c r="I65" i="10" s="1"/>
  <c r="B69" i="10"/>
  <c r="I69" i="10" s="1"/>
  <c r="B73" i="10"/>
  <c r="I73" i="10" s="1"/>
  <c r="B77" i="10"/>
  <c r="I77" i="10" s="1"/>
  <c r="B81" i="10"/>
  <c r="B85" i="10"/>
  <c r="I85" i="10" s="1"/>
  <c r="B89" i="10"/>
  <c r="B93" i="10"/>
  <c r="B97" i="10"/>
  <c r="I97" i="10" s="1"/>
  <c r="B101" i="10"/>
  <c r="I101" i="10" s="1"/>
  <c r="B105" i="10"/>
  <c r="I105" i="10" s="1"/>
  <c r="B109" i="10"/>
  <c r="I109" i="10" s="1"/>
  <c r="B113" i="10"/>
  <c r="I113" i="10" s="1"/>
  <c r="B14" i="10"/>
  <c r="B15" i="10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6" i="8"/>
  <c r="E5" i="8"/>
  <c r="B10" i="5" l="1"/>
  <c r="O104" i="9" l="1"/>
  <c r="V104" i="9" s="1"/>
  <c r="O103" i="9"/>
  <c r="V103" i="9" s="1"/>
  <c r="O102" i="9"/>
  <c r="V102" i="9" s="1"/>
  <c r="O101" i="9"/>
  <c r="V101" i="9" s="1"/>
  <c r="O100" i="9"/>
  <c r="V100" i="9" s="1"/>
  <c r="O99" i="9"/>
  <c r="V99" i="9" s="1"/>
  <c r="O98" i="9"/>
  <c r="V98" i="9" s="1"/>
  <c r="O97" i="9"/>
  <c r="V97" i="9" s="1"/>
  <c r="O96" i="9"/>
  <c r="V96" i="9" s="1"/>
  <c r="O95" i="9"/>
  <c r="V95" i="9" s="1"/>
  <c r="O94" i="9"/>
  <c r="V94" i="9" s="1"/>
  <c r="O93" i="9"/>
  <c r="V93" i="9" s="1"/>
  <c r="O92" i="9"/>
  <c r="V92" i="9" s="1"/>
  <c r="O91" i="9"/>
  <c r="V91" i="9" s="1"/>
  <c r="O90" i="9"/>
  <c r="V90" i="9" s="1"/>
  <c r="O89" i="9"/>
  <c r="V89" i="9" s="1"/>
  <c r="O88" i="9"/>
  <c r="V88" i="9" s="1"/>
  <c r="O87" i="9"/>
  <c r="V87" i="9" s="1"/>
  <c r="O86" i="9"/>
  <c r="V86" i="9" s="1"/>
  <c r="O85" i="9"/>
  <c r="V85" i="9" s="1"/>
  <c r="O84" i="9"/>
  <c r="V84" i="9" s="1"/>
  <c r="O83" i="9"/>
  <c r="V83" i="9" s="1"/>
  <c r="O82" i="9"/>
  <c r="V82" i="9" s="1"/>
  <c r="O81" i="9"/>
  <c r="V81" i="9" s="1"/>
  <c r="O80" i="9"/>
  <c r="V80" i="9" s="1"/>
  <c r="O79" i="9"/>
  <c r="V79" i="9" s="1"/>
  <c r="O78" i="9"/>
  <c r="V78" i="9" s="1"/>
  <c r="O77" i="9"/>
  <c r="V77" i="9" s="1"/>
  <c r="O76" i="9"/>
  <c r="V76" i="9" s="1"/>
  <c r="O75" i="9"/>
  <c r="V75" i="9" s="1"/>
  <c r="O74" i="9"/>
  <c r="V74" i="9" s="1"/>
  <c r="O73" i="9"/>
  <c r="V73" i="9" s="1"/>
  <c r="O72" i="9"/>
  <c r="V72" i="9" s="1"/>
  <c r="O71" i="9"/>
  <c r="V71" i="9" s="1"/>
  <c r="O70" i="9"/>
  <c r="V70" i="9" s="1"/>
  <c r="O69" i="9"/>
  <c r="V69" i="9" s="1"/>
  <c r="O68" i="9"/>
  <c r="V68" i="9" s="1"/>
  <c r="O67" i="9"/>
  <c r="V67" i="9" s="1"/>
  <c r="O66" i="9"/>
  <c r="V66" i="9" s="1"/>
  <c r="O65" i="9"/>
  <c r="V65" i="9" s="1"/>
  <c r="O64" i="9"/>
  <c r="V64" i="9" s="1"/>
  <c r="O63" i="9"/>
  <c r="V63" i="9" s="1"/>
  <c r="O62" i="9"/>
  <c r="V62" i="9" s="1"/>
  <c r="O61" i="9"/>
  <c r="V61" i="9" s="1"/>
  <c r="O60" i="9"/>
  <c r="V60" i="9" s="1"/>
  <c r="O59" i="9"/>
  <c r="V59" i="9" s="1"/>
  <c r="O58" i="9"/>
  <c r="V58" i="9" s="1"/>
  <c r="O57" i="9"/>
  <c r="V57" i="9" s="1"/>
  <c r="O56" i="9"/>
  <c r="V56" i="9" s="1"/>
  <c r="O55" i="9"/>
  <c r="V55" i="9" s="1"/>
  <c r="O54" i="9"/>
  <c r="V54" i="9" s="1"/>
  <c r="O53" i="9"/>
  <c r="V53" i="9" s="1"/>
  <c r="O52" i="9"/>
  <c r="V52" i="9" s="1"/>
  <c r="O51" i="9"/>
  <c r="V51" i="9" s="1"/>
  <c r="O50" i="9"/>
  <c r="V50" i="9" s="1"/>
  <c r="O49" i="9"/>
  <c r="V49" i="9" s="1"/>
  <c r="O48" i="9"/>
  <c r="V48" i="9" s="1"/>
  <c r="O47" i="9"/>
  <c r="V47" i="9" s="1"/>
  <c r="O46" i="9"/>
  <c r="V46" i="9" s="1"/>
  <c r="O45" i="9"/>
  <c r="V45" i="9" s="1"/>
  <c r="O44" i="9"/>
  <c r="V44" i="9" s="1"/>
  <c r="O43" i="9"/>
  <c r="V43" i="9" s="1"/>
  <c r="O42" i="9"/>
  <c r="V42" i="9" s="1"/>
  <c r="O41" i="9"/>
  <c r="V41" i="9" s="1"/>
  <c r="O40" i="9"/>
  <c r="V40" i="9" s="1"/>
  <c r="O39" i="9"/>
  <c r="V39" i="9" s="1"/>
  <c r="O38" i="9"/>
  <c r="V38" i="9" s="1"/>
  <c r="O37" i="9"/>
  <c r="V37" i="9" s="1"/>
  <c r="O36" i="9"/>
  <c r="V36" i="9" s="1"/>
  <c r="O35" i="9"/>
  <c r="V35" i="9" s="1"/>
  <c r="O34" i="9"/>
  <c r="V34" i="9" s="1"/>
  <c r="O33" i="9"/>
  <c r="V33" i="9" s="1"/>
  <c r="O32" i="9"/>
  <c r="V32" i="9" s="1"/>
  <c r="O31" i="9"/>
  <c r="V31" i="9" s="1"/>
  <c r="O30" i="9"/>
  <c r="V30" i="9" s="1"/>
  <c r="O29" i="9"/>
  <c r="V29" i="9" s="1"/>
  <c r="O28" i="9"/>
  <c r="V28" i="9" s="1"/>
  <c r="O27" i="9"/>
  <c r="V27" i="9" s="1"/>
  <c r="O26" i="9"/>
  <c r="V26" i="9" s="1"/>
  <c r="O25" i="9"/>
  <c r="V25" i="9" s="1"/>
  <c r="O24" i="9"/>
  <c r="V24" i="9" s="1"/>
  <c r="O23" i="9"/>
  <c r="V23" i="9" s="1"/>
  <c r="O22" i="9"/>
  <c r="V22" i="9" s="1"/>
  <c r="O21" i="9"/>
  <c r="V21" i="9" s="1"/>
  <c r="O20" i="9"/>
  <c r="V20" i="9" s="1"/>
  <c r="O19" i="9"/>
  <c r="V19" i="9" s="1"/>
  <c r="O18" i="9"/>
  <c r="V18" i="9" s="1"/>
  <c r="O17" i="9"/>
  <c r="V17" i="9" s="1"/>
  <c r="O16" i="9"/>
  <c r="V16" i="9" s="1"/>
  <c r="O15" i="9"/>
  <c r="V15" i="9" s="1"/>
  <c r="O14" i="9"/>
  <c r="V14" i="9" s="1"/>
  <c r="O13" i="9"/>
  <c r="V13" i="9" s="1"/>
  <c r="O12" i="9"/>
  <c r="V12" i="9" s="1"/>
  <c r="O11" i="9"/>
  <c r="V11" i="9" s="1"/>
  <c r="O10" i="9"/>
  <c r="V10" i="9" s="1"/>
  <c r="O9" i="9"/>
  <c r="O8" i="9"/>
  <c r="O7" i="9"/>
  <c r="O6" i="9"/>
  <c r="O5" i="9"/>
  <c r="W5" i="9" s="1"/>
  <c r="I3" i="9"/>
  <c r="C4" i="10" s="1"/>
  <c r="H3" i="9"/>
  <c r="G3" i="9"/>
  <c r="L204" i="8"/>
  <c r="I204" i="8"/>
  <c r="H204" i="8"/>
  <c r="L203" i="8"/>
  <c r="I203" i="8"/>
  <c r="H203" i="8"/>
  <c r="F203" i="8"/>
  <c r="L202" i="8"/>
  <c r="I202" i="8"/>
  <c r="H202" i="8"/>
  <c r="F202" i="8"/>
  <c r="L201" i="8"/>
  <c r="I201" i="8"/>
  <c r="H201" i="8"/>
  <c r="F201" i="8"/>
  <c r="L200" i="8"/>
  <c r="I200" i="8"/>
  <c r="H200" i="8"/>
  <c r="F200" i="8"/>
  <c r="L199" i="8"/>
  <c r="I199" i="8"/>
  <c r="H199" i="8"/>
  <c r="F199" i="8"/>
  <c r="L198" i="8"/>
  <c r="I198" i="8"/>
  <c r="H198" i="8"/>
  <c r="F198" i="8"/>
  <c r="L197" i="8"/>
  <c r="I197" i="8"/>
  <c r="H197" i="8"/>
  <c r="F197" i="8"/>
  <c r="L196" i="8"/>
  <c r="I196" i="8"/>
  <c r="H196" i="8"/>
  <c r="F196" i="8"/>
  <c r="L195" i="8"/>
  <c r="I195" i="8"/>
  <c r="H195" i="8"/>
  <c r="F195" i="8"/>
  <c r="L194" i="8"/>
  <c r="I194" i="8"/>
  <c r="H194" i="8"/>
  <c r="F194" i="8"/>
  <c r="L193" i="8"/>
  <c r="I193" i="8"/>
  <c r="H193" i="8"/>
  <c r="F193" i="8"/>
  <c r="L192" i="8"/>
  <c r="I192" i="8"/>
  <c r="H192" i="8"/>
  <c r="F192" i="8"/>
  <c r="L191" i="8"/>
  <c r="I191" i="8"/>
  <c r="H191" i="8"/>
  <c r="F191" i="8"/>
  <c r="L190" i="8"/>
  <c r="I190" i="8"/>
  <c r="H190" i="8"/>
  <c r="F190" i="8"/>
  <c r="L189" i="8"/>
  <c r="I189" i="8"/>
  <c r="H189" i="8"/>
  <c r="F189" i="8"/>
  <c r="L188" i="8"/>
  <c r="I188" i="8"/>
  <c r="H188" i="8"/>
  <c r="F188" i="8"/>
  <c r="L187" i="8"/>
  <c r="I187" i="8"/>
  <c r="H187" i="8"/>
  <c r="F187" i="8"/>
  <c r="L186" i="8"/>
  <c r="I186" i="8"/>
  <c r="H186" i="8"/>
  <c r="F186" i="8"/>
  <c r="L185" i="8"/>
  <c r="I185" i="8"/>
  <c r="H185" i="8"/>
  <c r="F185" i="8"/>
  <c r="L184" i="8"/>
  <c r="I184" i="8"/>
  <c r="H184" i="8"/>
  <c r="F184" i="8"/>
  <c r="L183" i="8"/>
  <c r="I183" i="8"/>
  <c r="H183" i="8"/>
  <c r="F183" i="8"/>
  <c r="L182" i="8"/>
  <c r="I182" i="8"/>
  <c r="H182" i="8"/>
  <c r="F182" i="8"/>
  <c r="L181" i="8"/>
  <c r="I181" i="8"/>
  <c r="H181" i="8"/>
  <c r="F181" i="8"/>
  <c r="L180" i="8"/>
  <c r="I180" i="8"/>
  <c r="H180" i="8"/>
  <c r="F180" i="8"/>
  <c r="L179" i="8"/>
  <c r="I179" i="8"/>
  <c r="H179" i="8"/>
  <c r="F179" i="8"/>
  <c r="L178" i="8"/>
  <c r="I178" i="8"/>
  <c r="H178" i="8"/>
  <c r="F178" i="8"/>
  <c r="L177" i="8"/>
  <c r="I177" i="8"/>
  <c r="H177" i="8"/>
  <c r="F177" i="8"/>
  <c r="L176" i="8"/>
  <c r="I176" i="8"/>
  <c r="H176" i="8"/>
  <c r="F176" i="8"/>
  <c r="L175" i="8"/>
  <c r="I175" i="8"/>
  <c r="H175" i="8"/>
  <c r="F175" i="8"/>
  <c r="L174" i="8"/>
  <c r="I174" i="8"/>
  <c r="H174" i="8"/>
  <c r="F174" i="8"/>
  <c r="L173" i="8"/>
  <c r="I173" i="8"/>
  <c r="H173" i="8"/>
  <c r="F173" i="8"/>
  <c r="L172" i="8"/>
  <c r="I172" i="8"/>
  <c r="H172" i="8"/>
  <c r="F172" i="8"/>
  <c r="L171" i="8"/>
  <c r="I171" i="8"/>
  <c r="H171" i="8"/>
  <c r="F171" i="8"/>
  <c r="L170" i="8"/>
  <c r="I170" i="8"/>
  <c r="H170" i="8"/>
  <c r="F170" i="8"/>
  <c r="L169" i="8"/>
  <c r="I169" i="8"/>
  <c r="H169" i="8"/>
  <c r="F169" i="8"/>
  <c r="L168" i="8"/>
  <c r="I168" i="8"/>
  <c r="H168" i="8"/>
  <c r="F168" i="8"/>
  <c r="L167" i="8"/>
  <c r="I167" i="8"/>
  <c r="H167" i="8"/>
  <c r="F167" i="8"/>
  <c r="L166" i="8"/>
  <c r="I166" i="8"/>
  <c r="H166" i="8"/>
  <c r="F166" i="8"/>
  <c r="L165" i="8"/>
  <c r="I165" i="8"/>
  <c r="H165" i="8"/>
  <c r="F165" i="8"/>
  <c r="L164" i="8"/>
  <c r="I164" i="8"/>
  <c r="H164" i="8"/>
  <c r="F164" i="8"/>
  <c r="L163" i="8"/>
  <c r="I163" i="8"/>
  <c r="H163" i="8"/>
  <c r="F163" i="8"/>
  <c r="L162" i="8"/>
  <c r="I162" i="8"/>
  <c r="H162" i="8"/>
  <c r="F162" i="8"/>
  <c r="L161" i="8"/>
  <c r="I161" i="8"/>
  <c r="H161" i="8"/>
  <c r="F161" i="8"/>
  <c r="L160" i="8"/>
  <c r="I160" i="8"/>
  <c r="H160" i="8"/>
  <c r="F160" i="8"/>
  <c r="L159" i="8"/>
  <c r="I159" i="8"/>
  <c r="H159" i="8"/>
  <c r="F159" i="8"/>
  <c r="L158" i="8"/>
  <c r="I158" i="8"/>
  <c r="H158" i="8"/>
  <c r="F158" i="8"/>
  <c r="L157" i="8"/>
  <c r="I157" i="8"/>
  <c r="H157" i="8"/>
  <c r="F157" i="8"/>
  <c r="L156" i="8"/>
  <c r="I156" i="8"/>
  <c r="H156" i="8"/>
  <c r="F156" i="8"/>
  <c r="L155" i="8"/>
  <c r="I155" i="8"/>
  <c r="H155" i="8"/>
  <c r="F155" i="8"/>
  <c r="L154" i="8"/>
  <c r="I154" i="8"/>
  <c r="H154" i="8"/>
  <c r="F154" i="8"/>
  <c r="L153" i="8"/>
  <c r="I153" i="8"/>
  <c r="H153" i="8"/>
  <c r="F153" i="8"/>
  <c r="L152" i="8"/>
  <c r="I152" i="8"/>
  <c r="H152" i="8"/>
  <c r="F152" i="8"/>
  <c r="L151" i="8"/>
  <c r="I151" i="8"/>
  <c r="H151" i="8"/>
  <c r="F151" i="8"/>
  <c r="L150" i="8"/>
  <c r="I150" i="8"/>
  <c r="H150" i="8"/>
  <c r="F150" i="8"/>
  <c r="L149" i="8"/>
  <c r="I149" i="8"/>
  <c r="H149" i="8"/>
  <c r="F149" i="8"/>
  <c r="L148" i="8"/>
  <c r="I148" i="8"/>
  <c r="H148" i="8"/>
  <c r="F148" i="8"/>
  <c r="L147" i="8"/>
  <c r="I147" i="8"/>
  <c r="H147" i="8"/>
  <c r="F147" i="8"/>
  <c r="L146" i="8"/>
  <c r="I146" i="8"/>
  <c r="H146" i="8"/>
  <c r="F146" i="8"/>
  <c r="L145" i="8"/>
  <c r="I145" i="8"/>
  <c r="H145" i="8"/>
  <c r="F145" i="8"/>
  <c r="L144" i="8"/>
  <c r="I144" i="8"/>
  <c r="H144" i="8"/>
  <c r="F144" i="8"/>
  <c r="L143" i="8"/>
  <c r="I143" i="8"/>
  <c r="H143" i="8"/>
  <c r="F143" i="8"/>
  <c r="L142" i="8"/>
  <c r="I142" i="8"/>
  <c r="H142" i="8"/>
  <c r="F142" i="8"/>
  <c r="L141" i="8"/>
  <c r="I141" i="8"/>
  <c r="H141" i="8"/>
  <c r="F141" i="8"/>
  <c r="L140" i="8"/>
  <c r="I140" i="8"/>
  <c r="H140" i="8"/>
  <c r="F140" i="8"/>
  <c r="L139" i="8"/>
  <c r="I139" i="8"/>
  <c r="H139" i="8"/>
  <c r="F139" i="8"/>
  <c r="L138" i="8"/>
  <c r="I138" i="8"/>
  <c r="H138" i="8"/>
  <c r="F138" i="8"/>
  <c r="L137" i="8"/>
  <c r="I137" i="8"/>
  <c r="H137" i="8"/>
  <c r="F137" i="8"/>
  <c r="L136" i="8"/>
  <c r="I136" i="8"/>
  <c r="H136" i="8"/>
  <c r="F136" i="8"/>
  <c r="L135" i="8"/>
  <c r="M135" i="8" s="1"/>
  <c r="I135" i="8"/>
  <c r="H135" i="8"/>
  <c r="F135" i="8"/>
  <c r="L134" i="8"/>
  <c r="I134" i="8"/>
  <c r="H134" i="8"/>
  <c r="F134" i="8"/>
  <c r="L133" i="8"/>
  <c r="M133" i="8" s="1"/>
  <c r="I133" i="8"/>
  <c r="H133" i="8"/>
  <c r="F133" i="8"/>
  <c r="L132" i="8"/>
  <c r="I132" i="8"/>
  <c r="H132" i="8"/>
  <c r="F132" i="8"/>
  <c r="L131" i="8"/>
  <c r="M131" i="8" s="1"/>
  <c r="I131" i="8"/>
  <c r="H131" i="8"/>
  <c r="F131" i="8"/>
  <c r="L130" i="8"/>
  <c r="I130" i="8"/>
  <c r="H130" i="8"/>
  <c r="F130" i="8"/>
  <c r="L129" i="8"/>
  <c r="I129" i="8"/>
  <c r="H129" i="8"/>
  <c r="F129" i="8"/>
  <c r="L128" i="8"/>
  <c r="I128" i="8"/>
  <c r="H128" i="8"/>
  <c r="F128" i="8"/>
  <c r="L127" i="8"/>
  <c r="M127" i="8" s="1"/>
  <c r="I127" i="8"/>
  <c r="H127" i="8"/>
  <c r="F127" i="8"/>
  <c r="L126" i="8"/>
  <c r="I126" i="8"/>
  <c r="H126" i="8"/>
  <c r="F126" i="8"/>
  <c r="L125" i="8"/>
  <c r="M125" i="8" s="1"/>
  <c r="I125" i="8"/>
  <c r="H125" i="8"/>
  <c r="F125" i="8"/>
  <c r="L124" i="8"/>
  <c r="I124" i="8"/>
  <c r="H124" i="8"/>
  <c r="F124" i="8"/>
  <c r="L123" i="8"/>
  <c r="M123" i="8" s="1"/>
  <c r="I123" i="8"/>
  <c r="H123" i="8"/>
  <c r="F123" i="8"/>
  <c r="L122" i="8"/>
  <c r="I122" i="8"/>
  <c r="H122" i="8"/>
  <c r="F122" i="8"/>
  <c r="L121" i="8"/>
  <c r="M121" i="8" s="1"/>
  <c r="I121" i="8"/>
  <c r="H121" i="8"/>
  <c r="F121" i="8"/>
  <c r="L120" i="8"/>
  <c r="I120" i="8"/>
  <c r="H120" i="8"/>
  <c r="F120" i="8"/>
  <c r="L119" i="8"/>
  <c r="M119" i="8" s="1"/>
  <c r="I119" i="8"/>
  <c r="H119" i="8"/>
  <c r="F119" i="8"/>
  <c r="L118" i="8"/>
  <c r="I118" i="8"/>
  <c r="H118" i="8"/>
  <c r="F118" i="8"/>
  <c r="L117" i="8"/>
  <c r="M117" i="8" s="1"/>
  <c r="I117" i="8"/>
  <c r="H117" i="8"/>
  <c r="F117" i="8"/>
  <c r="L116" i="8"/>
  <c r="I116" i="8"/>
  <c r="H116" i="8"/>
  <c r="F116" i="8"/>
  <c r="L115" i="8"/>
  <c r="M115" i="8" s="1"/>
  <c r="I115" i="8"/>
  <c r="H115" i="8"/>
  <c r="F115" i="8"/>
  <c r="L114" i="8"/>
  <c r="I114" i="8"/>
  <c r="H114" i="8"/>
  <c r="F114" i="8"/>
  <c r="L113" i="8"/>
  <c r="M113" i="8" s="1"/>
  <c r="I113" i="8"/>
  <c r="H113" i="8"/>
  <c r="F113" i="8"/>
  <c r="L112" i="8"/>
  <c r="I112" i="8"/>
  <c r="H112" i="8"/>
  <c r="F112" i="8"/>
  <c r="L111" i="8"/>
  <c r="M111" i="8" s="1"/>
  <c r="I111" i="8"/>
  <c r="H111" i="8"/>
  <c r="F111" i="8"/>
  <c r="L110" i="8"/>
  <c r="I110" i="8"/>
  <c r="H110" i="8"/>
  <c r="F110" i="8"/>
  <c r="L109" i="8"/>
  <c r="I109" i="8"/>
  <c r="H109" i="8"/>
  <c r="F109" i="8"/>
  <c r="L108" i="8"/>
  <c r="I108" i="8"/>
  <c r="H108" i="8"/>
  <c r="F108" i="8"/>
  <c r="L107" i="8"/>
  <c r="M107" i="8" s="1"/>
  <c r="I107" i="8"/>
  <c r="H107" i="8"/>
  <c r="F107" i="8"/>
  <c r="L106" i="8"/>
  <c r="I106" i="8"/>
  <c r="H106" i="8"/>
  <c r="F106" i="8"/>
  <c r="L105" i="8"/>
  <c r="M105" i="8" s="1"/>
  <c r="I105" i="8"/>
  <c r="H105" i="8"/>
  <c r="F105" i="8"/>
  <c r="L104" i="8"/>
  <c r="I104" i="8"/>
  <c r="H104" i="8"/>
  <c r="F104" i="8"/>
  <c r="L103" i="8"/>
  <c r="M103" i="8" s="1"/>
  <c r="I103" i="8"/>
  <c r="H103" i="8"/>
  <c r="F103" i="8"/>
  <c r="L102" i="8"/>
  <c r="I102" i="8"/>
  <c r="H102" i="8"/>
  <c r="F102" i="8"/>
  <c r="L101" i="8"/>
  <c r="M101" i="8" s="1"/>
  <c r="I101" i="8"/>
  <c r="H101" i="8"/>
  <c r="F101" i="8"/>
  <c r="L100" i="8"/>
  <c r="I100" i="8"/>
  <c r="H100" i="8"/>
  <c r="F100" i="8"/>
  <c r="L99" i="8"/>
  <c r="M99" i="8" s="1"/>
  <c r="I99" i="8"/>
  <c r="H99" i="8"/>
  <c r="F99" i="8"/>
  <c r="L98" i="8"/>
  <c r="I98" i="8"/>
  <c r="H98" i="8"/>
  <c r="F98" i="8"/>
  <c r="L97" i="8"/>
  <c r="I97" i="8"/>
  <c r="H97" i="8"/>
  <c r="F97" i="8"/>
  <c r="L96" i="8"/>
  <c r="I96" i="8"/>
  <c r="H96" i="8"/>
  <c r="F96" i="8"/>
  <c r="L95" i="8"/>
  <c r="I95" i="8"/>
  <c r="H95" i="8"/>
  <c r="F95" i="8"/>
  <c r="L94" i="8"/>
  <c r="I94" i="8"/>
  <c r="H94" i="8"/>
  <c r="F94" i="8"/>
  <c r="L93" i="8"/>
  <c r="I93" i="8"/>
  <c r="H93" i="8"/>
  <c r="F93" i="8"/>
  <c r="L92" i="8"/>
  <c r="I92" i="8"/>
  <c r="H92" i="8"/>
  <c r="F92" i="8"/>
  <c r="L91" i="8"/>
  <c r="I91" i="8"/>
  <c r="H91" i="8"/>
  <c r="F91" i="8"/>
  <c r="L90" i="8"/>
  <c r="I90" i="8"/>
  <c r="H90" i="8"/>
  <c r="F90" i="8"/>
  <c r="L89" i="8"/>
  <c r="I89" i="8"/>
  <c r="H89" i="8"/>
  <c r="F89" i="8"/>
  <c r="L88" i="8"/>
  <c r="I88" i="8"/>
  <c r="H88" i="8"/>
  <c r="F88" i="8"/>
  <c r="L87" i="8"/>
  <c r="I87" i="8"/>
  <c r="H87" i="8"/>
  <c r="F87" i="8"/>
  <c r="L86" i="8"/>
  <c r="I86" i="8"/>
  <c r="H86" i="8"/>
  <c r="F86" i="8"/>
  <c r="L85" i="8"/>
  <c r="I85" i="8"/>
  <c r="H85" i="8"/>
  <c r="F85" i="8"/>
  <c r="L84" i="8"/>
  <c r="I84" i="8"/>
  <c r="H84" i="8"/>
  <c r="F84" i="8"/>
  <c r="L83" i="8"/>
  <c r="I83" i="8"/>
  <c r="H83" i="8"/>
  <c r="F83" i="8"/>
  <c r="L82" i="8"/>
  <c r="I82" i="8"/>
  <c r="H82" i="8"/>
  <c r="F82" i="8"/>
  <c r="L81" i="8"/>
  <c r="I81" i="8"/>
  <c r="H81" i="8"/>
  <c r="F81" i="8"/>
  <c r="L80" i="8"/>
  <c r="I80" i="8"/>
  <c r="H80" i="8"/>
  <c r="F80" i="8"/>
  <c r="L79" i="8"/>
  <c r="I79" i="8"/>
  <c r="H79" i="8"/>
  <c r="F79" i="8"/>
  <c r="L78" i="8"/>
  <c r="I78" i="8"/>
  <c r="H78" i="8"/>
  <c r="F78" i="8"/>
  <c r="L77" i="8"/>
  <c r="I77" i="8"/>
  <c r="H77" i="8"/>
  <c r="F77" i="8"/>
  <c r="L76" i="8"/>
  <c r="M76" i="8" s="1"/>
  <c r="I76" i="8"/>
  <c r="H76" i="8"/>
  <c r="F76" i="8"/>
  <c r="L75" i="8"/>
  <c r="I75" i="8"/>
  <c r="H75" i="8"/>
  <c r="F75" i="8"/>
  <c r="L74" i="8"/>
  <c r="I74" i="8"/>
  <c r="H74" i="8"/>
  <c r="F74" i="8"/>
  <c r="L73" i="8"/>
  <c r="I73" i="8"/>
  <c r="H73" i="8"/>
  <c r="F73" i="8"/>
  <c r="L72" i="8"/>
  <c r="I72" i="8"/>
  <c r="H72" i="8"/>
  <c r="F72" i="8"/>
  <c r="L71" i="8"/>
  <c r="I71" i="8"/>
  <c r="H71" i="8"/>
  <c r="F71" i="8"/>
  <c r="L70" i="8"/>
  <c r="I70" i="8"/>
  <c r="H70" i="8"/>
  <c r="F70" i="8"/>
  <c r="L69" i="8"/>
  <c r="I69" i="8"/>
  <c r="H69" i="8"/>
  <c r="F69" i="8"/>
  <c r="L68" i="8"/>
  <c r="I68" i="8"/>
  <c r="H68" i="8"/>
  <c r="F68" i="8"/>
  <c r="L67" i="8"/>
  <c r="I67" i="8"/>
  <c r="H67" i="8"/>
  <c r="F67" i="8"/>
  <c r="L66" i="8"/>
  <c r="I66" i="8"/>
  <c r="H66" i="8"/>
  <c r="F66" i="8"/>
  <c r="L65" i="8"/>
  <c r="I65" i="8"/>
  <c r="H65" i="8"/>
  <c r="F65" i="8"/>
  <c r="L64" i="8"/>
  <c r="I64" i="8"/>
  <c r="H64" i="8"/>
  <c r="F64" i="8"/>
  <c r="L63" i="8"/>
  <c r="I63" i="8"/>
  <c r="H63" i="8"/>
  <c r="F63" i="8"/>
  <c r="L62" i="8"/>
  <c r="I62" i="8"/>
  <c r="H62" i="8"/>
  <c r="F62" i="8"/>
  <c r="L61" i="8"/>
  <c r="I61" i="8"/>
  <c r="H61" i="8"/>
  <c r="F61" i="8"/>
  <c r="L60" i="8"/>
  <c r="I60" i="8"/>
  <c r="H60" i="8"/>
  <c r="F60" i="8"/>
  <c r="L59" i="8"/>
  <c r="I59" i="8"/>
  <c r="H59" i="8"/>
  <c r="F59" i="8"/>
  <c r="L58" i="8"/>
  <c r="I58" i="8"/>
  <c r="H58" i="8"/>
  <c r="F58" i="8"/>
  <c r="L57" i="8"/>
  <c r="I57" i="8"/>
  <c r="H57" i="8"/>
  <c r="F57" i="8"/>
  <c r="L56" i="8"/>
  <c r="I56" i="8"/>
  <c r="H56" i="8"/>
  <c r="F56" i="8"/>
  <c r="L55" i="8"/>
  <c r="I55" i="8"/>
  <c r="H55" i="8"/>
  <c r="F55" i="8"/>
  <c r="L54" i="8"/>
  <c r="I54" i="8"/>
  <c r="H54" i="8"/>
  <c r="F54" i="8"/>
  <c r="L53" i="8"/>
  <c r="I53" i="8"/>
  <c r="H53" i="8"/>
  <c r="F53" i="8"/>
  <c r="L52" i="8"/>
  <c r="I52" i="8"/>
  <c r="H52" i="8"/>
  <c r="F52" i="8"/>
  <c r="L51" i="8"/>
  <c r="I51" i="8"/>
  <c r="H51" i="8"/>
  <c r="F51" i="8"/>
  <c r="L50" i="8"/>
  <c r="I50" i="8"/>
  <c r="H50" i="8"/>
  <c r="F50" i="8"/>
  <c r="L49" i="8"/>
  <c r="I49" i="8"/>
  <c r="H49" i="8"/>
  <c r="F49" i="8"/>
  <c r="L48" i="8"/>
  <c r="I48" i="8"/>
  <c r="H48" i="8"/>
  <c r="F48" i="8"/>
  <c r="L47" i="8"/>
  <c r="I47" i="8"/>
  <c r="H47" i="8"/>
  <c r="F47" i="8"/>
  <c r="L46" i="8"/>
  <c r="I46" i="8"/>
  <c r="H46" i="8"/>
  <c r="F46" i="8"/>
  <c r="L45" i="8"/>
  <c r="I45" i="8"/>
  <c r="H45" i="8"/>
  <c r="F45" i="8"/>
  <c r="L44" i="8"/>
  <c r="I44" i="8"/>
  <c r="H44" i="8"/>
  <c r="F44" i="8"/>
  <c r="L43" i="8"/>
  <c r="I43" i="8"/>
  <c r="H43" i="8"/>
  <c r="F43" i="8"/>
  <c r="L42" i="8"/>
  <c r="I42" i="8"/>
  <c r="H42" i="8"/>
  <c r="F42" i="8"/>
  <c r="L41" i="8"/>
  <c r="I41" i="8"/>
  <c r="H41" i="8"/>
  <c r="F41" i="8"/>
  <c r="L40" i="8"/>
  <c r="I40" i="8"/>
  <c r="H40" i="8"/>
  <c r="F40" i="8"/>
  <c r="L39" i="8"/>
  <c r="I39" i="8"/>
  <c r="H39" i="8"/>
  <c r="F39" i="8"/>
  <c r="L38" i="8"/>
  <c r="I38" i="8"/>
  <c r="H38" i="8"/>
  <c r="F38" i="8"/>
  <c r="L37" i="8"/>
  <c r="I37" i="8"/>
  <c r="H37" i="8"/>
  <c r="F37" i="8"/>
  <c r="L36" i="8"/>
  <c r="I36" i="8"/>
  <c r="H36" i="8"/>
  <c r="F36" i="8"/>
  <c r="L35" i="8"/>
  <c r="I35" i="8"/>
  <c r="H35" i="8"/>
  <c r="F35" i="8"/>
  <c r="L34" i="8"/>
  <c r="I34" i="8"/>
  <c r="H34" i="8"/>
  <c r="F34" i="8"/>
  <c r="L33" i="8"/>
  <c r="I33" i="8"/>
  <c r="H33" i="8"/>
  <c r="F33" i="8"/>
  <c r="L32" i="8"/>
  <c r="I32" i="8"/>
  <c r="H32" i="8"/>
  <c r="F32" i="8"/>
  <c r="L31" i="8"/>
  <c r="I31" i="8"/>
  <c r="H31" i="8"/>
  <c r="F31" i="8"/>
  <c r="L30" i="8"/>
  <c r="I30" i="8"/>
  <c r="H30" i="8"/>
  <c r="F30" i="8"/>
  <c r="L29" i="8"/>
  <c r="I29" i="8"/>
  <c r="H29" i="8"/>
  <c r="F29" i="8"/>
  <c r="L28" i="8"/>
  <c r="I28" i="8"/>
  <c r="H28" i="8"/>
  <c r="F28" i="8"/>
  <c r="L27" i="8"/>
  <c r="I27" i="8"/>
  <c r="H27" i="8"/>
  <c r="F27" i="8"/>
  <c r="L26" i="8"/>
  <c r="I26" i="8"/>
  <c r="H26" i="8"/>
  <c r="F26" i="8"/>
  <c r="L25" i="8"/>
  <c r="I25" i="8"/>
  <c r="H25" i="8"/>
  <c r="F25" i="8"/>
  <c r="L24" i="8"/>
  <c r="I24" i="8"/>
  <c r="H24" i="8"/>
  <c r="F24" i="8"/>
  <c r="L23" i="8"/>
  <c r="I23" i="8"/>
  <c r="H23" i="8"/>
  <c r="F23" i="8"/>
  <c r="L22" i="8"/>
  <c r="I22" i="8"/>
  <c r="H22" i="8"/>
  <c r="F22" i="8"/>
  <c r="L21" i="8"/>
  <c r="I21" i="8"/>
  <c r="H21" i="8"/>
  <c r="F21" i="8"/>
  <c r="L20" i="8"/>
  <c r="I20" i="8"/>
  <c r="H20" i="8"/>
  <c r="F20" i="8"/>
  <c r="L19" i="8"/>
  <c r="I19" i="8"/>
  <c r="H19" i="8"/>
  <c r="F19" i="8"/>
  <c r="L18" i="8"/>
  <c r="I18" i="8"/>
  <c r="H18" i="8"/>
  <c r="F18" i="8"/>
  <c r="L17" i="8"/>
  <c r="I17" i="8"/>
  <c r="H17" i="8"/>
  <c r="F17" i="8"/>
  <c r="L16" i="8"/>
  <c r="I16" i="8"/>
  <c r="H16" i="8"/>
  <c r="F16" i="8"/>
  <c r="L15" i="8"/>
  <c r="I15" i="8"/>
  <c r="H15" i="8"/>
  <c r="F15" i="8"/>
  <c r="L14" i="8"/>
  <c r="I14" i="8"/>
  <c r="H14" i="8"/>
  <c r="F14" i="8"/>
  <c r="L13" i="8"/>
  <c r="I13" i="8"/>
  <c r="H13" i="8"/>
  <c r="F13" i="8"/>
  <c r="L12" i="8"/>
  <c r="I12" i="8"/>
  <c r="H12" i="8"/>
  <c r="F12" i="8"/>
  <c r="L11" i="8"/>
  <c r="I11" i="8"/>
  <c r="H11" i="8"/>
  <c r="F11" i="8"/>
  <c r="I10" i="8"/>
  <c r="H10" i="8"/>
  <c r="F10" i="8"/>
  <c r="I9" i="8"/>
  <c r="H9" i="8"/>
  <c r="F9" i="8"/>
  <c r="I8" i="8"/>
  <c r="H8" i="8"/>
  <c r="F8" i="8"/>
  <c r="I7" i="8"/>
  <c r="H7" i="8"/>
  <c r="F7" i="8"/>
  <c r="I6" i="8"/>
  <c r="H6" i="8"/>
  <c r="F6" i="8"/>
  <c r="D24" i="11"/>
  <c r="E24" i="11" s="1"/>
  <c r="D23" i="11"/>
  <c r="E23" i="11" s="1"/>
  <c r="D22" i="11"/>
  <c r="E22" i="11" s="1"/>
  <c r="D21" i="11"/>
  <c r="E21" i="11" s="1"/>
  <c r="D20" i="11"/>
  <c r="E20" i="11" s="1"/>
  <c r="D19" i="11"/>
  <c r="E19" i="11" s="1"/>
  <c r="D18" i="11"/>
  <c r="E18" i="11" s="1"/>
  <c r="D17" i="11"/>
  <c r="E17" i="11" s="1"/>
  <c r="D16" i="11"/>
  <c r="E16" i="11" s="1"/>
  <c r="D15" i="11"/>
  <c r="E15" i="11" s="1"/>
  <c r="D14" i="11"/>
  <c r="E14" i="11" s="1"/>
  <c r="D13" i="11"/>
  <c r="E13" i="11" s="1"/>
  <c r="D12" i="11"/>
  <c r="E12" i="11" s="1"/>
  <c r="D11" i="11"/>
  <c r="E11" i="11" s="1"/>
  <c r="D10" i="11"/>
  <c r="E10" i="11" s="1"/>
  <c r="D9" i="11"/>
  <c r="E9" i="11" s="1"/>
  <c r="D8" i="11"/>
  <c r="E8" i="11" s="1"/>
  <c r="D7" i="11"/>
  <c r="E7" i="11" s="1"/>
  <c r="D6" i="11"/>
  <c r="E6" i="11" s="1"/>
  <c r="D5" i="11"/>
  <c r="E5" i="11" s="1"/>
  <c r="E7" i="10"/>
  <c r="D7" i="10"/>
  <c r="C7" i="10"/>
  <c r="C9" i="10" s="1"/>
  <c r="D8" i="5" s="1"/>
  <c r="F8" i="5" s="1"/>
  <c r="B7" i="10"/>
  <c r="H76" i="1" s="1"/>
  <c r="D9" i="10" l="1"/>
  <c r="D9" i="5" s="1"/>
  <c r="F9" i="5" s="1"/>
  <c r="V9" i="9"/>
  <c r="W9" i="9"/>
  <c r="V6" i="9"/>
  <c r="W6" i="9"/>
  <c r="V7" i="9"/>
  <c r="W7" i="9"/>
  <c r="V8" i="9"/>
  <c r="W8" i="9"/>
  <c r="G5" i="8"/>
  <c r="G6" i="8"/>
  <c r="V5" i="9"/>
  <c r="X22" i="9"/>
  <c r="X27" i="9"/>
  <c r="X28" i="9"/>
  <c r="X32" i="9"/>
  <c r="L69" i="1"/>
  <c r="L44" i="1"/>
  <c r="C6" i="18"/>
  <c r="N24" i="1"/>
  <c r="G42" i="8"/>
  <c r="M42" i="8" s="1"/>
  <c r="G43" i="8"/>
  <c r="M43" i="8" s="1"/>
  <c r="G41" i="8"/>
  <c r="M41" i="8" s="1"/>
  <c r="G54" i="8"/>
  <c r="M54" i="8" s="1"/>
  <c r="G55" i="8"/>
  <c r="M55" i="8" s="1"/>
  <c r="G53" i="8"/>
  <c r="M53" i="8" s="1"/>
  <c r="G46" i="8"/>
  <c r="M46" i="8" s="1"/>
  <c r="G45" i="8"/>
  <c r="M45" i="8" s="1"/>
  <c r="G44" i="8"/>
  <c r="M44" i="8" s="1"/>
  <c r="G35" i="8"/>
  <c r="G36" i="8"/>
  <c r="M36" i="8" s="1"/>
  <c r="G37" i="8"/>
  <c r="M37" i="8" s="1"/>
  <c r="G47" i="8"/>
  <c r="M47" i="8" s="1"/>
  <c r="G48" i="8"/>
  <c r="M48" i="8" s="1"/>
  <c r="G49" i="8"/>
  <c r="M49" i="8" s="1"/>
  <c r="G50" i="8"/>
  <c r="M50" i="8" s="1"/>
  <c r="G51" i="8"/>
  <c r="M51" i="8" s="1"/>
  <c r="G52" i="8"/>
  <c r="M52" i="8" s="1"/>
  <c r="G39" i="8"/>
  <c r="M39" i="8" s="1"/>
  <c r="G40" i="8"/>
  <c r="M40" i="8" s="1"/>
  <c r="G38" i="8"/>
  <c r="M38" i="8" s="1"/>
  <c r="O7" i="10"/>
  <c r="X23" i="9"/>
  <c r="X25" i="9"/>
  <c r="X29" i="9"/>
  <c r="X31" i="9"/>
  <c r="X33" i="9"/>
  <c r="X35" i="9"/>
  <c r="X37" i="9"/>
  <c r="X39" i="9"/>
  <c r="X41" i="9"/>
  <c r="X43" i="9"/>
  <c r="X45" i="9"/>
  <c r="X47" i="9"/>
  <c r="X49" i="9"/>
  <c r="X51" i="9"/>
  <c r="X53" i="9"/>
  <c r="X55" i="9"/>
  <c r="X57" i="9"/>
  <c r="X59" i="9"/>
  <c r="X61" i="9"/>
  <c r="X63" i="9"/>
  <c r="X65" i="9"/>
  <c r="X67" i="9"/>
  <c r="X69" i="9"/>
  <c r="X71" i="9"/>
  <c r="X73" i="9"/>
  <c r="X75" i="9"/>
  <c r="X77" i="9"/>
  <c r="X79" i="9"/>
  <c r="X81" i="9"/>
  <c r="X83" i="9"/>
  <c r="X85" i="9"/>
  <c r="X87" i="9"/>
  <c r="X89" i="9"/>
  <c r="X91" i="9"/>
  <c r="X93" i="9"/>
  <c r="X95" i="9"/>
  <c r="X97" i="9"/>
  <c r="X99" i="9"/>
  <c r="X101" i="9"/>
  <c r="X103" i="9"/>
  <c r="X24" i="9"/>
  <c r="X26" i="9"/>
  <c r="X30" i="9"/>
  <c r="X34" i="9"/>
  <c r="X36" i="9"/>
  <c r="X38" i="9"/>
  <c r="X40" i="9"/>
  <c r="X42" i="9"/>
  <c r="X44" i="9"/>
  <c r="X46" i="9"/>
  <c r="X48" i="9"/>
  <c r="X50" i="9"/>
  <c r="X52" i="9"/>
  <c r="X54" i="9"/>
  <c r="X56" i="9"/>
  <c r="X58" i="9"/>
  <c r="X60" i="9"/>
  <c r="X62" i="9"/>
  <c r="X64" i="9"/>
  <c r="X66" i="9"/>
  <c r="X68" i="9"/>
  <c r="X70" i="9"/>
  <c r="X72" i="9"/>
  <c r="X74" i="9"/>
  <c r="X76" i="9"/>
  <c r="X78" i="9"/>
  <c r="X80" i="9"/>
  <c r="X82" i="9"/>
  <c r="X84" i="9"/>
  <c r="X86" i="9"/>
  <c r="X88" i="9"/>
  <c r="X90" i="9"/>
  <c r="X92" i="9"/>
  <c r="X94" i="9"/>
  <c r="X96" i="9"/>
  <c r="X98" i="9"/>
  <c r="X100" i="9"/>
  <c r="X102" i="9"/>
  <c r="X104" i="9"/>
  <c r="P15" i="10"/>
  <c r="Q15" i="10" s="1"/>
  <c r="P14" i="10"/>
  <c r="Q14" i="10" s="1"/>
  <c r="P16" i="10"/>
  <c r="Q16" i="10" s="1"/>
  <c r="P103" i="10"/>
  <c r="Q103" i="10" s="1"/>
  <c r="P91" i="10"/>
  <c r="Q91" i="10" s="1"/>
  <c r="P83" i="10"/>
  <c r="Q83" i="10" s="1"/>
  <c r="P75" i="10"/>
  <c r="Q75" i="10" s="1"/>
  <c r="P67" i="10"/>
  <c r="Q67" i="10" s="1"/>
  <c r="P59" i="10"/>
  <c r="Q59" i="10" s="1"/>
  <c r="P51" i="10"/>
  <c r="Q51" i="10" s="1"/>
  <c r="P43" i="10"/>
  <c r="Q43" i="10" s="1"/>
  <c r="P35" i="10"/>
  <c r="Q35" i="10" s="1"/>
  <c r="P27" i="10"/>
  <c r="Q27" i="10" s="1"/>
  <c r="P110" i="10"/>
  <c r="Q110" i="10" s="1"/>
  <c r="P70" i="10"/>
  <c r="Q70" i="10" s="1"/>
  <c r="P46" i="10"/>
  <c r="Q46" i="10" s="1"/>
  <c r="P26" i="10"/>
  <c r="Q26" i="10" s="1"/>
  <c r="P104" i="10"/>
  <c r="Q104" i="10" s="1"/>
  <c r="P92" i="10"/>
  <c r="Q92" i="10" s="1"/>
  <c r="P80" i="10"/>
  <c r="Q80" i="10" s="1"/>
  <c r="P68" i="10"/>
  <c r="Q68" i="10" s="1"/>
  <c r="P60" i="10"/>
  <c r="Q60" i="10" s="1"/>
  <c r="P52" i="10"/>
  <c r="Q52" i="10" s="1"/>
  <c r="P44" i="10"/>
  <c r="Q44" i="10" s="1"/>
  <c r="P36" i="10"/>
  <c r="Q36" i="10" s="1"/>
  <c r="P50" i="10"/>
  <c r="Q50" i="10" s="1"/>
  <c r="P22" i="10"/>
  <c r="Q22" i="10" s="1"/>
  <c r="P105" i="10"/>
  <c r="Q105" i="10" s="1"/>
  <c r="P97" i="10"/>
  <c r="Q97" i="10" s="1"/>
  <c r="P69" i="10"/>
  <c r="Q69" i="10" s="1"/>
  <c r="P61" i="10"/>
  <c r="Q61" i="10" s="1"/>
  <c r="P49" i="10"/>
  <c r="Q49" i="10" s="1"/>
  <c r="P37" i="10"/>
  <c r="Q37" i="10" s="1"/>
  <c r="P29" i="10"/>
  <c r="Q29" i="10" s="1"/>
  <c r="P21" i="10"/>
  <c r="Q21" i="10" s="1"/>
  <c r="P88" i="10"/>
  <c r="Q88" i="10" s="1"/>
  <c r="P94" i="10"/>
  <c r="Q94" i="10" s="1"/>
  <c r="P86" i="10"/>
  <c r="Q86" i="10" s="1"/>
  <c r="P78" i="10"/>
  <c r="Q78" i="10" s="1"/>
  <c r="P113" i="10"/>
  <c r="Q113" i="10" s="1"/>
  <c r="P93" i="10"/>
  <c r="Q93" i="10" s="1"/>
  <c r="P18" i="10"/>
  <c r="Q18" i="10" s="1"/>
  <c r="P100" i="10"/>
  <c r="Q100" i="10" s="1"/>
  <c r="P72" i="10"/>
  <c r="Q72" i="10" s="1"/>
  <c r="P107" i="10"/>
  <c r="Q107" i="10" s="1"/>
  <c r="P54" i="10"/>
  <c r="Q54" i="10" s="1"/>
  <c r="P28" i="10"/>
  <c r="Q28" i="10" s="1"/>
  <c r="P20" i="10"/>
  <c r="Q20" i="10" s="1"/>
  <c r="P23" i="10"/>
  <c r="Q23" i="10" s="1"/>
  <c r="P102" i="10"/>
  <c r="Q102" i="10" s="1"/>
  <c r="P90" i="10"/>
  <c r="Q90" i="10" s="1"/>
  <c r="P82" i="10"/>
  <c r="Q82" i="10" s="1"/>
  <c r="P74" i="10"/>
  <c r="Q74" i="10" s="1"/>
  <c r="P58" i="10"/>
  <c r="Q58" i="10" s="1"/>
  <c r="P34" i="10"/>
  <c r="Q34" i="10" s="1"/>
  <c r="P85" i="10"/>
  <c r="Q85" i="10" s="1"/>
  <c r="P73" i="10"/>
  <c r="Q73" i="10" s="1"/>
  <c r="P41" i="10"/>
  <c r="Q41" i="10" s="1"/>
  <c r="P111" i="10"/>
  <c r="Q111" i="10" s="1"/>
  <c r="P17" i="10"/>
  <c r="Q17" i="10" s="1"/>
  <c r="P95" i="10"/>
  <c r="Q95" i="10" s="1"/>
  <c r="P87" i="10"/>
  <c r="Q87" i="10" s="1"/>
  <c r="P79" i="10"/>
  <c r="Q79" i="10" s="1"/>
  <c r="P71" i="10"/>
  <c r="Q71" i="10" s="1"/>
  <c r="P63" i="10"/>
  <c r="Q63" i="10" s="1"/>
  <c r="P55" i="10"/>
  <c r="Q55" i="10" s="1"/>
  <c r="P47" i="10"/>
  <c r="Q47" i="10" s="1"/>
  <c r="P39" i="10"/>
  <c r="Q39" i="10" s="1"/>
  <c r="P31" i="10"/>
  <c r="Q31" i="10" s="1"/>
  <c r="P19" i="10"/>
  <c r="Q19" i="10" s="1"/>
  <c r="P98" i="10"/>
  <c r="Q98" i="10" s="1"/>
  <c r="P62" i="10"/>
  <c r="Q62" i="10" s="1"/>
  <c r="P30" i="10"/>
  <c r="Q30" i="10" s="1"/>
  <c r="P112" i="10"/>
  <c r="Q112" i="10" s="1"/>
  <c r="P96" i="10"/>
  <c r="Q96" i="10" s="1"/>
  <c r="P84" i="10"/>
  <c r="Q84" i="10" s="1"/>
  <c r="P76" i="10"/>
  <c r="Q76" i="10" s="1"/>
  <c r="P64" i="10"/>
  <c r="Q64" i="10" s="1"/>
  <c r="P56" i="10"/>
  <c r="Q56" i="10" s="1"/>
  <c r="P48" i="10"/>
  <c r="Q48" i="10" s="1"/>
  <c r="P40" i="10"/>
  <c r="Q40" i="10" s="1"/>
  <c r="P32" i="10"/>
  <c r="Q32" i="10" s="1"/>
  <c r="P42" i="10"/>
  <c r="Q42" i="10" s="1"/>
  <c r="P109" i="10"/>
  <c r="Q109" i="10" s="1"/>
  <c r="P101" i="10"/>
  <c r="Q101" i="10" s="1"/>
  <c r="P89" i="10"/>
  <c r="Q89" i="10" s="1"/>
  <c r="P77" i="10"/>
  <c r="Q77" i="10" s="1"/>
  <c r="P65" i="10"/>
  <c r="Q65" i="10" s="1"/>
  <c r="P53" i="10"/>
  <c r="Q53" i="10" s="1"/>
  <c r="P45" i="10"/>
  <c r="Q45" i="10" s="1"/>
  <c r="P33" i="10"/>
  <c r="Q33" i="10" s="1"/>
  <c r="P25" i="10"/>
  <c r="Q25" i="10" s="1"/>
  <c r="P108" i="10"/>
  <c r="Q108" i="10" s="1"/>
  <c r="P38" i="10"/>
  <c r="Q38" i="10" s="1"/>
  <c r="P24" i="10"/>
  <c r="Q24" i="10" s="1"/>
  <c r="P99" i="10"/>
  <c r="Q99" i="10" s="1"/>
  <c r="P106" i="10"/>
  <c r="Q106" i="10" s="1"/>
  <c r="P66" i="10"/>
  <c r="Q66" i="10" s="1"/>
  <c r="P81" i="10"/>
  <c r="Q81" i="10" s="1"/>
  <c r="P57" i="10"/>
  <c r="Q57" i="10" s="1"/>
  <c r="F7" i="11"/>
  <c r="F19" i="11"/>
  <c r="F15" i="11"/>
  <c r="F23" i="11"/>
  <c r="F8" i="11"/>
  <c r="F12" i="11"/>
  <c r="F16" i="11"/>
  <c r="F20" i="11"/>
  <c r="F24" i="11"/>
  <c r="F11" i="11"/>
  <c r="F9" i="11"/>
  <c r="F13" i="11"/>
  <c r="F17" i="11"/>
  <c r="F21" i="11"/>
  <c r="F6" i="11"/>
  <c r="F10" i="11"/>
  <c r="F14" i="11"/>
  <c r="F18" i="11"/>
  <c r="F22" i="11"/>
  <c r="F5" i="11"/>
  <c r="Q15" i="8"/>
  <c r="P15" i="8"/>
  <c r="Q19" i="8"/>
  <c r="P19" i="8"/>
  <c r="Q23" i="8"/>
  <c r="P23" i="8"/>
  <c r="Q25" i="8"/>
  <c r="P25" i="8"/>
  <c r="Q8" i="8"/>
  <c r="P8" i="8"/>
  <c r="Q204" i="8"/>
  <c r="P204" i="8"/>
  <c r="Q10" i="8"/>
  <c r="P10" i="8"/>
  <c r="Q14" i="8"/>
  <c r="P14" i="8"/>
  <c r="Q16" i="8"/>
  <c r="P16" i="8"/>
  <c r="Q22" i="8"/>
  <c r="P22" i="8"/>
  <c r="Q26" i="8"/>
  <c r="P26" i="8"/>
  <c r="Q28" i="8"/>
  <c r="P28" i="8"/>
  <c r="Q30" i="8"/>
  <c r="P30" i="8"/>
  <c r="Q32" i="8"/>
  <c r="P32" i="8"/>
  <c r="Q36" i="8"/>
  <c r="P36" i="8"/>
  <c r="Q46" i="8"/>
  <c r="P46" i="8"/>
  <c r="Q54" i="8"/>
  <c r="P54" i="8"/>
  <c r="Q58" i="8"/>
  <c r="P58" i="8"/>
  <c r="Q68" i="8"/>
  <c r="P68" i="8"/>
  <c r="Q70" i="8"/>
  <c r="P70" i="8"/>
  <c r="Q72" i="8"/>
  <c r="P72" i="8"/>
  <c r="Q74" i="8"/>
  <c r="P74" i="8"/>
  <c r="Q76" i="8"/>
  <c r="P76" i="8"/>
  <c r="Q78" i="8"/>
  <c r="P78" i="8"/>
  <c r="Q80" i="8"/>
  <c r="P80" i="8"/>
  <c r="Q82" i="8"/>
  <c r="P82" i="8"/>
  <c r="Q84" i="8"/>
  <c r="P84" i="8"/>
  <c r="Q86" i="8"/>
  <c r="P86" i="8"/>
  <c r="Q88" i="8"/>
  <c r="P88" i="8"/>
  <c r="Q90" i="8"/>
  <c r="P90" i="8"/>
  <c r="Q92" i="8"/>
  <c r="P92" i="8"/>
  <c r="Q94" i="8"/>
  <c r="P94" i="8"/>
  <c r="Q96" i="8"/>
  <c r="P96" i="8"/>
  <c r="Q98" i="8"/>
  <c r="P98" i="8"/>
  <c r="Q100" i="8"/>
  <c r="P100" i="8"/>
  <c r="Q102" i="8"/>
  <c r="P102" i="8"/>
  <c r="Q104" i="8"/>
  <c r="P104" i="8"/>
  <c r="Q106" i="8"/>
  <c r="P106" i="8"/>
  <c r="Q108" i="8"/>
  <c r="P108" i="8"/>
  <c r="Q110" i="8"/>
  <c r="P110" i="8"/>
  <c r="Q112" i="8"/>
  <c r="P112" i="8"/>
  <c r="Q114" i="8"/>
  <c r="P114" i="8"/>
  <c r="Q116" i="8"/>
  <c r="P116" i="8"/>
  <c r="Q118" i="8"/>
  <c r="P118" i="8"/>
  <c r="Q120" i="8"/>
  <c r="P120" i="8"/>
  <c r="Q122" i="8"/>
  <c r="P122" i="8"/>
  <c r="Q124" i="8"/>
  <c r="P124" i="8"/>
  <c r="Q126" i="8"/>
  <c r="P126" i="8"/>
  <c r="Q128" i="8"/>
  <c r="P128" i="8"/>
  <c r="Q130" i="8"/>
  <c r="P130" i="8"/>
  <c r="Q132" i="8"/>
  <c r="P132" i="8"/>
  <c r="Q134" i="8"/>
  <c r="P134" i="8"/>
  <c r="Q136" i="8"/>
  <c r="P136" i="8"/>
  <c r="Q138" i="8"/>
  <c r="P138" i="8"/>
  <c r="Q140" i="8"/>
  <c r="P140" i="8"/>
  <c r="Q142" i="8"/>
  <c r="P142" i="8"/>
  <c r="Q144" i="8"/>
  <c r="P144" i="8"/>
  <c r="Q146" i="8"/>
  <c r="P146" i="8"/>
  <c r="Q148" i="8"/>
  <c r="P148" i="8"/>
  <c r="Q150" i="8"/>
  <c r="P150" i="8"/>
  <c r="Q152" i="8"/>
  <c r="P152" i="8"/>
  <c r="Q154" i="8"/>
  <c r="P154" i="8"/>
  <c r="Q156" i="8"/>
  <c r="P156" i="8"/>
  <c r="Q158" i="8"/>
  <c r="P158" i="8"/>
  <c r="Q160" i="8"/>
  <c r="P160" i="8"/>
  <c r="Q162" i="8"/>
  <c r="P162" i="8"/>
  <c r="Q164" i="8"/>
  <c r="P164" i="8"/>
  <c r="Q166" i="8"/>
  <c r="P166" i="8"/>
  <c r="Q168" i="8"/>
  <c r="P168" i="8"/>
  <c r="Q170" i="8"/>
  <c r="P170" i="8"/>
  <c r="Q172" i="8"/>
  <c r="P172" i="8"/>
  <c r="Q174" i="8"/>
  <c r="P174" i="8"/>
  <c r="Q176" i="8"/>
  <c r="P176" i="8"/>
  <c r="Q178" i="8"/>
  <c r="P178" i="8"/>
  <c r="Q180" i="8"/>
  <c r="P180" i="8"/>
  <c r="Q182" i="8"/>
  <c r="P182" i="8"/>
  <c r="Q184" i="8"/>
  <c r="P184" i="8"/>
  <c r="Q186" i="8"/>
  <c r="P186" i="8"/>
  <c r="Q188" i="8"/>
  <c r="P188" i="8"/>
  <c r="Q190" i="8"/>
  <c r="P190" i="8"/>
  <c r="Q192" i="8"/>
  <c r="P192" i="8"/>
  <c r="Q194" i="8"/>
  <c r="P194" i="8"/>
  <c r="Q196" i="8"/>
  <c r="P196" i="8"/>
  <c r="Q198" i="8"/>
  <c r="P198" i="8"/>
  <c r="Q200" i="8"/>
  <c r="P200" i="8"/>
  <c r="Q202" i="8"/>
  <c r="P202" i="8"/>
  <c r="Q7" i="8"/>
  <c r="P7" i="8"/>
  <c r="Q12" i="8"/>
  <c r="P12" i="8"/>
  <c r="Q18" i="8"/>
  <c r="P18" i="8"/>
  <c r="Q20" i="8"/>
  <c r="P20" i="8"/>
  <c r="Q24" i="8"/>
  <c r="P24" i="8"/>
  <c r="Q34" i="8"/>
  <c r="P34" i="8"/>
  <c r="Q38" i="8"/>
  <c r="P38" i="8"/>
  <c r="Q40" i="8"/>
  <c r="P40" i="8"/>
  <c r="Q42" i="8"/>
  <c r="P42" i="8"/>
  <c r="Q44" i="8"/>
  <c r="P44" i="8"/>
  <c r="Q48" i="8"/>
  <c r="P48" i="8"/>
  <c r="Q50" i="8"/>
  <c r="P50" i="8"/>
  <c r="Q52" i="8"/>
  <c r="P52" i="8"/>
  <c r="Q56" i="8"/>
  <c r="P56" i="8"/>
  <c r="Q60" i="8"/>
  <c r="P60" i="8"/>
  <c r="Q62" i="8"/>
  <c r="P62" i="8"/>
  <c r="Q64" i="8"/>
  <c r="P64" i="8"/>
  <c r="Q66" i="8"/>
  <c r="P66" i="8"/>
  <c r="Q6" i="8"/>
  <c r="P6" i="8"/>
  <c r="Q5" i="8"/>
  <c r="U5" i="8" s="1"/>
  <c r="Q9" i="8"/>
  <c r="P9" i="8"/>
  <c r="Q11" i="8"/>
  <c r="P11" i="8"/>
  <c r="Q13" i="8"/>
  <c r="P13" i="8"/>
  <c r="Q17" i="8"/>
  <c r="P17" i="8"/>
  <c r="Q21" i="8"/>
  <c r="P21" i="8"/>
  <c r="Q27" i="8"/>
  <c r="P27" i="8"/>
  <c r="Q29" i="8"/>
  <c r="P29" i="8"/>
  <c r="Q31" i="8"/>
  <c r="P31" i="8"/>
  <c r="Q33" i="8"/>
  <c r="P33" i="8"/>
  <c r="Q35" i="8"/>
  <c r="P35" i="8"/>
  <c r="Q37" i="8"/>
  <c r="P37" i="8"/>
  <c r="Q39" i="8"/>
  <c r="P39" i="8"/>
  <c r="Q41" i="8"/>
  <c r="P41" i="8"/>
  <c r="Q43" i="8"/>
  <c r="P43" i="8"/>
  <c r="Q45" i="8"/>
  <c r="P45" i="8"/>
  <c r="Q47" i="8"/>
  <c r="P47" i="8"/>
  <c r="Q49" i="8"/>
  <c r="P49" i="8"/>
  <c r="Q51" i="8"/>
  <c r="P51" i="8"/>
  <c r="Q53" i="8"/>
  <c r="P53" i="8"/>
  <c r="Q55" i="8"/>
  <c r="P55" i="8"/>
  <c r="Q57" i="8"/>
  <c r="P57" i="8"/>
  <c r="Q59" i="8"/>
  <c r="P59" i="8"/>
  <c r="Q61" i="8"/>
  <c r="P61" i="8"/>
  <c r="Q63" i="8"/>
  <c r="P63" i="8"/>
  <c r="Q65" i="8"/>
  <c r="P65" i="8"/>
  <c r="Q67" i="8"/>
  <c r="P67" i="8"/>
  <c r="Q69" i="8"/>
  <c r="P69" i="8"/>
  <c r="Q71" i="8"/>
  <c r="P71" i="8"/>
  <c r="Q73" i="8"/>
  <c r="P73" i="8"/>
  <c r="Q75" i="8"/>
  <c r="P75" i="8"/>
  <c r="Q77" i="8"/>
  <c r="P77" i="8"/>
  <c r="Q79" i="8"/>
  <c r="P79" i="8"/>
  <c r="Q81" i="8"/>
  <c r="P81" i="8"/>
  <c r="Q83" i="8"/>
  <c r="P83" i="8"/>
  <c r="Q85" i="8"/>
  <c r="P85" i="8"/>
  <c r="Q87" i="8"/>
  <c r="P87" i="8"/>
  <c r="Q89" i="8"/>
  <c r="P89" i="8"/>
  <c r="Q91" i="8"/>
  <c r="P91" i="8"/>
  <c r="Q93" i="8"/>
  <c r="P93" i="8"/>
  <c r="Q95" i="8"/>
  <c r="P95" i="8"/>
  <c r="Q97" i="8"/>
  <c r="P97" i="8"/>
  <c r="Q99" i="8"/>
  <c r="P99" i="8"/>
  <c r="Q101" i="8"/>
  <c r="P101" i="8"/>
  <c r="Q103" i="8"/>
  <c r="P103" i="8"/>
  <c r="Q105" i="8"/>
  <c r="P105" i="8"/>
  <c r="Q107" i="8"/>
  <c r="P107" i="8"/>
  <c r="Q109" i="8"/>
  <c r="P109" i="8"/>
  <c r="Q111" i="8"/>
  <c r="P111" i="8"/>
  <c r="Q113" i="8"/>
  <c r="P113" i="8"/>
  <c r="Q115" i="8"/>
  <c r="P115" i="8"/>
  <c r="Q117" i="8"/>
  <c r="P117" i="8"/>
  <c r="Q119" i="8"/>
  <c r="P119" i="8"/>
  <c r="Q121" i="8"/>
  <c r="P121" i="8"/>
  <c r="Q123" i="8"/>
  <c r="P123" i="8"/>
  <c r="Q125" i="8"/>
  <c r="P125" i="8"/>
  <c r="Q127" i="8"/>
  <c r="P127" i="8"/>
  <c r="Q129" i="8"/>
  <c r="P129" i="8"/>
  <c r="Q131" i="8"/>
  <c r="P131" i="8"/>
  <c r="Q133" i="8"/>
  <c r="P133" i="8"/>
  <c r="Q135" i="8"/>
  <c r="P135" i="8"/>
  <c r="Q137" i="8"/>
  <c r="P137" i="8"/>
  <c r="Q139" i="8"/>
  <c r="P139" i="8"/>
  <c r="Q141" i="8"/>
  <c r="P141" i="8"/>
  <c r="Q143" i="8"/>
  <c r="P143" i="8"/>
  <c r="Q145" i="8"/>
  <c r="P145" i="8"/>
  <c r="Q147" i="8"/>
  <c r="P147" i="8"/>
  <c r="Q149" i="8"/>
  <c r="P149" i="8"/>
  <c r="Q151" i="8"/>
  <c r="P151" i="8"/>
  <c r="Q153" i="8"/>
  <c r="P153" i="8"/>
  <c r="Q155" i="8"/>
  <c r="P155" i="8"/>
  <c r="Q157" i="8"/>
  <c r="P157" i="8"/>
  <c r="Q159" i="8"/>
  <c r="P159" i="8"/>
  <c r="Q161" i="8"/>
  <c r="P161" i="8"/>
  <c r="Q163" i="8"/>
  <c r="P163" i="8"/>
  <c r="Q165" i="8"/>
  <c r="P165" i="8"/>
  <c r="Q167" i="8"/>
  <c r="P167" i="8"/>
  <c r="Q169" i="8"/>
  <c r="P169" i="8"/>
  <c r="Q171" i="8"/>
  <c r="P171" i="8"/>
  <c r="Q173" i="8"/>
  <c r="P173" i="8"/>
  <c r="Q175" i="8"/>
  <c r="P175" i="8"/>
  <c r="Q177" i="8"/>
  <c r="P177" i="8"/>
  <c r="Q179" i="8"/>
  <c r="P179" i="8"/>
  <c r="Q181" i="8"/>
  <c r="P181" i="8"/>
  <c r="Q183" i="8"/>
  <c r="P183" i="8"/>
  <c r="Q185" i="8"/>
  <c r="P185" i="8"/>
  <c r="Q187" i="8"/>
  <c r="P187" i="8"/>
  <c r="Q189" i="8"/>
  <c r="P189" i="8"/>
  <c r="Q191" i="8"/>
  <c r="P191" i="8"/>
  <c r="Q193" i="8"/>
  <c r="P193" i="8"/>
  <c r="Q195" i="8"/>
  <c r="P195" i="8"/>
  <c r="Q197" i="8"/>
  <c r="P197" i="8"/>
  <c r="Q199" i="8"/>
  <c r="P199" i="8"/>
  <c r="Q201" i="8"/>
  <c r="P201" i="8"/>
  <c r="Q203" i="8"/>
  <c r="P203" i="8"/>
  <c r="B10" i="10"/>
  <c r="N99" i="8"/>
  <c r="N107" i="8"/>
  <c r="N117" i="8"/>
  <c r="N125" i="8"/>
  <c r="N135" i="8"/>
  <c r="N76" i="8"/>
  <c r="N101" i="8"/>
  <c r="N111" i="8"/>
  <c r="N119" i="8"/>
  <c r="N127" i="8"/>
  <c r="N103" i="8"/>
  <c r="N113" i="8"/>
  <c r="N121" i="8"/>
  <c r="N131" i="8"/>
  <c r="N105" i="8"/>
  <c r="N115" i="8"/>
  <c r="N123" i="8"/>
  <c r="N133" i="8"/>
  <c r="B9" i="10"/>
  <c r="M91" i="8"/>
  <c r="M132" i="8"/>
  <c r="M156" i="8"/>
  <c r="M188" i="8"/>
  <c r="M62" i="8"/>
  <c r="M13" i="8"/>
  <c r="M57" i="8"/>
  <c r="M61" i="8"/>
  <c r="M73" i="8"/>
  <c r="M77" i="8"/>
  <c r="M85" i="8"/>
  <c r="M106" i="8"/>
  <c r="M116" i="8"/>
  <c r="M145" i="8"/>
  <c r="M164" i="8"/>
  <c r="M196" i="8"/>
  <c r="M16" i="8"/>
  <c r="M58" i="8"/>
  <c r="M66" i="8"/>
  <c r="M15" i="8"/>
  <c r="M65" i="8"/>
  <c r="M69" i="8"/>
  <c r="M12" i="8"/>
  <c r="M19" i="8"/>
  <c r="M24" i="8"/>
  <c r="M29" i="8"/>
  <c r="M34" i="8"/>
  <c r="M94" i="8"/>
  <c r="M109" i="8"/>
  <c r="M129" i="8"/>
  <c r="M134" i="8"/>
  <c r="M172" i="8"/>
  <c r="M90" i="8"/>
  <c r="M96" i="8"/>
  <c r="M14" i="8"/>
  <c r="M11" i="8"/>
  <c r="M17" i="8"/>
  <c r="M18" i="8"/>
  <c r="M23" i="8"/>
  <c r="M28" i="8"/>
  <c r="M33" i="8"/>
  <c r="M83" i="8"/>
  <c r="M108" i="8"/>
  <c r="M118" i="8"/>
  <c r="M148" i="8"/>
  <c r="M180" i="8"/>
  <c r="M21" i="8"/>
  <c r="M22" i="8"/>
  <c r="M26" i="8"/>
  <c r="M27" i="8"/>
  <c r="M32" i="8"/>
  <c r="M56" i="8"/>
  <c r="M60" i="8"/>
  <c r="M64" i="8"/>
  <c r="M68" i="8"/>
  <c r="M72" i="8"/>
  <c r="M80" i="8"/>
  <c r="M81" i="8"/>
  <c r="M82" i="8"/>
  <c r="M89" i="8"/>
  <c r="M92" i="8"/>
  <c r="M93" i="8"/>
  <c r="M102" i="8"/>
  <c r="M104" i="8"/>
  <c r="M112" i="8"/>
  <c r="M128" i="8"/>
  <c r="M130" i="8"/>
  <c r="M141" i="8"/>
  <c r="M144" i="8"/>
  <c r="M146" i="8"/>
  <c r="M147" i="8"/>
  <c r="M153" i="8"/>
  <c r="M155" i="8"/>
  <c r="M161" i="8"/>
  <c r="M163" i="8"/>
  <c r="M169" i="8"/>
  <c r="M171" i="8"/>
  <c r="M177" i="8"/>
  <c r="M179" i="8"/>
  <c r="M185" i="8"/>
  <c r="M187" i="8"/>
  <c r="M193" i="8"/>
  <c r="M195" i="8"/>
  <c r="M201" i="8"/>
  <c r="M203" i="8"/>
  <c r="M20" i="8"/>
  <c r="M25" i="8"/>
  <c r="M30" i="8"/>
  <c r="M31" i="8"/>
  <c r="M59" i="8"/>
  <c r="M63" i="8"/>
  <c r="M67" i="8"/>
  <c r="M71" i="8"/>
  <c r="M75" i="8"/>
  <c r="M79" i="8"/>
  <c r="M87" i="8"/>
  <c r="M88" i="8"/>
  <c r="M98" i="8"/>
  <c r="M100" i="8"/>
  <c r="M114" i="8"/>
  <c r="M124" i="8"/>
  <c r="M126" i="8"/>
  <c r="M137" i="8"/>
  <c r="M140" i="8"/>
  <c r="M142" i="8"/>
  <c r="M143" i="8"/>
  <c r="M152" i="8"/>
  <c r="M154" i="8"/>
  <c r="M160" i="8"/>
  <c r="M162" i="8"/>
  <c r="M168" i="8"/>
  <c r="M170" i="8"/>
  <c r="M176" i="8"/>
  <c r="M178" i="8"/>
  <c r="M184" i="8"/>
  <c r="M186" i="8"/>
  <c r="M192" i="8"/>
  <c r="M194" i="8"/>
  <c r="M200" i="8"/>
  <c r="M70" i="8"/>
  <c r="M74" i="8"/>
  <c r="M78" i="8"/>
  <c r="M84" i="8"/>
  <c r="M86" i="8"/>
  <c r="M95" i="8"/>
  <c r="M97" i="8"/>
  <c r="M110" i="8"/>
  <c r="M120" i="8"/>
  <c r="M122" i="8"/>
  <c r="M136" i="8"/>
  <c r="M138" i="8"/>
  <c r="M139" i="8"/>
  <c r="M149" i="8"/>
  <c r="M150" i="8"/>
  <c r="M151" i="8"/>
  <c r="M157" i="8"/>
  <c r="M158" i="8"/>
  <c r="M159" i="8"/>
  <c r="M165" i="8"/>
  <c r="M166" i="8"/>
  <c r="M167" i="8"/>
  <c r="M173" i="8"/>
  <c r="M174" i="8"/>
  <c r="M175" i="8"/>
  <c r="M181" i="8"/>
  <c r="M182" i="8"/>
  <c r="M183" i="8"/>
  <c r="M189" i="8"/>
  <c r="M190" i="8"/>
  <c r="M191" i="8"/>
  <c r="M197" i="8"/>
  <c r="M198" i="8"/>
  <c r="M199" i="8"/>
  <c r="M204" i="8"/>
  <c r="M202" i="8"/>
  <c r="I3" i="8"/>
  <c r="J7" i="8" s="1"/>
  <c r="H3" i="8"/>
  <c r="C10" i="10"/>
  <c r="G7" i="10"/>
  <c r="K14" i="10"/>
  <c r="A5" i="10" l="1"/>
  <c r="J73" i="1"/>
  <c r="W25" i="8"/>
  <c r="W23" i="8"/>
  <c r="W24" i="8"/>
  <c r="W21" i="8"/>
  <c r="W22" i="8"/>
  <c r="W20" i="8"/>
  <c r="W10" i="8"/>
  <c r="W9" i="8"/>
  <c r="W14" i="8"/>
  <c r="W15" i="8"/>
  <c r="W16" i="8"/>
  <c r="W11" i="8"/>
  <c r="W12" i="8"/>
  <c r="W13" i="8"/>
  <c r="M35" i="8"/>
  <c r="N35" i="8" s="1"/>
  <c r="L38" i="1"/>
  <c r="O38" i="1"/>
  <c r="W26" i="8"/>
  <c r="W27" i="8"/>
  <c r="W28" i="8"/>
  <c r="W29" i="8"/>
  <c r="W30" i="8"/>
  <c r="W31" i="8"/>
  <c r="W33" i="8"/>
  <c r="W34" i="8"/>
  <c r="W32" i="8"/>
  <c r="W19" i="8"/>
  <c r="W17" i="8"/>
  <c r="W18" i="8"/>
  <c r="X21" i="9"/>
  <c r="X53" i="8"/>
  <c r="X54" i="8"/>
  <c r="X55" i="8"/>
  <c r="W50" i="8"/>
  <c r="W51" i="8"/>
  <c r="W52" i="8"/>
  <c r="W47" i="8"/>
  <c r="W48" i="8"/>
  <c r="W49" i="8"/>
  <c r="W46" i="8"/>
  <c r="W44" i="8"/>
  <c r="W45" i="8"/>
  <c r="W54" i="8"/>
  <c r="W55" i="8"/>
  <c r="W53" i="8"/>
  <c r="W35" i="8"/>
  <c r="W36" i="8"/>
  <c r="W37" i="8"/>
  <c r="W42" i="8"/>
  <c r="W43" i="8"/>
  <c r="W41" i="8"/>
  <c r="W39" i="8"/>
  <c r="W40" i="8"/>
  <c r="W38" i="8"/>
  <c r="J38" i="8"/>
  <c r="J35" i="8"/>
  <c r="J23" i="8"/>
  <c r="J22" i="8"/>
  <c r="J46" i="8"/>
  <c r="J31" i="8"/>
  <c r="J54" i="8"/>
  <c r="J24" i="8"/>
  <c r="J47" i="8"/>
  <c r="J29" i="8"/>
  <c r="J49" i="8"/>
  <c r="J52" i="8"/>
  <c r="J34" i="8"/>
  <c r="J30" i="8"/>
  <c r="J42" i="8"/>
  <c r="J51" i="8"/>
  <c r="J26" i="8"/>
  <c r="J53" i="8"/>
  <c r="J41" i="8"/>
  <c r="J37" i="8"/>
  <c r="J40" i="8"/>
  <c r="J55" i="8"/>
  <c r="J45" i="8"/>
  <c r="J48" i="8"/>
  <c r="J39" i="8"/>
  <c r="J50" i="8"/>
  <c r="J44" i="8"/>
  <c r="J32" i="8"/>
  <c r="J25" i="8"/>
  <c r="J28" i="8"/>
  <c r="J43" i="8"/>
  <c r="J33" i="8"/>
  <c r="J36" i="8"/>
  <c r="J27" i="8"/>
  <c r="W7" i="8"/>
  <c r="W8" i="8"/>
  <c r="W5" i="8"/>
  <c r="W6" i="8"/>
  <c r="N8" i="10"/>
  <c r="E9" i="10"/>
  <c r="I16" i="10" s="1"/>
  <c r="E10" i="10"/>
  <c r="R14" i="10"/>
  <c r="R18" i="10"/>
  <c r="R22" i="10"/>
  <c r="R26" i="10"/>
  <c r="R30" i="10"/>
  <c r="R34" i="10"/>
  <c r="R38" i="10"/>
  <c r="R42" i="10"/>
  <c r="R46" i="10"/>
  <c r="R50" i="10"/>
  <c r="R54" i="10"/>
  <c r="R58" i="10"/>
  <c r="R62" i="10"/>
  <c r="R66" i="10"/>
  <c r="R70" i="10"/>
  <c r="R74" i="10"/>
  <c r="R78" i="10"/>
  <c r="R82" i="10"/>
  <c r="R86" i="10"/>
  <c r="R90" i="10"/>
  <c r="R94" i="10"/>
  <c r="R98" i="10"/>
  <c r="R102" i="10"/>
  <c r="R106" i="10"/>
  <c r="R110" i="10"/>
  <c r="R15" i="10"/>
  <c r="R19" i="10"/>
  <c r="R23" i="10"/>
  <c r="R27" i="10"/>
  <c r="R31" i="10"/>
  <c r="R35" i="10"/>
  <c r="R39" i="10"/>
  <c r="R43" i="10"/>
  <c r="R47" i="10"/>
  <c r="R51" i="10"/>
  <c r="R55" i="10"/>
  <c r="R59" i="10"/>
  <c r="R63" i="10"/>
  <c r="R67" i="10"/>
  <c r="R71" i="10"/>
  <c r="R75" i="10"/>
  <c r="R79" i="10"/>
  <c r="R83" i="10"/>
  <c r="R87" i="10"/>
  <c r="R91" i="10"/>
  <c r="R95" i="10"/>
  <c r="R99" i="10"/>
  <c r="R103" i="10"/>
  <c r="R107" i="10"/>
  <c r="R111" i="10"/>
  <c r="R16" i="10"/>
  <c r="R24" i="10"/>
  <c r="R32" i="10"/>
  <c r="R40" i="10"/>
  <c r="R48" i="10"/>
  <c r="R56" i="10"/>
  <c r="R64" i="10"/>
  <c r="R72" i="10"/>
  <c r="R80" i="10"/>
  <c r="R88" i="10"/>
  <c r="R96" i="10"/>
  <c r="R104" i="10"/>
  <c r="R112" i="10"/>
  <c r="R20" i="10"/>
  <c r="R36" i="10"/>
  <c r="R52" i="10"/>
  <c r="R68" i="10"/>
  <c r="R84" i="10"/>
  <c r="R100" i="10"/>
  <c r="R17" i="10"/>
  <c r="R25" i="10"/>
  <c r="R33" i="10"/>
  <c r="R41" i="10"/>
  <c r="R49" i="10"/>
  <c r="R57" i="10"/>
  <c r="R65" i="10"/>
  <c r="R73" i="10"/>
  <c r="R81" i="10"/>
  <c r="R89" i="10"/>
  <c r="R97" i="10"/>
  <c r="R105" i="10"/>
  <c r="R113" i="10"/>
  <c r="R28" i="10"/>
  <c r="R44" i="10"/>
  <c r="R60" i="10"/>
  <c r="R76" i="10"/>
  <c r="R92" i="10"/>
  <c r="R108" i="10"/>
  <c r="R21" i="10"/>
  <c r="R29" i="10"/>
  <c r="R37" i="10"/>
  <c r="R45" i="10"/>
  <c r="R53" i="10"/>
  <c r="R61" i="10"/>
  <c r="R69" i="10"/>
  <c r="R77" i="10"/>
  <c r="R85" i="10"/>
  <c r="R93" i="10"/>
  <c r="R101" i="10"/>
  <c r="R109" i="10"/>
  <c r="J16" i="8"/>
  <c r="J14" i="8"/>
  <c r="J21" i="8"/>
  <c r="J19" i="8"/>
  <c r="J12" i="8"/>
  <c r="J13" i="8"/>
  <c r="J17" i="8"/>
  <c r="J15" i="8"/>
  <c r="J20" i="8"/>
  <c r="J18" i="8"/>
  <c r="J11" i="8"/>
  <c r="C103" i="10"/>
  <c r="C95" i="10"/>
  <c r="C79" i="10"/>
  <c r="C63" i="10"/>
  <c r="C47" i="10"/>
  <c r="C31" i="10"/>
  <c r="C110" i="10"/>
  <c r="C94" i="10"/>
  <c r="C78" i="10"/>
  <c r="C62" i="10"/>
  <c r="C46" i="10"/>
  <c r="C30" i="10"/>
  <c r="C113" i="10"/>
  <c r="C97" i="10"/>
  <c r="C81" i="10"/>
  <c r="C65" i="10"/>
  <c r="C49" i="10"/>
  <c r="C33" i="10"/>
  <c r="C17" i="10"/>
  <c r="C100" i="10"/>
  <c r="C84" i="10"/>
  <c r="C68" i="10"/>
  <c r="C52" i="10"/>
  <c r="C36" i="10"/>
  <c r="C20" i="10"/>
  <c r="C67" i="10"/>
  <c r="C35" i="10"/>
  <c r="C82" i="10"/>
  <c r="C34" i="10"/>
  <c r="C85" i="10"/>
  <c r="C37" i="10"/>
  <c r="C88" i="10"/>
  <c r="C40" i="10"/>
  <c r="C111" i="10"/>
  <c r="C91" i="10"/>
  <c r="C75" i="10"/>
  <c r="C59" i="10"/>
  <c r="C43" i="10"/>
  <c r="C27" i="10"/>
  <c r="C106" i="10"/>
  <c r="C90" i="10"/>
  <c r="C74" i="10"/>
  <c r="C58" i="10"/>
  <c r="C42" i="10"/>
  <c r="C26" i="10"/>
  <c r="C109" i="10"/>
  <c r="C93" i="10"/>
  <c r="C77" i="10"/>
  <c r="C61" i="10"/>
  <c r="C45" i="10"/>
  <c r="C29" i="10"/>
  <c r="C112" i="10"/>
  <c r="C96" i="10"/>
  <c r="C80" i="10"/>
  <c r="C64" i="10"/>
  <c r="C48" i="10"/>
  <c r="C32" i="10"/>
  <c r="C83" i="10"/>
  <c r="C19" i="10"/>
  <c r="C66" i="10"/>
  <c r="C18" i="10"/>
  <c r="C69" i="10"/>
  <c r="C21" i="10"/>
  <c r="C72" i="10"/>
  <c r="C24" i="10"/>
  <c r="C107" i="10"/>
  <c r="C87" i="10"/>
  <c r="C71" i="10"/>
  <c r="C55" i="10"/>
  <c r="C39" i="10"/>
  <c r="C23" i="10"/>
  <c r="C102" i="10"/>
  <c r="C86" i="10"/>
  <c r="C70" i="10"/>
  <c r="C54" i="10"/>
  <c r="C38" i="10"/>
  <c r="C22" i="10"/>
  <c r="C105" i="10"/>
  <c r="C89" i="10"/>
  <c r="C73" i="10"/>
  <c r="C57" i="10"/>
  <c r="C41" i="10"/>
  <c r="C25" i="10"/>
  <c r="C108" i="10"/>
  <c r="C92" i="10"/>
  <c r="C76" i="10"/>
  <c r="C60" i="10"/>
  <c r="C44" i="10"/>
  <c r="C28" i="10"/>
  <c r="C99" i="10"/>
  <c r="C51" i="10"/>
  <c r="C98" i="10"/>
  <c r="C50" i="10"/>
  <c r="C101" i="10"/>
  <c r="C53" i="10"/>
  <c r="C104" i="10"/>
  <c r="C56" i="10"/>
  <c r="V3" i="9"/>
  <c r="J6" i="8"/>
  <c r="J9" i="8"/>
  <c r="J5" i="8"/>
  <c r="J10" i="8"/>
  <c r="J8" i="8"/>
  <c r="U153" i="8"/>
  <c r="P12" i="10"/>
  <c r="F3" i="11"/>
  <c r="N6" i="10"/>
  <c r="O6" i="10" s="1"/>
  <c r="D7" i="5"/>
  <c r="N202" i="8"/>
  <c r="N122" i="8"/>
  <c r="N95" i="8"/>
  <c r="N86" i="8"/>
  <c r="N84" i="8"/>
  <c r="N78" i="8"/>
  <c r="N192" i="8"/>
  <c r="N176" i="8"/>
  <c r="N162" i="8"/>
  <c r="N126" i="8"/>
  <c r="N71" i="8"/>
  <c r="N59" i="8"/>
  <c r="N47" i="8"/>
  <c r="N31" i="8"/>
  <c r="N195" i="8"/>
  <c r="N177" i="8"/>
  <c r="N171" i="8"/>
  <c r="N161" i="8"/>
  <c r="N89" i="8"/>
  <c r="N81" i="8"/>
  <c r="N72" i="8"/>
  <c r="N64" i="8"/>
  <c r="N56" i="8"/>
  <c r="N48" i="8"/>
  <c r="N37" i="8"/>
  <c r="N26" i="8"/>
  <c r="N118" i="8"/>
  <c r="N83" i="8"/>
  <c r="N28" i="8"/>
  <c r="N49" i="8"/>
  <c r="N172" i="8"/>
  <c r="N38" i="8"/>
  <c r="N65" i="8"/>
  <c r="N53" i="8"/>
  <c r="N45" i="8"/>
  <c r="N39" i="8"/>
  <c r="N164" i="8"/>
  <c r="N77" i="8"/>
  <c r="N44" i="8"/>
  <c r="N199" i="8"/>
  <c r="N197" i="8"/>
  <c r="N191" i="8"/>
  <c r="N189" i="8"/>
  <c r="N182" i="8"/>
  <c r="N175" i="8"/>
  <c r="N173" i="8"/>
  <c r="N166" i="8"/>
  <c r="N159" i="8"/>
  <c r="N157" i="8"/>
  <c r="N150" i="8"/>
  <c r="N149" i="8"/>
  <c r="N138" i="8"/>
  <c r="N110" i="8"/>
  <c r="N200" i="8"/>
  <c r="N184" i="8"/>
  <c r="N170" i="8"/>
  <c r="N152" i="8"/>
  <c r="N142" i="8"/>
  <c r="N137" i="8"/>
  <c r="N100" i="8"/>
  <c r="N88" i="8"/>
  <c r="N87" i="8"/>
  <c r="N75" i="8"/>
  <c r="N55" i="8"/>
  <c r="N36" i="8"/>
  <c r="N20" i="8"/>
  <c r="N201" i="8"/>
  <c r="N185" i="8"/>
  <c r="N179" i="8"/>
  <c r="N163" i="8"/>
  <c r="N153" i="8"/>
  <c r="N147" i="8"/>
  <c r="N141" i="8"/>
  <c r="N102" i="8"/>
  <c r="N92" i="8"/>
  <c r="N43" i="8"/>
  <c r="N21" i="8"/>
  <c r="N18" i="8"/>
  <c r="N11" i="8"/>
  <c r="N14" i="8"/>
  <c r="N96" i="8"/>
  <c r="N46" i="8"/>
  <c r="N34" i="8"/>
  <c r="N24" i="8"/>
  <c r="N69" i="8"/>
  <c r="N15" i="8"/>
  <c r="N66" i="8"/>
  <c r="N40" i="8"/>
  <c r="N106" i="8"/>
  <c r="N57" i="8"/>
  <c r="N50" i="8"/>
  <c r="N188" i="8"/>
  <c r="N132" i="8"/>
  <c r="N54" i="8"/>
  <c r="N120" i="8"/>
  <c r="N97" i="8"/>
  <c r="N70" i="8"/>
  <c r="N194" i="8"/>
  <c r="N178" i="8"/>
  <c r="N160" i="8"/>
  <c r="N124" i="8"/>
  <c r="N114" i="8"/>
  <c r="N79" i="8"/>
  <c r="N51" i="8"/>
  <c r="N41" i="8"/>
  <c r="N30" i="8"/>
  <c r="N203" i="8"/>
  <c r="N187" i="8"/>
  <c r="N155" i="8"/>
  <c r="N144" i="8"/>
  <c r="N128" i="8"/>
  <c r="N104" i="8"/>
  <c r="N82" i="8"/>
  <c r="N80" i="8"/>
  <c r="N68" i="8"/>
  <c r="N60" i="8"/>
  <c r="N52" i="8"/>
  <c r="N27" i="8"/>
  <c r="N180" i="8"/>
  <c r="N148" i="8"/>
  <c r="N108" i="8"/>
  <c r="N33" i="8"/>
  <c r="N17" i="8"/>
  <c r="N134" i="8"/>
  <c r="N129" i="8"/>
  <c r="N94" i="8"/>
  <c r="N19" i="8"/>
  <c r="N12" i="8"/>
  <c r="N196" i="8"/>
  <c r="N145" i="8"/>
  <c r="N85" i="8"/>
  <c r="N73" i="8"/>
  <c r="N61" i="8"/>
  <c r="N204" i="8"/>
  <c r="N198" i="8"/>
  <c r="N190" i="8"/>
  <c r="N183" i="8"/>
  <c r="N181" i="8"/>
  <c r="N174" i="8"/>
  <c r="N167" i="8"/>
  <c r="N165" i="8"/>
  <c r="N158" i="8"/>
  <c r="N151" i="8"/>
  <c r="N139" i="8"/>
  <c r="N136" i="8"/>
  <c r="N74" i="8"/>
  <c r="N186" i="8"/>
  <c r="N168" i="8"/>
  <c r="N154" i="8"/>
  <c r="N143" i="8"/>
  <c r="N140" i="8"/>
  <c r="N98" i="8"/>
  <c r="N67" i="8"/>
  <c r="N63" i="8"/>
  <c r="N25" i="8"/>
  <c r="N193" i="8"/>
  <c r="N169" i="8"/>
  <c r="N146" i="8"/>
  <c r="N130" i="8"/>
  <c r="N112" i="8"/>
  <c r="N93" i="8"/>
  <c r="N42" i="8"/>
  <c r="N32" i="8"/>
  <c r="N22" i="8"/>
  <c r="N23" i="8"/>
  <c r="N90" i="8"/>
  <c r="N109" i="8"/>
  <c r="N29" i="8"/>
  <c r="N58" i="8"/>
  <c r="N16" i="8"/>
  <c r="N116" i="8"/>
  <c r="N13" i="8"/>
  <c r="N62" i="8"/>
  <c r="N156" i="8"/>
  <c r="N91" i="8"/>
  <c r="E33" i="1"/>
  <c r="U91" i="8"/>
  <c r="U103" i="8"/>
  <c r="U64" i="8"/>
  <c r="U48" i="8"/>
  <c r="U14" i="8"/>
  <c r="U97" i="8"/>
  <c r="U17" i="8"/>
  <c r="U167" i="8"/>
  <c r="U193" i="8"/>
  <c r="U118" i="8"/>
  <c r="U20" i="8"/>
  <c r="U44" i="8"/>
  <c r="U16" i="8"/>
  <c r="G9" i="10"/>
  <c r="J7" i="10"/>
  <c r="D10" i="10"/>
  <c r="U116" i="8"/>
  <c r="U26" i="8"/>
  <c r="U146" i="8"/>
  <c r="U125" i="8"/>
  <c r="U185" i="8"/>
  <c r="U90" i="8"/>
  <c r="U129" i="8"/>
  <c r="U92" i="8"/>
  <c r="U151" i="8"/>
  <c r="U150" i="8"/>
  <c r="U56" i="8"/>
  <c r="U175" i="8"/>
  <c r="U31" i="8"/>
  <c r="U142" i="8"/>
  <c r="U170" i="8"/>
  <c r="U42" i="8"/>
  <c r="U158" i="8"/>
  <c r="U34" i="8"/>
  <c r="U156" i="8"/>
  <c r="U24" i="8"/>
  <c r="U80" i="8"/>
  <c r="U72" i="8"/>
  <c r="U36" i="8"/>
  <c r="U94" i="8"/>
  <c r="U13" i="8"/>
  <c r="U82" i="8"/>
  <c r="U181" i="8"/>
  <c r="U159" i="8"/>
  <c r="U114" i="8"/>
  <c r="U70" i="8"/>
  <c r="U35" i="8"/>
  <c r="U168" i="8"/>
  <c r="U188" i="8"/>
  <c r="U184" i="8"/>
  <c r="U197" i="8"/>
  <c r="U165" i="8"/>
  <c r="U19" i="8"/>
  <c r="U169" i="8"/>
  <c r="U112" i="8"/>
  <c r="U52" i="8"/>
  <c r="U199" i="8"/>
  <c r="U183" i="8"/>
  <c r="U161" i="8"/>
  <c r="U99" i="8"/>
  <c r="U87" i="8"/>
  <c r="U134" i="8"/>
  <c r="U98" i="8"/>
  <c r="U172" i="8"/>
  <c r="U108" i="8"/>
  <c r="U76" i="8"/>
  <c r="U68" i="8"/>
  <c r="U12" i="8"/>
  <c r="U154" i="8"/>
  <c r="U147" i="8"/>
  <c r="U113" i="8"/>
  <c r="U86" i="8"/>
  <c r="U81" i="8"/>
  <c r="U66" i="8"/>
  <c r="U38" i="8"/>
  <c r="U201" i="8"/>
  <c r="U203" i="8"/>
  <c r="U96" i="8"/>
  <c r="U60" i="8"/>
  <c r="U30" i="8"/>
  <c r="U11" i="8"/>
  <c r="U166" i="8"/>
  <c r="U102" i="8"/>
  <c r="U180" i="8"/>
  <c r="U173" i="8"/>
  <c r="U104" i="8"/>
  <c r="U93" i="8"/>
  <c r="U74" i="8"/>
  <c r="U58" i="8"/>
  <c r="U50" i="8"/>
  <c r="U155" i="8"/>
  <c r="U162" i="8"/>
  <c r="U189" i="8"/>
  <c r="U157" i="8"/>
  <c r="U110" i="8"/>
  <c r="U40" i="8"/>
  <c r="U21" i="8"/>
  <c r="U177" i="8"/>
  <c r="U117" i="8"/>
  <c r="U145" i="8"/>
  <c r="U106" i="8"/>
  <c r="U85" i="8"/>
  <c r="U78" i="8"/>
  <c r="U62" i="8"/>
  <c r="U54" i="8"/>
  <c r="U46" i="8"/>
  <c r="U141" i="8"/>
  <c r="U84" i="8"/>
  <c r="U71" i="8"/>
  <c r="U41" i="8"/>
  <c r="U163" i="8"/>
  <c r="U135" i="8"/>
  <c r="U45" i="8"/>
  <c r="U39" i="8"/>
  <c r="U123" i="8"/>
  <c r="U198" i="8"/>
  <c r="U133" i="8"/>
  <c r="U136" i="8"/>
  <c r="U130" i="8"/>
  <c r="U55" i="8"/>
  <c r="U25" i="8"/>
  <c r="U192" i="8"/>
  <c r="U160" i="8"/>
  <c r="U148" i="8"/>
  <c r="U132" i="8"/>
  <c r="U83" i="8"/>
  <c r="U67" i="8"/>
  <c r="U51" i="8"/>
  <c r="U37" i="8"/>
  <c r="U73" i="8"/>
  <c r="U65" i="8"/>
  <c r="U57" i="8"/>
  <c r="Q3" i="8"/>
  <c r="U111" i="8"/>
  <c r="U171" i="8"/>
  <c r="U32" i="8"/>
  <c r="U22" i="8"/>
  <c r="U23" i="8"/>
  <c r="U190" i="8"/>
  <c r="U149" i="8"/>
  <c r="U204" i="8"/>
  <c r="U139" i="8"/>
  <c r="U121" i="8"/>
  <c r="U95" i="8"/>
  <c r="U15" i="8"/>
  <c r="U194" i="8"/>
  <c r="U131" i="8"/>
  <c r="U89" i="8"/>
  <c r="U164" i="8"/>
  <c r="U122" i="8"/>
  <c r="U182" i="8"/>
  <c r="U174" i="8"/>
  <c r="U107" i="8"/>
  <c r="U196" i="8"/>
  <c r="U187" i="8"/>
  <c r="U120" i="8"/>
  <c r="U49" i="8"/>
  <c r="U178" i="8"/>
  <c r="U127" i="8"/>
  <c r="U195" i="8"/>
  <c r="U144" i="8"/>
  <c r="U128" i="8"/>
  <c r="U79" i="8"/>
  <c r="U63" i="8"/>
  <c r="U47" i="8"/>
  <c r="U100" i="8"/>
  <c r="U33" i="8"/>
  <c r="U186" i="8"/>
  <c r="U152" i="8"/>
  <c r="U143" i="8"/>
  <c r="U101" i="8"/>
  <c r="U43" i="8"/>
  <c r="U200" i="8"/>
  <c r="U191" i="8"/>
  <c r="U179" i="8"/>
  <c r="U176" i="8"/>
  <c r="U140" i="8"/>
  <c r="U124" i="8"/>
  <c r="U115" i="8"/>
  <c r="U138" i="8"/>
  <c r="U126" i="8"/>
  <c r="U88" i="8"/>
  <c r="U75" i="8"/>
  <c r="U59" i="8"/>
  <c r="U29" i="8"/>
  <c r="U77" i="8"/>
  <c r="U69" i="8"/>
  <c r="U61" i="8"/>
  <c r="U53" i="8"/>
  <c r="U202" i="8"/>
  <c r="U105" i="8"/>
  <c r="U27" i="8"/>
  <c r="U119" i="8"/>
  <c r="U109" i="8"/>
  <c r="U28" i="8"/>
  <c r="U18" i="8"/>
  <c r="U137" i="8"/>
  <c r="P3" i="8"/>
  <c r="Y53" i="8" l="1"/>
  <c r="Y55" i="8"/>
  <c r="Y54" i="8"/>
  <c r="O8" i="10"/>
  <c r="I15" i="10"/>
  <c r="I14" i="10"/>
  <c r="D6" i="5"/>
  <c r="F6" i="5" s="1"/>
  <c r="U7" i="8"/>
  <c r="F7" i="5"/>
  <c r="J9" i="10"/>
  <c r="N76" i="1" s="1"/>
  <c r="H65" i="1"/>
  <c r="N65" i="1" s="1"/>
  <c r="O65" i="1" s="1"/>
  <c r="L35" i="1"/>
  <c r="I36" i="1" l="1"/>
  <c r="D20" i="13" s="1"/>
  <c r="F10" i="5"/>
  <c r="D10" i="5"/>
  <c r="W3" i="8"/>
  <c r="U6" i="8"/>
  <c r="S3" i="8"/>
  <c r="U9" i="8"/>
  <c r="R3" i="8"/>
  <c r="T3" i="8"/>
  <c r="U10" i="8"/>
  <c r="U8" i="8"/>
  <c r="D26" i="13" l="1"/>
  <c r="D10" i="13"/>
  <c r="F10" i="13" s="1"/>
  <c r="D16" i="13"/>
  <c r="E16" i="13" s="1"/>
  <c r="D22" i="13"/>
  <c r="D14" i="13"/>
  <c r="U3" i="8"/>
  <c r="I10" i="2"/>
  <c r="I9" i="2"/>
  <c r="I8" i="2"/>
  <c r="I7" i="2"/>
  <c r="I6" i="2"/>
  <c r="AT4" i="2"/>
  <c r="B19" i="1" s="1"/>
  <c r="B18" i="1" s="1"/>
  <c r="I4" i="2"/>
  <c r="I3" i="2"/>
  <c r="I2" i="2"/>
  <c r="K113" i="10"/>
  <c r="K112" i="10"/>
  <c r="K111" i="10"/>
  <c r="K110" i="10"/>
  <c r="K109" i="10"/>
  <c r="K108" i="10"/>
  <c r="K107" i="10"/>
  <c r="K106" i="10"/>
  <c r="K105" i="10"/>
  <c r="K104" i="10"/>
  <c r="K103" i="10"/>
  <c r="K102" i="10"/>
  <c r="K101" i="10"/>
  <c r="K100" i="10"/>
  <c r="K99" i="10"/>
  <c r="K98" i="10"/>
  <c r="K97" i="10"/>
  <c r="K96" i="10"/>
  <c r="K95" i="10"/>
  <c r="K94" i="10"/>
  <c r="K93" i="10"/>
  <c r="K92" i="10"/>
  <c r="K91" i="10"/>
  <c r="K90" i="10"/>
  <c r="K89" i="10"/>
  <c r="K88" i="10"/>
  <c r="K87" i="10"/>
  <c r="K86" i="10"/>
  <c r="K85" i="10"/>
  <c r="K84" i="10"/>
  <c r="K83" i="10"/>
  <c r="K82" i="10"/>
  <c r="K81" i="10"/>
  <c r="K80" i="10"/>
  <c r="K79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E27" i="1"/>
  <c r="D24" i="1"/>
  <c r="H25" i="1" s="1"/>
  <c r="B4" i="12" l="1"/>
  <c r="A3" i="8"/>
  <c r="H33" i="1"/>
  <c r="L42" i="1"/>
  <c r="E10" i="13"/>
  <c r="F16" i="13"/>
  <c r="V11" i="8"/>
  <c r="V15" i="8"/>
  <c r="V19" i="8"/>
  <c r="V23" i="8"/>
  <c r="V27" i="8"/>
  <c r="V31" i="8"/>
  <c r="V35" i="8"/>
  <c r="V39" i="8"/>
  <c r="V43" i="8"/>
  <c r="V47" i="8"/>
  <c r="V51" i="8"/>
  <c r="V55" i="8"/>
  <c r="V59" i="8"/>
  <c r="V63" i="8"/>
  <c r="V67" i="8"/>
  <c r="V71" i="8"/>
  <c r="V75" i="8"/>
  <c r="V79" i="8"/>
  <c r="V83" i="8"/>
  <c r="V87" i="8"/>
  <c r="V91" i="8"/>
  <c r="V95" i="8"/>
  <c r="V99" i="8"/>
  <c r="V103" i="8"/>
  <c r="V107" i="8"/>
  <c r="V111" i="8"/>
  <c r="V115" i="8"/>
  <c r="V119" i="8"/>
  <c r="V123" i="8"/>
  <c r="V127" i="8"/>
  <c r="V131" i="8"/>
  <c r="V135" i="8"/>
  <c r="V139" i="8"/>
  <c r="V143" i="8"/>
  <c r="V147" i="8"/>
  <c r="V151" i="8"/>
  <c r="V155" i="8"/>
  <c r="V159" i="8"/>
  <c r="V163" i="8"/>
  <c r="V167" i="8"/>
  <c r="V171" i="8"/>
  <c r="V175" i="8"/>
  <c r="V179" i="8"/>
  <c r="V183" i="8"/>
  <c r="V187" i="8"/>
  <c r="V191" i="8"/>
  <c r="V195" i="8"/>
  <c r="V199" i="8"/>
  <c r="V203" i="8"/>
  <c r="V12" i="8"/>
  <c r="V16" i="8"/>
  <c r="V20" i="8"/>
  <c r="V24" i="8"/>
  <c r="V28" i="8"/>
  <c r="V32" i="8"/>
  <c r="V36" i="8"/>
  <c r="V40" i="8"/>
  <c r="V44" i="8"/>
  <c r="V48" i="8"/>
  <c r="V52" i="8"/>
  <c r="V56" i="8"/>
  <c r="V60" i="8"/>
  <c r="V64" i="8"/>
  <c r="V68" i="8"/>
  <c r="V72" i="8"/>
  <c r="V76" i="8"/>
  <c r="V80" i="8"/>
  <c r="V84" i="8"/>
  <c r="V88" i="8"/>
  <c r="V92" i="8"/>
  <c r="V96" i="8"/>
  <c r="V100" i="8"/>
  <c r="V104" i="8"/>
  <c r="V108" i="8"/>
  <c r="V112" i="8"/>
  <c r="V116" i="8"/>
  <c r="V120" i="8"/>
  <c r="V124" i="8"/>
  <c r="V128" i="8"/>
  <c r="V132" i="8"/>
  <c r="V136" i="8"/>
  <c r="V140" i="8"/>
  <c r="V144" i="8"/>
  <c r="V9" i="8"/>
  <c r="V13" i="8"/>
  <c r="V17" i="8"/>
  <c r="V21" i="8"/>
  <c r="V25" i="8"/>
  <c r="V29" i="8"/>
  <c r="V33" i="8"/>
  <c r="V37" i="8"/>
  <c r="V41" i="8"/>
  <c r="V45" i="8"/>
  <c r="V49" i="8"/>
  <c r="V53" i="8"/>
  <c r="V57" i="8"/>
  <c r="V61" i="8"/>
  <c r="V65" i="8"/>
  <c r="V69" i="8"/>
  <c r="V73" i="8"/>
  <c r="V77" i="8"/>
  <c r="V81" i="8"/>
  <c r="V85" i="8"/>
  <c r="V89" i="8"/>
  <c r="V93" i="8"/>
  <c r="V97" i="8"/>
  <c r="V101" i="8"/>
  <c r="V105" i="8"/>
  <c r="V109" i="8"/>
  <c r="V113" i="8"/>
  <c r="V117" i="8"/>
  <c r="V121" i="8"/>
  <c r="V125" i="8"/>
  <c r="V129" i="8"/>
  <c r="V133" i="8"/>
  <c r="V137" i="8"/>
  <c r="V141" i="8"/>
  <c r="V145" i="8"/>
  <c r="V149" i="8"/>
  <c r="V153" i="8"/>
  <c r="V157" i="8"/>
  <c r="V161" i="8"/>
  <c r="V165" i="8"/>
  <c r="V169" i="8"/>
  <c r="V173" i="8"/>
  <c r="V177" i="8"/>
  <c r="V181" i="8"/>
  <c r="V185" i="8"/>
  <c r="V189" i="8"/>
  <c r="V193" i="8"/>
  <c r="V197" i="8"/>
  <c r="V201" i="8"/>
  <c r="V10" i="8"/>
  <c r="V14" i="8"/>
  <c r="V18" i="8"/>
  <c r="V22" i="8"/>
  <c r="V26" i="8"/>
  <c r="V30" i="8"/>
  <c r="V34" i="8"/>
  <c r="V38" i="8"/>
  <c r="V42" i="8"/>
  <c r="V46" i="8"/>
  <c r="V50" i="8"/>
  <c r="V54" i="8"/>
  <c r="V58" i="8"/>
  <c r="V62" i="8"/>
  <c r="V66" i="8"/>
  <c r="V70" i="8"/>
  <c r="V74" i="8"/>
  <c r="V78" i="8"/>
  <c r="V82" i="8"/>
  <c r="V86" i="8"/>
  <c r="V90" i="8"/>
  <c r="V94" i="8"/>
  <c r="V98" i="8"/>
  <c r="V102" i="8"/>
  <c r="V106" i="8"/>
  <c r="V110" i="8"/>
  <c r="V114" i="8"/>
  <c r="V118" i="8"/>
  <c r="V122" i="8"/>
  <c r="V126" i="8"/>
  <c r="V130" i="8"/>
  <c r="V134" i="8"/>
  <c r="V146" i="8"/>
  <c r="V154" i="8"/>
  <c r="V162" i="8"/>
  <c r="V170" i="8"/>
  <c r="V178" i="8"/>
  <c r="V186" i="8"/>
  <c r="V194" i="8"/>
  <c r="V202" i="8"/>
  <c r="V148" i="8"/>
  <c r="V156" i="8"/>
  <c r="V164" i="8"/>
  <c r="V172" i="8"/>
  <c r="V180" i="8"/>
  <c r="V188" i="8"/>
  <c r="V196" i="8"/>
  <c r="V204" i="8"/>
  <c r="V150" i="8"/>
  <c r="V158" i="8"/>
  <c r="V166" i="8"/>
  <c r="V174" i="8"/>
  <c r="V182" i="8"/>
  <c r="V198" i="8"/>
  <c r="V142" i="8"/>
  <c r="V152" i="8"/>
  <c r="V160" i="8"/>
  <c r="V168" i="8"/>
  <c r="V176" i="8"/>
  <c r="V184" i="8"/>
  <c r="V192" i="8"/>
  <c r="V200" i="8"/>
  <c r="V138" i="8"/>
  <c r="V190" i="8"/>
  <c r="L6" i="8"/>
  <c r="L8" i="8"/>
  <c r="L10" i="8"/>
  <c r="L9" i="8"/>
  <c r="L7" i="8"/>
  <c r="C6" i="10"/>
  <c r="H34" i="1"/>
  <c r="K64" i="1"/>
  <c r="L5" i="8"/>
  <c r="D6" i="10"/>
  <c r="B6" i="10"/>
  <c r="E6" i="10"/>
  <c r="A3" i="10"/>
  <c r="N3" i="9" l="1"/>
  <c r="P20" i="9"/>
  <c r="R20" i="9" s="1"/>
  <c r="Q20" i="9"/>
  <c r="P9" i="9"/>
  <c r="R9" i="9" s="1"/>
  <c r="Q9" i="9"/>
  <c r="P7" i="9"/>
  <c r="R7" i="9" s="1"/>
  <c r="Q7" i="9"/>
  <c r="P6" i="9"/>
  <c r="R6" i="9" s="1"/>
  <c r="Q6" i="9"/>
  <c r="P8" i="9"/>
  <c r="R8" i="9" s="1"/>
  <c r="Q8" i="9"/>
  <c r="P16" i="9"/>
  <c r="R16" i="9" s="1"/>
  <c r="Q16" i="9"/>
  <c r="P18" i="9"/>
  <c r="R18" i="9" s="1"/>
  <c r="Q18" i="9"/>
  <c r="P17" i="9"/>
  <c r="R17" i="9" s="1"/>
  <c r="Q17" i="9"/>
  <c r="P19" i="9"/>
  <c r="R19" i="9" s="1"/>
  <c r="Q19" i="9"/>
  <c r="P12" i="9"/>
  <c r="R12" i="9" s="1"/>
  <c r="Q12" i="9"/>
  <c r="P14" i="9"/>
  <c r="R14" i="9" s="1"/>
  <c r="Q14" i="9"/>
  <c r="P13" i="9"/>
  <c r="R13" i="9" s="1"/>
  <c r="Q13" i="9"/>
  <c r="P11" i="9"/>
  <c r="R11" i="9" s="1"/>
  <c r="Q11" i="9"/>
  <c r="P15" i="9"/>
  <c r="R15" i="9" s="1"/>
  <c r="Q15" i="9"/>
  <c r="P10" i="9"/>
  <c r="R10" i="9" s="1"/>
  <c r="Q10" i="9"/>
  <c r="P5" i="9"/>
  <c r="R5" i="9" s="1"/>
  <c r="Q5" i="9"/>
  <c r="M10" i="8"/>
  <c r="M9" i="8"/>
  <c r="N9" i="8" s="1"/>
  <c r="M8" i="8"/>
  <c r="M7" i="8"/>
  <c r="C16" i="10" s="1"/>
  <c r="L3" i="8"/>
  <c r="M5" i="8"/>
  <c r="M6" i="8"/>
  <c r="L34" i="1"/>
  <c r="O36" i="1"/>
  <c r="N26" i="1"/>
  <c r="X10" i="8" l="1"/>
  <c r="Y10" i="8" s="1"/>
  <c r="X9" i="8"/>
  <c r="Y9" i="8" s="1"/>
  <c r="V7" i="8"/>
  <c r="V8" i="8"/>
  <c r="R3" i="9"/>
  <c r="V3" i="8" s="1"/>
  <c r="V6" i="8"/>
  <c r="V5" i="8"/>
  <c r="X5" i="8"/>
  <c r="Y5" i="8" s="1"/>
  <c r="X6" i="8"/>
  <c r="Y6" i="8" s="1"/>
  <c r="Q3" i="9"/>
  <c r="C14" i="10"/>
  <c r="C15" i="10"/>
  <c r="N10" i="8"/>
  <c r="I64" i="1"/>
  <c r="N8" i="8"/>
  <c r="N7" i="8"/>
  <c r="N6" i="8"/>
  <c r="N5" i="8"/>
  <c r="M3" i="8"/>
  <c r="Z3" i="8"/>
  <c r="E32" i="1" l="1"/>
  <c r="C7" i="18"/>
  <c r="C11" i="18" s="1"/>
  <c r="X7" i="9"/>
  <c r="X11" i="8"/>
  <c r="Y11" i="8" s="1"/>
  <c r="X12" i="8"/>
  <c r="Y12" i="8" s="1"/>
  <c r="X13" i="8"/>
  <c r="Y13" i="8" s="1"/>
  <c r="X14" i="9"/>
  <c r="X32" i="8"/>
  <c r="Y32" i="8" s="1"/>
  <c r="X33" i="8"/>
  <c r="Y33" i="8" s="1"/>
  <c r="X34" i="8"/>
  <c r="Y34" i="8" s="1"/>
  <c r="X13" i="9"/>
  <c r="X29" i="8"/>
  <c r="Y29" i="8" s="1"/>
  <c r="X31" i="8"/>
  <c r="Y31" i="8" s="1"/>
  <c r="X30" i="8"/>
  <c r="Y30" i="8" s="1"/>
  <c r="X8" i="9"/>
  <c r="X14" i="8"/>
  <c r="Y14" i="8" s="1"/>
  <c r="X15" i="8"/>
  <c r="Y15" i="8" s="1"/>
  <c r="X16" i="8"/>
  <c r="Y16" i="8" s="1"/>
  <c r="X11" i="9"/>
  <c r="X24" i="8"/>
  <c r="Y24" i="8" s="1"/>
  <c r="X25" i="8"/>
  <c r="Y25" i="8" s="1"/>
  <c r="X23" i="8"/>
  <c r="Y23" i="8" s="1"/>
  <c r="X12" i="9"/>
  <c r="X28" i="8"/>
  <c r="Y28" i="8" s="1"/>
  <c r="X26" i="8"/>
  <c r="Y26" i="8" s="1"/>
  <c r="X27" i="8"/>
  <c r="Y27" i="8" s="1"/>
  <c r="X9" i="9"/>
  <c r="X17" i="8"/>
  <c r="Y17" i="8" s="1"/>
  <c r="X18" i="8"/>
  <c r="Y18" i="8" s="1"/>
  <c r="X19" i="8"/>
  <c r="Y19" i="8" s="1"/>
  <c r="X10" i="9"/>
  <c r="X20" i="8"/>
  <c r="Y20" i="8" s="1"/>
  <c r="X21" i="8"/>
  <c r="Y21" i="8" s="1"/>
  <c r="X22" i="8"/>
  <c r="Y22" i="8" s="1"/>
  <c r="X17" i="9"/>
  <c r="X41" i="8"/>
  <c r="Y41" i="8" s="1"/>
  <c r="X42" i="8"/>
  <c r="Y42" i="8" s="1"/>
  <c r="X43" i="8"/>
  <c r="Y43" i="8" s="1"/>
  <c r="X18" i="9"/>
  <c r="X45" i="8"/>
  <c r="Y45" i="8" s="1"/>
  <c r="X46" i="8"/>
  <c r="Y46" i="8" s="1"/>
  <c r="X44" i="8"/>
  <c r="Y44" i="8" s="1"/>
  <c r="X20" i="9"/>
  <c r="X50" i="8"/>
  <c r="Y50" i="8" s="1"/>
  <c r="X51" i="8"/>
  <c r="Y51" i="8" s="1"/>
  <c r="X52" i="8"/>
  <c r="Y52" i="8" s="1"/>
  <c r="X19" i="9"/>
  <c r="X49" i="8"/>
  <c r="Y49" i="8" s="1"/>
  <c r="X47" i="8"/>
  <c r="Y47" i="8" s="1"/>
  <c r="X48" i="8"/>
  <c r="Y48" i="8" s="1"/>
  <c r="X15" i="9"/>
  <c r="X35" i="8"/>
  <c r="Y35" i="8" s="1"/>
  <c r="X36" i="8"/>
  <c r="Y36" i="8" s="1"/>
  <c r="X37" i="8"/>
  <c r="Y37" i="8" s="1"/>
  <c r="X16" i="9"/>
  <c r="X39" i="8"/>
  <c r="Y39" i="8" s="1"/>
  <c r="X40" i="8"/>
  <c r="Y40" i="8" s="1"/>
  <c r="X38" i="8"/>
  <c r="Y38" i="8" s="1"/>
  <c r="X6" i="9"/>
  <c r="X7" i="8"/>
  <c r="Y7" i="8" s="1"/>
  <c r="X8" i="8"/>
  <c r="Y8" i="8" s="1"/>
  <c r="W3" i="9"/>
  <c r="X5" i="9"/>
  <c r="I34" i="1"/>
  <c r="N73" i="1" s="1"/>
  <c r="N3" i="8"/>
  <c r="C13" i="18" l="1"/>
  <c r="C14" i="18"/>
  <c r="D13" i="18"/>
  <c r="D14" i="18"/>
  <c r="X3" i="9"/>
  <c r="Y3" i="8"/>
  <c r="L36" i="1" s="1"/>
  <c r="H64" i="1"/>
  <c r="G10" i="10"/>
  <c r="C12" i="10"/>
  <c r="D15" i="10" l="1"/>
  <c r="F15" i="10" s="1"/>
  <c r="H15" i="10" s="1"/>
  <c r="D99" i="10"/>
  <c r="D77" i="10"/>
  <c r="D81" i="10"/>
  <c r="D43" i="10"/>
  <c r="D50" i="10"/>
  <c r="D84" i="10"/>
  <c r="D38" i="10"/>
  <c r="D30" i="10"/>
  <c r="D87" i="10"/>
  <c r="D70" i="10"/>
  <c r="D41" i="10"/>
  <c r="D61" i="10"/>
  <c r="D20" i="10"/>
  <c r="D78" i="10"/>
  <c r="D80" i="10"/>
  <c r="D95" i="10"/>
  <c r="D83" i="10"/>
  <c r="D106" i="10"/>
  <c r="D101" i="10"/>
  <c r="D85" i="10"/>
  <c r="D92" i="10"/>
  <c r="D113" i="10"/>
  <c r="D71" i="10"/>
  <c r="D63" i="10"/>
  <c r="D19" i="10"/>
  <c r="D45" i="10"/>
  <c r="D107" i="10"/>
  <c r="D90" i="10"/>
  <c r="D29" i="10"/>
  <c r="D56" i="10"/>
  <c r="D28" i="10"/>
  <c r="D49" i="10"/>
  <c r="D53" i="10"/>
  <c r="D25" i="10"/>
  <c r="D103" i="10"/>
  <c r="D79" i="10"/>
  <c r="D104" i="10"/>
  <c r="D88" i="10"/>
  <c r="D76" i="10"/>
  <c r="D68" i="10"/>
  <c r="D22" i="10"/>
  <c r="D47" i="10"/>
  <c r="D66" i="10"/>
  <c r="D60" i="10"/>
  <c r="D74" i="10"/>
  <c r="D40" i="10"/>
  <c r="D59" i="10"/>
  <c r="D46" i="10"/>
  <c r="D44" i="10"/>
  <c r="D36" i="10"/>
  <c r="D105" i="10"/>
  <c r="D97" i="10"/>
  <c r="D55" i="10"/>
  <c r="D89" i="10"/>
  <c r="D112" i="10"/>
  <c r="D21" i="10"/>
  <c r="D58" i="10"/>
  <c r="D111" i="10"/>
  <c r="D98" i="10"/>
  <c r="D62" i="10"/>
  <c r="D32" i="10"/>
  <c r="D73" i="10"/>
  <c r="D65" i="10"/>
  <c r="D39" i="10"/>
  <c r="D31" i="10"/>
  <c r="D96" i="10"/>
  <c r="D27" i="10"/>
  <c r="D42" i="10"/>
  <c r="D52" i="10"/>
  <c r="D91" i="10"/>
  <c r="D67" i="10"/>
  <c r="D57" i="10"/>
  <c r="D72" i="10"/>
  <c r="D24" i="10"/>
  <c r="D102" i="10"/>
  <c r="D94" i="10"/>
  <c r="D69" i="10"/>
  <c r="D23" i="10"/>
  <c r="D26" i="10"/>
  <c r="D110" i="10"/>
  <c r="D75" i="10"/>
  <c r="D51" i="10"/>
  <c r="D35" i="10"/>
  <c r="D33" i="10"/>
  <c r="D86" i="10"/>
  <c r="D93" i="10"/>
  <c r="D82" i="10"/>
  <c r="D54" i="10"/>
  <c r="D48" i="10"/>
  <c r="D64" i="10"/>
  <c r="D109" i="10"/>
  <c r="D37" i="10"/>
  <c r="D34" i="10"/>
  <c r="D108" i="10"/>
  <c r="D100" i="10"/>
  <c r="D16" i="18"/>
  <c r="C16" i="18"/>
  <c r="AA3" i="8"/>
  <c r="AB3" i="8" s="1"/>
  <c r="D15" i="13"/>
  <c r="D9" i="13"/>
  <c r="D27" i="13"/>
  <c r="D25" i="13"/>
  <c r="N64" i="1"/>
  <c r="O64" i="1" s="1"/>
  <c r="D8" i="13"/>
  <c r="D17" i="10"/>
  <c r="D16" i="10"/>
  <c r="D18" i="10"/>
  <c r="E34" i="1"/>
  <c r="D14" i="10"/>
  <c r="I37" i="1"/>
  <c r="L15" i="10" l="1"/>
  <c r="F26" i="10"/>
  <c r="G26" i="10" s="1"/>
  <c r="F67" i="10"/>
  <c r="H67" i="10" s="1"/>
  <c r="F65" i="10"/>
  <c r="G65" i="10" s="1"/>
  <c r="F112" i="10"/>
  <c r="H112" i="10" s="1"/>
  <c r="F59" i="10"/>
  <c r="G59" i="10" s="1"/>
  <c r="F76" i="10"/>
  <c r="H76" i="10" s="1"/>
  <c r="F28" i="10"/>
  <c r="G28" i="10" s="1"/>
  <c r="F71" i="10"/>
  <c r="G71" i="10" s="1"/>
  <c r="F80" i="10"/>
  <c r="H80" i="10" s="1"/>
  <c r="F38" i="10"/>
  <c r="H38" i="10" s="1"/>
  <c r="F82" i="10"/>
  <c r="H82" i="10" s="1"/>
  <c r="F23" i="10"/>
  <c r="G23" i="10" s="1"/>
  <c r="F113" i="10"/>
  <c r="G113" i="10" s="1"/>
  <c r="F69" i="10"/>
  <c r="H69" i="10" s="1"/>
  <c r="F55" i="10"/>
  <c r="H55" i="10" s="1"/>
  <c r="F74" i="10"/>
  <c r="H74" i="10" s="1"/>
  <c r="F104" i="10"/>
  <c r="G104" i="10" s="1"/>
  <c r="F29" i="10"/>
  <c r="H29" i="10" s="1"/>
  <c r="F92" i="10"/>
  <c r="H92" i="10" s="1"/>
  <c r="F20" i="10"/>
  <c r="G20" i="10" s="1"/>
  <c r="F50" i="10"/>
  <c r="H50" i="10" s="1"/>
  <c r="F91" i="10"/>
  <c r="G91" i="10" s="1"/>
  <c r="F56" i="10"/>
  <c r="G56" i="10" s="1"/>
  <c r="F86" i="10"/>
  <c r="H86" i="10" s="1"/>
  <c r="F32" i="10"/>
  <c r="G32" i="10" s="1"/>
  <c r="F37" i="10"/>
  <c r="H37" i="10" s="1"/>
  <c r="F33" i="10"/>
  <c r="H33" i="10" s="1"/>
  <c r="F94" i="10"/>
  <c r="H94" i="10" s="1"/>
  <c r="F42" i="10"/>
  <c r="H42" i="10" s="1"/>
  <c r="F62" i="10"/>
  <c r="H62" i="10" s="1"/>
  <c r="F97" i="10"/>
  <c r="G97" i="10" s="1"/>
  <c r="F60" i="10"/>
  <c r="G60" i="10" s="1"/>
  <c r="F79" i="10"/>
  <c r="G79" i="10" s="1"/>
  <c r="F90" i="10"/>
  <c r="G90" i="10" s="1"/>
  <c r="F85" i="10"/>
  <c r="G85" i="10" s="1"/>
  <c r="F61" i="10"/>
  <c r="G61" i="10" s="1"/>
  <c r="F43" i="10"/>
  <c r="H43" i="10" s="1"/>
  <c r="F100" i="10"/>
  <c r="H100" i="10" s="1"/>
  <c r="F73" i="10"/>
  <c r="G73" i="10" s="1"/>
  <c r="F78" i="10"/>
  <c r="G78" i="10" s="1"/>
  <c r="F52" i="10"/>
  <c r="G52" i="10" s="1"/>
  <c r="F109" i="10"/>
  <c r="G109" i="10" s="1"/>
  <c r="F35" i="10"/>
  <c r="H35" i="10" s="1"/>
  <c r="F102" i="10"/>
  <c r="H102" i="10" s="1"/>
  <c r="F27" i="10"/>
  <c r="G27" i="10" s="1"/>
  <c r="F98" i="10"/>
  <c r="G98" i="10" s="1"/>
  <c r="F105" i="10"/>
  <c r="H105" i="10" s="1"/>
  <c r="F66" i="10"/>
  <c r="G66" i="10" s="1"/>
  <c r="F103" i="10"/>
  <c r="G103" i="10" s="1"/>
  <c r="F107" i="10"/>
  <c r="G107" i="10" s="1"/>
  <c r="F101" i="10"/>
  <c r="G101" i="10" s="1"/>
  <c r="F41" i="10"/>
  <c r="G41" i="10" s="1"/>
  <c r="F81" i="10"/>
  <c r="H81" i="10" s="1"/>
  <c r="F93" i="10"/>
  <c r="G93" i="10" s="1"/>
  <c r="F89" i="10"/>
  <c r="G89" i="10" s="1"/>
  <c r="F88" i="10"/>
  <c r="G88" i="10" s="1"/>
  <c r="F34" i="10"/>
  <c r="G34" i="10" s="1"/>
  <c r="F64" i="10"/>
  <c r="H64" i="10" s="1"/>
  <c r="F24" i="10"/>
  <c r="G24" i="10" s="1"/>
  <c r="F111" i="10"/>
  <c r="G111" i="10" s="1"/>
  <c r="F36" i="10"/>
  <c r="G36" i="10" s="1"/>
  <c r="F47" i="10"/>
  <c r="G47" i="10" s="1"/>
  <c r="F25" i="10"/>
  <c r="H25" i="10" s="1"/>
  <c r="F45" i="10"/>
  <c r="G45" i="10" s="1"/>
  <c r="F106" i="10"/>
  <c r="H106" i="10" s="1"/>
  <c r="F70" i="10"/>
  <c r="G70" i="10" s="1"/>
  <c r="F77" i="10"/>
  <c r="G77" i="10" s="1"/>
  <c r="F96" i="10"/>
  <c r="G96" i="10" s="1"/>
  <c r="F48" i="10"/>
  <c r="H48" i="10" s="1"/>
  <c r="F75" i="10"/>
  <c r="H75" i="10" s="1"/>
  <c r="F72" i="10"/>
  <c r="H72" i="10" s="1"/>
  <c r="F31" i="10"/>
  <c r="H31" i="10" s="1"/>
  <c r="F58" i="10"/>
  <c r="H58" i="10" s="1"/>
  <c r="F44" i="10"/>
  <c r="G44" i="10" s="1"/>
  <c r="F22" i="10"/>
  <c r="H22" i="10" s="1"/>
  <c r="F53" i="10"/>
  <c r="H53" i="10" s="1"/>
  <c r="F19" i="10"/>
  <c r="H19" i="10" s="1"/>
  <c r="F83" i="10"/>
  <c r="H83" i="10" s="1"/>
  <c r="F87" i="10"/>
  <c r="H87" i="10" s="1"/>
  <c r="F99" i="10"/>
  <c r="G99" i="10" s="1"/>
  <c r="F108" i="10"/>
  <c r="G108" i="10" s="1"/>
  <c r="F40" i="10"/>
  <c r="G40" i="10" s="1"/>
  <c r="F84" i="10"/>
  <c r="H84" i="10" s="1"/>
  <c r="F51" i="10"/>
  <c r="G51" i="10" s="1"/>
  <c r="F54" i="10"/>
  <c r="G54" i="10" s="1"/>
  <c r="F110" i="10"/>
  <c r="G110" i="10" s="1"/>
  <c r="F57" i="10"/>
  <c r="G57" i="10" s="1"/>
  <c r="F39" i="10"/>
  <c r="H39" i="10" s="1"/>
  <c r="F21" i="10"/>
  <c r="H21" i="10" s="1"/>
  <c r="F46" i="10"/>
  <c r="G46" i="10" s="1"/>
  <c r="F68" i="10"/>
  <c r="H68" i="10" s="1"/>
  <c r="F49" i="10"/>
  <c r="G49" i="10" s="1"/>
  <c r="F63" i="10"/>
  <c r="G63" i="10" s="1"/>
  <c r="F95" i="10"/>
  <c r="G95" i="10" s="1"/>
  <c r="F30" i="10"/>
  <c r="H30" i="10" s="1"/>
  <c r="G15" i="10"/>
  <c r="J15" i="10"/>
  <c r="M15" i="10" s="1"/>
  <c r="F18" i="10"/>
  <c r="H18" i="10" s="1"/>
  <c r="L18" i="10" s="1"/>
  <c r="F16" i="10"/>
  <c r="G16" i="10" s="1"/>
  <c r="F14" i="10"/>
  <c r="H14" i="10" s="1"/>
  <c r="L14" i="10" s="1"/>
  <c r="F17" i="10"/>
  <c r="G17" i="10" s="1"/>
  <c r="E43" i="1"/>
  <c r="E44" i="1" s="1"/>
  <c r="D11" i="13"/>
  <c r="E9" i="13"/>
  <c r="F9" i="13"/>
  <c r="E15" i="13"/>
  <c r="F15" i="13"/>
  <c r="I38" i="1"/>
  <c r="I12" i="10"/>
  <c r="G67" i="10" l="1"/>
  <c r="H26" i="10"/>
  <c r="H56" i="10"/>
  <c r="J56" i="10" s="1"/>
  <c r="M56" i="10" s="1"/>
  <c r="N56" i="10" s="1"/>
  <c r="O56" i="10" s="1"/>
  <c r="G74" i="10"/>
  <c r="G105" i="10"/>
  <c r="H60" i="10"/>
  <c r="J60" i="10" s="1"/>
  <c r="M60" i="10" s="1"/>
  <c r="N60" i="10" s="1"/>
  <c r="O60" i="10" s="1"/>
  <c r="G86" i="10"/>
  <c r="G37" i="10"/>
  <c r="H66" i="10"/>
  <c r="J66" i="10" s="1"/>
  <c r="M66" i="10" s="1"/>
  <c r="N66" i="10" s="1"/>
  <c r="O66" i="10" s="1"/>
  <c r="G72" i="10"/>
  <c r="H97" i="10"/>
  <c r="J97" i="10" s="1"/>
  <c r="M97" i="10" s="1"/>
  <c r="N97" i="10" s="1"/>
  <c r="O97" i="10" s="1"/>
  <c r="H32" i="10"/>
  <c r="J32" i="10" s="1"/>
  <c r="M32" i="10" s="1"/>
  <c r="N32" i="10" s="1"/>
  <c r="O32" i="10" s="1"/>
  <c r="H52" i="10"/>
  <c r="J52" i="10" s="1"/>
  <c r="M52" i="10" s="1"/>
  <c r="N52" i="10" s="1"/>
  <c r="O52" i="10" s="1"/>
  <c r="H90" i="10"/>
  <c r="J90" i="10" s="1"/>
  <c r="M90" i="10" s="1"/>
  <c r="N90" i="10" s="1"/>
  <c r="O90" i="10" s="1"/>
  <c r="G48" i="10"/>
  <c r="G29" i="10"/>
  <c r="G87" i="10"/>
  <c r="G64" i="10"/>
  <c r="G50" i="10"/>
  <c r="H79" i="10"/>
  <c r="J79" i="10" s="1"/>
  <c r="M79" i="10" s="1"/>
  <c r="N79" i="10" s="1"/>
  <c r="O79" i="10" s="1"/>
  <c r="H103" i="10"/>
  <c r="J103" i="10" s="1"/>
  <c r="M103" i="10" s="1"/>
  <c r="N103" i="10" s="1"/>
  <c r="O103" i="10" s="1"/>
  <c r="H27" i="10"/>
  <c r="J27" i="10" s="1"/>
  <c r="M27" i="10" s="1"/>
  <c r="N27" i="10" s="1"/>
  <c r="O27" i="10" s="1"/>
  <c r="G42" i="10"/>
  <c r="G58" i="10"/>
  <c r="H44" i="10"/>
  <c r="J44" i="10" s="1"/>
  <c r="M44" i="10" s="1"/>
  <c r="N44" i="10" s="1"/>
  <c r="O44" i="10" s="1"/>
  <c r="H89" i="10"/>
  <c r="J89" i="10" s="1"/>
  <c r="M89" i="10" s="1"/>
  <c r="N89" i="10" s="1"/>
  <c r="O89" i="10" s="1"/>
  <c r="H59" i="10"/>
  <c r="J59" i="10" s="1"/>
  <c r="M59" i="10" s="1"/>
  <c r="N59" i="10" s="1"/>
  <c r="O59" i="10" s="1"/>
  <c r="H34" i="10"/>
  <c r="J34" i="10" s="1"/>
  <c r="M34" i="10" s="1"/>
  <c r="N34" i="10" s="1"/>
  <c r="O34" i="10" s="1"/>
  <c r="G31" i="10"/>
  <c r="H54" i="10"/>
  <c r="J54" i="10" s="1"/>
  <c r="M54" i="10" s="1"/>
  <c r="N54" i="10" s="1"/>
  <c r="O54" i="10" s="1"/>
  <c r="H45" i="10"/>
  <c r="J45" i="10" s="1"/>
  <c r="M45" i="10" s="1"/>
  <c r="N45" i="10" s="1"/>
  <c r="O45" i="10" s="1"/>
  <c r="G81" i="10"/>
  <c r="G55" i="10"/>
  <c r="G38" i="10"/>
  <c r="G39" i="10"/>
  <c r="H40" i="10"/>
  <c r="J40" i="10" s="1"/>
  <c r="M40" i="10" s="1"/>
  <c r="N40" i="10" s="1"/>
  <c r="O40" i="10" s="1"/>
  <c r="H107" i="10"/>
  <c r="J107" i="10" s="1"/>
  <c r="M107" i="10" s="1"/>
  <c r="N107" i="10" s="1"/>
  <c r="O107" i="10" s="1"/>
  <c r="H23" i="10"/>
  <c r="J23" i="10" s="1"/>
  <c r="M23" i="10" s="1"/>
  <c r="N23" i="10" s="1"/>
  <c r="O23" i="10" s="1"/>
  <c r="H99" i="10"/>
  <c r="J99" i="10" s="1"/>
  <c r="M99" i="10" s="1"/>
  <c r="N99" i="10" s="1"/>
  <c r="O99" i="10" s="1"/>
  <c r="G21" i="10"/>
  <c r="H70" i="10"/>
  <c r="J70" i="10" s="1"/>
  <c r="M70" i="10" s="1"/>
  <c r="N70" i="10" s="1"/>
  <c r="O70" i="10" s="1"/>
  <c r="G25" i="10"/>
  <c r="G43" i="10"/>
  <c r="H28" i="10"/>
  <c r="J28" i="10" s="1"/>
  <c r="M28" i="10" s="1"/>
  <c r="N28" i="10" s="1"/>
  <c r="O28" i="10" s="1"/>
  <c r="G106" i="10"/>
  <c r="H78" i="10"/>
  <c r="J78" i="10" s="1"/>
  <c r="M78" i="10" s="1"/>
  <c r="N78" i="10" s="1"/>
  <c r="O78" i="10" s="1"/>
  <c r="H63" i="10"/>
  <c r="J63" i="10" s="1"/>
  <c r="M63" i="10" s="1"/>
  <c r="N63" i="10" s="1"/>
  <c r="O63" i="10" s="1"/>
  <c r="H36" i="10"/>
  <c r="J36" i="10" s="1"/>
  <c r="M36" i="10" s="1"/>
  <c r="N36" i="10" s="1"/>
  <c r="O36" i="10" s="1"/>
  <c r="H108" i="10"/>
  <c r="J108" i="10" s="1"/>
  <c r="M108" i="10" s="1"/>
  <c r="N108" i="10" s="1"/>
  <c r="O108" i="10" s="1"/>
  <c r="H88" i="10"/>
  <c r="J88" i="10" s="1"/>
  <c r="M88" i="10" s="1"/>
  <c r="N88" i="10" s="1"/>
  <c r="O88" i="10" s="1"/>
  <c r="G80" i="10"/>
  <c r="G19" i="10"/>
  <c r="H109" i="10"/>
  <c r="J109" i="10" s="1"/>
  <c r="M109" i="10" s="1"/>
  <c r="N109" i="10" s="1"/>
  <c r="O109" i="10" s="1"/>
  <c r="H73" i="10"/>
  <c r="J73" i="10" s="1"/>
  <c r="M73" i="10" s="1"/>
  <c r="N73" i="10" s="1"/>
  <c r="O73" i="10" s="1"/>
  <c r="G112" i="10"/>
  <c r="H46" i="10"/>
  <c r="J46" i="10" s="1"/>
  <c r="M46" i="10" s="1"/>
  <c r="N46" i="10" s="1"/>
  <c r="O46" i="10" s="1"/>
  <c r="G30" i="10"/>
  <c r="H57" i="10"/>
  <c r="J57" i="10" s="1"/>
  <c r="M57" i="10" s="1"/>
  <c r="N57" i="10" s="1"/>
  <c r="O57" i="10" s="1"/>
  <c r="H71" i="10"/>
  <c r="J71" i="10" s="1"/>
  <c r="M71" i="10" s="1"/>
  <c r="N71" i="10" s="1"/>
  <c r="O71" i="10" s="1"/>
  <c r="H104" i="10"/>
  <c r="J104" i="10" s="1"/>
  <c r="M104" i="10" s="1"/>
  <c r="N104" i="10" s="1"/>
  <c r="O104" i="10" s="1"/>
  <c r="H113" i="10"/>
  <c r="J113" i="10" s="1"/>
  <c r="M113" i="10" s="1"/>
  <c r="N113" i="10" s="1"/>
  <c r="O113" i="10" s="1"/>
  <c r="H51" i="10"/>
  <c r="J51" i="10" s="1"/>
  <c r="M51" i="10" s="1"/>
  <c r="N51" i="10" s="1"/>
  <c r="O51" i="10" s="1"/>
  <c r="J72" i="10"/>
  <c r="M72" i="10" s="1"/>
  <c r="L72" i="10"/>
  <c r="J22" i="10"/>
  <c r="M22" i="10" s="1"/>
  <c r="L22" i="10"/>
  <c r="J82" i="10"/>
  <c r="M82" i="10" s="1"/>
  <c r="L82" i="10"/>
  <c r="J112" i="10"/>
  <c r="M112" i="10" s="1"/>
  <c r="L112" i="10"/>
  <c r="L87" i="10"/>
  <c r="J87" i="10"/>
  <c r="M87" i="10" s="1"/>
  <c r="L55" i="10"/>
  <c r="J55" i="10"/>
  <c r="M55" i="10" s="1"/>
  <c r="J75" i="10"/>
  <c r="M75" i="10" s="1"/>
  <c r="L75" i="10"/>
  <c r="J100" i="10"/>
  <c r="M100" i="10" s="1"/>
  <c r="L100" i="10"/>
  <c r="J62" i="10"/>
  <c r="M62" i="10" s="1"/>
  <c r="L62" i="10"/>
  <c r="J69" i="10"/>
  <c r="M69" i="10" s="1"/>
  <c r="L69" i="10"/>
  <c r="L83" i="10"/>
  <c r="J83" i="10"/>
  <c r="M83" i="10" s="1"/>
  <c r="J76" i="10"/>
  <c r="M76" i="10" s="1"/>
  <c r="L76" i="10"/>
  <c r="J105" i="10"/>
  <c r="M105" i="10" s="1"/>
  <c r="L105" i="10"/>
  <c r="L19" i="10"/>
  <c r="J19" i="10"/>
  <c r="M19" i="10" s="1"/>
  <c r="J48" i="10"/>
  <c r="M48" i="10" s="1"/>
  <c r="L48" i="10"/>
  <c r="J81" i="10"/>
  <c r="M81" i="10" s="1"/>
  <c r="L81" i="10"/>
  <c r="J43" i="10"/>
  <c r="M43" i="10" s="1"/>
  <c r="L43" i="10"/>
  <c r="J42" i="10"/>
  <c r="M42" i="10" s="1"/>
  <c r="L42" i="10"/>
  <c r="J50" i="10"/>
  <c r="M50" i="10" s="1"/>
  <c r="N50" i="10" s="1"/>
  <c r="O50" i="10" s="1"/>
  <c r="L50" i="10"/>
  <c r="J30" i="10"/>
  <c r="M30" i="10" s="1"/>
  <c r="L30" i="10"/>
  <c r="J68" i="10"/>
  <c r="M68" i="10" s="1"/>
  <c r="L68" i="10"/>
  <c r="J102" i="10"/>
  <c r="M102" i="10" s="1"/>
  <c r="L102" i="10"/>
  <c r="J94" i="10"/>
  <c r="M94" i="10" s="1"/>
  <c r="L94" i="10"/>
  <c r="J25" i="10"/>
  <c r="M25" i="10" s="1"/>
  <c r="L25" i="10"/>
  <c r="J53" i="10"/>
  <c r="M53" i="10" s="1"/>
  <c r="L53" i="10"/>
  <c r="J84" i="10"/>
  <c r="M84" i="10" s="1"/>
  <c r="L84" i="10"/>
  <c r="J35" i="10"/>
  <c r="M35" i="10" s="1"/>
  <c r="L35" i="10"/>
  <c r="J33" i="10"/>
  <c r="M33" i="10" s="1"/>
  <c r="L33" i="10"/>
  <c r="J92" i="10"/>
  <c r="M92" i="10" s="1"/>
  <c r="L92" i="10"/>
  <c r="G68" i="10"/>
  <c r="J39" i="10"/>
  <c r="M39" i="10" s="1"/>
  <c r="L39" i="10"/>
  <c r="G84" i="10"/>
  <c r="L99" i="10"/>
  <c r="G22" i="10"/>
  <c r="J31" i="10"/>
  <c r="M31" i="10" s="1"/>
  <c r="L31" i="10"/>
  <c r="H77" i="10"/>
  <c r="H24" i="10"/>
  <c r="L88" i="10"/>
  <c r="H101" i="10"/>
  <c r="L66" i="10"/>
  <c r="G35" i="10"/>
  <c r="L78" i="10"/>
  <c r="H85" i="10"/>
  <c r="G33" i="10"/>
  <c r="J86" i="10"/>
  <c r="M86" i="10" s="1"/>
  <c r="L86" i="10"/>
  <c r="G92" i="10"/>
  <c r="G82" i="10"/>
  <c r="H65" i="10"/>
  <c r="L46" i="10"/>
  <c r="J64" i="10"/>
  <c r="M64" i="10" s="1"/>
  <c r="L64" i="10"/>
  <c r="J37" i="10"/>
  <c r="M37" i="10" s="1"/>
  <c r="L37" i="10"/>
  <c r="J29" i="10"/>
  <c r="M29" i="10" s="1"/>
  <c r="L29" i="10"/>
  <c r="J38" i="10"/>
  <c r="M38" i="10" s="1"/>
  <c r="L38" i="10"/>
  <c r="J67" i="10"/>
  <c r="M67" i="10" s="1"/>
  <c r="N67" i="10" s="1"/>
  <c r="O67" i="10" s="1"/>
  <c r="L67" i="10"/>
  <c r="J74" i="10"/>
  <c r="M74" i="10" s="1"/>
  <c r="N74" i="10" s="1"/>
  <c r="O74" i="10" s="1"/>
  <c r="L74" i="10"/>
  <c r="L57" i="10"/>
  <c r="L40" i="10"/>
  <c r="L44" i="10"/>
  <c r="L70" i="10"/>
  <c r="L89" i="10"/>
  <c r="L107" i="10"/>
  <c r="L109" i="10"/>
  <c r="L73" i="10"/>
  <c r="L90" i="10"/>
  <c r="L97" i="10"/>
  <c r="L56" i="10"/>
  <c r="L28" i="10"/>
  <c r="L36" i="10"/>
  <c r="L27" i="10"/>
  <c r="L60" i="10"/>
  <c r="L59" i="10"/>
  <c r="H49" i="10"/>
  <c r="G53" i="10"/>
  <c r="H96" i="10"/>
  <c r="H111" i="10"/>
  <c r="H41" i="10"/>
  <c r="G102" i="10"/>
  <c r="H61" i="10"/>
  <c r="G94" i="10"/>
  <c r="H20" i="10"/>
  <c r="L54" i="10"/>
  <c r="L71" i="10"/>
  <c r="J21" i="10"/>
  <c r="M21" i="10" s="1"/>
  <c r="L21" i="10"/>
  <c r="L51" i="10"/>
  <c r="L108" i="10"/>
  <c r="L34" i="10"/>
  <c r="L52" i="10"/>
  <c r="L79" i="10"/>
  <c r="L104" i="10"/>
  <c r="L23" i="10"/>
  <c r="L45" i="10"/>
  <c r="H95" i="10"/>
  <c r="H110" i="10"/>
  <c r="G83" i="10"/>
  <c r="J58" i="10"/>
  <c r="M58" i="10" s="1"/>
  <c r="L58" i="10"/>
  <c r="G75" i="10"/>
  <c r="J106" i="10"/>
  <c r="M106" i="10" s="1"/>
  <c r="L106" i="10"/>
  <c r="H47" i="10"/>
  <c r="H93" i="10"/>
  <c r="L103" i="10"/>
  <c r="H98" i="10"/>
  <c r="G100" i="10"/>
  <c r="G62" i="10"/>
  <c r="L32" i="10"/>
  <c r="H91" i="10"/>
  <c r="G69" i="10"/>
  <c r="J80" i="10"/>
  <c r="M80" i="10" s="1"/>
  <c r="L80" i="10"/>
  <c r="G76" i="10"/>
  <c r="J26" i="10"/>
  <c r="M26" i="10" s="1"/>
  <c r="N26" i="10" s="1"/>
  <c r="O26" i="10" s="1"/>
  <c r="L26" i="10"/>
  <c r="L63" i="10"/>
  <c r="L113" i="10"/>
  <c r="N15" i="10"/>
  <c r="O15" i="10" s="1"/>
  <c r="H16" i="10"/>
  <c r="L16" i="10" s="1"/>
  <c r="H17" i="10"/>
  <c r="L17" i="10" s="1"/>
  <c r="G18" i="10"/>
  <c r="G14" i="10"/>
  <c r="J18" i="10"/>
  <c r="M18" i="10" s="1"/>
  <c r="E11" i="13"/>
  <c r="F11" i="13"/>
  <c r="F12" i="10"/>
  <c r="N105" i="10" l="1"/>
  <c r="O105" i="10" s="1"/>
  <c r="N58" i="10"/>
  <c r="O58" i="10" s="1"/>
  <c r="N31" i="10"/>
  <c r="O31" i="10" s="1"/>
  <c r="N37" i="10"/>
  <c r="O37" i="10" s="1"/>
  <c r="N72" i="10"/>
  <c r="O72" i="10" s="1"/>
  <c r="N38" i="10"/>
  <c r="O38" i="10" s="1"/>
  <c r="N64" i="10"/>
  <c r="O64" i="10" s="1"/>
  <c r="N25" i="10"/>
  <c r="O25" i="10" s="1"/>
  <c r="N86" i="10"/>
  <c r="O86" i="10" s="1"/>
  <c r="N48" i="10"/>
  <c r="O48" i="10" s="1"/>
  <c r="N19" i="10"/>
  <c r="O19" i="10" s="1"/>
  <c r="N55" i="10"/>
  <c r="O55" i="10" s="1"/>
  <c r="N87" i="10"/>
  <c r="O87" i="10" s="1"/>
  <c r="N30" i="10"/>
  <c r="O30" i="10" s="1"/>
  <c r="N42" i="10"/>
  <c r="O42" i="10" s="1"/>
  <c r="N29" i="10"/>
  <c r="O29" i="10" s="1"/>
  <c r="N81" i="10"/>
  <c r="O81" i="10" s="1"/>
  <c r="N21" i="10"/>
  <c r="O21" i="10" s="1"/>
  <c r="N39" i="10"/>
  <c r="O39" i="10" s="1"/>
  <c r="N80" i="10"/>
  <c r="O80" i="10" s="1"/>
  <c r="N43" i="10"/>
  <c r="O43" i="10" s="1"/>
  <c r="N106" i="10"/>
  <c r="O106" i="10" s="1"/>
  <c r="N112" i="10"/>
  <c r="O112" i="10" s="1"/>
  <c r="N68" i="10"/>
  <c r="O68" i="10" s="1"/>
  <c r="N84" i="10"/>
  <c r="O84" i="10" s="1"/>
  <c r="J41" i="10"/>
  <c r="M41" i="10" s="1"/>
  <c r="N41" i="10" s="1"/>
  <c r="O41" i="10" s="1"/>
  <c r="L41" i="10"/>
  <c r="N33" i="10"/>
  <c r="O33" i="10" s="1"/>
  <c r="N76" i="10"/>
  <c r="O76" i="10" s="1"/>
  <c r="N100" i="10"/>
  <c r="O100" i="10" s="1"/>
  <c r="J101" i="10"/>
  <c r="M101" i="10" s="1"/>
  <c r="N101" i="10" s="1"/>
  <c r="O101" i="10" s="1"/>
  <c r="L101" i="10"/>
  <c r="J98" i="10"/>
  <c r="M98" i="10" s="1"/>
  <c r="N98" i="10" s="1"/>
  <c r="O98" i="10" s="1"/>
  <c r="L98" i="10"/>
  <c r="J111" i="10"/>
  <c r="M111" i="10" s="1"/>
  <c r="N111" i="10" s="1"/>
  <c r="O111" i="10" s="1"/>
  <c r="L111" i="10"/>
  <c r="J85" i="10"/>
  <c r="M85" i="10" s="1"/>
  <c r="N85" i="10" s="1"/>
  <c r="O85" i="10" s="1"/>
  <c r="L85" i="10"/>
  <c r="N83" i="10"/>
  <c r="O83" i="10" s="1"/>
  <c r="J96" i="10"/>
  <c r="M96" i="10" s="1"/>
  <c r="N96" i="10" s="1"/>
  <c r="O96" i="10" s="1"/>
  <c r="L96" i="10"/>
  <c r="J24" i="10"/>
  <c r="M24" i="10" s="1"/>
  <c r="N24" i="10" s="1"/>
  <c r="O24" i="10" s="1"/>
  <c r="L24" i="10"/>
  <c r="N35" i="10"/>
  <c r="O35" i="10" s="1"/>
  <c r="N94" i="10"/>
  <c r="O94" i="10" s="1"/>
  <c r="N75" i="10"/>
  <c r="O75" i="10" s="1"/>
  <c r="N82" i="10"/>
  <c r="O82" i="10" s="1"/>
  <c r="J65" i="10"/>
  <c r="M65" i="10" s="1"/>
  <c r="N65" i="10" s="1"/>
  <c r="O65" i="10" s="1"/>
  <c r="L65" i="10"/>
  <c r="L77" i="10"/>
  <c r="J77" i="10"/>
  <c r="M77" i="10" s="1"/>
  <c r="N77" i="10" s="1"/>
  <c r="O77" i="10" s="1"/>
  <c r="L91" i="10"/>
  <c r="J91" i="10"/>
  <c r="M91" i="10" s="1"/>
  <c r="N91" i="10" s="1"/>
  <c r="O91" i="10" s="1"/>
  <c r="J93" i="10"/>
  <c r="M93" i="10" s="1"/>
  <c r="N93" i="10" s="1"/>
  <c r="O93" i="10" s="1"/>
  <c r="L93" i="10"/>
  <c r="J110" i="10"/>
  <c r="M110" i="10" s="1"/>
  <c r="N110" i="10" s="1"/>
  <c r="O110" i="10" s="1"/>
  <c r="L110" i="10"/>
  <c r="L20" i="10"/>
  <c r="J20" i="10"/>
  <c r="M20" i="10" s="1"/>
  <c r="N20" i="10" s="1"/>
  <c r="O20" i="10" s="1"/>
  <c r="L49" i="10"/>
  <c r="J49" i="10"/>
  <c r="M49" i="10" s="1"/>
  <c r="N49" i="10" s="1"/>
  <c r="O49" i="10" s="1"/>
  <c r="N102" i="10"/>
  <c r="O102" i="10" s="1"/>
  <c r="N69" i="10"/>
  <c r="O69" i="10" s="1"/>
  <c r="N22" i="10"/>
  <c r="O22" i="10" s="1"/>
  <c r="J47" i="10"/>
  <c r="M47" i="10" s="1"/>
  <c r="N47" i="10" s="1"/>
  <c r="O47" i="10" s="1"/>
  <c r="L47" i="10"/>
  <c r="J95" i="10"/>
  <c r="M95" i="10" s="1"/>
  <c r="N95" i="10" s="1"/>
  <c r="O95" i="10" s="1"/>
  <c r="L95" i="10"/>
  <c r="J61" i="10"/>
  <c r="M61" i="10" s="1"/>
  <c r="N61" i="10" s="1"/>
  <c r="O61" i="10" s="1"/>
  <c r="L61" i="10"/>
  <c r="N92" i="10"/>
  <c r="O92" i="10" s="1"/>
  <c r="N53" i="10"/>
  <c r="O53" i="10" s="1"/>
  <c r="N62" i="10"/>
  <c r="O62" i="10" s="1"/>
  <c r="J16" i="10"/>
  <c r="M16" i="10" s="1"/>
  <c r="N16" i="10" s="1"/>
  <c r="O16" i="10" s="1"/>
  <c r="J17" i="10"/>
  <c r="M17" i="10" s="1"/>
  <c r="N17" i="10" s="1"/>
  <c r="O17" i="10" s="1"/>
  <c r="G12" i="10"/>
  <c r="N18" i="10"/>
  <c r="O18" i="10" s="1"/>
  <c r="J14" i="10"/>
  <c r="H12" i="10"/>
  <c r="L12" i="10" l="1"/>
  <c r="M14" i="10"/>
  <c r="J12" i="10"/>
  <c r="D17" i="13"/>
  <c r="M12" i="10" l="1"/>
  <c r="N14" i="10"/>
  <c r="E17" i="13"/>
  <c r="F17" i="13"/>
  <c r="G8" i="10"/>
  <c r="D4" i="10" s="1"/>
  <c r="O14" i="10" l="1"/>
  <c r="O12" i="10" s="1"/>
  <c r="O34" i="1" s="1"/>
  <c r="L41" i="1" s="1"/>
  <c r="L43" i="1" s="1"/>
  <c r="S45" i="1" s="1"/>
  <c r="L3" i="10" s="1"/>
  <c r="N12" i="10"/>
  <c r="H8" i="10"/>
  <c r="N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Mattavelli</author>
  </authors>
  <commentList>
    <comment ref="M4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Presupposto soggettivo</t>
        </r>
        <r>
          <rPr>
            <sz val="9"/>
            <color indexed="81"/>
            <rFont val="Tahoma"/>
            <family val="2"/>
          </rPr>
          <t xml:space="preserve"> Il trasferimento deve intervenire fra persone fisiche che non agiscano nell’esercizio di attività commerciali, artistiche o professionali. </t>
        </r>
        <r>
          <rPr>
            <b/>
            <sz val="9"/>
            <color indexed="81"/>
            <rFont val="Tahoma"/>
            <family val="2"/>
          </rPr>
          <t xml:space="preserve">
Presupposto oggettivo</t>
        </r>
        <r>
          <rPr>
            <sz val="9"/>
            <color indexed="81"/>
            <rFont val="Tahoma"/>
            <family val="2"/>
          </rPr>
          <t xml:space="preserve"> Il trasferimento deve riguardare immobili ad uso abitativo e relative pertinenze.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Mattavelli</author>
  </authors>
  <commentList>
    <comment ref="P3" authorId="0" shapeId="0" xr:uid="{00000000-0006-0000-0600-000001000000}">
      <text>
        <r>
          <rPr>
            <sz val="9"/>
            <color indexed="81"/>
            <rFont val="Tahoma"/>
            <family val="2"/>
          </rPr>
          <t xml:space="preserve">Abbiamo modificato la somma 
</t>
        </r>
      </text>
    </comment>
    <comment ref="V3" authorId="0" shapeId="0" xr:uid="{00000000-0006-0000-0600-000002000000}">
      <text>
        <r>
          <rPr>
            <sz val="9"/>
            <color indexed="81"/>
            <rFont val="Tahoma"/>
            <family val="2"/>
          </rPr>
          <t xml:space="preserve">Abbiamo modificato la formula: se la somma è negativa (per immobili merce) restituisce ora 0
</t>
        </r>
      </text>
    </comment>
    <comment ref="D4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Prezzo di acquisto o, in mancanza, dal
prezzo di costo dei beni o di beni simili, determinati nel momento in cui si effettuano tali operazioni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4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Presupposto soggettivo</t>
        </r>
        <r>
          <rPr>
            <sz val="9"/>
            <color indexed="81"/>
            <rFont val="Tahoma"/>
            <family val="2"/>
          </rPr>
          <t xml:space="preserve"> Il trasferimento deve intervenire fra persone fisiche che non agiscano nell’esercizio di attività commerciali, artistiche o professionali. </t>
        </r>
        <r>
          <rPr>
            <b/>
            <sz val="9"/>
            <color indexed="81"/>
            <rFont val="Tahoma"/>
            <family val="2"/>
          </rPr>
          <t xml:space="preserve">
Presupposto oggettivo</t>
        </r>
        <r>
          <rPr>
            <sz val="9"/>
            <color indexed="81"/>
            <rFont val="Tahoma"/>
            <family val="2"/>
          </rPr>
          <t xml:space="preserve"> Il trasferimento deve riguardare immobili ad uso abitativo e relative pertinenze.</t>
        </r>
      </text>
    </comment>
  </commentList>
</comments>
</file>

<file path=xl/sharedStrings.xml><?xml version="1.0" encoding="utf-8"?>
<sst xmlns="http://schemas.openxmlformats.org/spreadsheetml/2006/main" count="570" uniqueCount="415">
  <si>
    <t>Tipo società</t>
  </si>
  <si>
    <t>Nome</t>
  </si>
  <si>
    <t>Data iscrizione libro soci</t>
  </si>
  <si>
    <t>Agevolabile</t>
  </si>
  <si>
    <t>TIPO</t>
  </si>
  <si>
    <t>Società per azioni</t>
  </si>
  <si>
    <t>Società in accomandita per azioni</t>
  </si>
  <si>
    <t>Società a responsabilità limitata</t>
  </si>
  <si>
    <t>Società in nome collettivo</t>
  </si>
  <si>
    <t>Società in accomandita semplice</t>
  </si>
  <si>
    <t>IRES</t>
  </si>
  <si>
    <t>IRPEF</t>
  </si>
  <si>
    <t>Tassazione</t>
  </si>
  <si>
    <t>Bene</t>
  </si>
  <si>
    <t>Strumentale per destinazione</t>
  </si>
  <si>
    <t>No</t>
  </si>
  <si>
    <t>Categoria Catastale</t>
  </si>
  <si>
    <t>Sì</t>
  </si>
  <si>
    <t>A/1</t>
  </si>
  <si>
    <t>Abitazioni di tipo signorile</t>
  </si>
  <si>
    <t>A/2</t>
  </si>
  <si>
    <t>Abitazioni di tipo civile</t>
  </si>
  <si>
    <t>A/3</t>
  </si>
  <si>
    <t>Abitazioni di tipo economico</t>
  </si>
  <si>
    <t>A/4</t>
  </si>
  <si>
    <t>Abitazioni di tipo popolare</t>
  </si>
  <si>
    <t>A/5</t>
  </si>
  <si>
    <t>Abitazioni di tipo ultrapopolare</t>
  </si>
  <si>
    <t>A/6</t>
  </si>
  <si>
    <t>Abitazioni di tipo rurale</t>
  </si>
  <si>
    <t>A/7</t>
  </si>
  <si>
    <t>Abitazioni in villini</t>
  </si>
  <si>
    <t>A/8</t>
  </si>
  <si>
    <t>Abitazioni in ville</t>
  </si>
  <si>
    <t>A/9</t>
  </si>
  <si>
    <t>Castelli, palazzi di eminenti pregi artistici o storici</t>
  </si>
  <si>
    <t>A/10</t>
  </si>
  <si>
    <t>Uffici e studi privati</t>
  </si>
  <si>
    <t>A/11</t>
  </si>
  <si>
    <t>Abitazioni ed alloggi tipici dei luoghi</t>
  </si>
  <si>
    <t>B/1</t>
  </si>
  <si>
    <t>Collegi e convitti, educandati; ricoveri; orfanotrofi; ospizi; conventi;</t>
  </si>
  <si>
    <t>B/2</t>
  </si>
  <si>
    <t>Case di cura ed ospedali (senza fine di lucro)</t>
  </si>
  <si>
    <t>B/3</t>
  </si>
  <si>
    <t>Prigioni e riformatori</t>
  </si>
  <si>
    <t>B/4</t>
  </si>
  <si>
    <t>Uffici pubblici</t>
  </si>
  <si>
    <t>B/5</t>
  </si>
  <si>
    <t>Scuole e laboratori scientifici</t>
  </si>
  <si>
    <t>B/6</t>
  </si>
  <si>
    <t>B/7</t>
  </si>
  <si>
    <t>Cappelle ed oratori non destinati all’esercizio pubblico del culto</t>
  </si>
  <si>
    <t>B/8</t>
  </si>
  <si>
    <t>Magazzini sotterranei per depositi di derrate</t>
  </si>
  <si>
    <t>C/1</t>
  </si>
  <si>
    <t>Negozi e botteghe</t>
  </si>
  <si>
    <t>C/2</t>
  </si>
  <si>
    <t>Magazzini e locali di deposito</t>
  </si>
  <si>
    <t>C/3</t>
  </si>
  <si>
    <t>Laboratori per arti e mestieri</t>
  </si>
  <si>
    <t>C/4</t>
  </si>
  <si>
    <t>Fabbricati e locali per esercizi sportivi (senza fine di lucro)</t>
  </si>
  <si>
    <t>C/5</t>
  </si>
  <si>
    <t>Stabilimenti balneari e di acque curative (senza fine di lucro)</t>
  </si>
  <si>
    <t>C/6</t>
  </si>
  <si>
    <t>Stalle, scuderie, rimesse, autorimesse (senza fine di lucro)</t>
  </si>
  <si>
    <t>C/7</t>
  </si>
  <si>
    <t>Tettoie chiuse od aperte</t>
  </si>
  <si>
    <t>D/1</t>
  </si>
  <si>
    <t>Opifici</t>
  </si>
  <si>
    <t>D/2</t>
  </si>
  <si>
    <t>Alberghi e pensioni (con fine di lucro)</t>
  </si>
  <si>
    <t>D/3</t>
  </si>
  <si>
    <t>Teatri, cinematografi, sale per concerti e spettacoli e simili (con fine di lucro)</t>
  </si>
  <si>
    <t>D/4</t>
  </si>
  <si>
    <t>Case di cura ed ospedali (con fine di lucro)</t>
  </si>
  <si>
    <t>D/5</t>
  </si>
  <si>
    <t>Istituto di credito, cambio e assicurazione (con fine di lucro)</t>
  </si>
  <si>
    <t>D/6</t>
  </si>
  <si>
    <t>Fabbricati e locali per esercizi sportivi (con fine di lucro)</t>
  </si>
  <si>
    <t>D/7</t>
  </si>
  <si>
    <t>D/8</t>
  </si>
  <si>
    <t>D/9</t>
  </si>
  <si>
    <t>D/10</t>
  </si>
  <si>
    <t>Fabbricati per funzioni produttive connesse alle attività agricole.</t>
  </si>
  <si>
    <t>Cat</t>
  </si>
  <si>
    <t>Descr</t>
  </si>
  <si>
    <t>Biblioteche, pinacoteche, musei, gallerie, accademie che non hanno sede in edifici della categoria A/9</t>
  </si>
  <si>
    <t>Fabbricati costruiti o adattati per le speciali esigenze di un’attività industriale e non suscettibili di destinazione diversa senza radicali trasformazioni.</t>
  </si>
  <si>
    <t>Fabbricati costruiti o adattati per le speciali esigenze di un’attività commerciale e non suscettibili di destinazione diversa senza radicali trasformazioni</t>
  </si>
  <si>
    <t>Edifici galleggianti o sospesi assicurati a punti fissi del suolo, ponti privati soggetti a pedaggio.</t>
  </si>
  <si>
    <t>Rendita catastale</t>
  </si>
  <si>
    <t>Moltiplicatore</t>
  </si>
  <si>
    <t>Prima Casa</t>
  </si>
  <si>
    <t>Aliquota applicabile</t>
  </si>
  <si>
    <t>Valore catastale</t>
  </si>
  <si>
    <t>Valore Normale</t>
  </si>
  <si>
    <t>Dati di bilancio</t>
  </si>
  <si>
    <t>Quota di assegnazione</t>
  </si>
  <si>
    <t>Socio</t>
  </si>
  <si>
    <t>PF</t>
  </si>
  <si>
    <t>Costo della Partecipaz.</t>
  </si>
  <si>
    <t>Tipo (PF)</t>
  </si>
  <si>
    <t>Capitale sociale</t>
  </si>
  <si>
    <t>Riserve di utili</t>
  </si>
  <si>
    <t>Riserve di capitale</t>
  </si>
  <si>
    <t>Comodo</t>
  </si>
  <si>
    <t>Beni assegnati</t>
  </si>
  <si>
    <t>Base</t>
  </si>
  <si>
    <t>Molt.</t>
  </si>
  <si>
    <t>Magg.</t>
  </si>
  <si>
    <t>Ult. Riv.</t>
  </si>
  <si>
    <t>Val. Cat.</t>
  </si>
  <si>
    <t>A (escluso A/10)</t>
  </si>
  <si>
    <t>Reddito Dominicale</t>
  </si>
  <si>
    <t>Rendita Catastale</t>
  </si>
  <si>
    <t>A prima casa</t>
  </si>
  <si>
    <t>B</t>
  </si>
  <si>
    <t>C (escluso C/1)</t>
  </si>
  <si>
    <t>D</t>
  </si>
  <si>
    <t>E</t>
  </si>
  <si>
    <t>Ris. in sosp. di imposta</t>
  </si>
  <si>
    <t>- Totale  valore fiscale (B)</t>
  </si>
  <si>
    <t>PATRIMONIO NETTO</t>
  </si>
  <si>
    <t>Base netta</t>
  </si>
  <si>
    <t>Utili</t>
  </si>
  <si>
    <t>Riserve</t>
  </si>
  <si>
    <t>Disponibile</t>
  </si>
  <si>
    <t>Residuo</t>
  </si>
  <si>
    <t>Totale Redditi</t>
  </si>
  <si>
    <t>Totale attribuito</t>
  </si>
  <si>
    <t>Valore Part.</t>
  </si>
  <si>
    <t>PG</t>
  </si>
  <si>
    <t>PEX</t>
  </si>
  <si>
    <t>TAX</t>
  </si>
  <si>
    <t>% Imp. Div.</t>
  </si>
  <si>
    <t>Quadro di controllo</t>
  </si>
  <si>
    <t>Tutti i beni in tabella sono stati assegnati</t>
  </si>
  <si>
    <t>La ripartizione delle quote somma 100%</t>
  </si>
  <si>
    <t>% Cap</t>
  </si>
  <si>
    <t>% Beni</t>
  </si>
  <si>
    <t>Totale</t>
  </si>
  <si>
    <t>Affrancamento Riserve: 13%</t>
  </si>
  <si>
    <t xml:space="preserve">   Totale valore normale o di cessione Beni (A)</t>
  </si>
  <si>
    <t>TIPO SOCIETA'</t>
  </si>
  <si>
    <t>Immobili abitativi</t>
  </si>
  <si>
    <t>Impresa di costruzione o ristrutturazione che ha ultimato l'intervento da non oltre 5 anni</t>
  </si>
  <si>
    <t>Lusso</t>
  </si>
  <si>
    <t>IVA</t>
  </si>
  <si>
    <t>Registro</t>
  </si>
  <si>
    <t>Case non A/1, A/8 o A/9</t>
  </si>
  <si>
    <t>Impresa di costruzione o ristrutturazione che ha ultimato l'intervento da  oltre 5 anni</t>
  </si>
  <si>
    <t>imponibile per obbligo</t>
  </si>
  <si>
    <t xml:space="preserve">IMPONIBILE   </t>
  </si>
  <si>
    <t>Non Prima casa</t>
  </si>
  <si>
    <t>Altri soggetti IVA diversi dall'impresa di costruzione o ristrutturazione</t>
  </si>
  <si>
    <t>Esente</t>
  </si>
  <si>
    <t>Chiunque ha acquistato il fabbricato senza addebito dell'IVA (solo assegnazioni)</t>
  </si>
  <si>
    <t>Fuori Campo</t>
  </si>
  <si>
    <t>Esente in assenza di opzione</t>
  </si>
  <si>
    <t>Terreno Agricolo</t>
  </si>
  <si>
    <t>Terreno Edificabile</t>
  </si>
  <si>
    <t>Terreno non Edificabile né Agricolo</t>
  </si>
  <si>
    <t>Fuori Campo (altri casi)</t>
  </si>
  <si>
    <t>Atri Beni</t>
  </si>
  <si>
    <t>Ipotecaria Catastale</t>
  </si>
  <si>
    <t>Tipologia</t>
  </si>
  <si>
    <t>TIPO BENE</t>
  </si>
  <si>
    <t>imponibile per opzione</t>
  </si>
  <si>
    <t xml:space="preserve">Imponibile </t>
  </si>
  <si>
    <t>Chiunque</t>
  </si>
  <si>
    <t>Immobili</t>
  </si>
  <si>
    <t>agevolabile</t>
  </si>
  <si>
    <t>IpoCat</t>
  </si>
  <si>
    <t>Immobili strumentali</t>
  </si>
  <si>
    <t>Imposte indirette</t>
  </si>
  <si>
    <t>Registro e IC</t>
  </si>
  <si>
    <t>Il patrimonio netto si è ridotto correttamente</t>
  </si>
  <si>
    <t>Iscritto a Bilancio come</t>
  </si>
  <si>
    <t>Effetti contabili</t>
  </si>
  <si>
    <t>Fuori Campo (cessionario IAP)</t>
  </si>
  <si>
    <t>Immobili abitativi - Prima casa da impresa costr. (&lt; 5 anni o Iva per opzione)</t>
  </si>
  <si>
    <t>Immobili lusso da impresa costr. (&lt; 5 anni o Iva per opzione)</t>
  </si>
  <si>
    <t>RegistroFisso</t>
  </si>
  <si>
    <t>RegistroAG</t>
  </si>
  <si>
    <t>RegProp</t>
  </si>
  <si>
    <t>RegPropAG</t>
  </si>
  <si>
    <t>IpoCatAG</t>
  </si>
  <si>
    <t>I soci sono tutti agevolabili</t>
  </si>
  <si>
    <t>Gli immobili sono tutti agevolabili</t>
  </si>
  <si>
    <t>Valore normale</t>
  </si>
  <si>
    <t>Valore Fiscalmente riconosciuto</t>
  </si>
  <si>
    <t>Anno Acquisizione o ultimazione</t>
  </si>
  <si>
    <t>Tassazione diretta senza agevolazione</t>
  </si>
  <si>
    <t>Iva se dovuta</t>
  </si>
  <si>
    <t>Imposta di registro senza agevolazione</t>
  </si>
  <si>
    <t>Ipotecaria e catastale senza agevolazione</t>
  </si>
  <si>
    <t>Imposta di registro agevolata</t>
  </si>
  <si>
    <t>Ipotecaria catastale agevolata</t>
  </si>
  <si>
    <t>Tassazione totale senza agevolazione</t>
  </si>
  <si>
    <t>Risparmio</t>
  </si>
  <si>
    <t>IRAP</t>
  </si>
  <si>
    <t>Valore Catastale</t>
  </si>
  <si>
    <t>IpocatProp</t>
  </si>
  <si>
    <t>Valore ai fini dell'atto</t>
  </si>
  <si>
    <t>Altre imposte</t>
  </si>
  <si>
    <t>Dirette sui soci</t>
  </si>
  <si>
    <t>Dirette non ag.</t>
  </si>
  <si>
    <t>Imposte sostitutive con agevolazione</t>
  </si>
  <si>
    <t>Società trasparente</t>
  </si>
  <si>
    <t>IdPratica</t>
  </si>
  <si>
    <t>Nome Pratica</t>
  </si>
  <si>
    <t>Assegnazione</t>
  </si>
  <si>
    <t>Cessione</t>
  </si>
  <si>
    <t>Quota partecipazione al momento dell'operazione</t>
  </si>
  <si>
    <t>Soci (o nudi proprietari) al</t>
  </si>
  <si>
    <t>Netto assegnato (Costo fiscale del bene in capo al socio)</t>
  </si>
  <si>
    <t>Riduzione utili e riserve</t>
  </si>
  <si>
    <t>Iva portata in detrazione</t>
  </si>
  <si>
    <t>Anno</t>
  </si>
  <si>
    <t>Rettifica della detrazione</t>
  </si>
  <si>
    <t>Eventuale rettifica della detrazione a norma dell’art. 19-bis2</t>
  </si>
  <si>
    <t>Anni residui</t>
  </si>
  <si>
    <t>Indirette non agevolate</t>
  </si>
  <si>
    <t>AnniRett</t>
  </si>
  <si>
    <t>Anni da considerare ai fini della rett.</t>
  </si>
  <si>
    <t>Valore dichiarato in atto (se diverso da catastale)</t>
  </si>
  <si>
    <t>Imponibile IVA</t>
  </si>
  <si>
    <t>Accollo debiti</t>
  </si>
  <si>
    <t>Studio</t>
  </si>
  <si>
    <t>Cliente</t>
  </si>
  <si>
    <t>Ind. Studio</t>
  </si>
  <si>
    <t>Indirizzo</t>
  </si>
  <si>
    <t>Cap-Città</t>
  </si>
  <si>
    <t>P. IVA - C.F.</t>
  </si>
  <si>
    <t>Ante operazioni</t>
  </si>
  <si>
    <t>Valori annullati</t>
  </si>
  <si>
    <t>Imponibile</t>
  </si>
  <si>
    <t>Affrancamento riserve 13%</t>
  </si>
  <si>
    <t>Imposta</t>
  </si>
  <si>
    <t>Terreni</t>
  </si>
  <si>
    <t>Valori residui</t>
  </si>
  <si>
    <t>% Assegnata</t>
  </si>
  <si>
    <t>% Capitale</t>
  </si>
  <si>
    <t>Valore  contabile bene assegnato</t>
  </si>
  <si>
    <t>Valore fiscale ai fini della Tassazione soci</t>
  </si>
  <si>
    <t>%</t>
  </si>
  <si>
    <t>Importo</t>
  </si>
  <si>
    <t>Dividendi da "Sottozero"</t>
  </si>
  <si>
    <t>Terreno Agricolo (cessionario Colt. Diretto o IAP)</t>
  </si>
  <si>
    <t>Valore inserito manualmente</t>
  </si>
  <si>
    <t>Imponibile Iva</t>
  </si>
  <si>
    <t>VN</t>
  </si>
  <si>
    <t>:</t>
  </si>
  <si>
    <t>VC</t>
  </si>
  <si>
    <t>VF</t>
  </si>
  <si>
    <t>Valore Fiscale</t>
  </si>
  <si>
    <t>VP_1</t>
  </si>
  <si>
    <t>% Riserve sul totale distribuito</t>
  </si>
  <si>
    <t>IIS</t>
  </si>
  <si>
    <t>Importo Imposta Sostitutiva</t>
  </si>
  <si>
    <t>VB</t>
  </si>
  <si>
    <t>Valore Beni in capo ai soci</t>
  </si>
  <si>
    <t>VP_2</t>
  </si>
  <si>
    <t>RS</t>
  </si>
  <si>
    <t>Reddito sottozero</t>
  </si>
  <si>
    <t>Valore partecipazione post operazione</t>
  </si>
  <si>
    <t>Valore partecipazione ante operazione</t>
  </si>
  <si>
    <t>DS</t>
  </si>
  <si>
    <t>Dividendi socio</t>
  </si>
  <si>
    <t>Formule</t>
  </si>
  <si>
    <t>Definizione</t>
  </si>
  <si>
    <t>Sigla</t>
  </si>
  <si>
    <t>Ris</t>
  </si>
  <si>
    <t>Caso1</t>
  </si>
  <si>
    <t>Caso2</t>
  </si>
  <si>
    <t>Caso3</t>
  </si>
  <si>
    <t>Caso4</t>
  </si>
  <si>
    <t>Caso5</t>
  </si>
  <si>
    <t>Caso6</t>
  </si>
  <si>
    <t>Caso7</t>
  </si>
  <si>
    <t>Maggior IRPEF/Sostitutiva</t>
  </si>
  <si>
    <t>Aliquota Marginale socio/Tassazione sostitutiva</t>
  </si>
  <si>
    <t>Valore Normale attribuito</t>
  </si>
  <si>
    <t>Eventuale conguaglio spettante</t>
  </si>
  <si>
    <t>Dividendo teorico distribuito</t>
  </si>
  <si>
    <t>Imposta sostitutiva sulle riserve in sospensione d’imposta annullate per effetto dell’assegnazione dei beni ai soci o società trasformate</t>
  </si>
  <si>
    <t>Imposta sostitutiva per l’assegnazione, cessione dei beni ai soci o società trasformate</t>
  </si>
  <si>
    <t>ID</t>
  </si>
  <si>
    <t>CODTRIB</t>
  </si>
  <si>
    <t>DESCR</t>
  </si>
  <si>
    <t xml:space="preserve">Imposta sostitutiva per l’estromissione dei beni immobili strumentali dall’impresa individuale </t>
  </si>
  <si>
    <t>Anno di riferimento</t>
  </si>
  <si>
    <t>Codice tributo (assegnazione, cessione e società trasformate)</t>
  </si>
  <si>
    <t>Codice tributo sospensione d'imposte</t>
  </si>
  <si>
    <t>Tot importi</t>
  </si>
  <si>
    <t>Tot Importi</t>
  </si>
  <si>
    <t>Importo 60% cod 1836</t>
  </si>
  <si>
    <t>Importo 40% cod 1837</t>
  </si>
  <si>
    <t>Importo 60% cod 1837</t>
  </si>
  <si>
    <t>Importo 40% cod 1836</t>
  </si>
  <si>
    <t xml:space="preserve">Anno di riferimento </t>
  </si>
  <si>
    <t xml:space="preserve">0 0 </t>
  </si>
  <si>
    <t>INT</t>
  </si>
  <si>
    <t>DEC</t>
  </si>
  <si>
    <t>Valore contabile attribuito</t>
  </si>
  <si>
    <t>Valore netto contabile fiscalmente riconosciuto</t>
  </si>
  <si>
    <t>Ricavi - Variazioni delle rimanenze</t>
  </si>
  <si>
    <t>Effetto sul ROL</t>
  </si>
  <si>
    <t>Imposta sostitutiva</t>
  </si>
  <si>
    <t>= Base imponibile (A-B) (*)</t>
  </si>
  <si>
    <t xml:space="preserve">Il pagamento della imposta sostitutiva del 13 per cento libera le riserve utilizzate in sede di assegnazione ed è definitivo e liberatorio anche per i soci assegnatari di qualsiasi ulteriore tassazione. </t>
  </si>
  <si>
    <t>Futura tassazione della distribuzione delle riserve generate</t>
  </si>
  <si>
    <t>Riserve generate</t>
  </si>
  <si>
    <t>Opzione per prezzo-valore (s/n)</t>
  </si>
  <si>
    <t>Effetti sull'imponibile IRAP</t>
  </si>
  <si>
    <t>Effetti sull'imponibile IRES</t>
  </si>
  <si>
    <t>Imposta di registro in misura fissa</t>
  </si>
  <si>
    <t>Imposta di registro prop.</t>
  </si>
  <si>
    <t>Imposta di registro (fissa + prop) senza agevolazione</t>
  </si>
  <si>
    <t>Imposta di registro in misura fissa agevolata</t>
  </si>
  <si>
    <t>Imposta di registro prop. Agevolata</t>
  </si>
  <si>
    <t>Totale imposta di registro</t>
  </si>
  <si>
    <t>Valore ai fini dell'imposta di registro</t>
  </si>
  <si>
    <t>Imponibile Imposta sostitutiva</t>
  </si>
  <si>
    <t>Totale Tassazione agevolata</t>
  </si>
  <si>
    <t>Immobili abitativi da costruttrici &lt;5 anni (Iva per obbligo) o Iva per opzione</t>
  </si>
  <si>
    <t>Immobili abitativi (&gt;5 anni o Opzione no IVA)</t>
  </si>
  <si>
    <t>Immobili abitativi - Prima casa  (&gt;5 anni o Opzione no IVA)</t>
  </si>
  <si>
    <t>Immobili abitativi acquistati senza addebito IVA</t>
  </si>
  <si>
    <t>Fuori campo IVA</t>
  </si>
  <si>
    <t>Immobili abitativi - Prima casa acquistati senza addebito IVA</t>
  </si>
  <si>
    <t>Immobili Strumentali &lt;5 anni (Iva per obbligo) o Iva per opzione</t>
  </si>
  <si>
    <t>Immobili Strumentali &gt;5 anni o no Iva per opzione</t>
  </si>
  <si>
    <t>Immobili strumentali acquistati senza addebito IVA dest. Commerciale</t>
  </si>
  <si>
    <t>Immobili strumentali acquistato senza addebito IVA altre destinazioni</t>
  </si>
  <si>
    <t>Altri Beni</t>
  </si>
  <si>
    <t>Imponibile 22%</t>
  </si>
  <si>
    <t>Imponibile 4%</t>
  </si>
  <si>
    <t>Imponibile 10%</t>
  </si>
  <si>
    <t>Fattura</t>
  </si>
  <si>
    <t>COSTO OPERAZIONE CON AGEVOLAZIONE</t>
  </si>
  <si>
    <t>COSTO CESSIONE SENZA AGEVOLAZIONE</t>
  </si>
  <si>
    <t>RISPARMIO</t>
  </si>
  <si>
    <t>Valore normale assegnato</t>
  </si>
  <si>
    <t>Tassazione su finanziamenti</t>
  </si>
  <si>
    <t>Tassazione finanziamenti (3%)</t>
  </si>
  <si>
    <t>Min</t>
  </si>
  <si>
    <t>Max</t>
  </si>
  <si>
    <t>fino a euro 2.000.000 dallo 0,75% al 2%</t>
  </si>
  <si>
    <t>oltre euro 2.000.000 dallo 0,50% allo 0,75%</t>
  </si>
  <si>
    <t xml:space="preserve"> valore pratica: </t>
  </si>
  <si>
    <t>Calcolo tariffa professionale in base al DM 140/2012</t>
  </si>
  <si>
    <t>Valore atto</t>
  </si>
  <si>
    <t>Valore della pratica</t>
  </si>
  <si>
    <t>Riquadro 8.1 art. 26 c.1</t>
  </si>
  <si>
    <t xml:space="preserve"> costo normale beni immobili </t>
  </si>
  <si>
    <t xml:space="preserve"> differenza </t>
  </si>
  <si>
    <t xml:space="preserve"> imponibile RQ84 </t>
  </si>
  <si>
    <t xml:space="preserve"> costo normale beni mobili </t>
  </si>
  <si>
    <t xml:space="preserve"> imp sost L 208/15 </t>
  </si>
  <si>
    <t xml:space="preserve"> imp sost L 232/16 </t>
  </si>
  <si>
    <t xml:space="preserve"> riserve in sospensione annullate </t>
  </si>
  <si>
    <t xml:space="preserve"> imp sost L 208/15 ris in sosp </t>
  </si>
  <si>
    <t xml:space="preserve"> imp sost L 232/16 ris in sosp </t>
  </si>
  <si>
    <t>Terreno Edificabile acquistato FUORI CAMPO IVA</t>
  </si>
  <si>
    <t>Esente art. 10 c.1 n 8 bis</t>
  </si>
  <si>
    <t>Esente art. 10 c.1 n 8 ter</t>
  </si>
  <si>
    <t xml:space="preserve"> c. fiscalmente riconosciuto  beni mobili</t>
  </si>
  <si>
    <t xml:space="preserve"> c. fiscalmente riconosciuto beni immobili</t>
  </si>
  <si>
    <t>Ver. 11.5</t>
  </si>
  <si>
    <t>Riepilogo Operazione</t>
  </si>
  <si>
    <r>
      <t xml:space="preserve">Riserve che </t>
    </r>
    <r>
      <rPr>
        <b/>
        <u/>
        <sz val="11"/>
        <color theme="1"/>
        <rFont val="Verdana"/>
        <family val="2"/>
      </rPr>
      <t>NON daranno luogo a tassazione</t>
    </r>
  </si>
  <si>
    <r>
      <t xml:space="preserve">Riserve che </t>
    </r>
    <r>
      <rPr>
        <b/>
        <u/>
        <sz val="11"/>
        <color theme="1"/>
        <rFont val="Verdana"/>
        <family val="2"/>
      </rPr>
      <t xml:space="preserve"> daranno luogo a tassazione</t>
    </r>
  </si>
  <si>
    <r>
      <t xml:space="preserve"> (*) I componenti positivi sono assoggettati a imposta sostitutiva 
al netto dei componenti negativi realizzati </t>
    </r>
    <r>
      <rPr>
        <b/>
        <u/>
        <sz val="11"/>
        <rFont val="Verdana"/>
        <family val="2"/>
      </rPr>
      <t>solo su beni merce</t>
    </r>
  </si>
  <si>
    <t>In questa e nelle prossime tabelle compilare le sole colonne con l'intestazione scritta in nero.</t>
  </si>
  <si>
    <t>Tipo</t>
  </si>
  <si>
    <t>Società di capitali</t>
  </si>
  <si>
    <t>Com</t>
  </si>
  <si>
    <t>Società di comodo</t>
  </si>
  <si>
    <t>IS</t>
  </si>
  <si>
    <t>Imposta sostitutiva (no comodo)</t>
  </si>
  <si>
    <t>Immobilizzazioni</t>
  </si>
  <si>
    <t>I rata (30/09/25)</t>
  </si>
  <si>
    <t>II rata (30/11/25)</t>
  </si>
  <si>
    <t>Socio X</t>
  </si>
  <si>
    <t>Socio Y</t>
  </si>
  <si>
    <t>Capannone</t>
  </si>
  <si>
    <t>Alpha SPA</t>
  </si>
  <si>
    <t>QUOTA TAX DIVIDENDI 
(100%-58,14%-5%-40%)</t>
  </si>
  <si>
    <t>s</t>
  </si>
  <si>
    <t>MODELLO REDDITI 2025</t>
  </si>
  <si>
    <t>F24 DA VERSARE ENTRO IL 30/11/2025</t>
  </si>
  <si>
    <t>F24 DA VERSARE ENTRO IL 30/09/2025</t>
  </si>
  <si>
    <t>Dati</t>
  </si>
  <si>
    <t>Tipo/Cat</t>
  </si>
  <si>
    <t>Capannone D8</t>
  </si>
  <si>
    <t>A2</t>
  </si>
  <si>
    <t>Albergo D2</t>
  </si>
  <si>
    <t>Anno Acquisto</t>
  </si>
  <si>
    <t>Valore Mercato</t>
  </si>
  <si>
    <t>Costo Fiscalmente Riconosciuto</t>
  </si>
  <si>
    <t>Caso 1</t>
  </si>
  <si>
    <t>Caso 2</t>
  </si>
  <si>
    <t>Caso 3</t>
  </si>
  <si>
    <t>Caso 4</t>
  </si>
  <si>
    <t>Tipo Società</t>
  </si>
  <si>
    <t>Sas</t>
  </si>
  <si>
    <t>Snc</t>
  </si>
  <si>
    <t>Srl</t>
  </si>
  <si>
    <t>Numero Soci e Quote</t>
  </si>
  <si>
    <t>2 soci (50%)</t>
  </si>
  <si>
    <t>5 soci (20%)</t>
  </si>
  <si>
    <t>2 soci (90%-10%)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</si>
</sst>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* #,##0.000_-;\-* #,##0.000_-;_-* &quot;-&quot;??_-;_-@_-"/>
    <numFmt numFmtId="165" formatCode="_-* #,##0.0000_-;\-* #,##0.0000_-;_-* &quot;-&quot;??_-;_-@_-"/>
    <numFmt numFmtId="166" formatCode="0.0%"/>
    <numFmt numFmtId="167" formatCode="#,##0.00_ ;\-#,##0.00\ "/>
    <numFmt numFmtId="168" formatCode="#\ ?/10"/>
    <numFmt numFmtId="169" formatCode="_-* #,##0_-;\-* #,##0_-;_-* &quot;-&quot;??_-;_-@_-"/>
    <numFmt numFmtId="170" formatCode="_-[$€-2]\ * #,##0.00_-;\-[$€-2]\ * #,##0.00_-;_-[$€-2]\ * &quot;-&quot;??_-"/>
    <numFmt numFmtId="171" formatCode="_-* #,##0.00\ _€_-;\-* #,##0.00\ _€_-;_-* &quot;-&quot;??\ _€_-;_-@_-"/>
  </numFmts>
  <fonts count="62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8"/>
      <color rgb="FF000000"/>
      <name val="Segoe UI"/>
      <family val="2"/>
    </font>
    <font>
      <sz val="11"/>
      <color rgb="FFFF0000"/>
      <name val="Calibri"/>
      <family val="2"/>
    </font>
    <font>
      <sz val="11"/>
      <color theme="0"/>
      <name val="Calibri"/>
      <family val="2"/>
    </font>
    <font>
      <i/>
      <sz val="11"/>
      <color theme="9" tint="-0.499984740745262"/>
      <name val="Calibri"/>
      <family val="2"/>
    </font>
    <font>
      <sz val="9"/>
      <color theme="1"/>
      <name val="Calibri"/>
      <family val="2"/>
    </font>
    <font>
      <u/>
      <sz val="8"/>
      <color theme="10"/>
      <name val="Arial"/>
      <family val="2"/>
    </font>
    <font>
      <sz val="8"/>
      <color indexed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trike/>
      <sz val="11"/>
      <color theme="1"/>
      <name val="Calibri"/>
      <family val="2"/>
    </font>
    <font>
      <b/>
      <sz val="11"/>
      <color rgb="FFFF0000"/>
      <name val="Calibri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</font>
    <font>
      <sz val="9"/>
      <color theme="1"/>
      <name val="Calibri"/>
      <family val="2"/>
    </font>
    <font>
      <b/>
      <i/>
      <sz val="16"/>
      <color theme="1"/>
      <name val="Verdana"/>
      <family val="2"/>
    </font>
    <font>
      <b/>
      <sz val="22"/>
      <name val="Verdana"/>
      <family val="2"/>
    </font>
    <font>
      <b/>
      <sz val="24"/>
      <color theme="1"/>
      <name val="Verdana"/>
      <family val="2"/>
    </font>
    <font>
      <sz val="11"/>
      <color theme="1"/>
      <name val="Verdana"/>
      <family val="2"/>
    </font>
    <font>
      <b/>
      <sz val="12"/>
      <name val="Calibri"/>
      <family val="2"/>
    </font>
    <font>
      <sz val="7"/>
      <color theme="1"/>
      <name val="Verdana"/>
      <family val="2"/>
    </font>
    <font>
      <b/>
      <sz val="11"/>
      <color theme="4" tint="-0.499984740745262"/>
      <name val="Verdana"/>
      <family val="2"/>
    </font>
    <font>
      <b/>
      <sz val="11"/>
      <color rgb="FFC00000"/>
      <name val="Verdana"/>
      <family val="2"/>
    </font>
    <font>
      <b/>
      <sz val="11"/>
      <color theme="1"/>
      <name val="Verdana"/>
      <family val="2"/>
    </font>
    <font>
      <sz val="11"/>
      <name val="Verdana"/>
      <family val="2"/>
    </font>
    <font>
      <b/>
      <i/>
      <sz val="11"/>
      <name val="Verdana"/>
      <family val="2"/>
    </font>
    <font>
      <b/>
      <i/>
      <sz val="16"/>
      <name val="Verdana"/>
      <family val="2"/>
    </font>
    <font>
      <sz val="8"/>
      <name val="Verdana"/>
      <family val="2"/>
    </font>
    <font>
      <i/>
      <sz val="11"/>
      <name val="Verdana"/>
      <family val="2"/>
    </font>
    <font>
      <b/>
      <sz val="11"/>
      <name val="Verdana"/>
      <family val="2"/>
    </font>
    <font>
      <b/>
      <sz val="12"/>
      <name val="Verdana"/>
      <family val="2"/>
    </font>
    <font>
      <b/>
      <i/>
      <sz val="22"/>
      <name val="Verdana"/>
      <family val="2"/>
    </font>
    <font>
      <b/>
      <sz val="14"/>
      <name val="Verdana"/>
      <family val="2"/>
    </font>
    <font>
      <b/>
      <sz val="11"/>
      <color rgb="FF0070C0"/>
      <name val="Verdana"/>
      <family val="2"/>
    </font>
    <font>
      <b/>
      <u/>
      <sz val="11"/>
      <color theme="1"/>
      <name val="Verdana"/>
      <family val="2"/>
    </font>
    <font>
      <sz val="11"/>
      <color theme="0"/>
      <name val="Verdana"/>
      <family val="2"/>
    </font>
    <font>
      <b/>
      <u/>
      <sz val="11"/>
      <name val="Verdana"/>
      <family val="2"/>
    </font>
    <font>
      <b/>
      <sz val="14"/>
      <color rgb="FFFF0000"/>
      <name val="Verdana"/>
      <family val="2"/>
    </font>
    <font>
      <b/>
      <sz val="16"/>
      <color theme="1"/>
      <name val="Verdana"/>
      <family val="2"/>
    </font>
    <font>
      <b/>
      <sz val="11"/>
      <color theme="0"/>
      <name val="Verdana"/>
      <family val="2"/>
    </font>
    <font>
      <b/>
      <sz val="16"/>
      <name val="Verdana"/>
      <family val="2"/>
    </font>
    <font>
      <b/>
      <i/>
      <sz val="12"/>
      <name val="Verdana"/>
      <family val="2"/>
    </font>
    <font>
      <i/>
      <sz val="11"/>
      <color theme="0"/>
      <name val="Verdana"/>
      <family val="2"/>
    </font>
    <font>
      <b/>
      <sz val="20"/>
      <color theme="0"/>
      <name val="Verdana"/>
      <family val="2"/>
    </font>
    <font>
      <b/>
      <sz val="15"/>
      <name val="Verdana"/>
      <family val="2"/>
    </font>
    <font>
      <b/>
      <sz val="12"/>
      <color rgb="FFC00000"/>
      <name val="Verdana"/>
      <family val="2"/>
    </font>
    <font>
      <b/>
      <sz val="18"/>
      <name val="Verdana"/>
      <family val="2"/>
    </font>
    <font>
      <sz val="72"/>
      <color theme="1"/>
      <name val="Verdana"/>
      <family val="2"/>
    </font>
    <font>
      <sz val="14"/>
      <color theme="1"/>
      <name val="Verdana"/>
      <family val="2"/>
    </font>
    <font>
      <sz val="9"/>
      <color theme="1"/>
      <name val="Georgia"/>
      <family val="1"/>
    </font>
  </fonts>
  <fills count="2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C2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3C472"/>
        <bgColor indexed="64"/>
      </patternFill>
    </fill>
    <fill>
      <patternFill patternType="solid">
        <fgColor rgb="FFFFCD2D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DDEBF7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4" tint="0.79998168889431442"/>
        <bgColor indexed="64"/>
      </patternFill>
    </fill>
  </fills>
  <borders count="35">
    <border>
      <left/>
      <right/>
      <top/>
      <bottom/>
      <diagonal/>
    </border>
    <border>
      <left style="double">
        <color theme="0" tint="-4.9989318521683403E-2"/>
      </left>
      <right style="double">
        <color theme="0" tint="-4.9989318521683403E-2"/>
      </right>
      <top style="double">
        <color theme="0" tint="-4.9989318521683403E-2"/>
      </top>
      <bottom style="double">
        <color theme="0" tint="-4.9989318521683403E-2"/>
      </bottom>
      <diagonal/>
    </border>
    <border>
      <left style="double">
        <color theme="0" tint="-4.9989318521683403E-2"/>
      </left>
      <right/>
      <top/>
      <bottom/>
      <diagonal/>
    </border>
    <border>
      <left style="double">
        <color theme="0" tint="-4.9989318521683403E-2"/>
      </left>
      <right/>
      <top style="double">
        <color theme="0" tint="-4.9989318521683403E-2"/>
      </top>
      <bottom style="double">
        <color theme="0" tint="-4.9989318521683403E-2"/>
      </bottom>
      <diagonal/>
    </border>
    <border>
      <left/>
      <right style="double">
        <color theme="0" tint="-4.9989318521683403E-2"/>
      </right>
      <top style="double">
        <color theme="0" tint="-4.9989318521683403E-2"/>
      </top>
      <bottom style="double">
        <color theme="0" tint="-4.9989318521683403E-2"/>
      </bottom>
      <diagonal/>
    </border>
    <border>
      <left/>
      <right/>
      <top/>
      <bottom style="thin">
        <color theme="0"/>
      </bottom>
      <diagonal/>
    </border>
    <border>
      <left style="mediumDashed">
        <color theme="0"/>
      </left>
      <right/>
      <top style="mediumDashed">
        <color theme="0"/>
      </top>
      <bottom/>
      <diagonal/>
    </border>
    <border>
      <left/>
      <right/>
      <top style="mediumDashed">
        <color theme="0"/>
      </top>
      <bottom/>
      <diagonal/>
    </border>
    <border>
      <left/>
      <right style="mediumDashed">
        <color theme="0"/>
      </right>
      <top style="mediumDashed">
        <color theme="0"/>
      </top>
      <bottom/>
      <diagonal/>
    </border>
    <border>
      <left style="mediumDashed">
        <color theme="0"/>
      </left>
      <right/>
      <top/>
      <bottom/>
      <diagonal/>
    </border>
    <border>
      <left/>
      <right style="mediumDashed">
        <color theme="0"/>
      </right>
      <top/>
      <bottom/>
      <diagonal/>
    </border>
    <border>
      <left style="mediumDashed">
        <color theme="0"/>
      </left>
      <right/>
      <top/>
      <bottom style="mediumDashed">
        <color theme="0"/>
      </bottom>
      <diagonal/>
    </border>
    <border>
      <left/>
      <right/>
      <top/>
      <bottom style="mediumDashed">
        <color theme="0"/>
      </bottom>
      <diagonal/>
    </border>
    <border>
      <left/>
      <right style="mediumDashed">
        <color theme="0"/>
      </right>
      <top/>
      <bottom style="mediumDashed">
        <color theme="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6"/>
      </top>
      <bottom style="thin">
        <color indexed="64"/>
      </bottom>
      <diagonal/>
    </border>
  </borders>
  <cellStyleXfs count="68">
    <xf numFmtId="0" fontId="0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8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8" fillId="0" borderId="0"/>
    <xf numFmtId="170" fontId="23" fillId="0" borderId="0"/>
    <xf numFmtId="0" fontId="9" fillId="0" borderId="0"/>
    <xf numFmtId="0" fontId="18" fillId="0" borderId="0"/>
    <xf numFmtId="0" fontId="1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8" fillId="0" borderId="0"/>
    <xf numFmtId="0" fontId="17" fillId="0" borderId="0" applyNumberFormat="0" applyFill="0" applyBorder="0" applyAlignment="0" applyProtection="0"/>
    <xf numFmtId="0" fontId="25" fillId="0" borderId="0"/>
    <xf numFmtId="0" fontId="7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23">
    <xf numFmtId="0" fontId="0" fillId="0" borderId="0" xfId="0"/>
    <xf numFmtId="0" fontId="10" fillId="0" borderId="0" xfId="0" applyFont="1"/>
    <xf numFmtId="9" fontId="0" fillId="0" borderId="0" xfId="0" applyNumberFormat="1"/>
    <xf numFmtId="10" fontId="0" fillId="0" borderId="0" xfId="0" applyNumberFormat="1"/>
    <xf numFmtId="0" fontId="0" fillId="4" borderId="0" xfId="0" applyFill="1"/>
    <xf numFmtId="9" fontId="0" fillId="4" borderId="0" xfId="0" applyNumberFormat="1" applyFill="1"/>
    <xf numFmtId="10" fontId="0" fillId="4" borderId="0" xfId="0" applyNumberFormat="1" applyFill="1"/>
    <xf numFmtId="0" fontId="0" fillId="10" borderId="0" xfId="0" applyFill="1"/>
    <xf numFmtId="0" fontId="0" fillId="11" borderId="0" xfId="0" applyFill="1"/>
    <xf numFmtId="0" fontId="13" fillId="5" borderId="0" xfId="0" applyFont="1" applyFill="1"/>
    <xf numFmtId="0" fontId="0" fillId="6" borderId="0" xfId="0" applyFill="1"/>
    <xf numFmtId="43" fontId="0" fillId="0" borderId="0" xfId="1" applyFont="1"/>
    <xf numFmtId="0" fontId="0" fillId="13" borderId="0" xfId="0" applyFill="1"/>
    <xf numFmtId="9" fontId="0" fillId="13" borderId="0" xfId="0" applyNumberFormat="1" applyFill="1"/>
    <xf numFmtId="2" fontId="0" fillId="13" borderId="0" xfId="0" applyNumberFormat="1" applyFill="1"/>
    <xf numFmtId="0" fontId="21" fillId="0" borderId="0" xfId="0" applyFont="1"/>
    <xf numFmtId="0" fontId="0" fillId="15" borderId="0" xfId="0" applyFill="1"/>
    <xf numFmtId="0" fontId="0" fillId="16" borderId="0" xfId="0" applyFill="1"/>
    <xf numFmtId="0" fontId="22" fillId="0" borderId="0" xfId="0" applyFont="1"/>
    <xf numFmtId="0" fontId="0" fillId="3" borderId="0" xfId="0" applyFill="1"/>
    <xf numFmtId="0" fontId="0" fillId="16" borderId="0" xfId="1" applyNumberFormat="1" applyFont="1" applyFill="1"/>
    <xf numFmtId="0" fontId="0" fillId="12" borderId="0" xfId="1" applyNumberFormat="1" applyFont="1" applyFill="1"/>
    <xf numFmtId="49" fontId="0" fillId="0" borderId="0" xfId="0" applyNumberFormat="1"/>
    <xf numFmtId="0" fontId="0" fillId="10" borderId="0" xfId="1" applyNumberFormat="1" applyFont="1" applyFill="1"/>
    <xf numFmtId="0" fontId="0" fillId="18" borderId="0" xfId="1" applyNumberFormat="1" applyFont="1" applyFill="1"/>
    <xf numFmtId="0" fontId="0" fillId="20" borderId="0" xfId="0" applyFill="1"/>
    <xf numFmtId="169" fontId="0" fillId="0" borderId="0" xfId="0" applyNumberFormat="1"/>
    <xf numFmtId="43" fontId="0" fillId="10" borderId="0" xfId="1" applyFont="1" applyFill="1"/>
    <xf numFmtId="43" fontId="0" fillId="17" borderId="0" xfId="1" applyFont="1" applyFill="1"/>
    <xf numFmtId="43" fontId="0" fillId="18" borderId="0" xfId="1" applyFont="1" applyFill="1"/>
    <xf numFmtId="43" fontId="0" fillId="19" borderId="0" xfId="1" applyFont="1" applyFill="1"/>
    <xf numFmtId="43" fontId="0" fillId="16" borderId="0" xfId="1" applyFont="1" applyFill="1"/>
    <xf numFmtId="43" fontId="0" fillId="12" borderId="0" xfId="1" applyFont="1" applyFill="1"/>
    <xf numFmtId="0" fontId="11" fillId="0" borderId="0" xfId="0" applyFont="1" applyAlignment="1" applyProtection="1">
      <alignment vertical="top" wrapText="1"/>
      <protection hidden="1"/>
    </xf>
    <xf numFmtId="9" fontId="0" fillId="0" borderId="0" xfId="0" applyNumberFormat="1" applyAlignment="1" applyProtection="1">
      <alignment vertical="top" wrapText="1"/>
      <protection hidden="1"/>
    </xf>
    <xf numFmtId="43" fontId="0" fillId="0" borderId="0" xfId="1" applyFont="1" applyFill="1" applyBorder="1" applyAlignment="1" applyProtection="1">
      <alignment vertical="top" wrapText="1"/>
      <protection hidden="1"/>
    </xf>
    <xf numFmtId="9" fontId="15" fillId="0" borderId="0" xfId="2" applyFont="1" applyFill="1" applyBorder="1" applyAlignment="1" applyProtection="1">
      <alignment horizontal="center" vertical="top"/>
      <protection hidden="1"/>
    </xf>
    <xf numFmtId="43" fontId="0" fillId="0" borderId="0" xfId="0" applyNumberFormat="1" applyAlignment="1" applyProtection="1">
      <alignment vertical="top" wrapText="1"/>
      <protection hidden="1"/>
    </xf>
    <xf numFmtId="43" fontId="0" fillId="0" borderId="0" xfId="1" applyFont="1" applyFill="1" applyBorder="1" applyAlignment="1" applyProtection="1">
      <alignment vertical="top"/>
      <protection hidden="1"/>
    </xf>
    <xf numFmtId="10" fontId="0" fillId="0" borderId="0" xfId="1" applyNumberFormat="1" applyFont="1" applyFill="1" applyBorder="1" applyAlignment="1" applyProtection="1">
      <alignment vertical="top"/>
      <protection hidden="1"/>
    </xf>
    <xf numFmtId="43" fontId="0" fillId="0" borderId="0" xfId="1" applyFont="1" applyFill="1" applyAlignment="1" applyProtection="1">
      <alignment vertical="top"/>
      <protection hidden="1"/>
    </xf>
    <xf numFmtId="4" fontId="0" fillId="0" borderId="0" xfId="0" applyNumberFormat="1" applyAlignment="1" applyProtection="1">
      <alignment vertical="top" wrapText="1"/>
      <protection locked="0"/>
    </xf>
    <xf numFmtId="0" fontId="26" fillId="0" borderId="0" xfId="0" applyFont="1"/>
    <xf numFmtId="0" fontId="16" fillId="0" borderId="0" xfId="0" applyFont="1"/>
    <xf numFmtId="10" fontId="0" fillId="0" borderId="0" xfId="2" applyNumberFormat="1" applyFont="1" applyBorder="1"/>
    <xf numFmtId="166" fontId="0" fillId="0" borderId="0" xfId="0" applyNumberFormat="1"/>
    <xf numFmtId="9" fontId="0" fillId="8" borderId="0" xfId="0" applyNumberFormat="1" applyFill="1"/>
    <xf numFmtId="9" fontId="0" fillId="9" borderId="0" xfId="0" applyNumberFormat="1" applyFill="1"/>
    <xf numFmtId="0" fontId="27" fillId="8" borderId="0" xfId="0" applyFont="1" applyFill="1" applyAlignment="1" applyProtection="1">
      <alignment vertical="center"/>
      <protection hidden="1"/>
    </xf>
    <xf numFmtId="0" fontId="28" fillId="8" borderId="0" xfId="0" applyFont="1" applyFill="1"/>
    <xf numFmtId="4" fontId="30" fillId="22" borderId="17" xfId="0" applyNumberFormat="1" applyFont="1" applyFill="1" applyBorder="1" applyProtection="1">
      <protection locked="0"/>
    </xf>
    <xf numFmtId="0" fontId="11" fillId="8" borderId="0" xfId="0" applyFont="1" applyFill="1" applyAlignment="1">
      <alignment wrapText="1"/>
    </xf>
    <xf numFmtId="0" fontId="31" fillId="8" borderId="0" xfId="0" applyFont="1" applyFill="1" applyAlignment="1">
      <alignment vertical="center" wrapText="1"/>
    </xf>
    <xf numFmtId="0" fontId="30" fillId="8" borderId="0" xfId="0" applyFont="1" applyFill="1" applyProtection="1">
      <protection locked="0"/>
    </xf>
    <xf numFmtId="0" fontId="30" fillId="8" borderId="0" xfId="0" applyFont="1" applyFill="1"/>
    <xf numFmtId="0" fontId="32" fillId="8" borderId="0" xfId="0" applyFont="1" applyFill="1"/>
    <xf numFmtId="0" fontId="30" fillId="0" borderId="0" xfId="0" applyFont="1"/>
    <xf numFmtId="0" fontId="30" fillId="7" borderId="0" xfId="0" applyFont="1" applyFill="1"/>
    <xf numFmtId="0" fontId="30" fillId="0" borderId="0" xfId="0" applyFont="1" applyProtection="1">
      <protection locked="0"/>
    </xf>
    <xf numFmtId="0" fontId="33" fillId="0" borderId="0" xfId="0" applyFont="1" applyAlignment="1">
      <alignment horizontal="right"/>
    </xf>
    <xf numFmtId="0" fontId="34" fillId="8" borderId="0" xfId="0" applyFont="1" applyFill="1" applyAlignment="1">
      <alignment horizontal="right"/>
    </xf>
    <xf numFmtId="0" fontId="34" fillId="0" borderId="0" xfId="0" applyFont="1" applyAlignment="1">
      <alignment horizontal="left"/>
    </xf>
    <xf numFmtId="0" fontId="34" fillId="0" borderId="0" xfId="0" applyFont="1" applyAlignment="1">
      <alignment horizontal="right"/>
    </xf>
    <xf numFmtId="0" fontId="35" fillId="0" borderId="0" xfId="0" applyFont="1" applyAlignment="1">
      <alignment horizontal="right"/>
    </xf>
    <xf numFmtId="0" fontId="34" fillId="8" borderId="0" xfId="0" applyFont="1" applyFill="1" applyAlignment="1" applyProtection="1">
      <alignment horizontal="right"/>
      <protection locked="0"/>
    </xf>
    <xf numFmtId="0" fontId="36" fillId="8" borderId="0" xfId="0" applyFont="1" applyFill="1"/>
    <xf numFmtId="0" fontId="36" fillId="8" borderId="0" xfId="0" applyFont="1" applyFill="1" applyAlignment="1">
      <alignment wrapText="1"/>
    </xf>
    <xf numFmtId="43" fontId="37" fillId="8" borderId="0" xfId="1" applyFont="1" applyFill="1" applyBorder="1" applyAlignment="1"/>
    <xf numFmtId="43" fontId="38" fillId="8" borderId="6" xfId="1" applyFont="1" applyFill="1" applyBorder="1" applyAlignment="1"/>
    <xf numFmtId="43" fontId="37" fillId="8" borderId="7" xfId="1" applyFont="1" applyFill="1" applyBorder="1" applyAlignment="1"/>
    <xf numFmtId="0" fontId="36" fillId="8" borderId="8" xfId="0" applyFont="1" applyFill="1" applyBorder="1"/>
    <xf numFmtId="10" fontId="39" fillId="8" borderId="0" xfId="1" applyNumberFormat="1" applyFont="1" applyFill="1" applyBorder="1" applyAlignment="1" applyProtection="1">
      <alignment horizontal="center" vertical="center" wrapText="1"/>
      <protection locked="0"/>
    </xf>
    <xf numFmtId="43" fontId="36" fillId="8" borderId="0" xfId="1" applyFont="1" applyFill="1" applyBorder="1" applyAlignment="1" applyProtection="1">
      <alignment horizontal="center" wrapText="1"/>
      <protection locked="0"/>
    </xf>
    <xf numFmtId="43" fontId="40" fillId="8" borderId="9" xfId="1" applyFont="1" applyFill="1" applyBorder="1" applyAlignment="1"/>
    <xf numFmtId="9" fontId="40" fillId="8" borderId="10" xfId="2" applyFont="1" applyFill="1" applyBorder="1" applyAlignment="1" applyProtection="1">
      <protection hidden="1"/>
    </xf>
    <xf numFmtId="9" fontId="40" fillId="8" borderId="0" xfId="2" applyFont="1" applyFill="1" applyBorder="1" applyAlignment="1"/>
    <xf numFmtId="43" fontId="36" fillId="8" borderId="0" xfId="1" applyFont="1" applyFill="1" applyBorder="1" applyAlignment="1" applyProtection="1">
      <alignment horizontal="left" wrapText="1"/>
      <protection hidden="1"/>
    </xf>
    <xf numFmtId="10" fontId="36" fillId="8" borderId="2" xfId="1" applyNumberFormat="1" applyFont="1" applyFill="1" applyBorder="1" applyAlignment="1" applyProtection="1">
      <alignment horizontal="center" vertical="center"/>
      <protection locked="0"/>
    </xf>
    <xf numFmtId="0" fontId="41" fillId="8" borderId="0" xfId="0" applyFont="1" applyFill="1" applyAlignment="1">
      <alignment vertical="center" wrapText="1"/>
    </xf>
    <xf numFmtId="43" fontId="36" fillId="8" borderId="0" xfId="1" applyFont="1" applyFill="1" applyBorder="1" applyAlignment="1"/>
    <xf numFmtId="43" fontId="40" fillId="8" borderId="9" xfId="1" applyFont="1" applyFill="1" applyBorder="1" applyAlignment="1">
      <alignment vertical="center"/>
    </xf>
    <xf numFmtId="0" fontId="42" fillId="8" borderId="0" xfId="0" applyFont="1" applyFill="1" applyAlignment="1">
      <alignment wrapText="1"/>
    </xf>
    <xf numFmtId="43" fontId="40" fillId="8" borderId="0" xfId="1" applyFont="1" applyFill="1" applyBorder="1" applyAlignment="1"/>
    <xf numFmtId="0" fontId="36" fillId="8" borderId="10" xfId="0" applyFont="1" applyFill="1" applyBorder="1" applyProtection="1">
      <protection hidden="1"/>
    </xf>
    <xf numFmtId="0" fontId="41" fillId="8" borderId="1" xfId="0" applyFont="1" applyFill="1" applyBorder="1" applyAlignment="1" applyProtection="1">
      <alignment horizontal="left"/>
      <protection hidden="1"/>
    </xf>
    <xf numFmtId="43" fontId="40" fillId="8" borderId="11" xfId="1" applyFont="1" applyFill="1" applyBorder="1" applyAlignment="1"/>
    <xf numFmtId="43" fontId="37" fillId="8" borderId="12" xfId="1" applyFont="1" applyFill="1" applyBorder="1" applyAlignment="1"/>
    <xf numFmtId="0" fontId="36" fillId="8" borderId="13" xfId="0" applyFont="1" applyFill="1" applyBorder="1" applyProtection="1">
      <protection hidden="1"/>
    </xf>
    <xf numFmtId="0" fontId="30" fillId="0" borderId="5" xfId="0" applyFont="1" applyBorder="1" applyProtection="1">
      <protection locked="0"/>
    </xf>
    <xf numFmtId="0" fontId="36" fillId="8" borderId="5" xfId="0" applyFont="1" applyFill="1" applyBorder="1"/>
    <xf numFmtId="43" fontId="37" fillId="8" borderId="5" xfId="1" applyFont="1" applyFill="1" applyBorder="1" applyAlignment="1"/>
    <xf numFmtId="43" fontId="28" fillId="8" borderId="0" xfId="1" applyFont="1" applyFill="1" applyBorder="1" applyAlignment="1"/>
    <xf numFmtId="43" fontId="28" fillId="8" borderId="0" xfId="0" applyNumberFormat="1" applyFont="1" applyFill="1"/>
    <xf numFmtId="43" fontId="43" fillId="8" borderId="0" xfId="1" applyFont="1" applyFill="1" applyBorder="1" applyAlignment="1"/>
    <xf numFmtId="43" fontId="30" fillId="21" borderId="0" xfId="1" applyFont="1" applyFill="1" applyBorder="1" applyAlignment="1" applyProtection="1">
      <alignment horizontal="center"/>
      <protection hidden="1"/>
    </xf>
    <xf numFmtId="43" fontId="36" fillId="8" borderId="0" xfId="1" applyFont="1" applyFill="1" applyBorder="1" applyAlignment="1" applyProtection="1">
      <alignment horizontal="center"/>
      <protection hidden="1"/>
    </xf>
    <xf numFmtId="0" fontId="44" fillId="8" borderId="0" xfId="0" applyFont="1" applyFill="1"/>
    <xf numFmtId="0" fontId="36" fillId="8" borderId="0" xfId="0" applyFont="1" applyFill="1" applyProtection="1">
      <protection hidden="1"/>
    </xf>
    <xf numFmtId="43" fontId="45" fillId="21" borderId="0" xfId="1" applyFont="1" applyFill="1" applyBorder="1" applyAlignment="1" applyProtection="1">
      <alignment horizontal="center"/>
      <protection hidden="1"/>
    </xf>
    <xf numFmtId="43" fontId="41" fillId="8" borderId="0" xfId="1" applyFont="1" applyFill="1" applyBorder="1" applyAlignment="1" applyProtection="1">
      <alignment horizontal="center"/>
      <protection hidden="1"/>
    </xf>
    <xf numFmtId="0" fontId="35" fillId="8" borderId="0" xfId="0" applyFont="1" applyFill="1" applyAlignment="1" applyProtection="1">
      <alignment horizontal="left"/>
      <protection hidden="1"/>
    </xf>
    <xf numFmtId="0" fontId="35" fillId="21" borderId="0" xfId="0" applyFont="1" applyFill="1" applyAlignment="1" applyProtection="1">
      <alignment horizontal="left"/>
      <protection hidden="1"/>
    </xf>
    <xf numFmtId="0" fontId="40" fillId="8" borderId="0" xfId="0" applyFont="1" applyFill="1"/>
    <xf numFmtId="0" fontId="41" fillId="8" borderId="0" xfId="0" applyFont="1" applyFill="1"/>
    <xf numFmtId="169" fontId="37" fillId="8" borderId="0" xfId="0" applyNumberFormat="1" applyFont="1" applyFill="1" applyProtection="1">
      <protection hidden="1"/>
    </xf>
    <xf numFmtId="169" fontId="40" fillId="8" borderId="0" xfId="0" applyNumberFormat="1" applyFont="1" applyFill="1" applyProtection="1">
      <protection hidden="1"/>
    </xf>
    <xf numFmtId="43" fontId="41" fillId="8" borderId="0" xfId="0" applyNumberFormat="1" applyFont="1" applyFill="1"/>
    <xf numFmtId="169" fontId="40" fillId="8" borderId="0" xfId="0" applyNumberFormat="1" applyFont="1" applyFill="1"/>
    <xf numFmtId="0" fontId="47" fillId="2" borderId="0" xfId="0" applyFont="1" applyFill="1" applyProtection="1">
      <protection hidden="1"/>
    </xf>
    <xf numFmtId="0" fontId="30" fillId="2" borderId="0" xfId="0" applyFont="1" applyFill="1" applyAlignment="1" applyProtection="1">
      <alignment wrapText="1"/>
      <protection hidden="1"/>
    </xf>
    <xf numFmtId="169" fontId="30" fillId="0" borderId="14" xfId="0" applyNumberFormat="1" applyFont="1" applyBorder="1" applyAlignment="1" applyProtection="1">
      <alignment vertical="top"/>
      <protection hidden="1"/>
    </xf>
    <xf numFmtId="0" fontId="30" fillId="0" borderId="14" xfId="0" applyFont="1" applyBorder="1" applyProtection="1">
      <protection hidden="1"/>
    </xf>
    <xf numFmtId="169" fontId="30" fillId="0" borderId="14" xfId="0" applyNumberFormat="1" applyFont="1" applyBorder="1" applyAlignment="1" applyProtection="1">
      <alignment vertical="center"/>
      <protection hidden="1"/>
    </xf>
    <xf numFmtId="169" fontId="30" fillId="0" borderId="14" xfId="1" applyNumberFormat="1" applyFont="1" applyBorder="1" applyAlignment="1" applyProtection="1">
      <alignment vertical="center"/>
      <protection hidden="1"/>
    </xf>
    <xf numFmtId="3" fontId="30" fillId="0" borderId="14" xfId="0" applyNumberFormat="1" applyFont="1" applyBorder="1" applyAlignment="1" applyProtection="1">
      <alignment vertical="top"/>
      <protection hidden="1"/>
    </xf>
    <xf numFmtId="169" fontId="30" fillId="0" borderId="14" xfId="0" applyNumberFormat="1" applyFont="1" applyBorder="1" applyAlignment="1" applyProtection="1">
      <alignment vertical="center" wrapText="1"/>
      <protection hidden="1"/>
    </xf>
    <xf numFmtId="0" fontId="30" fillId="0" borderId="0" xfId="0" applyFont="1" applyAlignment="1">
      <alignment vertical="center"/>
    </xf>
    <xf numFmtId="0" fontId="49" fillId="0" borderId="0" xfId="0" applyFont="1"/>
    <xf numFmtId="0" fontId="50" fillId="0" borderId="0" xfId="0" applyFont="1"/>
    <xf numFmtId="43" fontId="30" fillId="22" borderId="1" xfId="24" applyFont="1" applyFill="1" applyBorder="1" applyAlignment="1" applyProtection="1">
      <alignment horizontal="left"/>
      <protection locked="0"/>
    </xf>
    <xf numFmtId="43" fontId="30" fillId="0" borderId="1" xfId="1" applyFont="1" applyFill="1" applyBorder="1" applyAlignment="1" applyProtection="1">
      <alignment horizontal="center"/>
      <protection hidden="1"/>
    </xf>
    <xf numFmtId="0" fontId="35" fillId="0" borderId="0" xfId="0" applyFont="1"/>
    <xf numFmtId="43" fontId="35" fillId="0" borderId="0" xfId="0" applyNumberFormat="1" applyFont="1" applyProtection="1">
      <protection hidden="1"/>
    </xf>
    <xf numFmtId="0" fontId="30" fillId="0" borderId="0" xfId="0" applyFont="1" applyAlignment="1" applyProtection="1">
      <alignment vertical="center"/>
      <protection locked="0"/>
    </xf>
    <xf numFmtId="14" fontId="30" fillId="0" borderId="0" xfId="0" applyNumberFormat="1" applyFont="1" applyAlignment="1" applyProtection="1">
      <alignment vertical="center"/>
      <protection locked="0"/>
    </xf>
    <xf numFmtId="9" fontId="30" fillId="0" borderId="0" xfId="0" applyNumberFormat="1" applyFont="1" applyAlignment="1" applyProtection="1">
      <alignment vertical="center"/>
      <protection locked="0"/>
    </xf>
    <xf numFmtId="43" fontId="30" fillId="0" borderId="0" xfId="26" applyFont="1" applyFill="1" applyAlignment="1" applyProtection="1">
      <alignment vertical="center"/>
      <protection locked="0"/>
    </xf>
    <xf numFmtId="9" fontId="30" fillId="0" borderId="0" xfId="2" applyFont="1" applyFill="1" applyAlignment="1" applyProtection="1">
      <alignment vertical="center"/>
      <protection locked="0"/>
    </xf>
    <xf numFmtId="10" fontId="30" fillId="0" borderId="0" xfId="2" applyNumberFormat="1" applyFont="1" applyFill="1" applyBorder="1" applyAlignment="1" applyProtection="1">
      <alignment vertical="center"/>
      <protection locked="0"/>
    </xf>
    <xf numFmtId="43" fontId="30" fillId="0" borderId="0" xfId="1" applyFont="1" applyFill="1" applyAlignment="1" applyProtection="1">
      <alignment horizontal="center" vertical="center"/>
      <protection hidden="1"/>
    </xf>
    <xf numFmtId="43" fontId="30" fillId="0" borderId="0" xfId="8" applyFont="1" applyFill="1" applyAlignment="1" applyProtection="1">
      <alignment vertical="center"/>
      <protection locked="0"/>
    </xf>
    <xf numFmtId="43" fontId="30" fillId="0" borderId="0" xfId="1" applyFont="1" applyFill="1" applyAlignment="1" applyProtection="1">
      <alignment vertical="center"/>
      <protection locked="0"/>
    </xf>
    <xf numFmtId="9" fontId="30" fillId="0" borderId="0" xfId="2" applyFont="1" applyFill="1" applyBorder="1" applyAlignment="1" applyProtection="1">
      <alignment vertical="center"/>
      <protection locked="0"/>
    </xf>
    <xf numFmtId="43" fontId="30" fillId="0" borderId="0" xfId="1" applyFont="1" applyFill="1" applyProtection="1">
      <protection locked="0"/>
    </xf>
    <xf numFmtId="9" fontId="30" fillId="0" borderId="0" xfId="2" applyFont="1" applyFill="1" applyProtection="1">
      <protection locked="0"/>
    </xf>
    <xf numFmtId="43" fontId="30" fillId="0" borderId="0" xfId="1" applyFont="1" applyFill="1" applyAlignment="1" applyProtection="1">
      <alignment horizontal="center" vertical="center" wrapText="1"/>
      <protection hidden="1"/>
    </xf>
    <xf numFmtId="0" fontId="30" fillId="14" borderId="0" xfId="0" applyFont="1" applyFill="1"/>
    <xf numFmtId="0" fontId="30" fillId="2" borderId="0" xfId="0" applyFont="1" applyFill="1" applyAlignment="1">
      <alignment horizontal="center" wrapText="1"/>
    </xf>
    <xf numFmtId="0" fontId="30" fillId="0" borderId="0" xfId="0" applyFont="1" applyAlignment="1">
      <alignment horizontal="center" wrapText="1"/>
    </xf>
    <xf numFmtId="0" fontId="30" fillId="2" borderId="0" xfId="0" applyFont="1" applyFill="1" applyAlignment="1">
      <alignment wrapText="1"/>
    </xf>
    <xf numFmtId="0" fontId="30" fillId="2" borderId="0" xfId="0" applyFont="1" applyFill="1"/>
    <xf numFmtId="43" fontId="30" fillId="0" borderId="0" xfId="24" applyFont="1" applyFill="1" applyBorder="1" applyAlignment="1" applyProtection="1">
      <alignment vertical="center"/>
      <protection locked="0"/>
    </xf>
    <xf numFmtId="43" fontId="30" fillId="0" borderId="0" xfId="24" applyFont="1" applyFill="1" applyBorder="1" applyAlignment="1" applyProtection="1">
      <alignment vertical="center" wrapText="1"/>
      <protection locked="0"/>
    </xf>
    <xf numFmtId="0" fontId="30" fillId="0" borderId="0" xfId="0" applyFont="1" applyAlignment="1" applyProtection="1">
      <alignment vertical="center" wrapText="1"/>
      <protection locked="0"/>
    </xf>
    <xf numFmtId="43" fontId="30" fillId="0" borderId="0" xfId="1" applyFont="1" applyFill="1" applyBorder="1" applyAlignment="1" applyProtection="1">
      <alignment horizontal="center" vertical="center"/>
      <protection locked="0"/>
    </xf>
    <xf numFmtId="43" fontId="30" fillId="0" borderId="0" xfId="1" applyFont="1" applyFill="1" applyBorder="1" applyAlignment="1" applyProtection="1">
      <alignment vertical="center" wrapText="1"/>
      <protection hidden="1"/>
    </xf>
    <xf numFmtId="43" fontId="30" fillId="0" borderId="0" xfId="1" applyFont="1" applyFill="1" applyBorder="1" applyAlignment="1" applyProtection="1">
      <alignment horizontal="center" vertical="center"/>
      <protection hidden="1"/>
    </xf>
    <xf numFmtId="43" fontId="30" fillId="0" borderId="0" xfId="1" applyFont="1" applyFill="1" applyProtection="1">
      <protection hidden="1"/>
    </xf>
    <xf numFmtId="43" fontId="30" fillId="0" borderId="0" xfId="1" applyFont="1" applyFill="1" applyAlignment="1" applyProtection="1">
      <protection hidden="1"/>
    </xf>
    <xf numFmtId="0" fontId="30" fillId="0" borderId="0" xfId="0" applyFont="1" applyProtection="1">
      <protection hidden="1"/>
    </xf>
    <xf numFmtId="43" fontId="30" fillId="0" borderId="0" xfId="1" applyFont="1" applyFill="1" applyBorder="1" applyAlignment="1" applyProtection="1">
      <alignment horizontal="center" vertical="center" wrapText="1"/>
      <protection locked="0"/>
    </xf>
    <xf numFmtId="2" fontId="30" fillId="0" borderId="0" xfId="0" applyNumberFormat="1" applyFont="1" applyProtection="1">
      <protection hidden="1"/>
    </xf>
    <xf numFmtId="43" fontId="30" fillId="0" borderId="0" xfId="18" applyFont="1" applyFill="1" applyBorder="1" applyAlignment="1" applyProtection="1">
      <alignment vertical="center"/>
      <protection locked="0"/>
    </xf>
    <xf numFmtId="43" fontId="30" fillId="0" borderId="0" xfId="18" applyFont="1" applyFill="1" applyBorder="1" applyAlignment="1" applyProtection="1">
      <alignment vertical="center" wrapText="1"/>
      <protection locked="0"/>
    </xf>
    <xf numFmtId="164" fontId="30" fillId="0" borderId="0" xfId="18" applyNumberFormat="1" applyFont="1" applyFill="1" applyBorder="1" applyAlignment="1" applyProtection="1">
      <alignment vertical="center"/>
      <protection locked="0"/>
    </xf>
    <xf numFmtId="164" fontId="30" fillId="0" borderId="0" xfId="1" applyNumberFormat="1" applyFont="1" applyFill="1" applyBorder="1" applyAlignment="1" applyProtection="1">
      <alignment vertical="center"/>
      <protection locked="0"/>
    </xf>
    <xf numFmtId="43" fontId="30" fillId="0" borderId="0" xfId="1" applyFont="1" applyFill="1" applyBorder="1" applyAlignment="1" applyProtection="1">
      <alignment vertical="center" wrapText="1"/>
      <protection locked="0"/>
    </xf>
    <xf numFmtId="0" fontId="30" fillId="0" borderId="0" xfId="0" applyFont="1" applyAlignment="1" applyProtection="1">
      <alignment wrapText="1"/>
      <protection locked="0"/>
    </xf>
    <xf numFmtId="43" fontId="30" fillId="0" borderId="0" xfId="1" applyFont="1" applyFill="1" applyBorder="1" applyAlignment="1" applyProtection="1">
      <alignment wrapText="1"/>
      <protection locked="0"/>
    </xf>
    <xf numFmtId="43" fontId="30" fillId="0" borderId="0" xfId="1" applyFont="1" applyFill="1" applyBorder="1" applyAlignment="1" applyProtection="1">
      <alignment horizontal="center" wrapText="1"/>
      <protection locked="0"/>
    </xf>
    <xf numFmtId="164" fontId="30" fillId="0" borderId="0" xfId="1" applyNumberFormat="1" applyFont="1" applyFill="1" applyAlignment="1" applyProtection="1">
      <alignment vertical="center"/>
      <protection locked="0"/>
    </xf>
    <xf numFmtId="43" fontId="30" fillId="0" borderId="0" xfId="0" applyNumberFormat="1" applyFont="1" applyProtection="1">
      <protection locked="0"/>
    </xf>
    <xf numFmtId="43" fontId="30" fillId="0" borderId="0" xfId="1" applyFont="1" applyFill="1" applyAlignment="1" applyProtection="1">
      <alignment vertical="center" wrapText="1"/>
      <protection locked="0"/>
    </xf>
    <xf numFmtId="43" fontId="30" fillId="0" borderId="0" xfId="1" applyFont="1" applyFill="1" applyAlignment="1" applyProtection="1">
      <alignment wrapText="1"/>
      <protection locked="0"/>
    </xf>
    <xf numFmtId="43" fontId="30" fillId="0" borderId="0" xfId="1" applyFont="1" applyFill="1" applyAlignment="1" applyProtection="1">
      <alignment horizontal="center" wrapText="1"/>
      <protection locked="0"/>
    </xf>
    <xf numFmtId="14" fontId="30" fillId="0" borderId="0" xfId="0" applyNumberFormat="1" applyFont="1" applyAlignment="1" applyProtection="1">
      <alignment horizontal="left" vertical="center" wrapText="1"/>
      <protection locked="0"/>
    </xf>
    <xf numFmtId="14" fontId="36" fillId="0" borderId="0" xfId="0" applyNumberFormat="1" applyFont="1" applyAlignment="1" applyProtection="1">
      <alignment horizontal="left" vertical="center" wrapText="1"/>
      <protection locked="0"/>
    </xf>
    <xf numFmtId="165" fontId="30" fillId="2" borderId="0" xfId="0" applyNumberFormat="1" applyFont="1" applyFill="1"/>
    <xf numFmtId="43" fontId="30" fillId="2" borderId="0" xfId="0" applyNumberFormat="1" applyFont="1" applyFill="1" applyAlignment="1">
      <alignment wrapText="1"/>
    </xf>
    <xf numFmtId="0" fontId="41" fillId="23" borderId="20" xfId="0" applyFont="1" applyFill="1" applyBorder="1" applyAlignment="1">
      <alignment horizontal="left" vertical="center" wrapText="1"/>
    </xf>
    <xf numFmtId="0" fontId="41" fillId="23" borderId="21" xfId="0" applyFont="1" applyFill="1" applyBorder="1" applyAlignment="1">
      <alignment horizontal="left" vertical="center" wrapText="1"/>
    </xf>
    <xf numFmtId="0" fontId="30" fillId="0" borderId="0" xfId="0" applyFont="1" applyAlignment="1" applyProtection="1">
      <alignment horizontal="left" vertical="center" wrapText="1"/>
      <protection locked="0"/>
    </xf>
    <xf numFmtId="43" fontId="30" fillId="0" borderId="0" xfId="1" applyFont="1" applyFill="1" applyBorder="1" applyAlignment="1" applyProtection="1">
      <alignment vertical="center"/>
      <protection hidden="1"/>
    </xf>
    <xf numFmtId="0" fontId="30" fillId="0" borderId="0" xfId="0" applyFont="1" applyAlignment="1" applyProtection="1">
      <alignment vertical="center"/>
      <protection hidden="1"/>
    </xf>
    <xf numFmtId="10" fontId="30" fillId="0" borderId="0" xfId="2" applyNumberFormat="1" applyFont="1" applyFill="1" applyBorder="1" applyAlignment="1" applyProtection="1">
      <alignment vertical="center"/>
      <protection hidden="1"/>
    </xf>
    <xf numFmtId="43" fontId="40" fillId="0" borderId="0" xfId="1" applyFont="1" applyFill="1" applyBorder="1" applyAlignment="1" applyProtection="1">
      <alignment vertical="center"/>
      <protection hidden="1"/>
    </xf>
    <xf numFmtId="43" fontId="37" fillId="0" borderId="0" xfId="1" applyFont="1" applyFill="1" applyBorder="1" applyAlignment="1" applyProtection="1">
      <alignment vertical="center"/>
      <protection hidden="1"/>
    </xf>
    <xf numFmtId="43" fontId="30" fillId="0" borderId="0" xfId="1" applyFont="1" applyFill="1" applyAlignment="1" applyProtection="1">
      <alignment vertical="center"/>
      <protection hidden="1"/>
    </xf>
    <xf numFmtId="0" fontId="42" fillId="8" borderId="0" xfId="0" applyFont="1" applyFill="1" applyAlignment="1">
      <alignment vertical="center" wrapText="1"/>
    </xf>
    <xf numFmtId="0" fontId="36" fillId="8" borderId="0" xfId="0" applyFont="1" applyFill="1" applyAlignment="1">
      <alignment vertical="center" wrapText="1"/>
    </xf>
    <xf numFmtId="0" fontId="37" fillId="8" borderId="0" xfId="0" applyFont="1" applyFill="1" applyProtection="1">
      <protection hidden="1"/>
    </xf>
    <xf numFmtId="43" fontId="36" fillId="8" borderId="0" xfId="0" applyNumberFormat="1" applyFont="1" applyFill="1" applyAlignment="1">
      <alignment wrapText="1"/>
    </xf>
    <xf numFmtId="43" fontId="36" fillId="8" borderId="0" xfId="1" applyFont="1" applyFill="1" applyBorder="1" applyAlignment="1">
      <alignment wrapText="1"/>
    </xf>
    <xf numFmtId="0" fontId="52" fillId="8" borderId="0" xfId="0" applyFont="1" applyFill="1"/>
    <xf numFmtId="43" fontId="40" fillId="8" borderId="0" xfId="1" applyFont="1" applyFill="1" applyBorder="1" applyAlignment="1" applyProtection="1">
      <alignment wrapText="1"/>
      <protection hidden="1"/>
    </xf>
    <xf numFmtId="4" fontId="40" fillId="8" borderId="0" xfId="1" applyNumberFormat="1" applyFont="1" applyFill="1" applyBorder="1" applyAlignment="1" applyProtection="1">
      <protection hidden="1"/>
    </xf>
    <xf numFmtId="167" fontId="30" fillId="0" borderId="0" xfId="1" applyNumberFormat="1" applyFont="1" applyFill="1" applyBorder="1" applyAlignment="1" applyProtection="1">
      <alignment vertical="center"/>
      <protection locked="0"/>
    </xf>
    <xf numFmtId="168" fontId="30" fillId="0" borderId="0" xfId="1" applyNumberFormat="1" applyFont="1" applyFill="1" applyBorder="1" applyAlignment="1" applyProtection="1">
      <alignment vertical="center"/>
      <protection hidden="1"/>
    </xf>
    <xf numFmtId="167" fontId="30" fillId="0" borderId="0" xfId="1" applyNumberFormat="1" applyFont="1" applyFill="1" applyBorder="1" applyAlignment="1" applyProtection="1">
      <protection locked="0"/>
    </xf>
    <xf numFmtId="43" fontId="30" fillId="0" borderId="0" xfId="1" applyFont="1" applyFill="1" applyBorder="1" applyAlignment="1" applyProtection="1">
      <protection hidden="1"/>
    </xf>
    <xf numFmtId="43" fontId="54" fillId="2" borderId="0" xfId="1" applyFont="1" applyFill="1" applyBorder="1" applyAlignment="1">
      <alignment wrapText="1"/>
    </xf>
    <xf numFmtId="0" fontId="30" fillId="2" borderId="0" xfId="0" applyFont="1" applyFill="1" applyProtection="1">
      <protection hidden="1"/>
    </xf>
    <xf numFmtId="0" fontId="47" fillId="0" borderId="0" xfId="0" applyFont="1"/>
    <xf numFmtId="9" fontId="47" fillId="0" borderId="0" xfId="2" applyFont="1"/>
    <xf numFmtId="43" fontId="11" fillId="0" borderId="0" xfId="1" applyFont="1" applyFill="1" applyBorder="1" applyAlignment="1" applyProtection="1">
      <alignment horizontal="left" vertical="top" wrapText="1"/>
      <protection hidden="1"/>
    </xf>
    <xf numFmtId="0" fontId="36" fillId="8" borderId="22" xfId="0" applyFont="1" applyFill="1" applyBorder="1"/>
    <xf numFmtId="0" fontId="41" fillId="8" borderId="22" xfId="0" applyFont="1" applyFill="1" applyBorder="1" applyAlignment="1" applyProtection="1">
      <alignment vertical="center" wrapText="1"/>
      <protection hidden="1"/>
    </xf>
    <xf numFmtId="0" fontId="41" fillId="8" borderId="22" xfId="0" applyFont="1" applyFill="1" applyBorder="1" applyAlignment="1">
      <alignment vertical="center" wrapText="1"/>
    </xf>
    <xf numFmtId="0" fontId="41" fillId="8" borderId="22" xfId="0" applyFont="1" applyFill="1" applyBorder="1"/>
    <xf numFmtId="4" fontId="36" fillId="8" borderId="22" xfId="1" applyNumberFormat="1" applyFont="1" applyFill="1" applyBorder="1" applyAlignment="1" applyProtection="1">
      <protection hidden="1"/>
    </xf>
    <xf numFmtId="4" fontId="36" fillId="8" borderId="22" xfId="1" applyNumberFormat="1" applyFont="1" applyFill="1" applyBorder="1" applyAlignment="1" applyProtection="1">
      <alignment wrapText="1"/>
      <protection hidden="1"/>
    </xf>
    <xf numFmtId="4" fontId="36" fillId="8" borderId="22" xfId="1" applyNumberFormat="1" applyFont="1" applyFill="1" applyBorder="1" applyAlignment="1">
      <alignment wrapText="1"/>
    </xf>
    <xf numFmtId="4" fontId="36" fillId="8" borderId="22" xfId="1" applyNumberFormat="1" applyFont="1" applyFill="1" applyBorder="1" applyAlignment="1"/>
    <xf numFmtId="0" fontId="41" fillId="8" borderId="23" xfId="0" applyFont="1" applyFill="1" applyBorder="1" applyAlignment="1">
      <alignment vertical="center" wrapText="1"/>
    </xf>
    <xf numFmtId="4" fontId="36" fillId="8" borderId="23" xfId="1" applyNumberFormat="1" applyFont="1" applyFill="1" applyBorder="1" applyAlignment="1" applyProtection="1">
      <alignment wrapText="1"/>
      <protection hidden="1"/>
    </xf>
    <xf numFmtId="4" fontId="36" fillId="8" borderId="23" xfId="1" applyNumberFormat="1" applyFont="1" applyFill="1" applyBorder="1" applyAlignment="1" applyProtection="1">
      <protection hidden="1"/>
    </xf>
    <xf numFmtId="0" fontId="36" fillId="8" borderId="22" xfId="0" applyFont="1" applyFill="1" applyBorder="1" applyProtection="1">
      <protection hidden="1"/>
    </xf>
    <xf numFmtId="0" fontId="41" fillId="8" borderId="22" xfId="0" applyFont="1" applyFill="1" applyBorder="1" applyAlignment="1">
      <alignment horizontal="center" wrapText="1"/>
    </xf>
    <xf numFmtId="0" fontId="41" fillId="8" borderId="22" xfId="0" applyFont="1" applyFill="1" applyBorder="1" applyAlignment="1">
      <alignment wrapText="1"/>
    </xf>
    <xf numFmtId="4" fontId="36" fillId="8" borderId="22" xfId="0" applyNumberFormat="1" applyFont="1" applyFill="1" applyBorder="1" applyAlignment="1" applyProtection="1">
      <alignment wrapText="1"/>
      <protection hidden="1"/>
    </xf>
    <xf numFmtId="9" fontId="36" fillId="8" borderId="22" xfId="2" applyFont="1" applyFill="1" applyBorder="1" applyAlignment="1" applyProtection="1">
      <alignment wrapText="1"/>
      <protection hidden="1"/>
    </xf>
    <xf numFmtId="0" fontId="40" fillId="8" borderId="0" xfId="0" applyFont="1" applyFill="1" applyAlignment="1">
      <alignment vertical="center" wrapText="1"/>
    </xf>
    <xf numFmtId="0" fontId="56" fillId="8" borderId="0" xfId="0" applyFont="1" applyFill="1"/>
    <xf numFmtId="0" fontId="36" fillId="0" borderId="0" xfId="0" applyFont="1" applyAlignment="1" applyProtection="1">
      <alignment horizontal="center" vertical="center" wrapText="1"/>
      <protection locked="0"/>
    </xf>
    <xf numFmtId="9" fontId="36" fillId="0" borderId="0" xfId="0" applyNumberFormat="1" applyFont="1" applyAlignment="1" applyProtection="1">
      <alignment horizontal="center" vertical="center" wrapText="1"/>
      <protection locked="0"/>
    </xf>
    <xf numFmtId="43" fontId="36" fillId="0" borderId="0" xfId="1" applyFont="1" applyFill="1" applyAlignment="1" applyProtection="1">
      <alignment horizontal="center" vertical="center" wrapText="1"/>
      <protection locked="0"/>
    </xf>
    <xf numFmtId="9" fontId="36" fillId="0" borderId="0" xfId="2" applyFont="1" applyFill="1" applyBorder="1" applyAlignment="1" applyProtection="1">
      <alignment horizontal="center" vertical="center" wrapText="1"/>
      <protection locked="0"/>
    </xf>
    <xf numFmtId="10" fontId="36" fillId="0" borderId="0" xfId="2" applyNumberFormat="1" applyFont="1" applyFill="1" applyBorder="1" applyAlignment="1" applyProtection="1">
      <alignment horizontal="center" vertical="center" wrapText="1"/>
      <protection locked="0"/>
    </xf>
    <xf numFmtId="14" fontId="47" fillId="0" borderId="0" xfId="0" applyNumberFormat="1" applyFont="1" applyAlignment="1" applyProtection="1">
      <alignment horizontal="left" vertical="center" wrapText="1"/>
      <protection locked="0"/>
    </xf>
    <xf numFmtId="14" fontId="51" fillId="23" borderId="21" xfId="0" applyNumberFormat="1" applyFont="1" applyFill="1" applyBorder="1" applyAlignment="1">
      <alignment horizontal="left" vertical="center" wrapText="1"/>
    </xf>
    <xf numFmtId="43" fontId="14" fillId="0" borderId="0" xfId="1" applyFont="1" applyFill="1" applyBorder="1" applyAlignment="1" applyProtection="1">
      <alignment horizontal="left" vertical="top" wrapText="1"/>
      <protection hidden="1"/>
    </xf>
    <xf numFmtId="167" fontId="36" fillId="0" borderId="0" xfId="1" applyNumberFormat="1" applyFont="1" applyFill="1" applyBorder="1" applyAlignment="1" applyProtection="1">
      <alignment vertical="center" wrapText="1"/>
      <protection locked="0"/>
    </xf>
    <xf numFmtId="167" fontId="30" fillId="0" borderId="0" xfId="1" applyNumberFormat="1" applyFont="1" applyFill="1" applyBorder="1" applyAlignment="1" applyProtection="1">
      <alignment vertical="center" wrapText="1"/>
      <protection locked="0"/>
    </xf>
    <xf numFmtId="166" fontId="30" fillId="22" borderId="17" xfId="2" applyNumberFormat="1" applyFont="1" applyFill="1" applyBorder="1" applyAlignment="1" applyProtection="1">
      <alignment horizontal="center"/>
      <protection locked="0"/>
    </xf>
    <xf numFmtId="4" fontId="30" fillId="22" borderId="17" xfId="0" applyNumberFormat="1" applyFont="1" applyFill="1" applyBorder="1" applyAlignment="1" applyProtection="1">
      <alignment horizontal="center" wrapText="1"/>
      <protection locked="0"/>
    </xf>
    <xf numFmtId="166" fontId="30" fillId="22" borderId="17" xfId="2" applyNumberFormat="1" applyFont="1" applyFill="1" applyBorder="1" applyAlignment="1" applyProtection="1">
      <alignment horizontal="center" vertical="center"/>
      <protection locked="0"/>
    </xf>
    <xf numFmtId="10" fontId="35" fillId="8" borderId="1" xfId="2" applyNumberFormat="1" applyFont="1" applyFill="1" applyBorder="1" applyAlignment="1" applyProtection="1">
      <alignment horizontal="right" vertical="center"/>
      <protection hidden="1"/>
    </xf>
    <xf numFmtId="0" fontId="36" fillId="0" borderId="0" xfId="0" applyFont="1" applyAlignment="1" applyProtection="1">
      <alignment horizontal="left" vertical="center" wrapText="1"/>
      <protection locked="0"/>
    </xf>
    <xf numFmtId="43" fontId="51" fillId="23" borderId="21" xfId="1" applyFont="1" applyFill="1" applyBorder="1" applyAlignment="1">
      <alignment horizontal="left" vertical="center" wrapText="1"/>
    </xf>
    <xf numFmtId="43" fontId="41" fillId="23" borderId="21" xfId="1" applyFont="1" applyFill="1" applyBorder="1" applyAlignment="1">
      <alignment horizontal="left" vertical="center" wrapText="1"/>
    </xf>
    <xf numFmtId="0" fontId="41" fillId="8" borderId="29" xfId="0" applyFont="1" applyFill="1" applyBorder="1"/>
    <xf numFmtId="43" fontId="36" fillId="8" borderId="30" xfId="0" applyNumberFormat="1" applyFont="1" applyFill="1" applyBorder="1"/>
    <xf numFmtId="167" fontId="41" fillId="8" borderId="22" xfId="0" applyNumberFormat="1" applyFont="1" applyFill="1" applyBorder="1" applyAlignment="1" applyProtection="1">
      <alignment vertical="center" wrapText="1"/>
      <protection hidden="1"/>
    </xf>
    <xf numFmtId="0" fontId="34" fillId="8" borderId="0" xfId="0" applyFont="1" applyFill="1" applyProtection="1">
      <protection locked="0" hidden="1"/>
    </xf>
    <xf numFmtId="0" fontId="41" fillId="8" borderId="31" xfId="0" applyFont="1" applyFill="1" applyBorder="1" applyAlignment="1">
      <alignment horizontal="center" wrapText="1"/>
    </xf>
    <xf numFmtId="0" fontId="41" fillId="8" borderId="32" xfId="0" applyFont="1" applyFill="1" applyBorder="1" applyAlignment="1">
      <alignment wrapText="1"/>
    </xf>
    <xf numFmtId="43" fontId="36" fillId="8" borderId="27" xfId="1" applyFont="1" applyFill="1" applyBorder="1" applyAlignment="1">
      <alignment wrapText="1"/>
    </xf>
    <xf numFmtId="0" fontId="41" fillId="21" borderId="4" xfId="0" applyFont="1" applyFill="1" applyBorder="1" applyAlignment="1" applyProtection="1">
      <alignment horizontal="left"/>
      <protection hidden="1"/>
    </xf>
    <xf numFmtId="4" fontId="41" fillId="21" borderId="1" xfId="2" applyNumberFormat="1" applyFont="1" applyFill="1" applyBorder="1" applyAlignment="1" applyProtection="1">
      <alignment horizontal="right" vertical="center"/>
      <protection hidden="1"/>
    </xf>
    <xf numFmtId="0" fontId="41" fillId="21" borderId="4" xfId="0" applyFont="1" applyFill="1" applyBorder="1" applyAlignment="1" applyProtection="1">
      <alignment horizontal="left" vertical="center" wrapText="1"/>
      <protection hidden="1"/>
    </xf>
    <xf numFmtId="0" fontId="55" fillId="8" borderId="0" xfId="0" applyFont="1" applyFill="1" applyAlignment="1">
      <alignment vertical="center"/>
    </xf>
    <xf numFmtId="43" fontId="54" fillId="8" borderId="0" xfId="1" applyFont="1" applyFill="1" applyBorder="1" applyAlignment="1" applyProtection="1">
      <alignment wrapText="1"/>
      <protection hidden="1"/>
    </xf>
    <xf numFmtId="43" fontId="54" fillId="8" borderId="0" xfId="1" applyFont="1" applyFill="1" applyBorder="1" applyAlignment="1">
      <alignment wrapText="1"/>
    </xf>
    <xf numFmtId="0" fontId="30" fillId="8" borderId="0" xfId="0" applyFont="1" applyFill="1" applyProtection="1">
      <protection hidden="1"/>
    </xf>
    <xf numFmtId="0" fontId="41" fillId="21" borderId="1" xfId="0" applyFont="1" applyFill="1" applyBorder="1" applyAlignment="1" applyProtection="1">
      <alignment horizontal="left"/>
      <protection hidden="1"/>
    </xf>
    <xf numFmtId="43" fontId="36" fillId="21" borderId="1" xfId="1" applyFont="1" applyFill="1" applyBorder="1" applyAlignment="1" applyProtection="1">
      <alignment horizontal="center"/>
      <protection hidden="1"/>
    </xf>
    <xf numFmtId="43" fontId="41" fillId="8" borderId="0" xfId="1" applyFont="1" applyFill="1" applyBorder="1" applyAlignment="1" applyProtection="1">
      <alignment horizontal="left" wrapText="1"/>
      <protection hidden="1"/>
    </xf>
    <xf numFmtId="0" fontId="42" fillId="8" borderId="16" xfId="0" applyFont="1" applyFill="1" applyBorder="1" applyAlignment="1">
      <alignment horizontal="right" vertical="center" wrapText="1"/>
    </xf>
    <xf numFmtId="0" fontId="41" fillId="21" borderId="1" xfId="0" quotePrefix="1" applyFont="1" applyFill="1" applyBorder="1" applyAlignment="1" applyProtection="1">
      <alignment horizontal="left"/>
      <protection hidden="1"/>
    </xf>
    <xf numFmtId="43" fontId="41" fillId="21" borderId="1" xfId="1" applyFont="1" applyFill="1" applyBorder="1" applyAlignment="1" applyProtection="1">
      <alignment horizontal="center"/>
      <protection hidden="1"/>
    </xf>
    <xf numFmtId="0" fontId="41" fillId="8" borderId="0" xfId="0" applyFont="1" applyFill="1" applyAlignment="1">
      <alignment horizontal="center"/>
    </xf>
    <xf numFmtId="0" fontId="36" fillId="8" borderId="15" xfId="0" applyFont="1" applyFill="1" applyBorder="1"/>
    <xf numFmtId="167" fontId="51" fillId="23" borderId="19" xfId="1" applyNumberFormat="1" applyFont="1" applyFill="1" applyBorder="1" applyAlignment="1" applyProtection="1">
      <alignment vertical="center"/>
    </xf>
    <xf numFmtId="167" fontId="58" fillId="23" borderId="19" xfId="1" applyNumberFormat="1" applyFont="1" applyFill="1" applyBorder="1" applyAlignment="1" applyProtection="1">
      <alignment vertical="center"/>
    </xf>
    <xf numFmtId="167" fontId="51" fillId="23" borderId="23" xfId="1" applyNumberFormat="1" applyFont="1" applyFill="1" applyBorder="1" applyAlignment="1" applyProtection="1">
      <alignment vertical="center"/>
    </xf>
    <xf numFmtId="167" fontId="51" fillId="23" borderId="31" xfId="1" applyNumberFormat="1" applyFont="1" applyFill="1" applyBorder="1" applyAlignment="1" applyProtection="1">
      <alignment vertical="center"/>
    </xf>
    <xf numFmtId="0" fontId="36" fillId="8" borderId="23" xfId="0" applyFont="1" applyFill="1" applyBorder="1"/>
    <xf numFmtId="0" fontId="36" fillId="8" borderId="33" xfId="0" applyFont="1" applyFill="1" applyBorder="1"/>
    <xf numFmtId="0" fontId="36" fillId="8" borderId="31" xfId="0" applyFont="1" applyFill="1" applyBorder="1"/>
    <xf numFmtId="0" fontId="36" fillId="8" borderId="25" xfId="0" applyFont="1" applyFill="1" applyBorder="1"/>
    <xf numFmtId="0" fontId="36" fillId="8" borderId="26" xfId="0" applyFont="1" applyFill="1" applyBorder="1"/>
    <xf numFmtId="9" fontId="36" fillId="8" borderId="25" xfId="2" applyFont="1" applyFill="1" applyBorder="1"/>
    <xf numFmtId="9" fontId="36" fillId="8" borderId="26" xfId="2" applyFont="1" applyFill="1" applyBorder="1"/>
    <xf numFmtId="0" fontId="36" fillId="8" borderId="27" xfId="0" applyFont="1" applyFill="1" applyBorder="1"/>
    <xf numFmtId="9" fontId="36" fillId="8" borderId="27" xfId="2" applyFont="1" applyFill="1" applyBorder="1"/>
    <xf numFmtId="167" fontId="51" fillId="23" borderId="22" xfId="1" applyNumberFormat="1" applyFont="1" applyFill="1" applyBorder="1" applyAlignment="1" applyProtection="1">
      <alignment vertical="center"/>
    </xf>
    <xf numFmtId="167" fontId="51" fillId="23" borderId="28" xfId="1" applyNumberFormat="1" applyFont="1" applyFill="1" applyBorder="1" applyAlignment="1" applyProtection="1">
      <alignment vertical="center"/>
    </xf>
    <xf numFmtId="167" fontId="51" fillId="23" borderId="24" xfId="1" applyNumberFormat="1" applyFont="1" applyFill="1" applyBorder="1" applyAlignment="1" applyProtection="1">
      <alignment vertical="center"/>
    </xf>
    <xf numFmtId="43" fontId="36" fillId="8" borderId="22" xfId="6" applyFont="1" applyFill="1" applyBorder="1" applyAlignment="1" applyProtection="1">
      <alignment horizontal="left"/>
      <protection locked="0"/>
    </xf>
    <xf numFmtId="43" fontId="36" fillId="8" borderId="32" xfId="6" applyFont="1" applyFill="1" applyBorder="1" applyAlignment="1" applyProtection="1">
      <alignment horizontal="left"/>
      <protection locked="0"/>
    </xf>
    <xf numFmtId="0" fontId="51" fillId="23" borderId="21" xfId="0" applyFont="1" applyFill="1" applyBorder="1" applyAlignment="1">
      <alignment horizontal="center" vertical="center" wrapText="1"/>
    </xf>
    <xf numFmtId="14" fontId="51" fillId="23" borderId="21" xfId="0" applyNumberFormat="1" applyFont="1" applyFill="1" applyBorder="1" applyAlignment="1">
      <alignment horizontal="center" vertical="center" wrapText="1"/>
    </xf>
    <xf numFmtId="167" fontId="51" fillId="23" borderId="34" xfId="1" applyNumberFormat="1" applyFont="1" applyFill="1" applyBorder="1" applyAlignment="1">
      <alignment vertical="center"/>
    </xf>
    <xf numFmtId="43" fontId="51" fillId="23" borderId="34" xfId="1" applyFont="1" applyFill="1" applyBorder="1" applyAlignment="1">
      <alignment vertical="center"/>
    </xf>
    <xf numFmtId="0" fontId="60" fillId="8" borderId="0" xfId="0" applyFont="1" applyFill="1" applyAlignment="1">
      <alignment vertical="center"/>
    </xf>
    <xf numFmtId="1" fontId="30" fillId="0" borderId="0" xfId="0" applyNumberFormat="1" applyFont="1" applyProtection="1">
      <protection locked="0"/>
    </xf>
    <xf numFmtId="1" fontId="30" fillId="0" borderId="0" xfId="0" applyNumberFormat="1" applyFont="1" applyAlignment="1" applyProtection="1">
      <alignment vertical="center"/>
      <protection hidden="1"/>
    </xf>
    <xf numFmtId="14" fontId="30" fillId="0" borderId="0" xfId="0" applyNumberFormat="1" applyFont="1"/>
    <xf numFmtId="9" fontId="36" fillId="8" borderId="22" xfId="2" applyFont="1" applyFill="1" applyBorder="1" applyAlignment="1" applyProtection="1">
      <alignment horizontal="left"/>
      <protection locked="0"/>
    </xf>
    <xf numFmtId="0" fontId="36" fillId="8" borderId="32" xfId="0" applyFont="1" applyFill="1" applyBorder="1" applyProtection="1">
      <protection locked="0"/>
    </xf>
    <xf numFmtId="0" fontId="36" fillId="8" borderId="32" xfId="0" quotePrefix="1" applyFont="1" applyFill="1" applyBorder="1" applyProtection="1">
      <protection locked="0"/>
    </xf>
    <xf numFmtId="43" fontId="36" fillId="21" borderId="32" xfId="1" applyFont="1" applyFill="1" applyBorder="1" applyAlignment="1" applyProtection="1">
      <alignment horizontal="center"/>
      <protection locked="0"/>
    </xf>
    <xf numFmtId="43" fontId="36" fillId="8" borderId="22" xfId="6" applyFont="1" applyFill="1" applyBorder="1" applyAlignment="1" applyProtection="1">
      <alignment horizontal="left"/>
      <protection hidden="1"/>
    </xf>
    <xf numFmtId="0" fontId="61" fillId="8" borderId="0" xfId="0" applyFont="1" applyFill="1"/>
    <xf numFmtId="0" fontId="41" fillId="8" borderId="0" xfId="0" applyFont="1" applyFill="1" applyAlignment="1">
      <alignment horizontal="left" vertical="center" wrapText="1"/>
    </xf>
    <xf numFmtId="4" fontId="36" fillId="24" borderId="22" xfId="8" applyNumberFormat="1" applyFont="1" applyFill="1" applyBorder="1" applyAlignment="1" applyProtection="1">
      <protection locked="0"/>
    </xf>
    <xf numFmtId="4" fontId="36" fillId="24" borderId="22" xfId="1" applyNumberFormat="1" applyFont="1" applyFill="1" applyBorder="1" applyAlignment="1" applyProtection="1">
      <protection locked="0"/>
    </xf>
    <xf numFmtId="4" fontId="36" fillId="0" borderId="22" xfId="1" applyNumberFormat="1" applyFont="1" applyFill="1" applyBorder="1" applyAlignment="1" applyProtection="1">
      <protection hidden="1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171" fontId="30" fillId="0" borderId="0" xfId="0" applyNumberFormat="1" applyFont="1"/>
    <xf numFmtId="0" fontId="30" fillId="8" borderId="0" xfId="0" applyFont="1" applyFill="1" applyAlignment="1">
      <alignment horizontal="left"/>
    </xf>
    <xf numFmtId="0" fontId="34" fillId="8" borderId="0" xfId="0" applyFont="1" applyFill="1" applyAlignment="1" applyProtection="1">
      <alignment horizontal="left"/>
      <protection locked="0"/>
    </xf>
    <xf numFmtId="0" fontId="34" fillId="8" borderId="0" xfId="0" applyFont="1" applyFill="1" applyAlignment="1">
      <alignment horizontal="left"/>
    </xf>
    <xf numFmtId="0" fontId="36" fillId="8" borderId="0" xfId="0" applyFont="1" applyFill="1" applyAlignment="1">
      <alignment horizontal="left"/>
    </xf>
    <xf numFmtId="0" fontId="42" fillId="8" borderId="0" xfId="0" applyFont="1" applyFill="1" applyAlignment="1">
      <alignment horizontal="left" wrapText="1"/>
    </xf>
    <xf numFmtId="0" fontId="36" fillId="8" borderId="5" xfId="0" applyFont="1" applyFill="1" applyBorder="1" applyAlignment="1">
      <alignment horizontal="left"/>
    </xf>
    <xf numFmtId="0" fontId="28" fillId="8" borderId="0" xfId="0" applyFont="1" applyFill="1" applyAlignment="1">
      <alignment horizontal="left"/>
    </xf>
    <xf numFmtId="43" fontId="30" fillId="8" borderId="0" xfId="1" applyFont="1" applyFill="1" applyBorder="1" applyAlignment="1" applyProtection="1">
      <alignment horizontal="left"/>
      <protection hidden="1"/>
    </xf>
    <xf numFmtId="43" fontId="30" fillId="21" borderId="0" xfId="1" applyFont="1" applyFill="1" applyBorder="1" applyAlignment="1" applyProtection="1">
      <alignment horizontal="left"/>
      <protection hidden="1"/>
    </xf>
    <xf numFmtId="43" fontId="40" fillId="8" borderId="0" xfId="1" applyFont="1" applyFill="1" applyBorder="1" applyAlignment="1" applyProtection="1">
      <alignment horizontal="left"/>
      <protection hidden="1"/>
    </xf>
    <xf numFmtId="43" fontId="40" fillId="8" borderId="0" xfId="1" applyFont="1" applyFill="1" applyBorder="1" applyAlignment="1">
      <alignment horizontal="left"/>
    </xf>
    <xf numFmtId="0" fontId="30" fillId="0" borderId="0" xfId="0" applyFont="1" applyAlignment="1">
      <alignment horizontal="left"/>
    </xf>
    <xf numFmtId="43" fontId="30" fillId="0" borderId="14" xfId="1" applyFont="1" applyBorder="1" applyAlignment="1" applyProtection="1">
      <alignment horizontal="left"/>
      <protection hidden="1"/>
    </xf>
    <xf numFmtId="169" fontId="30" fillId="0" borderId="14" xfId="0" applyNumberFormat="1" applyFont="1" applyBorder="1" applyAlignment="1" applyProtection="1">
      <alignment horizontal="left" vertical="center" wrapText="1"/>
      <protection hidden="1"/>
    </xf>
    <xf numFmtId="169" fontId="30" fillId="0" borderId="14" xfId="0" applyNumberFormat="1" applyFont="1" applyBorder="1" applyAlignment="1" applyProtection="1">
      <alignment horizontal="left" vertical="center"/>
      <protection hidden="1"/>
    </xf>
    <xf numFmtId="0" fontId="59" fillId="24" borderId="0" xfId="0" applyFont="1" applyFill="1" applyAlignment="1" applyProtection="1">
      <alignment horizontal="center" vertical="center"/>
      <protection locked="0"/>
    </xf>
    <xf numFmtId="0" fontId="41" fillId="8" borderId="0" xfId="0" applyFont="1" applyFill="1" applyAlignment="1">
      <alignment horizontal="left" vertical="center" wrapText="1"/>
    </xf>
    <xf numFmtId="43" fontId="30" fillId="21" borderId="0" xfId="1" applyFont="1" applyFill="1" applyBorder="1" applyAlignment="1" applyProtection="1">
      <alignment horizontal="center"/>
      <protection hidden="1"/>
    </xf>
    <xf numFmtId="4" fontId="30" fillId="22" borderId="17" xfId="0" applyNumberFormat="1" applyFont="1" applyFill="1" applyBorder="1" applyAlignment="1" applyProtection="1">
      <alignment horizontal="center"/>
      <protection locked="0"/>
    </xf>
    <xf numFmtId="4" fontId="30" fillId="22" borderId="18" xfId="0" applyNumberFormat="1" applyFont="1" applyFill="1" applyBorder="1" applyAlignment="1" applyProtection="1">
      <alignment horizontal="center"/>
      <protection locked="0"/>
    </xf>
    <xf numFmtId="0" fontId="41" fillId="8" borderId="0" xfId="0" applyFont="1" applyFill="1" applyAlignment="1" applyProtection="1">
      <alignment horizontal="center" vertical="center" wrapText="1"/>
      <protection hidden="1"/>
    </xf>
    <xf numFmtId="0" fontId="41" fillId="8" borderId="10" xfId="0" applyFont="1" applyFill="1" applyBorder="1" applyAlignment="1" applyProtection="1">
      <alignment horizontal="center" vertical="center" wrapText="1"/>
      <protection hidden="1"/>
    </xf>
    <xf numFmtId="0" fontId="29" fillId="8" borderId="0" xfId="0" applyFont="1" applyFill="1" applyAlignment="1" applyProtection="1">
      <alignment horizontal="left" vertical="top"/>
      <protection hidden="1"/>
    </xf>
    <xf numFmtId="0" fontId="57" fillId="8" borderId="0" xfId="0" applyFont="1" applyFill="1" applyAlignment="1" applyProtection="1">
      <alignment vertical="center" wrapText="1"/>
      <protection hidden="1"/>
    </xf>
    <xf numFmtId="0" fontId="41" fillId="8" borderId="0" xfId="0" applyFont="1" applyFill="1" applyAlignment="1" applyProtection="1">
      <alignment horizontal="left" vertical="center" wrapText="1"/>
      <protection hidden="1"/>
    </xf>
    <xf numFmtId="0" fontId="42" fillId="8" borderId="0" xfId="0" applyFont="1" applyFill="1" applyAlignment="1" applyProtection="1">
      <alignment horizontal="center" vertical="center" wrapText="1"/>
      <protection hidden="1"/>
    </xf>
    <xf numFmtId="0" fontId="40" fillId="8" borderId="0" xfId="0" applyFont="1" applyFill="1" applyAlignment="1">
      <alignment horizontal="left" vertical="center" wrapText="1"/>
    </xf>
    <xf numFmtId="43" fontId="53" fillId="8" borderId="0" xfId="1" applyFont="1" applyFill="1" applyBorder="1" applyAlignment="1" applyProtection="1">
      <alignment horizontal="center" vertical="top" wrapText="1"/>
      <protection hidden="1"/>
    </xf>
    <xf numFmtId="4" fontId="36" fillId="8" borderId="3" xfId="1" applyNumberFormat="1" applyFont="1" applyFill="1" applyBorder="1" applyAlignment="1" applyProtection="1">
      <alignment horizontal="center" vertical="center"/>
      <protection locked="0"/>
    </xf>
    <xf numFmtId="4" fontId="36" fillId="8" borderId="4" xfId="1" applyNumberFormat="1" applyFont="1" applyFill="1" applyBorder="1" applyAlignment="1" applyProtection="1">
      <alignment horizontal="center" vertical="center"/>
      <protection locked="0"/>
    </xf>
  </cellXfs>
  <cellStyles count="68">
    <cellStyle name="Collegamento ipertestuale 2" xfId="31" xr:uid="{00000000-0005-0000-0000-000000000000}"/>
    <cellStyle name="Collegamento ipertestuale 2 5" xfId="34" xr:uid="{00000000-0005-0000-0000-000001000000}"/>
    <cellStyle name="Collegamento ipertestuale 3" xfId="32" xr:uid="{00000000-0005-0000-0000-000002000000}"/>
    <cellStyle name="Migliaia" xfId="1" builtinId="3"/>
    <cellStyle name="Migliaia 2" xfId="4" xr:uid="{00000000-0005-0000-0000-000004000000}"/>
    <cellStyle name="Migliaia 2 2" xfId="6" xr:uid="{00000000-0005-0000-0000-000005000000}"/>
    <cellStyle name="Migliaia 2 2 2" xfId="12" xr:uid="{00000000-0005-0000-0000-000006000000}"/>
    <cellStyle name="Migliaia 2 2 2 2" xfId="46" xr:uid="{00000000-0005-0000-0000-000007000000}"/>
    <cellStyle name="Migliaia 2 2 3" xfId="18" xr:uid="{00000000-0005-0000-0000-000008000000}"/>
    <cellStyle name="Migliaia 2 2 3 2" xfId="52" xr:uid="{00000000-0005-0000-0000-000009000000}"/>
    <cellStyle name="Migliaia 2 2 4" xfId="24" xr:uid="{00000000-0005-0000-0000-00000A000000}"/>
    <cellStyle name="Migliaia 2 2 4 2" xfId="58" xr:uid="{00000000-0005-0000-0000-00000B000000}"/>
    <cellStyle name="Migliaia 2 2 5" xfId="40" xr:uid="{00000000-0005-0000-0000-00000C000000}"/>
    <cellStyle name="Migliaia 2 3" xfId="8" xr:uid="{00000000-0005-0000-0000-00000D000000}"/>
    <cellStyle name="Migliaia 2 3 2" xfId="14" xr:uid="{00000000-0005-0000-0000-00000E000000}"/>
    <cellStyle name="Migliaia 2 3 2 2" xfId="48" xr:uid="{00000000-0005-0000-0000-00000F000000}"/>
    <cellStyle name="Migliaia 2 3 3" xfId="20" xr:uid="{00000000-0005-0000-0000-000010000000}"/>
    <cellStyle name="Migliaia 2 3 3 2" xfId="54" xr:uid="{00000000-0005-0000-0000-000011000000}"/>
    <cellStyle name="Migliaia 2 3 4" xfId="26" xr:uid="{00000000-0005-0000-0000-000012000000}"/>
    <cellStyle name="Migliaia 2 3 4 2" xfId="60" xr:uid="{00000000-0005-0000-0000-000013000000}"/>
    <cellStyle name="Migliaia 2 3 5" xfId="42" xr:uid="{00000000-0005-0000-0000-000014000000}"/>
    <cellStyle name="Migliaia 2 4" xfId="10" xr:uid="{00000000-0005-0000-0000-000015000000}"/>
    <cellStyle name="Migliaia 2 4 2" xfId="44" xr:uid="{00000000-0005-0000-0000-000016000000}"/>
    <cellStyle name="Migliaia 2 5" xfId="16" xr:uid="{00000000-0005-0000-0000-000017000000}"/>
    <cellStyle name="Migliaia 2 5 2" xfId="50" xr:uid="{00000000-0005-0000-0000-000018000000}"/>
    <cellStyle name="Migliaia 2 6" xfId="22" xr:uid="{00000000-0005-0000-0000-000019000000}"/>
    <cellStyle name="Migliaia 2 6 2" xfId="56" xr:uid="{00000000-0005-0000-0000-00001A000000}"/>
    <cellStyle name="Migliaia 2 7" xfId="38" xr:uid="{00000000-0005-0000-0000-00001B000000}"/>
    <cellStyle name="Migliaia 3" xfId="5" xr:uid="{00000000-0005-0000-0000-00001C000000}"/>
    <cellStyle name="Migliaia 3 2" xfId="11" xr:uid="{00000000-0005-0000-0000-00001D000000}"/>
    <cellStyle name="Migliaia 3 2 2" xfId="45" xr:uid="{00000000-0005-0000-0000-00001E000000}"/>
    <cellStyle name="Migliaia 3 3" xfId="17" xr:uid="{00000000-0005-0000-0000-00001F000000}"/>
    <cellStyle name="Migliaia 3 3 2" xfId="51" xr:uid="{00000000-0005-0000-0000-000020000000}"/>
    <cellStyle name="Migliaia 3 4" xfId="23" xr:uid="{00000000-0005-0000-0000-000021000000}"/>
    <cellStyle name="Migliaia 3 4 2" xfId="57" xr:uid="{00000000-0005-0000-0000-000022000000}"/>
    <cellStyle name="Migliaia 3 5" xfId="39" xr:uid="{00000000-0005-0000-0000-000023000000}"/>
    <cellStyle name="Migliaia 4" xfId="7" xr:uid="{00000000-0005-0000-0000-000024000000}"/>
    <cellStyle name="Migliaia 4 2" xfId="13" xr:uid="{00000000-0005-0000-0000-000025000000}"/>
    <cellStyle name="Migliaia 4 2 2" xfId="47" xr:uid="{00000000-0005-0000-0000-000026000000}"/>
    <cellStyle name="Migliaia 4 3" xfId="19" xr:uid="{00000000-0005-0000-0000-000027000000}"/>
    <cellStyle name="Migliaia 4 3 2" xfId="53" xr:uid="{00000000-0005-0000-0000-000028000000}"/>
    <cellStyle name="Migliaia 4 4" xfId="25" xr:uid="{00000000-0005-0000-0000-000029000000}"/>
    <cellStyle name="Migliaia 4 4 2" xfId="59" xr:uid="{00000000-0005-0000-0000-00002A000000}"/>
    <cellStyle name="Migliaia 4 5" xfId="41" xr:uid="{00000000-0005-0000-0000-00002B000000}"/>
    <cellStyle name="Migliaia 5" xfId="9" xr:uid="{00000000-0005-0000-0000-00002C000000}"/>
    <cellStyle name="Migliaia 5 2" xfId="43" xr:uid="{00000000-0005-0000-0000-00002D000000}"/>
    <cellStyle name="Migliaia 6" xfId="15" xr:uid="{00000000-0005-0000-0000-00002E000000}"/>
    <cellStyle name="Migliaia 6 2" xfId="49" xr:uid="{00000000-0005-0000-0000-00002F000000}"/>
    <cellStyle name="Migliaia 7" xfId="21" xr:uid="{00000000-0005-0000-0000-000030000000}"/>
    <cellStyle name="Migliaia 7 2" xfId="55" xr:uid="{00000000-0005-0000-0000-000031000000}"/>
    <cellStyle name="Migliaia 8" xfId="37" xr:uid="{00000000-0005-0000-0000-000032000000}"/>
    <cellStyle name="Normale" xfId="0" builtinId="0"/>
    <cellStyle name="Normale 10" xfId="67" xr:uid="{00000000-0005-0000-0000-000034000000}"/>
    <cellStyle name="Normale 2" xfId="29" xr:uid="{00000000-0005-0000-0000-000035000000}"/>
    <cellStyle name="Normale 2 2" xfId="28" xr:uid="{00000000-0005-0000-0000-000036000000}"/>
    <cellStyle name="Normale 3" xfId="33" xr:uid="{00000000-0005-0000-0000-000037000000}"/>
    <cellStyle name="Normale 3 2" xfId="61" xr:uid="{00000000-0005-0000-0000-000038000000}"/>
    <cellStyle name="Normale 4" xfId="36" xr:uid="{00000000-0005-0000-0000-000039000000}"/>
    <cellStyle name="Normale 4 2" xfId="62" xr:uid="{00000000-0005-0000-0000-00003A000000}"/>
    <cellStyle name="Normale 5" xfId="3" xr:uid="{00000000-0005-0000-0000-00003B000000}"/>
    <cellStyle name="Normale 5 3" xfId="30" xr:uid="{00000000-0005-0000-0000-00003C000000}"/>
    <cellStyle name="Normale 5 3 2" xfId="35" xr:uid="{00000000-0005-0000-0000-00003D000000}"/>
    <cellStyle name="Normale 5 5" xfId="27" xr:uid="{00000000-0005-0000-0000-00003E000000}"/>
    <cellStyle name="Normale 6" xfId="63" xr:uid="{00000000-0005-0000-0000-00003F000000}"/>
    <cellStyle name="Normale 7" xfId="64" xr:uid="{00000000-0005-0000-0000-000040000000}"/>
    <cellStyle name="Normale 8" xfId="65" xr:uid="{00000000-0005-0000-0000-000041000000}"/>
    <cellStyle name="Normale 9" xfId="66" xr:uid="{00000000-0005-0000-0000-000042000000}"/>
    <cellStyle name="Percentuale" xfId="2" builtinId="5"/>
  </cellStyles>
  <dxfs count="110"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68" formatCode="#\ ?/1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167" formatCode="#,##0.00_ ;\-#,##0.00\ 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67" formatCode="#,##0.00_ ;\-#,##0.00\ 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0" hidden="0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protection locked="1" hidden="1"/>
    </dxf>
    <dxf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font>
        <i/>
        <color theme="9" tint="-0.499984740745262"/>
      </font>
      <numFmt numFmtId="4" formatCode="#,##0.0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1" hidden="1"/>
    </dxf>
    <dxf>
      <numFmt numFmtId="13" formatCode="0%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1"/>
    </dxf>
    <dxf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protection locked="1" hidden="1"/>
    </dxf>
    <dxf>
      <font>
        <i/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i/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i/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b/>
        <i/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4" formatCode="0.00%"/>
    </dxf>
    <dxf>
      <numFmt numFmtId="14" formatCode="0.00%"/>
    </dxf>
    <dxf>
      <numFmt numFmtId="14" formatCode="0.00%"/>
    </dxf>
    <dxf>
      <numFmt numFmtId="13" formatCode="0%"/>
    </dxf>
    <dxf>
      <numFmt numFmtId="13" formatCode="0%"/>
    </dxf>
    <dxf>
      <font>
        <strike val="0"/>
        <outline val="0"/>
        <shadow val="0"/>
        <u val="none"/>
        <vertAlign val="baseline"/>
        <sz val="9"/>
        <color theme="1"/>
        <name val="Calibri"/>
        <scheme val="none"/>
      </font>
    </dxf>
    <dxf>
      <numFmt numFmtId="13" formatCode="0%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0" formatCode="General"/>
      <fill>
        <patternFill patternType="none">
          <bgColor auto="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bgColor auto="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bgColor auto="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bgColor auto="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2" formatCode="0.00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bgColor auto="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bgColor auto="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64" formatCode="_-* #,##0.000_-;\-* #,##0.000_-;_-* &quot;-&quot;??_-;_-@_-"/>
      <fill>
        <patternFill patternType="none">
          <fgColor theme="0" tint="-0.14999847407452621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general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9" formatCode="dd/mm/yyyy"/>
      <fill>
        <patternFill patternType="none"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19" formatCode="dd/mm/yyyy"/>
      <alignment horizontal="left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alignment horizontal="center" textRotation="0" wrapText="1" indent="0" justifyLastLine="0" shrinkToFit="0" readingOrder="0"/>
    </dxf>
  </dxfs>
  <tableStyles count="0" defaultTableStyle="TableStyleMedium2" defaultPivotStyle="PivotStyleLight16"/>
  <colors>
    <mruColors>
      <color rgb="FFDDEBF7"/>
      <color rgb="FFBDD7EE"/>
      <color rgb="FF0F4762"/>
      <color rgb="FF8B131C"/>
      <color rgb="FFA71919"/>
      <color rgb="FFFFCD2D"/>
      <color rgb="FF93C472"/>
      <color rgb="FFFFCC29"/>
      <color rgb="FFFFC409"/>
      <color rgb="FFFFD0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fmlaLink="$A$25" lockText="1" noThreeD="1"/>
</file>

<file path=xl/ctrlProps/ctrlProp2.xml><?xml version="1.0" encoding="utf-8"?>
<formControlPr xmlns="http://schemas.microsoft.com/office/spreadsheetml/2009/9/main" objectType="CheckBox" fmlaLink="$A$26" lockText="1" noThreeD="1"/>
</file>

<file path=xl/ctrlProps/ctrlProp3.xml><?xml version="1.0" encoding="utf-8"?>
<formControlPr xmlns="http://schemas.microsoft.com/office/spreadsheetml/2009/9/main" objectType="CheckBox" fmlaLink="A28" lockText="1" noThreeD="1"/>
</file>

<file path=xl/ctrlProps/ctrlProp4.xml><?xml version="1.0" encoding="utf-8"?>
<formControlPr xmlns="http://schemas.microsoft.com/office/spreadsheetml/2009/9/main" objectType="CheckBox" fmlaLink="DATI!$A$23" lockText="1" noThreeD="1"/>
</file>

<file path=xl/ctrlProps/ctrlProp5.xml><?xml version="1.0" encoding="utf-8"?>
<formControlPr xmlns="http://schemas.microsoft.com/office/spreadsheetml/2009/9/main" objectType="List" dx="22" fmlaLink="DATI!$A$1" fmlaRange="Tabelle!$AT$2:$AT$4" noThreeD="1" sel="1" val="0"/>
</file>

<file path=xl/ctrlProps/ctrlProp6.xml><?xml version="1.0" encoding="utf-8"?>
<formControlPr xmlns="http://schemas.microsoft.com/office/spreadsheetml/2009/9/main" objectType="List" dx="22" fmlaLink="DATI!$A$1" fmlaRange="Tabelle!$AT$2:$AT$4" noThreeD="1" sel="1" val="0"/>
</file>

<file path=xl/ctrlProps/ctrlProp7.xml><?xml version="1.0" encoding="utf-8"?>
<formControlPr xmlns="http://schemas.microsoft.com/office/spreadsheetml/2009/9/main" objectType="CheckBox" fmlaLink="$A$11" lockText="1" noThreeD="1"/>
</file>

<file path=xl/ctrlProps/ctrlProp8.xml><?xml version="1.0" encoding="utf-8"?>
<formControlPr xmlns="http://schemas.microsoft.com/office/spreadsheetml/2009/9/main" objectType="List" dx="22" fmlaLink="DATI!$A$1" fmlaRange="Tabelle!$AT$2:$AT$4" noThreeD="1" sel="1" val="0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Assegnazione!A1"/><Relationship Id="rId3" Type="http://schemas.openxmlformats.org/officeDocument/2006/relationships/image" Target="../media/image3.png"/><Relationship Id="rId7" Type="http://schemas.openxmlformats.org/officeDocument/2006/relationships/hyperlink" Target="#Beni!A1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6" Type="http://schemas.openxmlformats.org/officeDocument/2006/relationships/hyperlink" Target="#Soci!A1"/><Relationship Id="rId11" Type="http://schemas.openxmlformats.org/officeDocument/2006/relationships/hyperlink" Target="#Tariffa!A1"/><Relationship Id="rId5" Type="http://schemas.openxmlformats.org/officeDocument/2006/relationships/hyperlink" Target="#Societ&#224;!A1"/><Relationship Id="rId10" Type="http://schemas.openxmlformats.org/officeDocument/2006/relationships/hyperlink" Target="#CalcoloRapido!A1"/><Relationship Id="rId4" Type="http://schemas.openxmlformats.org/officeDocument/2006/relationships/hyperlink" Target="#DATI!A1"/><Relationship Id="rId9" Type="http://schemas.openxmlformats.org/officeDocument/2006/relationships/hyperlink" Target="#'Tassazione Soci'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Rettifica della detrazione'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4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Tassazione Soci'!A1"/><Relationship Id="rId3" Type="http://schemas.openxmlformats.org/officeDocument/2006/relationships/hyperlink" Target="#DATI!A1"/><Relationship Id="rId7" Type="http://schemas.openxmlformats.org/officeDocument/2006/relationships/hyperlink" Target="#Assegnazione!A1"/><Relationship Id="rId2" Type="http://schemas.openxmlformats.org/officeDocument/2006/relationships/image" Target="../media/image4.emf"/><Relationship Id="rId1" Type="http://schemas.openxmlformats.org/officeDocument/2006/relationships/image" Target="../media/image6.png"/><Relationship Id="rId6" Type="http://schemas.openxmlformats.org/officeDocument/2006/relationships/hyperlink" Target="#Beni!A1"/><Relationship Id="rId5" Type="http://schemas.openxmlformats.org/officeDocument/2006/relationships/hyperlink" Target="#Soci!A1"/><Relationship Id="rId4" Type="http://schemas.openxmlformats.org/officeDocument/2006/relationships/hyperlink" Target="#Societ&#224;!A1"/><Relationship Id="rId9" Type="http://schemas.openxmlformats.org/officeDocument/2006/relationships/hyperlink" Target="#'Rettifica della detrazione'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'Rettifica della detrazione'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4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'Rettifica della detrazione'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4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'Rettifica della detrazione'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4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'Rettifica della detrazione'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4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Tariffa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4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CalcoloRapido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4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666417</xdr:colOff>
      <xdr:row>89</xdr:row>
      <xdr:rowOff>66275</xdr:rowOff>
    </xdr:from>
    <xdr:to>
      <xdr:col>14</xdr:col>
      <xdr:colOff>802150</xdr:colOff>
      <xdr:row>100</xdr:row>
      <xdr:rowOff>214412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5774" y="23579418"/>
          <a:ext cx="16269354" cy="3137477"/>
        </a:xfrm>
        <a:prstGeom prst="rect">
          <a:avLst/>
        </a:prstGeom>
      </xdr:spPr>
    </xdr:pic>
    <xdr:clientData/>
  </xdr:twoCellAnchor>
  <xdr:twoCellAnchor>
    <xdr:from>
      <xdr:col>10</xdr:col>
      <xdr:colOff>92048</xdr:colOff>
      <xdr:row>92</xdr:row>
      <xdr:rowOff>0</xdr:rowOff>
    </xdr:from>
    <xdr:to>
      <xdr:col>10</xdr:col>
      <xdr:colOff>685959</xdr:colOff>
      <xdr:row>93</xdr:row>
      <xdr:rowOff>22412</xdr:rowOff>
    </xdr:to>
    <xdr:sp macro="" textlink="Foglio1!F9">
      <xdr:nvSpPr>
        <xdr:cNvPr id="11" name="Rettangolo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12250430" y="20932588"/>
          <a:ext cx="593911" cy="3025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1CC4740-DA50-4905-BA43-89BA6F709A88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,8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142128</xdr:colOff>
      <xdr:row>7</xdr:row>
      <xdr:rowOff>134534</xdr:rowOff>
    </xdr:from>
    <xdr:to>
      <xdr:col>11</xdr:col>
      <xdr:colOff>1120536</xdr:colOff>
      <xdr:row>10</xdr:row>
      <xdr:rowOff>47666</xdr:rowOff>
    </xdr:to>
    <xdr:sp macro="" textlink="">
      <xdr:nvSpPr>
        <xdr:cNvPr id="3" name="Freccia a destra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1638803" y="1468034"/>
          <a:ext cx="978408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/>
            <a:t>Logo</a:t>
          </a:r>
          <a:r>
            <a:rPr lang="it-IT" sz="1100" baseline="0"/>
            <a:t> studio</a:t>
          </a:r>
          <a:endParaRPr lang="it-IT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2324100</xdr:colOff>
          <xdr:row>24</xdr:row>
          <xdr:rowOff>28575</xdr:rowOff>
        </xdr:from>
        <xdr:to>
          <xdr:col>3</xdr:col>
          <xdr:colOff>2819400</xdr:colOff>
          <xdr:row>24</xdr:row>
          <xdr:rowOff>238125</xdr:rowOff>
        </xdr:to>
        <xdr:sp macro="" textlink="">
          <xdr:nvSpPr>
            <xdr:cNvPr id="1027" name="1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2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2021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24</xdr:row>
          <xdr:rowOff>28575</xdr:rowOff>
        </xdr:from>
        <xdr:to>
          <xdr:col>4</xdr:col>
          <xdr:colOff>657225</xdr:colOff>
          <xdr:row>24</xdr:row>
          <xdr:rowOff>238125</xdr:rowOff>
        </xdr:to>
        <xdr:sp macro="" textlink="">
          <xdr:nvSpPr>
            <xdr:cNvPr id="1028" name="1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2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2022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762000</xdr:colOff>
          <xdr:row>24</xdr:row>
          <xdr:rowOff>28575</xdr:rowOff>
        </xdr:from>
        <xdr:to>
          <xdr:col>4</xdr:col>
          <xdr:colOff>1209675</xdr:colOff>
          <xdr:row>24</xdr:row>
          <xdr:rowOff>238125</xdr:rowOff>
        </xdr:to>
        <xdr:sp macro="" textlink="">
          <xdr:nvSpPr>
            <xdr:cNvPr id="1029" name="1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2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2023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21</xdr:row>
          <xdr:rowOff>9525</xdr:rowOff>
        </xdr:from>
        <xdr:to>
          <xdr:col>10</xdr:col>
          <xdr:colOff>219075</xdr:colOff>
          <xdr:row>22</xdr:row>
          <xdr:rowOff>123825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2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Attività immobiliare prevalente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1133475</xdr:colOff>
          <xdr:row>18</xdr:row>
          <xdr:rowOff>133350</xdr:rowOff>
        </xdr:from>
        <xdr:to>
          <xdr:col>3</xdr:col>
          <xdr:colOff>2552700</xdr:colOff>
          <xdr:row>21</xdr:row>
          <xdr:rowOff>123825</xdr:rowOff>
        </xdr:to>
        <xdr:sp macro="" textlink="">
          <xdr:nvSpPr>
            <xdr:cNvPr id="1042" name="List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2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625609</xdr:colOff>
      <xdr:row>91</xdr:row>
      <xdr:rowOff>234442</xdr:rowOff>
    </xdr:from>
    <xdr:to>
      <xdr:col>7</xdr:col>
      <xdr:colOff>635134</xdr:colOff>
      <xdr:row>92</xdr:row>
      <xdr:rowOff>215392</xdr:rowOff>
    </xdr:to>
    <xdr:sp macro="" textlink="Foglio1!D8">
      <xdr:nvSpPr>
        <xdr:cNvPr id="17" name="Rettangolo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5993227" y="20886883"/>
          <a:ext cx="1925731" cy="2610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F7E4C720-AE88-4672-9B38-3FD7D3ECE2DF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1836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2016084</xdr:colOff>
      <xdr:row>91</xdr:row>
      <xdr:rowOff>240927</xdr:rowOff>
    </xdr:from>
    <xdr:to>
      <xdr:col>8</xdr:col>
      <xdr:colOff>993962</xdr:colOff>
      <xdr:row>93</xdr:row>
      <xdr:rowOff>38420</xdr:rowOff>
    </xdr:to>
    <xdr:sp macro="" textlink="Foglio1!D19">
      <xdr:nvSpPr>
        <xdr:cNvPr id="39" name="Rettangolo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9299908" y="20893368"/>
          <a:ext cx="1185436" cy="35778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AA008A7F-49F4-48B8-939A-5CD49DC3DCB5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2024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1187025</xdr:colOff>
      <xdr:row>91</xdr:row>
      <xdr:rowOff>236606</xdr:rowOff>
    </xdr:from>
    <xdr:to>
      <xdr:col>10</xdr:col>
      <xdr:colOff>324171</xdr:colOff>
      <xdr:row>92</xdr:row>
      <xdr:rowOff>226520</xdr:rowOff>
    </xdr:to>
    <xdr:sp macro="" textlink="Foglio1!E9">
      <xdr:nvSpPr>
        <xdr:cNvPr id="37" name="Rettangolo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10678407" y="20889047"/>
          <a:ext cx="1804146" cy="27006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712FA941-3AB9-416D-A4E0-A091FDF874FE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9.676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997790</xdr:colOff>
      <xdr:row>93</xdr:row>
      <xdr:rowOff>5282</xdr:rowOff>
    </xdr:from>
    <xdr:to>
      <xdr:col>7</xdr:col>
      <xdr:colOff>1007315</xdr:colOff>
      <xdr:row>94</xdr:row>
      <xdr:rowOff>136072</xdr:rowOff>
    </xdr:to>
    <xdr:sp macro="" textlink="Foglio1!D14">
      <xdr:nvSpPr>
        <xdr:cNvPr id="38" name="Rettangolo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4862219" y="25015211"/>
          <a:ext cx="1928132" cy="40293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61994359-A500-4F78-98F2-51BF3EB6608A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337443</xdr:colOff>
      <xdr:row>93</xdr:row>
      <xdr:rowOff>19049</xdr:rowOff>
    </xdr:from>
    <xdr:to>
      <xdr:col>8</xdr:col>
      <xdr:colOff>1522879</xdr:colOff>
      <xdr:row>94</xdr:row>
      <xdr:rowOff>81642</xdr:rowOff>
    </xdr:to>
    <xdr:sp macro="" textlink="Foglio1!D20">
      <xdr:nvSpPr>
        <xdr:cNvPr id="46" name="Rettangolo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8324836" y="25028978"/>
          <a:ext cx="1185436" cy="3347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8EA88A88-D295-497F-815A-A8680D21E03D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354580</xdr:colOff>
      <xdr:row>93</xdr:row>
      <xdr:rowOff>30416</xdr:rowOff>
    </xdr:from>
    <xdr:to>
      <xdr:col>10</xdr:col>
      <xdr:colOff>1014046</xdr:colOff>
      <xdr:row>94</xdr:row>
      <xdr:rowOff>136071</xdr:rowOff>
    </xdr:to>
    <xdr:sp macro="" textlink="Foglio1!E10">
      <xdr:nvSpPr>
        <xdr:cNvPr id="47" name="Rettangolo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10110901" y="25040345"/>
          <a:ext cx="1557538" cy="3777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EED60911-D5CA-49BC-890B-3F89B545D9E9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669952</xdr:colOff>
      <xdr:row>103</xdr:row>
      <xdr:rowOff>140073</xdr:rowOff>
    </xdr:from>
    <xdr:to>
      <xdr:col>14</xdr:col>
      <xdr:colOff>805685</xdr:colOff>
      <xdr:row>115</xdr:row>
      <xdr:rowOff>9720</xdr:rowOff>
    </xdr:to>
    <xdr:pic>
      <xdr:nvPicPr>
        <xdr:cNvPr id="48" name="Immagine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5717" y="24154279"/>
          <a:ext cx="16249792" cy="3231413"/>
        </a:xfrm>
        <a:prstGeom prst="rect">
          <a:avLst/>
        </a:prstGeom>
      </xdr:spPr>
    </xdr:pic>
    <xdr:clientData/>
  </xdr:twoCellAnchor>
  <xdr:twoCellAnchor>
    <xdr:from>
      <xdr:col>4</xdr:col>
      <xdr:colOff>610721</xdr:colOff>
      <xdr:row>105</xdr:row>
      <xdr:rowOff>271342</xdr:rowOff>
    </xdr:from>
    <xdr:to>
      <xdr:col>7</xdr:col>
      <xdr:colOff>620246</xdr:colOff>
      <xdr:row>106</xdr:row>
      <xdr:rowOff>252292</xdr:rowOff>
    </xdr:to>
    <xdr:sp macro="" textlink="Foglio1!D8">
      <xdr:nvSpPr>
        <xdr:cNvPr id="49" name="Rettangolo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5978339" y="24845842"/>
          <a:ext cx="1925731" cy="2610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F7E4C720-AE88-4672-9B38-3FD7D3ECE2DF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1836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2061882</xdr:colOff>
      <xdr:row>105</xdr:row>
      <xdr:rowOff>252934</xdr:rowOff>
    </xdr:from>
    <xdr:to>
      <xdr:col>8</xdr:col>
      <xdr:colOff>1039760</xdr:colOff>
      <xdr:row>106</xdr:row>
      <xdr:rowOff>225879</xdr:rowOff>
    </xdr:to>
    <xdr:sp macro="" textlink="Foglio1!D21">
      <xdr:nvSpPr>
        <xdr:cNvPr id="50" name="Rettangolo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9345706" y="24827434"/>
          <a:ext cx="1185436" cy="25309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009F9A46-4790-47EF-A39F-15A213E04515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2024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1400742</xdr:colOff>
      <xdr:row>106</xdr:row>
      <xdr:rowOff>34418</xdr:rowOff>
    </xdr:from>
    <xdr:to>
      <xdr:col>10</xdr:col>
      <xdr:colOff>289678</xdr:colOff>
      <xdr:row>107</xdr:row>
      <xdr:rowOff>106937</xdr:rowOff>
    </xdr:to>
    <xdr:sp macro="" textlink="Foglio1!E15">
      <xdr:nvSpPr>
        <xdr:cNvPr id="51" name="Rettangolo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10892124" y="24889065"/>
          <a:ext cx="1555936" cy="35266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0A05CCB9-6B2E-4623-A8D1-8B291E3B08C5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6.451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907195</xdr:colOff>
      <xdr:row>93</xdr:row>
      <xdr:rowOff>51549</xdr:rowOff>
    </xdr:from>
    <xdr:to>
      <xdr:col>10</xdr:col>
      <xdr:colOff>1501106</xdr:colOff>
      <xdr:row>94</xdr:row>
      <xdr:rowOff>73961</xdr:rowOff>
    </xdr:to>
    <xdr:sp macro="" textlink="Foglio1!F10">
      <xdr:nvSpPr>
        <xdr:cNvPr id="53" name="Rettangolo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11561588" y="25061478"/>
          <a:ext cx="593911" cy="29455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70E235A-8BDF-4DC2-B894-8A5876774C6B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69474</xdr:colOff>
      <xdr:row>106</xdr:row>
      <xdr:rowOff>20656</xdr:rowOff>
    </xdr:from>
    <xdr:to>
      <xdr:col>10</xdr:col>
      <xdr:colOff>663385</xdr:colOff>
      <xdr:row>107</xdr:row>
      <xdr:rowOff>148325</xdr:rowOff>
    </xdr:to>
    <xdr:sp macro="" textlink="Foglio1!F15">
      <xdr:nvSpPr>
        <xdr:cNvPr id="54" name="Rettangolo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12227856" y="24875303"/>
          <a:ext cx="593911" cy="40781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4F6C43F-C9F9-4568-8929-91324F2E1DED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,2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1367918</xdr:colOff>
      <xdr:row>99</xdr:row>
      <xdr:rowOff>136071</xdr:rowOff>
    </xdr:from>
    <xdr:to>
      <xdr:col>10</xdr:col>
      <xdr:colOff>256854</xdr:colOff>
      <xdr:row>100</xdr:row>
      <xdr:rowOff>117021</xdr:rowOff>
    </xdr:to>
    <xdr:sp macro="" textlink="Foglio1!E11">
      <xdr:nvSpPr>
        <xdr:cNvPr id="52" name="Rettangolo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10859300" y="23029689"/>
          <a:ext cx="1555936" cy="2610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DA7A4437-E61F-47A9-A1EC-DE5FA8C6FD3B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9.676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293278</xdr:colOff>
      <xdr:row>99</xdr:row>
      <xdr:rowOff>152398</xdr:rowOff>
    </xdr:from>
    <xdr:to>
      <xdr:col>13</xdr:col>
      <xdr:colOff>818273</xdr:colOff>
      <xdr:row>100</xdr:row>
      <xdr:rowOff>133348</xdr:rowOff>
    </xdr:to>
    <xdr:sp macro="" textlink="Foglio1!E11">
      <xdr:nvSpPr>
        <xdr:cNvPr id="57" name="Rettangolo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>
        <a:xfrm>
          <a:off x="16082366" y="23046016"/>
          <a:ext cx="1443878" cy="2610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BB2ED9BB-387E-4285-A7B8-674234BE8304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9.676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519472</xdr:colOff>
      <xdr:row>99</xdr:row>
      <xdr:rowOff>199305</xdr:rowOff>
    </xdr:from>
    <xdr:to>
      <xdr:col>13</xdr:col>
      <xdr:colOff>1164609</xdr:colOff>
      <xdr:row>100</xdr:row>
      <xdr:rowOff>221717</xdr:rowOff>
    </xdr:to>
    <xdr:sp macro="" textlink="Foglio1!F11">
      <xdr:nvSpPr>
        <xdr:cNvPr id="58" name="Rettangolo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>
        <a:xfrm>
          <a:off x="17227443" y="23092923"/>
          <a:ext cx="645137" cy="3025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4A0E609-0750-4939-BC60-5B1CA87B54F2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,8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958104</xdr:colOff>
      <xdr:row>107</xdr:row>
      <xdr:rowOff>21610</xdr:rowOff>
    </xdr:from>
    <xdr:to>
      <xdr:col>7</xdr:col>
      <xdr:colOff>967629</xdr:colOff>
      <xdr:row>108</xdr:row>
      <xdr:rowOff>2560</xdr:rowOff>
    </xdr:to>
    <xdr:sp macro="" textlink="Foglio1!D14">
      <xdr:nvSpPr>
        <xdr:cNvPr id="59" name="Rettangolo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/>
      </xdr:nvSpPr>
      <xdr:spPr>
        <a:xfrm>
          <a:off x="4822533" y="28433324"/>
          <a:ext cx="1928132" cy="25309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61994359-A500-4F78-98F2-51BF3EB6608A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358588</xdr:colOff>
      <xdr:row>107</xdr:row>
      <xdr:rowOff>40021</xdr:rowOff>
    </xdr:from>
    <xdr:to>
      <xdr:col>8</xdr:col>
      <xdr:colOff>1544024</xdr:colOff>
      <xdr:row>108</xdr:row>
      <xdr:rowOff>20971</xdr:rowOff>
    </xdr:to>
    <xdr:sp macro="" textlink="Foglio1!D22">
      <xdr:nvSpPr>
        <xdr:cNvPr id="60" name="Rettangolo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>
        <a:xfrm>
          <a:off x="8345981" y="28451735"/>
          <a:ext cx="1185436" cy="25309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ABE0AB8D-D6DF-415E-8772-933635D0FA56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376522</xdr:colOff>
      <xdr:row>107</xdr:row>
      <xdr:rowOff>71557</xdr:rowOff>
    </xdr:from>
    <xdr:to>
      <xdr:col>10</xdr:col>
      <xdr:colOff>1035988</xdr:colOff>
      <xdr:row>108</xdr:row>
      <xdr:rowOff>136072</xdr:rowOff>
    </xdr:to>
    <xdr:sp macro="" textlink="Foglio1!E16">
      <xdr:nvSpPr>
        <xdr:cNvPr id="61" name="Rettangolo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>
        <a:xfrm>
          <a:off x="10132843" y="28483271"/>
          <a:ext cx="1557538" cy="33665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FE106679-68E1-4953-8987-DC0FE2EF9590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1407142</xdr:colOff>
      <xdr:row>113</xdr:row>
      <xdr:rowOff>211310</xdr:rowOff>
    </xdr:from>
    <xdr:to>
      <xdr:col>10</xdr:col>
      <xdr:colOff>296078</xdr:colOff>
      <xdr:row>114</xdr:row>
      <xdr:rowOff>192260</xdr:rowOff>
    </xdr:to>
    <xdr:sp macro="" textlink="Foglio1!E17">
      <xdr:nvSpPr>
        <xdr:cNvPr id="62" name="Rettangolo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/>
      </xdr:nvSpPr>
      <xdr:spPr>
        <a:xfrm>
          <a:off x="10898524" y="27026986"/>
          <a:ext cx="1555936" cy="2610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8D00EE43-38D9-499F-B537-BD461F39DC8A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6.451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303360</xdr:colOff>
      <xdr:row>113</xdr:row>
      <xdr:rowOff>236124</xdr:rowOff>
    </xdr:from>
    <xdr:to>
      <xdr:col>13</xdr:col>
      <xdr:colOff>828355</xdr:colOff>
      <xdr:row>115</xdr:row>
      <xdr:rowOff>7204</xdr:rowOff>
    </xdr:to>
    <xdr:sp macro="" textlink="Foglio1!E17">
      <xdr:nvSpPr>
        <xdr:cNvPr id="63" name="Rettangolo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>
        <a:xfrm>
          <a:off x="16092448" y="27051800"/>
          <a:ext cx="1443878" cy="331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F720759B-FE5A-4529-BAFF-E6BAF4C7F385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6.451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941294</xdr:colOff>
      <xdr:row>107</xdr:row>
      <xdr:rowOff>79241</xdr:rowOff>
    </xdr:from>
    <xdr:to>
      <xdr:col>10</xdr:col>
      <xdr:colOff>1535205</xdr:colOff>
      <xdr:row>108</xdr:row>
      <xdr:rowOff>198908</xdr:rowOff>
    </xdr:to>
    <xdr:sp macro="" textlink="Foglio1!F16">
      <xdr:nvSpPr>
        <xdr:cNvPr id="64" name="Rettangolo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/>
      </xdr:nvSpPr>
      <xdr:spPr>
        <a:xfrm>
          <a:off x="11595687" y="28490955"/>
          <a:ext cx="593911" cy="3918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99B4494-0479-465A-B4D4-551077DB8046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47546</xdr:colOff>
      <xdr:row>113</xdr:row>
      <xdr:rowOff>262856</xdr:rowOff>
    </xdr:from>
    <xdr:to>
      <xdr:col>10</xdr:col>
      <xdr:colOff>641457</xdr:colOff>
      <xdr:row>115</xdr:row>
      <xdr:rowOff>5121</xdr:rowOff>
    </xdr:to>
    <xdr:sp macro="" textlink="Foglio1!F17">
      <xdr:nvSpPr>
        <xdr:cNvPr id="65" name="Rettangolo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/>
      </xdr:nvSpPr>
      <xdr:spPr>
        <a:xfrm>
          <a:off x="12205928" y="27078532"/>
          <a:ext cx="593911" cy="302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1C502AD-168E-4FA0-86CD-15159C1AB8AB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,2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528918</xdr:colOff>
      <xdr:row>113</xdr:row>
      <xdr:rowOff>260774</xdr:rowOff>
    </xdr:from>
    <xdr:to>
      <xdr:col>13</xdr:col>
      <xdr:colOff>1174055</xdr:colOff>
      <xdr:row>115</xdr:row>
      <xdr:rowOff>3039</xdr:rowOff>
    </xdr:to>
    <xdr:sp macro="" textlink="Foglio1!F17">
      <xdr:nvSpPr>
        <xdr:cNvPr id="66" name="Rettangolo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>
        <a:xfrm>
          <a:off x="17236889" y="27076450"/>
          <a:ext cx="645137" cy="302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FA8925D-3494-491A-AB1A-902433965072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,2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57470</xdr:colOff>
      <xdr:row>99</xdr:row>
      <xdr:rowOff>176733</xdr:rowOff>
    </xdr:from>
    <xdr:to>
      <xdr:col>10</xdr:col>
      <xdr:colOff>651381</xdr:colOff>
      <xdr:row>100</xdr:row>
      <xdr:rowOff>199145</xdr:rowOff>
    </xdr:to>
    <xdr:sp macro="" textlink="Foglio1!F11">
      <xdr:nvSpPr>
        <xdr:cNvPr id="67" name="Rettangolo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/>
      </xdr:nvSpPr>
      <xdr:spPr>
        <a:xfrm>
          <a:off x="12215852" y="23070351"/>
          <a:ext cx="593911" cy="3025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FC13727-A385-469A-B6D7-46EBFF28EA73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,8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421820</xdr:colOff>
      <xdr:row>51</xdr:row>
      <xdr:rowOff>244927</xdr:rowOff>
    </xdr:from>
    <xdr:to>
      <xdr:col>15</xdr:col>
      <xdr:colOff>108855</xdr:colOff>
      <xdr:row>56</xdr:row>
      <xdr:rowOff>272141</xdr:rowOff>
    </xdr:to>
    <xdr:sp macro="" textlink="S45">
      <xdr:nvSpPr>
        <xdr:cNvPr id="23" name="Rettangolo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10150927" y="13416641"/>
          <a:ext cx="7347857" cy="138792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9155223-34AE-42CB-BC6C-74976CF4D3CF}" type="TxLink">
            <a:rPr lang="en-US" sz="1400" b="1" i="0" u="none" strike="noStrike">
              <a:solidFill>
                <a:schemeClr val="bg1"/>
              </a:solidFill>
              <a:latin typeface="Calibri"/>
              <a:cs typeface="Calibri"/>
            </a:rPr>
            <a:pPr algn="l"/>
            <a:t>Costo operazione: 7,3% su valore normale assegnato pari a € 230.000 Conseguendo un risparmio di €100.542</a:t>
          </a:fld>
          <a:endParaRPr lang="it-IT" sz="14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</xdr:col>
      <xdr:colOff>723900</xdr:colOff>
      <xdr:row>78</xdr:row>
      <xdr:rowOff>38100</xdr:rowOff>
    </xdr:from>
    <xdr:to>
      <xdr:col>14</xdr:col>
      <xdr:colOff>803217</xdr:colOff>
      <xdr:row>87</xdr:row>
      <xdr:rowOff>82813</xdr:rowOff>
    </xdr:to>
    <xdr:pic>
      <xdr:nvPicPr>
        <xdr:cNvPr id="86" name="Immagine 85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2906" y="20774706"/>
          <a:ext cx="16174809" cy="2540645"/>
        </a:xfrm>
        <a:prstGeom prst="rect">
          <a:avLst/>
        </a:prstGeom>
      </xdr:spPr>
    </xdr:pic>
    <xdr:clientData/>
  </xdr:twoCellAnchor>
  <xdr:twoCellAnchor editAs="oneCell">
    <xdr:from>
      <xdr:col>9</xdr:col>
      <xdr:colOff>556932</xdr:colOff>
      <xdr:row>79</xdr:row>
      <xdr:rowOff>127907</xdr:rowOff>
    </xdr:from>
    <xdr:to>
      <xdr:col>10</xdr:col>
      <xdr:colOff>1252543</xdr:colOff>
      <xdr:row>80</xdr:row>
      <xdr:rowOff>142766</xdr:rowOff>
    </xdr:to>
    <xdr:sp macro="" textlink="$H$69">
      <xdr:nvSpPr>
        <xdr:cNvPr id="87" name="Rettangolo 8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/>
      </xdr:nvSpPr>
      <xdr:spPr>
        <a:xfrm>
          <a:off x="11818844" y="17418583"/>
          <a:ext cx="1249742" cy="295007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22BA8AED-ED21-47EC-9FAA-42B873092B08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230.000 </a:t>
          </a:fld>
          <a:endParaRPr lang="en-US" sz="2000"/>
        </a:p>
      </xdr:txBody>
    </xdr:sp>
    <xdr:clientData/>
  </xdr:twoCellAnchor>
  <xdr:twoCellAnchor editAs="oneCell">
    <xdr:from>
      <xdr:col>10</xdr:col>
      <xdr:colOff>1805268</xdr:colOff>
      <xdr:row>79</xdr:row>
      <xdr:rowOff>105495</xdr:rowOff>
    </xdr:from>
    <xdr:to>
      <xdr:col>10</xdr:col>
      <xdr:colOff>3054222</xdr:colOff>
      <xdr:row>80</xdr:row>
      <xdr:rowOff>120354</xdr:rowOff>
    </xdr:to>
    <xdr:sp macro="" textlink="$I$69">
      <xdr:nvSpPr>
        <xdr:cNvPr id="88" name="Rettangolo 87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/>
      </xdr:nvSpPr>
      <xdr:spPr>
        <a:xfrm>
          <a:off x="13963650" y="17396171"/>
          <a:ext cx="1248954" cy="295007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0C5BCC98-2DF1-4951-AEF8-E87CEBDF7ED3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-   </a:t>
          </a:fld>
          <a:endParaRPr lang="en-US" sz="2000"/>
        </a:p>
      </xdr:txBody>
    </xdr:sp>
    <xdr:clientData/>
  </xdr:twoCellAnchor>
  <xdr:twoCellAnchor editAs="oneCell">
    <xdr:from>
      <xdr:col>12</xdr:col>
      <xdr:colOff>325291</xdr:colOff>
      <xdr:row>79</xdr:row>
      <xdr:rowOff>116702</xdr:rowOff>
    </xdr:from>
    <xdr:to>
      <xdr:col>13</xdr:col>
      <xdr:colOff>1252592</xdr:colOff>
      <xdr:row>80</xdr:row>
      <xdr:rowOff>131561</xdr:rowOff>
    </xdr:to>
    <xdr:sp macro="" textlink="$J$69">
      <xdr:nvSpPr>
        <xdr:cNvPr id="89" name="Rettangolo 8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/>
      </xdr:nvSpPr>
      <xdr:spPr>
        <a:xfrm>
          <a:off x="16114379" y="17407378"/>
          <a:ext cx="1252831" cy="295007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05481B60-71EE-4F6B-AF82-B988AEEFB1F8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230.000 </a:t>
          </a:fld>
          <a:endParaRPr lang="en-US" sz="2000"/>
        </a:p>
      </xdr:txBody>
    </xdr:sp>
    <xdr:clientData/>
  </xdr:twoCellAnchor>
  <xdr:twoCellAnchor editAs="oneCell">
    <xdr:from>
      <xdr:col>8</xdr:col>
      <xdr:colOff>401731</xdr:colOff>
      <xdr:row>83</xdr:row>
      <xdr:rowOff>151738</xdr:rowOff>
    </xdr:from>
    <xdr:to>
      <xdr:col>9</xdr:col>
      <xdr:colOff>82474</xdr:colOff>
      <xdr:row>84</xdr:row>
      <xdr:rowOff>168715</xdr:rowOff>
    </xdr:to>
    <xdr:sp macro="" textlink="$L$69">
      <xdr:nvSpPr>
        <xdr:cNvPr id="90" name="Rettangolo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/>
      </xdr:nvSpPr>
      <xdr:spPr>
        <a:xfrm>
          <a:off x="9893113" y="18563003"/>
          <a:ext cx="1260773" cy="297124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1774E09D-A865-4A47-B87E-20757B55BE5D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230.000 </a:t>
          </a:fld>
          <a:endParaRPr lang="en-US" sz="2000"/>
        </a:p>
      </xdr:txBody>
    </xdr:sp>
    <xdr:clientData/>
  </xdr:twoCellAnchor>
  <xdr:twoCellAnchor editAs="oneCell">
    <xdr:from>
      <xdr:col>12</xdr:col>
      <xdr:colOff>323290</xdr:colOff>
      <xdr:row>83</xdr:row>
      <xdr:rowOff>186075</xdr:rowOff>
    </xdr:from>
    <xdr:to>
      <xdr:col>13</xdr:col>
      <xdr:colOff>1254825</xdr:colOff>
      <xdr:row>84</xdr:row>
      <xdr:rowOff>198818</xdr:rowOff>
    </xdr:to>
    <xdr:sp macro="" textlink="$N$73">
      <xdr:nvSpPr>
        <xdr:cNvPr id="92" name="Rettangolo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/>
      </xdr:nvSpPr>
      <xdr:spPr>
        <a:xfrm>
          <a:off x="16112378" y="18597340"/>
          <a:ext cx="1257065" cy="292890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07C3E0BA-24D8-48A9-8402-AEEEE8ADB33F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16.128 </a:t>
          </a:fld>
          <a:endParaRPr lang="en-US" sz="2000"/>
        </a:p>
      </xdr:txBody>
    </xdr:sp>
    <xdr:clientData/>
  </xdr:twoCellAnchor>
  <xdr:twoCellAnchor editAs="oneCell">
    <xdr:from>
      <xdr:col>8</xdr:col>
      <xdr:colOff>338418</xdr:colOff>
      <xdr:row>86</xdr:row>
      <xdr:rowOff>25585</xdr:rowOff>
    </xdr:from>
    <xdr:to>
      <xdr:col>9</xdr:col>
      <xdr:colOff>21279</xdr:colOff>
      <xdr:row>87</xdr:row>
      <xdr:rowOff>38327</xdr:rowOff>
    </xdr:to>
    <xdr:sp macro="" textlink="$H$76">
      <xdr:nvSpPr>
        <xdr:cNvPr id="93" name="Rettangolo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/>
      </xdr:nvSpPr>
      <xdr:spPr>
        <a:xfrm>
          <a:off x="9829800" y="19277291"/>
          <a:ext cx="1262891" cy="292889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976CB899-56ED-4F85-BB25-1F28D32C0513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-   </a:t>
          </a:fld>
          <a:endParaRPr lang="en-US" sz="2000"/>
        </a:p>
      </xdr:txBody>
    </xdr:sp>
    <xdr:clientData/>
  </xdr:twoCellAnchor>
  <xdr:twoCellAnchor editAs="oneCell">
    <xdr:from>
      <xdr:col>10</xdr:col>
      <xdr:colOff>1123950</xdr:colOff>
      <xdr:row>83</xdr:row>
      <xdr:rowOff>184315</xdr:rowOff>
    </xdr:from>
    <xdr:to>
      <xdr:col>10</xdr:col>
      <xdr:colOff>1450521</xdr:colOff>
      <xdr:row>84</xdr:row>
      <xdr:rowOff>174077</xdr:rowOff>
    </xdr:to>
    <xdr:sp macro="" textlink="$K$64">
      <xdr:nvSpPr>
        <xdr:cNvPr id="94" name="Rettangolo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/>
      </xdr:nvSpPr>
      <xdr:spPr>
        <a:xfrm>
          <a:off x="11778343" y="22472815"/>
          <a:ext cx="326571" cy="257670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0F16E2AE-D2F7-4981-9708-4D3D5FEE8FA2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</a:t>
          </a:fld>
          <a:endParaRPr lang="en-US" sz="4000"/>
        </a:p>
      </xdr:txBody>
    </xdr:sp>
    <xdr:clientData/>
  </xdr:twoCellAnchor>
  <xdr:twoCellAnchor editAs="oneCell">
    <xdr:from>
      <xdr:col>12</xdr:col>
      <xdr:colOff>345702</xdr:colOff>
      <xdr:row>86</xdr:row>
      <xdr:rowOff>18090</xdr:rowOff>
    </xdr:from>
    <xdr:to>
      <xdr:col>13</xdr:col>
      <xdr:colOff>1258187</xdr:colOff>
      <xdr:row>87</xdr:row>
      <xdr:rowOff>32948</xdr:rowOff>
    </xdr:to>
    <xdr:sp macro="" textlink="$N$76">
      <xdr:nvSpPr>
        <xdr:cNvPr id="96" name="Rettangolo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/>
      </xdr:nvSpPr>
      <xdr:spPr>
        <a:xfrm>
          <a:off x="16134790" y="19269796"/>
          <a:ext cx="1257065" cy="295005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4662542E-A6C5-450B-A49C-94ADD9629351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-   </a:t>
          </a:fld>
          <a:endParaRPr lang="en-US" sz="2000"/>
        </a:p>
      </xdr:txBody>
    </xdr:sp>
    <xdr:clientData/>
  </xdr:twoCellAnchor>
  <xdr:twoCellAnchor editAs="oneCell">
    <xdr:from>
      <xdr:col>10</xdr:col>
      <xdr:colOff>415636</xdr:colOff>
      <xdr:row>81</xdr:row>
      <xdr:rowOff>0</xdr:rowOff>
    </xdr:from>
    <xdr:to>
      <xdr:col>10</xdr:col>
      <xdr:colOff>1669610</xdr:colOff>
      <xdr:row>82</xdr:row>
      <xdr:rowOff>10626</xdr:rowOff>
    </xdr:to>
    <xdr:sp macro="" textlink="$H$73">
      <xdr:nvSpPr>
        <xdr:cNvPr id="76" name="Rettangolo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/>
      </xdr:nvSpPr>
      <xdr:spPr>
        <a:xfrm>
          <a:off x="11083636" y="21994091"/>
          <a:ext cx="1251858" cy="289833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r"/>
          <a:fld id="{1676419A-BA91-400A-864A-AC01DC66714B}" type="TxLink">
            <a:rPr lang="en-US" sz="18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r"/>
            <a:t> -   </a:t>
          </a:fld>
          <a:endParaRPr lang="en-US" sz="18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 editAs="oneCell">
    <xdr:from>
      <xdr:col>11</xdr:col>
      <xdr:colOff>312964</xdr:colOff>
      <xdr:row>81</xdr:row>
      <xdr:rowOff>27214</xdr:rowOff>
    </xdr:from>
    <xdr:to>
      <xdr:col>12</xdr:col>
      <xdr:colOff>120349</xdr:colOff>
      <xdr:row>82</xdr:row>
      <xdr:rowOff>39956</xdr:rowOff>
    </xdr:to>
    <xdr:sp macro="" textlink="$I$73">
      <xdr:nvSpPr>
        <xdr:cNvPr id="78" name="Rettangolo 77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/>
      </xdr:nvSpPr>
      <xdr:spPr>
        <a:xfrm>
          <a:off x="13171714" y="21771428"/>
          <a:ext cx="1251858" cy="284885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r"/>
          <a:fld id="{E2B266C2-827F-43F6-BFF2-750F5C2DB93C}" type="TxLink">
            <a:rPr lang="en-US" sz="18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r"/>
            <a:t> -   </a:t>
          </a:fld>
          <a:endParaRPr lang="en-US" sz="32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 editAs="oneCell">
    <xdr:from>
      <xdr:col>12</xdr:col>
      <xdr:colOff>320169</xdr:colOff>
      <xdr:row>81</xdr:row>
      <xdr:rowOff>18410</xdr:rowOff>
    </xdr:from>
    <xdr:to>
      <xdr:col>13</xdr:col>
      <xdr:colOff>1250839</xdr:colOff>
      <xdr:row>82</xdr:row>
      <xdr:rowOff>35386</xdr:rowOff>
    </xdr:to>
    <xdr:sp macro="" textlink="$J$73">
      <xdr:nvSpPr>
        <xdr:cNvPr id="79" name="Rettangolo 78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/>
      </xdr:nvSpPr>
      <xdr:spPr>
        <a:xfrm>
          <a:off x="16109257" y="17869381"/>
          <a:ext cx="1256200" cy="297122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r"/>
          <a:fld id="{3A43A6B7-5720-48A6-8774-3D62C046C4A0}" type="TxLink">
            <a:rPr lang="en-US" sz="18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r"/>
            <a:t> -   </a:t>
          </a:fld>
          <a:endParaRPr lang="en-US" sz="32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oneCellAnchor>
    <xdr:from>
      <xdr:col>2</xdr:col>
      <xdr:colOff>309630</xdr:colOff>
      <xdr:row>0</xdr:row>
      <xdr:rowOff>77560</xdr:rowOff>
    </xdr:from>
    <xdr:ext cx="11351531" cy="715773"/>
    <xdr:sp macro="" textlink="">
      <xdr:nvSpPr>
        <xdr:cNvPr id="7" name="Rettangol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385955" y="7756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 editAs="oneCell">
    <xdr:from>
      <xdr:col>13</xdr:col>
      <xdr:colOff>664122</xdr:colOff>
      <xdr:row>0</xdr:row>
      <xdr:rowOff>28576</xdr:rowOff>
    </xdr:from>
    <xdr:to>
      <xdr:col>17</xdr:col>
      <xdr:colOff>29011</xdr:colOff>
      <xdr:row>4</xdr:row>
      <xdr:rowOff>135782</xdr:rowOff>
    </xdr:to>
    <xdr:pic>
      <xdr:nvPicPr>
        <xdr:cNvPr id="2" name="Immagine 1" descr="Immagine che contiene testo&#10;&#10;Descrizione generata automa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33072" y="28576"/>
          <a:ext cx="2784365" cy="869206"/>
        </a:xfrm>
        <a:prstGeom prst="rect">
          <a:avLst/>
        </a:prstGeom>
      </xdr:spPr>
    </xdr:pic>
    <xdr:clientData/>
  </xdr:twoCellAnchor>
  <xdr:twoCellAnchor>
    <xdr:from>
      <xdr:col>1</xdr:col>
      <xdr:colOff>10584</xdr:colOff>
      <xdr:row>14</xdr:row>
      <xdr:rowOff>312963</xdr:rowOff>
    </xdr:from>
    <xdr:to>
      <xdr:col>1</xdr:col>
      <xdr:colOff>1076326</xdr:colOff>
      <xdr:row>15</xdr:row>
      <xdr:rowOff>381000</xdr:rowOff>
    </xdr:to>
    <xdr:sp macro="" textlink="">
      <xdr:nvSpPr>
        <xdr:cNvPr id="18" name="Ovale 1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10584" y="2979963"/>
          <a:ext cx="1065742" cy="766537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2</xdr:col>
      <xdr:colOff>115962</xdr:colOff>
      <xdr:row>14</xdr:row>
      <xdr:rowOff>299355</xdr:rowOff>
    </xdr:from>
    <xdr:to>
      <xdr:col>3</xdr:col>
      <xdr:colOff>1287197</xdr:colOff>
      <xdr:row>15</xdr:row>
      <xdr:rowOff>367392</xdr:rowOff>
    </xdr:to>
    <xdr:sp macro="" textlink="">
      <xdr:nvSpPr>
        <xdr:cNvPr id="21" name="Ovale 2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1195462" y="2966355"/>
          <a:ext cx="1912068" cy="766537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3</xdr:col>
      <xdr:colOff>1401537</xdr:colOff>
      <xdr:row>14</xdr:row>
      <xdr:rowOff>285751</xdr:rowOff>
    </xdr:from>
    <xdr:to>
      <xdr:col>4</xdr:col>
      <xdr:colOff>963247</xdr:colOff>
      <xdr:row>15</xdr:row>
      <xdr:rowOff>353788</xdr:rowOff>
    </xdr:to>
    <xdr:sp macro="" textlink="">
      <xdr:nvSpPr>
        <xdr:cNvPr id="22" name="Ovale 2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5510894" y="2952751"/>
          <a:ext cx="2378389" cy="76200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5</xdr:col>
      <xdr:colOff>1</xdr:colOff>
      <xdr:row>14</xdr:row>
      <xdr:rowOff>285752</xdr:rowOff>
    </xdr:from>
    <xdr:to>
      <xdr:col>7</xdr:col>
      <xdr:colOff>1672262</xdr:colOff>
      <xdr:row>15</xdr:row>
      <xdr:rowOff>353789</xdr:rowOff>
    </xdr:to>
    <xdr:sp macro="" textlink="">
      <xdr:nvSpPr>
        <xdr:cNvPr id="24" name="Ovale 2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8137072" y="2952752"/>
          <a:ext cx="2379833" cy="76200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7</xdr:col>
      <xdr:colOff>1875310</xdr:colOff>
      <xdr:row>14</xdr:row>
      <xdr:rowOff>269668</xdr:rowOff>
    </xdr:from>
    <xdr:to>
      <xdr:col>9</xdr:col>
      <xdr:colOff>285465</xdr:colOff>
      <xdr:row>15</xdr:row>
      <xdr:rowOff>337705</xdr:rowOff>
    </xdr:to>
    <xdr:sp macro="" textlink="">
      <xdr:nvSpPr>
        <xdr:cNvPr id="25" name="Ovale 2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10719953" y="2936668"/>
          <a:ext cx="2383441" cy="76200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9</xdr:col>
      <xdr:colOff>505939</xdr:colOff>
      <xdr:row>14</xdr:row>
      <xdr:rowOff>267194</xdr:rowOff>
    </xdr:from>
    <xdr:to>
      <xdr:col>10</xdr:col>
      <xdr:colOff>2000109</xdr:colOff>
      <xdr:row>15</xdr:row>
      <xdr:rowOff>335231</xdr:rowOff>
    </xdr:to>
    <xdr:sp macro="" textlink="">
      <xdr:nvSpPr>
        <xdr:cNvPr id="26" name="Ovale 2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13323868" y="2934194"/>
          <a:ext cx="2392241" cy="76200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13</xdr:col>
      <xdr:colOff>291936</xdr:colOff>
      <xdr:row>14</xdr:row>
      <xdr:rowOff>290697</xdr:rowOff>
    </xdr:from>
    <xdr:to>
      <xdr:col>14</xdr:col>
      <xdr:colOff>1354954</xdr:colOff>
      <xdr:row>15</xdr:row>
      <xdr:rowOff>359969</xdr:rowOff>
    </xdr:to>
    <xdr:sp macro="" textlink="">
      <xdr:nvSpPr>
        <xdr:cNvPr id="28" name="Ovale 2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18566329" y="2957697"/>
          <a:ext cx="2382911" cy="76323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Calcolo Rapido</a:t>
          </a:r>
        </a:p>
      </xdr:txBody>
    </xdr:sp>
    <xdr:clientData/>
  </xdr:twoCellAnchor>
  <xdr:twoCellAnchor>
    <xdr:from>
      <xdr:col>11</xdr:col>
      <xdr:colOff>13607</xdr:colOff>
      <xdr:row>14</xdr:row>
      <xdr:rowOff>285748</xdr:rowOff>
    </xdr:from>
    <xdr:to>
      <xdr:col>13</xdr:col>
      <xdr:colOff>50396</xdr:colOff>
      <xdr:row>15</xdr:row>
      <xdr:rowOff>353785</xdr:rowOff>
    </xdr:to>
    <xdr:sp macro="" textlink="">
      <xdr:nvSpPr>
        <xdr:cNvPr id="4" name="Ovale 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5933964" y="2952748"/>
          <a:ext cx="2390825" cy="76200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Tariffa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402430</xdr:colOff>
          <xdr:row>0</xdr:row>
          <xdr:rowOff>38100</xdr:rowOff>
        </xdr:from>
        <xdr:to>
          <xdr:col>18</xdr:col>
          <xdr:colOff>233627</xdr:colOff>
          <xdr:row>0</xdr:row>
          <xdr:rowOff>1189442</xdr:rowOff>
        </xdr:to>
        <xdr:pic>
          <xdr:nvPicPr>
            <xdr:cNvPr id="8" name="Immagine 7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215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4385130" y="38100"/>
              <a:ext cx="2879197" cy="115134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1</xdr:col>
      <xdr:colOff>0</xdr:colOff>
      <xdr:row>0</xdr:row>
      <xdr:rowOff>0</xdr:rowOff>
    </xdr:from>
    <xdr:ext cx="11351531" cy="715773"/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078182" y="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0</xdr:col>
      <xdr:colOff>0</xdr:colOff>
      <xdr:row>1</xdr:row>
      <xdr:rowOff>40819</xdr:rowOff>
    </xdr:from>
    <xdr:to>
      <xdr:col>1</xdr:col>
      <xdr:colOff>230514</xdr:colOff>
      <xdr:row>2</xdr:row>
      <xdr:rowOff>109291</xdr:rowOff>
    </xdr:to>
    <xdr:sp macro="" textlink="">
      <xdr:nvSpPr>
        <xdr:cNvPr id="28" name="Ovale 2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0" y="1738001"/>
          <a:ext cx="2308696" cy="76119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1</xdr:col>
      <xdr:colOff>431790</xdr:colOff>
      <xdr:row>1</xdr:row>
      <xdr:rowOff>27211</xdr:rowOff>
    </xdr:from>
    <xdr:to>
      <xdr:col>3</xdr:col>
      <xdr:colOff>592366</xdr:colOff>
      <xdr:row>2</xdr:row>
      <xdr:rowOff>95683</xdr:rowOff>
    </xdr:to>
    <xdr:sp macro="" textlink="">
      <xdr:nvSpPr>
        <xdr:cNvPr id="29" name="Ovale 2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2509972" y="1724393"/>
          <a:ext cx="2325349" cy="761199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3</xdr:col>
      <xdr:colOff>813665</xdr:colOff>
      <xdr:row>1</xdr:row>
      <xdr:rowOff>17318</xdr:rowOff>
    </xdr:from>
    <xdr:to>
      <xdr:col>5</xdr:col>
      <xdr:colOff>941147</xdr:colOff>
      <xdr:row>2</xdr:row>
      <xdr:rowOff>85790</xdr:rowOff>
    </xdr:to>
    <xdr:sp macro="" textlink="">
      <xdr:nvSpPr>
        <xdr:cNvPr id="30" name="Ovale 2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5056620" y="1714500"/>
          <a:ext cx="2309572" cy="76119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5</xdr:col>
      <xdr:colOff>1175818</xdr:colOff>
      <xdr:row>1</xdr:row>
      <xdr:rowOff>1</xdr:rowOff>
    </xdr:from>
    <xdr:to>
      <xdr:col>8</xdr:col>
      <xdr:colOff>453832</xdr:colOff>
      <xdr:row>2</xdr:row>
      <xdr:rowOff>68473</xdr:rowOff>
    </xdr:to>
    <xdr:sp macro="" textlink="">
      <xdr:nvSpPr>
        <xdr:cNvPr id="39" name="Ovale 3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7600863" y="1697183"/>
          <a:ext cx="2308696" cy="76119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8</xdr:col>
      <xdr:colOff>694692</xdr:colOff>
      <xdr:row>1</xdr:row>
      <xdr:rowOff>11131</xdr:rowOff>
    </xdr:from>
    <xdr:to>
      <xdr:col>10</xdr:col>
      <xdr:colOff>364599</xdr:colOff>
      <xdr:row>2</xdr:row>
      <xdr:rowOff>79603</xdr:rowOff>
    </xdr:to>
    <xdr:sp macro="" textlink="">
      <xdr:nvSpPr>
        <xdr:cNvPr id="40" name="Ovale 3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10150419" y="1708313"/>
          <a:ext cx="2319589" cy="76119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10</xdr:col>
      <xdr:colOff>599589</xdr:colOff>
      <xdr:row>0</xdr:row>
      <xdr:rowOff>1688522</xdr:rowOff>
    </xdr:from>
    <xdr:to>
      <xdr:col>14</xdr:col>
      <xdr:colOff>502082</xdr:colOff>
      <xdr:row>2</xdr:row>
      <xdr:rowOff>59812</xdr:rowOff>
    </xdr:to>
    <xdr:sp macro="" textlink="">
      <xdr:nvSpPr>
        <xdr:cNvPr id="41" name="Ovale 4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12704998" y="1688522"/>
          <a:ext cx="2327039" cy="76119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15</xdr:col>
      <xdr:colOff>97504</xdr:colOff>
      <xdr:row>1</xdr:row>
      <xdr:rowOff>9892</xdr:rowOff>
    </xdr:from>
    <xdr:to>
      <xdr:col>19</xdr:col>
      <xdr:colOff>0</xdr:colOff>
      <xdr:row>2</xdr:row>
      <xdr:rowOff>78364</xdr:rowOff>
    </xdr:to>
    <xdr:sp macro="" textlink="">
      <xdr:nvSpPr>
        <xdr:cNvPr id="43" name="Ovale 4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15233595" y="1707074"/>
          <a:ext cx="2327041" cy="76119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Rettifica della detrazione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1524000</xdr:colOff>
      <xdr:row>0</xdr:row>
      <xdr:rowOff>0</xdr:rowOff>
    </xdr:from>
    <xdr:to>
      <xdr:col>13</xdr:col>
      <xdr:colOff>749367</xdr:colOff>
      <xdr:row>0</xdr:row>
      <xdr:rowOff>1719221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0" y="0"/>
          <a:ext cx="3481118" cy="171922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1524000</xdr:colOff>
          <xdr:row>0</xdr:row>
          <xdr:rowOff>0</xdr:rowOff>
        </xdr:from>
        <xdr:to>
          <xdr:col>14</xdr:col>
          <xdr:colOff>567115</xdr:colOff>
          <xdr:row>0</xdr:row>
          <xdr:rowOff>1714500</xdr:rowOff>
        </xdr:to>
        <xdr:pic>
          <xdr:nvPicPr>
            <xdr:cNvPr id="12" name="Immagine 11">
              <a:extLst>
                <a:ext uri="{FF2B5EF4-FFF2-40B4-BE49-F238E27FC236}">
                  <a16:creationId xmlns:a16="http://schemas.microsoft.com/office/drawing/2014/main" id="{00000000-0008-0000-0300-00000C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3204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4110607" y="0"/>
              <a:ext cx="4324350" cy="1714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11351531" cy="715773"/>
    <xdr:sp macro="" textlink="">
      <xdr:nvSpPr>
        <xdr:cNvPr id="11" name="Rettangolo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0" y="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1</xdr:col>
      <xdr:colOff>103908</xdr:colOff>
      <xdr:row>0</xdr:row>
      <xdr:rowOff>1733057</xdr:rowOff>
    </xdr:from>
    <xdr:to>
      <xdr:col>1</xdr:col>
      <xdr:colOff>2416315</xdr:colOff>
      <xdr:row>1</xdr:row>
      <xdr:rowOff>521220</xdr:rowOff>
    </xdr:to>
    <xdr:sp macro="" textlink="">
      <xdr:nvSpPr>
        <xdr:cNvPr id="21" name="Ovale 2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103908" y="1733057"/>
          <a:ext cx="2312407" cy="76243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1</xdr:col>
      <xdr:colOff>2617591</xdr:colOff>
      <xdr:row>0</xdr:row>
      <xdr:rowOff>1719449</xdr:rowOff>
    </xdr:from>
    <xdr:to>
      <xdr:col>2</xdr:col>
      <xdr:colOff>2087913</xdr:colOff>
      <xdr:row>1</xdr:row>
      <xdr:rowOff>507612</xdr:rowOff>
    </xdr:to>
    <xdr:sp macro="" textlink="">
      <xdr:nvSpPr>
        <xdr:cNvPr id="22" name="Ovale 2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2617591" y="1719449"/>
          <a:ext cx="2310504" cy="76243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3</xdr:col>
      <xdr:colOff>92485</xdr:colOff>
      <xdr:row>0</xdr:row>
      <xdr:rowOff>1709556</xdr:rowOff>
    </xdr:from>
    <xdr:to>
      <xdr:col>4</xdr:col>
      <xdr:colOff>1233081</xdr:colOff>
      <xdr:row>1</xdr:row>
      <xdr:rowOff>497719</xdr:rowOff>
    </xdr:to>
    <xdr:sp macro="" textlink="">
      <xdr:nvSpPr>
        <xdr:cNvPr id="23" name="Ovale 2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5149394" y="1709556"/>
          <a:ext cx="2318232" cy="762436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4</xdr:col>
      <xdr:colOff>1467752</xdr:colOff>
      <xdr:row>0</xdr:row>
      <xdr:rowOff>1692239</xdr:rowOff>
    </xdr:from>
    <xdr:to>
      <xdr:col>6</xdr:col>
      <xdr:colOff>74068</xdr:colOff>
      <xdr:row>1</xdr:row>
      <xdr:rowOff>480402</xdr:rowOff>
    </xdr:to>
    <xdr:sp macro="" textlink="">
      <xdr:nvSpPr>
        <xdr:cNvPr id="24" name="Ovale 2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7702297" y="1692239"/>
          <a:ext cx="2312407" cy="76243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6</xdr:col>
      <xdr:colOff>314928</xdr:colOff>
      <xdr:row>0</xdr:row>
      <xdr:rowOff>1703369</xdr:rowOff>
    </xdr:from>
    <xdr:to>
      <xdr:col>6</xdr:col>
      <xdr:colOff>2651835</xdr:colOff>
      <xdr:row>1</xdr:row>
      <xdr:rowOff>491532</xdr:rowOff>
    </xdr:to>
    <xdr:sp macro="" textlink="">
      <xdr:nvSpPr>
        <xdr:cNvPr id="25" name="Ovale 2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10255564" y="1703369"/>
          <a:ext cx="2336907" cy="76243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7</xdr:col>
      <xdr:colOff>63961</xdr:colOff>
      <xdr:row>0</xdr:row>
      <xdr:rowOff>1679867</xdr:rowOff>
    </xdr:from>
    <xdr:to>
      <xdr:col>8</xdr:col>
      <xdr:colOff>216331</xdr:colOff>
      <xdr:row>1</xdr:row>
      <xdr:rowOff>471741</xdr:rowOff>
    </xdr:to>
    <xdr:sp macro="" textlink="">
      <xdr:nvSpPr>
        <xdr:cNvPr id="26" name="Ovale 2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12827461" y="1679867"/>
          <a:ext cx="2351779" cy="766147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8</xdr:col>
      <xdr:colOff>424074</xdr:colOff>
      <xdr:row>0</xdr:row>
      <xdr:rowOff>1702130</xdr:rowOff>
    </xdr:from>
    <xdr:to>
      <xdr:col>10</xdr:col>
      <xdr:colOff>333992</xdr:colOff>
      <xdr:row>1</xdr:row>
      <xdr:rowOff>490293</xdr:rowOff>
    </xdr:to>
    <xdr:sp macro="" textlink="">
      <xdr:nvSpPr>
        <xdr:cNvPr id="27" name="Ovale 2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15386983" y="1702130"/>
          <a:ext cx="2351782" cy="76243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Rettifica della detrazione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520700</xdr:colOff>
          <xdr:row>0</xdr:row>
          <xdr:rowOff>12701</xdr:rowOff>
        </xdr:from>
        <xdr:to>
          <xdr:col>25</xdr:col>
          <xdr:colOff>1036399</xdr:colOff>
          <xdr:row>0</xdr:row>
          <xdr:rowOff>1166950</xdr:rowOff>
        </xdr:to>
        <xdr:pic>
          <xdr:nvPicPr>
            <xdr:cNvPr id="13" name="Immagine 12">
              <a:extLst>
                <a:ext uri="{FF2B5EF4-FFF2-40B4-BE49-F238E27FC236}">
                  <a16:creationId xmlns:a16="http://schemas.microsoft.com/office/drawing/2014/main" id="{00000000-0008-0000-0400-00000D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425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8536900" y="12701"/>
              <a:ext cx="2916000" cy="1154249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9</xdr:col>
      <xdr:colOff>0</xdr:colOff>
      <xdr:row>0</xdr:row>
      <xdr:rowOff>0</xdr:rowOff>
    </xdr:from>
    <xdr:ext cx="11351531" cy="715773"/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3073063" y="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0</xdr:col>
      <xdr:colOff>369794</xdr:colOff>
      <xdr:row>0</xdr:row>
      <xdr:rowOff>1086169</xdr:rowOff>
    </xdr:from>
    <xdr:to>
      <xdr:col>1</xdr:col>
      <xdr:colOff>1297775</xdr:colOff>
      <xdr:row>1</xdr:row>
      <xdr:rowOff>545041</xdr:rowOff>
    </xdr:to>
    <xdr:sp macro="" textlink="">
      <xdr:nvSpPr>
        <xdr:cNvPr id="2" name="Ovale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69794" y="1086169"/>
          <a:ext cx="2696910" cy="75155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2</xdr:col>
      <xdr:colOff>95970</xdr:colOff>
      <xdr:row>0</xdr:row>
      <xdr:rowOff>1072561</xdr:rowOff>
    </xdr:from>
    <xdr:to>
      <xdr:col>2</xdr:col>
      <xdr:colOff>2761704</xdr:colOff>
      <xdr:row>1</xdr:row>
      <xdr:rowOff>531433</xdr:rowOff>
    </xdr:to>
    <xdr:sp macro="" textlink="">
      <xdr:nvSpPr>
        <xdr:cNvPr id="4" name="Ova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3334470" y="1072561"/>
          <a:ext cx="2665734" cy="75155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2</xdr:col>
      <xdr:colOff>3034313</xdr:colOff>
      <xdr:row>0</xdr:row>
      <xdr:rowOff>1045350</xdr:rowOff>
    </xdr:from>
    <xdr:to>
      <xdr:col>5</xdr:col>
      <xdr:colOff>281443</xdr:colOff>
      <xdr:row>1</xdr:row>
      <xdr:rowOff>504222</xdr:rowOff>
    </xdr:to>
    <xdr:sp macro="" textlink="">
      <xdr:nvSpPr>
        <xdr:cNvPr id="14" name="Ovale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6272813" y="1045350"/>
          <a:ext cx="2676380" cy="75155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5</xdr:col>
      <xdr:colOff>544927</xdr:colOff>
      <xdr:row>0</xdr:row>
      <xdr:rowOff>1045351</xdr:rowOff>
    </xdr:from>
    <xdr:to>
      <xdr:col>7</xdr:col>
      <xdr:colOff>691297</xdr:colOff>
      <xdr:row>1</xdr:row>
      <xdr:rowOff>504223</xdr:rowOff>
    </xdr:to>
    <xdr:sp macro="" textlink="">
      <xdr:nvSpPr>
        <xdr:cNvPr id="15" name="Ovale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9212677" y="1045351"/>
          <a:ext cx="2690906" cy="751551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7</xdr:col>
      <xdr:colOff>938698</xdr:colOff>
      <xdr:row>0</xdr:row>
      <xdr:rowOff>1056481</xdr:rowOff>
    </xdr:from>
    <xdr:to>
      <xdr:col>9</xdr:col>
      <xdr:colOff>1120321</xdr:colOff>
      <xdr:row>1</xdr:row>
      <xdr:rowOff>515353</xdr:rowOff>
    </xdr:to>
    <xdr:sp macro="" textlink="">
      <xdr:nvSpPr>
        <xdr:cNvPr id="16" name="Ovale 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12150984" y="1056481"/>
          <a:ext cx="2726158" cy="75155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9</xdr:col>
      <xdr:colOff>1363830</xdr:colOff>
      <xdr:row>0</xdr:row>
      <xdr:rowOff>1054008</xdr:rowOff>
    </xdr:from>
    <xdr:to>
      <xdr:col>11</xdr:col>
      <xdr:colOff>1200845</xdr:colOff>
      <xdr:row>1</xdr:row>
      <xdr:rowOff>512880</xdr:rowOff>
    </xdr:to>
    <xdr:sp macro="" textlink="">
      <xdr:nvSpPr>
        <xdr:cNvPr id="17" name="Ovale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15120651" y="1054008"/>
          <a:ext cx="2694515" cy="75155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12</xdr:col>
      <xdr:colOff>272342</xdr:colOff>
      <xdr:row>0</xdr:row>
      <xdr:rowOff>1072562</xdr:rowOff>
    </xdr:from>
    <xdr:to>
      <xdr:col>14</xdr:col>
      <xdr:colOff>616144</xdr:colOff>
      <xdr:row>1</xdr:row>
      <xdr:rowOff>531434</xdr:rowOff>
    </xdr:to>
    <xdr:sp macro="" textlink="">
      <xdr:nvSpPr>
        <xdr:cNvPr id="19" name="Ovale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8111306" y="1072562"/>
          <a:ext cx="2684231" cy="75155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Rettifica della detrazione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304801</xdr:colOff>
          <xdr:row>0</xdr:row>
          <xdr:rowOff>0</xdr:rowOff>
        </xdr:from>
        <xdr:to>
          <xdr:col>27</xdr:col>
          <xdr:colOff>321048</xdr:colOff>
          <xdr:row>0</xdr:row>
          <xdr:rowOff>1188000</xdr:rowOff>
        </xdr:to>
        <xdr:pic>
          <xdr:nvPicPr>
            <xdr:cNvPr id="16" name="Immagine 15">
              <a:extLst>
                <a:ext uri="{FF2B5EF4-FFF2-40B4-BE49-F238E27FC236}">
                  <a16:creationId xmlns:a16="http://schemas.microsoft.com/office/drawing/2014/main" id="{00000000-0008-0000-0600-000010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629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6536651" y="0"/>
              <a:ext cx="2847974" cy="11880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3</xdr:col>
      <xdr:colOff>809624</xdr:colOff>
      <xdr:row>0</xdr:row>
      <xdr:rowOff>47625</xdr:rowOff>
    </xdr:from>
    <xdr:ext cx="11351531" cy="715773"/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5119687" y="47625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0</xdr:col>
      <xdr:colOff>382833</xdr:colOff>
      <xdr:row>0</xdr:row>
      <xdr:rowOff>1001265</xdr:rowOff>
    </xdr:from>
    <xdr:to>
      <xdr:col>2</xdr:col>
      <xdr:colOff>646611</xdr:colOff>
      <xdr:row>1</xdr:row>
      <xdr:rowOff>374973</xdr:rowOff>
    </xdr:to>
    <xdr:sp macro="" textlink="">
      <xdr:nvSpPr>
        <xdr:cNvPr id="3" name="Ova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82833" y="1001265"/>
          <a:ext cx="2722960" cy="741844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2</xdr:col>
      <xdr:colOff>930706</xdr:colOff>
      <xdr:row>0</xdr:row>
      <xdr:rowOff>983175</xdr:rowOff>
    </xdr:from>
    <xdr:to>
      <xdr:col>4</xdr:col>
      <xdr:colOff>689837</xdr:colOff>
      <xdr:row>1</xdr:row>
      <xdr:rowOff>361365</xdr:rowOff>
    </xdr:to>
    <xdr:sp macro="" textlink="">
      <xdr:nvSpPr>
        <xdr:cNvPr id="12" name="Ovale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>
          <a:off x="3389888" y="983175"/>
          <a:ext cx="2685904" cy="74632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4</xdr:col>
      <xdr:colOff>962446</xdr:colOff>
      <xdr:row>0</xdr:row>
      <xdr:rowOff>955964</xdr:rowOff>
    </xdr:from>
    <xdr:to>
      <xdr:col>5</xdr:col>
      <xdr:colOff>2269163</xdr:colOff>
      <xdr:row>1</xdr:row>
      <xdr:rowOff>334154</xdr:rowOff>
    </xdr:to>
    <xdr:sp macro="" textlink="">
      <xdr:nvSpPr>
        <xdr:cNvPr id="13" name="Ovale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>
          <a:off x="6348401" y="955964"/>
          <a:ext cx="2692171" cy="74632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5</xdr:col>
      <xdr:colOff>2532647</xdr:colOff>
      <xdr:row>0</xdr:row>
      <xdr:rowOff>955965</xdr:rowOff>
    </xdr:from>
    <xdr:to>
      <xdr:col>7</xdr:col>
      <xdr:colOff>70899</xdr:colOff>
      <xdr:row>1</xdr:row>
      <xdr:rowOff>334155</xdr:rowOff>
    </xdr:to>
    <xdr:sp macro="" textlink="">
      <xdr:nvSpPr>
        <xdr:cNvPr id="14" name="Ovale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>
          <a:off x="9304056" y="955965"/>
          <a:ext cx="2681752" cy="74632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7</xdr:col>
      <xdr:colOff>300981</xdr:colOff>
      <xdr:row>0</xdr:row>
      <xdr:rowOff>967095</xdr:rowOff>
    </xdr:from>
    <xdr:to>
      <xdr:col>10</xdr:col>
      <xdr:colOff>13790</xdr:colOff>
      <xdr:row>1</xdr:row>
      <xdr:rowOff>345285</xdr:rowOff>
    </xdr:to>
    <xdr:sp macro="" textlink="">
      <xdr:nvSpPr>
        <xdr:cNvPr id="15" name="Ovale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>
          <a:off x="12215890" y="967095"/>
          <a:ext cx="2812764" cy="746326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10</xdr:col>
      <xdr:colOff>259540</xdr:colOff>
      <xdr:row>0</xdr:row>
      <xdr:rowOff>964622</xdr:rowOff>
    </xdr:from>
    <xdr:to>
      <xdr:col>12</xdr:col>
      <xdr:colOff>930682</xdr:colOff>
      <xdr:row>1</xdr:row>
      <xdr:rowOff>342812</xdr:rowOff>
    </xdr:to>
    <xdr:sp macro="" textlink="">
      <xdr:nvSpPr>
        <xdr:cNvPr id="17" name="Ovale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15274404" y="964622"/>
          <a:ext cx="2645414" cy="74632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13</xdr:col>
      <xdr:colOff>121572</xdr:colOff>
      <xdr:row>0</xdr:row>
      <xdr:rowOff>983176</xdr:rowOff>
    </xdr:from>
    <xdr:to>
      <xdr:col>15</xdr:col>
      <xdr:colOff>828649</xdr:colOff>
      <xdr:row>1</xdr:row>
      <xdr:rowOff>361366</xdr:rowOff>
    </xdr:to>
    <xdr:sp macro="" textlink="">
      <xdr:nvSpPr>
        <xdr:cNvPr id="19" name="Ovale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/>
      </xdr:nvSpPr>
      <xdr:spPr>
        <a:xfrm>
          <a:off x="18236390" y="983176"/>
          <a:ext cx="2715986" cy="74632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Rettifica della detrazione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257175</xdr:colOff>
          <xdr:row>2</xdr:row>
          <xdr:rowOff>257175</xdr:rowOff>
        </xdr:from>
        <xdr:to>
          <xdr:col>9</xdr:col>
          <xdr:colOff>571500</xdr:colOff>
          <xdr:row>3</xdr:row>
          <xdr:rowOff>19050</xdr:rowOff>
        </xdr:to>
        <xdr:sp macro="" textlink="">
          <xdr:nvSpPr>
            <xdr:cNvPr id="7169" name="List Box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8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47625</xdr:colOff>
          <xdr:row>12</xdr:row>
          <xdr:rowOff>247650</xdr:rowOff>
        </xdr:from>
        <xdr:to>
          <xdr:col>4</xdr:col>
          <xdr:colOff>952500</xdr:colOff>
          <xdr:row>12</xdr:row>
          <xdr:rowOff>485775</xdr:rowOff>
        </xdr:to>
        <xdr:sp macro="" textlink="">
          <xdr:nvSpPr>
            <xdr:cNvPr id="7174" name="Check Box 6" hidden="1">
              <a:extLst>
                <a:ext uri="{63B3BB69-23CF-44E3-9099-C40C66FF867C}">
                  <a14:compatExt spid="_x0000_s7174"/>
                </a:ext>
                <a:ext uri="{FF2B5EF4-FFF2-40B4-BE49-F238E27FC236}">
                  <a16:creationId xmlns:a16="http://schemas.microsoft.com/office/drawing/2014/main" id="{00000000-0008-0000-0800-00000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Calcola il 3%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33617</xdr:colOff>
          <xdr:row>0</xdr:row>
          <xdr:rowOff>3</xdr:rowOff>
        </xdr:from>
        <xdr:to>
          <xdr:col>18</xdr:col>
          <xdr:colOff>308764</xdr:colOff>
          <xdr:row>0</xdr:row>
          <xdr:rowOff>1163296</xdr:rowOff>
        </xdr:to>
        <xdr:pic>
          <xdr:nvPicPr>
            <xdr:cNvPr id="4" name="Immagine 3">
              <a:extLst>
                <a:ext uri="{FF2B5EF4-FFF2-40B4-BE49-F238E27FC236}">
                  <a16:creationId xmlns:a16="http://schemas.microsoft.com/office/drawing/2014/main" id="{00000000-0008-0000-0700-000004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728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730382" y="3"/>
              <a:ext cx="2916000" cy="116541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11351531" cy="715773"/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0" y="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0</xdr:col>
      <xdr:colOff>228600</xdr:colOff>
      <xdr:row>0</xdr:row>
      <xdr:rowOff>1169964</xdr:rowOff>
    </xdr:from>
    <xdr:to>
      <xdr:col>0</xdr:col>
      <xdr:colOff>2938317</xdr:colOff>
      <xdr:row>1</xdr:row>
      <xdr:rowOff>519425</xdr:rowOff>
    </xdr:to>
    <xdr:sp macro="" textlink="">
      <xdr:nvSpPr>
        <xdr:cNvPr id="3" name="Ova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228600" y="1169964"/>
          <a:ext cx="2709717" cy="752234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1</xdr:col>
      <xdr:colOff>136312</xdr:colOff>
      <xdr:row>0</xdr:row>
      <xdr:rowOff>1156356</xdr:rowOff>
    </xdr:from>
    <xdr:to>
      <xdr:col>3</xdr:col>
      <xdr:colOff>388298</xdr:colOff>
      <xdr:row>1</xdr:row>
      <xdr:rowOff>505817</xdr:rowOff>
    </xdr:to>
    <xdr:sp macro="" textlink="">
      <xdr:nvSpPr>
        <xdr:cNvPr id="5" name="Oval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3201630" y="1156356"/>
          <a:ext cx="2659213" cy="752234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3</xdr:col>
      <xdr:colOff>667631</xdr:colOff>
      <xdr:row>0</xdr:row>
      <xdr:rowOff>1129145</xdr:rowOff>
    </xdr:from>
    <xdr:to>
      <xdr:col>5</xdr:col>
      <xdr:colOff>1007585</xdr:colOff>
      <xdr:row>1</xdr:row>
      <xdr:rowOff>478606</xdr:rowOff>
    </xdr:to>
    <xdr:sp macro="" textlink="">
      <xdr:nvSpPr>
        <xdr:cNvPr id="6" name="Ovale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6140176" y="1129145"/>
          <a:ext cx="2712545" cy="752234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6</xdr:col>
      <xdr:colOff>152721</xdr:colOff>
      <xdr:row>0</xdr:row>
      <xdr:rowOff>1129146</xdr:rowOff>
    </xdr:from>
    <xdr:to>
      <xdr:col>8</xdr:col>
      <xdr:colOff>996097</xdr:colOff>
      <xdr:row>1</xdr:row>
      <xdr:rowOff>478607</xdr:rowOff>
    </xdr:to>
    <xdr:sp macro="" textlink="">
      <xdr:nvSpPr>
        <xdr:cNvPr id="7" name="Ovale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9088903" y="1129146"/>
          <a:ext cx="2696421" cy="752234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9</xdr:col>
      <xdr:colOff>214798</xdr:colOff>
      <xdr:row>0</xdr:row>
      <xdr:rowOff>1140276</xdr:rowOff>
    </xdr:from>
    <xdr:to>
      <xdr:col>11</xdr:col>
      <xdr:colOff>889480</xdr:colOff>
      <xdr:row>1</xdr:row>
      <xdr:rowOff>489737</xdr:rowOff>
    </xdr:to>
    <xdr:sp macro="" textlink="">
      <xdr:nvSpPr>
        <xdr:cNvPr id="8" name="Ovale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12043116" y="1140276"/>
          <a:ext cx="2752864" cy="752234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12</xdr:col>
      <xdr:colOff>104289</xdr:colOff>
      <xdr:row>0</xdr:row>
      <xdr:rowOff>1137803</xdr:rowOff>
    </xdr:from>
    <xdr:to>
      <xdr:col>14</xdr:col>
      <xdr:colOff>476945</xdr:colOff>
      <xdr:row>1</xdr:row>
      <xdr:rowOff>487264</xdr:rowOff>
    </xdr:to>
    <xdr:sp macro="" textlink="">
      <xdr:nvSpPr>
        <xdr:cNvPr id="9" name="Ovale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15032562" y="1137803"/>
          <a:ext cx="2675974" cy="752234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14</xdr:col>
      <xdr:colOff>754195</xdr:colOff>
      <xdr:row>0</xdr:row>
      <xdr:rowOff>1156357</xdr:rowOff>
    </xdr:from>
    <xdr:to>
      <xdr:col>17</xdr:col>
      <xdr:colOff>13268</xdr:colOff>
      <xdr:row>1</xdr:row>
      <xdr:rowOff>505818</xdr:rowOff>
    </xdr:to>
    <xdr:sp macro="" textlink="">
      <xdr:nvSpPr>
        <xdr:cNvPr id="19" name="Ovale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17985786" y="1156357"/>
          <a:ext cx="2688073" cy="752234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Rettifica</a:t>
          </a:r>
          <a:r>
            <a:rPr lang="it-IT" sz="1400" b="1" baseline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della detrazione</a:t>
          </a:r>
          <a:endParaRPr lang="it-IT" sz="1400" b="1">
            <a:solidFill>
              <a:sysClr val="windowText" lastClr="000000"/>
            </a:solidFill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163286</xdr:colOff>
          <xdr:row>0</xdr:row>
          <xdr:rowOff>0</xdr:rowOff>
        </xdr:from>
        <xdr:to>
          <xdr:col>21</xdr:col>
          <xdr:colOff>1</xdr:colOff>
          <xdr:row>0</xdr:row>
          <xdr:rowOff>1152000</xdr:rowOff>
        </xdr:to>
        <xdr:pic>
          <xdr:nvPicPr>
            <xdr:cNvPr id="11" name="Immagine 10">
              <a:extLst>
                <a:ext uri="{FF2B5EF4-FFF2-40B4-BE49-F238E27FC236}">
                  <a16:creationId xmlns:a16="http://schemas.microsoft.com/office/drawing/2014/main" id="{00000000-0008-0000-0800-00000B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830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3811250" y="0"/>
              <a:ext cx="2898322" cy="11520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11351531" cy="715773"/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0" y="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0</xdr:col>
      <xdr:colOff>122464</xdr:colOff>
      <xdr:row>0</xdr:row>
      <xdr:rowOff>1197428</xdr:rowOff>
    </xdr:from>
    <xdr:to>
      <xdr:col>2</xdr:col>
      <xdr:colOff>1036380</xdr:colOff>
      <xdr:row>1</xdr:row>
      <xdr:rowOff>515983</xdr:rowOff>
    </xdr:to>
    <xdr:sp macro="" textlink="">
      <xdr:nvSpPr>
        <xdr:cNvPr id="20" name="Ovale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/>
      </xdr:nvSpPr>
      <xdr:spPr>
        <a:xfrm>
          <a:off x="122464" y="1197428"/>
          <a:ext cx="2274630" cy="937805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2</xdr:col>
      <xdr:colOff>1107345</xdr:colOff>
      <xdr:row>0</xdr:row>
      <xdr:rowOff>1183820</xdr:rowOff>
    </xdr:from>
    <xdr:to>
      <xdr:col>4</xdr:col>
      <xdr:colOff>196031</xdr:colOff>
      <xdr:row>1</xdr:row>
      <xdr:rowOff>502375</xdr:rowOff>
    </xdr:to>
    <xdr:sp macro="" textlink="">
      <xdr:nvSpPr>
        <xdr:cNvPr id="21" name="Ovale 2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/>
      </xdr:nvSpPr>
      <xdr:spPr>
        <a:xfrm>
          <a:off x="2468059" y="1183820"/>
          <a:ext cx="2272758" cy="937805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4</xdr:col>
      <xdr:colOff>264575</xdr:colOff>
      <xdr:row>0</xdr:row>
      <xdr:rowOff>1185133</xdr:rowOff>
    </xdr:from>
    <xdr:to>
      <xdr:col>5</xdr:col>
      <xdr:colOff>1796541</xdr:colOff>
      <xdr:row>1</xdr:row>
      <xdr:rowOff>503688</xdr:rowOff>
    </xdr:to>
    <xdr:sp macro="" textlink="">
      <xdr:nvSpPr>
        <xdr:cNvPr id="22" name="Ovale 2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/>
      </xdr:nvSpPr>
      <xdr:spPr>
        <a:xfrm>
          <a:off x="4809361" y="1185133"/>
          <a:ext cx="2280359" cy="937805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5</xdr:col>
      <xdr:colOff>1867379</xdr:colOff>
      <xdr:row>0</xdr:row>
      <xdr:rowOff>1190227</xdr:rowOff>
    </xdr:from>
    <xdr:to>
      <xdr:col>8</xdr:col>
      <xdr:colOff>549724</xdr:colOff>
      <xdr:row>1</xdr:row>
      <xdr:rowOff>508782</xdr:rowOff>
    </xdr:to>
    <xdr:sp macro="" textlink="">
      <xdr:nvSpPr>
        <xdr:cNvPr id="23" name="Ovale 2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/>
      </xdr:nvSpPr>
      <xdr:spPr>
        <a:xfrm>
          <a:off x="7160558" y="1190227"/>
          <a:ext cx="2274630" cy="937805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8</xdr:col>
      <xdr:colOff>593039</xdr:colOff>
      <xdr:row>0</xdr:row>
      <xdr:rowOff>1167740</xdr:rowOff>
    </xdr:from>
    <xdr:to>
      <xdr:col>12</xdr:col>
      <xdr:colOff>442482</xdr:colOff>
      <xdr:row>1</xdr:row>
      <xdr:rowOff>486295</xdr:rowOff>
    </xdr:to>
    <xdr:sp macro="" textlink="">
      <xdr:nvSpPr>
        <xdr:cNvPr id="24" name="Ovale 2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/>
      </xdr:nvSpPr>
      <xdr:spPr>
        <a:xfrm>
          <a:off x="9478503" y="1167740"/>
          <a:ext cx="2298729" cy="937805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12</xdr:col>
      <xdr:colOff>525149</xdr:colOff>
      <xdr:row>0</xdr:row>
      <xdr:rowOff>1176850</xdr:rowOff>
    </xdr:from>
    <xdr:to>
      <xdr:col>16</xdr:col>
      <xdr:colOff>389221</xdr:colOff>
      <xdr:row>1</xdr:row>
      <xdr:rowOff>499969</xdr:rowOff>
    </xdr:to>
    <xdr:sp macro="" textlink="">
      <xdr:nvSpPr>
        <xdr:cNvPr id="25" name="Ovale 2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/>
      </xdr:nvSpPr>
      <xdr:spPr>
        <a:xfrm>
          <a:off x="11859899" y="1176850"/>
          <a:ext cx="2313358" cy="94236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16</xdr:col>
      <xdr:colOff>489709</xdr:colOff>
      <xdr:row>0</xdr:row>
      <xdr:rowOff>1177707</xdr:rowOff>
    </xdr:from>
    <xdr:to>
      <xdr:col>20</xdr:col>
      <xdr:colOff>353785</xdr:colOff>
      <xdr:row>1</xdr:row>
      <xdr:rowOff>496262</xdr:rowOff>
    </xdr:to>
    <xdr:sp macro="" textlink="">
      <xdr:nvSpPr>
        <xdr:cNvPr id="26" name="Ovale 2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/>
      </xdr:nvSpPr>
      <xdr:spPr>
        <a:xfrm>
          <a:off x="14273745" y="1177707"/>
          <a:ext cx="2313361" cy="937805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Rettifica della detrazione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217714</xdr:colOff>
          <xdr:row>0</xdr:row>
          <xdr:rowOff>27215</xdr:rowOff>
        </xdr:from>
        <xdr:to>
          <xdr:col>21</xdr:col>
          <xdr:colOff>36108</xdr:colOff>
          <xdr:row>0</xdr:row>
          <xdr:rowOff>1181730</xdr:rowOff>
        </xdr:to>
        <xdr:pic>
          <xdr:nvPicPr>
            <xdr:cNvPr id="2" name="Immagine 1">
              <a:extLst>
                <a:ext uri="{FF2B5EF4-FFF2-40B4-BE49-F238E27FC236}">
                  <a16:creationId xmlns:a16="http://schemas.microsoft.com/office/drawing/2014/main" id="{00000000-0008-0000-0900-00000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932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2872357" y="27215"/>
              <a:ext cx="2880000" cy="1157717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1</xdr:col>
      <xdr:colOff>103910</xdr:colOff>
      <xdr:row>0</xdr:row>
      <xdr:rowOff>103909</xdr:rowOff>
    </xdr:from>
    <xdr:ext cx="11351531" cy="715773"/>
    <xdr:sp macro="" textlink="">
      <xdr:nvSpPr>
        <xdr:cNvPr id="11" name="Rettangolo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710046" y="103909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0</xdr:col>
      <xdr:colOff>78441</xdr:colOff>
      <xdr:row>0</xdr:row>
      <xdr:rowOff>1319451</xdr:rowOff>
    </xdr:from>
    <xdr:to>
      <xdr:col>1</xdr:col>
      <xdr:colOff>1647264</xdr:colOff>
      <xdr:row>1</xdr:row>
      <xdr:rowOff>665551</xdr:rowOff>
    </xdr:to>
    <xdr:sp macro="" textlink="">
      <xdr:nvSpPr>
        <xdr:cNvPr id="19" name="Ovale 1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78441" y="1319451"/>
          <a:ext cx="2173941" cy="81407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1</xdr:col>
      <xdr:colOff>1818918</xdr:colOff>
      <xdr:row>0</xdr:row>
      <xdr:rowOff>1305843</xdr:rowOff>
    </xdr:from>
    <xdr:to>
      <xdr:col>2</xdr:col>
      <xdr:colOff>707747</xdr:colOff>
      <xdr:row>1</xdr:row>
      <xdr:rowOff>651943</xdr:rowOff>
    </xdr:to>
    <xdr:sp macro="" textlink="">
      <xdr:nvSpPr>
        <xdr:cNvPr id="20" name="Ovale 1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2424036" y="1305843"/>
          <a:ext cx="2172152" cy="81407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2</xdr:col>
      <xdr:colOff>876897</xdr:colOff>
      <xdr:row>0</xdr:row>
      <xdr:rowOff>1307156</xdr:rowOff>
    </xdr:from>
    <xdr:to>
      <xdr:col>5</xdr:col>
      <xdr:colOff>501373</xdr:colOff>
      <xdr:row>1</xdr:row>
      <xdr:rowOff>653256</xdr:rowOff>
    </xdr:to>
    <xdr:sp macro="" textlink="">
      <xdr:nvSpPr>
        <xdr:cNvPr id="21" name="Ovale 2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4765338" y="1307156"/>
          <a:ext cx="2179417" cy="81407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6</xdr:col>
      <xdr:colOff>68035</xdr:colOff>
      <xdr:row>0</xdr:row>
      <xdr:rowOff>1312250</xdr:rowOff>
    </xdr:from>
    <xdr:to>
      <xdr:col>9</xdr:col>
      <xdr:colOff>213711</xdr:colOff>
      <xdr:row>1</xdr:row>
      <xdr:rowOff>658350</xdr:rowOff>
    </xdr:to>
    <xdr:sp macro="" textlink="">
      <xdr:nvSpPr>
        <xdr:cNvPr id="22" name="Ovale 2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7116535" y="1312250"/>
          <a:ext cx="2173941" cy="81407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9</xdr:col>
      <xdr:colOff>357716</xdr:colOff>
      <xdr:row>0</xdr:row>
      <xdr:rowOff>1289763</xdr:rowOff>
    </xdr:from>
    <xdr:to>
      <xdr:col>13</xdr:col>
      <xdr:colOff>134220</xdr:colOff>
      <xdr:row>1</xdr:row>
      <xdr:rowOff>635863</xdr:rowOff>
    </xdr:to>
    <xdr:sp macro="" textlink="">
      <xdr:nvSpPr>
        <xdr:cNvPr id="23" name="Ovale 2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434481" y="1289763"/>
          <a:ext cx="2196974" cy="81407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13</xdr:col>
      <xdr:colOff>318641</xdr:colOff>
      <xdr:row>0</xdr:row>
      <xdr:rowOff>1299879</xdr:rowOff>
    </xdr:from>
    <xdr:to>
      <xdr:col>17</xdr:col>
      <xdr:colOff>109125</xdr:colOff>
      <xdr:row>1</xdr:row>
      <xdr:rowOff>649941</xdr:rowOff>
    </xdr:to>
    <xdr:sp macro="" textlink="">
      <xdr:nvSpPr>
        <xdr:cNvPr id="24" name="Ovale 2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11815876" y="1299879"/>
          <a:ext cx="2210955" cy="818033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17</xdr:col>
      <xdr:colOff>312017</xdr:colOff>
      <xdr:row>0</xdr:row>
      <xdr:rowOff>1299730</xdr:rowOff>
    </xdr:from>
    <xdr:to>
      <xdr:col>22</xdr:col>
      <xdr:colOff>102505</xdr:colOff>
      <xdr:row>1</xdr:row>
      <xdr:rowOff>645830</xdr:rowOff>
    </xdr:to>
    <xdr:sp macro="" textlink="">
      <xdr:nvSpPr>
        <xdr:cNvPr id="25" name="Ovale 2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14229723" y="1299730"/>
          <a:ext cx="2210958" cy="814071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Tariffa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247650</xdr:colOff>
          <xdr:row>4</xdr:row>
          <xdr:rowOff>19050</xdr:rowOff>
        </xdr:from>
        <xdr:to>
          <xdr:col>15</xdr:col>
          <xdr:colOff>161925</xdr:colOff>
          <xdr:row>7</xdr:row>
          <xdr:rowOff>0</xdr:rowOff>
        </xdr:to>
        <xdr:sp macro="" textlink="">
          <xdr:nvSpPr>
            <xdr:cNvPr id="10241" name="List Box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B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67147</xdr:colOff>
          <xdr:row>0</xdr:row>
          <xdr:rowOff>0</xdr:rowOff>
        </xdr:from>
        <xdr:to>
          <xdr:col>19</xdr:col>
          <xdr:colOff>74207</xdr:colOff>
          <xdr:row>0</xdr:row>
          <xdr:rowOff>1143000</xdr:rowOff>
        </xdr:to>
        <xdr:pic>
          <xdr:nvPicPr>
            <xdr:cNvPr id="3" name="Immagine 2">
              <a:extLst>
                <a:ext uri="{FF2B5EF4-FFF2-40B4-BE49-F238E27FC236}">
                  <a16:creationId xmlns:a16="http://schemas.microsoft.com/office/drawing/2014/main" id="{00000000-0008-0000-0A00-00000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1035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2382412" y="0"/>
              <a:ext cx="2880000" cy="11430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11351531" cy="715773"/>
    <xdr:sp macro="" textlink="">
      <xdr:nvSpPr>
        <xdr:cNvPr id="4" name="Rettangolo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0" y="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16384</xdr:col>
      <xdr:colOff>4412859</xdr:colOff>
      <xdr:row>1</xdr:row>
      <xdr:rowOff>32161</xdr:rowOff>
    </xdr:from>
    <xdr:to>
      <xdr:col>16384</xdr:col>
      <xdr:colOff>7135299</xdr:colOff>
      <xdr:row>2</xdr:row>
      <xdr:rowOff>92345</xdr:rowOff>
    </xdr:to>
    <xdr:sp macro="" textlink="">
      <xdr:nvSpPr>
        <xdr:cNvPr id="10" name="Ovale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/>
      </xdr:nvSpPr>
      <xdr:spPr>
        <a:xfrm>
          <a:off x="20814909" y="1394236"/>
          <a:ext cx="2722440" cy="75550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Calcolo Rapido</a:t>
          </a:r>
        </a:p>
      </xdr:txBody>
    </xdr:sp>
    <xdr:clientData/>
  </xdr:twoCellAnchor>
  <xdr:twoCellAnchor>
    <xdr:from>
      <xdr:col>16384</xdr:col>
      <xdr:colOff>1407498</xdr:colOff>
      <xdr:row>1</xdr:row>
      <xdr:rowOff>27212</xdr:rowOff>
    </xdr:from>
    <xdr:to>
      <xdr:col>16384</xdr:col>
      <xdr:colOff>4113500</xdr:colOff>
      <xdr:row>2</xdr:row>
      <xdr:rowOff>86159</xdr:rowOff>
    </xdr:to>
    <xdr:sp macro="" textlink="">
      <xdr:nvSpPr>
        <xdr:cNvPr id="11" name="Ovale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/>
      </xdr:nvSpPr>
      <xdr:spPr>
        <a:xfrm>
          <a:off x="17809548" y="1389287"/>
          <a:ext cx="2706002" cy="754272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Tariffa</a:t>
          </a:r>
        </a:p>
      </xdr:txBody>
    </xdr:sp>
    <xdr:clientData/>
  </xdr:twoCellAnchor>
  <xdr:twoCellAnchor>
    <xdr:from>
      <xdr:col>0</xdr:col>
      <xdr:colOff>196803</xdr:colOff>
      <xdr:row>1</xdr:row>
      <xdr:rowOff>77002</xdr:rowOff>
    </xdr:from>
    <xdr:to>
      <xdr:col>3</xdr:col>
      <xdr:colOff>1556703</xdr:colOff>
      <xdr:row>2</xdr:row>
      <xdr:rowOff>101677</xdr:rowOff>
    </xdr:to>
    <xdr:sp macro="" textlink="">
      <xdr:nvSpPr>
        <xdr:cNvPr id="12" name="Ovale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/>
      </xdr:nvSpPr>
      <xdr:spPr>
        <a:xfrm>
          <a:off x="196803" y="1439077"/>
          <a:ext cx="2160000" cy="7200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3</xdr:col>
      <xdr:colOff>1888331</xdr:colOff>
      <xdr:row>1</xdr:row>
      <xdr:rowOff>98412</xdr:rowOff>
    </xdr:from>
    <xdr:to>
      <xdr:col>4</xdr:col>
      <xdr:colOff>962231</xdr:colOff>
      <xdr:row>2</xdr:row>
      <xdr:rowOff>123087</xdr:rowOff>
    </xdr:to>
    <xdr:sp macro="" textlink="">
      <xdr:nvSpPr>
        <xdr:cNvPr id="13" name="Ovale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/>
      </xdr:nvSpPr>
      <xdr:spPr>
        <a:xfrm>
          <a:off x="2688431" y="1460487"/>
          <a:ext cx="2160000" cy="7200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4</xdr:col>
      <xdr:colOff>1300479</xdr:colOff>
      <xdr:row>1</xdr:row>
      <xdr:rowOff>117094</xdr:rowOff>
    </xdr:from>
    <xdr:to>
      <xdr:col>6</xdr:col>
      <xdr:colOff>526779</xdr:colOff>
      <xdr:row>2</xdr:row>
      <xdr:rowOff>141769</xdr:rowOff>
    </xdr:to>
    <xdr:sp macro="" textlink="">
      <xdr:nvSpPr>
        <xdr:cNvPr id="14" name="Ovale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/>
      </xdr:nvSpPr>
      <xdr:spPr>
        <a:xfrm>
          <a:off x="5186679" y="1479169"/>
          <a:ext cx="2160000" cy="7200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6</xdr:col>
      <xdr:colOff>886626</xdr:colOff>
      <xdr:row>1</xdr:row>
      <xdr:rowOff>130032</xdr:rowOff>
    </xdr:from>
    <xdr:to>
      <xdr:col>8</xdr:col>
      <xdr:colOff>874926</xdr:colOff>
      <xdr:row>2</xdr:row>
      <xdr:rowOff>154707</xdr:rowOff>
    </xdr:to>
    <xdr:sp macro="" textlink="">
      <xdr:nvSpPr>
        <xdr:cNvPr id="15" name="Ovale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/>
      </xdr:nvSpPr>
      <xdr:spPr>
        <a:xfrm>
          <a:off x="7706526" y="1492107"/>
          <a:ext cx="2160000" cy="7200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9</xdr:col>
      <xdr:colOff>157130</xdr:colOff>
      <xdr:row>1</xdr:row>
      <xdr:rowOff>128276</xdr:rowOff>
    </xdr:from>
    <xdr:to>
      <xdr:col>10</xdr:col>
      <xdr:colOff>1078880</xdr:colOff>
      <xdr:row>2</xdr:row>
      <xdr:rowOff>152951</xdr:rowOff>
    </xdr:to>
    <xdr:sp macro="" textlink="">
      <xdr:nvSpPr>
        <xdr:cNvPr id="16" name="Ovale 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/>
      </xdr:nvSpPr>
      <xdr:spPr>
        <a:xfrm>
          <a:off x="10234580" y="1490351"/>
          <a:ext cx="2160000" cy="7200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11</xdr:col>
      <xdr:colOff>335450</xdr:colOff>
      <xdr:row>1</xdr:row>
      <xdr:rowOff>127187</xdr:rowOff>
    </xdr:from>
    <xdr:to>
      <xdr:col>14</xdr:col>
      <xdr:colOff>190400</xdr:colOff>
      <xdr:row>2</xdr:row>
      <xdr:rowOff>151862</xdr:rowOff>
    </xdr:to>
    <xdr:sp macro="" textlink="">
      <xdr:nvSpPr>
        <xdr:cNvPr id="17" name="Ovale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/>
      </xdr:nvSpPr>
      <xdr:spPr>
        <a:xfrm>
          <a:off x="12737000" y="1489262"/>
          <a:ext cx="2160000" cy="7200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14</xdr:col>
      <xdr:colOff>569820</xdr:colOff>
      <xdr:row>1</xdr:row>
      <xdr:rowOff>146237</xdr:rowOff>
    </xdr:from>
    <xdr:to>
      <xdr:col>17</xdr:col>
      <xdr:colOff>901020</xdr:colOff>
      <xdr:row>2</xdr:row>
      <xdr:rowOff>170912</xdr:rowOff>
    </xdr:to>
    <xdr:sp macro="" textlink="">
      <xdr:nvSpPr>
        <xdr:cNvPr id="22" name="Ovale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SpPr/>
      </xdr:nvSpPr>
      <xdr:spPr>
        <a:xfrm>
          <a:off x="15276420" y="1508312"/>
          <a:ext cx="2160000" cy="720000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Calcolo Rapido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0000000}" name="Tabella14" displayName="Tabella14" ref="B2:D5" totalsRowShown="0">
  <autoFilter ref="B2:D5" xr:uid="{00000000-0009-0000-0100-00000E000000}"/>
  <tableColumns count="3">
    <tableColumn id="1" xr3:uid="{00000000-0010-0000-0000-000001000000}" name="ID"/>
    <tableColumn id="2" xr3:uid="{00000000-0010-0000-0000-000002000000}" name="CODTRIB"/>
    <tableColumn id="3" xr3:uid="{00000000-0010-0000-0000-000003000000}" name="DESC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F255FD3-9E89-4463-8416-71C01810B0EC}" name="Tabella13" displayName="Tabella13" ref="B2:F9" totalsRowShown="0">
  <autoFilter ref="B2:F9" xr:uid="{CF255FD3-9E89-4463-8416-71C01810B0EC}"/>
  <tableColumns count="5">
    <tableColumn id="1" xr3:uid="{D95F1D50-2FAB-434D-83CE-FD88A0EE5CD0}" name="Dati"/>
    <tableColumn id="2" xr3:uid="{DEDE630B-2E62-481D-B670-A9BE87047869}" name="Caso 1"/>
    <tableColumn id="3" xr3:uid="{59E69BF4-CC8D-4A4C-B1FF-3FDD7282ADE6}" name="Caso 2"/>
    <tableColumn id="4" xr3:uid="{37B207B4-B831-41EB-9ADB-1233810C0270}" name="Caso 3"/>
    <tableColumn id="5" xr3:uid="{83D19618-44C2-4803-A9D8-48216D6B43B4}" name="Caso 4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A" displayName="A_1" ref="B5:I105" totalsRowShown="0" headerRowDxfId="109" dataDxfId="108">
  <autoFilter ref="B5:I105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100-000001000000}" name="Nome" dataDxfId="107"/>
    <tableColumn id="3" xr3:uid="{00000000-0010-0000-0100-000003000000}" name="Data iscrizione libro soci" dataDxfId="106"/>
    <tableColumn id="4" xr3:uid="{00000000-0010-0000-0100-000004000000}" name="Tipo (PF)" dataDxfId="105"/>
    <tableColumn id="5" xr3:uid="{00000000-0010-0000-0100-000005000000}" name="Quota partecipazione al momento dell'operazione" dataDxfId="104"/>
    <tableColumn id="9" xr3:uid="{00000000-0010-0000-0100-000009000000}" name="Costo della Partecipaz." dataDxfId="103" dataCellStyle="Migliaia"/>
    <tableColumn id="6" xr3:uid="{00000000-0010-0000-0100-000006000000}" name="Aliquota Marginale socio/Tassazione sostitutiva" dataDxfId="102" dataCellStyle="Percentuale"/>
    <tableColumn id="2" xr3:uid="{00000000-0010-0000-0100-000002000000}" name="QUOTA TAX DIVIDENDI _x000a_(100%-58,14%-5%-40%)" dataDxfId="101" dataCellStyle="Percentuale"/>
    <tableColumn id="8" xr3:uid="{00000000-0010-0000-0100-000008000000}" name="Agevolabile" dataDxfId="100" dataCellStyle="Migliaia">
      <calculatedColumnFormula>+IF(A_1[[#This Row],[Nome]]="","",(A_1[[#This Row],[Data iscrizione libro soci]]&lt;=$C$4)*1)</calculatedColumnFormula>
    </tableColumn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2000000}" name="B" displayName="B" ref="A4:Z104" totalsRowShown="0" headerRowDxfId="99" dataDxfId="98">
  <autoFilter ref="A4:Z104" xr:uid="{00000000-0009-0000-0100-00000C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xr3:uid="{00000000-0010-0000-0200-000001000000}" name="Bene" dataDxfId="97"/>
    <tableColumn id="12" xr3:uid="{00000000-0010-0000-0200-00000C000000}" name="Anno Acquisizione o ultimazione" dataDxfId="96"/>
    <tableColumn id="2" xr3:uid="{00000000-0010-0000-0200-000002000000}" name="Tipologia" dataDxfId="95"/>
    <tableColumn id="3" xr3:uid="{00000000-0010-0000-0200-000003000000}" name="Strumentale per destinazione" dataDxfId="94"/>
    <tableColumn id="4" xr3:uid="{00000000-0010-0000-0200-000004000000}" name="Categoria Catastale" dataDxfId="93"/>
    <tableColumn id="5" xr3:uid="{00000000-0010-0000-0200-000005000000}" name="Rendita catastale" dataDxfId="92" dataCellStyle="Migliaia"/>
    <tableColumn id="8" xr3:uid="{00000000-0010-0000-0200-000008000000}" name="Valore normale" dataDxfId="91"/>
    <tableColumn id="11" xr3:uid="{00000000-0010-0000-0200-00000B000000}" name="Valore netto contabile fiscalmente riconosciuto" dataDxfId="90" dataCellStyle="Migliaia"/>
    <tableColumn id="9" xr3:uid="{00000000-0010-0000-0200-000009000000}" name="Valore contabile attribuito" dataDxfId="89"/>
    <tableColumn id="13" xr3:uid="{00000000-0010-0000-0200-00000D000000}" name="Valore inserito manualmente" dataDxfId="88" dataCellStyle="Migliaia"/>
    <tableColumn id="10" xr3:uid="{00000000-0010-0000-0200-00000A000000}" name="Iscritto a Bilancio come" dataDxfId="87"/>
    <tableColumn id="14" xr3:uid="{00000000-0010-0000-0200-00000E000000}" name="Imponibile Iva" dataDxfId="86" dataCellStyle="Migliaia"/>
    <tableColumn id="23" xr3:uid="{00000000-0010-0000-0200-000017000000}" name="Opzione per prezzo-valore (s/n)" dataDxfId="85" dataCellStyle="Migliaia"/>
    <tableColumn id="7" xr3:uid="{00000000-0010-0000-0200-000007000000}" name="Valore catastale" dataDxfId="84" dataCellStyle="Migliaia">
      <calculatedColumnFormula>+IF(B[[#This Row],[Categoria Catastale]]="",0,VLOOKUP(B[[#This Row],[Categoria Catastale]],Gruppi[],6,0)*B[[#This Row],[Rendita catastale]])</calculatedColumnFormula>
    </tableColumn>
    <tableColumn id="6" xr3:uid="{00000000-0010-0000-0200-000006000000}" name="Agevolabile" dataDxfId="83" dataCellStyle="Migliaia">
      <calculatedColumnFormula>+IF(A5="","",IF(D5="Sì",0,1))</calculatedColumnFormula>
    </tableColumn>
    <tableColumn id="25" xr3:uid="{00000000-0010-0000-0200-000019000000}" name="Valore ai fini dell'atto" dataDxfId="82" dataCellStyle="Migliaia">
      <calculatedColumnFormula>+IF(B[[#This Row],[Valore inserito manualmente]]&gt;0,B[[#This Row],[Valore inserito manualmente]],B[[#This Row],[Valore catastale]])</calculatedColumnFormula>
    </tableColumn>
    <tableColumn id="24" xr3:uid="{00000000-0010-0000-0200-000018000000}" name="Valore ai fini dell'imposta di registro" dataDxfId="81" dataCellStyle="Migliaia">
      <calculatedColumnFormula>+IF(OR(B[[#This Row],[Opzione per prezzo-valore (s/n)]]="s",B[[#This Row],[Valore inserito manualmente]]=0),B[[#This Row],[Valore catastale]],B[[#This Row],[Valore inserito manualmente]])</calculatedColumnFormula>
    </tableColumn>
    <tableColumn id="22" xr3:uid="{00000000-0010-0000-0200-000016000000}" name="Imponibile Imposta sostitutiva" dataDxfId="80" dataCellStyle="Migliaia">
      <calculatedColumnFormula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calculatedColumnFormula>
    </tableColumn>
    <tableColumn id="15" xr3:uid="{00000000-0010-0000-0200-00000F000000}" name="Iva se dovuta" dataDxfId="79" dataCellStyle="Migliaia">
      <calculatedColumnFormula>+IF(B[[#This Row],[Bene]]="","",VLOOKUP(B[[#This Row],[Tipologia]],TipoImm[],3,0)*B[[#This Row],[Imponibile Iva]])</calculatedColumnFormula>
    </tableColumn>
    <tableColumn id="16" xr3:uid="{00000000-0010-0000-0200-000010000000}" name="Imposta di registro (fissa + prop) senza agevolazione" dataDxfId="78" dataCellStyle="Migliaia">
      <calculatedColumnFormula>+IF(B[[#This Row],[Bene]]="","",VLOOKUP(B[[#This Row],[Tipologia]],TipoImm[],6,0)*B[[#This Row],[Valore catastale]]+VLOOKUP(B[[#This Row],[Tipologia]],TipoImm[],4,0))</calculatedColumnFormula>
    </tableColumn>
    <tableColumn id="17" xr3:uid="{00000000-0010-0000-0200-000011000000}" name="Ipotecaria e catastale senza agevolazione" dataDxfId="77">
      <calculatedColumnFormula>+IF(B[[#This Row],[Bene]]="","",VLOOKUP(B[[#This Row],[Tipologia]],TipoImm[],8,0)*B[[#This Row],[Valore normale]]+VLOOKUP(B[[#This Row],[Tipologia]],TipoImm[],9,0))</calculatedColumnFormula>
    </tableColumn>
    <tableColumn id="18" xr3:uid="{00000000-0010-0000-0200-000012000000}" name="Imposta di registro in misura fissa agevolata" dataDxfId="76">
      <calculatedColumnFormula>+IF(OR(B[[#This Row],[Bene]]="",B[[#This Row],[Agevolabile]]=0),0,VLOOKUP(B[[#This Row],[Tipologia]],TipoImm[],5,0))</calculatedColumnFormula>
    </tableColumn>
    <tableColumn id="19" xr3:uid="{00000000-0010-0000-0200-000013000000}" name="Imposta di registro prop. Agevolata" dataDxfId="75" dataCellStyle="Migliaia">
      <calculatedColumnFormula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calculatedColumnFormula>
    </tableColumn>
    <tableColumn id="20" xr3:uid="{00000000-0010-0000-0200-000014000000}" name="Totale imposta di registro" dataDxfId="74" dataCellStyle="Migliaia">
      <calculatedColumnFormula>SUM(B[[#This Row],[Imposta di registro in misura fissa agevolata]:[Imposta di registro prop. Agevolata]])</calculatedColumnFormula>
    </tableColumn>
    <tableColumn id="21" xr3:uid="{00000000-0010-0000-0200-000015000000}" name="Ipotecaria catastale agevolata" dataDxfId="73" dataCellStyle="Migliaia">
      <calculatedColumnFormula>+IF(B[[#This Row],[Bene]]="",0,VLOOKUP(B[[#This Row],[Tipologia]],TipoImm[],10,0))</calculatedColumnFormula>
    </tableColumn>
    <tableColumn id="26" xr3:uid="{00000000-0010-0000-0200-00001A000000}" name="Fattura" dataDxfId="72">
      <calculatedColumnFormula>+IF(p=3,"",IF(B[[#This Row],[Tipologia]]="","",VLOOKUP(B[[#This Row],[Tipologia]],TipoImm[],MATCH($Z$4,Tabelle!$AF$1:$AR$1,0),0)))</calculatedColumnFormula>
    </tableColumn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ipoSoc" displayName="TipoSoc" ref="A1:B7" totalsRowShown="0">
  <autoFilter ref="A1:B7" xr:uid="{00000000-0009-0000-0100-000002000000}"/>
  <tableColumns count="2">
    <tableColumn id="1" xr3:uid="{00000000-0010-0000-0300-000001000000}" name="TIPO"/>
    <tableColumn id="2" xr3:uid="{00000000-0010-0000-0300-000002000000}" name="Tassazione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Catasto" displayName="Catasto" ref="L1:O37" totalsRowShown="0">
  <autoFilter ref="L1:O37" xr:uid="{00000000-0009-0000-0100-000004000000}"/>
  <tableColumns count="4">
    <tableColumn id="1" xr3:uid="{00000000-0010-0000-0400-000001000000}" name="Cat"/>
    <tableColumn id="2" xr3:uid="{00000000-0010-0000-0400-000002000000}" name="Descr"/>
    <tableColumn id="3" xr3:uid="{00000000-0010-0000-0400-000003000000}" name="Moltiplicatore"/>
    <tableColumn id="4" xr3:uid="{00000000-0010-0000-0400-000004000000}" name="Prima Casa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Gruppi" displayName="Gruppi" ref="D1:J10" totalsRowShown="0">
  <autoFilter ref="D1:J10" xr:uid="{00000000-0009-0000-0100-000006000000}"/>
  <tableColumns count="7">
    <tableColumn id="1" xr3:uid="{00000000-0010-0000-0500-000001000000}" name="Cat"/>
    <tableColumn id="2" xr3:uid="{00000000-0010-0000-0500-000002000000}" name="Base"/>
    <tableColumn id="3" xr3:uid="{00000000-0010-0000-0500-000003000000}" name="Molt."/>
    <tableColumn id="4" xr3:uid="{00000000-0010-0000-0500-000004000000}" name="Magg."/>
    <tableColumn id="5" xr3:uid="{00000000-0010-0000-0500-000005000000}" name="Ult. Riv."/>
    <tableColumn id="6" xr3:uid="{00000000-0010-0000-0500-000006000000}" name="Val. Cat." dataDxfId="71">
      <calculatedColumnFormula>+Gruppi[[#This Row],[Molt.]]*Gruppi[[#This Row],[Magg.]]*(1+Gruppi[[#This Row],[Ult. Riv.]])</calculatedColumnFormula>
    </tableColumn>
    <tableColumn id="7" xr3:uid="{00000000-0010-0000-0500-000007000000}" name="Agevolabile" dataDxfId="70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Tabella8" displayName="Tabella8" ref="R1:S4" totalsRowShown="0">
  <autoFilter ref="R1:S4" xr:uid="{00000000-0009-0000-0100-000008000000}"/>
  <tableColumns count="2">
    <tableColumn id="1" xr3:uid="{00000000-0010-0000-0600-000001000000}" name="TIPO"/>
    <tableColumn id="2" xr3:uid="{00000000-0010-0000-0600-000002000000}" name="TAX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ImpInd" displayName="ImpInd" ref="V1:AD21" totalsRowShown="0">
  <autoFilter ref="V1:AD21" xr:uid="{00000000-0009-0000-0100-000009000000}"/>
  <tableColumns count="9">
    <tableColumn id="1" xr3:uid="{00000000-0010-0000-0700-000001000000}" name="TIPO BENE"/>
    <tableColumn id="2" xr3:uid="{00000000-0010-0000-0700-000002000000}" name="TIPO SOCIETA'"/>
    <tableColumn id="3" xr3:uid="{00000000-0010-0000-0700-000003000000}" name="IMPONIBILE   "/>
    <tableColumn id="4" xr3:uid="{00000000-0010-0000-0700-000004000000}" name="Tipologia"/>
    <tableColumn id="5" xr3:uid="{00000000-0010-0000-0700-000005000000}" name="IVA" dataDxfId="69"/>
    <tableColumn id="6" xr3:uid="{00000000-0010-0000-0700-000006000000}" name="Registro"/>
    <tableColumn id="7" xr3:uid="{00000000-0010-0000-0700-000007000000}" name="Ipotecaria Catastale"/>
    <tableColumn id="9" xr3:uid="{00000000-0010-0000-0700-000009000000}" name="agevolabile"/>
    <tableColumn id="8" xr3:uid="{00000000-0010-0000-0700-000008000000}" name="AnniRett"/>
  </tableColumns>
  <tableStyleInfo name="TableStyleMedium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8000000}" name="TipoImm" displayName="TipoImm" ref="AF1:AQ18" totalsRowShown="0">
  <autoFilter ref="AF1:AQ18" xr:uid="{00000000-0009-0000-0100-00000B000000}"/>
  <tableColumns count="12">
    <tableColumn id="1" xr3:uid="{00000000-0010-0000-0800-000001000000}" name="Tipologia" dataDxfId="68"/>
    <tableColumn id="2" xr3:uid="{00000000-0010-0000-0800-000002000000}" name="Immobili"/>
    <tableColumn id="3" xr3:uid="{00000000-0010-0000-0800-000003000000}" name="IVA" dataDxfId="67"/>
    <tableColumn id="5" xr3:uid="{00000000-0010-0000-0800-000005000000}" name="RegistroFisso"/>
    <tableColumn id="11" xr3:uid="{00000000-0010-0000-0800-00000B000000}" name="RegistroAG"/>
    <tableColumn id="4" xr3:uid="{00000000-0010-0000-0800-000004000000}" name="RegProp" dataDxfId="66"/>
    <tableColumn id="14" xr3:uid="{00000000-0010-0000-0800-00000E000000}" name="RegPropAG" dataDxfId="65"/>
    <tableColumn id="8" xr3:uid="{00000000-0010-0000-0800-000008000000}" name="IpocatProp" dataDxfId="64" dataCellStyle="Percentuale"/>
    <tableColumn id="6" xr3:uid="{00000000-0010-0000-0800-000006000000}" name="IpoCat"/>
    <tableColumn id="12" xr3:uid="{00000000-0010-0000-0800-00000C000000}" name="IpoCatAG" dataDxfId="63" dataCellStyle="Percentuale"/>
    <tableColumn id="9" xr3:uid="{00000000-0010-0000-0800-000009000000}" name="Agevolabile"/>
    <tableColumn id="7" xr3:uid="{00000000-0010-0000-0800-000007000000}" name="Fattura"/>
  </tableColumns>
  <tableStyleInfo name="TableStyleMedium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9000000}" name="Tabella3" displayName="Tabella3" ref="AS1:AT4" totalsRowShown="0">
  <autoFilter ref="AS1:AT4" xr:uid="{00000000-0009-0000-0100-000003000000}"/>
  <tableColumns count="2">
    <tableColumn id="1" xr3:uid="{00000000-0010-0000-0900-000001000000}" name="IdPratica"/>
    <tableColumn id="2" xr3:uid="{00000000-0010-0000-0900-000002000000}" name="Nome Pratica"/>
  </tableColumns>
  <tableStyleInfo name="TableStyleMedium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A000000}" name="Assegnazione" displayName="Assegnazione" ref="A4:Z204" totalsRowShown="0" headerRowDxfId="62" dataDxfId="61">
  <autoFilter ref="A4:Z204" xr:uid="{00000000-0009-0000-0100-000005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xr3:uid="{00000000-0010-0000-0A00-000001000000}" name="Bene" dataDxfId="60"/>
    <tableColumn id="2" xr3:uid="{00000000-0010-0000-0A00-000002000000}" name="Quota di assegnazione" dataDxfId="59" dataCellStyle="Percentuale"/>
    <tableColumn id="3" xr3:uid="{00000000-0010-0000-0A00-000003000000}" name="Socio" dataDxfId="58"/>
    <tableColumn id="22" xr3:uid="{00000000-0010-0000-0A00-000016000000}" name="Imponibile IVA" dataDxfId="57" dataCellStyle="Migliaia">
      <calculatedColumnFormula>+SUMIF(B[Bene],Assegnazione[[#This Row],[Bene]],B[Imponibile Iva])*Assegnazione[[#This Row],[Quota di assegnazione]]</calculatedColumnFormula>
    </tableColumn>
    <tableColumn id="19" xr3:uid="{00000000-0010-0000-0A00-000013000000}" name="Valore dichiarato in atto (se diverso da catastale)" dataDxfId="56" dataCellStyle="Migliaia"/>
    <tableColumn id="17" xr3:uid="{00000000-0010-0000-0A00-000011000000}" name="Tipologia" dataDxfId="55">
      <calculatedColumnFormula>+IF(A5="","",VLOOKUP(Assegnazione[[#This Row],[Bene]],B[],3,0))</calculatedColumnFormula>
    </tableColumn>
    <tableColumn id="4" xr3:uid="{00000000-0010-0000-0A00-000004000000}" name="Agevolabile" dataDxfId="54" dataCellStyle="Migliaia">
      <calculatedColumnFormula>+IFERROR(VLOOKUP(Assegnazione[[#This Row],[Bene]],B[],MATCH("Agevolabile",Beni!$A$4:$AC$4,0),0)*VLOOKUP(Assegnazione[[#This Row],[Socio]],A_1[],8,0),"")</calculatedColumnFormula>
    </tableColumn>
    <tableColumn id="5" xr3:uid="{00000000-0010-0000-0A00-000005000000}" name="Valore Fiscalmente riconosciuto" dataDxfId="53" dataCellStyle="Migliaia">
      <calculatedColumnFormula>+SUMIF(B[Bene],Assegnazione[[#This Row],[Bene]],B[Valore netto contabile fiscalmente riconosciuto])*Assegnazione[[#This Row],[Quota di assegnazione]]</calculatedColumnFormula>
    </tableColumn>
    <tableColumn id="7" xr3:uid="{00000000-0010-0000-0A00-000007000000}" name="Valore Normale" dataDxfId="52" dataCellStyle="Migliaia">
      <calculatedColumnFormula>+SUMIF(B[Bene],Assegnazione[[#This Row],[Bene]],B[Valore normale])*Assegnazione[[#This Row],[Quota di assegnazione]]</calculatedColumnFormula>
    </tableColumn>
    <tableColumn id="24" xr3:uid="{00000000-0010-0000-0A00-000018000000}" name="% Assegnata" dataDxfId="51" dataCellStyle="Percentuale">
      <calculatedColumnFormula>+IF(Assegnazione[[#This Row],[Bene]]="",0,SUMIF(Assegnazione[Socio],Assegnazione[[#This Row],[Socio]],Assegnazione[Valore Normale])/$I$3)</calculatedColumnFormula>
    </tableColumn>
    <tableColumn id="23" xr3:uid="{00000000-0010-0000-0A00-000017000000}" name="% Capitale" dataDxfId="50" dataCellStyle="Percentuale">
      <calculatedColumnFormula>IF(Assegnazione[[#This Row],[Bene]]="","",SUMIF(A_1[Nome],Assegnazione[[#This Row],[Socio]],A_1[Quota partecipazione al momento dell''operazione]))</calculatedColumnFormula>
    </tableColumn>
    <tableColumn id="20" xr3:uid="{00000000-0010-0000-0A00-000014000000}" name="Valore Catastale" dataDxfId="49" dataCellStyle="Migliaia">
      <calculatedColumnFormula>+SUMIF(B[Bene],Assegnazione[[#This Row],[Bene]],B[Valore catastale])*Assegnazione[[#This Row],[Quota di assegnazione]]</calculatedColumnFormula>
    </tableColumn>
    <tableColumn id="21" xr3:uid="{00000000-0010-0000-0A00-000015000000}" name="Valore ai fini dell'atto" dataDxfId="48" dataCellStyle="Migliaia">
      <calculatedColumnFormula>+IF(OR(Assegnazione[[#This Row],[Valore dichiarato in atto (se diverso da catastale)]]&gt;0,Assegnazione[[#This Row],[Agevolabile]]=0),Assegnazione[[#This Row],[Valore dichiarato in atto (se diverso da catastale)]],Assegnazione[[#This Row],[Valore Catastale]])</calculatedColumnFormula>
    </tableColumn>
    <tableColumn id="25" xr3:uid="{00000000-0010-0000-0A00-000019000000}" name="Valore fiscale ai fini della Tassazione soci" dataDxfId="47" dataCellStyle="Migliaia">
      <calculatedColumnFormula>+MIN(Assegnazione[[#This Row],[Valore ai fini dell''atto]],Assegnazione[[#This Row],[Valore Fiscalmente riconosciuto]])</calculatedColumnFormula>
    </tableColumn>
    <tableColumn id="26" xr3:uid="{00000000-0010-0000-0A00-00001A000000}" name="Opzione per prezzo-valore (s/n)" dataDxfId="46" dataCellStyle="Migliaia">
      <calculatedColumnFormula>+IFERROR(VLOOKUP(Assegnazione[[#This Row],[Bene]],B[],MATCH($O$4,Beni!$A$4:$Z$4,0),0),"")</calculatedColumnFormula>
    </tableColumn>
    <tableColumn id="6" xr3:uid="{00000000-0010-0000-0A00-000006000000}" name="Tassazione diretta senza agevolazione" dataDxfId="45">
      <calculatedColumnFormula>+IF(Assegnazione[[#This Row],[Valore Fiscalmente riconosciuto]]&gt;Assegnazione[[#This Row],[Valore Normale]],0,(Assegnazione[[#This Row],[Valore Normale]]-Assegnazione[[#This Row],[Valore Fiscalmente riconosciuto]])*t)</calculatedColumnFormula>
    </tableColumn>
    <tableColumn id="18" xr3:uid="{00000000-0010-0000-0A00-000012000000}" name="IRAP" dataDxfId="44" dataCellStyle="Migliaia">
      <calculatedColumnFormula>+IF(Assegnazione[[#This Row],[Valore Fiscalmente riconosciuto]]&gt;Assegnazione[[#This Row],[Valore Normale]],0,(Assegnazione[[#This Row],[Valore Normale]]-Assegnazione[[#This Row],[Valore Fiscalmente riconosciuto]])*DATI!$H$23)</calculatedColumnFormula>
    </tableColumn>
    <tableColumn id="8" xr3:uid="{00000000-0010-0000-0A00-000008000000}" name="Iva se dovuta" dataDxfId="43">
      <calculatedColumnFormula>+SUMIF(B[Bene],Assegnazione[[#This Row],[Bene]],B[Iva se dovuta])*Assegnazione[[#This Row],[Quota di assegnazione]]</calculatedColumnFormula>
    </tableColumn>
    <tableColumn id="9" xr3:uid="{00000000-0010-0000-0A00-000009000000}" name="Imposta di registro senza agevolazione" dataDxfId="42">
      <calculatedColumnFormula>+SUMIF(B[Bene],Assegnazione[[#This Row],[Bene]],B[Imposta di registro (fissa + prop) senza agevolazione])*Assegnazione[[#This Row],[Quota di assegnazione]]</calculatedColumnFormula>
    </tableColumn>
    <tableColumn id="10" xr3:uid="{00000000-0010-0000-0A00-00000A000000}" name="Ipotecaria e catastale senza agevolazione" dataDxfId="41">
      <calculatedColumnFormula>+SUMIF(B[Bene],Assegnazione[[#This Row],[Bene]],B[Ipotecaria e catastale senza agevolazione])*Assegnazione[[#This Row],[Quota di assegnazione]]</calculatedColumnFormula>
    </tableColumn>
    <tableColumn id="14" xr3:uid="{00000000-0010-0000-0A00-00000E000000}" name="Tassazione totale senza agevolazione" dataDxfId="40" dataCellStyle="Migliaia">
      <calculatedColumnFormula>+SUM(Assegnazione[[#This Row],[Tassazione diretta senza agevolazione]:[Ipotecaria e catastale senza agevolazione]])</calculatedColumnFormula>
    </tableColumn>
    <tableColumn id="11" xr3:uid="{00000000-0010-0000-0A00-00000B000000}" name="Imposta sostitutiva" dataDxfId="39">
      <calculatedColumnFormula>+SUMIF(B[Bene],Assegnazione[[#This Row],[Bene]],B[Imponibile Imposta sostitutiva])*Assegnazione[[#This Row],[Quota di assegnazione]]*DATI!$E$27</calculatedColumnFormula>
    </tableColumn>
    <tableColumn id="28" xr3:uid="{00000000-0010-0000-0A00-00001C000000}" name="Imposta di registro in misura fissa" dataDxfId="38" dataCellStyle="Migliaia">
      <calculatedColumnFormula>+SUMIF(B[Bene],Assegnazione[[#This Row],[Bene]],B[Imposta di registro in misura fissa agevolata])*Assegnazione[[#This Row],[Quota di assegnazione]]</calculatedColumnFormula>
    </tableColumn>
    <tableColumn id="27" xr3:uid="{00000000-0010-0000-0A00-00001B000000}" name="Imposta di registro prop." dataDxfId="37" dataCellStyle="Migliaia">
      <calculatedColumnFormula>+SUMIF(B[Bene],Assegnazione[[#This Row],[Bene]],B[Imposta di registro prop. Agevolata])*Assegnazione[[#This Row],[Quota di assegnazione]]</calculatedColumnFormula>
    </tableColumn>
    <tableColumn id="12" xr3:uid="{00000000-0010-0000-0A00-00000C000000}" name="Imposta di registro agevolata" dataDxfId="36">
      <calculatedColumnFormula>+IFERROR(Assegnazione[[#This Row],[Imposta di registro in misura fissa]]+Assegnazione[[#This Row],[Imposta di registro prop.]],"")</calculatedColumnFormula>
    </tableColumn>
    <tableColumn id="13" xr3:uid="{00000000-0010-0000-0A00-00000D000000}" name="Ipotecaria catastale agevolata" dataDxfId="35">
      <calculatedColumnFormula>+SUMIF(B[Bene],Assegnazione[[#This Row],[Bene]],B[Ipotecaria catastale agevolata])*Assegnazione[[#This Row],[Quota di assegnazione]]</calculatedColumnFormula>
    </tableColumn>
  </tableColumns>
  <tableStyleInfo name="TableStyleLight1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B000000}" name="Tabella7" displayName="Tabella7" ref="A13:R113" totalsRowShown="0" headerRowDxfId="34" dataDxfId="33" headerRowCellStyle="Migliaia">
  <autoFilter ref="A13:R113" xr:uid="{00000000-0009-0000-0100-000007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00000000-0010-0000-0B00-000001000000}" name="Socio" dataDxfId="32">
      <calculatedColumnFormula>+IF(Soci!B6="","",Soci!B6)</calculatedColumnFormula>
    </tableColumn>
    <tableColumn id="2" xr3:uid="{00000000-0010-0000-0B00-000002000000}" name="% Cap" dataDxfId="31">
      <calculatedColumnFormula>+IF(Tabella7[[#This Row],[Socio]]="","",Soci!E6)</calculatedColumnFormula>
    </tableColumn>
    <tableColumn id="16" xr3:uid="{00000000-0010-0000-0B00-000010000000}" name="Netto assegnato (Costo fiscale del bene in capo al socio)" dataDxfId="30" dataCellStyle="Migliaia">
      <calculatedColumnFormula>+SUMIFS(Assegnazione[Valore ai fini dell''atto],Assegnazione[Agevolabile],1,Assegnazione[Socio],Tabella7[[#This Row],[Socio]])+SUMIFS(Assegnazione[Valore Normale],Assegnazione[Agevolabile],0,Assegnazione[Socio],Tabella7[[#This Row],[Socio]])</calculatedColumnFormula>
    </tableColumn>
    <tableColumn id="17" xr3:uid="{00000000-0010-0000-0B00-000011000000}" name="% Beni" dataDxfId="29" dataCellStyle="Percentuale">
      <calculatedColumnFormula>+IF(Tabella7[[#This Row],[Socio]]="","",Tabella7[[#This Row],[Netto assegnato (Costo fiscale del bene in capo al socio)]]/'Tassazione Soci'!$C$12)</calculatedColumnFormula>
    </tableColumn>
    <tableColumn id="3" xr3:uid="{00000000-0010-0000-0B00-000003000000}" name="Accollo debiti" dataDxfId="28" dataCellStyle="Percentuale">
      <calculatedColumnFormula>89453-83266</calculatedColumnFormula>
    </tableColumn>
    <tableColumn id="5" xr3:uid="{00000000-0010-0000-0B00-000005000000}" name="Base netta" dataDxfId="27">
      <calculatedColumnFormula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calculatedColumnFormula>
    </tableColumn>
    <tableColumn id="6" xr3:uid="{00000000-0010-0000-0B00-000006000000}" name="Utili" dataDxfId="26" dataCellStyle="Migliaia">
      <calculatedColumnFormula>+IFERROR(MAX(0,((SUMIF(Assegnazione[Socio],Tabella7[[#This Row],[Socio]],Assegnazione[Valore fiscale ai fini della Tassazione soci])-Tabella7[[#This Row],[Accollo debiti]])-$D$8*Tabella7[[#This Row],[% Beni]])*(p=1)*$O$6)+Tabella7[[#This Row],[Base netta]]*(p=3),0)</calculatedColumnFormula>
    </tableColumn>
    <tableColumn id="7" xr3:uid="{00000000-0010-0000-0B00-000007000000}" name="Riserve" dataDxfId="25">
      <calculatedColumnFormula>+IFERROR(MAX(0,((SUMIF(Assegnazione[Socio],Tabella7[[#This Row],[Socio]],Assegnazione[Valore fiscale ai fini della Tassazione soci])-Tabella7[[#This Row],[Accollo debiti]])-$D$8*Tabella7[[#This Row],[% Beni]])*(p=1)*$O$7)+Tabella7[[#This Row],[Base netta]]*(p=3),0)</calculatedColumnFormula>
    </tableColumn>
    <tableColumn id="9" xr3:uid="{00000000-0010-0000-0B00-000009000000}" name="Capitale sociale" dataDxfId="24">
      <calculatedColumnFormula>+IF(Tabella7[[#This Row],[Socio]]="",0,'Tassazione Soci'!E$9*$B14)</calculatedColumnFormula>
    </tableColumn>
    <tableColumn id="13" xr3:uid="{00000000-0010-0000-0B00-00000D000000}" name="Totale attribuito" dataDxfId="23" dataCellStyle="Migliaia">
      <calculatedColumnFormula>+(Tabella7[[#This Row],[Riserve]]+Tabella7[[#This Row],[Capitale sociale]])*(p=1)</calculatedColumnFormula>
    </tableColumn>
    <tableColumn id="14" xr3:uid="{00000000-0010-0000-0B00-00000E000000}" name="% Imp. Div." dataDxfId="22" dataCellStyle="Migliaia">
      <calculatedColumnFormula>+Soci!H6</calculatedColumnFormula>
    </tableColumn>
    <tableColumn id="10" xr3:uid="{00000000-0010-0000-0B00-00000A000000}" name="Valore Part." dataDxfId="21">
      <calculatedColumnFormula>+IF(Tabella7[[#This Row],[Socio]]="","",MAX(0,Soci!F6-Tabella7[[#This Row],[Riserve]])+(p=3)*(Tabella7[[#This Row],[% Beni]]*DATI!$E$34))</calculatedColumnFormula>
    </tableColumn>
    <tableColumn id="4" xr3:uid="{00000000-0010-0000-0B00-000004000000}" name="Dividendi da &quot;Sottozero&quot;" dataDxfId="20">
      <calculatedColumnFormula>+(Tabella7[[#This Row],[Totale attribuito]]-Soci!F6)*((Tabella7[[#This Row],[Totale attribuito]]-Soci!F6)&gt;0)</calculatedColumnFormula>
    </tableColumn>
    <tableColumn id="11" xr3:uid="{00000000-0010-0000-0B00-00000B000000}" name="Totale Redditi" dataDxfId="19" dataCellStyle="Migliaia">
      <calculatedColumnFormula>+IFERROR((Tabella7[[#This Row],[Dividendi da "Sottozero"]]+Tabella7[[#This Row],[Utili]]*IR)*Tabella7[[#This Row],[% Imp. Div.]],0)*(p=1)</calculatedColumnFormula>
    </tableColumn>
    <tableColumn id="12" xr3:uid="{00000000-0010-0000-0B00-00000C000000}" name="Maggior IRPEF/Sostitutiva" dataDxfId="18" dataCellStyle="Migliaia">
      <calculatedColumnFormula>+Tabella7[[#This Row],[Totale Redditi]]*Soci!G6</calculatedColumnFormula>
    </tableColumn>
    <tableColumn id="8" xr3:uid="{00000000-0010-0000-0B00-000008000000}" name="Valore Normale attribuito" dataDxfId="17" dataCellStyle="Migliaia">
      <calculatedColumnFormula>+SUMIF(Assegnazione[Socio],Tabella7[[#This Row],[Socio]],Assegnazione[Valore Normale])</calculatedColumnFormula>
    </tableColumn>
    <tableColumn id="18" xr3:uid="{00000000-0010-0000-0B00-000012000000}" name="Dividendo teorico distribuito" dataDxfId="16" dataCellStyle="Migliaia">
      <calculatedColumnFormula>+IFERROR(Tabella7[[#This Row],[Valore Normale attribuito]]/Tabella7[[#This Row],[% Cap]],0)*(p=1)</calculatedColumnFormula>
    </tableColumn>
    <tableColumn id="15" xr3:uid="{00000000-0010-0000-0B00-00000F000000}" name="Eventuale conguaglio spettante" dataDxfId="15" dataCellStyle="Migliaia">
      <calculatedColumnFormula>+IFERROR(MAX(Tabella7[Dividendo teorico distribuito])*Tabella7[[#This Row],[% Cap]]-Tabella7[[#This Row],[Valore Normale attribuito]],0)*(p=1)</calculatedColumnFormula>
    </tableColumn>
  </tableColumns>
  <tableStyleInfo name="TableStyleLight1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C000000}" name="Tabella10" displayName="Tabella10" ref="A4:F24" totalsRowShown="0" headerRowDxfId="14" dataDxfId="13" headerRowCellStyle="Migliaia">
  <autoFilter ref="A4:F24" xr:uid="{00000000-0009-0000-0100-00000A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C00-000001000000}" name="Anno" dataDxfId="12"/>
    <tableColumn id="2" xr3:uid="{00000000-0010-0000-0C00-000002000000}" name="Bene" dataDxfId="11"/>
    <tableColumn id="4" xr3:uid="{00000000-0010-0000-0C00-000004000000}" name="Iva portata in detrazione" dataDxfId="10" dataCellStyle="Migliaia"/>
    <tableColumn id="3" xr3:uid="{00000000-0010-0000-0C00-000003000000}" name="Anni da considerare ai fini della rett." dataDxfId="9">
      <calculatedColumnFormula>+IF(Tabella10[[#This Row],[Anno]]="","",IFERROR(IF(VLOOKUP(Tabella10[[#This Row],[Bene]],B[[Bene]:[Tipologia]],3,0)="Altri Beni",5,10),10))</calculatedColumnFormula>
    </tableColumn>
    <tableColumn id="6" xr3:uid="{00000000-0010-0000-0C00-000006000000}" name="Anni residui" dataDxfId="8" dataCellStyle="Migliaia">
      <calculatedColumnFormula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calculatedColumnFormula>
    </tableColumn>
    <tableColumn id="5" xr3:uid="{00000000-0010-0000-0C00-000005000000}" name="Rettifica della detrazione" dataDxfId="7" dataCellStyle="Migliaia">
      <calculatedColumnFormula>+IFERROR(Tabella10[[#This Row],[Iva portata in detrazione]]*Tabella10[[#This Row],[Anni residui]],0)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>
        <a:noFill/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/>
      <a:lstStyle>
        <a:defPPr algn="l">
          <a:defRPr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5" Type="http://schemas.openxmlformats.org/officeDocument/2006/relationships/comments" Target="../comments1.xml"/><Relationship Id="rId4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5" Type="http://schemas.openxmlformats.org/officeDocument/2006/relationships/comments" Target="../comments2.xml"/><Relationship Id="rId4" Type="http://schemas.openxmlformats.org/officeDocument/2006/relationships/table" Target="../tables/table1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13.xml"/><Relationship Id="rId5" Type="http://schemas.openxmlformats.org/officeDocument/2006/relationships/ctrlProp" Target="../ctrlProps/ctrlProp7.xml"/><Relationship Id="rId4" Type="http://schemas.openxmlformats.org/officeDocument/2006/relationships/ctrlProp" Target="../ctrlProps/ctrlProp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Relationship Id="rId4" Type="http://schemas.openxmlformats.org/officeDocument/2006/relationships/table" Target="../tables/table1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Relationship Id="rId4" Type="http://schemas.openxmlformats.org/officeDocument/2006/relationships/ctrlProp" Target="../ctrlProps/ctrlProp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3"/>
  <dimension ref="B2:H27"/>
  <sheetViews>
    <sheetView workbookViewId="0">
      <selection activeCell="D9" sqref="D9"/>
    </sheetView>
  </sheetViews>
  <sheetFormatPr defaultRowHeight="15" x14ac:dyDescent="0.25"/>
  <cols>
    <col min="1" max="1" width="5.140625" bestFit="1" customWidth="1"/>
    <col min="2" max="2" width="10.85546875" customWidth="1"/>
    <col min="3" max="3" width="24.140625" customWidth="1"/>
    <col min="4" max="4" width="124" customWidth="1"/>
    <col min="5" max="6" width="10.5703125" bestFit="1" customWidth="1"/>
  </cols>
  <sheetData>
    <row r="2" spans="2:8" x14ac:dyDescent="0.25">
      <c r="B2" t="s">
        <v>289</v>
      </c>
      <c r="C2" t="s">
        <v>290</v>
      </c>
      <c r="D2" t="s">
        <v>291</v>
      </c>
    </row>
    <row r="3" spans="2:8" x14ac:dyDescent="0.25">
      <c r="B3">
        <v>1</v>
      </c>
      <c r="C3">
        <v>1836</v>
      </c>
      <c r="D3" t="s">
        <v>288</v>
      </c>
    </row>
    <row r="4" spans="2:8" x14ac:dyDescent="0.25">
      <c r="B4">
        <v>2</v>
      </c>
      <c r="C4">
        <v>1837</v>
      </c>
      <c r="D4" t="s">
        <v>287</v>
      </c>
    </row>
    <row r="5" spans="2:8" x14ac:dyDescent="0.25">
      <c r="B5">
        <v>3</v>
      </c>
      <c r="C5">
        <v>1127</v>
      </c>
      <c r="D5" t="s">
        <v>292</v>
      </c>
    </row>
    <row r="7" spans="2:8" x14ac:dyDescent="0.25">
      <c r="B7" s="18" t="str">
        <f>DATI!$D$89</f>
        <v>F24 DA VERSARE ENTRO IL 30/11/2025</v>
      </c>
      <c r="E7" t="s">
        <v>304</v>
      </c>
      <c r="F7" t="s">
        <v>305</v>
      </c>
    </row>
    <row r="8" spans="2:8" x14ac:dyDescent="0.25">
      <c r="B8" t="s">
        <v>294</v>
      </c>
      <c r="D8" s="16">
        <f>IF(DATI!I34&gt;0,Foglio1!C3,"")</f>
        <v>1836</v>
      </c>
    </row>
    <row r="9" spans="2:8" x14ac:dyDescent="0.25">
      <c r="B9" t="s">
        <v>298</v>
      </c>
      <c r="D9" s="31">
        <f>(IF(DATI!$I$34&gt;0,ROUND(DATI!$I$34*60%,2),""))</f>
        <v>9676.7999999999993</v>
      </c>
      <c r="E9" s="26">
        <f>+IFERROR(+IF(D9&gt;0,(+TRUNC(D9)),""),"")</f>
        <v>9676</v>
      </c>
      <c r="F9" s="11" t="str">
        <f>+IF(D9&gt;0,+RIGHT(D9,2),"")</f>
        <v>,8</v>
      </c>
    </row>
    <row r="10" spans="2:8" x14ac:dyDescent="0.25">
      <c r="B10" t="s">
        <v>300</v>
      </c>
      <c r="D10" s="27">
        <f>IF(DATI!$I$36&gt;0,ROUND(DATI!$I$36*60%,2),0)</f>
        <v>0</v>
      </c>
      <c r="E10" s="26" t="str">
        <f>+IFERROR(+IF(D10&gt;0,(+TRUNC(D10)),""),"")</f>
        <v/>
      </c>
      <c r="F10" s="11" t="str">
        <f>+IF(D10&gt;0,+RIGHT(D10,2),"")</f>
        <v/>
      </c>
    </row>
    <row r="11" spans="2:8" x14ac:dyDescent="0.25">
      <c r="B11" t="s">
        <v>296</v>
      </c>
      <c r="D11" s="28">
        <f>IFERROR(IF(D8&gt;0,D9+D10,""),0)</f>
        <v>9676.7999999999993</v>
      </c>
      <c r="E11" s="26">
        <f>+IFERROR(+IF(D11&gt;0,(+TRUNC(D11)),""),"")</f>
        <v>9676</v>
      </c>
      <c r="F11" s="11" t="str">
        <f>+IF(D11&gt;0,+RIGHT(D11,2),"")</f>
        <v>,8</v>
      </c>
    </row>
    <row r="13" spans="2:8" x14ac:dyDescent="0.25">
      <c r="B13" s="18" t="str">
        <f>DATI!$D$103</f>
        <v>F24 DA VERSARE ENTRO IL 30/09/2025</v>
      </c>
    </row>
    <row r="14" spans="2:8" x14ac:dyDescent="0.25">
      <c r="B14" t="s">
        <v>295</v>
      </c>
      <c r="D14" s="19" t="str">
        <f>IF(DATI!I36&gt;0,Foglio1!C4,"")</f>
        <v/>
      </c>
    </row>
    <row r="15" spans="2:8" x14ac:dyDescent="0.25">
      <c r="B15" t="s">
        <v>301</v>
      </c>
      <c r="D15" s="32">
        <f>IF(DATI!$I$34&gt;0,ROUND(DATI!$I$34*40%,2),"")</f>
        <v>6451.2</v>
      </c>
      <c r="E15" s="26">
        <f>+IFERROR(+IF(D15&gt;0,(+TRUNC(D15)),""),"")</f>
        <v>6451</v>
      </c>
      <c r="F15" s="11" t="str">
        <f>+IF(D15&gt;0,+RIGHT(D15,2),"")</f>
        <v>,2</v>
      </c>
      <c r="H15" s="15"/>
    </row>
    <row r="16" spans="2:8" x14ac:dyDescent="0.25">
      <c r="B16" t="s">
        <v>299</v>
      </c>
      <c r="D16" s="29">
        <f>IF(DATI!$I$36&gt;0,ROUND(DATI!$I$36*40%,2),0)</f>
        <v>0</v>
      </c>
      <c r="E16" s="26" t="str">
        <f>+IFERROR(+IF(D16&gt;0,(+TRUNC(D16)),""),"")</f>
        <v/>
      </c>
      <c r="F16" s="11" t="str">
        <f>+IF(D16&gt;0,+RIGHT(D16,2),"")</f>
        <v/>
      </c>
      <c r="H16" s="15"/>
    </row>
    <row r="17" spans="2:8" x14ac:dyDescent="0.25">
      <c r="B17" t="s">
        <v>297</v>
      </c>
      <c r="D17" s="30">
        <f>IFERROR(IF(D14&gt;0,D15+D16,""),0)</f>
        <v>6451.2</v>
      </c>
      <c r="E17" s="26">
        <f>+IFERROR(+IF(D17&gt;0,(+TRUNC(D17)),""),"")</f>
        <v>6451</v>
      </c>
      <c r="F17" s="11" t="str">
        <f>+IF(D17&gt;0,+RIGHT(D17,2),"")</f>
        <v>,2</v>
      </c>
      <c r="H17" s="15"/>
    </row>
    <row r="19" spans="2:8" x14ac:dyDescent="0.25">
      <c r="B19" t="s">
        <v>302</v>
      </c>
      <c r="D19" s="20">
        <v>2024</v>
      </c>
    </row>
    <row r="20" spans="2:8" x14ac:dyDescent="0.25">
      <c r="B20" t="s">
        <v>302</v>
      </c>
      <c r="D20" s="23" t="str">
        <f>+IF(DATI!I36&gt;0,2017,"")</f>
        <v/>
      </c>
    </row>
    <row r="21" spans="2:8" x14ac:dyDescent="0.25">
      <c r="B21" t="s">
        <v>293</v>
      </c>
      <c r="D21" s="21">
        <v>2024</v>
      </c>
    </row>
    <row r="22" spans="2:8" x14ac:dyDescent="0.25">
      <c r="B22" t="s">
        <v>293</v>
      </c>
      <c r="D22" s="24" t="str">
        <f>+IF(DATI!I36&gt;0,2018,"")</f>
        <v/>
      </c>
    </row>
    <row r="25" spans="2:8" x14ac:dyDescent="0.25">
      <c r="B25" s="22" t="s">
        <v>303</v>
      </c>
      <c r="D25" s="17" t="str">
        <f>+IF(DATI!$I$34&gt;0,Foglio1!B25,"")</f>
        <v xml:space="preserve">0 0 </v>
      </c>
    </row>
    <row r="26" spans="2:8" x14ac:dyDescent="0.25">
      <c r="B26" s="22" t="s">
        <v>303</v>
      </c>
      <c r="D26" s="17" t="str">
        <f>+IF(DATI!$I$36&gt;0,Foglio1!B26,"")</f>
        <v/>
      </c>
    </row>
    <row r="27" spans="2:8" x14ac:dyDescent="0.25">
      <c r="B27" s="22" t="s">
        <v>303</v>
      </c>
      <c r="D27" s="25" t="str">
        <f>IF(DATI!I34&gt;0,B27,"")</f>
        <v xml:space="preserve">0 0 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CE0E6-811D-4037-90F0-C5CD4F53B1D9}">
  <sheetPr codeName="Foglio11"/>
  <dimension ref="B2:F9"/>
  <sheetViews>
    <sheetView showGridLines="0" workbookViewId="0">
      <selection activeCell="B2" sqref="B2:F9"/>
    </sheetView>
  </sheetViews>
  <sheetFormatPr defaultRowHeight="15" x14ac:dyDescent="0.25"/>
  <cols>
    <col min="2" max="2" width="29.42578125" bestFit="1" customWidth="1"/>
    <col min="3" max="3" width="21.85546875" bestFit="1" customWidth="1"/>
    <col min="4" max="4" width="22" bestFit="1" customWidth="1"/>
    <col min="5" max="6" width="21.140625" bestFit="1" customWidth="1"/>
  </cols>
  <sheetData>
    <row r="2" spans="2:6" x14ac:dyDescent="0.25">
      <c r="B2" s="288" t="s">
        <v>395</v>
      </c>
      <c r="C2" s="288" t="s">
        <v>403</v>
      </c>
      <c r="D2" s="288" t="s">
        <v>404</v>
      </c>
      <c r="E2" s="288" t="s">
        <v>405</v>
      </c>
      <c r="F2" s="288" t="s">
        <v>406</v>
      </c>
    </row>
    <row r="3" spans="2:6" x14ac:dyDescent="0.25">
      <c r="B3" s="290" t="s">
        <v>407</v>
      </c>
      <c r="C3" s="289" t="s">
        <v>408</v>
      </c>
      <c r="D3" s="289" t="s">
        <v>409</v>
      </c>
      <c r="E3" s="289" t="s">
        <v>410</v>
      </c>
      <c r="F3" s="289" t="s">
        <v>410</v>
      </c>
    </row>
    <row r="4" spans="2:6" x14ac:dyDescent="0.25">
      <c r="B4" s="290" t="s">
        <v>411</v>
      </c>
      <c r="C4" s="289" t="s">
        <v>412</v>
      </c>
      <c r="D4" s="289" t="s">
        <v>412</v>
      </c>
      <c r="E4" s="289" t="s">
        <v>413</v>
      </c>
      <c r="F4" s="289" t="s">
        <v>414</v>
      </c>
    </row>
    <row r="5" spans="2:6" x14ac:dyDescent="0.25">
      <c r="B5" s="290" t="s">
        <v>396</v>
      </c>
      <c r="C5" s="289" t="s">
        <v>397</v>
      </c>
      <c r="D5" s="289" t="s">
        <v>397</v>
      </c>
      <c r="E5" s="289" t="s">
        <v>398</v>
      </c>
      <c r="F5" s="289" t="s">
        <v>399</v>
      </c>
    </row>
    <row r="6" spans="2:6" x14ac:dyDescent="0.25">
      <c r="B6" s="290" t="s">
        <v>400</v>
      </c>
      <c r="C6" s="289">
        <v>2007</v>
      </c>
      <c r="D6" s="289">
        <v>1978</v>
      </c>
      <c r="E6" s="289">
        <v>2019</v>
      </c>
      <c r="F6" s="289">
        <v>1973</v>
      </c>
    </row>
    <row r="7" spans="2:6" x14ac:dyDescent="0.25">
      <c r="B7" s="290" t="s">
        <v>203</v>
      </c>
      <c r="C7" s="291">
        <v>277200</v>
      </c>
      <c r="D7" s="291">
        <v>201600</v>
      </c>
      <c r="E7" s="291">
        <v>113400</v>
      </c>
      <c r="F7" s="291">
        <v>756000</v>
      </c>
    </row>
    <row r="8" spans="2:6" x14ac:dyDescent="0.25">
      <c r="B8" s="290" t="s">
        <v>401</v>
      </c>
      <c r="C8" s="291">
        <v>300000</v>
      </c>
      <c r="D8" s="291">
        <v>230000</v>
      </c>
      <c r="E8" s="291">
        <v>120000</v>
      </c>
      <c r="F8" s="291">
        <v>1170000</v>
      </c>
    </row>
    <row r="9" spans="2:6" x14ac:dyDescent="0.25">
      <c r="B9" s="290" t="s">
        <v>402</v>
      </c>
      <c r="C9" s="291">
        <v>214000</v>
      </c>
      <c r="D9" s="289">
        <v>0</v>
      </c>
      <c r="E9" s="291">
        <v>90000</v>
      </c>
      <c r="F9" s="291">
        <v>127500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>
    <pageSetUpPr fitToPage="1"/>
  </sheetPr>
  <dimension ref="A1:T103"/>
  <sheetViews>
    <sheetView showGridLines="0" showZeros="0" tabSelected="1" topLeftCell="B17" zoomScale="85" zoomScaleNormal="85" workbookViewId="0">
      <selection activeCell="K27" sqref="K27"/>
    </sheetView>
  </sheetViews>
  <sheetFormatPr defaultColWidth="9.140625" defaultRowHeight="21.75" customHeight="1" x14ac:dyDescent="0.2"/>
  <cols>
    <col min="1" max="1" width="8.28515625" style="56" hidden="1" customWidth="1"/>
    <col min="2" max="2" width="16.140625" style="56" customWidth="1"/>
    <col min="3" max="3" width="11.140625" style="56" bestFit="1" customWidth="1"/>
    <col min="4" max="4" width="53.28515625" style="56" customWidth="1"/>
    <col min="5" max="5" width="20.7109375" style="56" customWidth="1"/>
    <col min="6" max="6" width="2.140625" style="56" customWidth="1"/>
    <col min="7" max="7" width="3" style="56" customWidth="1"/>
    <col min="8" max="8" width="33.140625" style="56" customWidth="1"/>
    <col min="9" max="9" width="23.7109375" style="304" customWidth="1"/>
    <col min="10" max="10" width="3" style="56" customWidth="1"/>
    <col min="11" max="11" width="47.28515625" style="56" customWidth="1"/>
    <col min="12" max="12" width="21.5703125" style="56" customWidth="1"/>
    <col min="13" max="13" width="3" style="56" customWidth="1"/>
    <col min="14" max="14" width="19.85546875" style="56" customWidth="1"/>
    <col min="15" max="15" width="25.7109375" style="56" customWidth="1"/>
    <col min="16" max="16" width="3" style="56" customWidth="1"/>
    <col min="17" max="17" width="2.7109375" style="56" customWidth="1"/>
    <col min="18" max="18" width="7.28515625" style="56" customWidth="1"/>
    <col min="19" max="19" width="65.85546875" style="56" hidden="1" customWidth="1"/>
    <col min="20" max="20" width="17.140625" style="56" customWidth="1"/>
    <col min="21" max="21" width="17.42578125" style="56" customWidth="1"/>
    <col min="22" max="24" width="9.140625" style="56" customWidth="1"/>
    <col min="25" max="25" width="18.5703125" style="56" customWidth="1"/>
    <col min="26" max="26" width="18.85546875" style="56" customWidth="1"/>
    <col min="27" max="27" width="10.7109375" style="56" customWidth="1"/>
    <col min="28" max="29" width="9.140625" style="56" customWidth="1"/>
    <col min="30" max="16384" width="9.140625" style="56"/>
  </cols>
  <sheetData>
    <row r="1" spans="1:20" ht="15" customHeight="1" x14ac:dyDescent="0.2">
      <c r="A1" s="53">
        <v>1</v>
      </c>
      <c r="B1" s="54"/>
      <c r="C1" s="54"/>
      <c r="D1" s="54"/>
      <c r="E1" s="54"/>
      <c r="F1" s="54"/>
      <c r="G1" s="54"/>
      <c r="H1" s="54"/>
      <c r="I1" s="293"/>
      <c r="J1" s="54"/>
      <c r="K1" s="54"/>
      <c r="L1" s="55"/>
      <c r="M1" s="55"/>
      <c r="N1" s="55"/>
      <c r="O1" s="55"/>
      <c r="P1" s="55"/>
      <c r="Q1" s="55"/>
      <c r="R1" s="55"/>
    </row>
    <row r="2" spans="1:20" ht="15" customHeight="1" x14ac:dyDescent="0.2">
      <c r="A2" s="57"/>
      <c r="B2" s="54"/>
      <c r="C2" s="54"/>
      <c r="D2" s="54"/>
      <c r="E2" s="54"/>
      <c r="F2" s="54"/>
      <c r="G2" s="54"/>
      <c r="H2" s="54"/>
      <c r="I2" s="293"/>
      <c r="J2" s="54"/>
      <c r="K2" s="54"/>
      <c r="L2" s="55"/>
      <c r="M2" s="55"/>
      <c r="N2" s="55"/>
      <c r="O2" s="55"/>
      <c r="P2" s="55"/>
      <c r="Q2" s="55"/>
      <c r="R2" s="55"/>
    </row>
    <row r="3" spans="1:20" ht="15" customHeight="1" x14ac:dyDescent="0.2">
      <c r="A3" s="57"/>
      <c r="B3" s="54"/>
      <c r="C3" s="54"/>
      <c r="D3" s="54"/>
      <c r="E3" s="54"/>
      <c r="F3" s="54"/>
      <c r="G3" s="54"/>
      <c r="H3" s="54"/>
      <c r="I3" s="293"/>
      <c r="J3" s="54"/>
      <c r="K3" s="54"/>
      <c r="L3" s="55"/>
      <c r="M3" s="55"/>
      <c r="N3" s="55"/>
      <c r="O3" s="55"/>
      <c r="P3" s="55"/>
      <c r="Q3" s="55"/>
      <c r="R3" s="55"/>
    </row>
    <row r="4" spans="1:20" ht="15" customHeight="1" x14ac:dyDescent="0.2">
      <c r="A4" s="57"/>
      <c r="B4" s="54"/>
      <c r="C4" s="54"/>
      <c r="D4" s="54"/>
      <c r="E4" s="54"/>
      <c r="F4" s="54"/>
      <c r="G4" s="54"/>
      <c r="H4" s="54"/>
      <c r="I4" s="293"/>
      <c r="J4" s="54"/>
      <c r="K4" s="54"/>
      <c r="L4" s="283"/>
      <c r="M4" s="55"/>
      <c r="N4" s="55"/>
      <c r="O4" s="55"/>
      <c r="P4" s="55"/>
      <c r="Q4" s="55"/>
      <c r="R4" s="55"/>
    </row>
    <row r="5" spans="1:20" ht="15" customHeight="1" x14ac:dyDescent="0.2">
      <c r="A5" s="57"/>
      <c r="B5" s="54"/>
      <c r="C5" s="54"/>
      <c r="D5" s="54"/>
      <c r="E5" s="54"/>
      <c r="F5" s="54"/>
      <c r="G5" s="54"/>
      <c r="H5" s="54"/>
      <c r="I5" s="293"/>
      <c r="J5" s="54"/>
      <c r="K5" s="54"/>
      <c r="L5" s="55"/>
      <c r="M5" s="55"/>
      <c r="N5" s="55"/>
      <c r="O5" s="55"/>
      <c r="P5" s="55"/>
      <c r="Q5" s="55"/>
      <c r="R5" s="55"/>
    </row>
    <row r="6" spans="1:20" ht="15" customHeight="1" x14ac:dyDescent="0.2">
      <c r="A6" s="57"/>
      <c r="B6" s="54"/>
      <c r="C6" s="54"/>
      <c r="D6" s="54"/>
      <c r="E6" s="54"/>
      <c r="F6" s="54"/>
      <c r="G6" s="54"/>
      <c r="H6" s="54"/>
      <c r="I6" s="293"/>
      <c r="J6" s="54"/>
      <c r="K6" s="54"/>
      <c r="L6" s="55"/>
      <c r="M6" s="308"/>
      <c r="N6" s="308"/>
      <c r="O6" s="308"/>
      <c r="P6" s="308"/>
      <c r="Q6" s="308"/>
      <c r="R6" s="308"/>
      <c r="T6" s="58"/>
    </row>
    <row r="7" spans="1:20" ht="15" customHeight="1" x14ac:dyDescent="0.2">
      <c r="A7" s="57"/>
      <c r="B7" s="54"/>
      <c r="C7" s="59" t="s">
        <v>230</v>
      </c>
      <c r="D7" s="50"/>
      <c r="E7" s="54"/>
      <c r="F7" s="54"/>
      <c r="G7" s="54"/>
      <c r="H7" s="59" t="s">
        <v>231</v>
      </c>
      <c r="I7" s="311"/>
      <c r="J7" s="312"/>
      <c r="K7" s="312"/>
      <c r="L7" s="54"/>
      <c r="M7" s="308"/>
      <c r="N7" s="308"/>
      <c r="O7" s="308"/>
      <c r="P7" s="308"/>
      <c r="Q7" s="308"/>
      <c r="R7" s="308"/>
      <c r="T7" s="58"/>
    </row>
    <row r="8" spans="1:20" ht="15" customHeight="1" x14ac:dyDescent="0.2">
      <c r="A8" s="57"/>
      <c r="B8" s="54"/>
      <c r="C8" s="60"/>
      <c r="D8" s="61"/>
      <c r="E8" s="54"/>
      <c r="F8" s="54"/>
      <c r="G8" s="54"/>
      <c r="H8" s="60"/>
      <c r="I8" s="61"/>
      <c r="J8" s="63"/>
      <c r="K8" s="62"/>
      <c r="L8" s="54"/>
      <c r="M8" s="308"/>
      <c r="N8" s="308"/>
      <c r="O8" s="308"/>
      <c r="P8" s="308"/>
      <c r="Q8" s="308"/>
      <c r="R8" s="308"/>
      <c r="T8" s="58"/>
    </row>
    <row r="9" spans="1:20" ht="15" customHeight="1" x14ac:dyDescent="0.2">
      <c r="A9" s="57"/>
      <c r="B9" s="54"/>
      <c r="C9" s="59" t="s">
        <v>232</v>
      </c>
      <c r="D9" s="50"/>
      <c r="E9" s="54"/>
      <c r="F9" s="54"/>
      <c r="G9" s="54"/>
      <c r="H9" s="59" t="s">
        <v>233</v>
      </c>
      <c r="I9" s="311"/>
      <c r="J9" s="312"/>
      <c r="K9" s="312"/>
      <c r="L9" s="54"/>
      <c r="M9" s="308"/>
      <c r="N9" s="308"/>
      <c r="O9" s="308"/>
      <c r="P9" s="308"/>
      <c r="Q9" s="308"/>
      <c r="R9" s="308"/>
      <c r="T9" s="58"/>
    </row>
    <row r="10" spans="1:20" ht="15" customHeight="1" x14ac:dyDescent="0.2">
      <c r="A10" s="57"/>
      <c r="B10" s="54"/>
      <c r="C10" s="60"/>
      <c r="D10" s="61"/>
      <c r="E10" s="54"/>
      <c r="F10" s="54"/>
      <c r="G10" s="54"/>
      <c r="H10" s="60"/>
      <c r="I10" s="61"/>
      <c r="J10" s="63"/>
      <c r="K10" s="62"/>
      <c r="L10" s="54"/>
      <c r="M10" s="308"/>
      <c r="N10" s="308"/>
      <c r="O10" s="308"/>
      <c r="P10" s="308"/>
      <c r="Q10" s="308"/>
      <c r="R10" s="308"/>
      <c r="T10" s="58"/>
    </row>
    <row r="11" spans="1:20" ht="15" customHeight="1" x14ac:dyDescent="0.2">
      <c r="A11" s="57"/>
      <c r="B11" s="54"/>
      <c r="C11" s="59" t="s">
        <v>234</v>
      </c>
      <c r="D11" s="50"/>
      <c r="E11" s="54"/>
      <c r="F11" s="54"/>
      <c r="G11" s="54"/>
      <c r="H11" s="59" t="s">
        <v>234</v>
      </c>
      <c r="I11" s="311"/>
      <c r="J11" s="312"/>
      <c r="K11" s="312"/>
      <c r="L11" s="54"/>
      <c r="M11" s="308"/>
      <c r="N11" s="308"/>
      <c r="O11" s="308"/>
      <c r="P11" s="308"/>
      <c r="Q11" s="308"/>
      <c r="R11" s="308"/>
      <c r="T11" s="58"/>
    </row>
    <row r="12" spans="1:20" ht="15" customHeight="1" x14ac:dyDescent="0.2">
      <c r="A12" s="57"/>
      <c r="B12" s="54"/>
      <c r="C12" s="60"/>
      <c r="D12" s="61"/>
      <c r="E12" s="54"/>
      <c r="F12" s="54"/>
      <c r="G12" s="54"/>
      <c r="H12" s="60"/>
      <c r="I12" s="61"/>
      <c r="J12" s="63"/>
      <c r="K12" s="62"/>
      <c r="L12" s="54"/>
      <c r="M12" s="308"/>
      <c r="N12" s="308"/>
      <c r="O12" s="308"/>
      <c r="P12" s="308"/>
      <c r="Q12" s="308"/>
      <c r="R12" s="308"/>
      <c r="T12" s="58"/>
    </row>
    <row r="13" spans="1:20" ht="15" customHeight="1" x14ac:dyDescent="0.2">
      <c r="A13" s="57"/>
      <c r="B13" s="54"/>
      <c r="C13" s="59" t="s">
        <v>235</v>
      </c>
      <c r="D13" s="50"/>
      <c r="E13" s="54"/>
      <c r="F13" s="54"/>
      <c r="G13" s="54"/>
      <c r="H13" s="59" t="s">
        <v>235</v>
      </c>
      <c r="I13" s="311"/>
      <c r="J13" s="312"/>
      <c r="K13" s="312"/>
      <c r="L13" s="54"/>
      <c r="M13" s="308"/>
      <c r="N13" s="308"/>
      <c r="O13" s="308"/>
      <c r="P13" s="308"/>
      <c r="Q13" s="308"/>
      <c r="R13" s="308"/>
      <c r="T13" s="58"/>
    </row>
    <row r="14" spans="1:20" ht="15" customHeight="1" x14ac:dyDescent="0.2">
      <c r="A14" s="57"/>
      <c r="B14" s="54"/>
      <c r="C14" s="54"/>
      <c r="D14" s="60"/>
      <c r="E14" s="60"/>
      <c r="F14" s="60"/>
      <c r="G14" s="60"/>
      <c r="H14" s="60"/>
      <c r="I14" s="294"/>
      <c r="J14" s="64"/>
      <c r="K14" s="64"/>
      <c r="L14" s="60"/>
      <c r="M14" s="64"/>
      <c r="N14" s="64"/>
      <c r="O14" s="64"/>
      <c r="P14" s="64"/>
      <c r="Q14" s="60"/>
      <c r="R14" s="54"/>
    </row>
    <row r="15" spans="1:20" ht="54.95" customHeight="1" x14ac:dyDescent="0.2">
      <c r="A15" s="57"/>
      <c r="B15" s="54"/>
      <c r="C15" s="54"/>
      <c r="D15" s="60"/>
      <c r="E15" s="60"/>
      <c r="F15" s="60"/>
      <c r="G15" s="60"/>
      <c r="H15" s="60"/>
      <c r="I15" s="295"/>
      <c r="J15" s="60"/>
      <c r="K15" s="60"/>
      <c r="L15" s="60"/>
      <c r="M15" s="60"/>
      <c r="N15" s="60"/>
      <c r="O15" s="60"/>
      <c r="P15" s="60"/>
      <c r="Q15" s="60"/>
      <c r="R15" s="54"/>
    </row>
    <row r="16" spans="1:20" ht="54.95" customHeight="1" x14ac:dyDescent="0.2">
      <c r="A16" s="57"/>
      <c r="B16" s="54"/>
      <c r="C16" s="54"/>
      <c r="D16" s="60"/>
      <c r="E16" s="60"/>
      <c r="F16" s="60"/>
      <c r="G16" s="60"/>
      <c r="H16" s="60"/>
      <c r="I16" s="295"/>
      <c r="J16" s="60"/>
      <c r="K16" s="60"/>
      <c r="L16" s="60"/>
      <c r="M16" s="60"/>
      <c r="N16" s="60"/>
      <c r="O16" s="60"/>
      <c r="P16" s="60"/>
      <c r="Q16" s="60"/>
      <c r="R16" s="54"/>
    </row>
    <row r="17" spans="1:18" ht="54.95" customHeight="1" x14ac:dyDescent="0.2">
      <c r="A17" s="57"/>
      <c r="B17" s="54"/>
      <c r="C17" s="54"/>
      <c r="D17" s="60"/>
      <c r="E17" s="60"/>
      <c r="F17" s="60"/>
      <c r="G17" s="60"/>
      <c r="H17" s="60"/>
      <c r="I17" s="295"/>
      <c r="J17" s="60"/>
      <c r="K17" s="60"/>
      <c r="L17" s="60"/>
      <c r="M17" s="60"/>
      <c r="N17" s="60"/>
      <c r="O17" s="60"/>
      <c r="P17" s="60"/>
      <c r="Q17" s="60"/>
      <c r="R17" s="54"/>
    </row>
    <row r="18" spans="1:18" s="54" customFormat="1" ht="91.5" customHeight="1" x14ac:dyDescent="0.2">
      <c r="B18" s="48" t="str">
        <f ca="1">+"Simulazione operazione di "&amp;B19&amp;" agevolata relativa a beni immobili e mobili registrati di "&amp;I7&amp;" redatta da "&amp;D7</f>
        <v xml:space="preserve">Simulazione operazione di Assegnazione agevolata relativa a beni immobili e mobili registrati di  redatta da </v>
      </c>
      <c r="D18" s="60"/>
      <c r="E18" s="60"/>
      <c r="F18" s="60"/>
      <c r="G18" s="60"/>
      <c r="H18" s="60"/>
      <c r="I18" s="295"/>
      <c r="J18" s="60"/>
      <c r="K18" s="60"/>
      <c r="L18" s="60"/>
      <c r="M18" s="60"/>
      <c r="N18" s="60"/>
      <c r="O18" s="60"/>
      <c r="P18" s="60"/>
      <c r="Q18" s="60"/>
    </row>
    <row r="19" spans="1:18" ht="21.75" customHeight="1" x14ac:dyDescent="0.2">
      <c r="B19" s="315" t="str">
        <f ca="1">+OFFSET(Tabelle!AT1,A1,0)</f>
        <v>Assegnazione</v>
      </c>
      <c r="C19" s="315"/>
      <c r="D19" s="315"/>
      <c r="E19" s="315"/>
      <c r="F19" s="315"/>
      <c r="G19" s="315"/>
      <c r="H19" s="315"/>
      <c r="I19" s="315"/>
      <c r="J19" s="315"/>
      <c r="K19" s="315"/>
      <c r="L19" s="315"/>
      <c r="M19" s="65"/>
      <c r="N19" s="66"/>
      <c r="O19" s="66"/>
      <c r="P19" s="66"/>
      <c r="Q19" s="66"/>
      <c r="R19" s="66"/>
    </row>
    <row r="20" spans="1:18" ht="6" customHeight="1" x14ac:dyDescent="0.2">
      <c r="B20" s="315"/>
      <c r="C20" s="315"/>
      <c r="D20" s="315"/>
      <c r="E20" s="315"/>
      <c r="F20" s="315"/>
      <c r="G20" s="315"/>
      <c r="H20" s="315"/>
      <c r="I20" s="315"/>
      <c r="J20" s="315"/>
      <c r="K20" s="315"/>
      <c r="L20" s="315"/>
      <c r="M20" s="65"/>
      <c r="N20" s="66"/>
      <c r="O20" s="66"/>
      <c r="P20" s="66"/>
      <c r="Q20" s="66"/>
      <c r="R20" s="66"/>
    </row>
    <row r="21" spans="1:18" ht="19.5" customHeight="1" thickBot="1" x14ac:dyDescent="0.25">
      <c r="B21" s="315"/>
      <c r="C21" s="315"/>
      <c r="D21" s="315"/>
      <c r="E21" s="315"/>
      <c r="F21" s="315"/>
      <c r="G21" s="315"/>
      <c r="H21" s="315"/>
      <c r="I21" s="315"/>
      <c r="J21" s="315"/>
      <c r="K21" s="315"/>
      <c r="L21" s="315"/>
      <c r="M21" s="67"/>
      <c r="N21" s="66"/>
      <c r="O21" s="66"/>
      <c r="P21" s="66"/>
      <c r="Q21" s="66"/>
      <c r="R21" s="66"/>
    </row>
    <row r="22" spans="1:18" ht="21.75" customHeight="1" x14ac:dyDescent="0.25">
      <c r="B22" s="65"/>
      <c r="C22" s="65"/>
      <c r="D22" s="65" t="s">
        <v>1</v>
      </c>
      <c r="E22" s="311" t="s">
        <v>389</v>
      </c>
      <c r="F22" s="312"/>
      <c r="G22" s="312"/>
      <c r="H22" s="312"/>
      <c r="I22" s="296"/>
      <c r="J22" s="65"/>
      <c r="K22" s="68" t="s">
        <v>137</v>
      </c>
      <c r="L22" s="69"/>
      <c r="M22" s="69"/>
      <c r="N22" s="70"/>
      <c r="O22" s="65"/>
      <c r="P22" s="66"/>
      <c r="Q22" s="66"/>
      <c r="R22" s="66"/>
    </row>
    <row r="23" spans="1:18" ht="41.25" customHeight="1" x14ac:dyDescent="0.2">
      <c r="A23" s="58" t="b">
        <v>0</v>
      </c>
      <c r="B23" s="65"/>
      <c r="C23" s="65"/>
      <c r="D23" s="65" t="s">
        <v>0</v>
      </c>
      <c r="E23" s="224" t="s">
        <v>8</v>
      </c>
      <c r="F23" s="71"/>
      <c r="G23" s="72" t="s">
        <v>202</v>
      </c>
      <c r="H23" s="223">
        <v>3.9E-2</v>
      </c>
      <c r="I23" s="296"/>
      <c r="J23" s="65"/>
      <c r="K23" s="73" t="s">
        <v>189</v>
      </c>
      <c r="L23" s="67"/>
      <c r="M23" s="67"/>
      <c r="N23" s="74">
        <f>+IFERROR(SUM(A_1[Agevolabile])/COUNTA(A_1[Nome]),"")</f>
        <v>1</v>
      </c>
      <c r="O23" s="75"/>
      <c r="P23" s="66"/>
      <c r="Q23" s="66"/>
      <c r="R23" s="66"/>
    </row>
    <row r="24" spans="1:18" ht="21" customHeight="1" x14ac:dyDescent="0.2">
      <c r="A24" s="58" t="b">
        <v>0</v>
      </c>
      <c r="B24" s="65"/>
      <c r="C24" s="65"/>
      <c r="D24" s="76" t="str">
        <f>+"Imposta applicabile alle cessioni: "&amp;VLOOKUP(E23,TipoSoc[],2,0)</f>
        <v>Imposta applicabile alle cessioni: IRPEF</v>
      </c>
      <c r="E24" s="225">
        <v>0.43</v>
      </c>
      <c r="F24" s="77"/>
      <c r="G24" s="78"/>
      <c r="H24" s="78"/>
      <c r="I24" s="284"/>
      <c r="J24" s="79"/>
      <c r="K24" s="80" t="s">
        <v>190</v>
      </c>
      <c r="L24" s="67"/>
      <c r="M24" s="67"/>
      <c r="N24" s="74">
        <f>+IFERROR(SUM(B[Agevolabile])/COUNTA(B[Bene]),"")</f>
        <v>1</v>
      </c>
      <c r="O24" s="75"/>
      <c r="P24" s="66"/>
      <c r="Q24" s="66"/>
      <c r="R24" s="66"/>
    </row>
    <row r="25" spans="1:18" ht="21" customHeight="1" x14ac:dyDescent="0.2">
      <c r="A25" s="58" t="b">
        <v>0</v>
      </c>
      <c r="B25" s="65"/>
      <c r="C25" s="65"/>
      <c r="D25" s="65" t="s">
        <v>107</v>
      </c>
      <c r="E25" s="65"/>
      <c r="F25" s="65"/>
      <c r="G25" s="81"/>
      <c r="H25" s="313" t="str">
        <f>+IF(RIGHT(D24,4)="IRES","Dividendi imponibili per il socio","NESSUNA TASSAZIONE DEI DIVIDENDI SUL SOCIO. RILEVA L'EVENTUALE SOTTOZERO")</f>
        <v>NESSUNA TASSAZIONE DEI DIVIDENDI SUL SOCIO. RILEVA L'EVENTUALE SOTTOZERO</v>
      </c>
      <c r="I25" s="313"/>
      <c r="J25" s="314"/>
      <c r="K25" s="73" t="s">
        <v>139</v>
      </c>
      <c r="L25" s="82"/>
      <c r="M25" s="82"/>
      <c r="N25" s="74">
        <f>+SUMPRODUCT(A_1[Quota partecipazione al momento dell''operazione],Soci!$A$7:$A$106)</f>
        <v>100</v>
      </c>
      <c r="O25" s="75"/>
      <c r="P25" s="66"/>
      <c r="Q25" s="66"/>
      <c r="R25" s="66"/>
    </row>
    <row r="26" spans="1:18" ht="21" customHeight="1" thickBot="1" x14ac:dyDescent="0.25">
      <c r="A26" s="58" t="b">
        <v>0</v>
      </c>
      <c r="B26" s="65"/>
      <c r="C26" s="65"/>
      <c r="D26" s="65"/>
      <c r="E26" s="65"/>
      <c r="F26" s="65"/>
      <c r="G26" s="81"/>
      <c r="H26" s="313"/>
      <c r="I26" s="313"/>
      <c r="J26" s="314"/>
      <c r="K26" s="73" t="s">
        <v>138</v>
      </c>
      <c r="L26" s="82"/>
      <c r="M26" s="82"/>
      <c r="N26" s="83">
        <f>+(Assegnazione!$H$3=Beni!$H$3)*1</f>
        <v>1</v>
      </c>
      <c r="O26" s="65"/>
      <c r="P26" s="66"/>
      <c r="Q26" s="66"/>
      <c r="R26" s="66"/>
    </row>
    <row r="27" spans="1:18" ht="21" customHeight="1" thickTop="1" thickBot="1" x14ac:dyDescent="0.25">
      <c r="A27" s="58"/>
      <c r="B27" s="65"/>
      <c r="C27" s="65"/>
      <c r="D27" s="84" t="s">
        <v>95</v>
      </c>
      <c r="E27" s="226">
        <f>(A25*1+A26*1+A28*1&gt;1)*2.5%+8%</f>
        <v>0.08</v>
      </c>
      <c r="F27" s="65"/>
      <c r="G27" s="81"/>
      <c r="H27" s="81"/>
      <c r="I27" s="297"/>
      <c r="J27" s="65"/>
      <c r="K27" s="85" t="s">
        <v>178</v>
      </c>
      <c r="L27" s="86"/>
      <c r="M27" s="86"/>
      <c r="N27" s="87">
        <f>+OR('Tassazione Soci'!$G$8=VF,p&lt;&gt;1)*1</f>
        <v>1</v>
      </c>
      <c r="O27" s="65"/>
      <c r="P27" s="66"/>
      <c r="Q27" s="66"/>
      <c r="R27" s="66"/>
    </row>
    <row r="28" spans="1:18" ht="21.75" customHeight="1" thickTop="1" x14ac:dyDescent="0.2">
      <c r="A28" s="88" t="b">
        <v>0</v>
      </c>
      <c r="B28" s="89"/>
      <c r="C28" s="89"/>
      <c r="D28" s="89"/>
      <c r="E28" s="89"/>
      <c r="F28" s="89"/>
      <c r="G28" s="89"/>
      <c r="H28" s="89"/>
      <c r="I28" s="298"/>
      <c r="J28" s="89"/>
      <c r="K28" s="89"/>
      <c r="L28" s="89"/>
      <c r="M28" s="89"/>
      <c r="N28" s="89"/>
      <c r="O28" s="89"/>
      <c r="P28" s="90"/>
      <c r="Q28" s="90"/>
      <c r="R28" s="89"/>
    </row>
    <row r="29" spans="1:18" ht="12.75" customHeight="1" x14ac:dyDescent="0.2">
      <c r="A29" s="58"/>
      <c r="B29" s="65"/>
      <c r="C29" s="65"/>
      <c r="D29" s="65"/>
      <c r="E29" s="65"/>
      <c r="F29" s="65"/>
      <c r="G29" s="65"/>
      <c r="H29" s="65"/>
      <c r="I29" s="296"/>
      <c r="J29" s="65"/>
      <c r="K29" s="82"/>
      <c r="L29" s="67"/>
      <c r="M29" s="67"/>
      <c r="N29" s="65"/>
      <c r="O29" s="65"/>
      <c r="P29" s="67"/>
      <c r="Q29" s="67"/>
      <c r="R29" s="65"/>
    </row>
    <row r="30" spans="1:18" ht="33" customHeight="1" x14ac:dyDescent="0.35">
      <c r="C30" s="49" t="s">
        <v>372</v>
      </c>
      <c r="D30" s="65"/>
      <c r="E30" s="49"/>
      <c r="F30" s="49"/>
      <c r="G30" s="49"/>
      <c r="H30" s="49"/>
      <c r="I30" s="299"/>
      <c r="J30" s="49"/>
      <c r="K30" s="91"/>
      <c r="L30" s="92"/>
      <c r="M30" s="93"/>
      <c r="N30" s="93"/>
      <c r="O30" s="93"/>
      <c r="P30" s="93"/>
      <c r="Q30" s="67"/>
      <c r="R30" s="65"/>
    </row>
    <row r="31" spans="1:18" ht="21.75" customHeight="1" x14ac:dyDescent="0.2">
      <c r="B31" s="65"/>
      <c r="C31" s="65"/>
      <c r="D31" s="65"/>
      <c r="E31" s="65"/>
      <c r="F31" s="65"/>
      <c r="G31" s="65"/>
      <c r="H31" s="65"/>
      <c r="I31" s="296"/>
      <c r="J31" s="65"/>
      <c r="K31" s="65"/>
      <c r="L31" s="65"/>
      <c r="M31" s="65"/>
      <c r="N31" s="65"/>
      <c r="O31" s="65"/>
      <c r="P31" s="65"/>
      <c r="Q31" s="65"/>
      <c r="R31" s="65"/>
    </row>
    <row r="32" spans="1:18" ht="21.75" customHeight="1" x14ac:dyDescent="0.25">
      <c r="B32" s="65"/>
      <c r="C32" s="65"/>
      <c r="D32" s="65" t="s">
        <v>144</v>
      </c>
      <c r="E32" s="94">
        <f>+Assegnazione!M3</f>
        <v>201600</v>
      </c>
      <c r="F32" s="95"/>
      <c r="G32" s="65"/>
      <c r="H32" s="96" t="s">
        <v>209</v>
      </c>
      <c r="I32" s="296"/>
      <c r="J32" s="65"/>
      <c r="K32" s="96" t="s">
        <v>176</v>
      </c>
      <c r="L32" s="65"/>
      <c r="M32" s="65"/>
      <c r="N32" s="96" t="s">
        <v>206</v>
      </c>
      <c r="O32" s="96"/>
      <c r="P32" s="65"/>
      <c r="Q32" s="65"/>
      <c r="R32" s="65"/>
    </row>
    <row r="33" spans="2:19" ht="21.75" customHeight="1" x14ac:dyDescent="0.2">
      <c r="B33" s="65"/>
      <c r="C33" s="65"/>
      <c r="D33" s="65" t="s">
        <v>123</v>
      </c>
      <c r="E33" s="94">
        <f>+Assegnazione!H3</f>
        <v>0</v>
      </c>
      <c r="F33" s="95"/>
      <c r="G33" s="65"/>
      <c r="H33" s="97" t="str">
        <f ca="1">+B19</f>
        <v>Assegnazione</v>
      </c>
      <c r="I33" s="296"/>
      <c r="J33" s="65"/>
      <c r="K33" s="82"/>
      <c r="L33" s="82"/>
      <c r="M33" s="82"/>
      <c r="N33" s="82"/>
      <c r="O33" s="82"/>
      <c r="P33" s="82"/>
      <c r="Q33" s="82"/>
      <c r="R33" s="65"/>
    </row>
    <row r="34" spans="2:19" ht="21.75" customHeight="1" x14ac:dyDescent="0.2">
      <c r="B34" s="65"/>
      <c r="C34" s="65"/>
      <c r="D34" s="65" t="s">
        <v>311</v>
      </c>
      <c r="E34" s="98">
        <f>+I34/E27</f>
        <v>201600</v>
      </c>
      <c r="F34" s="99"/>
      <c r="G34" s="65"/>
      <c r="H34" s="100" t="str">
        <f>"Imposta sostitutiva: "&amp;TEXT(E27,"0,00%")</f>
        <v>Imposta sostitutiva: 8,00%</v>
      </c>
      <c r="I34" s="300">
        <f>+Assegnazione!V3</f>
        <v>16128</v>
      </c>
      <c r="J34" s="65"/>
      <c r="K34" s="101" t="s">
        <v>149</v>
      </c>
      <c r="L34" s="94">
        <f>+Assegnazione!R3</f>
        <v>0</v>
      </c>
      <c r="M34" s="65"/>
      <c r="N34" s="101" t="s">
        <v>207</v>
      </c>
      <c r="O34" s="310">
        <f>+'Tassazione Soci'!O12</f>
        <v>0</v>
      </c>
      <c r="P34" s="310"/>
      <c r="Q34" s="95"/>
      <c r="R34" s="65"/>
    </row>
    <row r="35" spans="2:19" ht="21.75" customHeight="1" x14ac:dyDescent="0.2">
      <c r="B35" s="65"/>
      <c r="C35" s="65"/>
      <c r="D35" s="65" t="s">
        <v>180</v>
      </c>
      <c r="E35" s="65"/>
      <c r="F35" s="65"/>
      <c r="G35" s="65"/>
      <c r="H35" s="65"/>
      <c r="I35" s="296"/>
      <c r="J35" s="65"/>
      <c r="K35" s="101" t="s">
        <v>221</v>
      </c>
      <c r="L35" s="94">
        <f>+'Rettifica della detrazione'!F3</f>
        <v>0</v>
      </c>
      <c r="M35" s="82"/>
      <c r="N35" s="82"/>
      <c r="O35" s="82"/>
      <c r="P35" s="82"/>
      <c r="Q35" s="82"/>
      <c r="R35" s="65"/>
    </row>
    <row r="36" spans="2:19" ht="21.75" customHeight="1" x14ac:dyDescent="0.2">
      <c r="B36" s="65"/>
      <c r="C36" s="65"/>
      <c r="D36" s="65" t="s">
        <v>308</v>
      </c>
      <c r="E36" s="94">
        <f>+(SUMIF(B[Iscritto a Bilancio come],"Rimanenze",B[Valore contabile attribuito])-SUMIF(B[Iscritto a Bilancio come],"Rimanenze",B[Valore netto contabile fiscalmente riconosciuto]))*(p&lt;3)</f>
        <v>0</v>
      </c>
      <c r="F36" s="95"/>
      <c r="G36" s="65"/>
      <c r="H36" s="101" t="s">
        <v>143</v>
      </c>
      <c r="I36" s="301">
        <f>+'Tassazione Soci'!J9</f>
        <v>0</v>
      </c>
      <c r="J36" s="65"/>
      <c r="K36" s="101" t="s">
        <v>177</v>
      </c>
      <c r="L36" s="94">
        <f>+Assegnazione!Y3+Assegnazione!Z3</f>
        <v>600</v>
      </c>
      <c r="M36" s="82"/>
      <c r="N36" s="101" t="s">
        <v>202</v>
      </c>
      <c r="O36" s="310">
        <f>+Assegnazione!Q3-SUMPRODUCT(Assegnazione[Agevolabile],Assegnazione[IRAP])</f>
        <v>0</v>
      </c>
      <c r="P36" s="310"/>
      <c r="Q36" s="95"/>
      <c r="R36" s="65"/>
    </row>
    <row r="37" spans="2:19" ht="21.75" customHeight="1" x14ac:dyDescent="0.2">
      <c r="B37" s="65"/>
      <c r="C37" s="65"/>
      <c r="D37" s="65" t="str">
        <f>+IF(E37&gt;0,"Plusvalenza","Minusvalenza")</f>
        <v>Minusvalenza</v>
      </c>
      <c r="E37" s="94">
        <f>+(SUMIF(B[Iscritto a Bilancio come],"&lt;&gt;"&amp;"Rimanenze",B[Valore contabile attribuito])-SUMIF(B[Iscritto a Bilancio come],"&lt;&gt;"&amp;"Rimanenze",B[Valore netto contabile fiscalmente riconosciuto]))*(p&lt;3)</f>
        <v>0</v>
      </c>
      <c r="F37" s="95"/>
      <c r="G37" s="65"/>
      <c r="H37" s="102" t="s">
        <v>384</v>
      </c>
      <c r="I37" s="302">
        <f>+(I34+I36)*0.6</f>
        <v>9676.7999999999993</v>
      </c>
      <c r="J37" s="65"/>
      <c r="K37" s="65"/>
      <c r="L37" s="102"/>
      <c r="M37" s="82"/>
      <c r="N37" s="65"/>
      <c r="O37" s="65"/>
      <c r="P37" s="65"/>
      <c r="Q37" s="65"/>
      <c r="R37" s="65"/>
    </row>
    <row r="38" spans="2:19" ht="21.75" customHeight="1" x14ac:dyDescent="0.2">
      <c r="B38" s="65"/>
      <c r="C38" s="65"/>
      <c r="D38" s="65" t="s">
        <v>317</v>
      </c>
      <c r="E38" s="94">
        <f>+E37*AND(p=2,E37&lt;0)</f>
        <v>0</v>
      </c>
      <c r="F38" s="95"/>
      <c r="G38" s="65"/>
      <c r="H38" s="102" t="s">
        <v>385</v>
      </c>
      <c r="I38" s="302">
        <f>+I37/0.6*0.4</f>
        <v>6451.2000000000007</v>
      </c>
      <c r="J38" s="65"/>
      <c r="K38" s="101" t="s">
        <v>224</v>
      </c>
      <c r="L38" s="94">
        <f>+SUMIF(Assegnazione[Agevolabile],0,Assegnazione[Ipotecaria e catastale senza agevolazione])+SUMIF(Assegnazione[Agevolabile],0,Assegnazione[Imposta di registro senza agevolazione])</f>
        <v>0</v>
      </c>
      <c r="M38" s="82"/>
      <c r="N38" s="101" t="s">
        <v>208</v>
      </c>
      <c r="O38" s="310">
        <f>+SUMIF(Assegnazione[Agevolabile],0,Assegnazione[Tassazione diretta senza agevolazione])+SUMIF(Assegnazione[Agevolabile],0,Assegnazione[IRAP])</f>
        <v>0</v>
      </c>
      <c r="P38" s="310"/>
      <c r="Q38" s="95"/>
      <c r="R38" s="65"/>
    </row>
    <row r="39" spans="2:19" ht="21.75" customHeight="1" x14ac:dyDescent="0.2">
      <c r="B39" s="65"/>
      <c r="C39" s="65"/>
      <c r="D39" s="65" t="s">
        <v>316</v>
      </c>
      <c r="E39" s="94">
        <f>+(E36&lt;0)*E36+E37*(E37&lt;0)</f>
        <v>0</v>
      </c>
      <c r="F39" s="95"/>
      <c r="G39" s="65"/>
      <c r="H39" s="102"/>
      <c r="I39" s="303"/>
      <c r="J39" s="65"/>
      <c r="K39" s="65"/>
      <c r="L39" s="65"/>
      <c r="M39" s="82"/>
      <c r="N39" s="82"/>
      <c r="O39" s="82"/>
      <c r="P39" s="82"/>
      <c r="Q39" s="95"/>
      <c r="R39" s="65"/>
    </row>
    <row r="40" spans="2:19" ht="21.75" customHeight="1" x14ac:dyDescent="0.2">
      <c r="B40" s="65"/>
      <c r="C40" s="65"/>
      <c r="D40" s="65" t="s">
        <v>309</v>
      </c>
      <c r="E40" s="94">
        <f>+E36+E37</f>
        <v>0</v>
      </c>
      <c r="F40" s="95"/>
      <c r="G40" s="65"/>
      <c r="H40" s="65"/>
      <c r="I40" s="296"/>
      <c r="J40" s="65"/>
      <c r="K40" s="101" t="s">
        <v>346</v>
      </c>
      <c r="L40" s="94">
        <f>+'Tassazione Soci'!J11</f>
        <v>0</v>
      </c>
      <c r="M40" s="82"/>
      <c r="N40" s="65"/>
      <c r="O40" s="65"/>
      <c r="P40" s="65"/>
      <c r="Q40" s="65"/>
      <c r="R40" s="65"/>
    </row>
    <row r="41" spans="2:19" ht="21.75" customHeight="1" x14ac:dyDescent="0.2">
      <c r="B41" s="65"/>
      <c r="C41" s="65"/>
      <c r="D41" s="65" t="s">
        <v>313</v>
      </c>
      <c r="E41" s="95"/>
      <c r="F41" s="95"/>
      <c r="G41" s="65"/>
      <c r="H41" s="65"/>
      <c r="I41" s="296"/>
      <c r="J41" s="103" t="s">
        <v>342</v>
      </c>
      <c r="K41" s="103"/>
      <c r="L41" s="104">
        <f>+I34+I36+L34+L35+L36+L38+O34+O36+O38+L40</f>
        <v>16728</v>
      </c>
      <c r="M41" s="82"/>
      <c r="N41" s="65"/>
      <c r="O41" s="65"/>
      <c r="P41" s="65"/>
      <c r="Q41" s="65"/>
      <c r="R41" s="65"/>
    </row>
    <row r="42" spans="2:19" ht="21.75" customHeight="1" x14ac:dyDescent="0.2">
      <c r="B42" s="65"/>
      <c r="C42" s="65"/>
      <c r="D42" s="65" t="s">
        <v>314</v>
      </c>
      <c r="E42" s="94">
        <f>+(E36+E37)*(SUM(E36:E37)&gt;0)</f>
        <v>0</v>
      </c>
      <c r="F42" s="95"/>
      <c r="G42" s="65"/>
      <c r="H42" s="65"/>
      <c r="I42" s="296"/>
      <c r="J42" s="103" t="s">
        <v>343</v>
      </c>
      <c r="K42" s="103"/>
      <c r="L42" s="104">
        <f>+Assegnazione!U3</f>
        <v>117270</v>
      </c>
      <c r="M42" s="82"/>
      <c r="N42" s="65"/>
      <c r="O42" s="65"/>
      <c r="P42" s="65"/>
      <c r="Q42" s="65"/>
      <c r="R42" s="65"/>
    </row>
    <row r="43" spans="2:19" ht="21.75" customHeight="1" x14ac:dyDescent="0.2">
      <c r="B43" s="65"/>
      <c r="C43" s="65"/>
      <c r="D43" s="65" t="s">
        <v>373</v>
      </c>
      <c r="E43" s="94">
        <f>+MIN(E42,E34)</f>
        <v>0</v>
      </c>
      <c r="F43" s="95"/>
      <c r="G43" s="65"/>
      <c r="H43" s="65"/>
      <c r="I43" s="296"/>
      <c r="J43" s="65" t="s">
        <v>344</v>
      </c>
      <c r="K43" s="65"/>
      <c r="L43" s="105">
        <f>+L42-L41</f>
        <v>100542</v>
      </c>
      <c r="M43" s="82"/>
      <c r="N43" s="65"/>
      <c r="O43" s="65"/>
      <c r="P43" s="65"/>
      <c r="Q43" s="65"/>
      <c r="R43" s="65"/>
    </row>
    <row r="44" spans="2:19" ht="21.75" customHeight="1" x14ac:dyDescent="0.2">
      <c r="B44" s="65"/>
      <c r="C44" s="65"/>
      <c r="D44" s="65" t="s">
        <v>374</v>
      </c>
      <c r="E44" s="94">
        <f>+E42-E43</f>
        <v>0</v>
      </c>
      <c r="F44" s="95"/>
      <c r="G44" s="65"/>
      <c r="H44" s="65"/>
      <c r="I44" s="296"/>
      <c r="J44" s="65" t="s">
        <v>345</v>
      </c>
      <c r="K44" s="65"/>
      <c r="L44" s="105">
        <f>+Beni!G3</f>
        <v>230000</v>
      </c>
      <c r="M44" s="82"/>
      <c r="N44" s="65"/>
      <c r="O44" s="65"/>
      <c r="P44" s="65"/>
      <c r="Q44" s="65"/>
      <c r="R44" s="65"/>
    </row>
    <row r="45" spans="2:19" ht="21.75" customHeight="1" x14ac:dyDescent="0.2">
      <c r="B45" s="65"/>
      <c r="C45" s="65"/>
      <c r="D45" s="103"/>
      <c r="E45" s="106"/>
      <c r="F45" s="106"/>
      <c r="G45" s="65"/>
      <c r="H45" s="65"/>
      <c r="I45" s="296"/>
      <c r="J45" s="65"/>
      <c r="K45" s="65"/>
      <c r="L45" s="107"/>
      <c r="M45" s="82"/>
      <c r="N45" s="65"/>
      <c r="O45" s="65"/>
      <c r="P45" s="65"/>
      <c r="Q45" s="65"/>
      <c r="R45" s="65"/>
      <c r="S45" s="108" t="str">
        <f>+IF(L44=0,"","Costo operazione: "&amp;TEXT(L41/L44,"0,0%")&amp;" su valore normale assegnato pari a "&amp;TEXT(L44,"€ 0.000"))&amp;IF(L43&gt;0," Conseguendo un risparmio di €"&amp;TEXT(L43,"#.##0"),"")</f>
        <v>Costo operazione: 7,3% su valore normale assegnato pari a € 230.000 Conseguendo un risparmio di €100.542</v>
      </c>
    </row>
    <row r="46" spans="2:19" ht="21.75" customHeight="1" x14ac:dyDescent="0.2">
      <c r="B46" s="65"/>
      <c r="C46" s="65"/>
      <c r="D46" s="309" t="s">
        <v>375</v>
      </c>
      <c r="E46" s="309"/>
      <c r="F46" s="309"/>
      <c r="G46" s="309"/>
      <c r="H46" s="309"/>
      <c r="I46" s="296"/>
      <c r="J46" s="65"/>
      <c r="K46" s="65"/>
      <c r="L46" s="107"/>
      <c r="M46" s="82"/>
      <c r="N46" s="65"/>
      <c r="O46" s="65"/>
      <c r="P46" s="65"/>
      <c r="Q46" s="65"/>
      <c r="R46" s="65"/>
      <c r="S46" s="109"/>
    </row>
    <row r="47" spans="2:19" ht="21.75" customHeight="1" x14ac:dyDescent="0.2">
      <c r="B47" s="65"/>
      <c r="C47" s="65"/>
      <c r="D47" s="309"/>
      <c r="E47" s="309"/>
      <c r="F47" s="309"/>
      <c r="G47" s="309"/>
      <c r="H47" s="309"/>
      <c r="I47" s="296"/>
      <c r="J47" s="65"/>
      <c r="K47" s="65"/>
      <c r="L47" s="102"/>
      <c r="M47" s="82"/>
      <c r="N47" s="65"/>
      <c r="O47" s="65"/>
      <c r="P47" s="65"/>
      <c r="Q47" s="65"/>
      <c r="R47" s="65"/>
      <c r="S47" s="109"/>
    </row>
    <row r="48" spans="2:19" ht="21.75" customHeight="1" x14ac:dyDescent="0.2">
      <c r="B48" s="65"/>
      <c r="C48" s="65"/>
      <c r="D48" s="65"/>
      <c r="E48" s="65"/>
      <c r="F48" s="65"/>
      <c r="G48" s="65"/>
      <c r="H48" s="65"/>
      <c r="I48" s="296"/>
      <c r="J48" s="65"/>
      <c r="K48" s="65"/>
      <c r="L48" s="102"/>
      <c r="M48" s="82"/>
      <c r="N48" s="65"/>
      <c r="O48" s="65"/>
      <c r="P48" s="65"/>
      <c r="Q48" s="65"/>
      <c r="R48" s="65"/>
    </row>
    <row r="49" spans="2:18" ht="21.75" customHeight="1" x14ac:dyDescent="0.2">
      <c r="B49" s="65"/>
      <c r="C49" s="65"/>
      <c r="D49" s="65"/>
      <c r="E49" s="65"/>
      <c r="F49" s="65"/>
      <c r="G49" s="65"/>
      <c r="H49" s="65"/>
      <c r="I49" s="296"/>
      <c r="J49" s="65"/>
      <c r="K49" s="65"/>
      <c r="L49" s="65"/>
      <c r="M49" s="65"/>
      <c r="N49" s="65"/>
      <c r="O49" s="65"/>
      <c r="P49" s="65"/>
      <c r="Q49" s="65"/>
      <c r="R49" s="65"/>
    </row>
    <row r="50" spans="2:18" ht="21.75" customHeight="1" x14ac:dyDescent="0.2">
      <c r="B50" s="65"/>
      <c r="C50" s="65"/>
      <c r="D50" s="65"/>
      <c r="E50" s="65"/>
      <c r="F50" s="65"/>
      <c r="G50" s="65"/>
      <c r="H50" s="65"/>
      <c r="I50" s="296"/>
      <c r="J50" s="65"/>
      <c r="K50" s="65"/>
      <c r="L50" s="65"/>
      <c r="M50" s="65"/>
      <c r="N50" s="65"/>
      <c r="O50" s="65"/>
      <c r="P50" s="65"/>
      <c r="Q50" s="65"/>
      <c r="R50" s="65"/>
    </row>
    <row r="51" spans="2:18" ht="21.75" customHeight="1" x14ac:dyDescent="0.2">
      <c r="B51" s="65"/>
      <c r="C51" s="65"/>
      <c r="D51" s="65"/>
      <c r="E51" s="65"/>
      <c r="F51" s="65"/>
      <c r="G51" s="65"/>
      <c r="H51" s="65"/>
      <c r="I51" s="296"/>
      <c r="J51" s="65"/>
      <c r="K51" s="65"/>
      <c r="L51" s="65"/>
      <c r="M51" s="65"/>
      <c r="N51" s="65"/>
      <c r="O51" s="65"/>
      <c r="P51" s="65"/>
      <c r="Q51" s="65"/>
      <c r="R51" s="65"/>
    </row>
    <row r="52" spans="2:18" ht="21.75" customHeight="1" x14ac:dyDescent="0.2">
      <c r="B52" s="65"/>
      <c r="C52" s="65"/>
      <c r="D52" s="65"/>
      <c r="E52" s="65"/>
      <c r="F52" s="65"/>
      <c r="G52" s="65"/>
      <c r="H52" s="65"/>
      <c r="I52" s="296"/>
      <c r="J52" s="65"/>
      <c r="K52" s="65"/>
      <c r="L52" s="65"/>
      <c r="M52" s="65"/>
      <c r="N52" s="65"/>
      <c r="O52" s="65"/>
      <c r="P52" s="65"/>
      <c r="Q52" s="65"/>
      <c r="R52" s="65"/>
    </row>
    <row r="53" spans="2:18" ht="21.75" customHeight="1" x14ac:dyDescent="0.2">
      <c r="B53" s="65"/>
      <c r="C53" s="65"/>
      <c r="D53" s="65"/>
      <c r="E53" s="65"/>
      <c r="F53" s="65"/>
      <c r="G53" s="65"/>
      <c r="H53" s="65"/>
      <c r="I53" s="296"/>
      <c r="J53" s="65"/>
      <c r="K53" s="65"/>
      <c r="L53" s="65"/>
      <c r="M53" s="65"/>
      <c r="N53" s="65"/>
      <c r="O53" s="65"/>
      <c r="P53" s="65"/>
      <c r="Q53" s="65"/>
      <c r="R53" s="65"/>
    </row>
    <row r="54" spans="2:18" ht="21.75" customHeight="1" x14ac:dyDescent="0.2">
      <c r="B54" s="65"/>
      <c r="C54" s="65"/>
      <c r="D54" s="65"/>
      <c r="E54" s="65"/>
      <c r="F54" s="65"/>
      <c r="G54" s="65"/>
      <c r="H54" s="65"/>
      <c r="I54" s="296"/>
      <c r="J54" s="65"/>
      <c r="K54" s="65"/>
      <c r="L54" s="65"/>
      <c r="M54" s="65"/>
      <c r="N54" s="65"/>
      <c r="O54" s="65"/>
      <c r="P54" s="65"/>
      <c r="Q54" s="65"/>
      <c r="R54" s="65"/>
    </row>
    <row r="57" spans="2:18" ht="21.75" hidden="1" customHeight="1" x14ac:dyDescent="0.2"/>
    <row r="58" spans="2:18" ht="21.75" hidden="1" customHeight="1" x14ac:dyDescent="0.2"/>
    <row r="59" spans="2:18" ht="21.75" hidden="1" customHeight="1" x14ac:dyDescent="0.2"/>
    <row r="60" spans="2:18" ht="21.75" hidden="1" customHeight="1" x14ac:dyDescent="0.2"/>
    <row r="61" spans="2:18" ht="21.75" hidden="1" customHeight="1" x14ac:dyDescent="0.2"/>
    <row r="62" spans="2:18" ht="21.75" hidden="1" customHeight="1" x14ac:dyDescent="0.2"/>
    <row r="63" spans="2:18" ht="21.75" hidden="1" customHeight="1" x14ac:dyDescent="0.2"/>
    <row r="64" spans="2:18" ht="21.75" hidden="1" customHeight="1" x14ac:dyDescent="0.2">
      <c r="H64" s="110">
        <f>+Assegnazione!V3/DATI!E27-DATI!I64</f>
        <v>201600</v>
      </c>
      <c r="I64" s="305">
        <f>+SUMIF(Assegnazione[Tipologia],"Altri Beni",Assegnazione[Imposta sostitutiva])/E27</f>
        <v>0</v>
      </c>
      <c r="K64" s="111" t="str">
        <f>+IF(E27&gt;8%,"X","")</f>
        <v/>
      </c>
      <c r="N64" s="112">
        <f>+I34</f>
        <v>16128</v>
      </c>
      <c r="O64" s="113">
        <f>+N64*0.6</f>
        <v>9676.7999999999993</v>
      </c>
    </row>
    <row r="65" spans="4:15" ht="21.75" hidden="1" customHeight="1" x14ac:dyDescent="0.2">
      <c r="H65" s="114">
        <f>+'Tassazione Soci'!J7</f>
        <v>0</v>
      </c>
      <c r="N65" s="112">
        <f>+H65*13%</f>
        <v>0</v>
      </c>
      <c r="O65" s="113">
        <f>+N65*0.6</f>
        <v>0</v>
      </c>
    </row>
    <row r="66" spans="4:15" ht="21.75" hidden="1" customHeight="1" x14ac:dyDescent="0.2"/>
    <row r="67" spans="4:15" ht="21.75" hidden="1" customHeight="1" x14ac:dyDescent="0.2"/>
    <row r="68" spans="4:15" ht="33.75" hidden="1" customHeight="1" x14ac:dyDescent="0.2">
      <c r="H68" s="112" t="s">
        <v>357</v>
      </c>
      <c r="I68" s="306" t="s">
        <v>370</v>
      </c>
      <c r="J68" s="112" t="s">
        <v>358</v>
      </c>
      <c r="L68" s="112" t="s">
        <v>359</v>
      </c>
    </row>
    <row r="69" spans="4:15" ht="21.75" hidden="1" customHeight="1" x14ac:dyDescent="0.2">
      <c r="H69" s="112">
        <f>+SUMIF(B[Tipologia],"&lt;&gt;Altri Beni",B[Valore normale])</f>
        <v>230000</v>
      </c>
      <c r="I69" s="307">
        <f>+SUMIF(B[Tipologia],"&lt;&gt;Altri Beni",B[Valore netto contabile fiscalmente riconosciuto])</f>
        <v>0</v>
      </c>
      <c r="J69" s="112">
        <f>+H69-I69</f>
        <v>230000</v>
      </c>
      <c r="L69" s="112">
        <f>+H69-H73</f>
        <v>230000</v>
      </c>
    </row>
    <row r="70" spans="4:15" ht="21.75" hidden="1" customHeight="1" x14ac:dyDescent="0.2"/>
    <row r="71" spans="4:15" ht="21.75" hidden="1" customHeight="1" x14ac:dyDescent="0.2"/>
    <row r="72" spans="4:15" ht="30" hidden="1" customHeight="1" x14ac:dyDescent="0.2">
      <c r="H72" s="112" t="s">
        <v>360</v>
      </c>
      <c r="I72" s="306" t="s">
        <v>369</v>
      </c>
      <c r="J72" s="112" t="s">
        <v>358</v>
      </c>
      <c r="L72" s="112" t="s">
        <v>361</v>
      </c>
      <c r="M72" s="116"/>
      <c r="N72" s="112" t="s">
        <v>362</v>
      </c>
    </row>
    <row r="73" spans="4:15" ht="21.75" hidden="1" customHeight="1" x14ac:dyDescent="0.2">
      <c r="H73" s="112">
        <f>+SUMIF(B[Tipologia],"Altri Beni",B[Valore normale])</f>
        <v>0</v>
      </c>
      <c r="I73" s="307">
        <f>+SUMIF(B[Tipologia],"Altri Beni",B[Valore netto contabile fiscalmente riconosciuto])</f>
        <v>0</v>
      </c>
      <c r="J73" s="112">
        <f>+H73-I73</f>
        <v>0</v>
      </c>
      <c r="L73" s="112"/>
      <c r="N73" s="112">
        <f>I34</f>
        <v>16128</v>
      </c>
    </row>
    <row r="74" spans="4:15" ht="21.75" hidden="1" customHeight="1" x14ac:dyDescent="0.2"/>
    <row r="75" spans="4:15" ht="32.25" hidden="1" customHeight="1" x14ac:dyDescent="0.2">
      <c r="H75" s="115" t="s">
        <v>363</v>
      </c>
      <c r="L75" s="115" t="s">
        <v>364</v>
      </c>
      <c r="M75" s="116"/>
      <c r="N75" s="115" t="s">
        <v>365</v>
      </c>
    </row>
    <row r="76" spans="4:15" ht="21.75" hidden="1" customHeight="1" x14ac:dyDescent="0.2">
      <c r="H76" s="112">
        <f>+'Tassazione Soci'!D8</f>
        <v>0</v>
      </c>
      <c r="L76" s="112"/>
      <c r="N76" s="112">
        <f>'Tassazione Soci'!J9</f>
        <v>0</v>
      </c>
    </row>
    <row r="77" spans="4:15" ht="21.75" customHeight="1" x14ac:dyDescent="0.25">
      <c r="D77" s="117" t="s">
        <v>392</v>
      </c>
    </row>
    <row r="89" spans="4:4" ht="21.75" customHeight="1" x14ac:dyDescent="0.25">
      <c r="D89" s="117" t="s">
        <v>393</v>
      </c>
    </row>
    <row r="103" spans="4:4" ht="21.75" customHeight="1" x14ac:dyDescent="0.25">
      <c r="D103" s="117" t="s">
        <v>394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M6:R13"/>
    <mergeCell ref="D46:H47"/>
    <mergeCell ref="O34:P34"/>
    <mergeCell ref="O36:P36"/>
    <mergeCell ref="O38:P38"/>
    <mergeCell ref="E22:H22"/>
    <mergeCell ref="H25:J26"/>
    <mergeCell ref="I7:K7"/>
    <mergeCell ref="I9:K9"/>
    <mergeCell ref="I11:K11"/>
    <mergeCell ref="I13:K13"/>
    <mergeCell ref="B19:L21"/>
  </mergeCells>
  <conditionalFormatting sqref="L30">
    <cfRule type="cellIs" dxfId="6" priority="90" operator="lessThan">
      <formula>0</formula>
    </cfRule>
  </conditionalFormatting>
  <conditionalFormatting sqref="N26:O26">
    <cfRule type="iconSet" priority="33">
      <iconSet iconSet="3TrafficLights2" showValue="0">
        <cfvo type="percent" val="0"/>
        <cfvo type="num" val="-1"/>
        <cfvo type="num" val="0" gte="0"/>
      </iconSet>
    </cfRule>
  </conditionalFormatting>
  <dataValidations count="1">
    <dataValidation type="list" allowBlank="1" showInputMessage="1" showErrorMessage="1" sqref="E23:F23" xr:uid="{00000000-0002-0000-0000-000000000000}">
      <formula1>Tipi</formula1>
    </dataValidation>
  </dataValidations>
  <pageMargins left="0.25" right="0.25" top="0.75" bottom="0.75" header="0.3" footer="0.3"/>
  <pageSetup paperSize="9" scale="49"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13">
              <controlPr defaultSize="0" autoFill="0" autoLine="0" autoPict="0">
                <anchor moveWithCells="1">
                  <from>
                    <xdr:col>3</xdr:col>
                    <xdr:colOff>2324100</xdr:colOff>
                    <xdr:row>24</xdr:row>
                    <xdr:rowOff>28575</xdr:rowOff>
                  </from>
                  <to>
                    <xdr:col>3</xdr:col>
                    <xdr:colOff>2819400</xdr:colOff>
                    <xdr:row>24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14">
              <controlPr defaultSize="0" autoFill="0" autoLine="0" autoPict="0">
                <anchor moveWithCells="1">
                  <from>
                    <xdr:col>4</xdr:col>
                    <xdr:colOff>114300</xdr:colOff>
                    <xdr:row>24</xdr:row>
                    <xdr:rowOff>28575</xdr:rowOff>
                  </from>
                  <to>
                    <xdr:col>4</xdr:col>
                    <xdr:colOff>657225</xdr:colOff>
                    <xdr:row>24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15">
              <controlPr defaultSize="0" autoFill="0" autoLine="0" autoPict="0">
                <anchor moveWithCells="1">
                  <from>
                    <xdr:col>4</xdr:col>
                    <xdr:colOff>762000</xdr:colOff>
                    <xdr:row>24</xdr:row>
                    <xdr:rowOff>28575</xdr:rowOff>
                  </from>
                  <to>
                    <xdr:col>4</xdr:col>
                    <xdr:colOff>1209675</xdr:colOff>
                    <xdr:row>24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7" name="Check Box 15">
              <controlPr defaultSize="0" autoFill="0" autoLine="0" autoPict="0">
                <anchor moveWithCells="1">
                  <from>
                    <xdr:col>8</xdr:col>
                    <xdr:colOff>85725</xdr:colOff>
                    <xdr:row>21</xdr:row>
                    <xdr:rowOff>9525</xdr:rowOff>
                  </from>
                  <to>
                    <xdr:col>10</xdr:col>
                    <xdr:colOff>219075</xdr:colOff>
                    <xdr:row>22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8" name="List Box 18">
              <controlPr defaultSize="0" autoLine="0" autoPict="0">
                <anchor moveWithCells="1">
                  <from>
                    <xdr:col>3</xdr:col>
                    <xdr:colOff>1133475</xdr:colOff>
                    <xdr:row>18</xdr:row>
                    <xdr:rowOff>133350</xdr:rowOff>
                  </from>
                  <to>
                    <xdr:col>3</xdr:col>
                    <xdr:colOff>2552700</xdr:colOff>
                    <xdr:row>21</xdr:row>
                    <xdr:rowOff>123825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5" id="{AF6DE76E-FA90-458B-95BF-FBCBF98C6AB8}">
            <x14:iconSet iconSet="3TrafficLights2" showValue="0" custom="1">
              <x14:cfvo type="percent">
                <xm:f>0</xm:f>
              </x14:cfvo>
              <x14:cfvo type="formula">
                <xm:f>1</xm:f>
              </x14:cfvo>
              <x14:cfvo type="formula" gte="0">
                <xm:f>1</xm:f>
              </x14:cfvo>
              <x14:cfIcon iconSet="3TrafficLights2" iconId="0"/>
              <x14:cfIcon iconSet="3TrafficLights2" iconId="2"/>
              <x14:cfIcon iconSet="3TrafficLights2" iconId="0"/>
            </x14:iconSet>
          </x14:cfRule>
          <xm:sqref>N23:O23</xm:sqref>
        </x14:conditionalFormatting>
        <x14:conditionalFormatting xmlns:xm="http://schemas.microsoft.com/office/excel/2006/main">
          <x14:cfRule type="iconSet" priority="54" id="{CB4FABD7-536F-4B9A-A17C-D1052F2F66B4}">
            <x14:iconSet iconSet="3TrafficLights2" showValue="0" custom="1">
              <x14:cfvo type="percent">
                <xm:f>0</xm:f>
              </x14:cfvo>
              <x14:cfvo type="formula">
                <xm:f>1</xm:f>
              </x14:cfvo>
              <x14:cfvo type="formula" gte="0">
                <xm:f>1</xm:f>
              </x14:cfvo>
              <x14:cfIcon iconSet="3TrafficLights2" iconId="0"/>
              <x14:cfIcon iconSet="3TrafficLights2" iconId="2"/>
              <x14:cfIcon iconSet="3TrafficLights2" iconId="0"/>
            </x14:iconSet>
          </x14:cfRule>
          <xm:sqref>N24:O24</xm:sqref>
        </x14:conditionalFormatting>
        <x14:conditionalFormatting xmlns:xm="http://schemas.microsoft.com/office/excel/2006/main">
          <x14:cfRule type="iconSet" priority="46" id="{8C3AC40D-4CD0-469B-BAC9-8FB02DBA9E9C}">
            <x14:iconSet iconSet="3TrafficLights2" showValue="0" custom="1">
              <x14:cfvo type="percent">
                <xm:f>0</xm:f>
              </x14:cfvo>
              <x14:cfvo type="formula">
                <xm:f>100</xm:f>
              </x14:cfvo>
              <x14:cfvo type="formula" gte="0">
                <xm:f>100</xm:f>
              </x14:cfvo>
              <x14:cfIcon iconSet="3TrafficLights2" iconId="0"/>
              <x14:cfIcon iconSet="3TrafficLights2" iconId="2"/>
              <x14:cfIcon iconSet="3TrafficLights2" iconId="0"/>
            </x14:iconSet>
          </x14:cfRule>
          <xm:sqref>N25:O25</xm:sqref>
        </x14:conditionalFormatting>
        <x14:conditionalFormatting xmlns:xm="http://schemas.microsoft.com/office/excel/2006/main">
          <x14:cfRule type="iconSet" priority="92" id="{55148D5C-47EE-452A-9B7F-29D31E183525}">
            <x14:iconSet iconSet="3TrafficLights2" showValue="0" custom="1">
              <x14:cfvo type="percent">
                <xm:f>0</xm:f>
              </x14:cfvo>
              <x14:cfvo type="num" gte="0">
                <xm:f>-1</xm:f>
              </x14:cfvo>
              <x14:cfvo type="num">
                <xm:f>1</xm:f>
              </x14:cfvo>
              <x14:cfIcon iconSet="3TrafficLights2" iconId="0"/>
              <x14:cfIcon iconSet="3TrafficLights2" iconId="0"/>
              <x14:cfIcon iconSet="3TrafficLights2" iconId="2"/>
            </x14:iconSet>
          </x14:cfRule>
          <xm:sqref>N27:O27 N29:O29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4">
    <pageSetUpPr fitToPage="1"/>
  </sheetPr>
  <dimension ref="A1:R18"/>
  <sheetViews>
    <sheetView showGridLines="0" zoomScaleNormal="100" workbookViewId="0">
      <selection activeCell="B7" sqref="B7"/>
    </sheetView>
  </sheetViews>
  <sheetFormatPr defaultColWidth="9.140625" defaultRowHeight="14.25" x14ac:dyDescent="0.2"/>
  <cols>
    <col min="1" max="1" width="31.28515625" style="56" customWidth="1"/>
    <col min="2" max="2" width="30.28515625" style="56" bestFit="1" customWidth="1"/>
    <col min="3" max="3" width="2" style="56" customWidth="1"/>
    <col min="4" max="4" width="30.5703125" style="56" customWidth="1"/>
    <col min="5" max="5" width="2.140625" style="56" customWidth="1"/>
    <col min="6" max="6" width="20.42578125" style="56" customWidth="1"/>
    <col min="7" max="7" width="17.42578125" style="56" customWidth="1"/>
    <col min="8" max="8" width="9.140625" style="56"/>
    <col min="9" max="9" width="30.7109375" style="56" bestFit="1" customWidth="1"/>
    <col min="10" max="16384" width="9.140625" style="56"/>
  </cols>
  <sheetData>
    <row r="1" spans="1:18" ht="134.25" customHeight="1" x14ac:dyDescent="0.2"/>
    <row r="2" spans="1:18" ht="54.95" customHeight="1" x14ac:dyDescent="0.2"/>
    <row r="3" spans="1:18" ht="54.95" customHeight="1" x14ac:dyDescent="0.2"/>
    <row r="4" spans="1:18" ht="19.5" x14ac:dyDescent="0.25">
      <c r="A4" s="118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</row>
    <row r="5" spans="1:18" ht="20.25" thickBot="1" x14ac:dyDescent="0.3">
      <c r="A5" s="118" t="s">
        <v>98</v>
      </c>
      <c r="B5" s="118" t="s">
        <v>236</v>
      </c>
      <c r="C5" s="118"/>
      <c r="D5" s="118" t="s">
        <v>237</v>
      </c>
      <c r="E5" s="118"/>
      <c r="F5" s="118" t="s">
        <v>242</v>
      </c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</row>
    <row r="6" spans="1:18" ht="15.75" thickTop="1" thickBot="1" x14ac:dyDescent="0.25">
      <c r="A6" s="56" t="s">
        <v>104</v>
      </c>
      <c r="B6" s="119">
        <v>300000</v>
      </c>
      <c r="D6" s="120">
        <f>+'Tassazione Soci'!E9</f>
        <v>0</v>
      </c>
      <c r="F6" s="120">
        <f>+B6-D6</f>
        <v>300000</v>
      </c>
    </row>
    <row r="7" spans="1:18" ht="15.75" thickTop="1" thickBot="1" x14ac:dyDescent="0.25">
      <c r="A7" s="56" t="s">
        <v>105</v>
      </c>
      <c r="B7" s="119"/>
      <c r="D7" s="120">
        <f>+'Tassazione Soci'!B9</f>
        <v>0</v>
      </c>
      <c r="F7" s="120">
        <f>+B7-D7</f>
        <v>0</v>
      </c>
    </row>
    <row r="8" spans="1:18" ht="15.75" thickTop="1" thickBot="1" x14ac:dyDescent="0.25">
      <c r="A8" s="56" t="s">
        <v>106</v>
      </c>
      <c r="B8" s="119"/>
      <c r="D8" s="120">
        <f>+'Tassazione Soci'!C9</f>
        <v>0</v>
      </c>
      <c r="F8" s="120">
        <f>+B8-D8</f>
        <v>0</v>
      </c>
    </row>
    <row r="9" spans="1:18" ht="15.75" thickTop="1" thickBot="1" x14ac:dyDescent="0.25">
      <c r="A9" s="56" t="s">
        <v>122</v>
      </c>
      <c r="B9" s="119"/>
      <c r="D9" s="120">
        <f>+'Tassazione Soci'!D9</f>
        <v>0</v>
      </c>
      <c r="F9" s="120">
        <f>+B9-D9</f>
        <v>0</v>
      </c>
    </row>
    <row r="10" spans="1:18" ht="15" thickTop="1" x14ac:dyDescent="0.2">
      <c r="A10" s="121" t="s">
        <v>124</v>
      </c>
      <c r="B10" s="122">
        <f>SUM(B6:B9)</f>
        <v>300000</v>
      </c>
      <c r="C10" s="121"/>
      <c r="D10" s="122">
        <f>SUM(D6:D9)</f>
        <v>0</v>
      </c>
      <c r="E10" s="121"/>
      <c r="F10" s="122">
        <f>SUM(F6:F9)</f>
        <v>300000</v>
      </c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</row>
    <row r="11" spans="1:18" ht="19.5" x14ac:dyDescent="0.25">
      <c r="A11" s="118"/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</row>
    <row r="12" spans="1:18" ht="19.5" x14ac:dyDescent="0.25">
      <c r="A12" s="118"/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</row>
    <row r="13" spans="1:18" ht="19.5" x14ac:dyDescent="0.25">
      <c r="A13" s="118"/>
      <c r="B13" s="118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</row>
    <row r="14" spans="1:18" ht="19.5" x14ac:dyDescent="0.25">
      <c r="A14" s="118"/>
      <c r="B14" s="118"/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</row>
    <row r="15" spans="1:18" ht="19.5" x14ac:dyDescent="0.25">
      <c r="A15" s="118"/>
      <c r="B15" s="118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</row>
    <row r="16" spans="1:18" ht="19.5" x14ac:dyDescent="0.25">
      <c r="A16" s="118"/>
      <c r="B16" s="118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</row>
    <row r="17" spans="1:18" ht="19.5" x14ac:dyDescent="0.25">
      <c r="A17" s="118"/>
      <c r="B17" s="118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</row>
    <row r="18" spans="1:18" ht="19.5" x14ac:dyDescent="0.25">
      <c r="A18" s="118"/>
      <c r="B18" s="118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</row>
  </sheetData>
  <sheetProtection formatCells="0" formatColumns="0" formatRows="0" insertColumns="0" insertRows="0" insertHyperlinks="0" deleteColumns="0" deleteRows="0" sort="0" autoFilter="0" pivotTables="0"/>
  <conditionalFormatting sqref="B7">
    <cfRule type="cellIs" dxfId="5" priority="2" operator="lessThan">
      <formula>SUM(#REF!)</formula>
    </cfRule>
  </conditionalFormatting>
  <conditionalFormatting sqref="B8">
    <cfRule type="cellIs" dxfId="4" priority="1" operator="lessThan">
      <formula>SUM(#REF!)</formula>
    </cfRule>
  </conditionalFormatting>
  <conditionalFormatting sqref="D7">
    <cfRule type="cellIs" dxfId="3" priority="11" operator="lessThan">
      <formula>SUM(#REF!)</formula>
    </cfRule>
  </conditionalFormatting>
  <conditionalFormatting sqref="F7">
    <cfRule type="cellIs" dxfId="2" priority="5" operator="lessThan">
      <formula>SUM(#REF!)</formula>
    </cfRule>
  </conditionalFormatting>
  <pageMargins left="0.7" right="0.7" top="0.75" bottom="0.75" header="0.3" footer="0.3"/>
  <pageSetup paperSize="9" scale="98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glio5">
    <pageSetUpPr fitToPage="1"/>
  </sheetPr>
  <dimension ref="A1:N107"/>
  <sheetViews>
    <sheetView showGridLines="0" topLeftCell="B1" zoomScaleNormal="100" workbookViewId="0">
      <selection activeCell="G5" sqref="G5"/>
    </sheetView>
  </sheetViews>
  <sheetFormatPr defaultColWidth="9.140625" defaultRowHeight="14.25" x14ac:dyDescent="0.2"/>
  <cols>
    <col min="1" max="1" width="4" style="56" hidden="1" customWidth="1"/>
    <col min="2" max="2" width="34.28515625" style="56" customWidth="1"/>
    <col min="3" max="3" width="22.28515625" style="56" customWidth="1"/>
    <col min="4" max="4" width="13.7109375" style="56" customWidth="1"/>
    <col min="5" max="5" width="32.85546875" style="56" customWidth="1"/>
    <col min="6" max="6" width="20.5703125" style="56" customWidth="1"/>
    <col min="7" max="7" width="35.140625" style="56" customWidth="1"/>
    <col min="8" max="8" width="35.42578125" style="56" customWidth="1"/>
    <col min="9" max="9" width="27.5703125" style="56" customWidth="1"/>
    <col min="10" max="13" width="9.140625" style="56"/>
    <col min="14" max="14" width="14.85546875" style="56" bestFit="1" customWidth="1"/>
    <col min="15" max="16384" width="9.140625" style="56"/>
  </cols>
  <sheetData>
    <row r="1" spans="1:14" ht="155.44999999999999" customHeight="1" x14ac:dyDescent="0.2">
      <c r="A1" s="136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 ht="54.95" customHeight="1" x14ac:dyDescent="0.2">
      <c r="A2" s="136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</row>
    <row r="3" spans="1:14" ht="26.25" customHeight="1" x14ac:dyDescent="0.2">
      <c r="A3" s="136"/>
      <c r="B3" s="274" t="s">
        <v>376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</row>
    <row r="4" spans="1:14" s="54" customFormat="1" ht="26.25" customHeight="1" x14ac:dyDescent="0.2">
      <c r="A4" s="56"/>
      <c r="B4" s="270" t="s">
        <v>216</v>
      </c>
      <c r="C4" s="271">
        <v>45565</v>
      </c>
      <c r="D4" s="270"/>
      <c r="E4" s="270">
        <f>+SUM(A_1[Quota partecipazione al momento dell''operazione])</f>
        <v>1</v>
      </c>
      <c r="F4" s="270">
        <f>+SUM(A_1[Costo della Partecipaz.])</f>
        <v>200000</v>
      </c>
      <c r="G4" s="270" t="str">
        <f>+IF(p=3,IF(COUNTIF(A_1[Agevolabile],0)=0,"","Risultano nuovi soci rispetto alla compagine al 30/09/2015: trasformazione non possibile"),"")</f>
        <v/>
      </c>
      <c r="H4" s="270"/>
      <c r="I4" s="270"/>
      <c r="J4" s="270"/>
      <c r="K4" s="270"/>
    </row>
    <row r="5" spans="1:14" s="138" customFormat="1" ht="37.5" customHeight="1" x14ac:dyDescent="0.2">
      <c r="A5" s="137"/>
      <c r="B5" s="213" t="s">
        <v>1</v>
      </c>
      <c r="C5" s="213" t="s">
        <v>2</v>
      </c>
      <c r="D5" s="213" t="s">
        <v>103</v>
      </c>
      <c r="E5" s="214" t="s">
        <v>215</v>
      </c>
      <c r="F5" s="215" t="s">
        <v>102</v>
      </c>
      <c r="G5" s="216" t="s">
        <v>283</v>
      </c>
      <c r="H5" s="217" t="s">
        <v>390</v>
      </c>
      <c r="I5" s="135" t="s">
        <v>3</v>
      </c>
    </row>
    <row r="6" spans="1:14" x14ac:dyDescent="0.2">
      <c r="A6" s="139">
        <v>100</v>
      </c>
      <c r="B6" s="123" t="s">
        <v>386</v>
      </c>
      <c r="C6" s="124">
        <v>40179</v>
      </c>
      <c r="D6" s="123" t="s">
        <v>101</v>
      </c>
      <c r="E6" s="125">
        <v>0.5</v>
      </c>
      <c r="F6" s="126">
        <v>100000</v>
      </c>
      <c r="G6" s="127"/>
      <c r="H6" s="128"/>
      <c r="I6" s="129">
        <f>+IF(A_1[[#This Row],[Nome]]="","",(A_1[[#This Row],[Data iscrizione libro soci]]&lt;=$C$4)*1)</f>
        <v>1</v>
      </c>
      <c r="N6" s="277"/>
    </row>
    <row r="7" spans="1:14" x14ac:dyDescent="0.2">
      <c r="A7" s="140">
        <v>100</v>
      </c>
      <c r="B7" s="123" t="s">
        <v>387</v>
      </c>
      <c r="C7" s="124">
        <v>40451</v>
      </c>
      <c r="D7" s="123" t="s">
        <v>101</v>
      </c>
      <c r="E7" s="125">
        <v>0.5</v>
      </c>
      <c r="F7" s="126">
        <v>100000</v>
      </c>
      <c r="G7" s="127"/>
      <c r="H7" s="128"/>
      <c r="I7" s="129">
        <f>+IF(A_1[[#This Row],[Nome]]="","",(A_1[[#This Row],[Data iscrizione libro soci]]&lt;=$C$4)*1)</f>
        <v>1</v>
      </c>
    </row>
    <row r="8" spans="1:14" x14ac:dyDescent="0.2">
      <c r="A8" s="140">
        <v>100</v>
      </c>
      <c r="B8" s="123"/>
      <c r="C8" s="124"/>
      <c r="D8" s="123"/>
      <c r="E8" s="125"/>
      <c r="F8" s="130"/>
      <c r="G8" s="127"/>
      <c r="H8" s="128"/>
      <c r="I8" s="129" t="str">
        <f>+IF(A_1[[#This Row],[Nome]]="","",(A_1[[#This Row],[Data iscrizione libro soci]]&lt;=$C$4)*1)</f>
        <v/>
      </c>
    </row>
    <row r="9" spans="1:14" x14ac:dyDescent="0.2">
      <c r="A9" s="140">
        <v>100</v>
      </c>
      <c r="B9" s="123"/>
      <c r="C9" s="124"/>
      <c r="D9" s="123"/>
      <c r="E9" s="125"/>
      <c r="F9" s="131"/>
      <c r="G9" s="127"/>
      <c r="H9" s="128"/>
      <c r="I9" s="129" t="str">
        <f>+IF(A_1[[#This Row],[Nome]]="","",(A_1[[#This Row],[Data iscrizione libro soci]]&lt;=$C$4)*1)</f>
        <v/>
      </c>
    </row>
    <row r="10" spans="1:14" x14ac:dyDescent="0.2">
      <c r="A10" s="140">
        <v>100</v>
      </c>
      <c r="B10" s="123"/>
      <c r="C10" s="124"/>
      <c r="D10" s="123"/>
      <c r="E10" s="125"/>
      <c r="F10" s="131"/>
      <c r="G10" s="127"/>
      <c r="H10" s="128"/>
      <c r="I10" s="129" t="str">
        <f>+IF(A_1[[#This Row],[Nome]]="","",(A_1[[#This Row],[Data iscrizione libro soci]]&lt;=$C$4)*1)</f>
        <v/>
      </c>
    </row>
    <row r="11" spans="1:14" x14ac:dyDescent="0.2">
      <c r="A11" s="140">
        <v>100</v>
      </c>
      <c r="B11" s="123"/>
      <c r="C11" s="124"/>
      <c r="D11" s="123"/>
      <c r="E11" s="125"/>
      <c r="F11" s="131"/>
      <c r="G11" s="132"/>
      <c r="H11" s="128"/>
      <c r="I11" s="129" t="str">
        <f>+IF(A_1[[#This Row],[Nome]]="","",(A_1[[#This Row],[Data iscrizione libro soci]]&lt;=$C$4)*1)</f>
        <v/>
      </c>
    </row>
    <row r="12" spans="1:14" x14ac:dyDescent="0.2">
      <c r="A12" s="140">
        <v>100</v>
      </c>
      <c r="B12" s="123"/>
      <c r="C12" s="124"/>
      <c r="D12" s="123"/>
      <c r="E12" s="125"/>
      <c r="F12" s="131"/>
      <c r="G12" s="132"/>
      <c r="H12" s="128"/>
      <c r="I12" s="129" t="str">
        <f>+IF(A_1[[#This Row],[Nome]]="","",(A_1[[#This Row],[Data iscrizione libro soci]]&lt;=$C$4)*1)</f>
        <v/>
      </c>
    </row>
    <row r="13" spans="1:14" x14ac:dyDescent="0.2">
      <c r="A13" s="140">
        <v>100</v>
      </c>
      <c r="B13" s="123"/>
      <c r="C13" s="124"/>
      <c r="D13" s="123"/>
      <c r="E13" s="125"/>
      <c r="F13" s="131"/>
      <c r="G13" s="132"/>
      <c r="H13" s="128"/>
      <c r="I13" s="129" t="str">
        <f>+IF(A_1[[#This Row],[Nome]]="","",(A_1[[#This Row],[Data iscrizione libro soci]]&lt;=$C$4)*1)</f>
        <v/>
      </c>
    </row>
    <row r="14" spans="1:14" x14ac:dyDescent="0.2">
      <c r="A14" s="140">
        <v>100</v>
      </c>
      <c r="B14" s="123"/>
      <c r="C14" s="124"/>
      <c r="D14" s="123"/>
      <c r="E14" s="125"/>
      <c r="F14" s="131"/>
      <c r="G14" s="132"/>
      <c r="H14" s="128"/>
      <c r="I14" s="129" t="str">
        <f>+IF(A_1[[#This Row],[Nome]]="","",(A_1[[#This Row],[Data iscrizione libro soci]]&lt;=$C$4)*1)</f>
        <v/>
      </c>
    </row>
    <row r="15" spans="1:14" x14ac:dyDescent="0.2">
      <c r="A15" s="140">
        <v>100</v>
      </c>
      <c r="B15" s="123"/>
      <c r="C15" s="124"/>
      <c r="D15" s="123"/>
      <c r="E15" s="125"/>
      <c r="F15" s="131"/>
      <c r="G15" s="132"/>
      <c r="H15" s="128"/>
      <c r="I15" s="129" t="str">
        <f>+IF(A_1[[#This Row],[Nome]]="","",(A_1[[#This Row],[Data iscrizione libro soci]]&lt;=$C$4)*1)</f>
        <v/>
      </c>
    </row>
    <row r="16" spans="1:14" x14ac:dyDescent="0.2">
      <c r="A16" s="140">
        <v>100</v>
      </c>
      <c r="B16" s="123"/>
      <c r="C16" s="124"/>
      <c r="D16" s="123"/>
      <c r="E16" s="125"/>
      <c r="F16" s="131"/>
      <c r="G16" s="132"/>
      <c r="H16" s="128"/>
      <c r="I16" s="129" t="str">
        <f>+IF(A_1[[#This Row],[Nome]]="","",(A_1[[#This Row],[Data iscrizione libro soci]]&lt;=$C$4)*1)</f>
        <v/>
      </c>
    </row>
    <row r="17" spans="1:9" x14ac:dyDescent="0.2">
      <c r="A17" s="140">
        <v>100</v>
      </c>
      <c r="B17" s="123"/>
      <c r="C17" s="124"/>
      <c r="D17" s="123"/>
      <c r="E17" s="125"/>
      <c r="F17" s="131"/>
      <c r="G17" s="132"/>
      <c r="H17" s="128"/>
      <c r="I17" s="129" t="str">
        <f>+IF(A_1[[#This Row],[Nome]]="","",(A_1[[#This Row],[Data iscrizione libro soci]]&lt;=$C$4)*1)</f>
        <v/>
      </c>
    </row>
    <row r="18" spans="1:9" x14ac:dyDescent="0.2">
      <c r="A18" s="140">
        <v>100</v>
      </c>
      <c r="B18" s="123"/>
      <c r="C18" s="124"/>
      <c r="D18" s="123"/>
      <c r="E18" s="125"/>
      <c r="F18" s="131"/>
      <c r="G18" s="132"/>
      <c r="H18" s="128"/>
      <c r="I18" s="129" t="str">
        <f>+IF(A_1[[#This Row],[Nome]]="","",(A_1[[#This Row],[Data iscrizione libro soci]]&lt;=$C$4)*1)</f>
        <v/>
      </c>
    </row>
    <row r="19" spans="1:9" x14ac:dyDescent="0.2">
      <c r="A19" s="140">
        <v>100</v>
      </c>
      <c r="B19" s="123"/>
      <c r="C19" s="124"/>
      <c r="D19" s="123"/>
      <c r="E19" s="125"/>
      <c r="F19" s="131"/>
      <c r="G19" s="132"/>
      <c r="H19" s="128"/>
      <c r="I19" s="129" t="str">
        <f>+IF(A_1[[#This Row],[Nome]]="","",(A_1[[#This Row],[Data iscrizione libro soci]]&lt;=$C$4)*1)</f>
        <v/>
      </c>
    </row>
    <row r="20" spans="1:9" x14ac:dyDescent="0.2">
      <c r="A20" s="140">
        <v>100</v>
      </c>
      <c r="B20" s="123"/>
      <c r="C20" s="124"/>
      <c r="D20" s="123"/>
      <c r="E20" s="125"/>
      <c r="F20" s="131"/>
      <c r="G20" s="132"/>
      <c r="H20" s="128"/>
      <c r="I20" s="129" t="str">
        <f>+IF(A_1[[#This Row],[Nome]]="","",(A_1[[#This Row],[Data iscrizione libro soci]]&lt;=$C$4)*1)</f>
        <v/>
      </c>
    </row>
    <row r="21" spans="1:9" x14ac:dyDescent="0.2">
      <c r="A21" s="140">
        <v>100</v>
      </c>
      <c r="B21" s="123"/>
      <c r="C21" s="124"/>
      <c r="D21" s="123"/>
      <c r="E21" s="125"/>
      <c r="F21" s="131"/>
      <c r="G21" s="132"/>
      <c r="H21" s="128"/>
      <c r="I21" s="129" t="str">
        <f>+IF(A_1[[#This Row],[Nome]]="","",(A_1[[#This Row],[Data iscrizione libro soci]]&lt;=$C$4)*1)</f>
        <v/>
      </c>
    </row>
    <row r="22" spans="1:9" x14ac:dyDescent="0.2">
      <c r="A22" s="140">
        <v>100</v>
      </c>
      <c r="B22" s="123"/>
      <c r="C22" s="124"/>
      <c r="D22" s="123"/>
      <c r="E22" s="125"/>
      <c r="F22" s="131"/>
      <c r="G22" s="132"/>
      <c r="H22" s="128"/>
      <c r="I22" s="129" t="str">
        <f>+IF(A_1[[#This Row],[Nome]]="","",(A_1[[#This Row],[Data iscrizione libro soci]]&lt;=$C$4)*1)</f>
        <v/>
      </c>
    </row>
    <row r="23" spans="1:9" x14ac:dyDescent="0.2">
      <c r="A23" s="140">
        <v>100</v>
      </c>
      <c r="B23" s="123"/>
      <c r="C23" s="124"/>
      <c r="D23" s="123"/>
      <c r="E23" s="125"/>
      <c r="F23" s="131"/>
      <c r="G23" s="132"/>
      <c r="H23" s="128"/>
      <c r="I23" s="129" t="str">
        <f>+IF(A_1[[#This Row],[Nome]]="","",(A_1[[#This Row],[Data iscrizione libro soci]]&lt;=$C$4)*1)</f>
        <v/>
      </c>
    </row>
    <row r="24" spans="1:9" x14ac:dyDescent="0.2">
      <c r="A24" s="140">
        <v>100</v>
      </c>
      <c r="B24" s="123"/>
      <c r="C24" s="124"/>
      <c r="D24" s="123"/>
      <c r="E24" s="125"/>
      <c r="F24" s="131"/>
      <c r="G24" s="132"/>
      <c r="H24" s="128"/>
      <c r="I24" s="129" t="str">
        <f>+IF(A_1[[#This Row],[Nome]]="","",(A_1[[#This Row],[Data iscrizione libro soci]]&lt;=$C$4)*1)</f>
        <v/>
      </c>
    </row>
    <row r="25" spans="1:9" x14ac:dyDescent="0.2">
      <c r="A25" s="140">
        <v>100</v>
      </c>
      <c r="B25" s="123"/>
      <c r="C25" s="124"/>
      <c r="D25" s="123"/>
      <c r="E25" s="125"/>
      <c r="F25" s="131"/>
      <c r="G25" s="132"/>
      <c r="H25" s="128"/>
      <c r="I25" s="129" t="str">
        <f>+IF(A_1[[#This Row],[Nome]]="","",(A_1[[#This Row],[Data iscrizione libro soci]]&lt;=$C$4)*1)</f>
        <v/>
      </c>
    </row>
    <row r="26" spans="1:9" x14ac:dyDescent="0.2">
      <c r="A26" s="140">
        <v>100</v>
      </c>
      <c r="B26" s="123"/>
      <c r="C26" s="124"/>
      <c r="D26" s="58"/>
      <c r="E26" s="125"/>
      <c r="F26" s="131"/>
      <c r="G26" s="132"/>
      <c r="H26" s="128"/>
      <c r="I26" s="129" t="str">
        <f>+IF(A_1[[#This Row],[Nome]]="","",(A_1[[#This Row],[Data iscrizione libro soci]]&lt;=$C$4)*1)</f>
        <v/>
      </c>
    </row>
    <row r="27" spans="1:9" x14ac:dyDescent="0.2">
      <c r="A27" s="140">
        <v>100</v>
      </c>
      <c r="B27" s="123"/>
      <c r="C27" s="124"/>
      <c r="D27" s="58"/>
      <c r="E27" s="125"/>
      <c r="F27" s="131"/>
      <c r="G27" s="132"/>
      <c r="H27" s="128"/>
      <c r="I27" s="129" t="str">
        <f>+IF(A_1[[#This Row],[Nome]]="","",(A_1[[#This Row],[Data iscrizione libro soci]]&lt;=$C$4)*1)</f>
        <v/>
      </c>
    </row>
    <row r="28" spans="1:9" x14ac:dyDescent="0.2">
      <c r="A28" s="140">
        <v>100</v>
      </c>
      <c r="B28" s="123"/>
      <c r="C28" s="124"/>
      <c r="D28" s="58"/>
      <c r="E28" s="125"/>
      <c r="F28" s="131"/>
      <c r="G28" s="132"/>
      <c r="H28" s="128"/>
      <c r="I28" s="129" t="str">
        <f>+IF(A_1[[#This Row],[Nome]]="","",(A_1[[#This Row],[Data iscrizione libro soci]]&lt;=$C$4)*1)</f>
        <v/>
      </c>
    </row>
    <row r="29" spans="1:9" x14ac:dyDescent="0.2">
      <c r="A29" s="140">
        <v>100</v>
      </c>
      <c r="B29" s="123"/>
      <c r="C29" s="124"/>
      <c r="D29" s="58"/>
      <c r="E29" s="125"/>
      <c r="F29" s="131"/>
      <c r="G29" s="132"/>
      <c r="H29" s="128"/>
      <c r="I29" s="129" t="str">
        <f>+IF(A_1[[#This Row],[Nome]]="","",(A_1[[#This Row],[Data iscrizione libro soci]]&lt;=$C$4)*1)</f>
        <v/>
      </c>
    </row>
    <row r="30" spans="1:9" x14ac:dyDescent="0.2">
      <c r="A30" s="140">
        <v>100</v>
      </c>
      <c r="B30" s="123"/>
      <c r="C30" s="124"/>
      <c r="D30" s="58"/>
      <c r="E30" s="125"/>
      <c r="F30" s="131"/>
      <c r="G30" s="132"/>
      <c r="H30" s="128"/>
      <c r="I30" s="129" t="str">
        <f>+IF(A_1[[#This Row],[Nome]]="","",(A_1[[#This Row],[Data iscrizione libro soci]]&lt;=$C$4)*1)</f>
        <v/>
      </c>
    </row>
    <row r="31" spans="1:9" x14ac:dyDescent="0.2">
      <c r="A31" s="140">
        <v>100</v>
      </c>
      <c r="B31" s="123"/>
      <c r="C31" s="124"/>
      <c r="D31" s="58"/>
      <c r="E31" s="125"/>
      <c r="F31" s="131"/>
      <c r="G31" s="132"/>
      <c r="H31" s="128"/>
      <c r="I31" s="129" t="str">
        <f>+IF(A_1[[#This Row],[Nome]]="","",(A_1[[#This Row],[Data iscrizione libro soci]]&lt;=$C$4)*1)</f>
        <v/>
      </c>
    </row>
    <row r="32" spans="1:9" x14ac:dyDescent="0.2">
      <c r="A32" s="140">
        <v>100</v>
      </c>
      <c r="B32" s="123"/>
      <c r="C32" s="124"/>
      <c r="D32" s="58"/>
      <c r="E32" s="125"/>
      <c r="F32" s="131"/>
      <c r="G32" s="132"/>
      <c r="H32" s="128"/>
      <c r="I32" s="129" t="str">
        <f>+IF(A_1[[#This Row],[Nome]]="","",(A_1[[#This Row],[Data iscrizione libro soci]]&lt;=$C$4)*1)</f>
        <v/>
      </c>
    </row>
    <row r="33" spans="1:9" x14ac:dyDescent="0.2">
      <c r="A33" s="140">
        <v>100</v>
      </c>
      <c r="B33" s="123"/>
      <c r="C33" s="124"/>
      <c r="D33" s="58"/>
      <c r="E33" s="125"/>
      <c r="F33" s="131"/>
      <c r="G33" s="132"/>
      <c r="H33" s="128"/>
      <c r="I33" s="129" t="str">
        <f>+IF(A_1[[#This Row],[Nome]]="","",(A_1[[#This Row],[Data iscrizione libro soci]]&lt;=$C$4)*1)</f>
        <v/>
      </c>
    </row>
    <row r="34" spans="1:9" x14ac:dyDescent="0.2">
      <c r="A34" s="140">
        <v>100</v>
      </c>
      <c r="B34" s="123"/>
      <c r="C34" s="124"/>
      <c r="D34" s="58"/>
      <c r="E34" s="125"/>
      <c r="F34" s="131"/>
      <c r="G34" s="132"/>
      <c r="H34" s="128"/>
      <c r="I34" s="129" t="str">
        <f>+IF(A_1[[#This Row],[Nome]]="","",(A_1[[#This Row],[Data iscrizione libro soci]]&lt;=$C$4)*1)</f>
        <v/>
      </c>
    </row>
    <row r="35" spans="1:9" x14ac:dyDescent="0.2">
      <c r="A35" s="140">
        <v>100</v>
      </c>
      <c r="B35" s="123"/>
      <c r="C35" s="124"/>
      <c r="D35" s="58"/>
      <c r="E35" s="125"/>
      <c r="F35" s="131"/>
      <c r="G35" s="132"/>
      <c r="H35" s="128"/>
      <c r="I35" s="129" t="str">
        <f>+IF(A_1[[#This Row],[Nome]]="","",(A_1[[#This Row],[Data iscrizione libro soci]]&lt;=$C$4)*1)</f>
        <v/>
      </c>
    </row>
    <row r="36" spans="1:9" x14ac:dyDescent="0.2">
      <c r="A36" s="140">
        <v>100</v>
      </c>
      <c r="B36" s="123"/>
      <c r="C36" s="124"/>
      <c r="D36" s="58"/>
      <c r="E36" s="125"/>
      <c r="F36" s="131"/>
      <c r="G36" s="132"/>
      <c r="H36" s="128"/>
      <c r="I36" s="129" t="str">
        <f>+IF(A_1[[#This Row],[Nome]]="","",(A_1[[#This Row],[Data iscrizione libro soci]]&lt;=$C$4)*1)</f>
        <v/>
      </c>
    </row>
    <row r="37" spans="1:9" x14ac:dyDescent="0.2">
      <c r="A37" s="140">
        <v>100</v>
      </c>
      <c r="B37" s="123"/>
      <c r="C37" s="124"/>
      <c r="D37" s="58"/>
      <c r="E37" s="125"/>
      <c r="F37" s="131"/>
      <c r="G37" s="132"/>
      <c r="H37" s="128"/>
      <c r="I37" s="129" t="str">
        <f>+IF(A_1[[#This Row],[Nome]]="","",(A_1[[#This Row],[Data iscrizione libro soci]]&lt;=$C$4)*1)</f>
        <v/>
      </c>
    </row>
    <row r="38" spans="1:9" x14ac:dyDescent="0.2">
      <c r="A38" s="140">
        <v>100</v>
      </c>
      <c r="B38" s="123"/>
      <c r="C38" s="124"/>
      <c r="D38" s="58"/>
      <c r="E38" s="125"/>
      <c r="F38" s="131"/>
      <c r="G38" s="132"/>
      <c r="H38" s="128"/>
      <c r="I38" s="129" t="str">
        <f>+IF(A_1[[#This Row],[Nome]]="","",(A_1[[#This Row],[Data iscrizione libro soci]]&lt;=$C$4)*1)</f>
        <v/>
      </c>
    </row>
    <row r="39" spans="1:9" x14ac:dyDescent="0.2">
      <c r="A39" s="140">
        <v>100</v>
      </c>
      <c r="B39" s="123"/>
      <c r="C39" s="124"/>
      <c r="D39" s="58"/>
      <c r="E39" s="125"/>
      <c r="F39" s="131"/>
      <c r="G39" s="132"/>
      <c r="H39" s="128"/>
      <c r="I39" s="129" t="str">
        <f>+IF(A_1[[#This Row],[Nome]]="","",(A_1[[#This Row],[Data iscrizione libro soci]]&lt;=$C$4)*1)</f>
        <v/>
      </c>
    </row>
    <row r="40" spans="1:9" x14ac:dyDescent="0.2">
      <c r="A40" s="140">
        <v>100</v>
      </c>
      <c r="B40" s="123"/>
      <c r="C40" s="124"/>
      <c r="D40" s="58"/>
      <c r="E40" s="125"/>
      <c r="F40" s="131"/>
      <c r="G40" s="132"/>
      <c r="H40" s="128"/>
      <c r="I40" s="129" t="str">
        <f>+IF(A_1[[#This Row],[Nome]]="","",(A_1[[#This Row],[Data iscrizione libro soci]]&lt;=$C$4)*1)</f>
        <v/>
      </c>
    </row>
    <row r="41" spans="1:9" x14ac:dyDescent="0.2">
      <c r="A41" s="140">
        <v>100</v>
      </c>
      <c r="B41" s="123"/>
      <c r="C41" s="124"/>
      <c r="D41" s="58"/>
      <c r="E41" s="125"/>
      <c r="F41" s="131"/>
      <c r="G41" s="132"/>
      <c r="H41" s="128"/>
      <c r="I41" s="129" t="str">
        <f>+IF(A_1[[#This Row],[Nome]]="","",(A_1[[#This Row],[Data iscrizione libro soci]]&lt;=$C$4)*1)</f>
        <v/>
      </c>
    </row>
    <row r="42" spans="1:9" x14ac:dyDescent="0.2">
      <c r="A42" s="140">
        <v>100</v>
      </c>
      <c r="B42" s="123"/>
      <c r="C42" s="124"/>
      <c r="D42" s="58"/>
      <c r="E42" s="125"/>
      <c r="F42" s="131"/>
      <c r="G42" s="132"/>
      <c r="H42" s="128"/>
      <c r="I42" s="129" t="str">
        <f>+IF(A_1[[#This Row],[Nome]]="","",(A_1[[#This Row],[Data iscrizione libro soci]]&lt;=$C$4)*1)</f>
        <v/>
      </c>
    </row>
    <row r="43" spans="1:9" x14ac:dyDescent="0.2">
      <c r="A43" s="140">
        <v>100</v>
      </c>
      <c r="B43" s="123"/>
      <c r="C43" s="124"/>
      <c r="D43" s="58"/>
      <c r="E43" s="125"/>
      <c r="F43" s="131"/>
      <c r="G43" s="132"/>
      <c r="H43" s="128"/>
      <c r="I43" s="129" t="str">
        <f>+IF(A_1[[#This Row],[Nome]]="","",(A_1[[#This Row],[Data iscrizione libro soci]]&lt;=$C$4)*1)</f>
        <v/>
      </c>
    </row>
    <row r="44" spans="1:9" x14ac:dyDescent="0.2">
      <c r="A44" s="140">
        <v>100</v>
      </c>
      <c r="B44" s="123"/>
      <c r="C44" s="124"/>
      <c r="D44" s="58"/>
      <c r="E44" s="125"/>
      <c r="F44" s="131"/>
      <c r="G44" s="132"/>
      <c r="H44" s="128"/>
      <c r="I44" s="129" t="str">
        <f>+IF(A_1[[#This Row],[Nome]]="","",(A_1[[#This Row],[Data iscrizione libro soci]]&lt;=$C$4)*1)</f>
        <v/>
      </c>
    </row>
    <row r="45" spans="1:9" x14ac:dyDescent="0.2">
      <c r="A45" s="140">
        <v>100</v>
      </c>
      <c r="B45" s="123"/>
      <c r="C45" s="124"/>
      <c r="D45" s="58"/>
      <c r="E45" s="125"/>
      <c r="F45" s="131"/>
      <c r="G45" s="132"/>
      <c r="H45" s="128"/>
      <c r="I45" s="129" t="str">
        <f>+IF(A_1[[#This Row],[Nome]]="","",(A_1[[#This Row],[Data iscrizione libro soci]]&lt;=$C$4)*1)</f>
        <v/>
      </c>
    </row>
    <row r="46" spans="1:9" x14ac:dyDescent="0.2">
      <c r="A46" s="140">
        <v>100</v>
      </c>
      <c r="B46" s="123"/>
      <c r="C46" s="124"/>
      <c r="D46" s="58"/>
      <c r="E46" s="125"/>
      <c r="F46" s="131"/>
      <c r="G46" s="132"/>
      <c r="H46" s="128"/>
      <c r="I46" s="129" t="str">
        <f>+IF(A_1[[#This Row],[Nome]]="","",(A_1[[#This Row],[Data iscrizione libro soci]]&lt;=$C$4)*1)</f>
        <v/>
      </c>
    </row>
    <row r="47" spans="1:9" x14ac:dyDescent="0.2">
      <c r="A47" s="140">
        <v>100</v>
      </c>
      <c r="B47" s="123"/>
      <c r="C47" s="124"/>
      <c r="D47" s="58"/>
      <c r="E47" s="125"/>
      <c r="F47" s="131"/>
      <c r="G47" s="132"/>
      <c r="H47" s="128"/>
      <c r="I47" s="129" t="str">
        <f>+IF(A_1[[#This Row],[Nome]]="","",(A_1[[#This Row],[Data iscrizione libro soci]]&lt;=$C$4)*1)</f>
        <v/>
      </c>
    </row>
    <row r="48" spans="1:9" x14ac:dyDescent="0.2">
      <c r="A48" s="140">
        <v>100</v>
      </c>
      <c r="B48" s="123"/>
      <c r="C48" s="124"/>
      <c r="D48" s="58"/>
      <c r="E48" s="125"/>
      <c r="F48" s="131"/>
      <c r="G48" s="132"/>
      <c r="H48" s="128"/>
      <c r="I48" s="129" t="str">
        <f>+IF(A_1[[#This Row],[Nome]]="","",(A_1[[#This Row],[Data iscrizione libro soci]]&lt;=$C$4)*1)</f>
        <v/>
      </c>
    </row>
    <row r="49" spans="1:9" x14ac:dyDescent="0.2">
      <c r="A49" s="140">
        <v>100</v>
      </c>
      <c r="B49" s="123"/>
      <c r="C49" s="124"/>
      <c r="D49" s="58"/>
      <c r="E49" s="125"/>
      <c r="F49" s="131"/>
      <c r="G49" s="132"/>
      <c r="H49" s="128"/>
      <c r="I49" s="129" t="str">
        <f>+IF(A_1[[#This Row],[Nome]]="","",(A_1[[#This Row],[Data iscrizione libro soci]]&lt;=$C$4)*1)</f>
        <v/>
      </c>
    </row>
    <row r="50" spans="1:9" x14ac:dyDescent="0.2">
      <c r="A50" s="140">
        <v>100</v>
      </c>
      <c r="B50" s="123"/>
      <c r="C50" s="124"/>
      <c r="D50" s="58"/>
      <c r="E50" s="125"/>
      <c r="F50" s="131"/>
      <c r="G50" s="132"/>
      <c r="H50" s="128"/>
      <c r="I50" s="129" t="str">
        <f>+IF(A_1[[#This Row],[Nome]]="","",(A_1[[#This Row],[Data iscrizione libro soci]]&lt;=$C$4)*1)</f>
        <v/>
      </c>
    </row>
    <row r="51" spans="1:9" x14ac:dyDescent="0.2">
      <c r="A51" s="140">
        <v>100</v>
      </c>
      <c r="B51" s="123"/>
      <c r="C51" s="124"/>
      <c r="D51" s="58"/>
      <c r="E51" s="125"/>
      <c r="F51" s="131"/>
      <c r="G51" s="132"/>
      <c r="H51" s="128"/>
      <c r="I51" s="129" t="str">
        <f>+IF(A_1[[#This Row],[Nome]]="","",(A_1[[#This Row],[Data iscrizione libro soci]]&lt;=$C$4)*1)</f>
        <v/>
      </c>
    </row>
    <row r="52" spans="1:9" x14ac:dyDescent="0.2">
      <c r="A52" s="140">
        <v>100</v>
      </c>
      <c r="B52" s="123"/>
      <c r="C52" s="124"/>
      <c r="D52" s="58"/>
      <c r="E52" s="125"/>
      <c r="F52" s="131"/>
      <c r="G52" s="132"/>
      <c r="H52" s="128"/>
      <c r="I52" s="129" t="str">
        <f>+IF(A_1[[#This Row],[Nome]]="","",(A_1[[#This Row],[Data iscrizione libro soci]]&lt;=$C$4)*1)</f>
        <v/>
      </c>
    </row>
    <row r="53" spans="1:9" x14ac:dyDescent="0.2">
      <c r="A53" s="140">
        <v>100</v>
      </c>
      <c r="B53" s="123"/>
      <c r="C53" s="124"/>
      <c r="D53" s="58"/>
      <c r="E53" s="125"/>
      <c r="F53" s="131"/>
      <c r="G53" s="132"/>
      <c r="H53" s="128"/>
      <c r="I53" s="129" t="str">
        <f>+IF(A_1[[#This Row],[Nome]]="","",(A_1[[#This Row],[Data iscrizione libro soci]]&lt;=$C$4)*1)</f>
        <v/>
      </c>
    </row>
    <row r="54" spans="1:9" x14ac:dyDescent="0.2">
      <c r="A54" s="140">
        <v>100</v>
      </c>
      <c r="B54" s="123"/>
      <c r="C54" s="124"/>
      <c r="D54" s="58"/>
      <c r="E54" s="125"/>
      <c r="F54" s="131"/>
      <c r="G54" s="132"/>
      <c r="H54" s="128"/>
      <c r="I54" s="129" t="str">
        <f>+IF(A_1[[#This Row],[Nome]]="","",(A_1[[#This Row],[Data iscrizione libro soci]]&lt;=$C$4)*1)</f>
        <v/>
      </c>
    </row>
    <row r="55" spans="1:9" x14ac:dyDescent="0.2">
      <c r="A55" s="140">
        <v>100</v>
      </c>
      <c r="B55" s="123"/>
      <c r="C55" s="124"/>
      <c r="D55" s="58"/>
      <c r="E55" s="125"/>
      <c r="F55" s="131"/>
      <c r="G55" s="132"/>
      <c r="H55" s="128"/>
      <c r="I55" s="129" t="str">
        <f>+IF(A_1[[#This Row],[Nome]]="","",(A_1[[#This Row],[Data iscrizione libro soci]]&lt;=$C$4)*1)</f>
        <v/>
      </c>
    </row>
    <row r="56" spans="1:9" x14ac:dyDescent="0.2">
      <c r="A56" s="140">
        <v>100</v>
      </c>
      <c r="B56" s="123"/>
      <c r="C56" s="124"/>
      <c r="D56" s="58"/>
      <c r="E56" s="125"/>
      <c r="F56" s="131"/>
      <c r="G56" s="132"/>
      <c r="H56" s="128"/>
      <c r="I56" s="129" t="str">
        <f>+IF(A_1[[#This Row],[Nome]]="","",(A_1[[#This Row],[Data iscrizione libro soci]]&lt;=$C$4)*1)</f>
        <v/>
      </c>
    </row>
    <row r="57" spans="1:9" x14ac:dyDescent="0.2">
      <c r="A57" s="140">
        <v>100</v>
      </c>
      <c r="B57" s="123"/>
      <c r="C57" s="124"/>
      <c r="D57" s="58"/>
      <c r="E57" s="125"/>
      <c r="F57" s="131"/>
      <c r="G57" s="132"/>
      <c r="H57" s="128"/>
      <c r="I57" s="129" t="str">
        <f>+IF(A_1[[#This Row],[Nome]]="","",(A_1[[#This Row],[Data iscrizione libro soci]]&lt;=$C$4)*1)</f>
        <v/>
      </c>
    </row>
    <row r="58" spans="1:9" x14ac:dyDescent="0.2">
      <c r="A58" s="140">
        <v>100</v>
      </c>
      <c r="B58" s="123"/>
      <c r="C58" s="124"/>
      <c r="D58" s="58"/>
      <c r="E58" s="125"/>
      <c r="F58" s="131"/>
      <c r="G58" s="132"/>
      <c r="H58" s="128"/>
      <c r="I58" s="129" t="str">
        <f>+IF(A_1[[#This Row],[Nome]]="","",(A_1[[#This Row],[Data iscrizione libro soci]]&lt;=$C$4)*1)</f>
        <v/>
      </c>
    </row>
    <row r="59" spans="1:9" x14ac:dyDescent="0.2">
      <c r="A59" s="140">
        <v>100</v>
      </c>
      <c r="B59" s="123"/>
      <c r="C59" s="124"/>
      <c r="D59" s="58"/>
      <c r="E59" s="125"/>
      <c r="F59" s="131"/>
      <c r="G59" s="132"/>
      <c r="H59" s="128"/>
      <c r="I59" s="129" t="str">
        <f>+IF(A_1[[#This Row],[Nome]]="","",(A_1[[#This Row],[Data iscrizione libro soci]]&lt;=$C$4)*1)</f>
        <v/>
      </c>
    </row>
    <row r="60" spans="1:9" x14ac:dyDescent="0.2">
      <c r="A60" s="140">
        <v>100</v>
      </c>
      <c r="B60" s="123"/>
      <c r="C60" s="124"/>
      <c r="D60" s="58"/>
      <c r="E60" s="125"/>
      <c r="F60" s="131"/>
      <c r="G60" s="132"/>
      <c r="H60" s="128"/>
      <c r="I60" s="129" t="str">
        <f>+IF(A_1[[#This Row],[Nome]]="","",(A_1[[#This Row],[Data iscrizione libro soci]]&lt;=$C$4)*1)</f>
        <v/>
      </c>
    </row>
    <row r="61" spans="1:9" x14ac:dyDescent="0.2">
      <c r="A61" s="140">
        <v>100</v>
      </c>
      <c r="B61" s="123"/>
      <c r="C61" s="124"/>
      <c r="D61" s="58"/>
      <c r="E61" s="125"/>
      <c r="F61" s="131"/>
      <c r="G61" s="132"/>
      <c r="H61" s="128"/>
      <c r="I61" s="129" t="str">
        <f>+IF(A_1[[#This Row],[Nome]]="","",(A_1[[#This Row],[Data iscrizione libro soci]]&lt;=$C$4)*1)</f>
        <v/>
      </c>
    </row>
    <row r="62" spans="1:9" x14ac:dyDescent="0.2">
      <c r="A62" s="140">
        <v>100</v>
      </c>
      <c r="B62" s="123"/>
      <c r="C62" s="124"/>
      <c r="D62" s="58"/>
      <c r="E62" s="125"/>
      <c r="F62" s="131"/>
      <c r="G62" s="132"/>
      <c r="H62" s="128"/>
      <c r="I62" s="129" t="str">
        <f>+IF(A_1[[#This Row],[Nome]]="","",(A_1[[#This Row],[Data iscrizione libro soci]]&lt;=$C$4)*1)</f>
        <v/>
      </c>
    </row>
    <row r="63" spans="1:9" x14ac:dyDescent="0.2">
      <c r="A63" s="140">
        <v>100</v>
      </c>
      <c r="B63" s="123"/>
      <c r="C63" s="124"/>
      <c r="D63" s="58"/>
      <c r="E63" s="125"/>
      <c r="F63" s="131"/>
      <c r="G63" s="132"/>
      <c r="H63" s="128"/>
      <c r="I63" s="129" t="str">
        <f>+IF(A_1[[#This Row],[Nome]]="","",(A_1[[#This Row],[Data iscrizione libro soci]]&lt;=$C$4)*1)</f>
        <v/>
      </c>
    </row>
    <row r="64" spans="1:9" x14ac:dyDescent="0.2">
      <c r="A64" s="140">
        <v>100</v>
      </c>
      <c r="B64" s="123"/>
      <c r="C64" s="124"/>
      <c r="D64" s="58"/>
      <c r="E64" s="125"/>
      <c r="F64" s="131"/>
      <c r="G64" s="132"/>
      <c r="H64" s="128"/>
      <c r="I64" s="129" t="str">
        <f>+IF(A_1[[#This Row],[Nome]]="","",(A_1[[#This Row],[Data iscrizione libro soci]]&lt;=$C$4)*1)</f>
        <v/>
      </c>
    </row>
    <row r="65" spans="1:9" x14ac:dyDescent="0.2">
      <c r="A65" s="140">
        <v>100</v>
      </c>
      <c r="B65" s="123"/>
      <c r="C65" s="124"/>
      <c r="D65" s="58"/>
      <c r="E65" s="125"/>
      <c r="F65" s="131"/>
      <c r="G65" s="132"/>
      <c r="H65" s="128"/>
      <c r="I65" s="129" t="str">
        <f>+IF(A_1[[#This Row],[Nome]]="","",(A_1[[#This Row],[Data iscrizione libro soci]]&lt;=$C$4)*1)</f>
        <v/>
      </c>
    </row>
    <row r="66" spans="1:9" x14ac:dyDescent="0.2">
      <c r="A66" s="140">
        <v>100</v>
      </c>
      <c r="B66" s="123"/>
      <c r="C66" s="124"/>
      <c r="D66" s="58"/>
      <c r="E66" s="125"/>
      <c r="F66" s="131"/>
      <c r="G66" s="132"/>
      <c r="H66" s="128"/>
      <c r="I66" s="129" t="str">
        <f>+IF(A_1[[#This Row],[Nome]]="","",(A_1[[#This Row],[Data iscrizione libro soci]]&lt;=$C$4)*1)</f>
        <v/>
      </c>
    </row>
    <row r="67" spans="1:9" x14ac:dyDescent="0.2">
      <c r="A67" s="140">
        <v>100</v>
      </c>
      <c r="B67" s="123"/>
      <c r="C67" s="124"/>
      <c r="D67" s="58"/>
      <c r="E67" s="125"/>
      <c r="F67" s="131"/>
      <c r="G67" s="132"/>
      <c r="H67" s="128"/>
      <c r="I67" s="129" t="str">
        <f>+IF(A_1[[#This Row],[Nome]]="","",(A_1[[#This Row],[Data iscrizione libro soci]]&lt;=$C$4)*1)</f>
        <v/>
      </c>
    </row>
    <row r="68" spans="1:9" x14ac:dyDescent="0.2">
      <c r="A68" s="140">
        <v>100</v>
      </c>
      <c r="B68" s="123"/>
      <c r="C68" s="124"/>
      <c r="D68" s="58"/>
      <c r="E68" s="125"/>
      <c r="F68" s="131"/>
      <c r="G68" s="132"/>
      <c r="H68" s="128"/>
      <c r="I68" s="129" t="str">
        <f>+IF(A_1[[#This Row],[Nome]]="","",(A_1[[#This Row],[Data iscrizione libro soci]]&lt;=$C$4)*1)</f>
        <v/>
      </c>
    </row>
    <row r="69" spans="1:9" x14ac:dyDescent="0.2">
      <c r="A69" s="140">
        <v>100</v>
      </c>
      <c r="B69" s="123"/>
      <c r="C69" s="124"/>
      <c r="D69" s="58"/>
      <c r="E69" s="125"/>
      <c r="F69" s="131"/>
      <c r="G69" s="132"/>
      <c r="H69" s="128"/>
      <c r="I69" s="129" t="str">
        <f>+IF(A_1[[#This Row],[Nome]]="","",(A_1[[#This Row],[Data iscrizione libro soci]]&lt;=$C$4)*1)</f>
        <v/>
      </c>
    </row>
    <row r="70" spans="1:9" x14ac:dyDescent="0.2">
      <c r="A70" s="140">
        <v>100</v>
      </c>
      <c r="B70" s="123"/>
      <c r="C70" s="124"/>
      <c r="D70" s="58"/>
      <c r="E70" s="125"/>
      <c r="F70" s="131"/>
      <c r="G70" s="132"/>
      <c r="H70" s="128"/>
      <c r="I70" s="129" t="str">
        <f>+IF(A_1[[#This Row],[Nome]]="","",(A_1[[#This Row],[Data iscrizione libro soci]]&lt;=$C$4)*1)</f>
        <v/>
      </c>
    </row>
    <row r="71" spans="1:9" x14ac:dyDescent="0.2">
      <c r="A71" s="140">
        <v>100</v>
      </c>
      <c r="B71" s="123"/>
      <c r="C71" s="124"/>
      <c r="D71" s="58"/>
      <c r="E71" s="125"/>
      <c r="F71" s="131"/>
      <c r="G71" s="132"/>
      <c r="H71" s="128"/>
      <c r="I71" s="129" t="str">
        <f>+IF(A_1[[#This Row],[Nome]]="","",(A_1[[#This Row],[Data iscrizione libro soci]]&lt;=$C$4)*1)</f>
        <v/>
      </c>
    </row>
    <row r="72" spans="1:9" x14ac:dyDescent="0.2">
      <c r="A72" s="140">
        <v>100</v>
      </c>
      <c r="B72" s="123"/>
      <c r="C72" s="124"/>
      <c r="D72" s="58"/>
      <c r="E72" s="125"/>
      <c r="F72" s="131"/>
      <c r="G72" s="132"/>
      <c r="H72" s="128"/>
      <c r="I72" s="129" t="str">
        <f>+IF(A_1[[#This Row],[Nome]]="","",(A_1[[#This Row],[Data iscrizione libro soci]]&lt;=$C$4)*1)</f>
        <v/>
      </c>
    </row>
    <row r="73" spans="1:9" x14ac:dyDescent="0.2">
      <c r="A73" s="140">
        <v>100</v>
      </c>
      <c r="B73" s="123"/>
      <c r="C73" s="124"/>
      <c r="D73" s="58"/>
      <c r="E73" s="125"/>
      <c r="F73" s="131"/>
      <c r="G73" s="132"/>
      <c r="H73" s="128"/>
      <c r="I73" s="129" t="str">
        <f>+IF(A_1[[#This Row],[Nome]]="","",(A_1[[#This Row],[Data iscrizione libro soci]]&lt;=$C$4)*1)</f>
        <v/>
      </c>
    </row>
    <row r="74" spans="1:9" x14ac:dyDescent="0.2">
      <c r="A74" s="140">
        <v>100</v>
      </c>
      <c r="B74" s="123"/>
      <c r="C74" s="124"/>
      <c r="D74" s="58"/>
      <c r="E74" s="125"/>
      <c r="F74" s="131"/>
      <c r="G74" s="132"/>
      <c r="H74" s="128"/>
      <c r="I74" s="129" t="str">
        <f>+IF(A_1[[#This Row],[Nome]]="","",(A_1[[#This Row],[Data iscrizione libro soci]]&lt;=$C$4)*1)</f>
        <v/>
      </c>
    </row>
    <row r="75" spans="1:9" x14ac:dyDescent="0.2">
      <c r="A75" s="140">
        <v>100</v>
      </c>
      <c r="B75" s="123"/>
      <c r="C75" s="124"/>
      <c r="D75" s="58"/>
      <c r="E75" s="125"/>
      <c r="F75" s="131"/>
      <c r="G75" s="132"/>
      <c r="H75" s="128"/>
      <c r="I75" s="129" t="str">
        <f>+IF(A_1[[#This Row],[Nome]]="","",(A_1[[#This Row],[Data iscrizione libro soci]]&lt;=$C$4)*1)</f>
        <v/>
      </c>
    </row>
    <row r="76" spans="1:9" x14ac:dyDescent="0.2">
      <c r="A76" s="140">
        <v>100</v>
      </c>
      <c r="B76" s="123"/>
      <c r="C76" s="124"/>
      <c r="D76" s="58"/>
      <c r="E76" s="125"/>
      <c r="F76" s="131"/>
      <c r="G76" s="132"/>
      <c r="H76" s="128"/>
      <c r="I76" s="129" t="str">
        <f>+IF(A_1[[#This Row],[Nome]]="","",(A_1[[#This Row],[Data iscrizione libro soci]]&lt;=$C$4)*1)</f>
        <v/>
      </c>
    </row>
    <row r="77" spans="1:9" x14ac:dyDescent="0.2">
      <c r="A77" s="140">
        <v>100</v>
      </c>
      <c r="B77" s="123"/>
      <c r="C77" s="124"/>
      <c r="D77" s="58"/>
      <c r="E77" s="125"/>
      <c r="F77" s="131"/>
      <c r="G77" s="132"/>
      <c r="H77" s="128"/>
      <c r="I77" s="129" t="str">
        <f>+IF(A_1[[#This Row],[Nome]]="","",(A_1[[#This Row],[Data iscrizione libro soci]]&lt;=$C$4)*1)</f>
        <v/>
      </c>
    </row>
    <row r="78" spans="1:9" x14ac:dyDescent="0.2">
      <c r="A78" s="140">
        <v>100</v>
      </c>
      <c r="B78" s="123"/>
      <c r="C78" s="124"/>
      <c r="D78" s="58"/>
      <c r="E78" s="125"/>
      <c r="F78" s="131"/>
      <c r="G78" s="132"/>
      <c r="H78" s="128"/>
      <c r="I78" s="129" t="str">
        <f>+IF(A_1[[#This Row],[Nome]]="","",(A_1[[#This Row],[Data iscrizione libro soci]]&lt;=$C$4)*1)</f>
        <v/>
      </c>
    </row>
    <row r="79" spans="1:9" x14ac:dyDescent="0.2">
      <c r="A79" s="140">
        <v>100</v>
      </c>
      <c r="B79" s="123"/>
      <c r="C79" s="124"/>
      <c r="D79" s="58"/>
      <c r="E79" s="125"/>
      <c r="F79" s="131"/>
      <c r="G79" s="132"/>
      <c r="H79" s="128"/>
      <c r="I79" s="129" t="str">
        <f>+IF(A_1[[#This Row],[Nome]]="","",(A_1[[#This Row],[Data iscrizione libro soci]]&lt;=$C$4)*1)</f>
        <v/>
      </c>
    </row>
    <row r="80" spans="1:9" x14ac:dyDescent="0.2">
      <c r="A80" s="140">
        <v>100</v>
      </c>
      <c r="B80" s="123"/>
      <c r="C80" s="124"/>
      <c r="D80" s="58"/>
      <c r="E80" s="125"/>
      <c r="F80" s="131"/>
      <c r="G80" s="132"/>
      <c r="H80" s="128"/>
      <c r="I80" s="129" t="str">
        <f>+IF(A_1[[#This Row],[Nome]]="","",(A_1[[#This Row],[Data iscrizione libro soci]]&lt;=$C$4)*1)</f>
        <v/>
      </c>
    </row>
    <row r="81" spans="1:9" x14ac:dyDescent="0.2">
      <c r="A81" s="140">
        <v>100</v>
      </c>
      <c r="B81" s="123"/>
      <c r="C81" s="124"/>
      <c r="D81" s="58"/>
      <c r="E81" s="125"/>
      <c r="F81" s="131"/>
      <c r="G81" s="132"/>
      <c r="H81" s="128"/>
      <c r="I81" s="129" t="str">
        <f>+IF(A_1[[#This Row],[Nome]]="","",(A_1[[#This Row],[Data iscrizione libro soci]]&lt;=$C$4)*1)</f>
        <v/>
      </c>
    </row>
    <row r="82" spans="1:9" x14ac:dyDescent="0.2">
      <c r="A82" s="140">
        <v>100</v>
      </c>
      <c r="B82" s="123"/>
      <c r="C82" s="124"/>
      <c r="D82" s="58"/>
      <c r="E82" s="125"/>
      <c r="F82" s="131"/>
      <c r="G82" s="132"/>
      <c r="H82" s="128"/>
      <c r="I82" s="129" t="str">
        <f>+IF(A_1[[#This Row],[Nome]]="","",(A_1[[#This Row],[Data iscrizione libro soci]]&lt;=$C$4)*1)</f>
        <v/>
      </c>
    </row>
    <row r="83" spans="1:9" x14ac:dyDescent="0.2">
      <c r="A83" s="140">
        <v>100</v>
      </c>
      <c r="B83" s="123"/>
      <c r="C83" s="124"/>
      <c r="D83" s="58"/>
      <c r="E83" s="125"/>
      <c r="F83" s="131"/>
      <c r="G83" s="132"/>
      <c r="H83" s="128"/>
      <c r="I83" s="129" t="str">
        <f>+IF(A_1[[#This Row],[Nome]]="","",(A_1[[#This Row],[Data iscrizione libro soci]]&lt;=$C$4)*1)</f>
        <v/>
      </c>
    </row>
    <row r="84" spans="1:9" x14ac:dyDescent="0.2">
      <c r="A84" s="140">
        <v>100</v>
      </c>
      <c r="B84" s="123"/>
      <c r="C84" s="124"/>
      <c r="D84" s="58"/>
      <c r="E84" s="125"/>
      <c r="F84" s="131"/>
      <c r="G84" s="132"/>
      <c r="H84" s="128"/>
      <c r="I84" s="129" t="str">
        <f>+IF(A_1[[#This Row],[Nome]]="","",(A_1[[#This Row],[Data iscrizione libro soci]]&lt;=$C$4)*1)</f>
        <v/>
      </c>
    </row>
    <row r="85" spans="1:9" x14ac:dyDescent="0.2">
      <c r="A85" s="140">
        <v>100</v>
      </c>
      <c r="B85" s="123"/>
      <c r="C85" s="124"/>
      <c r="D85" s="58"/>
      <c r="E85" s="125"/>
      <c r="F85" s="131"/>
      <c r="G85" s="132"/>
      <c r="H85" s="128"/>
      <c r="I85" s="129" t="str">
        <f>+IF(A_1[[#This Row],[Nome]]="","",(A_1[[#This Row],[Data iscrizione libro soci]]&lt;=$C$4)*1)</f>
        <v/>
      </c>
    </row>
    <row r="86" spans="1:9" x14ac:dyDescent="0.2">
      <c r="A86" s="140">
        <v>100</v>
      </c>
      <c r="B86" s="123"/>
      <c r="C86" s="124"/>
      <c r="D86" s="58"/>
      <c r="E86" s="125"/>
      <c r="F86" s="131"/>
      <c r="G86" s="132"/>
      <c r="H86" s="128"/>
      <c r="I86" s="129" t="str">
        <f>+IF(A_1[[#This Row],[Nome]]="","",(A_1[[#This Row],[Data iscrizione libro soci]]&lt;=$C$4)*1)</f>
        <v/>
      </c>
    </row>
    <row r="87" spans="1:9" x14ac:dyDescent="0.2">
      <c r="A87" s="140">
        <v>100</v>
      </c>
      <c r="B87" s="123"/>
      <c r="C87" s="124"/>
      <c r="D87" s="58"/>
      <c r="E87" s="125"/>
      <c r="F87" s="131"/>
      <c r="G87" s="132"/>
      <c r="H87" s="128"/>
      <c r="I87" s="129" t="str">
        <f>+IF(A_1[[#This Row],[Nome]]="","",(A_1[[#This Row],[Data iscrizione libro soci]]&lt;=$C$4)*1)</f>
        <v/>
      </c>
    </row>
    <row r="88" spans="1:9" x14ac:dyDescent="0.2">
      <c r="A88" s="140">
        <v>100</v>
      </c>
      <c r="B88" s="123"/>
      <c r="C88" s="124"/>
      <c r="D88" s="58"/>
      <c r="E88" s="125"/>
      <c r="F88" s="131"/>
      <c r="G88" s="132"/>
      <c r="H88" s="128"/>
      <c r="I88" s="129" t="str">
        <f>+IF(A_1[[#This Row],[Nome]]="","",(A_1[[#This Row],[Data iscrizione libro soci]]&lt;=$C$4)*1)</f>
        <v/>
      </c>
    </row>
    <row r="89" spans="1:9" x14ac:dyDescent="0.2">
      <c r="A89" s="140">
        <v>100</v>
      </c>
      <c r="B89" s="123"/>
      <c r="C89" s="124"/>
      <c r="D89" s="58"/>
      <c r="E89" s="125"/>
      <c r="F89" s="131"/>
      <c r="G89" s="132"/>
      <c r="H89" s="128"/>
      <c r="I89" s="129" t="str">
        <f>+IF(A_1[[#This Row],[Nome]]="","",(A_1[[#This Row],[Data iscrizione libro soci]]&lt;=$C$4)*1)</f>
        <v/>
      </c>
    </row>
    <row r="90" spans="1:9" x14ac:dyDescent="0.2">
      <c r="A90" s="140">
        <v>100</v>
      </c>
      <c r="B90" s="123"/>
      <c r="C90" s="124"/>
      <c r="D90" s="58"/>
      <c r="E90" s="125"/>
      <c r="F90" s="131"/>
      <c r="G90" s="132"/>
      <c r="H90" s="128"/>
      <c r="I90" s="129" t="str">
        <f>+IF(A_1[[#This Row],[Nome]]="","",(A_1[[#This Row],[Data iscrizione libro soci]]&lt;=$C$4)*1)</f>
        <v/>
      </c>
    </row>
    <row r="91" spans="1:9" x14ac:dyDescent="0.2">
      <c r="A91" s="140">
        <v>100</v>
      </c>
      <c r="B91" s="123"/>
      <c r="C91" s="124"/>
      <c r="D91" s="58"/>
      <c r="E91" s="125"/>
      <c r="F91" s="131"/>
      <c r="G91" s="132"/>
      <c r="H91" s="128"/>
      <c r="I91" s="129" t="str">
        <f>+IF(A_1[[#This Row],[Nome]]="","",(A_1[[#This Row],[Data iscrizione libro soci]]&lt;=$C$4)*1)</f>
        <v/>
      </c>
    </row>
    <row r="92" spans="1:9" x14ac:dyDescent="0.2">
      <c r="A92" s="140">
        <v>100</v>
      </c>
      <c r="B92" s="123"/>
      <c r="C92" s="124"/>
      <c r="D92" s="58"/>
      <c r="E92" s="125"/>
      <c r="F92" s="131"/>
      <c r="G92" s="132"/>
      <c r="H92" s="128"/>
      <c r="I92" s="129" t="str">
        <f>+IF(A_1[[#This Row],[Nome]]="","",(A_1[[#This Row],[Data iscrizione libro soci]]&lt;=$C$4)*1)</f>
        <v/>
      </c>
    </row>
    <row r="93" spans="1:9" x14ac:dyDescent="0.2">
      <c r="A93" s="140">
        <v>100</v>
      </c>
      <c r="B93" s="123"/>
      <c r="C93" s="124"/>
      <c r="D93" s="58"/>
      <c r="E93" s="125"/>
      <c r="F93" s="131"/>
      <c r="G93" s="132"/>
      <c r="H93" s="128"/>
      <c r="I93" s="129" t="str">
        <f>+IF(A_1[[#This Row],[Nome]]="","",(A_1[[#This Row],[Data iscrizione libro soci]]&lt;=$C$4)*1)</f>
        <v/>
      </c>
    </row>
    <row r="94" spans="1:9" x14ac:dyDescent="0.2">
      <c r="A94" s="140">
        <v>100</v>
      </c>
      <c r="B94" s="123"/>
      <c r="C94" s="124"/>
      <c r="D94" s="58"/>
      <c r="E94" s="125"/>
      <c r="F94" s="131"/>
      <c r="G94" s="132"/>
      <c r="H94" s="128"/>
      <c r="I94" s="129" t="str">
        <f>+IF(A_1[[#This Row],[Nome]]="","",(A_1[[#This Row],[Data iscrizione libro soci]]&lt;=$C$4)*1)</f>
        <v/>
      </c>
    </row>
    <row r="95" spans="1:9" x14ac:dyDescent="0.2">
      <c r="A95" s="140">
        <v>100</v>
      </c>
      <c r="B95" s="123"/>
      <c r="C95" s="124"/>
      <c r="D95" s="58"/>
      <c r="E95" s="125"/>
      <c r="F95" s="131"/>
      <c r="G95" s="132"/>
      <c r="H95" s="128"/>
      <c r="I95" s="129" t="str">
        <f>+IF(A_1[[#This Row],[Nome]]="","",(A_1[[#This Row],[Data iscrizione libro soci]]&lt;=$C$4)*1)</f>
        <v/>
      </c>
    </row>
    <row r="96" spans="1:9" x14ac:dyDescent="0.2">
      <c r="A96" s="140">
        <v>100</v>
      </c>
      <c r="B96" s="123"/>
      <c r="C96" s="124"/>
      <c r="D96" s="58"/>
      <c r="E96" s="125"/>
      <c r="F96" s="131"/>
      <c r="G96" s="132"/>
      <c r="H96" s="128"/>
      <c r="I96" s="129" t="str">
        <f>+IF(A_1[[#This Row],[Nome]]="","",(A_1[[#This Row],[Data iscrizione libro soci]]&lt;=$C$4)*1)</f>
        <v/>
      </c>
    </row>
    <row r="97" spans="1:9" x14ac:dyDescent="0.2">
      <c r="A97" s="140">
        <v>100</v>
      </c>
      <c r="B97" s="123"/>
      <c r="C97" s="124"/>
      <c r="D97" s="58"/>
      <c r="E97" s="125"/>
      <c r="F97" s="131"/>
      <c r="G97" s="132"/>
      <c r="H97" s="128"/>
      <c r="I97" s="129" t="str">
        <f>+IF(A_1[[#This Row],[Nome]]="","",(A_1[[#This Row],[Data iscrizione libro soci]]&lt;=$C$4)*1)</f>
        <v/>
      </c>
    </row>
    <row r="98" spans="1:9" x14ac:dyDescent="0.2">
      <c r="A98" s="140">
        <v>100</v>
      </c>
      <c r="B98" s="123"/>
      <c r="C98" s="124"/>
      <c r="D98" s="58"/>
      <c r="E98" s="125"/>
      <c r="F98" s="131"/>
      <c r="G98" s="132"/>
      <c r="H98" s="128"/>
      <c r="I98" s="129" t="str">
        <f>+IF(A_1[[#This Row],[Nome]]="","",(A_1[[#This Row],[Data iscrizione libro soci]]&lt;=$C$4)*1)</f>
        <v/>
      </c>
    </row>
    <row r="99" spans="1:9" x14ac:dyDescent="0.2">
      <c r="A99" s="140">
        <v>100</v>
      </c>
      <c r="B99" s="123"/>
      <c r="C99" s="124"/>
      <c r="D99" s="58"/>
      <c r="E99" s="125"/>
      <c r="F99" s="131"/>
      <c r="G99" s="132"/>
      <c r="H99" s="128"/>
      <c r="I99" s="129" t="str">
        <f>+IF(A_1[[#This Row],[Nome]]="","",(A_1[[#This Row],[Data iscrizione libro soci]]&lt;=$C$4)*1)</f>
        <v/>
      </c>
    </row>
    <row r="100" spans="1:9" x14ac:dyDescent="0.2">
      <c r="A100" s="140">
        <v>100</v>
      </c>
      <c r="B100" s="123"/>
      <c r="C100" s="124"/>
      <c r="D100" s="58"/>
      <c r="E100" s="125"/>
      <c r="F100" s="131"/>
      <c r="G100" s="132"/>
      <c r="H100" s="128"/>
      <c r="I100" s="129" t="str">
        <f>+IF(A_1[[#This Row],[Nome]]="","",(A_1[[#This Row],[Data iscrizione libro soci]]&lt;=$C$4)*1)</f>
        <v/>
      </c>
    </row>
    <row r="101" spans="1:9" x14ac:dyDescent="0.2">
      <c r="A101" s="140">
        <v>100</v>
      </c>
      <c r="B101" s="123"/>
      <c r="C101" s="124"/>
      <c r="D101" s="58"/>
      <c r="E101" s="125"/>
      <c r="F101" s="131"/>
      <c r="G101" s="132"/>
      <c r="H101" s="128"/>
      <c r="I101" s="129" t="str">
        <f>+IF(A_1[[#This Row],[Nome]]="","",(A_1[[#This Row],[Data iscrizione libro soci]]&lt;=$C$4)*1)</f>
        <v/>
      </c>
    </row>
    <row r="102" spans="1:9" x14ac:dyDescent="0.2">
      <c r="A102" s="140">
        <v>100</v>
      </c>
      <c r="B102" s="123"/>
      <c r="C102" s="124"/>
      <c r="D102" s="58"/>
      <c r="E102" s="125"/>
      <c r="F102" s="131"/>
      <c r="G102" s="132"/>
      <c r="H102" s="128"/>
      <c r="I102" s="129" t="str">
        <f>+IF(A_1[[#This Row],[Nome]]="","",(A_1[[#This Row],[Data iscrizione libro soci]]&lt;=$C$4)*1)</f>
        <v/>
      </c>
    </row>
    <row r="103" spans="1:9" x14ac:dyDescent="0.2">
      <c r="A103" s="140">
        <v>100</v>
      </c>
      <c r="B103" s="123"/>
      <c r="C103" s="124"/>
      <c r="D103" s="58"/>
      <c r="E103" s="125"/>
      <c r="F103" s="131"/>
      <c r="G103" s="132"/>
      <c r="H103" s="128"/>
      <c r="I103" s="129" t="str">
        <f>+IF(A_1[[#This Row],[Nome]]="","",(A_1[[#This Row],[Data iscrizione libro soci]]&lt;=$C$4)*1)</f>
        <v/>
      </c>
    </row>
    <row r="104" spans="1:9" x14ac:dyDescent="0.2">
      <c r="A104" s="140">
        <v>100</v>
      </c>
      <c r="B104" s="123"/>
      <c r="C104" s="124"/>
      <c r="D104" s="58"/>
      <c r="E104" s="125"/>
      <c r="F104" s="131"/>
      <c r="G104" s="132"/>
      <c r="H104" s="128"/>
      <c r="I104" s="129" t="str">
        <f>+IF(A_1[[#This Row],[Nome]]="","",(A_1[[#This Row],[Data iscrizione libro soci]]&lt;=$C$4)*1)</f>
        <v/>
      </c>
    </row>
    <row r="105" spans="1:9" x14ac:dyDescent="0.2">
      <c r="A105" s="140">
        <v>100</v>
      </c>
      <c r="B105" s="58"/>
      <c r="C105" s="124"/>
      <c r="D105" s="58"/>
      <c r="E105" s="58"/>
      <c r="F105" s="133"/>
      <c r="G105" s="134"/>
      <c r="H105" s="128"/>
      <c r="I105" s="129" t="str">
        <f>+IF(A_1[[#This Row],[Nome]]="","",(A_1[[#This Row],[Data iscrizione libro soci]]&lt;=$C$4)*1)</f>
        <v/>
      </c>
    </row>
    <row r="106" spans="1:9" x14ac:dyDescent="0.2">
      <c r="A106" s="140">
        <v>100</v>
      </c>
    </row>
    <row r="107" spans="1:9" x14ac:dyDescent="0.2">
      <c r="A107" s="140"/>
    </row>
  </sheetData>
  <sheetProtection algorithmName="SHA-512" hashValue="BK4WtkGUdWT3ggjn1CoqDeTeUVHAF7me08rn9gWtt69qctwXbnKkhh5pK3TDrTnbtUOnfpOr1jLn/lYFtqUN9Q==" saltValue="rcUCcbtI5+tkoDESoR8Giw==" spinCount="100000" sheet="1" formatCells="0" formatColumns="0" formatRows="0" insertColumns="0" insertRows="0" insertHyperlinks="0" deleteColumns="0" deleteRows="0" sort="0" autoFilter="0" pivotTables="0"/>
  <conditionalFormatting sqref="C6:C105">
    <cfRule type="cellIs" dxfId="1" priority="3" operator="greaterThan">
      <formula>45565</formula>
    </cfRule>
  </conditionalFormatting>
  <dataValidations count="3">
    <dataValidation type="list" allowBlank="1" showInputMessage="1" showErrorMessage="1" sqref="D6:D104" xr:uid="{00000000-0002-0000-0300-000000000000}">
      <formula1>"PF,PG,PEX"</formula1>
    </dataValidation>
    <dataValidation errorStyle="warning" operator="lessThan" showInputMessage="1" errorTitle="Non applicabile" error="Attenzione la cessione agevolata è possibile solo per i soggetti che erano già soci al 30/09/2015" sqref="I6:I105" xr:uid="{00000000-0002-0000-0300-000001000000}"/>
    <dataValidation type="date" errorStyle="warning" operator="lessThan" allowBlank="1" showInputMessage="1" showErrorMessage="1" errorTitle="Non applicabile" error="Attenzione la cessione agevolata è possibile solo per i soggetti che erano già soci al 30/09/2024" sqref="C6:C105" xr:uid="{E50397E9-7E76-4537-94B9-FF7123E1BD7C}">
      <formula1>45566</formula1>
    </dataValidation>
  </dataValidations>
  <pageMargins left="0.25" right="0.25" top="0.75" bottom="0.75" header="0.3" footer="0.3"/>
  <pageSetup paperSize="9" scale="52" fitToHeight="0" orientation="landscape" r:id="rId1"/>
  <drawing r:id="rId2"/>
  <legacy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ECCECE9C-6EA4-4D2B-A3B4-57BCE3D366DD}">
            <x14:iconSet iconSet="3Symbols2" showValue="0" custom="1">
              <x14:cfvo type="percent">
                <xm:f>0</xm:f>
              </x14:cfvo>
              <x14:cfvo type="num">
                <xm:f>-1</xm:f>
              </x14:cfvo>
              <x14:cfvo type="num" gte="0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I5</xm:sqref>
        </x14:conditionalFormatting>
        <x14:conditionalFormatting xmlns:xm="http://schemas.microsoft.com/office/excel/2006/main">
          <x14:cfRule type="iconSet" priority="12" id="{84C3B6B6-B6DA-4EF9-AE30-68FB034F6467}">
            <x14:iconSet iconSet="3Symbols2" showValue="0" custom="1">
              <x14:cfvo type="percent">
                <xm:f>0</xm:f>
              </x14:cfvo>
              <x14:cfvo type="num">
                <xm:f>-1</xm:f>
              </x14:cfvo>
              <x14:cfvo type="num" gte="0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I6:I105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oglio6">
    <pageSetUpPr fitToPage="1"/>
  </sheetPr>
  <dimension ref="A1:Z105"/>
  <sheetViews>
    <sheetView showGridLines="0" zoomScaleNormal="100" workbookViewId="0">
      <selection activeCell="N5" sqref="N5"/>
    </sheetView>
  </sheetViews>
  <sheetFormatPr defaultColWidth="9.140625" defaultRowHeight="14.25" x14ac:dyDescent="0.2"/>
  <cols>
    <col min="1" max="1" width="19.5703125" style="56" customWidth="1"/>
    <col min="2" max="2" width="22" style="56" bestFit="1" customWidth="1"/>
    <col min="3" max="3" width="32.7109375" style="56" customWidth="1"/>
    <col min="4" max="4" width="19.7109375" style="56" bestFit="1" customWidth="1"/>
    <col min="5" max="5" width="13.7109375" style="56" customWidth="1"/>
    <col min="6" max="6" width="14.42578125" style="56" customWidth="1"/>
    <col min="7" max="7" width="19.7109375" style="56" customWidth="1"/>
    <col min="8" max="8" width="19.42578125" style="56" bestFit="1" customWidth="1"/>
    <col min="9" max="9" width="18.85546875" style="56" customWidth="1"/>
    <col min="10" max="10" width="19.5703125" style="56" customWidth="1"/>
    <col min="11" max="11" width="21.140625" style="56" bestFit="1" customWidth="1"/>
    <col min="12" max="12" width="15.28515625" style="56" customWidth="1"/>
    <col min="13" max="13" width="16.85546875" style="56" bestFit="1" customWidth="1"/>
    <col min="14" max="14" width="18.140625" style="56" bestFit="1" customWidth="1"/>
    <col min="15" max="15" width="14.140625" style="56" customWidth="1"/>
    <col min="16" max="16" width="16.7109375" style="56" bestFit="1" customWidth="1"/>
    <col min="17" max="17" width="19.7109375" style="56" bestFit="1" customWidth="1"/>
    <col min="18" max="18" width="17.85546875" style="56" bestFit="1" customWidth="1"/>
    <col min="19" max="19" width="16.7109375" style="56" customWidth="1"/>
    <col min="20" max="20" width="21.140625" style="56" bestFit="1" customWidth="1"/>
    <col min="21" max="21" width="20.85546875" style="56" bestFit="1" customWidth="1"/>
    <col min="22" max="22" width="18.85546875" style="56" bestFit="1" customWidth="1"/>
    <col min="23" max="23" width="18" style="56" customWidth="1"/>
    <col min="24" max="25" width="17.85546875" style="56" bestFit="1" customWidth="1"/>
    <col min="26" max="26" width="28.42578125" style="56" customWidth="1"/>
    <col min="27" max="16384" width="9.140625" style="56"/>
  </cols>
  <sheetData>
    <row r="1" spans="1:26" ht="111" customHeight="1" x14ac:dyDescent="0.2"/>
    <row r="2" spans="1:26" ht="54.95" customHeight="1" x14ac:dyDescent="0.2">
      <c r="Q2" s="292"/>
    </row>
    <row r="3" spans="1:26" ht="26.25" customHeight="1" x14ac:dyDescent="0.2">
      <c r="A3" s="219" t="s">
        <v>108</v>
      </c>
      <c r="B3" s="219"/>
      <c r="C3" s="219"/>
      <c r="D3" s="219"/>
      <c r="E3" s="219"/>
      <c r="F3" s="219"/>
      <c r="G3" s="228">
        <f>SUM(B[Valore normale])</f>
        <v>230000</v>
      </c>
      <c r="H3" s="228">
        <f>SUM(B[Valore netto contabile fiscalmente riconosciuto])</f>
        <v>0</v>
      </c>
      <c r="I3" s="228">
        <f>SUM(B[Valore contabile attribuito])</f>
        <v>0</v>
      </c>
      <c r="J3" s="228"/>
      <c r="K3" s="228"/>
      <c r="L3" s="228"/>
      <c r="M3" s="228"/>
      <c r="N3" s="228">
        <f>SUM(B[Valore catastale])</f>
        <v>201600</v>
      </c>
      <c r="O3" s="228"/>
      <c r="P3" s="228"/>
      <c r="Q3" s="228">
        <f>SUM(B[Valore ai fini dell''imposta di registro])</f>
        <v>201600</v>
      </c>
      <c r="R3" s="228">
        <f>+(SUM(B[Imponibile Imposta sostitutiva])&gt;0)*1*SUM(B[Imponibile Imposta sostitutiva])</f>
        <v>201600</v>
      </c>
      <c r="S3" s="228">
        <f>SUM(B[Iva se dovuta])</f>
        <v>0</v>
      </c>
      <c r="T3" s="228">
        <f>SUM(B[Imposta di registro (fissa + prop) senza agevolazione])</f>
        <v>200</v>
      </c>
      <c r="U3" s="228">
        <f>SUM(B[Ipotecaria e catastale senza agevolazione])</f>
        <v>9200</v>
      </c>
      <c r="V3" s="228">
        <f>SUM(B[Imposta di registro in misura fissa agevolata])</f>
        <v>200</v>
      </c>
      <c r="W3" s="228">
        <f>SUM(B[Imposta di registro prop. Agevolata])</f>
        <v>0</v>
      </c>
      <c r="X3" s="228">
        <f>SUM(B[Totale imposta di registro])*(p&lt;3)+200*(p=3)</f>
        <v>200</v>
      </c>
      <c r="Y3" s="228">
        <f>SUM(B[Ipotecaria catastale agevolata])</f>
        <v>400</v>
      </c>
      <c r="Z3" s="228"/>
    </row>
    <row r="4" spans="1:26" s="165" customFormat="1" ht="71.25" customHeight="1" x14ac:dyDescent="0.25">
      <c r="A4" s="166" t="s">
        <v>13</v>
      </c>
      <c r="B4" s="166" t="s">
        <v>193</v>
      </c>
      <c r="C4" s="166" t="s">
        <v>167</v>
      </c>
      <c r="D4" s="166" t="s">
        <v>14</v>
      </c>
      <c r="E4" s="166" t="s">
        <v>16</v>
      </c>
      <c r="F4" s="166" t="s">
        <v>92</v>
      </c>
      <c r="G4" s="166" t="s">
        <v>191</v>
      </c>
      <c r="H4" s="166" t="s">
        <v>307</v>
      </c>
      <c r="I4" s="166" t="s">
        <v>306</v>
      </c>
      <c r="J4" s="166" t="s">
        <v>251</v>
      </c>
      <c r="K4" s="166" t="s">
        <v>179</v>
      </c>
      <c r="L4" s="166" t="s">
        <v>252</v>
      </c>
      <c r="M4" s="166" t="s">
        <v>315</v>
      </c>
      <c r="N4" s="218" t="s">
        <v>96</v>
      </c>
      <c r="O4" s="218" t="s">
        <v>3</v>
      </c>
      <c r="P4" s="218" t="s">
        <v>205</v>
      </c>
      <c r="Q4" s="218" t="s">
        <v>324</v>
      </c>
      <c r="R4" s="218" t="s">
        <v>325</v>
      </c>
      <c r="S4" s="218" t="s">
        <v>195</v>
      </c>
      <c r="T4" s="218" t="s">
        <v>320</v>
      </c>
      <c r="U4" s="218" t="s">
        <v>197</v>
      </c>
      <c r="V4" s="218" t="s">
        <v>321</v>
      </c>
      <c r="W4" s="218" t="s">
        <v>322</v>
      </c>
      <c r="X4" s="218" t="s">
        <v>323</v>
      </c>
      <c r="Y4" s="218" t="s">
        <v>199</v>
      </c>
      <c r="Z4" s="218" t="s">
        <v>341</v>
      </c>
    </row>
    <row r="5" spans="1:26" s="116" customFormat="1" ht="28.5" x14ac:dyDescent="0.25">
      <c r="A5" s="123" t="s">
        <v>397</v>
      </c>
      <c r="B5" s="123">
        <v>1978</v>
      </c>
      <c r="C5" s="143" t="s">
        <v>334</v>
      </c>
      <c r="D5" s="124" t="s">
        <v>15</v>
      </c>
      <c r="E5" s="123" t="s">
        <v>120</v>
      </c>
      <c r="F5" s="141">
        <v>3200</v>
      </c>
      <c r="G5" s="142">
        <v>230000</v>
      </c>
      <c r="H5" s="142">
        <v>0</v>
      </c>
      <c r="I5" s="142">
        <v>0</v>
      </c>
      <c r="J5" s="142"/>
      <c r="K5" s="143" t="s">
        <v>383</v>
      </c>
      <c r="L5" s="142"/>
      <c r="M5" s="144" t="s">
        <v>391</v>
      </c>
      <c r="N5" s="145">
        <f>+IF(B[[#This Row],[Categoria Catastale]]="",0,VLOOKUP(B[[#This Row],[Categoria Catastale]],Gruppi[],6,0)*B[[#This Row],[Rendita catastale]])</f>
        <v>201600</v>
      </c>
      <c r="O5" s="146">
        <f t="shared" ref="O5:O36" si="0">+IF(A5="","",IF(D5="Sì",0,1))</f>
        <v>1</v>
      </c>
      <c r="P5" s="177">
        <f>+IF(B[[#This Row],[Valore inserito manualmente]]&gt;0,B[[#This Row],[Valore inserito manualmente]],B[[#This Row],[Valore catastale]])</f>
        <v>201600</v>
      </c>
      <c r="Q5" s="177">
        <f>+IF(OR(B[[#This Row],[Opzione per prezzo-valore (s/n)]]="s",B[[#This Row],[Valore inserito manualmente]]=0),B[[#This Row],[Valore catastale]],B[[#This Row],[Valore inserito manualmente]])</f>
        <v>201600</v>
      </c>
      <c r="R5" s="17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201600</v>
      </c>
      <c r="S5" s="177">
        <f>+IF(B[[#This Row],[Bene]]="","",VLOOKUP(B[[#This Row],[Tipologia]],TipoImm[],3,0)*B[[#This Row],[Imponibile Iva]])</f>
        <v>0</v>
      </c>
      <c r="T5" s="177">
        <f>+IF(B[[#This Row],[Bene]]="","",VLOOKUP(B[[#This Row],[Tipologia]],TipoImm[],6,0)*B[[#This Row],[Valore catastale]]+VLOOKUP(B[[#This Row],[Tipologia]],TipoImm[],4,0))</f>
        <v>200</v>
      </c>
      <c r="U5" s="177">
        <f>+IF(B[[#This Row],[Bene]]="","",VLOOKUP(B[[#This Row],[Tipologia]],TipoImm[],8,0)*B[[#This Row],[Valore normale]]+VLOOKUP(B[[#This Row],[Tipologia]],TipoImm[],9,0))</f>
        <v>9200</v>
      </c>
      <c r="V5" s="177">
        <f>+IF(OR(B[[#This Row],[Bene]]="",B[[#This Row],[Agevolabile]]=0),0,VLOOKUP(B[[#This Row],[Tipologia]],TipoImm[],5,0))</f>
        <v>200</v>
      </c>
      <c r="W5" s="17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" s="177">
        <f>SUM(B[[#This Row],[Imposta di registro in misura fissa agevolata]:[Imposta di registro prop. Agevolata]])</f>
        <v>200</v>
      </c>
      <c r="Y5" s="177">
        <f>+IF(B[[#This Row],[Bene]]="",0,VLOOKUP(B[[#This Row],[Tipologia]],TipoImm[],10,0))</f>
        <v>400</v>
      </c>
      <c r="Z5" s="173" t="str">
        <f>+IF(p=3,"",IF(B[[#This Row],[Tipologia]]="","",VLOOKUP(B[[#This Row],[Tipologia]],TipoImm[],MATCH($Z$4,Tabelle!$AF$1:$AR$1,0),0)))</f>
        <v>Esente art. 10 c.1 n 8 ter</v>
      </c>
    </row>
    <row r="6" spans="1:26" x14ac:dyDescent="0.2">
      <c r="A6" s="123"/>
      <c r="B6" s="123"/>
      <c r="C6" s="143"/>
      <c r="D6" s="124"/>
      <c r="E6" s="123"/>
      <c r="F6" s="141"/>
      <c r="G6" s="142"/>
      <c r="H6" s="142"/>
      <c r="I6" s="142"/>
      <c r="J6" s="142"/>
      <c r="K6" s="143"/>
      <c r="L6" s="142"/>
      <c r="M6" s="150"/>
      <c r="N6" s="145">
        <f>+IF(B[[#This Row],[Categoria Catastale]]="",0,VLOOKUP(B[[#This Row],[Categoria Catastale]],Gruppi[],6,0)*B[[#This Row],[Rendita catastale]])</f>
        <v>0</v>
      </c>
      <c r="O6" s="146" t="str">
        <f t="shared" si="0"/>
        <v/>
      </c>
      <c r="P6" s="147">
        <f>+IF(B[[#This Row],[Valore inserito manualmente]]&gt;0,B[[#This Row],[Valore inserito manualmente]],B[[#This Row],[Valore catastale]])</f>
        <v>0</v>
      </c>
      <c r="Q6" s="147">
        <f>+IF(OR(B[[#This Row],[Opzione per prezzo-valore (s/n)]]="s",B[[#This Row],[Valore inserito manualmente]]=0),B[[#This Row],[Valore catastale]],B[[#This Row],[Valore inserito manualmente]])</f>
        <v>0</v>
      </c>
      <c r="R6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" s="147" t="str">
        <f>+IF(B[[#This Row],[Bene]]="","",VLOOKUP(B[[#This Row],[Tipologia]],TipoImm[],3,0)*B[[#This Row],[Imponibile Iva]])</f>
        <v/>
      </c>
      <c r="T6" s="147" t="str">
        <f>+IF(B[[#This Row],[Bene]]="","",VLOOKUP(B[[#This Row],[Tipologia]],TipoImm[],6,0)*B[[#This Row],[Valore catastale]]+VLOOKUP(B[[#This Row],[Tipologia]],TipoImm[],4,0))</f>
        <v/>
      </c>
      <c r="U6" s="151" t="str">
        <f>+IF(B[[#This Row],[Bene]]="","",VLOOKUP(B[[#This Row],[Tipologia]],TipoImm[],8,0)*B[[#This Row],[Valore normale]]+VLOOKUP(B[[#This Row],[Tipologia]],TipoImm[],9,0))</f>
        <v/>
      </c>
      <c r="V6" s="147">
        <f>+IF(OR(B[[#This Row],[Bene]]="",B[[#This Row],[Agevolabile]]=0),0,VLOOKUP(B[[#This Row],[Tipologia]],TipoImm[],5,0))</f>
        <v>0</v>
      </c>
      <c r="W6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" s="147">
        <f>SUM(B[[#This Row],[Imposta di registro in misura fissa agevolata]:[Imposta di registro prop. Agevolata]])</f>
        <v>0</v>
      </c>
      <c r="Y6" s="147">
        <f>+IF(B[[#This Row],[Bene]]="",0,VLOOKUP(B[[#This Row],[Tipologia]],TipoImm[],10,0))</f>
        <v>0</v>
      </c>
      <c r="Z6" s="149" t="str">
        <f>+IF(p=3,"",IF(B[[#This Row],[Tipologia]]="","",VLOOKUP(B[[#This Row],[Tipologia]],TipoImm[],MATCH($Z$4,Tabelle!$AF$1:$AR$1,0),0)))</f>
        <v/>
      </c>
    </row>
    <row r="7" spans="1:26" x14ac:dyDescent="0.2">
      <c r="A7" s="123"/>
      <c r="B7" s="123"/>
      <c r="C7" s="143"/>
      <c r="D7" s="124"/>
      <c r="E7" s="123"/>
      <c r="F7" s="152"/>
      <c r="G7" s="153"/>
      <c r="H7" s="153"/>
      <c r="I7" s="153"/>
      <c r="J7" s="142"/>
      <c r="K7" s="143"/>
      <c r="L7" s="153"/>
      <c r="M7" s="150"/>
      <c r="N7" s="145">
        <f>+IF(B[[#This Row],[Categoria Catastale]]="",0,VLOOKUP(B[[#This Row],[Categoria Catastale]],Gruppi[],6,0)*B[[#This Row],[Rendita catastale]])</f>
        <v>0</v>
      </c>
      <c r="O7" s="146" t="str">
        <f t="shared" si="0"/>
        <v/>
      </c>
      <c r="P7" s="147">
        <f>+IF(B[[#This Row],[Valore inserito manualmente]]&gt;0,B[[#This Row],[Valore inserito manualmente]],B[[#This Row],[Valore catastale]])</f>
        <v>0</v>
      </c>
      <c r="Q7" s="147">
        <f>+IF(OR(B[[#This Row],[Opzione per prezzo-valore (s/n)]]="s",B[[#This Row],[Valore inserito manualmente]]=0),B[[#This Row],[Valore catastale]],B[[#This Row],[Valore inserito manualmente]])</f>
        <v>0</v>
      </c>
      <c r="R7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" s="147" t="str">
        <f>+IF(B[[#This Row],[Bene]]="","",VLOOKUP(B[[#This Row],[Tipologia]],TipoImm[],3,0)*B[[#This Row],[Imponibile Iva]])</f>
        <v/>
      </c>
      <c r="T7" s="147" t="str">
        <f>+IF(B[[#This Row],[Bene]]="","",VLOOKUP(B[[#This Row],[Tipologia]],TipoImm[],6,0)*B[[#This Row],[Valore catastale]]+VLOOKUP(B[[#This Row],[Tipologia]],TipoImm[],4,0))</f>
        <v/>
      </c>
      <c r="U7" s="151" t="str">
        <f>+IF(B[[#This Row],[Bene]]="","",VLOOKUP(B[[#This Row],[Tipologia]],TipoImm[],8,0)*B[[#This Row],[Valore normale]]+VLOOKUP(B[[#This Row],[Tipologia]],TipoImm[],9,0))</f>
        <v/>
      </c>
      <c r="V7" s="147">
        <f>+IF(OR(B[[#This Row],[Bene]]="",B[[#This Row],[Agevolabile]]=0),0,VLOOKUP(B[[#This Row],[Tipologia]],TipoImm[],5,0))</f>
        <v>0</v>
      </c>
      <c r="W7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" s="147">
        <f>SUM(B[[#This Row],[Imposta di registro in misura fissa agevolata]:[Imposta di registro prop. Agevolata]])</f>
        <v>0</v>
      </c>
      <c r="Y7" s="147">
        <f>+IF(B[[#This Row],[Bene]]="",0,VLOOKUP(B[[#This Row],[Tipologia]],TipoImm[],10,0))</f>
        <v>0</v>
      </c>
      <c r="Z7" s="149" t="str">
        <f>+IF(p=3,"",IF(B[[#This Row],[Tipologia]]="","",VLOOKUP(B[[#This Row],[Tipologia]],TipoImm[],MATCH($Z$4,Tabelle!$AF$1:$AR$1,0),0)))</f>
        <v/>
      </c>
    </row>
    <row r="8" spans="1:26" x14ac:dyDescent="0.2">
      <c r="A8" s="123"/>
      <c r="B8" s="123"/>
      <c r="C8" s="143"/>
      <c r="D8" s="124"/>
      <c r="E8" s="123"/>
      <c r="F8" s="152"/>
      <c r="G8" s="153"/>
      <c r="H8" s="153"/>
      <c r="I8" s="153"/>
      <c r="J8" s="142"/>
      <c r="K8" s="143"/>
      <c r="L8" s="153"/>
      <c r="M8" s="150"/>
      <c r="N8" s="145">
        <f>+IF(B[[#This Row],[Categoria Catastale]]="",0,VLOOKUP(B[[#This Row],[Categoria Catastale]],Gruppi[],6,0)*B[[#This Row],[Rendita catastale]])</f>
        <v>0</v>
      </c>
      <c r="O8" s="146" t="str">
        <f t="shared" si="0"/>
        <v/>
      </c>
      <c r="P8" s="147">
        <f>+IF(B[[#This Row],[Valore inserito manualmente]]&gt;0,B[[#This Row],[Valore inserito manualmente]],B[[#This Row],[Valore catastale]])</f>
        <v>0</v>
      </c>
      <c r="Q8" s="147">
        <f>+IF(OR(B[[#This Row],[Opzione per prezzo-valore (s/n)]]="s",B[[#This Row],[Valore inserito manualmente]]=0),B[[#This Row],[Valore catastale]],B[[#This Row],[Valore inserito manualmente]])</f>
        <v>0</v>
      </c>
      <c r="R8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" s="147" t="str">
        <f>+IF(B[[#This Row],[Bene]]="","",VLOOKUP(B[[#This Row],[Tipologia]],TipoImm[],3,0)*B[[#This Row],[Imponibile Iva]])</f>
        <v/>
      </c>
      <c r="T8" s="147" t="str">
        <f>+IF(B[[#This Row],[Bene]]="","",VLOOKUP(B[[#This Row],[Tipologia]],TipoImm[],6,0)*B[[#This Row],[Valore catastale]]+VLOOKUP(B[[#This Row],[Tipologia]],TipoImm[],4,0))</f>
        <v/>
      </c>
      <c r="U8" s="151" t="str">
        <f>+IF(B[[#This Row],[Bene]]="","",VLOOKUP(B[[#This Row],[Tipologia]],TipoImm[],8,0)*B[[#This Row],[Valore normale]]+VLOOKUP(B[[#This Row],[Tipologia]],TipoImm[],9,0))</f>
        <v/>
      </c>
      <c r="V8" s="147">
        <f>+IF(OR(B[[#This Row],[Bene]]="",B[[#This Row],[Agevolabile]]=0),0,VLOOKUP(B[[#This Row],[Tipologia]],TipoImm[],5,0))</f>
        <v>0</v>
      </c>
      <c r="W8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" s="147">
        <f>SUM(B[[#This Row],[Imposta di registro in misura fissa agevolata]:[Imposta di registro prop. Agevolata]])</f>
        <v>0</v>
      </c>
      <c r="Y8" s="147">
        <f>+IF(B[[#This Row],[Bene]]="",0,VLOOKUP(B[[#This Row],[Tipologia]],TipoImm[],10,0))</f>
        <v>0</v>
      </c>
      <c r="Z8" s="149" t="str">
        <f>+IF(p=3,"",IF(B[[#This Row],[Tipologia]]="","",VLOOKUP(B[[#This Row],[Tipologia]],TipoImm[],MATCH($Z$4,Tabelle!$AF$1:$AR$1,0),0)))</f>
        <v/>
      </c>
    </row>
    <row r="9" spans="1:26" x14ac:dyDescent="0.2">
      <c r="A9" s="123"/>
      <c r="B9" s="123"/>
      <c r="C9" s="143"/>
      <c r="D9" s="124"/>
      <c r="E9" s="123"/>
      <c r="F9" s="152"/>
      <c r="G9" s="153"/>
      <c r="H9" s="153"/>
      <c r="I9" s="153"/>
      <c r="J9" s="142"/>
      <c r="K9" s="143"/>
      <c r="L9" s="153"/>
      <c r="M9" s="150"/>
      <c r="N9" s="145">
        <f>+IF(B[[#This Row],[Categoria Catastale]]="",0,VLOOKUP(B[[#This Row],[Categoria Catastale]],Gruppi[],6,0)*B[[#This Row],[Rendita catastale]])</f>
        <v>0</v>
      </c>
      <c r="O9" s="146" t="str">
        <f t="shared" si="0"/>
        <v/>
      </c>
      <c r="P9" s="147">
        <f>+IF(B[[#This Row],[Valore inserito manualmente]]&gt;0,B[[#This Row],[Valore inserito manualmente]],B[[#This Row],[Valore catastale]])</f>
        <v>0</v>
      </c>
      <c r="Q9" s="147">
        <f>+IF(OR(B[[#This Row],[Opzione per prezzo-valore (s/n)]]="s",B[[#This Row],[Valore inserito manualmente]]=0),B[[#This Row],[Valore catastale]],B[[#This Row],[Valore inserito manualmente]])</f>
        <v>0</v>
      </c>
      <c r="R9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" s="147" t="str">
        <f>+IF(B[[#This Row],[Bene]]="","",VLOOKUP(B[[#This Row],[Tipologia]],TipoImm[],3,0)*B[[#This Row],[Imponibile Iva]])</f>
        <v/>
      </c>
      <c r="T9" s="147" t="str">
        <f>+IF(B[[#This Row],[Bene]]="","",VLOOKUP(B[[#This Row],[Tipologia]],TipoImm[],6,0)*B[[#This Row],[Valore catastale]]+VLOOKUP(B[[#This Row],[Tipologia]],TipoImm[],4,0))</f>
        <v/>
      </c>
      <c r="U9" s="151" t="str">
        <f>+IF(B[[#This Row],[Bene]]="","",VLOOKUP(B[[#This Row],[Tipologia]],TipoImm[],8,0)*B[[#This Row],[Valore normale]]+VLOOKUP(B[[#This Row],[Tipologia]],TipoImm[],9,0))</f>
        <v/>
      </c>
      <c r="V9" s="147">
        <f>+IF(OR(B[[#This Row],[Bene]]="",B[[#This Row],[Agevolabile]]=0),0,VLOOKUP(B[[#This Row],[Tipologia]],TipoImm[],5,0))</f>
        <v>0</v>
      </c>
      <c r="W9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" s="147">
        <f>SUM(B[[#This Row],[Imposta di registro in misura fissa agevolata]:[Imposta di registro prop. Agevolata]])</f>
        <v>0</v>
      </c>
      <c r="Y9" s="147">
        <f>+IF(B[[#This Row],[Bene]]="",0,VLOOKUP(B[[#This Row],[Tipologia]],TipoImm[],10,0))</f>
        <v>0</v>
      </c>
      <c r="Z9" s="149" t="str">
        <f>+IF(p=3,"",IF(B[[#This Row],[Tipologia]]="","",VLOOKUP(B[[#This Row],[Tipologia]],TipoImm[],MATCH($Z$4,Tabelle!$AF$1:$AR$1,0),0)))</f>
        <v/>
      </c>
    </row>
    <row r="10" spans="1:26" x14ac:dyDescent="0.2">
      <c r="A10" s="123"/>
      <c r="B10" s="123"/>
      <c r="C10" s="143"/>
      <c r="D10" s="124"/>
      <c r="E10" s="123"/>
      <c r="F10" s="152"/>
      <c r="G10" s="153"/>
      <c r="H10" s="153"/>
      <c r="I10" s="153"/>
      <c r="J10" s="142"/>
      <c r="K10" s="143"/>
      <c r="L10" s="153"/>
      <c r="M10" s="150"/>
      <c r="N10" s="145">
        <f>+IF(B[[#This Row],[Categoria Catastale]]="",0,VLOOKUP(B[[#This Row],[Categoria Catastale]],Gruppi[],6,0)*B[[#This Row],[Rendita catastale]])</f>
        <v>0</v>
      </c>
      <c r="O10" s="146" t="str">
        <f t="shared" si="0"/>
        <v/>
      </c>
      <c r="P10" s="147">
        <f>+IF(B[[#This Row],[Valore inserito manualmente]]&gt;0,B[[#This Row],[Valore inserito manualmente]],B[[#This Row],[Valore catastale]])</f>
        <v>0</v>
      </c>
      <c r="Q10" s="147">
        <f>+IF(OR(B[[#This Row],[Opzione per prezzo-valore (s/n)]]="s",B[[#This Row],[Valore inserito manualmente]]=0),B[[#This Row],[Valore catastale]],B[[#This Row],[Valore inserito manualmente]])</f>
        <v>0</v>
      </c>
      <c r="R10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0" s="147" t="str">
        <f>+IF(B[[#This Row],[Bene]]="","",VLOOKUP(B[[#This Row],[Tipologia]],TipoImm[],3,0)*B[[#This Row],[Imponibile Iva]])</f>
        <v/>
      </c>
      <c r="T10" s="147" t="str">
        <f>+IF(B[[#This Row],[Bene]]="","",VLOOKUP(B[[#This Row],[Tipologia]],TipoImm[],6,0)*B[[#This Row],[Valore catastale]]+VLOOKUP(B[[#This Row],[Tipologia]],TipoImm[],4,0))</f>
        <v/>
      </c>
      <c r="U10" s="151" t="str">
        <f>+IF(B[[#This Row],[Bene]]="","",VLOOKUP(B[[#This Row],[Tipologia]],TipoImm[],8,0)*B[[#This Row],[Valore normale]]+VLOOKUP(B[[#This Row],[Tipologia]],TipoImm[],9,0))</f>
        <v/>
      </c>
      <c r="V10" s="147">
        <f>+IF(OR(B[[#This Row],[Bene]]="",B[[#This Row],[Agevolabile]]=0),0,VLOOKUP(B[[#This Row],[Tipologia]],TipoImm[],5,0))</f>
        <v>0</v>
      </c>
      <c r="W10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0" s="147">
        <f>SUM(B[[#This Row],[Imposta di registro in misura fissa agevolata]:[Imposta di registro prop. Agevolata]])</f>
        <v>0</v>
      </c>
      <c r="Y10" s="147">
        <f>+IF(B[[#This Row],[Bene]]="",0,VLOOKUP(B[[#This Row],[Tipologia]],TipoImm[],10,0))</f>
        <v>0</v>
      </c>
      <c r="Z10" s="149" t="str">
        <f>+IF(p=3,"",IF(B[[#This Row],[Tipologia]]="","",VLOOKUP(B[[#This Row],[Tipologia]],TipoImm[],MATCH($Z$4,Tabelle!$AF$1:$AR$1,0),0)))</f>
        <v/>
      </c>
    </row>
    <row r="11" spans="1:26" x14ac:dyDescent="0.2">
      <c r="A11" s="123"/>
      <c r="B11" s="123"/>
      <c r="C11" s="143"/>
      <c r="D11" s="124"/>
      <c r="E11" s="123"/>
      <c r="F11" s="152"/>
      <c r="G11" s="153"/>
      <c r="H11" s="153"/>
      <c r="I11" s="153"/>
      <c r="J11" s="142"/>
      <c r="K11" s="143"/>
      <c r="L11" s="153"/>
      <c r="M11" s="150"/>
      <c r="N11" s="145">
        <f>+IF(B[[#This Row],[Categoria Catastale]]="",0,VLOOKUP(B[[#This Row],[Categoria Catastale]],Gruppi[],6,0)*B[[#This Row],[Rendita catastale]])</f>
        <v>0</v>
      </c>
      <c r="O11" s="146" t="str">
        <f t="shared" si="0"/>
        <v/>
      </c>
      <c r="P11" s="147">
        <f>+IF(B[[#This Row],[Valore inserito manualmente]]&gt;0,B[[#This Row],[Valore inserito manualmente]],B[[#This Row],[Valore catastale]])</f>
        <v>0</v>
      </c>
      <c r="Q11" s="147">
        <f>+IF(OR(B[[#This Row],[Opzione per prezzo-valore (s/n)]]="s",B[[#This Row],[Valore inserito manualmente]]=0),B[[#This Row],[Valore catastale]],B[[#This Row],[Valore inserito manualmente]])</f>
        <v>0</v>
      </c>
      <c r="R11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1" s="147" t="str">
        <f>+IF(B[[#This Row],[Bene]]="","",VLOOKUP(B[[#This Row],[Tipologia]],TipoImm[],3,0)*B[[#This Row],[Imponibile Iva]])</f>
        <v/>
      </c>
      <c r="T11" s="147" t="str">
        <f>+IF(B[[#This Row],[Bene]]="","",VLOOKUP(B[[#This Row],[Tipologia]],TipoImm[],6,0)*B[[#This Row],[Valore catastale]]+VLOOKUP(B[[#This Row],[Tipologia]],TipoImm[],4,0))</f>
        <v/>
      </c>
      <c r="U11" s="151" t="str">
        <f>+IF(B[[#This Row],[Bene]]="","",VLOOKUP(B[[#This Row],[Tipologia]],TipoImm[],8,0)*B[[#This Row],[Valore normale]]+VLOOKUP(B[[#This Row],[Tipologia]],TipoImm[],9,0))</f>
        <v/>
      </c>
      <c r="V11" s="147">
        <f>+IF(OR(B[[#This Row],[Bene]]="",B[[#This Row],[Agevolabile]]=0),0,VLOOKUP(B[[#This Row],[Tipologia]],TipoImm[],5,0))</f>
        <v>0</v>
      </c>
      <c r="W11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1" s="147">
        <f>SUM(B[[#This Row],[Imposta di registro in misura fissa agevolata]:[Imposta di registro prop. Agevolata]])</f>
        <v>0</v>
      </c>
      <c r="Y11" s="147">
        <f>+IF(B[[#This Row],[Bene]]="",0,VLOOKUP(B[[#This Row],[Tipologia]],TipoImm[],10,0))</f>
        <v>0</v>
      </c>
      <c r="Z11" s="149" t="str">
        <f>+IF(p=3,"",IF(B[[#This Row],[Tipologia]]="","",VLOOKUP(B[[#This Row],[Tipologia]],TipoImm[],MATCH($Z$4,Tabelle!$AF$1:$AR$1,0),0)))</f>
        <v/>
      </c>
    </row>
    <row r="12" spans="1:26" x14ac:dyDescent="0.2">
      <c r="A12" s="123"/>
      <c r="B12" s="123"/>
      <c r="C12" s="143"/>
      <c r="D12" s="124"/>
      <c r="E12" s="123"/>
      <c r="F12" s="152"/>
      <c r="G12" s="153"/>
      <c r="H12" s="153"/>
      <c r="I12" s="153"/>
      <c r="J12" s="142"/>
      <c r="K12" s="143"/>
      <c r="L12" s="153"/>
      <c r="M12" s="150"/>
      <c r="N12" s="145">
        <f>+IF(B[[#This Row],[Categoria Catastale]]="",0,VLOOKUP(B[[#This Row],[Categoria Catastale]],Gruppi[],6,0)*B[[#This Row],[Rendita catastale]])</f>
        <v>0</v>
      </c>
      <c r="O12" s="146" t="str">
        <f t="shared" si="0"/>
        <v/>
      </c>
      <c r="P12" s="147">
        <f>+IF(B[[#This Row],[Valore inserito manualmente]]&gt;0,B[[#This Row],[Valore inserito manualmente]],B[[#This Row],[Valore catastale]])</f>
        <v>0</v>
      </c>
      <c r="Q12" s="147">
        <f>+IF(OR(B[[#This Row],[Opzione per prezzo-valore (s/n)]]="s",B[[#This Row],[Valore inserito manualmente]]=0),B[[#This Row],[Valore catastale]],B[[#This Row],[Valore inserito manualmente]])</f>
        <v>0</v>
      </c>
      <c r="R12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2" s="147" t="str">
        <f>+IF(B[[#This Row],[Bene]]="","",VLOOKUP(B[[#This Row],[Tipologia]],TipoImm[],3,0)*B[[#This Row],[Imponibile Iva]])</f>
        <v/>
      </c>
      <c r="T12" s="147" t="str">
        <f>+IF(B[[#This Row],[Bene]]="","",VLOOKUP(B[[#This Row],[Tipologia]],TipoImm[],6,0)*B[[#This Row],[Valore catastale]]+VLOOKUP(B[[#This Row],[Tipologia]],TipoImm[],4,0))</f>
        <v/>
      </c>
      <c r="U12" s="151" t="str">
        <f>+IF(B[[#This Row],[Bene]]="","",VLOOKUP(B[[#This Row],[Tipologia]],TipoImm[],8,0)*B[[#This Row],[Valore normale]]+VLOOKUP(B[[#This Row],[Tipologia]],TipoImm[],9,0))</f>
        <v/>
      </c>
      <c r="V12" s="147">
        <f>+IF(OR(B[[#This Row],[Bene]]="",B[[#This Row],[Agevolabile]]=0),0,VLOOKUP(B[[#This Row],[Tipologia]],TipoImm[],5,0))</f>
        <v>0</v>
      </c>
      <c r="W12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2" s="147">
        <f>SUM(B[[#This Row],[Imposta di registro in misura fissa agevolata]:[Imposta di registro prop. Agevolata]])</f>
        <v>0</v>
      </c>
      <c r="Y12" s="147">
        <f>+IF(B[[#This Row],[Bene]]="",0,VLOOKUP(B[[#This Row],[Tipologia]],TipoImm[],10,0))</f>
        <v>0</v>
      </c>
      <c r="Z12" s="149" t="str">
        <f>+IF(p=3,"",IF(B[[#This Row],[Tipologia]]="","",VLOOKUP(B[[#This Row],[Tipologia]],TipoImm[],MATCH($Z$4,Tabelle!$AF$1:$AR$1,0),0)))</f>
        <v/>
      </c>
    </row>
    <row r="13" spans="1:26" x14ac:dyDescent="0.2">
      <c r="A13" s="123"/>
      <c r="B13" s="123"/>
      <c r="C13" s="143"/>
      <c r="D13" s="124"/>
      <c r="E13" s="123"/>
      <c r="F13" s="152"/>
      <c r="G13" s="153"/>
      <c r="H13" s="153"/>
      <c r="I13" s="153"/>
      <c r="J13" s="142"/>
      <c r="K13" s="143"/>
      <c r="L13" s="153"/>
      <c r="M13" s="150"/>
      <c r="N13" s="145">
        <f>+IF(B[[#This Row],[Categoria Catastale]]="",0,VLOOKUP(B[[#This Row],[Categoria Catastale]],Gruppi[],6,0)*B[[#This Row],[Rendita catastale]])</f>
        <v>0</v>
      </c>
      <c r="O13" s="146" t="str">
        <f t="shared" si="0"/>
        <v/>
      </c>
      <c r="P13" s="147">
        <f>+IF(B[[#This Row],[Valore inserito manualmente]]&gt;0,B[[#This Row],[Valore inserito manualmente]],B[[#This Row],[Valore catastale]])</f>
        <v>0</v>
      </c>
      <c r="Q13" s="147">
        <f>+IF(OR(B[[#This Row],[Opzione per prezzo-valore (s/n)]]="s",B[[#This Row],[Valore inserito manualmente]]=0),B[[#This Row],[Valore catastale]],B[[#This Row],[Valore inserito manualmente]])</f>
        <v>0</v>
      </c>
      <c r="R13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3" s="147" t="str">
        <f>+IF(B[[#This Row],[Bene]]="","",VLOOKUP(B[[#This Row],[Tipologia]],TipoImm[],3,0)*B[[#This Row],[Imponibile Iva]])</f>
        <v/>
      </c>
      <c r="T13" s="147" t="str">
        <f>+IF(B[[#This Row],[Bene]]="","",VLOOKUP(B[[#This Row],[Tipologia]],TipoImm[],6,0)*B[[#This Row],[Valore catastale]]+VLOOKUP(B[[#This Row],[Tipologia]],TipoImm[],4,0))</f>
        <v/>
      </c>
      <c r="U13" s="151" t="str">
        <f>+IF(B[[#This Row],[Bene]]="","",VLOOKUP(B[[#This Row],[Tipologia]],TipoImm[],8,0)*B[[#This Row],[Valore normale]]+VLOOKUP(B[[#This Row],[Tipologia]],TipoImm[],9,0))</f>
        <v/>
      </c>
      <c r="V13" s="147">
        <f>+IF(OR(B[[#This Row],[Bene]]="",B[[#This Row],[Agevolabile]]=0),0,VLOOKUP(B[[#This Row],[Tipologia]],TipoImm[],5,0))</f>
        <v>0</v>
      </c>
      <c r="W13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3" s="147">
        <f>SUM(B[[#This Row],[Imposta di registro in misura fissa agevolata]:[Imposta di registro prop. Agevolata]])</f>
        <v>0</v>
      </c>
      <c r="Y13" s="147">
        <f>+IF(B[[#This Row],[Bene]]="",0,VLOOKUP(B[[#This Row],[Tipologia]],TipoImm[],10,0))</f>
        <v>0</v>
      </c>
      <c r="Z13" s="149" t="str">
        <f>+IF(p=3,"",IF(B[[#This Row],[Tipologia]]="","",VLOOKUP(B[[#This Row],[Tipologia]],TipoImm[],MATCH($Z$4,Tabelle!$AF$1:$AR$1,0),0)))</f>
        <v/>
      </c>
    </row>
    <row r="14" spans="1:26" x14ac:dyDescent="0.2">
      <c r="A14" s="123"/>
      <c r="B14" s="123"/>
      <c r="C14" s="143"/>
      <c r="D14" s="124"/>
      <c r="E14" s="123"/>
      <c r="F14" s="152"/>
      <c r="G14" s="153"/>
      <c r="H14" s="153"/>
      <c r="I14" s="153"/>
      <c r="J14" s="142"/>
      <c r="K14" s="143"/>
      <c r="L14" s="153"/>
      <c r="M14" s="150"/>
      <c r="N14" s="145">
        <f>+IF(B[[#This Row],[Categoria Catastale]]="",0,VLOOKUP(B[[#This Row],[Categoria Catastale]],Gruppi[],6,0)*B[[#This Row],[Rendita catastale]])</f>
        <v>0</v>
      </c>
      <c r="O14" s="146" t="str">
        <f t="shared" si="0"/>
        <v/>
      </c>
      <c r="P14" s="147">
        <f>+IF(B[[#This Row],[Valore inserito manualmente]]&gt;0,B[[#This Row],[Valore inserito manualmente]],B[[#This Row],[Valore catastale]])</f>
        <v>0</v>
      </c>
      <c r="Q14" s="147">
        <f>+IF(OR(B[[#This Row],[Opzione per prezzo-valore (s/n)]]="s",B[[#This Row],[Valore inserito manualmente]]=0),B[[#This Row],[Valore catastale]],B[[#This Row],[Valore inserito manualmente]])</f>
        <v>0</v>
      </c>
      <c r="R14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4" s="147" t="str">
        <f>+IF(B[[#This Row],[Bene]]="","",VLOOKUP(B[[#This Row],[Tipologia]],TipoImm[],3,0)*B[[#This Row],[Imponibile Iva]])</f>
        <v/>
      </c>
      <c r="T14" s="147" t="str">
        <f>+IF(B[[#This Row],[Bene]]="","",VLOOKUP(B[[#This Row],[Tipologia]],TipoImm[],6,0)*B[[#This Row],[Valore catastale]]+VLOOKUP(B[[#This Row],[Tipologia]],TipoImm[],4,0))</f>
        <v/>
      </c>
      <c r="U14" s="151" t="str">
        <f>+IF(B[[#This Row],[Bene]]="","",VLOOKUP(B[[#This Row],[Tipologia]],TipoImm[],8,0)*B[[#This Row],[Valore normale]]+VLOOKUP(B[[#This Row],[Tipologia]],TipoImm[],9,0))</f>
        <v/>
      </c>
      <c r="V14" s="147">
        <f>+IF(OR(B[[#This Row],[Bene]]="",B[[#This Row],[Agevolabile]]=0),0,VLOOKUP(B[[#This Row],[Tipologia]],TipoImm[],5,0))</f>
        <v>0</v>
      </c>
      <c r="W14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4" s="147">
        <f>SUM(B[[#This Row],[Imposta di registro in misura fissa agevolata]:[Imposta di registro prop. Agevolata]])</f>
        <v>0</v>
      </c>
      <c r="Y14" s="147">
        <f>+IF(B[[#This Row],[Bene]]="",0,VLOOKUP(B[[#This Row],[Tipologia]],TipoImm[],10,0))</f>
        <v>0</v>
      </c>
      <c r="Z14" s="149" t="str">
        <f>+IF(p=3,"",IF(B[[#This Row],[Tipologia]]="","",VLOOKUP(B[[#This Row],[Tipologia]],TipoImm[],MATCH($Z$4,Tabelle!$AF$1:$AR$1,0),0)))</f>
        <v/>
      </c>
    </row>
    <row r="15" spans="1:26" x14ac:dyDescent="0.2">
      <c r="A15" s="123"/>
      <c r="B15" s="123"/>
      <c r="C15" s="143"/>
      <c r="D15" s="124"/>
      <c r="E15" s="123"/>
      <c r="F15" s="154"/>
      <c r="G15" s="153"/>
      <c r="H15" s="153"/>
      <c r="I15" s="153"/>
      <c r="J15" s="142"/>
      <c r="K15" s="143"/>
      <c r="L15" s="153"/>
      <c r="M15" s="150"/>
      <c r="N15" s="145">
        <f>+IF(B[[#This Row],[Categoria Catastale]]="",0,VLOOKUP(B[[#This Row],[Categoria Catastale]],Gruppi[],6,0)*B[[#This Row],[Rendita catastale]])</f>
        <v>0</v>
      </c>
      <c r="O15" s="146" t="str">
        <f t="shared" si="0"/>
        <v/>
      </c>
      <c r="P15" s="147">
        <f>+IF(B[[#This Row],[Valore inserito manualmente]]&gt;0,B[[#This Row],[Valore inserito manualmente]],B[[#This Row],[Valore catastale]])</f>
        <v>0</v>
      </c>
      <c r="Q15" s="147">
        <f>+IF(OR(B[[#This Row],[Opzione per prezzo-valore (s/n)]]="s",B[[#This Row],[Valore inserito manualmente]]=0),B[[#This Row],[Valore catastale]],B[[#This Row],[Valore inserito manualmente]])</f>
        <v>0</v>
      </c>
      <c r="R15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5" s="147" t="str">
        <f>+IF(B[[#This Row],[Bene]]="","",VLOOKUP(B[[#This Row],[Tipologia]],TipoImm[],3,0)*B[[#This Row],[Imponibile Iva]])</f>
        <v/>
      </c>
      <c r="T15" s="147" t="str">
        <f>+IF(B[[#This Row],[Bene]]="","",VLOOKUP(B[[#This Row],[Tipologia]],TipoImm[],6,0)*B[[#This Row],[Valore catastale]]+VLOOKUP(B[[#This Row],[Tipologia]],TipoImm[],4,0))</f>
        <v/>
      </c>
      <c r="U15" s="151" t="str">
        <f>+IF(B[[#This Row],[Bene]]="","",VLOOKUP(B[[#This Row],[Tipologia]],TipoImm[],8,0)*B[[#This Row],[Valore normale]]+VLOOKUP(B[[#This Row],[Tipologia]],TipoImm[],9,0))</f>
        <v/>
      </c>
      <c r="V15" s="147">
        <f>+IF(OR(B[[#This Row],[Bene]]="",B[[#This Row],[Agevolabile]]=0),0,VLOOKUP(B[[#This Row],[Tipologia]],TipoImm[],5,0))</f>
        <v>0</v>
      </c>
      <c r="W15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5" s="147">
        <f>SUM(B[[#This Row],[Imposta di registro in misura fissa agevolata]:[Imposta di registro prop. Agevolata]])</f>
        <v>0</v>
      </c>
      <c r="Y15" s="147">
        <f>+IF(B[[#This Row],[Bene]]="",0,VLOOKUP(B[[#This Row],[Tipologia]],TipoImm[],10,0))</f>
        <v>0</v>
      </c>
      <c r="Z15" s="149" t="str">
        <f>+IF(p=3,"",IF(B[[#This Row],[Tipologia]]="","",VLOOKUP(B[[#This Row],[Tipologia]],TipoImm[],MATCH($Z$4,Tabelle!$AF$1:$AR$1,0),0)))</f>
        <v/>
      </c>
    </row>
    <row r="16" spans="1:26" x14ac:dyDescent="0.2">
      <c r="A16" s="123"/>
      <c r="B16" s="123"/>
      <c r="C16" s="143"/>
      <c r="D16" s="124"/>
      <c r="E16" s="123"/>
      <c r="F16" s="154"/>
      <c r="G16" s="153"/>
      <c r="H16" s="153"/>
      <c r="I16" s="153"/>
      <c r="J16" s="142"/>
      <c r="K16" s="143"/>
      <c r="L16" s="153"/>
      <c r="M16" s="150"/>
      <c r="N16" s="145">
        <f>+IF(B[[#This Row],[Categoria Catastale]]="",0,VLOOKUP(B[[#This Row],[Categoria Catastale]],Gruppi[],6,0)*B[[#This Row],[Rendita catastale]])</f>
        <v>0</v>
      </c>
      <c r="O16" s="146" t="str">
        <f t="shared" si="0"/>
        <v/>
      </c>
      <c r="P16" s="147">
        <f>+IF(B[[#This Row],[Valore inserito manualmente]]&gt;0,B[[#This Row],[Valore inserito manualmente]],B[[#This Row],[Valore catastale]])</f>
        <v>0</v>
      </c>
      <c r="Q16" s="147">
        <f>+IF(OR(B[[#This Row],[Opzione per prezzo-valore (s/n)]]="s",B[[#This Row],[Valore inserito manualmente]]=0),B[[#This Row],[Valore catastale]],B[[#This Row],[Valore inserito manualmente]])</f>
        <v>0</v>
      </c>
      <c r="R16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6" s="147" t="str">
        <f>+IF(B[[#This Row],[Bene]]="","",VLOOKUP(B[[#This Row],[Tipologia]],TipoImm[],3,0)*B[[#This Row],[Imponibile Iva]])</f>
        <v/>
      </c>
      <c r="T16" s="147" t="str">
        <f>+IF(B[[#This Row],[Bene]]="","",VLOOKUP(B[[#This Row],[Tipologia]],TipoImm[],6,0)*B[[#This Row],[Valore catastale]]+VLOOKUP(B[[#This Row],[Tipologia]],TipoImm[],4,0))</f>
        <v/>
      </c>
      <c r="U16" s="151" t="str">
        <f>+IF(B[[#This Row],[Bene]]="","",VLOOKUP(B[[#This Row],[Tipologia]],TipoImm[],8,0)*B[[#This Row],[Valore normale]]+VLOOKUP(B[[#This Row],[Tipologia]],TipoImm[],9,0))</f>
        <v/>
      </c>
      <c r="V16" s="147">
        <f>+IF(OR(B[[#This Row],[Bene]]="",B[[#This Row],[Agevolabile]]=0),0,VLOOKUP(B[[#This Row],[Tipologia]],TipoImm[],5,0))</f>
        <v>0</v>
      </c>
      <c r="W16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6" s="147">
        <f>SUM(B[[#This Row],[Imposta di registro in misura fissa agevolata]:[Imposta di registro prop. Agevolata]])</f>
        <v>0</v>
      </c>
      <c r="Y16" s="147">
        <f>+IF(B[[#This Row],[Bene]]="",0,VLOOKUP(B[[#This Row],[Tipologia]],TipoImm[],10,0))</f>
        <v>0</v>
      </c>
      <c r="Z16" s="149" t="str">
        <f>+IF(p=3,"",IF(B[[#This Row],[Tipologia]]="","",VLOOKUP(B[[#This Row],[Tipologia]],TipoImm[],MATCH($Z$4,Tabelle!$AF$1:$AR$1,0),0)))</f>
        <v/>
      </c>
    </row>
    <row r="17" spans="1:26" x14ac:dyDescent="0.2">
      <c r="A17" s="123"/>
      <c r="B17" s="123"/>
      <c r="C17" s="143"/>
      <c r="D17" s="124"/>
      <c r="E17" s="123"/>
      <c r="F17" s="154"/>
      <c r="G17" s="153"/>
      <c r="H17" s="153"/>
      <c r="I17" s="153"/>
      <c r="J17" s="142"/>
      <c r="K17" s="143"/>
      <c r="L17" s="153"/>
      <c r="M17" s="150"/>
      <c r="N17" s="145">
        <f>+IF(B[[#This Row],[Categoria Catastale]]="",0,VLOOKUP(B[[#This Row],[Categoria Catastale]],Gruppi[],6,0)*B[[#This Row],[Rendita catastale]])</f>
        <v>0</v>
      </c>
      <c r="O17" s="146" t="str">
        <f t="shared" si="0"/>
        <v/>
      </c>
      <c r="P17" s="147">
        <f>+IF(B[[#This Row],[Valore inserito manualmente]]&gt;0,B[[#This Row],[Valore inserito manualmente]],B[[#This Row],[Valore catastale]])</f>
        <v>0</v>
      </c>
      <c r="Q17" s="147">
        <f>+IF(OR(B[[#This Row],[Opzione per prezzo-valore (s/n)]]="s",B[[#This Row],[Valore inserito manualmente]]=0),B[[#This Row],[Valore catastale]],B[[#This Row],[Valore inserito manualmente]])</f>
        <v>0</v>
      </c>
      <c r="R17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7" s="147" t="str">
        <f>+IF(B[[#This Row],[Bene]]="","",VLOOKUP(B[[#This Row],[Tipologia]],TipoImm[],3,0)*B[[#This Row],[Imponibile Iva]])</f>
        <v/>
      </c>
      <c r="T17" s="147" t="str">
        <f>+IF(B[[#This Row],[Bene]]="","",VLOOKUP(B[[#This Row],[Tipologia]],TipoImm[],6,0)*B[[#This Row],[Valore catastale]]+VLOOKUP(B[[#This Row],[Tipologia]],TipoImm[],4,0))</f>
        <v/>
      </c>
      <c r="U17" s="151" t="str">
        <f>+IF(B[[#This Row],[Bene]]="","",VLOOKUP(B[[#This Row],[Tipologia]],TipoImm[],8,0)*B[[#This Row],[Valore normale]]+VLOOKUP(B[[#This Row],[Tipologia]],TipoImm[],9,0))</f>
        <v/>
      </c>
      <c r="V17" s="147">
        <f>+IF(OR(B[[#This Row],[Bene]]="",B[[#This Row],[Agevolabile]]=0),0,VLOOKUP(B[[#This Row],[Tipologia]],TipoImm[],5,0))</f>
        <v>0</v>
      </c>
      <c r="W17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7" s="147">
        <f>SUM(B[[#This Row],[Imposta di registro in misura fissa agevolata]:[Imposta di registro prop. Agevolata]])</f>
        <v>0</v>
      </c>
      <c r="Y17" s="147">
        <f>+IF(B[[#This Row],[Bene]]="",0,VLOOKUP(B[[#This Row],[Tipologia]],TipoImm[],10,0))</f>
        <v>0</v>
      </c>
      <c r="Z17" s="149" t="str">
        <f>+IF(p=3,"",IF(B[[#This Row],[Tipologia]]="","",VLOOKUP(B[[#This Row],[Tipologia]],TipoImm[],MATCH($Z$4,Tabelle!$AF$1:$AR$1,0),0)))</f>
        <v/>
      </c>
    </row>
    <row r="18" spans="1:26" x14ac:dyDescent="0.2">
      <c r="A18" s="123"/>
      <c r="B18" s="123"/>
      <c r="C18" s="143"/>
      <c r="D18" s="124"/>
      <c r="E18" s="123"/>
      <c r="F18" s="154"/>
      <c r="G18" s="153"/>
      <c r="H18" s="153"/>
      <c r="I18" s="153"/>
      <c r="J18" s="142"/>
      <c r="K18" s="143"/>
      <c r="L18" s="153"/>
      <c r="M18" s="150"/>
      <c r="N18" s="145">
        <f>+IF(B[[#This Row],[Categoria Catastale]]="",0,VLOOKUP(B[[#This Row],[Categoria Catastale]],Gruppi[],6,0)*B[[#This Row],[Rendita catastale]])</f>
        <v>0</v>
      </c>
      <c r="O18" s="146" t="str">
        <f t="shared" si="0"/>
        <v/>
      </c>
      <c r="P18" s="147">
        <f>+IF(B[[#This Row],[Valore inserito manualmente]]&gt;0,B[[#This Row],[Valore inserito manualmente]],B[[#This Row],[Valore catastale]])</f>
        <v>0</v>
      </c>
      <c r="Q18" s="147">
        <f>+IF(OR(B[[#This Row],[Opzione per prezzo-valore (s/n)]]="s",B[[#This Row],[Valore inserito manualmente]]=0),B[[#This Row],[Valore catastale]],B[[#This Row],[Valore inserito manualmente]])</f>
        <v>0</v>
      </c>
      <c r="R18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8" s="147" t="str">
        <f>+IF(B[[#This Row],[Bene]]="","",VLOOKUP(B[[#This Row],[Tipologia]],TipoImm[],3,0)*B[[#This Row],[Imponibile Iva]])</f>
        <v/>
      </c>
      <c r="T18" s="147" t="str">
        <f>+IF(B[[#This Row],[Bene]]="","",VLOOKUP(B[[#This Row],[Tipologia]],TipoImm[],6,0)*B[[#This Row],[Valore catastale]]+VLOOKUP(B[[#This Row],[Tipologia]],TipoImm[],4,0))</f>
        <v/>
      </c>
      <c r="U18" s="151" t="str">
        <f>+IF(B[[#This Row],[Bene]]="","",VLOOKUP(B[[#This Row],[Tipologia]],TipoImm[],8,0)*B[[#This Row],[Valore normale]]+VLOOKUP(B[[#This Row],[Tipologia]],TipoImm[],9,0))</f>
        <v/>
      </c>
      <c r="V18" s="147">
        <f>+IF(OR(B[[#This Row],[Bene]]="",B[[#This Row],[Agevolabile]]=0),0,VLOOKUP(B[[#This Row],[Tipologia]],TipoImm[],5,0))</f>
        <v>0</v>
      </c>
      <c r="W18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8" s="147">
        <f>SUM(B[[#This Row],[Imposta di registro in misura fissa agevolata]:[Imposta di registro prop. Agevolata]])</f>
        <v>0</v>
      </c>
      <c r="Y18" s="147">
        <f>+IF(B[[#This Row],[Bene]]="",0,VLOOKUP(B[[#This Row],[Tipologia]],TipoImm[],10,0))</f>
        <v>0</v>
      </c>
      <c r="Z18" s="149" t="str">
        <f>+IF(p=3,"",IF(B[[#This Row],[Tipologia]]="","",VLOOKUP(B[[#This Row],[Tipologia]],TipoImm[],MATCH($Z$4,Tabelle!$AF$1:$AR$1,0),0)))</f>
        <v/>
      </c>
    </row>
    <row r="19" spans="1:26" x14ac:dyDescent="0.2">
      <c r="A19" s="123"/>
      <c r="B19" s="123"/>
      <c r="C19" s="143"/>
      <c r="D19" s="124"/>
      <c r="E19" s="123"/>
      <c r="F19" s="154"/>
      <c r="G19" s="153"/>
      <c r="H19" s="153"/>
      <c r="I19" s="153"/>
      <c r="J19" s="142"/>
      <c r="K19" s="143"/>
      <c r="L19" s="153"/>
      <c r="M19" s="150"/>
      <c r="N19" s="145">
        <f>+IF(B[[#This Row],[Categoria Catastale]]="",0,VLOOKUP(B[[#This Row],[Categoria Catastale]],Gruppi[],6,0)*B[[#This Row],[Rendita catastale]])</f>
        <v>0</v>
      </c>
      <c r="O19" s="146" t="str">
        <f t="shared" si="0"/>
        <v/>
      </c>
      <c r="P19" s="147">
        <f>+IF(B[[#This Row],[Valore inserito manualmente]]&gt;0,B[[#This Row],[Valore inserito manualmente]],B[[#This Row],[Valore catastale]])</f>
        <v>0</v>
      </c>
      <c r="Q19" s="147">
        <f>+IF(OR(B[[#This Row],[Opzione per prezzo-valore (s/n)]]="s",B[[#This Row],[Valore inserito manualmente]]=0),B[[#This Row],[Valore catastale]],B[[#This Row],[Valore inserito manualmente]])</f>
        <v>0</v>
      </c>
      <c r="R19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9" s="147" t="str">
        <f>+IF(B[[#This Row],[Bene]]="","",VLOOKUP(B[[#This Row],[Tipologia]],TipoImm[],3,0)*B[[#This Row],[Imponibile Iva]])</f>
        <v/>
      </c>
      <c r="T19" s="147" t="str">
        <f>+IF(B[[#This Row],[Bene]]="","",VLOOKUP(B[[#This Row],[Tipologia]],TipoImm[],6,0)*B[[#This Row],[Valore catastale]]+VLOOKUP(B[[#This Row],[Tipologia]],TipoImm[],4,0))</f>
        <v/>
      </c>
      <c r="U19" s="151" t="str">
        <f>+IF(B[[#This Row],[Bene]]="","",VLOOKUP(B[[#This Row],[Tipologia]],TipoImm[],8,0)*B[[#This Row],[Valore normale]]+VLOOKUP(B[[#This Row],[Tipologia]],TipoImm[],9,0))</f>
        <v/>
      </c>
      <c r="V19" s="147">
        <f>+IF(OR(B[[#This Row],[Bene]]="",B[[#This Row],[Agevolabile]]=0),0,VLOOKUP(B[[#This Row],[Tipologia]],TipoImm[],5,0))</f>
        <v>0</v>
      </c>
      <c r="W19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9" s="147">
        <f>SUM(B[[#This Row],[Imposta di registro in misura fissa agevolata]:[Imposta di registro prop. Agevolata]])</f>
        <v>0</v>
      </c>
      <c r="Y19" s="147">
        <f>+IF(B[[#This Row],[Bene]]="",0,VLOOKUP(B[[#This Row],[Tipologia]],TipoImm[],10,0))</f>
        <v>0</v>
      </c>
      <c r="Z19" s="149" t="str">
        <f>+IF(p=3,"",IF(B[[#This Row],[Tipologia]]="","",VLOOKUP(B[[#This Row],[Tipologia]],TipoImm[],MATCH($Z$4,Tabelle!$AF$1:$AR$1,0),0)))</f>
        <v/>
      </c>
    </row>
    <row r="20" spans="1:26" x14ac:dyDescent="0.2">
      <c r="A20" s="123"/>
      <c r="B20" s="123"/>
      <c r="C20" s="143"/>
      <c r="D20" s="124"/>
      <c r="E20" s="123"/>
      <c r="F20" s="154"/>
      <c r="G20" s="153"/>
      <c r="H20" s="153"/>
      <c r="I20" s="153"/>
      <c r="J20" s="142"/>
      <c r="K20" s="143"/>
      <c r="L20" s="153"/>
      <c r="M20" s="150"/>
      <c r="N20" s="145">
        <f>+IF(B[[#This Row],[Categoria Catastale]]="",0,VLOOKUP(B[[#This Row],[Categoria Catastale]],Gruppi[],6,0)*B[[#This Row],[Rendita catastale]])</f>
        <v>0</v>
      </c>
      <c r="O20" s="146" t="str">
        <f t="shared" si="0"/>
        <v/>
      </c>
      <c r="P20" s="147">
        <f>+IF(B[[#This Row],[Valore inserito manualmente]]&gt;0,B[[#This Row],[Valore inserito manualmente]],B[[#This Row],[Valore catastale]])</f>
        <v>0</v>
      </c>
      <c r="Q20" s="147">
        <f>+IF(OR(B[[#This Row],[Opzione per prezzo-valore (s/n)]]="s",B[[#This Row],[Valore inserito manualmente]]=0),B[[#This Row],[Valore catastale]],B[[#This Row],[Valore inserito manualmente]])</f>
        <v>0</v>
      </c>
      <c r="R20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0" s="147" t="str">
        <f>+IF(B[[#This Row],[Bene]]="","",VLOOKUP(B[[#This Row],[Tipologia]],TipoImm[],3,0)*B[[#This Row],[Imponibile Iva]])</f>
        <v/>
      </c>
      <c r="T20" s="147" t="str">
        <f>+IF(B[[#This Row],[Bene]]="","",VLOOKUP(B[[#This Row],[Tipologia]],TipoImm[],6,0)*B[[#This Row],[Valore catastale]]+VLOOKUP(B[[#This Row],[Tipologia]],TipoImm[],4,0))</f>
        <v/>
      </c>
      <c r="U20" s="151" t="str">
        <f>+IF(B[[#This Row],[Bene]]="","",VLOOKUP(B[[#This Row],[Tipologia]],TipoImm[],8,0)*B[[#This Row],[Valore normale]]+VLOOKUP(B[[#This Row],[Tipologia]],TipoImm[],9,0))</f>
        <v/>
      </c>
      <c r="V20" s="147">
        <f>+IF(OR(B[[#This Row],[Bene]]="",B[[#This Row],[Agevolabile]]=0),0,VLOOKUP(B[[#This Row],[Tipologia]],TipoImm[],5,0))</f>
        <v>0</v>
      </c>
      <c r="W20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0" s="147">
        <f>SUM(B[[#This Row],[Imposta di registro in misura fissa agevolata]:[Imposta di registro prop. Agevolata]])</f>
        <v>0</v>
      </c>
      <c r="Y20" s="147">
        <f>+IF(B[[#This Row],[Bene]]="",0,VLOOKUP(B[[#This Row],[Tipologia]],TipoImm[],10,0))</f>
        <v>0</v>
      </c>
      <c r="Z20" s="149" t="str">
        <f>+IF(p=3,"",IF(B[[#This Row],[Tipologia]]="","",VLOOKUP(B[[#This Row],[Tipologia]],TipoImm[],MATCH($Z$4,Tabelle!$AF$1:$AR$1,0),0)))</f>
        <v/>
      </c>
    </row>
    <row r="21" spans="1:26" x14ac:dyDescent="0.2">
      <c r="A21" s="123"/>
      <c r="B21" s="123"/>
      <c r="C21" s="143"/>
      <c r="D21" s="124"/>
      <c r="E21" s="123"/>
      <c r="F21" s="155"/>
      <c r="G21" s="156"/>
      <c r="H21" s="156"/>
      <c r="I21" s="156"/>
      <c r="J21" s="142"/>
      <c r="K21" s="143"/>
      <c r="L21" s="156"/>
      <c r="M21" s="150"/>
      <c r="N21" s="145">
        <f>+IF(B[[#This Row],[Categoria Catastale]]="",0,VLOOKUP(B[[#This Row],[Categoria Catastale]],Gruppi[],6,0)*B[[#This Row],[Rendita catastale]])</f>
        <v>0</v>
      </c>
      <c r="O21" s="146" t="str">
        <f t="shared" si="0"/>
        <v/>
      </c>
      <c r="P21" s="147">
        <f>+IF(B[[#This Row],[Valore inserito manualmente]]&gt;0,B[[#This Row],[Valore inserito manualmente]],B[[#This Row],[Valore catastale]])</f>
        <v>0</v>
      </c>
      <c r="Q21" s="147">
        <f>+IF(OR(B[[#This Row],[Opzione per prezzo-valore (s/n)]]="s",B[[#This Row],[Valore inserito manualmente]]=0),B[[#This Row],[Valore catastale]],B[[#This Row],[Valore inserito manualmente]])</f>
        <v>0</v>
      </c>
      <c r="R21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1" s="147" t="str">
        <f>+IF(B[[#This Row],[Bene]]="","",VLOOKUP(B[[#This Row],[Tipologia]],TipoImm[],3,0)*B[[#This Row],[Imponibile Iva]])</f>
        <v/>
      </c>
      <c r="T21" s="147" t="str">
        <f>+IF(B[[#This Row],[Bene]]="","",VLOOKUP(B[[#This Row],[Tipologia]],TipoImm[],6,0)*B[[#This Row],[Valore catastale]]+VLOOKUP(B[[#This Row],[Tipologia]],TipoImm[],4,0))</f>
        <v/>
      </c>
      <c r="U21" s="151" t="str">
        <f>+IF(B[[#This Row],[Bene]]="","",VLOOKUP(B[[#This Row],[Tipologia]],TipoImm[],8,0)*B[[#This Row],[Valore normale]]+VLOOKUP(B[[#This Row],[Tipologia]],TipoImm[],9,0))</f>
        <v/>
      </c>
      <c r="V21" s="147">
        <f>+IF(OR(B[[#This Row],[Bene]]="",B[[#This Row],[Agevolabile]]=0),0,VLOOKUP(B[[#This Row],[Tipologia]],TipoImm[],5,0))</f>
        <v>0</v>
      </c>
      <c r="W21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1" s="147">
        <f>SUM(B[[#This Row],[Imposta di registro in misura fissa agevolata]:[Imposta di registro prop. Agevolata]])</f>
        <v>0</v>
      </c>
      <c r="Y21" s="147">
        <f>+IF(B[[#This Row],[Bene]]="",0,VLOOKUP(B[[#This Row],[Tipologia]],TipoImm[],10,0))</f>
        <v>0</v>
      </c>
      <c r="Z21" s="149" t="str">
        <f>+IF(p=3,"",IF(B[[#This Row],[Tipologia]]="","",VLOOKUP(B[[#This Row],[Tipologia]],TipoImm[],MATCH($Z$4,Tabelle!$AF$1:$AR$1,0),0)))</f>
        <v/>
      </c>
    </row>
    <row r="22" spans="1:26" x14ac:dyDescent="0.2">
      <c r="A22" s="123"/>
      <c r="B22" s="123"/>
      <c r="C22" s="143"/>
      <c r="D22" s="124"/>
      <c r="E22" s="123"/>
      <c r="F22" s="155"/>
      <c r="G22" s="156"/>
      <c r="H22" s="156"/>
      <c r="I22" s="156"/>
      <c r="J22" s="142"/>
      <c r="K22" s="143"/>
      <c r="L22" s="156"/>
      <c r="M22" s="150"/>
      <c r="N22" s="145">
        <f>+IF(B[[#This Row],[Categoria Catastale]]="",0,VLOOKUP(B[[#This Row],[Categoria Catastale]],Gruppi[],6,0)*B[[#This Row],[Rendita catastale]])</f>
        <v>0</v>
      </c>
      <c r="O22" s="146" t="str">
        <f t="shared" si="0"/>
        <v/>
      </c>
      <c r="P22" s="147">
        <f>+IF(B[[#This Row],[Valore inserito manualmente]]&gt;0,B[[#This Row],[Valore inserito manualmente]],B[[#This Row],[Valore catastale]])</f>
        <v>0</v>
      </c>
      <c r="Q22" s="147">
        <f>+IF(OR(B[[#This Row],[Opzione per prezzo-valore (s/n)]]="s",B[[#This Row],[Valore inserito manualmente]]=0),B[[#This Row],[Valore catastale]],B[[#This Row],[Valore inserito manualmente]])</f>
        <v>0</v>
      </c>
      <c r="R22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2" s="147" t="str">
        <f>+IF(B[[#This Row],[Bene]]="","",VLOOKUP(B[[#This Row],[Tipologia]],TipoImm[],3,0)*B[[#This Row],[Imponibile Iva]])</f>
        <v/>
      </c>
      <c r="T22" s="147" t="str">
        <f>+IF(B[[#This Row],[Bene]]="","",VLOOKUP(B[[#This Row],[Tipologia]],TipoImm[],6,0)*B[[#This Row],[Valore catastale]]+VLOOKUP(B[[#This Row],[Tipologia]],TipoImm[],4,0))</f>
        <v/>
      </c>
      <c r="U22" s="151" t="str">
        <f>+IF(B[[#This Row],[Bene]]="","",VLOOKUP(B[[#This Row],[Tipologia]],TipoImm[],8,0)*B[[#This Row],[Valore normale]]+VLOOKUP(B[[#This Row],[Tipologia]],TipoImm[],9,0))</f>
        <v/>
      </c>
      <c r="V22" s="147">
        <f>+IF(OR(B[[#This Row],[Bene]]="",B[[#This Row],[Agevolabile]]=0),0,VLOOKUP(B[[#This Row],[Tipologia]],TipoImm[],5,0))</f>
        <v>0</v>
      </c>
      <c r="W22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2" s="147">
        <f>SUM(B[[#This Row],[Imposta di registro in misura fissa agevolata]:[Imposta di registro prop. Agevolata]])</f>
        <v>0</v>
      </c>
      <c r="Y22" s="147">
        <f>+IF(B[[#This Row],[Bene]]="",0,VLOOKUP(B[[#This Row],[Tipologia]],TipoImm[],10,0))</f>
        <v>0</v>
      </c>
      <c r="Z22" s="149" t="str">
        <f>+IF(p=3,"",IF(B[[#This Row],[Tipologia]]="","",VLOOKUP(B[[#This Row],[Tipologia]],TipoImm[],MATCH($Z$4,Tabelle!$AF$1:$AR$1,0),0)))</f>
        <v/>
      </c>
    </row>
    <row r="23" spans="1:26" x14ac:dyDescent="0.2">
      <c r="A23" s="123"/>
      <c r="B23" s="123"/>
      <c r="C23" s="143"/>
      <c r="D23" s="124"/>
      <c r="E23" s="123"/>
      <c r="F23" s="155"/>
      <c r="G23" s="156"/>
      <c r="H23" s="156"/>
      <c r="I23" s="156"/>
      <c r="J23" s="142"/>
      <c r="K23" s="143"/>
      <c r="L23" s="156"/>
      <c r="M23" s="150"/>
      <c r="N23" s="145">
        <f>+IF(B[[#This Row],[Categoria Catastale]]="",0,VLOOKUP(B[[#This Row],[Categoria Catastale]],Gruppi[],6,0)*B[[#This Row],[Rendita catastale]])</f>
        <v>0</v>
      </c>
      <c r="O23" s="146" t="str">
        <f t="shared" si="0"/>
        <v/>
      </c>
      <c r="P23" s="147">
        <f>+IF(B[[#This Row],[Valore inserito manualmente]]&gt;0,B[[#This Row],[Valore inserito manualmente]],B[[#This Row],[Valore catastale]])</f>
        <v>0</v>
      </c>
      <c r="Q23" s="147">
        <f>+IF(OR(B[[#This Row],[Opzione per prezzo-valore (s/n)]]="s",B[[#This Row],[Valore inserito manualmente]]=0),B[[#This Row],[Valore catastale]],B[[#This Row],[Valore inserito manualmente]])</f>
        <v>0</v>
      </c>
      <c r="R23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3" s="147" t="str">
        <f>+IF(B[[#This Row],[Bene]]="","",VLOOKUP(B[[#This Row],[Tipologia]],TipoImm[],3,0)*B[[#This Row],[Imponibile Iva]])</f>
        <v/>
      </c>
      <c r="T23" s="147" t="str">
        <f>+IF(B[[#This Row],[Bene]]="","",VLOOKUP(B[[#This Row],[Tipologia]],TipoImm[],6,0)*B[[#This Row],[Valore catastale]]+VLOOKUP(B[[#This Row],[Tipologia]],TipoImm[],4,0))</f>
        <v/>
      </c>
      <c r="U23" s="151" t="str">
        <f>+IF(B[[#This Row],[Bene]]="","",VLOOKUP(B[[#This Row],[Tipologia]],TipoImm[],8,0)*B[[#This Row],[Valore normale]]+VLOOKUP(B[[#This Row],[Tipologia]],TipoImm[],9,0))</f>
        <v/>
      </c>
      <c r="V23" s="147">
        <f>+IF(OR(B[[#This Row],[Bene]]="",B[[#This Row],[Agevolabile]]=0),0,VLOOKUP(B[[#This Row],[Tipologia]],TipoImm[],5,0))</f>
        <v>0</v>
      </c>
      <c r="W23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3" s="147">
        <f>SUM(B[[#This Row],[Imposta di registro in misura fissa agevolata]:[Imposta di registro prop. Agevolata]])</f>
        <v>0</v>
      </c>
      <c r="Y23" s="147">
        <f>+IF(B[[#This Row],[Bene]]="",0,VLOOKUP(B[[#This Row],[Tipologia]],TipoImm[],10,0))</f>
        <v>0</v>
      </c>
      <c r="Z23" s="149" t="str">
        <f>+IF(p=3,"",IF(B[[#This Row],[Tipologia]]="","",VLOOKUP(B[[#This Row],[Tipologia]],TipoImm[],MATCH($Z$4,Tabelle!$AF$1:$AR$1,0),0)))</f>
        <v/>
      </c>
    </row>
    <row r="24" spans="1:26" x14ac:dyDescent="0.2">
      <c r="A24" s="123"/>
      <c r="B24" s="123"/>
      <c r="C24" s="143"/>
      <c r="D24" s="124"/>
      <c r="E24" s="123"/>
      <c r="F24" s="155"/>
      <c r="G24" s="156"/>
      <c r="H24" s="156"/>
      <c r="I24" s="156"/>
      <c r="J24" s="142"/>
      <c r="K24" s="143"/>
      <c r="L24" s="156"/>
      <c r="M24" s="150"/>
      <c r="N24" s="145">
        <f>+IF(B[[#This Row],[Categoria Catastale]]="",0,VLOOKUP(B[[#This Row],[Categoria Catastale]],Gruppi[],6,0)*B[[#This Row],[Rendita catastale]])</f>
        <v>0</v>
      </c>
      <c r="O24" s="146" t="str">
        <f t="shared" si="0"/>
        <v/>
      </c>
      <c r="P24" s="147">
        <f>+IF(B[[#This Row],[Valore inserito manualmente]]&gt;0,B[[#This Row],[Valore inserito manualmente]],B[[#This Row],[Valore catastale]])</f>
        <v>0</v>
      </c>
      <c r="Q24" s="147">
        <f>+IF(OR(B[[#This Row],[Opzione per prezzo-valore (s/n)]]="s",B[[#This Row],[Valore inserito manualmente]]=0),B[[#This Row],[Valore catastale]],B[[#This Row],[Valore inserito manualmente]])</f>
        <v>0</v>
      </c>
      <c r="R24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4" s="147" t="str">
        <f>+IF(B[[#This Row],[Bene]]="","",VLOOKUP(B[[#This Row],[Tipologia]],TipoImm[],3,0)*B[[#This Row],[Imponibile Iva]])</f>
        <v/>
      </c>
      <c r="T24" s="147" t="str">
        <f>+IF(B[[#This Row],[Bene]]="","",VLOOKUP(B[[#This Row],[Tipologia]],TipoImm[],6,0)*B[[#This Row],[Valore catastale]]+VLOOKUP(B[[#This Row],[Tipologia]],TipoImm[],4,0))</f>
        <v/>
      </c>
      <c r="U24" s="151" t="str">
        <f>+IF(B[[#This Row],[Bene]]="","",VLOOKUP(B[[#This Row],[Tipologia]],TipoImm[],8,0)*B[[#This Row],[Valore normale]]+VLOOKUP(B[[#This Row],[Tipologia]],TipoImm[],9,0))</f>
        <v/>
      </c>
      <c r="V24" s="147">
        <f>+IF(OR(B[[#This Row],[Bene]]="",B[[#This Row],[Agevolabile]]=0),0,VLOOKUP(B[[#This Row],[Tipologia]],TipoImm[],5,0))</f>
        <v>0</v>
      </c>
      <c r="W24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4" s="147">
        <f>SUM(B[[#This Row],[Imposta di registro in misura fissa agevolata]:[Imposta di registro prop. Agevolata]])</f>
        <v>0</v>
      </c>
      <c r="Y24" s="147">
        <f>+IF(B[[#This Row],[Bene]]="",0,VLOOKUP(B[[#This Row],[Tipologia]],TipoImm[],10,0))</f>
        <v>0</v>
      </c>
      <c r="Z24" s="149" t="str">
        <f>+IF(p=3,"",IF(B[[#This Row],[Tipologia]]="","",VLOOKUP(B[[#This Row],[Tipologia]],TipoImm[],MATCH($Z$4,Tabelle!$AF$1:$AR$1,0),0)))</f>
        <v/>
      </c>
    </row>
    <row r="25" spans="1:26" x14ac:dyDescent="0.2">
      <c r="A25" s="123"/>
      <c r="B25" s="123"/>
      <c r="C25" s="143"/>
      <c r="D25" s="124"/>
      <c r="E25" s="123"/>
      <c r="F25" s="155"/>
      <c r="G25" s="156"/>
      <c r="H25" s="156"/>
      <c r="I25" s="156"/>
      <c r="J25" s="142"/>
      <c r="K25" s="157"/>
      <c r="L25" s="158"/>
      <c r="M25" s="159"/>
      <c r="N25" s="145">
        <f>+IF(B[[#This Row],[Categoria Catastale]]="",0,VLOOKUP(B[[#This Row],[Categoria Catastale]],Gruppi[],6,0)*B[[#This Row],[Rendita catastale]])</f>
        <v>0</v>
      </c>
      <c r="O25" s="146" t="str">
        <f t="shared" si="0"/>
        <v/>
      </c>
      <c r="P25" s="147">
        <f>+IF(B[[#This Row],[Valore inserito manualmente]]&gt;0,B[[#This Row],[Valore inserito manualmente]],B[[#This Row],[Valore catastale]])</f>
        <v>0</v>
      </c>
      <c r="Q25" s="147">
        <f>+IF(OR(B[[#This Row],[Opzione per prezzo-valore (s/n)]]="s",B[[#This Row],[Valore inserito manualmente]]=0),B[[#This Row],[Valore catastale]],B[[#This Row],[Valore inserito manualmente]])</f>
        <v>0</v>
      </c>
      <c r="R25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5" s="147" t="str">
        <f>+IF(B[[#This Row],[Bene]]="","",VLOOKUP(B[[#This Row],[Tipologia]],TipoImm[],3,0)*B[[#This Row],[Imponibile Iva]])</f>
        <v/>
      </c>
      <c r="T25" s="147" t="str">
        <f>+IF(B[[#This Row],[Bene]]="","",VLOOKUP(B[[#This Row],[Tipologia]],TipoImm[],6,0)*B[[#This Row],[Valore catastale]]+VLOOKUP(B[[#This Row],[Tipologia]],TipoImm[],4,0))</f>
        <v/>
      </c>
      <c r="U25" s="151" t="str">
        <f>+IF(B[[#This Row],[Bene]]="","",VLOOKUP(B[[#This Row],[Tipologia]],TipoImm[],8,0)*B[[#This Row],[Valore normale]]+VLOOKUP(B[[#This Row],[Tipologia]],TipoImm[],9,0))</f>
        <v/>
      </c>
      <c r="V25" s="147">
        <f>+IF(OR(B[[#This Row],[Bene]]="",B[[#This Row],[Agevolabile]]=0),0,VLOOKUP(B[[#This Row],[Tipologia]],TipoImm[],5,0))</f>
        <v>0</v>
      </c>
      <c r="W25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5" s="147">
        <f>SUM(B[[#This Row],[Imposta di registro in misura fissa agevolata]:[Imposta di registro prop. Agevolata]])</f>
        <v>0</v>
      </c>
      <c r="Y25" s="147">
        <f>+IF(B[[#This Row],[Bene]]="",0,VLOOKUP(B[[#This Row],[Tipologia]],TipoImm[],10,0))</f>
        <v>0</v>
      </c>
      <c r="Z25" s="149" t="str">
        <f>+IF(p=3,"",IF(B[[#This Row],[Tipologia]]="","",VLOOKUP(B[[#This Row],[Tipologia]],TipoImm[],MATCH($Z$4,Tabelle!$AF$1:$AR$1,0),0)))</f>
        <v/>
      </c>
    </row>
    <row r="26" spans="1:26" x14ac:dyDescent="0.2">
      <c r="A26" s="123"/>
      <c r="B26" s="123"/>
      <c r="C26" s="143"/>
      <c r="D26" s="124"/>
      <c r="E26" s="123"/>
      <c r="F26" s="155"/>
      <c r="G26" s="156"/>
      <c r="H26" s="156"/>
      <c r="I26" s="156"/>
      <c r="J26" s="142"/>
      <c r="K26" s="157"/>
      <c r="L26" s="158"/>
      <c r="M26" s="159"/>
      <c r="N26" s="145">
        <f>+IF(B[[#This Row],[Categoria Catastale]]="",0,VLOOKUP(B[[#This Row],[Categoria Catastale]],Gruppi[],6,0)*B[[#This Row],[Rendita catastale]])</f>
        <v>0</v>
      </c>
      <c r="O26" s="146" t="str">
        <f t="shared" si="0"/>
        <v/>
      </c>
      <c r="P26" s="147">
        <f>+IF(B[[#This Row],[Valore inserito manualmente]]&gt;0,B[[#This Row],[Valore inserito manualmente]],B[[#This Row],[Valore catastale]])</f>
        <v>0</v>
      </c>
      <c r="Q26" s="147">
        <f>+IF(OR(B[[#This Row],[Opzione per prezzo-valore (s/n)]]="s",B[[#This Row],[Valore inserito manualmente]]=0),B[[#This Row],[Valore catastale]],B[[#This Row],[Valore inserito manualmente]])</f>
        <v>0</v>
      </c>
      <c r="R26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6" s="147" t="str">
        <f>+IF(B[[#This Row],[Bene]]="","",VLOOKUP(B[[#This Row],[Tipologia]],TipoImm[],3,0)*B[[#This Row],[Imponibile Iva]])</f>
        <v/>
      </c>
      <c r="T26" s="147" t="str">
        <f>+IF(B[[#This Row],[Bene]]="","",VLOOKUP(B[[#This Row],[Tipologia]],TipoImm[],6,0)*B[[#This Row],[Valore catastale]]+VLOOKUP(B[[#This Row],[Tipologia]],TipoImm[],4,0))</f>
        <v/>
      </c>
      <c r="U26" s="151" t="str">
        <f>+IF(B[[#This Row],[Bene]]="","",VLOOKUP(B[[#This Row],[Tipologia]],TipoImm[],8,0)*B[[#This Row],[Valore normale]]+VLOOKUP(B[[#This Row],[Tipologia]],TipoImm[],9,0))</f>
        <v/>
      </c>
      <c r="V26" s="147">
        <f>+IF(OR(B[[#This Row],[Bene]]="",B[[#This Row],[Agevolabile]]=0),0,VLOOKUP(B[[#This Row],[Tipologia]],TipoImm[],5,0))</f>
        <v>0</v>
      </c>
      <c r="W26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6" s="147">
        <f>SUM(B[[#This Row],[Imposta di registro in misura fissa agevolata]:[Imposta di registro prop. Agevolata]])</f>
        <v>0</v>
      </c>
      <c r="Y26" s="147">
        <f>+IF(B[[#This Row],[Bene]]="",0,VLOOKUP(B[[#This Row],[Tipologia]],TipoImm[],10,0))</f>
        <v>0</v>
      </c>
      <c r="Z26" s="149" t="str">
        <f>+IF(p=3,"",IF(B[[#This Row],[Tipologia]]="","",VLOOKUP(B[[#This Row],[Tipologia]],TipoImm[],MATCH($Z$4,Tabelle!$AF$1:$AR$1,0),0)))</f>
        <v/>
      </c>
    </row>
    <row r="27" spans="1:26" x14ac:dyDescent="0.2">
      <c r="A27" s="123"/>
      <c r="B27" s="123"/>
      <c r="C27" s="143"/>
      <c r="D27" s="124"/>
      <c r="E27" s="123"/>
      <c r="F27" s="155"/>
      <c r="G27" s="156"/>
      <c r="H27" s="156"/>
      <c r="I27" s="156"/>
      <c r="J27" s="142"/>
      <c r="K27" s="157"/>
      <c r="L27" s="158"/>
      <c r="M27" s="159"/>
      <c r="N27" s="145">
        <f>+IF(B[[#This Row],[Categoria Catastale]]="",0,VLOOKUP(B[[#This Row],[Categoria Catastale]],Gruppi[],6,0)*B[[#This Row],[Rendita catastale]])</f>
        <v>0</v>
      </c>
      <c r="O27" s="146" t="str">
        <f t="shared" si="0"/>
        <v/>
      </c>
      <c r="P27" s="147">
        <f>+IF(B[[#This Row],[Valore inserito manualmente]]&gt;0,B[[#This Row],[Valore inserito manualmente]],B[[#This Row],[Valore catastale]])</f>
        <v>0</v>
      </c>
      <c r="Q27" s="147">
        <f>+IF(OR(B[[#This Row],[Opzione per prezzo-valore (s/n)]]="s",B[[#This Row],[Valore inserito manualmente]]=0),B[[#This Row],[Valore catastale]],B[[#This Row],[Valore inserito manualmente]])</f>
        <v>0</v>
      </c>
      <c r="R27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7" s="147" t="str">
        <f>+IF(B[[#This Row],[Bene]]="","",VLOOKUP(B[[#This Row],[Tipologia]],TipoImm[],3,0)*B[[#This Row],[Imponibile Iva]])</f>
        <v/>
      </c>
      <c r="T27" s="147" t="str">
        <f>+IF(B[[#This Row],[Bene]]="","",VLOOKUP(B[[#This Row],[Tipologia]],TipoImm[],6,0)*B[[#This Row],[Valore catastale]]+VLOOKUP(B[[#This Row],[Tipologia]],TipoImm[],4,0))</f>
        <v/>
      </c>
      <c r="U27" s="151" t="str">
        <f>+IF(B[[#This Row],[Bene]]="","",VLOOKUP(B[[#This Row],[Tipologia]],TipoImm[],8,0)*B[[#This Row],[Valore normale]]+VLOOKUP(B[[#This Row],[Tipologia]],TipoImm[],9,0))</f>
        <v/>
      </c>
      <c r="V27" s="147">
        <f>+IF(OR(B[[#This Row],[Bene]]="",B[[#This Row],[Agevolabile]]=0),0,VLOOKUP(B[[#This Row],[Tipologia]],TipoImm[],5,0))</f>
        <v>0</v>
      </c>
      <c r="W27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7" s="147">
        <f>SUM(B[[#This Row],[Imposta di registro in misura fissa agevolata]:[Imposta di registro prop. Agevolata]])</f>
        <v>0</v>
      </c>
      <c r="Y27" s="147">
        <f>+IF(B[[#This Row],[Bene]]="",0,VLOOKUP(B[[#This Row],[Tipologia]],TipoImm[],10,0))</f>
        <v>0</v>
      </c>
      <c r="Z27" s="149" t="str">
        <f>+IF(p=3,"",IF(B[[#This Row],[Tipologia]]="","",VLOOKUP(B[[#This Row],[Tipologia]],TipoImm[],MATCH($Z$4,Tabelle!$AF$1:$AR$1,0),0)))</f>
        <v/>
      </c>
    </row>
    <row r="28" spans="1:26" x14ac:dyDescent="0.2">
      <c r="A28" s="123"/>
      <c r="B28" s="123"/>
      <c r="C28" s="143"/>
      <c r="D28" s="124"/>
      <c r="E28" s="123"/>
      <c r="F28" s="155"/>
      <c r="G28" s="156"/>
      <c r="H28" s="156"/>
      <c r="I28" s="156"/>
      <c r="J28" s="142"/>
      <c r="K28" s="157"/>
      <c r="L28" s="158"/>
      <c r="M28" s="159"/>
      <c r="N28" s="145">
        <f>+IF(B[[#This Row],[Categoria Catastale]]="",0,VLOOKUP(B[[#This Row],[Categoria Catastale]],Gruppi[],6,0)*B[[#This Row],[Rendita catastale]])</f>
        <v>0</v>
      </c>
      <c r="O28" s="146" t="str">
        <f t="shared" si="0"/>
        <v/>
      </c>
      <c r="P28" s="147">
        <f>+IF(B[[#This Row],[Valore inserito manualmente]]&gt;0,B[[#This Row],[Valore inserito manualmente]],B[[#This Row],[Valore catastale]])</f>
        <v>0</v>
      </c>
      <c r="Q28" s="147">
        <f>+IF(OR(B[[#This Row],[Opzione per prezzo-valore (s/n)]]="s",B[[#This Row],[Valore inserito manualmente]]=0),B[[#This Row],[Valore catastale]],B[[#This Row],[Valore inserito manualmente]])</f>
        <v>0</v>
      </c>
      <c r="R28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8" s="147" t="str">
        <f>+IF(B[[#This Row],[Bene]]="","",VLOOKUP(B[[#This Row],[Tipologia]],TipoImm[],3,0)*B[[#This Row],[Imponibile Iva]])</f>
        <v/>
      </c>
      <c r="T28" s="147" t="str">
        <f>+IF(B[[#This Row],[Bene]]="","",VLOOKUP(B[[#This Row],[Tipologia]],TipoImm[],6,0)*B[[#This Row],[Valore catastale]]+VLOOKUP(B[[#This Row],[Tipologia]],TipoImm[],4,0))</f>
        <v/>
      </c>
      <c r="U28" s="151" t="str">
        <f>+IF(B[[#This Row],[Bene]]="","",VLOOKUP(B[[#This Row],[Tipologia]],TipoImm[],8,0)*B[[#This Row],[Valore normale]]+VLOOKUP(B[[#This Row],[Tipologia]],TipoImm[],9,0))</f>
        <v/>
      </c>
      <c r="V28" s="147">
        <f>+IF(OR(B[[#This Row],[Bene]]="",B[[#This Row],[Agevolabile]]=0),0,VLOOKUP(B[[#This Row],[Tipologia]],TipoImm[],5,0))</f>
        <v>0</v>
      </c>
      <c r="W28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8" s="147">
        <f>SUM(B[[#This Row],[Imposta di registro in misura fissa agevolata]:[Imposta di registro prop. Agevolata]])</f>
        <v>0</v>
      </c>
      <c r="Y28" s="147">
        <f>+IF(B[[#This Row],[Bene]]="",0,VLOOKUP(B[[#This Row],[Tipologia]],TipoImm[],10,0))</f>
        <v>0</v>
      </c>
      <c r="Z28" s="149" t="str">
        <f>+IF(p=3,"",IF(B[[#This Row],[Tipologia]]="","",VLOOKUP(B[[#This Row],[Tipologia]],TipoImm[],MATCH($Z$4,Tabelle!$AF$1:$AR$1,0),0)))</f>
        <v/>
      </c>
    </row>
    <row r="29" spans="1:26" x14ac:dyDescent="0.2">
      <c r="A29" s="123"/>
      <c r="B29" s="123"/>
      <c r="C29" s="143"/>
      <c r="D29" s="124"/>
      <c r="E29" s="123"/>
      <c r="F29" s="155"/>
      <c r="G29" s="156"/>
      <c r="H29" s="156"/>
      <c r="I29" s="156"/>
      <c r="J29" s="142"/>
      <c r="K29" s="157"/>
      <c r="L29" s="158"/>
      <c r="M29" s="159"/>
      <c r="N29" s="145">
        <f>+IF(B[[#This Row],[Categoria Catastale]]="",0,VLOOKUP(B[[#This Row],[Categoria Catastale]],Gruppi[],6,0)*B[[#This Row],[Rendita catastale]])</f>
        <v>0</v>
      </c>
      <c r="O29" s="146" t="str">
        <f t="shared" si="0"/>
        <v/>
      </c>
      <c r="P29" s="147">
        <f>+IF(B[[#This Row],[Valore inserito manualmente]]&gt;0,B[[#This Row],[Valore inserito manualmente]],B[[#This Row],[Valore catastale]])</f>
        <v>0</v>
      </c>
      <c r="Q29" s="147">
        <f>+IF(OR(B[[#This Row],[Opzione per prezzo-valore (s/n)]]="s",B[[#This Row],[Valore inserito manualmente]]=0),B[[#This Row],[Valore catastale]],B[[#This Row],[Valore inserito manualmente]])</f>
        <v>0</v>
      </c>
      <c r="R29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9" s="147" t="str">
        <f>+IF(B[[#This Row],[Bene]]="","",VLOOKUP(B[[#This Row],[Tipologia]],TipoImm[],3,0)*B[[#This Row],[Imponibile Iva]])</f>
        <v/>
      </c>
      <c r="T29" s="147" t="str">
        <f>+IF(B[[#This Row],[Bene]]="","",VLOOKUP(B[[#This Row],[Tipologia]],TipoImm[],6,0)*B[[#This Row],[Valore catastale]]+VLOOKUP(B[[#This Row],[Tipologia]],TipoImm[],4,0))</f>
        <v/>
      </c>
      <c r="U29" s="151" t="str">
        <f>+IF(B[[#This Row],[Bene]]="","",VLOOKUP(B[[#This Row],[Tipologia]],TipoImm[],8,0)*B[[#This Row],[Valore normale]]+VLOOKUP(B[[#This Row],[Tipologia]],TipoImm[],9,0))</f>
        <v/>
      </c>
      <c r="V29" s="147">
        <f>+IF(OR(B[[#This Row],[Bene]]="",B[[#This Row],[Agevolabile]]=0),0,VLOOKUP(B[[#This Row],[Tipologia]],TipoImm[],5,0))</f>
        <v>0</v>
      </c>
      <c r="W29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9" s="147">
        <f>SUM(B[[#This Row],[Imposta di registro in misura fissa agevolata]:[Imposta di registro prop. Agevolata]])</f>
        <v>0</v>
      </c>
      <c r="Y29" s="147">
        <f>+IF(B[[#This Row],[Bene]]="",0,VLOOKUP(B[[#This Row],[Tipologia]],TipoImm[],10,0))</f>
        <v>0</v>
      </c>
      <c r="Z29" s="149" t="str">
        <f>+IF(p=3,"",IF(B[[#This Row],[Tipologia]]="","",VLOOKUP(B[[#This Row],[Tipologia]],TipoImm[],MATCH($Z$4,Tabelle!$AF$1:$AR$1,0),0)))</f>
        <v/>
      </c>
    </row>
    <row r="30" spans="1:26" x14ac:dyDescent="0.2">
      <c r="A30" s="123"/>
      <c r="B30" s="123"/>
      <c r="C30" s="143"/>
      <c r="D30" s="124"/>
      <c r="E30" s="123"/>
      <c r="F30" s="155"/>
      <c r="G30" s="156"/>
      <c r="H30" s="156"/>
      <c r="I30" s="156"/>
      <c r="J30" s="142"/>
      <c r="K30" s="157"/>
      <c r="L30" s="158"/>
      <c r="M30" s="159"/>
      <c r="N30" s="145">
        <f>+IF(B[[#This Row],[Categoria Catastale]]="",0,VLOOKUP(B[[#This Row],[Categoria Catastale]],Gruppi[],6,0)*B[[#This Row],[Rendita catastale]])</f>
        <v>0</v>
      </c>
      <c r="O30" s="146" t="str">
        <f t="shared" si="0"/>
        <v/>
      </c>
      <c r="P30" s="147">
        <f>+IF(B[[#This Row],[Valore inserito manualmente]]&gt;0,B[[#This Row],[Valore inserito manualmente]],B[[#This Row],[Valore catastale]])</f>
        <v>0</v>
      </c>
      <c r="Q30" s="147">
        <f>+IF(OR(B[[#This Row],[Opzione per prezzo-valore (s/n)]]="s",B[[#This Row],[Valore inserito manualmente]]=0),B[[#This Row],[Valore catastale]],B[[#This Row],[Valore inserito manualmente]])</f>
        <v>0</v>
      </c>
      <c r="R30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0" s="147" t="str">
        <f>+IF(B[[#This Row],[Bene]]="","",VLOOKUP(B[[#This Row],[Tipologia]],TipoImm[],3,0)*B[[#This Row],[Imponibile Iva]])</f>
        <v/>
      </c>
      <c r="T30" s="147" t="str">
        <f>+IF(B[[#This Row],[Bene]]="","",VLOOKUP(B[[#This Row],[Tipologia]],TipoImm[],6,0)*B[[#This Row],[Valore catastale]]+VLOOKUP(B[[#This Row],[Tipologia]],TipoImm[],4,0))</f>
        <v/>
      </c>
      <c r="U30" s="151" t="str">
        <f>+IF(B[[#This Row],[Bene]]="","",VLOOKUP(B[[#This Row],[Tipologia]],TipoImm[],8,0)*B[[#This Row],[Valore normale]]+VLOOKUP(B[[#This Row],[Tipologia]],TipoImm[],9,0))</f>
        <v/>
      </c>
      <c r="V30" s="147">
        <f>+IF(OR(B[[#This Row],[Bene]]="",B[[#This Row],[Agevolabile]]=0),0,VLOOKUP(B[[#This Row],[Tipologia]],TipoImm[],5,0))</f>
        <v>0</v>
      </c>
      <c r="W30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0" s="147">
        <f>SUM(B[[#This Row],[Imposta di registro in misura fissa agevolata]:[Imposta di registro prop. Agevolata]])</f>
        <v>0</v>
      </c>
      <c r="Y30" s="147">
        <f>+IF(B[[#This Row],[Bene]]="",0,VLOOKUP(B[[#This Row],[Tipologia]],TipoImm[],10,0))</f>
        <v>0</v>
      </c>
      <c r="Z30" s="149" t="str">
        <f>+IF(p=3,"",IF(B[[#This Row],[Tipologia]]="","",VLOOKUP(B[[#This Row],[Tipologia]],TipoImm[],MATCH($Z$4,Tabelle!$AF$1:$AR$1,0),0)))</f>
        <v/>
      </c>
    </row>
    <row r="31" spans="1:26" x14ac:dyDescent="0.2">
      <c r="A31" s="123"/>
      <c r="B31" s="123"/>
      <c r="C31" s="143"/>
      <c r="D31" s="124"/>
      <c r="E31" s="123"/>
      <c r="F31" s="155"/>
      <c r="G31" s="156"/>
      <c r="H31" s="156"/>
      <c r="I31" s="156"/>
      <c r="J31" s="142"/>
      <c r="K31" s="157"/>
      <c r="L31" s="158"/>
      <c r="M31" s="159"/>
      <c r="N31" s="145">
        <f>+IF(B[[#This Row],[Categoria Catastale]]="",0,VLOOKUP(B[[#This Row],[Categoria Catastale]],Gruppi[],6,0)*B[[#This Row],[Rendita catastale]])</f>
        <v>0</v>
      </c>
      <c r="O31" s="146" t="str">
        <f t="shared" si="0"/>
        <v/>
      </c>
      <c r="P31" s="147">
        <f>+IF(B[[#This Row],[Valore inserito manualmente]]&gt;0,B[[#This Row],[Valore inserito manualmente]],B[[#This Row],[Valore catastale]])</f>
        <v>0</v>
      </c>
      <c r="Q31" s="147">
        <f>+IF(OR(B[[#This Row],[Opzione per prezzo-valore (s/n)]]="s",B[[#This Row],[Valore inserito manualmente]]=0),B[[#This Row],[Valore catastale]],B[[#This Row],[Valore inserito manualmente]])</f>
        <v>0</v>
      </c>
      <c r="R31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1" s="147" t="str">
        <f>+IF(B[[#This Row],[Bene]]="","",VLOOKUP(B[[#This Row],[Tipologia]],TipoImm[],3,0)*B[[#This Row],[Imponibile Iva]])</f>
        <v/>
      </c>
      <c r="T31" s="147" t="str">
        <f>+IF(B[[#This Row],[Bene]]="","",VLOOKUP(B[[#This Row],[Tipologia]],TipoImm[],6,0)*B[[#This Row],[Valore catastale]]+VLOOKUP(B[[#This Row],[Tipologia]],TipoImm[],4,0))</f>
        <v/>
      </c>
      <c r="U31" s="151" t="str">
        <f>+IF(B[[#This Row],[Bene]]="","",VLOOKUP(B[[#This Row],[Tipologia]],TipoImm[],8,0)*B[[#This Row],[Valore normale]]+VLOOKUP(B[[#This Row],[Tipologia]],TipoImm[],9,0))</f>
        <v/>
      </c>
      <c r="V31" s="147">
        <f>+IF(OR(B[[#This Row],[Bene]]="",B[[#This Row],[Agevolabile]]=0),0,VLOOKUP(B[[#This Row],[Tipologia]],TipoImm[],5,0))</f>
        <v>0</v>
      </c>
      <c r="W31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1" s="147">
        <f>SUM(B[[#This Row],[Imposta di registro in misura fissa agevolata]:[Imposta di registro prop. Agevolata]])</f>
        <v>0</v>
      </c>
      <c r="Y31" s="147">
        <f>+IF(B[[#This Row],[Bene]]="",0,VLOOKUP(B[[#This Row],[Tipologia]],TipoImm[],10,0))</f>
        <v>0</v>
      </c>
      <c r="Z31" s="149" t="str">
        <f>+IF(p=3,"",IF(B[[#This Row],[Tipologia]]="","",VLOOKUP(B[[#This Row],[Tipologia]],TipoImm[],MATCH($Z$4,Tabelle!$AF$1:$AR$1,0),0)))</f>
        <v/>
      </c>
    </row>
    <row r="32" spans="1:26" x14ac:dyDescent="0.2">
      <c r="A32" s="123"/>
      <c r="B32" s="123"/>
      <c r="C32" s="143"/>
      <c r="D32" s="124"/>
      <c r="E32" s="123"/>
      <c r="F32" s="155"/>
      <c r="G32" s="156"/>
      <c r="H32" s="156"/>
      <c r="I32" s="156"/>
      <c r="J32" s="142"/>
      <c r="K32" s="157"/>
      <c r="L32" s="158"/>
      <c r="M32" s="159"/>
      <c r="N32" s="145">
        <f>+IF(B[[#This Row],[Categoria Catastale]]="",0,VLOOKUP(B[[#This Row],[Categoria Catastale]],Gruppi[],6,0)*B[[#This Row],[Rendita catastale]])</f>
        <v>0</v>
      </c>
      <c r="O32" s="146" t="str">
        <f t="shared" si="0"/>
        <v/>
      </c>
      <c r="P32" s="147">
        <f>+IF(B[[#This Row],[Valore inserito manualmente]]&gt;0,B[[#This Row],[Valore inserito manualmente]],B[[#This Row],[Valore catastale]])</f>
        <v>0</v>
      </c>
      <c r="Q32" s="147">
        <f>+IF(OR(B[[#This Row],[Opzione per prezzo-valore (s/n)]]="s",B[[#This Row],[Valore inserito manualmente]]=0),B[[#This Row],[Valore catastale]],B[[#This Row],[Valore inserito manualmente]])</f>
        <v>0</v>
      </c>
      <c r="R32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2" s="147" t="str">
        <f>+IF(B[[#This Row],[Bene]]="","",VLOOKUP(B[[#This Row],[Tipologia]],TipoImm[],3,0)*B[[#This Row],[Imponibile Iva]])</f>
        <v/>
      </c>
      <c r="T32" s="147" t="str">
        <f>+IF(B[[#This Row],[Bene]]="","",VLOOKUP(B[[#This Row],[Tipologia]],TipoImm[],6,0)*B[[#This Row],[Valore catastale]]+VLOOKUP(B[[#This Row],[Tipologia]],TipoImm[],4,0))</f>
        <v/>
      </c>
      <c r="U32" s="151" t="str">
        <f>+IF(B[[#This Row],[Bene]]="","",VLOOKUP(B[[#This Row],[Tipologia]],TipoImm[],8,0)*B[[#This Row],[Valore normale]]+VLOOKUP(B[[#This Row],[Tipologia]],TipoImm[],9,0))</f>
        <v/>
      </c>
      <c r="V32" s="147">
        <f>+IF(OR(B[[#This Row],[Bene]]="",B[[#This Row],[Agevolabile]]=0),0,VLOOKUP(B[[#This Row],[Tipologia]],TipoImm[],5,0))</f>
        <v>0</v>
      </c>
      <c r="W32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2" s="147">
        <f>SUM(B[[#This Row],[Imposta di registro in misura fissa agevolata]:[Imposta di registro prop. Agevolata]])</f>
        <v>0</v>
      </c>
      <c r="Y32" s="147">
        <f>+IF(B[[#This Row],[Bene]]="",0,VLOOKUP(B[[#This Row],[Tipologia]],TipoImm[],10,0))</f>
        <v>0</v>
      </c>
      <c r="Z32" s="149" t="str">
        <f>+IF(p=3,"",IF(B[[#This Row],[Tipologia]]="","",VLOOKUP(B[[#This Row],[Tipologia]],TipoImm[],MATCH($Z$4,Tabelle!$AF$1:$AR$1,0),0)))</f>
        <v/>
      </c>
    </row>
    <row r="33" spans="1:26" x14ac:dyDescent="0.2">
      <c r="A33" s="123"/>
      <c r="B33" s="123"/>
      <c r="C33" s="143"/>
      <c r="D33" s="124"/>
      <c r="E33" s="123"/>
      <c r="F33" s="155"/>
      <c r="G33" s="156"/>
      <c r="H33" s="156"/>
      <c r="I33" s="156"/>
      <c r="J33" s="142"/>
      <c r="K33" s="157"/>
      <c r="L33" s="158"/>
      <c r="M33" s="159"/>
      <c r="N33" s="145">
        <f>+IF(B[[#This Row],[Categoria Catastale]]="",0,VLOOKUP(B[[#This Row],[Categoria Catastale]],Gruppi[],6,0)*B[[#This Row],[Rendita catastale]])</f>
        <v>0</v>
      </c>
      <c r="O33" s="146" t="str">
        <f t="shared" si="0"/>
        <v/>
      </c>
      <c r="P33" s="147">
        <f>+IF(B[[#This Row],[Valore inserito manualmente]]&gt;0,B[[#This Row],[Valore inserito manualmente]],B[[#This Row],[Valore catastale]])</f>
        <v>0</v>
      </c>
      <c r="Q33" s="147">
        <f>+IF(OR(B[[#This Row],[Opzione per prezzo-valore (s/n)]]="s",B[[#This Row],[Valore inserito manualmente]]=0),B[[#This Row],[Valore catastale]],B[[#This Row],[Valore inserito manualmente]])</f>
        <v>0</v>
      </c>
      <c r="R33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3" s="147" t="str">
        <f>+IF(B[[#This Row],[Bene]]="","",VLOOKUP(B[[#This Row],[Tipologia]],TipoImm[],3,0)*B[[#This Row],[Imponibile Iva]])</f>
        <v/>
      </c>
      <c r="T33" s="147" t="str">
        <f>+IF(B[[#This Row],[Bene]]="","",VLOOKUP(B[[#This Row],[Tipologia]],TipoImm[],6,0)*B[[#This Row],[Valore catastale]]+VLOOKUP(B[[#This Row],[Tipologia]],TipoImm[],4,0))</f>
        <v/>
      </c>
      <c r="U33" s="151" t="str">
        <f>+IF(B[[#This Row],[Bene]]="","",VLOOKUP(B[[#This Row],[Tipologia]],TipoImm[],8,0)*B[[#This Row],[Valore normale]]+VLOOKUP(B[[#This Row],[Tipologia]],TipoImm[],9,0))</f>
        <v/>
      </c>
      <c r="V33" s="147">
        <f>+IF(OR(B[[#This Row],[Bene]]="",B[[#This Row],[Agevolabile]]=0),0,VLOOKUP(B[[#This Row],[Tipologia]],TipoImm[],5,0))</f>
        <v>0</v>
      </c>
      <c r="W33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3" s="147">
        <f>SUM(B[[#This Row],[Imposta di registro in misura fissa agevolata]:[Imposta di registro prop. Agevolata]])</f>
        <v>0</v>
      </c>
      <c r="Y33" s="147">
        <f>+IF(B[[#This Row],[Bene]]="",0,VLOOKUP(B[[#This Row],[Tipologia]],TipoImm[],10,0))</f>
        <v>0</v>
      </c>
      <c r="Z33" s="149" t="str">
        <f>+IF(p=3,"",IF(B[[#This Row],[Tipologia]]="","",VLOOKUP(B[[#This Row],[Tipologia]],TipoImm[],MATCH($Z$4,Tabelle!$AF$1:$AR$1,0),0)))</f>
        <v/>
      </c>
    </row>
    <row r="34" spans="1:26" x14ac:dyDescent="0.2">
      <c r="A34" s="123"/>
      <c r="B34" s="123"/>
      <c r="C34" s="143"/>
      <c r="D34" s="124"/>
      <c r="E34" s="123"/>
      <c r="F34" s="155"/>
      <c r="G34" s="156"/>
      <c r="H34" s="156"/>
      <c r="I34" s="156"/>
      <c r="J34" s="142"/>
      <c r="K34" s="157"/>
      <c r="L34" s="158"/>
      <c r="M34" s="159"/>
      <c r="N34" s="145">
        <f>+IF(B[[#This Row],[Categoria Catastale]]="",0,VLOOKUP(B[[#This Row],[Categoria Catastale]],Gruppi[],6,0)*B[[#This Row],[Rendita catastale]])</f>
        <v>0</v>
      </c>
      <c r="O34" s="146" t="str">
        <f t="shared" si="0"/>
        <v/>
      </c>
      <c r="P34" s="147">
        <f>+IF(B[[#This Row],[Valore inserito manualmente]]&gt;0,B[[#This Row],[Valore inserito manualmente]],B[[#This Row],[Valore catastale]])</f>
        <v>0</v>
      </c>
      <c r="Q34" s="147">
        <f>+IF(OR(B[[#This Row],[Opzione per prezzo-valore (s/n)]]="s",B[[#This Row],[Valore inserito manualmente]]=0),B[[#This Row],[Valore catastale]],B[[#This Row],[Valore inserito manualmente]])</f>
        <v>0</v>
      </c>
      <c r="R34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4" s="147" t="str">
        <f>+IF(B[[#This Row],[Bene]]="","",VLOOKUP(B[[#This Row],[Tipologia]],TipoImm[],3,0)*B[[#This Row],[Imponibile Iva]])</f>
        <v/>
      </c>
      <c r="T34" s="147" t="str">
        <f>+IF(B[[#This Row],[Bene]]="","",VLOOKUP(B[[#This Row],[Tipologia]],TipoImm[],6,0)*B[[#This Row],[Valore catastale]]+VLOOKUP(B[[#This Row],[Tipologia]],TipoImm[],4,0))</f>
        <v/>
      </c>
      <c r="U34" s="151" t="str">
        <f>+IF(B[[#This Row],[Bene]]="","",VLOOKUP(B[[#This Row],[Tipologia]],TipoImm[],8,0)*B[[#This Row],[Valore normale]]+VLOOKUP(B[[#This Row],[Tipologia]],TipoImm[],9,0))</f>
        <v/>
      </c>
      <c r="V34" s="147">
        <f>+IF(OR(B[[#This Row],[Bene]]="",B[[#This Row],[Agevolabile]]=0),0,VLOOKUP(B[[#This Row],[Tipologia]],TipoImm[],5,0))</f>
        <v>0</v>
      </c>
      <c r="W34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4" s="147">
        <f>SUM(B[[#This Row],[Imposta di registro in misura fissa agevolata]:[Imposta di registro prop. Agevolata]])</f>
        <v>0</v>
      </c>
      <c r="Y34" s="147">
        <f>+IF(B[[#This Row],[Bene]]="",0,VLOOKUP(B[[#This Row],[Tipologia]],TipoImm[],10,0))</f>
        <v>0</v>
      </c>
      <c r="Z34" s="149" t="str">
        <f>+IF(p=3,"",IF(B[[#This Row],[Tipologia]]="","",VLOOKUP(B[[#This Row],[Tipologia]],TipoImm[],MATCH($Z$4,Tabelle!$AF$1:$AR$1,0),0)))</f>
        <v/>
      </c>
    </row>
    <row r="35" spans="1:26" x14ac:dyDescent="0.2">
      <c r="A35" s="123"/>
      <c r="B35" s="123"/>
      <c r="C35" s="143"/>
      <c r="D35" s="124"/>
      <c r="E35" s="123"/>
      <c r="F35" s="155"/>
      <c r="G35" s="156"/>
      <c r="H35" s="156"/>
      <c r="I35" s="156"/>
      <c r="J35" s="142"/>
      <c r="K35" s="157"/>
      <c r="L35" s="158"/>
      <c r="M35" s="159"/>
      <c r="N35" s="145">
        <f>+IF(B[[#This Row],[Categoria Catastale]]="",0,VLOOKUP(B[[#This Row],[Categoria Catastale]],Gruppi[],6,0)*B[[#This Row],[Rendita catastale]])</f>
        <v>0</v>
      </c>
      <c r="O35" s="146" t="str">
        <f t="shared" si="0"/>
        <v/>
      </c>
      <c r="P35" s="147">
        <f>+IF(B[[#This Row],[Valore inserito manualmente]]&gt;0,B[[#This Row],[Valore inserito manualmente]],B[[#This Row],[Valore catastale]])</f>
        <v>0</v>
      </c>
      <c r="Q35" s="147">
        <f>+IF(OR(B[[#This Row],[Opzione per prezzo-valore (s/n)]]="s",B[[#This Row],[Valore inserito manualmente]]=0),B[[#This Row],[Valore catastale]],B[[#This Row],[Valore inserito manualmente]])</f>
        <v>0</v>
      </c>
      <c r="R35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5" s="147" t="str">
        <f>+IF(B[[#This Row],[Bene]]="","",VLOOKUP(B[[#This Row],[Tipologia]],TipoImm[],3,0)*B[[#This Row],[Imponibile Iva]])</f>
        <v/>
      </c>
      <c r="T35" s="147" t="str">
        <f>+IF(B[[#This Row],[Bene]]="","",VLOOKUP(B[[#This Row],[Tipologia]],TipoImm[],6,0)*B[[#This Row],[Valore catastale]]+VLOOKUP(B[[#This Row],[Tipologia]],TipoImm[],4,0))</f>
        <v/>
      </c>
      <c r="U35" s="151" t="str">
        <f>+IF(B[[#This Row],[Bene]]="","",VLOOKUP(B[[#This Row],[Tipologia]],TipoImm[],8,0)*B[[#This Row],[Valore normale]]+VLOOKUP(B[[#This Row],[Tipologia]],TipoImm[],9,0))</f>
        <v/>
      </c>
      <c r="V35" s="147">
        <f>+IF(OR(B[[#This Row],[Bene]]="",B[[#This Row],[Agevolabile]]=0),0,VLOOKUP(B[[#This Row],[Tipologia]],TipoImm[],5,0))</f>
        <v>0</v>
      </c>
      <c r="W35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5" s="147">
        <f>SUM(B[[#This Row],[Imposta di registro in misura fissa agevolata]:[Imposta di registro prop. Agevolata]])</f>
        <v>0</v>
      </c>
      <c r="Y35" s="147">
        <f>+IF(B[[#This Row],[Bene]]="",0,VLOOKUP(B[[#This Row],[Tipologia]],TipoImm[],10,0))</f>
        <v>0</v>
      </c>
      <c r="Z35" s="149" t="str">
        <f>+IF(p=3,"",IF(B[[#This Row],[Tipologia]]="","",VLOOKUP(B[[#This Row],[Tipologia]],TipoImm[],MATCH($Z$4,Tabelle!$AF$1:$AR$1,0),0)))</f>
        <v/>
      </c>
    </row>
    <row r="36" spans="1:26" x14ac:dyDescent="0.2">
      <c r="A36" s="123"/>
      <c r="B36" s="123"/>
      <c r="C36" s="143"/>
      <c r="D36" s="124"/>
      <c r="E36" s="123"/>
      <c r="F36" s="155"/>
      <c r="G36" s="156"/>
      <c r="H36" s="156"/>
      <c r="I36" s="156"/>
      <c r="J36" s="142"/>
      <c r="K36" s="157"/>
      <c r="L36" s="158"/>
      <c r="M36" s="159"/>
      <c r="N36" s="145">
        <f>+IF(B[[#This Row],[Categoria Catastale]]="",0,VLOOKUP(B[[#This Row],[Categoria Catastale]],Gruppi[],6,0)*B[[#This Row],[Rendita catastale]])</f>
        <v>0</v>
      </c>
      <c r="O36" s="146" t="str">
        <f t="shared" si="0"/>
        <v/>
      </c>
      <c r="P36" s="147">
        <f>+IF(B[[#This Row],[Valore inserito manualmente]]&gt;0,B[[#This Row],[Valore inserito manualmente]],B[[#This Row],[Valore catastale]])</f>
        <v>0</v>
      </c>
      <c r="Q36" s="147">
        <f>+IF(OR(B[[#This Row],[Opzione per prezzo-valore (s/n)]]="s",B[[#This Row],[Valore inserito manualmente]]=0),B[[#This Row],[Valore catastale]],B[[#This Row],[Valore inserito manualmente]])</f>
        <v>0</v>
      </c>
      <c r="R36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6" s="147" t="str">
        <f>+IF(B[[#This Row],[Bene]]="","",VLOOKUP(B[[#This Row],[Tipologia]],TipoImm[],3,0)*B[[#This Row],[Imponibile Iva]])</f>
        <v/>
      </c>
      <c r="T36" s="147" t="str">
        <f>+IF(B[[#This Row],[Bene]]="","",VLOOKUP(B[[#This Row],[Tipologia]],TipoImm[],6,0)*B[[#This Row],[Valore catastale]]+VLOOKUP(B[[#This Row],[Tipologia]],TipoImm[],4,0))</f>
        <v/>
      </c>
      <c r="U36" s="151" t="str">
        <f>+IF(B[[#This Row],[Bene]]="","",VLOOKUP(B[[#This Row],[Tipologia]],TipoImm[],8,0)*B[[#This Row],[Valore normale]]+VLOOKUP(B[[#This Row],[Tipologia]],TipoImm[],9,0))</f>
        <v/>
      </c>
      <c r="V36" s="147">
        <f>+IF(OR(B[[#This Row],[Bene]]="",B[[#This Row],[Agevolabile]]=0),0,VLOOKUP(B[[#This Row],[Tipologia]],TipoImm[],5,0))</f>
        <v>0</v>
      </c>
      <c r="W36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6" s="147">
        <f>SUM(B[[#This Row],[Imposta di registro in misura fissa agevolata]:[Imposta di registro prop. Agevolata]])</f>
        <v>0</v>
      </c>
      <c r="Y36" s="147">
        <f>+IF(B[[#This Row],[Bene]]="",0,VLOOKUP(B[[#This Row],[Tipologia]],TipoImm[],10,0))</f>
        <v>0</v>
      </c>
      <c r="Z36" s="149" t="str">
        <f>+IF(p=3,"",IF(B[[#This Row],[Tipologia]]="","",VLOOKUP(B[[#This Row],[Tipologia]],TipoImm[],MATCH($Z$4,Tabelle!$AF$1:$AR$1,0),0)))</f>
        <v/>
      </c>
    </row>
    <row r="37" spans="1:26" x14ac:dyDescent="0.2">
      <c r="A37" s="123"/>
      <c r="B37" s="123"/>
      <c r="C37" s="143"/>
      <c r="D37" s="124"/>
      <c r="E37" s="123"/>
      <c r="F37" s="155"/>
      <c r="G37" s="156"/>
      <c r="H37" s="156"/>
      <c r="I37" s="156"/>
      <c r="J37" s="142"/>
      <c r="K37" s="157"/>
      <c r="L37" s="158"/>
      <c r="M37" s="159"/>
      <c r="N37" s="145">
        <f>+IF(B[[#This Row],[Categoria Catastale]]="",0,VLOOKUP(B[[#This Row],[Categoria Catastale]],Gruppi[],6,0)*B[[#This Row],[Rendita catastale]])</f>
        <v>0</v>
      </c>
      <c r="O37" s="146" t="str">
        <f t="shared" ref="O37:O68" si="1">+IF(A37="","",IF(D37="Sì",0,1))</f>
        <v/>
      </c>
      <c r="P37" s="147">
        <f>+IF(B[[#This Row],[Valore inserito manualmente]]&gt;0,B[[#This Row],[Valore inserito manualmente]],B[[#This Row],[Valore catastale]])</f>
        <v>0</v>
      </c>
      <c r="Q37" s="147">
        <f>+IF(OR(B[[#This Row],[Opzione per prezzo-valore (s/n)]]="s",B[[#This Row],[Valore inserito manualmente]]=0),B[[#This Row],[Valore catastale]],B[[#This Row],[Valore inserito manualmente]])</f>
        <v>0</v>
      </c>
      <c r="R37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7" s="147" t="str">
        <f>+IF(B[[#This Row],[Bene]]="","",VLOOKUP(B[[#This Row],[Tipologia]],TipoImm[],3,0)*B[[#This Row],[Imponibile Iva]])</f>
        <v/>
      </c>
      <c r="T37" s="147" t="str">
        <f>+IF(B[[#This Row],[Bene]]="","",VLOOKUP(B[[#This Row],[Tipologia]],TipoImm[],6,0)*B[[#This Row],[Valore catastale]]+VLOOKUP(B[[#This Row],[Tipologia]],TipoImm[],4,0))</f>
        <v/>
      </c>
      <c r="U37" s="151" t="str">
        <f>+IF(B[[#This Row],[Bene]]="","",VLOOKUP(B[[#This Row],[Tipologia]],TipoImm[],8,0)*B[[#This Row],[Valore normale]]+VLOOKUP(B[[#This Row],[Tipologia]],TipoImm[],9,0))</f>
        <v/>
      </c>
      <c r="V37" s="147">
        <f>+IF(OR(B[[#This Row],[Bene]]="",B[[#This Row],[Agevolabile]]=0),0,VLOOKUP(B[[#This Row],[Tipologia]],TipoImm[],5,0))</f>
        <v>0</v>
      </c>
      <c r="W37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7" s="147">
        <f>SUM(B[[#This Row],[Imposta di registro in misura fissa agevolata]:[Imposta di registro prop. Agevolata]])</f>
        <v>0</v>
      </c>
      <c r="Y37" s="147">
        <f>+IF(B[[#This Row],[Bene]]="",0,VLOOKUP(B[[#This Row],[Tipologia]],TipoImm[],10,0))</f>
        <v>0</v>
      </c>
      <c r="Z37" s="149" t="str">
        <f>+IF(p=3,"",IF(B[[#This Row],[Tipologia]]="","",VLOOKUP(B[[#This Row],[Tipologia]],TipoImm[],MATCH($Z$4,Tabelle!$AF$1:$AR$1,0),0)))</f>
        <v/>
      </c>
    </row>
    <row r="38" spans="1:26" x14ac:dyDescent="0.2">
      <c r="A38" s="123"/>
      <c r="B38" s="123"/>
      <c r="C38" s="143"/>
      <c r="D38" s="124"/>
      <c r="E38" s="123"/>
      <c r="F38" s="155"/>
      <c r="G38" s="156"/>
      <c r="H38" s="156"/>
      <c r="I38" s="156"/>
      <c r="J38" s="142"/>
      <c r="K38" s="157"/>
      <c r="L38" s="158"/>
      <c r="M38" s="159"/>
      <c r="N38" s="145">
        <f>+IF(B[[#This Row],[Categoria Catastale]]="",0,VLOOKUP(B[[#This Row],[Categoria Catastale]],Gruppi[],6,0)*B[[#This Row],[Rendita catastale]])</f>
        <v>0</v>
      </c>
      <c r="O38" s="146" t="str">
        <f t="shared" si="1"/>
        <v/>
      </c>
      <c r="P38" s="147">
        <f>+IF(B[[#This Row],[Valore inserito manualmente]]&gt;0,B[[#This Row],[Valore inserito manualmente]],B[[#This Row],[Valore catastale]])</f>
        <v>0</v>
      </c>
      <c r="Q38" s="147">
        <f>+IF(OR(B[[#This Row],[Opzione per prezzo-valore (s/n)]]="s",B[[#This Row],[Valore inserito manualmente]]=0),B[[#This Row],[Valore catastale]],B[[#This Row],[Valore inserito manualmente]])</f>
        <v>0</v>
      </c>
      <c r="R38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8" s="147" t="str">
        <f>+IF(B[[#This Row],[Bene]]="","",VLOOKUP(B[[#This Row],[Tipologia]],TipoImm[],3,0)*B[[#This Row],[Imponibile Iva]])</f>
        <v/>
      </c>
      <c r="T38" s="147" t="str">
        <f>+IF(B[[#This Row],[Bene]]="","",VLOOKUP(B[[#This Row],[Tipologia]],TipoImm[],6,0)*B[[#This Row],[Valore catastale]]+VLOOKUP(B[[#This Row],[Tipologia]],TipoImm[],4,0))</f>
        <v/>
      </c>
      <c r="U38" s="151" t="str">
        <f>+IF(B[[#This Row],[Bene]]="","",VLOOKUP(B[[#This Row],[Tipologia]],TipoImm[],8,0)*B[[#This Row],[Valore normale]]+VLOOKUP(B[[#This Row],[Tipologia]],TipoImm[],9,0))</f>
        <v/>
      </c>
      <c r="V38" s="147">
        <f>+IF(OR(B[[#This Row],[Bene]]="",B[[#This Row],[Agevolabile]]=0),0,VLOOKUP(B[[#This Row],[Tipologia]],TipoImm[],5,0))</f>
        <v>0</v>
      </c>
      <c r="W38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8" s="147">
        <f>SUM(B[[#This Row],[Imposta di registro in misura fissa agevolata]:[Imposta di registro prop. Agevolata]])</f>
        <v>0</v>
      </c>
      <c r="Y38" s="147">
        <f>+IF(B[[#This Row],[Bene]]="",0,VLOOKUP(B[[#This Row],[Tipologia]],TipoImm[],10,0))</f>
        <v>0</v>
      </c>
      <c r="Z38" s="149" t="str">
        <f>+IF(p=3,"",IF(B[[#This Row],[Tipologia]]="","",VLOOKUP(B[[#This Row],[Tipologia]],TipoImm[],MATCH($Z$4,Tabelle!$AF$1:$AR$1,0),0)))</f>
        <v/>
      </c>
    </row>
    <row r="39" spans="1:26" x14ac:dyDescent="0.2">
      <c r="A39" s="123"/>
      <c r="B39" s="123"/>
      <c r="C39" s="143"/>
      <c r="D39" s="124"/>
      <c r="E39" s="123"/>
      <c r="F39" s="155"/>
      <c r="G39" s="156"/>
      <c r="H39" s="156"/>
      <c r="I39" s="156"/>
      <c r="J39" s="142"/>
      <c r="K39" s="157"/>
      <c r="L39" s="158"/>
      <c r="M39" s="159"/>
      <c r="N39" s="145">
        <f>+IF(B[[#This Row],[Categoria Catastale]]="",0,VLOOKUP(B[[#This Row],[Categoria Catastale]],Gruppi[],6,0)*B[[#This Row],[Rendita catastale]])</f>
        <v>0</v>
      </c>
      <c r="O39" s="146" t="str">
        <f t="shared" si="1"/>
        <v/>
      </c>
      <c r="P39" s="147">
        <f>+IF(B[[#This Row],[Valore inserito manualmente]]&gt;0,B[[#This Row],[Valore inserito manualmente]],B[[#This Row],[Valore catastale]])</f>
        <v>0</v>
      </c>
      <c r="Q39" s="147">
        <f>+IF(OR(B[[#This Row],[Opzione per prezzo-valore (s/n)]]="s",B[[#This Row],[Valore inserito manualmente]]=0),B[[#This Row],[Valore catastale]],B[[#This Row],[Valore inserito manualmente]])</f>
        <v>0</v>
      </c>
      <c r="R39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9" s="147" t="str">
        <f>+IF(B[[#This Row],[Bene]]="","",VLOOKUP(B[[#This Row],[Tipologia]],TipoImm[],3,0)*B[[#This Row],[Imponibile Iva]])</f>
        <v/>
      </c>
      <c r="T39" s="147" t="str">
        <f>+IF(B[[#This Row],[Bene]]="","",VLOOKUP(B[[#This Row],[Tipologia]],TipoImm[],6,0)*B[[#This Row],[Valore catastale]]+VLOOKUP(B[[#This Row],[Tipologia]],TipoImm[],4,0))</f>
        <v/>
      </c>
      <c r="U39" s="151" t="str">
        <f>+IF(B[[#This Row],[Bene]]="","",VLOOKUP(B[[#This Row],[Tipologia]],TipoImm[],8,0)*B[[#This Row],[Valore normale]]+VLOOKUP(B[[#This Row],[Tipologia]],TipoImm[],9,0))</f>
        <v/>
      </c>
      <c r="V39" s="147">
        <f>+IF(OR(B[[#This Row],[Bene]]="",B[[#This Row],[Agevolabile]]=0),0,VLOOKUP(B[[#This Row],[Tipologia]],TipoImm[],5,0))</f>
        <v>0</v>
      </c>
      <c r="W39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9" s="147">
        <f>SUM(B[[#This Row],[Imposta di registro in misura fissa agevolata]:[Imposta di registro prop. Agevolata]])</f>
        <v>0</v>
      </c>
      <c r="Y39" s="147">
        <f>+IF(B[[#This Row],[Bene]]="",0,VLOOKUP(B[[#This Row],[Tipologia]],TipoImm[],10,0))</f>
        <v>0</v>
      </c>
      <c r="Z39" s="149" t="str">
        <f>+IF(p=3,"",IF(B[[#This Row],[Tipologia]]="","",VLOOKUP(B[[#This Row],[Tipologia]],TipoImm[],MATCH($Z$4,Tabelle!$AF$1:$AR$1,0),0)))</f>
        <v/>
      </c>
    </row>
    <row r="40" spans="1:26" x14ac:dyDescent="0.2">
      <c r="A40" s="123"/>
      <c r="B40" s="123"/>
      <c r="C40" s="143"/>
      <c r="D40" s="124"/>
      <c r="E40" s="123"/>
      <c r="F40" s="155"/>
      <c r="G40" s="156"/>
      <c r="H40" s="156"/>
      <c r="I40" s="156"/>
      <c r="J40" s="142"/>
      <c r="K40" s="157"/>
      <c r="L40" s="158"/>
      <c r="M40" s="159"/>
      <c r="N40" s="145">
        <f>+IF(B[[#This Row],[Categoria Catastale]]="",0,VLOOKUP(B[[#This Row],[Categoria Catastale]],Gruppi[],6,0)*B[[#This Row],[Rendita catastale]])</f>
        <v>0</v>
      </c>
      <c r="O40" s="146" t="str">
        <f t="shared" si="1"/>
        <v/>
      </c>
      <c r="P40" s="147">
        <f>+IF(B[[#This Row],[Valore inserito manualmente]]&gt;0,B[[#This Row],[Valore inserito manualmente]],B[[#This Row],[Valore catastale]])</f>
        <v>0</v>
      </c>
      <c r="Q40" s="147">
        <f>+IF(OR(B[[#This Row],[Opzione per prezzo-valore (s/n)]]="s",B[[#This Row],[Valore inserito manualmente]]=0),B[[#This Row],[Valore catastale]],B[[#This Row],[Valore inserito manualmente]])</f>
        <v>0</v>
      </c>
      <c r="R40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0" s="147" t="str">
        <f>+IF(B[[#This Row],[Bene]]="","",VLOOKUP(B[[#This Row],[Tipologia]],TipoImm[],3,0)*B[[#This Row],[Imponibile Iva]])</f>
        <v/>
      </c>
      <c r="T40" s="147" t="str">
        <f>+IF(B[[#This Row],[Bene]]="","",VLOOKUP(B[[#This Row],[Tipologia]],TipoImm[],6,0)*B[[#This Row],[Valore catastale]]+VLOOKUP(B[[#This Row],[Tipologia]],TipoImm[],4,0))</f>
        <v/>
      </c>
      <c r="U40" s="151" t="str">
        <f>+IF(B[[#This Row],[Bene]]="","",VLOOKUP(B[[#This Row],[Tipologia]],TipoImm[],8,0)*B[[#This Row],[Valore normale]]+VLOOKUP(B[[#This Row],[Tipologia]],TipoImm[],9,0))</f>
        <v/>
      </c>
      <c r="V40" s="147">
        <f>+IF(OR(B[[#This Row],[Bene]]="",B[[#This Row],[Agevolabile]]=0),0,VLOOKUP(B[[#This Row],[Tipologia]],TipoImm[],5,0))</f>
        <v>0</v>
      </c>
      <c r="W40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0" s="147">
        <f>SUM(B[[#This Row],[Imposta di registro in misura fissa agevolata]:[Imposta di registro prop. Agevolata]])</f>
        <v>0</v>
      </c>
      <c r="Y40" s="147">
        <f>+IF(B[[#This Row],[Bene]]="",0,VLOOKUP(B[[#This Row],[Tipologia]],TipoImm[],10,0))</f>
        <v>0</v>
      </c>
      <c r="Z40" s="149" t="str">
        <f>+IF(p=3,"",IF(B[[#This Row],[Tipologia]]="","",VLOOKUP(B[[#This Row],[Tipologia]],TipoImm[],MATCH($Z$4,Tabelle!$AF$1:$AR$1,0),0)))</f>
        <v/>
      </c>
    </row>
    <row r="41" spans="1:26" x14ac:dyDescent="0.2">
      <c r="A41" s="123"/>
      <c r="B41" s="123"/>
      <c r="C41" s="143"/>
      <c r="D41" s="124"/>
      <c r="E41" s="123"/>
      <c r="F41" s="155"/>
      <c r="G41" s="156"/>
      <c r="H41" s="156"/>
      <c r="I41" s="156"/>
      <c r="J41" s="142"/>
      <c r="K41" s="157"/>
      <c r="L41" s="158"/>
      <c r="M41" s="159"/>
      <c r="N41" s="145">
        <f>+IF(B[[#This Row],[Categoria Catastale]]="",0,VLOOKUP(B[[#This Row],[Categoria Catastale]],Gruppi[],6,0)*B[[#This Row],[Rendita catastale]])</f>
        <v>0</v>
      </c>
      <c r="O41" s="146" t="str">
        <f t="shared" si="1"/>
        <v/>
      </c>
      <c r="P41" s="147">
        <f>+IF(B[[#This Row],[Valore inserito manualmente]]&gt;0,B[[#This Row],[Valore inserito manualmente]],B[[#This Row],[Valore catastale]])</f>
        <v>0</v>
      </c>
      <c r="Q41" s="147">
        <f>+IF(OR(B[[#This Row],[Opzione per prezzo-valore (s/n)]]="s",B[[#This Row],[Valore inserito manualmente]]=0),B[[#This Row],[Valore catastale]],B[[#This Row],[Valore inserito manualmente]])</f>
        <v>0</v>
      </c>
      <c r="R41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1" s="147" t="str">
        <f>+IF(B[[#This Row],[Bene]]="","",VLOOKUP(B[[#This Row],[Tipologia]],TipoImm[],3,0)*B[[#This Row],[Imponibile Iva]])</f>
        <v/>
      </c>
      <c r="T41" s="147" t="str">
        <f>+IF(B[[#This Row],[Bene]]="","",VLOOKUP(B[[#This Row],[Tipologia]],TipoImm[],6,0)*B[[#This Row],[Valore catastale]]+VLOOKUP(B[[#This Row],[Tipologia]],TipoImm[],4,0))</f>
        <v/>
      </c>
      <c r="U41" s="151" t="str">
        <f>+IF(B[[#This Row],[Bene]]="","",VLOOKUP(B[[#This Row],[Tipologia]],TipoImm[],8,0)*B[[#This Row],[Valore normale]]+VLOOKUP(B[[#This Row],[Tipologia]],TipoImm[],9,0))</f>
        <v/>
      </c>
      <c r="V41" s="147">
        <f>+IF(OR(B[[#This Row],[Bene]]="",B[[#This Row],[Agevolabile]]=0),0,VLOOKUP(B[[#This Row],[Tipologia]],TipoImm[],5,0))</f>
        <v>0</v>
      </c>
      <c r="W41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1" s="147">
        <f>SUM(B[[#This Row],[Imposta di registro in misura fissa agevolata]:[Imposta di registro prop. Agevolata]])</f>
        <v>0</v>
      </c>
      <c r="Y41" s="147">
        <f>+IF(B[[#This Row],[Bene]]="",0,VLOOKUP(B[[#This Row],[Tipologia]],TipoImm[],10,0))</f>
        <v>0</v>
      </c>
      <c r="Z41" s="149" t="str">
        <f>+IF(p=3,"",IF(B[[#This Row],[Tipologia]]="","",VLOOKUP(B[[#This Row],[Tipologia]],TipoImm[],MATCH($Z$4,Tabelle!$AF$1:$AR$1,0),0)))</f>
        <v/>
      </c>
    </row>
    <row r="42" spans="1:26" x14ac:dyDescent="0.2">
      <c r="A42" s="123"/>
      <c r="B42" s="123"/>
      <c r="C42" s="143"/>
      <c r="D42" s="124"/>
      <c r="E42" s="123"/>
      <c r="F42" s="155"/>
      <c r="G42" s="156"/>
      <c r="H42" s="156"/>
      <c r="I42" s="156"/>
      <c r="J42" s="142"/>
      <c r="K42" s="157"/>
      <c r="L42" s="158"/>
      <c r="M42" s="159"/>
      <c r="N42" s="145">
        <f>+IF(B[[#This Row],[Categoria Catastale]]="",0,VLOOKUP(B[[#This Row],[Categoria Catastale]],Gruppi[],6,0)*B[[#This Row],[Rendita catastale]])</f>
        <v>0</v>
      </c>
      <c r="O42" s="146" t="str">
        <f t="shared" si="1"/>
        <v/>
      </c>
      <c r="P42" s="147">
        <f>+IF(B[[#This Row],[Valore inserito manualmente]]&gt;0,B[[#This Row],[Valore inserito manualmente]],B[[#This Row],[Valore catastale]])</f>
        <v>0</v>
      </c>
      <c r="Q42" s="147">
        <f>+IF(OR(B[[#This Row],[Opzione per prezzo-valore (s/n)]]="s",B[[#This Row],[Valore inserito manualmente]]=0),B[[#This Row],[Valore catastale]],B[[#This Row],[Valore inserito manualmente]])</f>
        <v>0</v>
      </c>
      <c r="R42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2" s="147" t="str">
        <f>+IF(B[[#This Row],[Bene]]="","",VLOOKUP(B[[#This Row],[Tipologia]],TipoImm[],3,0)*B[[#This Row],[Imponibile Iva]])</f>
        <v/>
      </c>
      <c r="T42" s="147" t="str">
        <f>+IF(B[[#This Row],[Bene]]="","",VLOOKUP(B[[#This Row],[Tipologia]],TipoImm[],6,0)*B[[#This Row],[Valore catastale]]+VLOOKUP(B[[#This Row],[Tipologia]],TipoImm[],4,0))</f>
        <v/>
      </c>
      <c r="U42" s="151" t="str">
        <f>+IF(B[[#This Row],[Bene]]="","",VLOOKUP(B[[#This Row],[Tipologia]],TipoImm[],8,0)*B[[#This Row],[Valore normale]]+VLOOKUP(B[[#This Row],[Tipologia]],TipoImm[],9,0))</f>
        <v/>
      </c>
      <c r="V42" s="147">
        <f>+IF(OR(B[[#This Row],[Bene]]="",B[[#This Row],[Agevolabile]]=0),0,VLOOKUP(B[[#This Row],[Tipologia]],TipoImm[],5,0))</f>
        <v>0</v>
      </c>
      <c r="W42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2" s="147">
        <f>SUM(B[[#This Row],[Imposta di registro in misura fissa agevolata]:[Imposta di registro prop. Agevolata]])</f>
        <v>0</v>
      </c>
      <c r="Y42" s="147">
        <f>+IF(B[[#This Row],[Bene]]="",0,VLOOKUP(B[[#This Row],[Tipologia]],TipoImm[],10,0))</f>
        <v>0</v>
      </c>
      <c r="Z42" s="149" t="str">
        <f>+IF(p=3,"",IF(B[[#This Row],[Tipologia]]="","",VLOOKUP(B[[#This Row],[Tipologia]],TipoImm[],MATCH($Z$4,Tabelle!$AF$1:$AR$1,0),0)))</f>
        <v/>
      </c>
    </row>
    <row r="43" spans="1:26" x14ac:dyDescent="0.2">
      <c r="A43" s="123"/>
      <c r="B43" s="123"/>
      <c r="C43" s="143"/>
      <c r="D43" s="124"/>
      <c r="E43" s="123"/>
      <c r="F43" s="155"/>
      <c r="G43" s="156"/>
      <c r="H43" s="156"/>
      <c r="I43" s="156"/>
      <c r="J43" s="142"/>
      <c r="K43" s="157"/>
      <c r="L43" s="158"/>
      <c r="M43" s="159"/>
      <c r="N43" s="145">
        <f>+IF(B[[#This Row],[Categoria Catastale]]="",0,VLOOKUP(B[[#This Row],[Categoria Catastale]],Gruppi[],6,0)*B[[#This Row],[Rendita catastale]])</f>
        <v>0</v>
      </c>
      <c r="O43" s="146" t="str">
        <f t="shared" si="1"/>
        <v/>
      </c>
      <c r="P43" s="147">
        <f>+IF(B[[#This Row],[Valore inserito manualmente]]&gt;0,B[[#This Row],[Valore inserito manualmente]],B[[#This Row],[Valore catastale]])</f>
        <v>0</v>
      </c>
      <c r="Q43" s="147">
        <f>+IF(OR(B[[#This Row],[Opzione per prezzo-valore (s/n)]]="s",B[[#This Row],[Valore inserito manualmente]]=0),B[[#This Row],[Valore catastale]],B[[#This Row],[Valore inserito manualmente]])</f>
        <v>0</v>
      </c>
      <c r="R43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3" s="147" t="str">
        <f>+IF(B[[#This Row],[Bene]]="","",VLOOKUP(B[[#This Row],[Tipologia]],TipoImm[],3,0)*B[[#This Row],[Imponibile Iva]])</f>
        <v/>
      </c>
      <c r="T43" s="147" t="str">
        <f>+IF(B[[#This Row],[Bene]]="","",VLOOKUP(B[[#This Row],[Tipologia]],TipoImm[],6,0)*B[[#This Row],[Valore catastale]]+VLOOKUP(B[[#This Row],[Tipologia]],TipoImm[],4,0))</f>
        <v/>
      </c>
      <c r="U43" s="151" t="str">
        <f>+IF(B[[#This Row],[Bene]]="","",VLOOKUP(B[[#This Row],[Tipologia]],TipoImm[],8,0)*B[[#This Row],[Valore normale]]+VLOOKUP(B[[#This Row],[Tipologia]],TipoImm[],9,0))</f>
        <v/>
      </c>
      <c r="V43" s="147">
        <f>+IF(OR(B[[#This Row],[Bene]]="",B[[#This Row],[Agevolabile]]=0),0,VLOOKUP(B[[#This Row],[Tipologia]],TipoImm[],5,0))</f>
        <v>0</v>
      </c>
      <c r="W43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3" s="147">
        <f>SUM(B[[#This Row],[Imposta di registro in misura fissa agevolata]:[Imposta di registro prop. Agevolata]])</f>
        <v>0</v>
      </c>
      <c r="Y43" s="147">
        <f>+IF(B[[#This Row],[Bene]]="",0,VLOOKUP(B[[#This Row],[Tipologia]],TipoImm[],10,0))</f>
        <v>0</v>
      </c>
      <c r="Z43" s="149" t="str">
        <f>+IF(p=3,"",IF(B[[#This Row],[Tipologia]]="","",VLOOKUP(B[[#This Row],[Tipologia]],TipoImm[],MATCH($Z$4,Tabelle!$AF$1:$AR$1,0),0)))</f>
        <v/>
      </c>
    </row>
    <row r="44" spans="1:26" x14ac:dyDescent="0.2">
      <c r="A44" s="123"/>
      <c r="B44" s="123"/>
      <c r="C44" s="143"/>
      <c r="D44" s="124"/>
      <c r="E44" s="123"/>
      <c r="F44" s="155"/>
      <c r="G44" s="156"/>
      <c r="H44" s="156"/>
      <c r="I44" s="156"/>
      <c r="J44" s="142"/>
      <c r="K44" s="157"/>
      <c r="L44" s="158"/>
      <c r="M44" s="159"/>
      <c r="N44" s="145">
        <f>+IF(B[[#This Row],[Categoria Catastale]]="",0,VLOOKUP(B[[#This Row],[Categoria Catastale]],Gruppi[],6,0)*B[[#This Row],[Rendita catastale]])</f>
        <v>0</v>
      </c>
      <c r="O44" s="146" t="str">
        <f t="shared" si="1"/>
        <v/>
      </c>
      <c r="P44" s="147">
        <f>+IF(B[[#This Row],[Valore inserito manualmente]]&gt;0,B[[#This Row],[Valore inserito manualmente]],B[[#This Row],[Valore catastale]])</f>
        <v>0</v>
      </c>
      <c r="Q44" s="147">
        <f>+IF(OR(B[[#This Row],[Opzione per prezzo-valore (s/n)]]="s",B[[#This Row],[Valore inserito manualmente]]=0),B[[#This Row],[Valore catastale]],B[[#This Row],[Valore inserito manualmente]])</f>
        <v>0</v>
      </c>
      <c r="R44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4" s="147" t="str">
        <f>+IF(B[[#This Row],[Bene]]="","",VLOOKUP(B[[#This Row],[Tipologia]],TipoImm[],3,0)*B[[#This Row],[Imponibile Iva]])</f>
        <v/>
      </c>
      <c r="T44" s="147" t="str">
        <f>+IF(B[[#This Row],[Bene]]="","",VLOOKUP(B[[#This Row],[Tipologia]],TipoImm[],6,0)*B[[#This Row],[Valore catastale]]+VLOOKUP(B[[#This Row],[Tipologia]],TipoImm[],4,0))</f>
        <v/>
      </c>
      <c r="U44" s="151" t="str">
        <f>+IF(B[[#This Row],[Bene]]="","",VLOOKUP(B[[#This Row],[Tipologia]],TipoImm[],8,0)*B[[#This Row],[Valore normale]]+VLOOKUP(B[[#This Row],[Tipologia]],TipoImm[],9,0))</f>
        <v/>
      </c>
      <c r="V44" s="147">
        <f>+IF(OR(B[[#This Row],[Bene]]="",B[[#This Row],[Agevolabile]]=0),0,VLOOKUP(B[[#This Row],[Tipologia]],TipoImm[],5,0))</f>
        <v>0</v>
      </c>
      <c r="W44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4" s="147">
        <f>SUM(B[[#This Row],[Imposta di registro in misura fissa agevolata]:[Imposta di registro prop. Agevolata]])</f>
        <v>0</v>
      </c>
      <c r="Y44" s="147">
        <f>+IF(B[[#This Row],[Bene]]="",0,VLOOKUP(B[[#This Row],[Tipologia]],TipoImm[],10,0))</f>
        <v>0</v>
      </c>
      <c r="Z44" s="149" t="str">
        <f>+IF(p=3,"",IF(B[[#This Row],[Tipologia]]="","",VLOOKUP(B[[#This Row],[Tipologia]],TipoImm[],MATCH($Z$4,Tabelle!$AF$1:$AR$1,0),0)))</f>
        <v/>
      </c>
    </row>
    <row r="45" spans="1:26" x14ac:dyDescent="0.2">
      <c r="A45" s="123"/>
      <c r="B45" s="123"/>
      <c r="C45" s="143"/>
      <c r="D45" s="124"/>
      <c r="E45" s="123"/>
      <c r="F45" s="155"/>
      <c r="G45" s="156"/>
      <c r="H45" s="156"/>
      <c r="I45" s="156"/>
      <c r="J45" s="142"/>
      <c r="K45" s="157"/>
      <c r="L45" s="158"/>
      <c r="M45" s="159"/>
      <c r="N45" s="145">
        <f>+IF(B[[#This Row],[Categoria Catastale]]="",0,VLOOKUP(B[[#This Row],[Categoria Catastale]],Gruppi[],6,0)*B[[#This Row],[Rendita catastale]])</f>
        <v>0</v>
      </c>
      <c r="O45" s="146" t="str">
        <f t="shared" si="1"/>
        <v/>
      </c>
      <c r="P45" s="147">
        <f>+IF(B[[#This Row],[Valore inserito manualmente]]&gt;0,B[[#This Row],[Valore inserito manualmente]],B[[#This Row],[Valore catastale]])</f>
        <v>0</v>
      </c>
      <c r="Q45" s="147">
        <f>+IF(OR(B[[#This Row],[Opzione per prezzo-valore (s/n)]]="s",B[[#This Row],[Valore inserito manualmente]]=0),B[[#This Row],[Valore catastale]],B[[#This Row],[Valore inserito manualmente]])</f>
        <v>0</v>
      </c>
      <c r="R45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5" s="147" t="str">
        <f>+IF(B[[#This Row],[Bene]]="","",VLOOKUP(B[[#This Row],[Tipologia]],TipoImm[],3,0)*B[[#This Row],[Imponibile Iva]])</f>
        <v/>
      </c>
      <c r="T45" s="147" t="str">
        <f>+IF(B[[#This Row],[Bene]]="","",VLOOKUP(B[[#This Row],[Tipologia]],TipoImm[],6,0)*B[[#This Row],[Valore catastale]]+VLOOKUP(B[[#This Row],[Tipologia]],TipoImm[],4,0))</f>
        <v/>
      </c>
      <c r="U45" s="151" t="str">
        <f>+IF(B[[#This Row],[Bene]]="","",VLOOKUP(B[[#This Row],[Tipologia]],TipoImm[],8,0)*B[[#This Row],[Valore normale]]+VLOOKUP(B[[#This Row],[Tipologia]],TipoImm[],9,0))</f>
        <v/>
      </c>
      <c r="V45" s="147">
        <f>+IF(OR(B[[#This Row],[Bene]]="",B[[#This Row],[Agevolabile]]=0),0,VLOOKUP(B[[#This Row],[Tipologia]],TipoImm[],5,0))</f>
        <v>0</v>
      </c>
      <c r="W45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5" s="147">
        <f>SUM(B[[#This Row],[Imposta di registro in misura fissa agevolata]:[Imposta di registro prop. Agevolata]])</f>
        <v>0</v>
      </c>
      <c r="Y45" s="147">
        <f>+IF(B[[#This Row],[Bene]]="",0,VLOOKUP(B[[#This Row],[Tipologia]],TipoImm[],10,0))</f>
        <v>0</v>
      </c>
      <c r="Z45" s="149" t="str">
        <f>+IF(p=3,"",IF(B[[#This Row],[Tipologia]]="","",VLOOKUP(B[[#This Row],[Tipologia]],TipoImm[],MATCH($Z$4,Tabelle!$AF$1:$AR$1,0),0)))</f>
        <v/>
      </c>
    </row>
    <row r="46" spans="1:26" x14ac:dyDescent="0.2">
      <c r="A46" s="123"/>
      <c r="B46" s="123"/>
      <c r="C46" s="143"/>
      <c r="D46" s="124"/>
      <c r="E46" s="123"/>
      <c r="F46" s="155"/>
      <c r="G46" s="156"/>
      <c r="H46" s="156"/>
      <c r="I46" s="156"/>
      <c r="J46" s="142"/>
      <c r="K46" s="157"/>
      <c r="L46" s="158"/>
      <c r="M46" s="159"/>
      <c r="N46" s="145">
        <f>+IF(B[[#This Row],[Categoria Catastale]]="",0,VLOOKUP(B[[#This Row],[Categoria Catastale]],Gruppi[],6,0)*B[[#This Row],[Rendita catastale]])</f>
        <v>0</v>
      </c>
      <c r="O46" s="146" t="str">
        <f t="shared" si="1"/>
        <v/>
      </c>
      <c r="P46" s="147">
        <f>+IF(B[[#This Row],[Valore inserito manualmente]]&gt;0,B[[#This Row],[Valore inserito manualmente]],B[[#This Row],[Valore catastale]])</f>
        <v>0</v>
      </c>
      <c r="Q46" s="147">
        <f>+IF(OR(B[[#This Row],[Opzione per prezzo-valore (s/n)]]="s",B[[#This Row],[Valore inserito manualmente]]=0),B[[#This Row],[Valore catastale]],B[[#This Row],[Valore inserito manualmente]])</f>
        <v>0</v>
      </c>
      <c r="R46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6" s="147" t="str">
        <f>+IF(B[[#This Row],[Bene]]="","",VLOOKUP(B[[#This Row],[Tipologia]],TipoImm[],3,0)*B[[#This Row],[Imponibile Iva]])</f>
        <v/>
      </c>
      <c r="T46" s="147" t="str">
        <f>+IF(B[[#This Row],[Bene]]="","",VLOOKUP(B[[#This Row],[Tipologia]],TipoImm[],6,0)*B[[#This Row],[Valore catastale]]+VLOOKUP(B[[#This Row],[Tipologia]],TipoImm[],4,0))</f>
        <v/>
      </c>
      <c r="U46" s="151" t="str">
        <f>+IF(B[[#This Row],[Bene]]="","",VLOOKUP(B[[#This Row],[Tipologia]],TipoImm[],8,0)*B[[#This Row],[Valore normale]]+VLOOKUP(B[[#This Row],[Tipologia]],TipoImm[],9,0))</f>
        <v/>
      </c>
      <c r="V46" s="147">
        <f>+IF(OR(B[[#This Row],[Bene]]="",B[[#This Row],[Agevolabile]]=0),0,VLOOKUP(B[[#This Row],[Tipologia]],TipoImm[],5,0))</f>
        <v>0</v>
      </c>
      <c r="W46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6" s="147">
        <f>SUM(B[[#This Row],[Imposta di registro in misura fissa agevolata]:[Imposta di registro prop. Agevolata]])</f>
        <v>0</v>
      </c>
      <c r="Y46" s="147">
        <f>+IF(B[[#This Row],[Bene]]="",0,VLOOKUP(B[[#This Row],[Tipologia]],TipoImm[],10,0))</f>
        <v>0</v>
      </c>
      <c r="Z46" s="149" t="str">
        <f>+IF(p=3,"",IF(B[[#This Row],[Tipologia]]="","",VLOOKUP(B[[#This Row],[Tipologia]],TipoImm[],MATCH($Z$4,Tabelle!$AF$1:$AR$1,0),0)))</f>
        <v/>
      </c>
    </row>
    <row r="47" spans="1:26" x14ac:dyDescent="0.2">
      <c r="A47" s="123"/>
      <c r="B47" s="123"/>
      <c r="C47" s="143"/>
      <c r="D47" s="124"/>
      <c r="E47" s="123"/>
      <c r="F47" s="155"/>
      <c r="G47" s="156"/>
      <c r="H47" s="156"/>
      <c r="I47" s="156"/>
      <c r="J47" s="142"/>
      <c r="K47" s="157"/>
      <c r="L47" s="158"/>
      <c r="M47" s="159"/>
      <c r="N47" s="145">
        <f>+IF(B[[#This Row],[Categoria Catastale]]="",0,VLOOKUP(B[[#This Row],[Categoria Catastale]],Gruppi[],6,0)*B[[#This Row],[Rendita catastale]])</f>
        <v>0</v>
      </c>
      <c r="O47" s="146" t="str">
        <f t="shared" si="1"/>
        <v/>
      </c>
      <c r="P47" s="147">
        <f>+IF(B[[#This Row],[Valore inserito manualmente]]&gt;0,B[[#This Row],[Valore inserito manualmente]],B[[#This Row],[Valore catastale]])</f>
        <v>0</v>
      </c>
      <c r="Q47" s="147">
        <f>+IF(OR(B[[#This Row],[Opzione per prezzo-valore (s/n)]]="s",B[[#This Row],[Valore inserito manualmente]]=0),B[[#This Row],[Valore catastale]],B[[#This Row],[Valore inserito manualmente]])</f>
        <v>0</v>
      </c>
      <c r="R47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7" s="147" t="str">
        <f>+IF(B[[#This Row],[Bene]]="","",VLOOKUP(B[[#This Row],[Tipologia]],TipoImm[],3,0)*B[[#This Row],[Imponibile Iva]])</f>
        <v/>
      </c>
      <c r="T47" s="147" t="str">
        <f>+IF(B[[#This Row],[Bene]]="","",VLOOKUP(B[[#This Row],[Tipologia]],TipoImm[],6,0)*B[[#This Row],[Valore catastale]]+VLOOKUP(B[[#This Row],[Tipologia]],TipoImm[],4,0))</f>
        <v/>
      </c>
      <c r="U47" s="151" t="str">
        <f>+IF(B[[#This Row],[Bene]]="","",VLOOKUP(B[[#This Row],[Tipologia]],TipoImm[],8,0)*B[[#This Row],[Valore normale]]+VLOOKUP(B[[#This Row],[Tipologia]],TipoImm[],9,0))</f>
        <v/>
      </c>
      <c r="V47" s="147">
        <f>+IF(OR(B[[#This Row],[Bene]]="",B[[#This Row],[Agevolabile]]=0),0,VLOOKUP(B[[#This Row],[Tipologia]],TipoImm[],5,0))</f>
        <v>0</v>
      </c>
      <c r="W47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7" s="147">
        <f>SUM(B[[#This Row],[Imposta di registro in misura fissa agevolata]:[Imposta di registro prop. Agevolata]])</f>
        <v>0</v>
      </c>
      <c r="Y47" s="147">
        <f>+IF(B[[#This Row],[Bene]]="",0,VLOOKUP(B[[#This Row],[Tipologia]],TipoImm[],10,0))</f>
        <v>0</v>
      </c>
      <c r="Z47" s="149" t="str">
        <f>+IF(p=3,"",IF(B[[#This Row],[Tipologia]]="","",VLOOKUP(B[[#This Row],[Tipologia]],TipoImm[],MATCH($Z$4,Tabelle!$AF$1:$AR$1,0),0)))</f>
        <v/>
      </c>
    </row>
    <row r="48" spans="1:26" x14ac:dyDescent="0.2">
      <c r="A48" s="123"/>
      <c r="B48" s="123"/>
      <c r="C48" s="143"/>
      <c r="D48" s="124"/>
      <c r="E48" s="123"/>
      <c r="F48" s="155"/>
      <c r="G48" s="156"/>
      <c r="H48" s="156"/>
      <c r="I48" s="156"/>
      <c r="J48" s="142"/>
      <c r="K48" s="157"/>
      <c r="L48" s="158"/>
      <c r="M48" s="159"/>
      <c r="N48" s="145">
        <f>+IF(B[[#This Row],[Categoria Catastale]]="",0,VLOOKUP(B[[#This Row],[Categoria Catastale]],Gruppi[],6,0)*B[[#This Row],[Rendita catastale]])</f>
        <v>0</v>
      </c>
      <c r="O48" s="146" t="str">
        <f t="shared" si="1"/>
        <v/>
      </c>
      <c r="P48" s="147">
        <f>+IF(B[[#This Row],[Valore inserito manualmente]]&gt;0,B[[#This Row],[Valore inserito manualmente]],B[[#This Row],[Valore catastale]])</f>
        <v>0</v>
      </c>
      <c r="Q48" s="147">
        <f>+IF(OR(B[[#This Row],[Opzione per prezzo-valore (s/n)]]="s",B[[#This Row],[Valore inserito manualmente]]=0),B[[#This Row],[Valore catastale]],B[[#This Row],[Valore inserito manualmente]])</f>
        <v>0</v>
      </c>
      <c r="R48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8" s="147" t="str">
        <f>+IF(B[[#This Row],[Bene]]="","",VLOOKUP(B[[#This Row],[Tipologia]],TipoImm[],3,0)*B[[#This Row],[Imponibile Iva]])</f>
        <v/>
      </c>
      <c r="T48" s="147" t="str">
        <f>+IF(B[[#This Row],[Bene]]="","",VLOOKUP(B[[#This Row],[Tipologia]],TipoImm[],6,0)*B[[#This Row],[Valore catastale]]+VLOOKUP(B[[#This Row],[Tipologia]],TipoImm[],4,0))</f>
        <v/>
      </c>
      <c r="U48" s="151" t="str">
        <f>+IF(B[[#This Row],[Bene]]="","",VLOOKUP(B[[#This Row],[Tipologia]],TipoImm[],8,0)*B[[#This Row],[Valore normale]]+VLOOKUP(B[[#This Row],[Tipologia]],TipoImm[],9,0))</f>
        <v/>
      </c>
      <c r="V48" s="147">
        <f>+IF(OR(B[[#This Row],[Bene]]="",B[[#This Row],[Agevolabile]]=0),0,VLOOKUP(B[[#This Row],[Tipologia]],TipoImm[],5,0))</f>
        <v>0</v>
      </c>
      <c r="W48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8" s="147">
        <f>SUM(B[[#This Row],[Imposta di registro in misura fissa agevolata]:[Imposta di registro prop. Agevolata]])</f>
        <v>0</v>
      </c>
      <c r="Y48" s="147">
        <f>+IF(B[[#This Row],[Bene]]="",0,VLOOKUP(B[[#This Row],[Tipologia]],TipoImm[],10,0))</f>
        <v>0</v>
      </c>
      <c r="Z48" s="149" t="str">
        <f>+IF(p=3,"",IF(B[[#This Row],[Tipologia]]="","",VLOOKUP(B[[#This Row],[Tipologia]],TipoImm[],MATCH($Z$4,Tabelle!$AF$1:$AR$1,0),0)))</f>
        <v/>
      </c>
    </row>
    <row r="49" spans="1:26" x14ac:dyDescent="0.2">
      <c r="A49" s="123"/>
      <c r="B49" s="123"/>
      <c r="C49" s="143"/>
      <c r="D49" s="124"/>
      <c r="E49" s="123"/>
      <c r="F49" s="155"/>
      <c r="G49" s="156"/>
      <c r="H49" s="156"/>
      <c r="I49" s="156"/>
      <c r="J49" s="142"/>
      <c r="K49" s="157"/>
      <c r="L49" s="158"/>
      <c r="M49" s="159"/>
      <c r="N49" s="145">
        <f>+IF(B[[#This Row],[Categoria Catastale]]="",0,VLOOKUP(B[[#This Row],[Categoria Catastale]],Gruppi[],6,0)*B[[#This Row],[Rendita catastale]])</f>
        <v>0</v>
      </c>
      <c r="O49" s="146" t="str">
        <f t="shared" si="1"/>
        <v/>
      </c>
      <c r="P49" s="147">
        <f>+IF(B[[#This Row],[Valore inserito manualmente]]&gt;0,B[[#This Row],[Valore inserito manualmente]],B[[#This Row],[Valore catastale]])</f>
        <v>0</v>
      </c>
      <c r="Q49" s="147">
        <f>+IF(OR(B[[#This Row],[Opzione per prezzo-valore (s/n)]]="s",B[[#This Row],[Valore inserito manualmente]]=0),B[[#This Row],[Valore catastale]],B[[#This Row],[Valore inserito manualmente]])</f>
        <v>0</v>
      </c>
      <c r="R49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9" s="147" t="str">
        <f>+IF(B[[#This Row],[Bene]]="","",VLOOKUP(B[[#This Row],[Tipologia]],TipoImm[],3,0)*B[[#This Row],[Imponibile Iva]])</f>
        <v/>
      </c>
      <c r="T49" s="147" t="str">
        <f>+IF(B[[#This Row],[Bene]]="","",VLOOKUP(B[[#This Row],[Tipologia]],TipoImm[],6,0)*B[[#This Row],[Valore catastale]]+VLOOKUP(B[[#This Row],[Tipologia]],TipoImm[],4,0))</f>
        <v/>
      </c>
      <c r="U49" s="151" t="str">
        <f>+IF(B[[#This Row],[Bene]]="","",VLOOKUP(B[[#This Row],[Tipologia]],TipoImm[],8,0)*B[[#This Row],[Valore normale]]+VLOOKUP(B[[#This Row],[Tipologia]],TipoImm[],9,0))</f>
        <v/>
      </c>
      <c r="V49" s="147">
        <f>+IF(OR(B[[#This Row],[Bene]]="",B[[#This Row],[Agevolabile]]=0),0,VLOOKUP(B[[#This Row],[Tipologia]],TipoImm[],5,0))</f>
        <v>0</v>
      </c>
      <c r="W49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9" s="147">
        <f>SUM(B[[#This Row],[Imposta di registro in misura fissa agevolata]:[Imposta di registro prop. Agevolata]])</f>
        <v>0</v>
      </c>
      <c r="Y49" s="147">
        <f>+IF(B[[#This Row],[Bene]]="",0,VLOOKUP(B[[#This Row],[Tipologia]],TipoImm[],10,0))</f>
        <v>0</v>
      </c>
      <c r="Z49" s="149" t="str">
        <f>+IF(p=3,"",IF(B[[#This Row],[Tipologia]]="","",VLOOKUP(B[[#This Row],[Tipologia]],TipoImm[],MATCH($Z$4,Tabelle!$AF$1:$AR$1,0),0)))</f>
        <v/>
      </c>
    </row>
    <row r="50" spans="1:26" x14ac:dyDescent="0.2">
      <c r="A50" s="123"/>
      <c r="B50" s="123"/>
      <c r="C50" s="143"/>
      <c r="D50" s="124"/>
      <c r="E50" s="123"/>
      <c r="F50" s="155"/>
      <c r="G50" s="156"/>
      <c r="H50" s="156"/>
      <c r="I50" s="156"/>
      <c r="J50" s="142"/>
      <c r="K50" s="157"/>
      <c r="L50" s="158"/>
      <c r="M50" s="159"/>
      <c r="N50" s="145">
        <f>+IF(B[[#This Row],[Categoria Catastale]]="",0,VLOOKUP(B[[#This Row],[Categoria Catastale]],Gruppi[],6,0)*B[[#This Row],[Rendita catastale]])</f>
        <v>0</v>
      </c>
      <c r="O50" s="146" t="str">
        <f t="shared" si="1"/>
        <v/>
      </c>
      <c r="P50" s="147">
        <f>+IF(B[[#This Row],[Valore inserito manualmente]]&gt;0,B[[#This Row],[Valore inserito manualmente]],B[[#This Row],[Valore catastale]])</f>
        <v>0</v>
      </c>
      <c r="Q50" s="147">
        <f>+IF(OR(B[[#This Row],[Opzione per prezzo-valore (s/n)]]="s",B[[#This Row],[Valore inserito manualmente]]=0),B[[#This Row],[Valore catastale]],B[[#This Row],[Valore inserito manualmente]])</f>
        <v>0</v>
      </c>
      <c r="R50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0" s="147" t="str">
        <f>+IF(B[[#This Row],[Bene]]="","",VLOOKUP(B[[#This Row],[Tipologia]],TipoImm[],3,0)*B[[#This Row],[Imponibile Iva]])</f>
        <v/>
      </c>
      <c r="T50" s="147" t="str">
        <f>+IF(B[[#This Row],[Bene]]="","",VLOOKUP(B[[#This Row],[Tipologia]],TipoImm[],6,0)*B[[#This Row],[Valore catastale]]+VLOOKUP(B[[#This Row],[Tipologia]],TipoImm[],4,0))</f>
        <v/>
      </c>
      <c r="U50" s="151" t="str">
        <f>+IF(B[[#This Row],[Bene]]="","",VLOOKUP(B[[#This Row],[Tipologia]],TipoImm[],8,0)*B[[#This Row],[Valore normale]]+VLOOKUP(B[[#This Row],[Tipologia]],TipoImm[],9,0))</f>
        <v/>
      </c>
      <c r="V50" s="147">
        <f>+IF(OR(B[[#This Row],[Bene]]="",B[[#This Row],[Agevolabile]]=0),0,VLOOKUP(B[[#This Row],[Tipologia]],TipoImm[],5,0))</f>
        <v>0</v>
      </c>
      <c r="W50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0" s="147">
        <f>SUM(B[[#This Row],[Imposta di registro in misura fissa agevolata]:[Imposta di registro prop. Agevolata]])</f>
        <v>0</v>
      </c>
      <c r="Y50" s="147">
        <f>+IF(B[[#This Row],[Bene]]="",0,VLOOKUP(B[[#This Row],[Tipologia]],TipoImm[],10,0))</f>
        <v>0</v>
      </c>
      <c r="Z50" s="149" t="str">
        <f>+IF(p=3,"",IF(B[[#This Row],[Tipologia]]="","",VLOOKUP(B[[#This Row],[Tipologia]],TipoImm[],MATCH($Z$4,Tabelle!$AF$1:$AR$1,0),0)))</f>
        <v/>
      </c>
    </row>
    <row r="51" spans="1:26" x14ac:dyDescent="0.2">
      <c r="A51" s="123"/>
      <c r="B51" s="123"/>
      <c r="C51" s="143"/>
      <c r="D51" s="124"/>
      <c r="E51" s="123"/>
      <c r="F51" s="155"/>
      <c r="G51" s="156"/>
      <c r="H51" s="156"/>
      <c r="I51" s="156"/>
      <c r="J51" s="142"/>
      <c r="K51" s="157"/>
      <c r="L51" s="158"/>
      <c r="M51" s="159"/>
      <c r="N51" s="145">
        <f>+IF(B[[#This Row],[Categoria Catastale]]="",0,VLOOKUP(B[[#This Row],[Categoria Catastale]],Gruppi[],6,0)*B[[#This Row],[Rendita catastale]])</f>
        <v>0</v>
      </c>
      <c r="O51" s="146" t="str">
        <f t="shared" si="1"/>
        <v/>
      </c>
      <c r="P51" s="147">
        <f>+IF(B[[#This Row],[Valore inserito manualmente]]&gt;0,B[[#This Row],[Valore inserito manualmente]],B[[#This Row],[Valore catastale]])</f>
        <v>0</v>
      </c>
      <c r="Q51" s="147">
        <f>+IF(OR(B[[#This Row],[Opzione per prezzo-valore (s/n)]]="s",B[[#This Row],[Valore inserito manualmente]]=0),B[[#This Row],[Valore catastale]],B[[#This Row],[Valore inserito manualmente]])</f>
        <v>0</v>
      </c>
      <c r="R51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1" s="147" t="str">
        <f>+IF(B[[#This Row],[Bene]]="","",VLOOKUP(B[[#This Row],[Tipologia]],TipoImm[],3,0)*B[[#This Row],[Imponibile Iva]])</f>
        <v/>
      </c>
      <c r="T51" s="147" t="str">
        <f>+IF(B[[#This Row],[Bene]]="","",VLOOKUP(B[[#This Row],[Tipologia]],TipoImm[],6,0)*B[[#This Row],[Valore catastale]]+VLOOKUP(B[[#This Row],[Tipologia]],TipoImm[],4,0))</f>
        <v/>
      </c>
      <c r="U51" s="151" t="str">
        <f>+IF(B[[#This Row],[Bene]]="","",VLOOKUP(B[[#This Row],[Tipologia]],TipoImm[],8,0)*B[[#This Row],[Valore normale]]+VLOOKUP(B[[#This Row],[Tipologia]],TipoImm[],9,0))</f>
        <v/>
      </c>
      <c r="V51" s="147">
        <f>+IF(OR(B[[#This Row],[Bene]]="",B[[#This Row],[Agevolabile]]=0),0,VLOOKUP(B[[#This Row],[Tipologia]],TipoImm[],5,0))</f>
        <v>0</v>
      </c>
      <c r="W51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1" s="147">
        <f>SUM(B[[#This Row],[Imposta di registro in misura fissa agevolata]:[Imposta di registro prop. Agevolata]])</f>
        <v>0</v>
      </c>
      <c r="Y51" s="147">
        <f>+IF(B[[#This Row],[Bene]]="",0,VLOOKUP(B[[#This Row],[Tipologia]],TipoImm[],10,0))</f>
        <v>0</v>
      </c>
      <c r="Z51" s="149" t="str">
        <f>+IF(p=3,"",IF(B[[#This Row],[Tipologia]]="","",VLOOKUP(B[[#This Row],[Tipologia]],TipoImm[],MATCH($Z$4,Tabelle!$AF$1:$AR$1,0),0)))</f>
        <v/>
      </c>
    </row>
    <row r="52" spans="1:26" x14ac:dyDescent="0.2">
      <c r="A52" s="123"/>
      <c r="B52" s="123"/>
      <c r="C52" s="143"/>
      <c r="D52" s="124"/>
      <c r="E52" s="123"/>
      <c r="F52" s="155"/>
      <c r="G52" s="156"/>
      <c r="H52" s="156"/>
      <c r="I52" s="156"/>
      <c r="J52" s="142"/>
      <c r="K52" s="157"/>
      <c r="L52" s="158"/>
      <c r="M52" s="159"/>
      <c r="N52" s="145">
        <f>+IF(B[[#This Row],[Categoria Catastale]]="",0,VLOOKUP(B[[#This Row],[Categoria Catastale]],Gruppi[],6,0)*B[[#This Row],[Rendita catastale]])</f>
        <v>0</v>
      </c>
      <c r="O52" s="146" t="str">
        <f t="shared" si="1"/>
        <v/>
      </c>
      <c r="P52" s="147">
        <f>+IF(B[[#This Row],[Valore inserito manualmente]]&gt;0,B[[#This Row],[Valore inserito manualmente]],B[[#This Row],[Valore catastale]])</f>
        <v>0</v>
      </c>
      <c r="Q52" s="147">
        <f>+IF(OR(B[[#This Row],[Opzione per prezzo-valore (s/n)]]="s",B[[#This Row],[Valore inserito manualmente]]=0),B[[#This Row],[Valore catastale]],B[[#This Row],[Valore inserito manualmente]])</f>
        <v>0</v>
      </c>
      <c r="R52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2" s="147" t="str">
        <f>+IF(B[[#This Row],[Bene]]="","",VLOOKUP(B[[#This Row],[Tipologia]],TipoImm[],3,0)*B[[#This Row],[Imponibile Iva]])</f>
        <v/>
      </c>
      <c r="T52" s="147" t="str">
        <f>+IF(B[[#This Row],[Bene]]="","",VLOOKUP(B[[#This Row],[Tipologia]],TipoImm[],6,0)*B[[#This Row],[Valore catastale]]+VLOOKUP(B[[#This Row],[Tipologia]],TipoImm[],4,0))</f>
        <v/>
      </c>
      <c r="U52" s="151" t="str">
        <f>+IF(B[[#This Row],[Bene]]="","",VLOOKUP(B[[#This Row],[Tipologia]],TipoImm[],8,0)*B[[#This Row],[Valore normale]]+VLOOKUP(B[[#This Row],[Tipologia]],TipoImm[],9,0))</f>
        <v/>
      </c>
      <c r="V52" s="147">
        <f>+IF(OR(B[[#This Row],[Bene]]="",B[[#This Row],[Agevolabile]]=0),0,VLOOKUP(B[[#This Row],[Tipologia]],TipoImm[],5,0))</f>
        <v>0</v>
      </c>
      <c r="W52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2" s="147">
        <f>SUM(B[[#This Row],[Imposta di registro in misura fissa agevolata]:[Imposta di registro prop. Agevolata]])</f>
        <v>0</v>
      </c>
      <c r="Y52" s="147">
        <f>+IF(B[[#This Row],[Bene]]="",0,VLOOKUP(B[[#This Row],[Tipologia]],TipoImm[],10,0))</f>
        <v>0</v>
      </c>
      <c r="Z52" s="149" t="str">
        <f>+IF(p=3,"",IF(B[[#This Row],[Tipologia]]="","",VLOOKUP(B[[#This Row],[Tipologia]],TipoImm[],MATCH($Z$4,Tabelle!$AF$1:$AR$1,0),0)))</f>
        <v/>
      </c>
    </row>
    <row r="53" spans="1:26" x14ac:dyDescent="0.2">
      <c r="A53" s="123"/>
      <c r="B53" s="123"/>
      <c r="C53" s="143"/>
      <c r="D53" s="124"/>
      <c r="E53" s="123"/>
      <c r="F53" s="155"/>
      <c r="G53" s="156"/>
      <c r="H53" s="156"/>
      <c r="I53" s="156"/>
      <c r="J53" s="142"/>
      <c r="K53" s="157"/>
      <c r="L53" s="158"/>
      <c r="M53" s="159"/>
      <c r="N53" s="145">
        <f>+IF(B[[#This Row],[Categoria Catastale]]="",0,VLOOKUP(B[[#This Row],[Categoria Catastale]],Gruppi[],6,0)*B[[#This Row],[Rendita catastale]])</f>
        <v>0</v>
      </c>
      <c r="O53" s="146" t="str">
        <f t="shared" si="1"/>
        <v/>
      </c>
      <c r="P53" s="147">
        <f>+IF(B[[#This Row],[Valore inserito manualmente]]&gt;0,B[[#This Row],[Valore inserito manualmente]],B[[#This Row],[Valore catastale]])</f>
        <v>0</v>
      </c>
      <c r="Q53" s="147">
        <f>+IF(OR(B[[#This Row],[Opzione per prezzo-valore (s/n)]]="s",B[[#This Row],[Valore inserito manualmente]]=0),B[[#This Row],[Valore catastale]],B[[#This Row],[Valore inserito manualmente]])</f>
        <v>0</v>
      </c>
      <c r="R53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3" s="147" t="str">
        <f>+IF(B[[#This Row],[Bene]]="","",VLOOKUP(B[[#This Row],[Tipologia]],TipoImm[],3,0)*B[[#This Row],[Imponibile Iva]])</f>
        <v/>
      </c>
      <c r="T53" s="147" t="str">
        <f>+IF(B[[#This Row],[Bene]]="","",VLOOKUP(B[[#This Row],[Tipologia]],TipoImm[],6,0)*B[[#This Row],[Valore catastale]]+VLOOKUP(B[[#This Row],[Tipologia]],TipoImm[],4,0))</f>
        <v/>
      </c>
      <c r="U53" s="151" t="str">
        <f>+IF(B[[#This Row],[Bene]]="","",VLOOKUP(B[[#This Row],[Tipologia]],TipoImm[],8,0)*B[[#This Row],[Valore normale]]+VLOOKUP(B[[#This Row],[Tipologia]],TipoImm[],9,0))</f>
        <v/>
      </c>
      <c r="V53" s="147">
        <f>+IF(OR(B[[#This Row],[Bene]]="",B[[#This Row],[Agevolabile]]=0),0,VLOOKUP(B[[#This Row],[Tipologia]],TipoImm[],5,0))</f>
        <v>0</v>
      </c>
      <c r="W53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3" s="147">
        <f>SUM(B[[#This Row],[Imposta di registro in misura fissa agevolata]:[Imposta di registro prop. Agevolata]])</f>
        <v>0</v>
      </c>
      <c r="Y53" s="147">
        <f>+IF(B[[#This Row],[Bene]]="",0,VLOOKUP(B[[#This Row],[Tipologia]],TipoImm[],10,0))</f>
        <v>0</v>
      </c>
      <c r="Z53" s="149" t="str">
        <f>+IF(p=3,"",IF(B[[#This Row],[Tipologia]]="","",VLOOKUP(B[[#This Row],[Tipologia]],TipoImm[],MATCH($Z$4,Tabelle!$AF$1:$AR$1,0),0)))</f>
        <v/>
      </c>
    </row>
    <row r="54" spans="1:26" x14ac:dyDescent="0.2">
      <c r="A54" s="123"/>
      <c r="B54" s="123"/>
      <c r="C54" s="143"/>
      <c r="D54" s="124"/>
      <c r="E54" s="123"/>
      <c r="F54" s="155"/>
      <c r="G54" s="156"/>
      <c r="H54" s="156"/>
      <c r="I54" s="156"/>
      <c r="J54" s="142"/>
      <c r="K54" s="157"/>
      <c r="L54" s="158"/>
      <c r="M54" s="159"/>
      <c r="N54" s="145">
        <f>+IF(B[[#This Row],[Categoria Catastale]]="",0,VLOOKUP(B[[#This Row],[Categoria Catastale]],Gruppi[],6,0)*B[[#This Row],[Rendita catastale]])</f>
        <v>0</v>
      </c>
      <c r="O54" s="146" t="str">
        <f t="shared" si="1"/>
        <v/>
      </c>
      <c r="P54" s="147">
        <f>+IF(B[[#This Row],[Valore inserito manualmente]]&gt;0,B[[#This Row],[Valore inserito manualmente]],B[[#This Row],[Valore catastale]])</f>
        <v>0</v>
      </c>
      <c r="Q54" s="147">
        <f>+IF(OR(B[[#This Row],[Opzione per prezzo-valore (s/n)]]="s",B[[#This Row],[Valore inserito manualmente]]=0),B[[#This Row],[Valore catastale]],B[[#This Row],[Valore inserito manualmente]])</f>
        <v>0</v>
      </c>
      <c r="R54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4" s="147" t="str">
        <f>+IF(B[[#This Row],[Bene]]="","",VLOOKUP(B[[#This Row],[Tipologia]],TipoImm[],3,0)*B[[#This Row],[Imponibile Iva]])</f>
        <v/>
      </c>
      <c r="T54" s="147" t="str">
        <f>+IF(B[[#This Row],[Bene]]="","",VLOOKUP(B[[#This Row],[Tipologia]],TipoImm[],6,0)*B[[#This Row],[Valore catastale]]+VLOOKUP(B[[#This Row],[Tipologia]],TipoImm[],4,0))</f>
        <v/>
      </c>
      <c r="U54" s="151" t="str">
        <f>+IF(B[[#This Row],[Bene]]="","",VLOOKUP(B[[#This Row],[Tipologia]],TipoImm[],8,0)*B[[#This Row],[Valore normale]]+VLOOKUP(B[[#This Row],[Tipologia]],TipoImm[],9,0))</f>
        <v/>
      </c>
      <c r="V54" s="147">
        <f>+IF(OR(B[[#This Row],[Bene]]="",B[[#This Row],[Agevolabile]]=0),0,VLOOKUP(B[[#This Row],[Tipologia]],TipoImm[],5,0))</f>
        <v>0</v>
      </c>
      <c r="W54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4" s="147">
        <f>SUM(B[[#This Row],[Imposta di registro in misura fissa agevolata]:[Imposta di registro prop. Agevolata]])</f>
        <v>0</v>
      </c>
      <c r="Y54" s="147">
        <f>+IF(B[[#This Row],[Bene]]="",0,VLOOKUP(B[[#This Row],[Tipologia]],TipoImm[],10,0))</f>
        <v>0</v>
      </c>
      <c r="Z54" s="149" t="str">
        <f>+IF(p=3,"",IF(B[[#This Row],[Tipologia]]="","",VLOOKUP(B[[#This Row],[Tipologia]],TipoImm[],MATCH($Z$4,Tabelle!$AF$1:$AR$1,0),0)))</f>
        <v/>
      </c>
    </row>
    <row r="55" spans="1:26" x14ac:dyDescent="0.2">
      <c r="A55" s="123"/>
      <c r="B55" s="123"/>
      <c r="C55" s="143"/>
      <c r="D55" s="124"/>
      <c r="E55" s="123"/>
      <c r="F55" s="155"/>
      <c r="G55" s="156"/>
      <c r="H55" s="156"/>
      <c r="I55" s="156"/>
      <c r="J55" s="142"/>
      <c r="K55" s="157"/>
      <c r="L55" s="158"/>
      <c r="M55" s="159"/>
      <c r="N55" s="145">
        <f>+IF(B[[#This Row],[Categoria Catastale]]="",0,VLOOKUP(B[[#This Row],[Categoria Catastale]],Gruppi[],6,0)*B[[#This Row],[Rendita catastale]])</f>
        <v>0</v>
      </c>
      <c r="O55" s="146" t="str">
        <f t="shared" si="1"/>
        <v/>
      </c>
      <c r="P55" s="147">
        <f>+IF(B[[#This Row],[Valore inserito manualmente]]&gt;0,B[[#This Row],[Valore inserito manualmente]],B[[#This Row],[Valore catastale]])</f>
        <v>0</v>
      </c>
      <c r="Q55" s="147">
        <f>+IF(OR(B[[#This Row],[Opzione per prezzo-valore (s/n)]]="s",B[[#This Row],[Valore inserito manualmente]]=0),B[[#This Row],[Valore catastale]],B[[#This Row],[Valore inserito manualmente]])</f>
        <v>0</v>
      </c>
      <c r="R55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5" s="147" t="str">
        <f>+IF(B[[#This Row],[Bene]]="","",VLOOKUP(B[[#This Row],[Tipologia]],TipoImm[],3,0)*B[[#This Row],[Imponibile Iva]])</f>
        <v/>
      </c>
      <c r="T55" s="147" t="str">
        <f>+IF(B[[#This Row],[Bene]]="","",VLOOKUP(B[[#This Row],[Tipologia]],TipoImm[],6,0)*B[[#This Row],[Valore catastale]]+VLOOKUP(B[[#This Row],[Tipologia]],TipoImm[],4,0))</f>
        <v/>
      </c>
      <c r="U55" s="151" t="str">
        <f>+IF(B[[#This Row],[Bene]]="","",VLOOKUP(B[[#This Row],[Tipologia]],TipoImm[],8,0)*B[[#This Row],[Valore normale]]+VLOOKUP(B[[#This Row],[Tipologia]],TipoImm[],9,0))</f>
        <v/>
      </c>
      <c r="V55" s="147">
        <f>+IF(OR(B[[#This Row],[Bene]]="",B[[#This Row],[Agevolabile]]=0),0,VLOOKUP(B[[#This Row],[Tipologia]],TipoImm[],5,0))</f>
        <v>0</v>
      </c>
      <c r="W55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5" s="147">
        <f>SUM(B[[#This Row],[Imposta di registro in misura fissa agevolata]:[Imposta di registro prop. Agevolata]])</f>
        <v>0</v>
      </c>
      <c r="Y55" s="147">
        <f>+IF(B[[#This Row],[Bene]]="",0,VLOOKUP(B[[#This Row],[Tipologia]],TipoImm[],10,0))</f>
        <v>0</v>
      </c>
      <c r="Z55" s="149" t="str">
        <f>+IF(p=3,"",IF(B[[#This Row],[Tipologia]]="","",VLOOKUP(B[[#This Row],[Tipologia]],TipoImm[],MATCH($Z$4,Tabelle!$AF$1:$AR$1,0),0)))</f>
        <v/>
      </c>
    </row>
    <row r="56" spans="1:26" x14ac:dyDescent="0.2">
      <c r="A56" s="123"/>
      <c r="B56" s="123"/>
      <c r="C56" s="143"/>
      <c r="D56" s="124"/>
      <c r="E56" s="123"/>
      <c r="F56" s="155"/>
      <c r="G56" s="156"/>
      <c r="H56" s="156"/>
      <c r="I56" s="156"/>
      <c r="J56" s="142"/>
      <c r="K56" s="157"/>
      <c r="L56" s="158"/>
      <c r="M56" s="159"/>
      <c r="N56" s="145">
        <f>+IF(B[[#This Row],[Categoria Catastale]]="",0,VLOOKUP(B[[#This Row],[Categoria Catastale]],Gruppi[],6,0)*B[[#This Row],[Rendita catastale]])</f>
        <v>0</v>
      </c>
      <c r="O56" s="146" t="str">
        <f t="shared" si="1"/>
        <v/>
      </c>
      <c r="P56" s="147">
        <f>+IF(B[[#This Row],[Valore inserito manualmente]]&gt;0,B[[#This Row],[Valore inserito manualmente]],B[[#This Row],[Valore catastale]])</f>
        <v>0</v>
      </c>
      <c r="Q56" s="147">
        <f>+IF(OR(B[[#This Row],[Opzione per prezzo-valore (s/n)]]="s",B[[#This Row],[Valore inserito manualmente]]=0),B[[#This Row],[Valore catastale]],B[[#This Row],[Valore inserito manualmente]])</f>
        <v>0</v>
      </c>
      <c r="R56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6" s="147" t="str">
        <f>+IF(B[[#This Row],[Bene]]="","",VLOOKUP(B[[#This Row],[Tipologia]],TipoImm[],3,0)*B[[#This Row],[Imponibile Iva]])</f>
        <v/>
      </c>
      <c r="T56" s="147" t="str">
        <f>+IF(B[[#This Row],[Bene]]="","",VLOOKUP(B[[#This Row],[Tipologia]],TipoImm[],6,0)*B[[#This Row],[Valore catastale]]+VLOOKUP(B[[#This Row],[Tipologia]],TipoImm[],4,0))</f>
        <v/>
      </c>
      <c r="U56" s="151" t="str">
        <f>+IF(B[[#This Row],[Bene]]="","",VLOOKUP(B[[#This Row],[Tipologia]],TipoImm[],8,0)*B[[#This Row],[Valore normale]]+VLOOKUP(B[[#This Row],[Tipologia]],TipoImm[],9,0))</f>
        <v/>
      </c>
      <c r="V56" s="147">
        <f>+IF(OR(B[[#This Row],[Bene]]="",B[[#This Row],[Agevolabile]]=0),0,VLOOKUP(B[[#This Row],[Tipologia]],TipoImm[],5,0))</f>
        <v>0</v>
      </c>
      <c r="W56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6" s="147">
        <f>SUM(B[[#This Row],[Imposta di registro in misura fissa agevolata]:[Imposta di registro prop. Agevolata]])</f>
        <v>0</v>
      </c>
      <c r="Y56" s="147">
        <f>+IF(B[[#This Row],[Bene]]="",0,VLOOKUP(B[[#This Row],[Tipologia]],TipoImm[],10,0))</f>
        <v>0</v>
      </c>
      <c r="Z56" s="149" t="str">
        <f>+IF(p=3,"",IF(B[[#This Row],[Tipologia]]="","",VLOOKUP(B[[#This Row],[Tipologia]],TipoImm[],MATCH($Z$4,Tabelle!$AF$1:$AR$1,0),0)))</f>
        <v/>
      </c>
    </row>
    <row r="57" spans="1:26" x14ac:dyDescent="0.2">
      <c r="A57" s="123"/>
      <c r="B57" s="123"/>
      <c r="C57" s="143"/>
      <c r="D57" s="124"/>
      <c r="E57" s="123"/>
      <c r="F57" s="155"/>
      <c r="G57" s="156"/>
      <c r="H57" s="156"/>
      <c r="I57" s="156"/>
      <c r="J57" s="142"/>
      <c r="K57" s="157"/>
      <c r="L57" s="158"/>
      <c r="M57" s="159"/>
      <c r="N57" s="145">
        <f>+IF(B[[#This Row],[Categoria Catastale]]="",0,VLOOKUP(B[[#This Row],[Categoria Catastale]],Gruppi[],6,0)*B[[#This Row],[Rendita catastale]])</f>
        <v>0</v>
      </c>
      <c r="O57" s="146" t="str">
        <f t="shared" si="1"/>
        <v/>
      </c>
      <c r="P57" s="147">
        <f>+IF(B[[#This Row],[Valore inserito manualmente]]&gt;0,B[[#This Row],[Valore inserito manualmente]],B[[#This Row],[Valore catastale]])</f>
        <v>0</v>
      </c>
      <c r="Q57" s="147">
        <f>+IF(OR(B[[#This Row],[Opzione per prezzo-valore (s/n)]]="s",B[[#This Row],[Valore inserito manualmente]]=0),B[[#This Row],[Valore catastale]],B[[#This Row],[Valore inserito manualmente]])</f>
        <v>0</v>
      </c>
      <c r="R57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7" s="147" t="str">
        <f>+IF(B[[#This Row],[Bene]]="","",VLOOKUP(B[[#This Row],[Tipologia]],TipoImm[],3,0)*B[[#This Row],[Imponibile Iva]])</f>
        <v/>
      </c>
      <c r="T57" s="147" t="str">
        <f>+IF(B[[#This Row],[Bene]]="","",VLOOKUP(B[[#This Row],[Tipologia]],TipoImm[],6,0)*B[[#This Row],[Valore catastale]]+VLOOKUP(B[[#This Row],[Tipologia]],TipoImm[],4,0))</f>
        <v/>
      </c>
      <c r="U57" s="151" t="str">
        <f>+IF(B[[#This Row],[Bene]]="","",VLOOKUP(B[[#This Row],[Tipologia]],TipoImm[],8,0)*B[[#This Row],[Valore normale]]+VLOOKUP(B[[#This Row],[Tipologia]],TipoImm[],9,0))</f>
        <v/>
      </c>
      <c r="V57" s="147">
        <f>+IF(OR(B[[#This Row],[Bene]]="",B[[#This Row],[Agevolabile]]=0),0,VLOOKUP(B[[#This Row],[Tipologia]],TipoImm[],5,0))</f>
        <v>0</v>
      </c>
      <c r="W57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7" s="147">
        <f>SUM(B[[#This Row],[Imposta di registro in misura fissa agevolata]:[Imposta di registro prop. Agevolata]])</f>
        <v>0</v>
      </c>
      <c r="Y57" s="147">
        <f>+IF(B[[#This Row],[Bene]]="",0,VLOOKUP(B[[#This Row],[Tipologia]],TipoImm[],10,0))</f>
        <v>0</v>
      </c>
      <c r="Z57" s="149" t="str">
        <f>+IF(p=3,"",IF(B[[#This Row],[Tipologia]]="","",VLOOKUP(B[[#This Row],[Tipologia]],TipoImm[],MATCH($Z$4,Tabelle!$AF$1:$AR$1,0),0)))</f>
        <v/>
      </c>
    </row>
    <row r="58" spans="1:26" x14ac:dyDescent="0.2">
      <c r="A58" s="123"/>
      <c r="B58" s="123"/>
      <c r="C58" s="143"/>
      <c r="D58" s="124"/>
      <c r="E58" s="123"/>
      <c r="F58" s="155"/>
      <c r="G58" s="156"/>
      <c r="H58" s="156"/>
      <c r="I58" s="156"/>
      <c r="J58" s="142"/>
      <c r="K58" s="157"/>
      <c r="L58" s="158"/>
      <c r="M58" s="159"/>
      <c r="N58" s="145">
        <f>+IF(B[[#This Row],[Categoria Catastale]]="",0,VLOOKUP(B[[#This Row],[Categoria Catastale]],Gruppi[],6,0)*B[[#This Row],[Rendita catastale]])</f>
        <v>0</v>
      </c>
      <c r="O58" s="146" t="str">
        <f t="shared" si="1"/>
        <v/>
      </c>
      <c r="P58" s="147">
        <f>+IF(B[[#This Row],[Valore inserito manualmente]]&gt;0,B[[#This Row],[Valore inserito manualmente]],B[[#This Row],[Valore catastale]])</f>
        <v>0</v>
      </c>
      <c r="Q58" s="147">
        <f>+IF(OR(B[[#This Row],[Opzione per prezzo-valore (s/n)]]="s",B[[#This Row],[Valore inserito manualmente]]=0),B[[#This Row],[Valore catastale]],B[[#This Row],[Valore inserito manualmente]])</f>
        <v>0</v>
      </c>
      <c r="R58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8" s="147" t="str">
        <f>+IF(B[[#This Row],[Bene]]="","",VLOOKUP(B[[#This Row],[Tipologia]],TipoImm[],3,0)*B[[#This Row],[Imponibile Iva]])</f>
        <v/>
      </c>
      <c r="T58" s="147" t="str">
        <f>+IF(B[[#This Row],[Bene]]="","",VLOOKUP(B[[#This Row],[Tipologia]],TipoImm[],6,0)*B[[#This Row],[Valore catastale]]+VLOOKUP(B[[#This Row],[Tipologia]],TipoImm[],4,0))</f>
        <v/>
      </c>
      <c r="U58" s="151" t="str">
        <f>+IF(B[[#This Row],[Bene]]="","",VLOOKUP(B[[#This Row],[Tipologia]],TipoImm[],8,0)*B[[#This Row],[Valore normale]]+VLOOKUP(B[[#This Row],[Tipologia]],TipoImm[],9,0))</f>
        <v/>
      </c>
      <c r="V58" s="147">
        <f>+IF(OR(B[[#This Row],[Bene]]="",B[[#This Row],[Agevolabile]]=0),0,VLOOKUP(B[[#This Row],[Tipologia]],TipoImm[],5,0))</f>
        <v>0</v>
      </c>
      <c r="W58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8" s="147">
        <f>SUM(B[[#This Row],[Imposta di registro in misura fissa agevolata]:[Imposta di registro prop. Agevolata]])</f>
        <v>0</v>
      </c>
      <c r="Y58" s="147">
        <f>+IF(B[[#This Row],[Bene]]="",0,VLOOKUP(B[[#This Row],[Tipologia]],TipoImm[],10,0))</f>
        <v>0</v>
      </c>
      <c r="Z58" s="149" t="str">
        <f>+IF(p=3,"",IF(B[[#This Row],[Tipologia]]="","",VLOOKUP(B[[#This Row],[Tipologia]],TipoImm[],MATCH($Z$4,Tabelle!$AF$1:$AR$1,0),0)))</f>
        <v/>
      </c>
    </row>
    <row r="59" spans="1:26" x14ac:dyDescent="0.2">
      <c r="A59" s="123"/>
      <c r="B59" s="123"/>
      <c r="C59" s="143"/>
      <c r="D59" s="124"/>
      <c r="E59" s="123"/>
      <c r="F59" s="155"/>
      <c r="G59" s="156"/>
      <c r="H59" s="156"/>
      <c r="I59" s="156"/>
      <c r="J59" s="142"/>
      <c r="K59" s="157"/>
      <c r="L59" s="158"/>
      <c r="M59" s="159"/>
      <c r="N59" s="145">
        <f>+IF(B[[#This Row],[Categoria Catastale]]="",0,VLOOKUP(B[[#This Row],[Categoria Catastale]],Gruppi[],6,0)*B[[#This Row],[Rendita catastale]])</f>
        <v>0</v>
      </c>
      <c r="O59" s="146" t="str">
        <f t="shared" si="1"/>
        <v/>
      </c>
      <c r="P59" s="147">
        <f>+IF(B[[#This Row],[Valore inserito manualmente]]&gt;0,B[[#This Row],[Valore inserito manualmente]],B[[#This Row],[Valore catastale]])</f>
        <v>0</v>
      </c>
      <c r="Q59" s="147">
        <f>+IF(OR(B[[#This Row],[Opzione per prezzo-valore (s/n)]]="s",B[[#This Row],[Valore inserito manualmente]]=0),B[[#This Row],[Valore catastale]],B[[#This Row],[Valore inserito manualmente]])</f>
        <v>0</v>
      </c>
      <c r="R59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9" s="147" t="str">
        <f>+IF(B[[#This Row],[Bene]]="","",VLOOKUP(B[[#This Row],[Tipologia]],TipoImm[],3,0)*B[[#This Row],[Imponibile Iva]])</f>
        <v/>
      </c>
      <c r="T59" s="147" t="str">
        <f>+IF(B[[#This Row],[Bene]]="","",VLOOKUP(B[[#This Row],[Tipologia]],TipoImm[],6,0)*B[[#This Row],[Valore catastale]]+VLOOKUP(B[[#This Row],[Tipologia]],TipoImm[],4,0))</f>
        <v/>
      </c>
      <c r="U59" s="151" t="str">
        <f>+IF(B[[#This Row],[Bene]]="","",VLOOKUP(B[[#This Row],[Tipologia]],TipoImm[],8,0)*B[[#This Row],[Valore normale]]+VLOOKUP(B[[#This Row],[Tipologia]],TipoImm[],9,0))</f>
        <v/>
      </c>
      <c r="V59" s="147">
        <f>+IF(OR(B[[#This Row],[Bene]]="",B[[#This Row],[Agevolabile]]=0),0,VLOOKUP(B[[#This Row],[Tipologia]],TipoImm[],5,0))</f>
        <v>0</v>
      </c>
      <c r="W59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9" s="147">
        <f>SUM(B[[#This Row],[Imposta di registro in misura fissa agevolata]:[Imposta di registro prop. Agevolata]])</f>
        <v>0</v>
      </c>
      <c r="Y59" s="147">
        <f>+IF(B[[#This Row],[Bene]]="",0,VLOOKUP(B[[#This Row],[Tipologia]],TipoImm[],10,0))</f>
        <v>0</v>
      </c>
      <c r="Z59" s="149" t="str">
        <f>+IF(p=3,"",IF(B[[#This Row],[Tipologia]]="","",VLOOKUP(B[[#This Row],[Tipologia]],TipoImm[],MATCH($Z$4,Tabelle!$AF$1:$AR$1,0),0)))</f>
        <v/>
      </c>
    </row>
    <row r="60" spans="1:26" x14ac:dyDescent="0.2">
      <c r="A60" s="123"/>
      <c r="B60" s="123"/>
      <c r="C60" s="143"/>
      <c r="D60" s="124"/>
      <c r="E60" s="123"/>
      <c r="F60" s="155"/>
      <c r="G60" s="156"/>
      <c r="H60" s="156"/>
      <c r="I60" s="156"/>
      <c r="J60" s="142"/>
      <c r="K60" s="157"/>
      <c r="L60" s="158"/>
      <c r="M60" s="159"/>
      <c r="N60" s="145">
        <f>+IF(B[[#This Row],[Categoria Catastale]]="",0,VLOOKUP(B[[#This Row],[Categoria Catastale]],Gruppi[],6,0)*B[[#This Row],[Rendita catastale]])</f>
        <v>0</v>
      </c>
      <c r="O60" s="146" t="str">
        <f t="shared" si="1"/>
        <v/>
      </c>
      <c r="P60" s="147">
        <f>+IF(B[[#This Row],[Valore inserito manualmente]]&gt;0,B[[#This Row],[Valore inserito manualmente]],B[[#This Row],[Valore catastale]])</f>
        <v>0</v>
      </c>
      <c r="Q60" s="147">
        <f>+IF(OR(B[[#This Row],[Opzione per prezzo-valore (s/n)]]="s",B[[#This Row],[Valore inserito manualmente]]=0),B[[#This Row],[Valore catastale]],B[[#This Row],[Valore inserito manualmente]])</f>
        <v>0</v>
      </c>
      <c r="R60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0" s="147" t="str">
        <f>+IF(B[[#This Row],[Bene]]="","",VLOOKUP(B[[#This Row],[Tipologia]],TipoImm[],3,0)*B[[#This Row],[Imponibile Iva]])</f>
        <v/>
      </c>
      <c r="T60" s="147" t="str">
        <f>+IF(B[[#This Row],[Bene]]="","",VLOOKUP(B[[#This Row],[Tipologia]],TipoImm[],6,0)*B[[#This Row],[Valore catastale]]+VLOOKUP(B[[#This Row],[Tipologia]],TipoImm[],4,0))</f>
        <v/>
      </c>
      <c r="U60" s="151" t="str">
        <f>+IF(B[[#This Row],[Bene]]="","",VLOOKUP(B[[#This Row],[Tipologia]],TipoImm[],8,0)*B[[#This Row],[Valore normale]]+VLOOKUP(B[[#This Row],[Tipologia]],TipoImm[],9,0))</f>
        <v/>
      </c>
      <c r="V60" s="147">
        <f>+IF(OR(B[[#This Row],[Bene]]="",B[[#This Row],[Agevolabile]]=0),0,VLOOKUP(B[[#This Row],[Tipologia]],TipoImm[],5,0))</f>
        <v>0</v>
      </c>
      <c r="W60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0" s="147">
        <f>SUM(B[[#This Row],[Imposta di registro in misura fissa agevolata]:[Imposta di registro prop. Agevolata]])</f>
        <v>0</v>
      </c>
      <c r="Y60" s="147">
        <f>+IF(B[[#This Row],[Bene]]="",0,VLOOKUP(B[[#This Row],[Tipologia]],TipoImm[],10,0))</f>
        <v>0</v>
      </c>
      <c r="Z60" s="149" t="str">
        <f>+IF(p=3,"",IF(B[[#This Row],[Tipologia]]="","",VLOOKUP(B[[#This Row],[Tipologia]],TipoImm[],MATCH($Z$4,Tabelle!$AF$1:$AR$1,0),0)))</f>
        <v/>
      </c>
    </row>
    <row r="61" spans="1:26" x14ac:dyDescent="0.2">
      <c r="A61" s="123"/>
      <c r="B61" s="123"/>
      <c r="C61" s="143"/>
      <c r="D61" s="124"/>
      <c r="E61" s="123"/>
      <c r="F61" s="155"/>
      <c r="G61" s="156"/>
      <c r="H61" s="156"/>
      <c r="I61" s="156"/>
      <c r="J61" s="142"/>
      <c r="K61" s="157"/>
      <c r="L61" s="158"/>
      <c r="M61" s="159"/>
      <c r="N61" s="145">
        <f>+IF(B[[#This Row],[Categoria Catastale]]="",0,VLOOKUP(B[[#This Row],[Categoria Catastale]],Gruppi[],6,0)*B[[#This Row],[Rendita catastale]])</f>
        <v>0</v>
      </c>
      <c r="O61" s="146" t="str">
        <f t="shared" si="1"/>
        <v/>
      </c>
      <c r="P61" s="147">
        <f>+IF(B[[#This Row],[Valore inserito manualmente]]&gt;0,B[[#This Row],[Valore inserito manualmente]],B[[#This Row],[Valore catastale]])</f>
        <v>0</v>
      </c>
      <c r="Q61" s="147">
        <f>+IF(OR(B[[#This Row],[Opzione per prezzo-valore (s/n)]]="s",B[[#This Row],[Valore inserito manualmente]]=0),B[[#This Row],[Valore catastale]],B[[#This Row],[Valore inserito manualmente]])</f>
        <v>0</v>
      </c>
      <c r="R61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1" s="147" t="str">
        <f>+IF(B[[#This Row],[Bene]]="","",VLOOKUP(B[[#This Row],[Tipologia]],TipoImm[],3,0)*B[[#This Row],[Imponibile Iva]])</f>
        <v/>
      </c>
      <c r="T61" s="147" t="str">
        <f>+IF(B[[#This Row],[Bene]]="","",VLOOKUP(B[[#This Row],[Tipologia]],TipoImm[],6,0)*B[[#This Row],[Valore catastale]]+VLOOKUP(B[[#This Row],[Tipologia]],TipoImm[],4,0))</f>
        <v/>
      </c>
      <c r="U61" s="151" t="str">
        <f>+IF(B[[#This Row],[Bene]]="","",VLOOKUP(B[[#This Row],[Tipologia]],TipoImm[],8,0)*B[[#This Row],[Valore normale]]+VLOOKUP(B[[#This Row],[Tipologia]],TipoImm[],9,0))</f>
        <v/>
      </c>
      <c r="V61" s="147">
        <f>+IF(OR(B[[#This Row],[Bene]]="",B[[#This Row],[Agevolabile]]=0),0,VLOOKUP(B[[#This Row],[Tipologia]],TipoImm[],5,0))</f>
        <v>0</v>
      </c>
      <c r="W61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1" s="147">
        <f>SUM(B[[#This Row],[Imposta di registro in misura fissa agevolata]:[Imposta di registro prop. Agevolata]])</f>
        <v>0</v>
      </c>
      <c r="Y61" s="147">
        <f>+IF(B[[#This Row],[Bene]]="",0,VLOOKUP(B[[#This Row],[Tipologia]],TipoImm[],10,0))</f>
        <v>0</v>
      </c>
      <c r="Z61" s="149" t="str">
        <f>+IF(p=3,"",IF(B[[#This Row],[Tipologia]]="","",VLOOKUP(B[[#This Row],[Tipologia]],TipoImm[],MATCH($Z$4,Tabelle!$AF$1:$AR$1,0),0)))</f>
        <v/>
      </c>
    </row>
    <row r="62" spans="1:26" x14ac:dyDescent="0.2">
      <c r="A62" s="123"/>
      <c r="B62" s="123"/>
      <c r="C62" s="143"/>
      <c r="D62" s="124"/>
      <c r="E62" s="123"/>
      <c r="F62" s="155"/>
      <c r="G62" s="156"/>
      <c r="H62" s="156"/>
      <c r="I62" s="156"/>
      <c r="J62" s="142"/>
      <c r="K62" s="157"/>
      <c r="L62" s="158"/>
      <c r="M62" s="159"/>
      <c r="N62" s="145">
        <f>+IF(B[[#This Row],[Categoria Catastale]]="",0,VLOOKUP(B[[#This Row],[Categoria Catastale]],Gruppi[],6,0)*B[[#This Row],[Rendita catastale]])</f>
        <v>0</v>
      </c>
      <c r="O62" s="146" t="str">
        <f t="shared" si="1"/>
        <v/>
      </c>
      <c r="P62" s="147">
        <f>+IF(B[[#This Row],[Valore inserito manualmente]]&gt;0,B[[#This Row],[Valore inserito manualmente]],B[[#This Row],[Valore catastale]])</f>
        <v>0</v>
      </c>
      <c r="Q62" s="147">
        <f>+IF(OR(B[[#This Row],[Opzione per prezzo-valore (s/n)]]="s",B[[#This Row],[Valore inserito manualmente]]=0),B[[#This Row],[Valore catastale]],B[[#This Row],[Valore inserito manualmente]])</f>
        <v>0</v>
      </c>
      <c r="R62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2" s="147" t="str">
        <f>+IF(B[[#This Row],[Bene]]="","",VLOOKUP(B[[#This Row],[Tipologia]],TipoImm[],3,0)*B[[#This Row],[Imponibile Iva]])</f>
        <v/>
      </c>
      <c r="T62" s="147" t="str">
        <f>+IF(B[[#This Row],[Bene]]="","",VLOOKUP(B[[#This Row],[Tipologia]],TipoImm[],6,0)*B[[#This Row],[Valore catastale]]+VLOOKUP(B[[#This Row],[Tipologia]],TipoImm[],4,0))</f>
        <v/>
      </c>
      <c r="U62" s="151" t="str">
        <f>+IF(B[[#This Row],[Bene]]="","",VLOOKUP(B[[#This Row],[Tipologia]],TipoImm[],8,0)*B[[#This Row],[Valore normale]]+VLOOKUP(B[[#This Row],[Tipologia]],TipoImm[],9,0))</f>
        <v/>
      </c>
      <c r="V62" s="147">
        <f>+IF(OR(B[[#This Row],[Bene]]="",B[[#This Row],[Agevolabile]]=0),0,VLOOKUP(B[[#This Row],[Tipologia]],TipoImm[],5,0))</f>
        <v>0</v>
      </c>
      <c r="W62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2" s="147">
        <f>SUM(B[[#This Row],[Imposta di registro in misura fissa agevolata]:[Imposta di registro prop. Agevolata]])</f>
        <v>0</v>
      </c>
      <c r="Y62" s="147">
        <f>+IF(B[[#This Row],[Bene]]="",0,VLOOKUP(B[[#This Row],[Tipologia]],TipoImm[],10,0))</f>
        <v>0</v>
      </c>
      <c r="Z62" s="149" t="str">
        <f>+IF(p=3,"",IF(B[[#This Row],[Tipologia]]="","",VLOOKUP(B[[#This Row],[Tipologia]],TipoImm[],MATCH($Z$4,Tabelle!$AF$1:$AR$1,0),0)))</f>
        <v/>
      </c>
    </row>
    <row r="63" spans="1:26" x14ac:dyDescent="0.2">
      <c r="A63" s="123"/>
      <c r="B63" s="123"/>
      <c r="C63" s="143"/>
      <c r="D63" s="124"/>
      <c r="E63" s="123"/>
      <c r="F63" s="155"/>
      <c r="G63" s="156"/>
      <c r="H63" s="156"/>
      <c r="I63" s="156"/>
      <c r="J63" s="142"/>
      <c r="K63" s="157"/>
      <c r="L63" s="158"/>
      <c r="M63" s="159"/>
      <c r="N63" s="145">
        <f>+IF(B[[#This Row],[Categoria Catastale]]="",0,VLOOKUP(B[[#This Row],[Categoria Catastale]],Gruppi[],6,0)*B[[#This Row],[Rendita catastale]])</f>
        <v>0</v>
      </c>
      <c r="O63" s="146" t="str">
        <f t="shared" si="1"/>
        <v/>
      </c>
      <c r="P63" s="147">
        <f>+IF(B[[#This Row],[Valore inserito manualmente]]&gt;0,B[[#This Row],[Valore inserito manualmente]],B[[#This Row],[Valore catastale]])</f>
        <v>0</v>
      </c>
      <c r="Q63" s="147">
        <f>+IF(OR(B[[#This Row],[Opzione per prezzo-valore (s/n)]]="s",B[[#This Row],[Valore inserito manualmente]]=0),B[[#This Row],[Valore catastale]],B[[#This Row],[Valore inserito manualmente]])</f>
        <v>0</v>
      </c>
      <c r="R63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3" s="147" t="str">
        <f>+IF(B[[#This Row],[Bene]]="","",VLOOKUP(B[[#This Row],[Tipologia]],TipoImm[],3,0)*B[[#This Row],[Imponibile Iva]])</f>
        <v/>
      </c>
      <c r="T63" s="147" t="str">
        <f>+IF(B[[#This Row],[Bene]]="","",VLOOKUP(B[[#This Row],[Tipologia]],TipoImm[],6,0)*B[[#This Row],[Valore catastale]]+VLOOKUP(B[[#This Row],[Tipologia]],TipoImm[],4,0))</f>
        <v/>
      </c>
      <c r="U63" s="151" t="str">
        <f>+IF(B[[#This Row],[Bene]]="","",VLOOKUP(B[[#This Row],[Tipologia]],TipoImm[],8,0)*B[[#This Row],[Valore normale]]+VLOOKUP(B[[#This Row],[Tipologia]],TipoImm[],9,0))</f>
        <v/>
      </c>
      <c r="V63" s="147">
        <f>+IF(OR(B[[#This Row],[Bene]]="",B[[#This Row],[Agevolabile]]=0),0,VLOOKUP(B[[#This Row],[Tipologia]],TipoImm[],5,0))</f>
        <v>0</v>
      </c>
      <c r="W63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3" s="147">
        <f>SUM(B[[#This Row],[Imposta di registro in misura fissa agevolata]:[Imposta di registro prop. Agevolata]])</f>
        <v>0</v>
      </c>
      <c r="Y63" s="147">
        <f>+IF(B[[#This Row],[Bene]]="",0,VLOOKUP(B[[#This Row],[Tipologia]],TipoImm[],10,0))</f>
        <v>0</v>
      </c>
      <c r="Z63" s="149" t="str">
        <f>+IF(p=3,"",IF(B[[#This Row],[Tipologia]]="","",VLOOKUP(B[[#This Row],[Tipologia]],TipoImm[],MATCH($Z$4,Tabelle!$AF$1:$AR$1,0),0)))</f>
        <v/>
      </c>
    </row>
    <row r="64" spans="1:26" x14ac:dyDescent="0.2">
      <c r="A64" s="123"/>
      <c r="B64" s="123"/>
      <c r="C64" s="143"/>
      <c r="D64" s="124"/>
      <c r="E64" s="123"/>
      <c r="F64" s="155"/>
      <c r="G64" s="156"/>
      <c r="H64" s="156"/>
      <c r="I64" s="156"/>
      <c r="J64" s="142"/>
      <c r="K64" s="157"/>
      <c r="L64" s="158"/>
      <c r="M64" s="159"/>
      <c r="N64" s="145">
        <f>+IF(B[[#This Row],[Categoria Catastale]]="",0,VLOOKUP(B[[#This Row],[Categoria Catastale]],Gruppi[],6,0)*B[[#This Row],[Rendita catastale]])</f>
        <v>0</v>
      </c>
      <c r="O64" s="146" t="str">
        <f t="shared" si="1"/>
        <v/>
      </c>
      <c r="P64" s="147">
        <f>+IF(B[[#This Row],[Valore inserito manualmente]]&gt;0,B[[#This Row],[Valore inserito manualmente]],B[[#This Row],[Valore catastale]])</f>
        <v>0</v>
      </c>
      <c r="Q64" s="147">
        <f>+IF(OR(B[[#This Row],[Opzione per prezzo-valore (s/n)]]="s",B[[#This Row],[Valore inserito manualmente]]=0),B[[#This Row],[Valore catastale]],B[[#This Row],[Valore inserito manualmente]])</f>
        <v>0</v>
      </c>
      <c r="R64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4" s="147" t="str">
        <f>+IF(B[[#This Row],[Bene]]="","",VLOOKUP(B[[#This Row],[Tipologia]],TipoImm[],3,0)*B[[#This Row],[Imponibile Iva]])</f>
        <v/>
      </c>
      <c r="T64" s="147" t="str">
        <f>+IF(B[[#This Row],[Bene]]="","",VLOOKUP(B[[#This Row],[Tipologia]],TipoImm[],6,0)*B[[#This Row],[Valore catastale]]+VLOOKUP(B[[#This Row],[Tipologia]],TipoImm[],4,0))</f>
        <v/>
      </c>
      <c r="U64" s="151" t="str">
        <f>+IF(B[[#This Row],[Bene]]="","",VLOOKUP(B[[#This Row],[Tipologia]],TipoImm[],8,0)*B[[#This Row],[Valore normale]]+VLOOKUP(B[[#This Row],[Tipologia]],TipoImm[],9,0))</f>
        <v/>
      </c>
      <c r="V64" s="147">
        <f>+IF(OR(B[[#This Row],[Bene]]="",B[[#This Row],[Agevolabile]]=0),0,VLOOKUP(B[[#This Row],[Tipologia]],TipoImm[],5,0))</f>
        <v>0</v>
      </c>
      <c r="W64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4" s="147">
        <f>SUM(B[[#This Row],[Imposta di registro in misura fissa agevolata]:[Imposta di registro prop. Agevolata]])</f>
        <v>0</v>
      </c>
      <c r="Y64" s="147">
        <f>+IF(B[[#This Row],[Bene]]="",0,VLOOKUP(B[[#This Row],[Tipologia]],TipoImm[],10,0))</f>
        <v>0</v>
      </c>
      <c r="Z64" s="149" t="str">
        <f>+IF(p=3,"",IF(B[[#This Row],[Tipologia]]="","",VLOOKUP(B[[#This Row],[Tipologia]],TipoImm[],MATCH($Z$4,Tabelle!$AF$1:$AR$1,0),0)))</f>
        <v/>
      </c>
    </row>
    <row r="65" spans="1:26" x14ac:dyDescent="0.2">
      <c r="A65" s="123"/>
      <c r="B65" s="123"/>
      <c r="C65" s="143"/>
      <c r="D65" s="124"/>
      <c r="E65" s="123"/>
      <c r="F65" s="155"/>
      <c r="G65" s="156"/>
      <c r="H65" s="156"/>
      <c r="I65" s="156"/>
      <c r="J65" s="142"/>
      <c r="K65" s="157"/>
      <c r="L65" s="158"/>
      <c r="M65" s="159"/>
      <c r="N65" s="145">
        <f>+IF(B[[#This Row],[Categoria Catastale]]="",0,VLOOKUP(B[[#This Row],[Categoria Catastale]],Gruppi[],6,0)*B[[#This Row],[Rendita catastale]])</f>
        <v>0</v>
      </c>
      <c r="O65" s="146" t="str">
        <f t="shared" si="1"/>
        <v/>
      </c>
      <c r="P65" s="147">
        <f>+IF(B[[#This Row],[Valore inserito manualmente]]&gt;0,B[[#This Row],[Valore inserito manualmente]],B[[#This Row],[Valore catastale]])</f>
        <v>0</v>
      </c>
      <c r="Q65" s="147">
        <f>+IF(OR(B[[#This Row],[Opzione per prezzo-valore (s/n)]]="s",B[[#This Row],[Valore inserito manualmente]]=0),B[[#This Row],[Valore catastale]],B[[#This Row],[Valore inserito manualmente]])</f>
        <v>0</v>
      </c>
      <c r="R65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5" s="147" t="str">
        <f>+IF(B[[#This Row],[Bene]]="","",VLOOKUP(B[[#This Row],[Tipologia]],TipoImm[],3,0)*B[[#This Row],[Imponibile Iva]])</f>
        <v/>
      </c>
      <c r="T65" s="147" t="str">
        <f>+IF(B[[#This Row],[Bene]]="","",VLOOKUP(B[[#This Row],[Tipologia]],TipoImm[],6,0)*B[[#This Row],[Valore catastale]]+VLOOKUP(B[[#This Row],[Tipologia]],TipoImm[],4,0))</f>
        <v/>
      </c>
      <c r="U65" s="151" t="str">
        <f>+IF(B[[#This Row],[Bene]]="","",VLOOKUP(B[[#This Row],[Tipologia]],TipoImm[],8,0)*B[[#This Row],[Valore normale]]+VLOOKUP(B[[#This Row],[Tipologia]],TipoImm[],9,0))</f>
        <v/>
      </c>
      <c r="V65" s="147">
        <f>+IF(OR(B[[#This Row],[Bene]]="",B[[#This Row],[Agevolabile]]=0),0,VLOOKUP(B[[#This Row],[Tipologia]],TipoImm[],5,0))</f>
        <v>0</v>
      </c>
      <c r="W65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5" s="147">
        <f>SUM(B[[#This Row],[Imposta di registro in misura fissa agevolata]:[Imposta di registro prop. Agevolata]])</f>
        <v>0</v>
      </c>
      <c r="Y65" s="147">
        <f>+IF(B[[#This Row],[Bene]]="",0,VLOOKUP(B[[#This Row],[Tipologia]],TipoImm[],10,0))</f>
        <v>0</v>
      </c>
      <c r="Z65" s="149" t="str">
        <f>+IF(p=3,"",IF(B[[#This Row],[Tipologia]]="","",VLOOKUP(B[[#This Row],[Tipologia]],TipoImm[],MATCH($Z$4,Tabelle!$AF$1:$AR$1,0),0)))</f>
        <v/>
      </c>
    </row>
    <row r="66" spans="1:26" x14ac:dyDescent="0.2">
      <c r="A66" s="123"/>
      <c r="B66" s="123"/>
      <c r="C66" s="143"/>
      <c r="D66" s="124"/>
      <c r="E66" s="123"/>
      <c r="F66" s="155"/>
      <c r="G66" s="156"/>
      <c r="H66" s="156"/>
      <c r="I66" s="156"/>
      <c r="J66" s="142"/>
      <c r="K66" s="157"/>
      <c r="L66" s="158"/>
      <c r="M66" s="159"/>
      <c r="N66" s="145">
        <f>+IF(B[[#This Row],[Categoria Catastale]]="",0,VLOOKUP(B[[#This Row],[Categoria Catastale]],Gruppi[],6,0)*B[[#This Row],[Rendita catastale]])</f>
        <v>0</v>
      </c>
      <c r="O66" s="146" t="str">
        <f t="shared" si="1"/>
        <v/>
      </c>
      <c r="P66" s="147">
        <f>+IF(B[[#This Row],[Valore inserito manualmente]]&gt;0,B[[#This Row],[Valore inserito manualmente]],B[[#This Row],[Valore catastale]])</f>
        <v>0</v>
      </c>
      <c r="Q66" s="147">
        <f>+IF(OR(B[[#This Row],[Opzione per prezzo-valore (s/n)]]="s",B[[#This Row],[Valore inserito manualmente]]=0),B[[#This Row],[Valore catastale]],B[[#This Row],[Valore inserito manualmente]])</f>
        <v>0</v>
      </c>
      <c r="R66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6" s="147" t="str">
        <f>+IF(B[[#This Row],[Bene]]="","",VLOOKUP(B[[#This Row],[Tipologia]],TipoImm[],3,0)*B[[#This Row],[Imponibile Iva]])</f>
        <v/>
      </c>
      <c r="T66" s="147" t="str">
        <f>+IF(B[[#This Row],[Bene]]="","",VLOOKUP(B[[#This Row],[Tipologia]],TipoImm[],6,0)*B[[#This Row],[Valore catastale]]+VLOOKUP(B[[#This Row],[Tipologia]],TipoImm[],4,0))</f>
        <v/>
      </c>
      <c r="U66" s="151" t="str">
        <f>+IF(B[[#This Row],[Bene]]="","",VLOOKUP(B[[#This Row],[Tipologia]],TipoImm[],8,0)*B[[#This Row],[Valore normale]]+VLOOKUP(B[[#This Row],[Tipologia]],TipoImm[],9,0))</f>
        <v/>
      </c>
      <c r="V66" s="147">
        <f>+IF(OR(B[[#This Row],[Bene]]="",B[[#This Row],[Agevolabile]]=0),0,VLOOKUP(B[[#This Row],[Tipologia]],TipoImm[],5,0))</f>
        <v>0</v>
      </c>
      <c r="W66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6" s="147">
        <f>SUM(B[[#This Row],[Imposta di registro in misura fissa agevolata]:[Imposta di registro prop. Agevolata]])</f>
        <v>0</v>
      </c>
      <c r="Y66" s="147">
        <f>+IF(B[[#This Row],[Bene]]="",0,VLOOKUP(B[[#This Row],[Tipologia]],TipoImm[],10,0))</f>
        <v>0</v>
      </c>
      <c r="Z66" s="149" t="str">
        <f>+IF(p=3,"",IF(B[[#This Row],[Tipologia]]="","",VLOOKUP(B[[#This Row],[Tipologia]],TipoImm[],MATCH($Z$4,Tabelle!$AF$1:$AR$1,0),0)))</f>
        <v/>
      </c>
    </row>
    <row r="67" spans="1:26" x14ac:dyDescent="0.2">
      <c r="A67" s="123"/>
      <c r="B67" s="123"/>
      <c r="C67" s="143"/>
      <c r="D67" s="124"/>
      <c r="E67" s="123"/>
      <c r="F67" s="155"/>
      <c r="G67" s="156"/>
      <c r="H67" s="156"/>
      <c r="I67" s="156"/>
      <c r="J67" s="142"/>
      <c r="K67" s="157"/>
      <c r="L67" s="158"/>
      <c r="M67" s="159"/>
      <c r="N67" s="145">
        <f>+IF(B[[#This Row],[Categoria Catastale]]="",0,VLOOKUP(B[[#This Row],[Categoria Catastale]],Gruppi[],6,0)*B[[#This Row],[Rendita catastale]])</f>
        <v>0</v>
      </c>
      <c r="O67" s="146" t="str">
        <f t="shared" si="1"/>
        <v/>
      </c>
      <c r="P67" s="147">
        <f>+IF(B[[#This Row],[Valore inserito manualmente]]&gt;0,B[[#This Row],[Valore inserito manualmente]],B[[#This Row],[Valore catastale]])</f>
        <v>0</v>
      </c>
      <c r="Q67" s="147">
        <f>+IF(OR(B[[#This Row],[Opzione per prezzo-valore (s/n)]]="s",B[[#This Row],[Valore inserito manualmente]]=0),B[[#This Row],[Valore catastale]],B[[#This Row],[Valore inserito manualmente]])</f>
        <v>0</v>
      </c>
      <c r="R67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7" s="147" t="str">
        <f>+IF(B[[#This Row],[Bene]]="","",VLOOKUP(B[[#This Row],[Tipologia]],TipoImm[],3,0)*B[[#This Row],[Imponibile Iva]])</f>
        <v/>
      </c>
      <c r="T67" s="147" t="str">
        <f>+IF(B[[#This Row],[Bene]]="","",VLOOKUP(B[[#This Row],[Tipologia]],TipoImm[],6,0)*B[[#This Row],[Valore catastale]]+VLOOKUP(B[[#This Row],[Tipologia]],TipoImm[],4,0))</f>
        <v/>
      </c>
      <c r="U67" s="151" t="str">
        <f>+IF(B[[#This Row],[Bene]]="","",VLOOKUP(B[[#This Row],[Tipologia]],TipoImm[],8,0)*B[[#This Row],[Valore normale]]+VLOOKUP(B[[#This Row],[Tipologia]],TipoImm[],9,0))</f>
        <v/>
      </c>
      <c r="V67" s="147">
        <f>+IF(OR(B[[#This Row],[Bene]]="",B[[#This Row],[Agevolabile]]=0),0,VLOOKUP(B[[#This Row],[Tipologia]],TipoImm[],5,0))</f>
        <v>0</v>
      </c>
      <c r="W67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7" s="147">
        <f>SUM(B[[#This Row],[Imposta di registro in misura fissa agevolata]:[Imposta di registro prop. Agevolata]])</f>
        <v>0</v>
      </c>
      <c r="Y67" s="147">
        <f>+IF(B[[#This Row],[Bene]]="",0,VLOOKUP(B[[#This Row],[Tipologia]],TipoImm[],10,0))</f>
        <v>0</v>
      </c>
      <c r="Z67" s="149" t="str">
        <f>+IF(p=3,"",IF(B[[#This Row],[Tipologia]]="","",VLOOKUP(B[[#This Row],[Tipologia]],TipoImm[],MATCH($Z$4,Tabelle!$AF$1:$AR$1,0),0)))</f>
        <v/>
      </c>
    </row>
    <row r="68" spans="1:26" x14ac:dyDescent="0.2">
      <c r="A68" s="123"/>
      <c r="B68" s="123"/>
      <c r="C68" s="143"/>
      <c r="D68" s="124"/>
      <c r="E68" s="123"/>
      <c r="F68" s="155"/>
      <c r="G68" s="156"/>
      <c r="H68" s="156"/>
      <c r="I68" s="156"/>
      <c r="J68" s="142"/>
      <c r="K68" s="157"/>
      <c r="L68" s="158"/>
      <c r="M68" s="159"/>
      <c r="N68" s="145">
        <f>+IF(B[[#This Row],[Categoria Catastale]]="",0,VLOOKUP(B[[#This Row],[Categoria Catastale]],Gruppi[],6,0)*B[[#This Row],[Rendita catastale]])</f>
        <v>0</v>
      </c>
      <c r="O68" s="146" t="str">
        <f t="shared" si="1"/>
        <v/>
      </c>
      <c r="P68" s="147">
        <f>+IF(B[[#This Row],[Valore inserito manualmente]]&gt;0,B[[#This Row],[Valore inserito manualmente]],B[[#This Row],[Valore catastale]])</f>
        <v>0</v>
      </c>
      <c r="Q68" s="147">
        <f>+IF(OR(B[[#This Row],[Opzione per prezzo-valore (s/n)]]="s",B[[#This Row],[Valore inserito manualmente]]=0),B[[#This Row],[Valore catastale]],B[[#This Row],[Valore inserito manualmente]])</f>
        <v>0</v>
      </c>
      <c r="R68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8" s="147" t="str">
        <f>+IF(B[[#This Row],[Bene]]="","",VLOOKUP(B[[#This Row],[Tipologia]],TipoImm[],3,0)*B[[#This Row],[Imponibile Iva]])</f>
        <v/>
      </c>
      <c r="T68" s="147" t="str">
        <f>+IF(B[[#This Row],[Bene]]="","",VLOOKUP(B[[#This Row],[Tipologia]],TipoImm[],6,0)*B[[#This Row],[Valore catastale]]+VLOOKUP(B[[#This Row],[Tipologia]],TipoImm[],4,0))</f>
        <v/>
      </c>
      <c r="U68" s="151" t="str">
        <f>+IF(B[[#This Row],[Bene]]="","",VLOOKUP(B[[#This Row],[Tipologia]],TipoImm[],8,0)*B[[#This Row],[Valore normale]]+VLOOKUP(B[[#This Row],[Tipologia]],TipoImm[],9,0))</f>
        <v/>
      </c>
      <c r="V68" s="147">
        <f>+IF(OR(B[[#This Row],[Bene]]="",B[[#This Row],[Agevolabile]]=0),0,VLOOKUP(B[[#This Row],[Tipologia]],TipoImm[],5,0))</f>
        <v>0</v>
      </c>
      <c r="W68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8" s="147">
        <f>SUM(B[[#This Row],[Imposta di registro in misura fissa agevolata]:[Imposta di registro prop. Agevolata]])</f>
        <v>0</v>
      </c>
      <c r="Y68" s="147">
        <f>+IF(B[[#This Row],[Bene]]="",0,VLOOKUP(B[[#This Row],[Tipologia]],TipoImm[],10,0))</f>
        <v>0</v>
      </c>
      <c r="Z68" s="149" t="str">
        <f>+IF(p=3,"",IF(B[[#This Row],[Tipologia]]="","",VLOOKUP(B[[#This Row],[Tipologia]],TipoImm[],MATCH($Z$4,Tabelle!$AF$1:$AR$1,0),0)))</f>
        <v/>
      </c>
    </row>
    <row r="69" spans="1:26" x14ac:dyDescent="0.2">
      <c r="A69" s="123"/>
      <c r="B69" s="123"/>
      <c r="C69" s="143"/>
      <c r="D69" s="124"/>
      <c r="E69" s="123"/>
      <c r="F69" s="155"/>
      <c r="G69" s="156"/>
      <c r="H69" s="156"/>
      <c r="I69" s="156"/>
      <c r="J69" s="142"/>
      <c r="K69" s="157"/>
      <c r="L69" s="158"/>
      <c r="M69" s="159"/>
      <c r="N69" s="145">
        <f>+IF(B[[#This Row],[Categoria Catastale]]="",0,VLOOKUP(B[[#This Row],[Categoria Catastale]],Gruppi[],6,0)*B[[#This Row],[Rendita catastale]])</f>
        <v>0</v>
      </c>
      <c r="O69" s="146" t="str">
        <f t="shared" ref="O69:O104" si="2">+IF(A69="","",IF(D69="Sì",0,1))</f>
        <v/>
      </c>
      <c r="P69" s="147">
        <f>+IF(B[[#This Row],[Valore inserito manualmente]]&gt;0,B[[#This Row],[Valore inserito manualmente]],B[[#This Row],[Valore catastale]])</f>
        <v>0</v>
      </c>
      <c r="Q69" s="147">
        <f>+IF(OR(B[[#This Row],[Opzione per prezzo-valore (s/n)]]="s",B[[#This Row],[Valore inserito manualmente]]=0),B[[#This Row],[Valore catastale]],B[[#This Row],[Valore inserito manualmente]])</f>
        <v>0</v>
      </c>
      <c r="R69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9" s="147" t="str">
        <f>+IF(B[[#This Row],[Bene]]="","",VLOOKUP(B[[#This Row],[Tipologia]],TipoImm[],3,0)*B[[#This Row],[Imponibile Iva]])</f>
        <v/>
      </c>
      <c r="T69" s="147" t="str">
        <f>+IF(B[[#This Row],[Bene]]="","",VLOOKUP(B[[#This Row],[Tipologia]],TipoImm[],6,0)*B[[#This Row],[Valore catastale]]+VLOOKUP(B[[#This Row],[Tipologia]],TipoImm[],4,0))</f>
        <v/>
      </c>
      <c r="U69" s="151" t="str">
        <f>+IF(B[[#This Row],[Bene]]="","",VLOOKUP(B[[#This Row],[Tipologia]],TipoImm[],8,0)*B[[#This Row],[Valore normale]]+VLOOKUP(B[[#This Row],[Tipologia]],TipoImm[],9,0))</f>
        <v/>
      </c>
      <c r="V69" s="147">
        <f>+IF(OR(B[[#This Row],[Bene]]="",B[[#This Row],[Agevolabile]]=0),0,VLOOKUP(B[[#This Row],[Tipologia]],TipoImm[],5,0))</f>
        <v>0</v>
      </c>
      <c r="W69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9" s="147">
        <f>SUM(B[[#This Row],[Imposta di registro in misura fissa agevolata]:[Imposta di registro prop. Agevolata]])</f>
        <v>0</v>
      </c>
      <c r="Y69" s="147">
        <f>+IF(B[[#This Row],[Bene]]="",0,VLOOKUP(B[[#This Row],[Tipologia]],TipoImm[],10,0))</f>
        <v>0</v>
      </c>
      <c r="Z69" s="149" t="str">
        <f>+IF(p=3,"",IF(B[[#This Row],[Tipologia]]="","",VLOOKUP(B[[#This Row],[Tipologia]],TipoImm[],MATCH($Z$4,Tabelle!$AF$1:$AR$1,0),0)))</f>
        <v/>
      </c>
    </row>
    <row r="70" spans="1:26" x14ac:dyDescent="0.2">
      <c r="A70" s="123"/>
      <c r="B70" s="123"/>
      <c r="C70" s="143"/>
      <c r="D70" s="124"/>
      <c r="E70" s="123"/>
      <c r="F70" s="155"/>
      <c r="G70" s="156"/>
      <c r="H70" s="156"/>
      <c r="I70" s="156"/>
      <c r="J70" s="142"/>
      <c r="K70" s="157"/>
      <c r="L70" s="158"/>
      <c r="M70" s="159"/>
      <c r="N70" s="145">
        <f>+IF(B[[#This Row],[Categoria Catastale]]="",0,VLOOKUP(B[[#This Row],[Categoria Catastale]],Gruppi[],6,0)*B[[#This Row],[Rendita catastale]])</f>
        <v>0</v>
      </c>
      <c r="O70" s="146" t="str">
        <f t="shared" si="2"/>
        <v/>
      </c>
      <c r="P70" s="147">
        <f>+IF(B[[#This Row],[Valore inserito manualmente]]&gt;0,B[[#This Row],[Valore inserito manualmente]],B[[#This Row],[Valore catastale]])</f>
        <v>0</v>
      </c>
      <c r="Q70" s="147">
        <f>+IF(OR(B[[#This Row],[Opzione per prezzo-valore (s/n)]]="s",B[[#This Row],[Valore inserito manualmente]]=0),B[[#This Row],[Valore catastale]],B[[#This Row],[Valore inserito manualmente]])</f>
        <v>0</v>
      </c>
      <c r="R70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0" s="147" t="str">
        <f>+IF(B[[#This Row],[Bene]]="","",VLOOKUP(B[[#This Row],[Tipologia]],TipoImm[],3,0)*B[[#This Row],[Imponibile Iva]])</f>
        <v/>
      </c>
      <c r="T70" s="147" t="str">
        <f>+IF(B[[#This Row],[Bene]]="","",VLOOKUP(B[[#This Row],[Tipologia]],TipoImm[],6,0)*B[[#This Row],[Valore catastale]]+VLOOKUP(B[[#This Row],[Tipologia]],TipoImm[],4,0))</f>
        <v/>
      </c>
      <c r="U70" s="151" t="str">
        <f>+IF(B[[#This Row],[Bene]]="","",VLOOKUP(B[[#This Row],[Tipologia]],TipoImm[],8,0)*B[[#This Row],[Valore normale]]+VLOOKUP(B[[#This Row],[Tipologia]],TipoImm[],9,0))</f>
        <v/>
      </c>
      <c r="V70" s="147">
        <f>+IF(OR(B[[#This Row],[Bene]]="",B[[#This Row],[Agevolabile]]=0),0,VLOOKUP(B[[#This Row],[Tipologia]],TipoImm[],5,0))</f>
        <v>0</v>
      </c>
      <c r="W70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0" s="147">
        <f>SUM(B[[#This Row],[Imposta di registro in misura fissa agevolata]:[Imposta di registro prop. Agevolata]])</f>
        <v>0</v>
      </c>
      <c r="Y70" s="147">
        <f>+IF(B[[#This Row],[Bene]]="",0,VLOOKUP(B[[#This Row],[Tipologia]],TipoImm[],10,0))</f>
        <v>0</v>
      </c>
      <c r="Z70" s="149" t="str">
        <f>+IF(p=3,"",IF(B[[#This Row],[Tipologia]]="","",VLOOKUP(B[[#This Row],[Tipologia]],TipoImm[],MATCH($Z$4,Tabelle!$AF$1:$AR$1,0),0)))</f>
        <v/>
      </c>
    </row>
    <row r="71" spans="1:26" x14ac:dyDescent="0.2">
      <c r="A71" s="123"/>
      <c r="B71" s="123"/>
      <c r="C71" s="143"/>
      <c r="D71" s="124"/>
      <c r="E71" s="123"/>
      <c r="F71" s="155"/>
      <c r="G71" s="156"/>
      <c r="H71" s="156"/>
      <c r="I71" s="156"/>
      <c r="J71" s="142"/>
      <c r="K71" s="157"/>
      <c r="L71" s="158"/>
      <c r="M71" s="159"/>
      <c r="N71" s="145">
        <f>+IF(B[[#This Row],[Categoria Catastale]]="",0,VLOOKUP(B[[#This Row],[Categoria Catastale]],Gruppi[],6,0)*B[[#This Row],[Rendita catastale]])</f>
        <v>0</v>
      </c>
      <c r="O71" s="146" t="str">
        <f t="shared" si="2"/>
        <v/>
      </c>
      <c r="P71" s="147">
        <f>+IF(B[[#This Row],[Valore inserito manualmente]]&gt;0,B[[#This Row],[Valore inserito manualmente]],B[[#This Row],[Valore catastale]])</f>
        <v>0</v>
      </c>
      <c r="Q71" s="147">
        <f>+IF(OR(B[[#This Row],[Opzione per prezzo-valore (s/n)]]="s",B[[#This Row],[Valore inserito manualmente]]=0),B[[#This Row],[Valore catastale]],B[[#This Row],[Valore inserito manualmente]])</f>
        <v>0</v>
      </c>
      <c r="R71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1" s="147" t="str">
        <f>+IF(B[[#This Row],[Bene]]="","",VLOOKUP(B[[#This Row],[Tipologia]],TipoImm[],3,0)*B[[#This Row],[Imponibile Iva]])</f>
        <v/>
      </c>
      <c r="T71" s="147" t="str">
        <f>+IF(B[[#This Row],[Bene]]="","",VLOOKUP(B[[#This Row],[Tipologia]],TipoImm[],6,0)*B[[#This Row],[Valore catastale]]+VLOOKUP(B[[#This Row],[Tipologia]],TipoImm[],4,0))</f>
        <v/>
      </c>
      <c r="U71" s="151" t="str">
        <f>+IF(B[[#This Row],[Bene]]="","",VLOOKUP(B[[#This Row],[Tipologia]],TipoImm[],8,0)*B[[#This Row],[Valore normale]]+VLOOKUP(B[[#This Row],[Tipologia]],TipoImm[],9,0))</f>
        <v/>
      </c>
      <c r="V71" s="147">
        <f>+IF(OR(B[[#This Row],[Bene]]="",B[[#This Row],[Agevolabile]]=0),0,VLOOKUP(B[[#This Row],[Tipologia]],TipoImm[],5,0))</f>
        <v>0</v>
      </c>
      <c r="W71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1" s="147">
        <f>SUM(B[[#This Row],[Imposta di registro in misura fissa agevolata]:[Imposta di registro prop. Agevolata]])</f>
        <v>0</v>
      </c>
      <c r="Y71" s="147">
        <f>+IF(B[[#This Row],[Bene]]="",0,VLOOKUP(B[[#This Row],[Tipologia]],TipoImm[],10,0))</f>
        <v>0</v>
      </c>
      <c r="Z71" s="149" t="str">
        <f>+IF(p=3,"",IF(B[[#This Row],[Tipologia]]="","",VLOOKUP(B[[#This Row],[Tipologia]],TipoImm[],MATCH($Z$4,Tabelle!$AF$1:$AR$1,0),0)))</f>
        <v/>
      </c>
    </row>
    <row r="72" spans="1:26" x14ac:dyDescent="0.2">
      <c r="A72" s="123"/>
      <c r="B72" s="123"/>
      <c r="C72" s="143"/>
      <c r="D72" s="124"/>
      <c r="E72" s="123"/>
      <c r="F72" s="155"/>
      <c r="G72" s="156"/>
      <c r="H72" s="156"/>
      <c r="I72" s="156"/>
      <c r="J72" s="142"/>
      <c r="K72" s="157"/>
      <c r="L72" s="158"/>
      <c r="M72" s="159"/>
      <c r="N72" s="145">
        <f>+IF(B[[#This Row],[Categoria Catastale]]="",0,VLOOKUP(B[[#This Row],[Categoria Catastale]],Gruppi[],6,0)*B[[#This Row],[Rendita catastale]])</f>
        <v>0</v>
      </c>
      <c r="O72" s="146" t="str">
        <f t="shared" si="2"/>
        <v/>
      </c>
      <c r="P72" s="147">
        <f>+IF(B[[#This Row],[Valore inserito manualmente]]&gt;0,B[[#This Row],[Valore inserito manualmente]],B[[#This Row],[Valore catastale]])</f>
        <v>0</v>
      </c>
      <c r="Q72" s="147">
        <f>+IF(OR(B[[#This Row],[Opzione per prezzo-valore (s/n)]]="s",B[[#This Row],[Valore inserito manualmente]]=0),B[[#This Row],[Valore catastale]],B[[#This Row],[Valore inserito manualmente]])</f>
        <v>0</v>
      </c>
      <c r="R72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2" s="147" t="str">
        <f>+IF(B[[#This Row],[Bene]]="","",VLOOKUP(B[[#This Row],[Tipologia]],TipoImm[],3,0)*B[[#This Row],[Imponibile Iva]])</f>
        <v/>
      </c>
      <c r="T72" s="147" t="str">
        <f>+IF(B[[#This Row],[Bene]]="","",VLOOKUP(B[[#This Row],[Tipologia]],TipoImm[],6,0)*B[[#This Row],[Valore catastale]]+VLOOKUP(B[[#This Row],[Tipologia]],TipoImm[],4,0))</f>
        <v/>
      </c>
      <c r="U72" s="151" t="str">
        <f>+IF(B[[#This Row],[Bene]]="","",VLOOKUP(B[[#This Row],[Tipologia]],TipoImm[],8,0)*B[[#This Row],[Valore normale]]+VLOOKUP(B[[#This Row],[Tipologia]],TipoImm[],9,0))</f>
        <v/>
      </c>
      <c r="V72" s="147">
        <f>+IF(OR(B[[#This Row],[Bene]]="",B[[#This Row],[Agevolabile]]=0),0,VLOOKUP(B[[#This Row],[Tipologia]],TipoImm[],5,0))</f>
        <v>0</v>
      </c>
      <c r="W72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2" s="147">
        <f>SUM(B[[#This Row],[Imposta di registro in misura fissa agevolata]:[Imposta di registro prop. Agevolata]])</f>
        <v>0</v>
      </c>
      <c r="Y72" s="147">
        <f>+IF(B[[#This Row],[Bene]]="",0,VLOOKUP(B[[#This Row],[Tipologia]],TipoImm[],10,0))</f>
        <v>0</v>
      </c>
      <c r="Z72" s="149" t="str">
        <f>+IF(p=3,"",IF(B[[#This Row],[Tipologia]]="","",VLOOKUP(B[[#This Row],[Tipologia]],TipoImm[],MATCH($Z$4,Tabelle!$AF$1:$AR$1,0),0)))</f>
        <v/>
      </c>
    </row>
    <row r="73" spans="1:26" x14ac:dyDescent="0.2">
      <c r="A73" s="123"/>
      <c r="B73" s="123"/>
      <c r="C73" s="143"/>
      <c r="D73" s="124"/>
      <c r="E73" s="123"/>
      <c r="F73" s="155"/>
      <c r="G73" s="156"/>
      <c r="H73" s="156"/>
      <c r="I73" s="156"/>
      <c r="J73" s="142"/>
      <c r="K73" s="157"/>
      <c r="L73" s="158"/>
      <c r="M73" s="159"/>
      <c r="N73" s="145">
        <f>+IF(B[[#This Row],[Categoria Catastale]]="",0,VLOOKUP(B[[#This Row],[Categoria Catastale]],Gruppi[],6,0)*B[[#This Row],[Rendita catastale]])</f>
        <v>0</v>
      </c>
      <c r="O73" s="146" t="str">
        <f t="shared" si="2"/>
        <v/>
      </c>
      <c r="P73" s="147">
        <f>+IF(B[[#This Row],[Valore inserito manualmente]]&gt;0,B[[#This Row],[Valore inserito manualmente]],B[[#This Row],[Valore catastale]])</f>
        <v>0</v>
      </c>
      <c r="Q73" s="147">
        <f>+IF(OR(B[[#This Row],[Opzione per prezzo-valore (s/n)]]="s",B[[#This Row],[Valore inserito manualmente]]=0),B[[#This Row],[Valore catastale]],B[[#This Row],[Valore inserito manualmente]])</f>
        <v>0</v>
      </c>
      <c r="R73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3" s="147" t="str">
        <f>+IF(B[[#This Row],[Bene]]="","",VLOOKUP(B[[#This Row],[Tipologia]],TipoImm[],3,0)*B[[#This Row],[Imponibile Iva]])</f>
        <v/>
      </c>
      <c r="T73" s="147" t="str">
        <f>+IF(B[[#This Row],[Bene]]="","",VLOOKUP(B[[#This Row],[Tipologia]],TipoImm[],6,0)*B[[#This Row],[Valore catastale]]+VLOOKUP(B[[#This Row],[Tipologia]],TipoImm[],4,0))</f>
        <v/>
      </c>
      <c r="U73" s="151" t="str">
        <f>+IF(B[[#This Row],[Bene]]="","",VLOOKUP(B[[#This Row],[Tipologia]],TipoImm[],8,0)*B[[#This Row],[Valore normale]]+VLOOKUP(B[[#This Row],[Tipologia]],TipoImm[],9,0))</f>
        <v/>
      </c>
      <c r="V73" s="147">
        <f>+IF(OR(B[[#This Row],[Bene]]="",B[[#This Row],[Agevolabile]]=0),0,VLOOKUP(B[[#This Row],[Tipologia]],TipoImm[],5,0))</f>
        <v>0</v>
      </c>
      <c r="W73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3" s="147">
        <f>SUM(B[[#This Row],[Imposta di registro in misura fissa agevolata]:[Imposta di registro prop. Agevolata]])</f>
        <v>0</v>
      </c>
      <c r="Y73" s="147">
        <f>+IF(B[[#This Row],[Bene]]="",0,VLOOKUP(B[[#This Row],[Tipologia]],TipoImm[],10,0))</f>
        <v>0</v>
      </c>
      <c r="Z73" s="149" t="str">
        <f>+IF(p=3,"",IF(B[[#This Row],[Tipologia]]="","",VLOOKUP(B[[#This Row],[Tipologia]],TipoImm[],MATCH($Z$4,Tabelle!$AF$1:$AR$1,0),0)))</f>
        <v/>
      </c>
    </row>
    <row r="74" spans="1:26" x14ac:dyDescent="0.2">
      <c r="A74" s="123"/>
      <c r="B74" s="123"/>
      <c r="C74" s="143"/>
      <c r="D74" s="124"/>
      <c r="E74" s="123"/>
      <c r="F74" s="155"/>
      <c r="G74" s="156"/>
      <c r="H74" s="156"/>
      <c r="I74" s="156"/>
      <c r="J74" s="142"/>
      <c r="K74" s="157"/>
      <c r="L74" s="158"/>
      <c r="M74" s="159"/>
      <c r="N74" s="145">
        <f>+IF(B[[#This Row],[Categoria Catastale]]="",0,VLOOKUP(B[[#This Row],[Categoria Catastale]],Gruppi[],6,0)*B[[#This Row],[Rendita catastale]])</f>
        <v>0</v>
      </c>
      <c r="O74" s="146" t="str">
        <f t="shared" si="2"/>
        <v/>
      </c>
      <c r="P74" s="147">
        <f>+IF(B[[#This Row],[Valore inserito manualmente]]&gt;0,B[[#This Row],[Valore inserito manualmente]],B[[#This Row],[Valore catastale]])</f>
        <v>0</v>
      </c>
      <c r="Q74" s="147">
        <f>+IF(OR(B[[#This Row],[Opzione per prezzo-valore (s/n)]]="s",B[[#This Row],[Valore inserito manualmente]]=0),B[[#This Row],[Valore catastale]],B[[#This Row],[Valore inserito manualmente]])</f>
        <v>0</v>
      </c>
      <c r="R74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4" s="147" t="str">
        <f>+IF(B[[#This Row],[Bene]]="","",VLOOKUP(B[[#This Row],[Tipologia]],TipoImm[],3,0)*B[[#This Row],[Imponibile Iva]])</f>
        <v/>
      </c>
      <c r="T74" s="147" t="str">
        <f>+IF(B[[#This Row],[Bene]]="","",VLOOKUP(B[[#This Row],[Tipologia]],TipoImm[],6,0)*B[[#This Row],[Valore catastale]]+VLOOKUP(B[[#This Row],[Tipologia]],TipoImm[],4,0))</f>
        <v/>
      </c>
      <c r="U74" s="151" t="str">
        <f>+IF(B[[#This Row],[Bene]]="","",VLOOKUP(B[[#This Row],[Tipologia]],TipoImm[],8,0)*B[[#This Row],[Valore normale]]+VLOOKUP(B[[#This Row],[Tipologia]],TipoImm[],9,0))</f>
        <v/>
      </c>
      <c r="V74" s="147">
        <f>+IF(OR(B[[#This Row],[Bene]]="",B[[#This Row],[Agevolabile]]=0),0,VLOOKUP(B[[#This Row],[Tipologia]],TipoImm[],5,0))</f>
        <v>0</v>
      </c>
      <c r="W74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4" s="147">
        <f>SUM(B[[#This Row],[Imposta di registro in misura fissa agevolata]:[Imposta di registro prop. Agevolata]])</f>
        <v>0</v>
      </c>
      <c r="Y74" s="147">
        <f>+IF(B[[#This Row],[Bene]]="",0,VLOOKUP(B[[#This Row],[Tipologia]],TipoImm[],10,0))</f>
        <v>0</v>
      </c>
      <c r="Z74" s="149" t="str">
        <f>+IF(p=3,"",IF(B[[#This Row],[Tipologia]]="","",VLOOKUP(B[[#This Row],[Tipologia]],TipoImm[],MATCH($Z$4,Tabelle!$AF$1:$AR$1,0),0)))</f>
        <v/>
      </c>
    </row>
    <row r="75" spans="1:26" x14ac:dyDescent="0.2">
      <c r="A75" s="123"/>
      <c r="B75" s="123"/>
      <c r="C75" s="143"/>
      <c r="D75" s="124"/>
      <c r="E75" s="123"/>
      <c r="F75" s="155"/>
      <c r="G75" s="156"/>
      <c r="H75" s="156"/>
      <c r="I75" s="156"/>
      <c r="J75" s="142"/>
      <c r="K75" s="157"/>
      <c r="L75" s="158"/>
      <c r="M75" s="159"/>
      <c r="N75" s="145">
        <f>+IF(B[[#This Row],[Categoria Catastale]]="",0,VLOOKUP(B[[#This Row],[Categoria Catastale]],Gruppi[],6,0)*B[[#This Row],[Rendita catastale]])</f>
        <v>0</v>
      </c>
      <c r="O75" s="146" t="str">
        <f t="shared" si="2"/>
        <v/>
      </c>
      <c r="P75" s="147">
        <f>+IF(B[[#This Row],[Valore inserito manualmente]]&gt;0,B[[#This Row],[Valore inserito manualmente]],B[[#This Row],[Valore catastale]])</f>
        <v>0</v>
      </c>
      <c r="Q75" s="147">
        <f>+IF(OR(B[[#This Row],[Opzione per prezzo-valore (s/n)]]="s",B[[#This Row],[Valore inserito manualmente]]=0),B[[#This Row],[Valore catastale]],B[[#This Row],[Valore inserito manualmente]])</f>
        <v>0</v>
      </c>
      <c r="R75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5" s="147" t="str">
        <f>+IF(B[[#This Row],[Bene]]="","",VLOOKUP(B[[#This Row],[Tipologia]],TipoImm[],3,0)*B[[#This Row],[Imponibile Iva]])</f>
        <v/>
      </c>
      <c r="T75" s="147" t="str">
        <f>+IF(B[[#This Row],[Bene]]="","",VLOOKUP(B[[#This Row],[Tipologia]],TipoImm[],6,0)*B[[#This Row],[Valore catastale]]+VLOOKUP(B[[#This Row],[Tipologia]],TipoImm[],4,0))</f>
        <v/>
      </c>
      <c r="U75" s="151" t="str">
        <f>+IF(B[[#This Row],[Bene]]="","",VLOOKUP(B[[#This Row],[Tipologia]],TipoImm[],8,0)*B[[#This Row],[Valore normale]]+VLOOKUP(B[[#This Row],[Tipologia]],TipoImm[],9,0))</f>
        <v/>
      </c>
      <c r="V75" s="147">
        <f>+IF(OR(B[[#This Row],[Bene]]="",B[[#This Row],[Agevolabile]]=0),0,VLOOKUP(B[[#This Row],[Tipologia]],TipoImm[],5,0))</f>
        <v>0</v>
      </c>
      <c r="W75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5" s="147">
        <f>SUM(B[[#This Row],[Imposta di registro in misura fissa agevolata]:[Imposta di registro prop. Agevolata]])</f>
        <v>0</v>
      </c>
      <c r="Y75" s="147">
        <f>+IF(B[[#This Row],[Bene]]="",0,VLOOKUP(B[[#This Row],[Tipologia]],TipoImm[],10,0))</f>
        <v>0</v>
      </c>
      <c r="Z75" s="149" t="str">
        <f>+IF(p=3,"",IF(B[[#This Row],[Tipologia]]="","",VLOOKUP(B[[#This Row],[Tipologia]],TipoImm[],MATCH($Z$4,Tabelle!$AF$1:$AR$1,0),0)))</f>
        <v/>
      </c>
    </row>
    <row r="76" spans="1:26" x14ac:dyDescent="0.2">
      <c r="A76" s="123"/>
      <c r="B76" s="123"/>
      <c r="C76" s="143"/>
      <c r="D76" s="124"/>
      <c r="E76" s="123"/>
      <c r="F76" s="155"/>
      <c r="G76" s="156"/>
      <c r="H76" s="156"/>
      <c r="I76" s="156"/>
      <c r="J76" s="142"/>
      <c r="K76" s="157"/>
      <c r="L76" s="158"/>
      <c r="M76" s="159"/>
      <c r="N76" s="145">
        <f>+IF(B[[#This Row],[Categoria Catastale]]="",0,VLOOKUP(B[[#This Row],[Categoria Catastale]],Gruppi[],6,0)*B[[#This Row],[Rendita catastale]])</f>
        <v>0</v>
      </c>
      <c r="O76" s="146" t="str">
        <f t="shared" si="2"/>
        <v/>
      </c>
      <c r="P76" s="147">
        <f>+IF(B[[#This Row],[Valore inserito manualmente]]&gt;0,B[[#This Row],[Valore inserito manualmente]],B[[#This Row],[Valore catastale]])</f>
        <v>0</v>
      </c>
      <c r="Q76" s="147">
        <f>+IF(OR(B[[#This Row],[Opzione per prezzo-valore (s/n)]]="s",B[[#This Row],[Valore inserito manualmente]]=0),B[[#This Row],[Valore catastale]],B[[#This Row],[Valore inserito manualmente]])</f>
        <v>0</v>
      </c>
      <c r="R76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6" s="147" t="str">
        <f>+IF(B[[#This Row],[Bene]]="","",VLOOKUP(B[[#This Row],[Tipologia]],TipoImm[],3,0)*B[[#This Row],[Imponibile Iva]])</f>
        <v/>
      </c>
      <c r="T76" s="147" t="str">
        <f>+IF(B[[#This Row],[Bene]]="","",VLOOKUP(B[[#This Row],[Tipologia]],TipoImm[],6,0)*B[[#This Row],[Valore catastale]]+VLOOKUP(B[[#This Row],[Tipologia]],TipoImm[],4,0))</f>
        <v/>
      </c>
      <c r="U76" s="151" t="str">
        <f>+IF(B[[#This Row],[Bene]]="","",VLOOKUP(B[[#This Row],[Tipologia]],TipoImm[],8,0)*B[[#This Row],[Valore normale]]+VLOOKUP(B[[#This Row],[Tipologia]],TipoImm[],9,0))</f>
        <v/>
      </c>
      <c r="V76" s="147">
        <f>+IF(OR(B[[#This Row],[Bene]]="",B[[#This Row],[Agevolabile]]=0),0,VLOOKUP(B[[#This Row],[Tipologia]],TipoImm[],5,0))</f>
        <v>0</v>
      </c>
      <c r="W76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6" s="147">
        <f>SUM(B[[#This Row],[Imposta di registro in misura fissa agevolata]:[Imposta di registro prop. Agevolata]])</f>
        <v>0</v>
      </c>
      <c r="Y76" s="147">
        <f>+IF(B[[#This Row],[Bene]]="",0,VLOOKUP(B[[#This Row],[Tipologia]],TipoImm[],10,0))</f>
        <v>0</v>
      </c>
      <c r="Z76" s="149" t="str">
        <f>+IF(p=3,"",IF(B[[#This Row],[Tipologia]]="","",VLOOKUP(B[[#This Row],[Tipologia]],TipoImm[],MATCH($Z$4,Tabelle!$AF$1:$AR$1,0),0)))</f>
        <v/>
      </c>
    </row>
    <row r="77" spans="1:26" x14ac:dyDescent="0.2">
      <c r="A77" s="123"/>
      <c r="B77" s="123"/>
      <c r="C77" s="143"/>
      <c r="D77" s="124"/>
      <c r="E77" s="123"/>
      <c r="F77" s="155"/>
      <c r="G77" s="156"/>
      <c r="H77" s="156"/>
      <c r="I77" s="156"/>
      <c r="J77" s="142"/>
      <c r="K77" s="157"/>
      <c r="L77" s="158"/>
      <c r="M77" s="159"/>
      <c r="N77" s="145">
        <f>+IF(B[[#This Row],[Categoria Catastale]]="",0,VLOOKUP(B[[#This Row],[Categoria Catastale]],Gruppi[],6,0)*B[[#This Row],[Rendita catastale]])</f>
        <v>0</v>
      </c>
      <c r="O77" s="146" t="str">
        <f t="shared" si="2"/>
        <v/>
      </c>
      <c r="P77" s="147">
        <f>+IF(B[[#This Row],[Valore inserito manualmente]]&gt;0,B[[#This Row],[Valore inserito manualmente]],B[[#This Row],[Valore catastale]])</f>
        <v>0</v>
      </c>
      <c r="Q77" s="147">
        <f>+IF(OR(B[[#This Row],[Opzione per prezzo-valore (s/n)]]="s",B[[#This Row],[Valore inserito manualmente]]=0),B[[#This Row],[Valore catastale]],B[[#This Row],[Valore inserito manualmente]])</f>
        <v>0</v>
      </c>
      <c r="R77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7" s="147" t="str">
        <f>+IF(B[[#This Row],[Bene]]="","",VLOOKUP(B[[#This Row],[Tipologia]],TipoImm[],3,0)*B[[#This Row],[Imponibile Iva]])</f>
        <v/>
      </c>
      <c r="T77" s="147" t="str">
        <f>+IF(B[[#This Row],[Bene]]="","",VLOOKUP(B[[#This Row],[Tipologia]],TipoImm[],6,0)*B[[#This Row],[Valore catastale]]+VLOOKUP(B[[#This Row],[Tipologia]],TipoImm[],4,0))</f>
        <v/>
      </c>
      <c r="U77" s="151" t="str">
        <f>+IF(B[[#This Row],[Bene]]="","",VLOOKUP(B[[#This Row],[Tipologia]],TipoImm[],8,0)*B[[#This Row],[Valore normale]]+VLOOKUP(B[[#This Row],[Tipologia]],TipoImm[],9,0))</f>
        <v/>
      </c>
      <c r="V77" s="147">
        <f>+IF(OR(B[[#This Row],[Bene]]="",B[[#This Row],[Agevolabile]]=0),0,VLOOKUP(B[[#This Row],[Tipologia]],TipoImm[],5,0))</f>
        <v>0</v>
      </c>
      <c r="W77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7" s="147">
        <f>SUM(B[[#This Row],[Imposta di registro in misura fissa agevolata]:[Imposta di registro prop. Agevolata]])</f>
        <v>0</v>
      </c>
      <c r="Y77" s="147">
        <f>+IF(B[[#This Row],[Bene]]="",0,VLOOKUP(B[[#This Row],[Tipologia]],TipoImm[],10,0))</f>
        <v>0</v>
      </c>
      <c r="Z77" s="149" t="str">
        <f>+IF(p=3,"",IF(B[[#This Row],[Tipologia]]="","",VLOOKUP(B[[#This Row],[Tipologia]],TipoImm[],MATCH($Z$4,Tabelle!$AF$1:$AR$1,0),0)))</f>
        <v/>
      </c>
    </row>
    <row r="78" spans="1:26" x14ac:dyDescent="0.2">
      <c r="A78" s="123"/>
      <c r="B78" s="123"/>
      <c r="C78" s="143"/>
      <c r="D78" s="124"/>
      <c r="E78" s="123"/>
      <c r="F78" s="155"/>
      <c r="G78" s="156"/>
      <c r="H78" s="156"/>
      <c r="I78" s="156"/>
      <c r="J78" s="142"/>
      <c r="K78" s="157"/>
      <c r="L78" s="158"/>
      <c r="M78" s="159"/>
      <c r="N78" s="145">
        <f>+IF(B[[#This Row],[Categoria Catastale]]="",0,VLOOKUP(B[[#This Row],[Categoria Catastale]],Gruppi[],6,0)*B[[#This Row],[Rendita catastale]])</f>
        <v>0</v>
      </c>
      <c r="O78" s="146" t="str">
        <f t="shared" si="2"/>
        <v/>
      </c>
      <c r="P78" s="147">
        <f>+IF(B[[#This Row],[Valore inserito manualmente]]&gt;0,B[[#This Row],[Valore inserito manualmente]],B[[#This Row],[Valore catastale]])</f>
        <v>0</v>
      </c>
      <c r="Q78" s="147">
        <f>+IF(OR(B[[#This Row],[Opzione per prezzo-valore (s/n)]]="s",B[[#This Row],[Valore inserito manualmente]]=0),B[[#This Row],[Valore catastale]],B[[#This Row],[Valore inserito manualmente]])</f>
        <v>0</v>
      </c>
      <c r="R78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8" s="147" t="str">
        <f>+IF(B[[#This Row],[Bene]]="","",VLOOKUP(B[[#This Row],[Tipologia]],TipoImm[],3,0)*B[[#This Row],[Imponibile Iva]])</f>
        <v/>
      </c>
      <c r="T78" s="147" t="str">
        <f>+IF(B[[#This Row],[Bene]]="","",VLOOKUP(B[[#This Row],[Tipologia]],TipoImm[],6,0)*B[[#This Row],[Valore catastale]]+VLOOKUP(B[[#This Row],[Tipologia]],TipoImm[],4,0))</f>
        <v/>
      </c>
      <c r="U78" s="151" t="str">
        <f>+IF(B[[#This Row],[Bene]]="","",VLOOKUP(B[[#This Row],[Tipologia]],TipoImm[],8,0)*B[[#This Row],[Valore normale]]+VLOOKUP(B[[#This Row],[Tipologia]],TipoImm[],9,0))</f>
        <v/>
      </c>
      <c r="V78" s="147">
        <f>+IF(OR(B[[#This Row],[Bene]]="",B[[#This Row],[Agevolabile]]=0),0,VLOOKUP(B[[#This Row],[Tipologia]],TipoImm[],5,0))</f>
        <v>0</v>
      </c>
      <c r="W78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8" s="147">
        <f>SUM(B[[#This Row],[Imposta di registro in misura fissa agevolata]:[Imposta di registro prop. Agevolata]])</f>
        <v>0</v>
      </c>
      <c r="Y78" s="147">
        <f>+IF(B[[#This Row],[Bene]]="",0,VLOOKUP(B[[#This Row],[Tipologia]],TipoImm[],10,0))</f>
        <v>0</v>
      </c>
      <c r="Z78" s="149" t="str">
        <f>+IF(p=3,"",IF(B[[#This Row],[Tipologia]]="","",VLOOKUP(B[[#This Row],[Tipologia]],TipoImm[],MATCH($Z$4,Tabelle!$AF$1:$AR$1,0),0)))</f>
        <v/>
      </c>
    </row>
    <row r="79" spans="1:26" x14ac:dyDescent="0.2">
      <c r="A79" s="123"/>
      <c r="B79" s="123"/>
      <c r="C79" s="143"/>
      <c r="D79" s="124"/>
      <c r="E79" s="123"/>
      <c r="F79" s="155"/>
      <c r="G79" s="156"/>
      <c r="H79" s="156"/>
      <c r="I79" s="156"/>
      <c r="J79" s="142"/>
      <c r="K79" s="157"/>
      <c r="L79" s="158"/>
      <c r="M79" s="159"/>
      <c r="N79" s="145">
        <f>+IF(B[[#This Row],[Categoria Catastale]]="",0,VLOOKUP(B[[#This Row],[Categoria Catastale]],Gruppi[],6,0)*B[[#This Row],[Rendita catastale]])</f>
        <v>0</v>
      </c>
      <c r="O79" s="146" t="str">
        <f t="shared" si="2"/>
        <v/>
      </c>
      <c r="P79" s="147">
        <f>+IF(B[[#This Row],[Valore inserito manualmente]]&gt;0,B[[#This Row],[Valore inserito manualmente]],B[[#This Row],[Valore catastale]])</f>
        <v>0</v>
      </c>
      <c r="Q79" s="147">
        <f>+IF(OR(B[[#This Row],[Opzione per prezzo-valore (s/n)]]="s",B[[#This Row],[Valore inserito manualmente]]=0),B[[#This Row],[Valore catastale]],B[[#This Row],[Valore inserito manualmente]])</f>
        <v>0</v>
      </c>
      <c r="R79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9" s="147" t="str">
        <f>+IF(B[[#This Row],[Bene]]="","",VLOOKUP(B[[#This Row],[Tipologia]],TipoImm[],3,0)*B[[#This Row],[Imponibile Iva]])</f>
        <v/>
      </c>
      <c r="T79" s="147" t="str">
        <f>+IF(B[[#This Row],[Bene]]="","",VLOOKUP(B[[#This Row],[Tipologia]],TipoImm[],6,0)*B[[#This Row],[Valore catastale]]+VLOOKUP(B[[#This Row],[Tipologia]],TipoImm[],4,0))</f>
        <v/>
      </c>
      <c r="U79" s="151" t="str">
        <f>+IF(B[[#This Row],[Bene]]="","",VLOOKUP(B[[#This Row],[Tipologia]],TipoImm[],8,0)*B[[#This Row],[Valore normale]]+VLOOKUP(B[[#This Row],[Tipologia]],TipoImm[],9,0))</f>
        <v/>
      </c>
      <c r="V79" s="147">
        <f>+IF(OR(B[[#This Row],[Bene]]="",B[[#This Row],[Agevolabile]]=0),0,VLOOKUP(B[[#This Row],[Tipologia]],TipoImm[],5,0))</f>
        <v>0</v>
      </c>
      <c r="W79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9" s="147">
        <f>SUM(B[[#This Row],[Imposta di registro in misura fissa agevolata]:[Imposta di registro prop. Agevolata]])</f>
        <v>0</v>
      </c>
      <c r="Y79" s="147">
        <f>+IF(B[[#This Row],[Bene]]="",0,VLOOKUP(B[[#This Row],[Tipologia]],TipoImm[],10,0))</f>
        <v>0</v>
      </c>
      <c r="Z79" s="149" t="str">
        <f>+IF(p=3,"",IF(B[[#This Row],[Tipologia]]="","",VLOOKUP(B[[#This Row],[Tipologia]],TipoImm[],MATCH($Z$4,Tabelle!$AF$1:$AR$1,0),0)))</f>
        <v/>
      </c>
    </row>
    <row r="80" spans="1:26" x14ac:dyDescent="0.2">
      <c r="A80" s="123"/>
      <c r="B80" s="123"/>
      <c r="C80" s="143"/>
      <c r="D80" s="124"/>
      <c r="E80" s="123"/>
      <c r="F80" s="155"/>
      <c r="G80" s="156"/>
      <c r="H80" s="156"/>
      <c r="I80" s="156"/>
      <c r="J80" s="142"/>
      <c r="K80" s="157"/>
      <c r="L80" s="158"/>
      <c r="M80" s="159"/>
      <c r="N80" s="145">
        <f>+IF(B[[#This Row],[Categoria Catastale]]="",0,VLOOKUP(B[[#This Row],[Categoria Catastale]],Gruppi[],6,0)*B[[#This Row],[Rendita catastale]])</f>
        <v>0</v>
      </c>
      <c r="O80" s="146" t="str">
        <f t="shared" si="2"/>
        <v/>
      </c>
      <c r="P80" s="147">
        <f>+IF(B[[#This Row],[Valore inserito manualmente]]&gt;0,B[[#This Row],[Valore inserito manualmente]],B[[#This Row],[Valore catastale]])</f>
        <v>0</v>
      </c>
      <c r="Q80" s="147">
        <f>+IF(OR(B[[#This Row],[Opzione per prezzo-valore (s/n)]]="s",B[[#This Row],[Valore inserito manualmente]]=0),B[[#This Row],[Valore catastale]],B[[#This Row],[Valore inserito manualmente]])</f>
        <v>0</v>
      </c>
      <c r="R80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0" s="147" t="str">
        <f>+IF(B[[#This Row],[Bene]]="","",VLOOKUP(B[[#This Row],[Tipologia]],TipoImm[],3,0)*B[[#This Row],[Imponibile Iva]])</f>
        <v/>
      </c>
      <c r="T80" s="147" t="str">
        <f>+IF(B[[#This Row],[Bene]]="","",VLOOKUP(B[[#This Row],[Tipologia]],TipoImm[],6,0)*B[[#This Row],[Valore catastale]]+VLOOKUP(B[[#This Row],[Tipologia]],TipoImm[],4,0))</f>
        <v/>
      </c>
      <c r="U80" s="151" t="str">
        <f>+IF(B[[#This Row],[Bene]]="","",VLOOKUP(B[[#This Row],[Tipologia]],TipoImm[],8,0)*B[[#This Row],[Valore normale]]+VLOOKUP(B[[#This Row],[Tipologia]],TipoImm[],9,0))</f>
        <v/>
      </c>
      <c r="V80" s="147">
        <f>+IF(OR(B[[#This Row],[Bene]]="",B[[#This Row],[Agevolabile]]=0),0,VLOOKUP(B[[#This Row],[Tipologia]],TipoImm[],5,0))</f>
        <v>0</v>
      </c>
      <c r="W80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0" s="147">
        <f>SUM(B[[#This Row],[Imposta di registro in misura fissa agevolata]:[Imposta di registro prop. Agevolata]])</f>
        <v>0</v>
      </c>
      <c r="Y80" s="147">
        <f>+IF(B[[#This Row],[Bene]]="",0,VLOOKUP(B[[#This Row],[Tipologia]],TipoImm[],10,0))</f>
        <v>0</v>
      </c>
      <c r="Z80" s="149" t="str">
        <f>+IF(p=3,"",IF(B[[#This Row],[Tipologia]]="","",VLOOKUP(B[[#This Row],[Tipologia]],TipoImm[],MATCH($Z$4,Tabelle!$AF$1:$AR$1,0),0)))</f>
        <v/>
      </c>
    </row>
    <row r="81" spans="1:26" x14ac:dyDescent="0.2">
      <c r="A81" s="123"/>
      <c r="B81" s="123"/>
      <c r="C81" s="143"/>
      <c r="D81" s="124"/>
      <c r="E81" s="123"/>
      <c r="F81" s="155"/>
      <c r="G81" s="156"/>
      <c r="H81" s="156"/>
      <c r="I81" s="156"/>
      <c r="J81" s="142"/>
      <c r="K81" s="157"/>
      <c r="L81" s="158"/>
      <c r="M81" s="159"/>
      <c r="N81" s="145">
        <f>+IF(B[[#This Row],[Categoria Catastale]]="",0,VLOOKUP(B[[#This Row],[Categoria Catastale]],Gruppi[],6,0)*B[[#This Row],[Rendita catastale]])</f>
        <v>0</v>
      </c>
      <c r="O81" s="146" t="str">
        <f t="shared" si="2"/>
        <v/>
      </c>
      <c r="P81" s="147">
        <f>+IF(B[[#This Row],[Valore inserito manualmente]]&gt;0,B[[#This Row],[Valore inserito manualmente]],B[[#This Row],[Valore catastale]])</f>
        <v>0</v>
      </c>
      <c r="Q81" s="147">
        <f>+IF(OR(B[[#This Row],[Opzione per prezzo-valore (s/n)]]="s",B[[#This Row],[Valore inserito manualmente]]=0),B[[#This Row],[Valore catastale]],B[[#This Row],[Valore inserito manualmente]])</f>
        <v>0</v>
      </c>
      <c r="R81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1" s="147" t="str">
        <f>+IF(B[[#This Row],[Bene]]="","",VLOOKUP(B[[#This Row],[Tipologia]],TipoImm[],3,0)*B[[#This Row],[Imponibile Iva]])</f>
        <v/>
      </c>
      <c r="T81" s="147" t="str">
        <f>+IF(B[[#This Row],[Bene]]="","",VLOOKUP(B[[#This Row],[Tipologia]],TipoImm[],6,0)*B[[#This Row],[Valore catastale]]+VLOOKUP(B[[#This Row],[Tipologia]],TipoImm[],4,0))</f>
        <v/>
      </c>
      <c r="U81" s="151" t="str">
        <f>+IF(B[[#This Row],[Bene]]="","",VLOOKUP(B[[#This Row],[Tipologia]],TipoImm[],8,0)*B[[#This Row],[Valore normale]]+VLOOKUP(B[[#This Row],[Tipologia]],TipoImm[],9,0))</f>
        <v/>
      </c>
      <c r="V81" s="147">
        <f>+IF(OR(B[[#This Row],[Bene]]="",B[[#This Row],[Agevolabile]]=0),0,VLOOKUP(B[[#This Row],[Tipologia]],TipoImm[],5,0))</f>
        <v>0</v>
      </c>
      <c r="W81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1" s="147">
        <f>SUM(B[[#This Row],[Imposta di registro in misura fissa agevolata]:[Imposta di registro prop. Agevolata]])</f>
        <v>0</v>
      </c>
      <c r="Y81" s="147">
        <f>+IF(B[[#This Row],[Bene]]="",0,VLOOKUP(B[[#This Row],[Tipologia]],TipoImm[],10,0))</f>
        <v>0</v>
      </c>
      <c r="Z81" s="149" t="str">
        <f>+IF(p=3,"",IF(B[[#This Row],[Tipologia]]="","",VLOOKUP(B[[#This Row],[Tipologia]],TipoImm[],MATCH($Z$4,Tabelle!$AF$1:$AR$1,0),0)))</f>
        <v/>
      </c>
    </row>
    <row r="82" spans="1:26" x14ac:dyDescent="0.2">
      <c r="A82" s="123"/>
      <c r="B82" s="123"/>
      <c r="C82" s="143"/>
      <c r="D82" s="124"/>
      <c r="E82" s="123"/>
      <c r="F82" s="155"/>
      <c r="G82" s="156"/>
      <c r="H82" s="156"/>
      <c r="I82" s="156"/>
      <c r="J82" s="142"/>
      <c r="K82" s="157"/>
      <c r="L82" s="158"/>
      <c r="M82" s="159"/>
      <c r="N82" s="145">
        <f>+IF(B[[#This Row],[Categoria Catastale]]="",0,VLOOKUP(B[[#This Row],[Categoria Catastale]],Gruppi[],6,0)*B[[#This Row],[Rendita catastale]])</f>
        <v>0</v>
      </c>
      <c r="O82" s="146" t="str">
        <f t="shared" si="2"/>
        <v/>
      </c>
      <c r="P82" s="147">
        <f>+IF(B[[#This Row],[Valore inserito manualmente]]&gt;0,B[[#This Row],[Valore inserito manualmente]],B[[#This Row],[Valore catastale]])</f>
        <v>0</v>
      </c>
      <c r="Q82" s="147">
        <f>+IF(OR(B[[#This Row],[Opzione per prezzo-valore (s/n)]]="s",B[[#This Row],[Valore inserito manualmente]]=0),B[[#This Row],[Valore catastale]],B[[#This Row],[Valore inserito manualmente]])</f>
        <v>0</v>
      </c>
      <c r="R82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2" s="147" t="str">
        <f>+IF(B[[#This Row],[Bene]]="","",VLOOKUP(B[[#This Row],[Tipologia]],TipoImm[],3,0)*B[[#This Row],[Imponibile Iva]])</f>
        <v/>
      </c>
      <c r="T82" s="147" t="str">
        <f>+IF(B[[#This Row],[Bene]]="","",VLOOKUP(B[[#This Row],[Tipologia]],TipoImm[],6,0)*B[[#This Row],[Valore catastale]]+VLOOKUP(B[[#This Row],[Tipologia]],TipoImm[],4,0))</f>
        <v/>
      </c>
      <c r="U82" s="151" t="str">
        <f>+IF(B[[#This Row],[Bene]]="","",VLOOKUP(B[[#This Row],[Tipologia]],TipoImm[],8,0)*B[[#This Row],[Valore normale]]+VLOOKUP(B[[#This Row],[Tipologia]],TipoImm[],9,0))</f>
        <v/>
      </c>
      <c r="V82" s="147">
        <f>+IF(OR(B[[#This Row],[Bene]]="",B[[#This Row],[Agevolabile]]=0),0,VLOOKUP(B[[#This Row],[Tipologia]],TipoImm[],5,0))</f>
        <v>0</v>
      </c>
      <c r="W82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2" s="147">
        <f>SUM(B[[#This Row],[Imposta di registro in misura fissa agevolata]:[Imposta di registro prop. Agevolata]])</f>
        <v>0</v>
      </c>
      <c r="Y82" s="147">
        <f>+IF(B[[#This Row],[Bene]]="",0,VLOOKUP(B[[#This Row],[Tipologia]],TipoImm[],10,0))</f>
        <v>0</v>
      </c>
      <c r="Z82" s="149" t="str">
        <f>+IF(p=3,"",IF(B[[#This Row],[Tipologia]]="","",VLOOKUP(B[[#This Row],[Tipologia]],TipoImm[],MATCH($Z$4,Tabelle!$AF$1:$AR$1,0),0)))</f>
        <v/>
      </c>
    </row>
    <row r="83" spans="1:26" x14ac:dyDescent="0.2">
      <c r="A83" s="123"/>
      <c r="B83" s="123"/>
      <c r="C83" s="143"/>
      <c r="D83" s="124"/>
      <c r="E83" s="123"/>
      <c r="F83" s="155"/>
      <c r="G83" s="156"/>
      <c r="H83" s="156"/>
      <c r="I83" s="156"/>
      <c r="J83" s="142"/>
      <c r="K83" s="157"/>
      <c r="L83" s="158"/>
      <c r="M83" s="159"/>
      <c r="N83" s="145">
        <f>+IF(B[[#This Row],[Categoria Catastale]]="",0,VLOOKUP(B[[#This Row],[Categoria Catastale]],Gruppi[],6,0)*B[[#This Row],[Rendita catastale]])</f>
        <v>0</v>
      </c>
      <c r="O83" s="146" t="str">
        <f t="shared" si="2"/>
        <v/>
      </c>
      <c r="P83" s="147">
        <f>+IF(B[[#This Row],[Valore inserito manualmente]]&gt;0,B[[#This Row],[Valore inserito manualmente]],B[[#This Row],[Valore catastale]])</f>
        <v>0</v>
      </c>
      <c r="Q83" s="147">
        <f>+IF(OR(B[[#This Row],[Opzione per prezzo-valore (s/n)]]="s",B[[#This Row],[Valore inserito manualmente]]=0),B[[#This Row],[Valore catastale]],B[[#This Row],[Valore inserito manualmente]])</f>
        <v>0</v>
      </c>
      <c r="R83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3" s="147" t="str">
        <f>+IF(B[[#This Row],[Bene]]="","",VLOOKUP(B[[#This Row],[Tipologia]],TipoImm[],3,0)*B[[#This Row],[Imponibile Iva]])</f>
        <v/>
      </c>
      <c r="T83" s="147" t="str">
        <f>+IF(B[[#This Row],[Bene]]="","",VLOOKUP(B[[#This Row],[Tipologia]],TipoImm[],6,0)*B[[#This Row],[Valore catastale]]+VLOOKUP(B[[#This Row],[Tipologia]],TipoImm[],4,0))</f>
        <v/>
      </c>
      <c r="U83" s="151" t="str">
        <f>+IF(B[[#This Row],[Bene]]="","",VLOOKUP(B[[#This Row],[Tipologia]],TipoImm[],8,0)*B[[#This Row],[Valore normale]]+VLOOKUP(B[[#This Row],[Tipologia]],TipoImm[],9,0))</f>
        <v/>
      </c>
      <c r="V83" s="147">
        <f>+IF(OR(B[[#This Row],[Bene]]="",B[[#This Row],[Agevolabile]]=0),0,VLOOKUP(B[[#This Row],[Tipologia]],TipoImm[],5,0))</f>
        <v>0</v>
      </c>
      <c r="W83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3" s="147">
        <f>SUM(B[[#This Row],[Imposta di registro in misura fissa agevolata]:[Imposta di registro prop. Agevolata]])</f>
        <v>0</v>
      </c>
      <c r="Y83" s="147">
        <f>+IF(B[[#This Row],[Bene]]="",0,VLOOKUP(B[[#This Row],[Tipologia]],TipoImm[],10,0))</f>
        <v>0</v>
      </c>
      <c r="Z83" s="149" t="str">
        <f>+IF(p=3,"",IF(B[[#This Row],[Tipologia]]="","",VLOOKUP(B[[#This Row],[Tipologia]],TipoImm[],MATCH($Z$4,Tabelle!$AF$1:$AR$1,0),0)))</f>
        <v/>
      </c>
    </row>
    <row r="84" spans="1:26" x14ac:dyDescent="0.2">
      <c r="A84" s="123"/>
      <c r="B84" s="123"/>
      <c r="C84" s="143"/>
      <c r="D84" s="124"/>
      <c r="E84" s="123"/>
      <c r="F84" s="155"/>
      <c r="G84" s="156"/>
      <c r="H84" s="156"/>
      <c r="I84" s="156"/>
      <c r="J84" s="142"/>
      <c r="K84" s="157"/>
      <c r="L84" s="158"/>
      <c r="M84" s="159"/>
      <c r="N84" s="145">
        <f>+IF(B[[#This Row],[Categoria Catastale]]="",0,VLOOKUP(B[[#This Row],[Categoria Catastale]],Gruppi[],6,0)*B[[#This Row],[Rendita catastale]])</f>
        <v>0</v>
      </c>
      <c r="O84" s="146" t="str">
        <f t="shared" si="2"/>
        <v/>
      </c>
      <c r="P84" s="147">
        <f>+IF(B[[#This Row],[Valore inserito manualmente]]&gt;0,B[[#This Row],[Valore inserito manualmente]],B[[#This Row],[Valore catastale]])</f>
        <v>0</v>
      </c>
      <c r="Q84" s="147">
        <f>+IF(OR(B[[#This Row],[Opzione per prezzo-valore (s/n)]]="s",B[[#This Row],[Valore inserito manualmente]]=0),B[[#This Row],[Valore catastale]],B[[#This Row],[Valore inserito manualmente]])</f>
        <v>0</v>
      </c>
      <c r="R84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4" s="147" t="str">
        <f>+IF(B[[#This Row],[Bene]]="","",VLOOKUP(B[[#This Row],[Tipologia]],TipoImm[],3,0)*B[[#This Row],[Imponibile Iva]])</f>
        <v/>
      </c>
      <c r="T84" s="147" t="str">
        <f>+IF(B[[#This Row],[Bene]]="","",VLOOKUP(B[[#This Row],[Tipologia]],TipoImm[],6,0)*B[[#This Row],[Valore catastale]]+VLOOKUP(B[[#This Row],[Tipologia]],TipoImm[],4,0))</f>
        <v/>
      </c>
      <c r="U84" s="151" t="str">
        <f>+IF(B[[#This Row],[Bene]]="","",VLOOKUP(B[[#This Row],[Tipologia]],TipoImm[],8,0)*B[[#This Row],[Valore normale]]+VLOOKUP(B[[#This Row],[Tipologia]],TipoImm[],9,0))</f>
        <v/>
      </c>
      <c r="V84" s="147">
        <f>+IF(OR(B[[#This Row],[Bene]]="",B[[#This Row],[Agevolabile]]=0),0,VLOOKUP(B[[#This Row],[Tipologia]],TipoImm[],5,0))</f>
        <v>0</v>
      </c>
      <c r="W84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4" s="147">
        <f>SUM(B[[#This Row],[Imposta di registro in misura fissa agevolata]:[Imposta di registro prop. Agevolata]])</f>
        <v>0</v>
      </c>
      <c r="Y84" s="147">
        <f>+IF(B[[#This Row],[Bene]]="",0,VLOOKUP(B[[#This Row],[Tipologia]],TipoImm[],10,0))</f>
        <v>0</v>
      </c>
      <c r="Z84" s="149" t="str">
        <f>+IF(p=3,"",IF(B[[#This Row],[Tipologia]]="","",VLOOKUP(B[[#This Row],[Tipologia]],TipoImm[],MATCH($Z$4,Tabelle!$AF$1:$AR$1,0),0)))</f>
        <v/>
      </c>
    </row>
    <row r="85" spans="1:26" x14ac:dyDescent="0.2">
      <c r="A85" s="123"/>
      <c r="B85" s="123"/>
      <c r="C85" s="143"/>
      <c r="D85" s="124"/>
      <c r="E85" s="123"/>
      <c r="F85" s="155"/>
      <c r="G85" s="156"/>
      <c r="H85" s="156"/>
      <c r="I85" s="156"/>
      <c r="J85" s="142"/>
      <c r="K85" s="157"/>
      <c r="L85" s="158"/>
      <c r="M85" s="159"/>
      <c r="N85" s="145">
        <f>+IF(B[[#This Row],[Categoria Catastale]]="",0,VLOOKUP(B[[#This Row],[Categoria Catastale]],Gruppi[],6,0)*B[[#This Row],[Rendita catastale]])</f>
        <v>0</v>
      </c>
      <c r="O85" s="146" t="str">
        <f t="shared" si="2"/>
        <v/>
      </c>
      <c r="P85" s="147">
        <f>+IF(B[[#This Row],[Valore inserito manualmente]]&gt;0,B[[#This Row],[Valore inserito manualmente]],B[[#This Row],[Valore catastale]])</f>
        <v>0</v>
      </c>
      <c r="Q85" s="147">
        <f>+IF(OR(B[[#This Row],[Opzione per prezzo-valore (s/n)]]="s",B[[#This Row],[Valore inserito manualmente]]=0),B[[#This Row],[Valore catastale]],B[[#This Row],[Valore inserito manualmente]])</f>
        <v>0</v>
      </c>
      <c r="R85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5" s="147" t="str">
        <f>+IF(B[[#This Row],[Bene]]="","",VLOOKUP(B[[#This Row],[Tipologia]],TipoImm[],3,0)*B[[#This Row],[Imponibile Iva]])</f>
        <v/>
      </c>
      <c r="T85" s="147" t="str">
        <f>+IF(B[[#This Row],[Bene]]="","",VLOOKUP(B[[#This Row],[Tipologia]],TipoImm[],6,0)*B[[#This Row],[Valore catastale]]+VLOOKUP(B[[#This Row],[Tipologia]],TipoImm[],4,0))</f>
        <v/>
      </c>
      <c r="U85" s="151" t="str">
        <f>+IF(B[[#This Row],[Bene]]="","",VLOOKUP(B[[#This Row],[Tipologia]],TipoImm[],8,0)*B[[#This Row],[Valore normale]]+VLOOKUP(B[[#This Row],[Tipologia]],TipoImm[],9,0))</f>
        <v/>
      </c>
      <c r="V85" s="147">
        <f>+IF(OR(B[[#This Row],[Bene]]="",B[[#This Row],[Agevolabile]]=0),0,VLOOKUP(B[[#This Row],[Tipologia]],TipoImm[],5,0))</f>
        <v>0</v>
      </c>
      <c r="W85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5" s="147">
        <f>SUM(B[[#This Row],[Imposta di registro in misura fissa agevolata]:[Imposta di registro prop. Agevolata]])</f>
        <v>0</v>
      </c>
      <c r="Y85" s="147">
        <f>+IF(B[[#This Row],[Bene]]="",0,VLOOKUP(B[[#This Row],[Tipologia]],TipoImm[],10,0))</f>
        <v>0</v>
      </c>
      <c r="Z85" s="149" t="str">
        <f>+IF(p=3,"",IF(B[[#This Row],[Tipologia]]="","",VLOOKUP(B[[#This Row],[Tipologia]],TipoImm[],MATCH($Z$4,Tabelle!$AF$1:$AR$1,0),0)))</f>
        <v/>
      </c>
    </row>
    <row r="86" spans="1:26" x14ac:dyDescent="0.2">
      <c r="A86" s="123"/>
      <c r="B86" s="123"/>
      <c r="C86" s="143"/>
      <c r="D86" s="124"/>
      <c r="E86" s="123"/>
      <c r="F86" s="155"/>
      <c r="G86" s="156"/>
      <c r="H86" s="156"/>
      <c r="I86" s="156"/>
      <c r="J86" s="142"/>
      <c r="K86" s="157"/>
      <c r="L86" s="158"/>
      <c r="M86" s="159"/>
      <c r="N86" s="145">
        <f>+IF(B[[#This Row],[Categoria Catastale]]="",0,VLOOKUP(B[[#This Row],[Categoria Catastale]],Gruppi[],6,0)*B[[#This Row],[Rendita catastale]])</f>
        <v>0</v>
      </c>
      <c r="O86" s="146" t="str">
        <f t="shared" si="2"/>
        <v/>
      </c>
      <c r="P86" s="147">
        <f>+IF(B[[#This Row],[Valore inserito manualmente]]&gt;0,B[[#This Row],[Valore inserito manualmente]],B[[#This Row],[Valore catastale]])</f>
        <v>0</v>
      </c>
      <c r="Q86" s="147">
        <f>+IF(OR(B[[#This Row],[Opzione per prezzo-valore (s/n)]]="s",B[[#This Row],[Valore inserito manualmente]]=0),B[[#This Row],[Valore catastale]],B[[#This Row],[Valore inserito manualmente]])</f>
        <v>0</v>
      </c>
      <c r="R86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6" s="147" t="str">
        <f>+IF(B[[#This Row],[Bene]]="","",VLOOKUP(B[[#This Row],[Tipologia]],TipoImm[],3,0)*B[[#This Row],[Imponibile Iva]])</f>
        <v/>
      </c>
      <c r="T86" s="147" t="str">
        <f>+IF(B[[#This Row],[Bene]]="","",VLOOKUP(B[[#This Row],[Tipologia]],TipoImm[],6,0)*B[[#This Row],[Valore catastale]]+VLOOKUP(B[[#This Row],[Tipologia]],TipoImm[],4,0))</f>
        <v/>
      </c>
      <c r="U86" s="151" t="str">
        <f>+IF(B[[#This Row],[Bene]]="","",VLOOKUP(B[[#This Row],[Tipologia]],TipoImm[],8,0)*B[[#This Row],[Valore normale]]+VLOOKUP(B[[#This Row],[Tipologia]],TipoImm[],9,0))</f>
        <v/>
      </c>
      <c r="V86" s="147">
        <f>+IF(OR(B[[#This Row],[Bene]]="",B[[#This Row],[Agevolabile]]=0),0,VLOOKUP(B[[#This Row],[Tipologia]],TipoImm[],5,0))</f>
        <v>0</v>
      </c>
      <c r="W86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6" s="147">
        <f>SUM(B[[#This Row],[Imposta di registro in misura fissa agevolata]:[Imposta di registro prop. Agevolata]])</f>
        <v>0</v>
      </c>
      <c r="Y86" s="147">
        <f>+IF(B[[#This Row],[Bene]]="",0,VLOOKUP(B[[#This Row],[Tipologia]],TipoImm[],10,0))</f>
        <v>0</v>
      </c>
      <c r="Z86" s="149" t="str">
        <f>+IF(p=3,"",IF(B[[#This Row],[Tipologia]]="","",VLOOKUP(B[[#This Row],[Tipologia]],TipoImm[],MATCH($Z$4,Tabelle!$AF$1:$AR$1,0),0)))</f>
        <v/>
      </c>
    </row>
    <row r="87" spans="1:26" x14ac:dyDescent="0.2">
      <c r="A87" s="123"/>
      <c r="B87" s="123"/>
      <c r="C87" s="143"/>
      <c r="D87" s="124"/>
      <c r="E87" s="123"/>
      <c r="F87" s="155"/>
      <c r="G87" s="156"/>
      <c r="H87" s="156"/>
      <c r="I87" s="156"/>
      <c r="J87" s="142"/>
      <c r="K87" s="157"/>
      <c r="L87" s="158"/>
      <c r="M87" s="159"/>
      <c r="N87" s="145">
        <f>+IF(B[[#This Row],[Categoria Catastale]]="",0,VLOOKUP(B[[#This Row],[Categoria Catastale]],Gruppi[],6,0)*B[[#This Row],[Rendita catastale]])</f>
        <v>0</v>
      </c>
      <c r="O87" s="146" t="str">
        <f t="shared" si="2"/>
        <v/>
      </c>
      <c r="P87" s="147">
        <f>+IF(B[[#This Row],[Valore inserito manualmente]]&gt;0,B[[#This Row],[Valore inserito manualmente]],B[[#This Row],[Valore catastale]])</f>
        <v>0</v>
      </c>
      <c r="Q87" s="147">
        <f>+IF(OR(B[[#This Row],[Opzione per prezzo-valore (s/n)]]="s",B[[#This Row],[Valore inserito manualmente]]=0),B[[#This Row],[Valore catastale]],B[[#This Row],[Valore inserito manualmente]])</f>
        <v>0</v>
      </c>
      <c r="R87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7" s="147" t="str">
        <f>+IF(B[[#This Row],[Bene]]="","",VLOOKUP(B[[#This Row],[Tipologia]],TipoImm[],3,0)*B[[#This Row],[Imponibile Iva]])</f>
        <v/>
      </c>
      <c r="T87" s="147" t="str">
        <f>+IF(B[[#This Row],[Bene]]="","",VLOOKUP(B[[#This Row],[Tipologia]],TipoImm[],6,0)*B[[#This Row],[Valore catastale]]+VLOOKUP(B[[#This Row],[Tipologia]],TipoImm[],4,0))</f>
        <v/>
      </c>
      <c r="U87" s="151" t="str">
        <f>+IF(B[[#This Row],[Bene]]="","",VLOOKUP(B[[#This Row],[Tipologia]],TipoImm[],8,0)*B[[#This Row],[Valore normale]]+VLOOKUP(B[[#This Row],[Tipologia]],TipoImm[],9,0))</f>
        <v/>
      </c>
      <c r="V87" s="147">
        <f>+IF(OR(B[[#This Row],[Bene]]="",B[[#This Row],[Agevolabile]]=0),0,VLOOKUP(B[[#This Row],[Tipologia]],TipoImm[],5,0))</f>
        <v>0</v>
      </c>
      <c r="W87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7" s="147">
        <f>SUM(B[[#This Row],[Imposta di registro in misura fissa agevolata]:[Imposta di registro prop. Agevolata]])</f>
        <v>0</v>
      </c>
      <c r="Y87" s="147">
        <f>+IF(B[[#This Row],[Bene]]="",0,VLOOKUP(B[[#This Row],[Tipologia]],TipoImm[],10,0))</f>
        <v>0</v>
      </c>
      <c r="Z87" s="149" t="str">
        <f>+IF(p=3,"",IF(B[[#This Row],[Tipologia]]="","",VLOOKUP(B[[#This Row],[Tipologia]],TipoImm[],MATCH($Z$4,Tabelle!$AF$1:$AR$1,0),0)))</f>
        <v/>
      </c>
    </row>
    <row r="88" spans="1:26" x14ac:dyDescent="0.2">
      <c r="A88" s="123"/>
      <c r="B88" s="123"/>
      <c r="C88" s="143"/>
      <c r="D88" s="124"/>
      <c r="E88" s="123"/>
      <c r="F88" s="155"/>
      <c r="G88" s="156"/>
      <c r="H88" s="156"/>
      <c r="I88" s="156"/>
      <c r="J88" s="142"/>
      <c r="K88" s="157"/>
      <c r="L88" s="158"/>
      <c r="M88" s="159"/>
      <c r="N88" s="145">
        <f>+IF(B[[#This Row],[Categoria Catastale]]="",0,VLOOKUP(B[[#This Row],[Categoria Catastale]],Gruppi[],6,0)*B[[#This Row],[Rendita catastale]])</f>
        <v>0</v>
      </c>
      <c r="O88" s="146" t="str">
        <f t="shared" si="2"/>
        <v/>
      </c>
      <c r="P88" s="147">
        <f>+IF(B[[#This Row],[Valore inserito manualmente]]&gt;0,B[[#This Row],[Valore inserito manualmente]],B[[#This Row],[Valore catastale]])</f>
        <v>0</v>
      </c>
      <c r="Q88" s="147">
        <f>+IF(OR(B[[#This Row],[Opzione per prezzo-valore (s/n)]]="s",B[[#This Row],[Valore inserito manualmente]]=0),B[[#This Row],[Valore catastale]],B[[#This Row],[Valore inserito manualmente]])</f>
        <v>0</v>
      </c>
      <c r="R88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8" s="147" t="str">
        <f>+IF(B[[#This Row],[Bene]]="","",VLOOKUP(B[[#This Row],[Tipologia]],TipoImm[],3,0)*B[[#This Row],[Imponibile Iva]])</f>
        <v/>
      </c>
      <c r="T88" s="147" t="str">
        <f>+IF(B[[#This Row],[Bene]]="","",VLOOKUP(B[[#This Row],[Tipologia]],TipoImm[],6,0)*B[[#This Row],[Valore catastale]]+VLOOKUP(B[[#This Row],[Tipologia]],TipoImm[],4,0))</f>
        <v/>
      </c>
      <c r="U88" s="151" t="str">
        <f>+IF(B[[#This Row],[Bene]]="","",VLOOKUP(B[[#This Row],[Tipologia]],TipoImm[],8,0)*B[[#This Row],[Valore normale]]+VLOOKUP(B[[#This Row],[Tipologia]],TipoImm[],9,0))</f>
        <v/>
      </c>
      <c r="V88" s="147">
        <f>+IF(OR(B[[#This Row],[Bene]]="",B[[#This Row],[Agevolabile]]=0),0,VLOOKUP(B[[#This Row],[Tipologia]],TipoImm[],5,0))</f>
        <v>0</v>
      </c>
      <c r="W88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8" s="147">
        <f>SUM(B[[#This Row],[Imposta di registro in misura fissa agevolata]:[Imposta di registro prop. Agevolata]])</f>
        <v>0</v>
      </c>
      <c r="Y88" s="147">
        <f>+IF(B[[#This Row],[Bene]]="",0,VLOOKUP(B[[#This Row],[Tipologia]],TipoImm[],10,0))</f>
        <v>0</v>
      </c>
      <c r="Z88" s="149" t="str">
        <f>+IF(p=3,"",IF(B[[#This Row],[Tipologia]]="","",VLOOKUP(B[[#This Row],[Tipologia]],TipoImm[],MATCH($Z$4,Tabelle!$AF$1:$AR$1,0),0)))</f>
        <v/>
      </c>
    </row>
    <row r="89" spans="1:26" x14ac:dyDescent="0.2">
      <c r="A89" s="123"/>
      <c r="B89" s="123"/>
      <c r="C89" s="143"/>
      <c r="D89" s="124"/>
      <c r="E89" s="123"/>
      <c r="F89" s="155"/>
      <c r="G89" s="156"/>
      <c r="H89" s="156"/>
      <c r="I89" s="156"/>
      <c r="J89" s="142"/>
      <c r="K89" s="157"/>
      <c r="L89" s="158"/>
      <c r="M89" s="159"/>
      <c r="N89" s="145">
        <f>+IF(B[[#This Row],[Categoria Catastale]]="",0,VLOOKUP(B[[#This Row],[Categoria Catastale]],Gruppi[],6,0)*B[[#This Row],[Rendita catastale]])</f>
        <v>0</v>
      </c>
      <c r="O89" s="146" t="str">
        <f t="shared" si="2"/>
        <v/>
      </c>
      <c r="P89" s="147">
        <f>+IF(B[[#This Row],[Valore inserito manualmente]]&gt;0,B[[#This Row],[Valore inserito manualmente]],B[[#This Row],[Valore catastale]])</f>
        <v>0</v>
      </c>
      <c r="Q89" s="147">
        <f>+IF(OR(B[[#This Row],[Opzione per prezzo-valore (s/n)]]="s",B[[#This Row],[Valore inserito manualmente]]=0),B[[#This Row],[Valore catastale]],B[[#This Row],[Valore inserito manualmente]])</f>
        <v>0</v>
      </c>
      <c r="R89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9" s="147" t="str">
        <f>+IF(B[[#This Row],[Bene]]="","",VLOOKUP(B[[#This Row],[Tipologia]],TipoImm[],3,0)*B[[#This Row],[Imponibile Iva]])</f>
        <v/>
      </c>
      <c r="T89" s="147" t="str">
        <f>+IF(B[[#This Row],[Bene]]="","",VLOOKUP(B[[#This Row],[Tipologia]],TipoImm[],6,0)*B[[#This Row],[Valore catastale]]+VLOOKUP(B[[#This Row],[Tipologia]],TipoImm[],4,0))</f>
        <v/>
      </c>
      <c r="U89" s="151" t="str">
        <f>+IF(B[[#This Row],[Bene]]="","",VLOOKUP(B[[#This Row],[Tipologia]],TipoImm[],8,0)*B[[#This Row],[Valore normale]]+VLOOKUP(B[[#This Row],[Tipologia]],TipoImm[],9,0))</f>
        <v/>
      </c>
      <c r="V89" s="147">
        <f>+IF(OR(B[[#This Row],[Bene]]="",B[[#This Row],[Agevolabile]]=0),0,VLOOKUP(B[[#This Row],[Tipologia]],TipoImm[],5,0))</f>
        <v>0</v>
      </c>
      <c r="W89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9" s="147">
        <f>SUM(B[[#This Row],[Imposta di registro in misura fissa agevolata]:[Imposta di registro prop. Agevolata]])</f>
        <v>0</v>
      </c>
      <c r="Y89" s="147">
        <f>+IF(B[[#This Row],[Bene]]="",0,VLOOKUP(B[[#This Row],[Tipologia]],TipoImm[],10,0))</f>
        <v>0</v>
      </c>
      <c r="Z89" s="149" t="str">
        <f>+IF(p=3,"",IF(B[[#This Row],[Tipologia]]="","",VLOOKUP(B[[#This Row],[Tipologia]],TipoImm[],MATCH($Z$4,Tabelle!$AF$1:$AR$1,0),0)))</f>
        <v/>
      </c>
    </row>
    <row r="90" spans="1:26" x14ac:dyDescent="0.2">
      <c r="A90" s="123"/>
      <c r="B90" s="123"/>
      <c r="C90" s="143"/>
      <c r="D90" s="124"/>
      <c r="E90" s="123"/>
      <c r="F90" s="155"/>
      <c r="G90" s="156"/>
      <c r="H90" s="156"/>
      <c r="I90" s="156"/>
      <c r="J90" s="142"/>
      <c r="K90" s="157"/>
      <c r="L90" s="158"/>
      <c r="M90" s="159"/>
      <c r="N90" s="145">
        <f>+IF(B[[#This Row],[Categoria Catastale]]="",0,VLOOKUP(B[[#This Row],[Categoria Catastale]],Gruppi[],6,0)*B[[#This Row],[Rendita catastale]])</f>
        <v>0</v>
      </c>
      <c r="O90" s="146" t="str">
        <f t="shared" si="2"/>
        <v/>
      </c>
      <c r="P90" s="147">
        <f>+IF(B[[#This Row],[Valore inserito manualmente]]&gt;0,B[[#This Row],[Valore inserito manualmente]],B[[#This Row],[Valore catastale]])</f>
        <v>0</v>
      </c>
      <c r="Q90" s="147">
        <f>+IF(OR(B[[#This Row],[Opzione per prezzo-valore (s/n)]]="s",B[[#This Row],[Valore inserito manualmente]]=0),B[[#This Row],[Valore catastale]],B[[#This Row],[Valore inserito manualmente]])</f>
        <v>0</v>
      </c>
      <c r="R90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0" s="147" t="str">
        <f>+IF(B[[#This Row],[Bene]]="","",VLOOKUP(B[[#This Row],[Tipologia]],TipoImm[],3,0)*B[[#This Row],[Imponibile Iva]])</f>
        <v/>
      </c>
      <c r="T90" s="147" t="str">
        <f>+IF(B[[#This Row],[Bene]]="","",VLOOKUP(B[[#This Row],[Tipologia]],TipoImm[],6,0)*B[[#This Row],[Valore catastale]]+VLOOKUP(B[[#This Row],[Tipologia]],TipoImm[],4,0))</f>
        <v/>
      </c>
      <c r="U90" s="151" t="str">
        <f>+IF(B[[#This Row],[Bene]]="","",VLOOKUP(B[[#This Row],[Tipologia]],TipoImm[],8,0)*B[[#This Row],[Valore normale]]+VLOOKUP(B[[#This Row],[Tipologia]],TipoImm[],9,0))</f>
        <v/>
      </c>
      <c r="V90" s="147">
        <f>+IF(OR(B[[#This Row],[Bene]]="",B[[#This Row],[Agevolabile]]=0),0,VLOOKUP(B[[#This Row],[Tipologia]],TipoImm[],5,0))</f>
        <v>0</v>
      </c>
      <c r="W90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0" s="147">
        <f>SUM(B[[#This Row],[Imposta di registro in misura fissa agevolata]:[Imposta di registro prop. Agevolata]])</f>
        <v>0</v>
      </c>
      <c r="Y90" s="147">
        <f>+IF(B[[#This Row],[Bene]]="",0,VLOOKUP(B[[#This Row],[Tipologia]],TipoImm[],10,0))</f>
        <v>0</v>
      </c>
      <c r="Z90" s="149" t="str">
        <f>+IF(p=3,"",IF(B[[#This Row],[Tipologia]]="","",VLOOKUP(B[[#This Row],[Tipologia]],TipoImm[],MATCH($Z$4,Tabelle!$AF$1:$AR$1,0),0)))</f>
        <v/>
      </c>
    </row>
    <row r="91" spans="1:26" x14ac:dyDescent="0.2">
      <c r="A91" s="123"/>
      <c r="B91" s="123"/>
      <c r="C91" s="143"/>
      <c r="D91" s="124"/>
      <c r="E91" s="123"/>
      <c r="F91" s="155"/>
      <c r="G91" s="156"/>
      <c r="H91" s="156"/>
      <c r="I91" s="156"/>
      <c r="J91" s="142"/>
      <c r="K91" s="157"/>
      <c r="L91" s="158"/>
      <c r="M91" s="159"/>
      <c r="N91" s="145">
        <f>+IF(B[[#This Row],[Categoria Catastale]]="",0,VLOOKUP(B[[#This Row],[Categoria Catastale]],Gruppi[],6,0)*B[[#This Row],[Rendita catastale]])</f>
        <v>0</v>
      </c>
      <c r="O91" s="146" t="str">
        <f t="shared" si="2"/>
        <v/>
      </c>
      <c r="P91" s="147">
        <f>+IF(B[[#This Row],[Valore inserito manualmente]]&gt;0,B[[#This Row],[Valore inserito manualmente]],B[[#This Row],[Valore catastale]])</f>
        <v>0</v>
      </c>
      <c r="Q91" s="147">
        <f>+IF(OR(B[[#This Row],[Opzione per prezzo-valore (s/n)]]="s",B[[#This Row],[Valore inserito manualmente]]=0),B[[#This Row],[Valore catastale]],B[[#This Row],[Valore inserito manualmente]])</f>
        <v>0</v>
      </c>
      <c r="R91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1" s="147" t="str">
        <f>+IF(B[[#This Row],[Bene]]="","",VLOOKUP(B[[#This Row],[Tipologia]],TipoImm[],3,0)*B[[#This Row],[Imponibile Iva]])</f>
        <v/>
      </c>
      <c r="T91" s="147" t="str">
        <f>+IF(B[[#This Row],[Bene]]="","",VLOOKUP(B[[#This Row],[Tipologia]],TipoImm[],6,0)*B[[#This Row],[Valore catastale]]+VLOOKUP(B[[#This Row],[Tipologia]],TipoImm[],4,0))</f>
        <v/>
      </c>
      <c r="U91" s="151" t="str">
        <f>+IF(B[[#This Row],[Bene]]="","",VLOOKUP(B[[#This Row],[Tipologia]],TipoImm[],8,0)*B[[#This Row],[Valore normale]]+VLOOKUP(B[[#This Row],[Tipologia]],TipoImm[],9,0))</f>
        <v/>
      </c>
      <c r="V91" s="147">
        <f>+IF(OR(B[[#This Row],[Bene]]="",B[[#This Row],[Agevolabile]]=0),0,VLOOKUP(B[[#This Row],[Tipologia]],TipoImm[],5,0))</f>
        <v>0</v>
      </c>
      <c r="W91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1" s="147">
        <f>SUM(B[[#This Row],[Imposta di registro in misura fissa agevolata]:[Imposta di registro prop. Agevolata]])</f>
        <v>0</v>
      </c>
      <c r="Y91" s="147">
        <f>+IF(B[[#This Row],[Bene]]="",0,VLOOKUP(B[[#This Row],[Tipologia]],TipoImm[],10,0))</f>
        <v>0</v>
      </c>
      <c r="Z91" s="149" t="str">
        <f>+IF(p=3,"",IF(B[[#This Row],[Tipologia]]="","",VLOOKUP(B[[#This Row],[Tipologia]],TipoImm[],MATCH($Z$4,Tabelle!$AF$1:$AR$1,0),0)))</f>
        <v/>
      </c>
    </row>
    <row r="92" spans="1:26" x14ac:dyDescent="0.2">
      <c r="A92" s="123"/>
      <c r="B92" s="123"/>
      <c r="C92" s="143"/>
      <c r="D92" s="124"/>
      <c r="E92" s="123"/>
      <c r="F92" s="155"/>
      <c r="G92" s="156"/>
      <c r="H92" s="156"/>
      <c r="I92" s="156"/>
      <c r="J92" s="142"/>
      <c r="K92" s="157"/>
      <c r="L92" s="158"/>
      <c r="M92" s="159"/>
      <c r="N92" s="145">
        <f>+IF(B[[#This Row],[Categoria Catastale]]="",0,VLOOKUP(B[[#This Row],[Categoria Catastale]],Gruppi[],6,0)*B[[#This Row],[Rendita catastale]])</f>
        <v>0</v>
      </c>
      <c r="O92" s="146" t="str">
        <f t="shared" si="2"/>
        <v/>
      </c>
      <c r="P92" s="147">
        <f>+IF(B[[#This Row],[Valore inserito manualmente]]&gt;0,B[[#This Row],[Valore inserito manualmente]],B[[#This Row],[Valore catastale]])</f>
        <v>0</v>
      </c>
      <c r="Q92" s="147">
        <f>+IF(OR(B[[#This Row],[Opzione per prezzo-valore (s/n)]]="s",B[[#This Row],[Valore inserito manualmente]]=0),B[[#This Row],[Valore catastale]],B[[#This Row],[Valore inserito manualmente]])</f>
        <v>0</v>
      </c>
      <c r="R92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2" s="147" t="str">
        <f>+IF(B[[#This Row],[Bene]]="","",VLOOKUP(B[[#This Row],[Tipologia]],TipoImm[],3,0)*B[[#This Row],[Imponibile Iva]])</f>
        <v/>
      </c>
      <c r="T92" s="147" t="str">
        <f>+IF(B[[#This Row],[Bene]]="","",VLOOKUP(B[[#This Row],[Tipologia]],TipoImm[],6,0)*B[[#This Row],[Valore catastale]]+VLOOKUP(B[[#This Row],[Tipologia]],TipoImm[],4,0))</f>
        <v/>
      </c>
      <c r="U92" s="151" t="str">
        <f>+IF(B[[#This Row],[Bene]]="","",VLOOKUP(B[[#This Row],[Tipologia]],TipoImm[],8,0)*B[[#This Row],[Valore normale]]+VLOOKUP(B[[#This Row],[Tipologia]],TipoImm[],9,0))</f>
        <v/>
      </c>
      <c r="V92" s="147">
        <f>+IF(OR(B[[#This Row],[Bene]]="",B[[#This Row],[Agevolabile]]=0),0,VLOOKUP(B[[#This Row],[Tipologia]],TipoImm[],5,0))</f>
        <v>0</v>
      </c>
      <c r="W92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2" s="147">
        <f>SUM(B[[#This Row],[Imposta di registro in misura fissa agevolata]:[Imposta di registro prop. Agevolata]])</f>
        <v>0</v>
      </c>
      <c r="Y92" s="147">
        <f>+IF(B[[#This Row],[Bene]]="",0,VLOOKUP(B[[#This Row],[Tipologia]],TipoImm[],10,0))</f>
        <v>0</v>
      </c>
      <c r="Z92" s="149" t="str">
        <f>+IF(p=3,"",IF(B[[#This Row],[Tipologia]]="","",VLOOKUP(B[[#This Row],[Tipologia]],TipoImm[],MATCH($Z$4,Tabelle!$AF$1:$AR$1,0),0)))</f>
        <v/>
      </c>
    </row>
    <row r="93" spans="1:26" x14ac:dyDescent="0.2">
      <c r="A93" s="123"/>
      <c r="B93" s="123"/>
      <c r="C93" s="143"/>
      <c r="D93" s="124"/>
      <c r="E93" s="123"/>
      <c r="F93" s="155"/>
      <c r="G93" s="156"/>
      <c r="H93" s="156"/>
      <c r="I93" s="156"/>
      <c r="J93" s="142"/>
      <c r="K93" s="157"/>
      <c r="L93" s="158"/>
      <c r="M93" s="159"/>
      <c r="N93" s="145">
        <f>+IF(B[[#This Row],[Categoria Catastale]]="",0,VLOOKUP(B[[#This Row],[Categoria Catastale]],Gruppi[],6,0)*B[[#This Row],[Rendita catastale]])</f>
        <v>0</v>
      </c>
      <c r="O93" s="146" t="str">
        <f t="shared" si="2"/>
        <v/>
      </c>
      <c r="P93" s="147">
        <f>+IF(B[[#This Row],[Valore inserito manualmente]]&gt;0,B[[#This Row],[Valore inserito manualmente]],B[[#This Row],[Valore catastale]])</f>
        <v>0</v>
      </c>
      <c r="Q93" s="147">
        <f>+IF(OR(B[[#This Row],[Opzione per prezzo-valore (s/n)]]="s",B[[#This Row],[Valore inserito manualmente]]=0),B[[#This Row],[Valore catastale]],B[[#This Row],[Valore inserito manualmente]])</f>
        <v>0</v>
      </c>
      <c r="R93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3" s="147" t="str">
        <f>+IF(B[[#This Row],[Bene]]="","",VLOOKUP(B[[#This Row],[Tipologia]],TipoImm[],3,0)*B[[#This Row],[Imponibile Iva]])</f>
        <v/>
      </c>
      <c r="T93" s="147" t="str">
        <f>+IF(B[[#This Row],[Bene]]="","",VLOOKUP(B[[#This Row],[Tipologia]],TipoImm[],6,0)*B[[#This Row],[Valore catastale]]+VLOOKUP(B[[#This Row],[Tipologia]],TipoImm[],4,0))</f>
        <v/>
      </c>
      <c r="U93" s="151" t="str">
        <f>+IF(B[[#This Row],[Bene]]="","",VLOOKUP(B[[#This Row],[Tipologia]],TipoImm[],8,0)*B[[#This Row],[Valore normale]]+VLOOKUP(B[[#This Row],[Tipologia]],TipoImm[],9,0))</f>
        <v/>
      </c>
      <c r="V93" s="147">
        <f>+IF(OR(B[[#This Row],[Bene]]="",B[[#This Row],[Agevolabile]]=0),0,VLOOKUP(B[[#This Row],[Tipologia]],TipoImm[],5,0))</f>
        <v>0</v>
      </c>
      <c r="W93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3" s="147">
        <f>SUM(B[[#This Row],[Imposta di registro in misura fissa agevolata]:[Imposta di registro prop. Agevolata]])</f>
        <v>0</v>
      </c>
      <c r="Y93" s="147">
        <f>+IF(B[[#This Row],[Bene]]="",0,VLOOKUP(B[[#This Row],[Tipologia]],TipoImm[],10,0))</f>
        <v>0</v>
      </c>
      <c r="Z93" s="149" t="str">
        <f>+IF(p=3,"",IF(B[[#This Row],[Tipologia]]="","",VLOOKUP(B[[#This Row],[Tipologia]],TipoImm[],MATCH($Z$4,Tabelle!$AF$1:$AR$1,0),0)))</f>
        <v/>
      </c>
    </row>
    <row r="94" spans="1:26" x14ac:dyDescent="0.2">
      <c r="A94" s="123"/>
      <c r="B94" s="123"/>
      <c r="C94" s="143"/>
      <c r="D94" s="124"/>
      <c r="E94" s="123"/>
      <c r="F94" s="155"/>
      <c r="G94" s="156"/>
      <c r="H94" s="156"/>
      <c r="I94" s="156"/>
      <c r="J94" s="142"/>
      <c r="K94" s="157"/>
      <c r="L94" s="158"/>
      <c r="M94" s="159"/>
      <c r="N94" s="145">
        <f>+IF(B[[#This Row],[Categoria Catastale]]="",0,VLOOKUP(B[[#This Row],[Categoria Catastale]],Gruppi[],6,0)*B[[#This Row],[Rendita catastale]])</f>
        <v>0</v>
      </c>
      <c r="O94" s="146" t="str">
        <f t="shared" si="2"/>
        <v/>
      </c>
      <c r="P94" s="147">
        <f>+IF(B[[#This Row],[Valore inserito manualmente]]&gt;0,B[[#This Row],[Valore inserito manualmente]],B[[#This Row],[Valore catastale]])</f>
        <v>0</v>
      </c>
      <c r="Q94" s="147">
        <f>+IF(OR(B[[#This Row],[Opzione per prezzo-valore (s/n)]]="s",B[[#This Row],[Valore inserito manualmente]]=0),B[[#This Row],[Valore catastale]],B[[#This Row],[Valore inserito manualmente]])</f>
        <v>0</v>
      </c>
      <c r="R94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4" s="147" t="str">
        <f>+IF(B[[#This Row],[Bene]]="","",VLOOKUP(B[[#This Row],[Tipologia]],TipoImm[],3,0)*B[[#This Row],[Imponibile Iva]])</f>
        <v/>
      </c>
      <c r="T94" s="147" t="str">
        <f>+IF(B[[#This Row],[Bene]]="","",VLOOKUP(B[[#This Row],[Tipologia]],TipoImm[],6,0)*B[[#This Row],[Valore catastale]]+VLOOKUP(B[[#This Row],[Tipologia]],TipoImm[],4,0))</f>
        <v/>
      </c>
      <c r="U94" s="151" t="str">
        <f>+IF(B[[#This Row],[Bene]]="","",VLOOKUP(B[[#This Row],[Tipologia]],TipoImm[],8,0)*B[[#This Row],[Valore normale]]+VLOOKUP(B[[#This Row],[Tipologia]],TipoImm[],9,0))</f>
        <v/>
      </c>
      <c r="V94" s="147">
        <f>+IF(OR(B[[#This Row],[Bene]]="",B[[#This Row],[Agevolabile]]=0),0,VLOOKUP(B[[#This Row],[Tipologia]],TipoImm[],5,0))</f>
        <v>0</v>
      </c>
      <c r="W94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4" s="147">
        <f>SUM(B[[#This Row],[Imposta di registro in misura fissa agevolata]:[Imposta di registro prop. Agevolata]])</f>
        <v>0</v>
      </c>
      <c r="Y94" s="147">
        <f>+IF(B[[#This Row],[Bene]]="",0,VLOOKUP(B[[#This Row],[Tipologia]],TipoImm[],10,0))</f>
        <v>0</v>
      </c>
      <c r="Z94" s="149" t="str">
        <f>+IF(p=3,"",IF(B[[#This Row],[Tipologia]]="","",VLOOKUP(B[[#This Row],[Tipologia]],TipoImm[],MATCH($Z$4,Tabelle!$AF$1:$AR$1,0),0)))</f>
        <v/>
      </c>
    </row>
    <row r="95" spans="1:26" x14ac:dyDescent="0.2">
      <c r="A95" s="123"/>
      <c r="B95" s="123"/>
      <c r="C95" s="143"/>
      <c r="D95" s="124"/>
      <c r="E95" s="123"/>
      <c r="F95" s="155"/>
      <c r="G95" s="156"/>
      <c r="H95" s="156"/>
      <c r="I95" s="156"/>
      <c r="J95" s="142"/>
      <c r="K95" s="157"/>
      <c r="L95" s="158"/>
      <c r="M95" s="159"/>
      <c r="N95" s="145">
        <f>+IF(B[[#This Row],[Categoria Catastale]]="",0,VLOOKUP(B[[#This Row],[Categoria Catastale]],Gruppi[],6,0)*B[[#This Row],[Rendita catastale]])</f>
        <v>0</v>
      </c>
      <c r="O95" s="146" t="str">
        <f t="shared" si="2"/>
        <v/>
      </c>
      <c r="P95" s="147">
        <f>+IF(B[[#This Row],[Valore inserito manualmente]]&gt;0,B[[#This Row],[Valore inserito manualmente]],B[[#This Row],[Valore catastale]])</f>
        <v>0</v>
      </c>
      <c r="Q95" s="147">
        <f>+IF(OR(B[[#This Row],[Opzione per prezzo-valore (s/n)]]="s",B[[#This Row],[Valore inserito manualmente]]=0),B[[#This Row],[Valore catastale]],B[[#This Row],[Valore inserito manualmente]])</f>
        <v>0</v>
      </c>
      <c r="R95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5" s="147" t="str">
        <f>+IF(B[[#This Row],[Bene]]="","",VLOOKUP(B[[#This Row],[Tipologia]],TipoImm[],3,0)*B[[#This Row],[Imponibile Iva]])</f>
        <v/>
      </c>
      <c r="T95" s="147" t="str">
        <f>+IF(B[[#This Row],[Bene]]="","",VLOOKUP(B[[#This Row],[Tipologia]],TipoImm[],6,0)*B[[#This Row],[Valore catastale]]+VLOOKUP(B[[#This Row],[Tipologia]],TipoImm[],4,0))</f>
        <v/>
      </c>
      <c r="U95" s="151" t="str">
        <f>+IF(B[[#This Row],[Bene]]="","",VLOOKUP(B[[#This Row],[Tipologia]],TipoImm[],8,0)*B[[#This Row],[Valore normale]]+VLOOKUP(B[[#This Row],[Tipologia]],TipoImm[],9,0))</f>
        <v/>
      </c>
      <c r="V95" s="147">
        <f>+IF(OR(B[[#This Row],[Bene]]="",B[[#This Row],[Agevolabile]]=0),0,VLOOKUP(B[[#This Row],[Tipologia]],TipoImm[],5,0))</f>
        <v>0</v>
      </c>
      <c r="W95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5" s="147">
        <f>SUM(B[[#This Row],[Imposta di registro in misura fissa agevolata]:[Imposta di registro prop. Agevolata]])</f>
        <v>0</v>
      </c>
      <c r="Y95" s="147">
        <f>+IF(B[[#This Row],[Bene]]="",0,VLOOKUP(B[[#This Row],[Tipologia]],TipoImm[],10,0))</f>
        <v>0</v>
      </c>
      <c r="Z95" s="149" t="str">
        <f>+IF(p=3,"",IF(B[[#This Row],[Tipologia]]="","",VLOOKUP(B[[#This Row],[Tipologia]],TipoImm[],MATCH($Z$4,Tabelle!$AF$1:$AR$1,0),0)))</f>
        <v/>
      </c>
    </row>
    <row r="96" spans="1:26" x14ac:dyDescent="0.2">
      <c r="A96" s="123"/>
      <c r="B96" s="123"/>
      <c r="C96" s="143"/>
      <c r="D96" s="124"/>
      <c r="E96" s="123"/>
      <c r="F96" s="155"/>
      <c r="G96" s="156"/>
      <c r="H96" s="156"/>
      <c r="I96" s="156"/>
      <c r="J96" s="142"/>
      <c r="K96" s="157"/>
      <c r="L96" s="158"/>
      <c r="M96" s="159"/>
      <c r="N96" s="145">
        <f>+IF(B[[#This Row],[Categoria Catastale]]="",0,VLOOKUP(B[[#This Row],[Categoria Catastale]],Gruppi[],6,0)*B[[#This Row],[Rendita catastale]])</f>
        <v>0</v>
      </c>
      <c r="O96" s="146" t="str">
        <f t="shared" si="2"/>
        <v/>
      </c>
      <c r="P96" s="147">
        <f>+IF(B[[#This Row],[Valore inserito manualmente]]&gt;0,B[[#This Row],[Valore inserito manualmente]],B[[#This Row],[Valore catastale]])</f>
        <v>0</v>
      </c>
      <c r="Q96" s="147">
        <f>+IF(OR(B[[#This Row],[Opzione per prezzo-valore (s/n)]]="s",B[[#This Row],[Valore inserito manualmente]]=0),B[[#This Row],[Valore catastale]],B[[#This Row],[Valore inserito manualmente]])</f>
        <v>0</v>
      </c>
      <c r="R96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6" s="147" t="str">
        <f>+IF(B[[#This Row],[Bene]]="","",VLOOKUP(B[[#This Row],[Tipologia]],TipoImm[],3,0)*B[[#This Row],[Imponibile Iva]])</f>
        <v/>
      </c>
      <c r="T96" s="147" t="str">
        <f>+IF(B[[#This Row],[Bene]]="","",VLOOKUP(B[[#This Row],[Tipologia]],TipoImm[],6,0)*B[[#This Row],[Valore catastale]]+VLOOKUP(B[[#This Row],[Tipologia]],TipoImm[],4,0))</f>
        <v/>
      </c>
      <c r="U96" s="151" t="str">
        <f>+IF(B[[#This Row],[Bene]]="","",VLOOKUP(B[[#This Row],[Tipologia]],TipoImm[],8,0)*B[[#This Row],[Valore normale]]+VLOOKUP(B[[#This Row],[Tipologia]],TipoImm[],9,0))</f>
        <v/>
      </c>
      <c r="V96" s="147">
        <f>+IF(OR(B[[#This Row],[Bene]]="",B[[#This Row],[Agevolabile]]=0),0,VLOOKUP(B[[#This Row],[Tipologia]],TipoImm[],5,0))</f>
        <v>0</v>
      </c>
      <c r="W96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6" s="147">
        <f>SUM(B[[#This Row],[Imposta di registro in misura fissa agevolata]:[Imposta di registro prop. Agevolata]])</f>
        <v>0</v>
      </c>
      <c r="Y96" s="147">
        <f>+IF(B[[#This Row],[Bene]]="",0,VLOOKUP(B[[#This Row],[Tipologia]],TipoImm[],10,0))</f>
        <v>0</v>
      </c>
      <c r="Z96" s="149" t="str">
        <f>+IF(p=3,"",IF(B[[#This Row],[Tipologia]]="","",VLOOKUP(B[[#This Row],[Tipologia]],TipoImm[],MATCH($Z$4,Tabelle!$AF$1:$AR$1,0),0)))</f>
        <v/>
      </c>
    </row>
    <row r="97" spans="1:26" x14ac:dyDescent="0.2">
      <c r="A97" s="123"/>
      <c r="B97" s="123"/>
      <c r="C97" s="143"/>
      <c r="D97" s="124"/>
      <c r="E97" s="123"/>
      <c r="F97" s="155"/>
      <c r="G97" s="156"/>
      <c r="H97" s="156"/>
      <c r="I97" s="156"/>
      <c r="J97" s="142"/>
      <c r="K97" s="157"/>
      <c r="L97" s="158"/>
      <c r="M97" s="159"/>
      <c r="N97" s="145">
        <f>+IF(B[[#This Row],[Categoria Catastale]]="",0,VLOOKUP(B[[#This Row],[Categoria Catastale]],Gruppi[],6,0)*B[[#This Row],[Rendita catastale]])</f>
        <v>0</v>
      </c>
      <c r="O97" s="146" t="str">
        <f t="shared" si="2"/>
        <v/>
      </c>
      <c r="P97" s="147">
        <f>+IF(B[[#This Row],[Valore inserito manualmente]]&gt;0,B[[#This Row],[Valore inserito manualmente]],B[[#This Row],[Valore catastale]])</f>
        <v>0</v>
      </c>
      <c r="Q97" s="147">
        <f>+IF(OR(B[[#This Row],[Opzione per prezzo-valore (s/n)]]="s",B[[#This Row],[Valore inserito manualmente]]=0),B[[#This Row],[Valore catastale]],B[[#This Row],[Valore inserito manualmente]])</f>
        <v>0</v>
      </c>
      <c r="R97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7" s="147" t="str">
        <f>+IF(B[[#This Row],[Bene]]="","",VLOOKUP(B[[#This Row],[Tipologia]],TipoImm[],3,0)*B[[#This Row],[Imponibile Iva]])</f>
        <v/>
      </c>
      <c r="T97" s="147" t="str">
        <f>+IF(B[[#This Row],[Bene]]="","",VLOOKUP(B[[#This Row],[Tipologia]],TipoImm[],6,0)*B[[#This Row],[Valore catastale]]+VLOOKUP(B[[#This Row],[Tipologia]],TipoImm[],4,0))</f>
        <v/>
      </c>
      <c r="U97" s="151" t="str">
        <f>+IF(B[[#This Row],[Bene]]="","",VLOOKUP(B[[#This Row],[Tipologia]],TipoImm[],8,0)*B[[#This Row],[Valore normale]]+VLOOKUP(B[[#This Row],[Tipologia]],TipoImm[],9,0))</f>
        <v/>
      </c>
      <c r="V97" s="147">
        <f>+IF(OR(B[[#This Row],[Bene]]="",B[[#This Row],[Agevolabile]]=0),0,VLOOKUP(B[[#This Row],[Tipologia]],TipoImm[],5,0))</f>
        <v>0</v>
      </c>
      <c r="W97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7" s="147">
        <f>SUM(B[[#This Row],[Imposta di registro in misura fissa agevolata]:[Imposta di registro prop. Agevolata]])</f>
        <v>0</v>
      </c>
      <c r="Y97" s="147">
        <f>+IF(B[[#This Row],[Bene]]="",0,VLOOKUP(B[[#This Row],[Tipologia]],TipoImm[],10,0))</f>
        <v>0</v>
      </c>
      <c r="Z97" s="149" t="str">
        <f>+IF(p=3,"",IF(B[[#This Row],[Tipologia]]="","",VLOOKUP(B[[#This Row],[Tipologia]],TipoImm[],MATCH($Z$4,Tabelle!$AF$1:$AR$1,0),0)))</f>
        <v/>
      </c>
    </row>
    <row r="98" spans="1:26" x14ac:dyDescent="0.2">
      <c r="A98" s="123"/>
      <c r="B98" s="123"/>
      <c r="C98" s="143"/>
      <c r="D98" s="124"/>
      <c r="E98" s="123"/>
      <c r="F98" s="155"/>
      <c r="G98" s="156"/>
      <c r="H98" s="156"/>
      <c r="I98" s="156"/>
      <c r="J98" s="142"/>
      <c r="K98" s="157"/>
      <c r="L98" s="158"/>
      <c r="M98" s="159"/>
      <c r="N98" s="145">
        <f>+IF(B[[#This Row],[Categoria Catastale]]="",0,VLOOKUP(B[[#This Row],[Categoria Catastale]],Gruppi[],6,0)*B[[#This Row],[Rendita catastale]])</f>
        <v>0</v>
      </c>
      <c r="O98" s="146" t="str">
        <f t="shared" si="2"/>
        <v/>
      </c>
      <c r="P98" s="147">
        <f>+IF(B[[#This Row],[Valore inserito manualmente]]&gt;0,B[[#This Row],[Valore inserito manualmente]],B[[#This Row],[Valore catastale]])</f>
        <v>0</v>
      </c>
      <c r="Q98" s="147">
        <f>+IF(OR(B[[#This Row],[Opzione per prezzo-valore (s/n)]]="s",B[[#This Row],[Valore inserito manualmente]]=0),B[[#This Row],[Valore catastale]],B[[#This Row],[Valore inserito manualmente]])</f>
        <v>0</v>
      </c>
      <c r="R98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8" s="147" t="str">
        <f>+IF(B[[#This Row],[Bene]]="","",VLOOKUP(B[[#This Row],[Tipologia]],TipoImm[],3,0)*B[[#This Row],[Imponibile Iva]])</f>
        <v/>
      </c>
      <c r="T98" s="147" t="str">
        <f>+IF(B[[#This Row],[Bene]]="","",VLOOKUP(B[[#This Row],[Tipologia]],TipoImm[],6,0)*B[[#This Row],[Valore catastale]]+VLOOKUP(B[[#This Row],[Tipologia]],TipoImm[],4,0))</f>
        <v/>
      </c>
      <c r="U98" s="151" t="str">
        <f>+IF(B[[#This Row],[Bene]]="","",VLOOKUP(B[[#This Row],[Tipologia]],TipoImm[],8,0)*B[[#This Row],[Valore normale]]+VLOOKUP(B[[#This Row],[Tipologia]],TipoImm[],9,0))</f>
        <v/>
      </c>
      <c r="V98" s="147">
        <f>+IF(OR(B[[#This Row],[Bene]]="",B[[#This Row],[Agevolabile]]=0),0,VLOOKUP(B[[#This Row],[Tipologia]],TipoImm[],5,0))</f>
        <v>0</v>
      </c>
      <c r="W98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8" s="147">
        <f>SUM(B[[#This Row],[Imposta di registro in misura fissa agevolata]:[Imposta di registro prop. Agevolata]])</f>
        <v>0</v>
      </c>
      <c r="Y98" s="147">
        <f>+IF(B[[#This Row],[Bene]]="",0,VLOOKUP(B[[#This Row],[Tipologia]],TipoImm[],10,0))</f>
        <v>0</v>
      </c>
      <c r="Z98" s="149" t="str">
        <f>+IF(p=3,"",IF(B[[#This Row],[Tipologia]]="","",VLOOKUP(B[[#This Row],[Tipologia]],TipoImm[],MATCH($Z$4,Tabelle!$AF$1:$AR$1,0),0)))</f>
        <v/>
      </c>
    </row>
    <row r="99" spans="1:26" x14ac:dyDescent="0.2">
      <c r="A99" s="123"/>
      <c r="B99" s="123"/>
      <c r="C99" s="143"/>
      <c r="D99" s="124"/>
      <c r="E99" s="123"/>
      <c r="F99" s="155"/>
      <c r="G99" s="156"/>
      <c r="H99" s="156"/>
      <c r="I99" s="156"/>
      <c r="J99" s="142"/>
      <c r="K99" s="157"/>
      <c r="L99" s="158"/>
      <c r="M99" s="159"/>
      <c r="N99" s="145">
        <f>+IF(B[[#This Row],[Categoria Catastale]]="",0,VLOOKUP(B[[#This Row],[Categoria Catastale]],Gruppi[],6,0)*B[[#This Row],[Rendita catastale]])</f>
        <v>0</v>
      </c>
      <c r="O99" s="146" t="str">
        <f t="shared" si="2"/>
        <v/>
      </c>
      <c r="P99" s="147">
        <f>+IF(B[[#This Row],[Valore inserito manualmente]]&gt;0,B[[#This Row],[Valore inserito manualmente]],B[[#This Row],[Valore catastale]])</f>
        <v>0</v>
      </c>
      <c r="Q99" s="147">
        <f>+IF(OR(B[[#This Row],[Opzione per prezzo-valore (s/n)]]="s",B[[#This Row],[Valore inserito manualmente]]=0),B[[#This Row],[Valore catastale]],B[[#This Row],[Valore inserito manualmente]])</f>
        <v>0</v>
      </c>
      <c r="R99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9" s="147" t="str">
        <f>+IF(B[[#This Row],[Bene]]="","",VLOOKUP(B[[#This Row],[Tipologia]],TipoImm[],3,0)*B[[#This Row],[Imponibile Iva]])</f>
        <v/>
      </c>
      <c r="T99" s="147" t="str">
        <f>+IF(B[[#This Row],[Bene]]="","",VLOOKUP(B[[#This Row],[Tipologia]],TipoImm[],6,0)*B[[#This Row],[Valore catastale]]+VLOOKUP(B[[#This Row],[Tipologia]],TipoImm[],4,0))</f>
        <v/>
      </c>
      <c r="U99" s="151" t="str">
        <f>+IF(B[[#This Row],[Bene]]="","",VLOOKUP(B[[#This Row],[Tipologia]],TipoImm[],8,0)*B[[#This Row],[Valore normale]]+VLOOKUP(B[[#This Row],[Tipologia]],TipoImm[],9,0))</f>
        <v/>
      </c>
      <c r="V99" s="147">
        <f>+IF(OR(B[[#This Row],[Bene]]="",B[[#This Row],[Agevolabile]]=0),0,VLOOKUP(B[[#This Row],[Tipologia]],TipoImm[],5,0))</f>
        <v>0</v>
      </c>
      <c r="W99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9" s="147">
        <f>SUM(B[[#This Row],[Imposta di registro in misura fissa agevolata]:[Imposta di registro prop. Agevolata]])</f>
        <v>0</v>
      </c>
      <c r="Y99" s="147">
        <f>+IF(B[[#This Row],[Bene]]="",0,VLOOKUP(B[[#This Row],[Tipologia]],TipoImm[],10,0))</f>
        <v>0</v>
      </c>
      <c r="Z99" s="149" t="str">
        <f>+IF(p=3,"",IF(B[[#This Row],[Tipologia]]="","",VLOOKUP(B[[#This Row],[Tipologia]],TipoImm[],MATCH($Z$4,Tabelle!$AF$1:$AR$1,0),0)))</f>
        <v/>
      </c>
    </row>
    <row r="100" spans="1:26" x14ac:dyDescent="0.2">
      <c r="A100" s="123"/>
      <c r="B100" s="123"/>
      <c r="C100" s="143"/>
      <c r="D100" s="124"/>
      <c r="E100" s="123"/>
      <c r="F100" s="155"/>
      <c r="G100" s="156"/>
      <c r="H100" s="156"/>
      <c r="I100" s="156"/>
      <c r="J100" s="142"/>
      <c r="K100" s="157"/>
      <c r="L100" s="158"/>
      <c r="M100" s="159"/>
      <c r="N100" s="145">
        <f>+IF(B[[#This Row],[Categoria Catastale]]="",0,VLOOKUP(B[[#This Row],[Categoria Catastale]],Gruppi[],6,0)*B[[#This Row],[Rendita catastale]])</f>
        <v>0</v>
      </c>
      <c r="O100" s="146" t="str">
        <f t="shared" si="2"/>
        <v/>
      </c>
      <c r="P100" s="147">
        <f>+IF(B[[#This Row],[Valore inserito manualmente]]&gt;0,B[[#This Row],[Valore inserito manualmente]],B[[#This Row],[Valore catastale]])</f>
        <v>0</v>
      </c>
      <c r="Q100" s="147">
        <f>+IF(OR(B[[#This Row],[Opzione per prezzo-valore (s/n)]]="s",B[[#This Row],[Valore inserito manualmente]]=0),B[[#This Row],[Valore catastale]],B[[#This Row],[Valore inserito manualmente]])</f>
        <v>0</v>
      </c>
      <c r="R100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00" s="147" t="str">
        <f>+IF(B[[#This Row],[Bene]]="","",VLOOKUP(B[[#This Row],[Tipologia]],TipoImm[],3,0)*B[[#This Row],[Imponibile Iva]])</f>
        <v/>
      </c>
      <c r="T100" s="147" t="str">
        <f>+IF(B[[#This Row],[Bene]]="","",VLOOKUP(B[[#This Row],[Tipologia]],TipoImm[],6,0)*B[[#This Row],[Valore catastale]]+VLOOKUP(B[[#This Row],[Tipologia]],TipoImm[],4,0))</f>
        <v/>
      </c>
      <c r="U100" s="151" t="str">
        <f>+IF(B[[#This Row],[Bene]]="","",VLOOKUP(B[[#This Row],[Tipologia]],TipoImm[],8,0)*B[[#This Row],[Valore normale]]+VLOOKUP(B[[#This Row],[Tipologia]],TipoImm[],9,0))</f>
        <v/>
      </c>
      <c r="V100" s="147">
        <f>+IF(OR(B[[#This Row],[Bene]]="",B[[#This Row],[Agevolabile]]=0),0,VLOOKUP(B[[#This Row],[Tipologia]],TipoImm[],5,0))</f>
        <v>0</v>
      </c>
      <c r="W100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00" s="147">
        <f>SUM(B[[#This Row],[Imposta di registro in misura fissa agevolata]:[Imposta di registro prop. Agevolata]])</f>
        <v>0</v>
      </c>
      <c r="Y100" s="147">
        <f>+IF(B[[#This Row],[Bene]]="",0,VLOOKUP(B[[#This Row],[Tipologia]],TipoImm[],10,0))</f>
        <v>0</v>
      </c>
      <c r="Z100" s="149" t="str">
        <f>+IF(p=3,"",IF(B[[#This Row],[Tipologia]]="","",VLOOKUP(B[[#This Row],[Tipologia]],TipoImm[],MATCH($Z$4,Tabelle!$AF$1:$AR$1,0),0)))</f>
        <v/>
      </c>
    </row>
    <row r="101" spans="1:26" x14ac:dyDescent="0.2">
      <c r="A101" s="123"/>
      <c r="B101" s="123"/>
      <c r="C101" s="143"/>
      <c r="D101" s="124"/>
      <c r="E101" s="123"/>
      <c r="F101" s="155"/>
      <c r="G101" s="156"/>
      <c r="H101" s="156"/>
      <c r="I101" s="156"/>
      <c r="J101" s="142"/>
      <c r="K101" s="157"/>
      <c r="L101" s="158"/>
      <c r="M101" s="159"/>
      <c r="N101" s="145">
        <f>+IF(B[[#This Row],[Categoria Catastale]]="",0,VLOOKUP(B[[#This Row],[Categoria Catastale]],Gruppi[],6,0)*B[[#This Row],[Rendita catastale]])</f>
        <v>0</v>
      </c>
      <c r="O101" s="146" t="str">
        <f t="shared" si="2"/>
        <v/>
      </c>
      <c r="P101" s="147">
        <f>+IF(B[[#This Row],[Valore inserito manualmente]]&gt;0,B[[#This Row],[Valore inserito manualmente]],B[[#This Row],[Valore catastale]])</f>
        <v>0</v>
      </c>
      <c r="Q101" s="147">
        <f>+IF(OR(B[[#This Row],[Opzione per prezzo-valore (s/n)]]="s",B[[#This Row],[Valore inserito manualmente]]=0),B[[#This Row],[Valore catastale]],B[[#This Row],[Valore inserito manualmente]])</f>
        <v>0</v>
      </c>
      <c r="R101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01" s="147" t="str">
        <f>+IF(B[[#This Row],[Bene]]="","",VLOOKUP(B[[#This Row],[Tipologia]],TipoImm[],3,0)*B[[#This Row],[Imponibile Iva]])</f>
        <v/>
      </c>
      <c r="T101" s="147" t="str">
        <f>+IF(B[[#This Row],[Bene]]="","",VLOOKUP(B[[#This Row],[Tipologia]],TipoImm[],6,0)*B[[#This Row],[Valore catastale]]+VLOOKUP(B[[#This Row],[Tipologia]],TipoImm[],4,0))</f>
        <v/>
      </c>
      <c r="U101" s="151" t="str">
        <f>+IF(B[[#This Row],[Bene]]="","",VLOOKUP(B[[#This Row],[Tipologia]],TipoImm[],8,0)*B[[#This Row],[Valore normale]]+VLOOKUP(B[[#This Row],[Tipologia]],TipoImm[],9,0))</f>
        <v/>
      </c>
      <c r="V101" s="147">
        <f>+IF(OR(B[[#This Row],[Bene]]="",B[[#This Row],[Agevolabile]]=0),0,VLOOKUP(B[[#This Row],[Tipologia]],TipoImm[],5,0))</f>
        <v>0</v>
      </c>
      <c r="W101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01" s="147">
        <f>SUM(B[[#This Row],[Imposta di registro in misura fissa agevolata]:[Imposta di registro prop. Agevolata]])</f>
        <v>0</v>
      </c>
      <c r="Y101" s="147">
        <f>+IF(B[[#This Row],[Bene]]="",0,VLOOKUP(B[[#This Row],[Tipologia]],TipoImm[],10,0))</f>
        <v>0</v>
      </c>
      <c r="Z101" s="149" t="str">
        <f>+IF(p=3,"",IF(B[[#This Row],[Tipologia]]="","",VLOOKUP(B[[#This Row],[Tipologia]],TipoImm[],MATCH($Z$4,Tabelle!$AF$1:$AR$1,0),0)))</f>
        <v/>
      </c>
    </row>
    <row r="102" spans="1:26" x14ac:dyDescent="0.2">
      <c r="A102" s="123"/>
      <c r="B102" s="123"/>
      <c r="C102" s="143"/>
      <c r="D102" s="124"/>
      <c r="E102" s="123"/>
      <c r="F102" s="155"/>
      <c r="G102" s="156"/>
      <c r="H102" s="156"/>
      <c r="I102" s="156"/>
      <c r="J102" s="142"/>
      <c r="K102" s="157"/>
      <c r="L102" s="158"/>
      <c r="M102" s="159"/>
      <c r="N102" s="145">
        <f>+IF(B[[#This Row],[Categoria Catastale]]="",0,VLOOKUP(B[[#This Row],[Categoria Catastale]],Gruppi[],6,0)*B[[#This Row],[Rendita catastale]])</f>
        <v>0</v>
      </c>
      <c r="O102" s="146" t="str">
        <f t="shared" si="2"/>
        <v/>
      </c>
      <c r="P102" s="147">
        <f>+IF(B[[#This Row],[Valore inserito manualmente]]&gt;0,B[[#This Row],[Valore inserito manualmente]],B[[#This Row],[Valore catastale]])</f>
        <v>0</v>
      </c>
      <c r="Q102" s="147">
        <f>+IF(OR(B[[#This Row],[Opzione per prezzo-valore (s/n)]]="s",B[[#This Row],[Valore inserito manualmente]]=0),B[[#This Row],[Valore catastale]],B[[#This Row],[Valore inserito manualmente]])</f>
        <v>0</v>
      </c>
      <c r="R102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02" s="147" t="str">
        <f>+IF(B[[#This Row],[Bene]]="","",VLOOKUP(B[[#This Row],[Tipologia]],TipoImm[],3,0)*B[[#This Row],[Imponibile Iva]])</f>
        <v/>
      </c>
      <c r="T102" s="147" t="str">
        <f>+IF(B[[#This Row],[Bene]]="","",VLOOKUP(B[[#This Row],[Tipologia]],TipoImm[],6,0)*B[[#This Row],[Valore catastale]]+VLOOKUP(B[[#This Row],[Tipologia]],TipoImm[],4,0))</f>
        <v/>
      </c>
      <c r="U102" s="151" t="str">
        <f>+IF(B[[#This Row],[Bene]]="","",VLOOKUP(B[[#This Row],[Tipologia]],TipoImm[],8,0)*B[[#This Row],[Valore normale]]+VLOOKUP(B[[#This Row],[Tipologia]],TipoImm[],9,0))</f>
        <v/>
      </c>
      <c r="V102" s="147">
        <f>+IF(OR(B[[#This Row],[Bene]]="",B[[#This Row],[Agevolabile]]=0),0,VLOOKUP(B[[#This Row],[Tipologia]],TipoImm[],5,0))</f>
        <v>0</v>
      </c>
      <c r="W102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02" s="147">
        <f>SUM(B[[#This Row],[Imposta di registro in misura fissa agevolata]:[Imposta di registro prop. Agevolata]])</f>
        <v>0</v>
      </c>
      <c r="Y102" s="147">
        <f>+IF(B[[#This Row],[Bene]]="",0,VLOOKUP(B[[#This Row],[Tipologia]],TipoImm[],10,0))</f>
        <v>0</v>
      </c>
      <c r="Z102" s="149" t="str">
        <f>+IF(p=3,"",IF(B[[#This Row],[Tipologia]]="","",VLOOKUP(B[[#This Row],[Tipologia]],TipoImm[],MATCH($Z$4,Tabelle!$AF$1:$AR$1,0),0)))</f>
        <v/>
      </c>
    </row>
    <row r="103" spans="1:26" x14ac:dyDescent="0.2">
      <c r="A103" s="123"/>
      <c r="B103" s="123"/>
      <c r="C103" s="143"/>
      <c r="D103" s="124"/>
      <c r="E103" s="123"/>
      <c r="F103" s="155"/>
      <c r="G103" s="156"/>
      <c r="H103" s="156"/>
      <c r="I103" s="156"/>
      <c r="J103" s="142"/>
      <c r="K103" s="157"/>
      <c r="L103" s="158"/>
      <c r="M103" s="159"/>
      <c r="N103" s="145">
        <f>+IF(B[[#This Row],[Categoria Catastale]]="",0,VLOOKUP(B[[#This Row],[Categoria Catastale]],Gruppi[],6,0)*B[[#This Row],[Rendita catastale]])</f>
        <v>0</v>
      </c>
      <c r="O103" s="146" t="str">
        <f t="shared" si="2"/>
        <v/>
      </c>
      <c r="P103" s="147">
        <f>+IF(B[[#This Row],[Valore inserito manualmente]]&gt;0,B[[#This Row],[Valore inserito manualmente]],B[[#This Row],[Valore catastale]])</f>
        <v>0</v>
      </c>
      <c r="Q103" s="147">
        <f>+IF(OR(B[[#This Row],[Opzione per prezzo-valore (s/n)]]="s",B[[#This Row],[Valore inserito manualmente]]=0),B[[#This Row],[Valore catastale]],B[[#This Row],[Valore inserito manualmente]])</f>
        <v>0</v>
      </c>
      <c r="R103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03" s="147" t="str">
        <f>+IF(B[[#This Row],[Bene]]="","",VLOOKUP(B[[#This Row],[Tipologia]],TipoImm[],3,0)*B[[#This Row],[Imponibile Iva]])</f>
        <v/>
      </c>
      <c r="T103" s="147" t="str">
        <f>+IF(B[[#This Row],[Bene]]="","",VLOOKUP(B[[#This Row],[Tipologia]],TipoImm[],6,0)*B[[#This Row],[Valore catastale]]+VLOOKUP(B[[#This Row],[Tipologia]],TipoImm[],4,0))</f>
        <v/>
      </c>
      <c r="U103" s="151" t="str">
        <f>+IF(B[[#This Row],[Bene]]="","",VLOOKUP(B[[#This Row],[Tipologia]],TipoImm[],8,0)*B[[#This Row],[Valore normale]]+VLOOKUP(B[[#This Row],[Tipologia]],TipoImm[],9,0))</f>
        <v/>
      </c>
      <c r="V103" s="147">
        <f>+IF(OR(B[[#This Row],[Bene]]="",B[[#This Row],[Agevolabile]]=0),0,VLOOKUP(B[[#This Row],[Tipologia]],TipoImm[],5,0))</f>
        <v>0</v>
      </c>
      <c r="W103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03" s="147">
        <f>SUM(B[[#This Row],[Imposta di registro in misura fissa agevolata]:[Imposta di registro prop. Agevolata]])</f>
        <v>0</v>
      </c>
      <c r="Y103" s="147">
        <f>+IF(B[[#This Row],[Bene]]="",0,VLOOKUP(B[[#This Row],[Tipologia]],TipoImm[],10,0))</f>
        <v>0</v>
      </c>
      <c r="Z103" s="149" t="str">
        <f>+IF(p=3,"",IF(B[[#This Row],[Tipologia]]="","",VLOOKUP(B[[#This Row],[Tipologia]],TipoImm[],MATCH($Z$4,Tabelle!$AF$1:$AR$1,0),0)))</f>
        <v/>
      </c>
    </row>
    <row r="104" spans="1:26" x14ac:dyDescent="0.2">
      <c r="A104" s="123"/>
      <c r="B104" s="123"/>
      <c r="C104" s="143"/>
      <c r="D104" s="123"/>
      <c r="E104" s="123"/>
      <c r="F104" s="160"/>
      <c r="G104" s="161"/>
      <c r="H104" s="162"/>
      <c r="I104" s="161"/>
      <c r="J104" s="142"/>
      <c r="K104" s="157"/>
      <c r="L104" s="163"/>
      <c r="M104" s="164"/>
      <c r="N104" s="145">
        <f>+IF(B[[#This Row],[Categoria Catastale]]="",0,VLOOKUP(B[[#This Row],[Categoria Catastale]],Gruppi[],6,0)*B[[#This Row],[Rendita catastale]])</f>
        <v>0</v>
      </c>
      <c r="O104" s="146" t="str">
        <f t="shared" si="2"/>
        <v/>
      </c>
      <c r="P104" s="146">
        <f>+IF(B[[#This Row],[Valore inserito manualmente]]&gt;0,B[[#This Row],[Valore inserito manualmente]],B[[#This Row],[Valore catastale]])</f>
        <v>0</v>
      </c>
      <c r="Q104" s="146">
        <f>+IF(OR(B[[#This Row],[Opzione per prezzo-valore (s/n)]]="s",B[[#This Row],[Valore inserito manualmente]]=0),B[[#This Row],[Valore catastale]],B[[#This Row],[Valore inserito manualmente]])</f>
        <v>0</v>
      </c>
      <c r="R104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04" s="147" t="str">
        <f>+IF(B[[#This Row],[Bene]]="","",VLOOKUP(B[[#This Row],[Tipologia]],TipoImm[],3,0)*B[[#This Row],[Imponibile Iva]])</f>
        <v/>
      </c>
      <c r="T104" s="147" t="str">
        <f>+IF(B[[#This Row],[Bene]]="","",VLOOKUP(B[[#This Row],[Tipologia]],TipoImm[],6,0)*B[[#This Row],[Valore catastale]]+VLOOKUP(B[[#This Row],[Tipologia]],TipoImm[],4,0))</f>
        <v/>
      </c>
      <c r="U104" s="151" t="str">
        <f>+IF(B[[#This Row],[Bene]]="","",VLOOKUP(B[[#This Row],[Tipologia]],TipoImm[],8,0)*B[[#This Row],[Valore normale]]+VLOOKUP(B[[#This Row],[Tipologia]],TipoImm[],9,0))</f>
        <v/>
      </c>
      <c r="V104" s="147">
        <f>+IF(OR(B[[#This Row],[Bene]]="",B[[#This Row],[Agevolabile]]=0),0,VLOOKUP(B[[#This Row],[Tipologia]],TipoImm[],5,0))</f>
        <v>0</v>
      </c>
      <c r="W104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04" s="147">
        <f>SUM(B[[#This Row],[Imposta di registro in misura fissa agevolata]:[Imposta di registro prop. Agevolata]])</f>
        <v>0</v>
      </c>
      <c r="Y104" s="147">
        <f>+IF(B[[#This Row],[Bene]]="",0,VLOOKUP(B[[#This Row],[Tipologia]],TipoImm[],10,0))</f>
        <v>0</v>
      </c>
      <c r="Z104" s="149" t="str">
        <f>+IF(p=3,"",IF(B[[#This Row],[Tipologia]]="","",VLOOKUP(B[[#This Row],[Tipologia]],TipoImm[],MATCH($Z$4,Tabelle!$AF$1:$AR$1,0),0)))</f>
        <v/>
      </c>
    </row>
    <row r="105" spans="1:26" x14ac:dyDescent="0.2">
      <c r="A105" s="140"/>
      <c r="B105" s="140"/>
      <c r="C105" s="140"/>
      <c r="D105" s="167"/>
      <c r="E105" s="140"/>
      <c r="F105" s="139"/>
      <c r="G105" s="139"/>
      <c r="H105" s="168"/>
      <c r="I105" s="139"/>
      <c r="J105" s="139"/>
      <c r="K105" s="139"/>
      <c r="L105" s="139"/>
      <c r="M105" s="139"/>
      <c r="N105" s="139"/>
      <c r="O105" s="139"/>
      <c r="P105" s="139"/>
      <c r="Q105" s="139"/>
      <c r="R105" s="139"/>
      <c r="S105" s="139"/>
      <c r="T105" s="139"/>
      <c r="U105" s="139"/>
      <c r="V105" s="139"/>
      <c r="W105" s="139"/>
      <c r="X105" s="139"/>
      <c r="Y105" s="139"/>
      <c r="Z105" s="139"/>
    </row>
  </sheetData>
  <sheetProtection formatCells="0" formatColumns="0" formatRows="0" insertColumns="0" insertRows="0" insertHyperlinks="0" deleteColumns="0" deleteRows="0" sort="0" autoFilter="0" pivotTables="0"/>
  <dataValidations count="7">
    <dataValidation type="list" allowBlank="1" showInputMessage="1" showErrorMessage="1" sqref="K5:K103" xr:uid="{00000000-0002-0000-0400-000000000000}">
      <formula1>"Rimanenze,Immobilizzazioni"</formula1>
    </dataValidation>
    <dataValidation type="list" allowBlank="1" showInputMessage="1" showErrorMessage="1" sqref="E5:E103" xr:uid="{00000000-0002-0000-0400-000001000000}">
      <formula1>Cat</formula1>
    </dataValidation>
    <dataValidation type="list" allowBlank="1" showInputMessage="1" showErrorMessage="1" sqref="C5:C103" xr:uid="{00000000-0002-0000-0400-000002000000}">
      <formula1>Tipim</formula1>
    </dataValidation>
    <dataValidation type="list" errorStyle="warning" operator="lessThan" allowBlank="1" showInputMessage="1" showErrorMessage="1" errorTitle="Non applicabile" error="Attenzione la cessione agevolata è possibile solo per i soggetti che erano già soci al 30/09/2015" sqref="D5:D11" xr:uid="{00000000-0002-0000-0400-000003000000}">
      <formula1>"Sì,No"</formula1>
    </dataValidation>
    <dataValidation errorStyle="warning" operator="lessThan" showInputMessage="1" errorTitle="Non applicabile" error="Attenzione la cessione agevolata è possibile solo per i soggetti che erano già soci al 30/09/2015" sqref="O5:Q104" xr:uid="{00000000-0002-0000-0400-000004000000}"/>
    <dataValidation type="whole" allowBlank="1" showInputMessage="1" showErrorMessage="1" errorTitle="Valore inferiore al catastale" error="Secondo la circ. 26 il valore di assegnazione non può essere inferiore al valore catastale." sqref="J6:J104" xr:uid="{00000000-0002-0000-0400-000005000000}">
      <formula1>N6</formula1>
      <formula2>9000000000000</formula2>
    </dataValidation>
    <dataValidation type="list" allowBlank="1" showInputMessage="1" showErrorMessage="1" sqref="M5:M104" xr:uid="{00000000-0002-0000-0400-000006000000}">
      <formula1>"s,n"</formula1>
    </dataValidation>
  </dataValidations>
  <pageMargins left="0.23622047244094491" right="0.23622047244094491" top="0.74803149606299213" bottom="0.74803149606299213" header="0.31496062992125984" footer="0.31496062992125984"/>
  <pageSetup paperSize="9" scale="48" fitToWidth="3" orientation="landscape" r:id="rId1"/>
  <drawing r:id="rId2"/>
  <legacy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8" id="{2BA3AAE5-A18E-4465-B7C1-F141F59C1D78}">
            <x14:iconSet iconSet="3Symbols2" showValue="0" custom="1">
              <x14:cfvo type="percent">
                <xm:f>0</xm:f>
              </x14:cfvo>
              <x14:cfvo type="num">
                <xm:f>-1</xm:f>
              </x14:cfvo>
              <x14:cfvo type="num" gte="0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O5:O6</xm:sqref>
        </x14:conditionalFormatting>
        <x14:conditionalFormatting xmlns:xm="http://schemas.microsoft.com/office/excel/2006/main">
          <x14:cfRule type="iconSet" priority="7" id="{AC7C96FB-B297-40B7-8D54-1163DBBE2C98}">
            <x14:iconSet iconSet="3Symbols2" showValue="0" custom="1">
              <x14:cfvo type="percent">
                <xm:f>0</xm:f>
              </x14:cfvo>
              <x14:cfvo type="num">
                <xm:f>-1</xm:f>
              </x14:cfvo>
              <x14:cfvo type="num" gte="0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O7:O104 Q104</xm:sqref>
        </x14:conditionalFormatting>
        <x14:conditionalFormatting xmlns:xm="http://schemas.microsoft.com/office/excel/2006/main">
          <x14:cfRule type="iconSet" priority="2" id="{E5365300-B9C5-4478-B8CB-9CDC226D9F28}">
            <x14:iconSet iconSet="3Symbols2" showValue="0" custom="1">
              <x14:cfvo type="percent">
                <xm:f>0</xm:f>
              </x14:cfvo>
              <x14:cfvo type="num">
                <xm:f>-1</xm:f>
              </x14:cfvo>
              <x14:cfvo type="num" gte="0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P104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oglio2"/>
  <dimension ref="A1:AT37"/>
  <sheetViews>
    <sheetView topLeftCell="AB1" zoomScaleNormal="100" workbookViewId="0">
      <selection activeCell="AK7" sqref="AK7"/>
    </sheetView>
  </sheetViews>
  <sheetFormatPr defaultRowHeight="15" x14ac:dyDescent="0.25"/>
  <cols>
    <col min="1" max="1" width="38" customWidth="1"/>
    <col min="2" max="2" width="23" customWidth="1"/>
    <col min="4" max="4" width="19" customWidth="1"/>
    <col min="5" max="5" width="18.7109375" bestFit="1" customWidth="1"/>
    <col min="8" max="8" width="10" customWidth="1"/>
    <col min="9" max="9" width="10.42578125" customWidth="1"/>
    <col min="10" max="10" width="13.85546875" bestFit="1" customWidth="1"/>
    <col min="12" max="12" width="10" customWidth="1"/>
    <col min="13" max="13" width="57.28515625" customWidth="1"/>
    <col min="14" max="14" width="16.140625" bestFit="1" customWidth="1"/>
    <col min="15" max="15" width="12.85546875" bestFit="1" customWidth="1"/>
    <col min="19" max="19" width="9.5703125" bestFit="1" customWidth="1"/>
    <col min="22" max="22" width="32.7109375" bestFit="1" customWidth="1"/>
    <col min="23" max="23" width="81.140625" bestFit="1" customWidth="1"/>
    <col min="24" max="24" width="23.140625" bestFit="1" customWidth="1"/>
    <col min="25" max="25" width="22.28515625" bestFit="1" customWidth="1"/>
    <col min="26" max="26" width="10.42578125" customWidth="1"/>
    <col min="27" max="27" width="20.5703125" customWidth="1"/>
    <col min="32" max="32" width="69.28515625" bestFit="1" customWidth="1"/>
    <col min="33" max="33" width="11.140625" customWidth="1"/>
    <col min="35" max="35" width="12.5703125" customWidth="1"/>
    <col min="36" max="36" width="15.5703125" bestFit="1" customWidth="1"/>
    <col min="37" max="37" width="15.42578125" customWidth="1"/>
    <col min="38" max="38" width="15.140625" bestFit="1" customWidth="1"/>
    <col min="39" max="39" width="13.42578125" customWidth="1"/>
    <col min="41" max="41" width="14.140625" customWidth="1"/>
    <col min="42" max="42" width="16.5703125" bestFit="1" customWidth="1"/>
    <col min="43" max="43" width="23.85546875" customWidth="1"/>
    <col min="45" max="45" width="10.85546875" customWidth="1"/>
    <col min="46" max="46" width="15.140625" bestFit="1" customWidth="1"/>
  </cols>
  <sheetData>
    <row r="1" spans="1:46" x14ac:dyDescent="0.25">
      <c r="A1" s="1" t="s">
        <v>4</v>
      </c>
      <c r="B1" t="s">
        <v>12</v>
      </c>
      <c r="D1" t="s">
        <v>86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3</v>
      </c>
      <c r="L1" t="s">
        <v>86</v>
      </c>
      <c r="M1" t="s">
        <v>87</v>
      </c>
      <c r="N1" t="s">
        <v>93</v>
      </c>
      <c r="O1" t="s">
        <v>94</v>
      </c>
      <c r="R1" t="s">
        <v>4</v>
      </c>
      <c r="S1" t="s">
        <v>135</v>
      </c>
      <c r="V1" t="s">
        <v>168</v>
      </c>
      <c r="W1" t="s">
        <v>145</v>
      </c>
      <c r="X1" t="s">
        <v>154</v>
      </c>
      <c r="Y1" t="s">
        <v>167</v>
      </c>
      <c r="Z1" t="s">
        <v>149</v>
      </c>
      <c r="AA1" t="s">
        <v>150</v>
      </c>
      <c r="AB1" t="s">
        <v>166</v>
      </c>
      <c r="AC1" t="s">
        <v>173</v>
      </c>
      <c r="AD1" t="s">
        <v>225</v>
      </c>
      <c r="AF1" t="s">
        <v>167</v>
      </c>
      <c r="AG1" t="s">
        <v>172</v>
      </c>
      <c r="AH1" s="7" t="s">
        <v>149</v>
      </c>
      <c r="AI1" s="8" t="s">
        <v>184</v>
      </c>
      <c r="AJ1" s="8" t="s">
        <v>185</v>
      </c>
      <c r="AK1" s="9" t="s">
        <v>186</v>
      </c>
      <c r="AL1" s="9" t="s">
        <v>187</v>
      </c>
      <c r="AM1" s="10" t="s">
        <v>204</v>
      </c>
      <c r="AN1" s="10" t="s">
        <v>174</v>
      </c>
      <c r="AO1" s="10" t="s">
        <v>188</v>
      </c>
      <c r="AP1" t="s">
        <v>3</v>
      </c>
      <c r="AQ1" t="s">
        <v>341</v>
      </c>
      <c r="AS1" t="s">
        <v>211</v>
      </c>
      <c r="AT1" t="s">
        <v>212</v>
      </c>
    </row>
    <row r="2" spans="1:46" x14ac:dyDescent="0.25">
      <c r="A2" t="s">
        <v>5</v>
      </c>
      <c r="B2" t="s">
        <v>10</v>
      </c>
      <c r="D2" t="s">
        <v>241</v>
      </c>
      <c r="E2" t="s">
        <v>115</v>
      </c>
      <c r="F2">
        <v>75</v>
      </c>
      <c r="G2">
        <v>1.25</v>
      </c>
      <c r="H2" s="2">
        <v>0.2</v>
      </c>
      <c r="I2">
        <f>+Gruppi[[#This Row],[Molt.]]*Gruppi[[#This Row],[Magg.]]*(1+Gruppi[[#This Row],[Ult. Riv.]])</f>
        <v>112.5</v>
      </c>
      <c r="L2" t="s">
        <v>18</v>
      </c>
      <c r="M2" t="s">
        <v>19</v>
      </c>
      <c r="N2">
        <v>120</v>
      </c>
      <c r="O2">
        <v>120</v>
      </c>
      <c r="R2" t="s">
        <v>101</v>
      </c>
      <c r="S2" s="3">
        <v>0.49719999999999998</v>
      </c>
      <c r="V2" t="s">
        <v>146</v>
      </c>
      <c r="W2" t="s">
        <v>147</v>
      </c>
      <c r="X2" t="s">
        <v>153</v>
      </c>
      <c r="Y2" t="s">
        <v>94</v>
      </c>
      <c r="Z2" s="2">
        <v>0.04</v>
      </c>
      <c r="AA2">
        <v>200</v>
      </c>
      <c r="AB2">
        <v>400</v>
      </c>
      <c r="AC2">
        <v>1</v>
      </c>
      <c r="AD2">
        <v>10</v>
      </c>
      <c r="AF2" s="43" t="s">
        <v>327</v>
      </c>
      <c r="AG2" t="s">
        <v>17</v>
      </c>
      <c r="AH2" s="2">
        <v>0.1</v>
      </c>
      <c r="AI2">
        <v>200</v>
      </c>
      <c r="AJ2">
        <v>200</v>
      </c>
      <c r="AK2" s="2"/>
      <c r="AM2" s="44"/>
      <c r="AN2">
        <v>400</v>
      </c>
      <c r="AO2">
        <v>400</v>
      </c>
      <c r="AP2">
        <v>1</v>
      </c>
      <c r="AQ2" t="s">
        <v>340</v>
      </c>
      <c r="AS2">
        <v>1</v>
      </c>
      <c r="AT2" t="s">
        <v>213</v>
      </c>
    </row>
    <row r="3" spans="1:46" x14ac:dyDescent="0.25">
      <c r="A3" t="s">
        <v>6</v>
      </c>
      <c r="B3" t="s">
        <v>10</v>
      </c>
      <c r="D3" t="s">
        <v>114</v>
      </c>
      <c r="E3" t="s">
        <v>116</v>
      </c>
      <c r="F3">
        <v>100</v>
      </c>
      <c r="G3">
        <v>1.05</v>
      </c>
      <c r="H3" s="2">
        <v>0.2</v>
      </c>
      <c r="I3">
        <f>+Gruppi[[#This Row],[Molt.]]*Gruppi[[#This Row],[Magg.]]*(1+Gruppi[[#This Row],[Ult. Riv.]])</f>
        <v>126</v>
      </c>
      <c r="L3" t="s">
        <v>20</v>
      </c>
      <c r="M3" t="s">
        <v>21</v>
      </c>
      <c r="N3">
        <v>120</v>
      </c>
      <c r="O3">
        <v>110</v>
      </c>
      <c r="R3" t="s">
        <v>133</v>
      </c>
      <c r="S3" s="2">
        <v>1</v>
      </c>
      <c r="V3" t="s">
        <v>146</v>
      </c>
      <c r="W3" t="s">
        <v>147</v>
      </c>
      <c r="X3" t="s">
        <v>153</v>
      </c>
      <c r="Y3" t="s">
        <v>151</v>
      </c>
      <c r="Z3" s="2">
        <v>0.1</v>
      </c>
      <c r="AA3">
        <v>200</v>
      </c>
      <c r="AB3">
        <v>400</v>
      </c>
      <c r="AC3">
        <v>1</v>
      </c>
      <c r="AD3">
        <v>10</v>
      </c>
      <c r="AF3" s="43" t="s">
        <v>182</v>
      </c>
      <c r="AG3" t="s">
        <v>17</v>
      </c>
      <c r="AH3" s="2">
        <v>0.04</v>
      </c>
      <c r="AI3">
        <v>200</v>
      </c>
      <c r="AJ3">
        <v>200</v>
      </c>
      <c r="AK3" s="2"/>
      <c r="AM3" s="44"/>
      <c r="AN3">
        <v>400</v>
      </c>
      <c r="AO3">
        <v>400</v>
      </c>
      <c r="AP3">
        <v>1</v>
      </c>
      <c r="AQ3" t="s">
        <v>339</v>
      </c>
      <c r="AS3">
        <v>2</v>
      </c>
      <c r="AT3" t="s">
        <v>214</v>
      </c>
    </row>
    <row r="4" spans="1:46" x14ac:dyDescent="0.25">
      <c r="A4" t="s">
        <v>7</v>
      </c>
      <c r="B4" t="s">
        <v>10</v>
      </c>
      <c r="D4" t="s">
        <v>117</v>
      </c>
      <c r="E4" t="s">
        <v>116</v>
      </c>
      <c r="F4">
        <v>100</v>
      </c>
      <c r="G4">
        <v>1.05</v>
      </c>
      <c r="H4" s="2">
        <v>0.1</v>
      </c>
      <c r="I4">
        <f>+Gruppi[[#This Row],[Molt.]]*Gruppi[[#This Row],[Magg.]]*(1+Gruppi[[#This Row],[Ult. Riv.]])</f>
        <v>115.50000000000001</v>
      </c>
      <c r="L4" t="s">
        <v>22</v>
      </c>
      <c r="M4" t="s">
        <v>23</v>
      </c>
      <c r="N4">
        <v>120</v>
      </c>
      <c r="O4">
        <v>110</v>
      </c>
      <c r="R4" t="s">
        <v>134</v>
      </c>
      <c r="S4" s="2">
        <v>0.05</v>
      </c>
      <c r="V4" t="s">
        <v>146</v>
      </c>
      <c r="W4" t="s">
        <v>147</v>
      </c>
      <c r="X4" t="s">
        <v>153</v>
      </c>
      <c r="Y4" t="s">
        <v>148</v>
      </c>
      <c r="Z4" s="2">
        <v>0.22</v>
      </c>
      <c r="AA4">
        <v>200</v>
      </c>
      <c r="AB4">
        <v>400</v>
      </c>
      <c r="AC4">
        <v>1</v>
      </c>
      <c r="AD4">
        <v>10</v>
      </c>
      <c r="AF4" s="43" t="s">
        <v>183</v>
      </c>
      <c r="AG4" t="s">
        <v>17</v>
      </c>
      <c r="AH4" s="2">
        <v>0.22</v>
      </c>
      <c r="AI4">
        <v>200</v>
      </c>
      <c r="AJ4">
        <v>200</v>
      </c>
      <c r="AK4" s="2"/>
      <c r="AM4" s="44"/>
      <c r="AN4">
        <v>400</v>
      </c>
      <c r="AO4">
        <v>400</v>
      </c>
      <c r="AP4">
        <v>1</v>
      </c>
      <c r="AQ4" t="s">
        <v>338</v>
      </c>
      <c r="AS4">
        <v>3</v>
      </c>
      <c r="AT4" t="str">
        <f>+IF(DATI!$A$23,"Trasformazione","")</f>
        <v/>
      </c>
    </row>
    <row r="5" spans="1:46" x14ac:dyDescent="0.25">
      <c r="A5" t="s">
        <v>8</v>
      </c>
      <c r="B5" t="s">
        <v>11</v>
      </c>
      <c r="D5" t="s">
        <v>36</v>
      </c>
      <c r="E5" t="s">
        <v>116</v>
      </c>
      <c r="F5">
        <v>50</v>
      </c>
      <c r="G5">
        <v>1.04</v>
      </c>
      <c r="H5" s="2">
        <v>0.2</v>
      </c>
      <c r="I5">
        <v>63</v>
      </c>
      <c r="L5" t="s">
        <v>24</v>
      </c>
      <c r="M5" t="s">
        <v>25</v>
      </c>
      <c r="N5">
        <v>120</v>
      </c>
      <c r="O5">
        <v>110</v>
      </c>
      <c r="V5" t="s">
        <v>146</v>
      </c>
      <c r="W5" t="s">
        <v>152</v>
      </c>
      <c r="X5" t="s">
        <v>169</v>
      </c>
      <c r="Z5" s="2">
        <v>0</v>
      </c>
      <c r="AA5">
        <v>200</v>
      </c>
      <c r="AB5">
        <v>400</v>
      </c>
      <c r="AC5">
        <v>1</v>
      </c>
      <c r="AD5">
        <v>10</v>
      </c>
      <c r="AF5" s="43" t="s">
        <v>328</v>
      </c>
      <c r="AG5" t="s">
        <v>17</v>
      </c>
      <c r="AH5" s="2"/>
      <c r="AK5" s="45">
        <v>0.09</v>
      </c>
      <c r="AL5" s="3">
        <v>4.4999999999999998E-2</v>
      </c>
      <c r="AM5" s="44"/>
      <c r="AN5">
        <v>100</v>
      </c>
      <c r="AO5">
        <v>100</v>
      </c>
      <c r="AP5">
        <v>1</v>
      </c>
      <c r="AQ5" t="s">
        <v>367</v>
      </c>
    </row>
    <row r="6" spans="1:46" x14ac:dyDescent="0.25">
      <c r="A6" t="s">
        <v>9</v>
      </c>
      <c r="B6" t="s">
        <v>11</v>
      </c>
      <c r="D6" s="12" t="s">
        <v>118</v>
      </c>
      <c r="E6" s="12" t="s">
        <v>116</v>
      </c>
      <c r="F6" s="12">
        <v>100</v>
      </c>
      <c r="G6" s="12">
        <v>1.05</v>
      </c>
      <c r="H6" s="13">
        <v>0.68</v>
      </c>
      <c r="I6" s="14">
        <f>+Gruppi[[#This Row],[Molt.]]*Gruppi[[#This Row],[Magg.]]*(1+Gruppi[[#This Row],[Ult. Riv.]])</f>
        <v>176.4</v>
      </c>
      <c r="J6" s="12"/>
      <c r="L6" t="s">
        <v>26</v>
      </c>
      <c r="M6" t="s">
        <v>27</v>
      </c>
      <c r="N6">
        <v>120</v>
      </c>
      <c r="O6">
        <v>110</v>
      </c>
      <c r="V6" s="4" t="s">
        <v>146</v>
      </c>
      <c r="W6" s="4" t="s">
        <v>152</v>
      </c>
      <c r="X6" s="4" t="s">
        <v>153</v>
      </c>
      <c r="Y6" s="4" t="s">
        <v>155</v>
      </c>
      <c r="Z6" s="5">
        <v>0.22</v>
      </c>
      <c r="AA6" s="6">
        <v>4.4999999999999998E-2</v>
      </c>
      <c r="AB6" s="4">
        <v>100</v>
      </c>
      <c r="AC6" s="4">
        <v>1</v>
      </c>
      <c r="AD6">
        <v>10</v>
      </c>
      <c r="AF6" s="43" t="s">
        <v>329</v>
      </c>
      <c r="AG6" t="s">
        <v>17</v>
      </c>
      <c r="AH6" s="2"/>
      <c r="AK6" s="2">
        <v>0.02</v>
      </c>
      <c r="AL6" s="2">
        <v>0.01</v>
      </c>
      <c r="AM6" s="44"/>
      <c r="AN6">
        <v>100</v>
      </c>
      <c r="AO6">
        <v>100</v>
      </c>
      <c r="AP6">
        <v>1</v>
      </c>
      <c r="AQ6" t="s">
        <v>367</v>
      </c>
    </row>
    <row r="7" spans="1:46" x14ac:dyDescent="0.25">
      <c r="A7" t="s">
        <v>210</v>
      </c>
      <c r="B7" t="s">
        <v>11</v>
      </c>
      <c r="D7" t="s">
        <v>119</v>
      </c>
      <c r="E7" t="s">
        <v>116</v>
      </c>
      <c r="F7">
        <v>100</v>
      </c>
      <c r="G7">
        <v>1.05</v>
      </c>
      <c r="H7" s="2">
        <v>0.2</v>
      </c>
      <c r="I7">
        <f>+Gruppi[[#This Row],[Molt.]]*Gruppi[[#This Row],[Magg.]]*(1+Gruppi[[#This Row],[Ult. Riv.]])</f>
        <v>126</v>
      </c>
      <c r="L7" t="s">
        <v>28</v>
      </c>
      <c r="M7" t="s">
        <v>29</v>
      </c>
      <c r="N7">
        <v>120</v>
      </c>
      <c r="O7">
        <v>110</v>
      </c>
      <c r="V7" s="4" t="s">
        <v>146</v>
      </c>
      <c r="W7" s="4" t="s">
        <v>152</v>
      </c>
      <c r="X7" s="4" t="s">
        <v>153</v>
      </c>
      <c r="Y7" s="4" t="s">
        <v>94</v>
      </c>
      <c r="Z7" s="5">
        <v>0.22</v>
      </c>
      <c r="AA7" s="5">
        <v>0.01</v>
      </c>
      <c r="AB7" s="4">
        <v>100</v>
      </c>
      <c r="AC7" s="4">
        <v>1</v>
      </c>
      <c r="AD7">
        <v>10</v>
      </c>
      <c r="AF7" s="43" t="s">
        <v>330</v>
      </c>
      <c r="AG7" t="s">
        <v>17</v>
      </c>
      <c r="AH7" s="2"/>
      <c r="AK7" s="45">
        <v>0.09</v>
      </c>
      <c r="AL7" s="3">
        <v>4.4999999999999998E-2</v>
      </c>
      <c r="AM7" s="44"/>
      <c r="AN7">
        <v>100</v>
      </c>
      <c r="AO7">
        <v>100</v>
      </c>
      <c r="AQ7" t="s">
        <v>331</v>
      </c>
    </row>
    <row r="8" spans="1:46" x14ac:dyDescent="0.25">
      <c r="D8" t="s">
        <v>55</v>
      </c>
      <c r="E8" t="s">
        <v>116</v>
      </c>
      <c r="F8">
        <v>34</v>
      </c>
      <c r="G8">
        <v>1.05</v>
      </c>
      <c r="H8" s="2">
        <v>0.2</v>
      </c>
      <c r="I8">
        <f>+Gruppi[[#This Row],[Molt.]]*Gruppi[[#This Row],[Magg.]]*(1+Gruppi[[#This Row],[Ult. Riv.]])</f>
        <v>42.84</v>
      </c>
      <c r="L8" t="s">
        <v>30</v>
      </c>
      <c r="M8" t="s">
        <v>31</v>
      </c>
      <c r="N8">
        <v>120</v>
      </c>
      <c r="O8">
        <v>120</v>
      </c>
      <c r="V8" t="s">
        <v>146</v>
      </c>
      <c r="W8" t="s">
        <v>156</v>
      </c>
      <c r="X8" t="s">
        <v>157</v>
      </c>
      <c r="Y8" t="s">
        <v>155</v>
      </c>
      <c r="Z8" s="2">
        <v>0</v>
      </c>
      <c r="AA8" s="3">
        <v>4.4999999999999998E-2</v>
      </c>
      <c r="AB8">
        <v>100</v>
      </c>
      <c r="AC8">
        <v>1</v>
      </c>
      <c r="AD8">
        <v>10</v>
      </c>
      <c r="AF8" s="43" t="s">
        <v>332</v>
      </c>
      <c r="AG8" t="s">
        <v>17</v>
      </c>
      <c r="AH8" s="2"/>
      <c r="AK8" s="2">
        <v>0.02</v>
      </c>
      <c r="AL8" s="2">
        <v>0.01</v>
      </c>
      <c r="AM8" s="44"/>
      <c r="AN8">
        <v>100</v>
      </c>
      <c r="AO8">
        <v>100</v>
      </c>
      <c r="AQ8" t="s">
        <v>331</v>
      </c>
    </row>
    <row r="9" spans="1:46" x14ac:dyDescent="0.25">
      <c r="D9" t="s">
        <v>120</v>
      </c>
      <c r="E9" t="s">
        <v>116</v>
      </c>
      <c r="F9">
        <v>50</v>
      </c>
      <c r="G9">
        <v>1.05</v>
      </c>
      <c r="H9" s="2">
        <v>0.2</v>
      </c>
      <c r="I9">
        <f>+Gruppi[[#This Row],[Molt.]]*Gruppi[[#This Row],[Magg.]]*(1+Gruppi[[#This Row],[Ult. Riv.]])</f>
        <v>63</v>
      </c>
      <c r="L9" t="s">
        <v>32</v>
      </c>
      <c r="M9" t="s">
        <v>33</v>
      </c>
      <c r="N9">
        <v>120</v>
      </c>
      <c r="O9">
        <v>120</v>
      </c>
      <c r="V9" t="s">
        <v>146</v>
      </c>
      <c r="W9" t="s">
        <v>156</v>
      </c>
      <c r="X9" t="s">
        <v>157</v>
      </c>
      <c r="Y9" t="s">
        <v>94</v>
      </c>
      <c r="Z9" s="2">
        <v>0</v>
      </c>
      <c r="AA9" s="2">
        <v>0.01</v>
      </c>
      <c r="AB9">
        <v>100</v>
      </c>
      <c r="AC9">
        <v>1</v>
      </c>
      <c r="AD9">
        <v>10</v>
      </c>
      <c r="AF9" s="43" t="s">
        <v>333</v>
      </c>
      <c r="AG9" t="s">
        <v>17</v>
      </c>
      <c r="AH9" s="2">
        <v>0.22</v>
      </c>
      <c r="AI9">
        <v>200</v>
      </c>
      <c r="AJ9">
        <v>200</v>
      </c>
      <c r="AK9" s="46"/>
      <c r="AM9" s="44">
        <v>0.04</v>
      </c>
      <c r="AO9">
        <v>400</v>
      </c>
      <c r="AP9">
        <v>1</v>
      </c>
      <c r="AQ9" t="s">
        <v>338</v>
      </c>
    </row>
    <row r="10" spans="1:46" x14ac:dyDescent="0.25">
      <c r="D10" t="s">
        <v>121</v>
      </c>
      <c r="E10" t="s">
        <v>116</v>
      </c>
      <c r="F10">
        <v>34</v>
      </c>
      <c r="G10">
        <v>1.05</v>
      </c>
      <c r="H10" s="2">
        <v>0.2</v>
      </c>
      <c r="I10">
        <f>+Gruppi[[#This Row],[Molt.]]*Gruppi[[#This Row],[Magg.]]*(1+Gruppi[[#This Row],[Ult. Riv.]])</f>
        <v>42.84</v>
      </c>
      <c r="L10" t="s">
        <v>34</v>
      </c>
      <c r="M10" t="s">
        <v>35</v>
      </c>
      <c r="N10">
        <v>120</v>
      </c>
      <c r="O10">
        <v>110</v>
      </c>
      <c r="V10" t="s">
        <v>146</v>
      </c>
      <c r="W10" t="s">
        <v>158</v>
      </c>
      <c r="X10" t="s">
        <v>159</v>
      </c>
      <c r="Y10" t="s">
        <v>155</v>
      </c>
      <c r="Z10" s="2">
        <v>0</v>
      </c>
      <c r="AA10" s="3">
        <v>4.4999999999999998E-2</v>
      </c>
      <c r="AB10">
        <v>100</v>
      </c>
      <c r="AC10">
        <v>1</v>
      </c>
      <c r="AD10">
        <v>10</v>
      </c>
      <c r="AF10" s="43" t="s">
        <v>334</v>
      </c>
      <c r="AG10" t="s">
        <v>17</v>
      </c>
      <c r="AH10" s="2"/>
      <c r="AI10">
        <v>200</v>
      </c>
      <c r="AJ10">
        <v>200</v>
      </c>
      <c r="AK10" s="47"/>
      <c r="AM10" s="44">
        <v>0.04</v>
      </c>
      <c r="AO10">
        <v>400</v>
      </c>
      <c r="AP10">
        <v>1</v>
      </c>
      <c r="AQ10" t="s">
        <v>368</v>
      </c>
    </row>
    <row r="11" spans="1:46" x14ac:dyDescent="0.25">
      <c r="L11" t="s">
        <v>36</v>
      </c>
      <c r="M11" t="s">
        <v>37</v>
      </c>
      <c r="N11">
        <v>60</v>
      </c>
      <c r="V11" t="s">
        <v>146</v>
      </c>
      <c r="W11" t="s">
        <v>158</v>
      </c>
      <c r="X11" t="s">
        <v>159</v>
      </c>
      <c r="Y11" t="s">
        <v>94</v>
      </c>
      <c r="Z11" s="2">
        <v>0</v>
      </c>
      <c r="AA11" s="2">
        <v>0.01</v>
      </c>
      <c r="AB11">
        <v>100</v>
      </c>
      <c r="AC11">
        <v>1</v>
      </c>
      <c r="AD11">
        <v>10</v>
      </c>
      <c r="AF11" s="43" t="s">
        <v>335</v>
      </c>
      <c r="AG11" t="s">
        <v>17</v>
      </c>
      <c r="AH11" s="2"/>
      <c r="AI11" s="2"/>
      <c r="AK11" s="2">
        <v>0.04</v>
      </c>
      <c r="AL11" s="2">
        <v>0.02</v>
      </c>
      <c r="AM11" s="44">
        <v>0.03</v>
      </c>
      <c r="AO11">
        <v>400</v>
      </c>
      <c r="AP11">
        <v>1</v>
      </c>
      <c r="AQ11" t="s">
        <v>331</v>
      </c>
    </row>
    <row r="12" spans="1:46" x14ac:dyDescent="0.25">
      <c r="L12" t="s">
        <v>38</v>
      </c>
      <c r="M12" t="s">
        <v>39</v>
      </c>
      <c r="N12">
        <v>120</v>
      </c>
      <c r="V12" t="s">
        <v>175</v>
      </c>
      <c r="W12" t="s">
        <v>147</v>
      </c>
      <c r="X12" t="s">
        <v>153</v>
      </c>
      <c r="Z12" s="2">
        <v>0.22</v>
      </c>
      <c r="AA12">
        <v>200</v>
      </c>
      <c r="AB12">
        <v>400</v>
      </c>
      <c r="AC12">
        <v>1</v>
      </c>
      <c r="AD12">
        <v>10</v>
      </c>
      <c r="AF12" s="43" t="s">
        <v>336</v>
      </c>
      <c r="AG12" t="s">
        <v>17</v>
      </c>
      <c r="AH12" s="2"/>
      <c r="AI12" s="2"/>
      <c r="AK12" s="2">
        <v>0.09</v>
      </c>
      <c r="AL12" s="3">
        <v>4.4999999999999998E-2</v>
      </c>
      <c r="AM12" s="44"/>
      <c r="AO12">
        <v>100</v>
      </c>
      <c r="AP12">
        <v>1</v>
      </c>
      <c r="AQ12" t="s">
        <v>331</v>
      </c>
    </row>
    <row r="13" spans="1:46" x14ac:dyDescent="0.25">
      <c r="L13" t="s">
        <v>40</v>
      </c>
      <c r="M13" t="s">
        <v>41</v>
      </c>
      <c r="N13">
        <v>168</v>
      </c>
      <c r="V13" t="s">
        <v>175</v>
      </c>
      <c r="W13" t="s">
        <v>152</v>
      </c>
      <c r="X13" t="s">
        <v>160</v>
      </c>
      <c r="Z13" s="2">
        <v>0.22</v>
      </c>
      <c r="AA13">
        <v>200</v>
      </c>
      <c r="AB13">
        <v>400</v>
      </c>
      <c r="AC13">
        <v>1</v>
      </c>
      <c r="AD13">
        <v>10</v>
      </c>
      <c r="AF13" s="43" t="s">
        <v>162</v>
      </c>
      <c r="AG13" t="s">
        <v>15</v>
      </c>
      <c r="AH13" s="2">
        <v>0.22</v>
      </c>
      <c r="AI13">
        <v>200</v>
      </c>
      <c r="AJ13">
        <v>200</v>
      </c>
      <c r="AM13" s="44"/>
      <c r="AN13">
        <v>400</v>
      </c>
      <c r="AO13">
        <v>400</v>
      </c>
      <c r="AP13">
        <v>1</v>
      </c>
      <c r="AQ13" t="s">
        <v>338</v>
      </c>
    </row>
    <row r="14" spans="1:46" x14ac:dyDescent="0.25">
      <c r="L14" t="s">
        <v>42</v>
      </c>
      <c r="M14" t="s">
        <v>43</v>
      </c>
      <c r="N14">
        <v>168</v>
      </c>
      <c r="V14" t="s">
        <v>175</v>
      </c>
      <c r="W14" t="s">
        <v>156</v>
      </c>
      <c r="X14" t="s">
        <v>169</v>
      </c>
      <c r="Z14" s="2">
        <v>0</v>
      </c>
      <c r="AA14">
        <v>200</v>
      </c>
      <c r="AB14">
        <v>400</v>
      </c>
      <c r="AC14">
        <v>1</v>
      </c>
      <c r="AD14">
        <v>10</v>
      </c>
      <c r="AF14" s="43" t="s">
        <v>366</v>
      </c>
      <c r="AG14" t="s">
        <v>15</v>
      </c>
      <c r="AH14" s="2"/>
      <c r="AK14" s="2">
        <v>0.09</v>
      </c>
      <c r="AL14" s="3">
        <v>4.4999999999999998E-2</v>
      </c>
      <c r="AM14" s="44"/>
      <c r="AN14">
        <v>100</v>
      </c>
      <c r="AO14">
        <v>100</v>
      </c>
      <c r="AP14">
        <v>1</v>
      </c>
      <c r="AQ14" t="s">
        <v>331</v>
      </c>
    </row>
    <row r="15" spans="1:46" x14ac:dyDescent="0.25">
      <c r="L15" t="s">
        <v>44</v>
      </c>
      <c r="M15" t="s">
        <v>45</v>
      </c>
      <c r="N15">
        <v>168</v>
      </c>
      <c r="V15" t="s">
        <v>175</v>
      </c>
      <c r="W15" t="s">
        <v>158</v>
      </c>
      <c r="X15" t="s">
        <v>159</v>
      </c>
      <c r="Z15" s="2">
        <v>0</v>
      </c>
      <c r="AA15" s="3">
        <v>4.4999999999999998E-2</v>
      </c>
      <c r="AB15">
        <v>400</v>
      </c>
      <c r="AC15">
        <v>1</v>
      </c>
      <c r="AD15">
        <v>10</v>
      </c>
      <c r="AF15" s="43" t="s">
        <v>161</v>
      </c>
      <c r="AG15" t="s">
        <v>15</v>
      </c>
      <c r="AH15" s="2">
        <v>0</v>
      </c>
      <c r="AK15" s="2">
        <v>0.15</v>
      </c>
      <c r="AL15" s="3">
        <v>7.4999999999999997E-2</v>
      </c>
      <c r="AM15" s="44"/>
      <c r="AN15">
        <v>100</v>
      </c>
      <c r="AO15">
        <v>100</v>
      </c>
      <c r="AP15">
        <v>1</v>
      </c>
      <c r="AQ15" t="s">
        <v>331</v>
      </c>
    </row>
    <row r="16" spans="1:46" x14ac:dyDescent="0.25">
      <c r="L16" t="s">
        <v>46</v>
      </c>
      <c r="M16" t="s">
        <v>47</v>
      </c>
      <c r="N16">
        <v>168</v>
      </c>
      <c r="V16" t="s">
        <v>175</v>
      </c>
      <c r="W16" t="s">
        <v>158</v>
      </c>
      <c r="X16" t="s">
        <v>159</v>
      </c>
      <c r="Z16" s="2">
        <v>0</v>
      </c>
      <c r="AA16" s="2">
        <v>0.02</v>
      </c>
      <c r="AB16">
        <v>100</v>
      </c>
      <c r="AC16">
        <v>1</v>
      </c>
      <c r="AD16">
        <v>10</v>
      </c>
      <c r="AF16" s="43" t="s">
        <v>250</v>
      </c>
      <c r="AG16" t="s">
        <v>15</v>
      </c>
      <c r="AH16">
        <v>0</v>
      </c>
      <c r="AI16">
        <v>200</v>
      </c>
      <c r="AJ16">
        <v>200</v>
      </c>
      <c r="AM16" s="44">
        <v>0.01</v>
      </c>
      <c r="AN16">
        <v>200</v>
      </c>
      <c r="AO16">
        <v>400</v>
      </c>
      <c r="AP16">
        <v>1</v>
      </c>
      <c r="AQ16" t="s">
        <v>331</v>
      </c>
    </row>
    <row r="17" spans="1:43" x14ac:dyDescent="0.25">
      <c r="L17" t="s">
        <v>48</v>
      </c>
      <c r="M17" t="s">
        <v>49</v>
      </c>
      <c r="N17">
        <v>168</v>
      </c>
      <c r="V17" t="s">
        <v>162</v>
      </c>
      <c r="W17" t="s">
        <v>171</v>
      </c>
      <c r="X17" t="s">
        <v>170</v>
      </c>
      <c r="Z17" s="2">
        <v>0.22</v>
      </c>
      <c r="AA17">
        <v>200</v>
      </c>
      <c r="AB17">
        <v>400</v>
      </c>
      <c r="AC17">
        <v>1</v>
      </c>
      <c r="AD17">
        <v>10</v>
      </c>
      <c r="AF17" s="43" t="s">
        <v>163</v>
      </c>
      <c r="AG17" t="s">
        <v>15</v>
      </c>
      <c r="AH17" s="2">
        <v>0</v>
      </c>
      <c r="AK17" s="2">
        <v>0.09</v>
      </c>
      <c r="AL17" s="3">
        <v>4.4999999999999998E-2</v>
      </c>
      <c r="AM17" s="44"/>
      <c r="AN17">
        <v>100</v>
      </c>
      <c r="AO17">
        <v>100</v>
      </c>
      <c r="AP17">
        <v>1</v>
      </c>
      <c r="AQ17" t="s">
        <v>157</v>
      </c>
    </row>
    <row r="18" spans="1:43" x14ac:dyDescent="0.25">
      <c r="A18" t="s">
        <v>371</v>
      </c>
      <c r="L18" t="s">
        <v>50</v>
      </c>
      <c r="M18" t="s">
        <v>88</v>
      </c>
      <c r="N18">
        <v>168</v>
      </c>
      <c r="V18" t="s">
        <v>161</v>
      </c>
      <c r="W18" t="s">
        <v>171</v>
      </c>
      <c r="X18" t="s">
        <v>181</v>
      </c>
      <c r="Z18" s="2">
        <v>0</v>
      </c>
      <c r="AA18">
        <v>200</v>
      </c>
      <c r="AB18">
        <v>400</v>
      </c>
      <c r="AD18">
        <v>10</v>
      </c>
      <c r="AF18" s="42" t="s">
        <v>337</v>
      </c>
      <c r="AG18" t="s">
        <v>17</v>
      </c>
      <c r="AH18" s="2">
        <v>0.22</v>
      </c>
      <c r="AM18" s="44"/>
      <c r="AP18">
        <v>1</v>
      </c>
      <c r="AQ18" t="s">
        <v>338</v>
      </c>
    </row>
    <row r="19" spans="1:43" x14ac:dyDescent="0.25">
      <c r="L19" t="s">
        <v>51</v>
      </c>
      <c r="M19" t="s">
        <v>52</v>
      </c>
      <c r="N19">
        <v>168</v>
      </c>
      <c r="V19" t="s">
        <v>161</v>
      </c>
      <c r="W19" t="s">
        <v>171</v>
      </c>
      <c r="X19" t="s">
        <v>164</v>
      </c>
      <c r="Z19" s="2">
        <v>0</v>
      </c>
      <c r="AA19" s="3">
        <v>7.4999999999999997E-2</v>
      </c>
      <c r="AB19">
        <v>100</v>
      </c>
      <c r="AC19">
        <v>1</v>
      </c>
      <c r="AD19">
        <v>10</v>
      </c>
    </row>
    <row r="20" spans="1:43" x14ac:dyDescent="0.25">
      <c r="L20" t="s">
        <v>53</v>
      </c>
      <c r="M20" t="s">
        <v>54</v>
      </c>
      <c r="N20">
        <v>168</v>
      </c>
      <c r="V20" t="s">
        <v>163</v>
      </c>
      <c r="W20" t="s">
        <v>171</v>
      </c>
      <c r="X20" t="s">
        <v>159</v>
      </c>
      <c r="Z20" s="2">
        <v>0</v>
      </c>
      <c r="AA20" s="3">
        <v>4.4999999999999998E-2</v>
      </c>
      <c r="AB20">
        <v>100</v>
      </c>
      <c r="AC20">
        <v>1</v>
      </c>
      <c r="AD20">
        <v>10</v>
      </c>
    </row>
    <row r="21" spans="1:43" x14ac:dyDescent="0.25">
      <c r="L21" t="s">
        <v>55</v>
      </c>
      <c r="M21" t="s">
        <v>56</v>
      </c>
      <c r="N21">
        <v>40.799999999999997</v>
      </c>
      <c r="V21" t="s">
        <v>165</v>
      </c>
      <c r="W21" t="s">
        <v>171</v>
      </c>
      <c r="Z21" s="2">
        <v>0.22</v>
      </c>
      <c r="AA21">
        <v>0</v>
      </c>
      <c r="AB21">
        <v>0</v>
      </c>
      <c r="AC21">
        <v>1</v>
      </c>
      <c r="AD21">
        <v>5</v>
      </c>
    </row>
    <row r="22" spans="1:43" x14ac:dyDescent="0.25">
      <c r="L22" t="s">
        <v>57</v>
      </c>
      <c r="M22" t="s">
        <v>58</v>
      </c>
      <c r="N22">
        <v>120</v>
      </c>
    </row>
    <row r="23" spans="1:43" x14ac:dyDescent="0.25">
      <c r="L23" t="s">
        <v>59</v>
      </c>
      <c r="M23" t="s">
        <v>60</v>
      </c>
      <c r="N23">
        <v>120</v>
      </c>
    </row>
    <row r="24" spans="1:43" x14ac:dyDescent="0.25">
      <c r="L24" t="s">
        <v>61</v>
      </c>
      <c r="M24" t="s">
        <v>62</v>
      </c>
      <c r="N24">
        <v>120</v>
      </c>
    </row>
    <row r="25" spans="1:43" x14ac:dyDescent="0.25">
      <c r="L25" t="s">
        <v>63</v>
      </c>
      <c r="M25" t="s">
        <v>64</v>
      </c>
      <c r="N25">
        <v>120</v>
      </c>
    </row>
    <row r="26" spans="1:43" x14ac:dyDescent="0.25">
      <c r="L26" t="s">
        <v>65</v>
      </c>
      <c r="M26" t="s">
        <v>66</v>
      </c>
      <c r="N26">
        <v>120</v>
      </c>
    </row>
    <row r="27" spans="1:43" x14ac:dyDescent="0.25">
      <c r="G27" s="3"/>
      <c r="L27" t="s">
        <v>67</v>
      </c>
      <c r="M27" t="s">
        <v>68</v>
      </c>
      <c r="N27">
        <v>120</v>
      </c>
    </row>
    <row r="28" spans="1:43" x14ac:dyDescent="0.25">
      <c r="L28" t="s">
        <v>69</v>
      </c>
      <c r="M28" t="s">
        <v>70</v>
      </c>
      <c r="N28">
        <v>60</v>
      </c>
    </row>
    <row r="29" spans="1:43" x14ac:dyDescent="0.25">
      <c r="L29" t="s">
        <v>71</v>
      </c>
      <c r="M29" t="s">
        <v>72</v>
      </c>
      <c r="N29">
        <v>60</v>
      </c>
    </row>
    <row r="30" spans="1:43" x14ac:dyDescent="0.25">
      <c r="L30" t="s">
        <v>73</v>
      </c>
      <c r="M30" t="s">
        <v>74</v>
      </c>
      <c r="N30">
        <v>60</v>
      </c>
    </row>
    <row r="31" spans="1:43" x14ac:dyDescent="0.25">
      <c r="L31" t="s">
        <v>75</v>
      </c>
      <c r="M31" t="s">
        <v>76</v>
      </c>
      <c r="N31">
        <v>60</v>
      </c>
    </row>
    <row r="32" spans="1:43" x14ac:dyDescent="0.25">
      <c r="L32" t="s">
        <v>77</v>
      </c>
      <c r="M32" t="s">
        <v>78</v>
      </c>
      <c r="N32">
        <v>60</v>
      </c>
    </row>
    <row r="33" spans="12:14" x14ac:dyDescent="0.25">
      <c r="L33" t="s">
        <v>79</v>
      </c>
      <c r="M33" t="s">
        <v>80</v>
      </c>
      <c r="N33">
        <v>60</v>
      </c>
    </row>
    <row r="34" spans="12:14" x14ac:dyDescent="0.25">
      <c r="L34" t="s">
        <v>81</v>
      </c>
      <c r="M34" t="s">
        <v>89</v>
      </c>
      <c r="N34">
        <v>60</v>
      </c>
    </row>
    <row r="35" spans="12:14" x14ac:dyDescent="0.25">
      <c r="L35" t="s">
        <v>82</v>
      </c>
      <c r="M35" t="s">
        <v>90</v>
      </c>
      <c r="N35">
        <v>60</v>
      </c>
    </row>
    <row r="36" spans="12:14" x14ac:dyDescent="0.25">
      <c r="L36" t="s">
        <v>83</v>
      </c>
      <c r="M36" t="s">
        <v>91</v>
      </c>
      <c r="N36">
        <v>60</v>
      </c>
    </row>
    <row r="37" spans="12:14" x14ac:dyDescent="0.25">
      <c r="L37" t="s">
        <v>84</v>
      </c>
      <c r="M37" t="s">
        <v>85</v>
      </c>
      <c r="N37">
        <v>60</v>
      </c>
    </row>
  </sheetData>
  <pageMargins left="0.7" right="0.7" top="0.75" bottom="0.75" header="0.3" footer="0.3"/>
  <pageSetup paperSize="9" orientation="portrait" horizontalDpi="4294967292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oglio7">
    <pageSetUpPr fitToPage="1"/>
  </sheetPr>
  <dimension ref="A1:AB204"/>
  <sheetViews>
    <sheetView showGridLines="0" topLeftCell="H1" zoomScaleNormal="100" workbookViewId="0">
      <selection activeCell="P5" sqref="P5"/>
    </sheetView>
  </sheetViews>
  <sheetFormatPr defaultColWidth="9.140625" defaultRowHeight="14.25" x14ac:dyDescent="0.2"/>
  <cols>
    <col min="1" max="1" width="20.5703125" style="56" bestFit="1" customWidth="1"/>
    <col min="2" max="2" width="19.85546875" style="56" customWidth="1"/>
    <col min="3" max="3" width="27.42578125" style="56" customWidth="1"/>
    <col min="4" max="4" width="16.28515625" style="56" customWidth="1"/>
    <col min="5" max="5" width="20.7109375" style="56" customWidth="1"/>
    <col min="6" max="6" width="62.42578125" style="56" bestFit="1" customWidth="1"/>
    <col min="7" max="7" width="14.7109375" style="56" customWidth="1"/>
    <col min="8" max="8" width="18.7109375" style="56" customWidth="1"/>
    <col min="9" max="9" width="16.85546875" style="56" bestFit="1" customWidth="1"/>
    <col min="10" max="10" width="15" style="56" customWidth="1"/>
    <col min="11" max="11" width="12.140625" style="56" customWidth="1"/>
    <col min="12" max="12" width="17.28515625" style="56" customWidth="1"/>
    <col min="13" max="13" width="16.85546875" style="56" bestFit="1" customWidth="1"/>
    <col min="14" max="14" width="19.7109375" style="56" customWidth="1"/>
    <col min="15" max="15" width="13.85546875" style="56" customWidth="1"/>
    <col min="16" max="16" width="16.5703125" style="56" customWidth="1"/>
    <col min="17" max="17" width="18.140625" style="56" bestFit="1" customWidth="1"/>
    <col min="18" max="18" width="12" style="56" bestFit="1" customWidth="1"/>
    <col min="19" max="19" width="16.7109375" style="56" customWidth="1"/>
    <col min="20" max="20" width="21.28515625" style="56" bestFit="1" customWidth="1"/>
    <col min="21" max="21" width="22.7109375" style="56" bestFit="1" customWidth="1"/>
    <col min="22" max="22" width="15.85546875" style="56" bestFit="1" customWidth="1"/>
    <col min="23" max="23" width="14.85546875" style="56" customWidth="1"/>
    <col min="24" max="24" width="14.5703125" style="56" customWidth="1"/>
    <col min="25" max="25" width="13.5703125" style="56" customWidth="1"/>
    <col min="26" max="26" width="13.7109375" style="56" customWidth="1"/>
    <col min="27" max="27" width="15.28515625" style="56" bestFit="1" customWidth="1"/>
    <col min="28" max="28" width="18.140625" style="56" bestFit="1" customWidth="1"/>
    <col min="29" max="16384" width="9.140625" style="56"/>
  </cols>
  <sheetData>
    <row r="1" spans="1:28" ht="108" customHeight="1" x14ac:dyDescent="0.2"/>
    <row r="2" spans="1:28" ht="54.95" customHeight="1" x14ac:dyDescent="0.2">
      <c r="AA2" s="169" t="s">
        <v>326</v>
      </c>
      <c r="AB2" s="169" t="s">
        <v>201</v>
      </c>
    </row>
    <row r="3" spans="1:28" ht="26.25" customHeight="1" x14ac:dyDescent="0.2">
      <c r="A3" s="170" t="str">
        <f ca="1">+DATI!B19</f>
        <v>Assegnazione</v>
      </c>
      <c r="B3" s="170"/>
      <c r="C3" s="170"/>
      <c r="D3" s="170"/>
      <c r="E3" s="170"/>
      <c r="F3" s="170"/>
      <c r="G3" s="170"/>
      <c r="H3" s="229">
        <f>+SUM(Assegnazione[Valore Fiscalmente riconosciuto])</f>
        <v>0</v>
      </c>
      <c r="I3" s="229">
        <f>+SUM(Assegnazione[Valore Normale])</f>
        <v>230000</v>
      </c>
      <c r="J3" s="229"/>
      <c r="K3" s="229"/>
      <c r="L3" s="229">
        <f>+SUM(Assegnazione[Valore Catastale])</f>
        <v>201600</v>
      </c>
      <c r="M3" s="229">
        <f>+SUM(Assegnazione[Valore ai fini dell''atto])</f>
        <v>201600</v>
      </c>
      <c r="N3" s="229">
        <f>+SUM(Assegnazione[Valore fiscale ai fini della Tassazione soci])</f>
        <v>0</v>
      </c>
      <c r="O3" s="229"/>
      <c r="P3" s="229">
        <f>+SUM(Assegnazione[Tassazione diretta senza agevolazione])</f>
        <v>98900</v>
      </c>
      <c r="Q3" s="229">
        <f>+SUM(Assegnazione[IRAP])</f>
        <v>8970</v>
      </c>
      <c r="R3" s="229">
        <f>+SUM(Assegnazione[Iva se dovuta])</f>
        <v>0</v>
      </c>
      <c r="S3" s="229">
        <f>+SUM(Assegnazione[Imposta di registro senza agevolazione])</f>
        <v>200</v>
      </c>
      <c r="T3" s="229">
        <f>+SUM(Assegnazione[Ipotecaria e catastale senza agevolazione])</f>
        <v>9200</v>
      </c>
      <c r="U3" s="229">
        <f>+SUM(Assegnazione[Tassazione totale senza agevolazione])</f>
        <v>117270</v>
      </c>
      <c r="V3" s="229">
        <f>+Beni!R3*DATI!$E$27</f>
        <v>16128</v>
      </c>
      <c r="W3" s="229">
        <f>+SUM(Assegnazione[Imposta di registro in misura fissa])</f>
        <v>200</v>
      </c>
      <c r="X3" s="229"/>
      <c r="Y3" s="229">
        <f>+SUM(Assegnazione[Imposta di registro agevolata])*(p&lt;3)+(p=3)*200</f>
        <v>200</v>
      </c>
      <c r="Z3" s="229">
        <f>+SUM(Assegnazione[Ipotecaria catastale agevolata])</f>
        <v>400</v>
      </c>
      <c r="AA3" s="229">
        <f>+Y3+Z3+V3</f>
        <v>16728</v>
      </c>
      <c r="AB3" s="229">
        <f>+U3-AA3</f>
        <v>100542</v>
      </c>
    </row>
    <row r="4" spans="1:28" ht="59.25" customHeight="1" x14ac:dyDescent="0.2">
      <c r="A4" s="227" t="s">
        <v>13</v>
      </c>
      <c r="B4" s="227" t="s">
        <v>99</v>
      </c>
      <c r="C4" s="227" t="s">
        <v>100</v>
      </c>
      <c r="D4" s="171" t="s">
        <v>228</v>
      </c>
      <c r="E4" s="171" t="s">
        <v>227</v>
      </c>
      <c r="F4" s="171" t="s">
        <v>167</v>
      </c>
      <c r="G4" s="171" t="s">
        <v>3</v>
      </c>
      <c r="H4" s="171" t="s">
        <v>192</v>
      </c>
      <c r="I4" s="171" t="s">
        <v>97</v>
      </c>
      <c r="J4" s="171" t="s">
        <v>243</v>
      </c>
      <c r="K4" s="171" t="s">
        <v>244</v>
      </c>
      <c r="L4" s="171" t="s">
        <v>203</v>
      </c>
      <c r="M4" s="171" t="s">
        <v>205</v>
      </c>
      <c r="N4" s="171" t="s">
        <v>246</v>
      </c>
      <c r="O4" s="171" t="s">
        <v>315</v>
      </c>
      <c r="P4" s="171" t="s">
        <v>194</v>
      </c>
      <c r="Q4" s="171" t="s">
        <v>202</v>
      </c>
      <c r="R4" s="171" t="s">
        <v>195</v>
      </c>
      <c r="S4" s="171" t="s">
        <v>196</v>
      </c>
      <c r="T4" s="171" t="s">
        <v>197</v>
      </c>
      <c r="U4" s="171" t="s">
        <v>200</v>
      </c>
      <c r="V4" s="171" t="s">
        <v>310</v>
      </c>
      <c r="W4" s="171" t="s">
        <v>318</v>
      </c>
      <c r="X4" s="171" t="s">
        <v>319</v>
      </c>
      <c r="Y4" s="171" t="s">
        <v>198</v>
      </c>
      <c r="Z4" s="171" t="s">
        <v>199</v>
      </c>
    </row>
    <row r="5" spans="1:28" x14ac:dyDescent="0.2">
      <c r="A5" s="123" t="s">
        <v>397</v>
      </c>
      <c r="B5" s="132">
        <v>0.5</v>
      </c>
      <c r="C5" s="123" t="s">
        <v>386</v>
      </c>
      <c r="D5" s="172">
        <f>+SUMIF(B[Bene],Assegnazione[[#This Row],[Bene]],B[Imponibile Iva])*Assegnazione[[#This Row],[Quota di assegnazione]]</f>
        <v>0</v>
      </c>
      <c r="E5" s="172">
        <f>+SUMIF(B[Bene],Assegnazione[[#This Row],[Bene]],B[Valore inserito manualmente])*Assegnazione[[#This Row],[Quota di assegnazione]]</f>
        <v>0</v>
      </c>
      <c r="F5" s="173" t="str">
        <f>+IF(A5="","",VLOOKUP(Assegnazione[[#This Row],[Bene]],B[],3,0))</f>
        <v>Immobili Strumentali &gt;5 anni o no Iva per opzione</v>
      </c>
      <c r="G5" s="129">
        <f>+IFERROR(VLOOKUP(Assegnazione[[#This Row],[Bene]],B[],MATCH("Agevolabile",Beni!$A$4:$AC$4,0),0)*VLOOKUP(Assegnazione[[#This Row],[Socio]],A_1[],8,0),"")</f>
        <v>1</v>
      </c>
      <c r="H5" s="172">
        <f>+SUMIF(B[Bene],Assegnazione[[#This Row],[Bene]],B[Valore netto contabile fiscalmente riconosciuto])*Assegnazione[[#This Row],[Quota di assegnazione]]</f>
        <v>0</v>
      </c>
      <c r="I5" s="172">
        <f>+SUMIF(B[Bene],Assegnazione[[#This Row],[Bene]],B[Valore normale])*Assegnazione[[#This Row],[Quota di assegnazione]]</f>
        <v>115000</v>
      </c>
      <c r="J5" s="174">
        <f>+IF(Assegnazione[[#This Row],[Bene]]="",0,SUMIF(Assegnazione[Socio],Assegnazione[[#This Row],[Socio]],Assegnazione[Valore Normale])/$I$3)</f>
        <v>0.5</v>
      </c>
      <c r="K5" s="174">
        <f>IF(Assegnazione[[#This Row],[Bene]]="","",SUMIF(A_1[Nome],Assegnazione[[#This Row],[Socio]],A_1[Quota partecipazione al momento dell''operazione]))</f>
        <v>0.5</v>
      </c>
      <c r="L5" s="172">
        <f>+SUMIF(B[Bene],Assegnazione[[#This Row],[Bene]],B[Valore catastale])*Assegnazione[[#This Row],[Quota di assegnazione]]</f>
        <v>100800</v>
      </c>
      <c r="M5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100800</v>
      </c>
      <c r="N5" s="172">
        <f>+MIN(Assegnazione[[#This Row],[Valore ai fini dell''atto]],Assegnazione[[#This Row],[Valore Fiscalmente riconosciuto]])</f>
        <v>0</v>
      </c>
      <c r="O5" s="146" t="str">
        <f>+IFERROR(VLOOKUP(Assegnazione[[#This Row],[Bene]],B[],MATCH($O$4,Beni!$A$4:$Z$4,0),0),"")</f>
        <v>s</v>
      </c>
      <c r="P5" s="175">
        <f>+IF(Assegnazione[[#This Row],[Valore Fiscalmente riconosciuto]]&gt;Assegnazione[[#This Row],[Valore Normale]],0,(Assegnazione[[#This Row],[Valore Normale]]-Assegnazione[[#This Row],[Valore Fiscalmente riconosciuto]])*t)</f>
        <v>49450</v>
      </c>
      <c r="Q5" s="175">
        <f>+IF(Assegnazione[[#This Row],[Valore Fiscalmente riconosciuto]]&gt;Assegnazione[[#This Row],[Valore Normale]],0,(Assegnazione[[#This Row],[Valore Normale]]-Assegnazione[[#This Row],[Valore Fiscalmente riconosciuto]])*DATI!$H$23)</f>
        <v>4485</v>
      </c>
      <c r="R5" s="175">
        <f>+SUMIF(B[Bene],Assegnazione[[#This Row],[Bene]],B[Iva se dovuta])*Assegnazione[[#This Row],[Quota di assegnazione]]</f>
        <v>0</v>
      </c>
      <c r="S5" s="175">
        <f>+SUMIF(B[Bene],Assegnazione[[#This Row],[Bene]],B[Imposta di registro (fissa + prop) senza agevolazione])*Assegnazione[[#This Row],[Quota di assegnazione]]</f>
        <v>100</v>
      </c>
      <c r="T5" s="175">
        <f>+SUMIF(B[Bene],Assegnazione[[#This Row],[Bene]],B[Ipotecaria e catastale senza agevolazione])*Assegnazione[[#This Row],[Quota di assegnazione]]</f>
        <v>4600</v>
      </c>
      <c r="U5" s="176">
        <f>+SUM(Assegnazione[[#This Row],[Tassazione diretta senza agevolazione]:[Ipotecaria e catastale senza agevolazione]])</f>
        <v>58635</v>
      </c>
      <c r="V5" s="175">
        <f>+SUMIF(B[Bene],Assegnazione[[#This Row],[Bene]],B[Imponibile Imposta sostitutiva])*Assegnazione[[#This Row],[Quota di assegnazione]]*DATI!$E$27</f>
        <v>8064</v>
      </c>
      <c r="W5" s="175">
        <f>+SUMIF(B[Bene],Assegnazione[[#This Row],[Bene]],B[Imposta di registro in misura fissa agevolata])*Assegnazione[[#This Row],[Quota di assegnazione]]</f>
        <v>100</v>
      </c>
      <c r="X5" s="175">
        <f>+SUMIF(B[Bene],Assegnazione[[#This Row],[Bene]],B[Imposta di registro prop. Agevolata])*Assegnazione[[#This Row],[Quota di assegnazione]]</f>
        <v>0</v>
      </c>
      <c r="Y5" s="175">
        <f>+IFERROR(Assegnazione[[#This Row],[Imposta di registro in misura fissa]]+Assegnazione[[#This Row],[Imposta di registro prop.]],"")</f>
        <v>100</v>
      </c>
      <c r="Z5" s="175">
        <f>+SUMIF(B[Bene],Assegnazione[[#This Row],[Bene]],B[Ipotecaria catastale agevolata])*Assegnazione[[#This Row],[Quota di assegnazione]]</f>
        <v>200</v>
      </c>
    </row>
    <row r="6" spans="1:28" x14ac:dyDescent="0.2">
      <c r="A6" s="123" t="s">
        <v>397</v>
      </c>
      <c r="B6" s="132">
        <v>0.5</v>
      </c>
      <c r="C6" s="123" t="s">
        <v>387</v>
      </c>
      <c r="D6" s="172">
        <f>+SUMIF(B[Bene],Assegnazione[[#This Row],[Bene]],B[Imponibile Iva])*Assegnazione[[#This Row],[Quota di assegnazione]]</f>
        <v>0</v>
      </c>
      <c r="E6" s="172">
        <f>+SUMIF(B[Bene],Assegnazione[[#This Row],[Bene]],B[Valore inserito manualmente])*Assegnazione[[#This Row],[Quota di assegnazione]]</f>
        <v>0</v>
      </c>
      <c r="F6" s="173" t="str">
        <f>+IF(A6="","",VLOOKUP(Assegnazione[[#This Row],[Bene]],B[],3,0))</f>
        <v>Immobili Strumentali &gt;5 anni o no Iva per opzione</v>
      </c>
      <c r="G6" s="129">
        <f>+IFERROR(VLOOKUP(Assegnazione[[#This Row],[Bene]],B[],MATCH("Agevolabile",Beni!$A$4:$AC$4,0),0)*VLOOKUP(Assegnazione[[#This Row],[Socio]],A_1[],8,0),"")</f>
        <v>1</v>
      </c>
      <c r="H6" s="172">
        <f>+SUMIF(B[Bene],Assegnazione[[#This Row],[Bene]],B[Valore netto contabile fiscalmente riconosciuto])*Assegnazione[[#This Row],[Quota di assegnazione]]</f>
        <v>0</v>
      </c>
      <c r="I6" s="172">
        <f>+SUMIF(B[Bene],Assegnazione[[#This Row],[Bene]],B[Valore normale])*Assegnazione[[#This Row],[Quota di assegnazione]]</f>
        <v>115000</v>
      </c>
      <c r="J6" s="174">
        <f>+IF(Assegnazione[[#This Row],[Bene]]="",0,SUMIF(Assegnazione[Socio],Assegnazione[[#This Row],[Socio]],Assegnazione[Valore Normale])/$I$3)</f>
        <v>0.5</v>
      </c>
      <c r="K6" s="174">
        <f>IF(Assegnazione[[#This Row],[Bene]]="","",SUMIF(A_1[Nome],Assegnazione[[#This Row],[Socio]],A_1[Quota partecipazione al momento dell''operazione]))</f>
        <v>0.5</v>
      </c>
      <c r="L6" s="172">
        <f>+SUMIF(B[Bene],Assegnazione[[#This Row],[Bene]],B[Valore catastale])*Assegnazione[[#This Row],[Quota di assegnazione]]</f>
        <v>100800</v>
      </c>
      <c r="M6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100800</v>
      </c>
      <c r="N6" s="172">
        <f>+MIN(Assegnazione[[#This Row],[Valore ai fini dell''atto]],Assegnazione[[#This Row],[Valore Fiscalmente riconosciuto]])</f>
        <v>0</v>
      </c>
      <c r="O6" s="146" t="str">
        <f>+IFERROR(VLOOKUP(Assegnazione[[#This Row],[Bene]],B[],MATCH($O$4,Beni!$A$4:$Z$4,0),0),"")</f>
        <v>s</v>
      </c>
      <c r="P6" s="175">
        <f>+IF(Assegnazione[[#This Row],[Valore Fiscalmente riconosciuto]]&gt;Assegnazione[[#This Row],[Valore Normale]],0,(Assegnazione[[#This Row],[Valore Normale]]-Assegnazione[[#This Row],[Valore Fiscalmente riconosciuto]])*t)</f>
        <v>49450</v>
      </c>
      <c r="Q6" s="175">
        <f>+IF(Assegnazione[[#This Row],[Valore Fiscalmente riconosciuto]]&gt;Assegnazione[[#This Row],[Valore Normale]],0,(Assegnazione[[#This Row],[Valore Normale]]-Assegnazione[[#This Row],[Valore Fiscalmente riconosciuto]])*DATI!$H$23)</f>
        <v>4485</v>
      </c>
      <c r="R6" s="175">
        <f>+SUMIF(B[Bene],Assegnazione[[#This Row],[Bene]],B[Iva se dovuta])*Assegnazione[[#This Row],[Quota di assegnazione]]</f>
        <v>0</v>
      </c>
      <c r="S6" s="175">
        <f>+SUMIF(B[Bene],Assegnazione[[#This Row],[Bene]],B[Imposta di registro (fissa + prop) senza agevolazione])*Assegnazione[[#This Row],[Quota di assegnazione]]</f>
        <v>100</v>
      </c>
      <c r="T6" s="175">
        <f>+SUMIF(B[Bene],Assegnazione[[#This Row],[Bene]],B[Ipotecaria e catastale senza agevolazione])*Assegnazione[[#This Row],[Quota di assegnazione]]</f>
        <v>4600</v>
      </c>
      <c r="U6" s="176">
        <f>+SUM(Assegnazione[[#This Row],[Tassazione diretta senza agevolazione]:[Ipotecaria e catastale senza agevolazione]])</f>
        <v>58635</v>
      </c>
      <c r="V6" s="175">
        <f>+SUMIF(B[Bene],Assegnazione[[#This Row],[Bene]],B[Imponibile Imposta sostitutiva])*Assegnazione[[#This Row],[Quota di assegnazione]]*DATI!$E$27</f>
        <v>8064</v>
      </c>
      <c r="W6" s="175">
        <f>+SUMIF(B[Bene],Assegnazione[[#This Row],[Bene]],B[Imposta di registro in misura fissa agevolata])*Assegnazione[[#This Row],[Quota di assegnazione]]</f>
        <v>100</v>
      </c>
      <c r="X6" s="175">
        <f>+SUMIF(B[Bene],Assegnazione[[#This Row],[Bene]],B[Imposta di registro prop. Agevolata])*Assegnazione[[#This Row],[Quota di assegnazione]]</f>
        <v>0</v>
      </c>
      <c r="Y6" s="175">
        <f>+IFERROR(Assegnazione[[#This Row],[Imposta di registro in misura fissa]]+Assegnazione[[#This Row],[Imposta di registro prop.]],"")</f>
        <v>100</v>
      </c>
      <c r="Z6" s="175">
        <f>+SUMIF(B[Bene],Assegnazione[[#This Row],[Bene]],B[Ipotecaria catastale agevolata])*Assegnazione[[#This Row],[Quota di assegnazione]]</f>
        <v>200</v>
      </c>
    </row>
    <row r="7" spans="1:28" x14ac:dyDescent="0.2">
      <c r="A7" s="123"/>
      <c r="B7" s="132"/>
      <c r="C7" s="123"/>
      <c r="D7" s="172">
        <f>+SUMIF(B[Bene],Assegnazione[[#This Row],[Bene]],B[Imponibile Iva])*Assegnazione[[#This Row],[Quota di assegnazione]]</f>
        <v>0</v>
      </c>
      <c r="E7" s="172">
        <f>+SUMIF(B[Bene],Assegnazione[[#This Row],[Bene]],B[Valore inserito manualmente])*Assegnazione[[#This Row],[Quota di assegnazione]]</f>
        <v>0</v>
      </c>
      <c r="F7" s="173" t="str">
        <f>+IF(A7="","",VLOOKUP(Assegnazione[[#This Row],[Bene]],B[],3,0))</f>
        <v/>
      </c>
      <c r="G7" s="129" t="str">
        <f>+IFERROR(VLOOKUP(Assegnazione[[#This Row],[Bene]],B[],MATCH("Agevolabile",Beni!$A$4:$AC$4,0),0)*VLOOKUP(Assegnazione[[#This Row],[Socio]],A_1[],8,0),"")</f>
        <v/>
      </c>
      <c r="H7" s="172">
        <f>+SUMIF(B[Bene],Assegnazione[[#This Row],[Bene]],B[Valore netto contabile fiscalmente riconosciuto])*Assegnazione[[#This Row],[Quota di assegnazione]]</f>
        <v>0</v>
      </c>
      <c r="I7" s="172">
        <f>+SUMIF(B[Bene],Assegnazione[[#This Row],[Bene]],B[Valore normale])*Assegnazione[[#This Row],[Quota di assegnazione]]</f>
        <v>0</v>
      </c>
      <c r="J7" s="174">
        <f>+IF(Assegnazione[[#This Row],[Bene]]="",0,SUMIF(Assegnazione[Socio],Assegnazione[[#This Row],[Socio]],Assegnazione[Valore Normale])/$I$3)</f>
        <v>0</v>
      </c>
      <c r="K7" s="174" t="str">
        <f>IF(Assegnazione[[#This Row],[Bene]]="","",SUMIF(A_1[Nome],Assegnazione[[#This Row],[Socio]],A_1[Quota partecipazione al momento dell''operazione]))</f>
        <v/>
      </c>
      <c r="L7" s="172">
        <f>+SUMIF(B[Bene],Assegnazione[[#This Row],[Bene]],B[Valore catastale])*Assegnazione[[#This Row],[Quota di assegnazione]]</f>
        <v>0</v>
      </c>
      <c r="M7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" s="172">
        <f>+MIN(Assegnazione[[#This Row],[Valore ai fini dell''atto]],Assegnazione[[#This Row],[Valore Fiscalmente riconosciuto]])</f>
        <v>0</v>
      </c>
      <c r="O7" s="146" t="str">
        <f>+IFERROR(VLOOKUP(Assegnazione[[#This Row],[Bene]],B[],MATCH($O$4,Beni!$A$4:$Z$4,0),0),"")</f>
        <v/>
      </c>
      <c r="P7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" s="175">
        <f>+SUMIF(B[Bene],Assegnazione[[#This Row],[Bene]],B[Iva se dovuta])*Assegnazione[[#This Row],[Quota di assegnazione]]</f>
        <v>0</v>
      </c>
      <c r="S7" s="175">
        <f>+SUMIF(B[Bene],Assegnazione[[#This Row],[Bene]],B[Imposta di registro (fissa + prop) senza agevolazione])*Assegnazione[[#This Row],[Quota di assegnazione]]</f>
        <v>0</v>
      </c>
      <c r="T7" s="175">
        <f>+SUMIF(B[Bene],Assegnazione[[#This Row],[Bene]],B[Ipotecaria e catastale senza agevolazione])*Assegnazione[[#This Row],[Quota di assegnazione]]</f>
        <v>0</v>
      </c>
      <c r="U7" s="176">
        <f>+SUM(Assegnazione[[#This Row],[Tassazione diretta senza agevolazione]:[Ipotecaria e catastale senza agevolazione]])</f>
        <v>0</v>
      </c>
      <c r="V7" s="175">
        <f>+SUMIF(B[Bene],Assegnazione[[#This Row],[Bene]],B[Imponibile Imposta sostitutiva])*Assegnazione[[#This Row],[Quota di assegnazione]]*DATI!$E$27</f>
        <v>0</v>
      </c>
      <c r="W7" s="175">
        <f>+SUMIF(B[Bene],Assegnazione[[#This Row],[Bene]],B[Imposta di registro in misura fissa agevolata])*Assegnazione[[#This Row],[Quota di assegnazione]]</f>
        <v>0</v>
      </c>
      <c r="X7" s="175">
        <f>+SUMIF(B[Bene],Assegnazione[[#This Row],[Bene]],B[Imposta di registro prop. Agevolata])*Assegnazione[[#This Row],[Quota di assegnazione]]</f>
        <v>0</v>
      </c>
      <c r="Y7" s="175">
        <f>+IFERROR(Assegnazione[[#This Row],[Imposta di registro in misura fissa]]+Assegnazione[[#This Row],[Imposta di registro prop.]],"")</f>
        <v>0</v>
      </c>
      <c r="Z7" s="175">
        <f>+SUMIF(B[Bene],Assegnazione[[#This Row],[Bene]],B[Ipotecaria catastale agevolata])*Assegnazione[[#This Row],[Quota di assegnazione]]</f>
        <v>0</v>
      </c>
    </row>
    <row r="8" spans="1:28" x14ac:dyDescent="0.2">
      <c r="A8" s="123"/>
      <c r="B8" s="132"/>
      <c r="C8" s="123"/>
      <c r="D8" s="172">
        <f>+SUMIF(B[Bene],Assegnazione[[#This Row],[Bene]],B[Imponibile Iva])*Assegnazione[[#This Row],[Quota di assegnazione]]</f>
        <v>0</v>
      </c>
      <c r="E8" s="172">
        <f>+SUMIF(B[Bene],Assegnazione[[#This Row],[Bene]],B[Valore inserito manualmente])*Assegnazione[[#This Row],[Quota di assegnazione]]</f>
        <v>0</v>
      </c>
      <c r="F8" s="173" t="str">
        <f>+IF(A8="","",VLOOKUP(Assegnazione[[#This Row],[Bene]],B[],3,0))</f>
        <v/>
      </c>
      <c r="G8" s="129" t="str">
        <f>+IFERROR(VLOOKUP(Assegnazione[[#This Row],[Bene]],B[],MATCH("Agevolabile",Beni!$A$4:$AC$4,0),0)*VLOOKUP(Assegnazione[[#This Row],[Socio]],A_1[],8,0),"")</f>
        <v/>
      </c>
      <c r="H8" s="172">
        <f>+SUMIF(B[Bene],Assegnazione[[#This Row],[Bene]],B[Valore netto contabile fiscalmente riconosciuto])*Assegnazione[[#This Row],[Quota di assegnazione]]</f>
        <v>0</v>
      </c>
      <c r="I8" s="172">
        <f>+SUMIF(B[Bene],Assegnazione[[#This Row],[Bene]],B[Valore normale])*Assegnazione[[#This Row],[Quota di assegnazione]]</f>
        <v>0</v>
      </c>
      <c r="J8" s="174">
        <f>+IF(Assegnazione[[#This Row],[Bene]]="",0,SUMIF(Assegnazione[Socio],Assegnazione[[#This Row],[Socio]],Assegnazione[Valore Normale])/$I$3)</f>
        <v>0</v>
      </c>
      <c r="K8" s="174" t="str">
        <f>IF(Assegnazione[[#This Row],[Bene]]="","",SUMIF(A_1[Nome],Assegnazione[[#This Row],[Socio]],A_1[Quota partecipazione al momento dell''operazione]))</f>
        <v/>
      </c>
      <c r="L8" s="172">
        <f>+SUMIF(B[Bene],Assegnazione[[#This Row],[Bene]],B[Valore catastale])*Assegnazione[[#This Row],[Quota di assegnazione]]</f>
        <v>0</v>
      </c>
      <c r="M8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" s="172">
        <f>+MIN(Assegnazione[[#This Row],[Valore ai fini dell''atto]],Assegnazione[[#This Row],[Valore Fiscalmente riconosciuto]])</f>
        <v>0</v>
      </c>
      <c r="O8" s="146" t="str">
        <f>+IFERROR(VLOOKUP(Assegnazione[[#This Row],[Bene]],B[],MATCH($O$4,Beni!$A$4:$Z$4,0),0),"")</f>
        <v/>
      </c>
      <c r="P8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" s="175">
        <f>+SUMIF(B[Bene],Assegnazione[[#This Row],[Bene]],B[Iva se dovuta])*Assegnazione[[#This Row],[Quota di assegnazione]]</f>
        <v>0</v>
      </c>
      <c r="S8" s="175">
        <f>+SUMIF(B[Bene],Assegnazione[[#This Row],[Bene]],B[Imposta di registro (fissa + prop) senza agevolazione])*Assegnazione[[#This Row],[Quota di assegnazione]]</f>
        <v>0</v>
      </c>
      <c r="T8" s="175">
        <f>+SUMIF(B[Bene],Assegnazione[[#This Row],[Bene]],B[Ipotecaria e catastale senza agevolazione])*Assegnazione[[#This Row],[Quota di assegnazione]]</f>
        <v>0</v>
      </c>
      <c r="U8" s="176">
        <f>+SUM(Assegnazione[[#This Row],[Tassazione diretta senza agevolazione]:[Ipotecaria e catastale senza agevolazione]])</f>
        <v>0</v>
      </c>
      <c r="V8" s="175">
        <f>+SUMIF(B[Bene],Assegnazione[[#This Row],[Bene]],B[Imponibile Imposta sostitutiva])*Assegnazione[[#This Row],[Quota di assegnazione]]*DATI!$E$27</f>
        <v>0</v>
      </c>
      <c r="W8" s="175">
        <f>+SUMIF(B[Bene],Assegnazione[[#This Row],[Bene]],B[Imposta di registro in misura fissa agevolata])*Assegnazione[[#This Row],[Quota di assegnazione]]</f>
        <v>0</v>
      </c>
      <c r="X8" s="175">
        <f>+SUMIF(B[Bene],Assegnazione[[#This Row],[Bene]],B[Imposta di registro prop. Agevolata])*Assegnazione[[#This Row],[Quota di assegnazione]]</f>
        <v>0</v>
      </c>
      <c r="Y8" s="175">
        <f>+IFERROR(Assegnazione[[#This Row],[Imposta di registro in misura fissa]]+Assegnazione[[#This Row],[Imposta di registro prop.]],"")</f>
        <v>0</v>
      </c>
      <c r="Z8" s="175">
        <f>+SUMIF(B[Bene],Assegnazione[[#This Row],[Bene]],B[Ipotecaria catastale agevolata])*Assegnazione[[#This Row],[Quota di assegnazione]]</f>
        <v>0</v>
      </c>
    </row>
    <row r="9" spans="1:28" x14ac:dyDescent="0.2">
      <c r="A9" s="123"/>
      <c r="B9" s="132"/>
      <c r="C9" s="123"/>
      <c r="D9" s="172">
        <f>+SUMIF(B[Bene],Assegnazione[[#This Row],[Bene]],B[Imponibile Iva])*Assegnazione[[#This Row],[Quota di assegnazione]]</f>
        <v>0</v>
      </c>
      <c r="E9" s="172">
        <f>+SUMIF(B[Bene],Assegnazione[[#This Row],[Bene]],B[Valore inserito manualmente])*Assegnazione[[#This Row],[Quota di assegnazione]]</f>
        <v>0</v>
      </c>
      <c r="F9" s="173" t="str">
        <f>+IF(A9="","",VLOOKUP(Assegnazione[[#This Row],[Bene]],B[],3,0))</f>
        <v/>
      </c>
      <c r="G9" s="129" t="str">
        <f>+IFERROR(VLOOKUP(Assegnazione[[#This Row],[Bene]],B[],MATCH("Agevolabile",Beni!$A$4:$AC$4,0),0)*VLOOKUP(Assegnazione[[#This Row],[Socio]],A_1[],8,0),"")</f>
        <v/>
      </c>
      <c r="H9" s="172">
        <f>+SUMIF(B[Bene],Assegnazione[[#This Row],[Bene]],B[Valore netto contabile fiscalmente riconosciuto])*Assegnazione[[#This Row],[Quota di assegnazione]]</f>
        <v>0</v>
      </c>
      <c r="I9" s="172">
        <f>+SUMIF(B[Bene],Assegnazione[[#This Row],[Bene]],B[Valore normale])*Assegnazione[[#This Row],[Quota di assegnazione]]</f>
        <v>0</v>
      </c>
      <c r="J9" s="174">
        <f>+IF(Assegnazione[[#This Row],[Bene]]="",0,SUMIF(Assegnazione[Socio],Assegnazione[[#This Row],[Socio]],Assegnazione[Valore Normale])/$I$3)</f>
        <v>0</v>
      </c>
      <c r="K9" s="174" t="str">
        <f>IF(Assegnazione[[#This Row],[Bene]]="","",SUMIF(A_1[Nome],Assegnazione[[#This Row],[Socio]],A_1[Quota partecipazione al momento dell''operazione]))</f>
        <v/>
      </c>
      <c r="L9" s="172">
        <f>+SUMIF(B[Bene],Assegnazione[[#This Row],[Bene]],B[Valore catastale])*Assegnazione[[#This Row],[Quota di assegnazione]]</f>
        <v>0</v>
      </c>
      <c r="M9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" s="172">
        <f>+MIN(Assegnazione[[#This Row],[Valore ai fini dell''atto]],Assegnazione[[#This Row],[Valore Fiscalmente riconosciuto]])</f>
        <v>0</v>
      </c>
      <c r="O9" s="146" t="str">
        <f>+IFERROR(VLOOKUP(Assegnazione[[#This Row],[Bene]],B[],MATCH($O$4,Beni!$A$4:$Z$4,0),0),"")</f>
        <v/>
      </c>
      <c r="P9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" s="175">
        <f>+SUMIF(B[Bene],Assegnazione[[#This Row],[Bene]],B[Iva se dovuta])*Assegnazione[[#This Row],[Quota di assegnazione]]</f>
        <v>0</v>
      </c>
      <c r="S9" s="175">
        <f>+SUMIF(B[Bene],Assegnazione[[#This Row],[Bene]],B[Imposta di registro (fissa + prop) senza agevolazione])*Assegnazione[[#This Row],[Quota di assegnazione]]</f>
        <v>0</v>
      </c>
      <c r="T9" s="175">
        <f>+SUMIF(B[Bene],Assegnazione[[#This Row],[Bene]],B[Ipotecaria e catastale senza agevolazione])*Assegnazione[[#This Row],[Quota di assegnazione]]</f>
        <v>0</v>
      </c>
      <c r="U9" s="176">
        <f>+SUM(Assegnazione[[#This Row],[Tassazione diretta senza agevolazione]:[Ipotecaria e catastale senza agevolazione]])</f>
        <v>0</v>
      </c>
      <c r="V9" s="175">
        <f>+SUMIF(B[Bene],Assegnazione[[#This Row],[Bene]],B[Imponibile Imposta sostitutiva])*Assegnazione[[#This Row],[Quota di assegnazione]]*DATI!$E$27</f>
        <v>0</v>
      </c>
      <c r="W9" s="175">
        <f>+SUMIF(B[Bene],Assegnazione[[#This Row],[Bene]],B[Imposta di registro in misura fissa agevolata])*Assegnazione[[#This Row],[Quota di assegnazione]]</f>
        <v>0</v>
      </c>
      <c r="X9" s="175">
        <f>+SUMIF(B[Bene],Assegnazione[[#This Row],[Bene]],B[Imposta di registro prop. Agevolata])*Assegnazione[[#This Row],[Quota di assegnazione]]</f>
        <v>0</v>
      </c>
      <c r="Y9" s="175">
        <f>+IFERROR(Assegnazione[[#This Row],[Imposta di registro in misura fissa]]+Assegnazione[[#This Row],[Imposta di registro prop.]],"")</f>
        <v>0</v>
      </c>
      <c r="Z9" s="175">
        <f>+SUMIF(B[Bene],Assegnazione[[#This Row],[Bene]],B[Ipotecaria catastale agevolata])*Assegnazione[[#This Row],[Quota di assegnazione]]</f>
        <v>0</v>
      </c>
    </row>
    <row r="10" spans="1:28" x14ac:dyDescent="0.2">
      <c r="A10" s="123"/>
      <c r="B10" s="132"/>
      <c r="C10" s="123"/>
      <c r="D10" s="172">
        <f>+SUMIF(B[Bene],Assegnazione[[#This Row],[Bene]],B[Imponibile Iva])*Assegnazione[[#This Row],[Quota di assegnazione]]</f>
        <v>0</v>
      </c>
      <c r="E10" s="172">
        <f>+SUMIF(B[Bene],Assegnazione[[#This Row],[Bene]],B[Valore inserito manualmente])*Assegnazione[[#This Row],[Quota di assegnazione]]</f>
        <v>0</v>
      </c>
      <c r="F10" s="173" t="str">
        <f>+IF(A10="","",VLOOKUP(Assegnazione[[#This Row],[Bene]],B[],3,0))</f>
        <v/>
      </c>
      <c r="G10" s="129" t="str">
        <f>+IFERROR(VLOOKUP(Assegnazione[[#This Row],[Bene]],B[],MATCH("Agevolabile",Beni!$A$4:$AC$4,0),0)*VLOOKUP(Assegnazione[[#This Row],[Socio]],A_1[],8,0),"")</f>
        <v/>
      </c>
      <c r="H10" s="172">
        <f>+SUMIF(B[Bene],Assegnazione[[#This Row],[Bene]],B[Valore netto contabile fiscalmente riconosciuto])*Assegnazione[[#This Row],[Quota di assegnazione]]</f>
        <v>0</v>
      </c>
      <c r="I10" s="172">
        <f>+SUMIF(B[Bene],Assegnazione[[#This Row],[Bene]],B[Valore normale])*Assegnazione[[#This Row],[Quota di assegnazione]]</f>
        <v>0</v>
      </c>
      <c r="J10" s="174">
        <f>+IF(Assegnazione[[#This Row],[Bene]]="",0,SUMIF(Assegnazione[Socio],Assegnazione[[#This Row],[Socio]],Assegnazione[Valore Normale])/$I$3)</f>
        <v>0</v>
      </c>
      <c r="K10" s="174" t="str">
        <f>IF(Assegnazione[[#This Row],[Bene]]="","",SUMIF(A_1[Nome],Assegnazione[[#This Row],[Socio]],A_1[Quota partecipazione al momento dell''operazione]))</f>
        <v/>
      </c>
      <c r="L10" s="172">
        <f>+SUMIF(B[Bene],Assegnazione[[#This Row],[Bene]],B[Valore catastale])*Assegnazione[[#This Row],[Quota di assegnazione]]</f>
        <v>0</v>
      </c>
      <c r="M10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" s="172">
        <f>+MIN(Assegnazione[[#This Row],[Valore ai fini dell''atto]],Assegnazione[[#This Row],[Valore Fiscalmente riconosciuto]])</f>
        <v>0</v>
      </c>
      <c r="O10" s="146" t="str">
        <f>+IFERROR(VLOOKUP(Assegnazione[[#This Row],[Bene]],B[],MATCH($O$4,Beni!$A$4:$Z$4,0),0),"")</f>
        <v/>
      </c>
      <c r="P10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" s="175">
        <f>+SUMIF(B[Bene],Assegnazione[[#This Row],[Bene]],B[Iva se dovuta])*Assegnazione[[#This Row],[Quota di assegnazione]]</f>
        <v>0</v>
      </c>
      <c r="S10" s="175">
        <f>+SUMIF(B[Bene],Assegnazione[[#This Row],[Bene]],B[Imposta di registro (fissa + prop) senza agevolazione])*Assegnazione[[#This Row],[Quota di assegnazione]]</f>
        <v>0</v>
      </c>
      <c r="T10" s="175">
        <f>+SUMIF(B[Bene],Assegnazione[[#This Row],[Bene]],B[Ipotecaria e catastale senza agevolazione])*Assegnazione[[#This Row],[Quota di assegnazione]]</f>
        <v>0</v>
      </c>
      <c r="U10" s="176">
        <f>+SUM(Assegnazione[[#This Row],[Tassazione diretta senza agevolazione]:[Ipotecaria e catastale senza agevolazione]])</f>
        <v>0</v>
      </c>
      <c r="V10" s="175">
        <f>+SUMIF(B[Bene],Assegnazione[[#This Row],[Bene]],B[Imponibile Imposta sostitutiva])*Assegnazione[[#This Row],[Quota di assegnazione]]*DATI!$E$27</f>
        <v>0</v>
      </c>
      <c r="W10" s="175">
        <f>+SUMIF(B[Bene],Assegnazione[[#This Row],[Bene]],B[Imposta di registro in misura fissa agevolata])*Assegnazione[[#This Row],[Quota di assegnazione]]</f>
        <v>0</v>
      </c>
      <c r="X10" s="175">
        <f>+SUMIF(B[Bene],Assegnazione[[#This Row],[Bene]],B[Imposta di registro prop. Agevolata])*Assegnazione[[#This Row],[Quota di assegnazione]]</f>
        <v>0</v>
      </c>
      <c r="Y10" s="175">
        <f>+IFERROR(Assegnazione[[#This Row],[Imposta di registro in misura fissa]]+Assegnazione[[#This Row],[Imposta di registro prop.]],"")</f>
        <v>0</v>
      </c>
      <c r="Z10" s="175">
        <f>+SUMIF(B[Bene],Assegnazione[[#This Row],[Bene]],B[Ipotecaria catastale agevolata])*Assegnazione[[#This Row],[Quota di assegnazione]]</f>
        <v>0</v>
      </c>
    </row>
    <row r="11" spans="1:28" x14ac:dyDescent="0.2">
      <c r="A11" s="123"/>
      <c r="B11" s="132"/>
      <c r="C11" s="123"/>
      <c r="D11" s="172">
        <f>+SUMIF(B[Bene],Assegnazione[[#This Row],[Bene]],B[Imponibile Iva])*Assegnazione[[#This Row],[Quota di assegnazione]]</f>
        <v>0</v>
      </c>
      <c r="E11" s="172">
        <f>+SUMIF(B[Bene],Assegnazione[[#This Row],[Bene]],B[Valore inserito manualmente])*Assegnazione[[#This Row],[Quota di assegnazione]]</f>
        <v>0</v>
      </c>
      <c r="F11" s="173" t="str">
        <f>+IF(A11="","",VLOOKUP(Assegnazione[[#This Row],[Bene]],B[],3,0))</f>
        <v/>
      </c>
      <c r="G11" s="129" t="str">
        <f>+IFERROR(VLOOKUP(Assegnazione[[#This Row],[Bene]],B[],MATCH("Agevolabile",Beni!$A$4:$AC$4,0),0)*VLOOKUP(Assegnazione[[#This Row],[Socio]],A_1[],8,0),"")</f>
        <v/>
      </c>
      <c r="H11" s="172">
        <f>+SUMIF(B[Bene],Assegnazione[[#This Row],[Bene]],B[Valore netto contabile fiscalmente riconosciuto])*Assegnazione[[#This Row],[Quota di assegnazione]]</f>
        <v>0</v>
      </c>
      <c r="I11" s="172">
        <f>+SUMIF(B[Bene],Assegnazione[[#This Row],[Bene]],B[Valore normale])*Assegnazione[[#This Row],[Quota di assegnazione]]</f>
        <v>0</v>
      </c>
      <c r="J11" s="174">
        <f>+IF(Assegnazione[[#This Row],[Bene]]="",0,SUMIF(Assegnazione[Socio],Assegnazione[[#This Row],[Socio]],Assegnazione[Valore Normale])/$I$3)</f>
        <v>0</v>
      </c>
      <c r="K11" s="174" t="str">
        <f>IF(Assegnazione[[#This Row],[Bene]]="","",SUMIF(A_1[Nome],Assegnazione[[#This Row],[Socio]],A_1[Quota partecipazione al momento dell''operazione]))</f>
        <v/>
      </c>
      <c r="L11" s="172">
        <f>+SUMIF(B[Bene],Assegnazione[[#This Row],[Bene]],B[Valore catastale])*Assegnazione[[#This Row],[Quota di assegnazione]]</f>
        <v>0</v>
      </c>
      <c r="M11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" s="172">
        <f>+MIN(Assegnazione[[#This Row],[Valore ai fini dell''atto]],Assegnazione[[#This Row],[Valore Fiscalmente riconosciuto]])</f>
        <v>0</v>
      </c>
      <c r="O11" s="146" t="str">
        <f>+IFERROR(VLOOKUP(Assegnazione[[#This Row],[Bene]],B[],MATCH($O$4,Beni!$A$4:$Z$4,0),0),"")</f>
        <v/>
      </c>
      <c r="P11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" s="175">
        <f>+SUMIF(B[Bene],Assegnazione[[#This Row],[Bene]],B[Iva se dovuta])*Assegnazione[[#This Row],[Quota di assegnazione]]</f>
        <v>0</v>
      </c>
      <c r="S11" s="175">
        <f>+SUMIF(B[Bene],Assegnazione[[#This Row],[Bene]],B[Imposta di registro (fissa + prop) senza agevolazione])*Assegnazione[[#This Row],[Quota di assegnazione]]</f>
        <v>0</v>
      </c>
      <c r="T11" s="175">
        <f>+SUMIF(B[Bene],Assegnazione[[#This Row],[Bene]],B[Ipotecaria e catastale senza agevolazione])*Assegnazione[[#This Row],[Quota di assegnazione]]</f>
        <v>0</v>
      </c>
      <c r="U11" s="176">
        <f>+SUM(Assegnazione[[#This Row],[Tassazione diretta senza agevolazione]:[Ipotecaria e catastale senza agevolazione]])</f>
        <v>0</v>
      </c>
      <c r="V11" s="175">
        <f>+SUMIF(B[Bene],Assegnazione[[#This Row],[Bene]],B[Imponibile Imposta sostitutiva])*Assegnazione[[#This Row],[Quota di assegnazione]]*DATI!$E$27</f>
        <v>0</v>
      </c>
      <c r="W11" s="175">
        <f>+SUMIF(B[Bene],Assegnazione[[#This Row],[Bene]],B[Imposta di registro in misura fissa agevolata])*Assegnazione[[#This Row],[Quota di assegnazione]]</f>
        <v>0</v>
      </c>
      <c r="X11" s="175">
        <f>+SUMIF(B[Bene],Assegnazione[[#This Row],[Bene]],B[Imposta di registro prop. Agevolata])*Assegnazione[[#This Row],[Quota di assegnazione]]</f>
        <v>0</v>
      </c>
      <c r="Y11" s="175">
        <f>+IFERROR(Assegnazione[[#This Row],[Imposta di registro in misura fissa]]+Assegnazione[[#This Row],[Imposta di registro prop.]],"")</f>
        <v>0</v>
      </c>
      <c r="Z11" s="175">
        <f>+SUMIF(B[Bene],Assegnazione[[#This Row],[Bene]],B[Ipotecaria catastale agevolata])*Assegnazione[[#This Row],[Quota di assegnazione]]</f>
        <v>0</v>
      </c>
    </row>
    <row r="12" spans="1:28" x14ac:dyDescent="0.2">
      <c r="A12" s="123"/>
      <c r="B12" s="132"/>
      <c r="C12" s="123"/>
      <c r="D12" s="172">
        <f>+SUMIF(B[Bene],Assegnazione[[#This Row],[Bene]],B[Imponibile Iva])*Assegnazione[[#This Row],[Quota di assegnazione]]</f>
        <v>0</v>
      </c>
      <c r="E12" s="172">
        <f>+SUMIF(B[Bene],Assegnazione[[#This Row],[Bene]],B[Valore inserito manualmente])*Assegnazione[[#This Row],[Quota di assegnazione]]</f>
        <v>0</v>
      </c>
      <c r="F12" s="173" t="str">
        <f>+IF(A12="","",VLOOKUP(Assegnazione[[#This Row],[Bene]],B[],3,0))</f>
        <v/>
      </c>
      <c r="G12" s="129" t="str">
        <f>+IFERROR(VLOOKUP(Assegnazione[[#This Row],[Bene]],B[],MATCH("Agevolabile",Beni!$A$4:$AC$4,0),0)*VLOOKUP(Assegnazione[[#This Row],[Socio]],A_1[],8,0),"")</f>
        <v/>
      </c>
      <c r="H12" s="172">
        <f>+SUMIF(B[Bene],Assegnazione[[#This Row],[Bene]],B[Valore netto contabile fiscalmente riconosciuto])*Assegnazione[[#This Row],[Quota di assegnazione]]</f>
        <v>0</v>
      </c>
      <c r="I12" s="172">
        <f>+SUMIF(B[Bene],Assegnazione[[#This Row],[Bene]],B[Valore normale])*Assegnazione[[#This Row],[Quota di assegnazione]]</f>
        <v>0</v>
      </c>
      <c r="J12" s="174">
        <f>+IF(Assegnazione[[#This Row],[Bene]]="",0,SUMIF(Assegnazione[Socio],Assegnazione[[#This Row],[Socio]],Assegnazione[Valore Normale])/$I$3)</f>
        <v>0</v>
      </c>
      <c r="K12" s="174" t="str">
        <f>IF(Assegnazione[[#This Row],[Bene]]="","",SUMIF(A_1[Nome],Assegnazione[[#This Row],[Socio]],A_1[Quota partecipazione al momento dell''operazione]))</f>
        <v/>
      </c>
      <c r="L12" s="172">
        <f>+SUMIF(B[Bene],Assegnazione[[#This Row],[Bene]],B[Valore catastale])*Assegnazione[[#This Row],[Quota di assegnazione]]</f>
        <v>0</v>
      </c>
      <c r="M12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" s="172">
        <f>+MIN(Assegnazione[[#This Row],[Valore ai fini dell''atto]],Assegnazione[[#This Row],[Valore Fiscalmente riconosciuto]])</f>
        <v>0</v>
      </c>
      <c r="O12" s="146" t="str">
        <f>+IFERROR(VLOOKUP(Assegnazione[[#This Row],[Bene]],B[],MATCH($O$4,Beni!$A$4:$Z$4,0),0),"")</f>
        <v/>
      </c>
      <c r="P12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" s="175">
        <f>+SUMIF(B[Bene],Assegnazione[[#This Row],[Bene]],B[Iva se dovuta])*Assegnazione[[#This Row],[Quota di assegnazione]]</f>
        <v>0</v>
      </c>
      <c r="S12" s="175">
        <f>+SUMIF(B[Bene],Assegnazione[[#This Row],[Bene]],B[Imposta di registro (fissa + prop) senza agevolazione])*Assegnazione[[#This Row],[Quota di assegnazione]]</f>
        <v>0</v>
      </c>
      <c r="T12" s="175">
        <f>+SUMIF(B[Bene],Assegnazione[[#This Row],[Bene]],B[Ipotecaria e catastale senza agevolazione])*Assegnazione[[#This Row],[Quota di assegnazione]]</f>
        <v>0</v>
      </c>
      <c r="U12" s="176">
        <f>+SUM(Assegnazione[[#This Row],[Tassazione diretta senza agevolazione]:[Ipotecaria e catastale senza agevolazione]])</f>
        <v>0</v>
      </c>
      <c r="V12" s="175">
        <f>+SUMIF(B[Bene],Assegnazione[[#This Row],[Bene]],B[Imponibile Imposta sostitutiva])*Assegnazione[[#This Row],[Quota di assegnazione]]*DATI!$E$27</f>
        <v>0</v>
      </c>
      <c r="W12" s="175">
        <f>+SUMIF(B[Bene],Assegnazione[[#This Row],[Bene]],B[Imposta di registro in misura fissa agevolata])*Assegnazione[[#This Row],[Quota di assegnazione]]</f>
        <v>0</v>
      </c>
      <c r="X12" s="175">
        <f>+SUMIF(B[Bene],Assegnazione[[#This Row],[Bene]],B[Imposta di registro prop. Agevolata])*Assegnazione[[#This Row],[Quota di assegnazione]]</f>
        <v>0</v>
      </c>
      <c r="Y12" s="175">
        <f>+IFERROR(Assegnazione[[#This Row],[Imposta di registro in misura fissa]]+Assegnazione[[#This Row],[Imposta di registro prop.]],"")</f>
        <v>0</v>
      </c>
      <c r="Z12" s="175">
        <f>+SUMIF(B[Bene],Assegnazione[[#This Row],[Bene]],B[Ipotecaria catastale agevolata])*Assegnazione[[#This Row],[Quota di assegnazione]]</f>
        <v>0</v>
      </c>
    </row>
    <row r="13" spans="1:28" x14ac:dyDescent="0.2">
      <c r="A13" s="123"/>
      <c r="B13" s="132"/>
      <c r="C13" s="123"/>
      <c r="D13" s="172">
        <f>+SUMIF(B[Bene],Assegnazione[[#This Row],[Bene]],B[Imponibile Iva])*Assegnazione[[#This Row],[Quota di assegnazione]]</f>
        <v>0</v>
      </c>
      <c r="E13" s="172">
        <f>+SUMIF(B[Bene],Assegnazione[[#This Row],[Bene]],B[Valore inserito manualmente])*Assegnazione[[#This Row],[Quota di assegnazione]]</f>
        <v>0</v>
      </c>
      <c r="F13" s="173" t="str">
        <f>+IF(A13="","",VLOOKUP(Assegnazione[[#This Row],[Bene]],B[],3,0))</f>
        <v/>
      </c>
      <c r="G13" s="129" t="str">
        <f>+IFERROR(VLOOKUP(Assegnazione[[#This Row],[Bene]],B[],MATCH("Agevolabile",Beni!$A$4:$AC$4,0),0)*VLOOKUP(Assegnazione[[#This Row],[Socio]],A_1[],8,0),"")</f>
        <v/>
      </c>
      <c r="H13" s="172">
        <f>+SUMIF(B[Bene],Assegnazione[[#This Row],[Bene]],B[Valore netto contabile fiscalmente riconosciuto])*Assegnazione[[#This Row],[Quota di assegnazione]]</f>
        <v>0</v>
      </c>
      <c r="I13" s="172">
        <f>+SUMIF(B[Bene],Assegnazione[[#This Row],[Bene]],B[Valore normale])*Assegnazione[[#This Row],[Quota di assegnazione]]</f>
        <v>0</v>
      </c>
      <c r="J13" s="174">
        <f>+IF(Assegnazione[[#This Row],[Bene]]="",0,SUMIF(Assegnazione[Socio],Assegnazione[[#This Row],[Socio]],Assegnazione[Valore Normale])/$I$3)</f>
        <v>0</v>
      </c>
      <c r="K13" s="174" t="str">
        <f>IF(Assegnazione[[#This Row],[Bene]]="","",SUMIF(A_1[Nome],Assegnazione[[#This Row],[Socio]],A_1[Quota partecipazione al momento dell''operazione]))</f>
        <v/>
      </c>
      <c r="L13" s="172">
        <f>+SUMIF(B[Bene],Assegnazione[[#This Row],[Bene]],B[Valore catastale])*Assegnazione[[#This Row],[Quota di assegnazione]]</f>
        <v>0</v>
      </c>
      <c r="M13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" s="172">
        <f>+MIN(Assegnazione[[#This Row],[Valore ai fini dell''atto]],Assegnazione[[#This Row],[Valore Fiscalmente riconosciuto]])</f>
        <v>0</v>
      </c>
      <c r="O13" s="146" t="str">
        <f>+IFERROR(VLOOKUP(Assegnazione[[#This Row],[Bene]],B[],MATCH($O$4,Beni!$A$4:$Z$4,0),0),"")</f>
        <v/>
      </c>
      <c r="P13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" s="175">
        <f>+SUMIF(B[Bene],Assegnazione[[#This Row],[Bene]],B[Iva se dovuta])*Assegnazione[[#This Row],[Quota di assegnazione]]</f>
        <v>0</v>
      </c>
      <c r="S13" s="175">
        <f>+SUMIF(B[Bene],Assegnazione[[#This Row],[Bene]],B[Imposta di registro (fissa + prop) senza agevolazione])*Assegnazione[[#This Row],[Quota di assegnazione]]</f>
        <v>0</v>
      </c>
      <c r="T13" s="175">
        <f>+SUMIF(B[Bene],Assegnazione[[#This Row],[Bene]],B[Ipotecaria e catastale senza agevolazione])*Assegnazione[[#This Row],[Quota di assegnazione]]</f>
        <v>0</v>
      </c>
      <c r="U13" s="176">
        <f>+SUM(Assegnazione[[#This Row],[Tassazione diretta senza agevolazione]:[Ipotecaria e catastale senza agevolazione]])</f>
        <v>0</v>
      </c>
      <c r="V13" s="175">
        <f>+SUMIF(B[Bene],Assegnazione[[#This Row],[Bene]],B[Imponibile Imposta sostitutiva])*Assegnazione[[#This Row],[Quota di assegnazione]]*DATI!$E$27</f>
        <v>0</v>
      </c>
      <c r="W13" s="175">
        <f>+SUMIF(B[Bene],Assegnazione[[#This Row],[Bene]],B[Imposta di registro in misura fissa agevolata])*Assegnazione[[#This Row],[Quota di assegnazione]]</f>
        <v>0</v>
      </c>
      <c r="X13" s="175">
        <f>+SUMIF(B[Bene],Assegnazione[[#This Row],[Bene]],B[Imposta di registro prop. Agevolata])*Assegnazione[[#This Row],[Quota di assegnazione]]</f>
        <v>0</v>
      </c>
      <c r="Y13" s="175">
        <f>+IFERROR(Assegnazione[[#This Row],[Imposta di registro in misura fissa]]+Assegnazione[[#This Row],[Imposta di registro prop.]],"")</f>
        <v>0</v>
      </c>
      <c r="Z13" s="175">
        <f>+SUMIF(B[Bene],Assegnazione[[#This Row],[Bene]],B[Ipotecaria catastale agevolata])*Assegnazione[[#This Row],[Quota di assegnazione]]</f>
        <v>0</v>
      </c>
    </row>
    <row r="14" spans="1:28" x14ac:dyDescent="0.2">
      <c r="A14" s="123"/>
      <c r="B14" s="132"/>
      <c r="C14" s="123"/>
      <c r="D14" s="172">
        <f>+SUMIF(B[Bene],Assegnazione[[#This Row],[Bene]],B[Imponibile Iva])*Assegnazione[[#This Row],[Quota di assegnazione]]</f>
        <v>0</v>
      </c>
      <c r="E14" s="172">
        <f>+SUMIF(B[Bene],Assegnazione[[#This Row],[Bene]],B[Valore inserito manualmente])*Assegnazione[[#This Row],[Quota di assegnazione]]</f>
        <v>0</v>
      </c>
      <c r="F14" s="173" t="str">
        <f>+IF(A14="","",VLOOKUP(Assegnazione[[#This Row],[Bene]],B[],3,0))</f>
        <v/>
      </c>
      <c r="G14" s="129" t="str">
        <f>+IFERROR(VLOOKUP(Assegnazione[[#This Row],[Bene]],B[],MATCH("Agevolabile",Beni!$A$4:$AC$4,0),0)*VLOOKUP(Assegnazione[[#This Row],[Socio]],A_1[],8,0),"")</f>
        <v/>
      </c>
      <c r="H14" s="172">
        <f>+SUMIF(B[Bene],Assegnazione[[#This Row],[Bene]],B[Valore netto contabile fiscalmente riconosciuto])*Assegnazione[[#This Row],[Quota di assegnazione]]</f>
        <v>0</v>
      </c>
      <c r="I14" s="172">
        <f>+SUMIF(B[Bene],Assegnazione[[#This Row],[Bene]],B[Valore normale])*Assegnazione[[#This Row],[Quota di assegnazione]]</f>
        <v>0</v>
      </c>
      <c r="J14" s="174">
        <f>+IF(Assegnazione[[#This Row],[Bene]]="",0,SUMIF(Assegnazione[Socio],Assegnazione[[#This Row],[Socio]],Assegnazione[Valore Normale])/$I$3)</f>
        <v>0</v>
      </c>
      <c r="K14" s="174" t="str">
        <f>IF(Assegnazione[[#This Row],[Bene]]="","",SUMIF(A_1[Nome],Assegnazione[[#This Row],[Socio]],A_1[Quota partecipazione al momento dell''operazione]))</f>
        <v/>
      </c>
      <c r="L14" s="172">
        <f>+SUMIF(B[Bene],Assegnazione[[#This Row],[Bene]],B[Valore catastale])*Assegnazione[[#This Row],[Quota di assegnazione]]</f>
        <v>0</v>
      </c>
      <c r="M14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" s="172">
        <f>+MIN(Assegnazione[[#This Row],[Valore ai fini dell''atto]],Assegnazione[[#This Row],[Valore Fiscalmente riconosciuto]])</f>
        <v>0</v>
      </c>
      <c r="O14" s="146" t="str">
        <f>+IFERROR(VLOOKUP(Assegnazione[[#This Row],[Bene]],B[],MATCH($O$4,Beni!$A$4:$Z$4,0),0),"")</f>
        <v/>
      </c>
      <c r="P14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" s="175">
        <f>+SUMIF(B[Bene],Assegnazione[[#This Row],[Bene]],B[Iva se dovuta])*Assegnazione[[#This Row],[Quota di assegnazione]]</f>
        <v>0</v>
      </c>
      <c r="S14" s="175">
        <f>+SUMIF(B[Bene],Assegnazione[[#This Row],[Bene]],B[Imposta di registro (fissa + prop) senza agevolazione])*Assegnazione[[#This Row],[Quota di assegnazione]]</f>
        <v>0</v>
      </c>
      <c r="T14" s="175">
        <f>+SUMIF(B[Bene],Assegnazione[[#This Row],[Bene]],B[Ipotecaria e catastale senza agevolazione])*Assegnazione[[#This Row],[Quota di assegnazione]]</f>
        <v>0</v>
      </c>
      <c r="U14" s="176">
        <f>+SUM(Assegnazione[[#This Row],[Tassazione diretta senza agevolazione]:[Ipotecaria e catastale senza agevolazione]])</f>
        <v>0</v>
      </c>
      <c r="V14" s="175">
        <f>+SUMIF(B[Bene],Assegnazione[[#This Row],[Bene]],B[Imponibile Imposta sostitutiva])*Assegnazione[[#This Row],[Quota di assegnazione]]*DATI!$E$27</f>
        <v>0</v>
      </c>
      <c r="W14" s="175">
        <f>+SUMIF(B[Bene],Assegnazione[[#This Row],[Bene]],B[Imposta di registro in misura fissa agevolata])*Assegnazione[[#This Row],[Quota di assegnazione]]</f>
        <v>0</v>
      </c>
      <c r="X14" s="175">
        <f>+SUMIF(B[Bene],Assegnazione[[#This Row],[Bene]],B[Imposta di registro prop. Agevolata])*Assegnazione[[#This Row],[Quota di assegnazione]]</f>
        <v>0</v>
      </c>
      <c r="Y14" s="175">
        <f>+IFERROR(Assegnazione[[#This Row],[Imposta di registro in misura fissa]]+Assegnazione[[#This Row],[Imposta di registro prop.]],"")</f>
        <v>0</v>
      </c>
      <c r="Z14" s="175">
        <f>+SUMIF(B[Bene],Assegnazione[[#This Row],[Bene]],B[Ipotecaria catastale agevolata])*Assegnazione[[#This Row],[Quota di assegnazione]]</f>
        <v>0</v>
      </c>
    </row>
    <row r="15" spans="1:28" x14ac:dyDescent="0.2">
      <c r="A15" s="123"/>
      <c r="B15" s="132"/>
      <c r="C15" s="123"/>
      <c r="D15" s="172">
        <f>+SUMIF(B[Bene],Assegnazione[[#This Row],[Bene]],B[Imponibile Iva])*Assegnazione[[#This Row],[Quota di assegnazione]]</f>
        <v>0</v>
      </c>
      <c r="E15" s="172">
        <f>+SUMIF(B[Bene],Assegnazione[[#This Row],[Bene]],B[Valore inserito manualmente])*Assegnazione[[#This Row],[Quota di assegnazione]]</f>
        <v>0</v>
      </c>
      <c r="F15" s="173" t="str">
        <f>+IF(A15="","",VLOOKUP(Assegnazione[[#This Row],[Bene]],B[],3,0))</f>
        <v/>
      </c>
      <c r="G15" s="129" t="str">
        <f>+IFERROR(VLOOKUP(Assegnazione[[#This Row],[Bene]],B[],MATCH("Agevolabile",Beni!$A$4:$AC$4,0),0)*VLOOKUP(Assegnazione[[#This Row],[Socio]],A_1[],8,0),"")</f>
        <v/>
      </c>
      <c r="H15" s="172">
        <f>+SUMIF(B[Bene],Assegnazione[[#This Row],[Bene]],B[Valore netto contabile fiscalmente riconosciuto])*Assegnazione[[#This Row],[Quota di assegnazione]]</f>
        <v>0</v>
      </c>
      <c r="I15" s="172">
        <f>+SUMIF(B[Bene],Assegnazione[[#This Row],[Bene]],B[Valore normale])*Assegnazione[[#This Row],[Quota di assegnazione]]</f>
        <v>0</v>
      </c>
      <c r="J15" s="174">
        <f>+IF(Assegnazione[[#This Row],[Bene]]="",0,SUMIF(Assegnazione[Socio],Assegnazione[[#This Row],[Socio]],Assegnazione[Valore Normale])/$I$3)</f>
        <v>0</v>
      </c>
      <c r="K15" s="174" t="str">
        <f>IF(Assegnazione[[#This Row],[Bene]]="","",SUMIF(A_1[Nome],Assegnazione[[#This Row],[Socio]],A_1[Quota partecipazione al momento dell''operazione]))</f>
        <v/>
      </c>
      <c r="L15" s="172">
        <f>+SUMIF(B[Bene],Assegnazione[[#This Row],[Bene]],B[Valore catastale])*Assegnazione[[#This Row],[Quota di assegnazione]]</f>
        <v>0</v>
      </c>
      <c r="M15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" s="172">
        <f>+MIN(Assegnazione[[#This Row],[Valore ai fini dell''atto]],Assegnazione[[#This Row],[Valore Fiscalmente riconosciuto]])</f>
        <v>0</v>
      </c>
      <c r="O15" s="146" t="str">
        <f>+IFERROR(VLOOKUP(Assegnazione[[#This Row],[Bene]],B[],MATCH($O$4,Beni!$A$4:$Z$4,0),0),"")</f>
        <v/>
      </c>
      <c r="P15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" s="175">
        <f>+SUMIF(B[Bene],Assegnazione[[#This Row],[Bene]],B[Iva se dovuta])*Assegnazione[[#This Row],[Quota di assegnazione]]</f>
        <v>0</v>
      </c>
      <c r="S15" s="175">
        <f>+SUMIF(B[Bene],Assegnazione[[#This Row],[Bene]],B[Imposta di registro (fissa + prop) senza agevolazione])*Assegnazione[[#This Row],[Quota di assegnazione]]</f>
        <v>0</v>
      </c>
      <c r="T15" s="175">
        <f>+SUMIF(B[Bene],Assegnazione[[#This Row],[Bene]],B[Ipotecaria e catastale senza agevolazione])*Assegnazione[[#This Row],[Quota di assegnazione]]</f>
        <v>0</v>
      </c>
      <c r="U15" s="176">
        <f>+SUM(Assegnazione[[#This Row],[Tassazione diretta senza agevolazione]:[Ipotecaria e catastale senza agevolazione]])</f>
        <v>0</v>
      </c>
      <c r="V15" s="175">
        <f>+SUMIF(B[Bene],Assegnazione[[#This Row],[Bene]],B[Imponibile Imposta sostitutiva])*Assegnazione[[#This Row],[Quota di assegnazione]]*DATI!$E$27</f>
        <v>0</v>
      </c>
      <c r="W15" s="175">
        <f>+SUMIF(B[Bene],Assegnazione[[#This Row],[Bene]],B[Imposta di registro in misura fissa agevolata])*Assegnazione[[#This Row],[Quota di assegnazione]]</f>
        <v>0</v>
      </c>
      <c r="X15" s="175">
        <f>+SUMIF(B[Bene],Assegnazione[[#This Row],[Bene]],B[Imposta di registro prop. Agevolata])*Assegnazione[[#This Row],[Quota di assegnazione]]</f>
        <v>0</v>
      </c>
      <c r="Y15" s="175">
        <f>+IFERROR(Assegnazione[[#This Row],[Imposta di registro in misura fissa]]+Assegnazione[[#This Row],[Imposta di registro prop.]],"")</f>
        <v>0</v>
      </c>
      <c r="Z15" s="175">
        <f>+SUMIF(B[Bene],Assegnazione[[#This Row],[Bene]],B[Ipotecaria catastale agevolata])*Assegnazione[[#This Row],[Quota di assegnazione]]</f>
        <v>0</v>
      </c>
    </row>
    <row r="16" spans="1:28" x14ac:dyDescent="0.2">
      <c r="A16" s="123"/>
      <c r="B16" s="132"/>
      <c r="C16" s="123"/>
      <c r="D16" s="172">
        <f>+SUMIF(B[Bene],Assegnazione[[#This Row],[Bene]],B[Imponibile Iva])*Assegnazione[[#This Row],[Quota di assegnazione]]</f>
        <v>0</v>
      </c>
      <c r="E16" s="172">
        <f>+SUMIF(B[Bene],Assegnazione[[#This Row],[Bene]],B[Valore inserito manualmente])*Assegnazione[[#This Row],[Quota di assegnazione]]</f>
        <v>0</v>
      </c>
      <c r="F16" s="173" t="str">
        <f>+IF(A16="","",VLOOKUP(Assegnazione[[#This Row],[Bene]],B[],3,0))</f>
        <v/>
      </c>
      <c r="G16" s="129" t="str">
        <f>+IFERROR(VLOOKUP(Assegnazione[[#This Row],[Bene]],B[],MATCH("Agevolabile",Beni!$A$4:$AC$4,0),0)*VLOOKUP(Assegnazione[[#This Row],[Socio]],A_1[],8,0),"")</f>
        <v/>
      </c>
      <c r="H16" s="172">
        <f>+SUMIF(B[Bene],Assegnazione[[#This Row],[Bene]],B[Valore netto contabile fiscalmente riconosciuto])*Assegnazione[[#This Row],[Quota di assegnazione]]</f>
        <v>0</v>
      </c>
      <c r="I16" s="172">
        <f>+SUMIF(B[Bene],Assegnazione[[#This Row],[Bene]],B[Valore normale])*Assegnazione[[#This Row],[Quota di assegnazione]]</f>
        <v>0</v>
      </c>
      <c r="J16" s="174">
        <f>+IF(Assegnazione[[#This Row],[Bene]]="",0,SUMIF(Assegnazione[Socio],Assegnazione[[#This Row],[Socio]],Assegnazione[Valore Normale])/$I$3)</f>
        <v>0</v>
      </c>
      <c r="K16" s="174" t="str">
        <f>IF(Assegnazione[[#This Row],[Bene]]="","",SUMIF(A_1[Nome],Assegnazione[[#This Row],[Socio]],A_1[Quota partecipazione al momento dell''operazione]))</f>
        <v/>
      </c>
      <c r="L16" s="172">
        <f>+SUMIF(B[Bene],Assegnazione[[#This Row],[Bene]],B[Valore catastale])*Assegnazione[[#This Row],[Quota di assegnazione]]</f>
        <v>0</v>
      </c>
      <c r="M16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" s="172">
        <f>+MIN(Assegnazione[[#This Row],[Valore ai fini dell''atto]],Assegnazione[[#This Row],[Valore Fiscalmente riconosciuto]])</f>
        <v>0</v>
      </c>
      <c r="O16" s="146" t="str">
        <f>+IFERROR(VLOOKUP(Assegnazione[[#This Row],[Bene]],B[],MATCH($O$4,Beni!$A$4:$Z$4,0),0),"")</f>
        <v/>
      </c>
      <c r="P16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" s="175">
        <f>+SUMIF(B[Bene],Assegnazione[[#This Row],[Bene]],B[Iva se dovuta])*Assegnazione[[#This Row],[Quota di assegnazione]]</f>
        <v>0</v>
      </c>
      <c r="S16" s="175">
        <f>+SUMIF(B[Bene],Assegnazione[[#This Row],[Bene]],B[Imposta di registro (fissa + prop) senza agevolazione])*Assegnazione[[#This Row],[Quota di assegnazione]]</f>
        <v>0</v>
      </c>
      <c r="T16" s="175">
        <f>+SUMIF(B[Bene],Assegnazione[[#This Row],[Bene]],B[Ipotecaria e catastale senza agevolazione])*Assegnazione[[#This Row],[Quota di assegnazione]]</f>
        <v>0</v>
      </c>
      <c r="U16" s="176">
        <f>+SUM(Assegnazione[[#This Row],[Tassazione diretta senza agevolazione]:[Ipotecaria e catastale senza agevolazione]])</f>
        <v>0</v>
      </c>
      <c r="V16" s="175">
        <f>+SUMIF(B[Bene],Assegnazione[[#This Row],[Bene]],B[Imponibile Imposta sostitutiva])*Assegnazione[[#This Row],[Quota di assegnazione]]*DATI!$E$27</f>
        <v>0</v>
      </c>
      <c r="W16" s="175">
        <f>+SUMIF(B[Bene],Assegnazione[[#This Row],[Bene]],B[Imposta di registro in misura fissa agevolata])*Assegnazione[[#This Row],[Quota di assegnazione]]</f>
        <v>0</v>
      </c>
      <c r="X16" s="175">
        <f>+SUMIF(B[Bene],Assegnazione[[#This Row],[Bene]],B[Imposta di registro prop. Agevolata])*Assegnazione[[#This Row],[Quota di assegnazione]]</f>
        <v>0</v>
      </c>
      <c r="Y16" s="175">
        <f>+IFERROR(Assegnazione[[#This Row],[Imposta di registro in misura fissa]]+Assegnazione[[#This Row],[Imposta di registro prop.]],"")</f>
        <v>0</v>
      </c>
      <c r="Z16" s="175">
        <f>+SUMIF(B[Bene],Assegnazione[[#This Row],[Bene]],B[Ipotecaria catastale agevolata])*Assegnazione[[#This Row],[Quota di assegnazione]]</f>
        <v>0</v>
      </c>
    </row>
    <row r="17" spans="1:26" x14ac:dyDescent="0.2">
      <c r="A17" s="123"/>
      <c r="B17" s="132"/>
      <c r="C17" s="123"/>
      <c r="D17" s="172">
        <f>+SUMIF(B[Bene],Assegnazione[[#This Row],[Bene]],B[Imponibile Iva])*Assegnazione[[#This Row],[Quota di assegnazione]]</f>
        <v>0</v>
      </c>
      <c r="E17" s="172">
        <f>+SUMIF(B[Bene],Assegnazione[[#This Row],[Bene]],B[Valore inserito manualmente])*Assegnazione[[#This Row],[Quota di assegnazione]]</f>
        <v>0</v>
      </c>
      <c r="F17" s="173" t="str">
        <f>+IF(A17="","",VLOOKUP(Assegnazione[[#This Row],[Bene]],B[],3,0))</f>
        <v/>
      </c>
      <c r="G17" s="129" t="str">
        <f>+IFERROR(VLOOKUP(Assegnazione[[#This Row],[Bene]],B[],MATCH("Agevolabile",Beni!$A$4:$AC$4,0),0)*VLOOKUP(Assegnazione[[#This Row],[Socio]],A_1[],8,0),"")</f>
        <v/>
      </c>
      <c r="H17" s="172">
        <f>+SUMIF(B[Bene],Assegnazione[[#This Row],[Bene]],B[Valore netto contabile fiscalmente riconosciuto])*Assegnazione[[#This Row],[Quota di assegnazione]]</f>
        <v>0</v>
      </c>
      <c r="I17" s="172">
        <f>+SUMIF(B[Bene],Assegnazione[[#This Row],[Bene]],B[Valore normale])*Assegnazione[[#This Row],[Quota di assegnazione]]</f>
        <v>0</v>
      </c>
      <c r="J17" s="174">
        <f>+IF(Assegnazione[[#This Row],[Bene]]="",0,SUMIF(Assegnazione[Socio],Assegnazione[[#This Row],[Socio]],Assegnazione[Valore Normale])/$I$3)</f>
        <v>0</v>
      </c>
      <c r="K17" s="174" t="str">
        <f>IF(Assegnazione[[#This Row],[Bene]]="","",SUMIF(A_1[Nome],Assegnazione[[#This Row],[Socio]],A_1[Quota partecipazione al momento dell''operazione]))</f>
        <v/>
      </c>
      <c r="L17" s="172">
        <f>+SUMIF(B[Bene],Assegnazione[[#This Row],[Bene]],B[Valore catastale])*Assegnazione[[#This Row],[Quota di assegnazione]]</f>
        <v>0</v>
      </c>
      <c r="M17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" s="172">
        <f>+MIN(Assegnazione[[#This Row],[Valore ai fini dell''atto]],Assegnazione[[#This Row],[Valore Fiscalmente riconosciuto]])</f>
        <v>0</v>
      </c>
      <c r="O17" s="146" t="str">
        <f>+IFERROR(VLOOKUP(Assegnazione[[#This Row],[Bene]],B[],MATCH($O$4,Beni!$A$4:$Z$4,0),0),"")</f>
        <v/>
      </c>
      <c r="P17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" s="175">
        <f>+SUMIF(B[Bene],Assegnazione[[#This Row],[Bene]],B[Iva se dovuta])*Assegnazione[[#This Row],[Quota di assegnazione]]</f>
        <v>0</v>
      </c>
      <c r="S17" s="175">
        <f>+SUMIF(B[Bene],Assegnazione[[#This Row],[Bene]],B[Imposta di registro (fissa + prop) senza agevolazione])*Assegnazione[[#This Row],[Quota di assegnazione]]</f>
        <v>0</v>
      </c>
      <c r="T17" s="175">
        <f>+SUMIF(B[Bene],Assegnazione[[#This Row],[Bene]],B[Ipotecaria e catastale senza agevolazione])*Assegnazione[[#This Row],[Quota di assegnazione]]</f>
        <v>0</v>
      </c>
      <c r="U17" s="176">
        <f>+SUM(Assegnazione[[#This Row],[Tassazione diretta senza agevolazione]:[Ipotecaria e catastale senza agevolazione]])</f>
        <v>0</v>
      </c>
      <c r="V17" s="175">
        <f>+SUMIF(B[Bene],Assegnazione[[#This Row],[Bene]],B[Imponibile Imposta sostitutiva])*Assegnazione[[#This Row],[Quota di assegnazione]]*DATI!$E$27</f>
        <v>0</v>
      </c>
      <c r="W17" s="175">
        <f>+SUMIF(B[Bene],Assegnazione[[#This Row],[Bene]],B[Imposta di registro in misura fissa agevolata])*Assegnazione[[#This Row],[Quota di assegnazione]]</f>
        <v>0</v>
      </c>
      <c r="X17" s="175">
        <f>+SUMIF(B[Bene],Assegnazione[[#This Row],[Bene]],B[Imposta di registro prop. Agevolata])*Assegnazione[[#This Row],[Quota di assegnazione]]</f>
        <v>0</v>
      </c>
      <c r="Y17" s="175">
        <f>+IFERROR(Assegnazione[[#This Row],[Imposta di registro in misura fissa]]+Assegnazione[[#This Row],[Imposta di registro prop.]],"")</f>
        <v>0</v>
      </c>
      <c r="Z17" s="175">
        <f>+SUMIF(B[Bene],Assegnazione[[#This Row],[Bene]],B[Ipotecaria catastale agevolata])*Assegnazione[[#This Row],[Quota di assegnazione]]</f>
        <v>0</v>
      </c>
    </row>
    <row r="18" spans="1:26" x14ac:dyDescent="0.2">
      <c r="A18" s="123"/>
      <c r="B18" s="132"/>
      <c r="C18" s="123"/>
      <c r="D18" s="172">
        <f>+SUMIF(B[Bene],Assegnazione[[#This Row],[Bene]],B[Imponibile Iva])*Assegnazione[[#This Row],[Quota di assegnazione]]</f>
        <v>0</v>
      </c>
      <c r="E18" s="172">
        <f>+SUMIF(B[Bene],Assegnazione[[#This Row],[Bene]],B[Valore inserito manualmente])*Assegnazione[[#This Row],[Quota di assegnazione]]</f>
        <v>0</v>
      </c>
      <c r="F18" s="173" t="str">
        <f>+IF(A18="","",VLOOKUP(Assegnazione[[#This Row],[Bene]],B[],3,0))</f>
        <v/>
      </c>
      <c r="G18" s="129" t="str">
        <f>+IFERROR(VLOOKUP(Assegnazione[[#This Row],[Bene]],B[],MATCH("Agevolabile",Beni!$A$4:$AC$4,0),0)*VLOOKUP(Assegnazione[[#This Row],[Socio]],A_1[],8,0),"")</f>
        <v/>
      </c>
      <c r="H18" s="172">
        <f>+SUMIF(B[Bene],Assegnazione[[#This Row],[Bene]],B[Valore netto contabile fiscalmente riconosciuto])*Assegnazione[[#This Row],[Quota di assegnazione]]</f>
        <v>0</v>
      </c>
      <c r="I18" s="172">
        <f>+SUMIF(B[Bene],Assegnazione[[#This Row],[Bene]],B[Valore normale])*Assegnazione[[#This Row],[Quota di assegnazione]]</f>
        <v>0</v>
      </c>
      <c r="J18" s="174">
        <f>+IF(Assegnazione[[#This Row],[Bene]]="",0,SUMIF(Assegnazione[Socio],Assegnazione[[#This Row],[Socio]],Assegnazione[Valore Normale])/$I$3)</f>
        <v>0</v>
      </c>
      <c r="K18" s="174" t="str">
        <f>IF(Assegnazione[[#This Row],[Bene]]="","",SUMIF(A_1[Nome],Assegnazione[[#This Row],[Socio]],A_1[Quota partecipazione al momento dell''operazione]))</f>
        <v/>
      </c>
      <c r="L18" s="172">
        <f>+SUMIF(B[Bene],Assegnazione[[#This Row],[Bene]],B[Valore catastale])*Assegnazione[[#This Row],[Quota di assegnazione]]</f>
        <v>0</v>
      </c>
      <c r="M18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" s="172">
        <f>+MIN(Assegnazione[[#This Row],[Valore ai fini dell''atto]],Assegnazione[[#This Row],[Valore Fiscalmente riconosciuto]])</f>
        <v>0</v>
      </c>
      <c r="O18" s="146" t="str">
        <f>+IFERROR(VLOOKUP(Assegnazione[[#This Row],[Bene]],B[],MATCH($O$4,Beni!$A$4:$Z$4,0),0),"")</f>
        <v/>
      </c>
      <c r="P18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" s="175">
        <f>+SUMIF(B[Bene],Assegnazione[[#This Row],[Bene]],B[Iva se dovuta])*Assegnazione[[#This Row],[Quota di assegnazione]]</f>
        <v>0</v>
      </c>
      <c r="S18" s="175">
        <f>+SUMIF(B[Bene],Assegnazione[[#This Row],[Bene]],B[Imposta di registro (fissa + prop) senza agevolazione])*Assegnazione[[#This Row],[Quota di assegnazione]]</f>
        <v>0</v>
      </c>
      <c r="T18" s="175">
        <f>+SUMIF(B[Bene],Assegnazione[[#This Row],[Bene]],B[Ipotecaria e catastale senza agevolazione])*Assegnazione[[#This Row],[Quota di assegnazione]]</f>
        <v>0</v>
      </c>
      <c r="U18" s="176">
        <f>+SUM(Assegnazione[[#This Row],[Tassazione diretta senza agevolazione]:[Ipotecaria e catastale senza agevolazione]])</f>
        <v>0</v>
      </c>
      <c r="V18" s="175">
        <f>+SUMIF(B[Bene],Assegnazione[[#This Row],[Bene]],B[Imponibile Imposta sostitutiva])*Assegnazione[[#This Row],[Quota di assegnazione]]*DATI!$E$27</f>
        <v>0</v>
      </c>
      <c r="W18" s="175">
        <f>+SUMIF(B[Bene],Assegnazione[[#This Row],[Bene]],B[Imposta di registro in misura fissa agevolata])*Assegnazione[[#This Row],[Quota di assegnazione]]</f>
        <v>0</v>
      </c>
      <c r="X18" s="175">
        <f>+SUMIF(B[Bene],Assegnazione[[#This Row],[Bene]],B[Imposta di registro prop. Agevolata])*Assegnazione[[#This Row],[Quota di assegnazione]]</f>
        <v>0</v>
      </c>
      <c r="Y18" s="175">
        <f>+IFERROR(Assegnazione[[#This Row],[Imposta di registro in misura fissa]]+Assegnazione[[#This Row],[Imposta di registro prop.]],"")</f>
        <v>0</v>
      </c>
      <c r="Z18" s="175">
        <f>+SUMIF(B[Bene],Assegnazione[[#This Row],[Bene]],B[Ipotecaria catastale agevolata])*Assegnazione[[#This Row],[Quota di assegnazione]]</f>
        <v>0</v>
      </c>
    </row>
    <row r="19" spans="1:26" x14ac:dyDescent="0.2">
      <c r="A19" s="123"/>
      <c r="B19" s="132"/>
      <c r="C19" s="123"/>
      <c r="D19" s="172">
        <f>+SUMIF(B[Bene],Assegnazione[[#This Row],[Bene]],B[Imponibile Iva])*Assegnazione[[#This Row],[Quota di assegnazione]]</f>
        <v>0</v>
      </c>
      <c r="E19" s="172">
        <f>+SUMIF(B[Bene],Assegnazione[[#This Row],[Bene]],B[Valore inserito manualmente])*Assegnazione[[#This Row],[Quota di assegnazione]]</f>
        <v>0</v>
      </c>
      <c r="F19" s="173" t="str">
        <f>+IF(A19="","",VLOOKUP(Assegnazione[[#This Row],[Bene]],B[],3,0))</f>
        <v/>
      </c>
      <c r="G19" s="129" t="str">
        <f>+IFERROR(VLOOKUP(Assegnazione[[#This Row],[Bene]],B[],MATCH("Agevolabile",Beni!$A$4:$AC$4,0),0)*VLOOKUP(Assegnazione[[#This Row],[Socio]],A_1[],8,0),"")</f>
        <v/>
      </c>
      <c r="H19" s="172">
        <f>+SUMIF(B[Bene],Assegnazione[[#This Row],[Bene]],B[Valore netto contabile fiscalmente riconosciuto])*Assegnazione[[#This Row],[Quota di assegnazione]]</f>
        <v>0</v>
      </c>
      <c r="I19" s="172">
        <f>+SUMIF(B[Bene],Assegnazione[[#This Row],[Bene]],B[Valore normale])*Assegnazione[[#This Row],[Quota di assegnazione]]</f>
        <v>0</v>
      </c>
      <c r="J19" s="174">
        <f>+IF(Assegnazione[[#This Row],[Bene]]="",0,SUMIF(Assegnazione[Socio],Assegnazione[[#This Row],[Socio]],Assegnazione[Valore Normale])/$I$3)</f>
        <v>0</v>
      </c>
      <c r="K19" s="174" t="str">
        <f>IF(Assegnazione[[#This Row],[Bene]]="","",SUMIF(A_1[Nome],Assegnazione[[#This Row],[Socio]],A_1[Quota partecipazione al momento dell''operazione]))</f>
        <v/>
      </c>
      <c r="L19" s="172">
        <f>+SUMIF(B[Bene],Assegnazione[[#This Row],[Bene]],B[Valore catastale])*Assegnazione[[#This Row],[Quota di assegnazione]]</f>
        <v>0</v>
      </c>
      <c r="M19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" s="172">
        <f>+MIN(Assegnazione[[#This Row],[Valore ai fini dell''atto]],Assegnazione[[#This Row],[Valore Fiscalmente riconosciuto]])</f>
        <v>0</v>
      </c>
      <c r="O19" s="146" t="str">
        <f>+IFERROR(VLOOKUP(Assegnazione[[#This Row],[Bene]],B[],MATCH($O$4,Beni!$A$4:$Z$4,0),0),"")</f>
        <v/>
      </c>
      <c r="P19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" s="175">
        <f>+SUMIF(B[Bene],Assegnazione[[#This Row],[Bene]],B[Iva se dovuta])*Assegnazione[[#This Row],[Quota di assegnazione]]</f>
        <v>0</v>
      </c>
      <c r="S19" s="175">
        <f>+SUMIF(B[Bene],Assegnazione[[#This Row],[Bene]],B[Imposta di registro (fissa + prop) senza agevolazione])*Assegnazione[[#This Row],[Quota di assegnazione]]</f>
        <v>0</v>
      </c>
      <c r="T19" s="175">
        <f>+SUMIF(B[Bene],Assegnazione[[#This Row],[Bene]],B[Ipotecaria e catastale senza agevolazione])*Assegnazione[[#This Row],[Quota di assegnazione]]</f>
        <v>0</v>
      </c>
      <c r="U19" s="176">
        <f>+SUM(Assegnazione[[#This Row],[Tassazione diretta senza agevolazione]:[Ipotecaria e catastale senza agevolazione]])</f>
        <v>0</v>
      </c>
      <c r="V19" s="175">
        <f>+SUMIF(B[Bene],Assegnazione[[#This Row],[Bene]],B[Imponibile Imposta sostitutiva])*Assegnazione[[#This Row],[Quota di assegnazione]]*DATI!$E$27</f>
        <v>0</v>
      </c>
      <c r="W19" s="175">
        <f>+SUMIF(B[Bene],Assegnazione[[#This Row],[Bene]],B[Imposta di registro in misura fissa agevolata])*Assegnazione[[#This Row],[Quota di assegnazione]]</f>
        <v>0</v>
      </c>
      <c r="X19" s="175">
        <f>+SUMIF(B[Bene],Assegnazione[[#This Row],[Bene]],B[Imposta di registro prop. Agevolata])*Assegnazione[[#This Row],[Quota di assegnazione]]</f>
        <v>0</v>
      </c>
      <c r="Y19" s="175">
        <f>+IFERROR(Assegnazione[[#This Row],[Imposta di registro in misura fissa]]+Assegnazione[[#This Row],[Imposta di registro prop.]],"")</f>
        <v>0</v>
      </c>
      <c r="Z19" s="175">
        <f>+SUMIF(B[Bene],Assegnazione[[#This Row],[Bene]],B[Ipotecaria catastale agevolata])*Assegnazione[[#This Row],[Quota di assegnazione]]</f>
        <v>0</v>
      </c>
    </row>
    <row r="20" spans="1:26" x14ac:dyDescent="0.2">
      <c r="A20" s="123"/>
      <c r="B20" s="132"/>
      <c r="C20" s="123"/>
      <c r="D20" s="172">
        <f>+SUMIF(B[Bene],Assegnazione[[#This Row],[Bene]],B[Imponibile Iva])*Assegnazione[[#This Row],[Quota di assegnazione]]</f>
        <v>0</v>
      </c>
      <c r="E20" s="172">
        <f>+SUMIF(B[Bene],Assegnazione[[#This Row],[Bene]],B[Valore inserito manualmente])*Assegnazione[[#This Row],[Quota di assegnazione]]</f>
        <v>0</v>
      </c>
      <c r="F20" s="173" t="str">
        <f>+IF(A20="","",VLOOKUP(Assegnazione[[#This Row],[Bene]],B[],3,0))</f>
        <v/>
      </c>
      <c r="G20" s="129" t="str">
        <f>+IFERROR(VLOOKUP(Assegnazione[[#This Row],[Bene]],B[],MATCH("Agevolabile",Beni!$A$4:$AC$4,0),0)*VLOOKUP(Assegnazione[[#This Row],[Socio]],A_1[],8,0),"")</f>
        <v/>
      </c>
      <c r="H20" s="172">
        <f>+SUMIF(B[Bene],Assegnazione[[#This Row],[Bene]],B[Valore netto contabile fiscalmente riconosciuto])*Assegnazione[[#This Row],[Quota di assegnazione]]</f>
        <v>0</v>
      </c>
      <c r="I20" s="172">
        <f>+SUMIF(B[Bene],Assegnazione[[#This Row],[Bene]],B[Valore normale])*Assegnazione[[#This Row],[Quota di assegnazione]]</f>
        <v>0</v>
      </c>
      <c r="J20" s="174">
        <f>+IF(Assegnazione[[#This Row],[Bene]]="",0,SUMIF(Assegnazione[Socio],Assegnazione[[#This Row],[Socio]],Assegnazione[Valore Normale])/$I$3)</f>
        <v>0</v>
      </c>
      <c r="K20" s="174" t="str">
        <f>IF(Assegnazione[[#This Row],[Bene]]="","",SUMIF(A_1[Nome],Assegnazione[[#This Row],[Socio]],A_1[Quota partecipazione al momento dell''operazione]))</f>
        <v/>
      </c>
      <c r="L20" s="172">
        <f>+SUMIF(B[Bene],Assegnazione[[#This Row],[Bene]],B[Valore catastale])*Assegnazione[[#This Row],[Quota di assegnazione]]</f>
        <v>0</v>
      </c>
      <c r="M20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0" s="172">
        <f>+MIN(Assegnazione[[#This Row],[Valore ai fini dell''atto]],Assegnazione[[#This Row],[Valore Fiscalmente riconosciuto]])</f>
        <v>0</v>
      </c>
      <c r="O20" s="146" t="str">
        <f>+IFERROR(VLOOKUP(Assegnazione[[#This Row],[Bene]],B[],MATCH($O$4,Beni!$A$4:$Z$4,0),0),"")</f>
        <v/>
      </c>
      <c r="P20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0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0" s="175">
        <f>+SUMIF(B[Bene],Assegnazione[[#This Row],[Bene]],B[Iva se dovuta])*Assegnazione[[#This Row],[Quota di assegnazione]]</f>
        <v>0</v>
      </c>
      <c r="S20" s="175">
        <f>+SUMIF(B[Bene],Assegnazione[[#This Row],[Bene]],B[Imposta di registro (fissa + prop) senza agevolazione])*Assegnazione[[#This Row],[Quota di assegnazione]]</f>
        <v>0</v>
      </c>
      <c r="T20" s="175">
        <f>+SUMIF(B[Bene],Assegnazione[[#This Row],[Bene]],B[Ipotecaria e catastale senza agevolazione])*Assegnazione[[#This Row],[Quota di assegnazione]]</f>
        <v>0</v>
      </c>
      <c r="U20" s="176">
        <f>+SUM(Assegnazione[[#This Row],[Tassazione diretta senza agevolazione]:[Ipotecaria e catastale senza agevolazione]])</f>
        <v>0</v>
      </c>
      <c r="V20" s="175">
        <f>+SUMIF(B[Bene],Assegnazione[[#This Row],[Bene]],B[Imponibile Imposta sostitutiva])*Assegnazione[[#This Row],[Quota di assegnazione]]*DATI!$E$27</f>
        <v>0</v>
      </c>
      <c r="W20" s="175">
        <f>+SUMIF(B[Bene],Assegnazione[[#This Row],[Bene]],B[Imposta di registro in misura fissa agevolata])*Assegnazione[[#This Row],[Quota di assegnazione]]</f>
        <v>0</v>
      </c>
      <c r="X20" s="175">
        <f>+SUMIF(B[Bene],Assegnazione[[#This Row],[Bene]],B[Imposta di registro prop. Agevolata])*Assegnazione[[#This Row],[Quota di assegnazione]]</f>
        <v>0</v>
      </c>
      <c r="Y20" s="175">
        <f>+IFERROR(Assegnazione[[#This Row],[Imposta di registro in misura fissa]]+Assegnazione[[#This Row],[Imposta di registro prop.]],"")</f>
        <v>0</v>
      </c>
      <c r="Z20" s="175">
        <f>+SUMIF(B[Bene],Assegnazione[[#This Row],[Bene]],B[Ipotecaria catastale agevolata])*Assegnazione[[#This Row],[Quota di assegnazione]]</f>
        <v>0</v>
      </c>
    </row>
    <row r="21" spans="1:26" x14ac:dyDescent="0.2">
      <c r="A21" s="123"/>
      <c r="B21" s="132"/>
      <c r="C21" s="123"/>
      <c r="D21" s="172">
        <f>+SUMIF(B[Bene],Assegnazione[[#This Row],[Bene]],B[Imponibile Iva])*Assegnazione[[#This Row],[Quota di assegnazione]]</f>
        <v>0</v>
      </c>
      <c r="E21" s="172">
        <f>+SUMIF(B[Bene],Assegnazione[[#This Row],[Bene]],B[Valore inserito manualmente])*Assegnazione[[#This Row],[Quota di assegnazione]]</f>
        <v>0</v>
      </c>
      <c r="F21" s="173" t="str">
        <f>+IF(A21="","",VLOOKUP(Assegnazione[[#This Row],[Bene]],B[],3,0))</f>
        <v/>
      </c>
      <c r="G21" s="129" t="str">
        <f>+IFERROR(VLOOKUP(Assegnazione[[#This Row],[Bene]],B[],MATCH("Agevolabile",Beni!$A$4:$AC$4,0),0)*VLOOKUP(Assegnazione[[#This Row],[Socio]],A_1[],8,0),"")</f>
        <v/>
      </c>
      <c r="H21" s="172">
        <f>+SUMIF(B[Bene],Assegnazione[[#This Row],[Bene]],B[Valore netto contabile fiscalmente riconosciuto])*Assegnazione[[#This Row],[Quota di assegnazione]]</f>
        <v>0</v>
      </c>
      <c r="I21" s="172">
        <f>+SUMIF(B[Bene],Assegnazione[[#This Row],[Bene]],B[Valore normale])*Assegnazione[[#This Row],[Quota di assegnazione]]</f>
        <v>0</v>
      </c>
      <c r="J21" s="174">
        <f>+IF(Assegnazione[[#This Row],[Bene]]="",0,SUMIF(Assegnazione[Socio],Assegnazione[[#This Row],[Socio]],Assegnazione[Valore Normale])/$I$3)</f>
        <v>0</v>
      </c>
      <c r="K21" s="174" t="str">
        <f>IF(Assegnazione[[#This Row],[Bene]]="","",SUMIF(A_1[Nome],Assegnazione[[#This Row],[Socio]],A_1[Quota partecipazione al momento dell''operazione]))</f>
        <v/>
      </c>
      <c r="L21" s="172">
        <f>+SUMIF(B[Bene],Assegnazione[[#This Row],[Bene]],B[Valore catastale])*Assegnazione[[#This Row],[Quota di assegnazione]]</f>
        <v>0</v>
      </c>
      <c r="M21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1" s="172">
        <f>+MIN(Assegnazione[[#This Row],[Valore ai fini dell''atto]],Assegnazione[[#This Row],[Valore Fiscalmente riconosciuto]])</f>
        <v>0</v>
      </c>
      <c r="O21" s="146" t="str">
        <f>+IFERROR(VLOOKUP(Assegnazione[[#This Row],[Bene]],B[],MATCH($O$4,Beni!$A$4:$Z$4,0),0),"")</f>
        <v/>
      </c>
      <c r="P21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1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1" s="175">
        <f>+SUMIF(B[Bene],Assegnazione[[#This Row],[Bene]],B[Iva se dovuta])*Assegnazione[[#This Row],[Quota di assegnazione]]</f>
        <v>0</v>
      </c>
      <c r="S21" s="175">
        <f>+SUMIF(B[Bene],Assegnazione[[#This Row],[Bene]],B[Imposta di registro (fissa + prop) senza agevolazione])*Assegnazione[[#This Row],[Quota di assegnazione]]</f>
        <v>0</v>
      </c>
      <c r="T21" s="175">
        <f>+SUMIF(B[Bene],Assegnazione[[#This Row],[Bene]],B[Ipotecaria e catastale senza agevolazione])*Assegnazione[[#This Row],[Quota di assegnazione]]</f>
        <v>0</v>
      </c>
      <c r="U21" s="176">
        <f>+SUM(Assegnazione[[#This Row],[Tassazione diretta senza agevolazione]:[Ipotecaria e catastale senza agevolazione]])</f>
        <v>0</v>
      </c>
      <c r="V21" s="175">
        <f>+SUMIF(B[Bene],Assegnazione[[#This Row],[Bene]],B[Imponibile Imposta sostitutiva])*Assegnazione[[#This Row],[Quota di assegnazione]]*DATI!$E$27</f>
        <v>0</v>
      </c>
      <c r="W21" s="175">
        <f>+SUMIF(B[Bene],Assegnazione[[#This Row],[Bene]],B[Imposta di registro in misura fissa agevolata])*Assegnazione[[#This Row],[Quota di assegnazione]]</f>
        <v>0</v>
      </c>
      <c r="X21" s="175">
        <f>+SUMIF(B[Bene],Assegnazione[[#This Row],[Bene]],B[Imposta di registro prop. Agevolata])*Assegnazione[[#This Row],[Quota di assegnazione]]</f>
        <v>0</v>
      </c>
      <c r="Y21" s="175">
        <f>+IFERROR(Assegnazione[[#This Row],[Imposta di registro in misura fissa]]+Assegnazione[[#This Row],[Imposta di registro prop.]],"")</f>
        <v>0</v>
      </c>
      <c r="Z21" s="175">
        <f>+SUMIF(B[Bene],Assegnazione[[#This Row],[Bene]],B[Ipotecaria catastale agevolata])*Assegnazione[[#This Row],[Quota di assegnazione]]</f>
        <v>0</v>
      </c>
    </row>
    <row r="22" spans="1:26" x14ac:dyDescent="0.2">
      <c r="A22" s="123"/>
      <c r="B22" s="132"/>
      <c r="C22" s="123"/>
      <c r="D22" s="172">
        <f>+SUMIF(B[Bene],Assegnazione[[#This Row],[Bene]],B[Imponibile Iva])*Assegnazione[[#This Row],[Quota di assegnazione]]</f>
        <v>0</v>
      </c>
      <c r="E22" s="172">
        <f>+SUMIF(B[Bene],Assegnazione[[#This Row],[Bene]],B[Valore inserito manualmente])*Assegnazione[[#This Row],[Quota di assegnazione]]</f>
        <v>0</v>
      </c>
      <c r="F22" s="173" t="str">
        <f>+IF(A22="","",VLOOKUP(Assegnazione[[#This Row],[Bene]],B[],3,0))</f>
        <v/>
      </c>
      <c r="G22" s="129" t="str">
        <f>+IFERROR(VLOOKUP(Assegnazione[[#This Row],[Bene]],B[],MATCH("Agevolabile",Beni!$A$4:$AC$4,0),0)*VLOOKUP(Assegnazione[[#This Row],[Socio]],A_1[],8,0),"")</f>
        <v/>
      </c>
      <c r="H22" s="172">
        <f>+SUMIF(B[Bene],Assegnazione[[#This Row],[Bene]],B[Valore netto contabile fiscalmente riconosciuto])*Assegnazione[[#This Row],[Quota di assegnazione]]</f>
        <v>0</v>
      </c>
      <c r="I22" s="172">
        <f>+SUMIF(B[Bene],Assegnazione[[#This Row],[Bene]],B[Valore normale])*Assegnazione[[#This Row],[Quota di assegnazione]]</f>
        <v>0</v>
      </c>
      <c r="J22" s="174">
        <f>+IF(Assegnazione[[#This Row],[Bene]]="",0,SUMIF(Assegnazione[Socio],Assegnazione[[#This Row],[Socio]],Assegnazione[Valore Normale])/$I$3)</f>
        <v>0</v>
      </c>
      <c r="K22" s="174" t="str">
        <f>IF(Assegnazione[[#This Row],[Bene]]="","",SUMIF(A_1[Nome],Assegnazione[[#This Row],[Socio]],A_1[Quota partecipazione al momento dell''operazione]))</f>
        <v/>
      </c>
      <c r="L22" s="172">
        <f>+SUMIF(B[Bene],Assegnazione[[#This Row],[Bene]],B[Valore catastale])*Assegnazione[[#This Row],[Quota di assegnazione]]</f>
        <v>0</v>
      </c>
      <c r="M22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2" s="172">
        <f>+MIN(Assegnazione[[#This Row],[Valore ai fini dell''atto]],Assegnazione[[#This Row],[Valore Fiscalmente riconosciuto]])</f>
        <v>0</v>
      </c>
      <c r="O22" s="146" t="str">
        <f>+IFERROR(VLOOKUP(Assegnazione[[#This Row],[Bene]],B[],MATCH($O$4,Beni!$A$4:$Z$4,0),0),"")</f>
        <v/>
      </c>
      <c r="P22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2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2" s="175">
        <f>+SUMIF(B[Bene],Assegnazione[[#This Row],[Bene]],B[Iva se dovuta])*Assegnazione[[#This Row],[Quota di assegnazione]]</f>
        <v>0</v>
      </c>
      <c r="S22" s="175">
        <f>+SUMIF(B[Bene],Assegnazione[[#This Row],[Bene]],B[Imposta di registro (fissa + prop) senza agevolazione])*Assegnazione[[#This Row],[Quota di assegnazione]]</f>
        <v>0</v>
      </c>
      <c r="T22" s="175">
        <f>+SUMIF(B[Bene],Assegnazione[[#This Row],[Bene]],B[Ipotecaria e catastale senza agevolazione])*Assegnazione[[#This Row],[Quota di assegnazione]]</f>
        <v>0</v>
      </c>
      <c r="U22" s="176">
        <f>+SUM(Assegnazione[[#This Row],[Tassazione diretta senza agevolazione]:[Ipotecaria e catastale senza agevolazione]])</f>
        <v>0</v>
      </c>
      <c r="V22" s="175">
        <f>+SUMIF(B[Bene],Assegnazione[[#This Row],[Bene]],B[Imponibile Imposta sostitutiva])*Assegnazione[[#This Row],[Quota di assegnazione]]*DATI!$E$27</f>
        <v>0</v>
      </c>
      <c r="W22" s="175">
        <f>+SUMIF(B[Bene],Assegnazione[[#This Row],[Bene]],B[Imposta di registro in misura fissa agevolata])*Assegnazione[[#This Row],[Quota di assegnazione]]</f>
        <v>0</v>
      </c>
      <c r="X22" s="175">
        <f>+SUMIF(B[Bene],Assegnazione[[#This Row],[Bene]],B[Imposta di registro prop. Agevolata])*Assegnazione[[#This Row],[Quota di assegnazione]]</f>
        <v>0</v>
      </c>
      <c r="Y22" s="175">
        <f>+IFERROR(Assegnazione[[#This Row],[Imposta di registro in misura fissa]]+Assegnazione[[#This Row],[Imposta di registro prop.]],"")</f>
        <v>0</v>
      </c>
      <c r="Z22" s="175">
        <f>+SUMIF(B[Bene],Assegnazione[[#This Row],[Bene]],B[Ipotecaria catastale agevolata])*Assegnazione[[#This Row],[Quota di assegnazione]]</f>
        <v>0</v>
      </c>
    </row>
    <row r="23" spans="1:26" x14ac:dyDescent="0.2">
      <c r="A23" s="123"/>
      <c r="B23" s="132"/>
      <c r="C23" s="123"/>
      <c r="D23" s="172">
        <f>+SUMIF(B[Bene],Assegnazione[[#This Row],[Bene]],B[Imponibile Iva])*Assegnazione[[#This Row],[Quota di assegnazione]]</f>
        <v>0</v>
      </c>
      <c r="E23" s="172">
        <f>+SUMIF(B[Bene],Assegnazione[[#This Row],[Bene]],B[Valore inserito manualmente])*Assegnazione[[#This Row],[Quota di assegnazione]]</f>
        <v>0</v>
      </c>
      <c r="F23" s="173" t="str">
        <f>+IF(A23="","",VLOOKUP(Assegnazione[[#This Row],[Bene]],B[],3,0))</f>
        <v/>
      </c>
      <c r="G23" s="129" t="str">
        <f>+IFERROR(VLOOKUP(Assegnazione[[#This Row],[Bene]],B[],MATCH("Agevolabile",Beni!$A$4:$AC$4,0),0)*VLOOKUP(Assegnazione[[#This Row],[Socio]],A_1[],8,0),"")</f>
        <v/>
      </c>
      <c r="H23" s="172">
        <f>+SUMIF(B[Bene],Assegnazione[[#This Row],[Bene]],B[Valore netto contabile fiscalmente riconosciuto])*Assegnazione[[#This Row],[Quota di assegnazione]]</f>
        <v>0</v>
      </c>
      <c r="I23" s="172">
        <f>+SUMIF(B[Bene],Assegnazione[[#This Row],[Bene]],B[Valore normale])*Assegnazione[[#This Row],[Quota di assegnazione]]</f>
        <v>0</v>
      </c>
      <c r="J23" s="174">
        <f>+IF(Assegnazione[[#This Row],[Bene]]="",0,SUMIF(Assegnazione[Socio],Assegnazione[[#This Row],[Socio]],Assegnazione[Valore Normale])/$I$3)</f>
        <v>0</v>
      </c>
      <c r="K23" s="174" t="str">
        <f>IF(Assegnazione[[#This Row],[Bene]]="","",SUMIF(A_1[Nome],Assegnazione[[#This Row],[Socio]],A_1[Quota partecipazione al momento dell''operazione]))</f>
        <v/>
      </c>
      <c r="L23" s="172">
        <f>+SUMIF(B[Bene],Assegnazione[[#This Row],[Bene]],B[Valore catastale])*Assegnazione[[#This Row],[Quota di assegnazione]]</f>
        <v>0</v>
      </c>
      <c r="M23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3" s="172">
        <f>+MIN(Assegnazione[[#This Row],[Valore ai fini dell''atto]],Assegnazione[[#This Row],[Valore Fiscalmente riconosciuto]])</f>
        <v>0</v>
      </c>
      <c r="O23" s="146" t="str">
        <f>+IFERROR(VLOOKUP(Assegnazione[[#This Row],[Bene]],B[],MATCH($O$4,Beni!$A$4:$Z$4,0),0),"")</f>
        <v/>
      </c>
      <c r="P23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3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3" s="175">
        <f>+SUMIF(B[Bene],Assegnazione[[#This Row],[Bene]],B[Iva se dovuta])*Assegnazione[[#This Row],[Quota di assegnazione]]</f>
        <v>0</v>
      </c>
      <c r="S23" s="175">
        <f>+SUMIF(B[Bene],Assegnazione[[#This Row],[Bene]],B[Imposta di registro (fissa + prop) senza agevolazione])*Assegnazione[[#This Row],[Quota di assegnazione]]</f>
        <v>0</v>
      </c>
      <c r="T23" s="175">
        <f>+SUMIF(B[Bene],Assegnazione[[#This Row],[Bene]],B[Ipotecaria e catastale senza agevolazione])*Assegnazione[[#This Row],[Quota di assegnazione]]</f>
        <v>0</v>
      </c>
      <c r="U23" s="176">
        <f>+SUM(Assegnazione[[#This Row],[Tassazione diretta senza agevolazione]:[Ipotecaria e catastale senza agevolazione]])</f>
        <v>0</v>
      </c>
      <c r="V23" s="175">
        <f>+SUMIF(B[Bene],Assegnazione[[#This Row],[Bene]],B[Imponibile Imposta sostitutiva])*Assegnazione[[#This Row],[Quota di assegnazione]]*DATI!$E$27</f>
        <v>0</v>
      </c>
      <c r="W23" s="175">
        <f>+SUMIF(B[Bene],Assegnazione[[#This Row],[Bene]],B[Imposta di registro in misura fissa agevolata])*Assegnazione[[#This Row],[Quota di assegnazione]]</f>
        <v>0</v>
      </c>
      <c r="X23" s="175">
        <f>+SUMIF(B[Bene],Assegnazione[[#This Row],[Bene]],B[Imposta di registro prop. Agevolata])*Assegnazione[[#This Row],[Quota di assegnazione]]</f>
        <v>0</v>
      </c>
      <c r="Y23" s="175">
        <f>+IFERROR(Assegnazione[[#This Row],[Imposta di registro in misura fissa]]+Assegnazione[[#This Row],[Imposta di registro prop.]],"")</f>
        <v>0</v>
      </c>
      <c r="Z23" s="175">
        <f>+SUMIF(B[Bene],Assegnazione[[#This Row],[Bene]],B[Ipotecaria catastale agevolata])*Assegnazione[[#This Row],[Quota di assegnazione]]</f>
        <v>0</v>
      </c>
    </row>
    <row r="24" spans="1:26" x14ac:dyDescent="0.2">
      <c r="A24" s="123"/>
      <c r="B24" s="132"/>
      <c r="C24" s="123"/>
      <c r="D24" s="172">
        <f>+SUMIF(B[Bene],Assegnazione[[#This Row],[Bene]],B[Imponibile Iva])*Assegnazione[[#This Row],[Quota di assegnazione]]</f>
        <v>0</v>
      </c>
      <c r="E24" s="172">
        <f>+SUMIF(B[Bene],Assegnazione[[#This Row],[Bene]],B[Valore inserito manualmente])*Assegnazione[[#This Row],[Quota di assegnazione]]</f>
        <v>0</v>
      </c>
      <c r="F24" s="173" t="str">
        <f>+IF(A24="","",VLOOKUP(Assegnazione[[#This Row],[Bene]],B[],3,0))</f>
        <v/>
      </c>
      <c r="G24" s="129" t="str">
        <f>+IFERROR(VLOOKUP(Assegnazione[[#This Row],[Bene]],B[],MATCH("Agevolabile",Beni!$A$4:$AC$4,0),0)*VLOOKUP(Assegnazione[[#This Row],[Socio]],A_1[],8,0),"")</f>
        <v/>
      </c>
      <c r="H24" s="172">
        <f>+SUMIF(B[Bene],Assegnazione[[#This Row],[Bene]],B[Valore netto contabile fiscalmente riconosciuto])*Assegnazione[[#This Row],[Quota di assegnazione]]</f>
        <v>0</v>
      </c>
      <c r="I24" s="172">
        <f>+SUMIF(B[Bene],Assegnazione[[#This Row],[Bene]],B[Valore normale])*Assegnazione[[#This Row],[Quota di assegnazione]]</f>
        <v>0</v>
      </c>
      <c r="J24" s="174">
        <f>+IF(Assegnazione[[#This Row],[Bene]]="",0,SUMIF(Assegnazione[Socio],Assegnazione[[#This Row],[Socio]],Assegnazione[Valore Normale])/$I$3)</f>
        <v>0</v>
      </c>
      <c r="K24" s="174" t="str">
        <f>IF(Assegnazione[[#This Row],[Bene]]="","",SUMIF(A_1[Nome],Assegnazione[[#This Row],[Socio]],A_1[Quota partecipazione al momento dell''operazione]))</f>
        <v/>
      </c>
      <c r="L24" s="172">
        <f>+SUMIF(B[Bene],Assegnazione[[#This Row],[Bene]],B[Valore catastale])*Assegnazione[[#This Row],[Quota di assegnazione]]</f>
        <v>0</v>
      </c>
      <c r="M24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4" s="172">
        <f>+MIN(Assegnazione[[#This Row],[Valore ai fini dell''atto]],Assegnazione[[#This Row],[Valore Fiscalmente riconosciuto]])</f>
        <v>0</v>
      </c>
      <c r="O24" s="146" t="str">
        <f>+IFERROR(VLOOKUP(Assegnazione[[#This Row],[Bene]],B[],MATCH($O$4,Beni!$A$4:$Z$4,0),0),"")</f>
        <v/>
      </c>
      <c r="P24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4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4" s="175">
        <f>+SUMIF(B[Bene],Assegnazione[[#This Row],[Bene]],B[Iva se dovuta])*Assegnazione[[#This Row],[Quota di assegnazione]]</f>
        <v>0</v>
      </c>
      <c r="S24" s="175">
        <f>+SUMIF(B[Bene],Assegnazione[[#This Row],[Bene]],B[Imposta di registro (fissa + prop) senza agevolazione])*Assegnazione[[#This Row],[Quota di assegnazione]]</f>
        <v>0</v>
      </c>
      <c r="T24" s="175">
        <f>+SUMIF(B[Bene],Assegnazione[[#This Row],[Bene]],B[Ipotecaria e catastale senza agevolazione])*Assegnazione[[#This Row],[Quota di assegnazione]]</f>
        <v>0</v>
      </c>
      <c r="U24" s="176">
        <f>+SUM(Assegnazione[[#This Row],[Tassazione diretta senza agevolazione]:[Ipotecaria e catastale senza agevolazione]])</f>
        <v>0</v>
      </c>
      <c r="V24" s="175">
        <f>+SUMIF(B[Bene],Assegnazione[[#This Row],[Bene]],B[Imponibile Imposta sostitutiva])*Assegnazione[[#This Row],[Quota di assegnazione]]*DATI!$E$27</f>
        <v>0</v>
      </c>
      <c r="W24" s="175">
        <f>+SUMIF(B[Bene],Assegnazione[[#This Row],[Bene]],B[Imposta di registro in misura fissa agevolata])*Assegnazione[[#This Row],[Quota di assegnazione]]</f>
        <v>0</v>
      </c>
      <c r="X24" s="175">
        <f>+SUMIF(B[Bene],Assegnazione[[#This Row],[Bene]],B[Imposta di registro prop. Agevolata])*Assegnazione[[#This Row],[Quota di assegnazione]]</f>
        <v>0</v>
      </c>
      <c r="Y24" s="175">
        <f>+IFERROR(Assegnazione[[#This Row],[Imposta di registro in misura fissa]]+Assegnazione[[#This Row],[Imposta di registro prop.]],"")</f>
        <v>0</v>
      </c>
      <c r="Z24" s="175">
        <f>+SUMIF(B[Bene],Assegnazione[[#This Row],[Bene]],B[Ipotecaria catastale agevolata])*Assegnazione[[#This Row],[Quota di assegnazione]]</f>
        <v>0</v>
      </c>
    </row>
    <row r="25" spans="1:26" x14ac:dyDescent="0.2">
      <c r="A25" s="123"/>
      <c r="B25" s="132"/>
      <c r="C25" s="123"/>
      <c r="D25" s="172">
        <f>+SUMIF(B[Bene],Assegnazione[[#This Row],[Bene]],B[Imponibile Iva])*Assegnazione[[#This Row],[Quota di assegnazione]]</f>
        <v>0</v>
      </c>
      <c r="E25" s="172">
        <f>+SUMIF(B[Bene],Assegnazione[[#This Row],[Bene]],B[Valore inserito manualmente])*Assegnazione[[#This Row],[Quota di assegnazione]]</f>
        <v>0</v>
      </c>
      <c r="F25" s="173" t="str">
        <f>+IF(A25="","",VLOOKUP(Assegnazione[[#This Row],[Bene]],B[],3,0))</f>
        <v/>
      </c>
      <c r="G25" s="129" t="str">
        <f>+IFERROR(VLOOKUP(Assegnazione[[#This Row],[Bene]],B[],MATCH("Agevolabile",Beni!$A$4:$AC$4,0),0)*VLOOKUP(Assegnazione[[#This Row],[Socio]],A_1[],8,0),"")</f>
        <v/>
      </c>
      <c r="H25" s="172">
        <f>+SUMIF(B[Bene],Assegnazione[[#This Row],[Bene]],B[Valore netto contabile fiscalmente riconosciuto])*Assegnazione[[#This Row],[Quota di assegnazione]]</f>
        <v>0</v>
      </c>
      <c r="I25" s="172">
        <f>+SUMIF(B[Bene],Assegnazione[[#This Row],[Bene]],B[Valore normale])*Assegnazione[[#This Row],[Quota di assegnazione]]</f>
        <v>0</v>
      </c>
      <c r="J25" s="174">
        <f>+IF(Assegnazione[[#This Row],[Bene]]="",0,SUMIF(Assegnazione[Socio],Assegnazione[[#This Row],[Socio]],Assegnazione[Valore Normale])/$I$3)</f>
        <v>0</v>
      </c>
      <c r="K25" s="174" t="str">
        <f>IF(Assegnazione[[#This Row],[Bene]]="","",SUMIF(A_1[Nome],Assegnazione[[#This Row],[Socio]],A_1[Quota partecipazione al momento dell''operazione]))</f>
        <v/>
      </c>
      <c r="L25" s="172">
        <f>+SUMIF(B[Bene],Assegnazione[[#This Row],[Bene]],B[Valore catastale])*Assegnazione[[#This Row],[Quota di assegnazione]]</f>
        <v>0</v>
      </c>
      <c r="M25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5" s="172">
        <f>+MIN(Assegnazione[[#This Row],[Valore ai fini dell''atto]],Assegnazione[[#This Row],[Valore Fiscalmente riconosciuto]])</f>
        <v>0</v>
      </c>
      <c r="O25" s="146" t="str">
        <f>+IFERROR(VLOOKUP(Assegnazione[[#This Row],[Bene]],B[],MATCH($O$4,Beni!$A$4:$Z$4,0),0),"")</f>
        <v/>
      </c>
      <c r="P25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5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5" s="175">
        <f>+SUMIF(B[Bene],Assegnazione[[#This Row],[Bene]],B[Iva se dovuta])*Assegnazione[[#This Row],[Quota di assegnazione]]</f>
        <v>0</v>
      </c>
      <c r="S25" s="175">
        <f>+SUMIF(B[Bene],Assegnazione[[#This Row],[Bene]],B[Imposta di registro (fissa + prop) senza agevolazione])*Assegnazione[[#This Row],[Quota di assegnazione]]</f>
        <v>0</v>
      </c>
      <c r="T25" s="175">
        <f>+SUMIF(B[Bene],Assegnazione[[#This Row],[Bene]],B[Ipotecaria e catastale senza agevolazione])*Assegnazione[[#This Row],[Quota di assegnazione]]</f>
        <v>0</v>
      </c>
      <c r="U25" s="176">
        <f>+SUM(Assegnazione[[#This Row],[Tassazione diretta senza agevolazione]:[Ipotecaria e catastale senza agevolazione]])</f>
        <v>0</v>
      </c>
      <c r="V25" s="175">
        <f>+SUMIF(B[Bene],Assegnazione[[#This Row],[Bene]],B[Imponibile Imposta sostitutiva])*Assegnazione[[#This Row],[Quota di assegnazione]]*DATI!$E$27</f>
        <v>0</v>
      </c>
      <c r="W25" s="175">
        <f>+SUMIF(B[Bene],Assegnazione[[#This Row],[Bene]],B[Imposta di registro in misura fissa agevolata])*Assegnazione[[#This Row],[Quota di assegnazione]]</f>
        <v>0</v>
      </c>
      <c r="X25" s="175">
        <f>+SUMIF(B[Bene],Assegnazione[[#This Row],[Bene]],B[Imposta di registro prop. Agevolata])*Assegnazione[[#This Row],[Quota di assegnazione]]</f>
        <v>0</v>
      </c>
      <c r="Y25" s="175">
        <f>+IFERROR(Assegnazione[[#This Row],[Imposta di registro in misura fissa]]+Assegnazione[[#This Row],[Imposta di registro prop.]],"")</f>
        <v>0</v>
      </c>
      <c r="Z25" s="175">
        <f>+SUMIF(B[Bene],Assegnazione[[#This Row],[Bene]],B[Ipotecaria catastale agevolata])*Assegnazione[[#This Row],[Quota di assegnazione]]</f>
        <v>0</v>
      </c>
    </row>
    <row r="26" spans="1:26" x14ac:dyDescent="0.2">
      <c r="A26" s="123"/>
      <c r="B26" s="132"/>
      <c r="C26" s="123"/>
      <c r="D26" s="172">
        <f>+SUMIF(B[Bene],Assegnazione[[#This Row],[Bene]],B[Imponibile Iva])*Assegnazione[[#This Row],[Quota di assegnazione]]</f>
        <v>0</v>
      </c>
      <c r="E26" s="172">
        <f>+SUMIF(B[Bene],Assegnazione[[#This Row],[Bene]],B[Valore inserito manualmente])*Assegnazione[[#This Row],[Quota di assegnazione]]</f>
        <v>0</v>
      </c>
      <c r="F26" s="173" t="str">
        <f>+IF(A26="","",VLOOKUP(Assegnazione[[#This Row],[Bene]],B[],3,0))</f>
        <v/>
      </c>
      <c r="G26" s="129" t="str">
        <f>+IFERROR(VLOOKUP(Assegnazione[[#This Row],[Bene]],B[],MATCH("Agevolabile",Beni!$A$4:$AC$4,0),0)*VLOOKUP(Assegnazione[[#This Row],[Socio]],A_1[],8,0),"")</f>
        <v/>
      </c>
      <c r="H26" s="172">
        <f>+SUMIF(B[Bene],Assegnazione[[#This Row],[Bene]],B[Valore netto contabile fiscalmente riconosciuto])*Assegnazione[[#This Row],[Quota di assegnazione]]</f>
        <v>0</v>
      </c>
      <c r="I26" s="172">
        <f>+SUMIF(B[Bene],Assegnazione[[#This Row],[Bene]],B[Valore normale])*Assegnazione[[#This Row],[Quota di assegnazione]]</f>
        <v>0</v>
      </c>
      <c r="J26" s="174">
        <f>+IF(Assegnazione[[#This Row],[Bene]]="",0,SUMIF(Assegnazione[Socio],Assegnazione[[#This Row],[Socio]],Assegnazione[Valore Normale])/$I$3)</f>
        <v>0</v>
      </c>
      <c r="K26" s="174" t="str">
        <f>IF(Assegnazione[[#This Row],[Bene]]="","",SUMIF(A_1[Nome],Assegnazione[[#This Row],[Socio]],A_1[Quota partecipazione al momento dell''operazione]))</f>
        <v/>
      </c>
      <c r="L26" s="172">
        <f>+SUMIF(B[Bene],Assegnazione[[#This Row],[Bene]],B[Valore catastale])*Assegnazione[[#This Row],[Quota di assegnazione]]</f>
        <v>0</v>
      </c>
      <c r="M26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6" s="172">
        <f>+MIN(Assegnazione[[#This Row],[Valore ai fini dell''atto]],Assegnazione[[#This Row],[Valore Fiscalmente riconosciuto]])</f>
        <v>0</v>
      </c>
      <c r="O26" s="146" t="str">
        <f>+IFERROR(VLOOKUP(Assegnazione[[#This Row],[Bene]],B[],MATCH($O$4,Beni!$A$4:$Z$4,0),0),"")</f>
        <v/>
      </c>
      <c r="P26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6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6" s="175">
        <f>+SUMIF(B[Bene],Assegnazione[[#This Row],[Bene]],B[Iva se dovuta])*Assegnazione[[#This Row],[Quota di assegnazione]]</f>
        <v>0</v>
      </c>
      <c r="S26" s="175">
        <f>+SUMIF(B[Bene],Assegnazione[[#This Row],[Bene]],B[Imposta di registro (fissa + prop) senza agevolazione])*Assegnazione[[#This Row],[Quota di assegnazione]]</f>
        <v>0</v>
      </c>
      <c r="T26" s="175">
        <f>+SUMIF(B[Bene],Assegnazione[[#This Row],[Bene]],B[Ipotecaria e catastale senza agevolazione])*Assegnazione[[#This Row],[Quota di assegnazione]]</f>
        <v>0</v>
      </c>
      <c r="U26" s="176">
        <f>+SUM(Assegnazione[[#This Row],[Tassazione diretta senza agevolazione]:[Ipotecaria e catastale senza agevolazione]])</f>
        <v>0</v>
      </c>
      <c r="V26" s="175">
        <f>+SUMIF(B[Bene],Assegnazione[[#This Row],[Bene]],B[Imponibile Imposta sostitutiva])*Assegnazione[[#This Row],[Quota di assegnazione]]*DATI!$E$27</f>
        <v>0</v>
      </c>
      <c r="W26" s="175">
        <f>+SUMIF(B[Bene],Assegnazione[[#This Row],[Bene]],B[Imposta di registro in misura fissa agevolata])*Assegnazione[[#This Row],[Quota di assegnazione]]</f>
        <v>0</v>
      </c>
      <c r="X26" s="175">
        <f>+SUMIF(B[Bene],Assegnazione[[#This Row],[Bene]],B[Imposta di registro prop. Agevolata])*Assegnazione[[#This Row],[Quota di assegnazione]]</f>
        <v>0</v>
      </c>
      <c r="Y26" s="175">
        <f>+IFERROR(Assegnazione[[#This Row],[Imposta di registro in misura fissa]]+Assegnazione[[#This Row],[Imposta di registro prop.]],"")</f>
        <v>0</v>
      </c>
      <c r="Z26" s="175">
        <f>+SUMIF(B[Bene],Assegnazione[[#This Row],[Bene]],B[Ipotecaria catastale agevolata])*Assegnazione[[#This Row],[Quota di assegnazione]]</f>
        <v>0</v>
      </c>
    </row>
    <row r="27" spans="1:26" x14ac:dyDescent="0.2">
      <c r="A27" s="123"/>
      <c r="B27" s="132"/>
      <c r="C27" s="123"/>
      <c r="D27" s="172">
        <f>+SUMIF(B[Bene],Assegnazione[[#This Row],[Bene]],B[Imponibile Iva])*Assegnazione[[#This Row],[Quota di assegnazione]]</f>
        <v>0</v>
      </c>
      <c r="E27" s="172">
        <f>+SUMIF(B[Bene],Assegnazione[[#This Row],[Bene]],B[Valore inserito manualmente])*Assegnazione[[#This Row],[Quota di assegnazione]]</f>
        <v>0</v>
      </c>
      <c r="F27" s="173" t="str">
        <f>+IF(A27="","",VLOOKUP(Assegnazione[[#This Row],[Bene]],B[],3,0))</f>
        <v/>
      </c>
      <c r="G27" s="129" t="str">
        <f>+IFERROR(VLOOKUP(Assegnazione[[#This Row],[Bene]],B[],MATCH("Agevolabile",Beni!$A$4:$AC$4,0),0)*VLOOKUP(Assegnazione[[#This Row],[Socio]],A_1[],8,0),"")</f>
        <v/>
      </c>
      <c r="H27" s="172">
        <f>+SUMIF(B[Bene],Assegnazione[[#This Row],[Bene]],B[Valore netto contabile fiscalmente riconosciuto])*Assegnazione[[#This Row],[Quota di assegnazione]]</f>
        <v>0</v>
      </c>
      <c r="I27" s="172">
        <f>+SUMIF(B[Bene],Assegnazione[[#This Row],[Bene]],B[Valore normale])*Assegnazione[[#This Row],[Quota di assegnazione]]</f>
        <v>0</v>
      </c>
      <c r="J27" s="174">
        <f>+IF(Assegnazione[[#This Row],[Bene]]="",0,SUMIF(Assegnazione[Socio],Assegnazione[[#This Row],[Socio]],Assegnazione[Valore Normale])/$I$3)</f>
        <v>0</v>
      </c>
      <c r="K27" s="174" t="str">
        <f>IF(Assegnazione[[#This Row],[Bene]]="","",SUMIF(A_1[Nome],Assegnazione[[#This Row],[Socio]],A_1[Quota partecipazione al momento dell''operazione]))</f>
        <v/>
      </c>
      <c r="L27" s="172">
        <f>+SUMIF(B[Bene],Assegnazione[[#This Row],[Bene]],B[Valore catastale])*Assegnazione[[#This Row],[Quota di assegnazione]]</f>
        <v>0</v>
      </c>
      <c r="M27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7" s="172">
        <f>+MIN(Assegnazione[[#This Row],[Valore ai fini dell''atto]],Assegnazione[[#This Row],[Valore Fiscalmente riconosciuto]])</f>
        <v>0</v>
      </c>
      <c r="O27" s="146" t="str">
        <f>+IFERROR(VLOOKUP(Assegnazione[[#This Row],[Bene]],B[],MATCH($O$4,Beni!$A$4:$Z$4,0),0),"")</f>
        <v/>
      </c>
      <c r="P27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7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7" s="175">
        <f>+SUMIF(B[Bene],Assegnazione[[#This Row],[Bene]],B[Iva se dovuta])*Assegnazione[[#This Row],[Quota di assegnazione]]</f>
        <v>0</v>
      </c>
      <c r="S27" s="175">
        <f>+SUMIF(B[Bene],Assegnazione[[#This Row],[Bene]],B[Imposta di registro (fissa + prop) senza agevolazione])*Assegnazione[[#This Row],[Quota di assegnazione]]</f>
        <v>0</v>
      </c>
      <c r="T27" s="175">
        <f>+SUMIF(B[Bene],Assegnazione[[#This Row],[Bene]],B[Ipotecaria e catastale senza agevolazione])*Assegnazione[[#This Row],[Quota di assegnazione]]</f>
        <v>0</v>
      </c>
      <c r="U27" s="176">
        <f>+SUM(Assegnazione[[#This Row],[Tassazione diretta senza agevolazione]:[Ipotecaria e catastale senza agevolazione]])</f>
        <v>0</v>
      </c>
      <c r="V27" s="175">
        <f>+SUMIF(B[Bene],Assegnazione[[#This Row],[Bene]],B[Imponibile Imposta sostitutiva])*Assegnazione[[#This Row],[Quota di assegnazione]]*DATI!$E$27</f>
        <v>0</v>
      </c>
      <c r="W27" s="175">
        <f>+SUMIF(B[Bene],Assegnazione[[#This Row],[Bene]],B[Imposta di registro in misura fissa agevolata])*Assegnazione[[#This Row],[Quota di assegnazione]]</f>
        <v>0</v>
      </c>
      <c r="X27" s="175">
        <f>+SUMIF(B[Bene],Assegnazione[[#This Row],[Bene]],B[Imposta di registro prop. Agevolata])*Assegnazione[[#This Row],[Quota di assegnazione]]</f>
        <v>0</v>
      </c>
      <c r="Y27" s="175">
        <f>+IFERROR(Assegnazione[[#This Row],[Imposta di registro in misura fissa]]+Assegnazione[[#This Row],[Imposta di registro prop.]],"")</f>
        <v>0</v>
      </c>
      <c r="Z27" s="175">
        <f>+SUMIF(B[Bene],Assegnazione[[#This Row],[Bene]],B[Ipotecaria catastale agevolata])*Assegnazione[[#This Row],[Quota di assegnazione]]</f>
        <v>0</v>
      </c>
    </row>
    <row r="28" spans="1:26" x14ac:dyDescent="0.2">
      <c r="A28" s="123"/>
      <c r="B28" s="132"/>
      <c r="C28" s="123"/>
      <c r="D28" s="172">
        <f>+SUMIF(B[Bene],Assegnazione[[#This Row],[Bene]],B[Imponibile Iva])*Assegnazione[[#This Row],[Quota di assegnazione]]</f>
        <v>0</v>
      </c>
      <c r="E28" s="172">
        <f>+SUMIF(B[Bene],Assegnazione[[#This Row],[Bene]],B[Valore inserito manualmente])*Assegnazione[[#This Row],[Quota di assegnazione]]</f>
        <v>0</v>
      </c>
      <c r="F28" s="173" t="str">
        <f>+IF(A28="","",VLOOKUP(Assegnazione[[#This Row],[Bene]],B[],3,0))</f>
        <v/>
      </c>
      <c r="G28" s="129" t="str">
        <f>+IFERROR(VLOOKUP(Assegnazione[[#This Row],[Bene]],B[],MATCH("Agevolabile",Beni!$A$4:$AC$4,0),0)*VLOOKUP(Assegnazione[[#This Row],[Socio]],A_1[],8,0),"")</f>
        <v/>
      </c>
      <c r="H28" s="172">
        <f>+SUMIF(B[Bene],Assegnazione[[#This Row],[Bene]],B[Valore netto contabile fiscalmente riconosciuto])*Assegnazione[[#This Row],[Quota di assegnazione]]</f>
        <v>0</v>
      </c>
      <c r="I28" s="172">
        <f>+SUMIF(B[Bene],Assegnazione[[#This Row],[Bene]],B[Valore normale])*Assegnazione[[#This Row],[Quota di assegnazione]]</f>
        <v>0</v>
      </c>
      <c r="J28" s="174">
        <f>+IF(Assegnazione[[#This Row],[Bene]]="",0,SUMIF(Assegnazione[Socio],Assegnazione[[#This Row],[Socio]],Assegnazione[Valore Normale])/$I$3)</f>
        <v>0</v>
      </c>
      <c r="K28" s="174" t="str">
        <f>IF(Assegnazione[[#This Row],[Bene]]="","",SUMIF(A_1[Nome],Assegnazione[[#This Row],[Socio]],A_1[Quota partecipazione al momento dell''operazione]))</f>
        <v/>
      </c>
      <c r="L28" s="172">
        <f>+SUMIF(B[Bene],Assegnazione[[#This Row],[Bene]],B[Valore catastale])*Assegnazione[[#This Row],[Quota di assegnazione]]</f>
        <v>0</v>
      </c>
      <c r="M28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8" s="172">
        <f>+MIN(Assegnazione[[#This Row],[Valore ai fini dell''atto]],Assegnazione[[#This Row],[Valore Fiscalmente riconosciuto]])</f>
        <v>0</v>
      </c>
      <c r="O28" s="146" t="str">
        <f>+IFERROR(VLOOKUP(Assegnazione[[#This Row],[Bene]],B[],MATCH($O$4,Beni!$A$4:$Z$4,0),0),"")</f>
        <v/>
      </c>
      <c r="P28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8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8" s="175">
        <f>+SUMIF(B[Bene],Assegnazione[[#This Row],[Bene]],B[Iva se dovuta])*Assegnazione[[#This Row],[Quota di assegnazione]]</f>
        <v>0</v>
      </c>
      <c r="S28" s="175">
        <f>+SUMIF(B[Bene],Assegnazione[[#This Row],[Bene]],B[Imposta di registro (fissa + prop) senza agevolazione])*Assegnazione[[#This Row],[Quota di assegnazione]]</f>
        <v>0</v>
      </c>
      <c r="T28" s="175">
        <f>+SUMIF(B[Bene],Assegnazione[[#This Row],[Bene]],B[Ipotecaria e catastale senza agevolazione])*Assegnazione[[#This Row],[Quota di assegnazione]]</f>
        <v>0</v>
      </c>
      <c r="U28" s="176">
        <f>+SUM(Assegnazione[[#This Row],[Tassazione diretta senza agevolazione]:[Ipotecaria e catastale senza agevolazione]])</f>
        <v>0</v>
      </c>
      <c r="V28" s="175">
        <f>+SUMIF(B[Bene],Assegnazione[[#This Row],[Bene]],B[Imponibile Imposta sostitutiva])*Assegnazione[[#This Row],[Quota di assegnazione]]*DATI!$E$27</f>
        <v>0</v>
      </c>
      <c r="W28" s="175">
        <f>+SUMIF(B[Bene],Assegnazione[[#This Row],[Bene]],B[Imposta di registro in misura fissa agevolata])*Assegnazione[[#This Row],[Quota di assegnazione]]</f>
        <v>0</v>
      </c>
      <c r="X28" s="175">
        <f>+SUMIF(B[Bene],Assegnazione[[#This Row],[Bene]],B[Imposta di registro prop. Agevolata])*Assegnazione[[#This Row],[Quota di assegnazione]]</f>
        <v>0</v>
      </c>
      <c r="Y28" s="175">
        <f>+IFERROR(Assegnazione[[#This Row],[Imposta di registro in misura fissa]]+Assegnazione[[#This Row],[Imposta di registro prop.]],"")</f>
        <v>0</v>
      </c>
      <c r="Z28" s="175">
        <f>+SUMIF(B[Bene],Assegnazione[[#This Row],[Bene]],B[Ipotecaria catastale agevolata])*Assegnazione[[#This Row],[Quota di assegnazione]]</f>
        <v>0</v>
      </c>
    </row>
    <row r="29" spans="1:26" x14ac:dyDescent="0.2">
      <c r="A29" s="123"/>
      <c r="B29" s="132"/>
      <c r="C29" s="123"/>
      <c r="D29" s="172">
        <f>+SUMIF(B[Bene],Assegnazione[[#This Row],[Bene]],B[Imponibile Iva])*Assegnazione[[#This Row],[Quota di assegnazione]]</f>
        <v>0</v>
      </c>
      <c r="E29" s="172">
        <f>+SUMIF(B[Bene],Assegnazione[[#This Row],[Bene]],B[Valore inserito manualmente])*Assegnazione[[#This Row],[Quota di assegnazione]]</f>
        <v>0</v>
      </c>
      <c r="F29" s="173" t="str">
        <f>+IF(A29="","",VLOOKUP(Assegnazione[[#This Row],[Bene]],B[],3,0))</f>
        <v/>
      </c>
      <c r="G29" s="129" t="str">
        <f>+IFERROR(VLOOKUP(Assegnazione[[#This Row],[Bene]],B[],MATCH("Agevolabile",Beni!$A$4:$AC$4,0),0)*VLOOKUP(Assegnazione[[#This Row],[Socio]],A_1[],8,0),"")</f>
        <v/>
      </c>
      <c r="H29" s="172">
        <f>+SUMIF(B[Bene],Assegnazione[[#This Row],[Bene]],B[Valore netto contabile fiscalmente riconosciuto])*Assegnazione[[#This Row],[Quota di assegnazione]]</f>
        <v>0</v>
      </c>
      <c r="I29" s="172">
        <f>+SUMIF(B[Bene],Assegnazione[[#This Row],[Bene]],B[Valore normale])*Assegnazione[[#This Row],[Quota di assegnazione]]</f>
        <v>0</v>
      </c>
      <c r="J29" s="174">
        <f>+IF(Assegnazione[[#This Row],[Bene]]="",0,SUMIF(Assegnazione[Socio],Assegnazione[[#This Row],[Socio]],Assegnazione[Valore Normale])/$I$3)</f>
        <v>0</v>
      </c>
      <c r="K29" s="174" t="str">
        <f>IF(Assegnazione[[#This Row],[Bene]]="","",SUMIF(A_1[Nome],Assegnazione[[#This Row],[Socio]],A_1[Quota partecipazione al momento dell''operazione]))</f>
        <v/>
      </c>
      <c r="L29" s="172">
        <f>+SUMIF(B[Bene],Assegnazione[[#This Row],[Bene]],B[Valore catastale])*Assegnazione[[#This Row],[Quota di assegnazione]]</f>
        <v>0</v>
      </c>
      <c r="M29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9" s="172">
        <f>+MIN(Assegnazione[[#This Row],[Valore ai fini dell''atto]],Assegnazione[[#This Row],[Valore Fiscalmente riconosciuto]])</f>
        <v>0</v>
      </c>
      <c r="O29" s="146" t="str">
        <f>+IFERROR(VLOOKUP(Assegnazione[[#This Row],[Bene]],B[],MATCH($O$4,Beni!$A$4:$Z$4,0),0),"")</f>
        <v/>
      </c>
      <c r="P29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9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9" s="175">
        <f>+SUMIF(B[Bene],Assegnazione[[#This Row],[Bene]],B[Iva se dovuta])*Assegnazione[[#This Row],[Quota di assegnazione]]</f>
        <v>0</v>
      </c>
      <c r="S29" s="175">
        <f>+SUMIF(B[Bene],Assegnazione[[#This Row],[Bene]],B[Imposta di registro (fissa + prop) senza agevolazione])*Assegnazione[[#This Row],[Quota di assegnazione]]</f>
        <v>0</v>
      </c>
      <c r="T29" s="175">
        <f>+SUMIF(B[Bene],Assegnazione[[#This Row],[Bene]],B[Ipotecaria e catastale senza agevolazione])*Assegnazione[[#This Row],[Quota di assegnazione]]</f>
        <v>0</v>
      </c>
      <c r="U29" s="176">
        <f>+SUM(Assegnazione[[#This Row],[Tassazione diretta senza agevolazione]:[Ipotecaria e catastale senza agevolazione]])</f>
        <v>0</v>
      </c>
      <c r="V29" s="175">
        <f>+SUMIF(B[Bene],Assegnazione[[#This Row],[Bene]],B[Imponibile Imposta sostitutiva])*Assegnazione[[#This Row],[Quota di assegnazione]]*DATI!$E$27</f>
        <v>0</v>
      </c>
      <c r="W29" s="175">
        <f>+SUMIF(B[Bene],Assegnazione[[#This Row],[Bene]],B[Imposta di registro in misura fissa agevolata])*Assegnazione[[#This Row],[Quota di assegnazione]]</f>
        <v>0</v>
      </c>
      <c r="X29" s="175">
        <f>+SUMIF(B[Bene],Assegnazione[[#This Row],[Bene]],B[Imposta di registro prop. Agevolata])*Assegnazione[[#This Row],[Quota di assegnazione]]</f>
        <v>0</v>
      </c>
      <c r="Y29" s="175">
        <f>+IFERROR(Assegnazione[[#This Row],[Imposta di registro in misura fissa]]+Assegnazione[[#This Row],[Imposta di registro prop.]],"")</f>
        <v>0</v>
      </c>
      <c r="Z29" s="175">
        <f>+SUMIF(B[Bene],Assegnazione[[#This Row],[Bene]],B[Ipotecaria catastale agevolata])*Assegnazione[[#This Row],[Quota di assegnazione]]</f>
        <v>0</v>
      </c>
    </row>
    <row r="30" spans="1:26" x14ac:dyDescent="0.2">
      <c r="A30" s="123"/>
      <c r="B30" s="132"/>
      <c r="C30" s="123"/>
      <c r="D30" s="172">
        <f>+SUMIF(B[Bene],Assegnazione[[#This Row],[Bene]],B[Imponibile Iva])*Assegnazione[[#This Row],[Quota di assegnazione]]</f>
        <v>0</v>
      </c>
      <c r="E30" s="172">
        <f>+SUMIF(B[Bene],Assegnazione[[#This Row],[Bene]],B[Valore inserito manualmente])*Assegnazione[[#This Row],[Quota di assegnazione]]</f>
        <v>0</v>
      </c>
      <c r="F30" s="173" t="str">
        <f>+IF(A30="","",VLOOKUP(Assegnazione[[#This Row],[Bene]],B[],3,0))</f>
        <v/>
      </c>
      <c r="G30" s="129" t="str">
        <f>+IFERROR(VLOOKUP(Assegnazione[[#This Row],[Bene]],B[],MATCH("Agevolabile",Beni!$A$4:$AC$4,0),0)*VLOOKUP(Assegnazione[[#This Row],[Socio]],A_1[],8,0),"")</f>
        <v/>
      </c>
      <c r="H30" s="172">
        <f>+SUMIF(B[Bene],Assegnazione[[#This Row],[Bene]],B[Valore netto contabile fiscalmente riconosciuto])*Assegnazione[[#This Row],[Quota di assegnazione]]</f>
        <v>0</v>
      </c>
      <c r="I30" s="172">
        <f>+SUMIF(B[Bene],Assegnazione[[#This Row],[Bene]],B[Valore normale])*Assegnazione[[#This Row],[Quota di assegnazione]]</f>
        <v>0</v>
      </c>
      <c r="J30" s="174">
        <f>+IF(Assegnazione[[#This Row],[Bene]]="",0,SUMIF(Assegnazione[Socio],Assegnazione[[#This Row],[Socio]],Assegnazione[Valore Normale])/$I$3)</f>
        <v>0</v>
      </c>
      <c r="K30" s="174" t="str">
        <f>IF(Assegnazione[[#This Row],[Bene]]="","",SUMIF(A_1[Nome],Assegnazione[[#This Row],[Socio]],A_1[Quota partecipazione al momento dell''operazione]))</f>
        <v/>
      </c>
      <c r="L30" s="172">
        <f>+SUMIF(B[Bene],Assegnazione[[#This Row],[Bene]],B[Valore catastale])*Assegnazione[[#This Row],[Quota di assegnazione]]</f>
        <v>0</v>
      </c>
      <c r="M30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0" s="172">
        <f>+MIN(Assegnazione[[#This Row],[Valore ai fini dell''atto]],Assegnazione[[#This Row],[Valore Fiscalmente riconosciuto]])</f>
        <v>0</v>
      </c>
      <c r="O30" s="146" t="str">
        <f>+IFERROR(VLOOKUP(Assegnazione[[#This Row],[Bene]],B[],MATCH($O$4,Beni!$A$4:$Z$4,0),0),"")</f>
        <v/>
      </c>
      <c r="P30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0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0" s="175">
        <f>+SUMIF(B[Bene],Assegnazione[[#This Row],[Bene]],B[Iva se dovuta])*Assegnazione[[#This Row],[Quota di assegnazione]]</f>
        <v>0</v>
      </c>
      <c r="S30" s="175">
        <f>+SUMIF(B[Bene],Assegnazione[[#This Row],[Bene]],B[Imposta di registro (fissa + prop) senza agevolazione])*Assegnazione[[#This Row],[Quota di assegnazione]]</f>
        <v>0</v>
      </c>
      <c r="T30" s="175">
        <f>+SUMIF(B[Bene],Assegnazione[[#This Row],[Bene]],B[Ipotecaria e catastale senza agevolazione])*Assegnazione[[#This Row],[Quota di assegnazione]]</f>
        <v>0</v>
      </c>
      <c r="U30" s="176">
        <f>+SUM(Assegnazione[[#This Row],[Tassazione diretta senza agevolazione]:[Ipotecaria e catastale senza agevolazione]])</f>
        <v>0</v>
      </c>
      <c r="V30" s="175">
        <f>+SUMIF(B[Bene],Assegnazione[[#This Row],[Bene]],B[Imponibile Imposta sostitutiva])*Assegnazione[[#This Row],[Quota di assegnazione]]*DATI!$E$27</f>
        <v>0</v>
      </c>
      <c r="W30" s="175">
        <f>+SUMIF(B[Bene],Assegnazione[[#This Row],[Bene]],B[Imposta di registro in misura fissa agevolata])*Assegnazione[[#This Row],[Quota di assegnazione]]</f>
        <v>0</v>
      </c>
      <c r="X30" s="175">
        <f>+SUMIF(B[Bene],Assegnazione[[#This Row],[Bene]],B[Imposta di registro prop. Agevolata])*Assegnazione[[#This Row],[Quota di assegnazione]]</f>
        <v>0</v>
      </c>
      <c r="Y30" s="175">
        <f>+IFERROR(Assegnazione[[#This Row],[Imposta di registro in misura fissa]]+Assegnazione[[#This Row],[Imposta di registro prop.]],"")</f>
        <v>0</v>
      </c>
      <c r="Z30" s="175">
        <f>+SUMIF(B[Bene],Assegnazione[[#This Row],[Bene]],B[Ipotecaria catastale agevolata])*Assegnazione[[#This Row],[Quota di assegnazione]]</f>
        <v>0</v>
      </c>
    </row>
    <row r="31" spans="1:26" x14ac:dyDescent="0.2">
      <c r="A31" s="123"/>
      <c r="B31" s="132"/>
      <c r="C31" s="123"/>
      <c r="D31" s="172">
        <f>+SUMIF(B[Bene],Assegnazione[[#This Row],[Bene]],B[Imponibile Iva])*Assegnazione[[#This Row],[Quota di assegnazione]]</f>
        <v>0</v>
      </c>
      <c r="E31" s="172">
        <f>+SUMIF(B[Bene],Assegnazione[[#This Row],[Bene]],B[Valore inserito manualmente])*Assegnazione[[#This Row],[Quota di assegnazione]]</f>
        <v>0</v>
      </c>
      <c r="F31" s="173" t="str">
        <f>+IF(A31="","",VLOOKUP(Assegnazione[[#This Row],[Bene]],B[],3,0))</f>
        <v/>
      </c>
      <c r="G31" s="129" t="str">
        <f>+IFERROR(VLOOKUP(Assegnazione[[#This Row],[Bene]],B[],MATCH("Agevolabile",Beni!$A$4:$AC$4,0),0)*VLOOKUP(Assegnazione[[#This Row],[Socio]],A_1[],8,0),"")</f>
        <v/>
      </c>
      <c r="H31" s="172">
        <f>+SUMIF(B[Bene],Assegnazione[[#This Row],[Bene]],B[Valore netto contabile fiscalmente riconosciuto])*Assegnazione[[#This Row],[Quota di assegnazione]]</f>
        <v>0</v>
      </c>
      <c r="I31" s="172">
        <f>+SUMIF(B[Bene],Assegnazione[[#This Row],[Bene]],B[Valore normale])*Assegnazione[[#This Row],[Quota di assegnazione]]</f>
        <v>0</v>
      </c>
      <c r="J31" s="174">
        <f>+IF(Assegnazione[[#This Row],[Bene]]="",0,SUMIF(Assegnazione[Socio],Assegnazione[[#This Row],[Socio]],Assegnazione[Valore Normale])/$I$3)</f>
        <v>0</v>
      </c>
      <c r="K31" s="174" t="str">
        <f>IF(Assegnazione[[#This Row],[Bene]]="","",SUMIF(A_1[Nome],Assegnazione[[#This Row],[Socio]],A_1[Quota partecipazione al momento dell''operazione]))</f>
        <v/>
      </c>
      <c r="L31" s="172">
        <f>+SUMIF(B[Bene],Assegnazione[[#This Row],[Bene]],B[Valore catastale])*Assegnazione[[#This Row],[Quota di assegnazione]]</f>
        <v>0</v>
      </c>
      <c r="M31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1" s="172">
        <f>+MIN(Assegnazione[[#This Row],[Valore ai fini dell''atto]],Assegnazione[[#This Row],[Valore Fiscalmente riconosciuto]])</f>
        <v>0</v>
      </c>
      <c r="O31" s="146" t="str">
        <f>+IFERROR(VLOOKUP(Assegnazione[[#This Row],[Bene]],B[],MATCH($O$4,Beni!$A$4:$Z$4,0),0),"")</f>
        <v/>
      </c>
      <c r="P31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1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1" s="175">
        <f>+SUMIF(B[Bene],Assegnazione[[#This Row],[Bene]],B[Iva se dovuta])*Assegnazione[[#This Row],[Quota di assegnazione]]</f>
        <v>0</v>
      </c>
      <c r="S31" s="175">
        <f>+SUMIF(B[Bene],Assegnazione[[#This Row],[Bene]],B[Imposta di registro (fissa + prop) senza agevolazione])*Assegnazione[[#This Row],[Quota di assegnazione]]</f>
        <v>0</v>
      </c>
      <c r="T31" s="175">
        <f>+SUMIF(B[Bene],Assegnazione[[#This Row],[Bene]],B[Ipotecaria e catastale senza agevolazione])*Assegnazione[[#This Row],[Quota di assegnazione]]</f>
        <v>0</v>
      </c>
      <c r="U31" s="176">
        <f>+SUM(Assegnazione[[#This Row],[Tassazione diretta senza agevolazione]:[Ipotecaria e catastale senza agevolazione]])</f>
        <v>0</v>
      </c>
      <c r="V31" s="175">
        <f>+SUMIF(B[Bene],Assegnazione[[#This Row],[Bene]],B[Imponibile Imposta sostitutiva])*Assegnazione[[#This Row],[Quota di assegnazione]]*DATI!$E$27</f>
        <v>0</v>
      </c>
      <c r="W31" s="175">
        <f>+SUMIF(B[Bene],Assegnazione[[#This Row],[Bene]],B[Imposta di registro in misura fissa agevolata])*Assegnazione[[#This Row],[Quota di assegnazione]]</f>
        <v>0</v>
      </c>
      <c r="X31" s="175">
        <f>+SUMIF(B[Bene],Assegnazione[[#This Row],[Bene]],B[Imposta di registro prop. Agevolata])*Assegnazione[[#This Row],[Quota di assegnazione]]</f>
        <v>0</v>
      </c>
      <c r="Y31" s="175">
        <f>+IFERROR(Assegnazione[[#This Row],[Imposta di registro in misura fissa]]+Assegnazione[[#This Row],[Imposta di registro prop.]],"")</f>
        <v>0</v>
      </c>
      <c r="Z31" s="175">
        <f>+SUMIF(B[Bene],Assegnazione[[#This Row],[Bene]],B[Ipotecaria catastale agevolata])*Assegnazione[[#This Row],[Quota di assegnazione]]</f>
        <v>0</v>
      </c>
    </row>
    <row r="32" spans="1:26" x14ac:dyDescent="0.2">
      <c r="A32" s="123"/>
      <c r="B32" s="132"/>
      <c r="C32" s="123"/>
      <c r="D32" s="172">
        <f>+SUMIF(B[Bene],Assegnazione[[#This Row],[Bene]],B[Imponibile Iva])*Assegnazione[[#This Row],[Quota di assegnazione]]</f>
        <v>0</v>
      </c>
      <c r="E32" s="172">
        <f>+SUMIF(B[Bene],Assegnazione[[#This Row],[Bene]],B[Valore inserito manualmente])*Assegnazione[[#This Row],[Quota di assegnazione]]</f>
        <v>0</v>
      </c>
      <c r="F32" s="173" t="str">
        <f>+IF(A32="","",VLOOKUP(Assegnazione[[#This Row],[Bene]],B[],3,0))</f>
        <v/>
      </c>
      <c r="G32" s="129" t="str">
        <f>+IFERROR(VLOOKUP(Assegnazione[[#This Row],[Bene]],B[],MATCH("Agevolabile",Beni!$A$4:$AC$4,0),0)*VLOOKUP(Assegnazione[[#This Row],[Socio]],A_1[],8,0),"")</f>
        <v/>
      </c>
      <c r="H32" s="172">
        <f>+SUMIF(B[Bene],Assegnazione[[#This Row],[Bene]],B[Valore netto contabile fiscalmente riconosciuto])*Assegnazione[[#This Row],[Quota di assegnazione]]</f>
        <v>0</v>
      </c>
      <c r="I32" s="172">
        <f>+SUMIF(B[Bene],Assegnazione[[#This Row],[Bene]],B[Valore normale])*Assegnazione[[#This Row],[Quota di assegnazione]]</f>
        <v>0</v>
      </c>
      <c r="J32" s="174">
        <f>+IF(Assegnazione[[#This Row],[Bene]]="",0,SUMIF(Assegnazione[Socio],Assegnazione[[#This Row],[Socio]],Assegnazione[Valore Normale])/$I$3)</f>
        <v>0</v>
      </c>
      <c r="K32" s="174" t="str">
        <f>IF(Assegnazione[[#This Row],[Bene]]="","",SUMIF(A_1[Nome],Assegnazione[[#This Row],[Socio]],A_1[Quota partecipazione al momento dell''operazione]))</f>
        <v/>
      </c>
      <c r="L32" s="172">
        <f>+SUMIF(B[Bene],Assegnazione[[#This Row],[Bene]],B[Valore catastale])*Assegnazione[[#This Row],[Quota di assegnazione]]</f>
        <v>0</v>
      </c>
      <c r="M32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2" s="172">
        <f>+MIN(Assegnazione[[#This Row],[Valore ai fini dell''atto]],Assegnazione[[#This Row],[Valore Fiscalmente riconosciuto]])</f>
        <v>0</v>
      </c>
      <c r="O32" s="146" t="str">
        <f>+IFERROR(VLOOKUP(Assegnazione[[#This Row],[Bene]],B[],MATCH($O$4,Beni!$A$4:$Z$4,0),0),"")</f>
        <v/>
      </c>
      <c r="P32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2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2" s="175">
        <f>+SUMIF(B[Bene],Assegnazione[[#This Row],[Bene]],B[Iva se dovuta])*Assegnazione[[#This Row],[Quota di assegnazione]]</f>
        <v>0</v>
      </c>
      <c r="S32" s="175">
        <f>+SUMIF(B[Bene],Assegnazione[[#This Row],[Bene]],B[Imposta di registro (fissa + prop) senza agevolazione])*Assegnazione[[#This Row],[Quota di assegnazione]]</f>
        <v>0</v>
      </c>
      <c r="T32" s="175">
        <f>+SUMIF(B[Bene],Assegnazione[[#This Row],[Bene]],B[Ipotecaria e catastale senza agevolazione])*Assegnazione[[#This Row],[Quota di assegnazione]]</f>
        <v>0</v>
      </c>
      <c r="U32" s="176">
        <f>+SUM(Assegnazione[[#This Row],[Tassazione diretta senza agevolazione]:[Ipotecaria e catastale senza agevolazione]])</f>
        <v>0</v>
      </c>
      <c r="V32" s="175">
        <f>+SUMIF(B[Bene],Assegnazione[[#This Row],[Bene]],B[Imponibile Imposta sostitutiva])*Assegnazione[[#This Row],[Quota di assegnazione]]*DATI!$E$27</f>
        <v>0</v>
      </c>
      <c r="W32" s="175">
        <f>+SUMIF(B[Bene],Assegnazione[[#This Row],[Bene]],B[Imposta di registro in misura fissa agevolata])*Assegnazione[[#This Row],[Quota di assegnazione]]</f>
        <v>0</v>
      </c>
      <c r="X32" s="175">
        <f>+SUMIF(B[Bene],Assegnazione[[#This Row],[Bene]],B[Imposta di registro prop. Agevolata])*Assegnazione[[#This Row],[Quota di assegnazione]]</f>
        <v>0</v>
      </c>
      <c r="Y32" s="175">
        <f>+IFERROR(Assegnazione[[#This Row],[Imposta di registro in misura fissa]]+Assegnazione[[#This Row],[Imposta di registro prop.]],"")</f>
        <v>0</v>
      </c>
      <c r="Z32" s="175">
        <f>+SUMIF(B[Bene],Assegnazione[[#This Row],[Bene]],B[Ipotecaria catastale agevolata])*Assegnazione[[#This Row],[Quota di assegnazione]]</f>
        <v>0</v>
      </c>
    </row>
    <row r="33" spans="1:26" x14ac:dyDescent="0.2">
      <c r="A33" s="123"/>
      <c r="B33" s="132"/>
      <c r="C33" s="123"/>
      <c r="D33" s="172">
        <f>+SUMIF(B[Bene],Assegnazione[[#This Row],[Bene]],B[Imponibile Iva])*Assegnazione[[#This Row],[Quota di assegnazione]]</f>
        <v>0</v>
      </c>
      <c r="E33" s="172">
        <f>+SUMIF(B[Bene],Assegnazione[[#This Row],[Bene]],B[Valore inserito manualmente])*Assegnazione[[#This Row],[Quota di assegnazione]]</f>
        <v>0</v>
      </c>
      <c r="F33" s="173" t="str">
        <f>+IF(A33="","",VLOOKUP(Assegnazione[[#This Row],[Bene]],B[],3,0))</f>
        <v/>
      </c>
      <c r="G33" s="129" t="str">
        <f>+IFERROR(VLOOKUP(Assegnazione[[#This Row],[Bene]],B[],MATCH("Agevolabile",Beni!$A$4:$AC$4,0),0)*VLOOKUP(Assegnazione[[#This Row],[Socio]],A_1[],8,0),"")</f>
        <v/>
      </c>
      <c r="H33" s="172">
        <f>+SUMIF(B[Bene],Assegnazione[[#This Row],[Bene]],B[Valore netto contabile fiscalmente riconosciuto])*Assegnazione[[#This Row],[Quota di assegnazione]]</f>
        <v>0</v>
      </c>
      <c r="I33" s="172">
        <f>+SUMIF(B[Bene],Assegnazione[[#This Row],[Bene]],B[Valore normale])*Assegnazione[[#This Row],[Quota di assegnazione]]</f>
        <v>0</v>
      </c>
      <c r="J33" s="174">
        <f>+IF(Assegnazione[[#This Row],[Bene]]="",0,SUMIF(Assegnazione[Socio],Assegnazione[[#This Row],[Socio]],Assegnazione[Valore Normale])/$I$3)</f>
        <v>0</v>
      </c>
      <c r="K33" s="174" t="str">
        <f>IF(Assegnazione[[#This Row],[Bene]]="","",SUMIF(A_1[Nome],Assegnazione[[#This Row],[Socio]],A_1[Quota partecipazione al momento dell''operazione]))</f>
        <v/>
      </c>
      <c r="L33" s="172">
        <f>+SUMIF(B[Bene],Assegnazione[[#This Row],[Bene]],B[Valore catastale])*Assegnazione[[#This Row],[Quota di assegnazione]]</f>
        <v>0</v>
      </c>
      <c r="M33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3" s="172">
        <f>+MIN(Assegnazione[[#This Row],[Valore ai fini dell''atto]],Assegnazione[[#This Row],[Valore Fiscalmente riconosciuto]])</f>
        <v>0</v>
      </c>
      <c r="O33" s="146" t="str">
        <f>+IFERROR(VLOOKUP(Assegnazione[[#This Row],[Bene]],B[],MATCH($O$4,Beni!$A$4:$Z$4,0),0),"")</f>
        <v/>
      </c>
      <c r="P33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3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3" s="175">
        <f>+SUMIF(B[Bene],Assegnazione[[#This Row],[Bene]],B[Iva se dovuta])*Assegnazione[[#This Row],[Quota di assegnazione]]</f>
        <v>0</v>
      </c>
      <c r="S33" s="175">
        <f>+SUMIF(B[Bene],Assegnazione[[#This Row],[Bene]],B[Imposta di registro (fissa + prop) senza agevolazione])*Assegnazione[[#This Row],[Quota di assegnazione]]</f>
        <v>0</v>
      </c>
      <c r="T33" s="175">
        <f>+SUMIF(B[Bene],Assegnazione[[#This Row],[Bene]],B[Ipotecaria e catastale senza agevolazione])*Assegnazione[[#This Row],[Quota di assegnazione]]</f>
        <v>0</v>
      </c>
      <c r="U33" s="176">
        <f>+SUM(Assegnazione[[#This Row],[Tassazione diretta senza agevolazione]:[Ipotecaria e catastale senza agevolazione]])</f>
        <v>0</v>
      </c>
      <c r="V33" s="175">
        <f>+SUMIF(B[Bene],Assegnazione[[#This Row],[Bene]],B[Imponibile Imposta sostitutiva])*Assegnazione[[#This Row],[Quota di assegnazione]]*DATI!$E$27</f>
        <v>0</v>
      </c>
      <c r="W33" s="175">
        <f>+SUMIF(B[Bene],Assegnazione[[#This Row],[Bene]],B[Imposta di registro in misura fissa agevolata])*Assegnazione[[#This Row],[Quota di assegnazione]]</f>
        <v>0</v>
      </c>
      <c r="X33" s="175">
        <f>+SUMIF(B[Bene],Assegnazione[[#This Row],[Bene]],B[Imposta di registro prop. Agevolata])*Assegnazione[[#This Row],[Quota di assegnazione]]</f>
        <v>0</v>
      </c>
      <c r="Y33" s="175">
        <f>+IFERROR(Assegnazione[[#This Row],[Imposta di registro in misura fissa]]+Assegnazione[[#This Row],[Imposta di registro prop.]],"")</f>
        <v>0</v>
      </c>
      <c r="Z33" s="175">
        <f>+SUMIF(B[Bene],Assegnazione[[#This Row],[Bene]],B[Ipotecaria catastale agevolata])*Assegnazione[[#This Row],[Quota di assegnazione]]</f>
        <v>0</v>
      </c>
    </row>
    <row r="34" spans="1:26" x14ac:dyDescent="0.2">
      <c r="A34" s="123"/>
      <c r="B34" s="132"/>
      <c r="C34" s="123"/>
      <c r="D34" s="172">
        <f>+SUMIF(B[Bene],Assegnazione[[#This Row],[Bene]],B[Imponibile Iva])*Assegnazione[[#This Row],[Quota di assegnazione]]</f>
        <v>0</v>
      </c>
      <c r="E34" s="172">
        <f>+SUMIF(B[Bene],Assegnazione[[#This Row],[Bene]],B[Valore inserito manualmente])*Assegnazione[[#This Row],[Quota di assegnazione]]</f>
        <v>0</v>
      </c>
      <c r="F34" s="173" t="str">
        <f>+IF(A34="","",VLOOKUP(Assegnazione[[#This Row],[Bene]],B[],3,0))</f>
        <v/>
      </c>
      <c r="G34" s="129" t="str">
        <f>+IFERROR(VLOOKUP(Assegnazione[[#This Row],[Bene]],B[],MATCH("Agevolabile",Beni!$A$4:$AC$4,0),0)*VLOOKUP(Assegnazione[[#This Row],[Socio]],A_1[],8,0),"")</f>
        <v/>
      </c>
      <c r="H34" s="172">
        <f>+SUMIF(B[Bene],Assegnazione[[#This Row],[Bene]],B[Valore netto contabile fiscalmente riconosciuto])*Assegnazione[[#This Row],[Quota di assegnazione]]</f>
        <v>0</v>
      </c>
      <c r="I34" s="172">
        <f>+SUMIF(B[Bene],Assegnazione[[#This Row],[Bene]],B[Valore normale])*Assegnazione[[#This Row],[Quota di assegnazione]]</f>
        <v>0</v>
      </c>
      <c r="J34" s="174">
        <f>+IF(Assegnazione[[#This Row],[Bene]]="",0,SUMIF(Assegnazione[Socio],Assegnazione[[#This Row],[Socio]],Assegnazione[Valore Normale])/$I$3)</f>
        <v>0</v>
      </c>
      <c r="K34" s="174" t="str">
        <f>IF(Assegnazione[[#This Row],[Bene]]="","",SUMIF(A_1[Nome],Assegnazione[[#This Row],[Socio]],A_1[Quota partecipazione al momento dell''operazione]))</f>
        <v/>
      </c>
      <c r="L34" s="172">
        <f>+SUMIF(B[Bene],Assegnazione[[#This Row],[Bene]],B[Valore catastale])*Assegnazione[[#This Row],[Quota di assegnazione]]</f>
        <v>0</v>
      </c>
      <c r="M34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4" s="172">
        <f>+MIN(Assegnazione[[#This Row],[Valore ai fini dell''atto]],Assegnazione[[#This Row],[Valore Fiscalmente riconosciuto]])</f>
        <v>0</v>
      </c>
      <c r="O34" s="146" t="str">
        <f>+IFERROR(VLOOKUP(Assegnazione[[#This Row],[Bene]],B[],MATCH($O$4,Beni!$A$4:$Z$4,0),0),"")</f>
        <v/>
      </c>
      <c r="P34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4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4" s="175">
        <f>+SUMIF(B[Bene],Assegnazione[[#This Row],[Bene]],B[Iva se dovuta])*Assegnazione[[#This Row],[Quota di assegnazione]]</f>
        <v>0</v>
      </c>
      <c r="S34" s="175">
        <f>+SUMIF(B[Bene],Assegnazione[[#This Row],[Bene]],B[Imposta di registro (fissa + prop) senza agevolazione])*Assegnazione[[#This Row],[Quota di assegnazione]]</f>
        <v>0</v>
      </c>
      <c r="T34" s="175">
        <f>+SUMIF(B[Bene],Assegnazione[[#This Row],[Bene]],B[Ipotecaria e catastale senza agevolazione])*Assegnazione[[#This Row],[Quota di assegnazione]]</f>
        <v>0</v>
      </c>
      <c r="U34" s="176">
        <f>+SUM(Assegnazione[[#This Row],[Tassazione diretta senza agevolazione]:[Ipotecaria e catastale senza agevolazione]])</f>
        <v>0</v>
      </c>
      <c r="V34" s="175">
        <f>+SUMIF(B[Bene],Assegnazione[[#This Row],[Bene]],B[Imponibile Imposta sostitutiva])*Assegnazione[[#This Row],[Quota di assegnazione]]*DATI!$E$27</f>
        <v>0</v>
      </c>
      <c r="W34" s="175">
        <f>+SUMIF(B[Bene],Assegnazione[[#This Row],[Bene]],B[Imposta di registro in misura fissa agevolata])*Assegnazione[[#This Row],[Quota di assegnazione]]</f>
        <v>0</v>
      </c>
      <c r="X34" s="175">
        <f>+SUMIF(B[Bene],Assegnazione[[#This Row],[Bene]],B[Imposta di registro prop. Agevolata])*Assegnazione[[#This Row],[Quota di assegnazione]]</f>
        <v>0</v>
      </c>
      <c r="Y34" s="175">
        <f>+IFERROR(Assegnazione[[#This Row],[Imposta di registro in misura fissa]]+Assegnazione[[#This Row],[Imposta di registro prop.]],"")</f>
        <v>0</v>
      </c>
      <c r="Z34" s="175">
        <f>+SUMIF(B[Bene],Assegnazione[[#This Row],[Bene]],B[Ipotecaria catastale agevolata])*Assegnazione[[#This Row],[Quota di assegnazione]]</f>
        <v>0</v>
      </c>
    </row>
    <row r="35" spans="1:26" x14ac:dyDescent="0.2">
      <c r="A35" s="123"/>
      <c r="B35" s="132"/>
      <c r="C35" s="123"/>
      <c r="D35" s="172">
        <f>+SUMIF(B[Bene],Assegnazione[[#This Row],[Bene]],B[Imponibile Iva])*Assegnazione[[#This Row],[Quota di assegnazione]]</f>
        <v>0</v>
      </c>
      <c r="E35" s="172">
        <f>+SUMIF(B[Bene],Assegnazione[[#This Row],[Bene]],B[Valore inserito manualmente])*Assegnazione[[#This Row],[Quota di assegnazione]]</f>
        <v>0</v>
      </c>
      <c r="F35" s="173" t="str">
        <f>+IF(A35="","",VLOOKUP(Assegnazione[[#This Row],[Bene]],B[],3,0))</f>
        <v/>
      </c>
      <c r="G35" s="129" t="str">
        <f>+IFERROR(VLOOKUP(Assegnazione[[#This Row],[Bene]],B[],MATCH("Agevolabile",Beni!$A$4:$AC$4,0),0)*VLOOKUP(Assegnazione[[#This Row],[Socio]],A_1[],8,0),"")</f>
        <v/>
      </c>
      <c r="H35" s="172">
        <f>+SUMIF(B[Bene],Assegnazione[[#This Row],[Bene]],B[Valore netto contabile fiscalmente riconosciuto])*Assegnazione[[#This Row],[Quota di assegnazione]]</f>
        <v>0</v>
      </c>
      <c r="I35" s="172">
        <f>+SUMIF(B[Bene],Assegnazione[[#This Row],[Bene]],B[Valore normale])*Assegnazione[[#This Row],[Quota di assegnazione]]</f>
        <v>0</v>
      </c>
      <c r="J35" s="174">
        <f>+IF(Assegnazione[[#This Row],[Bene]]="",0,SUMIF(Assegnazione[Socio],Assegnazione[[#This Row],[Socio]],Assegnazione[Valore Normale])/$I$3)</f>
        <v>0</v>
      </c>
      <c r="K35" s="174" t="str">
        <f>IF(Assegnazione[[#This Row],[Bene]]="","",SUMIF(A_1[Nome],Assegnazione[[#This Row],[Socio]],A_1[Quota partecipazione al momento dell''operazione]))</f>
        <v/>
      </c>
      <c r="L35" s="172">
        <f>+SUMIF(B[Bene],Assegnazione[[#This Row],[Bene]],B[Valore catastale])*Assegnazione[[#This Row],[Quota di assegnazione]]</f>
        <v>0</v>
      </c>
      <c r="M35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5" s="172">
        <f>+MIN(Assegnazione[[#This Row],[Valore ai fini dell''atto]],Assegnazione[[#This Row],[Valore Fiscalmente riconosciuto]])</f>
        <v>0</v>
      </c>
      <c r="O35" s="146" t="str">
        <f>+IFERROR(VLOOKUP(Assegnazione[[#This Row],[Bene]],B[],MATCH($O$4,Beni!$A$4:$Z$4,0),0),"")</f>
        <v/>
      </c>
      <c r="P35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5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5" s="175">
        <f>+SUMIF(B[Bene],Assegnazione[[#This Row],[Bene]],B[Iva se dovuta])*Assegnazione[[#This Row],[Quota di assegnazione]]</f>
        <v>0</v>
      </c>
      <c r="S35" s="175">
        <f>+SUMIF(B[Bene],Assegnazione[[#This Row],[Bene]],B[Imposta di registro (fissa + prop) senza agevolazione])*Assegnazione[[#This Row],[Quota di assegnazione]]</f>
        <v>0</v>
      </c>
      <c r="T35" s="175">
        <f>+SUMIF(B[Bene],Assegnazione[[#This Row],[Bene]],B[Ipotecaria e catastale senza agevolazione])*Assegnazione[[#This Row],[Quota di assegnazione]]</f>
        <v>0</v>
      </c>
      <c r="U35" s="176">
        <f>+SUM(Assegnazione[[#This Row],[Tassazione diretta senza agevolazione]:[Ipotecaria e catastale senza agevolazione]])</f>
        <v>0</v>
      </c>
      <c r="V35" s="175">
        <f>+SUMIF(B[Bene],Assegnazione[[#This Row],[Bene]],B[Imponibile Imposta sostitutiva])*Assegnazione[[#This Row],[Quota di assegnazione]]*DATI!$E$27</f>
        <v>0</v>
      </c>
      <c r="W35" s="175">
        <f>+SUMIF(B[Bene],Assegnazione[[#This Row],[Bene]],B[Imposta di registro in misura fissa agevolata])*Assegnazione[[#This Row],[Quota di assegnazione]]</f>
        <v>0</v>
      </c>
      <c r="X35" s="175">
        <f>+SUMIF(B[Bene],Assegnazione[[#This Row],[Bene]],B[Imposta di registro prop. Agevolata])*Assegnazione[[#This Row],[Quota di assegnazione]]</f>
        <v>0</v>
      </c>
      <c r="Y35" s="175">
        <f>+IFERROR(Assegnazione[[#This Row],[Imposta di registro in misura fissa]]+Assegnazione[[#This Row],[Imposta di registro prop.]],"")</f>
        <v>0</v>
      </c>
      <c r="Z35" s="175">
        <f>+SUMIF(B[Bene],Assegnazione[[#This Row],[Bene]],B[Ipotecaria catastale agevolata])*Assegnazione[[#This Row],[Quota di assegnazione]]</f>
        <v>0</v>
      </c>
    </row>
    <row r="36" spans="1:26" x14ac:dyDescent="0.2">
      <c r="A36" s="123"/>
      <c r="B36" s="132"/>
      <c r="C36" s="123"/>
      <c r="D36" s="172">
        <f>+SUMIF(B[Bene],Assegnazione[[#This Row],[Bene]],B[Imponibile Iva])*Assegnazione[[#This Row],[Quota di assegnazione]]</f>
        <v>0</v>
      </c>
      <c r="E36" s="172">
        <f>+SUMIF(B[Bene],Assegnazione[[#This Row],[Bene]],B[Valore inserito manualmente])*Assegnazione[[#This Row],[Quota di assegnazione]]</f>
        <v>0</v>
      </c>
      <c r="F36" s="173" t="str">
        <f>+IF(A36="","",VLOOKUP(Assegnazione[[#This Row],[Bene]],B[],3,0))</f>
        <v/>
      </c>
      <c r="G36" s="129" t="str">
        <f>+IFERROR(VLOOKUP(Assegnazione[[#This Row],[Bene]],B[],MATCH("Agevolabile",Beni!$A$4:$AC$4,0),0)*VLOOKUP(Assegnazione[[#This Row],[Socio]],A_1[],8,0),"")</f>
        <v/>
      </c>
      <c r="H36" s="172">
        <f>+SUMIF(B[Bene],Assegnazione[[#This Row],[Bene]],B[Valore netto contabile fiscalmente riconosciuto])*Assegnazione[[#This Row],[Quota di assegnazione]]</f>
        <v>0</v>
      </c>
      <c r="I36" s="172">
        <f>+SUMIF(B[Bene],Assegnazione[[#This Row],[Bene]],B[Valore normale])*Assegnazione[[#This Row],[Quota di assegnazione]]</f>
        <v>0</v>
      </c>
      <c r="J36" s="174">
        <f>+IF(Assegnazione[[#This Row],[Bene]]="",0,SUMIF(Assegnazione[Socio],Assegnazione[[#This Row],[Socio]],Assegnazione[Valore Normale])/$I$3)</f>
        <v>0</v>
      </c>
      <c r="K36" s="174" t="str">
        <f>IF(Assegnazione[[#This Row],[Bene]]="","",SUMIF(A_1[Nome],Assegnazione[[#This Row],[Socio]],A_1[Quota partecipazione al momento dell''operazione]))</f>
        <v/>
      </c>
      <c r="L36" s="172">
        <f>+SUMIF(B[Bene],Assegnazione[[#This Row],[Bene]],B[Valore catastale])*Assegnazione[[#This Row],[Quota di assegnazione]]</f>
        <v>0</v>
      </c>
      <c r="M36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6" s="172">
        <f>+MIN(Assegnazione[[#This Row],[Valore ai fini dell''atto]],Assegnazione[[#This Row],[Valore Fiscalmente riconosciuto]])</f>
        <v>0</v>
      </c>
      <c r="O36" s="146" t="str">
        <f>+IFERROR(VLOOKUP(Assegnazione[[#This Row],[Bene]],B[],MATCH($O$4,Beni!$A$4:$Z$4,0),0),"")</f>
        <v/>
      </c>
      <c r="P36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6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6" s="175">
        <f>+SUMIF(B[Bene],Assegnazione[[#This Row],[Bene]],B[Iva se dovuta])*Assegnazione[[#This Row],[Quota di assegnazione]]</f>
        <v>0</v>
      </c>
      <c r="S36" s="175">
        <f>+SUMIF(B[Bene],Assegnazione[[#This Row],[Bene]],B[Imposta di registro (fissa + prop) senza agevolazione])*Assegnazione[[#This Row],[Quota di assegnazione]]</f>
        <v>0</v>
      </c>
      <c r="T36" s="175">
        <f>+SUMIF(B[Bene],Assegnazione[[#This Row],[Bene]],B[Ipotecaria e catastale senza agevolazione])*Assegnazione[[#This Row],[Quota di assegnazione]]</f>
        <v>0</v>
      </c>
      <c r="U36" s="176">
        <f>+SUM(Assegnazione[[#This Row],[Tassazione diretta senza agevolazione]:[Ipotecaria e catastale senza agevolazione]])</f>
        <v>0</v>
      </c>
      <c r="V36" s="175">
        <f>+SUMIF(B[Bene],Assegnazione[[#This Row],[Bene]],B[Imponibile Imposta sostitutiva])*Assegnazione[[#This Row],[Quota di assegnazione]]*DATI!$E$27</f>
        <v>0</v>
      </c>
      <c r="W36" s="175">
        <f>+SUMIF(B[Bene],Assegnazione[[#This Row],[Bene]],B[Imposta di registro in misura fissa agevolata])*Assegnazione[[#This Row],[Quota di assegnazione]]</f>
        <v>0</v>
      </c>
      <c r="X36" s="175">
        <f>+SUMIF(B[Bene],Assegnazione[[#This Row],[Bene]],B[Imposta di registro prop. Agevolata])*Assegnazione[[#This Row],[Quota di assegnazione]]</f>
        <v>0</v>
      </c>
      <c r="Y36" s="175">
        <f>+IFERROR(Assegnazione[[#This Row],[Imposta di registro in misura fissa]]+Assegnazione[[#This Row],[Imposta di registro prop.]],"")</f>
        <v>0</v>
      </c>
      <c r="Z36" s="175">
        <f>+SUMIF(B[Bene],Assegnazione[[#This Row],[Bene]],B[Ipotecaria catastale agevolata])*Assegnazione[[#This Row],[Quota di assegnazione]]</f>
        <v>0</v>
      </c>
    </row>
    <row r="37" spans="1:26" x14ac:dyDescent="0.2">
      <c r="A37" s="123"/>
      <c r="B37" s="132"/>
      <c r="C37" s="123"/>
      <c r="D37" s="172">
        <f>+SUMIF(B[Bene],Assegnazione[[#This Row],[Bene]],B[Imponibile Iva])*Assegnazione[[#This Row],[Quota di assegnazione]]</f>
        <v>0</v>
      </c>
      <c r="E37" s="172">
        <f>+SUMIF(B[Bene],Assegnazione[[#This Row],[Bene]],B[Valore inserito manualmente])*Assegnazione[[#This Row],[Quota di assegnazione]]</f>
        <v>0</v>
      </c>
      <c r="F37" s="173" t="str">
        <f>+IF(A37="","",VLOOKUP(Assegnazione[[#This Row],[Bene]],B[],3,0))</f>
        <v/>
      </c>
      <c r="G37" s="129" t="str">
        <f>+IFERROR(VLOOKUP(Assegnazione[[#This Row],[Bene]],B[],MATCH("Agevolabile",Beni!$A$4:$AC$4,0),0)*VLOOKUP(Assegnazione[[#This Row],[Socio]],A_1[],8,0),"")</f>
        <v/>
      </c>
      <c r="H37" s="172">
        <f>+SUMIF(B[Bene],Assegnazione[[#This Row],[Bene]],B[Valore netto contabile fiscalmente riconosciuto])*Assegnazione[[#This Row],[Quota di assegnazione]]</f>
        <v>0</v>
      </c>
      <c r="I37" s="172">
        <f>+SUMIF(B[Bene],Assegnazione[[#This Row],[Bene]],B[Valore normale])*Assegnazione[[#This Row],[Quota di assegnazione]]</f>
        <v>0</v>
      </c>
      <c r="J37" s="174">
        <f>+IF(Assegnazione[[#This Row],[Bene]]="",0,SUMIF(Assegnazione[Socio],Assegnazione[[#This Row],[Socio]],Assegnazione[Valore Normale])/$I$3)</f>
        <v>0</v>
      </c>
      <c r="K37" s="174" t="str">
        <f>IF(Assegnazione[[#This Row],[Bene]]="","",SUMIF(A_1[Nome],Assegnazione[[#This Row],[Socio]],A_1[Quota partecipazione al momento dell''operazione]))</f>
        <v/>
      </c>
      <c r="L37" s="172">
        <f>+SUMIF(B[Bene],Assegnazione[[#This Row],[Bene]],B[Valore catastale])*Assegnazione[[#This Row],[Quota di assegnazione]]</f>
        <v>0</v>
      </c>
      <c r="M37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7" s="172">
        <f>+MIN(Assegnazione[[#This Row],[Valore ai fini dell''atto]],Assegnazione[[#This Row],[Valore Fiscalmente riconosciuto]])</f>
        <v>0</v>
      </c>
      <c r="O37" s="146" t="str">
        <f>+IFERROR(VLOOKUP(Assegnazione[[#This Row],[Bene]],B[],MATCH($O$4,Beni!$A$4:$Z$4,0),0),"")</f>
        <v/>
      </c>
      <c r="P37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7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7" s="175">
        <f>+SUMIF(B[Bene],Assegnazione[[#This Row],[Bene]],B[Iva se dovuta])*Assegnazione[[#This Row],[Quota di assegnazione]]</f>
        <v>0</v>
      </c>
      <c r="S37" s="175">
        <f>+SUMIF(B[Bene],Assegnazione[[#This Row],[Bene]],B[Imposta di registro (fissa + prop) senza agevolazione])*Assegnazione[[#This Row],[Quota di assegnazione]]</f>
        <v>0</v>
      </c>
      <c r="T37" s="175">
        <f>+SUMIF(B[Bene],Assegnazione[[#This Row],[Bene]],B[Ipotecaria e catastale senza agevolazione])*Assegnazione[[#This Row],[Quota di assegnazione]]</f>
        <v>0</v>
      </c>
      <c r="U37" s="176">
        <f>+SUM(Assegnazione[[#This Row],[Tassazione diretta senza agevolazione]:[Ipotecaria e catastale senza agevolazione]])</f>
        <v>0</v>
      </c>
      <c r="V37" s="175">
        <f>+SUMIF(B[Bene],Assegnazione[[#This Row],[Bene]],B[Imponibile Imposta sostitutiva])*Assegnazione[[#This Row],[Quota di assegnazione]]*DATI!$E$27</f>
        <v>0</v>
      </c>
      <c r="W37" s="175">
        <f>+SUMIF(B[Bene],Assegnazione[[#This Row],[Bene]],B[Imposta di registro in misura fissa agevolata])*Assegnazione[[#This Row],[Quota di assegnazione]]</f>
        <v>0</v>
      </c>
      <c r="X37" s="175">
        <f>+SUMIF(B[Bene],Assegnazione[[#This Row],[Bene]],B[Imposta di registro prop. Agevolata])*Assegnazione[[#This Row],[Quota di assegnazione]]</f>
        <v>0</v>
      </c>
      <c r="Y37" s="175">
        <f>+IFERROR(Assegnazione[[#This Row],[Imposta di registro in misura fissa]]+Assegnazione[[#This Row],[Imposta di registro prop.]],"")</f>
        <v>0</v>
      </c>
      <c r="Z37" s="175">
        <f>+SUMIF(B[Bene],Assegnazione[[#This Row],[Bene]],B[Ipotecaria catastale agevolata])*Assegnazione[[#This Row],[Quota di assegnazione]]</f>
        <v>0</v>
      </c>
    </row>
    <row r="38" spans="1:26" x14ac:dyDescent="0.2">
      <c r="A38" s="123"/>
      <c r="B38" s="132"/>
      <c r="C38" s="123"/>
      <c r="D38" s="172">
        <f>+SUMIF(B[Bene],Assegnazione[[#This Row],[Bene]],B[Imponibile Iva])*Assegnazione[[#This Row],[Quota di assegnazione]]</f>
        <v>0</v>
      </c>
      <c r="E38" s="172">
        <f>+SUMIF(B[Bene],Assegnazione[[#This Row],[Bene]],B[Valore inserito manualmente])*Assegnazione[[#This Row],[Quota di assegnazione]]</f>
        <v>0</v>
      </c>
      <c r="F38" s="173" t="str">
        <f>+IF(A38="","",VLOOKUP(Assegnazione[[#This Row],[Bene]],B[],3,0))</f>
        <v/>
      </c>
      <c r="G38" s="129" t="str">
        <f>+IFERROR(VLOOKUP(Assegnazione[[#This Row],[Bene]],B[],MATCH("Agevolabile",Beni!$A$4:$AC$4,0),0)*VLOOKUP(Assegnazione[[#This Row],[Socio]],A_1[],8,0),"")</f>
        <v/>
      </c>
      <c r="H38" s="172">
        <f>+SUMIF(B[Bene],Assegnazione[[#This Row],[Bene]],B[Valore netto contabile fiscalmente riconosciuto])*Assegnazione[[#This Row],[Quota di assegnazione]]</f>
        <v>0</v>
      </c>
      <c r="I38" s="172">
        <f>+SUMIF(B[Bene],Assegnazione[[#This Row],[Bene]],B[Valore normale])*Assegnazione[[#This Row],[Quota di assegnazione]]</f>
        <v>0</v>
      </c>
      <c r="J38" s="174">
        <f>+IF(Assegnazione[[#This Row],[Bene]]="",0,SUMIF(Assegnazione[Socio],Assegnazione[[#This Row],[Socio]],Assegnazione[Valore Normale])/$I$3)</f>
        <v>0</v>
      </c>
      <c r="K38" s="174" t="str">
        <f>IF(Assegnazione[[#This Row],[Bene]]="","",SUMIF(A_1[Nome],Assegnazione[[#This Row],[Socio]],A_1[Quota partecipazione al momento dell''operazione]))</f>
        <v/>
      </c>
      <c r="L38" s="172">
        <f>+SUMIF(B[Bene],Assegnazione[[#This Row],[Bene]],B[Valore catastale])*Assegnazione[[#This Row],[Quota di assegnazione]]</f>
        <v>0</v>
      </c>
      <c r="M38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8" s="172">
        <f>+MIN(Assegnazione[[#This Row],[Valore ai fini dell''atto]],Assegnazione[[#This Row],[Valore Fiscalmente riconosciuto]])</f>
        <v>0</v>
      </c>
      <c r="O38" s="146" t="str">
        <f>+IFERROR(VLOOKUP(Assegnazione[[#This Row],[Bene]],B[],MATCH($O$4,Beni!$A$4:$Z$4,0),0),"")</f>
        <v/>
      </c>
      <c r="P38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8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8" s="175">
        <f>+SUMIF(B[Bene],Assegnazione[[#This Row],[Bene]],B[Iva se dovuta])*Assegnazione[[#This Row],[Quota di assegnazione]]</f>
        <v>0</v>
      </c>
      <c r="S38" s="175">
        <f>+SUMIF(B[Bene],Assegnazione[[#This Row],[Bene]],B[Imposta di registro (fissa + prop) senza agevolazione])*Assegnazione[[#This Row],[Quota di assegnazione]]</f>
        <v>0</v>
      </c>
      <c r="T38" s="175">
        <f>+SUMIF(B[Bene],Assegnazione[[#This Row],[Bene]],B[Ipotecaria e catastale senza agevolazione])*Assegnazione[[#This Row],[Quota di assegnazione]]</f>
        <v>0</v>
      </c>
      <c r="U38" s="176">
        <f>+SUM(Assegnazione[[#This Row],[Tassazione diretta senza agevolazione]:[Ipotecaria e catastale senza agevolazione]])</f>
        <v>0</v>
      </c>
      <c r="V38" s="175">
        <f>+SUMIF(B[Bene],Assegnazione[[#This Row],[Bene]],B[Imponibile Imposta sostitutiva])*Assegnazione[[#This Row],[Quota di assegnazione]]*DATI!$E$27</f>
        <v>0</v>
      </c>
      <c r="W38" s="175">
        <f>+SUMIF(B[Bene],Assegnazione[[#This Row],[Bene]],B[Imposta di registro in misura fissa agevolata])*Assegnazione[[#This Row],[Quota di assegnazione]]</f>
        <v>0</v>
      </c>
      <c r="X38" s="175">
        <f>+SUMIF(B[Bene],Assegnazione[[#This Row],[Bene]],B[Imposta di registro prop. Agevolata])*Assegnazione[[#This Row],[Quota di assegnazione]]</f>
        <v>0</v>
      </c>
      <c r="Y38" s="175">
        <f>+IFERROR(Assegnazione[[#This Row],[Imposta di registro in misura fissa]]+Assegnazione[[#This Row],[Imposta di registro prop.]],"")</f>
        <v>0</v>
      </c>
      <c r="Z38" s="175">
        <f>+SUMIF(B[Bene],Assegnazione[[#This Row],[Bene]],B[Ipotecaria catastale agevolata])*Assegnazione[[#This Row],[Quota di assegnazione]]</f>
        <v>0</v>
      </c>
    </row>
    <row r="39" spans="1:26" x14ac:dyDescent="0.2">
      <c r="A39" s="123"/>
      <c r="B39" s="132"/>
      <c r="C39" s="123"/>
      <c r="D39" s="172">
        <f>+SUMIF(B[Bene],Assegnazione[[#This Row],[Bene]],B[Imponibile Iva])*Assegnazione[[#This Row],[Quota di assegnazione]]</f>
        <v>0</v>
      </c>
      <c r="E39" s="172">
        <f>+SUMIF(B[Bene],Assegnazione[[#This Row],[Bene]],B[Valore inserito manualmente])*Assegnazione[[#This Row],[Quota di assegnazione]]</f>
        <v>0</v>
      </c>
      <c r="F39" s="173" t="str">
        <f>+IF(A39="","",VLOOKUP(Assegnazione[[#This Row],[Bene]],B[],3,0))</f>
        <v/>
      </c>
      <c r="G39" s="129" t="str">
        <f>+IFERROR(VLOOKUP(Assegnazione[[#This Row],[Bene]],B[],MATCH("Agevolabile",Beni!$A$4:$AC$4,0),0)*VLOOKUP(Assegnazione[[#This Row],[Socio]],A_1[],8,0),"")</f>
        <v/>
      </c>
      <c r="H39" s="172">
        <f>+SUMIF(B[Bene],Assegnazione[[#This Row],[Bene]],B[Valore netto contabile fiscalmente riconosciuto])*Assegnazione[[#This Row],[Quota di assegnazione]]</f>
        <v>0</v>
      </c>
      <c r="I39" s="172">
        <f>+SUMIF(B[Bene],Assegnazione[[#This Row],[Bene]],B[Valore normale])*Assegnazione[[#This Row],[Quota di assegnazione]]</f>
        <v>0</v>
      </c>
      <c r="J39" s="174">
        <f>+IF(Assegnazione[[#This Row],[Bene]]="",0,SUMIF(Assegnazione[Socio],Assegnazione[[#This Row],[Socio]],Assegnazione[Valore Normale])/$I$3)</f>
        <v>0</v>
      </c>
      <c r="K39" s="174" t="str">
        <f>IF(Assegnazione[[#This Row],[Bene]]="","",SUMIF(A_1[Nome],Assegnazione[[#This Row],[Socio]],A_1[Quota partecipazione al momento dell''operazione]))</f>
        <v/>
      </c>
      <c r="L39" s="172">
        <f>+SUMIF(B[Bene],Assegnazione[[#This Row],[Bene]],B[Valore catastale])*Assegnazione[[#This Row],[Quota di assegnazione]]</f>
        <v>0</v>
      </c>
      <c r="M39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9" s="172">
        <f>+MIN(Assegnazione[[#This Row],[Valore ai fini dell''atto]],Assegnazione[[#This Row],[Valore Fiscalmente riconosciuto]])</f>
        <v>0</v>
      </c>
      <c r="O39" s="146" t="str">
        <f>+IFERROR(VLOOKUP(Assegnazione[[#This Row],[Bene]],B[],MATCH($O$4,Beni!$A$4:$Z$4,0),0),"")</f>
        <v/>
      </c>
      <c r="P39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9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9" s="175">
        <f>+SUMIF(B[Bene],Assegnazione[[#This Row],[Bene]],B[Iva se dovuta])*Assegnazione[[#This Row],[Quota di assegnazione]]</f>
        <v>0</v>
      </c>
      <c r="S39" s="175">
        <f>+SUMIF(B[Bene],Assegnazione[[#This Row],[Bene]],B[Imposta di registro (fissa + prop) senza agevolazione])*Assegnazione[[#This Row],[Quota di assegnazione]]</f>
        <v>0</v>
      </c>
      <c r="T39" s="175">
        <f>+SUMIF(B[Bene],Assegnazione[[#This Row],[Bene]],B[Ipotecaria e catastale senza agevolazione])*Assegnazione[[#This Row],[Quota di assegnazione]]</f>
        <v>0</v>
      </c>
      <c r="U39" s="176">
        <f>+SUM(Assegnazione[[#This Row],[Tassazione diretta senza agevolazione]:[Ipotecaria e catastale senza agevolazione]])</f>
        <v>0</v>
      </c>
      <c r="V39" s="175">
        <f>+SUMIF(B[Bene],Assegnazione[[#This Row],[Bene]],B[Imponibile Imposta sostitutiva])*Assegnazione[[#This Row],[Quota di assegnazione]]*DATI!$E$27</f>
        <v>0</v>
      </c>
      <c r="W39" s="175">
        <f>+SUMIF(B[Bene],Assegnazione[[#This Row],[Bene]],B[Imposta di registro in misura fissa agevolata])*Assegnazione[[#This Row],[Quota di assegnazione]]</f>
        <v>0</v>
      </c>
      <c r="X39" s="175">
        <f>+SUMIF(B[Bene],Assegnazione[[#This Row],[Bene]],B[Imposta di registro prop. Agevolata])*Assegnazione[[#This Row],[Quota di assegnazione]]</f>
        <v>0</v>
      </c>
      <c r="Y39" s="175">
        <f>+IFERROR(Assegnazione[[#This Row],[Imposta di registro in misura fissa]]+Assegnazione[[#This Row],[Imposta di registro prop.]],"")</f>
        <v>0</v>
      </c>
      <c r="Z39" s="175">
        <f>+SUMIF(B[Bene],Assegnazione[[#This Row],[Bene]],B[Ipotecaria catastale agevolata])*Assegnazione[[#This Row],[Quota di assegnazione]]</f>
        <v>0</v>
      </c>
    </row>
    <row r="40" spans="1:26" x14ac:dyDescent="0.2">
      <c r="A40" s="123"/>
      <c r="B40" s="132"/>
      <c r="C40" s="123"/>
      <c r="D40" s="172">
        <f>+SUMIF(B[Bene],Assegnazione[[#This Row],[Bene]],B[Imponibile Iva])*Assegnazione[[#This Row],[Quota di assegnazione]]</f>
        <v>0</v>
      </c>
      <c r="E40" s="172">
        <f>+SUMIF(B[Bene],Assegnazione[[#This Row],[Bene]],B[Valore inserito manualmente])*Assegnazione[[#This Row],[Quota di assegnazione]]</f>
        <v>0</v>
      </c>
      <c r="F40" s="173" t="str">
        <f>+IF(A40="","",VLOOKUP(Assegnazione[[#This Row],[Bene]],B[],3,0))</f>
        <v/>
      </c>
      <c r="G40" s="129" t="str">
        <f>+IFERROR(VLOOKUP(Assegnazione[[#This Row],[Bene]],B[],MATCH("Agevolabile",Beni!$A$4:$AC$4,0),0)*VLOOKUP(Assegnazione[[#This Row],[Socio]],A_1[],8,0),"")</f>
        <v/>
      </c>
      <c r="H40" s="172">
        <f>+SUMIF(B[Bene],Assegnazione[[#This Row],[Bene]],B[Valore netto contabile fiscalmente riconosciuto])*Assegnazione[[#This Row],[Quota di assegnazione]]</f>
        <v>0</v>
      </c>
      <c r="I40" s="172">
        <f>+SUMIF(B[Bene],Assegnazione[[#This Row],[Bene]],B[Valore normale])*Assegnazione[[#This Row],[Quota di assegnazione]]</f>
        <v>0</v>
      </c>
      <c r="J40" s="174">
        <f>+IF(Assegnazione[[#This Row],[Bene]]="",0,SUMIF(Assegnazione[Socio],Assegnazione[[#This Row],[Socio]],Assegnazione[Valore Normale])/$I$3)</f>
        <v>0</v>
      </c>
      <c r="K40" s="174" t="str">
        <f>IF(Assegnazione[[#This Row],[Bene]]="","",SUMIF(A_1[Nome],Assegnazione[[#This Row],[Socio]],A_1[Quota partecipazione al momento dell''operazione]))</f>
        <v/>
      </c>
      <c r="L40" s="172">
        <f>+SUMIF(B[Bene],Assegnazione[[#This Row],[Bene]],B[Valore catastale])*Assegnazione[[#This Row],[Quota di assegnazione]]</f>
        <v>0</v>
      </c>
      <c r="M40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0" s="172">
        <f>+MIN(Assegnazione[[#This Row],[Valore ai fini dell''atto]],Assegnazione[[#This Row],[Valore Fiscalmente riconosciuto]])</f>
        <v>0</v>
      </c>
      <c r="O40" s="146" t="str">
        <f>+IFERROR(VLOOKUP(Assegnazione[[#This Row],[Bene]],B[],MATCH($O$4,Beni!$A$4:$Z$4,0),0),"")</f>
        <v/>
      </c>
      <c r="P40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0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0" s="175">
        <f>+SUMIF(B[Bene],Assegnazione[[#This Row],[Bene]],B[Iva se dovuta])*Assegnazione[[#This Row],[Quota di assegnazione]]</f>
        <v>0</v>
      </c>
      <c r="S40" s="175">
        <f>+SUMIF(B[Bene],Assegnazione[[#This Row],[Bene]],B[Imposta di registro (fissa + prop) senza agevolazione])*Assegnazione[[#This Row],[Quota di assegnazione]]</f>
        <v>0</v>
      </c>
      <c r="T40" s="175">
        <f>+SUMIF(B[Bene],Assegnazione[[#This Row],[Bene]],B[Ipotecaria e catastale senza agevolazione])*Assegnazione[[#This Row],[Quota di assegnazione]]</f>
        <v>0</v>
      </c>
      <c r="U40" s="176">
        <f>+SUM(Assegnazione[[#This Row],[Tassazione diretta senza agevolazione]:[Ipotecaria e catastale senza agevolazione]])</f>
        <v>0</v>
      </c>
      <c r="V40" s="175">
        <f>+SUMIF(B[Bene],Assegnazione[[#This Row],[Bene]],B[Imponibile Imposta sostitutiva])*Assegnazione[[#This Row],[Quota di assegnazione]]*DATI!$E$27</f>
        <v>0</v>
      </c>
      <c r="W40" s="175">
        <f>+SUMIF(B[Bene],Assegnazione[[#This Row],[Bene]],B[Imposta di registro in misura fissa agevolata])*Assegnazione[[#This Row],[Quota di assegnazione]]</f>
        <v>0</v>
      </c>
      <c r="X40" s="175">
        <f>+SUMIF(B[Bene],Assegnazione[[#This Row],[Bene]],B[Imposta di registro prop. Agevolata])*Assegnazione[[#This Row],[Quota di assegnazione]]</f>
        <v>0</v>
      </c>
      <c r="Y40" s="175">
        <f>+IFERROR(Assegnazione[[#This Row],[Imposta di registro in misura fissa]]+Assegnazione[[#This Row],[Imposta di registro prop.]],"")</f>
        <v>0</v>
      </c>
      <c r="Z40" s="175">
        <f>+SUMIF(B[Bene],Assegnazione[[#This Row],[Bene]],B[Ipotecaria catastale agevolata])*Assegnazione[[#This Row],[Quota di assegnazione]]</f>
        <v>0</v>
      </c>
    </row>
    <row r="41" spans="1:26" x14ac:dyDescent="0.2">
      <c r="A41" s="123"/>
      <c r="B41" s="132"/>
      <c r="C41" s="123"/>
      <c r="D41" s="172">
        <f>+SUMIF(B[Bene],Assegnazione[[#This Row],[Bene]],B[Imponibile Iva])*Assegnazione[[#This Row],[Quota di assegnazione]]</f>
        <v>0</v>
      </c>
      <c r="E41" s="172">
        <f>+SUMIF(B[Bene],Assegnazione[[#This Row],[Bene]],B[Valore inserito manualmente])*Assegnazione[[#This Row],[Quota di assegnazione]]</f>
        <v>0</v>
      </c>
      <c r="F41" s="173" t="str">
        <f>+IF(A41="","",VLOOKUP(Assegnazione[[#This Row],[Bene]],B[],3,0))</f>
        <v/>
      </c>
      <c r="G41" s="129" t="str">
        <f>+IFERROR(VLOOKUP(Assegnazione[[#This Row],[Bene]],B[],MATCH("Agevolabile",Beni!$A$4:$AC$4,0),0)*VLOOKUP(Assegnazione[[#This Row],[Socio]],A_1[],8,0),"")</f>
        <v/>
      </c>
      <c r="H41" s="172">
        <f>+SUMIF(B[Bene],Assegnazione[[#This Row],[Bene]],B[Valore netto contabile fiscalmente riconosciuto])*Assegnazione[[#This Row],[Quota di assegnazione]]</f>
        <v>0</v>
      </c>
      <c r="I41" s="172">
        <f>+SUMIF(B[Bene],Assegnazione[[#This Row],[Bene]],B[Valore normale])*Assegnazione[[#This Row],[Quota di assegnazione]]</f>
        <v>0</v>
      </c>
      <c r="J41" s="174">
        <f>+IF(Assegnazione[[#This Row],[Bene]]="",0,SUMIF(Assegnazione[Socio],Assegnazione[[#This Row],[Socio]],Assegnazione[Valore Normale])/$I$3)</f>
        <v>0</v>
      </c>
      <c r="K41" s="174" t="str">
        <f>IF(Assegnazione[[#This Row],[Bene]]="","",SUMIF(A_1[Nome],Assegnazione[[#This Row],[Socio]],A_1[Quota partecipazione al momento dell''operazione]))</f>
        <v/>
      </c>
      <c r="L41" s="172">
        <f>+SUMIF(B[Bene],Assegnazione[[#This Row],[Bene]],B[Valore catastale])*Assegnazione[[#This Row],[Quota di assegnazione]]</f>
        <v>0</v>
      </c>
      <c r="M41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1" s="172">
        <f>+MIN(Assegnazione[[#This Row],[Valore ai fini dell''atto]],Assegnazione[[#This Row],[Valore Fiscalmente riconosciuto]])</f>
        <v>0</v>
      </c>
      <c r="O41" s="146" t="str">
        <f>+IFERROR(VLOOKUP(Assegnazione[[#This Row],[Bene]],B[],MATCH($O$4,Beni!$A$4:$Z$4,0),0),"")</f>
        <v/>
      </c>
      <c r="P41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1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1" s="175">
        <f>+SUMIF(B[Bene],Assegnazione[[#This Row],[Bene]],B[Iva se dovuta])*Assegnazione[[#This Row],[Quota di assegnazione]]</f>
        <v>0</v>
      </c>
      <c r="S41" s="175">
        <f>+SUMIF(B[Bene],Assegnazione[[#This Row],[Bene]],B[Imposta di registro (fissa + prop) senza agevolazione])*Assegnazione[[#This Row],[Quota di assegnazione]]</f>
        <v>0</v>
      </c>
      <c r="T41" s="175">
        <f>+SUMIF(B[Bene],Assegnazione[[#This Row],[Bene]],B[Ipotecaria e catastale senza agevolazione])*Assegnazione[[#This Row],[Quota di assegnazione]]</f>
        <v>0</v>
      </c>
      <c r="U41" s="176">
        <f>+SUM(Assegnazione[[#This Row],[Tassazione diretta senza agevolazione]:[Ipotecaria e catastale senza agevolazione]])</f>
        <v>0</v>
      </c>
      <c r="V41" s="175">
        <f>+SUMIF(B[Bene],Assegnazione[[#This Row],[Bene]],B[Imponibile Imposta sostitutiva])*Assegnazione[[#This Row],[Quota di assegnazione]]*DATI!$E$27</f>
        <v>0</v>
      </c>
      <c r="W41" s="175">
        <f>+SUMIF(B[Bene],Assegnazione[[#This Row],[Bene]],B[Imposta di registro in misura fissa agevolata])*Assegnazione[[#This Row],[Quota di assegnazione]]</f>
        <v>0</v>
      </c>
      <c r="X41" s="175">
        <f>+SUMIF(B[Bene],Assegnazione[[#This Row],[Bene]],B[Imposta di registro prop. Agevolata])*Assegnazione[[#This Row],[Quota di assegnazione]]</f>
        <v>0</v>
      </c>
      <c r="Y41" s="175">
        <f>+IFERROR(Assegnazione[[#This Row],[Imposta di registro in misura fissa]]+Assegnazione[[#This Row],[Imposta di registro prop.]],"")</f>
        <v>0</v>
      </c>
      <c r="Z41" s="175">
        <f>+SUMIF(B[Bene],Assegnazione[[#This Row],[Bene]],B[Ipotecaria catastale agevolata])*Assegnazione[[#This Row],[Quota di assegnazione]]</f>
        <v>0</v>
      </c>
    </row>
    <row r="42" spans="1:26" x14ac:dyDescent="0.2">
      <c r="A42" s="123"/>
      <c r="B42" s="132"/>
      <c r="C42" s="123"/>
      <c r="D42" s="172">
        <f>+SUMIF(B[Bene],Assegnazione[[#This Row],[Bene]],B[Imponibile Iva])*Assegnazione[[#This Row],[Quota di assegnazione]]</f>
        <v>0</v>
      </c>
      <c r="E42" s="172">
        <f>+SUMIF(B[Bene],Assegnazione[[#This Row],[Bene]],B[Valore inserito manualmente])*Assegnazione[[#This Row],[Quota di assegnazione]]</f>
        <v>0</v>
      </c>
      <c r="F42" s="173" t="str">
        <f>+IF(A42="","",VLOOKUP(Assegnazione[[#This Row],[Bene]],B[],3,0))</f>
        <v/>
      </c>
      <c r="G42" s="129" t="str">
        <f>+IFERROR(VLOOKUP(Assegnazione[[#This Row],[Bene]],B[],MATCH("Agevolabile",Beni!$A$4:$AC$4,0),0)*VLOOKUP(Assegnazione[[#This Row],[Socio]],A_1[],8,0),"")</f>
        <v/>
      </c>
      <c r="H42" s="172">
        <f>+SUMIF(B[Bene],Assegnazione[[#This Row],[Bene]],B[Valore netto contabile fiscalmente riconosciuto])*Assegnazione[[#This Row],[Quota di assegnazione]]</f>
        <v>0</v>
      </c>
      <c r="I42" s="172">
        <f>+SUMIF(B[Bene],Assegnazione[[#This Row],[Bene]],B[Valore normale])*Assegnazione[[#This Row],[Quota di assegnazione]]</f>
        <v>0</v>
      </c>
      <c r="J42" s="174">
        <f>+IF(Assegnazione[[#This Row],[Bene]]="",0,SUMIF(Assegnazione[Socio],Assegnazione[[#This Row],[Socio]],Assegnazione[Valore Normale])/$I$3)</f>
        <v>0</v>
      </c>
      <c r="K42" s="174" t="str">
        <f>IF(Assegnazione[[#This Row],[Bene]]="","",SUMIF(A_1[Nome],Assegnazione[[#This Row],[Socio]],A_1[Quota partecipazione al momento dell''operazione]))</f>
        <v/>
      </c>
      <c r="L42" s="172">
        <f>+SUMIF(B[Bene],Assegnazione[[#This Row],[Bene]],B[Valore catastale])*Assegnazione[[#This Row],[Quota di assegnazione]]</f>
        <v>0</v>
      </c>
      <c r="M42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2" s="172">
        <f>+MIN(Assegnazione[[#This Row],[Valore ai fini dell''atto]],Assegnazione[[#This Row],[Valore Fiscalmente riconosciuto]])</f>
        <v>0</v>
      </c>
      <c r="O42" s="146" t="str">
        <f>+IFERROR(VLOOKUP(Assegnazione[[#This Row],[Bene]],B[],MATCH($O$4,Beni!$A$4:$Z$4,0),0),"")</f>
        <v/>
      </c>
      <c r="P42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2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2" s="175">
        <f>+SUMIF(B[Bene],Assegnazione[[#This Row],[Bene]],B[Iva se dovuta])*Assegnazione[[#This Row],[Quota di assegnazione]]</f>
        <v>0</v>
      </c>
      <c r="S42" s="175">
        <f>+SUMIF(B[Bene],Assegnazione[[#This Row],[Bene]],B[Imposta di registro (fissa + prop) senza agevolazione])*Assegnazione[[#This Row],[Quota di assegnazione]]</f>
        <v>0</v>
      </c>
      <c r="T42" s="175">
        <f>+SUMIF(B[Bene],Assegnazione[[#This Row],[Bene]],B[Ipotecaria e catastale senza agevolazione])*Assegnazione[[#This Row],[Quota di assegnazione]]</f>
        <v>0</v>
      </c>
      <c r="U42" s="176">
        <f>+SUM(Assegnazione[[#This Row],[Tassazione diretta senza agevolazione]:[Ipotecaria e catastale senza agevolazione]])</f>
        <v>0</v>
      </c>
      <c r="V42" s="175">
        <f>+SUMIF(B[Bene],Assegnazione[[#This Row],[Bene]],B[Imponibile Imposta sostitutiva])*Assegnazione[[#This Row],[Quota di assegnazione]]*DATI!$E$27</f>
        <v>0</v>
      </c>
      <c r="W42" s="175">
        <f>+SUMIF(B[Bene],Assegnazione[[#This Row],[Bene]],B[Imposta di registro in misura fissa agevolata])*Assegnazione[[#This Row],[Quota di assegnazione]]</f>
        <v>0</v>
      </c>
      <c r="X42" s="175">
        <f>+SUMIF(B[Bene],Assegnazione[[#This Row],[Bene]],B[Imposta di registro prop. Agevolata])*Assegnazione[[#This Row],[Quota di assegnazione]]</f>
        <v>0</v>
      </c>
      <c r="Y42" s="175">
        <f>+IFERROR(Assegnazione[[#This Row],[Imposta di registro in misura fissa]]+Assegnazione[[#This Row],[Imposta di registro prop.]],"")</f>
        <v>0</v>
      </c>
      <c r="Z42" s="175">
        <f>+SUMIF(B[Bene],Assegnazione[[#This Row],[Bene]],B[Ipotecaria catastale agevolata])*Assegnazione[[#This Row],[Quota di assegnazione]]</f>
        <v>0</v>
      </c>
    </row>
    <row r="43" spans="1:26" x14ac:dyDescent="0.2">
      <c r="A43" s="123"/>
      <c r="B43" s="132"/>
      <c r="C43" s="123"/>
      <c r="D43" s="172">
        <f>+SUMIF(B[Bene],Assegnazione[[#This Row],[Bene]],B[Imponibile Iva])*Assegnazione[[#This Row],[Quota di assegnazione]]</f>
        <v>0</v>
      </c>
      <c r="E43" s="172">
        <f>+SUMIF(B[Bene],Assegnazione[[#This Row],[Bene]],B[Valore inserito manualmente])*Assegnazione[[#This Row],[Quota di assegnazione]]</f>
        <v>0</v>
      </c>
      <c r="F43" s="173" t="str">
        <f>+IF(A43="","",VLOOKUP(Assegnazione[[#This Row],[Bene]],B[],3,0))</f>
        <v/>
      </c>
      <c r="G43" s="129" t="str">
        <f>+IFERROR(VLOOKUP(Assegnazione[[#This Row],[Bene]],B[],MATCH("Agevolabile",Beni!$A$4:$AC$4,0),0)*VLOOKUP(Assegnazione[[#This Row],[Socio]],A_1[],8,0),"")</f>
        <v/>
      </c>
      <c r="H43" s="172">
        <f>+SUMIF(B[Bene],Assegnazione[[#This Row],[Bene]],B[Valore netto contabile fiscalmente riconosciuto])*Assegnazione[[#This Row],[Quota di assegnazione]]</f>
        <v>0</v>
      </c>
      <c r="I43" s="172">
        <f>+SUMIF(B[Bene],Assegnazione[[#This Row],[Bene]],B[Valore normale])*Assegnazione[[#This Row],[Quota di assegnazione]]</f>
        <v>0</v>
      </c>
      <c r="J43" s="174">
        <f>+IF(Assegnazione[[#This Row],[Bene]]="",0,SUMIF(Assegnazione[Socio],Assegnazione[[#This Row],[Socio]],Assegnazione[Valore Normale])/$I$3)</f>
        <v>0</v>
      </c>
      <c r="K43" s="174" t="str">
        <f>IF(Assegnazione[[#This Row],[Bene]]="","",SUMIF(A_1[Nome],Assegnazione[[#This Row],[Socio]],A_1[Quota partecipazione al momento dell''operazione]))</f>
        <v/>
      </c>
      <c r="L43" s="172">
        <f>+SUMIF(B[Bene],Assegnazione[[#This Row],[Bene]],B[Valore catastale])*Assegnazione[[#This Row],[Quota di assegnazione]]</f>
        <v>0</v>
      </c>
      <c r="M43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3" s="172">
        <f>+MIN(Assegnazione[[#This Row],[Valore ai fini dell''atto]],Assegnazione[[#This Row],[Valore Fiscalmente riconosciuto]])</f>
        <v>0</v>
      </c>
      <c r="O43" s="146" t="str">
        <f>+IFERROR(VLOOKUP(Assegnazione[[#This Row],[Bene]],B[],MATCH($O$4,Beni!$A$4:$Z$4,0),0),"")</f>
        <v/>
      </c>
      <c r="P43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3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3" s="175">
        <f>+SUMIF(B[Bene],Assegnazione[[#This Row],[Bene]],B[Iva se dovuta])*Assegnazione[[#This Row],[Quota di assegnazione]]</f>
        <v>0</v>
      </c>
      <c r="S43" s="175">
        <f>+SUMIF(B[Bene],Assegnazione[[#This Row],[Bene]],B[Imposta di registro (fissa + prop) senza agevolazione])*Assegnazione[[#This Row],[Quota di assegnazione]]</f>
        <v>0</v>
      </c>
      <c r="T43" s="175">
        <f>+SUMIF(B[Bene],Assegnazione[[#This Row],[Bene]],B[Ipotecaria e catastale senza agevolazione])*Assegnazione[[#This Row],[Quota di assegnazione]]</f>
        <v>0</v>
      </c>
      <c r="U43" s="176">
        <f>+SUM(Assegnazione[[#This Row],[Tassazione diretta senza agevolazione]:[Ipotecaria e catastale senza agevolazione]])</f>
        <v>0</v>
      </c>
      <c r="V43" s="175">
        <f>+SUMIF(B[Bene],Assegnazione[[#This Row],[Bene]],B[Imponibile Imposta sostitutiva])*Assegnazione[[#This Row],[Quota di assegnazione]]*DATI!$E$27</f>
        <v>0</v>
      </c>
      <c r="W43" s="175">
        <f>+SUMIF(B[Bene],Assegnazione[[#This Row],[Bene]],B[Imposta di registro in misura fissa agevolata])*Assegnazione[[#This Row],[Quota di assegnazione]]</f>
        <v>0</v>
      </c>
      <c r="X43" s="175">
        <f>+SUMIF(B[Bene],Assegnazione[[#This Row],[Bene]],B[Imposta di registro prop. Agevolata])*Assegnazione[[#This Row],[Quota di assegnazione]]</f>
        <v>0</v>
      </c>
      <c r="Y43" s="175">
        <f>+IFERROR(Assegnazione[[#This Row],[Imposta di registro in misura fissa]]+Assegnazione[[#This Row],[Imposta di registro prop.]],"")</f>
        <v>0</v>
      </c>
      <c r="Z43" s="175">
        <f>+SUMIF(B[Bene],Assegnazione[[#This Row],[Bene]],B[Ipotecaria catastale agevolata])*Assegnazione[[#This Row],[Quota di assegnazione]]</f>
        <v>0</v>
      </c>
    </row>
    <row r="44" spans="1:26" x14ac:dyDescent="0.2">
      <c r="A44" s="123"/>
      <c r="B44" s="132"/>
      <c r="C44" s="123"/>
      <c r="D44" s="172">
        <f>+SUMIF(B[Bene],Assegnazione[[#This Row],[Bene]],B[Imponibile Iva])*Assegnazione[[#This Row],[Quota di assegnazione]]</f>
        <v>0</v>
      </c>
      <c r="E44" s="172">
        <f>+SUMIF(B[Bene],Assegnazione[[#This Row],[Bene]],B[Valore inserito manualmente])*Assegnazione[[#This Row],[Quota di assegnazione]]</f>
        <v>0</v>
      </c>
      <c r="F44" s="173" t="str">
        <f>+IF(A44="","",VLOOKUP(Assegnazione[[#This Row],[Bene]],B[],3,0))</f>
        <v/>
      </c>
      <c r="G44" s="129" t="str">
        <f>+IFERROR(VLOOKUP(Assegnazione[[#This Row],[Bene]],B[],MATCH("Agevolabile",Beni!$A$4:$AC$4,0),0)*VLOOKUP(Assegnazione[[#This Row],[Socio]],A_1[],8,0),"")</f>
        <v/>
      </c>
      <c r="H44" s="172">
        <f>+SUMIF(B[Bene],Assegnazione[[#This Row],[Bene]],B[Valore netto contabile fiscalmente riconosciuto])*Assegnazione[[#This Row],[Quota di assegnazione]]</f>
        <v>0</v>
      </c>
      <c r="I44" s="172">
        <f>+SUMIF(B[Bene],Assegnazione[[#This Row],[Bene]],B[Valore normale])*Assegnazione[[#This Row],[Quota di assegnazione]]</f>
        <v>0</v>
      </c>
      <c r="J44" s="174">
        <f>+IF(Assegnazione[[#This Row],[Bene]]="",0,SUMIF(Assegnazione[Socio],Assegnazione[[#This Row],[Socio]],Assegnazione[Valore Normale])/$I$3)</f>
        <v>0</v>
      </c>
      <c r="K44" s="174" t="str">
        <f>IF(Assegnazione[[#This Row],[Bene]]="","",SUMIF(A_1[Nome],Assegnazione[[#This Row],[Socio]],A_1[Quota partecipazione al momento dell''operazione]))</f>
        <v/>
      </c>
      <c r="L44" s="172">
        <f>+SUMIF(B[Bene],Assegnazione[[#This Row],[Bene]],B[Valore catastale])*Assegnazione[[#This Row],[Quota di assegnazione]]</f>
        <v>0</v>
      </c>
      <c r="M44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4" s="172">
        <f>+MIN(Assegnazione[[#This Row],[Valore ai fini dell''atto]],Assegnazione[[#This Row],[Valore Fiscalmente riconosciuto]])</f>
        <v>0</v>
      </c>
      <c r="O44" s="146" t="str">
        <f>+IFERROR(VLOOKUP(Assegnazione[[#This Row],[Bene]],B[],MATCH($O$4,Beni!$A$4:$Z$4,0),0),"")</f>
        <v/>
      </c>
      <c r="P44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4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4" s="175">
        <f>+SUMIF(B[Bene],Assegnazione[[#This Row],[Bene]],B[Iva se dovuta])*Assegnazione[[#This Row],[Quota di assegnazione]]</f>
        <v>0</v>
      </c>
      <c r="S44" s="175">
        <f>+SUMIF(B[Bene],Assegnazione[[#This Row],[Bene]],B[Imposta di registro (fissa + prop) senza agevolazione])*Assegnazione[[#This Row],[Quota di assegnazione]]</f>
        <v>0</v>
      </c>
      <c r="T44" s="175">
        <f>+SUMIF(B[Bene],Assegnazione[[#This Row],[Bene]],B[Ipotecaria e catastale senza agevolazione])*Assegnazione[[#This Row],[Quota di assegnazione]]</f>
        <v>0</v>
      </c>
      <c r="U44" s="176">
        <f>+SUM(Assegnazione[[#This Row],[Tassazione diretta senza agevolazione]:[Ipotecaria e catastale senza agevolazione]])</f>
        <v>0</v>
      </c>
      <c r="V44" s="175">
        <f>+SUMIF(B[Bene],Assegnazione[[#This Row],[Bene]],B[Imponibile Imposta sostitutiva])*Assegnazione[[#This Row],[Quota di assegnazione]]*DATI!$E$27</f>
        <v>0</v>
      </c>
      <c r="W44" s="175">
        <f>+SUMIF(B[Bene],Assegnazione[[#This Row],[Bene]],B[Imposta di registro in misura fissa agevolata])*Assegnazione[[#This Row],[Quota di assegnazione]]</f>
        <v>0</v>
      </c>
      <c r="X44" s="175">
        <f>+SUMIF(B[Bene],Assegnazione[[#This Row],[Bene]],B[Imposta di registro prop. Agevolata])*Assegnazione[[#This Row],[Quota di assegnazione]]</f>
        <v>0</v>
      </c>
      <c r="Y44" s="175">
        <f>+IFERROR(Assegnazione[[#This Row],[Imposta di registro in misura fissa]]+Assegnazione[[#This Row],[Imposta di registro prop.]],"")</f>
        <v>0</v>
      </c>
      <c r="Z44" s="175">
        <f>+SUMIF(B[Bene],Assegnazione[[#This Row],[Bene]],B[Ipotecaria catastale agevolata])*Assegnazione[[#This Row],[Quota di assegnazione]]</f>
        <v>0</v>
      </c>
    </row>
    <row r="45" spans="1:26" x14ac:dyDescent="0.2">
      <c r="A45" s="123"/>
      <c r="B45" s="132"/>
      <c r="C45" s="123"/>
      <c r="D45" s="172">
        <f>+SUMIF(B[Bene],Assegnazione[[#This Row],[Bene]],B[Imponibile Iva])*Assegnazione[[#This Row],[Quota di assegnazione]]</f>
        <v>0</v>
      </c>
      <c r="E45" s="172">
        <f>+SUMIF(B[Bene],Assegnazione[[#This Row],[Bene]],B[Valore inserito manualmente])*Assegnazione[[#This Row],[Quota di assegnazione]]</f>
        <v>0</v>
      </c>
      <c r="F45" s="173" t="str">
        <f>+IF(A45="","",VLOOKUP(Assegnazione[[#This Row],[Bene]],B[],3,0))</f>
        <v/>
      </c>
      <c r="G45" s="129" t="str">
        <f>+IFERROR(VLOOKUP(Assegnazione[[#This Row],[Bene]],B[],MATCH("Agevolabile",Beni!$A$4:$AC$4,0),0)*VLOOKUP(Assegnazione[[#This Row],[Socio]],A_1[],8,0),"")</f>
        <v/>
      </c>
      <c r="H45" s="172">
        <f>+SUMIF(B[Bene],Assegnazione[[#This Row],[Bene]],B[Valore netto contabile fiscalmente riconosciuto])*Assegnazione[[#This Row],[Quota di assegnazione]]</f>
        <v>0</v>
      </c>
      <c r="I45" s="172">
        <f>+SUMIF(B[Bene],Assegnazione[[#This Row],[Bene]],B[Valore normale])*Assegnazione[[#This Row],[Quota di assegnazione]]</f>
        <v>0</v>
      </c>
      <c r="J45" s="174">
        <f>+IF(Assegnazione[[#This Row],[Bene]]="",0,SUMIF(Assegnazione[Socio],Assegnazione[[#This Row],[Socio]],Assegnazione[Valore Normale])/$I$3)</f>
        <v>0</v>
      </c>
      <c r="K45" s="174" t="str">
        <f>IF(Assegnazione[[#This Row],[Bene]]="","",SUMIF(A_1[Nome],Assegnazione[[#This Row],[Socio]],A_1[Quota partecipazione al momento dell''operazione]))</f>
        <v/>
      </c>
      <c r="L45" s="172">
        <f>+SUMIF(B[Bene],Assegnazione[[#This Row],[Bene]],B[Valore catastale])*Assegnazione[[#This Row],[Quota di assegnazione]]</f>
        <v>0</v>
      </c>
      <c r="M45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5" s="172">
        <f>+MIN(Assegnazione[[#This Row],[Valore ai fini dell''atto]],Assegnazione[[#This Row],[Valore Fiscalmente riconosciuto]])</f>
        <v>0</v>
      </c>
      <c r="O45" s="146" t="str">
        <f>+IFERROR(VLOOKUP(Assegnazione[[#This Row],[Bene]],B[],MATCH($O$4,Beni!$A$4:$Z$4,0),0),"")</f>
        <v/>
      </c>
      <c r="P45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5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5" s="175">
        <f>+SUMIF(B[Bene],Assegnazione[[#This Row],[Bene]],B[Iva se dovuta])*Assegnazione[[#This Row],[Quota di assegnazione]]</f>
        <v>0</v>
      </c>
      <c r="S45" s="175">
        <f>+SUMIF(B[Bene],Assegnazione[[#This Row],[Bene]],B[Imposta di registro (fissa + prop) senza agevolazione])*Assegnazione[[#This Row],[Quota di assegnazione]]</f>
        <v>0</v>
      </c>
      <c r="T45" s="175">
        <f>+SUMIF(B[Bene],Assegnazione[[#This Row],[Bene]],B[Ipotecaria e catastale senza agevolazione])*Assegnazione[[#This Row],[Quota di assegnazione]]</f>
        <v>0</v>
      </c>
      <c r="U45" s="176">
        <f>+SUM(Assegnazione[[#This Row],[Tassazione diretta senza agevolazione]:[Ipotecaria e catastale senza agevolazione]])</f>
        <v>0</v>
      </c>
      <c r="V45" s="175">
        <f>+SUMIF(B[Bene],Assegnazione[[#This Row],[Bene]],B[Imponibile Imposta sostitutiva])*Assegnazione[[#This Row],[Quota di assegnazione]]*DATI!$E$27</f>
        <v>0</v>
      </c>
      <c r="W45" s="175">
        <f>+SUMIF(B[Bene],Assegnazione[[#This Row],[Bene]],B[Imposta di registro in misura fissa agevolata])*Assegnazione[[#This Row],[Quota di assegnazione]]</f>
        <v>0</v>
      </c>
      <c r="X45" s="175">
        <f>+SUMIF(B[Bene],Assegnazione[[#This Row],[Bene]],B[Imposta di registro prop. Agevolata])*Assegnazione[[#This Row],[Quota di assegnazione]]</f>
        <v>0</v>
      </c>
      <c r="Y45" s="175">
        <f>+IFERROR(Assegnazione[[#This Row],[Imposta di registro in misura fissa]]+Assegnazione[[#This Row],[Imposta di registro prop.]],"")</f>
        <v>0</v>
      </c>
      <c r="Z45" s="175">
        <f>+SUMIF(B[Bene],Assegnazione[[#This Row],[Bene]],B[Ipotecaria catastale agevolata])*Assegnazione[[#This Row],[Quota di assegnazione]]</f>
        <v>0</v>
      </c>
    </row>
    <row r="46" spans="1:26" x14ac:dyDescent="0.2">
      <c r="A46" s="123"/>
      <c r="B46" s="132"/>
      <c r="C46" s="123"/>
      <c r="D46" s="172">
        <f>+SUMIF(B[Bene],Assegnazione[[#This Row],[Bene]],B[Imponibile Iva])*Assegnazione[[#This Row],[Quota di assegnazione]]</f>
        <v>0</v>
      </c>
      <c r="E46" s="172">
        <f>+SUMIF(B[Bene],Assegnazione[[#This Row],[Bene]],B[Valore inserito manualmente])*Assegnazione[[#This Row],[Quota di assegnazione]]</f>
        <v>0</v>
      </c>
      <c r="F46" s="173" t="str">
        <f>+IF(A46="","",VLOOKUP(Assegnazione[[#This Row],[Bene]],B[],3,0))</f>
        <v/>
      </c>
      <c r="G46" s="129" t="str">
        <f>+IFERROR(VLOOKUP(Assegnazione[[#This Row],[Bene]],B[],MATCH("Agevolabile",Beni!$A$4:$AC$4,0),0)*VLOOKUP(Assegnazione[[#This Row],[Socio]],A_1[],8,0),"")</f>
        <v/>
      </c>
      <c r="H46" s="172">
        <f>+SUMIF(B[Bene],Assegnazione[[#This Row],[Bene]],B[Valore netto contabile fiscalmente riconosciuto])*Assegnazione[[#This Row],[Quota di assegnazione]]</f>
        <v>0</v>
      </c>
      <c r="I46" s="172">
        <f>+SUMIF(B[Bene],Assegnazione[[#This Row],[Bene]],B[Valore normale])*Assegnazione[[#This Row],[Quota di assegnazione]]</f>
        <v>0</v>
      </c>
      <c r="J46" s="174">
        <f>+IF(Assegnazione[[#This Row],[Bene]]="",0,SUMIF(Assegnazione[Socio],Assegnazione[[#This Row],[Socio]],Assegnazione[Valore Normale])/$I$3)</f>
        <v>0</v>
      </c>
      <c r="K46" s="174" t="str">
        <f>IF(Assegnazione[[#This Row],[Bene]]="","",SUMIF(A_1[Nome],Assegnazione[[#This Row],[Socio]],A_1[Quota partecipazione al momento dell''operazione]))</f>
        <v/>
      </c>
      <c r="L46" s="172">
        <f>+SUMIF(B[Bene],Assegnazione[[#This Row],[Bene]],B[Valore catastale])*Assegnazione[[#This Row],[Quota di assegnazione]]</f>
        <v>0</v>
      </c>
      <c r="M46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6" s="172">
        <f>+MIN(Assegnazione[[#This Row],[Valore ai fini dell''atto]],Assegnazione[[#This Row],[Valore Fiscalmente riconosciuto]])</f>
        <v>0</v>
      </c>
      <c r="O46" s="146" t="str">
        <f>+IFERROR(VLOOKUP(Assegnazione[[#This Row],[Bene]],B[],MATCH($O$4,Beni!$A$4:$Z$4,0),0),"")</f>
        <v/>
      </c>
      <c r="P46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6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6" s="175">
        <f>+SUMIF(B[Bene],Assegnazione[[#This Row],[Bene]],B[Iva se dovuta])*Assegnazione[[#This Row],[Quota di assegnazione]]</f>
        <v>0</v>
      </c>
      <c r="S46" s="175">
        <f>+SUMIF(B[Bene],Assegnazione[[#This Row],[Bene]],B[Imposta di registro (fissa + prop) senza agevolazione])*Assegnazione[[#This Row],[Quota di assegnazione]]</f>
        <v>0</v>
      </c>
      <c r="T46" s="175">
        <f>+SUMIF(B[Bene],Assegnazione[[#This Row],[Bene]],B[Ipotecaria e catastale senza agevolazione])*Assegnazione[[#This Row],[Quota di assegnazione]]</f>
        <v>0</v>
      </c>
      <c r="U46" s="176">
        <f>+SUM(Assegnazione[[#This Row],[Tassazione diretta senza agevolazione]:[Ipotecaria e catastale senza agevolazione]])</f>
        <v>0</v>
      </c>
      <c r="V46" s="175">
        <f>+SUMIF(B[Bene],Assegnazione[[#This Row],[Bene]],B[Imponibile Imposta sostitutiva])*Assegnazione[[#This Row],[Quota di assegnazione]]*DATI!$E$27</f>
        <v>0</v>
      </c>
      <c r="W46" s="175">
        <f>+SUMIF(B[Bene],Assegnazione[[#This Row],[Bene]],B[Imposta di registro in misura fissa agevolata])*Assegnazione[[#This Row],[Quota di assegnazione]]</f>
        <v>0</v>
      </c>
      <c r="X46" s="175">
        <f>+SUMIF(B[Bene],Assegnazione[[#This Row],[Bene]],B[Imposta di registro prop. Agevolata])*Assegnazione[[#This Row],[Quota di assegnazione]]</f>
        <v>0</v>
      </c>
      <c r="Y46" s="175">
        <f>+IFERROR(Assegnazione[[#This Row],[Imposta di registro in misura fissa]]+Assegnazione[[#This Row],[Imposta di registro prop.]],"")</f>
        <v>0</v>
      </c>
      <c r="Z46" s="175">
        <f>+SUMIF(B[Bene],Assegnazione[[#This Row],[Bene]],B[Ipotecaria catastale agevolata])*Assegnazione[[#This Row],[Quota di assegnazione]]</f>
        <v>0</v>
      </c>
    </row>
    <row r="47" spans="1:26" x14ac:dyDescent="0.2">
      <c r="A47" s="123"/>
      <c r="B47" s="132"/>
      <c r="C47" s="123"/>
      <c r="D47" s="172">
        <f>+SUMIF(B[Bene],Assegnazione[[#This Row],[Bene]],B[Imponibile Iva])*Assegnazione[[#This Row],[Quota di assegnazione]]</f>
        <v>0</v>
      </c>
      <c r="E47" s="172">
        <f>+SUMIF(B[Bene],Assegnazione[[#This Row],[Bene]],B[Valore inserito manualmente])*Assegnazione[[#This Row],[Quota di assegnazione]]</f>
        <v>0</v>
      </c>
      <c r="F47" s="173" t="str">
        <f>+IF(A47="","",VLOOKUP(Assegnazione[[#This Row],[Bene]],B[],3,0))</f>
        <v/>
      </c>
      <c r="G47" s="129" t="str">
        <f>+IFERROR(VLOOKUP(Assegnazione[[#This Row],[Bene]],B[],MATCH("Agevolabile",Beni!$A$4:$AC$4,0),0)*VLOOKUP(Assegnazione[[#This Row],[Socio]],A_1[],8,0),"")</f>
        <v/>
      </c>
      <c r="H47" s="172">
        <f>+SUMIF(B[Bene],Assegnazione[[#This Row],[Bene]],B[Valore netto contabile fiscalmente riconosciuto])*Assegnazione[[#This Row],[Quota di assegnazione]]</f>
        <v>0</v>
      </c>
      <c r="I47" s="172">
        <f>+SUMIF(B[Bene],Assegnazione[[#This Row],[Bene]],B[Valore normale])*Assegnazione[[#This Row],[Quota di assegnazione]]</f>
        <v>0</v>
      </c>
      <c r="J47" s="174">
        <f>+IF(Assegnazione[[#This Row],[Bene]]="",0,SUMIF(Assegnazione[Socio],Assegnazione[[#This Row],[Socio]],Assegnazione[Valore Normale])/$I$3)</f>
        <v>0</v>
      </c>
      <c r="K47" s="174" t="str">
        <f>IF(Assegnazione[[#This Row],[Bene]]="","",SUMIF(A_1[Nome],Assegnazione[[#This Row],[Socio]],A_1[Quota partecipazione al momento dell''operazione]))</f>
        <v/>
      </c>
      <c r="L47" s="172">
        <f>+SUMIF(B[Bene],Assegnazione[[#This Row],[Bene]],B[Valore catastale])*Assegnazione[[#This Row],[Quota di assegnazione]]</f>
        <v>0</v>
      </c>
      <c r="M47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7" s="172">
        <f>+MIN(Assegnazione[[#This Row],[Valore ai fini dell''atto]],Assegnazione[[#This Row],[Valore Fiscalmente riconosciuto]])</f>
        <v>0</v>
      </c>
      <c r="O47" s="146" t="str">
        <f>+IFERROR(VLOOKUP(Assegnazione[[#This Row],[Bene]],B[],MATCH($O$4,Beni!$A$4:$Z$4,0),0),"")</f>
        <v/>
      </c>
      <c r="P47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7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7" s="175">
        <f>+SUMIF(B[Bene],Assegnazione[[#This Row],[Bene]],B[Iva se dovuta])*Assegnazione[[#This Row],[Quota di assegnazione]]</f>
        <v>0</v>
      </c>
      <c r="S47" s="175">
        <f>+SUMIF(B[Bene],Assegnazione[[#This Row],[Bene]],B[Imposta di registro (fissa + prop) senza agevolazione])*Assegnazione[[#This Row],[Quota di assegnazione]]</f>
        <v>0</v>
      </c>
      <c r="T47" s="175">
        <f>+SUMIF(B[Bene],Assegnazione[[#This Row],[Bene]],B[Ipotecaria e catastale senza agevolazione])*Assegnazione[[#This Row],[Quota di assegnazione]]</f>
        <v>0</v>
      </c>
      <c r="U47" s="176">
        <f>+SUM(Assegnazione[[#This Row],[Tassazione diretta senza agevolazione]:[Ipotecaria e catastale senza agevolazione]])</f>
        <v>0</v>
      </c>
      <c r="V47" s="175">
        <f>+SUMIF(B[Bene],Assegnazione[[#This Row],[Bene]],B[Imponibile Imposta sostitutiva])*Assegnazione[[#This Row],[Quota di assegnazione]]*DATI!$E$27</f>
        <v>0</v>
      </c>
      <c r="W47" s="175">
        <f>+SUMIF(B[Bene],Assegnazione[[#This Row],[Bene]],B[Imposta di registro in misura fissa agevolata])*Assegnazione[[#This Row],[Quota di assegnazione]]</f>
        <v>0</v>
      </c>
      <c r="X47" s="175">
        <f>+SUMIF(B[Bene],Assegnazione[[#This Row],[Bene]],B[Imposta di registro prop. Agevolata])*Assegnazione[[#This Row],[Quota di assegnazione]]</f>
        <v>0</v>
      </c>
      <c r="Y47" s="175">
        <f>+IFERROR(Assegnazione[[#This Row],[Imposta di registro in misura fissa]]+Assegnazione[[#This Row],[Imposta di registro prop.]],"")</f>
        <v>0</v>
      </c>
      <c r="Z47" s="175">
        <f>+SUMIF(B[Bene],Assegnazione[[#This Row],[Bene]],B[Ipotecaria catastale agevolata])*Assegnazione[[#This Row],[Quota di assegnazione]]</f>
        <v>0</v>
      </c>
    </row>
    <row r="48" spans="1:26" x14ac:dyDescent="0.2">
      <c r="A48" s="123"/>
      <c r="B48" s="132"/>
      <c r="C48" s="123"/>
      <c r="D48" s="172">
        <f>+SUMIF(B[Bene],Assegnazione[[#This Row],[Bene]],B[Imponibile Iva])*Assegnazione[[#This Row],[Quota di assegnazione]]</f>
        <v>0</v>
      </c>
      <c r="E48" s="172">
        <f>+SUMIF(B[Bene],Assegnazione[[#This Row],[Bene]],B[Valore inserito manualmente])*Assegnazione[[#This Row],[Quota di assegnazione]]</f>
        <v>0</v>
      </c>
      <c r="F48" s="173" t="str">
        <f>+IF(A48="","",VLOOKUP(Assegnazione[[#This Row],[Bene]],B[],3,0))</f>
        <v/>
      </c>
      <c r="G48" s="129" t="str">
        <f>+IFERROR(VLOOKUP(Assegnazione[[#This Row],[Bene]],B[],MATCH("Agevolabile",Beni!$A$4:$AC$4,0),0)*VLOOKUP(Assegnazione[[#This Row],[Socio]],A_1[],8,0),"")</f>
        <v/>
      </c>
      <c r="H48" s="172">
        <f>+SUMIF(B[Bene],Assegnazione[[#This Row],[Bene]],B[Valore netto contabile fiscalmente riconosciuto])*Assegnazione[[#This Row],[Quota di assegnazione]]</f>
        <v>0</v>
      </c>
      <c r="I48" s="172">
        <f>+SUMIF(B[Bene],Assegnazione[[#This Row],[Bene]],B[Valore normale])*Assegnazione[[#This Row],[Quota di assegnazione]]</f>
        <v>0</v>
      </c>
      <c r="J48" s="174">
        <f>+IF(Assegnazione[[#This Row],[Bene]]="",0,SUMIF(Assegnazione[Socio],Assegnazione[[#This Row],[Socio]],Assegnazione[Valore Normale])/$I$3)</f>
        <v>0</v>
      </c>
      <c r="K48" s="174" t="str">
        <f>IF(Assegnazione[[#This Row],[Bene]]="","",SUMIF(A_1[Nome],Assegnazione[[#This Row],[Socio]],A_1[Quota partecipazione al momento dell''operazione]))</f>
        <v/>
      </c>
      <c r="L48" s="172">
        <f>+SUMIF(B[Bene],Assegnazione[[#This Row],[Bene]],B[Valore catastale])*Assegnazione[[#This Row],[Quota di assegnazione]]</f>
        <v>0</v>
      </c>
      <c r="M48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8" s="172">
        <f>+MIN(Assegnazione[[#This Row],[Valore ai fini dell''atto]],Assegnazione[[#This Row],[Valore Fiscalmente riconosciuto]])</f>
        <v>0</v>
      </c>
      <c r="O48" s="146" t="str">
        <f>+IFERROR(VLOOKUP(Assegnazione[[#This Row],[Bene]],B[],MATCH($O$4,Beni!$A$4:$Z$4,0),0),"")</f>
        <v/>
      </c>
      <c r="P48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8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8" s="175">
        <f>+SUMIF(B[Bene],Assegnazione[[#This Row],[Bene]],B[Iva se dovuta])*Assegnazione[[#This Row],[Quota di assegnazione]]</f>
        <v>0</v>
      </c>
      <c r="S48" s="175">
        <f>+SUMIF(B[Bene],Assegnazione[[#This Row],[Bene]],B[Imposta di registro (fissa + prop) senza agevolazione])*Assegnazione[[#This Row],[Quota di assegnazione]]</f>
        <v>0</v>
      </c>
      <c r="T48" s="175">
        <f>+SUMIF(B[Bene],Assegnazione[[#This Row],[Bene]],B[Ipotecaria e catastale senza agevolazione])*Assegnazione[[#This Row],[Quota di assegnazione]]</f>
        <v>0</v>
      </c>
      <c r="U48" s="176">
        <f>+SUM(Assegnazione[[#This Row],[Tassazione diretta senza agevolazione]:[Ipotecaria e catastale senza agevolazione]])</f>
        <v>0</v>
      </c>
      <c r="V48" s="175">
        <f>+SUMIF(B[Bene],Assegnazione[[#This Row],[Bene]],B[Imponibile Imposta sostitutiva])*Assegnazione[[#This Row],[Quota di assegnazione]]*DATI!$E$27</f>
        <v>0</v>
      </c>
      <c r="W48" s="175">
        <f>+SUMIF(B[Bene],Assegnazione[[#This Row],[Bene]],B[Imposta di registro in misura fissa agevolata])*Assegnazione[[#This Row],[Quota di assegnazione]]</f>
        <v>0</v>
      </c>
      <c r="X48" s="175">
        <f>+SUMIF(B[Bene],Assegnazione[[#This Row],[Bene]],B[Imposta di registro prop. Agevolata])*Assegnazione[[#This Row],[Quota di assegnazione]]</f>
        <v>0</v>
      </c>
      <c r="Y48" s="175">
        <f>+IFERROR(Assegnazione[[#This Row],[Imposta di registro in misura fissa]]+Assegnazione[[#This Row],[Imposta di registro prop.]],"")</f>
        <v>0</v>
      </c>
      <c r="Z48" s="175">
        <f>+SUMIF(B[Bene],Assegnazione[[#This Row],[Bene]],B[Ipotecaria catastale agevolata])*Assegnazione[[#This Row],[Quota di assegnazione]]</f>
        <v>0</v>
      </c>
    </row>
    <row r="49" spans="1:26" x14ac:dyDescent="0.2">
      <c r="A49" s="123"/>
      <c r="B49" s="132"/>
      <c r="C49" s="123"/>
      <c r="D49" s="172">
        <f>+SUMIF(B[Bene],Assegnazione[[#This Row],[Bene]],B[Imponibile Iva])*Assegnazione[[#This Row],[Quota di assegnazione]]</f>
        <v>0</v>
      </c>
      <c r="E49" s="172">
        <f>+SUMIF(B[Bene],Assegnazione[[#This Row],[Bene]],B[Valore inserito manualmente])*Assegnazione[[#This Row],[Quota di assegnazione]]</f>
        <v>0</v>
      </c>
      <c r="F49" s="173" t="str">
        <f>+IF(A49="","",VLOOKUP(Assegnazione[[#This Row],[Bene]],B[],3,0))</f>
        <v/>
      </c>
      <c r="G49" s="129" t="str">
        <f>+IFERROR(VLOOKUP(Assegnazione[[#This Row],[Bene]],B[],MATCH("Agevolabile",Beni!$A$4:$AC$4,0),0)*VLOOKUP(Assegnazione[[#This Row],[Socio]],A_1[],8,0),"")</f>
        <v/>
      </c>
      <c r="H49" s="172">
        <f>+SUMIF(B[Bene],Assegnazione[[#This Row],[Bene]],B[Valore netto contabile fiscalmente riconosciuto])*Assegnazione[[#This Row],[Quota di assegnazione]]</f>
        <v>0</v>
      </c>
      <c r="I49" s="172">
        <f>+SUMIF(B[Bene],Assegnazione[[#This Row],[Bene]],B[Valore normale])*Assegnazione[[#This Row],[Quota di assegnazione]]</f>
        <v>0</v>
      </c>
      <c r="J49" s="174">
        <f>+IF(Assegnazione[[#This Row],[Bene]]="",0,SUMIF(Assegnazione[Socio],Assegnazione[[#This Row],[Socio]],Assegnazione[Valore Normale])/$I$3)</f>
        <v>0</v>
      </c>
      <c r="K49" s="174" t="str">
        <f>IF(Assegnazione[[#This Row],[Bene]]="","",SUMIF(A_1[Nome],Assegnazione[[#This Row],[Socio]],A_1[Quota partecipazione al momento dell''operazione]))</f>
        <v/>
      </c>
      <c r="L49" s="172">
        <f>+SUMIF(B[Bene],Assegnazione[[#This Row],[Bene]],B[Valore catastale])*Assegnazione[[#This Row],[Quota di assegnazione]]</f>
        <v>0</v>
      </c>
      <c r="M49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9" s="172">
        <f>+MIN(Assegnazione[[#This Row],[Valore ai fini dell''atto]],Assegnazione[[#This Row],[Valore Fiscalmente riconosciuto]])</f>
        <v>0</v>
      </c>
      <c r="O49" s="146" t="str">
        <f>+IFERROR(VLOOKUP(Assegnazione[[#This Row],[Bene]],B[],MATCH($O$4,Beni!$A$4:$Z$4,0),0),"")</f>
        <v/>
      </c>
      <c r="P49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9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9" s="175">
        <f>+SUMIF(B[Bene],Assegnazione[[#This Row],[Bene]],B[Iva se dovuta])*Assegnazione[[#This Row],[Quota di assegnazione]]</f>
        <v>0</v>
      </c>
      <c r="S49" s="175">
        <f>+SUMIF(B[Bene],Assegnazione[[#This Row],[Bene]],B[Imposta di registro (fissa + prop) senza agevolazione])*Assegnazione[[#This Row],[Quota di assegnazione]]</f>
        <v>0</v>
      </c>
      <c r="T49" s="175">
        <f>+SUMIF(B[Bene],Assegnazione[[#This Row],[Bene]],B[Ipotecaria e catastale senza agevolazione])*Assegnazione[[#This Row],[Quota di assegnazione]]</f>
        <v>0</v>
      </c>
      <c r="U49" s="176">
        <f>+SUM(Assegnazione[[#This Row],[Tassazione diretta senza agevolazione]:[Ipotecaria e catastale senza agevolazione]])</f>
        <v>0</v>
      </c>
      <c r="V49" s="175">
        <f>+SUMIF(B[Bene],Assegnazione[[#This Row],[Bene]],B[Imponibile Imposta sostitutiva])*Assegnazione[[#This Row],[Quota di assegnazione]]*DATI!$E$27</f>
        <v>0</v>
      </c>
      <c r="W49" s="175">
        <f>+SUMIF(B[Bene],Assegnazione[[#This Row],[Bene]],B[Imposta di registro in misura fissa agevolata])*Assegnazione[[#This Row],[Quota di assegnazione]]</f>
        <v>0</v>
      </c>
      <c r="X49" s="175">
        <f>+SUMIF(B[Bene],Assegnazione[[#This Row],[Bene]],B[Imposta di registro prop. Agevolata])*Assegnazione[[#This Row],[Quota di assegnazione]]</f>
        <v>0</v>
      </c>
      <c r="Y49" s="175">
        <f>+IFERROR(Assegnazione[[#This Row],[Imposta di registro in misura fissa]]+Assegnazione[[#This Row],[Imposta di registro prop.]],"")</f>
        <v>0</v>
      </c>
      <c r="Z49" s="175">
        <f>+SUMIF(B[Bene],Assegnazione[[#This Row],[Bene]],B[Ipotecaria catastale agevolata])*Assegnazione[[#This Row],[Quota di assegnazione]]</f>
        <v>0</v>
      </c>
    </row>
    <row r="50" spans="1:26" x14ac:dyDescent="0.2">
      <c r="A50" s="123"/>
      <c r="B50" s="132"/>
      <c r="C50" s="123"/>
      <c r="D50" s="172">
        <f>+SUMIF(B[Bene],Assegnazione[[#This Row],[Bene]],B[Imponibile Iva])*Assegnazione[[#This Row],[Quota di assegnazione]]</f>
        <v>0</v>
      </c>
      <c r="E50" s="172">
        <f>+SUMIF(B[Bene],Assegnazione[[#This Row],[Bene]],B[Valore inserito manualmente])*Assegnazione[[#This Row],[Quota di assegnazione]]</f>
        <v>0</v>
      </c>
      <c r="F50" s="173" t="str">
        <f>+IF(A50="","",VLOOKUP(Assegnazione[[#This Row],[Bene]],B[],3,0))</f>
        <v/>
      </c>
      <c r="G50" s="129" t="str">
        <f>+IFERROR(VLOOKUP(Assegnazione[[#This Row],[Bene]],B[],MATCH("Agevolabile",Beni!$A$4:$AC$4,0),0)*VLOOKUP(Assegnazione[[#This Row],[Socio]],A_1[],8,0),"")</f>
        <v/>
      </c>
      <c r="H50" s="172">
        <f>+SUMIF(B[Bene],Assegnazione[[#This Row],[Bene]],B[Valore netto contabile fiscalmente riconosciuto])*Assegnazione[[#This Row],[Quota di assegnazione]]</f>
        <v>0</v>
      </c>
      <c r="I50" s="172">
        <f>+SUMIF(B[Bene],Assegnazione[[#This Row],[Bene]],B[Valore normale])*Assegnazione[[#This Row],[Quota di assegnazione]]</f>
        <v>0</v>
      </c>
      <c r="J50" s="174">
        <f>+IF(Assegnazione[[#This Row],[Bene]]="",0,SUMIF(Assegnazione[Socio],Assegnazione[[#This Row],[Socio]],Assegnazione[Valore Normale])/$I$3)</f>
        <v>0</v>
      </c>
      <c r="K50" s="174" t="str">
        <f>IF(Assegnazione[[#This Row],[Bene]]="","",SUMIF(A_1[Nome],Assegnazione[[#This Row],[Socio]],A_1[Quota partecipazione al momento dell''operazione]))</f>
        <v/>
      </c>
      <c r="L50" s="172">
        <f>+SUMIF(B[Bene],Assegnazione[[#This Row],[Bene]],B[Valore catastale])*Assegnazione[[#This Row],[Quota di assegnazione]]</f>
        <v>0</v>
      </c>
      <c r="M50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0" s="172">
        <f>+MIN(Assegnazione[[#This Row],[Valore ai fini dell''atto]],Assegnazione[[#This Row],[Valore Fiscalmente riconosciuto]])</f>
        <v>0</v>
      </c>
      <c r="O50" s="146" t="str">
        <f>+IFERROR(VLOOKUP(Assegnazione[[#This Row],[Bene]],B[],MATCH($O$4,Beni!$A$4:$Z$4,0),0),"")</f>
        <v/>
      </c>
      <c r="P50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0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0" s="175">
        <f>+SUMIF(B[Bene],Assegnazione[[#This Row],[Bene]],B[Iva se dovuta])*Assegnazione[[#This Row],[Quota di assegnazione]]</f>
        <v>0</v>
      </c>
      <c r="S50" s="175">
        <f>+SUMIF(B[Bene],Assegnazione[[#This Row],[Bene]],B[Imposta di registro (fissa + prop) senza agevolazione])*Assegnazione[[#This Row],[Quota di assegnazione]]</f>
        <v>0</v>
      </c>
      <c r="T50" s="175">
        <f>+SUMIF(B[Bene],Assegnazione[[#This Row],[Bene]],B[Ipotecaria e catastale senza agevolazione])*Assegnazione[[#This Row],[Quota di assegnazione]]</f>
        <v>0</v>
      </c>
      <c r="U50" s="176">
        <f>+SUM(Assegnazione[[#This Row],[Tassazione diretta senza agevolazione]:[Ipotecaria e catastale senza agevolazione]])</f>
        <v>0</v>
      </c>
      <c r="V50" s="175">
        <f>+SUMIF(B[Bene],Assegnazione[[#This Row],[Bene]],B[Imponibile Imposta sostitutiva])*Assegnazione[[#This Row],[Quota di assegnazione]]*DATI!$E$27</f>
        <v>0</v>
      </c>
      <c r="W50" s="175">
        <f>+SUMIF(B[Bene],Assegnazione[[#This Row],[Bene]],B[Imposta di registro in misura fissa agevolata])*Assegnazione[[#This Row],[Quota di assegnazione]]</f>
        <v>0</v>
      </c>
      <c r="X50" s="175">
        <f>+SUMIF(B[Bene],Assegnazione[[#This Row],[Bene]],B[Imposta di registro prop. Agevolata])*Assegnazione[[#This Row],[Quota di assegnazione]]</f>
        <v>0</v>
      </c>
      <c r="Y50" s="175">
        <f>+IFERROR(Assegnazione[[#This Row],[Imposta di registro in misura fissa]]+Assegnazione[[#This Row],[Imposta di registro prop.]],"")</f>
        <v>0</v>
      </c>
      <c r="Z50" s="175">
        <f>+SUMIF(B[Bene],Assegnazione[[#This Row],[Bene]],B[Ipotecaria catastale agevolata])*Assegnazione[[#This Row],[Quota di assegnazione]]</f>
        <v>0</v>
      </c>
    </row>
    <row r="51" spans="1:26" x14ac:dyDescent="0.2">
      <c r="A51" s="123"/>
      <c r="B51" s="132"/>
      <c r="C51" s="123"/>
      <c r="D51" s="172">
        <f>+SUMIF(B[Bene],Assegnazione[[#This Row],[Bene]],B[Imponibile Iva])*Assegnazione[[#This Row],[Quota di assegnazione]]</f>
        <v>0</v>
      </c>
      <c r="E51" s="172">
        <f>+SUMIF(B[Bene],Assegnazione[[#This Row],[Bene]],B[Valore inserito manualmente])*Assegnazione[[#This Row],[Quota di assegnazione]]</f>
        <v>0</v>
      </c>
      <c r="F51" s="173" t="str">
        <f>+IF(A51="","",VLOOKUP(Assegnazione[[#This Row],[Bene]],B[],3,0))</f>
        <v/>
      </c>
      <c r="G51" s="129" t="str">
        <f>+IFERROR(VLOOKUP(Assegnazione[[#This Row],[Bene]],B[],MATCH("Agevolabile",Beni!$A$4:$AC$4,0),0)*VLOOKUP(Assegnazione[[#This Row],[Socio]],A_1[],8,0),"")</f>
        <v/>
      </c>
      <c r="H51" s="172">
        <f>+SUMIF(B[Bene],Assegnazione[[#This Row],[Bene]],B[Valore netto contabile fiscalmente riconosciuto])*Assegnazione[[#This Row],[Quota di assegnazione]]</f>
        <v>0</v>
      </c>
      <c r="I51" s="172">
        <f>+SUMIF(B[Bene],Assegnazione[[#This Row],[Bene]],B[Valore normale])*Assegnazione[[#This Row],[Quota di assegnazione]]</f>
        <v>0</v>
      </c>
      <c r="J51" s="174">
        <f>+IF(Assegnazione[[#This Row],[Bene]]="",0,SUMIF(Assegnazione[Socio],Assegnazione[[#This Row],[Socio]],Assegnazione[Valore Normale])/$I$3)</f>
        <v>0</v>
      </c>
      <c r="K51" s="174" t="str">
        <f>IF(Assegnazione[[#This Row],[Bene]]="","",SUMIF(A_1[Nome],Assegnazione[[#This Row],[Socio]],A_1[Quota partecipazione al momento dell''operazione]))</f>
        <v/>
      </c>
      <c r="L51" s="172">
        <f>+SUMIF(B[Bene],Assegnazione[[#This Row],[Bene]],B[Valore catastale])*Assegnazione[[#This Row],[Quota di assegnazione]]</f>
        <v>0</v>
      </c>
      <c r="M51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1" s="172">
        <f>+MIN(Assegnazione[[#This Row],[Valore ai fini dell''atto]],Assegnazione[[#This Row],[Valore Fiscalmente riconosciuto]])</f>
        <v>0</v>
      </c>
      <c r="O51" s="146" t="str">
        <f>+IFERROR(VLOOKUP(Assegnazione[[#This Row],[Bene]],B[],MATCH($O$4,Beni!$A$4:$Z$4,0),0),"")</f>
        <v/>
      </c>
      <c r="P51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1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1" s="175">
        <f>+SUMIF(B[Bene],Assegnazione[[#This Row],[Bene]],B[Iva se dovuta])*Assegnazione[[#This Row],[Quota di assegnazione]]</f>
        <v>0</v>
      </c>
      <c r="S51" s="175">
        <f>+SUMIF(B[Bene],Assegnazione[[#This Row],[Bene]],B[Imposta di registro (fissa + prop) senza agevolazione])*Assegnazione[[#This Row],[Quota di assegnazione]]</f>
        <v>0</v>
      </c>
      <c r="T51" s="175">
        <f>+SUMIF(B[Bene],Assegnazione[[#This Row],[Bene]],B[Ipotecaria e catastale senza agevolazione])*Assegnazione[[#This Row],[Quota di assegnazione]]</f>
        <v>0</v>
      </c>
      <c r="U51" s="176">
        <f>+SUM(Assegnazione[[#This Row],[Tassazione diretta senza agevolazione]:[Ipotecaria e catastale senza agevolazione]])</f>
        <v>0</v>
      </c>
      <c r="V51" s="175">
        <f>+SUMIF(B[Bene],Assegnazione[[#This Row],[Bene]],B[Imponibile Imposta sostitutiva])*Assegnazione[[#This Row],[Quota di assegnazione]]*DATI!$E$27</f>
        <v>0</v>
      </c>
      <c r="W51" s="175">
        <f>+SUMIF(B[Bene],Assegnazione[[#This Row],[Bene]],B[Imposta di registro in misura fissa agevolata])*Assegnazione[[#This Row],[Quota di assegnazione]]</f>
        <v>0</v>
      </c>
      <c r="X51" s="175">
        <f>+SUMIF(B[Bene],Assegnazione[[#This Row],[Bene]],B[Imposta di registro prop. Agevolata])*Assegnazione[[#This Row],[Quota di assegnazione]]</f>
        <v>0</v>
      </c>
      <c r="Y51" s="175">
        <f>+IFERROR(Assegnazione[[#This Row],[Imposta di registro in misura fissa]]+Assegnazione[[#This Row],[Imposta di registro prop.]],"")</f>
        <v>0</v>
      </c>
      <c r="Z51" s="175">
        <f>+SUMIF(B[Bene],Assegnazione[[#This Row],[Bene]],B[Ipotecaria catastale agevolata])*Assegnazione[[#This Row],[Quota di assegnazione]]</f>
        <v>0</v>
      </c>
    </row>
    <row r="52" spans="1:26" x14ac:dyDescent="0.2">
      <c r="A52" s="123"/>
      <c r="B52" s="132"/>
      <c r="C52" s="123"/>
      <c r="D52" s="172">
        <f>+SUMIF(B[Bene],Assegnazione[[#This Row],[Bene]],B[Imponibile Iva])*Assegnazione[[#This Row],[Quota di assegnazione]]</f>
        <v>0</v>
      </c>
      <c r="E52" s="172">
        <f>+SUMIF(B[Bene],Assegnazione[[#This Row],[Bene]],B[Valore inserito manualmente])*Assegnazione[[#This Row],[Quota di assegnazione]]</f>
        <v>0</v>
      </c>
      <c r="F52" s="173" t="str">
        <f>+IF(A52="","",VLOOKUP(Assegnazione[[#This Row],[Bene]],B[],3,0))</f>
        <v/>
      </c>
      <c r="G52" s="129" t="str">
        <f>+IFERROR(VLOOKUP(Assegnazione[[#This Row],[Bene]],B[],MATCH("Agevolabile",Beni!$A$4:$AC$4,0),0)*VLOOKUP(Assegnazione[[#This Row],[Socio]],A_1[],8,0),"")</f>
        <v/>
      </c>
      <c r="H52" s="172">
        <f>+SUMIF(B[Bene],Assegnazione[[#This Row],[Bene]],B[Valore netto contabile fiscalmente riconosciuto])*Assegnazione[[#This Row],[Quota di assegnazione]]</f>
        <v>0</v>
      </c>
      <c r="I52" s="172">
        <f>+SUMIF(B[Bene],Assegnazione[[#This Row],[Bene]],B[Valore normale])*Assegnazione[[#This Row],[Quota di assegnazione]]</f>
        <v>0</v>
      </c>
      <c r="J52" s="174">
        <f>+IF(Assegnazione[[#This Row],[Bene]]="",0,SUMIF(Assegnazione[Socio],Assegnazione[[#This Row],[Socio]],Assegnazione[Valore Normale])/$I$3)</f>
        <v>0</v>
      </c>
      <c r="K52" s="174" t="str">
        <f>IF(Assegnazione[[#This Row],[Bene]]="","",SUMIF(A_1[Nome],Assegnazione[[#This Row],[Socio]],A_1[Quota partecipazione al momento dell''operazione]))</f>
        <v/>
      </c>
      <c r="L52" s="172">
        <f>+SUMIF(B[Bene],Assegnazione[[#This Row],[Bene]],B[Valore catastale])*Assegnazione[[#This Row],[Quota di assegnazione]]</f>
        <v>0</v>
      </c>
      <c r="M52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2" s="172">
        <f>+MIN(Assegnazione[[#This Row],[Valore ai fini dell''atto]],Assegnazione[[#This Row],[Valore Fiscalmente riconosciuto]])</f>
        <v>0</v>
      </c>
      <c r="O52" s="146" t="str">
        <f>+IFERROR(VLOOKUP(Assegnazione[[#This Row],[Bene]],B[],MATCH($O$4,Beni!$A$4:$Z$4,0),0),"")</f>
        <v/>
      </c>
      <c r="P52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2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2" s="175">
        <f>+SUMIF(B[Bene],Assegnazione[[#This Row],[Bene]],B[Iva se dovuta])*Assegnazione[[#This Row],[Quota di assegnazione]]</f>
        <v>0</v>
      </c>
      <c r="S52" s="175">
        <f>+SUMIF(B[Bene],Assegnazione[[#This Row],[Bene]],B[Imposta di registro (fissa + prop) senza agevolazione])*Assegnazione[[#This Row],[Quota di assegnazione]]</f>
        <v>0</v>
      </c>
      <c r="T52" s="175">
        <f>+SUMIF(B[Bene],Assegnazione[[#This Row],[Bene]],B[Ipotecaria e catastale senza agevolazione])*Assegnazione[[#This Row],[Quota di assegnazione]]</f>
        <v>0</v>
      </c>
      <c r="U52" s="176">
        <f>+SUM(Assegnazione[[#This Row],[Tassazione diretta senza agevolazione]:[Ipotecaria e catastale senza agevolazione]])</f>
        <v>0</v>
      </c>
      <c r="V52" s="175">
        <f>+SUMIF(B[Bene],Assegnazione[[#This Row],[Bene]],B[Imponibile Imposta sostitutiva])*Assegnazione[[#This Row],[Quota di assegnazione]]*DATI!$E$27</f>
        <v>0</v>
      </c>
      <c r="W52" s="175">
        <f>+SUMIF(B[Bene],Assegnazione[[#This Row],[Bene]],B[Imposta di registro in misura fissa agevolata])*Assegnazione[[#This Row],[Quota di assegnazione]]</f>
        <v>0</v>
      </c>
      <c r="X52" s="175">
        <f>+SUMIF(B[Bene],Assegnazione[[#This Row],[Bene]],B[Imposta di registro prop. Agevolata])*Assegnazione[[#This Row],[Quota di assegnazione]]</f>
        <v>0</v>
      </c>
      <c r="Y52" s="175">
        <f>+IFERROR(Assegnazione[[#This Row],[Imposta di registro in misura fissa]]+Assegnazione[[#This Row],[Imposta di registro prop.]],"")</f>
        <v>0</v>
      </c>
      <c r="Z52" s="175">
        <f>+SUMIF(B[Bene],Assegnazione[[#This Row],[Bene]],B[Ipotecaria catastale agevolata])*Assegnazione[[#This Row],[Quota di assegnazione]]</f>
        <v>0</v>
      </c>
    </row>
    <row r="53" spans="1:26" x14ac:dyDescent="0.2">
      <c r="A53" s="123"/>
      <c r="B53" s="132"/>
      <c r="C53" s="123"/>
      <c r="D53" s="172">
        <f>+SUMIF(B[Bene],Assegnazione[[#This Row],[Bene]],B[Imponibile Iva])*Assegnazione[[#This Row],[Quota di assegnazione]]</f>
        <v>0</v>
      </c>
      <c r="E53" s="172">
        <f>+SUMIF(B[Bene],Assegnazione[[#This Row],[Bene]],B[Valore inserito manualmente])*Assegnazione[[#This Row],[Quota di assegnazione]]</f>
        <v>0</v>
      </c>
      <c r="F53" s="173" t="str">
        <f>+IF(A53="","",VLOOKUP(Assegnazione[[#This Row],[Bene]],B[],3,0))</f>
        <v/>
      </c>
      <c r="G53" s="129" t="str">
        <f>+IFERROR(VLOOKUP(Assegnazione[[#This Row],[Bene]],B[],MATCH("Agevolabile",Beni!$A$4:$AC$4,0),0)*VLOOKUP(Assegnazione[[#This Row],[Socio]],A_1[],8,0),"")</f>
        <v/>
      </c>
      <c r="H53" s="172">
        <f>+SUMIF(B[Bene],Assegnazione[[#This Row],[Bene]],B[Valore netto contabile fiscalmente riconosciuto])*Assegnazione[[#This Row],[Quota di assegnazione]]</f>
        <v>0</v>
      </c>
      <c r="I53" s="172">
        <f>+SUMIF(B[Bene],Assegnazione[[#This Row],[Bene]],B[Valore normale])*Assegnazione[[#This Row],[Quota di assegnazione]]</f>
        <v>0</v>
      </c>
      <c r="J53" s="174">
        <f>+IF(Assegnazione[[#This Row],[Bene]]="",0,SUMIF(Assegnazione[Socio],Assegnazione[[#This Row],[Socio]],Assegnazione[Valore Normale])/$I$3)</f>
        <v>0</v>
      </c>
      <c r="K53" s="174" t="str">
        <f>IF(Assegnazione[[#This Row],[Bene]]="","",SUMIF(A_1[Nome],Assegnazione[[#This Row],[Socio]],A_1[Quota partecipazione al momento dell''operazione]))</f>
        <v/>
      </c>
      <c r="L53" s="172">
        <f>+SUMIF(B[Bene],Assegnazione[[#This Row],[Bene]],B[Valore catastale])*Assegnazione[[#This Row],[Quota di assegnazione]]</f>
        <v>0</v>
      </c>
      <c r="M53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3" s="172">
        <f>+MIN(Assegnazione[[#This Row],[Valore ai fini dell''atto]],Assegnazione[[#This Row],[Valore Fiscalmente riconosciuto]])</f>
        <v>0</v>
      </c>
      <c r="O53" s="146" t="str">
        <f>+IFERROR(VLOOKUP(Assegnazione[[#This Row],[Bene]],B[],MATCH($O$4,Beni!$A$4:$Z$4,0),0),"")</f>
        <v/>
      </c>
      <c r="P53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3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3" s="175">
        <f>+SUMIF(B[Bene],Assegnazione[[#This Row],[Bene]],B[Iva se dovuta])*Assegnazione[[#This Row],[Quota di assegnazione]]</f>
        <v>0</v>
      </c>
      <c r="S53" s="175">
        <f>+SUMIF(B[Bene],Assegnazione[[#This Row],[Bene]],B[Imposta di registro (fissa + prop) senza agevolazione])*Assegnazione[[#This Row],[Quota di assegnazione]]</f>
        <v>0</v>
      </c>
      <c r="T53" s="175">
        <f>+SUMIF(B[Bene],Assegnazione[[#This Row],[Bene]],B[Ipotecaria e catastale senza agevolazione])*Assegnazione[[#This Row],[Quota di assegnazione]]</f>
        <v>0</v>
      </c>
      <c r="U53" s="176">
        <f>+SUM(Assegnazione[[#This Row],[Tassazione diretta senza agevolazione]:[Ipotecaria e catastale senza agevolazione]])</f>
        <v>0</v>
      </c>
      <c r="V53" s="175">
        <f>+SUMIF(B[Bene],Assegnazione[[#This Row],[Bene]],B[Imponibile Imposta sostitutiva])*Assegnazione[[#This Row],[Quota di assegnazione]]*DATI!$E$27</f>
        <v>0</v>
      </c>
      <c r="W53" s="175">
        <f>+SUMIF(B[Bene],Assegnazione[[#This Row],[Bene]],B[Imposta di registro in misura fissa agevolata])*Assegnazione[[#This Row],[Quota di assegnazione]]</f>
        <v>0</v>
      </c>
      <c r="X53" s="175">
        <f>+SUMIF(B[Bene],Assegnazione[[#This Row],[Bene]],B[Imposta di registro prop. Agevolata])*Assegnazione[[#This Row],[Quota di assegnazione]]</f>
        <v>0</v>
      </c>
      <c r="Y53" s="175">
        <f>+IFERROR(Assegnazione[[#This Row],[Imposta di registro in misura fissa]]+Assegnazione[[#This Row],[Imposta di registro prop.]],"")</f>
        <v>0</v>
      </c>
      <c r="Z53" s="175">
        <f>+SUMIF(B[Bene],Assegnazione[[#This Row],[Bene]],B[Ipotecaria catastale agevolata])*Assegnazione[[#This Row],[Quota di assegnazione]]</f>
        <v>0</v>
      </c>
    </row>
    <row r="54" spans="1:26" x14ac:dyDescent="0.2">
      <c r="A54" s="123"/>
      <c r="B54" s="132"/>
      <c r="C54" s="123"/>
      <c r="D54" s="172">
        <f>+SUMIF(B[Bene],Assegnazione[[#This Row],[Bene]],B[Imponibile Iva])*Assegnazione[[#This Row],[Quota di assegnazione]]</f>
        <v>0</v>
      </c>
      <c r="E54" s="172">
        <f>+SUMIF(B[Bene],Assegnazione[[#This Row],[Bene]],B[Valore inserito manualmente])*Assegnazione[[#This Row],[Quota di assegnazione]]</f>
        <v>0</v>
      </c>
      <c r="F54" s="173" t="str">
        <f>+IF(A54="","",VLOOKUP(Assegnazione[[#This Row],[Bene]],B[],3,0))</f>
        <v/>
      </c>
      <c r="G54" s="129" t="str">
        <f>+IFERROR(VLOOKUP(Assegnazione[[#This Row],[Bene]],B[],MATCH("Agevolabile",Beni!$A$4:$AC$4,0),0)*VLOOKUP(Assegnazione[[#This Row],[Socio]],A_1[],8,0),"")</f>
        <v/>
      </c>
      <c r="H54" s="172">
        <f>+SUMIF(B[Bene],Assegnazione[[#This Row],[Bene]],B[Valore netto contabile fiscalmente riconosciuto])*Assegnazione[[#This Row],[Quota di assegnazione]]</f>
        <v>0</v>
      </c>
      <c r="I54" s="172">
        <f>+SUMIF(B[Bene],Assegnazione[[#This Row],[Bene]],B[Valore normale])*Assegnazione[[#This Row],[Quota di assegnazione]]</f>
        <v>0</v>
      </c>
      <c r="J54" s="174">
        <f>+IF(Assegnazione[[#This Row],[Bene]]="",0,SUMIF(Assegnazione[Socio],Assegnazione[[#This Row],[Socio]],Assegnazione[Valore Normale])/$I$3)</f>
        <v>0</v>
      </c>
      <c r="K54" s="174" t="str">
        <f>IF(Assegnazione[[#This Row],[Bene]]="","",SUMIF(A_1[Nome],Assegnazione[[#This Row],[Socio]],A_1[Quota partecipazione al momento dell''operazione]))</f>
        <v/>
      </c>
      <c r="L54" s="172">
        <f>+SUMIF(B[Bene],Assegnazione[[#This Row],[Bene]],B[Valore catastale])*Assegnazione[[#This Row],[Quota di assegnazione]]</f>
        <v>0</v>
      </c>
      <c r="M54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4" s="172">
        <f>+MIN(Assegnazione[[#This Row],[Valore ai fini dell''atto]],Assegnazione[[#This Row],[Valore Fiscalmente riconosciuto]])</f>
        <v>0</v>
      </c>
      <c r="O54" s="146" t="str">
        <f>+IFERROR(VLOOKUP(Assegnazione[[#This Row],[Bene]],B[],MATCH($O$4,Beni!$A$4:$Z$4,0),0),"")</f>
        <v/>
      </c>
      <c r="P54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4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4" s="175">
        <f>+SUMIF(B[Bene],Assegnazione[[#This Row],[Bene]],B[Iva se dovuta])*Assegnazione[[#This Row],[Quota di assegnazione]]</f>
        <v>0</v>
      </c>
      <c r="S54" s="175">
        <f>+SUMIF(B[Bene],Assegnazione[[#This Row],[Bene]],B[Imposta di registro (fissa + prop) senza agevolazione])*Assegnazione[[#This Row],[Quota di assegnazione]]</f>
        <v>0</v>
      </c>
      <c r="T54" s="175">
        <f>+SUMIF(B[Bene],Assegnazione[[#This Row],[Bene]],B[Ipotecaria e catastale senza agevolazione])*Assegnazione[[#This Row],[Quota di assegnazione]]</f>
        <v>0</v>
      </c>
      <c r="U54" s="176">
        <f>+SUM(Assegnazione[[#This Row],[Tassazione diretta senza agevolazione]:[Ipotecaria e catastale senza agevolazione]])</f>
        <v>0</v>
      </c>
      <c r="V54" s="175">
        <f>+SUMIF(B[Bene],Assegnazione[[#This Row],[Bene]],B[Imponibile Imposta sostitutiva])*Assegnazione[[#This Row],[Quota di assegnazione]]*DATI!$E$27</f>
        <v>0</v>
      </c>
      <c r="W54" s="175">
        <f>+SUMIF(B[Bene],Assegnazione[[#This Row],[Bene]],B[Imposta di registro in misura fissa agevolata])*Assegnazione[[#This Row],[Quota di assegnazione]]</f>
        <v>0</v>
      </c>
      <c r="X54" s="175">
        <f>+SUMIF(B[Bene],Assegnazione[[#This Row],[Bene]],B[Imposta di registro prop. Agevolata])*Assegnazione[[#This Row],[Quota di assegnazione]]</f>
        <v>0</v>
      </c>
      <c r="Y54" s="175">
        <f>+IFERROR(Assegnazione[[#This Row],[Imposta di registro in misura fissa]]+Assegnazione[[#This Row],[Imposta di registro prop.]],"")</f>
        <v>0</v>
      </c>
      <c r="Z54" s="175">
        <f>+SUMIF(B[Bene],Assegnazione[[#This Row],[Bene]],B[Ipotecaria catastale agevolata])*Assegnazione[[#This Row],[Quota di assegnazione]]</f>
        <v>0</v>
      </c>
    </row>
    <row r="55" spans="1:26" x14ac:dyDescent="0.2">
      <c r="A55" s="123"/>
      <c r="B55" s="132"/>
      <c r="C55" s="123"/>
      <c r="D55" s="172">
        <f>+SUMIF(B[Bene],Assegnazione[[#This Row],[Bene]],B[Imponibile Iva])*Assegnazione[[#This Row],[Quota di assegnazione]]</f>
        <v>0</v>
      </c>
      <c r="E55" s="172">
        <f>+SUMIF(B[Bene],Assegnazione[[#This Row],[Bene]],B[Valore inserito manualmente])*Assegnazione[[#This Row],[Quota di assegnazione]]</f>
        <v>0</v>
      </c>
      <c r="F55" s="173" t="str">
        <f>+IF(A55="","",VLOOKUP(Assegnazione[[#This Row],[Bene]],B[],3,0))</f>
        <v/>
      </c>
      <c r="G55" s="129" t="str">
        <f>+IFERROR(VLOOKUP(Assegnazione[[#This Row],[Bene]],B[],MATCH("Agevolabile",Beni!$A$4:$AC$4,0),0)*VLOOKUP(Assegnazione[[#This Row],[Socio]],A_1[],8,0),"")</f>
        <v/>
      </c>
      <c r="H55" s="172">
        <f>+SUMIF(B[Bene],Assegnazione[[#This Row],[Bene]],B[Valore netto contabile fiscalmente riconosciuto])*Assegnazione[[#This Row],[Quota di assegnazione]]</f>
        <v>0</v>
      </c>
      <c r="I55" s="172">
        <f>+SUMIF(B[Bene],Assegnazione[[#This Row],[Bene]],B[Valore normale])*Assegnazione[[#This Row],[Quota di assegnazione]]</f>
        <v>0</v>
      </c>
      <c r="J55" s="174">
        <f>+IF(Assegnazione[[#This Row],[Bene]]="",0,SUMIF(Assegnazione[Socio],Assegnazione[[#This Row],[Socio]],Assegnazione[Valore Normale])/$I$3)</f>
        <v>0</v>
      </c>
      <c r="K55" s="174" t="str">
        <f>IF(Assegnazione[[#This Row],[Bene]]="","",SUMIF(A_1[Nome],Assegnazione[[#This Row],[Socio]],A_1[Quota partecipazione al momento dell''operazione]))</f>
        <v/>
      </c>
      <c r="L55" s="172">
        <f>+SUMIF(B[Bene],Assegnazione[[#This Row],[Bene]],B[Valore catastale])*Assegnazione[[#This Row],[Quota di assegnazione]]</f>
        <v>0</v>
      </c>
      <c r="M55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5" s="172">
        <f>+MIN(Assegnazione[[#This Row],[Valore ai fini dell''atto]],Assegnazione[[#This Row],[Valore Fiscalmente riconosciuto]])</f>
        <v>0</v>
      </c>
      <c r="O55" s="146" t="str">
        <f>+IFERROR(VLOOKUP(Assegnazione[[#This Row],[Bene]],B[],MATCH($O$4,Beni!$A$4:$Z$4,0),0),"")</f>
        <v/>
      </c>
      <c r="P55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5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5" s="175">
        <f>+SUMIF(B[Bene],Assegnazione[[#This Row],[Bene]],B[Iva se dovuta])*Assegnazione[[#This Row],[Quota di assegnazione]]</f>
        <v>0</v>
      </c>
      <c r="S55" s="175">
        <f>+SUMIF(B[Bene],Assegnazione[[#This Row],[Bene]],B[Imposta di registro (fissa + prop) senza agevolazione])*Assegnazione[[#This Row],[Quota di assegnazione]]</f>
        <v>0</v>
      </c>
      <c r="T55" s="175">
        <f>+SUMIF(B[Bene],Assegnazione[[#This Row],[Bene]],B[Ipotecaria e catastale senza agevolazione])*Assegnazione[[#This Row],[Quota di assegnazione]]</f>
        <v>0</v>
      </c>
      <c r="U55" s="176">
        <f>+SUM(Assegnazione[[#This Row],[Tassazione diretta senza agevolazione]:[Ipotecaria e catastale senza agevolazione]])</f>
        <v>0</v>
      </c>
      <c r="V55" s="175">
        <f>+SUMIF(B[Bene],Assegnazione[[#This Row],[Bene]],B[Imponibile Imposta sostitutiva])*Assegnazione[[#This Row],[Quota di assegnazione]]*DATI!$E$27</f>
        <v>0</v>
      </c>
      <c r="W55" s="175">
        <f>+SUMIF(B[Bene],Assegnazione[[#This Row],[Bene]],B[Imposta di registro in misura fissa agevolata])*Assegnazione[[#This Row],[Quota di assegnazione]]</f>
        <v>0</v>
      </c>
      <c r="X55" s="175">
        <f>+SUMIF(B[Bene],Assegnazione[[#This Row],[Bene]],B[Imposta di registro prop. Agevolata])*Assegnazione[[#This Row],[Quota di assegnazione]]</f>
        <v>0</v>
      </c>
      <c r="Y55" s="175">
        <f>+IFERROR(Assegnazione[[#This Row],[Imposta di registro in misura fissa]]+Assegnazione[[#This Row],[Imposta di registro prop.]],"")</f>
        <v>0</v>
      </c>
      <c r="Z55" s="175">
        <f>+SUMIF(B[Bene],Assegnazione[[#This Row],[Bene]],B[Ipotecaria catastale agevolata])*Assegnazione[[#This Row],[Quota di assegnazione]]</f>
        <v>0</v>
      </c>
    </row>
    <row r="56" spans="1:26" x14ac:dyDescent="0.2">
      <c r="A56" s="123"/>
      <c r="B56" s="132"/>
      <c r="C56" s="123"/>
      <c r="D56" s="172">
        <f>+SUMIF(B[Bene],Assegnazione[[#This Row],[Bene]],B[Imponibile Iva])*Assegnazione[[#This Row],[Quota di assegnazione]]</f>
        <v>0</v>
      </c>
      <c r="E56" s="172">
        <f>+SUMIF(B[Bene],Assegnazione[[#This Row],[Bene]],B[Valore inserito manualmente])*Assegnazione[[#This Row],[Quota di assegnazione]]</f>
        <v>0</v>
      </c>
      <c r="F56" s="173" t="str">
        <f>+IF(A56="","",VLOOKUP(Assegnazione[[#This Row],[Bene]],B[],3,0))</f>
        <v/>
      </c>
      <c r="G56" s="129" t="str">
        <f>+IFERROR(VLOOKUP(Assegnazione[[#This Row],[Bene]],B[],MATCH("Agevolabile",Beni!$A$4:$AC$4,0),0)*VLOOKUP(Assegnazione[[#This Row],[Socio]],A_1[],8,0),"")</f>
        <v/>
      </c>
      <c r="H56" s="172">
        <f>+SUMIF(B[Bene],Assegnazione[[#This Row],[Bene]],B[Valore netto contabile fiscalmente riconosciuto])*Assegnazione[[#This Row],[Quota di assegnazione]]</f>
        <v>0</v>
      </c>
      <c r="I56" s="172">
        <f>+SUMIF(B[Bene],Assegnazione[[#This Row],[Bene]],B[Valore normale])*Assegnazione[[#This Row],[Quota di assegnazione]]</f>
        <v>0</v>
      </c>
      <c r="J56" s="174">
        <f>+IF(Assegnazione[[#This Row],[Bene]]="",0,SUMIF(Assegnazione[Socio],Assegnazione[[#This Row],[Socio]],Assegnazione[Valore Normale])/$I$3)</f>
        <v>0</v>
      </c>
      <c r="K56" s="174" t="str">
        <f>IF(Assegnazione[[#This Row],[Bene]]="","",SUMIF(A_1[Nome],Assegnazione[[#This Row],[Socio]],A_1[Quota partecipazione al momento dell''operazione]))</f>
        <v/>
      </c>
      <c r="L56" s="172">
        <f>+SUMIF(B[Bene],Assegnazione[[#This Row],[Bene]],B[Valore catastale])*Assegnazione[[#This Row],[Quota di assegnazione]]</f>
        <v>0</v>
      </c>
      <c r="M56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6" s="172">
        <f>+MIN(Assegnazione[[#This Row],[Valore ai fini dell''atto]],Assegnazione[[#This Row],[Valore Fiscalmente riconosciuto]])</f>
        <v>0</v>
      </c>
      <c r="O56" s="146" t="str">
        <f>+IFERROR(VLOOKUP(Assegnazione[[#This Row],[Bene]],B[],MATCH($O$4,Beni!$A$4:$Z$4,0),0),"")</f>
        <v/>
      </c>
      <c r="P56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6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6" s="175">
        <f>+SUMIF(B[Bene],Assegnazione[[#This Row],[Bene]],B[Iva se dovuta])*Assegnazione[[#This Row],[Quota di assegnazione]]</f>
        <v>0</v>
      </c>
      <c r="S56" s="175">
        <f>+SUMIF(B[Bene],Assegnazione[[#This Row],[Bene]],B[Imposta di registro (fissa + prop) senza agevolazione])*Assegnazione[[#This Row],[Quota di assegnazione]]</f>
        <v>0</v>
      </c>
      <c r="T56" s="175">
        <f>+SUMIF(B[Bene],Assegnazione[[#This Row],[Bene]],B[Ipotecaria e catastale senza agevolazione])*Assegnazione[[#This Row],[Quota di assegnazione]]</f>
        <v>0</v>
      </c>
      <c r="U56" s="176">
        <f>+SUM(Assegnazione[[#This Row],[Tassazione diretta senza agevolazione]:[Ipotecaria e catastale senza agevolazione]])</f>
        <v>0</v>
      </c>
      <c r="V56" s="175">
        <f>+SUMIF(B[Bene],Assegnazione[[#This Row],[Bene]],B[Imponibile Imposta sostitutiva])*Assegnazione[[#This Row],[Quota di assegnazione]]*DATI!$E$27</f>
        <v>0</v>
      </c>
      <c r="W56" s="175">
        <f>+SUMIF(B[Bene],Assegnazione[[#This Row],[Bene]],B[Imposta di registro in misura fissa agevolata])*Assegnazione[[#This Row],[Quota di assegnazione]]</f>
        <v>0</v>
      </c>
      <c r="X56" s="175">
        <f>+SUMIF(B[Bene],Assegnazione[[#This Row],[Bene]],B[Imposta di registro prop. Agevolata])*Assegnazione[[#This Row],[Quota di assegnazione]]</f>
        <v>0</v>
      </c>
      <c r="Y56" s="175">
        <f>+IFERROR(Assegnazione[[#This Row],[Imposta di registro in misura fissa]]+Assegnazione[[#This Row],[Imposta di registro prop.]],"")</f>
        <v>0</v>
      </c>
      <c r="Z56" s="175">
        <f>+SUMIF(B[Bene],Assegnazione[[#This Row],[Bene]],B[Ipotecaria catastale agevolata])*Assegnazione[[#This Row],[Quota di assegnazione]]</f>
        <v>0</v>
      </c>
    </row>
    <row r="57" spans="1:26" x14ac:dyDescent="0.2">
      <c r="A57" s="123"/>
      <c r="B57" s="132"/>
      <c r="C57" s="123"/>
      <c r="D57" s="172">
        <f>+SUMIF(B[Bene],Assegnazione[[#This Row],[Bene]],B[Imponibile Iva])*Assegnazione[[#This Row],[Quota di assegnazione]]</f>
        <v>0</v>
      </c>
      <c r="E57" s="172">
        <f>+SUMIF(B[Bene],Assegnazione[[#This Row],[Bene]],B[Valore inserito manualmente])*Assegnazione[[#This Row],[Quota di assegnazione]]</f>
        <v>0</v>
      </c>
      <c r="F57" s="173" t="str">
        <f>+IF(A57="","",VLOOKUP(Assegnazione[[#This Row],[Bene]],B[],3,0))</f>
        <v/>
      </c>
      <c r="G57" s="129" t="str">
        <f>+IFERROR(VLOOKUP(Assegnazione[[#This Row],[Bene]],B[],MATCH("Agevolabile",Beni!$A$4:$AC$4,0),0)*VLOOKUP(Assegnazione[[#This Row],[Socio]],A_1[],8,0),"")</f>
        <v/>
      </c>
      <c r="H57" s="172">
        <f>+SUMIF(B[Bene],Assegnazione[[#This Row],[Bene]],B[Valore netto contabile fiscalmente riconosciuto])*Assegnazione[[#This Row],[Quota di assegnazione]]</f>
        <v>0</v>
      </c>
      <c r="I57" s="172">
        <f>+SUMIF(B[Bene],Assegnazione[[#This Row],[Bene]],B[Valore normale])*Assegnazione[[#This Row],[Quota di assegnazione]]</f>
        <v>0</v>
      </c>
      <c r="J57" s="174">
        <f>+IF(Assegnazione[[#This Row],[Bene]]="",0,SUMIF(Assegnazione[Socio],Assegnazione[[#This Row],[Socio]],Assegnazione[Valore Normale])/$I$3)</f>
        <v>0</v>
      </c>
      <c r="K57" s="174" t="str">
        <f>IF(Assegnazione[[#This Row],[Bene]]="","",SUMIF(A_1[Nome],Assegnazione[[#This Row],[Socio]],A_1[Quota partecipazione al momento dell''operazione]))</f>
        <v/>
      </c>
      <c r="L57" s="172">
        <f>+SUMIF(B[Bene],Assegnazione[[#This Row],[Bene]],B[Valore catastale])*Assegnazione[[#This Row],[Quota di assegnazione]]</f>
        <v>0</v>
      </c>
      <c r="M57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7" s="172">
        <f>+MIN(Assegnazione[[#This Row],[Valore ai fini dell''atto]],Assegnazione[[#This Row],[Valore Fiscalmente riconosciuto]])</f>
        <v>0</v>
      </c>
      <c r="O57" s="146" t="str">
        <f>+IFERROR(VLOOKUP(Assegnazione[[#This Row],[Bene]],B[],MATCH($O$4,Beni!$A$4:$Z$4,0),0),"")</f>
        <v/>
      </c>
      <c r="P57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7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7" s="175">
        <f>+SUMIF(B[Bene],Assegnazione[[#This Row],[Bene]],B[Iva se dovuta])*Assegnazione[[#This Row],[Quota di assegnazione]]</f>
        <v>0</v>
      </c>
      <c r="S57" s="175">
        <f>+SUMIF(B[Bene],Assegnazione[[#This Row],[Bene]],B[Imposta di registro (fissa + prop) senza agevolazione])*Assegnazione[[#This Row],[Quota di assegnazione]]</f>
        <v>0</v>
      </c>
      <c r="T57" s="175">
        <f>+SUMIF(B[Bene],Assegnazione[[#This Row],[Bene]],B[Ipotecaria e catastale senza agevolazione])*Assegnazione[[#This Row],[Quota di assegnazione]]</f>
        <v>0</v>
      </c>
      <c r="U57" s="176">
        <f>+SUM(Assegnazione[[#This Row],[Tassazione diretta senza agevolazione]:[Ipotecaria e catastale senza agevolazione]])</f>
        <v>0</v>
      </c>
      <c r="V57" s="175">
        <f>+SUMIF(B[Bene],Assegnazione[[#This Row],[Bene]],B[Imponibile Imposta sostitutiva])*Assegnazione[[#This Row],[Quota di assegnazione]]*DATI!$E$27</f>
        <v>0</v>
      </c>
      <c r="W57" s="175">
        <f>+SUMIF(B[Bene],Assegnazione[[#This Row],[Bene]],B[Imposta di registro in misura fissa agevolata])*Assegnazione[[#This Row],[Quota di assegnazione]]</f>
        <v>0</v>
      </c>
      <c r="X57" s="175">
        <f>+SUMIF(B[Bene],Assegnazione[[#This Row],[Bene]],B[Imposta di registro prop. Agevolata])*Assegnazione[[#This Row],[Quota di assegnazione]]</f>
        <v>0</v>
      </c>
      <c r="Y57" s="175">
        <f>+IFERROR(Assegnazione[[#This Row],[Imposta di registro in misura fissa]]+Assegnazione[[#This Row],[Imposta di registro prop.]],"")</f>
        <v>0</v>
      </c>
      <c r="Z57" s="175">
        <f>+SUMIF(B[Bene],Assegnazione[[#This Row],[Bene]],B[Ipotecaria catastale agevolata])*Assegnazione[[#This Row],[Quota di assegnazione]]</f>
        <v>0</v>
      </c>
    </row>
    <row r="58" spans="1:26" x14ac:dyDescent="0.2">
      <c r="A58" s="123"/>
      <c r="B58" s="132"/>
      <c r="C58" s="123"/>
      <c r="D58" s="172">
        <f>+SUMIF(B[Bene],Assegnazione[[#This Row],[Bene]],B[Imponibile Iva])*Assegnazione[[#This Row],[Quota di assegnazione]]</f>
        <v>0</v>
      </c>
      <c r="E58" s="172">
        <f>+SUMIF(B[Bene],Assegnazione[[#This Row],[Bene]],B[Valore inserito manualmente])*Assegnazione[[#This Row],[Quota di assegnazione]]</f>
        <v>0</v>
      </c>
      <c r="F58" s="173" t="str">
        <f>+IF(A58="","",VLOOKUP(Assegnazione[[#This Row],[Bene]],B[],3,0))</f>
        <v/>
      </c>
      <c r="G58" s="129" t="str">
        <f>+IFERROR(VLOOKUP(Assegnazione[[#This Row],[Bene]],B[],MATCH("Agevolabile",Beni!$A$4:$AC$4,0),0)*VLOOKUP(Assegnazione[[#This Row],[Socio]],A_1[],8,0),"")</f>
        <v/>
      </c>
      <c r="H58" s="172">
        <f>+SUMIF(B[Bene],Assegnazione[[#This Row],[Bene]],B[Valore netto contabile fiscalmente riconosciuto])*Assegnazione[[#This Row],[Quota di assegnazione]]</f>
        <v>0</v>
      </c>
      <c r="I58" s="172">
        <f>+SUMIF(B[Bene],Assegnazione[[#This Row],[Bene]],B[Valore normale])*Assegnazione[[#This Row],[Quota di assegnazione]]</f>
        <v>0</v>
      </c>
      <c r="J58" s="174">
        <f>+IF(Assegnazione[[#This Row],[Bene]]="",0,SUMIF(Assegnazione[Socio],Assegnazione[[#This Row],[Socio]],Assegnazione[Valore Normale])/$I$3)</f>
        <v>0</v>
      </c>
      <c r="K58" s="174" t="str">
        <f>IF(Assegnazione[[#This Row],[Bene]]="","",SUMIF(A_1[Nome],Assegnazione[[#This Row],[Socio]],A_1[Quota partecipazione al momento dell''operazione]))</f>
        <v/>
      </c>
      <c r="L58" s="172">
        <f>+SUMIF(B[Bene],Assegnazione[[#This Row],[Bene]],B[Valore catastale])*Assegnazione[[#This Row],[Quota di assegnazione]]</f>
        <v>0</v>
      </c>
      <c r="M58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8" s="172">
        <f>+MIN(Assegnazione[[#This Row],[Valore ai fini dell''atto]],Assegnazione[[#This Row],[Valore Fiscalmente riconosciuto]])</f>
        <v>0</v>
      </c>
      <c r="O58" s="146" t="str">
        <f>+IFERROR(VLOOKUP(Assegnazione[[#This Row],[Bene]],B[],MATCH($O$4,Beni!$A$4:$Z$4,0),0),"")</f>
        <v/>
      </c>
      <c r="P58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8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8" s="175">
        <f>+SUMIF(B[Bene],Assegnazione[[#This Row],[Bene]],B[Iva se dovuta])*Assegnazione[[#This Row],[Quota di assegnazione]]</f>
        <v>0</v>
      </c>
      <c r="S58" s="175">
        <f>+SUMIF(B[Bene],Assegnazione[[#This Row],[Bene]],B[Imposta di registro (fissa + prop) senza agevolazione])*Assegnazione[[#This Row],[Quota di assegnazione]]</f>
        <v>0</v>
      </c>
      <c r="T58" s="175">
        <f>+SUMIF(B[Bene],Assegnazione[[#This Row],[Bene]],B[Ipotecaria e catastale senza agevolazione])*Assegnazione[[#This Row],[Quota di assegnazione]]</f>
        <v>0</v>
      </c>
      <c r="U58" s="176">
        <f>+SUM(Assegnazione[[#This Row],[Tassazione diretta senza agevolazione]:[Ipotecaria e catastale senza agevolazione]])</f>
        <v>0</v>
      </c>
      <c r="V58" s="175">
        <f>+SUMIF(B[Bene],Assegnazione[[#This Row],[Bene]],B[Imponibile Imposta sostitutiva])*Assegnazione[[#This Row],[Quota di assegnazione]]*DATI!$E$27</f>
        <v>0</v>
      </c>
      <c r="W58" s="175">
        <f>+SUMIF(B[Bene],Assegnazione[[#This Row],[Bene]],B[Imposta di registro in misura fissa agevolata])*Assegnazione[[#This Row],[Quota di assegnazione]]</f>
        <v>0</v>
      </c>
      <c r="X58" s="175">
        <f>+SUMIF(B[Bene],Assegnazione[[#This Row],[Bene]],B[Imposta di registro prop. Agevolata])*Assegnazione[[#This Row],[Quota di assegnazione]]</f>
        <v>0</v>
      </c>
      <c r="Y58" s="175">
        <f>+IFERROR(Assegnazione[[#This Row],[Imposta di registro in misura fissa]]+Assegnazione[[#This Row],[Imposta di registro prop.]],"")</f>
        <v>0</v>
      </c>
      <c r="Z58" s="175">
        <f>+SUMIF(B[Bene],Assegnazione[[#This Row],[Bene]],B[Ipotecaria catastale agevolata])*Assegnazione[[#This Row],[Quota di assegnazione]]</f>
        <v>0</v>
      </c>
    </row>
    <row r="59" spans="1:26" x14ac:dyDescent="0.2">
      <c r="A59" s="123"/>
      <c r="B59" s="132"/>
      <c r="C59" s="123"/>
      <c r="D59" s="172">
        <f>+SUMIF(B[Bene],Assegnazione[[#This Row],[Bene]],B[Imponibile Iva])*Assegnazione[[#This Row],[Quota di assegnazione]]</f>
        <v>0</v>
      </c>
      <c r="E59" s="172">
        <f>+SUMIF(B[Bene],Assegnazione[[#This Row],[Bene]],B[Valore inserito manualmente])*Assegnazione[[#This Row],[Quota di assegnazione]]</f>
        <v>0</v>
      </c>
      <c r="F59" s="173" t="str">
        <f>+IF(A59="","",VLOOKUP(Assegnazione[[#This Row],[Bene]],B[],3,0))</f>
        <v/>
      </c>
      <c r="G59" s="129" t="str">
        <f>+IFERROR(VLOOKUP(Assegnazione[[#This Row],[Bene]],B[],MATCH("Agevolabile",Beni!$A$4:$AC$4,0),0)*VLOOKUP(Assegnazione[[#This Row],[Socio]],A_1[],8,0),"")</f>
        <v/>
      </c>
      <c r="H59" s="172">
        <f>+SUMIF(B[Bene],Assegnazione[[#This Row],[Bene]],B[Valore netto contabile fiscalmente riconosciuto])*Assegnazione[[#This Row],[Quota di assegnazione]]</f>
        <v>0</v>
      </c>
      <c r="I59" s="172">
        <f>+SUMIF(B[Bene],Assegnazione[[#This Row],[Bene]],B[Valore normale])*Assegnazione[[#This Row],[Quota di assegnazione]]</f>
        <v>0</v>
      </c>
      <c r="J59" s="174">
        <f>+IF(Assegnazione[[#This Row],[Bene]]="",0,SUMIF(Assegnazione[Socio],Assegnazione[[#This Row],[Socio]],Assegnazione[Valore Normale])/$I$3)</f>
        <v>0</v>
      </c>
      <c r="K59" s="174" t="str">
        <f>IF(Assegnazione[[#This Row],[Bene]]="","",SUMIF(A_1[Nome],Assegnazione[[#This Row],[Socio]],A_1[Quota partecipazione al momento dell''operazione]))</f>
        <v/>
      </c>
      <c r="L59" s="172">
        <f>+SUMIF(B[Bene],Assegnazione[[#This Row],[Bene]],B[Valore catastale])*Assegnazione[[#This Row],[Quota di assegnazione]]</f>
        <v>0</v>
      </c>
      <c r="M59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9" s="172">
        <f>+MIN(Assegnazione[[#This Row],[Valore ai fini dell''atto]],Assegnazione[[#This Row],[Valore Fiscalmente riconosciuto]])</f>
        <v>0</v>
      </c>
      <c r="O59" s="146" t="str">
        <f>+IFERROR(VLOOKUP(Assegnazione[[#This Row],[Bene]],B[],MATCH($O$4,Beni!$A$4:$Z$4,0),0),"")</f>
        <v/>
      </c>
      <c r="P59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9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9" s="175">
        <f>+SUMIF(B[Bene],Assegnazione[[#This Row],[Bene]],B[Iva se dovuta])*Assegnazione[[#This Row],[Quota di assegnazione]]</f>
        <v>0</v>
      </c>
      <c r="S59" s="175">
        <f>+SUMIF(B[Bene],Assegnazione[[#This Row],[Bene]],B[Imposta di registro (fissa + prop) senza agevolazione])*Assegnazione[[#This Row],[Quota di assegnazione]]</f>
        <v>0</v>
      </c>
      <c r="T59" s="175">
        <f>+SUMIF(B[Bene],Assegnazione[[#This Row],[Bene]],B[Ipotecaria e catastale senza agevolazione])*Assegnazione[[#This Row],[Quota di assegnazione]]</f>
        <v>0</v>
      </c>
      <c r="U59" s="176">
        <f>+SUM(Assegnazione[[#This Row],[Tassazione diretta senza agevolazione]:[Ipotecaria e catastale senza agevolazione]])</f>
        <v>0</v>
      </c>
      <c r="V59" s="175">
        <f>+SUMIF(B[Bene],Assegnazione[[#This Row],[Bene]],B[Imponibile Imposta sostitutiva])*Assegnazione[[#This Row],[Quota di assegnazione]]*DATI!$E$27</f>
        <v>0</v>
      </c>
      <c r="W59" s="175">
        <f>+SUMIF(B[Bene],Assegnazione[[#This Row],[Bene]],B[Imposta di registro in misura fissa agevolata])*Assegnazione[[#This Row],[Quota di assegnazione]]</f>
        <v>0</v>
      </c>
      <c r="X59" s="175">
        <f>+SUMIF(B[Bene],Assegnazione[[#This Row],[Bene]],B[Imposta di registro prop. Agevolata])*Assegnazione[[#This Row],[Quota di assegnazione]]</f>
        <v>0</v>
      </c>
      <c r="Y59" s="175">
        <f>+IFERROR(Assegnazione[[#This Row],[Imposta di registro in misura fissa]]+Assegnazione[[#This Row],[Imposta di registro prop.]],"")</f>
        <v>0</v>
      </c>
      <c r="Z59" s="175">
        <f>+SUMIF(B[Bene],Assegnazione[[#This Row],[Bene]],B[Ipotecaria catastale agevolata])*Assegnazione[[#This Row],[Quota di assegnazione]]</f>
        <v>0</v>
      </c>
    </row>
    <row r="60" spans="1:26" x14ac:dyDescent="0.2">
      <c r="A60" s="123"/>
      <c r="B60" s="132"/>
      <c r="C60" s="123"/>
      <c r="D60" s="172">
        <f>+SUMIF(B[Bene],Assegnazione[[#This Row],[Bene]],B[Imponibile Iva])*Assegnazione[[#This Row],[Quota di assegnazione]]</f>
        <v>0</v>
      </c>
      <c r="E60" s="172">
        <f>+SUMIF(B[Bene],Assegnazione[[#This Row],[Bene]],B[Valore inserito manualmente])*Assegnazione[[#This Row],[Quota di assegnazione]]</f>
        <v>0</v>
      </c>
      <c r="F60" s="173" t="str">
        <f>+IF(A60="","",VLOOKUP(Assegnazione[[#This Row],[Bene]],B[],3,0))</f>
        <v/>
      </c>
      <c r="G60" s="129" t="str">
        <f>+IFERROR(VLOOKUP(Assegnazione[[#This Row],[Bene]],B[],MATCH("Agevolabile",Beni!$A$4:$AC$4,0),0)*VLOOKUP(Assegnazione[[#This Row],[Socio]],A_1[],8,0),"")</f>
        <v/>
      </c>
      <c r="H60" s="172">
        <f>+SUMIF(B[Bene],Assegnazione[[#This Row],[Bene]],B[Valore netto contabile fiscalmente riconosciuto])*Assegnazione[[#This Row],[Quota di assegnazione]]</f>
        <v>0</v>
      </c>
      <c r="I60" s="172">
        <f>+SUMIF(B[Bene],Assegnazione[[#This Row],[Bene]],B[Valore normale])*Assegnazione[[#This Row],[Quota di assegnazione]]</f>
        <v>0</v>
      </c>
      <c r="J60" s="174">
        <f>+IF(Assegnazione[[#This Row],[Bene]]="",0,SUMIF(Assegnazione[Socio],Assegnazione[[#This Row],[Socio]],Assegnazione[Valore Normale])/$I$3)</f>
        <v>0</v>
      </c>
      <c r="K60" s="174" t="str">
        <f>IF(Assegnazione[[#This Row],[Bene]]="","",SUMIF(A_1[Nome],Assegnazione[[#This Row],[Socio]],A_1[Quota partecipazione al momento dell''operazione]))</f>
        <v/>
      </c>
      <c r="L60" s="172">
        <f>+SUMIF(B[Bene],Assegnazione[[#This Row],[Bene]],B[Valore catastale])*Assegnazione[[#This Row],[Quota di assegnazione]]</f>
        <v>0</v>
      </c>
      <c r="M60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0" s="172">
        <f>+MIN(Assegnazione[[#This Row],[Valore ai fini dell''atto]],Assegnazione[[#This Row],[Valore Fiscalmente riconosciuto]])</f>
        <v>0</v>
      </c>
      <c r="O60" s="146" t="str">
        <f>+IFERROR(VLOOKUP(Assegnazione[[#This Row],[Bene]],B[],MATCH($O$4,Beni!$A$4:$Z$4,0),0),"")</f>
        <v/>
      </c>
      <c r="P60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0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0" s="175">
        <f>+SUMIF(B[Bene],Assegnazione[[#This Row],[Bene]],B[Iva se dovuta])*Assegnazione[[#This Row],[Quota di assegnazione]]</f>
        <v>0</v>
      </c>
      <c r="S60" s="175">
        <f>+SUMIF(B[Bene],Assegnazione[[#This Row],[Bene]],B[Imposta di registro (fissa + prop) senza agevolazione])*Assegnazione[[#This Row],[Quota di assegnazione]]</f>
        <v>0</v>
      </c>
      <c r="T60" s="175">
        <f>+SUMIF(B[Bene],Assegnazione[[#This Row],[Bene]],B[Ipotecaria e catastale senza agevolazione])*Assegnazione[[#This Row],[Quota di assegnazione]]</f>
        <v>0</v>
      </c>
      <c r="U60" s="176">
        <f>+SUM(Assegnazione[[#This Row],[Tassazione diretta senza agevolazione]:[Ipotecaria e catastale senza agevolazione]])</f>
        <v>0</v>
      </c>
      <c r="V60" s="175">
        <f>+SUMIF(B[Bene],Assegnazione[[#This Row],[Bene]],B[Imponibile Imposta sostitutiva])*Assegnazione[[#This Row],[Quota di assegnazione]]*DATI!$E$27</f>
        <v>0</v>
      </c>
      <c r="W60" s="175">
        <f>+SUMIF(B[Bene],Assegnazione[[#This Row],[Bene]],B[Imposta di registro in misura fissa agevolata])*Assegnazione[[#This Row],[Quota di assegnazione]]</f>
        <v>0</v>
      </c>
      <c r="X60" s="175">
        <f>+SUMIF(B[Bene],Assegnazione[[#This Row],[Bene]],B[Imposta di registro prop. Agevolata])*Assegnazione[[#This Row],[Quota di assegnazione]]</f>
        <v>0</v>
      </c>
      <c r="Y60" s="175">
        <f>+IFERROR(Assegnazione[[#This Row],[Imposta di registro in misura fissa]]+Assegnazione[[#This Row],[Imposta di registro prop.]],"")</f>
        <v>0</v>
      </c>
      <c r="Z60" s="175">
        <f>+SUMIF(B[Bene],Assegnazione[[#This Row],[Bene]],B[Ipotecaria catastale agevolata])*Assegnazione[[#This Row],[Quota di assegnazione]]</f>
        <v>0</v>
      </c>
    </row>
    <row r="61" spans="1:26" x14ac:dyDescent="0.2">
      <c r="A61" s="123"/>
      <c r="B61" s="132"/>
      <c r="C61" s="123"/>
      <c r="D61" s="172">
        <f>+SUMIF(B[Bene],Assegnazione[[#This Row],[Bene]],B[Imponibile Iva])*Assegnazione[[#This Row],[Quota di assegnazione]]</f>
        <v>0</v>
      </c>
      <c r="E61" s="172">
        <f>+SUMIF(B[Bene],Assegnazione[[#This Row],[Bene]],B[Valore inserito manualmente])*Assegnazione[[#This Row],[Quota di assegnazione]]</f>
        <v>0</v>
      </c>
      <c r="F61" s="173" t="str">
        <f>+IF(A61="","",VLOOKUP(Assegnazione[[#This Row],[Bene]],B[],3,0))</f>
        <v/>
      </c>
      <c r="G61" s="129" t="str">
        <f>+IFERROR(VLOOKUP(Assegnazione[[#This Row],[Bene]],B[],MATCH("Agevolabile",Beni!$A$4:$AC$4,0),0)*VLOOKUP(Assegnazione[[#This Row],[Socio]],A_1[],8,0),"")</f>
        <v/>
      </c>
      <c r="H61" s="172">
        <f>+SUMIF(B[Bene],Assegnazione[[#This Row],[Bene]],B[Valore netto contabile fiscalmente riconosciuto])*Assegnazione[[#This Row],[Quota di assegnazione]]</f>
        <v>0</v>
      </c>
      <c r="I61" s="172">
        <f>+SUMIF(B[Bene],Assegnazione[[#This Row],[Bene]],B[Valore normale])*Assegnazione[[#This Row],[Quota di assegnazione]]</f>
        <v>0</v>
      </c>
      <c r="J61" s="174">
        <f>+IF(Assegnazione[[#This Row],[Bene]]="",0,SUMIF(Assegnazione[Socio],Assegnazione[[#This Row],[Socio]],Assegnazione[Valore Normale])/$I$3)</f>
        <v>0</v>
      </c>
      <c r="K61" s="174" t="str">
        <f>IF(Assegnazione[[#This Row],[Bene]]="","",SUMIF(A_1[Nome],Assegnazione[[#This Row],[Socio]],A_1[Quota partecipazione al momento dell''operazione]))</f>
        <v/>
      </c>
      <c r="L61" s="172">
        <f>+SUMIF(B[Bene],Assegnazione[[#This Row],[Bene]],B[Valore catastale])*Assegnazione[[#This Row],[Quota di assegnazione]]</f>
        <v>0</v>
      </c>
      <c r="M61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1" s="172">
        <f>+MIN(Assegnazione[[#This Row],[Valore ai fini dell''atto]],Assegnazione[[#This Row],[Valore Fiscalmente riconosciuto]])</f>
        <v>0</v>
      </c>
      <c r="O61" s="146" t="str">
        <f>+IFERROR(VLOOKUP(Assegnazione[[#This Row],[Bene]],B[],MATCH($O$4,Beni!$A$4:$Z$4,0),0),"")</f>
        <v/>
      </c>
      <c r="P61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1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1" s="175">
        <f>+SUMIF(B[Bene],Assegnazione[[#This Row],[Bene]],B[Iva se dovuta])*Assegnazione[[#This Row],[Quota di assegnazione]]</f>
        <v>0</v>
      </c>
      <c r="S61" s="175">
        <f>+SUMIF(B[Bene],Assegnazione[[#This Row],[Bene]],B[Imposta di registro (fissa + prop) senza agevolazione])*Assegnazione[[#This Row],[Quota di assegnazione]]</f>
        <v>0</v>
      </c>
      <c r="T61" s="175">
        <f>+SUMIF(B[Bene],Assegnazione[[#This Row],[Bene]],B[Ipotecaria e catastale senza agevolazione])*Assegnazione[[#This Row],[Quota di assegnazione]]</f>
        <v>0</v>
      </c>
      <c r="U61" s="176">
        <f>+SUM(Assegnazione[[#This Row],[Tassazione diretta senza agevolazione]:[Ipotecaria e catastale senza agevolazione]])</f>
        <v>0</v>
      </c>
      <c r="V61" s="175">
        <f>+SUMIF(B[Bene],Assegnazione[[#This Row],[Bene]],B[Imponibile Imposta sostitutiva])*Assegnazione[[#This Row],[Quota di assegnazione]]*DATI!$E$27</f>
        <v>0</v>
      </c>
      <c r="W61" s="175">
        <f>+SUMIF(B[Bene],Assegnazione[[#This Row],[Bene]],B[Imposta di registro in misura fissa agevolata])*Assegnazione[[#This Row],[Quota di assegnazione]]</f>
        <v>0</v>
      </c>
      <c r="X61" s="175">
        <f>+SUMIF(B[Bene],Assegnazione[[#This Row],[Bene]],B[Imposta di registro prop. Agevolata])*Assegnazione[[#This Row],[Quota di assegnazione]]</f>
        <v>0</v>
      </c>
      <c r="Y61" s="175">
        <f>+IFERROR(Assegnazione[[#This Row],[Imposta di registro in misura fissa]]+Assegnazione[[#This Row],[Imposta di registro prop.]],"")</f>
        <v>0</v>
      </c>
      <c r="Z61" s="175">
        <f>+SUMIF(B[Bene],Assegnazione[[#This Row],[Bene]],B[Ipotecaria catastale agevolata])*Assegnazione[[#This Row],[Quota di assegnazione]]</f>
        <v>0</v>
      </c>
    </row>
    <row r="62" spans="1:26" x14ac:dyDescent="0.2">
      <c r="A62" s="123"/>
      <c r="B62" s="132"/>
      <c r="C62" s="123"/>
      <c r="D62" s="172">
        <f>+SUMIF(B[Bene],Assegnazione[[#This Row],[Bene]],B[Imponibile Iva])*Assegnazione[[#This Row],[Quota di assegnazione]]</f>
        <v>0</v>
      </c>
      <c r="E62" s="172">
        <f>+SUMIF(B[Bene],Assegnazione[[#This Row],[Bene]],B[Valore inserito manualmente])*Assegnazione[[#This Row],[Quota di assegnazione]]</f>
        <v>0</v>
      </c>
      <c r="F62" s="173" t="str">
        <f>+IF(A62="","",VLOOKUP(Assegnazione[[#This Row],[Bene]],B[],3,0))</f>
        <v/>
      </c>
      <c r="G62" s="129" t="str">
        <f>+IFERROR(VLOOKUP(Assegnazione[[#This Row],[Bene]],B[],MATCH("Agevolabile",Beni!$A$4:$AC$4,0),0)*VLOOKUP(Assegnazione[[#This Row],[Socio]],A_1[],8,0),"")</f>
        <v/>
      </c>
      <c r="H62" s="172">
        <f>+SUMIF(B[Bene],Assegnazione[[#This Row],[Bene]],B[Valore netto contabile fiscalmente riconosciuto])*Assegnazione[[#This Row],[Quota di assegnazione]]</f>
        <v>0</v>
      </c>
      <c r="I62" s="172">
        <f>+SUMIF(B[Bene],Assegnazione[[#This Row],[Bene]],B[Valore normale])*Assegnazione[[#This Row],[Quota di assegnazione]]</f>
        <v>0</v>
      </c>
      <c r="J62" s="174">
        <f>+IF(Assegnazione[[#This Row],[Bene]]="",0,SUMIF(Assegnazione[Socio],Assegnazione[[#This Row],[Socio]],Assegnazione[Valore Normale])/$I$3)</f>
        <v>0</v>
      </c>
      <c r="K62" s="174" t="str">
        <f>IF(Assegnazione[[#This Row],[Bene]]="","",SUMIF(A_1[Nome],Assegnazione[[#This Row],[Socio]],A_1[Quota partecipazione al momento dell''operazione]))</f>
        <v/>
      </c>
      <c r="L62" s="172">
        <f>+SUMIF(B[Bene],Assegnazione[[#This Row],[Bene]],B[Valore catastale])*Assegnazione[[#This Row],[Quota di assegnazione]]</f>
        <v>0</v>
      </c>
      <c r="M62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2" s="172">
        <f>+MIN(Assegnazione[[#This Row],[Valore ai fini dell''atto]],Assegnazione[[#This Row],[Valore Fiscalmente riconosciuto]])</f>
        <v>0</v>
      </c>
      <c r="O62" s="146" t="str">
        <f>+IFERROR(VLOOKUP(Assegnazione[[#This Row],[Bene]],B[],MATCH($O$4,Beni!$A$4:$Z$4,0),0),"")</f>
        <v/>
      </c>
      <c r="P62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2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2" s="175">
        <f>+SUMIF(B[Bene],Assegnazione[[#This Row],[Bene]],B[Iva se dovuta])*Assegnazione[[#This Row],[Quota di assegnazione]]</f>
        <v>0</v>
      </c>
      <c r="S62" s="175">
        <f>+SUMIF(B[Bene],Assegnazione[[#This Row],[Bene]],B[Imposta di registro (fissa + prop) senza agevolazione])*Assegnazione[[#This Row],[Quota di assegnazione]]</f>
        <v>0</v>
      </c>
      <c r="T62" s="175">
        <f>+SUMIF(B[Bene],Assegnazione[[#This Row],[Bene]],B[Ipotecaria e catastale senza agevolazione])*Assegnazione[[#This Row],[Quota di assegnazione]]</f>
        <v>0</v>
      </c>
      <c r="U62" s="176">
        <f>+SUM(Assegnazione[[#This Row],[Tassazione diretta senza agevolazione]:[Ipotecaria e catastale senza agevolazione]])</f>
        <v>0</v>
      </c>
      <c r="V62" s="175">
        <f>+SUMIF(B[Bene],Assegnazione[[#This Row],[Bene]],B[Imponibile Imposta sostitutiva])*Assegnazione[[#This Row],[Quota di assegnazione]]*DATI!$E$27</f>
        <v>0</v>
      </c>
      <c r="W62" s="175">
        <f>+SUMIF(B[Bene],Assegnazione[[#This Row],[Bene]],B[Imposta di registro in misura fissa agevolata])*Assegnazione[[#This Row],[Quota di assegnazione]]</f>
        <v>0</v>
      </c>
      <c r="X62" s="175">
        <f>+SUMIF(B[Bene],Assegnazione[[#This Row],[Bene]],B[Imposta di registro prop. Agevolata])*Assegnazione[[#This Row],[Quota di assegnazione]]</f>
        <v>0</v>
      </c>
      <c r="Y62" s="175">
        <f>+IFERROR(Assegnazione[[#This Row],[Imposta di registro in misura fissa]]+Assegnazione[[#This Row],[Imposta di registro prop.]],"")</f>
        <v>0</v>
      </c>
      <c r="Z62" s="175">
        <f>+SUMIF(B[Bene],Assegnazione[[#This Row],[Bene]],B[Ipotecaria catastale agevolata])*Assegnazione[[#This Row],[Quota di assegnazione]]</f>
        <v>0</v>
      </c>
    </row>
    <row r="63" spans="1:26" x14ac:dyDescent="0.2">
      <c r="A63" s="123"/>
      <c r="B63" s="132"/>
      <c r="C63" s="123"/>
      <c r="D63" s="172">
        <f>+SUMIF(B[Bene],Assegnazione[[#This Row],[Bene]],B[Imponibile Iva])*Assegnazione[[#This Row],[Quota di assegnazione]]</f>
        <v>0</v>
      </c>
      <c r="E63" s="172">
        <f>+SUMIF(B[Bene],Assegnazione[[#This Row],[Bene]],B[Valore inserito manualmente])*Assegnazione[[#This Row],[Quota di assegnazione]]</f>
        <v>0</v>
      </c>
      <c r="F63" s="173" t="str">
        <f>+IF(A63="","",VLOOKUP(Assegnazione[[#This Row],[Bene]],B[],3,0))</f>
        <v/>
      </c>
      <c r="G63" s="129" t="str">
        <f>+IFERROR(VLOOKUP(Assegnazione[[#This Row],[Bene]],B[],MATCH("Agevolabile",Beni!$A$4:$AC$4,0),0)*VLOOKUP(Assegnazione[[#This Row],[Socio]],A_1[],8,0),"")</f>
        <v/>
      </c>
      <c r="H63" s="172">
        <f>+SUMIF(B[Bene],Assegnazione[[#This Row],[Bene]],B[Valore netto contabile fiscalmente riconosciuto])*Assegnazione[[#This Row],[Quota di assegnazione]]</f>
        <v>0</v>
      </c>
      <c r="I63" s="172">
        <f>+SUMIF(B[Bene],Assegnazione[[#This Row],[Bene]],B[Valore normale])*Assegnazione[[#This Row],[Quota di assegnazione]]</f>
        <v>0</v>
      </c>
      <c r="J63" s="174">
        <f>+IF(Assegnazione[[#This Row],[Bene]]="",0,SUMIF(Assegnazione[Socio],Assegnazione[[#This Row],[Socio]],Assegnazione[Valore Normale])/$I$3)</f>
        <v>0</v>
      </c>
      <c r="K63" s="174" t="str">
        <f>IF(Assegnazione[[#This Row],[Bene]]="","",SUMIF(A_1[Nome],Assegnazione[[#This Row],[Socio]],A_1[Quota partecipazione al momento dell''operazione]))</f>
        <v/>
      </c>
      <c r="L63" s="172">
        <f>+SUMIF(B[Bene],Assegnazione[[#This Row],[Bene]],B[Valore catastale])*Assegnazione[[#This Row],[Quota di assegnazione]]</f>
        <v>0</v>
      </c>
      <c r="M63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3" s="172">
        <f>+MIN(Assegnazione[[#This Row],[Valore ai fini dell''atto]],Assegnazione[[#This Row],[Valore Fiscalmente riconosciuto]])</f>
        <v>0</v>
      </c>
      <c r="O63" s="146" t="str">
        <f>+IFERROR(VLOOKUP(Assegnazione[[#This Row],[Bene]],B[],MATCH($O$4,Beni!$A$4:$Z$4,0),0),"")</f>
        <v/>
      </c>
      <c r="P63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3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3" s="175">
        <f>+SUMIF(B[Bene],Assegnazione[[#This Row],[Bene]],B[Iva se dovuta])*Assegnazione[[#This Row],[Quota di assegnazione]]</f>
        <v>0</v>
      </c>
      <c r="S63" s="175">
        <f>+SUMIF(B[Bene],Assegnazione[[#This Row],[Bene]],B[Imposta di registro (fissa + prop) senza agevolazione])*Assegnazione[[#This Row],[Quota di assegnazione]]</f>
        <v>0</v>
      </c>
      <c r="T63" s="175">
        <f>+SUMIF(B[Bene],Assegnazione[[#This Row],[Bene]],B[Ipotecaria e catastale senza agevolazione])*Assegnazione[[#This Row],[Quota di assegnazione]]</f>
        <v>0</v>
      </c>
      <c r="U63" s="176">
        <f>+SUM(Assegnazione[[#This Row],[Tassazione diretta senza agevolazione]:[Ipotecaria e catastale senza agevolazione]])</f>
        <v>0</v>
      </c>
      <c r="V63" s="175">
        <f>+SUMIF(B[Bene],Assegnazione[[#This Row],[Bene]],B[Imponibile Imposta sostitutiva])*Assegnazione[[#This Row],[Quota di assegnazione]]*DATI!$E$27</f>
        <v>0</v>
      </c>
      <c r="W63" s="175">
        <f>+SUMIF(B[Bene],Assegnazione[[#This Row],[Bene]],B[Imposta di registro in misura fissa agevolata])*Assegnazione[[#This Row],[Quota di assegnazione]]</f>
        <v>0</v>
      </c>
      <c r="X63" s="175">
        <f>+SUMIF(B[Bene],Assegnazione[[#This Row],[Bene]],B[Imposta di registro prop. Agevolata])*Assegnazione[[#This Row],[Quota di assegnazione]]</f>
        <v>0</v>
      </c>
      <c r="Y63" s="175">
        <f>+IFERROR(Assegnazione[[#This Row],[Imposta di registro in misura fissa]]+Assegnazione[[#This Row],[Imposta di registro prop.]],"")</f>
        <v>0</v>
      </c>
      <c r="Z63" s="175">
        <f>+SUMIF(B[Bene],Assegnazione[[#This Row],[Bene]],B[Ipotecaria catastale agevolata])*Assegnazione[[#This Row],[Quota di assegnazione]]</f>
        <v>0</v>
      </c>
    </row>
    <row r="64" spans="1:26" x14ac:dyDescent="0.2">
      <c r="A64" s="123"/>
      <c r="B64" s="132"/>
      <c r="C64" s="123"/>
      <c r="D64" s="172">
        <f>+SUMIF(B[Bene],Assegnazione[[#This Row],[Bene]],B[Imponibile Iva])*Assegnazione[[#This Row],[Quota di assegnazione]]</f>
        <v>0</v>
      </c>
      <c r="E64" s="172">
        <f>+SUMIF(B[Bene],Assegnazione[[#This Row],[Bene]],B[Valore inserito manualmente])*Assegnazione[[#This Row],[Quota di assegnazione]]</f>
        <v>0</v>
      </c>
      <c r="F64" s="173" t="str">
        <f>+IF(A64="","",VLOOKUP(Assegnazione[[#This Row],[Bene]],B[],3,0))</f>
        <v/>
      </c>
      <c r="G64" s="129" t="str">
        <f>+IFERROR(VLOOKUP(Assegnazione[[#This Row],[Bene]],B[],MATCH("Agevolabile",Beni!$A$4:$AC$4,0),0)*VLOOKUP(Assegnazione[[#This Row],[Socio]],A_1[],8,0),"")</f>
        <v/>
      </c>
      <c r="H64" s="172">
        <f>+SUMIF(B[Bene],Assegnazione[[#This Row],[Bene]],B[Valore netto contabile fiscalmente riconosciuto])*Assegnazione[[#This Row],[Quota di assegnazione]]</f>
        <v>0</v>
      </c>
      <c r="I64" s="172">
        <f>+SUMIF(B[Bene],Assegnazione[[#This Row],[Bene]],B[Valore normale])*Assegnazione[[#This Row],[Quota di assegnazione]]</f>
        <v>0</v>
      </c>
      <c r="J64" s="174">
        <f>+IF(Assegnazione[[#This Row],[Bene]]="",0,SUMIF(Assegnazione[Socio],Assegnazione[[#This Row],[Socio]],Assegnazione[Valore Normale])/$I$3)</f>
        <v>0</v>
      </c>
      <c r="K64" s="174" t="str">
        <f>IF(Assegnazione[[#This Row],[Bene]]="","",SUMIF(A_1[Nome],Assegnazione[[#This Row],[Socio]],A_1[Quota partecipazione al momento dell''operazione]))</f>
        <v/>
      </c>
      <c r="L64" s="172">
        <f>+SUMIF(B[Bene],Assegnazione[[#This Row],[Bene]],B[Valore catastale])*Assegnazione[[#This Row],[Quota di assegnazione]]</f>
        <v>0</v>
      </c>
      <c r="M64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4" s="172">
        <f>+MIN(Assegnazione[[#This Row],[Valore ai fini dell''atto]],Assegnazione[[#This Row],[Valore Fiscalmente riconosciuto]])</f>
        <v>0</v>
      </c>
      <c r="O64" s="146" t="str">
        <f>+IFERROR(VLOOKUP(Assegnazione[[#This Row],[Bene]],B[],MATCH($O$4,Beni!$A$4:$Z$4,0),0),"")</f>
        <v/>
      </c>
      <c r="P64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4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4" s="175">
        <f>+SUMIF(B[Bene],Assegnazione[[#This Row],[Bene]],B[Iva se dovuta])*Assegnazione[[#This Row],[Quota di assegnazione]]</f>
        <v>0</v>
      </c>
      <c r="S64" s="175">
        <f>+SUMIF(B[Bene],Assegnazione[[#This Row],[Bene]],B[Imposta di registro (fissa + prop) senza agevolazione])*Assegnazione[[#This Row],[Quota di assegnazione]]</f>
        <v>0</v>
      </c>
      <c r="T64" s="175">
        <f>+SUMIF(B[Bene],Assegnazione[[#This Row],[Bene]],B[Ipotecaria e catastale senza agevolazione])*Assegnazione[[#This Row],[Quota di assegnazione]]</f>
        <v>0</v>
      </c>
      <c r="U64" s="176">
        <f>+SUM(Assegnazione[[#This Row],[Tassazione diretta senza agevolazione]:[Ipotecaria e catastale senza agevolazione]])</f>
        <v>0</v>
      </c>
      <c r="V64" s="175">
        <f>+SUMIF(B[Bene],Assegnazione[[#This Row],[Bene]],B[Imponibile Imposta sostitutiva])*Assegnazione[[#This Row],[Quota di assegnazione]]*DATI!$E$27</f>
        <v>0</v>
      </c>
      <c r="W64" s="175">
        <f>+SUMIF(B[Bene],Assegnazione[[#This Row],[Bene]],B[Imposta di registro in misura fissa agevolata])*Assegnazione[[#This Row],[Quota di assegnazione]]</f>
        <v>0</v>
      </c>
      <c r="X64" s="175">
        <f>+SUMIF(B[Bene],Assegnazione[[#This Row],[Bene]],B[Imposta di registro prop. Agevolata])*Assegnazione[[#This Row],[Quota di assegnazione]]</f>
        <v>0</v>
      </c>
      <c r="Y64" s="175">
        <f>+IFERROR(Assegnazione[[#This Row],[Imposta di registro in misura fissa]]+Assegnazione[[#This Row],[Imposta di registro prop.]],"")</f>
        <v>0</v>
      </c>
      <c r="Z64" s="175">
        <f>+SUMIF(B[Bene],Assegnazione[[#This Row],[Bene]],B[Ipotecaria catastale agevolata])*Assegnazione[[#This Row],[Quota di assegnazione]]</f>
        <v>0</v>
      </c>
    </row>
    <row r="65" spans="1:26" x14ac:dyDescent="0.2">
      <c r="A65" s="123"/>
      <c r="B65" s="132"/>
      <c r="C65" s="123"/>
      <c r="D65" s="172">
        <f>+SUMIF(B[Bene],Assegnazione[[#This Row],[Bene]],B[Imponibile Iva])*Assegnazione[[#This Row],[Quota di assegnazione]]</f>
        <v>0</v>
      </c>
      <c r="E65" s="172">
        <f>+SUMIF(B[Bene],Assegnazione[[#This Row],[Bene]],B[Valore inserito manualmente])*Assegnazione[[#This Row],[Quota di assegnazione]]</f>
        <v>0</v>
      </c>
      <c r="F65" s="173" t="str">
        <f>+IF(A65="","",VLOOKUP(Assegnazione[[#This Row],[Bene]],B[],3,0))</f>
        <v/>
      </c>
      <c r="G65" s="129" t="str">
        <f>+IFERROR(VLOOKUP(Assegnazione[[#This Row],[Bene]],B[],MATCH("Agevolabile",Beni!$A$4:$AC$4,0),0)*VLOOKUP(Assegnazione[[#This Row],[Socio]],A_1[],8,0),"")</f>
        <v/>
      </c>
      <c r="H65" s="172">
        <f>+SUMIF(B[Bene],Assegnazione[[#This Row],[Bene]],B[Valore netto contabile fiscalmente riconosciuto])*Assegnazione[[#This Row],[Quota di assegnazione]]</f>
        <v>0</v>
      </c>
      <c r="I65" s="172">
        <f>+SUMIF(B[Bene],Assegnazione[[#This Row],[Bene]],B[Valore normale])*Assegnazione[[#This Row],[Quota di assegnazione]]</f>
        <v>0</v>
      </c>
      <c r="J65" s="174">
        <f>+IF(Assegnazione[[#This Row],[Bene]]="",0,SUMIF(Assegnazione[Socio],Assegnazione[[#This Row],[Socio]],Assegnazione[Valore Normale])/$I$3)</f>
        <v>0</v>
      </c>
      <c r="K65" s="174" t="str">
        <f>IF(Assegnazione[[#This Row],[Bene]]="","",SUMIF(A_1[Nome],Assegnazione[[#This Row],[Socio]],A_1[Quota partecipazione al momento dell''operazione]))</f>
        <v/>
      </c>
      <c r="L65" s="172">
        <f>+SUMIF(B[Bene],Assegnazione[[#This Row],[Bene]],B[Valore catastale])*Assegnazione[[#This Row],[Quota di assegnazione]]</f>
        <v>0</v>
      </c>
      <c r="M65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5" s="172">
        <f>+MIN(Assegnazione[[#This Row],[Valore ai fini dell''atto]],Assegnazione[[#This Row],[Valore Fiscalmente riconosciuto]])</f>
        <v>0</v>
      </c>
      <c r="O65" s="146" t="str">
        <f>+IFERROR(VLOOKUP(Assegnazione[[#This Row],[Bene]],B[],MATCH($O$4,Beni!$A$4:$Z$4,0),0),"")</f>
        <v/>
      </c>
      <c r="P65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5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5" s="175">
        <f>+SUMIF(B[Bene],Assegnazione[[#This Row],[Bene]],B[Iva se dovuta])*Assegnazione[[#This Row],[Quota di assegnazione]]</f>
        <v>0</v>
      </c>
      <c r="S65" s="175">
        <f>+SUMIF(B[Bene],Assegnazione[[#This Row],[Bene]],B[Imposta di registro (fissa + prop) senza agevolazione])*Assegnazione[[#This Row],[Quota di assegnazione]]</f>
        <v>0</v>
      </c>
      <c r="T65" s="175">
        <f>+SUMIF(B[Bene],Assegnazione[[#This Row],[Bene]],B[Ipotecaria e catastale senza agevolazione])*Assegnazione[[#This Row],[Quota di assegnazione]]</f>
        <v>0</v>
      </c>
      <c r="U65" s="176">
        <f>+SUM(Assegnazione[[#This Row],[Tassazione diretta senza agevolazione]:[Ipotecaria e catastale senza agevolazione]])</f>
        <v>0</v>
      </c>
      <c r="V65" s="175">
        <f>+SUMIF(B[Bene],Assegnazione[[#This Row],[Bene]],B[Imponibile Imposta sostitutiva])*Assegnazione[[#This Row],[Quota di assegnazione]]*DATI!$E$27</f>
        <v>0</v>
      </c>
      <c r="W65" s="175">
        <f>+SUMIF(B[Bene],Assegnazione[[#This Row],[Bene]],B[Imposta di registro in misura fissa agevolata])*Assegnazione[[#This Row],[Quota di assegnazione]]</f>
        <v>0</v>
      </c>
      <c r="X65" s="175">
        <f>+SUMIF(B[Bene],Assegnazione[[#This Row],[Bene]],B[Imposta di registro prop. Agevolata])*Assegnazione[[#This Row],[Quota di assegnazione]]</f>
        <v>0</v>
      </c>
      <c r="Y65" s="175">
        <f>+IFERROR(Assegnazione[[#This Row],[Imposta di registro in misura fissa]]+Assegnazione[[#This Row],[Imposta di registro prop.]],"")</f>
        <v>0</v>
      </c>
      <c r="Z65" s="175">
        <f>+SUMIF(B[Bene],Assegnazione[[#This Row],[Bene]],B[Ipotecaria catastale agevolata])*Assegnazione[[#This Row],[Quota di assegnazione]]</f>
        <v>0</v>
      </c>
    </row>
    <row r="66" spans="1:26" x14ac:dyDescent="0.2">
      <c r="A66" s="123"/>
      <c r="B66" s="132"/>
      <c r="C66" s="123"/>
      <c r="D66" s="172">
        <f>+SUMIF(B[Bene],Assegnazione[[#This Row],[Bene]],B[Imponibile Iva])*Assegnazione[[#This Row],[Quota di assegnazione]]</f>
        <v>0</v>
      </c>
      <c r="E66" s="172">
        <f>+SUMIF(B[Bene],Assegnazione[[#This Row],[Bene]],B[Valore inserito manualmente])*Assegnazione[[#This Row],[Quota di assegnazione]]</f>
        <v>0</v>
      </c>
      <c r="F66" s="173" t="str">
        <f>+IF(A66="","",VLOOKUP(Assegnazione[[#This Row],[Bene]],B[],3,0))</f>
        <v/>
      </c>
      <c r="G66" s="129" t="str">
        <f>+IFERROR(VLOOKUP(Assegnazione[[#This Row],[Bene]],B[],MATCH("Agevolabile",Beni!$A$4:$AC$4,0),0)*VLOOKUP(Assegnazione[[#This Row],[Socio]],A_1[],8,0),"")</f>
        <v/>
      </c>
      <c r="H66" s="172">
        <f>+SUMIF(B[Bene],Assegnazione[[#This Row],[Bene]],B[Valore netto contabile fiscalmente riconosciuto])*Assegnazione[[#This Row],[Quota di assegnazione]]</f>
        <v>0</v>
      </c>
      <c r="I66" s="172">
        <f>+SUMIF(B[Bene],Assegnazione[[#This Row],[Bene]],B[Valore normale])*Assegnazione[[#This Row],[Quota di assegnazione]]</f>
        <v>0</v>
      </c>
      <c r="J66" s="174">
        <f>+IF(Assegnazione[[#This Row],[Bene]]="",0,SUMIF(Assegnazione[Socio],Assegnazione[[#This Row],[Socio]],Assegnazione[Valore Normale])/$I$3)</f>
        <v>0</v>
      </c>
      <c r="K66" s="174" t="str">
        <f>IF(Assegnazione[[#This Row],[Bene]]="","",SUMIF(A_1[Nome],Assegnazione[[#This Row],[Socio]],A_1[Quota partecipazione al momento dell''operazione]))</f>
        <v/>
      </c>
      <c r="L66" s="172">
        <f>+SUMIF(B[Bene],Assegnazione[[#This Row],[Bene]],B[Valore catastale])*Assegnazione[[#This Row],[Quota di assegnazione]]</f>
        <v>0</v>
      </c>
      <c r="M66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6" s="172">
        <f>+MIN(Assegnazione[[#This Row],[Valore ai fini dell''atto]],Assegnazione[[#This Row],[Valore Fiscalmente riconosciuto]])</f>
        <v>0</v>
      </c>
      <c r="O66" s="146" t="str">
        <f>+IFERROR(VLOOKUP(Assegnazione[[#This Row],[Bene]],B[],MATCH($O$4,Beni!$A$4:$Z$4,0),0),"")</f>
        <v/>
      </c>
      <c r="P66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6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6" s="175">
        <f>+SUMIF(B[Bene],Assegnazione[[#This Row],[Bene]],B[Iva se dovuta])*Assegnazione[[#This Row],[Quota di assegnazione]]</f>
        <v>0</v>
      </c>
      <c r="S66" s="175">
        <f>+SUMIF(B[Bene],Assegnazione[[#This Row],[Bene]],B[Imposta di registro (fissa + prop) senza agevolazione])*Assegnazione[[#This Row],[Quota di assegnazione]]</f>
        <v>0</v>
      </c>
      <c r="T66" s="175">
        <f>+SUMIF(B[Bene],Assegnazione[[#This Row],[Bene]],B[Ipotecaria e catastale senza agevolazione])*Assegnazione[[#This Row],[Quota di assegnazione]]</f>
        <v>0</v>
      </c>
      <c r="U66" s="176">
        <f>+SUM(Assegnazione[[#This Row],[Tassazione diretta senza agevolazione]:[Ipotecaria e catastale senza agevolazione]])</f>
        <v>0</v>
      </c>
      <c r="V66" s="175">
        <f>+SUMIF(B[Bene],Assegnazione[[#This Row],[Bene]],B[Imponibile Imposta sostitutiva])*Assegnazione[[#This Row],[Quota di assegnazione]]*DATI!$E$27</f>
        <v>0</v>
      </c>
      <c r="W66" s="175">
        <f>+SUMIF(B[Bene],Assegnazione[[#This Row],[Bene]],B[Imposta di registro in misura fissa agevolata])*Assegnazione[[#This Row],[Quota di assegnazione]]</f>
        <v>0</v>
      </c>
      <c r="X66" s="175">
        <f>+SUMIF(B[Bene],Assegnazione[[#This Row],[Bene]],B[Imposta di registro prop. Agevolata])*Assegnazione[[#This Row],[Quota di assegnazione]]</f>
        <v>0</v>
      </c>
      <c r="Y66" s="175">
        <f>+IFERROR(Assegnazione[[#This Row],[Imposta di registro in misura fissa]]+Assegnazione[[#This Row],[Imposta di registro prop.]],"")</f>
        <v>0</v>
      </c>
      <c r="Z66" s="175">
        <f>+SUMIF(B[Bene],Assegnazione[[#This Row],[Bene]],B[Ipotecaria catastale agevolata])*Assegnazione[[#This Row],[Quota di assegnazione]]</f>
        <v>0</v>
      </c>
    </row>
    <row r="67" spans="1:26" x14ac:dyDescent="0.2">
      <c r="A67" s="123"/>
      <c r="B67" s="132"/>
      <c r="C67" s="123"/>
      <c r="D67" s="172">
        <f>+SUMIF(B[Bene],Assegnazione[[#This Row],[Bene]],B[Imponibile Iva])*Assegnazione[[#This Row],[Quota di assegnazione]]</f>
        <v>0</v>
      </c>
      <c r="E67" s="172">
        <f>+SUMIF(B[Bene],Assegnazione[[#This Row],[Bene]],B[Valore inserito manualmente])*Assegnazione[[#This Row],[Quota di assegnazione]]</f>
        <v>0</v>
      </c>
      <c r="F67" s="173" t="str">
        <f>+IF(A67="","",VLOOKUP(Assegnazione[[#This Row],[Bene]],B[],3,0))</f>
        <v/>
      </c>
      <c r="G67" s="129" t="str">
        <f>+IFERROR(VLOOKUP(Assegnazione[[#This Row],[Bene]],B[],MATCH("Agevolabile",Beni!$A$4:$AC$4,0),0)*VLOOKUP(Assegnazione[[#This Row],[Socio]],A_1[],8,0),"")</f>
        <v/>
      </c>
      <c r="H67" s="172">
        <f>+SUMIF(B[Bene],Assegnazione[[#This Row],[Bene]],B[Valore netto contabile fiscalmente riconosciuto])*Assegnazione[[#This Row],[Quota di assegnazione]]</f>
        <v>0</v>
      </c>
      <c r="I67" s="172">
        <f>+SUMIF(B[Bene],Assegnazione[[#This Row],[Bene]],B[Valore normale])*Assegnazione[[#This Row],[Quota di assegnazione]]</f>
        <v>0</v>
      </c>
      <c r="J67" s="174">
        <f>+IF(Assegnazione[[#This Row],[Bene]]="",0,SUMIF(Assegnazione[Socio],Assegnazione[[#This Row],[Socio]],Assegnazione[Valore Normale])/$I$3)</f>
        <v>0</v>
      </c>
      <c r="K67" s="174" t="str">
        <f>IF(Assegnazione[[#This Row],[Bene]]="","",SUMIF(A_1[Nome],Assegnazione[[#This Row],[Socio]],A_1[Quota partecipazione al momento dell''operazione]))</f>
        <v/>
      </c>
      <c r="L67" s="172">
        <f>+SUMIF(B[Bene],Assegnazione[[#This Row],[Bene]],B[Valore catastale])*Assegnazione[[#This Row],[Quota di assegnazione]]</f>
        <v>0</v>
      </c>
      <c r="M67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7" s="172">
        <f>+MIN(Assegnazione[[#This Row],[Valore ai fini dell''atto]],Assegnazione[[#This Row],[Valore Fiscalmente riconosciuto]])</f>
        <v>0</v>
      </c>
      <c r="O67" s="146" t="str">
        <f>+IFERROR(VLOOKUP(Assegnazione[[#This Row],[Bene]],B[],MATCH($O$4,Beni!$A$4:$Z$4,0),0),"")</f>
        <v/>
      </c>
      <c r="P67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7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7" s="175">
        <f>+SUMIF(B[Bene],Assegnazione[[#This Row],[Bene]],B[Iva se dovuta])*Assegnazione[[#This Row],[Quota di assegnazione]]</f>
        <v>0</v>
      </c>
      <c r="S67" s="175">
        <f>+SUMIF(B[Bene],Assegnazione[[#This Row],[Bene]],B[Imposta di registro (fissa + prop) senza agevolazione])*Assegnazione[[#This Row],[Quota di assegnazione]]</f>
        <v>0</v>
      </c>
      <c r="T67" s="175">
        <f>+SUMIF(B[Bene],Assegnazione[[#This Row],[Bene]],B[Ipotecaria e catastale senza agevolazione])*Assegnazione[[#This Row],[Quota di assegnazione]]</f>
        <v>0</v>
      </c>
      <c r="U67" s="176">
        <f>+SUM(Assegnazione[[#This Row],[Tassazione diretta senza agevolazione]:[Ipotecaria e catastale senza agevolazione]])</f>
        <v>0</v>
      </c>
      <c r="V67" s="175">
        <f>+SUMIF(B[Bene],Assegnazione[[#This Row],[Bene]],B[Imponibile Imposta sostitutiva])*Assegnazione[[#This Row],[Quota di assegnazione]]*DATI!$E$27</f>
        <v>0</v>
      </c>
      <c r="W67" s="175">
        <f>+SUMIF(B[Bene],Assegnazione[[#This Row],[Bene]],B[Imposta di registro in misura fissa agevolata])*Assegnazione[[#This Row],[Quota di assegnazione]]</f>
        <v>0</v>
      </c>
      <c r="X67" s="175">
        <f>+SUMIF(B[Bene],Assegnazione[[#This Row],[Bene]],B[Imposta di registro prop. Agevolata])*Assegnazione[[#This Row],[Quota di assegnazione]]</f>
        <v>0</v>
      </c>
      <c r="Y67" s="175">
        <f>+IFERROR(Assegnazione[[#This Row],[Imposta di registro in misura fissa]]+Assegnazione[[#This Row],[Imposta di registro prop.]],"")</f>
        <v>0</v>
      </c>
      <c r="Z67" s="175">
        <f>+SUMIF(B[Bene],Assegnazione[[#This Row],[Bene]],B[Ipotecaria catastale agevolata])*Assegnazione[[#This Row],[Quota di assegnazione]]</f>
        <v>0</v>
      </c>
    </row>
    <row r="68" spans="1:26" x14ac:dyDescent="0.2">
      <c r="A68" s="123"/>
      <c r="B68" s="132"/>
      <c r="C68" s="123"/>
      <c r="D68" s="172">
        <f>+SUMIF(B[Bene],Assegnazione[[#This Row],[Bene]],B[Imponibile Iva])*Assegnazione[[#This Row],[Quota di assegnazione]]</f>
        <v>0</v>
      </c>
      <c r="E68" s="172">
        <f>+SUMIF(B[Bene],Assegnazione[[#This Row],[Bene]],B[Valore inserito manualmente])*Assegnazione[[#This Row],[Quota di assegnazione]]</f>
        <v>0</v>
      </c>
      <c r="F68" s="173" t="str">
        <f>+IF(A68="","",VLOOKUP(Assegnazione[[#This Row],[Bene]],B[],3,0))</f>
        <v/>
      </c>
      <c r="G68" s="129" t="str">
        <f>+IFERROR(VLOOKUP(Assegnazione[[#This Row],[Bene]],B[],MATCH("Agevolabile",Beni!$A$4:$AC$4,0),0)*VLOOKUP(Assegnazione[[#This Row],[Socio]],A_1[],8,0),"")</f>
        <v/>
      </c>
      <c r="H68" s="172">
        <f>+SUMIF(B[Bene],Assegnazione[[#This Row],[Bene]],B[Valore netto contabile fiscalmente riconosciuto])*Assegnazione[[#This Row],[Quota di assegnazione]]</f>
        <v>0</v>
      </c>
      <c r="I68" s="172">
        <f>+SUMIF(B[Bene],Assegnazione[[#This Row],[Bene]],B[Valore normale])*Assegnazione[[#This Row],[Quota di assegnazione]]</f>
        <v>0</v>
      </c>
      <c r="J68" s="174">
        <f>+IF(Assegnazione[[#This Row],[Bene]]="",0,SUMIF(Assegnazione[Socio],Assegnazione[[#This Row],[Socio]],Assegnazione[Valore Normale])/$I$3)</f>
        <v>0</v>
      </c>
      <c r="K68" s="174" t="str">
        <f>IF(Assegnazione[[#This Row],[Bene]]="","",SUMIF(A_1[Nome],Assegnazione[[#This Row],[Socio]],A_1[Quota partecipazione al momento dell''operazione]))</f>
        <v/>
      </c>
      <c r="L68" s="172">
        <f>+SUMIF(B[Bene],Assegnazione[[#This Row],[Bene]],B[Valore catastale])*Assegnazione[[#This Row],[Quota di assegnazione]]</f>
        <v>0</v>
      </c>
      <c r="M68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8" s="172">
        <f>+MIN(Assegnazione[[#This Row],[Valore ai fini dell''atto]],Assegnazione[[#This Row],[Valore Fiscalmente riconosciuto]])</f>
        <v>0</v>
      </c>
      <c r="O68" s="146" t="str">
        <f>+IFERROR(VLOOKUP(Assegnazione[[#This Row],[Bene]],B[],MATCH($O$4,Beni!$A$4:$Z$4,0),0),"")</f>
        <v/>
      </c>
      <c r="P68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8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8" s="175">
        <f>+SUMIF(B[Bene],Assegnazione[[#This Row],[Bene]],B[Iva se dovuta])*Assegnazione[[#This Row],[Quota di assegnazione]]</f>
        <v>0</v>
      </c>
      <c r="S68" s="175">
        <f>+SUMIF(B[Bene],Assegnazione[[#This Row],[Bene]],B[Imposta di registro (fissa + prop) senza agevolazione])*Assegnazione[[#This Row],[Quota di assegnazione]]</f>
        <v>0</v>
      </c>
      <c r="T68" s="175">
        <f>+SUMIF(B[Bene],Assegnazione[[#This Row],[Bene]],B[Ipotecaria e catastale senza agevolazione])*Assegnazione[[#This Row],[Quota di assegnazione]]</f>
        <v>0</v>
      </c>
      <c r="U68" s="176">
        <f>+SUM(Assegnazione[[#This Row],[Tassazione diretta senza agevolazione]:[Ipotecaria e catastale senza agevolazione]])</f>
        <v>0</v>
      </c>
      <c r="V68" s="175">
        <f>+SUMIF(B[Bene],Assegnazione[[#This Row],[Bene]],B[Imponibile Imposta sostitutiva])*Assegnazione[[#This Row],[Quota di assegnazione]]*DATI!$E$27</f>
        <v>0</v>
      </c>
      <c r="W68" s="175">
        <f>+SUMIF(B[Bene],Assegnazione[[#This Row],[Bene]],B[Imposta di registro in misura fissa agevolata])*Assegnazione[[#This Row],[Quota di assegnazione]]</f>
        <v>0</v>
      </c>
      <c r="X68" s="175">
        <f>+SUMIF(B[Bene],Assegnazione[[#This Row],[Bene]],B[Imposta di registro prop. Agevolata])*Assegnazione[[#This Row],[Quota di assegnazione]]</f>
        <v>0</v>
      </c>
      <c r="Y68" s="175">
        <f>+IFERROR(Assegnazione[[#This Row],[Imposta di registro in misura fissa]]+Assegnazione[[#This Row],[Imposta di registro prop.]],"")</f>
        <v>0</v>
      </c>
      <c r="Z68" s="175">
        <f>+SUMIF(B[Bene],Assegnazione[[#This Row],[Bene]],B[Ipotecaria catastale agevolata])*Assegnazione[[#This Row],[Quota di assegnazione]]</f>
        <v>0</v>
      </c>
    </row>
    <row r="69" spans="1:26" x14ac:dyDescent="0.2">
      <c r="A69" s="123"/>
      <c r="B69" s="132"/>
      <c r="C69" s="123"/>
      <c r="D69" s="172">
        <f>+SUMIF(B[Bene],Assegnazione[[#This Row],[Bene]],B[Imponibile Iva])*Assegnazione[[#This Row],[Quota di assegnazione]]</f>
        <v>0</v>
      </c>
      <c r="E69" s="172">
        <f>+SUMIF(B[Bene],Assegnazione[[#This Row],[Bene]],B[Valore inserito manualmente])*Assegnazione[[#This Row],[Quota di assegnazione]]</f>
        <v>0</v>
      </c>
      <c r="F69" s="173" t="str">
        <f>+IF(A69="","",VLOOKUP(Assegnazione[[#This Row],[Bene]],B[],3,0))</f>
        <v/>
      </c>
      <c r="G69" s="129" t="str">
        <f>+IFERROR(VLOOKUP(Assegnazione[[#This Row],[Bene]],B[],MATCH("Agevolabile",Beni!$A$4:$AC$4,0),0)*VLOOKUP(Assegnazione[[#This Row],[Socio]],A_1[],8,0),"")</f>
        <v/>
      </c>
      <c r="H69" s="172">
        <f>+SUMIF(B[Bene],Assegnazione[[#This Row],[Bene]],B[Valore netto contabile fiscalmente riconosciuto])*Assegnazione[[#This Row],[Quota di assegnazione]]</f>
        <v>0</v>
      </c>
      <c r="I69" s="172">
        <f>+SUMIF(B[Bene],Assegnazione[[#This Row],[Bene]],B[Valore normale])*Assegnazione[[#This Row],[Quota di assegnazione]]</f>
        <v>0</v>
      </c>
      <c r="J69" s="174">
        <f>+IF(Assegnazione[[#This Row],[Bene]]="",0,SUMIF(Assegnazione[Socio],Assegnazione[[#This Row],[Socio]],Assegnazione[Valore Normale])/$I$3)</f>
        <v>0</v>
      </c>
      <c r="K69" s="174" t="str">
        <f>IF(Assegnazione[[#This Row],[Bene]]="","",SUMIF(A_1[Nome],Assegnazione[[#This Row],[Socio]],A_1[Quota partecipazione al momento dell''operazione]))</f>
        <v/>
      </c>
      <c r="L69" s="172">
        <f>+SUMIF(B[Bene],Assegnazione[[#This Row],[Bene]],B[Valore catastale])*Assegnazione[[#This Row],[Quota di assegnazione]]</f>
        <v>0</v>
      </c>
      <c r="M69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9" s="172">
        <f>+MIN(Assegnazione[[#This Row],[Valore ai fini dell''atto]],Assegnazione[[#This Row],[Valore Fiscalmente riconosciuto]])</f>
        <v>0</v>
      </c>
      <c r="O69" s="146" t="str">
        <f>+IFERROR(VLOOKUP(Assegnazione[[#This Row],[Bene]],B[],MATCH($O$4,Beni!$A$4:$Z$4,0),0),"")</f>
        <v/>
      </c>
      <c r="P69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9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9" s="175">
        <f>+SUMIF(B[Bene],Assegnazione[[#This Row],[Bene]],B[Iva se dovuta])*Assegnazione[[#This Row],[Quota di assegnazione]]</f>
        <v>0</v>
      </c>
      <c r="S69" s="175">
        <f>+SUMIF(B[Bene],Assegnazione[[#This Row],[Bene]],B[Imposta di registro (fissa + prop) senza agevolazione])*Assegnazione[[#This Row],[Quota di assegnazione]]</f>
        <v>0</v>
      </c>
      <c r="T69" s="175">
        <f>+SUMIF(B[Bene],Assegnazione[[#This Row],[Bene]],B[Ipotecaria e catastale senza agevolazione])*Assegnazione[[#This Row],[Quota di assegnazione]]</f>
        <v>0</v>
      </c>
      <c r="U69" s="176">
        <f>+SUM(Assegnazione[[#This Row],[Tassazione diretta senza agevolazione]:[Ipotecaria e catastale senza agevolazione]])</f>
        <v>0</v>
      </c>
      <c r="V69" s="175">
        <f>+SUMIF(B[Bene],Assegnazione[[#This Row],[Bene]],B[Imponibile Imposta sostitutiva])*Assegnazione[[#This Row],[Quota di assegnazione]]*DATI!$E$27</f>
        <v>0</v>
      </c>
      <c r="W69" s="175">
        <f>+SUMIF(B[Bene],Assegnazione[[#This Row],[Bene]],B[Imposta di registro in misura fissa agevolata])*Assegnazione[[#This Row],[Quota di assegnazione]]</f>
        <v>0</v>
      </c>
      <c r="X69" s="175">
        <f>+SUMIF(B[Bene],Assegnazione[[#This Row],[Bene]],B[Imposta di registro prop. Agevolata])*Assegnazione[[#This Row],[Quota di assegnazione]]</f>
        <v>0</v>
      </c>
      <c r="Y69" s="175">
        <f>+IFERROR(Assegnazione[[#This Row],[Imposta di registro in misura fissa]]+Assegnazione[[#This Row],[Imposta di registro prop.]],"")</f>
        <v>0</v>
      </c>
      <c r="Z69" s="175">
        <f>+SUMIF(B[Bene],Assegnazione[[#This Row],[Bene]],B[Ipotecaria catastale agevolata])*Assegnazione[[#This Row],[Quota di assegnazione]]</f>
        <v>0</v>
      </c>
    </row>
    <row r="70" spans="1:26" x14ac:dyDescent="0.2">
      <c r="A70" s="123"/>
      <c r="B70" s="132"/>
      <c r="C70" s="123"/>
      <c r="D70" s="172">
        <f>+SUMIF(B[Bene],Assegnazione[[#This Row],[Bene]],B[Imponibile Iva])*Assegnazione[[#This Row],[Quota di assegnazione]]</f>
        <v>0</v>
      </c>
      <c r="E70" s="172">
        <f>+SUMIF(B[Bene],Assegnazione[[#This Row],[Bene]],B[Valore inserito manualmente])*Assegnazione[[#This Row],[Quota di assegnazione]]</f>
        <v>0</v>
      </c>
      <c r="F70" s="173" t="str">
        <f>+IF(A70="","",VLOOKUP(Assegnazione[[#This Row],[Bene]],B[],3,0))</f>
        <v/>
      </c>
      <c r="G70" s="129" t="str">
        <f>+IFERROR(VLOOKUP(Assegnazione[[#This Row],[Bene]],B[],MATCH("Agevolabile",Beni!$A$4:$AC$4,0),0)*VLOOKUP(Assegnazione[[#This Row],[Socio]],A_1[],8,0),"")</f>
        <v/>
      </c>
      <c r="H70" s="172">
        <f>+SUMIF(B[Bene],Assegnazione[[#This Row],[Bene]],B[Valore netto contabile fiscalmente riconosciuto])*Assegnazione[[#This Row],[Quota di assegnazione]]</f>
        <v>0</v>
      </c>
      <c r="I70" s="172">
        <f>+SUMIF(B[Bene],Assegnazione[[#This Row],[Bene]],B[Valore normale])*Assegnazione[[#This Row],[Quota di assegnazione]]</f>
        <v>0</v>
      </c>
      <c r="J70" s="174">
        <f>+IF(Assegnazione[[#This Row],[Bene]]="",0,SUMIF(Assegnazione[Socio],Assegnazione[[#This Row],[Socio]],Assegnazione[Valore Normale])/$I$3)</f>
        <v>0</v>
      </c>
      <c r="K70" s="174" t="str">
        <f>IF(Assegnazione[[#This Row],[Bene]]="","",SUMIF(A_1[Nome],Assegnazione[[#This Row],[Socio]],A_1[Quota partecipazione al momento dell''operazione]))</f>
        <v/>
      </c>
      <c r="L70" s="172">
        <f>+SUMIF(B[Bene],Assegnazione[[#This Row],[Bene]],B[Valore catastale])*Assegnazione[[#This Row],[Quota di assegnazione]]</f>
        <v>0</v>
      </c>
      <c r="M70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0" s="172">
        <f>+MIN(Assegnazione[[#This Row],[Valore ai fini dell''atto]],Assegnazione[[#This Row],[Valore Fiscalmente riconosciuto]])</f>
        <v>0</v>
      </c>
      <c r="O70" s="146" t="str">
        <f>+IFERROR(VLOOKUP(Assegnazione[[#This Row],[Bene]],B[],MATCH($O$4,Beni!$A$4:$Z$4,0),0),"")</f>
        <v/>
      </c>
      <c r="P70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0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0" s="175">
        <f>+SUMIF(B[Bene],Assegnazione[[#This Row],[Bene]],B[Iva se dovuta])*Assegnazione[[#This Row],[Quota di assegnazione]]</f>
        <v>0</v>
      </c>
      <c r="S70" s="175">
        <f>+SUMIF(B[Bene],Assegnazione[[#This Row],[Bene]],B[Imposta di registro (fissa + prop) senza agevolazione])*Assegnazione[[#This Row],[Quota di assegnazione]]</f>
        <v>0</v>
      </c>
      <c r="T70" s="175">
        <f>+SUMIF(B[Bene],Assegnazione[[#This Row],[Bene]],B[Ipotecaria e catastale senza agevolazione])*Assegnazione[[#This Row],[Quota di assegnazione]]</f>
        <v>0</v>
      </c>
      <c r="U70" s="176">
        <f>+SUM(Assegnazione[[#This Row],[Tassazione diretta senza agevolazione]:[Ipotecaria e catastale senza agevolazione]])</f>
        <v>0</v>
      </c>
      <c r="V70" s="175">
        <f>+SUMIF(B[Bene],Assegnazione[[#This Row],[Bene]],B[Imponibile Imposta sostitutiva])*Assegnazione[[#This Row],[Quota di assegnazione]]*DATI!$E$27</f>
        <v>0</v>
      </c>
      <c r="W70" s="175">
        <f>+SUMIF(B[Bene],Assegnazione[[#This Row],[Bene]],B[Imposta di registro in misura fissa agevolata])*Assegnazione[[#This Row],[Quota di assegnazione]]</f>
        <v>0</v>
      </c>
      <c r="X70" s="175">
        <f>+SUMIF(B[Bene],Assegnazione[[#This Row],[Bene]],B[Imposta di registro prop. Agevolata])*Assegnazione[[#This Row],[Quota di assegnazione]]</f>
        <v>0</v>
      </c>
      <c r="Y70" s="175">
        <f>+IFERROR(Assegnazione[[#This Row],[Imposta di registro in misura fissa]]+Assegnazione[[#This Row],[Imposta di registro prop.]],"")</f>
        <v>0</v>
      </c>
      <c r="Z70" s="175">
        <f>+SUMIF(B[Bene],Assegnazione[[#This Row],[Bene]],B[Ipotecaria catastale agevolata])*Assegnazione[[#This Row],[Quota di assegnazione]]</f>
        <v>0</v>
      </c>
    </row>
    <row r="71" spans="1:26" x14ac:dyDescent="0.2">
      <c r="A71" s="123"/>
      <c r="B71" s="132"/>
      <c r="C71" s="123"/>
      <c r="D71" s="172">
        <f>+SUMIF(B[Bene],Assegnazione[[#This Row],[Bene]],B[Imponibile Iva])*Assegnazione[[#This Row],[Quota di assegnazione]]</f>
        <v>0</v>
      </c>
      <c r="E71" s="172">
        <f>+SUMIF(B[Bene],Assegnazione[[#This Row],[Bene]],B[Valore inserito manualmente])*Assegnazione[[#This Row],[Quota di assegnazione]]</f>
        <v>0</v>
      </c>
      <c r="F71" s="173" t="str">
        <f>+IF(A71="","",VLOOKUP(Assegnazione[[#This Row],[Bene]],B[],3,0))</f>
        <v/>
      </c>
      <c r="G71" s="129" t="str">
        <f>+IFERROR(VLOOKUP(Assegnazione[[#This Row],[Bene]],B[],MATCH("Agevolabile",Beni!$A$4:$AC$4,0),0)*VLOOKUP(Assegnazione[[#This Row],[Socio]],A_1[],8,0),"")</f>
        <v/>
      </c>
      <c r="H71" s="172">
        <f>+SUMIF(B[Bene],Assegnazione[[#This Row],[Bene]],B[Valore netto contabile fiscalmente riconosciuto])*Assegnazione[[#This Row],[Quota di assegnazione]]</f>
        <v>0</v>
      </c>
      <c r="I71" s="172">
        <f>+SUMIF(B[Bene],Assegnazione[[#This Row],[Bene]],B[Valore normale])*Assegnazione[[#This Row],[Quota di assegnazione]]</f>
        <v>0</v>
      </c>
      <c r="J71" s="174">
        <f>+IF(Assegnazione[[#This Row],[Bene]]="",0,SUMIF(Assegnazione[Socio],Assegnazione[[#This Row],[Socio]],Assegnazione[Valore Normale])/$I$3)</f>
        <v>0</v>
      </c>
      <c r="K71" s="174" t="str">
        <f>IF(Assegnazione[[#This Row],[Bene]]="","",SUMIF(A_1[Nome],Assegnazione[[#This Row],[Socio]],A_1[Quota partecipazione al momento dell''operazione]))</f>
        <v/>
      </c>
      <c r="L71" s="172">
        <f>+SUMIF(B[Bene],Assegnazione[[#This Row],[Bene]],B[Valore catastale])*Assegnazione[[#This Row],[Quota di assegnazione]]</f>
        <v>0</v>
      </c>
      <c r="M71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1" s="172">
        <f>+MIN(Assegnazione[[#This Row],[Valore ai fini dell''atto]],Assegnazione[[#This Row],[Valore Fiscalmente riconosciuto]])</f>
        <v>0</v>
      </c>
      <c r="O71" s="146" t="str">
        <f>+IFERROR(VLOOKUP(Assegnazione[[#This Row],[Bene]],B[],MATCH($O$4,Beni!$A$4:$Z$4,0),0),"")</f>
        <v/>
      </c>
      <c r="P71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1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1" s="175">
        <f>+SUMIF(B[Bene],Assegnazione[[#This Row],[Bene]],B[Iva se dovuta])*Assegnazione[[#This Row],[Quota di assegnazione]]</f>
        <v>0</v>
      </c>
      <c r="S71" s="175">
        <f>+SUMIF(B[Bene],Assegnazione[[#This Row],[Bene]],B[Imposta di registro (fissa + prop) senza agevolazione])*Assegnazione[[#This Row],[Quota di assegnazione]]</f>
        <v>0</v>
      </c>
      <c r="T71" s="175">
        <f>+SUMIF(B[Bene],Assegnazione[[#This Row],[Bene]],B[Ipotecaria e catastale senza agevolazione])*Assegnazione[[#This Row],[Quota di assegnazione]]</f>
        <v>0</v>
      </c>
      <c r="U71" s="176">
        <f>+SUM(Assegnazione[[#This Row],[Tassazione diretta senza agevolazione]:[Ipotecaria e catastale senza agevolazione]])</f>
        <v>0</v>
      </c>
      <c r="V71" s="175">
        <f>+SUMIF(B[Bene],Assegnazione[[#This Row],[Bene]],B[Imponibile Imposta sostitutiva])*Assegnazione[[#This Row],[Quota di assegnazione]]*DATI!$E$27</f>
        <v>0</v>
      </c>
      <c r="W71" s="175">
        <f>+SUMIF(B[Bene],Assegnazione[[#This Row],[Bene]],B[Imposta di registro in misura fissa agevolata])*Assegnazione[[#This Row],[Quota di assegnazione]]</f>
        <v>0</v>
      </c>
      <c r="X71" s="175">
        <f>+SUMIF(B[Bene],Assegnazione[[#This Row],[Bene]],B[Imposta di registro prop. Agevolata])*Assegnazione[[#This Row],[Quota di assegnazione]]</f>
        <v>0</v>
      </c>
      <c r="Y71" s="175">
        <f>+IFERROR(Assegnazione[[#This Row],[Imposta di registro in misura fissa]]+Assegnazione[[#This Row],[Imposta di registro prop.]],"")</f>
        <v>0</v>
      </c>
      <c r="Z71" s="175">
        <f>+SUMIF(B[Bene],Assegnazione[[#This Row],[Bene]],B[Ipotecaria catastale agevolata])*Assegnazione[[#This Row],[Quota di assegnazione]]</f>
        <v>0</v>
      </c>
    </row>
    <row r="72" spans="1:26" x14ac:dyDescent="0.2">
      <c r="A72" s="123"/>
      <c r="B72" s="132"/>
      <c r="C72" s="123"/>
      <c r="D72" s="172">
        <f>+SUMIF(B[Bene],Assegnazione[[#This Row],[Bene]],B[Imponibile Iva])*Assegnazione[[#This Row],[Quota di assegnazione]]</f>
        <v>0</v>
      </c>
      <c r="E72" s="172">
        <f>+SUMIF(B[Bene],Assegnazione[[#This Row],[Bene]],B[Valore inserito manualmente])*Assegnazione[[#This Row],[Quota di assegnazione]]</f>
        <v>0</v>
      </c>
      <c r="F72" s="173" t="str">
        <f>+IF(A72="","",VLOOKUP(Assegnazione[[#This Row],[Bene]],B[],3,0))</f>
        <v/>
      </c>
      <c r="G72" s="129" t="str">
        <f>+IFERROR(VLOOKUP(Assegnazione[[#This Row],[Bene]],B[],MATCH("Agevolabile",Beni!$A$4:$AC$4,0),0)*VLOOKUP(Assegnazione[[#This Row],[Socio]],A_1[],8,0),"")</f>
        <v/>
      </c>
      <c r="H72" s="172">
        <f>+SUMIF(B[Bene],Assegnazione[[#This Row],[Bene]],B[Valore netto contabile fiscalmente riconosciuto])*Assegnazione[[#This Row],[Quota di assegnazione]]</f>
        <v>0</v>
      </c>
      <c r="I72" s="172">
        <f>+SUMIF(B[Bene],Assegnazione[[#This Row],[Bene]],B[Valore normale])*Assegnazione[[#This Row],[Quota di assegnazione]]</f>
        <v>0</v>
      </c>
      <c r="J72" s="174">
        <f>+IF(Assegnazione[[#This Row],[Bene]]="",0,SUMIF(Assegnazione[Socio],Assegnazione[[#This Row],[Socio]],Assegnazione[Valore Normale])/$I$3)</f>
        <v>0</v>
      </c>
      <c r="K72" s="174" t="str">
        <f>IF(Assegnazione[[#This Row],[Bene]]="","",SUMIF(A_1[Nome],Assegnazione[[#This Row],[Socio]],A_1[Quota partecipazione al momento dell''operazione]))</f>
        <v/>
      </c>
      <c r="L72" s="172">
        <f>+SUMIF(B[Bene],Assegnazione[[#This Row],[Bene]],B[Valore catastale])*Assegnazione[[#This Row],[Quota di assegnazione]]</f>
        <v>0</v>
      </c>
      <c r="M72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2" s="172">
        <f>+MIN(Assegnazione[[#This Row],[Valore ai fini dell''atto]],Assegnazione[[#This Row],[Valore Fiscalmente riconosciuto]])</f>
        <v>0</v>
      </c>
      <c r="O72" s="146" t="str">
        <f>+IFERROR(VLOOKUP(Assegnazione[[#This Row],[Bene]],B[],MATCH($O$4,Beni!$A$4:$Z$4,0),0),"")</f>
        <v/>
      </c>
      <c r="P72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2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2" s="175">
        <f>+SUMIF(B[Bene],Assegnazione[[#This Row],[Bene]],B[Iva se dovuta])*Assegnazione[[#This Row],[Quota di assegnazione]]</f>
        <v>0</v>
      </c>
      <c r="S72" s="175">
        <f>+SUMIF(B[Bene],Assegnazione[[#This Row],[Bene]],B[Imposta di registro (fissa + prop) senza agevolazione])*Assegnazione[[#This Row],[Quota di assegnazione]]</f>
        <v>0</v>
      </c>
      <c r="T72" s="175">
        <f>+SUMIF(B[Bene],Assegnazione[[#This Row],[Bene]],B[Ipotecaria e catastale senza agevolazione])*Assegnazione[[#This Row],[Quota di assegnazione]]</f>
        <v>0</v>
      </c>
      <c r="U72" s="176">
        <f>+SUM(Assegnazione[[#This Row],[Tassazione diretta senza agevolazione]:[Ipotecaria e catastale senza agevolazione]])</f>
        <v>0</v>
      </c>
      <c r="V72" s="175">
        <f>+SUMIF(B[Bene],Assegnazione[[#This Row],[Bene]],B[Imponibile Imposta sostitutiva])*Assegnazione[[#This Row],[Quota di assegnazione]]*DATI!$E$27</f>
        <v>0</v>
      </c>
      <c r="W72" s="175">
        <f>+SUMIF(B[Bene],Assegnazione[[#This Row],[Bene]],B[Imposta di registro in misura fissa agevolata])*Assegnazione[[#This Row],[Quota di assegnazione]]</f>
        <v>0</v>
      </c>
      <c r="X72" s="175">
        <f>+SUMIF(B[Bene],Assegnazione[[#This Row],[Bene]],B[Imposta di registro prop. Agevolata])*Assegnazione[[#This Row],[Quota di assegnazione]]</f>
        <v>0</v>
      </c>
      <c r="Y72" s="175">
        <f>+IFERROR(Assegnazione[[#This Row],[Imposta di registro in misura fissa]]+Assegnazione[[#This Row],[Imposta di registro prop.]],"")</f>
        <v>0</v>
      </c>
      <c r="Z72" s="175">
        <f>+SUMIF(B[Bene],Assegnazione[[#This Row],[Bene]],B[Ipotecaria catastale agevolata])*Assegnazione[[#This Row],[Quota di assegnazione]]</f>
        <v>0</v>
      </c>
    </row>
    <row r="73" spans="1:26" x14ac:dyDescent="0.2">
      <c r="A73" s="123"/>
      <c r="B73" s="132"/>
      <c r="C73" s="123"/>
      <c r="D73" s="172">
        <f>+SUMIF(B[Bene],Assegnazione[[#This Row],[Bene]],B[Imponibile Iva])*Assegnazione[[#This Row],[Quota di assegnazione]]</f>
        <v>0</v>
      </c>
      <c r="E73" s="172">
        <f>+SUMIF(B[Bene],Assegnazione[[#This Row],[Bene]],B[Valore inserito manualmente])*Assegnazione[[#This Row],[Quota di assegnazione]]</f>
        <v>0</v>
      </c>
      <c r="F73" s="173" t="str">
        <f>+IF(A73="","",VLOOKUP(Assegnazione[[#This Row],[Bene]],B[],3,0))</f>
        <v/>
      </c>
      <c r="G73" s="129" t="str">
        <f>+IFERROR(VLOOKUP(Assegnazione[[#This Row],[Bene]],B[],MATCH("Agevolabile",Beni!$A$4:$AC$4,0),0)*VLOOKUP(Assegnazione[[#This Row],[Socio]],A_1[],8,0),"")</f>
        <v/>
      </c>
      <c r="H73" s="172">
        <f>+SUMIF(B[Bene],Assegnazione[[#This Row],[Bene]],B[Valore netto contabile fiscalmente riconosciuto])*Assegnazione[[#This Row],[Quota di assegnazione]]</f>
        <v>0</v>
      </c>
      <c r="I73" s="172">
        <f>+SUMIF(B[Bene],Assegnazione[[#This Row],[Bene]],B[Valore normale])*Assegnazione[[#This Row],[Quota di assegnazione]]</f>
        <v>0</v>
      </c>
      <c r="J73" s="174">
        <f>+IF(Assegnazione[[#This Row],[Bene]]="",0,SUMIF(Assegnazione[Socio],Assegnazione[[#This Row],[Socio]],Assegnazione[Valore Normale])/$I$3)</f>
        <v>0</v>
      </c>
      <c r="K73" s="174" t="str">
        <f>IF(Assegnazione[[#This Row],[Bene]]="","",SUMIF(A_1[Nome],Assegnazione[[#This Row],[Socio]],A_1[Quota partecipazione al momento dell''operazione]))</f>
        <v/>
      </c>
      <c r="L73" s="172">
        <f>+SUMIF(B[Bene],Assegnazione[[#This Row],[Bene]],B[Valore catastale])*Assegnazione[[#This Row],[Quota di assegnazione]]</f>
        <v>0</v>
      </c>
      <c r="M73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3" s="172">
        <f>+MIN(Assegnazione[[#This Row],[Valore ai fini dell''atto]],Assegnazione[[#This Row],[Valore Fiscalmente riconosciuto]])</f>
        <v>0</v>
      </c>
      <c r="O73" s="146" t="str">
        <f>+IFERROR(VLOOKUP(Assegnazione[[#This Row],[Bene]],B[],MATCH($O$4,Beni!$A$4:$Z$4,0),0),"")</f>
        <v/>
      </c>
      <c r="P73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3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3" s="175">
        <f>+SUMIF(B[Bene],Assegnazione[[#This Row],[Bene]],B[Iva se dovuta])*Assegnazione[[#This Row],[Quota di assegnazione]]</f>
        <v>0</v>
      </c>
      <c r="S73" s="175">
        <f>+SUMIF(B[Bene],Assegnazione[[#This Row],[Bene]],B[Imposta di registro (fissa + prop) senza agevolazione])*Assegnazione[[#This Row],[Quota di assegnazione]]</f>
        <v>0</v>
      </c>
      <c r="T73" s="175">
        <f>+SUMIF(B[Bene],Assegnazione[[#This Row],[Bene]],B[Ipotecaria e catastale senza agevolazione])*Assegnazione[[#This Row],[Quota di assegnazione]]</f>
        <v>0</v>
      </c>
      <c r="U73" s="176">
        <f>+SUM(Assegnazione[[#This Row],[Tassazione diretta senza agevolazione]:[Ipotecaria e catastale senza agevolazione]])</f>
        <v>0</v>
      </c>
      <c r="V73" s="175">
        <f>+SUMIF(B[Bene],Assegnazione[[#This Row],[Bene]],B[Imponibile Imposta sostitutiva])*Assegnazione[[#This Row],[Quota di assegnazione]]*DATI!$E$27</f>
        <v>0</v>
      </c>
      <c r="W73" s="175">
        <f>+SUMIF(B[Bene],Assegnazione[[#This Row],[Bene]],B[Imposta di registro in misura fissa agevolata])*Assegnazione[[#This Row],[Quota di assegnazione]]</f>
        <v>0</v>
      </c>
      <c r="X73" s="175">
        <f>+SUMIF(B[Bene],Assegnazione[[#This Row],[Bene]],B[Imposta di registro prop. Agevolata])*Assegnazione[[#This Row],[Quota di assegnazione]]</f>
        <v>0</v>
      </c>
      <c r="Y73" s="175">
        <f>+IFERROR(Assegnazione[[#This Row],[Imposta di registro in misura fissa]]+Assegnazione[[#This Row],[Imposta di registro prop.]],"")</f>
        <v>0</v>
      </c>
      <c r="Z73" s="175">
        <f>+SUMIF(B[Bene],Assegnazione[[#This Row],[Bene]],B[Ipotecaria catastale agevolata])*Assegnazione[[#This Row],[Quota di assegnazione]]</f>
        <v>0</v>
      </c>
    </row>
    <row r="74" spans="1:26" x14ac:dyDescent="0.2">
      <c r="A74" s="123"/>
      <c r="B74" s="132"/>
      <c r="C74" s="123"/>
      <c r="D74" s="172">
        <f>+SUMIF(B[Bene],Assegnazione[[#This Row],[Bene]],B[Imponibile Iva])*Assegnazione[[#This Row],[Quota di assegnazione]]</f>
        <v>0</v>
      </c>
      <c r="E74" s="172">
        <f>+SUMIF(B[Bene],Assegnazione[[#This Row],[Bene]],B[Valore inserito manualmente])*Assegnazione[[#This Row],[Quota di assegnazione]]</f>
        <v>0</v>
      </c>
      <c r="F74" s="173" t="str">
        <f>+IF(A74="","",VLOOKUP(Assegnazione[[#This Row],[Bene]],B[],3,0))</f>
        <v/>
      </c>
      <c r="G74" s="129" t="str">
        <f>+IFERROR(VLOOKUP(Assegnazione[[#This Row],[Bene]],B[],MATCH("Agevolabile",Beni!$A$4:$AC$4,0),0)*VLOOKUP(Assegnazione[[#This Row],[Socio]],A_1[],8,0),"")</f>
        <v/>
      </c>
      <c r="H74" s="172">
        <f>+SUMIF(B[Bene],Assegnazione[[#This Row],[Bene]],B[Valore netto contabile fiscalmente riconosciuto])*Assegnazione[[#This Row],[Quota di assegnazione]]</f>
        <v>0</v>
      </c>
      <c r="I74" s="172">
        <f>+SUMIF(B[Bene],Assegnazione[[#This Row],[Bene]],B[Valore normale])*Assegnazione[[#This Row],[Quota di assegnazione]]</f>
        <v>0</v>
      </c>
      <c r="J74" s="174">
        <f>+IF(Assegnazione[[#This Row],[Bene]]="",0,SUMIF(Assegnazione[Socio],Assegnazione[[#This Row],[Socio]],Assegnazione[Valore Normale])/$I$3)</f>
        <v>0</v>
      </c>
      <c r="K74" s="174" t="str">
        <f>IF(Assegnazione[[#This Row],[Bene]]="","",SUMIF(A_1[Nome],Assegnazione[[#This Row],[Socio]],A_1[Quota partecipazione al momento dell''operazione]))</f>
        <v/>
      </c>
      <c r="L74" s="172">
        <f>+SUMIF(B[Bene],Assegnazione[[#This Row],[Bene]],B[Valore catastale])*Assegnazione[[#This Row],[Quota di assegnazione]]</f>
        <v>0</v>
      </c>
      <c r="M74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4" s="172">
        <f>+MIN(Assegnazione[[#This Row],[Valore ai fini dell''atto]],Assegnazione[[#This Row],[Valore Fiscalmente riconosciuto]])</f>
        <v>0</v>
      </c>
      <c r="O74" s="146" t="str">
        <f>+IFERROR(VLOOKUP(Assegnazione[[#This Row],[Bene]],B[],MATCH($O$4,Beni!$A$4:$Z$4,0),0),"")</f>
        <v/>
      </c>
      <c r="P74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4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4" s="175">
        <f>+SUMIF(B[Bene],Assegnazione[[#This Row],[Bene]],B[Iva se dovuta])*Assegnazione[[#This Row],[Quota di assegnazione]]</f>
        <v>0</v>
      </c>
      <c r="S74" s="175">
        <f>+SUMIF(B[Bene],Assegnazione[[#This Row],[Bene]],B[Imposta di registro (fissa + prop) senza agevolazione])*Assegnazione[[#This Row],[Quota di assegnazione]]</f>
        <v>0</v>
      </c>
      <c r="T74" s="175">
        <f>+SUMIF(B[Bene],Assegnazione[[#This Row],[Bene]],B[Ipotecaria e catastale senza agevolazione])*Assegnazione[[#This Row],[Quota di assegnazione]]</f>
        <v>0</v>
      </c>
      <c r="U74" s="176">
        <f>+SUM(Assegnazione[[#This Row],[Tassazione diretta senza agevolazione]:[Ipotecaria e catastale senza agevolazione]])</f>
        <v>0</v>
      </c>
      <c r="V74" s="175">
        <f>+SUMIF(B[Bene],Assegnazione[[#This Row],[Bene]],B[Imponibile Imposta sostitutiva])*Assegnazione[[#This Row],[Quota di assegnazione]]*DATI!$E$27</f>
        <v>0</v>
      </c>
      <c r="W74" s="175">
        <f>+SUMIF(B[Bene],Assegnazione[[#This Row],[Bene]],B[Imposta di registro in misura fissa agevolata])*Assegnazione[[#This Row],[Quota di assegnazione]]</f>
        <v>0</v>
      </c>
      <c r="X74" s="175">
        <f>+SUMIF(B[Bene],Assegnazione[[#This Row],[Bene]],B[Imposta di registro prop. Agevolata])*Assegnazione[[#This Row],[Quota di assegnazione]]</f>
        <v>0</v>
      </c>
      <c r="Y74" s="175">
        <f>+IFERROR(Assegnazione[[#This Row],[Imposta di registro in misura fissa]]+Assegnazione[[#This Row],[Imposta di registro prop.]],"")</f>
        <v>0</v>
      </c>
      <c r="Z74" s="175">
        <f>+SUMIF(B[Bene],Assegnazione[[#This Row],[Bene]],B[Ipotecaria catastale agevolata])*Assegnazione[[#This Row],[Quota di assegnazione]]</f>
        <v>0</v>
      </c>
    </row>
    <row r="75" spans="1:26" x14ac:dyDescent="0.2">
      <c r="A75" s="123"/>
      <c r="B75" s="132"/>
      <c r="C75" s="123"/>
      <c r="D75" s="172">
        <f>+SUMIF(B[Bene],Assegnazione[[#This Row],[Bene]],B[Imponibile Iva])*Assegnazione[[#This Row],[Quota di assegnazione]]</f>
        <v>0</v>
      </c>
      <c r="E75" s="172">
        <f>+SUMIF(B[Bene],Assegnazione[[#This Row],[Bene]],B[Valore inserito manualmente])*Assegnazione[[#This Row],[Quota di assegnazione]]</f>
        <v>0</v>
      </c>
      <c r="F75" s="173" t="str">
        <f>+IF(A75="","",VLOOKUP(Assegnazione[[#This Row],[Bene]],B[],3,0))</f>
        <v/>
      </c>
      <c r="G75" s="129" t="str">
        <f>+IFERROR(VLOOKUP(Assegnazione[[#This Row],[Bene]],B[],MATCH("Agevolabile",Beni!$A$4:$AC$4,0),0)*VLOOKUP(Assegnazione[[#This Row],[Socio]],A_1[],8,0),"")</f>
        <v/>
      </c>
      <c r="H75" s="172">
        <f>+SUMIF(B[Bene],Assegnazione[[#This Row],[Bene]],B[Valore netto contabile fiscalmente riconosciuto])*Assegnazione[[#This Row],[Quota di assegnazione]]</f>
        <v>0</v>
      </c>
      <c r="I75" s="172">
        <f>+SUMIF(B[Bene],Assegnazione[[#This Row],[Bene]],B[Valore normale])*Assegnazione[[#This Row],[Quota di assegnazione]]</f>
        <v>0</v>
      </c>
      <c r="J75" s="174">
        <f>+IF(Assegnazione[[#This Row],[Bene]]="",0,SUMIF(Assegnazione[Socio],Assegnazione[[#This Row],[Socio]],Assegnazione[Valore Normale])/$I$3)</f>
        <v>0</v>
      </c>
      <c r="K75" s="174" t="str">
        <f>IF(Assegnazione[[#This Row],[Bene]]="","",SUMIF(A_1[Nome],Assegnazione[[#This Row],[Socio]],A_1[Quota partecipazione al momento dell''operazione]))</f>
        <v/>
      </c>
      <c r="L75" s="172">
        <f>+SUMIF(B[Bene],Assegnazione[[#This Row],[Bene]],B[Valore catastale])*Assegnazione[[#This Row],[Quota di assegnazione]]</f>
        <v>0</v>
      </c>
      <c r="M75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5" s="172">
        <f>+MIN(Assegnazione[[#This Row],[Valore ai fini dell''atto]],Assegnazione[[#This Row],[Valore Fiscalmente riconosciuto]])</f>
        <v>0</v>
      </c>
      <c r="O75" s="146" t="str">
        <f>+IFERROR(VLOOKUP(Assegnazione[[#This Row],[Bene]],B[],MATCH($O$4,Beni!$A$4:$Z$4,0),0),"")</f>
        <v/>
      </c>
      <c r="P75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5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5" s="175">
        <f>+SUMIF(B[Bene],Assegnazione[[#This Row],[Bene]],B[Iva se dovuta])*Assegnazione[[#This Row],[Quota di assegnazione]]</f>
        <v>0</v>
      </c>
      <c r="S75" s="175">
        <f>+SUMIF(B[Bene],Assegnazione[[#This Row],[Bene]],B[Imposta di registro (fissa + prop) senza agevolazione])*Assegnazione[[#This Row],[Quota di assegnazione]]</f>
        <v>0</v>
      </c>
      <c r="T75" s="175">
        <f>+SUMIF(B[Bene],Assegnazione[[#This Row],[Bene]],B[Ipotecaria e catastale senza agevolazione])*Assegnazione[[#This Row],[Quota di assegnazione]]</f>
        <v>0</v>
      </c>
      <c r="U75" s="176">
        <f>+SUM(Assegnazione[[#This Row],[Tassazione diretta senza agevolazione]:[Ipotecaria e catastale senza agevolazione]])</f>
        <v>0</v>
      </c>
      <c r="V75" s="175">
        <f>+SUMIF(B[Bene],Assegnazione[[#This Row],[Bene]],B[Imponibile Imposta sostitutiva])*Assegnazione[[#This Row],[Quota di assegnazione]]*DATI!$E$27</f>
        <v>0</v>
      </c>
      <c r="W75" s="175">
        <f>+SUMIF(B[Bene],Assegnazione[[#This Row],[Bene]],B[Imposta di registro in misura fissa agevolata])*Assegnazione[[#This Row],[Quota di assegnazione]]</f>
        <v>0</v>
      </c>
      <c r="X75" s="175">
        <f>+SUMIF(B[Bene],Assegnazione[[#This Row],[Bene]],B[Imposta di registro prop. Agevolata])*Assegnazione[[#This Row],[Quota di assegnazione]]</f>
        <v>0</v>
      </c>
      <c r="Y75" s="175">
        <f>+IFERROR(Assegnazione[[#This Row],[Imposta di registro in misura fissa]]+Assegnazione[[#This Row],[Imposta di registro prop.]],"")</f>
        <v>0</v>
      </c>
      <c r="Z75" s="175">
        <f>+SUMIF(B[Bene],Assegnazione[[#This Row],[Bene]],B[Ipotecaria catastale agevolata])*Assegnazione[[#This Row],[Quota di assegnazione]]</f>
        <v>0</v>
      </c>
    </row>
    <row r="76" spans="1:26" x14ac:dyDescent="0.2">
      <c r="A76" s="123"/>
      <c r="B76" s="132"/>
      <c r="C76" s="123"/>
      <c r="D76" s="172">
        <f>+SUMIF(B[Bene],Assegnazione[[#This Row],[Bene]],B[Imponibile Iva])*Assegnazione[[#This Row],[Quota di assegnazione]]</f>
        <v>0</v>
      </c>
      <c r="E76" s="172">
        <f>+SUMIF(B[Bene],Assegnazione[[#This Row],[Bene]],B[Valore inserito manualmente])*Assegnazione[[#This Row],[Quota di assegnazione]]</f>
        <v>0</v>
      </c>
      <c r="F76" s="173" t="str">
        <f>+IF(A76="","",VLOOKUP(Assegnazione[[#This Row],[Bene]],B[],3,0))</f>
        <v/>
      </c>
      <c r="G76" s="129" t="str">
        <f>+IFERROR(VLOOKUP(Assegnazione[[#This Row],[Bene]],B[],MATCH("Agevolabile",Beni!$A$4:$AC$4,0),0)*VLOOKUP(Assegnazione[[#This Row],[Socio]],A_1[],8,0),"")</f>
        <v/>
      </c>
      <c r="H76" s="172">
        <f>+SUMIF(B[Bene],Assegnazione[[#This Row],[Bene]],B[Valore netto contabile fiscalmente riconosciuto])*Assegnazione[[#This Row],[Quota di assegnazione]]</f>
        <v>0</v>
      </c>
      <c r="I76" s="172">
        <f>+SUMIF(B[Bene],Assegnazione[[#This Row],[Bene]],B[Valore normale])*Assegnazione[[#This Row],[Quota di assegnazione]]</f>
        <v>0</v>
      </c>
      <c r="J76" s="174">
        <f>+IF(Assegnazione[[#This Row],[Bene]]="",0,SUMIF(Assegnazione[Socio],Assegnazione[[#This Row],[Socio]],Assegnazione[Valore Normale])/$I$3)</f>
        <v>0</v>
      </c>
      <c r="K76" s="174" t="str">
        <f>IF(Assegnazione[[#This Row],[Bene]]="","",SUMIF(A_1[Nome],Assegnazione[[#This Row],[Socio]],A_1[Quota partecipazione al momento dell''operazione]))</f>
        <v/>
      </c>
      <c r="L76" s="172">
        <f>+SUMIF(B[Bene],Assegnazione[[#This Row],[Bene]],B[Valore catastale])*Assegnazione[[#This Row],[Quota di assegnazione]]</f>
        <v>0</v>
      </c>
      <c r="M76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6" s="172">
        <f>+MIN(Assegnazione[[#This Row],[Valore ai fini dell''atto]],Assegnazione[[#This Row],[Valore Fiscalmente riconosciuto]])</f>
        <v>0</v>
      </c>
      <c r="O76" s="146" t="str">
        <f>+IFERROR(VLOOKUP(Assegnazione[[#This Row],[Bene]],B[],MATCH($O$4,Beni!$A$4:$Z$4,0),0),"")</f>
        <v/>
      </c>
      <c r="P76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6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6" s="175">
        <f>+SUMIF(B[Bene],Assegnazione[[#This Row],[Bene]],B[Iva se dovuta])*Assegnazione[[#This Row],[Quota di assegnazione]]</f>
        <v>0</v>
      </c>
      <c r="S76" s="175">
        <f>+SUMIF(B[Bene],Assegnazione[[#This Row],[Bene]],B[Imposta di registro (fissa + prop) senza agevolazione])*Assegnazione[[#This Row],[Quota di assegnazione]]</f>
        <v>0</v>
      </c>
      <c r="T76" s="175">
        <f>+SUMIF(B[Bene],Assegnazione[[#This Row],[Bene]],B[Ipotecaria e catastale senza agevolazione])*Assegnazione[[#This Row],[Quota di assegnazione]]</f>
        <v>0</v>
      </c>
      <c r="U76" s="176">
        <f>+SUM(Assegnazione[[#This Row],[Tassazione diretta senza agevolazione]:[Ipotecaria e catastale senza agevolazione]])</f>
        <v>0</v>
      </c>
      <c r="V76" s="175">
        <f>+SUMIF(B[Bene],Assegnazione[[#This Row],[Bene]],B[Imponibile Imposta sostitutiva])*Assegnazione[[#This Row],[Quota di assegnazione]]*DATI!$E$27</f>
        <v>0</v>
      </c>
      <c r="W76" s="175">
        <f>+SUMIF(B[Bene],Assegnazione[[#This Row],[Bene]],B[Imposta di registro in misura fissa agevolata])*Assegnazione[[#This Row],[Quota di assegnazione]]</f>
        <v>0</v>
      </c>
      <c r="X76" s="175">
        <f>+SUMIF(B[Bene],Assegnazione[[#This Row],[Bene]],B[Imposta di registro prop. Agevolata])*Assegnazione[[#This Row],[Quota di assegnazione]]</f>
        <v>0</v>
      </c>
      <c r="Y76" s="175">
        <f>+IFERROR(Assegnazione[[#This Row],[Imposta di registro in misura fissa]]+Assegnazione[[#This Row],[Imposta di registro prop.]],"")</f>
        <v>0</v>
      </c>
      <c r="Z76" s="175">
        <f>+SUMIF(B[Bene],Assegnazione[[#This Row],[Bene]],B[Ipotecaria catastale agevolata])*Assegnazione[[#This Row],[Quota di assegnazione]]</f>
        <v>0</v>
      </c>
    </row>
    <row r="77" spans="1:26" x14ac:dyDescent="0.2">
      <c r="A77" s="123"/>
      <c r="B77" s="132"/>
      <c r="C77" s="123"/>
      <c r="D77" s="172">
        <f>+SUMIF(B[Bene],Assegnazione[[#This Row],[Bene]],B[Imponibile Iva])*Assegnazione[[#This Row],[Quota di assegnazione]]</f>
        <v>0</v>
      </c>
      <c r="E77" s="172">
        <f>+SUMIF(B[Bene],Assegnazione[[#This Row],[Bene]],B[Valore inserito manualmente])*Assegnazione[[#This Row],[Quota di assegnazione]]</f>
        <v>0</v>
      </c>
      <c r="F77" s="173" t="str">
        <f>+IF(A77="","",VLOOKUP(Assegnazione[[#This Row],[Bene]],B[],3,0))</f>
        <v/>
      </c>
      <c r="G77" s="129" t="str">
        <f>+IFERROR(VLOOKUP(Assegnazione[[#This Row],[Bene]],B[],MATCH("Agevolabile",Beni!$A$4:$AC$4,0),0)*VLOOKUP(Assegnazione[[#This Row],[Socio]],A_1[],8,0),"")</f>
        <v/>
      </c>
      <c r="H77" s="172">
        <f>+SUMIF(B[Bene],Assegnazione[[#This Row],[Bene]],B[Valore netto contabile fiscalmente riconosciuto])*Assegnazione[[#This Row],[Quota di assegnazione]]</f>
        <v>0</v>
      </c>
      <c r="I77" s="172">
        <f>+SUMIF(B[Bene],Assegnazione[[#This Row],[Bene]],B[Valore normale])*Assegnazione[[#This Row],[Quota di assegnazione]]</f>
        <v>0</v>
      </c>
      <c r="J77" s="174">
        <f>+IF(Assegnazione[[#This Row],[Bene]]="",0,SUMIF(Assegnazione[Socio],Assegnazione[[#This Row],[Socio]],Assegnazione[Valore Normale])/$I$3)</f>
        <v>0</v>
      </c>
      <c r="K77" s="174" t="str">
        <f>IF(Assegnazione[[#This Row],[Bene]]="","",SUMIF(A_1[Nome],Assegnazione[[#This Row],[Socio]],A_1[Quota partecipazione al momento dell''operazione]))</f>
        <v/>
      </c>
      <c r="L77" s="172">
        <f>+SUMIF(B[Bene],Assegnazione[[#This Row],[Bene]],B[Valore catastale])*Assegnazione[[#This Row],[Quota di assegnazione]]</f>
        <v>0</v>
      </c>
      <c r="M77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7" s="172">
        <f>+MIN(Assegnazione[[#This Row],[Valore ai fini dell''atto]],Assegnazione[[#This Row],[Valore Fiscalmente riconosciuto]])</f>
        <v>0</v>
      </c>
      <c r="O77" s="146" t="str">
        <f>+IFERROR(VLOOKUP(Assegnazione[[#This Row],[Bene]],B[],MATCH($O$4,Beni!$A$4:$Z$4,0),0),"")</f>
        <v/>
      </c>
      <c r="P77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7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7" s="175">
        <f>+SUMIF(B[Bene],Assegnazione[[#This Row],[Bene]],B[Iva se dovuta])*Assegnazione[[#This Row],[Quota di assegnazione]]</f>
        <v>0</v>
      </c>
      <c r="S77" s="175">
        <f>+SUMIF(B[Bene],Assegnazione[[#This Row],[Bene]],B[Imposta di registro (fissa + prop) senza agevolazione])*Assegnazione[[#This Row],[Quota di assegnazione]]</f>
        <v>0</v>
      </c>
      <c r="T77" s="175">
        <f>+SUMIF(B[Bene],Assegnazione[[#This Row],[Bene]],B[Ipotecaria e catastale senza agevolazione])*Assegnazione[[#This Row],[Quota di assegnazione]]</f>
        <v>0</v>
      </c>
      <c r="U77" s="176">
        <f>+SUM(Assegnazione[[#This Row],[Tassazione diretta senza agevolazione]:[Ipotecaria e catastale senza agevolazione]])</f>
        <v>0</v>
      </c>
      <c r="V77" s="175">
        <f>+SUMIF(B[Bene],Assegnazione[[#This Row],[Bene]],B[Imponibile Imposta sostitutiva])*Assegnazione[[#This Row],[Quota di assegnazione]]*DATI!$E$27</f>
        <v>0</v>
      </c>
      <c r="W77" s="175">
        <f>+SUMIF(B[Bene],Assegnazione[[#This Row],[Bene]],B[Imposta di registro in misura fissa agevolata])*Assegnazione[[#This Row],[Quota di assegnazione]]</f>
        <v>0</v>
      </c>
      <c r="X77" s="175">
        <f>+SUMIF(B[Bene],Assegnazione[[#This Row],[Bene]],B[Imposta di registro prop. Agevolata])*Assegnazione[[#This Row],[Quota di assegnazione]]</f>
        <v>0</v>
      </c>
      <c r="Y77" s="175">
        <f>+IFERROR(Assegnazione[[#This Row],[Imposta di registro in misura fissa]]+Assegnazione[[#This Row],[Imposta di registro prop.]],"")</f>
        <v>0</v>
      </c>
      <c r="Z77" s="175">
        <f>+SUMIF(B[Bene],Assegnazione[[#This Row],[Bene]],B[Ipotecaria catastale agevolata])*Assegnazione[[#This Row],[Quota di assegnazione]]</f>
        <v>0</v>
      </c>
    </row>
    <row r="78" spans="1:26" x14ac:dyDescent="0.2">
      <c r="A78" s="123"/>
      <c r="B78" s="132"/>
      <c r="C78" s="123"/>
      <c r="D78" s="172">
        <f>+SUMIF(B[Bene],Assegnazione[[#This Row],[Bene]],B[Imponibile Iva])*Assegnazione[[#This Row],[Quota di assegnazione]]</f>
        <v>0</v>
      </c>
      <c r="E78" s="172">
        <f>+SUMIF(B[Bene],Assegnazione[[#This Row],[Bene]],B[Valore inserito manualmente])*Assegnazione[[#This Row],[Quota di assegnazione]]</f>
        <v>0</v>
      </c>
      <c r="F78" s="173" t="str">
        <f>+IF(A78="","",VLOOKUP(Assegnazione[[#This Row],[Bene]],B[],3,0))</f>
        <v/>
      </c>
      <c r="G78" s="129" t="str">
        <f>+IFERROR(VLOOKUP(Assegnazione[[#This Row],[Bene]],B[],MATCH("Agevolabile",Beni!$A$4:$AC$4,0),0)*VLOOKUP(Assegnazione[[#This Row],[Socio]],A_1[],8,0),"")</f>
        <v/>
      </c>
      <c r="H78" s="172">
        <f>+SUMIF(B[Bene],Assegnazione[[#This Row],[Bene]],B[Valore netto contabile fiscalmente riconosciuto])*Assegnazione[[#This Row],[Quota di assegnazione]]</f>
        <v>0</v>
      </c>
      <c r="I78" s="172">
        <f>+SUMIF(B[Bene],Assegnazione[[#This Row],[Bene]],B[Valore normale])*Assegnazione[[#This Row],[Quota di assegnazione]]</f>
        <v>0</v>
      </c>
      <c r="J78" s="174">
        <f>+IF(Assegnazione[[#This Row],[Bene]]="",0,SUMIF(Assegnazione[Socio],Assegnazione[[#This Row],[Socio]],Assegnazione[Valore Normale])/$I$3)</f>
        <v>0</v>
      </c>
      <c r="K78" s="174" t="str">
        <f>IF(Assegnazione[[#This Row],[Bene]]="","",SUMIF(A_1[Nome],Assegnazione[[#This Row],[Socio]],A_1[Quota partecipazione al momento dell''operazione]))</f>
        <v/>
      </c>
      <c r="L78" s="172">
        <f>+SUMIF(B[Bene],Assegnazione[[#This Row],[Bene]],B[Valore catastale])*Assegnazione[[#This Row],[Quota di assegnazione]]</f>
        <v>0</v>
      </c>
      <c r="M78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8" s="172">
        <f>+MIN(Assegnazione[[#This Row],[Valore ai fini dell''atto]],Assegnazione[[#This Row],[Valore Fiscalmente riconosciuto]])</f>
        <v>0</v>
      </c>
      <c r="O78" s="146" t="str">
        <f>+IFERROR(VLOOKUP(Assegnazione[[#This Row],[Bene]],B[],MATCH($O$4,Beni!$A$4:$Z$4,0),0),"")</f>
        <v/>
      </c>
      <c r="P78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8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8" s="175">
        <f>+SUMIF(B[Bene],Assegnazione[[#This Row],[Bene]],B[Iva se dovuta])*Assegnazione[[#This Row],[Quota di assegnazione]]</f>
        <v>0</v>
      </c>
      <c r="S78" s="175">
        <f>+SUMIF(B[Bene],Assegnazione[[#This Row],[Bene]],B[Imposta di registro (fissa + prop) senza agevolazione])*Assegnazione[[#This Row],[Quota di assegnazione]]</f>
        <v>0</v>
      </c>
      <c r="T78" s="175">
        <f>+SUMIF(B[Bene],Assegnazione[[#This Row],[Bene]],B[Ipotecaria e catastale senza agevolazione])*Assegnazione[[#This Row],[Quota di assegnazione]]</f>
        <v>0</v>
      </c>
      <c r="U78" s="176">
        <f>+SUM(Assegnazione[[#This Row],[Tassazione diretta senza agevolazione]:[Ipotecaria e catastale senza agevolazione]])</f>
        <v>0</v>
      </c>
      <c r="V78" s="175">
        <f>+SUMIF(B[Bene],Assegnazione[[#This Row],[Bene]],B[Imponibile Imposta sostitutiva])*Assegnazione[[#This Row],[Quota di assegnazione]]*DATI!$E$27</f>
        <v>0</v>
      </c>
      <c r="W78" s="175">
        <f>+SUMIF(B[Bene],Assegnazione[[#This Row],[Bene]],B[Imposta di registro in misura fissa agevolata])*Assegnazione[[#This Row],[Quota di assegnazione]]</f>
        <v>0</v>
      </c>
      <c r="X78" s="175">
        <f>+SUMIF(B[Bene],Assegnazione[[#This Row],[Bene]],B[Imposta di registro prop. Agevolata])*Assegnazione[[#This Row],[Quota di assegnazione]]</f>
        <v>0</v>
      </c>
      <c r="Y78" s="175">
        <f>+IFERROR(Assegnazione[[#This Row],[Imposta di registro in misura fissa]]+Assegnazione[[#This Row],[Imposta di registro prop.]],"")</f>
        <v>0</v>
      </c>
      <c r="Z78" s="175">
        <f>+SUMIF(B[Bene],Assegnazione[[#This Row],[Bene]],B[Ipotecaria catastale agevolata])*Assegnazione[[#This Row],[Quota di assegnazione]]</f>
        <v>0</v>
      </c>
    </row>
    <row r="79" spans="1:26" x14ac:dyDescent="0.2">
      <c r="A79" s="123"/>
      <c r="B79" s="132"/>
      <c r="C79" s="123"/>
      <c r="D79" s="172">
        <f>+SUMIF(B[Bene],Assegnazione[[#This Row],[Bene]],B[Imponibile Iva])*Assegnazione[[#This Row],[Quota di assegnazione]]</f>
        <v>0</v>
      </c>
      <c r="E79" s="172">
        <f>+SUMIF(B[Bene],Assegnazione[[#This Row],[Bene]],B[Valore inserito manualmente])*Assegnazione[[#This Row],[Quota di assegnazione]]</f>
        <v>0</v>
      </c>
      <c r="F79" s="173" t="str">
        <f>+IF(A79="","",VLOOKUP(Assegnazione[[#This Row],[Bene]],B[],3,0))</f>
        <v/>
      </c>
      <c r="G79" s="129" t="str">
        <f>+IFERROR(VLOOKUP(Assegnazione[[#This Row],[Bene]],B[],MATCH("Agevolabile",Beni!$A$4:$AC$4,0),0)*VLOOKUP(Assegnazione[[#This Row],[Socio]],A_1[],8,0),"")</f>
        <v/>
      </c>
      <c r="H79" s="172">
        <f>+SUMIF(B[Bene],Assegnazione[[#This Row],[Bene]],B[Valore netto contabile fiscalmente riconosciuto])*Assegnazione[[#This Row],[Quota di assegnazione]]</f>
        <v>0</v>
      </c>
      <c r="I79" s="172">
        <f>+SUMIF(B[Bene],Assegnazione[[#This Row],[Bene]],B[Valore normale])*Assegnazione[[#This Row],[Quota di assegnazione]]</f>
        <v>0</v>
      </c>
      <c r="J79" s="174">
        <f>+IF(Assegnazione[[#This Row],[Bene]]="",0,SUMIF(Assegnazione[Socio],Assegnazione[[#This Row],[Socio]],Assegnazione[Valore Normale])/$I$3)</f>
        <v>0</v>
      </c>
      <c r="K79" s="174" t="str">
        <f>IF(Assegnazione[[#This Row],[Bene]]="","",SUMIF(A_1[Nome],Assegnazione[[#This Row],[Socio]],A_1[Quota partecipazione al momento dell''operazione]))</f>
        <v/>
      </c>
      <c r="L79" s="172">
        <f>+SUMIF(B[Bene],Assegnazione[[#This Row],[Bene]],B[Valore catastale])*Assegnazione[[#This Row],[Quota di assegnazione]]</f>
        <v>0</v>
      </c>
      <c r="M79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9" s="172">
        <f>+MIN(Assegnazione[[#This Row],[Valore ai fini dell''atto]],Assegnazione[[#This Row],[Valore Fiscalmente riconosciuto]])</f>
        <v>0</v>
      </c>
      <c r="O79" s="146" t="str">
        <f>+IFERROR(VLOOKUP(Assegnazione[[#This Row],[Bene]],B[],MATCH($O$4,Beni!$A$4:$Z$4,0),0),"")</f>
        <v/>
      </c>
      <c r="P79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9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9" s="175">
        <f>+SUMIF(B[Bene],Assegnazione[[#This Row],[Bene]],B[Iva se dovuta])*Assegnazione[[#This Row],[Quota di assegnazione]]</f>
        <v>0</v>
      </c>
      <c r="S79" s="175">
        <f>+SUMIF(B[Bene],Assegnazione[[#This Row],[Bene]],B[Imposta di registro (fissa + prop) senza agevolazione])*Assegnazione[[#This Row],[Quota di assegnazione]]</f>
        <v>0</v>
      </c>
      <c r="T79" s="175">
        <f>+SUMIF(B[Bene],Assegnazione[[#This Row],[Bene]],B[Ipotecaria e catastale senza agevolazione])*Assegnazione[[#This Row],[Quota di assegnazione]]</f>
        <v>0</v>
      </c>
      <c r="U79" s="176">
        <f>+SUM(Assegnazione[[#This Row],[Tassazione diretta senza agevolazione]:[Ipotecaria e catastale senza agevolazione]])</f>
        <v>0</v>
      </c>
      <c r="V79" s="175">
        <f>+SUMIF(B[Bene],Assegnazione[[#This Row],[Bene]],B[Imponibile Imposta sostitutiva])*Assegnazione[[#This Row],[Quota di assegnazione]]*DATI!$E$27</f>
        <v>0</v>
      </c>
      <c r="W79" s="175">
        <f>+SUMIF(B[Bene],Assegnazione[[#This Row],[Bene]],B[Imposta di registro in misura fissa agevolata])*Assegnazione[[#This Row],[Quota di assegnazione]]</f>
        <v>0</v>
      </c>
      <c r="X79" s="175">
        <f>+SUMIF(B[Bene],Assegnazione[[#This Row],[Bene]],B[Imposta di registro prop. Agevolata])*Assegnazione[[#This Row],[Quota di assegnazione]]</f>
        <v>0</v>
      </c>
      <c r="Y79" s="175">
        <f>+IFERROR(Assegnazione[[#This Row],[Imposta di registro in misura fissa]]+Assegnazione[[#This Row],[Imposta di registro prop.]],"")</f>
        <v>0</v>
      </c>
      <c r="Z79" s="175">
        <f>+SUMIF(B[Bene],Assegnazione[[#This Row],[Bene]],B[Ipotecaria catastale agevolata])*Assegnazione[[#This Row],[Quota di assegnazione]]</f>
        <v>0</v>
      </c>
    </row>
    <row r="80" spans="1:26" x14ac:dyDescent="0.2">
      <c r="A80" s="123"/>
      <c r="B80" s="132"/>
      <c r="C80" s="123"/>
      <c r="D80" s="172">
        <f>+SUMIF(B[Bene],Assegnazione[[#This Row],[Bene]],B[Imponibile Iva])*Assegnazione[[#This Row],[Quota di assegnazione]]</f>
        <v>0</v>
      </c>
      <c r="E80" s="172">
        <f>+SUMIF(B[Bene],Assegnazione[[#This Row],[Bene]],B[Valore inserito manualmente])*Assegnazione[[#This Row],[Quota di assegnazione]]</f>
        <v>0</v>
      </c>
      <c r="F80" s="173" t="str">
        <f>+IF(A80="","",VLOOKUP(Assegnazione[[#This Row],[Bene]],B[],3,0))</f>
        <v/>
      </c>
      <c r="G80" s="129" t="str">
        <f>+IFERROR(VLOOKUP(Assegnazione[[#This Row],[Bene]],B[],MATCH("Agevolabile",Beni!$A$4:$AC$4,0),0)*VLOOKUP(Assegnazione[[#This Row],[Socio]],A_1[],8,0),"")</f>
        <v/>
      </c>
      <c r="H80" s="172">
        <f>+SUMIF(B[Bene],Assegnazione[[#This Row],[Bene]],B[Valore netto contabile fiscalmente riconosciuto])*Assegnazione[[#This Row],[Quota di assegnazione]]</f>
        <v>0</v>
      </c>
      <c r="I80" s="172">
        <f>+SUMIF(B[Bene],Assegnazione[[#This Row],[Bene]],B[Valore normale])*Assegnazione[[#This Row],[Quota di assegnazione]]</f>
        <v>0</v>
      </c>
      <c r="J80" s="174">
        <f>+IF(Assegnazione[[#This Row],[Bene]]="",0,SUMIF(Assegnazione[Socio],Assegnazione[[#This Row],[Socio]],Assegnazione[Valore Normale])/$I$3)</f>
        <v>0</v>
      </c>
      <c r="K80" s="174" t="str">
        <f>IF(Assegnazione[[#This Row],[Bene]]="","",SUMIF(A_1[Nome],Assegnazione[[#This Row],[Socio]],A_1[Quota partecipazione al momento dell''operazione]))</f>
        <v/>
      </c>
      <c r="L80" s="172">
        <f>+SUMIF(B[Bene],Assegnazione[[#This Row],[Bene]],B[Valore catastale])*Assegnazione[[#This Row],[Quota di assegnazione]]</f>
        <v>0</v>
      </c>
      <c r="M80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0" s="172">
        <f>+MIN(Assegnazione[[#This Row],[Valore ai fini dell''atto]],Assegnazione[[#This Row],[Valore Fiscalmente riconosciuto]])</f>
        <v>0</v>
      </c>
      <c r="O80" s="146" t="str">
        <f>+IFERROR(VLOOKUP(Assegnazione[[#This Row],[Bene]],B[],MATCH($O$4,Beni!$A$4:$Z$4,0),0),"")</f>
        <v/>
      </c>
      <c r="P80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0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0" s="175">
        <f>+SUMIF(B[Bene],Assegnazione[[#This Row],[Bene]],B[Iva se dovuta])*Assegnazione[[#This Row],[Quota di assegnazione]]</f>
        <v>0</v>
      </c>
      <c r="S80" s="175">
        <f>+SUMIF(B[Bene],Assegnazione[[#This Row],[Bene]],B[Imposta di registro (fissa + prop) senza agevolazione])*Assegnazione[[#This Row],[Quota di assegnazione]]</f>
        <v>0</v>
      </c>
      <c r="T80" s="175">
        <f>+SUMIF(B[Bene],Assegnazione[[#This Row],[Bene]],B[Ipotecaria e catastale senza agevolazione])*Assegnazione[[#This Row],[Quota di assegnazione]]</f>
        <v>0</v>
      </c>
      <c r="U80" s="176">
        <f>+SUM(Assegnazione[[#This Row],[Tassazione diretta senza agevolazione]:[Ipotecaria e catastale senza agevolazione]])</f>
        <v>0</v>
      </c>
      <c r="V80" s="175">
        <f>+SUMIF(B[Bene],Assegnazione[[#This Row],[Bene]],B[Imponibile Imposta sostitutiva])*Assegnazione[[#This Row],[Quota di assegnazione]]*DATI!$E$27</f>
        <v>0</v>
      </c>
      <c r="W80" s="175">
        <f>+SUMIF(B[Bene],Assegnazione[[#This Row],[Bene]],B[Imposta di registro in misura fissa agevolata])*Assegnazione[[#This Row],[Quota di assegnazione]]</f>
        <v>0</v>
      </c>
      <c r="X80" s="175">
        <f>+SUMIF(B[Bene],Assegnazione[[#This Row],[Bene]],B[Imposta di registro prop. Agevolata])*Assegnazione[[#This Row],[Quota di assegnazione]]</f>
        <v>0</v>
      </c>
      <c r="Y80" s="175">
        <f>+IFERROR(Assegnazione[[#This Row],[Imposta di registro in misura fissa]]+Assegnazione[[#This Row],[Imposta di registro prop.]],"")</f>
        <v>0</v>
      </c>
      <c r="Z80" s="175">
        <f>+SUMIF(B[Bene],Assegnazione[[#This Row],[Bene]],B[Ipotecaria catastale agevolata])*Assegnazione[[#This Row],[Quota di assegnazione]]</f>
        <v>0</v>
      </c>
    </row>
    <row r="81" spans="1:26" x14ac:dyDescent="0.2">
      <c r="A81" s="123"/>
      <c r="B81" s="132"/>
      <c r="C81" s="123"/>
      <c r="D81" s="172">
        <f>+SUMIF(B[Bene],Assegnazione[[#This Row],[Bene]],B[Imponibile Iva])*Assegnazione[[#This Row],[Quota di assegnazione]]</f>
        <v>0</v>
      </c>
      <c r="E81" s="172">
        <f>+SUMIF(B[Bene],Assegnazione[[#This Row],[Bene]],B[Valore inserito manualmente])*Assegnazione[[#This Row],[Quota di assegnazione]]</f>
        <v>0</v>
      </c>
      <c r="F81" s="173" t="str">
        <f>+IF(A81="","",VLOOKUP(Assegnazione[[#This Row],[Bene]],B[],3,0))</f>
        <v/>
      </c>
      <c r="G81" s="129" t="str">
        <f>+IFERROR(VLOOKUP(Assegnazione[[#This Row],[Bene]],B[],MATCH("Agevolabile",Beni!$A$4:$AC$4,0),0)*VLOOKUP(Assegnazione[[#This Row],[Socio]],A_1[],8,0),"")</f>
        <v/>
      </c>
      <c r="H81" s="172">
        <f>+SUMIF(B[Bene],Assegnazione[[#This Row],[Bene]],B[Valore netto contabile fiscalmente riconosciuto])*Assegnazione[[#This Row],[Quota di assegnazione]]</f>
        <v>0</v>
      </c>
      <c r="I81" s="172">
        <f>+SUMIF(B[Bene],Assegnazione[[#This Row],[Bene]],B[Valore normale])*Assegnazione[[#This Row],[Quota di assegnazione]]</f>
        <v>0</v>
      </c>
      <c r="J81" s="174">
        <f>+IF(Assegnazione[[#This Row],[Bene]]="",0,SUMIF(Assegnazione[Socio],Assegnazione[[#This Row],[Socio]],Assegnazione[Valore Normale])/$I$3)</f>
        <v>0</v>
      </c>
      <c r="K81" s="174" t="str">
        <f>IF(Assegnazione[[#This Row],[Bene]]="","",SUMIF(A_1[Nome],Assegnazione[[#This Row],[Socio]],A_1[Quota partecipazione al momento dell''operazione]))</f>
        <v/>
      </c>
      <c r="L81" s="172">
        <f>+SUMIF(B[Bene],Assegnazione[[#This Row],[Bene]],B[Valore catastale])*Assegnazione[[#This Row],[Quota di assegnazione]]</f>
        <v>0</v>
      </c>
      <c r="M81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1" s="172">
        <f>+MIN(Assegnazione[[#This Row],[Valore ai fini dell''atto]],Assegnazione[[#This Row],[Valore Fiscalmente riconosciuto]])</f>
        <v>0</v>
      </c>
      <c r="O81" s="146" t="str">
        <f>+IFERROR(VLOOKUP(Assegnazione[[#This Row],[Bene]],B[],MATCH($O$4,Beni!$A$4:$Z$4,0),0),"")</f>
        <v/>
      </c>
      <c r="P81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1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1" s="175">
        <f>+SUMIF(B[Bene],Assegnazione[[#This Row],[Bene]],B[Iva se dovuta])*Assegnazione[[#This Row],[Quota di assegnazione]]</f>
        <v>0</v>
      </c>
      <c r="S81" s="175">
        <f>+SUMIF(B[Bene],Assegnazione[[#This Row],[Bene]],B[Imposta di registro (fissa + prop) senza agevolazione])*Assegnazione[[#This Row],[Quota di assegnazione]]</f>
        <v>0</v>
      </c>
      <c r="T81" s="175">
        <f>+SUMIF(B[Bene],Assegnazione[[#This Row],[Bene]],B[Ipotecaria e catastale senza agevolazione])*Assegnazione[[#This Row],[Quota di assegnazione]]</f>
        <v>0</v>
      </c>
      <c r="U81" s="176">
        <f>+SUM(Assegnazione[[#This Row],[Tassazione diretta senza agevolazione]:[Ipotecaria e catastale senza agevolazione]])</f>
        <v>0</v>
      </c>
      <c r="V81" s="175">
        <f>+SUMIF(B[Bene],Assegnazione[[#This Row],[Bene]],B[Imponibile Imposta sostitutiva])*Assegnazione[[#This Row],[Quota di assegnazione]]*DATI!$E$27</f>
        <v>0</v>
      </c>
      <c r="W81" s="175">
        <f>+SUMIF(B[Bene],Assegnazione[[#This Row],[Bene]],B[Imposta di registro in misura fissa agevolata])*Assegnazione[[#This Row],[Quota di assegnazione]]</f>
        <v>0</v>
      </c>
      <c r="X81" s="175">
        <f>+SUMIF(B[Bene],Assegnazione[[#This Row],[Bene]],B[Imposta di registro prop. Agevolata])*Assegnazione[[#This Row],[Quota di assegnazione]]</f>
        <v>0</v>
      </c>
      <c r="Y81" s="175">
        <f>+IFERROR(Assegnazione[[#This Row],[Imposta di registro in misura fissa]]+Assegnazione[[#This Row],[Imposta di registro prop.]],"")</f>
        <v>0</v>
      </c>
      <c r="Z81" s="175">
        <f>+SUMIF(B[Bene],Assegnazione[[#This Row],[Bene]],B[Ipotecaria catastale agevolata])*Assegnazione[[#This Row],[Quota di assegnazione]]</f>
        <v>0</v>
      </c>
    </row>
    <row r="82" spans="1:26" x14ac:dyDescent="0.2">
      <c r="A82" s="123"/>
      <c r="B82" s="132"/>
      <c r="C82" s="123"/>
      <c r="D82" s="172">
        <f>+SUMIF(B[Bene],Assegnazione[[#This Row],[Bene]],B[Imponibile Iva])*Assegnazione[[#This Row],[Quota di assegnazione]]</f>
        <v>0</v>
      </c>
      <c r="E82" s="172">
        <f>+SUMIF(B[Bene],Assegnazione[[#This Row],[Bene]],B[Valore inserito manualmente])*Assegnazione[[#This Row],[Quota di assegnazione]]</f>
        <v>0</v>
      </c>
      <c r="F82" s="173" t="str">
        <f>+IF(A82="","",VLOOKUP(Assegnazione[[#This Row],[Bene]],B[],3,0))</f>
        <v/>
      </c>
      <c r="G82" s="129" t="str">
        <f>+IFERROR(VLOOKUP(Assegnazione[[#This Row],[Bene]],B[],MATCH("Agevolabile",Beni!$A$4:$AC$4,0),0)*VLOOKUP(Assegnazione[[#This Row],[Socio]],A_1[],8,0),"")</f>
        <v/>
      </c>
      <c r="H82" s="172">
        <f>+SUMIF(B[Bene],Assegnazione[[#This Row],[Bene]],B[Valore netto contabile fiscalmente riconosciuto])*Assegnazione[[#This Row],[Quota di assegnazione]]</f>
        <v>0</v>
      </c>
      <c r="I82" s="172">
        <f>+SUMIF(B[Bene],Assegnazione[[#This Row],[Bene]],B[Valore normale])*Assegnazione[[#This Row],[Quota di assegnazione]]</f>
        <v>0</v>
      </c>
      <c r="J82" s="174">
        <f>+IF(Assegnazione[[#This Row],[Bene]]="",0,SUMIF(Assegnazione[Socio],Assegnazione[[#This Row],[Socio]],Assegnazione[Valore Normale])/$I$3)</f>
        <v>0</v>
      </c>
      <c r="K82" s="174" t="str">
        <f>IF(Assegnazione[[#This Row],[Bene]]="","",SUMIF(A_1[Nome],Assegnazione[[#This Row],[Socio]],A_1[Quota partecipazione al momento dell''operazione]))</f>
        <v/>
      </c>
      <c r="L82" s="172">
        <f>+SUMIF(B[Bene],Assegnazione[[#This Row],[Bene]],B[Valore catastale])*Assegnazione[[#This Row],[Quota di assegnazione]]</f>
        <v>0</v>
      </c>
      <c r="M82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2" s="172">
        <f>+MIN(Assegnazione[[#This Row],[Valore ai fini dell''atto]],Assegnazione[[#This Row],[Valore Fiscalmente riconosciuto]])</f>
        <v>0</v>
      </c>
      <c r="O82" s="146" t="str">
        <f>+IFERROR(VLOOKUP(Assegnazione[[#This Row],[Bene]],B[],MATCH($O$4,Beni!$A$4:$Z$4,0),0),"")</f>
        <v/>
      </c>
      <c r="P82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2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2" s="175">
        <f>+SUMIF(B[Bene],Assegnazione[[#This Row],[Bene]],B[Iva se dovuta])*Assegnazione[[#This Row],[Quota di assegnazione]]</f>
        <v>0</v>
      </c>
      <c r="S82" s="175">
        <f>+SUMIF(B[Bene],Assegnazione[[#This Row],[Bene]],B[Imposta di registro (fissa + prop) senza agevolazione])*Assegnazione[[#This Row],[Quota di assegnazione]]</f>
        <v>0</v>
      </c>
      <c r="T82" s="175">
        <f>+SUMIF(B[Bene],Assegnazione[[#This Row],[Bene]],B[Ipotecaria e catastale senza agevolazione])*Assegnazione[[#This Row],[Quota di assegnazione]]</f>
        <v>0</v>
      </c>
      <c r="U82" s="176">
        <f>+SUM(Assegnazione[[#This Row],[Tassazione diretta senza agevolazione]:[Ipotecaria e catastale senza agevolazione]])</f>
        <v>0</v>
      </c>
      <c r="V82" s="175">
        <f>+SUMIF(B[Bene],Assegnazione[[#This Row],[Bene]],B[Imponibile Imposta sostitutiva])*Assegnazione[[#This Row],[Quota di assegnazione]]*DATI!$E$27</f>
        <v>0</v>
      </c>
      <c r="W82" s="175">
        <f>+SUMIF(B[Bene],Assegnazione[[#This Row],[Bene]],B[Imposta di registro in misura fissa agevolata])*Assegnazione[[#This Row],[Quota di assegnazione]]</f>
        <v>0</v>
      </c>
      <c r="X82" s="175">
        <f>+SUMIF(B[Bene],Assegnazione[[#This Row],[Bene]],B[Imposta di registro prop. Agevolata])*Assegnazione[[#This Row],[Quota di assegnazione]]</f>
        <v>0</v>
      </c>
      <c r="Y82" s="175">
        <f>+IFERROR(Assegnazione[[#This Row],[Imposta di registro in misura fissa]]+Assegnazione[[#This Row],[Imposta di registro prop.]],"")</f>
        <v>0</v>
      </c>
      <c r="Z82" s="175">
        <f>+SUMIF(B[Bene],Assegnazione[[#This Row],[Bene]],B[Ipotecaria catastale agevolata])*Assegnazione[[#This Row],[Quota di assegnazione]]</f>
        <v>0</v>
      </c>
    </row>
    <row r="83" spans="1:26" x14ac:dyDescent="0.2">
      <c r="A83" s="123"/>
      <c r="B83" s="132"/>
      <c r="C83" s="123"/>
      <c r="D83" s="172">
        <f>+SUMIF(B[Bene],Assegnazione[[#This Row],[Bene]],B[Imponibile Iva])*Assegnazione[[#This Row],[Quota di assegnazione]]</f>
        <v>0</v>
      </c>
      <c r="E83" s="172">
        <f>+SUMIF(B[Bene],Assegnazione[[#This Row],[Bene]],B[Valore inserito manualmente])*Assegnazione[[#This Row],[Quota di assegnazione]]</f>
        <v>0</v>
      </c>
      <c r="F83" s="173" t="str">
        <f>+IF(A83="","",VLOOKUP(Assegnazione[[#This Row],[Bene]],B[],3,0))</f>
        <v/>
      </c>
      <c r="G83" s="129" t="str">
        <f>+IFERROR(VLOOKUP(Assegnazione[[#This Row],[Bene]],B[],MATCH("Agevolabile",Beni!$A$4:$AC$4,0),0)*VLOOKUP(Assegnazione[[#This Row],[Socio]],A_1[],8,0),"")</f>
        <v/>
      </c>
      <c r="H83" s="172">
        <f>+SUMIF(B[Bene],Assegnazione[[#This Row],[Bene]],B[Valore netto contabile fiscalmente riconosciuto])*Assegnazione[[#This Row],[Quota di assegnazione]]</f>
        <v>0</v>
      </c>
      <c r="I83" s="172">
        <f>+SUMIF(B[Bene],Assegnazione[[#This Row],[Bene]],B[Valore normale])*Assegnazione[[#This Row],[Quota di assegnazione]]</f>
        <v>0</v>
      </c>
      <c r="J83" s="174">
        <f>+IF(Assegnazione[[#This Row],[Bene]]="",0,SUMIF(Assegnazione[Socio],Assegnazione[[#This Row],[Socio]],Assegnazione[Valore Normale])/$I$3)</f>
        <v>0</v>
      </c>
      <c r="K83" s="174" t="str">
        <f>IF(Assegnazione[[#This Row],[Bene]]="","",SUMIF(A_1[Nome],Assegnazione[[#This Row],[Socio]],A_1[Quota partecipazione al momento dell''operazione]))</f>
        <v/>
      </c>
      <c r="L83" s="172">
        <f>+SUMIF(B[Bene],Assegnazione[[#This Row],[Bene]],B[Valore catastale])*Assegnazione[[#This Row],[Quota di assegnazione]]</f>
        <v>0</v>
      </c>
      <c r="M83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3" s="172">
        <f>+MIN(Assegnazione[[#This Row],[Valore ai fini dell''atto]],Assegnazione[[#This Row],[Valore Fiscalmente riconosciuto]])</f>
        <v>0</v>
      </c>
      <c r="O83" s="146" t="str">
        <f>+IFERROR(VLOOKUP(Assegnazione[[#This Row],[Bene]],B[],MATCH($O$4,Beni!$A$4:$Z$4,0),0),"")</f>
        <v/>
      </c>
      <c r="P83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3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3" s="175">
        <f>+SUMIF(B[Bene],Assegnazione[[#This Row],[Bene]],B[Iva se dovuta])*Assegnazione[[#This Row],[Quota di assegnazione]]</f>
        <v>0</v>
      </c>
      <c r="S83" s="175">
        <f>+SUMIF(B[Bene],Assegnazione[[#This Row],[Bene]],B[Imposta di registro (fissa + prop) senza agevolazione])*Assegnazione[[#This Row],[Quota di assegnazione]]</f>
        <v>0</v>
      </c>
      <c r="T83" s="175">
        <f>+SUMIF(B[Bene],Assegnazione[[#This Row],[Bene]],B[Ipotecaria e catastale senza agevolazione])*Assegnazione[[#This Row],[Quota di assegnazione]]</f>
        <v>0</v>
      </c>
      <c r="U83" s="176">
        <f>+SUM(Assegnazione[[#This Row],[Tassazione diretta senza agevolazione]:[Ipotecaria e catastale senza agevolazione]])</f>
        <v>0</v>
      </c>
      <c r="V83" s="175">
        <f>+SUMIF(B[Bene],Assegnazione[[#This Row],[Bene]],B[Imponibile Imposta sostitutiva])*Assegnazione[[#This Row],[Quota di assegnazione]]*DATI!$E$27</f>
        <v>0</v>
      </c>
      <c r="W83" s="175">
        <f>+SUMIF(B[Bene],Assegnazione[[#This Row],[Bene]],B[Imposta di registro in misura fissa agevolata])*Assegnazione[[#This Row],[Quota di assegnazione]]</f>
        <v>0</v>
      </c>
      <c r="X83" s="175">
        <f>+SUMIF(B[Bene],Assegnazione[[#This Row],[Bene]],B[Imposta di registro prop. Agevolata])*Assegnazione[[#This Row],[Quota di assegnazione]]</f>
        <v>0</v>
      </c>
      <c r="Y83" s="175">
        <f>+IFERROR(Assegnazione[[#This Row],[Imposta di registro in misura fissa]]+Assegnazione[[#This Row],[Imposta di registro prop.]],"")</f>
        <v>0</v>
      </c>
      <c r="Z83" s="175">
        <f>+SUMIF(B[Bene],Assegnazione[[#This Row],[Bene]],B[Ipotecaria catastale agevolata])*Assegnazione[[#This Row],[Quota di assegnazione]]</f>
        <v>0</v>
      </c>
    </row>
    <row r="84" spans="1:26" x14ac:dyDescent="0.2">
      <c r="A84" s="123"/>
      <c r="B84" s="132"/>
      <c r="C84" s="123"/>
      <c r="D84" s="172">
        <f>+SUMIF(B[Bene],Assegnazione[[#This Row],[Bene]],B[Imponibile Iva])*Assegnazione[[#This Row],[Quota di assegnazione]]</f>
        <v>0</v>
      </c>
      <c r="E84" s="172">
        <f>+SUMIF(B[Bene],Assegnazione[[#This Row],[Bene]],B[Valore inserito manualmente])*Assegnazione[[#This Row],[Quota di assegnazione]]</f>
        <v>0</v>
      </c>
      <c r="F84" s="173" t="str">
        <f>+IF(A84="","",VLOOKUP(Assegnazione[[#This Row],[Bene]],B[],3,0))</f>
        <v/>
      </c>
      <c r="G84" s="129" t="str">
        <f>+IFERROR(VLOOKUP(Assegnazione[[#This Row],[Bene]],B[],MATCH("Agevolabile",Beni!$A$4:$AC$4,0),0)*VLOOKUP(Assegnazione[[#This Row],[Socio]],A_1[],8,0),"")</f>
        <v/>
      </c>
      <c r="H84" s="172">
        <f>+SUMIF(B[Bene],Assegnazione[[#This Row],[Bene]],B[Valore netto contabile fiscalmente riconosciuto])*Assegnazione[[#This Row],[Quota di assegnazione]]</f>
        <v>0</v>
      </c>
      <c r="I84" s="172">
        <f>+SUMIF(B[Bene],Assegnazione[[#This Row],[Bene]],B[Valore normale])*Assegnazione[[#This Row],[Quota di assegnazione]]</f>
        <v>0</v>
      </c>
      <c r="J84" s="174">
        <f>+IF(Assegnazione[[#This Row],[Bene]]="",0,SUMIF(Assegnazione[Socio],Assegnazione[[#This Row],[Socio]],Assegnazione[Valore Normale])/$I$3)</f>
        <v>0</v>
      </c>
      <c r="K84" s="174" t="str">
        <f>IF(Assegnazione[[#This Row],[Bene]]="","",SUMIF(A_1[Nome],Assegnazione[[#This Row],[Socio]],A_1[Quota partecipazione al momento dell''operazione]))</f>
        <v/>
      </c>
      <c r="L84" s="172">
        <f>+SUMIF(B[Bene],Assegnazione[[#This Row],[Bene]],B[Valore catastale])*Assegnazione[[#This Row],[Quota di assegnazione]]</f>
        <v>0</v>
      </c>
      <c r="M84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4" s="172">
        <f>+MIN(Assegnazione[[#This Row],[Valore ai fini dell''atto]],Assegnazione[[#This Row],[Valore Fiscalmente riconosciuto]])</f>
        <v>0</v>
      </c>
      <c r="O84" s="146" t="str">
        <f>+IFERROR(VLOOKUP(Assegnazione[[#This Row],[Bene]],B[],MATCH($O$4,Beni!$A$4:$Z$4,0),0),"")</f>
        <v/>
      </c>
      <c r="P84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4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4" s="175">
        <f>+SUMIF(B[Bene],Assegnazione[[#This Row],[Bene]],B[Iva se dovuta])*Assegnazione[[#This Row],[Quota di assegnazione]]</f>
        <v>0</v>
      </c>
      <c r="S84" s="175">
        <f>+SUMIF(B[Bene],Assegnazione[[#This Row],[Bene]],B[Imposta di registro (fissa + prop) senza agevolazione])*Assegnazione[[#This Row],[Quota di assegnazione]]</f>
        <v>0</v>
      </c>
      <c r="T84" s="175">
        <f>+SUMIF(B[Bene],Assegnazione[[#This Row],[Bene]],B[Ipotecaria e catastale senza agevolazione])*Assegnazione[[#This Row],[Quota di assegnazione]]</f>
        <v>0</v>
      </c>
      <c r="U84" s="176">
        <f>+SUM(Assegnazione[[#This Row],[Tassazione diretta senza agevolazione]:[Ipotecaria e catastale senza agevolazione]])</f>
        <v>0</v>
      </c>
      <c r="V84" s="175">
        <f>+SUMIF(B[Bene],Assegnazione[[#This Row],[Bene]],B[Imponibile Imposta sostitutiva])*Assegnazione[[#This Row],[Quota di assegnazione]]*DATI!$E$27</f>
        <v>0</v>
      </c>
      <c r="W84" s="175">
        <f>+SUMIF(B[Bene],Assegnazione[[#This Row],[Bene]],B[Imposta di registro in misura fissa agevolata])*Assegnazione[[#This Row],[Quota di assegnazione]]</f>
        <v>0</v>
      </c>
      <c r="X84" s="175">
        <f>+SUMIF(B[Bene],Assegnazione[[#This Row],[Bene]],B[Imposta di registro prop. Agevolata])*Assegnazione[[#This Row],[Quota di assegnazione]]</f>
        <v>0</v>
      </c>
      <c r="Y84" s="175">
        <f>+IFERROR(Assegnazione[[#This Row],[Imposta di registro in misura fissa]]+Assegnazione[[#This Row],[Imposta di registro prop.]],"")</f>
        <v>0</v>
      </c>
      <c r="Z84" s="175">
        <f>+SUMIF(B[Bene],Assegnazione[[#This Row],[Bene]],B[Ipotecaria catastale agevolata])*Assegnazione[[#This Row],[Quota di assegnazione]]</f>
        <v>0</v>
      </c>
    </row>
    <row r="85" spans="1:26" x14ac:dyDescent="0.2">
      <c r="A85" s="123"/>
      <c r="B85" s="132"/>
      <c r="C85" s="123"/>
      <c r="D85" s="172">
        <f>+SUMIF(B[Bene],Assegnazione[[#This Row],[Bene]],B[Imponibile Iva])*Assegnazione[[#This Row],[Quota di assegnazione]]</f>
        <v>0</v>
      </c>
      <c r="E85" s="172">
        <f>+SUMIF(B[Bene],Assegnazione[[#This Row],[Bene]],B[Valore inserito manualmente])*Assegnazione[[#This Row],[Quota di assegnazione]]</f>
        <v>0</v>
      </c>
      <c r="F85" s="173" t="str">
        <f>+IF(A85="","",VLOOKUP(Assegnazione[[#This Row],[Bene]],B[],3,0))</f>
        <v/>
      </c>
      <c r="G85" s="129" t="str">
        <f>+IFERROR(VLOOKUP(Assegnazione[[#This Row],[Bene]],B[],MATCH("Agevolabile",Beni!$A$4:$AC$4,0),0)*VLOOKUP(Assegnazione[[#This Row],[Socio]],A_1[],8,0),"")</f>
        <v/>
      </c>
      <c r="H85" s="172">
        <f>+SUMIF(B[Bene],Assegnazione[[#This Row],[Bene]],B[Valore netto contabile fiscalmente riconosciuto])*Assegnazione[[#This Row],[Quota di assegnazione]]</f>
        <v>0</v>
      </c>
      <c r="I85" s="172">
        <f>+SUMIF(B[Bene],Assegnazione[[#This Row],[Bene]],B[Valore normale])*Assegnazione[[#This Row],[Quota di assegnazione]]</f>
        <v>0</v>
      </c>
      <c r="J85" s="174">
        <f>+IF(Assegnazione[[#This Row],[Bene]]="",0,SUMIF(Assegnazione[Socio],Assegnazione[[#This Row],[Socio]],Assegnazione[Valore Normale])/$I$3)</f>
        <v>0</v>
      </c>
      <c r="K85" s="174" t="str">
        <f>IF(Assegnazione[[#This Row],[Bene]]="","",SUMIF(A_1[Nome],Assegnazione[[#This Row],[Socio]],A_1[Quota partecipazione al momento dell''operazione]))</f>
        <v/>
      </c>
      <c r="L85" s="172">
        <f>+SUMIF(B[Bene],Assegnazione[[#This Row],[Bene]],B[Valore catastale])*Assegnazione[[#This Row],[Quota di assegnazione]]</f>
        <v>0</v>
      </c>
      <c r="M85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5" s="172">
        <f>+MIN(Assegnazione[[#This Row],[Valore ai fini dell''atto]],Assegnazione[[#This Row],[Valore Fiscalmente riconosciuto]])</f>
        <v>0</v>
      </c>
      <c r="O85" s="146" t="str">
        <f>+IFERROR(VLOOKUP(Assegnazione[[#This Row],[Bene]],B[],MATCH($O$4,Beni!$A$4:$Z$4,0),0),"")</f>
        <v/>
      </c>
      <c r="P85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5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5" s="175">
        <f>+SUMIF(B[Bene],Assegnazione[[#This Row],[Bene]],B[Iva se dovuta])*Assegnazione[[#This Row],[Quota di assegnazione]]</f>
        <v>0</v>
      </c>
      <c r="S85" s="175">
        <f>+SUMIF(B[Bene],Assegnazione[[#This Row],[Bene]],B[Imposta di registro (fissa + prop) senza agevolazione])*Assegnazione[[#This Row],[Quota di assegnazione]]</f>
        <v>0</v>
      </c>
      <c r="T85" s="175">
        <f>+SUMIF(B[Bene],Assegnazione[[#This Row],[Bene]],B[Ipotecaria e catastale senza agevolazione])*Assegnazione[[#This Row],[Quota di assegnazione]]</f>
        <v>0</v>
      </c>
      <c r="U85" s="176">
        <f>+SUM(Assegnazione[[#This Row],[Tassazione diretta senza agevolazione]:[Ipotecaria e catastale senza agevolazione]])</f>
        <v>0</v>
      </c>
      <c r="V85" s="175">
        <f>+SUMIF(B[Bene],Assegnazione[[#This Row],[Bene]],B[Imponibile Imposta sostitutiva])*Assegnazione[[#This Row],[Quota di assegnazione]]*DATI!$E$27</f>
        <v>0</v>
      </c>
      <c r="W85" s="175">
        <f>+SUMIF(B[Bene],Assegnazione[[#This Row],[Bene]],B[Imposta di registro in misura fissa agevolata])*Assegnazione[[#This Row],[Quota di assegnazione]]</f>
        <v>0</v>
      </c>
      <c r="X85" s="175">
        <f>+SUMIF(B[Bene],Assegnazione[[#This Row],[Bene]],B[Imposta di registro prop. Agevolata])*Assegnazione[[#This Row],[Quota di assegnazione]]</f>
        <v>0</v>
      </c>
      <c r="Y85" s="175">
        <f>+IFERROR(Assegnazione[[#This Row],[Imposta di registro in misura fissa]]+Assegnazione[[#This Row],[Imposta di registro prop.]],"")</f>
        <v>0</v>
      </c>
      <c r="Z85" s="175">
        <f>+SUMIF(B[Bene],Assegnazione[[#This Row],[Bene]],B[Ipotecaria catastale agevolata])*Assegnazione[[#This Row],[Quota di assegnazione]]</f>
        <v>0</v>
      </c>
    </row>
    <row r="86" spans="1:26" x14ac:dyDescent="0.2">
      <c r="A86" s="123"/>
      <c r="B86" s="132"/>
      <c r="C86" s="123"/>
      <c r="D86" s="172">
        <f>+SUMIF(B[Bene],Assegnazione[[#This Row],[Bene]],B[Imponibile Iva])*Assegnazione[[#This Row],[Quota di assegnazione]]</f>
        <v>0</v>
      </c>
      <c r="E86" s="172">
        <f>+SUMIF(B[Bene],Assegnazione[[#This Row],[Bene]],B[Valore inserito manualmente])*Assegnazione[[#This Row],[Quota di assegnazione]]</f>
        <v>0</v>
      </c>
      <c r="F86" s="173" t="str">
        <f>+IF(A86="","",VLOOKUP(Assegnazione[[#This Row],[Bene]],B[],3,0))</f>
        <v/>
      </c>
      <c r="G86" s="129" t="str">
        <f>+IFERROR(VLOOKUP(Assegnazione[[#This Row],[Bene]],B[],MATCH("Agevolabile",Beni!$A$4:$AC$4,0),0)*VLOOKUP(Assegnazione[[#This Row],[Socio]],A_1[],8,0),"")</f>
        <v/>
      </c>
      <c r="H86" s="172">
        <f>+SUMIF(B[Bene],Assegnazione[[#This Row],[Bene]],B[Valore netto contabile fiscalmente riconosciuto])*Assegnazione[[#This Row],[Quota di assegnazione]]</f>
        <v>0</v>
      </c>
      <c r="I86" s="172">
        <f>+SUMIF(B[Bene],Assegnazione[[#This Row],[Bene]],B[Valore normale])*Assegnazione[[#This Row],[Quota di assegnazione]]</f>
        <v>0</v>
      </c>
      <c r="J86" s="174">
        <f>+IF(Assegnazione[[#This Row],[Bene]]="",0,SUMIF(Assegnazione[Socio],Assegnazione[[#This Row],[Socio]],Assegnazione[Valore Normale])/$I$3)</f>
        <v>0</v>
      </c>
      <c r="K86" s="174" t="str">
        <f>IF(Assegnazione[[#This Row],[Bene]]="","",SUMIF(A_1[Nome],Assegnazione[[#This Row],[Socio]],A_1[Quota partecipazione al momento dell''operazione]))</f>
        <v/>
      </c>
      <c r="L86" s="172">
        <f>+SUMIF(B[Bene],Assegnazione[[#This Row],[Bene]],B[Valore catastale])*Assegnazione[[#This Row],[Quota di assegnazione]]</f>
        <v>0</v>
      </c>
      <c r="M86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6" s="172">
        <f>+MIN(Assegnazione[[#This Row],[Valore ai fini dell''atto]],Assegnazione[[#This Row],[Valore Fiscalmente riconosciuto]])</f>
        <v>0</v>
      </c>
      <c r="O86" s="146" t="str">
        <f>+IFERROR(VLOOKUP(Assegnazione[[#This Row],[Bene]],B[],MATCH($O$4,Beni!$A$4:$Z$4,0),0),"")</f>
        <v/>
      </c>
      <c r="P86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6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6" s="175">
        <f>+SUMIF(B[Bene],Assegnazione[[#This Row],[Bene]],B[Iva se dovuta])*Assegnazione[[#This Row],[Quota di assegnazione]]</f>
        <v>0</v>
      </c>
      <c r="S86" s="175">
        <f>+SUMIF(B[Bene],Assegnazione[[#This Row],[Bene]],B[Imposta di registro (fissa + prop) senza agevolazione])*Assegnazione[[#This Row],[Quota di assegnazione]]</f>
        <v>0</v>
      </c>
      <c r="T86" s="175">
        <f>+SUMIF(B[Bene],Assegnazione[[#This Row],[Bene]],B[Ipotecaria e catastale senza agevolazione])*Assegnazione[[#This Row],[Quota di assegnazione]]</f>
        <v>0</v>
      </c>
      <c r="U86" s="176">
        <f>+SUM(Assegnazione[[#This Row],[Tassazione diretta senza agevolazione]:[Ipotecaria e catastale senza agevolazione]])</f>
        <v>0</v>
      </c>
      <c r="V86" s="175">
        <f>+SUMIF(B[Bene],Assegnazione[[#This Row],[Bene]],B[Imponibile Imposta sostitutiva])*Assegnazione[[#This Row],[Quota di assegnazione]]*DATI!$E$27</f>
        <v>0</v>
      </c>
      <c r="W86" s="175">
        <f>+SUMIF(B[Bene],Assegnazione[[#This Row],[Bene]],B[Imposta di registro in misura fissa agevolata])*Assegnazione[[#This Row],[Quota di assegnazione]]</f>
        <v>0</v>
      </c>
      <c r="X86" s="175">
        <f>+SUMIF(B[Bene],Assegnazione[[#This Row],[Bene]],B[Imposta di registro prop. Agevolata])*Assegnazione[[#This Row],[Quota di assegnazione]]</f>
        <v>0</v>
      </c>
      <c r="Y86" s="175">
        <f>+IFERROR(Assegnazione[[#This Row],[Imposta di registro in misura fissa]]+Assegnazione[[#This Row],[Imposta di registro prop.]],"")</f>
        <v>0</v>
      </c>
      <c r="Z86" s="175">
        <f>+SUMIF(B[Bene],Assegnazione[[#This Row],[Bene]],B[Ipotecaria catastale agevolata])*Assegnazione[[#This Row],[Quota di assegnazione]]</f>
        <v>0</v>
      </c>
    </row>
    <row r="87" spans="1:26" x14ac:dyDescent="0.2">
      <c r="A87" s="123"/>
      <c r="B87" s="132"/>
      <c r="C87" s="123"/>
      <c r="D87" s="172">
        <f>+SUMIF(B[Bene],Assegnazione[[#This Row],[Bene]],B[Imponibile Iva])*Assegnazione[[#This Row],[Quota di assegnazione]]</f>
        <v>0</v>
      </c>
      <c r="E87" s="172">
        <f>+SUMIF(B[Bene],Assegnazione[[#This Row],[Bene]],B[Valore inserito manualmente])*Assegnazione[[#This Row],[Quota di assegnazione]]</f>
        <v>0</v>
      </c>
      <c r="F87" s="173" t="str">
        <f>+IF(A87="","",VLOOKUP(Assegnazione[[#This Row],[Bene]],B[],3,0))</f>
        <v/>
      </c>
      <c r="G87" s="129" t="str">
        <f>+IFERROR(VLOOKUP(Assegnazione[[#This Row],[Bene]],B[],MATCH("Agevolabile",Beni!$A$4:$AC$4,0),0)*VLOOKUP(Assegnazione[[#This Row],[Socio]],A_1[],8,0),"")</f>
        <v/>
      </c>
      <c r="H87" s="172">
        <f>+SUMIF(B[Bene],Assegnazione[[#This Row],[Bene]],B[Valore netto contabile fiscalmente riconosciuto])*Assegnazione[[#This Row],[Quota di assegnazione]]</f>
        <v>0</v>
      </c>
      <c r="I87" s="172">
        <f>+SUMIF(B[Bene],Assegnazione[[#This Row],[Bene]],B[Valore normale])*Assegnazione[[#This Row],[Quota di assegnazione]]</f>
        <v>0</v>
      </c>
      <c r="J87" s="174">
        <f>+IF(Assegnazione[[#This Row],[Bene]]="",0,SUMIF(Assegnazione[Socio],Assegnazione[[#This Row],[Socio]],Assegnazione[Valore Normale])/$I$3)</f>
        <v>0</v>
      </c>
      <c r="K87" s="174" t="str">
        <f>IF(Assegnazione[[#This Row],[Bene]]="","",SUMIF(A_1[Nome],Assegnazione[[#This Row],[Socio]],A_1[Quota partecipazione al momento dell''operazione]))</f>
        <v/>
      </c>
      <c r="L87" s="172">
        <f>+SUMIF(B[Bene],Assegnazione[[#This Row],[Bene]],B[Valore catastale])*Assegnazione[[#This Row],[Quota di assegnazione]]</f>
        <v>0</v>
      </c>
      <c r="M87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7" s="172">
        <f>+MIN(Assegnazione[[#This Row],[Valore ai fini dell''atto]],Assegnazione[[#This Row],[Valore Fiscalmente riconosciuto]])</f>
        <v>0</v>
      </c>
      <c r="O87" s="146" t="str">
        <f>+IFERROR(VLOOKUP(Assegnazione[[#This Row],[Bene]],B[],MATCH($O$4,Beni!$A$4:$Z$4,0),0),"")</f>
        <v/>
      </c>
      <c r="P87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7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7" s="175">
        <f>+SUMIF(B[Bene],Assegnazione[[#This Row],[Bene]],B[Iva se dovuta])*Assegnazione[[#This Row],[Quota di assegnazione]]</f>
        <v>0</v>
      </c>
      <c r="S87" s="175">
        <f>+SUMIF(B[Bene],Assegnazione[[#This Row],[Bene]],B[Imposta di registro (fissa + prop) senza agevolazione])*Assegnazione[[#This Row],[Quota di assegnazione]]</f>
        <v>0</v>
      </c>
      <c r="T87" s="175">
        <f>+SUMIF(B[Bene],Assegnazione[[#This Row],[Bene]],B[Ipotecaria e catastale senza agevolazione])*Assegnazione[[#This Row],[Quota di assegnazione]]</f>
        <v>0</v>
      </c>
      <c r="U87" s="176">
        <f>+SUM(Assegnazione[[#This Row],[Tassazione diretta senza agevolazione]:[Ipotecaria e catastale senza agevolazione]])</f>
        <v>0</v>
      </c>
      <c r="V87" s="175">
        <f>+SUMIF(B[Bene],Assegnazione[[#This Row],[Bene]],B[Imponibile Imposta sostitutiva])*Assegnazione[[#This Row],[Quota di assegnazione]]*DATI!$E$27</f>
        <v>0</v>
      </c>
      <c r="W87" s="175">
        <f>+SUMIF(B[Bene],Assegnazione[[#This Row],[Bene]],B[Imposta di registro in misura fissa agevolata])*Assegnazione[[#This Row],[Quota di assegnazione]]</f>
        <v>0</v>
      </c>
      <c r="X87" s="175">
        <f>+SUMIF(B[Bene],Assegnazione[[#This Row],[Bene]],B[Imposta di registro prop. Agevolata])*Assegnazione[[#This Row],[Quota di assegnazione]]</f>
        <v>0</v>
      </c>
      <c r="Y87" s="175">
        <f>+IFERROR(Assegnazione[[#This Row],[Imposta di registro in misura fissa]]+Assegnazione[[#This Row],[Imposta di registro prop.]],"")</f>
        <v>0</v>
      </c>
      <c r="Z87" s="175">
        <f>+SUMIF(B[Bene],Assegnazione[[#This Row],[Bene]],B[Ipotecaria catastale agevolata])*Assegnazione[[#This Row],[Quota di assegnazione]]</f>
        <v>0</v>
      </c>
    </row>
    <row r="88" spans="1:26" x14ac:dyDescent="0.2">
      <c r="A88" s="123"/>
      <c r="B88" s="132"/>
      <c r="C88" s="123"/>
      <c r="D88" s="172">
        <f>+SUMIF(B[Bene],Assegnazione[[#This Row],[Bene]],B[Imponibile Iva])*Assegnazione[[#This Row],[Quota di assegnazione]]</f>
        <v>0</v>
      </c>
      <c r="E88" s="172">
        <f>+SUMIF(B[Bene],Assegnazione[[#This Row],[Bene]],B[Valore inserito manualmente])*Assegnazione[[#This Row],[Quota di assegnazione]]</f>
        <v>0</v>
      </c>
      <c r="F88" s="173" t="str">
        <f>+IF(A88="","",VLOOKUP(Assegnazione[[#This Row],[Bene]],B[],3,0))</f>
        <v/>
      </c>
      <c r="G88" s="129" t="str">
        <f>+IFERROR(VLOOKUP(Assegnazione[[#This Row],[Bene]],B[],MATCH("Agevolabile",Beni!$A$4:$AC$4,0),0)*VLOOKUP(Assegnazione[[#This Row],[Socio]],A_1[],8,0),"")</f>
        <v/>
      </c>
      <c r="H88" s="172">
        <f>+SUMIF(B[Bene],Assegnazione[[#This Row],[Bene]],B[Valore netto contabile fiscalmente riconosciuto])*Assegnazione[[#This Row],[Quota di assegnazione]]</f>
        <v>0</v>
      </c>
      <c r="I88" s="172">
        <f>+SUMIF(B[Bene],Assegnazione[[#This Row],[Bene]],B[Valore normale])*Assegnazione[[#This Row],[Quota di assegnazione]]</f>
        <v>0</v>
      </c>
      <c r="J88" s="174">
        <f>+IF(Assegnazione[[#This Row],[Bene]]="",0,SUMIF(Assegnazione[Socio],Assegnazione[[#This Row],[Socio]],Assegnazione[Valore Normale])/$I$3)</f>
        <v>0</v>
      </c>
      <c r="K88" s="174" t="str">
        <f>IF(Assegnazione[[#This Row],[Bene]]="","",SUMIF(A_1[Nome],Assegnazione[[#This Row],[Socio]],A_1[Quota partecipazione al momento dell''operazione]))</f>
        <v/>
      </c>
      <c r="L88" s="172">
        <f>+SUMIF(B[Bene],Assegnazione[[#This Row],[Bene]],B[Valore catastale])*Assegnazione[[#This Row],[Quota di assegnazione]]</f>
        <v>0</v>
      </c>
      <c r="M88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8" s="172">
        <f>+MIN(Assegnazione[[#This Row],[Valore ai fini dell''atto]],Assegnazione[[#This Row],[Valore Fiscalmente riconosciuto]])</f>
        <v>0</v>
      </c>
      <c r="O88" s="146" t="str">
        <f>+IFERROR(VLOOKUP(Assegnazione[[#This Row],[Bene]],B[],MATCH($O$4,Beni!$A$4:$Z$4,0),0),"")</f>
        <v/>
      </c>
      <c r="P88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8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8" s="175">
        <f>+SUMIF(B[Bene],Assegnazione[[#This Row],[Bene]],B[Iva se dovuta])*Assegnazione[[#This Row],[Quota di assegnazione]]</f>
        <v>0</v>
      </c>
      <c r="S88" s="175">
        <f>+SUMIF(B[Bene],Assegnazione[[#This Row],[Bene]],B[Imposta di registro (fissa + prop) senza agevolazione])*Assegnazione[[#This Row],[Quota di assegnazione]]</f>
        <v>0</v>
      </c>
      <c r="T88" s="175">
        <f>+SUMIF(B[Bene],Assegnazione[[#This Row],[Bene]],B[Ipotecaria e catastale senza agevolazione])*Assegnazione[[#This Row],[Quota di assegnazione]]</f>
        <v>0</v>
      </c>
      <c r="U88" s="176">
        <f>+SUM(Assegnazione[[#This Row],[Tassazione diretta senza agevolazione]:[Ipotecaria e catastale senza agevolazione]])</f>
        <v>0</v>
      </c>
      <c r="V88" s="175">
        <f>+SUMIF(B[Bene],Assegnazione[[#This Row],[Bene]],B[Imponibile Imposta sostitutiva])*Assegnazione[[#This Row],[Quota di assegnazione]]*DATI!$E$27</f>
        <v>0</v>
      </c>
      <c r="W88" s="175">
        <f>+SUMIF(B[Bene],Assegnazione[[#This Row],[Bene]],B[Imposta di registro in misura fissa agevolata])*Assegnazione[[#This Row],[Quota di assegnazione]]</f>
        <v>0</v>
      </c>
      <c r="X88" s="175">
        <f>+SUMIF(B[Bene],Assegnazione[[#This Row],[Bene]],B[Imposta di registro prop. Agevolata])*Assegnazione[[#This Row],[Quota di assegnazione]]</f>
        <v>0</v>
      </c>
      <c r="Y88" s="175">
        <f>+IFERROR(Assegnazione[[#This Row],[Imposta di registro in misura fissa]]+Assegnazione[[#This Row],[Imposta di registro prop.]],"")</f>
        <v>0</v>
      </c>
      <c r="Z88" s="175">
        <f>+SUMIF(B[Bene],Assegnazione[[#This Row],[Bene]],B[Ipotecaria catastale agevolata])*Assegnazione[[#This Row],[Quota di assegnazione]]</f>
        <v>0</v>
      </c>
    </row>
    <row r="89" spans="1:26" x14ac:dyDescent="0.2">
      <c r="A89" s="123"/>
      <c r="B89" s="132"/>
      <c r="C89" s="123"/>
      <c r="D89" s="172">
        <f>+SUMIF(B[Bene],Assegnazione[[#This Row],[Bene]],B[Imponibile Iva])*Assegnazione[[#This Row],[Quota di assegnazione]]</f>
        <v>0</v>
      </c>
      <c r="E89" s="172">
        <f>+SUMIF(B[Bene],Assegnazione[[#This Row],[Bene]],B[Valore inserito manualmente])*Assegnazione[[#This Row],[Quota di assegnazione]]</f>
        <v>0</v>
      </c>
      <c r="F89" s="173" t="str">
        <f>+IF(A89="","",VLOOKUP(Assegnazione[[#This Row],[Bene]],B[],3,0))</f>
        <v/>
      </c>
      <c r="G89" s="129" t="str">
        <f>+IFERROR(VLOOKUP(Assegnazione[[#This Row],[Bene]],B[],MATCH("Agevolabile",Beni!$A$4:$AC$4,0),0)*VLOOKUP(Assegnazione[[#This Row],[Socio]],A_1[],8,0),"")</f>
        <v/>
      </c>
      <c r="H89" s="172">
        <f>+SUMIF(B[Bene],Assegnazione[[#This Row],[Bene]],B[Valore netto contabile fiscalmente riconosciuto])*Assegnazione[[#This Row],[Quota di assegnazione]]</f>
        <v>0</v>
      </c>
      <c r="I89" s="172">
        <f>+SUMIF(B[Bene],Assegnazione[[#This Row],[Bene]],B[Valore normale])*Assegnazione[[#This Row],[Quota di assegnazione]]</f>
        <v>0</v>
      </c>
      <c r="J89" s="174">
        <f>+IF(Assegnazione[[#This Row],[Bene]]="",0,SUMIF(Assegnazione[Socio],Assegnazione[[#This Row],[Socio]],Assegnazione[Valore Normale])/$I$3)</f>
        <v>0</v>
      </c>
      <c r="K89" s="174" t="str">
        <f>IF(Assegnazione[[#This Row],[Bene]]="","",SUMIF(A_1[Nome],Assegnazione[[#This Row],[Socio]],A_1[Quota partecipazione al momento dell''operazione]))</f>
        <v/>
      </c>
      <c r="L89" s="172">
        <f>+SUMIF(B[Bene],Assegnazione[[#This Row],[Bene]],B[Valore catastale])*Assegnazione[[#This Row],[Quota di assegnazione]]</f>
        <v>0</v>
      </c>
      <c r="M89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9" s="172">
        <f>+MIN(Assegnazione[[#This Row],[Valore ai fini dell''atto]],Assegnazione[[#This Row],[Valore Fiscalmente riconosciuto]])</f>
        <v>0</v>
      </c>
      <c r="O89" s="146" t="str">
        <f>+IFERROR(VLOOKUP(Assegnazione[[#This Row],[Bene]],B[],MATCH($O$4,Beni!$A$4:$Z$4,0),0),"")</f>
        <v/>
      </c>
      <c r="P89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9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9" s="175">
        <f>+SUMIF(B[Bene],Assegnazione[[#This Row],[Bene]],B[Iva se dovuta])*Assegnazione[[#This Row],[Quota di assegnazione]]</f>
        <v>0</v>
      </c>
      <c r="S89" s="175">
        <f>+SUMIF(B[Bene],Assegnazione[[#This Row],[Bene]],B[Imposta di registro (fissa + prop) senza agevolazione])*Assegnazione[[#This Row],[Quota di assegnazione]]</f>
        <v>0</v>
      </c>
      <c r="T89" s="175">
        <f>+SUMIF(B[Bene],Assegnazione[[#This Row],[Bene]],B[Ipotecaria e catastale senza agevolazione])*Assegnazione[[#This Row],[Quota di assegnazione]]</f>
        <v>0</v>
      </c>
      <c r="U89" s="176">
        <f>+SUM(Assegnazione[[#This Row],[Tassazione diretta senza agevolazione]:[Ipotecaria e catastale senza agevolazione]])</f>
        <v>0</v>
      </c>
      <c r="V89" s="175">
        <f>+SUMIF(B[Bene],Assegnazione[[#This Row],[Bene]],B[Imponibile Imposta sostitutiva])*Assegnazione[[#This Row],[Quota di assegnazione]]*DATI!$E$27</f>
        <v>0</v>
      </c>
      <c r="W89" s="175">
        <f>+SUMIF(B[Bene],Assegnazione[[#This Row],[Bene]],B[Imposta di registro in misura fissa agevolata])*Assegnazione[[#This Row],[Quota di assegnazione]]</f>
        <v>0</v>
      </c>
      <c r="X89" s="175">
        <f>+SUMIF(B[Bene],Assegnazione[[#This Row],[Bene]],B[Imposta di registro prop. Agevolata])*Assegnazione[[#This Row],[Quota di assegnazione]]</f>
        <v>0</v>
      </c>
      <c r="Y89" s="175">
        <f>+IFERROR(Assegnazione[[#This Row],[Imposta di registro in misura fissa]]+Assegnazione[[#This Row],[Imposta di registro prop.]],"")</f>
        <v>0</v>
      </c>
      <c r="Z89" s="175">
        <f>+SUMIF(B[Bene],Assegnazione[[#This Row],[Bene]],B[Ipotecaria catastale agevolata])*Assegnazione[[#This Row],[Quota di assegnazione]]</f>
        <v>0</v>
      </c>
    </row>
    <row r="90" spans="1:26" x14ac:dyDescent="0.2">
      <c r="A90" s="123"/>
      <c r="B90" s="132"/>
      <c r="C90" s="123"/>
      <c r="D90" s="172">
        <f>+SUMIF(B[Bene],Assegnazione[[#This Row],[Bene]],B[Imponibile Iva])*Assegnazione[[#This Row],[Quota di assegnazione]]</f>
        <v>0</v>
      </c>
      <c r="E90" s="172">
        <f>+SUMIF(B[Bene],Assegnazione[[#This Row],[Bene]],B[Valore inserito manualmente])*Assegnazione[[#This Row],[Quota di assegnazione]]</f>
        <v>0</v>
      </c>
      <c r="F90" s="173" t="str">
        <f>+IF(A90="","",VLOOKUP(Assegnazione[[#This Row],[Bene]],B[],3,0))</f>
        <v/>
      </c>
      <c r="G90" s="129" t="str">
        <f>+IFERROR(VLOOKUP(Assegnazione[[#This Row],[Bene]],B[],MATCH("Agevolabile",Beni!$A$4:$AC$4,0),0)*VLOOKUP(Assegnazione[[#This Row],[Socio]],A_1[],8,0),"")</f>
        <v/>
      </c>
      <c r="H90" s="172">
        <f>+SUMIF(B[Bene],Assegnazione[[#This Row],[Bene]],B[Valore netto contabile fiscalmente riconosciuto])*Assegnazione[[#This Row],[Quota di assegnazione]]</f>
        <v>0</v>
      </c>
      <c r="I90" s="172">
        <f>+SUMIF(B[Bene],Assegnazione[[#This Row],[Bene]],B[Valore normale])*Assegnazione[[#This Row],[Quota di assegnazione]]</f>
        <v>0</v>
      </c>
      <c r="J90" s="174">
        <f>+IF(Assegnazione[[#This Row],[Bene]]="",0,SUMIF(Assegnazione[Socio],Assegnazione[[#This Row],[Socio]],Assegnazione[Valore Normale])/$I$3)</f>
        <v>0</v>
      </c>
      <c r="K90" s="174" t="str">
        <f>IF(Assegnazione[[#This Row],[Bene]]="","",SUMIF(A_1[Nome],Assegnazione[[#This Row],[Socio]],A_1[Quota partecipazione al momento dell''operazione]))</f>
        <v/>
      </c>
      <c r="L90" s="172">
        <f>+SUMIF(B[Bene],Assegnazione[[#This Row],[Bene]],B[Valore catastale])*Assegnazione[[#This Row],[Quota di assegnazione]]</f>
        <v>0</v>
      </c>
      <c r="M90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0" s="172">
        <f>+MIN(Assegnazione[[#This Row],[Valore ai fini dell''atto]],Assegnazione[[#This Row],[Valore Fiscalmente riconosciuto]])</f>
        <v>0</v>
      </c>
      <c r="O90" s="146" t="str">
        <f>+IFERROR(VLOOKUP(Assegnazione[[#This Row],[Bene]],B[],MATCH($O$4,Beni!$A$4:$Z$4,0),0),"")</f>
        <v/>
      </c>
      <c r="P90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0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0" s="175">
        <f>+SUMIF(B[Bene],Assegnazione[[#This Row],[Bene]],B[Iva se dovuta])*Assegnazione[[#This Row],[Quota di assegnazione]]</f>
        <v>0</v>
      </c>
      <c r="S90" s="175">
        <f>+SUMIF(B[Bene],Assegnazione[[#This Row],[Bene]],B[Imposta di registro (fissa + prop) senza agevolazione])*Assegnazione[[#This Row],[Quota di assegnazione]]</f>
        <v>0</v>
      </c>
      <c r="T90" s="175">
        <f>+SUMIF(B[Bene],Assegnazione[[#This Row],[Bene]],B[Ipotecaria e catastale senza agevolazione])*Assegnazione[[#This Row],[Quota di assegnazione]]</f>
        <v>0</v>
      </c>
      <c r="U90" s="176">
        <f>+SUM(Assegnazione[[#This Row],[Tassazione diretta senza agevolazione]:[Ipotecaria e catastale senza agevolazione]])</f>
        <v>0</v>
      </c>
      <c r="V90" s="175">
        <f>+SUMIF(B[Bene],Assegnazione[[#This Row],[Bene]],B[Imponibile Imposta sostitutiva])*Assegnazione[[#This Row],[Quota di assegnazione]]*DATI!$E$27</f>
        <v>0</v>
      </c>
      <c r="W90" s="175">
        <f>+SUMIF(B[Bene],Assegnazione[[#This Row],[Bene]],B[Imposta di registro in misura fissa agevolata])*Assegnazione[[#This Row],[Quota di assegnazione]]</f>
        <v>0</v>
      </c>
      <c r="X90" s="175">
        <f>+SUMIF(B[Bene],Assegnazione[[#This Row],[Bene]],B[Imposta di registro prop. Agevolata])*Assegnazione[[#This Row],[Quota di assegnazione]]</f>
        <v>0</v>
      </c>
      <c r="Y90" s="175">
        <f>+IFERROR(Assegnazione[[#This Row],[Imposta di registro in misura fissa]]+Assegnazione[[#This Row],[Imposta di registro prop.]],"")</f>
        <v>0</v>
      </c>
      <c r="Z90" s="175">
        <f>+SUMIF(B[Bene],Assegnazione[[#This Row],[Bene]],B[Ipotecaria catastale agevolata])*Assegnazione[[#This Row],[Quota di assegnazione]]</f>
        <v>0</v>
      </c>
    </row>
    <row r="91" spans="1:26" x14ac:dyDescent="0.2">
      <c r="A91" s="123"/>
      <c r="B91" s="132"/>
      <c r="C91" s="123"/>
      <c r="D91" s="172">
        <f>+SUMIF(B[Bene],Assegnazione[[#This Row],[Bene]],B[Imponibile Iva])*Assegnazione[[#This Row],[Quota di assegnazione]]</f>
        <v>0</v>
      </c>
      <c r="E91" s="172">
        <f>+SUMIF(B[Bene],Assegnazione[[#This Row],[Bene]],B[Valore inserito manualmente])*Assegnazione[[#This Row],[Quota di assegnazione]]</f>
        <v>0</v>
      </c>
      <c r="F91" s="173" t="str">
        <f>+IF(A91="","",VLOOKUP(Assegnazione[[#This Row],[Bene]],B[],3,0))</f>
        <v/>
      </c>
      <c r="G91" s="129" t="str">
        <f>+IFERROR(VLOOKUP(Assegnazione[[#This Row],[Bene]],B[],MATCH("Agevolabile",Beni!$A$4:$AC$4,0),0)*VLOOKUP(Assegnazione[[#This Row],[Socio]],A_1[],8,0),"")</f>
        <v/>
      </c>
      <c r="H91" s="172">
        <f>+SUMIF(B[Bene],Assegnazione[[#This Row],[Bene]],B[Valore netto contabile fiscalmente riconosciuto])*Assegnazione[[#This Row],[Quota di assegnazione]]</f>
        <v>0</v>
      </c>
      <c r="I91" s="172">
        <f>+SUMIF(B[Bene],Assegnazione[[#This Row],[Bene]],B[Valore normale])*Assegnazione[[#This Row],[Quota di assegnazione]]</f>
        <v>0</v>
      </c>
      <c r="J91" s="174">
        <f>+IF(Assegnazione[[#This Row],[Bene]]="",0,SUMIF(Assegnazione[Socio],Assegnazione[[#This Row],[Socio]],Assegnazione[Valore Normale])/$I$3)</f>
        <v>0</v>
      </c>
      <c r="K91" s="174" t="str">
        <f>IF(Assegnazione[[#This Row],[Bene]]="","",SUMIF(A_1[Nome],Assegnazione[[#This Row],[Socio]],A_1[Quota partecipazione al momento dell''operazione]))</f>
        <v/>
      </c>
      <c r="L91" s="172">
        <f>+SUMIF(B[Bene],Assegnazione[[#This Row],[Bene]],B[Valore catastale])*Assegnazione[[#This Row],[Quota di assegnazione]]</f>
        <v>0</v>
      </c>
      <c r="M91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1" s="172">
        <f>+MIN(Assegnazione[[#This Row],[Valore ai fini dell''atto]],Assegnazione[[#This Row],[Valore Fiscalmente riconosciuto]])</f>
        <v>0</v>
      </c>
      <c r="O91" s="146" t="str">
        <f>+IFERROR(VLOOKUP(Assegnazione[[#This Row],[Bene]],B[],MATCH($O$4,Beni!$A$4:$Z$4,0),0),"")</f>
        <v/>
      </c>
      <c r="P91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1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1" s="175">
        <f>+SUMIF(B[Bene],Assegnazione[[#This Row],[Bene]],B[Iva se dovuta])*Assegnazione[[#This Row],[Quota di assegnazione]]</f>
        <v>0</v>
      </c>
      <c r="S91" s="175">
        <f>+SUMIF(B[Bene],Assegnazione[[#This Row],[Bene]],B[Imposta di registro (fissa + prop) senza agevolazione])*Assegnazione[[#This Row],[Quota di assegnazione]]</f>
        <v>0</v>
      </c>
      <c r="T91" s="175">
        <f>+SUMIF(B[Bene],Assegnazione[[#This Row],[Bene]],B[Ipotecaria e catastale senza agevolazione])*Assegnazione[[#This Row],[Quota di assegnazione]]</f>
        <v>0</v>
      </c>
      <c r="U91" s="176">
        <f>+SUM(Assegnazione[[#This Row],[Tassazione diretta senza agevolazione]:[Ipotecaria e catastale senza agevolazione]])</f>
        <v>0</v>
      </c>
      <c r="V91" s="175">
        <f>+SUMIF(B[Bene],Assegnazione[[#This Row],[Bene]],B[Imponibile Imposta sostitutiva])*Assegnazione[[#This Row],[Quota di assegnazione]]*DATI!$E$27</f>
        <v>0</v>
      </c>
      <c r="W91" s="175">
        <f>+SUMIF(B[Bene],Assegnazione[[#This Row],[Bene]],B[Imposta di registro in misura fissa agevolata])*Assegnazione[[#This Row],[Quota di assegnazione]]</f>
        <v>0</v>
      </c>
      <c r="X91" s="175">
        <f>+SUMIF(B[Bene],Assegnazione[[#This Row],[Bene]],B[Imposta di registro prop. Agevolata])*Assegnazione[[#This Row],[Quota di assegnazione]]</f>
        <v>0</v>
      </c>
      <c r="Y91" s="175">
        <f>+IFERROR(Assegnazione[[#This Row],[Imposta di registro in misura fissa]]+Assegnazione[[#This Row],[Imposta di registro prop.]],"")</f>
        <v>0</v>
      </c>
      <c r="Z91" s="175">
        <f>+SUMIF(B[Bene],Assegnazione[[#This Row],[Bene]],B[Ipotecaria catastale agevolata])*Assegnazione[[#This Row],[Quota di assegnazione]]</f>
        <v>0</v>
      </c>
    </row>
    <row r="92" spans="1:26" x14ac:dyDescent="0.2">
      <c r="A92" s="123"/>
      <c r="B92" s="132"/>
      <c r="C92" s="123"/>
      <c r="D92" s="172">
        <f>+SUMIF(B[Bene],Assegnazione[[#This Row],[Bene]],B[Imponibile Iva])*Assegnazione[[#This Row],[Quota di assegnazione]]</f>
        <v>0</v>
      </c>
      <c r="E92" s="172">
        <f>+SUMIF(B[Bene],Assegnazione[[#This Row],[Bene]],B[Valore inserito manualmente])*Assegnazione[[#This Row],[Quota di assegnazione]]</f>
        <v>0</v>
      </c>
      <c r="F92" s="173" t="str">
        <f>+IF(A92="","",VLOOKUP(Assegnazione[[#This Row],[Bene]],B[],3,0))</f>
        <v/>
      </c>
      <c r="G92" s="129" t="str">
        <f>+IFERROR(VLOOKUP(Assegnazione[[#This Row],[Bene]],B[],MATCH("Agevolabile",Beni!$A$4:$AC$4,0),0)*VLOOKUP(Assegnazione[[#This Row],[Socio]],A_1[],8,0),"")</f>
        <v/>
      </c>
      <c r="H92" s="172">
        <f>+SUMIF(B[Bene],Assegnazione[[#This Row],[Bene]],B[Valore netto contabile fiscalmente riconosciuto])*Assegnazione[[#This Row],[Quota di assegnazione]]</f>
        <v>0</v>
      </c>
      <c r="I92" s="172">
        <f>+SUMIF(B[Bene],Assegnazione[[#This Row],[Bene]],B[Valore normale])*Assegnazione[[#This Row],[Quota di assegnazione]]</f>
        <v>0</v>
      </c>
      <c r="J92" s="174">
        <f>+IF(Assegnazione[[#This Row],[Bene]]="",0,SUMIF(Assegnazione[Socio],Assegnazione[[#This Row],[Socio]],Assegnazione[Valore Normale])/$I$3)</f>
        <v>0</v>
      </c>
      <c r="K92" s="174" t="str">
        <f>IF(Assegnazione[[#This Row],[Bene]]="","",SUMIF(A_1[Nome],Assegnazione[[#This Row],[Socio]],A_1[Quota partecipazione al momento dell''operazione]))</f>
        <v/>
      </c>
      <c r="L92" s="172">
        <f>+SUMIF(B[Bene],Assegnazione[[#This Row],[Bene]],B[Valore catastale])*Assegnazione[[#This Row],[Quota di assegnazione]]</f>
        <v>0</v>
      </c>
      <c r="M92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2" s="172">
        <f>+MIN(Assegnazione[[#This Row],[Valore ai fini dell''atto]],Assegnazione[[#This Row],[Valore Fiscalmente riconosciuto]])</f>
        <v>0</v>
      </c>
      <c r="O92" s="146" t="str">
        <f>+IFERROR(VLOOKUP(Assegnazione[[#This Row],[Bene]],B[],MATCH($O$4,Beni!$A$4:$Z$4,0),0),"")</f>
        <v/>
      </c>
      <c r="P92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2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2" s="175">
        <f>+SUMIF(B[Bene],Assegnazione[[#This Row],[Bene]],B[Iva se dovuta])*Assegnazione[[#This Row],[Quota di assegnazione]]</f>
        <v>0</v>
      </c>
      <c r="S92" s="175">
        <f>+SUMIF(B[Bene],Assegnazione[[#This Row],[Bene]],B[Imposta di registro (fissa + prop) senza agevolazione])*Assegnazione[[#This Row],[Quota di assegnazione]]</f>
        <v>0</v>
      </c>
      <c r="T92" s="175">
        <f>+SUMIF(B[Bene],Assegnazione[[#This Row],[Bene]],B[Ipotecaria e catastale senza agevolazione])*Assegnazione[[#This Row],[Quota di assegnazione]]</f>
        <v>0</v>
      </c>
      <c r="U92" s="176">
        <f>+SUM(Assegnazione[[#This Row],[Tassazione diretta senza agevolazione]:[Ipotecaria e catastale senza agevolazione]])</f>
        <v>0</v>
      </c>
      <c r="V92" s="175">
        <f>+SUMIF(B[Bene],Assegnazione[[#This Row],[Bene]],B[Imponibile Imposta sostitutiva])*Assegnazione[[#This Row],[Quota di assegnazione]]*DATI!$E$27</f>
        <v>0</v>
      </c>
      <c r="W92" s="175">
        <f>+SUMIF(B[Bene],Assegnazione[[#This Row],[Bene]],B[Imposta di registro in misura fissa agevolata])*Assegnazione[[#This Row],[Quota di assegnazione]]</f>
        <v>0</v>
      </c>
      <c r="X92" s="175">
        <f>+SUMIF(B[Bene],Assegnazione[[#This Row],[Bene]],B[Imposta di registro prop. Agevolata])*Assegnazione[[#This Row],[Quota di assegnazione]]</f>
        <v>0</v>
      </c>
      <c r="Y92" s="175">
        <f>+IFERROR(Assegnazione[[#This Row],[Imposta di registro in misura fissa]]+Assegnazione[[#This Row],[Imposta di registro prop.]],"")</f>
        <v>0</v>
      </c>
      <c r="Z92" s="175">
        <f>+SUMIF(B[Bene],Assegnazione[[#This Row],[Bene]],B[Ipotecaria catastale agevolata])*Assegnazione[[#This Row],[Quota di assegnazione]]</f>
        <v>0</v>
      </c>
    </row>
    <row r="93" spans="1:26" x14ac:dyDescent="0.2">
      <c r="A93" s="123"/>
      <c r="B93" s="132"/>
      <c r="C93" s="123"/>
      <c r="D93" s="172">
        <f>+SUMIF(B[Bene],Assegnazione[[#This Row],[Bene]],B[Imponibile Iva])*Assegnazione[[#This Row],[Quota di assegnazione]]</f>
        <v>0</v>
      </c>
      <c r="E93" s="172">
        <f>+SUMIF(B[Bene],Assegnazione[[#This Row],[Bene]],B[Valore inserito manualmente])*Assegnazione[[#This Row],[Quota di assegnazione]]</f>
        <v>0</v>
      </c>
      <c r="F93" s="173" t="str">
        <f>+IF(A93="","",VLOOKUP(Assegnazione[[#This Row],[Bene]],B[],3,0))</f>
        <v/>
      </c>
      <c r="G93" s="129" t="str">
        <f>+IFERROR(VLOOKUP(Assegnazione[[#This Row],[Bene]],B[],MATCH("Agevolabile",Beni!$A$4:$AC$4,0),0)*VLOOKUP(Assegnazione[[#This Row],[Socio]],A_1[],8,0),"")</f>
        <v/>
      </c>
      <c r="H93" s="172">
        <f>+SUMIF(B[Bene],Assegnazione[[#This Row],[Bene]],B[Valore netto contabile fiscalmente riconosciuto])*Assegnazione[[#This Row],[Quota di assegnazione]]</f>
        <v>0</v>
      </c>
      <c r="I93" s="172">
        <f>+SUMIF(B[Bene],Assegnazione[[#This Row],[Bene]],B[Valore normale])*Assegnazione[[#This Row],[Quota di assegnazione]]</f>
        <v>0</v>
      </c>
      <c r="J93" s="174">
        <f>+IF(Assegnazione[[#This Row],[Bene]]="",0,SUMIF(Assegnazione[Socio],Assegnazione[[#This Row],[Socio]],Assegnazione[Valore Normale])/$I$3)</f>
        <v>0</v>
      </c>
      <c r="K93" s="174" t="str">
        <f>IF(Assegnazione[[#This Row],[Bene]]="","",SUMIF(A_1[Nome],Assegnazione[[#This Row],[Socio]],A_1[Quota partecipazione al momento dell''operazione]))</f>
        <v/>
      </c>
      <c r="L93" s="172">
        <f>+SUMIF(B[Bene],Assegnazione[[#This Row],[Bene]],B[Valore catastale])*Assegnazione[[#This Row],[Quota di assegnazione]]</f>
        <v>0</v>
      </c>
      <c r="M93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3" s="172">
        <f>+MIN(Assegnazione[[#This Row],[Valore ai fini dell''atto]],Assegnazione[[#This Row],[Valore Fiscalmente riconosciuto]])</f>
        <v>0</v>
      </c>
      <c r="O93" s="146" t="str">
        <f>+IFERROR(VLOOKUP(Assegnazione[[#This Row],[Bene]],B[],MATCH($O$4,Beni!$A$4:$Z$4,0),0),"")</f>
        <v/>
      </c>
      <c r="P93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3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3" s="175">
        <f>+SUMIF(B[Bene],Assegnazione[[#This Row],[Bene]],B[Iva se dovuta])*Assegnazione[[#This Row],[Quota di assegnazione]]</f>
        <v>0</v>
      </c>
      <c r="S93" s="175">
        <f>+SUMIF(B[Bene],Assegnazione[[#This Row],[Bene]],B[Imposta di registro (fissa + prop) senza agevolazione])*Assegnazione[[#This Row],[Quota di assegnazione]]</f>
        <v>0</v>
      </c>
      <c r="T93" s="175">
        <f>+SUMIF(B[Bene],Assegnazione[[#This Row],[Bene]],B[Ipotecaria e catastale senza agevolazione])*Assegnazione[[#This Row],[Quota di assegnazione]]</f>
        <v>0</v>
      </c>
      <c r="U93" s="176">
        <f>+SUM(Assegnazione[[#This Row],[Tassazione diretta senza agevolazione]:[Ipotecaria e catastale senza agevolazione]])</f>
        <v>0</v>
      </c>
      <c r="V93" s="175">
        <f>+SUMIF(B[Bene],Assegnazione[[#This Row],[Bene]],B[Imponibile Imposta sostitutiva])*Assegnazione[[#This Row],[Quota di assegnazione]]*DATI!$E$27</f>
        <v>0</v>
      </c>
      <c r="W93" s="175">
        <f>+SUMIF(B[Bene],Assegnazione[[#This Row],[Bene]],B[Imposta di registro in misura fissa agevolata])*Assegnazione[[#This Row],[Quota di assegnazione]]</f>
        <v>0</v>
      </c>
      <c r="X93" s="175">
        <f>+SUMIF(B[Bene],Assegnazione[[#This Row],[Bene]],B[Imposta di registro prop. Agevolata])*Assegnazione[[#This Row],[Quota di assegnazione]]</f>
        <v>0</v>
      </c>
      <c r="Y93" s="175">
        <f>+IFERROR(Assegnazione[[#This Row],[Imposta di registro in misura fissa]]+Assegnazione[[#This Row],[Imposta di registro prop.]],"")</f>
        <v>0</v>
      </c>
      <c r="Z93" s="175">
        <f>+SUMIF(B[Bene],Assegnazione[[#This Row],[Bene]],B[Ipotecaria catastale agevolata])*Assegnazione[[#This Row],[Quota di assegnazione]]</f>
        <v>0</v>
      </c>
    </row>
    <row r="94" spans="1:26" x14ac:dyDescent="0.2">
      <c r="A94" s="123"/>
      <c r="B94" s="132"/>
      <c r="C94" s="123"/>
      <c r="D94" s="172">
        <f>+SUMIF(B[Bene],Assegnazione[[#This Row],[Bene]],B[Imponibile Iva])*Assegnazione[[#This Row],[Quota di assegnazione]]</f>
        <v>0</v>
      </c>
      <c r="E94" s="172">
        <f>+SUMIF(B[Bene],Assegnazione[[#This Row],[Bene]],B[Valore inserito manualmente])*Assegnazione[[#This Row],[Quota di assegnazione]]</f>
        <v>0</v>
      </c>
      <c r="F94" s="173" t="str">
        <f>+IF(A94="","",VLOOKUP(Assegnazione[[#This Row],[Bene]],B[],3,0))</f>
        <v/>
      </c>
      <c r="G94" s="129" t="str">
        <f>+IFERROR(VLOOKUP(Assegnazione[[#This Row],[Bene]],B[],MATCH("Agevolabile",Beni!$A$4:$AC$4,0),0)*VLOOKUP(Assegnazione[[#This Row],[Socio]],A_1[],8,0),"")</f>
        <v/>
      </c>
      <c r="H94" s="172">
        <f>+SUMIF(B[Bene],Assegnazione[[#This Row],[Bene]],B[Valore netto contabile fiscalmente riconosciuto])*Assegnazione[[#This Row],[Quota di assegnazione]]</f>
        <v>0</v>
      </c>
      <c r="I94" s="172">
        <f>+SUMIF(B[Bene],Assegnazione[[#This Row],[Bene]],B[Valore normale])*Assegnazione[[#This Row],[Quota di assegnazione]]</f>
        <v>0</v>
      </c>
      <c r="J94" s="174">
        <f>+IF(Assegnazione[[#This Row],[Bene]]="",0,SUMIF(Assegnazione[Socio],Assegnazione[[#This Row],[Socio]],Assegnazione[Valore Normale])/$I$3)</f>
        <v>0</v>
      </c>
      <c r="K94" s="174" t="str">
        <f>IF(Assegnazione[[#This Row],[Bene]]="","",SUMIF(A_1[Nome],Assegnazione[[#This Row],[Socio]],A_1[Quota partecipazione al momento dell''operazione]))</f>
        <v/>
      </c>
      <c r="L94" s="172">
        <f>+SUMIF(B[Bene],Assegnazione[[#This Row],[Bene]],B[Valore catastale])*Assegnazione[[#This Row],[Quota di assegnazione]]</f>
        <v>0</v>
      </c>
      <c r="M94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4" s="172">
        <f>+MIN(Assegnazione[[#This Row],[Valore ai fini dell''atto]],Assegnazione[[#This Row],[Valore Fiscalmente riconosciuto]])</f>
        <v>0</v>
      </c>
      <c r="O94" s="146" t="str">
        <f>+IFERROR(VLOOKUP(Assegnazione[[#This Row],[Bene]],B[],MATCH($O$4,Beni!$A$4:$Z$4,0),0),"")</f>
        <v/>
      </c>
      <c r="P94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4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4" s="175">
        <f>+SUMIF(B[Bene],Assegnazione[[#This Row],[Bene]],B[Iva se dovuta])*Assegnazione[[#This Row],[Quota di assegnazione]]</f>
        <v>0</v>
      </c>
      <c r="S94" s="175">
        <f>+SUMIF(B[Bene],Assegnazione[[#This Row],[Bene]],B[Imposta di registro (fissa + prop) senza agevolazione])*Assegnazione[[#This Row],[Quota di assegnazione]]</f>
        <v>0</v>
      </c>
      <c r="T94" s="175">
        <f>+SUMIF(B[Bene],Assegnazione[[#This Row],[Bene]],B[Ipotecaria e catastale senza agevolazione])*Assegnazione[[#This Row],[Quota di assegnazione]]</f>
        <v>0</v>
      </c>
      <c r="U94" s="176">
        <f>+SUM(Assegnazione[[#This Row],[Tassazione diretta senza agevolazione]:[Ipotecaria e catastale senza agevolazione]])</f>
        <v>0</v>
      </c>
      <c r="V94" s="175">
        <f>+SUMIF(B[Bene],Assegnazione[[#This Row],[Bene]],B[Imponibile Imposta sostitutiva])*Assegnazione[[#This Row],[Quota di assegnazione]]*DATI!$E$27</f>
        <v>0</v>
      </c>
      <c r="W94" s="175">
        <f>+SUMIF(B[Bene],Assegnazione[[#This Row],[Bene]],B[Imposta di registro in misura fissa agevolata])*Assegnazione[[#This Row],[Quota di assegnazione]]</f>
        <v>0</v>
      </c>
      <c r="X94" s="175">
        <f>+SUMIF(B[Bene],Assegnazione[[#This Row],[Bene]],B[Imposta di registro prop. Agevolata])*Assegnazione[[#This Row],[Quota di assegnazione]]</f>
        <v>0</v>
      </c>
      <c r="Y94" s="175">
        <f>+IFERROR(Assegnazione[[#This Row],[Imposta di registro in misura fissa]]+Assegnazione[[#This Row],[Imposta di registro prop.]],"")</f>
        <v>0</v>
      </c>
      <c r="Z94" s="175">
        <f>+SUMIF(B[Bene],Assegnazione[[#This Row],[Bene]],B[Ipotecaria catastale agevolata])*Assegnazione[[#This Row],[Quota di assegnazione]]</f>
        <v>0</v>
      </c>
    </row>
    <row r="95" spans="1:26" x14ac:dyDescent="0.2">
      <c r="A95" s="123"/>
      <c r="B95" s="132"/>
      <c r="C95" s="123"/>
      <c r="D95" s="172">
        <f>+SUMIF(B[Bene],Assegnazione[[#This Row],[Bene]],B[Imponibile Iva])*Assegnazione[[#This Row],[Quota di assegnazione]]</f>
        <v>0</v>
      </c>
      <c r="E95" s="172">
        <f>+SUMIF(B[Bene],Assegnazione[[#This Row],[Bene]],B[Valore inserito manualmente])*Assegnazione[[#This Row],[Quota di assegnazione]]</f>
        <v>0</v>
      </c>
      <c r="F95" s="173" t="str">
        <f>+IF(A95="","",VLOOKUP(Assegnazione[[#This Row],[Bene]],B[],3,0))</f>
        <v/>
      </c>
      <c r="G95" s="129" t="str">
        <f>+IFERROR(VLOOKUP(Assegnazione[[#This Row],[Bene]],B[],MATCH("Agevolabile",Beni!$A$4:$AC$4,0),0)*VLOOKUP(Assegnazione[[#This Row],[Socio]],A_1[],8,0),"")</f>
        <v/>
      </c>
      <c r="H95" s="172">
        <f>+SUMIF(B[Bene],Assegnazione[[#This Row],[Bene]],B[Valore netto contabile fiscalmente riconosciuto])*Assegnazione[[#This Row],[Quota di assegnazione]]</f>
        <v>0</v>
      </c>
      <c r="I95" s="172">
        <f>+SUMIF(B[Bene],Assegnazione[[#This Row],[Bene]],B[Valore normale])*Assegnazione[[#This Row],[Quota di assegnazione]]</f>
        <v>0</v>
      </c>
      <c r="J95" s="174">
        <f>+IF(Assegnazione[[#This Row],[Bene]]="",0,SUMIF(Assegnazione[Socio],Assegnazione[[#This Row],[Socio]],Assegnazione[Valore Normale])/$I$3)</f>
        <v>0</v>
      </c>
      <c r="K95" s="174" t="str">
        <f>IF(Assegnazione[[#This Row],[Bene]]="","",SUMIF(A_1[Nome],Assegnazione[[#This Row],[Socio]],A_1[Quota partecipazione al momento dell''operazione]))</f>
        <v/>
      </c>
      <c r="L95" s="172">
        <f>+SUMIF(B[Bene],Assegnazione[[#This Row],[Bene]],B[Valore catastale])*Assegnazione[[#This Row],[Quota di assegnazione]]</f>
        <v>0</v>
      </c>
      <c r="M95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5" s="172">
        <f>+MIN(Assegnazione[[#This Row],[Valore ai fini dell''atto]],Assegnazione[[#This Row],[Valore Fiscalmente riconosciuto]])</f>
        <v>0</v>
      </c>
      <c r="O95" s="146" t="str">
        <f>+IFERROR(VLOOKUP(Assegnazione[[#This Row],[Bene]],B[],MATCH($O$4,Beni!$A$4:$Z$4,0),0),"")</f>
        <v/>
      </c>
      <c r="P95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5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5" s="175">
        <f>+SUMIF(B[Bene],Assegnazione[[#This Row],[Bene]],B[Iva se dovuta])*Assegnazione[[#This Row],[Quota di assegnazione]]</f>
        <v>0</v>
      </c>
      <c r="S95" s="175">
        <f>+SUMIF(B[Bene],Assegnazione[[#This Row],[Bene]],B[Imposta di registro (fissa + prop) senza agevolazione])*Assegnazione[[#This Row],[Quota di assegnazione]]</f>
        <v>0</v>
      </c>
      <c r="T95" s="175">
        <f>+SUMIF(B[Bene],Assegnazione[[#This Row],[Bene]],B[Ipotecaria e catastale senza agevolazione])*Assegnazione[[#This Row],[Quota di assegnazione]]</f>
        <v>0</v>
      </c>
      <c r="U95" s="176">
        <f>+SUM(Assegnazione[[#This Row],[Tassazione diretta senza agevolazione]:[Ipotecaria e catastale senza agevolazione]])</f>
        <v>0</v>
      </c>
      <c r="V95" s="175">
        <f>+SUMIF(B[Bene],Assegnazione[[#This Row],[Bene]],B[Imponibile Imposta sostitutiva])*Assegnazione[[#This Row],[Quota di assegnazione]]*DATI!$E$27</f>
        <v>0</v>
      </c>
      <c r="W95" s="175">
        <f>+SUMIF(B[Bene],Assegnazione[[#This Row],[Bene]],B[Imposta di registro in misura fissa agevolata])*Assegnazione[[#This Row],[Quota di assegnazione]]</f>
        <v>0</v>
      </c>
      <c r="X95" s="175">
        <f>+SUMIF(B[Bene],Assegnazione[[#This Row],[Bene]],B[Imposta di registro prop. Agevolata])*Assegnazione[[#This Row],[Quota di assegnazione]]</f>
        <v>0</v>
      </c>
      <c r="Y95" s="175">
        <f>+IFERROR(Assegnazione[[#This Row],[Imposta di registro in misura fissa]]+Assegnazione[[#This Row],[Imposta di registro prop.]],"")</f>
        <v>0</v>
      </c>
      <c r="Z95" s="175">
        <f>+SUMIF(B[Bene],Assegnazione[[#This Row],[Bene]],B[Ipotecaria catastale agevolata])*Assegnazione[[#This Row],[Quota di assegnazione]]</f>
        <v>0</v>
      </c>
    </row>
    <row r="96" spans="1:26" x14ac:dyDescent="0.2">
      <c r="A96" s="123"/>
      <c r="B96" s="132"/>
      <c r="C96" s="123"/>
      <c r="D96" s="172">
        <f>+SUMIF(B[Bene],Assegnazione[[#This Row],[Bene]],B[Imponibile Iva])*Assegnazione[[#This Row],[Quota di assegnazione]]</f>
        <v>0</v>
      </c>
      <c r="E96" s="172">
        <f>+SUMIF(B[Bene],Assegnazione[[#This Row],[Bene]],B[Valore inserito manualmente])*Assegnazione[[#This Row],[Quota di assegnazione]]</f>
        <v>0</v>
      </c>
      <c r="F96" s="173" t="str">
        <f>+IF(A96="","",VLOOKUP(Assegnazione[[#This Row],[Bene]],B[],3,0))</f>
        <v/>
      </c>
      <c r="G96" s="129" t="str">
        <f>+IFERROR(VLOOKUP(Assegnazione[[#This Row],[Bene]],B[],MATCH("Agevolabile",Beni!$A$4:$AC$4,0),0)*VLOOKUP(Assegnazione[[#This Row],[Socio]],A_1[],8,0),"")</f>
        <v/>
      </c>
      <c r="H96" s="172">
        <f>+SUMIF(B[Bene],Assegnazione[[#This Row],[Bene]],B[Valore netto contabile fiscalmente riconosciuto])*Assegnazione[[#This Row],[Quota di assegnazione]]</f>
        <v>0</v>
      </c>
      <c r="I96" s="172">
        <f>+SUMIF(B[Bene],Assegnazione[[#This Row],[Bene]],B[Valore normale])*Assegnazione[[#This Row],[Quota di assegnazione]]</f>
        <v>0</v>
      </c>
      <c r="J96" s="174">
        <f>+IF(Assegnazione[[#This Row],[Bene]]="",0,SUMIF(Assegnazione[Socio],Assegnazione[[#This Row],[Socio]],Assegnazione[Valore Normale])/$I$3)</f>
        <v>0</v>
      </c>
      <c r="K96" s="174" t="str">
        <f>IF(Assegnazione[[#This Row],[Bene]]="","",SUMIF(A_1[Nome],Assegnazione[[#This Row],[Socio]],A_1[Quota partecipazione al momento dell''operazione]))</f>
        <v/>
      </c>
      <c r="L96" s="172">
        <f>+SUMIF(B[Bene],Assegnazione[[#This Row],[Bene]],B[Valore catastale])*Assegnazione[[#This Row],[Quota di assegnazione]]</f>
        <v>0</v>
      </c>
      <c r="M96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6" s="172">
        <f>+MIN(Assegnazione[[#This Row],[Valore ai fini dell''atto]],Assegnazione[[#This Row],[Valore Fiscalmente riconosciuto]])</f>
        <v>0</v>
      </c>
      <c r="O96" s="146" t="str">
        <f>+IFERROR(VLOOKUP(Assegnazione[[#This Row],[Bene]],B[],MATCH($O$4,Beni!$A$4:$Z$4,0),0),"")</f>
        <v/>
      </c>
      <c r="P96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6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6" s="175">
        <f>+SUMIF(B[Bene],Assegnazione[[#This Row],[Bene]],B[Iva se dovuta])*Assegnazione[[#This Row],[Quota di assegnazione]]</f>
        <v>0</v>
      </c>
      <c r="S96" s="175">
        <f>+SUMIF(B[Bene],Assegnazione[[#This Row],[Bene]],B[Imposta di registro (fissa + prop) senza agevolazione])*Assegnazione[[#This Row],[Quota di assegnazione]]</f>
        <v>0</v>
      </c>
      <c r="T96" s="175">
        <f>+SUMIF(B[Bene],Assegnazione[[#This Row],[Bene]],B[Ipotecaria e catastale senza agevolazione])*Assegnazione[[#This Row],[Quota di assegnazione]]</f>
        <v>0</v>
      </c>
      <c r="U96" s="176">
        <f>+SUM(Assegnazione[[#This Row],[Tassazione diretta senza agevolazione]:[Ipotecaria e catastale senza agevolazione]])</f>
        <v>0</v>
      </c>
      <c r="V96" s="175">
        <f>+SUMIF(B[Bene],Assegnazione[[#This Row],[Bene]],B[Imponibile Imposta sostitutiva])*Assegnazione[[#This Row],[Quota di assegnazione]]*DATI!$E$27</f>
        <v>0</v>
      </c>
      <c r="W96" s="175">
        <f>+SUMIF(B[Bene],Assegnazione[[#This Row],[Bene]],B[Imposta di registro in misura fissa agevolata])*Assegnazione[[#This Row],[Quota di assegnazione]]</f>
        <v>0</v>
      </c>
      <c r="X96" s="175">
        <f>+SUMIF(B[Bene],Assegnazione[[#This Row],[Bene]],B[Imposta di registro prop. Agevolata])*Assegnazione[[#This Row],[Quota di assegnazione]]</f>
        <v>0</v>
      </c>
      <c r="Y96" s="175">
        <f>+IFERROR(Assegnazione[[#This Row],[Imposta di registro in misura fissa]]+Assegnazione[[#This Row],[Imposta di registro prop.]],"")</f>
        <v>0</v>
      </c>
      <c r="Z96" s="175">
        <f>+SUMIF(B[Bene],Assegnazione[[#This Row],[Bene]],B[Ipotecaria catastale agevolata])*Assegnazione[[#This Row],[Quota di assegnazione]]</f>
        <v>0</v>
      </c>
    </row>
    <row r="97" spans="1:26" x14ac:dyDescent="0.2">
      <c r="A97" s="123"/>
      <c r="B97" s="132"/>
      <c r="C97" s="123"/>
      <c r="D97" s="172">
        <f>+SUMIF(B[Bene],Assegnazione[[#This Row],[Bene]],B[Imponibile Iva])*Assegnazione[[#This Row],[Quota di assegnazione]]</f>
        <v>0</v>
      </c>
      <c r="E97" s="172">
        <f>+SUMIF(B[Bene],Assegnazione[[#This Row],[Bene]],B[Valore inserito manualmente])*Assegnazione[[#This Row],[Quota di assegnazione]]</f>
        <v>0</v>
      </c>
      <c r="F97" s="173" t="str">
        <f>+IF(A97="","",VLOOKUP(Assegnazione[[#This Row],[Bene]],B[],3,0))</f>
        <v/>
      </c>
      <c r="G97" s="129" t="str">
        <f>+IFERROR(VLOOKUP(Assegnazione[[#This Row],[Bene]],B[],MATCH("Agevolabile",Beni!$A$4:$AC$4,0),0)*VLOOKUP(Assegnazione[[#This Row],[Socio]],A_1[],8,0),"")</f>
        <v/>
      </c>
      <c r="H97" s="172">
        <f>+SUMIF(B[Bene],Assegnazione[[#This Row],[Bene]],B[Valore netto contabile fiscalmente riconosciuto])*Assegnazione[[#This Row],[Quota di assegnazione]]</f>
        <v>0</v>
      </c>
      <c r="I97" s="172">
        <f>+SUMIF(B[Bene],Assegnazione[[#This Row],[Bene]],B[Valore normale])*Assegnazione[[#This Row],[Quota di assegnazione]]</f>
        <v>0</v>
      </c>
      <c r="J97" s="174">
        <f>+IF(Assegnazione[[#This Row],[Bene]]="",0,SUMIF(Assegnazione[Socio],Assegnazione[[#This Row],[Socio]],Assegnazione[Valore Normale])/$I$3)</f>
        <v>0</v>
      </c>
      <c r="K97" s="174" t="str">
        <f>IF(Assegnazione[[#This Row],[Bene]]="","",SUMIF(A_1[Nome],Assegnazione[[#This Row],[Socio]],A_1[Quota partecipazione al momento dell''operazione]))</f>
        <v/>
      </c>
      <c r="L97" s="172">
        <f>+SUMIF(B[Bene],Assegnazione[[#This Row],[Bene]],B[Valore catastale])*Assegnazione[[#This Row],[Quota di assegnazione]]</f>
        <v>0</v>
      </c>
      <c r="M97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7" s="172">
        <f>+MIN(Assegnazione[[#This Row],[Valore ai fini dell''atto]],Assegnazione[[#This Row],[Valore Fiscalmente riconosciuto]])</f>
        <v>0</v>
      </c>
      <c r="O97" s="146" t="str">
        <f>+IFERROR(VLOOKUP(Assegnazione[[#This Row],[Bene]],B[],MATCH($O$4,Beni!$A$4:$Z$4,0),0),"")</f>
        <v/>
      </c>
      <c r="P97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7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7" s="175">
        <f>+SUMIF(B[Bene],Assegnazione[[#This Row],[Bene]],B[Iva se dovuta])*Assegnazione[[#This Row],[Quota di assegnazione]]</f>
        <v>0</v>
      </c>
      <c r="S97" s="175">
        <f>+SUMIF(B[Bene],Assegnazione[[#This Row],[Bene]],B[Imposta di registro (fissa + prop) senza agevolazione])*Assegnazione[[#This Row],[Quota di assegnazione]]</f>
        <v>0</v>
      </c>
      <c r="T97" s="175">
        <f>+SUMIF(B[Bene],Assegnazione[[#This Row],[Bene]],B[Ipotecaria e catastale senza agevolazione])*Assegnazione[[#This Row],[Quota di assegnazione]]</f>
        <v>0</v>
      </c>
      <c r="U97" s="176">
        <f>+SUM(Assegnazione[[#This Row],[Tassazione diretta senza agevolazione]:[Ipotecaria e catastale senza agevolazione]])</f>
        <v>0</v>
      </c>
      <c r="V97" s="175">
        <f>+SUMIF(B[Bene],Assegnazione[[#This Row],[Bene]],B[Imponibile Imposta sostitutiva])*Assegnazione[[#This Row],[Quota di assegnazione]]*DATI!$E$27</f>
        <v>0</v>
      </c>
      <c r="W97" s="175">
        <f>+SUMIF(B[Bene],Assegnazione[[#This Row],[Bene]],B[Imposta di registro in misura fissa agevolata])*Assegnazione[[#This Row],[Quota di assegnazione]]</f>
        <v>0</v>
      </c>
      <c r="X97" s="175">
        <f>+SUMIF(B[Bene],Assegnazione[[#This Row],[Bene]],B[Imposta di registro prop. Agevolata])*Assegnazione[[#This Row],[Quota di assegnazione]]</f>
        <v>0</v>
      </c>
      <c r="Y97" s="175">
        <f>+IFERROR(Assegnazione[[#This Row],[Imposta di registro in misura fissa]]+Assegnazione[[#This Row],[Imposta di registro prop.]],"")</f>
        <v>0</v>
      </c>
      <c r="Z97" s="175">
        <f>+SUMIF(B[Bene],Assegnazione[[#This Row],[Bene]],B[Ipotecaria catastale agevolata])*Assegnazione[[#This Row],[Quota di assegnazione]]</f>
        <v>0</v>
      </c>
    </row>
    <row r="98" spans="1:26" x14ac:dyDescent="0.2">
      <c r="A98" s="123"/>
      <c r="B98" s="132"/>
      <c r="C98" s="123"/>
      <c r="D98" s="172">
        <f>+SUMIF(B[Bene],Assegnazione[[#This Row],[Bene]],B[Imponibile Iva])*Assegnazione[[#This Row],[Quota di assegnazione]]</f>
        <v>0</v>
      </c>
      <c r="E98" s="172">
        <f>+SUMIF(B[Bene],Assegnazione[[#This Row],[Bene]],B[Valore inserito manualmente])*Assegnazione[[#This Row],[Quota di assegnazione]]</f>
        <v>0</v>
      </c>
      <c r="F98" s="173" t="str">
        <f>+IF(A98="","",VLOOKUP(Assegnazione[[#This Row],[Bene]],B[],3,0))</f>
        <v/>
      </c>
      <c r="G98" s="129" t="str">
        <f>+IFERROR(VLOOKUP(Assegnazione[[#This Row],[Bene]],B[],MATCH("Agevolabile",Beni!$A$4:$AC$4,0),0)*VLOOKUP(Assegnazione[[#This Row],[Socio]],A_1[],8,0),"")</f>
        <v/>
      </c>
      <c r="H98" s="172">
        <f>+SUMIF(B[Bene],Assegnazione[[#This Row],[Bene]],B[Valore netto contabile fiscalmente riconosciuto])*Assegnazione[[#This Row],[Quota di assegnazione]]</f>
        <v>0</v>
      </c>
      <c r="I98" s="172">
        <f>+SUMIF(B[Bene],Assegnazione[[#This Row],[Bene]],B[Valore normale])*Assegnazione[[#This Row],[Quota di assegnazione]]</f>
        <v>0</v>
      </c>
      <c r="J98" s="174">
        <f>+IF(Assegnazione[[#This Row],[Bene]]="",0,SUMIF(Assegnazione[Socio],Assegnazione[[#This Row],[Socio]],Assegnazione[Valore Normale])/$I$3)</f>
        <v>0</v>
      </c>
      <c r="K98" s="174" t="str">
        <f>IF(Assegnazione[[#This Row],[Bene]]="","",SUMIF(A_1[Nome],Assegnazione[[#This Row],[Socio]],A_1[Quota partecipazione al momento dell''operazione]))</f>
        <v/>
      </c>
      <c r="L98" s="172">
        <f>+SUMIF(B[Bene],Assegnazione[[#This Row],[Bene]],B[Valore catastale])*Assegnazione[[#This Row],[Quota di assegnazione]]</f>
        <v>0</v>
      </c>
      <c r="M98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8" s="172">
        <f>+MIN(Assegnazione[[#This Row],[Valore ai fini dell''atto]],Assegnazione[[#This Row],[Valore Fiscalmente riconosciuto]])</f>
        <v>0</v>
      </c>
      <c r="O98" s="146" t="str">
        <f>+IFERROR(VLOOKUP(Assegnazione[[#This Row],[Bene]],B[],MATCH($O$4,Beni!$A$4:$Z$4,0),0),"")</f>
        <v/>
      </c>
      <c r="P98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8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8" s="175">
        <f>+SUMIF(B[Bene],Assegnazione[[#This Row],[Bene]],B[Iva se dovuta])*Assegnazione[[#This Row],[Quota di assegnazione]]</f>
        <v>0</v>
      </c>
      <c r="S98" s="175">
        <f>+SUMIF(B[Bene],Assegnazione[[#This Row],[Bene]],B[Imposta di registro (fissa + prop) senza agevolazione])*Assegnazione[[#This Row],[Quota di assegnazione]]</f>
        <v>0</v>
      </c>
      <c r="T98" s="175">
        <f>+SUMIF(B[Bene],Assegnazione[[#This Row],[Bene]],B[Ipotecaria e catastale senza agevolazione])*Assegnazione[[#This Row],[Quota di assegnazione]]</f>
        <v>0</v>
      </c>
      <c r="U98" s="176">
        <f>+SUM(Assegnazione[[#This Row],[Tassazione diretta senza agevolazione]:[Ipotecaria e catastale senza agevolazione]])</f>
        <v>0</v>
      </c>
      <c r="V98" s="175">
        <f>+SUMIF(B[Bene],Assegnazione[[#This Row],[Bene]],B[Imponibile Imposta sostitutiva])*Assegnazione[[#This Row],[Quota di assegnazione]]*DATI!$E$27</f>
        <v>0</v>
      </c>
      <c r="W98" s="175">
        <f>+SUMIF(B[Bene],Assegnazione[[#This Row],[Bene]],B[Imposta di registro in misura fissa agevolata])*Assegnazione[[#This Row],[Quota di assegnazione]]</f>
        <v>0</v>
      </c>
      <c r="X98" s="175">
        <f>+SUMIF(B[Bene],Assegnazione[[#This Row],[Bene]],B[Imposta di registro prop. Agevolata])*Assegnazione[[#This Row],[Quota di assegnazione]]</f>
        <v>0</v>
      </c>
      <c r="Y98" s="175">
        <f>+IFERROR(Assegnazione[[#This Row],[Imposta di registro in misura fissa]]+Assegnazione[[#This Row],[Imposta di registro prop.]],"")</f>
        <v>0</v>
      </c>
      <c r="Z98" s="175">
        <f>+SUMIF(B[Bene],Assegnazione[[#This Row],[Bene]],B[Ipotecaria catastale agevolata])*Assegnazione[[#This Row],[Quota di assegnazione]]</f>
        <v>0</v>
      </c>
    </row>
    <row r="99" spans="1:26" x14ac:dyDescent="0.2">
      <c r="A99" s="123"/>
      <c r="B99" s="132"/>
      <c r="C99" s="123"/>
      <c r="D99" s="172">
        <f>+SUMIF(B[Bene],Assegnazione[[#This Row],[Bene]],B[Imponibile Iva])*Assegnazione[[#This Row],[Quota di assegnazione]]</f>
        <v>0</v>
      </c>
      <c r="E99" s="172">
        <f>+SUMIF(B[Bene],Assegnazione[[#This Row],[Bene]],B[Valore inserito manualmente])*Assegnazione[[#This Row],[Quota di assegnazione]]</f>
        <v>0</v>
      </c>
      <c r="F99" s="173" t="str">
        <f>+IF(A99="","",VLOOKUP(Assegnazione[[#This Row],[Bene]],B[],3,0))</f>
        <v/>
      </c>
      <c r="G99" s="129" t="str">
        <f>+IFERROR(VLOOKUP(Assegnazione[[#This Row],[Bene]],B[],MATCH("Agevolabile",Beni!$A$4:$AC$4,0),0)*VLOOKUP(Assegnazione[[#This Row],[Socio]],A_1[],8,0),"")</f>
        <v/>
      </c>
      <c r="H99" s="172">
        <f>+SUMIF(B[Bene],Assegnazione[[#This Row],[Bene]],B[Valore netto contabile fiscalmente riconosciuto])*Assegnazione[[#This Row],[Quota di assegnazione]]</f>
        <v>0</v>
      </c>
      <c r="I99" s="172">
        <f>+SUMIF(B[Bene],Assegnazione[[#This Row],[Bene]],B[Valore normale])*Assegnazione[[#This Row],[Quota di assegnazione]]</f>
        <v>0</v>
      </c>
      <c r="J99" s="174">
        <f>+IF(Assegnazione[[#This Row],[Bene]]="",0,SUMIF(Assegnazione[Socio],Assegnazione[[#This Row],[Socio]],Assegnazione[Valore Normale])/$I$3)</f>
        <v>0</v>
      </c>
      <c r="K99" s="174" t="str">
        <f>IF(Assegnazione[[#This Row],[Bene]]="","",SUMIF(A_1[Nome],Assegnazione[[#This Row],[Socio]],A_1[Quota partecipazione al momento dell''operazione]))</f>
        <v/>
      </c>
      <c r="L99" s="172">
        <f>+SUMIF(B[Bene],Assegnazione[[#This Row],[Bene]],B[Valore catastale])*Assegnazione[[#This Row],[Quota di assegnazione]]</f>
        <v>0</v>
      </c>
      <c r="M99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9" s="172">
        <f>+MIN(Assegnazione[[#This Row],[Valore ai fini dell''atto]],Assegnazione[[#This Row],[Valore Fiscalmente riconosciuto]])</f>
        <v>0</v>
      </c>
      <c r="O99" s="146" t="str">
        <f>+IFERROR(VLOOKUP(Assegnazione[[#This Row],[Bene]],B[],MATCH($O$4,Beni!$A$4:$Z$4,0),0),"")</f>
        <v/>
      </c>
      <c r="P99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9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9" s="175">
        <f>+SUMIF(B[Bene],Assegnazione[[#This Row],[Bene]],B[Iva se dovuta])*Assegnazione[[#This Row],[Quota di assegnazione]]</f>
        <v>0</v>
      </c>
      <c r="S99" s="175">
        <f>+SUMIF(B[Bene],Assegnazione[[#This Row],[Bene]],B[Imposta di registro (fissa + prop) senza agevolazione])*Assegnazione[[#This Row],[Quota di assegnazione]]</f>
        <v>0</v>
      </c>
      <c r="T99" s="175">
        <f>+SUMIF(B[Bene],Assegnazione[[#This Row],[Bene]],B[Ipotecaria e catastale senza agevolazione])*Assegnazione[[#This Row],[Quota di assegnazione]]</f>
        <v>0</v>
      </c>
      <c r="U99" s="176">
        <f>+SUM(Assegnazione[[#This Row],[Tassazione diretta senza agevolazione]:[Ipotecaria e catastale senza agevolazione]])</f>
        <v>0</v>
      </c>
      <c r="V99" s="175">
        <f>+SUMIF(B[Bene],Assegnazione[[#This Row],[Bene]],B[Imponibile Imposta sostitutiva])*Assegnazione[[#This Row],[Quota di assegnazione]]*DATI!$E$27</f>
        <v>0</v>
      </c>
      <c r="W99" s="175">
        <f>+SUMIF(B[Bene],Assegnazione[[#This Row],[Bene]],B[Imposta di registro in misura fissa agevolata])*Assegnazione[[#This Row],[Quota di assegnazione]]</f>
        <v>0</v>
      </c>
      <c r="X99" s="175">
        <f>+SUMIF(B[Bene],Assegnazione[[#This Row],[Bene]],B[Imposta di registro prop. Agevolata])*Assegnazione[[#This Row],[Quota di assegnazione]]</f>
        <v>0</v>
      </c>
      <c r="Y99" s="175">
        <f>+IFERROR(Assegnazione[[#This Row],[Imposta di registro in misura fissa]]+Assegnazione[[#This Row],[Imposta di registro prop.]],"")</f>
        <v>0</v>
      </c>
      <c r="Z99" s="175">
        <f>+SUMIF(B[Bene],Assegnazione[[#This Row],[Bene]],B[Ipotecaria catastale agevolata])*Assegnazione[[#This Row],[Quota di assegnazione]]</f>
        <v>0</v>
      </c>
    </row>
    <row r="100" spans="1:26" x14ac:dyDescent="0.2">
      <c r="A100" s="123"/>
      <c r="B100" s="132"/>
      <c r="C100" s="123"/>
      <c r="D100" s="172">
        <f>+SUMIF(B[Bene],Assegnazione[[#This Row],[Bene]],B[Imponibile Iva])*Assegnazione[[#This Row],[Quota di assegnazione]]</f>
        <v>0</v>
      </c>
      <c r="E100" s="172">
        <f>+SUMIF(B[Bene],Assegnazione[[#This Row],[Bene]],B[Valore inserito manualmente])*Assegnazione[[#This Row],[Quota di assegnazione]]</f>
        <v>0</v>
      </c>
      <c r="F100" s="173" t="str">
        <f>+IF(A100="","",VLOOKUP(Assegnazione[[#This Row],[Bene]],B[],3,0))</f>
        <v/>
      </c>
      <c r="G100" s="129" t="str">
        <f>+IFERROR(VLOOKUP(Assegnazione[[#This Row],[Bene]],B[],MATCH("Agevolabile",Beni!$A$4:$AC$4,0),0)*VLOOKUP(Assegnazione[[#This Row],[Socio]],A_1[],8,0),"")</f>
        <v/>
      </c>
      <c r="H100" s="172">
        <f>+SUMIF(B[Bene],Assegnazione[[#This Row],[Bene]],B[Valore netto contabile fiscalmente riconosciuto])*Assegnazione[[#This Row],[Quota di assegnazione]]</f>
        <v>0</v>
      </c>
      <c r="I100" s="172">
        <f>+SUMIF(B[Bene],Assegnazione[[#This Row],[Bene]],B[Valore normale])*Assegnazione[[#This Row],[Quota di assegnazione]]</f>
        <v>0</v>
      </c>
      <c r="J100" s="174">
        <f>+IF(Assegnazione[[#This Row],[Bene]]="",0,SUMIF(Assegnazione[Socio],Assegnazione[[#This Row],[Socio]],Assegnazione[Valore Normale])/$I$3)</f>
        <v>0</v>
      </c>
      <c r="K100" s="174" t="str">
        <f>IF(Assegnazione[[#This Row],[Bene]]="","",SUMIF(A_1[Nome],Assegnazione[[#This Row],[Socio]],A_1[Quota partecipazione al momento dell''operazione]))</f>
        <v/>
      </c>
      <c r="L100" s="172">
        <f>+SUMIF(B[Bene],Assegnazione[[#This Row],[Bene]],B[Valore catastale])*Assegnazione[[#This Row],[Quota di assegnazione]]</f>
        <v>0</v>
      </c>
      <c r="M100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0" s="172">
        <f>+MIN(Assegnazione[[#This Row],[Valore ai fini dell''atto]],Assegnazione[[#This Row],[Valore Fiscalmente riconosciuto]])</f>
        <v>0</v>
      </c>
      <c r="O100" s="146" t="str">
        <f>+IFERROR(VLOOKUP(Assegnazione[[#This Row],[Bene]],B[],MATCH($O$4,Beni!$A$4:$Z$4,0),0),"")</f>
        <v/>
      </c>
      <c r="P100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0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0" s="175">
        <f>+SUMIF(B[Bene],Assegnazione[[#This Row],[Bene]],B[Iva se dovuta])*Assegnazione[[#This Row],[Quota di assegnazione]]</f>
        <v>0</v>
      </c>
      <c r="S100" s="175">
        <f>+SUMIF(B[Bene],Assegnazione[[#This Row],[Bene]],B[Imposta di registro (fissa + prop) senza agevolazione])*Assegnazione[[#This Row],[Quota di assegnazione]]</f>
        <v>0</v>
      </c>
      <c r="T100" s="175">
        <f>+SUMIF(B[Bene],Assegnazione[[#This Row],[Bene]],B[Ipotecaria e catastale senza agevolazione])*Assegnazione[[#This Row],[Quota di assegnazione]]</f>
        <v>0</v>
      </c>
      <c r="U100" s="176">
        <f>+SUM(Assegnazione[[#This Row],[Tassazione diretta senza agevolazione]:[Ipotecaria e catastale senza agevolazione]])</f>
        <v>0</v>
      </c>
      <c r="V100" s="175">
        <f>+SUMIF(B[Bene],Assegnazione[[#This Row],[Bene]],B[Imponibile Imposta sostitutiva])*Assegnazione[[#This Row],[Quota di assegnazione]]*DATI!$E$27</f>
        <v>0</v>
      </c>
      <c r="W100" s="175">
        <f>+SUMIF(B[Bene],Assegnazione[[#This Row],[Bene]],B[Imposta di registro in misura fissa agevolata])*Assegnazione[[#This Row],[Quota di assegnazione]]</f>
        <v>0</v>
      </c>
      <c r="X100" s="175">
        <f>+SUMIF(B[Bene],Assegnazione[[#This Row],[Bene]],B[Imposta di registro prop. Agevolata])*Assegnazione[[#This Row],[Quota di assegnazione]]</f>
        <v>0</v>
      </c>
      <c r="Y100" s="175">
        <f>+IFERROR(Assegnazione[[#This Row],[Imposta di registro in misura fissa]]+Assegnazione[[#This Row],[Imposta di registro prop.]],"")</f>
        <v>0</v>
      </c>
      <c r="Z100" s="175">
        <f>+SUMIF(B[Bene],Assegnazione[[#This Row],[Bene]],B[Ipotecaria catastale agevolata])*Assegnazione[[#This Row],[Quota di assegnazione]]</f>
        <v>0</v>
      </c>
    </row>
    <row r="101" spans="1:26" x14ac:dyDescent="0.2">
      <c r="A101" s="123"/>
      <c r="B101" s="132"/>
      <c r="C101" s="123"/>
      <c r="D101" s="172">
        <f>+SUMIF(B[Bene],Assegnazione[[#This Row],[Bene]],B[Imponibile Iva])*Assegnazione[[#This Row],[Quota di assegnazione]]</f>
        <v>0</v>
      </c>
      <c r="E101" s="172">
        <f>+SUMIF(B[Bene],Assegnazione[[#This Row],[Bene]],B[Valore inserito manualmente])*Assegnazione[[#This Row],[Quota di assegnazione]]</f>
        <v>0</v>
      </c>
      <c r="F101" s="173" t="str">
        <f>+IF(A101="","",VLOOKUP(Assegnazione[[#This Row],[Bene]],B[],3,0))</f>
        <v/>
      </c>
      <c r="G101" s="129" t="str">
        <f>+IFERROR(VLOOKUP(Assegnazione[[#This Row],[Bene]],B[],MATCH("Agevolabile",Beni!$A$4:$AC$4,0),0)*VLOOKUP(Assegnazione[[#This Row],[Socio]],A_1[],8,0),"")</f>
        <v/>
      </c>
      <c r="H101" s="172">
        <f>+SUMIF(B[Bene],Assegnazione[[#This Row],[Bene]],B[Valore netto contabile fiscalmente riconosciuto])*Assegnazione[[#This Row],[Quota di assegnazione]]</f>
        <v>0</v>
      </c>
      <c r="I101" s="172">
        <f>+SUMIF(B[Bene],Assegnazione[[#This Row],[Bene]],B[Valore normale])*Assegnazione[[#This Row],[Quota di assegnazione]]</f>
        <v>0</v>
      </c>
      <c r="J101" s="174">
        <f>+IF(Assegnazione[[#This Row],[Bene]]="",0,SUMIF(Assegnazione[Socio],Assegnazione[[#This Row],[Socio]],Assegnazione[Valore Normale])/$I$3)</f>
        <v>0</v>
      </c>
      <c r="K101" s="174" t="str">
        <f>IF(Assegnazione[[#This Row],[Bene]]="","",SUMIF(A_1[Nome],Assegnazione[[#This Row],[Socio]],A_1[Quota partecipazione al momento dell''operazione]))</f>
        <v/>
      </c>
      <c r="L101" s="172">
        <f>+SUMIF(B[Bene],Assegnazione[[#This Row],[Bene]],B[Valore catastale])*Assegnazione[[#This Row],[Quota di assegnazione]]</f>
        <v>0</v>
      </c>
      <c r="M101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1" s="172">
        <f>+MIN(Assegnazione[[#This Row],[Valore ai fini dell''atto]],Assegnazione[[#This Row],[Valore Fiscalmente riconosciuto]])</f>
        <v>0</v>
      </c>
      <c r="O101" s="146" t="str">
        <f>+IFERROR(VLOOKUP(Assegnazione[[#This Row],[Bene]],B[],MATCH($O$4,Beni!$A$4:$Z$4,0),0),"")</f>
        <v/>
      </c>
      <c r="P101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1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1" s="175">
        <f>+SUMIF(B[Bene],Assegnazione[[#This Row],[Bene]],B[Iva se dovuta])*Assegnazione[[#This Row],[Quota di assegnazione]]</f>
        <v>0</v>
      </c>
      <c r="S101" s="175">
        <f>+SUMIF(B[Bene],Assegnazione[[#This Row],[Bene]],B[Imposta di registro (fissa + prop) senza agevolazione])*Assegnazione[[#This Row],[Quota di assegnazione]]</f>
        <v>0</v>
      </c>
      <c r="T101" s="175">
        <f>+SUMIF(B[Bene],Assegnazione[[#This Row],[Bene]],B[Ipotecaria e catastale senza agevolazione])*Assegnazione[[#This Row],[Quota di assegnazione]]</f>
        <v>0</v>
      </c>
      <c r="U101" s="176">
        <f>+SUM(Assegnazione[[#This Row],[Tassazione diretta senza agevolazione]:[Ipotecaria e catastale senza agevolazione]])</f>
        <v>0</v>
      </c>
      <c r="V101" s="175">
        <f>+SUMIF(B[Bene],Assegnazione[[#This Row],[Bene]],B[Imponibile Imposta sostitutiva])*Assegnazione[[#This Row],[Quota di assegnazione]]*DATI!$E$27</f>
        <v>0</v>
      </c>
      <c r="W101" s="175">
        <f>+SUMIF(B[Bene],Assegnazione[[#This Row],[Bene]],B[Imposta di registro in misura fissa agevolata])*Assegnazione[[#This Row],[Quota di assegnazione]]</f>
        <v>0</v>
      </c>
      <c r="X101" s="175">
        <f>+SUMIF(B[Bene],Assegnazione[[#This Row],[Bene]],B[Imposta di registro prop. Agevolata])*Assegnazione[[#This Row],[Quota di assegnazione]]</f>
        <v>0</v>
      </c>
      <c r="Y101" s="175">
        <f>+IFERROR(Assegnazione[[#This Row],[Imposta di registro in misura fissa]]+Assegnazione[[#This Row],[Imposta di registro prop.]],"")</f>
        <v>0</v>
      </c>
      <c r="Z101" s="175">
        <f>+SUMIF(B[Bene],Assegnazione[[#This Row],[Bene]],B[Ipotecaria catastale agevolata])*Assegnazione[[#This Row],[Quota di assegnazione]]</f>
        <v>0</v>
      </c>
    </row>
    <row r="102" spans="1:26" x14ac:dyDescent="0.2">
      <c r="A102" s="123"/>
      <c r="B102" s="132"/>
      <c r="C102" s="123"/>
      <c r="D102" s="172">
        <f>+SUMIF(B[Bene],Assegnazione[[#This Row],[Bene]],B[Imponibile Iva])*Assegnazione[[#This Row],[Quota di assegnazione]]</f>
        <v>0</v>
      </c>
      <c r="E102" s="172">
        <f>+SUMIF(B[Bene],Assegnazione[[#This Row],[Bene]],B[Valore inserito manualmente])*Assegnazione[[#This Row],[Quota di assegnazione]]</f>
        <v>0</v>
      </c>
      <c r="F102" s="173" t="str">
        <f>+IF(A102="","",VLOOKUP(Assegnazione[[#This Row],[Bene]],B[],3,0))</f>
        <v/>
      </c>
      <c r="G102" s="129" t="str">
        <f>+IFERROR(VLOOKUP(Assegnazione[[#This Row],[Bene]],B[],MATCH("Agevolabile",Beni!$A$4:$AC$4,0),0)*VLOOKUP(Assegnazione[[#This Row],[Socio]],A_1[],8,0),"")</f>
        <v/>
      </c>
      <c r="H102" s="172">
        <f>+SUMIF(B[Bene],Assegnazione[[#This Row],[Bene]],B[Valore netto contabile fiscalmente riconosciuto])*Assegnazione[[#This Row],[Quota di assegnazione]]</f>
        <v>0</v>
      </c>
      <c r="I102" s="172">
        <f>+SUMIF(B[Bene],Assegnazione[[#This Row],[Bene]],B[Valore normale])*Assegnazione[[#This Row],[Quota di assegnazione]]</f>
        <v>0</v>
      </c>
      <c r="J102" s="174">
        <f>+IF(Assegnazione[[#This Row],[Bene]]="",0,SUMIF(Assegnazione[Socio],Assegnazione[[#This Row],[Socio]],Assegnazione[Valore Normale])/$I$3)</f>
        <v>0</v>
      </c>
      <c r="K102" s="174" t="str">
        <f>IF(Assegnazione[[#This Row],[Bene]]="","",SUMIF(A_1[Nome],Assegnazione[[#This Row],[Socio]],A_1[Quota partecipazione al momento dell''operazione]))</f>
        <v/>
      </c>
      <c r="L102" s="172">
        <f>+SUMIF(B[Bene],Assegnazione[[#This Row],[Bene]],B[Valore catastale])*Assegnazione[[#This Row],[Quota di assegnazione]]</f>
        <v>0</v>
      </c>
      <c r="M102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2" s="172">
        <f>+MIN(Assegnazione[[#This Row],[Valore ai fini dell''atto]],Assegnazione[[#This Row],[Valore Fiscalmente riconosciuto]])</f>
        <v>0</v>
      </c>
      <c r="O102" s="146" t="str">
        <f>+IFERROR(VLOOKUP(Assegnazione[[#This Row],[Bene]],B[],MATCH($O$4,Beni!$A$4:$Z$4,0),0),"")</f>
        <v/>
      </c>
      <c r="P102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2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2" s="175">
        <f>+SUMIF(B[Bene],Assegnazione[[#This Row],[Bene]],B[Iva se dovuta])*Assegnazione[[#This Row],[Quota di assegnazione]]</f>
        <v>0</v>
      </c>
      <c r="S102" s="175">
        <f>+SUMIF(B[Bene],Assegnazione[[#This Row],[Bene]],B[Imposta di registro (fissa + prop) senza agevolazione])*Assegnazione[[#This Row],[Quota di assegnazione]]</f>
        <v>0</v>
      </c>
      <c r="T102" s="175">
        <f>+SUMIF(B[Bene],Assegnazione[[#This Row],[Bene]],B[Ipotecaria e catastale senza agevolazione])*Assegnazione[[#This Row],[Quota di assegnazione]]</f>
        <v>0</v>
      </c>
      <c r="U102" s="176">
        <f>+SUM(Assegnazione[[#This Row],[Tassazione diretta senza agevolazione]:[Ipotecaria e catastale senza agevolazione]])</f>
        <v>0</v>
      </c>
      <c r="V102" s="175">
        <f>+SUMIF(B[Bene],Assegnazione[[#This Row],[Bene]],B[Imponibile Imposta sostitutiva])*Assegnazione[[#This Row],[Quota di assegnazione]]*DATI!$E$27</f>
        <v>0</v>
      </c>
      <c r="W102" s="175">
        <f>+SUMIF(B[Bene],Assegnazione[[#This Row],[Bene]],B[Imposta di registro in misura fissa agevolata])*Assegnazione[[#This Row],[Quota di assegnazione]]</f>
        <v>0</v>
      </c>
      <c r="X102" s="175">
        <f>+SUMIF(B[Bene],Assegnazione[[#This Row],[Bene]],B[Imposta di registro prop. Agevolata])*Assegnazione[[#This Row],[Quota di assegnazione]]</f>
        <v>0</v>
      </c>
      <c r="Y102" s="175">
        <f>+IFERROR(Assegnazione[[#This Row],[Imposta di registro in misura fissa]]+Assegnazione[[#This Row],[Imposta di registro prop.]],"")</f>
        <v>0</v>
      </c>
      <c r="Z102" s="175">
        <f>+SUMIF(B[Bene],Assegnazione[[#This Row],[Bene]],B[Ipotecaria catastale agevolata])*Assegnazione[[#This Row],[Quota di assegnazione]]</f>
        <v>0</v>
      </c>
    </row>
    <row r="103" spans="1:26" x14ac:dyDescent="0.2">
      <c r="A103" s="123"/>
      <c r="B103" s="132"/>
      <c r="C103" s="123"/>
      <c r="D103" s="172">
        <f>+SUMIF(B[Bene],Assegnazione[[#This Row],[Bene]],B[Imponibile Iva])*Assegnazione[[#This Row],[Quota di assegnazione]]</f>
        <v>0</v>
      </c>
      <c r="E103" s="172">
        <f>+SUMIF(B[Bene],Assegnazione[[#This Row],[Bene]],B[Valore inserito manualmente])*Assegnazione[[#This Row],[Quota di assegnazione]]</f>
        <v>0</v>
      </c>
      <c r="F103" s="173" t="str">
        <f>+IF(A103="","",VLOOKUP(Assegnazione[[#This Row],[Bene]],B[],3,0))</f>
        <v/>
      </c>
      <c r="G103" s="129" t="str">
        <f>+IFERROR(VLOOKUP(Assegnazione[[#This Row],[Bene]],B[],MATCH("Agevolabile",Beni!$A$4:$AC$4,0),0)*VLOOKUP(Assegnazione[[#This Row],[Socio]],A_1[],8,0),"")</f>
        <v/>
      </c>
      <c r="H103" s="172">
        <f>+SUMIF(B[Bene],Assegnazione[[#This Row],[Bene]],B[Valore netto contabile fiscalmente riconosciuto])*Assegnazione[[#This Row],[Quota di assegnazione]]</f>
        <v>0</v>
      </c>
      <c r="I103" s="172">
        <f>+SUMIF(B[Bene],Assegnazione[[#This Row],[Bene]],B[Valore normale])*Assegnazione[[#This Row],[Quota di assegnazione]]</f>
        <v>0</v>
      </c>
      <c r="J103" s="174">
        <f>+IF(Assegnazione[[#This Row],[Bene]]="",0,SUMIF(Assegnazione[Socio],Assegnazione[[#This Row],[Socio]],Assegnazione[Valore Normale])/$I$3)</f>
        <v>0</v>
      </c>
      <c r="K103" s="174" t="str">
        <f>IF(Assegnazione[[#This Row],[Bene]]="","",SUMIF(A_1[Nome],Assegnazione[[#This Row],[Socio]],A_1[Quota partecipazione al momento dell''operazione]))</f>
        <v/>
      </c>
      <c r="L103" s="172">
        <f>+SUMIF(B[Bene],Assegnazione[[#This Row],[Bene]],B[Valore catastale])*Assegnazione[[#This Row],[Quota di assegnazione]]</f>
        <v>0</v>
      </c>
      <c r="M103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3" s="172">
        <f>+MIN(Assegnazione[[#This Row],[Valore ai fini dell''atto]],Assegnazione[[#This Row],[Valore Fiscalmente riconosciuto]])</f>
        <v>0</v>
      </c>
      <c r="O103" s="146" t="str">
        <f>+IFERROR(VLOOKUP(Assegnazione[[#This Row],[Bene]],B[],MATCH($O$4,Beni!$A$4:$Z$4,0),0),"")</f>
        <v/>
      </c>
      <c r="P103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3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3" s="175">
        <f>+SUMIF(B[Bene],Assegnazione[[#This Row],[Bene]],B[Iva se dovuta])*Assegnazione[[#This Row],[Quota di assegnazione]]</f>
        <v>0</v>
      </c>
      <c r="S103" s="175">
        <f>+SUMIF(B[Bene],Assegnazione[[#This Row],[Bene]],B[Imposta di registro (fissa + prop) senza agevolazione])*Assegnazione[[#This Row],[Quota di assegnazione]]</f>
        <v>0</v>
      </c>
      <c r="T103" s="175">
        <f>+SUMIF(B[Bene],Assegnazione[[#This Row],[Bene]],B[Ipotecaria e catastale senza agevolazione])*Assegnazione[[#This Row],[Quota di assegnazione]]</f>
        <v>0</v>
      </c>
      <c r="U103" s="176">
        <f>+SUM(Assegnazione[[#This Row],[Tassazione diretta senza agevolazione]:[Ipotecaria e catastale senza agevolazione]])</f>
        <v>0</v>
      </c>
      <c r="V103" s="175">
        <f>+SUMIF(B[Bene],Assegnazione[[#This Row],[Bene]],B[Imponibile Imposta sostitutiva])*Assegnazione[[#This Row],[Quota di assegnazione]]*DATI!$E$27</f>
        <v>0</v>
      </c>
      <c r="W103" s="175">
        <f>+SUMIF(B[Bene],Assegnazione[[#This Row],[Bene]],B[Imposta di registro in misura fissa agevolata])*Assegnazione[[#This Row],[Quota di assegnazione]]</f>
        <v>0</v>
      </c>
      <c r="X103" s="175">
        <f>+SUMIF(B[Bene],Assegnazione[[#This Row],[Bene]],B[Imposta di registro prop. Agevolata])*Assegnazione[[#This Row],[Quota di assegnazione]]</f>
        <v>0</v>
      </c>
      <c r="Y103" s="175">
        <f>+IFERROR(Assegnazione[[#This Row],[Imposta di registro in misura fissa]]+Assegnazione[[#This Row],[Imposta di registro prop.]],"")</f>
        <v>0</v>
      </c>
      <c r="Z103" s="175">
        <f>+SUMIF(B[Bene],Assegnazione[[#This Row],[Bene]],B[Ipotecaria catastale agevolata])*Assegnazione[[#This Row],[Quota di assegnazione]]</f>
        <v>0</v>
      </c>
    </row>
    <row r="104" spans="1:26" x14ac:dyDescent="0.2">
      <c r="A104" s="123"/>
      <c r="B104" s="132"/>
      <c r="C104" s="123"/>
      <c r="D104" s="172">
        <f>+SUMIF(B[Bene],Assegnazione[[#This Row],[Bene]],B[Imponibile Iva])*Assegnazione[[#This Row],[Quota di assegnazione]]</f>
        <v>0</v>
      </c>
      <c r="E104" s="172">
        <f>+SUMIF(B[Bene],Assegnazione[[#This Row],[Bene]],B[Valore inserito manualmente])*Assegnazione[[#This Row],[Quota di assegnazione]]</f>
        <v>0</v>
      </c>
      <c r="F104" s="173" t="str">
        <f>+IF(A104="","",VLOOKUP(Assegnazione[[#This Row],[Bene]],B[],3,0))</f>
        <v/>
      </c>
      <c r="G104" s="129" t="str">
        <f>+IFERROR(VLOOKUP(Assegnazione[[#This Row],[Bene]],B[],MATCH("Agevolabile",Beni!$A$4:$AC$4,0),0)*VLOOKUP(Assegnazione[[#This Row],[Socio]],A_1[],8,0),"")</f>
        <v/>
      </c>
      <c r="H104" s="172">
        <f>+SUMIF(B[Bene],Assegnazione[[#This Row],[Bene]],B[Valore netto contabile fiscalmente riconosciuto])*Assegnazione[[#This Row],[Quota di assegnazione]]</f>
        <v>0</v>
      </c>
      <c r="I104" s="172">
        <f>+SUMIF(B[Bene],Assegnazione[[#This Row],[Bene]],B[Valore normale])*Assegnazione[[#This Row],[Quota di assegnazione]]</f>
        <v>0</v>
      </c>
      <c r="J104" s="174">
        <f>+IF(Assegnazione[[#This Row],[Bene]]="",0,SUMIF(Assegnazione[Socio],Assegnazione[[#This Row],[Socio]],Assegnazione[Valore Normale])/$I$3)</f>
        <v>0</v>
      </c>
      <c r="K104" s="174" t="str">
        <f>IF(Assegnazione[[#This Row],[Bene]]="","",SUMIF(A_1[Nome],Assegnazione[[#This Row],[Socio]],A_1[Quota partecipazione al momento dell''operazione]))</f>
        <v/>
      </c>
      <c r="L104" s="172">
        <f>+SUMIF(B[Bene],Assegnazione[[#This Row],[Bene]],B[Valore catastale])*Assegnazione[[#This Row],[Quota di assegnazione]]</f>
        <v>0</v>
      </c>
      <c r="M104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4" s="172">
        <f>+MIN(Assegnazione[[#This Row],[Valore ai fini dell''atto]],Assegnazione[[#This Row],[Valore Fiscalmente riconosciuto]])</f>
        <v>0</v>
      </c>
      <c r="O104" s="146" t="str">
        <f>+IFERROR(VLOOKUP(Assegnazione[[#This Row],[Bene]],B[],MATCH($O$4,Beni!$A$4:$Z$4,0),0),"")</f>
        <v/>
      </c>
      <c r="P104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4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4" s="175">
        <f>+SUMIF(B[Bene],Assegnazione[[#This Row],[Bene]],B[Iva se dovuta])*Assegnazione[[#This Row],[Quota di assegnazione]]</f>
        <v>0</v>
      </c>
      <c r="S104" s="175">
        <f>+SUMIF(B[Bene],Assegnazione[[#This Row],[Bene]],B[Imposta di registro (fissa + prop) senza agevolazione])*Assegnazione[[#This Row],[Quota di assegnazione]]</f>
        <v>0</v>
      </c>
      <c r="T104" s="175">
        <f>+SUMIF(B[Bene],Assegnazione[[#This Row],[Bene]],B[Ipotecaria e catastale senza agevolazione])*Assegnazione[[#This Row],[Quota di assegnazione]]</f>
        <v>0</v>
      </c>
      <c r="U104" s="176">
        <f>+SUM(Assegnazione[[#This Row],[Tassazione diretta senza agevolazione]:[Ipotecaria e catastale senza agevolazione]])</f>
        <v>0</v>
      </c>
      <c r="V104" s="175">
        <f>+SUMIF(B[Bene],Assegnazione[[#This Row],[Bene]],B[Imponibile Imposta sostitutiva])*Assegnazione[[#This Row],[Quota di assegnazione]]*DATI!$E$27</f>
        <v>0</v>
      </c>
      <c r="W104" s="175">
        <f>+SUMIF(B[Bene],Assegnazione[[#This Row],[Bene]],B[Imposta di registro in misura fissa agevolata])*Assegnazione[[#This Row],[Quota di assegnazione]]</f>
        <v>0</v>
      </c>
      <c r="X104" s="175">
        <f>+SUMIF(B[Bene],Assegnazione[[#This Row],[Bene]],B[Imposta di registro prop. Agevolata])*Assegnazione[[#This Row],[Quota di assegnazione]]</f>
        <v>0</v>
      </c>
      <c r="Y104" s="175">
        <f>+IFERROR(Assegnazione[[#This Row],[Imposta di registro in misura fissa]]+Assegnazione[[#This Row],[Imposta di registro prop.]],"")</f>
        <v>0</v>
      </c>
      <c r="Z104" s="175">
        <f>+SUMIF(B[Bene],Assegnazione[[#This Row],[Bene]],B[Ipotecaria catastale agevolata])*Assegnazione[[#This Row],[Quota di assegnazione]]</f>
        <v>0</v>
      </c>
    </row>
    <row r="105" spans="1:26" x14ac:dyDescent="0.2">
      <c r="A105" s="123"/>
      <c r="B105" s="132"/>
      <c r="C105" s="123"/>
      <c r="D105" s="172">
        <f>+SUMIF(B[Bene],Assegnazione[[#This Row],[Bene]],B[Imponibile Iva])*Assegnazione[[#This Row],[Quota di assegnazione]]</f>
        <v>0</v>
      </c>
      <c r="E105" s="172">
        <f>+SUMIF(B[Bene],Assegnazione[[#This Row],[Bene]],B[Valore inserito manualmente])*Assegnazione[[#This Row],[Quota di assegnazione]]</f>
        <v>0</v>
      </c>
      <c r="F105" s="173" t="str">
        <f>+IF(A105="","",VLOOKUP(Assegnazione[[#This Row],[Bene]],B[],3,0))</f>
        <v/>
      </c>
      <c r="G105" s="129" t="str">
        <f>+IFERROR(VLOOKUP(Assegnazione[[#This Row],[Bene]],B[],MATCH("Agevolabile",Beni!$A$4:$AC$4,0),0)*VLOOKUP(Assegnazione[[#This Row],[Socio]],A_1[],8,0),"")</f>
        <v/>
      </c>
      <c r="H105" s="172">
        <f>+SUMIF(B[Bene],Assegnazione[[#This Row],[Bene]],B[Valore netto contabile fiscalmente riconosciuto])*Assegnazione[[#This Row],[Quota di assegnazione]]</f>
        <v>0</v>
      </c>
      <c r="I105" s="172">
        <f>+SUMIF(B[Bene],Assegnazione[[#This Row],[Bene]],B[Valore normale])*Assegnazione[[#This Row],[Quota di assegnazione]]</f>
        <v>0</v>
      </c>
      <c r="J105" s="174">
        <f>+IF(Assegnazione[[#This Row],[Bene]]="",0,SUMIF(Assegnazione[Socio],Assegnazione[[#This Row],[Socio]],Assegnazione[Valore Normale])/$I$3)</f>
        <v>0</v>
      </c>
      <c r="K105" s="174" t="str">
        <f>IF(Assegnazione[[#This Row],[Bene]]="","",SUMIF(A_1[Nome],Assegnazione[[#This Row],[Socio]],A_1[Quota partecipazione al momento dell''operazione]))</f>
        <v/>
      </c>
      <c r="L105" s="172">
        <f>+SUMIF(B[Bene],Assegnazione[[#This Row],[Bene]],B[Valore catastale])*Assegnazione[[#This Row],[Quota di assegnazione]]</f>
        <v>0</v>
      </c>
      <c r="M105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5" s="172">
        <f>+MIN(Assegnazione[[#This Row],[Valore ai fini dell''atto]],Assegnazione[[#This Row],[Valore Fiscalmente riconosciuto]])</f>
        <v>0</v>
      </c>
      <c r="O105" s="146" t="str">
        <f>+IFERROR(VLOOKUP(Assegnazione[[#This Row],[Bene]],B[],MATCH($O$4,Beni!$A$4:$Z$4,0),0),"")</f>
        <v/>
      </c>
      <c r="P105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5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5" s="175">
        <f>+SUMIF(B[Bene],Assegnazione[[#This Row],[Bene]],B[Iva se dovuta])*Assegnazione[[#This Row],[Quota di assegnazione]]</f>
        <v>0</v>
      </c>
      <c r="S105" s="175">
        <f>+SUMIF(B[Bene],Assegnazione[[#This Row],[Bene]],B[Imposta di registro (fissa + prop) senza agevolazione])*Assegnazione[[#This Row],[Quota di assegnazione]]</f>
        <v>0</v>
      </c>
      <c r="T105" s="175">
        <f>+SUMIF(B[Bene],Assegnazione[[#This Row],[Bene]],B[Ipotecaria e catastale senza agevolazione])*Assegnazione[[#This Row],[Quota di assegnazione]]</f>
        <v>0</v>
      </c>
      <c r="U105" s="176">
        <f>+SUM(Assegnazione[[#This Row],[Tassazione diretta senza agevolazione]:[Ipotecaria e catastale senza agevolazione]])</f>
        <v>0</v>
      </c>
      <c r="V105" s="175">
        <f>+SUMIF(B[Bene],Assegnazione[[#This Row],[Bene]],B[Imponibile Imposta sostitutiva])*Assegnazione[[#This Row],[Quota di assegnazione]]*DATI!$E$27</f>
        <v>0</v>
      </c>
      <c r="W105" s="175">
        <f>+SUMIF(B[Bene],Assegnazione[[#This Row],[Bene]],B[Imposta di registro in misura fissa agevolata])*Assegnazione[[#This Row],[Quota di assegnazione]]</f>
        <v>0</v>
      </c>
      <c r="X105" s="175">
        <f>+SUMIF(B[Bene],Assegnazione[[#This Row],[Bene]],B[Imposta di registro prop. Agevolata])*Assegnazione[[#This Row],[Quota di assegnazione]]</f>
        <v>0</v>
      </c>
      <c r="Y105" s="175">
        <f>+IFERROR(Assegnazione[[#This Row],[Imposta di registro in misura fissa]]+Assegnazione[[#This Row],[Imposta di registro prop.]],"")</f>
        <v>0</v>
      </c>
      <c r="Z105" s="175">
        <f>+SUMIF(B[Bene],Assegnazione[[#This Row],[Bene]],B[Ipotecaria catastale agevolata])*Assegnazione[[#This Row],[Quota di assegnazione]]</f>
        <v>0</v>
      </c>
    </row>
    <row r="106" spans="1:26" x14ac:dyDescent="0.2">
      <c r="A106" s="123"/>
      <c r="B106" s="132"/>
      <c r="C106" s="123"/>
      <c r="D106" s="172">
        <f>+SUMIF(B[Bene],Assegnazione[[#This Row],[Bene]],B[Imponibile Iva])*Assegnazione[[#This Row],[Quota di assegnazione]]</f>
        <v>0</v>
      </c>
      <c r="E106" s="172">
        <f>+SUMIF(B[Bene],Assegnazione[[#This Row],[Bene]],B[Valore inserito manualmente])*Assegnazione[[#This Row],[Quota di assegnazione]]</f>
        <v>0</v>
      </c>
      <c r="F106" s="173" t="str">
        <f>+IF(A106="","",VLOOKUP(Assegnazione[[#This Row],[Bene]],B[],3,0))</f>
        <v/>
      </c>
      <c r="G106" s="129" t="str">
        <f>+IFERROR(VLOOKUP(Assegnazione[[#This Row],[Bene]],B[],MATCH("Agevolabile",Beni!$A$4:$AC$4,0),0)*VLOOKUP(Assegnazione[[#This Row],[Socio]],A_1[],8,0),"")</f>
        <v/>
      </c>
      <c r="H106" s="172">
        <f>+SUMIF(B[Bene],Assegnazione[[#This Row],[Bene]],B[Valore netto contabile fiscalmente riconosciuto])*Assegnazione[[#This Row],[Quota di assegnazione]]</f>
        <v>0</v>
      </c>
      <c r="I106" s="172">
        <f>+SUMIF(B[Bene],Assegnazione[[#This Row],[Bene]],B[Valore normale])*Assegnazione[[#This Row],[Quota di assegnazione]]</f>
        <v>0</v>
      </c>
      <c r="J106" s="174">
        <f>+IF(Assegnazione[[#This Row],[Bene]]="",0,SUMIF(Assegnazione[Socio],Assegnazione[[#This Row],[Socio]],Assegnazione[Valore Normale])/$I$3)</f>
        <v>0</v>
      </c>
      <c r="K106" s="174" t="str">
        <f>IF(Assegnazione[[#This Row],[Bene]]="","",SUMIF(A_1[Nome],Assegnazione[[#This Row],[Socio]],A_1[Quota partecipazione al momento dell''operazione]))</f>
        <v/>
      </c>
      <c r="L106" s="172">
        <f>+SUMIF(B[Bene],Assegnazione[[#This Row],[Bene]],B[Valore catastale])*Assegnazione[[#This Row],[Quota di assegnazione]]</f>
        <v>0</v>
      </c>
      <c r="M106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6" s="172">
        <f>+MIN(Assegnazione[[#This Row],[Valore ai fini dell''atto]],Assegnazione[[#This Row],[Valore Fiscalmente riconosciuto]])</f>
        <v>0</v>
      </c>
      <c r="O106" s="146" t="str">
        <f>+IFERROR(VLOOKUP(Assegnazione[[#This Row],[Bene]],B[],MATCH($O$4,Beni!$A$4:$Z$4,0),0),"")</f>
        <v/>
      </c>
      <c r="P106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6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6" s="175">
        <f>+SUMIF(B[Bene],Assegnazione[[#This Row],[Bene]],B[Iva se dovuta])*Assegnazione[[#This Row],[Quota di assegnazione]]</f>
        <v>0</v>
      </c>
      <c r="S106" s="175">
        <f>+SUMIF(B[Bene],Assegnazione[[#This Row],[Bene]],B[Imposta di registro (fissa + prop) senza agevolazione])*Assegnazione[[#This Row],[Quota di assegnazione]]</f>
        <v>0</v>
      </c>
      <c r="T106" s="175">
        <f>+SUMIF(B[Bene],Assegnazione[[#This Row],[Bene]],B[Ipotecaria e catastale senza agevolazione])*Assegnazione[[#This Row],[Quota di assegnazione]]</f>
        <v>0</v>
      </c>
      <c r="U106" s="176">
        <f>+SUM(Assegnazione[[#This Row],[Tassazione diretta senza agevolazione]:[Ipotecaria e catastale senza agevolazione]])</f>
        <v>0</v>
      </c>
      <c r="V106" s="175">
        <f>+SUMIF(B[Bene],Assegnazione[[#This Row],[Bene]],B[Imponibile Imposta sostitutiva])*Assegnazione[[#This Row],[Quota di assegnazione]]*DATI!$E$27</f>
        <v>0</v>
      </c>
      <c r="W106" s="175">
        <f>+SUMIF(B[Bene],Assegnazione[[#This Row],[Bene]],B[Imposta di registro in misura fissa agevolata])*Assegnazione[[#This Row],[Quota di assegnazione]]</f>
        <v>0</v>
      </c>
      <c r="X106" s="175">
        <f>+SUMIF(B[Bene],Assegnazione[[#This Row],[Bene]],B[Imposta di registro prop. Agevolata])*Assegnazione[[#This Row],[Quota di assegnazione]]</f>
        <v>0</v>
      </c>
      <c r="Y106" s="175">
        <f>+IFERROR(Assegnazione[[#This Row],[Imposta di registro in misura fissa]]+Assegnazione[[#This Row],[Imposta di registro prop.]],"")</f>
        <v>0</v>
      </c>
      <c r="Z106" s="175">
        <f>+SUMIF(B[Bene],Assegnazione[[#This Row],[Bene]],B[Ipotecaria catastale agevolata])*Assegnazione[[#This Row],[Quota di assegnazione]]</f>
        <v>0</v>
      </c>
    </row>
    <row r="107" spans="1:26" x14ac:dyDescent="0.2">
      <c r="A107" s="123"/>
      <c r="B107" s="132"/>
      <c r="C107" s="123"/>
      <c r="D107" s="172">
        <f>+SUMIF(B[Bene],Assegnazione[[#This Row],[Bene]],B[Imponibile Iva])*Assegnazione[[#This Row],[Quota di assegnazione]]</f>
        <v>0</v>
      </c>
      <c r="E107" s="172">
        <f>+SUMIF(B[Bene],Assegnazione[[#This Row],[Bene]],B[Valore inserito manualmente])*Assegnazione[[#This Row],[Quota di assegnazione]]</f>
        <v>0</v>
      </c>
      <c r="F107" s="173" t="str">
        <f>+IF(A107="","",VLOOKUP(Assegnazione[[#This Row],[Bene]],B[],3,0))</f>
        <v/>
      </c>
      <c r="G107" s="129" t="str">
        <f>+IFERROR(VLOOKUP(Assegnazione[[#This Row],[Bene]],B[],MATCH("Agevolabile",Beni!$A$4:$AC$4,0),0)*VLOOKUP(Assegnazione[[#This Row],[Socio]],A_1[],8,0),"")</f>
        <v/>
      </c>
      <c r="H107" s="172">
        <f>+SUMIF(B[Bene],Assegnazione[[#This Row],[Bene]],B[Valore netto contabile fiscalmente riconosciuto])*Assegnazione[[#This Row],[Quota di assegnazione]]</f>
        <v>0</v>
      </c>
      <c r="I107" s="172">
        <f>+SUMIF(B[Bene],Assegnazione[[#This Row],[Bene]],B[Valore normale])*Assegnazione[[#This Row],[Quota di assegnazione]]</f>
        <v>0</v>
      </c>
      <c r="J107" s="174">
        <f>+IF(Assegnazione[[#This Row],[Bene]]="",0,SUMIF(Assegnazione[Socio],Assegnazione[[#This Row],[Socio]],Assegnazione[Valore Normale])/$I$3)</f>
        <v>0</v>
      </c>
      <c r="K107" s="174" t="str">
        <f>IF(Assegnazione[[#This Row],[Bene]]="","",SUMIF(A_1[Nome],Assegnazione[[#This Row],[Socio]],A_1[Quota partecipazione al momento dell''operazione]))</f>
        <v/>
      </c>
      <c r="L107" s="172">
        <f>+SUMIF(B[Bene],Assegnazione[[#This Row],[Bene]],B[Valore catastale])*Assegnazione[[#This Row],[Quota di assegnazione]]</f>
        <v>0</v>
      </c>
      <c r="M107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7" s="172">
        <f>+MIN(Assegnazione[[#This Row],[Valore ai fini dell''atto]],Assegnazione[[#This Row],[Valore Fiscalmente riconosciuto]])</f>
        <v>0</v>
      </c>
      <c r="O107" s="146" t="str">
        <f>+IFERROR(VLOOKUP(Assegnazione[[#This Row],[Bene]],B[],MATCH($O$4,Beni!$A$4:$Z$4,0),0),"")</f>
        <v/>
      </c>
      <c r="P107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7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7" s="175">
        <f>+SUMIF(B[Bene],Assegnazione[[#This Row],[Bene]],B[Iva se dovuta])*Assegnazione[[#This Row],[Quota di assegnazione]]</f>
        <v>0</v>
      </c>
      <c r="S107" s="175">
        <f>+SUMIF(B[Bene],Assegnazione[[#This Row],[Bene]],B[Imposta di registro (fissa + prop) senza agevolazione])*Assegnazione[[#This Row],[Quota di assegnazione]]</f>
        <v>0</v>
      </c>
      <c r="T107" s="175">
        <f>+SUMIF(B[Bene],Assegnazione[[#This Row],[Bene]],B[Ipotecaria e catastale senza agevolazione])*Assegnazione[[#This Row],[Quota di assegnazione]]</f>
        <v>0</v>
      </c>
      <c r="U107" s="176">
        <f>+SUM(Assegnazione[[#This Row],[Tassazione diretta senza agevolazione]:[Ipotecaria e catastale senza agevolazione]])</f>
        <v>0</v>
      </c>
      <c r="V107" s="175">
        <f>+SUMIF(B[Bene],Assegnazione[[#This Row],[Bene]],B[Imponibile Imposta sostitutiva])*Assegnazione[[#This Row],[Quota di assegnazione]]*DATI!$E$27</f>
        <v>0</v>
      </c>
      <c r="W107" s="175">
        <f>+SUMIF(B[Bene],Assegnazione[[#This Row],[Bene]],B[Imposta di registro in misura fissa agevolata])*Assegnazione[[#This Row],[Quota di assegnazione]]</f>
        <v>0</v>
      </c>
      <c r="X107" s="175">
        <f>+SUMIF(B[Bene],Assegnazione[[#This Row],[Bene]],B[Imposta di registro prop. Agevolata])*Assegnazione[[#This Row],[Quota di assegnazione]]</f>
        <v>0</v>
      </c>
      <c r="Y107" s="175">
        <f>+IFERROR(Assegnazione[[#This Row],[Imposta di registro in misura fissa]]+Assegnazione[[#This Row],[Imposta di registro prop.]],"")</f>
        <v>0</v>
      </c>
      <c r="Z107" s="175">
        <f>+SUMIF(B[Bene],Assegnazione[[#This Row],[Bene]],B[Ipotecaria catastale agevolata])*Assegnazione[[#This Row],[Quota di assegnazione]]</f>
        <v>0</v>
      </c>
    </row>
    <row r="108" spans="1:26" x14ac:dyDescent="0.2">
      <c r="A108" s="123"/>
      <c r="B108" s="132"/>
      <c r="C108" s="123"/>
      <c r="D108" s="172">
        <f>+SUMIF(B[Bene],Assegnazione[[#This Row],[Bene]],B[Imponibile Iva])*Assegnazione[[#This Row],[Quota di assegnazione]]</f>
        <v>0</v>
      </c>
      <c r="E108" s="172">
        <f>+SUMIF(B[Bene],Assegnazione[[#This Row],[Bene]],B[Valore inserito manualmente])*Assegnazione[[#This Row],[Quota di assegnazione]]</f>
        <v>0</v>
      </c>
      <c r="F108" s="173" t="str">
        <f>+IF(A108="","",VLOOKUP(Assegnazione[[#This Row],[Bene]],B[],3,0))</f>
        <v/>
      </c>
      <c r="G108" s="129" t="str">
        <f>+IFERROR(VLOOKUP(Assegnazione[[#This Row],[Bene]],B[],MATCH("Agevolabile",Beni!$A$4:$AC$4,0),0)*VLOOKUP(Assegnazione[[#This Row],[Socio]],A_1[],8,0),"")</f>
        <v/>
      </c>
      <c r="H108" s="172">
        <f>+SUMIF(B[Bene],Assegnazione[[#This Row],[Bene]],B[Valore netto contabile fiscalmente riconosciuto])*Assegnazione[[#This Row],[Quota di assegnazione]]</f>
        <v>0</v>
      </c>
      <c r="I108" s="172">
        <f>+SUMIF(B[Bene],Assegnazione[[#This Row],[Bene]],B[Valore normale])*Assegnazione[[#This Row],[Quota di assegnazione]]</f>
        <v>0</v>
      </c>
      <c r="J108" s="174">
        <f>+IF(Assegnazione[[#This Row],[Bene]]="",0,SUMIF(Assegnazione[Socio],Assegnazione[[#This Row],[Socio]],Assegnazione[Valore Normale])/$I$3)</f>
        <v>0</v>
      </c>
      <c r="K108" s="174" t="str">
        <f>IF(Assegnazione[[#This Row],[Bene]]="","",SUMIF(A_1[Nome],Assegnazione[[#This Row],[Socio]],A_1[Quota partecipazione al momento dell''operazione]))</f>
        <v/>
      </c>
      <c r="L108" s="172">
        <f>+SUMIF(B[Bene],Assegnazione[[#This Row],[Bene]],B[Valore catastale])*Assegnazione[[#This Row],[Quota di assegnazione]]</f>
        <v>0</v>
      </c>
      <c r="M108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8" s="172">
        <f>+MIN(Assegnazione[[#This Row],[Valore ai fini dell''atto]],Assegnazione[[#This Row],[Valore Fiscalmente riconosciuto]])</f>
        <v>0</v>
      </c>
      <c r="O108" s="146" t="str">
        <f>+IFERROR(VLOOKUP(Assegnazione[[#This Row],[Bene]],B[],MATCH($O$4,Beni!$A$4:$Z$4,0),0),"")</f>
        <v/>
      </c>
      <c r="P108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8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8" s="175">
        <f>+SUMIF(B[Bene],Assegnazione[[#This Row],[Bene]],B[Iva se dovuta])*Assegnazione[[#This Row],[Quota di assegnazione]]</f>
        <v>0</v>
      </c>
      <c r="S108" s="175">
        <f>+SUMIF(B[Bene],Assegnazione[[#This Row],[Bene]],B[Imposta di registro (fissa + prop) senza agevolazione])*Assegnazione[[#This Row],[Quota di assegnazione]]</f>
        <v>0</v>
      </c>
      <c r="T108" s="175">
        <f>+SUMIF(B[Bene],Assegnazione[[#This Row],[Bene]],B[Ipotecaria e catastale senza agevolazione])*Assegnazione[[#This Row],[Quota di assegnazione]]</f>
        <v>0</v>
      </c>
      <c r="U108" s="176">
        <f>+SUM(Assegnazione[[#This Row],[Tassazione diretta senza agevolazione]:[Ipotecaria e catastale senza agevolazione]])</f>
        <v>0</v>
      </c>
      <c r="V108" s="175">
        <f>+SUMIF(B[Bene],Assegnazione[[#This Row],[Bene]],B[Imponibile Imposta sostitutiva])*Assegnazione[[#This Row],[Quota di assegnazione]]*DATI!$E$27</f>
        <v>0</v>
      </c>
      <c r="W108" s="175">
        <f>+SUMIF(B[Bene],Assegnazione[[#This Row],[Bene]],B[Imposta di registro in misura fissa agevolata])*Assegnazione[[#This Row],[Quota di assegnazione]]</f>
        <v>0</v>
      </c>
      <c r="X108" s="175">
        <f>+SUMIF(B[Bene],Assegnazione[[#This Row],[Bene]],B[Imposta di registro prop. Agevolata])*Assegnazione[[#This Row],[Quota di assegnazione]]</f>
        <v>0</v>
      </c>
      <c r="Y108" s="175">
        <f>+IFERROR(Assegnazione[[#This Row],[Imposta di registro in misura fissa]]+Assegnazione[[#This Row],[Imposta di registro prop.]],"")</f>
        <v>0</v>
      </c>
      <c r="Z108" s="175">
        <f>+SUMIF(B[Bene],Assegnazione[[#This Row],[Bene]],B[Ipotecaria catastale agevolata])*Assegnazione[[#This Row],[Quota di assegnazione]]</f>
        <v>0</v>
      </c>
    </row>
    <row r="109" spans="1:26" x14ac:dyDescent="0.2">
      <c r="A109" s="123"/>
      <c r="B109" s="132"/>
      <c r="C109" s="123"/>
      <c r="D109" s="172">
        <f>+SUMIF(B[Bene],Assegnazione[[#This Row],[Bene]],B[Imponibile Iva])*Assegnazione[[#This Row],[Quota di assegnazione]]</f>
        <v>0</v>
      </c>
      <c r="E109" s="172">
        <f>+SUMIF(B[Bene],Assegnazione[[#This Row],[Bene]],B[Valore inserito manualmente])*Assegnazione[[#This Row],[Quota di assegnazione]]</f>
        <v>0</v>
      </c>
      <c r="F109" s="173" t="str">
        <f>+IF(A109="","",VLOOKUP(Assegnazione[[#This Row],[Bene]],B[],3,0))</f>
        <v/>
      </c>
      <c r="G109" s="129" t="str">
        <f>+IFERROR(VLOOKUP(Assegnazione[[#This Row],[Bene]],B[],MATCH("Agevolabile",Beni!$A$4:$AC$4,0),0)*VLOOKUP(Assegnazione[[#This Row],[Socio]],A_1[],8,0),"")</f>
        <v/>
      </c>
      <c r="H109" s="172">
        <f>+SUMIF(B[Bene],Assegnazione[[#This Row],[Bene]],B[Valore netto contabile fiscalmente riconosciuto])*Assegnazione[[#This Row],[Quota di assegnazione]]</f>
        <v>0</v>
      </c>
      <c r="I109" s="172">
        <f>+SUMIF(B[Bene],Assegnazione[[#This Row],[Bene]],B[Valore normale])*Assegnazione[[#This Row],[Quota di assegnazione]]</f>
        <v>0</v>
      </c>
      <c r="J109" s="174">
        <f>+IF(Assegnazione[[#This Row],[Bene]]="",0,SUMIF(Assegnazione[Socio],Assegnazione[[#This Row],[Socio]],Assegnazione[Valore Normale])/$I$3)</f>
        <v>0</v>
      </c>
      <c r="K109" s="174" t="str">
        <f>IF(Assegnazione[[#This Row],[Bene]]="","",SUMIF(A_1[Nome],Assegnazione[[#This Row],[Socio]],A_1[Quota partecipazione al momento dell''operazione]))</f>
        <v/>
      </c>
      <c r="L109" s="172">
        <f>+SUMIF(B[Bene],Assegnazione[[#This Row],[Bene]],B[Valore catastale])*Assegnazione[[#This Row],[Quota di assegnazione]]</f>
        <v>0</v>
      </c>
      <c r="M109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9" s="172">
        <f>+MIN(Assegnazione[[#This Row],[Valore ai fini dell''atto]],Assegnazione[[#This Row],[Valore Fiscalmente riconosciuto]])</f>
        <v>0</v>
      </c>
      <c r="O109" s="146" t="str">
        <f>+IFERROR(VLOOKUP(Assegnazione[[#This Row],[Bene]],B[],MATCH($O$4,Beni!$A$4:$Z$4,0),0),"")</f>
        <v/>
      </c>
      <c r="P109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9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9" s="175">
        <f>+SUMIF(B[Bene],Assegnazione[[#This Row],[Bene]],B[Iva se dovuta])*Assegnazione[[#This Row],[Quota di assegnazione]]</f>
        <v>0</v>
      </c>
      <c r="S109" s="175">
        <f>+SUMIF(B[Bene],Assegnazione[[#This Row],[Bene]],B[Imposta di registro (fissa + prop) senza agevolazione])*Assegnazione[[#This Row],[Quota di assegnazione]]</f>
        <v>0</v>
      </c>
      <c r="T109" s="175">
        <f>+SUMIF(B[Bene],Assegnazione[[#This Row],[Bene]],B[Ipotecaria e catastale senza agevolazione])*Assegnazione[[#This Row],[Quota di assegnazione]]</f>
        <v>0</v>
      </c>
      <c r="U109" s="176">
        <f>+SUM(Assegnazione[[#This Row],[Tassazione diretta senza agevolazione]:[Ipotecaria e catastale senza agevolazione]])</f>
        <v>0</v>
      </c>
      <c r="V109" s="175">
        <f>+SUMIF(B[Bene],Assegnazione[[#This Row],[Bene]],B[Imponibile Imposta sostitutiva])*Assegnazione[[#This Row],[Quota di assegnazione]]*DATI!$E$27</f>
        <v>0</v>
      </c>
      <c r="W109" s="175">
        <f>+SUMIF(B[Bene],Assegnazione[[#This Row],[Bene]],B[Imposta di registro in misura fissa agevolata])*Assegnazione[[#This Row],[Quota di assegnazione]]</f>
        <v>0</v>
      </c>
      <c r="X109" s="175">
        <f>+SUMIF(B[Bene],Assegnazione[[#This Row],[Bene]],B[Imposta di registro prop. Agevolata])*Assegnazione[[#This Row],[Quota di assegnazione]]</f>
        <v>0</v>
      </c>
      <c r="Y109" s="175">
        <f>+IFERROR(Assegnazione[[#This Row],[Imposta di registro in misura fissa]]+Assegnazione[[#This Row],[Imposta di registro prop.]],"")</f>
        <v>0</v>
      </c>
      <c r="Z109" s="175">
        <f>+SUMIF(B[Bene],Assegnazione[[#This Row],[Bene]],B[Ipotecaria catastale agevolata])*Assegnazione[[#This Row],[Quota di assegnazione]]</f>
        <v>0</v>
      </c>
    </row>
    <row r="110" spans="1:26" x14ac:dyDescent="0.2">
      <c r="A110" s="123"/>
      <c r="B110" s="132"/>
      <c r="C110" s="123"/>
      <c r="D110" s="172">
        <f>+SUMIF(B[Bene],Assegnazione[[#This Row],[Bene]],B[Imponibile Iva])*Assegnazione[[#This Row],[Quota di assegnazione]]</f>
        <v>0</v>
      </c>
      <c r="E110" s="172">
        <f>+SUMIF(B[Bene],Assegnazione[[#This Row],[Bene]],B[Valore inserito manualmente])*Assegnazione[[#This Row],[Quota di assegnazione]]</f>
        <v>0</v>
      </c>
      <c r="F110" s="173" t="str">
        <f>+IF(A110="","",VLOOKUP(Assegnazione[[#This Row],[Bene]],B[],3,0))</f>
        <v/>
      </c>
      <c r="G110" s="129" t="str">
        <f>+IFERROR(VLOOKUP(Assegnazione[[#This Row],[Bene]],B[],MATCH("Agevolabile",Beni!$A$4:$AC$4,0),0)*VLOOKUP(Assegnazione[[#This Row],[Socio]],A_1[],8,0),"")</f>
        <v/>
      </c>
      <c r="H110" s="172">
        <f>+SUMIF(B[Bene],Assegnazione[[#This Row],[Bene]],B[Valore netto contabile fiscalmente riconosciuto])*Assegnazione[[#This Row],[Quota di assegnazione]]</f>
        <v>0</v>
      </c>
      <c r="I110" s="172">
        <f>+SUMIF(B[Bene],Assegnazione[[#This Row],[Bene]],B[Valore normale])*Assegnazione[[#This Row],[Quota di assegnazione]]</f>
        <v>0</v>
      </c>
      <c r="J110" s="174">
        <f>+IF(Assegnazione[[#This Row],[Bene]]="",0,SUMIF(Assegnazione[Socio],Assegnazione[[#This Row],[Socio]],Assegnazione[Valore Normale])/$I$3)</f>
        <v>0</v>
      </c>
      <c r="K110" s="174" t="str">
        <f>IF(Assegnazione[[#This Row],[Bene]]="","",SUMIF(A_1[Nome],Assegnazione[[#This Row],[Socio]],A_1[Quota partecipazione al momento dell''operazione]))</f>
        <v/>
      </c>
      <c r="L110" s="172">
        <f>+SUMIF(B[Bene],Assegnazione[[#This Row],[Bene]],B[Valore catastale])*Assegnazione[[#This Row],[Quota di assegnazione]]</f>
        <v>0</v>
      </c>
      <c r="M110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0" s="172">
        <f>+MIN(Assegnazione[[#This Row],[Valore ai fini dell''atto]],Assegnazione[[#This Row],[Valore Fiscalmente riconosciuto]])</f>
        <v>0</v>
      </c>
      <c r="O110" s="146" t="str">
        <f>+IFERROR(VLOOKUP(Assegnazione[[#This Row],[Bene]],B[],MATCH($O$4,Beni!$A$4:$Z$4,0),0),"")</f>
        <v/>
      </c>
      <c r="P110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0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0" s="175">
        <f>+SUMIF(B[Bene],Assegnazione[[#This Row],[Bene]],B[Iva se dovuta])*Assegnazione[[#This Row],[Quota di assegnazione]]</f>
        <v>0</v>
      </c>
      <c r="S110" s="175">
        <f>+SUMIF(B[Bene],Assegnazione[[#This Row],[Bene]],B[Imposta di registro (fissa + prop) senza agevolazione])*Assegnazione[[#This Row],[Quota di assegnazione]]</f>
        <v>0</v>
      </c>
      <c r="T110" s="175">
        <f>+SUMIF(B[Bene],Assegnazione[[#This Row],[Bene]],B[Ipotecaria e catastale senza agevolazione])*Assegnazione[[#This Row],[Quota di assegnazione]]</f>
        <v>0</v>
      </c>
      <c r="U110" s="176">
        <f>+SUM(Assegnazione[[#This Row],[Tassazione diretta senza agevolazione]:[Ipotecaria e catastale senza agevolazione]])</f>
        <v>0</v>
      </c>
      <c r="V110" s="175">
        <f>+SUMIF(B[Bene],Assegnazione[[#This Row],[Bene]],B[Imponibile Imposta sostitutiva])*Assegnazione[[#This Row],[Quota di assegnazione]]*DATI!$E$27</f>
        <v>0</v>
      </c>
      <c r="W110" s="175">
        <f>+SUMIF(B[Bene],Assegnazione[[#This Row],[Bene]],B[Imposta di registro in misura fissa agevolata])*Assegnazione[[#This Row],[Quota di assegnazione]]</f>
        <v>0</v>
      </c>
      <c r="X110" s="175">
        <f>+SUMIF(B[Bene],Assegnazione[[#This Row],[Bene]],B[Imposta di registro prop. Agevolata])*Assegnazione[[#This Row],[Quota di assegnazione]]</f>
        <v>0</v>
      </c>
      <c r="Y110" s="175">
        <f>+IFERROR(Assegnazione[[#This Row],[Imposta di registro in misura fissa]]+Assegnazione[[#This Row],[Imposta di registro prop.]],"")</f>
        <v>0</v>
      </c>
      <c r="Z110" s="175">
        <f>+SUMIF(B[Bene],Assegnazione[[#This Row],[Bene]],B[Ipotecaria catastale agevolata])*Assegnazione[[#This Row],[Quota di assegnazione]]</f>
        <v>0</v>
      </c>
    </row>
    <row r="111" spans="1:26" x14ac:dyDescent="0.2">
      <c r="A111" s="123"/>
      <c r="B111" s="132"/>
      <c r="C111" s="123"/>
      <c r="D111" s="172">
        <f>+SUMIF(B[Bene],Assegnazione[[#This Row],[Bene]],B[Imponibile Iva])*Assegnazione[[#This Row],[Quota di assegnazione]]</f>
        <v>0</v>
      </c>
      <c r="E111" s="172">
        <f>+SUMIF(B[Bene],Assegnazione[[#This Row],[Bene]],B[Valore inserito manualmente])*Assegnazione[[#This Row],[Quota di assegnazione]]</f>
        <v>0</v>
      </c>
      <c r="F111" s="173" t="str">
        <f>+IF(A111="","",VLOOKUP(Assegnazione[[#This Row],[Bene]],B[],3,0))</f>
        <v/>
      </c>
      <c r="G111" s="129" t="str">
        <f>+IFERROR(VLOOKUP(Assegnazione[[#This Row],[Bene]],B[],MATCH("Agevolabile",Beni!$A$4:$AC$4,0),0)*VLOOKUP(Assegnazione[[#This Row],[Socio]],A_1[],8,0),"")</f>
        <v/>
      </c>
      <c r="H111" s="172">
        <f>+SUMIF(B[Bene],Assegnazione[[#This Row],[Bene]],B[Valore netto contabile fiscalmente riconosciuto])*Assegnazione[[#This Row],[Quota di assegnazione]]</f>
        <v>0</v>
      </c>
      <c r="I111" s="172">
        <f>+SUMIF(B[Bene],Assegnazione[[#This Row],[Bene]],B[Valore normale])*Assegnazione[[#This Row],[Quota di assegnazione]]</f>
        <v>0</v>
      </c>
      <c r="J111" s="174">
        <f>+IF(Assegnazione[[#This Row],[Bene]]="",0,SUMIF(Assegnazione[Socio],Assegnazione[[#This Row],[Socio]],Assegnazione[Valore Normale])/$I$3)</f>
        <v>0</v>
      </c>
      <c r="K111" s="174" t="str">
        <f>IF(Assegnazione[[#This Row],[Bene]]="","",SUMIF(A_1[Nome],Assegnazione[[#This Row],[Socio]],A_1[Quota partecipazione al momento dell''operazione]))</f>
        <v/>
      </c>
      <c r="L111" s="172">
        <f>+SUMIF(B[Bene],Assegnazione[[#This Row],[Bene]],B[Valore catastale])*Assegnazione[[#This Row],[Quota di assegnazione]]</f>
        <v>0</v>
      </c>
      <c r="M111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1" s="172">
        <f>+MIN(Assegnazione[[#This Row],[Valore ai fini dell''atto]],Assegnazione[[#This Row],[Valore Fiscalmente riconosciuto]])</f>
        <v>0</v>
      </c>
      <c r="O111" s="146" t="str">
        <f>+IFERROR(VLOOKUP(Assegnazione[[#This Row],[Bene]],B[],MATCH($O$4,Beni!$A$4:$Z$4,0),0),"")</f>
        <v/>
      </c>
      <c r="P111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1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1" s="175">
        <f>+SUMIF(B[Bene],Assegnazione[[#This Row],[Bene]],B[Iva se dovuta])*Assegnazione[[#This Row],[Quota di assegnazione]]</f>
        <v>0</v>
      </c>
      <c r="S111" s="175">
        <f>+SUMIF(B[Bene],Assegnazione[[#This Row],[Bene]],B[Imposta di registro (fissa + prop) senza agevolazione])*Assegnazione[[#This Row],[Quota di assegnazione]]</f>
        <v>0</v>
      </c>
      <c r="T111" s="175">
        <f>+SUMIF(B[Bene],Assegnazione[[#This Row],[Bene]],B[Ipotecaria e catastale senza agevolazione])*Assegnazione[[#This Row],[Quota di assegnazione]]</f>
        <v>0</v>
      </c>
      <c r="U111" s="176">
        <f>+SUM(Assegnazione[[#This Row],[Tassazione diretta senza agevolazione]:[Ipotecaria e catastale senza agevolazione]])</f>
        <v>0</v>
      </c>
      <c r="V111" s="175">
        <f>+SUMIF(B[Bene],Assegnazione[[#This Row],[Bene]],B[Imponibile Imposta sostitutiva])*Assegnazione[[#This Row],[Quota di assegnazione]]*DATI!$E$27</f>
        <v>0</v>
      </c>
      <c r="W111" s="175">
        <f>+SUMIF(B[Bene],Assegnazione[[#This Row],[Bene]],B[Imposta di registro in misura fissa agevolata])*Assegnazione[[#This Row],[Quota di assegnazione]]</f>
        <v>0</v>
      </c>
      <c r="X111" s="175">
        <f>+SUMIF(B[Bene],Assegnazione[[#This Row],[Bene]],B[Imposta di registro prop. Agevolata])*Assegnazione[[#This Row],[Quota di assegnazione]]</f>
        <v>0</v>
      </c>
      <c r="Y111" s="175">
        <f>+IFERROR(Assegnazione[[#This Row],[Imposta di registro in misura fissa]]+Assegnazione[[#This Row],[Imposta di registro prop.]],"")</f>
        <v>0</v>
      </c>
      <c r="Z111" s="175">
        <f>+SUMIF(B[Bene],Assegnazione[[#This Row],[Bene]],B[Ipotecaria catastale agevolata])*Assegnazione[[#This Row],[Quota di assegnazione]]</f>
        <v>0</v>
      </c>
    </row>
    <row r="112" spans="1:26" x14ac:dyDescent="0.2">
      <c r="A112" s="123"/>
      <c r="B112" s="132"/>
      <c r="C112" s="123"/>
      <c r="D112" s="172">
        <f>+SUMIF(B[Bene],Assegnazione[[#This Row],[Bene]],B[Imponibile Iva])*Assegnazione[[#This Row],[Quota di assegnazione]]</f>
        <v>0</v>
      </c>
      <c r="E112" s="172">
        <f>+SUMIF(B[Bene],Assegnazione[[#This Row],[Bene]],B[Valore inserito manualmente])*Assegnazione[[#This Row],[Quota di assegnazione]]</f>
        <v>0</v>
      </c>
      <c r="F112" s="173" t="str">
        <f>+IF(A112="","",VLOOKUP(Assegnazione[[#This Row],[Bene]],B[],3,0))</f>
        <v/>
      </c>
      <c r="G112" s="129" t="str">
        <f>+IFERROR(VLOOKUP(Assegnazione[[#This Row],[Bene]],B[],MATCH("Agevolabile",Beni!$A$4:$AC$4,0),0)*VLOOKUP(Assegnazione[[#This Row],[Socio]],A_1[],8,0),"")</f>
        <v/>
      </c>
      <c r="H112" s="172">
        <f>+SUMIF(B[Bene],Assegnazione[[#This Row],[Bene]],B[Valore netto contabile fiscalmente riconosciuto])*Assegnazione[[#This Row],[Quota di assegnazione]]</f>
        <v>0</v>
      </c>
      <c r="I112" s="172">
        <f>+SUMIF(B[Bene],Assegnazione[[#This Row],[Bene]],B[Valore normale])*Assegnazione[[#This Row],[Quota di assegnazione]]</f>
        <v>0</v>
      </c>
      <c r="J112" s="174">
        <f>+IF(Assegnazione[[#This Row],[Bene]]="",0,SUMIF(Assegnazione[Socio],Assegnazione[[#This Row],[Socio]],Assegnazione[Valore Normale])/$I$3)</f>
        <v>0</v>
      </c>
      <c r="K112" s="174" t="str">
        <f>IF(Assegnazione[[#This Row],[Bene]]="","",SUMIF(A_1[Nome],Assegnazione[[#This Row],[Socio]],A_1[Quota partecipazione al momento dell''operazione]))</f>
        <v/>
      </c>
      <c r="L112" s="172">
        <f>+SUMIF(B[Bene],Assegnazione[[#This Row],[Bene]],B[Valore catastale])*Assegnazione[[#This Row],[Quota di assegnazione]]</f>
        <v>0</v>
      </c>
      <c r="M112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2" s="172">
        <f>+MIN(Assegnazione[[#This Row],[Valore ai fini dell''atto]],Assegnazione[[#This Row],[Valore Fiscalmente riconosciuto]])</f>
        <v>0</v>
      </c>
      <c r="O112" s="146" t="str">
        <f>+IFERROR(VLOOKUP(Assegnazione[[#This Row],[Bene]],B[],MATCH($O$4,Beni!$A$4:$Z$4,0),0),"")</f>
        <v/>
      </c>
      <c r="P112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2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2" s="175">
        <f>+SUMIF(B[Bene],Assegnazione[[#This Row],[Bene]],B[Iva se dovuta])*Assegnazione[[#This Row],[Quota di assegnazione]]</f>
        <v>0</v>
      </c>
      <c r="S112" s="175">
        <f>+SUMIF(B[Bene],Assegnazione[[#This Row],[Bene]],B[Imposta di registro (fissa + prop) senza agevolazione])*Assegnazione[[#This Row],[Quota di assegnazione]]</f>
        <v>0</v>
      </c>
      <c r="T112" s="175">
        <f>+SUMIF(B[Bene],Assegnazione[[#This Row],[Bene]],B[Ipotecaria e catastale senza agevolazione])*Assegnazione[[#This Row],[Quota di assegnazione]]</f>
        <v>0</v>
      </c>
      <c r="U112" s="176">
        <f>+SUM(Assegnazione[[#This Row],[Tassazione diretta senza agevolazione]:[Ipotecaria e catastale senza agevolazione]])</f>
        <v>0</v>
      </c>
      <c r="V112" s="175">
        <f>+SUMIF(B[Bene],Assegnazione[[#This Row],[Bene]],B[Imponibile Imposta sostitutiva])*Assegnazione[[#This Row],[Quota di assegnazione]]*DATI!$E$27</f>
        <v>0</v>
      </c>
      <c r="W112" s="175">
        <f>+SUMIF(B[Bene],Assegnazione[[#This Row],[Bene]],B[Imposta di registro in misura fissa agevolata])*Assegnazione[[#This Row],[Quota di assegnazione]]</f>
        <v>0</v>
      </c>
      <c r="X112" s="175">
        <f>+SUMIF(B[Bene],Assegnazione[[#This Row],[Bene]],B[Imposta di registro prop. Agevolata])*Assegnazione[[#This Row],[Quota di assegnazione]]</f>
        <v>0</v>
      </c>
      <c r="Y112" s="175">
        <f>+IFERROR(Assegnazione[[#This Row],[Imposta di registro in misura fissa]]+Assegnazione[[#This Row],[Imposta di registro prop.]],"")</f>
        <v>0</v>
      </c>
      <c r="Z112" s="175">
        <f>+SUMIF(B[Bene],Assegnazione[[#This Row],[Bene]],B[Ipotecaria catastale agevolata])*Assegnazione[[#This Row],[Quota di assegnazione]]</f>
        <v>0</v>
      </c>
    </row>
    <row r="113" spans="1:26" x14ac:dyDescent="0.2">
      <c r="A113" s="123"/>
      <c r="B113" s="132"/>
      <c r="C113" s="123"/>
      <c r="D113" s="172">
        <f>+SUMIF(B[Bene],Assegnazione[[#This Row],[Bene]],B[Imponibile Iva])*Assegnazione[[#This Row],[Quota di assegnazione]]</f>
        <v>0</v>
      </c>
      <c r="E113" s="172">
        <f>+SUMIF(B[Bene],Assegnazione[[#This Row],[Bene]],B[Valore inserito manualmente])*Assegnazione[[#This Row],[Quota di assegnazione]]</f>
        <v>0</v>
      </c>
      <c r="F113" s="173" t="str">
        <f>+IF(A113="","",VLOOKUP(Assegnazione[[#This Row],[Bene]],B[],3,0))</f>
        <v/>
      </c>
      <c r="G113" s="129" t="str">
        <f>+IFERROR(VLOOKUP(Assegnazione[[#This Row],[Bene]],B[],MATCH("Agevolabile",Beni!$A$4:$AC$4,0),0)*VLOOKUP(Assegnazione[[#This Row],[Socio]],A_1[],8,0),"")</f>
        <v/>
      </c>
      <c r="H113" s="172">
        <f>+SUMIF(B[Bene],Assegnazione[[#This Row],[Bene]],B[Valore netto contabile fiscalmente riconosciuto])*Assegnazione[[#This Row],[Quota di assegnazione]]</f>
        <v>0</v>
      </c>
      <c r="I113" s="172">
        <f>+SUMIF(B[Bene],Assegnazione[[#This Row],[Bene]],B[Valore normale])*Assegnazione[[#This Row],[Quota di assegnazione]]</f>
        <v>0</v>
      </c>
      <c r="J113" s="174">
        <f>+IF(Assegnazione[[#This Row],[Bene]]="",0,SUMIF(Assegnazione[Socio],Assegnazione[[#This Row],[Socio]],Assegnazione[Valore Normale])/$I$3)</f>
        <v>0</v>
      </c>
      <c r="K113" s="174" t="str">
        <f>IF(Assegnazione[[#This Row],[Bene]]="","",SUMIF(A_1[Nome],Assegnazione[[#This Row],[Socio]],A_1[Quota partecipazione al momento dell''operazione]))</f>
        <v/>
      </c>
      <c r="L113" s="172">
        <f>+SUMIF(B[Bene],Assegnazione[[#This Row],[Bene]],B[Valore catastale])*Assegnazione[[#This Row],[Quota di assegnazione]]</f>
        <v>0</v>
      </c>
      <c r="M113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3" s="172">
        <f>+MIN(Assegnazione[[#This Row],[Valore ai fini dell''atto]],Assegnazione[[#This Row],[Valore Fiscalmente riconosciuto]])</f>
        <v>0</v>
      </c>
      <c r="O113" s="146" t="str">
        <f>+IFERROR(VLOOKUP(Assegnazione[[#This Row],[Bene]],B[],MATCH($O$4,Beni!$A$4:$Z$4,0),0),"")</f>
        <v/>
      </c>
      <c r="P113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3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3" s="175">
        <f>+SUMIF(B[Bene],Assegnazione[[#This Row],[Bene]],B[Iva se dovuta])*Assegnazione[[#This Row],[Quota di assegnazione]]</f>
        <v>0</v>
      </c>
      <c r="S113" s="175">
        <f>+SUMIF(B[Bene],Assegnazione[[#This Row],[Bene]],B[Imposta di registro (fissa + prop) senza agevolazione])*Assegnazione[[#This Row],[Quota di assegnazione]]</f>
        <v>0</v>
      </c>
      <c r="T113" s="175">
        <f>+SUMIF(B[Bene],Assegnazione[[#This Row],[Bene]],B[Ipotecaria e catastale senza agevolazione])*Assegnazione[[#This Row],[Quota di assegnazione]]</f>
        <v>0</v>
      </c>
      <c r="U113" s="176">
        <f>+SUM(Assegnazione[[#This Row],[Tassazione diretta senza agevolazione]:[Ipotecaria e catastale senza agevolazione]])</f>
        <v>0</v>
      </c>
      <c r="V113" s="175">
        <f>+SUMIF(B[Bene],Assegnazione[[#This Row],[Bene]],B[Imponibile Imposta sostitutiva])*Assegnazione[[#This Row],[Quota di assegnazione]]*DATI!$E$27</f>
        <v>0</v>
      </c>
      <c r="W113" s="175">
        <f>+SUMIF(B[Bene],Assegnazione[[#This Row],[Bene]],B[Imposta di registro in misura fissa agevolata])*Assegnazione[[#This Row],[Quota di assegnazione]]</f>
        <v>0</v>
      </c>
      <c r="X113" s="175">
        <f>+SUMIF(B[Bene],Assegnazione[[#This Row],[Bene]],B[Imposta di registro prop. Agevolata])*Assegnazione[[#This Row],[Quota di assegnazione]]</f>
        <v>0</v>
      </c>
      <c r="Y113" s="175">
        <f>+IFERROR(Assegnazione[[#This Row],[Imposta di registro in misura fissa]]+Assegnazione[[#This Row],[Imposta di registro prop.]],"")</f>
        <v>0</v>
      </c>
      <c r="Z113" s="175">
        <f>+SUMIF(B[Bene],Assegnazione[[#This Row],[Bene]],B[Ipotecaria catastale agevolata])*Assegnazione[[#This Row],[Quota di assegnazione]]</f>
        <v>0</v>
      </c>
    </row>
    <row r="114" spans="1:26" x14ac:dyDescent="0.2">
      <c r="A114" s="123"/>
      <c r="B114" s="132"/>
      <c r="C114" s="123"/>
      <c r="D114" s="172">
        <f>+SUMIF(B[Bene],Assegnazione[[#This Row],[Bene]],B[Imponibile Iva])*Assegnazione[[#This Row],[Quota di assegnazione]]</f>
        <v>0</v>
      </c>
      <c r="E114" s="172">
        <f>+SUMIF(B[Bene],Assegnazione[[#This Row],[Bene]],B[Valore inserito manualmente])*Assegnazione[[#This Row],[Quota di assegnazione]]</f>
        <v>0</v>
      </c>
      <c r="F114" s="173" t="str">
        <f>+IF(A114="","",VLOOKUP(Assegnazione[[#This Row],[Bene]],B[],3,0))</f>
        <v/>
      </c>
      <c r="G114" s="129" t="str">
        <f>+IFERROR(VLOOKUP(Assegnazione[[#This Row],[Bene]],B[],MATCH("Agevolabile",Beni!$A$4:$AC$4,0),0)*VLOOKUP(Assegnazione[[#This Row],[Socio]],A_1[],8,0),"")</f>
        <v/>
      </c>
      <c r="H114" s="172">
        <f>+SUMIF(B[Bene],Assegnazione[[#This Row],[Bene]],B[Valore netto contabile fiscalmente riconosciuto])*Assegnazione[[#This Row],[Quota di assegnazione]]</f>
        <v>0</v>
      </c>
      <c r="I114" s="172">
        <f>+SUMIF(B[Bene],Assegnazione[[#This Row],[Bene]],B[Valore normale])*Assegnazione[[#This Row],[Quota di assegnazione]]</f>
        <v>0</v>
      </c>
      <c r="J114" s="174">
        <f>+IF(Assegnazione[[#This Row],[Bene]]="",0,SUMIF(Assegnazione[Socio],Assegnazione[[#This Row],[Socio]],Assegnazione[Valore Normale])/$I$3)</f>
        <v>0</v>
      </c>
      <c r="K114" s="174" t="str">
        <f>IF(Assegnazione[[#This Row],[Bene]]="","",SUMIF(A_1[Nome],Assegnazione[[#This Row],[Socio]],A_1[Quota partecipazione al momento dell''operazione]))</f>
        <v/>
      </c>
      <c r="L114" s="172">
        <f>+SUMIF(B[Bene],Assegnazione[[#This Row],[Bene]],B[Valore catastale])*Assegnazione[[#This Row],[Quota di assegnazione]]</f>
        <v>0</v>
      </c>
      <c r="M114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4" s="172">
        <f>+MIN(Assegnazione[[#This Row],[Valore ai fini dell''atto]],Assegnazione[[#This Row],[Valore Fiscalmente riconosciuto]])</f>
        <v>0</v>
      </c>
      <c r="O114" s="146" t="str">
        <f>+IFERROR(VLOOKUP(Assegnazione[[#This Row],[Bene]],B[],MATCH($O$4,Beni!$A$4:$Z$4,0),0),"")</f>
        <v/>
      </c>
      <c r="P114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4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4" s="175">
        <f>+SUMIF(B[Bene],Assegnazione[[#This Row],[Bene]],B[Iva se dovuta])*Assegnazione[[#This Row],[Quota di assegnazione]]</f>
        <v>0</v>
      </c>
      <c r="S114" s="175">
        <f>+SUMIF(B[Bene],Assegnazione[[#This Row],[Bene]],B[Imposta di registro (fissa + prop) senza agevolazione])*Assegnazione[[#This Row],[Quota di assegnazione]]</f>
        <v>0</v>
      </c>
      <c r="T114" s="175">
        <f>+SUMIF(B[Bene],Assegnazione[[#This Row],[Bene]],B[Ipotecaria e catastale senza agevolazione])*Assegnazione[[#This Row],[Quota di assegnazione]]</f>
        <v>0</v>
      </c>
      <c r="U114" s="176">
        <f>+SUM(Assegnazione[[#This Row],[Tassazione diretta senza agevolazione]:[Ipotecaria e catastale senza agevolazione]])</f>
        <v>0</v>
      </c>
      <c r="V114" s="175">
        <f>+SUMIF(B[Bene],Assegnazione[[#This Row],[Bene]],B[Imponibile Imposta sostitutiva])*Assegnazione[[#This Row],[Quota di assegnazione]]*DATI!$E$27</f>
        <v>0</v>
      </c>
      <c r="W114" s="175">
        <f>+SUMIF(B[Bene],Assegnazione[[#This Row],[Bene]],B[Imposta di registro in misura fissa agevolata])*Assegnazione[[#This Row],[Quota di assegnazione]]</f>
        <v>0</v>
      </c>
      <c r="X114" s="175">
        <f>+SUMIF(B[Bene],Assegnazione[[#This Row],[Bene]],B[Imposta di registro prop. Agevolata])*Assegnazione[[#This Row],[Quota di assegnazione]]</f>
        <v>0</v>
      </c>
      <c r="Y114" s="175">
        <f>+IFERROR(Assegnazione[[#This Row],[Imposta di registro in misura fissa]]+Assegnazione[[#This Row],[Imposta di registro prop.]],"")</f>
        <v>0</v>
      </c>
      <c r="Z114" s="175">
        <f>+SUMIF(B[Bene],Assegnazione[[#This Row],[Bene]],B[Ipotecaria catastale agevolata])*Assegnazione[[#This Row],[Quota di assegnazione]]</f>
        <v>0</v>
      </c>
    </row>
    <row r="115" spans="1:26" x14ac:dyDescent="0.2">
      <c r="A115" s="123"/>
      <c r="B115" s="132"/>
      <c r="C115" s="123"/>
      <c r="D115" s="172">
        <f>+SUMIF(B[Bene],Assegnazione[[#This Row],[Bene]],B[Imponibile Iva])*Assegnazione[[#This Row],[Quota di assegnazione]]</f>
        <v>0</v>
      </c>
      <c r="E115" s="172">
        <f>+SUMIF(B[Bene],Assegnazione[[#This Row],[Bene]],B[Valore inserito manualmente])*Assegnazione[[#This Row],[Quota di assegnazione]]</f>
        <v>0</v>
      </c>
      <c r="F115" s="173" t="str">
        <f>+IF(A115="","",VLOOKUP(Assegnazione[[#This Row],[Bene]],B[],3,0))</f>
        <v/>
      </c>
      <c r="G115" s="129" t="str">
        <f>+IFERROR(VLOOKUP(Assegnazione[[#This Row],[Bene]],B[],MATCH("Agevolabile",Beni!$A$4:$AC$4,0),0)*VLOOKUP(Assegnazione[[#This Row],[Socio]],A_1[],8,0),"")</f>
        <v/>
      </c>
      <c r="H115" s="172">
        <f>+SUMIF(B[Bene],Assegnazione[[#This Row],[Bene]],B[Valore netto contabile fiscalmente riconosciuto])*Assegnazione[[#This Row],[Quota di assegnazione]]</f>
        <v>0</v>
      </c>
      <c r="I115" s="172">
        <f>+SUMIF(B[Bene],Assegnazione[[#This Row],[Bene]],B[Valore normale])*Assegnazione[[#This Row],[Quota di assegnazione]]</f>
        <v>0</v>
      </c>
      <c r="J115" s="174">
        <f>+IF(Assegnazione[[#This Row],[Bene]]="",0,SUMIF(Assegnazione[Socio],Assegnazione[[#This Row],[Socio]],Assegnazione[Valore Normale])/$I$3)</f>
        <v>0</v>
      </c>
      <c r="K115" s="174" t="str">
        <f>IF(Assegnazione[[#This Row],[Bene]]="","",SUMIF(A_1[Nome],Assegnazione[[#This Row],[Socio]],A_1[Quota partecipazione al momento dell''operazione]))</f>
        <v/>
      </c>
      <c r="L115" s="172">
        <f>+SUMIF(B[Bene],Assegnazione[[#This Row],[Bene]],B[Valore catastale])*Assegnazione[[#This Row],[Quota di assegnazione]]</f>
        <v>0</v>
      </c>
      <c r="M115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5" s="172">
        <f>+MIN(Assegnazione[[#This Row],[Valore ai fini dell''atto]],Assegnazione[[#This Row],[Valore Fiscalmente riconosciuto]])</f>
        <v>0</v>
      </c>
      <c r="O115" s="146" t="str">
        <f>+IFERROR(VLOOKUP(Assegnazione[[#This Row],[Bene]],B[],MATCH($O$4,Beni!$A$4:$Z$4,0),0),"")</f>
        <v/>
      </c>
      <c r="P115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5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5" s="175">
        <f>+SUMIF(B[Bene],Assegnazione[[#This Row],[Bene]],B[Iva se dovuta])*Assegnazione[[#This Row],[Quota di assegnazione]]</f>
        <v>0</v>
      </c>
      <c r="S115" s="175">
        <f>+SUMIF(B[Bene],Assegnazione[[#This Row],[Bene]],B[Imposta di registro (fissa + prop) senza agevolazione])*Assegnazione[[#This Row],[Quota di assegnazione]]</f>
        <v>0</v>
      </c>
      <c r="T115" s="175">
        <f>+SUMIF(B[Bene],Assegnazione[[#This Row],[Bene]],B[Ipotecaria e catastale senza agevolazione])*Assegnazione[[#This Row],[Quota di assegnazione]]</f>
        <v>0</v>
      </c>
      <c r="U115" s="176">
        <f>+SUM(Assegnazione[[#This Row],[Tassazione diretta senza agevolazione]:[Ipotecaria e catastale senza agevolazione]])</f>
        <v>0</v>
      </c>
      <c r="V115" s="175">
        <f>+SUMIF(B[Bene],Assegnazione[[#This Row],[Bene]],B[Imponibile Imposta sostitutiva])*Assegnazione[[#This Row],[Quota di assegnazione]]*DATI!$E$27</f>
        <v>0</v>
      </c>
      <c r="W115" s="175">
        <f>+SUMIF(B[Bene],Assegnazione[[#This Row],[Bene]],B[Imposta di registro in misura fissa agevolata])*Assegnazione[[#This Row],[Quota di assegnazione]]</f>
        <v>0</v>
      </c>
      <c r="X115" s="175">
        <f>+SUMIF(B[Bene],Assegnazione[[#This Row],[Bene]],B[Imposta di registro prop. Agevolata])*Assegnazione[[#This Row],[Quota di assegnazione]]</f>
        <v>0</v>
      </c>
      <c r="Y115" s="175">
        <f>+IFERROR(Assegnazione[[#This Row],[Imposta di registro in misura fissa]]+Assegnazione[[#This Row],[Imposta di registro prop.]],"")</f>
        <v>0</v>
      </c>
      <c r="Z115" s="175">
        <f>+SUMIF(B[Bene],Assegnazione[[#This Row],[Bene]],B[Ipotecaria catastale agevolata])*Assegnazione[[#This Row],[Quota di assegnazione]]</f>
        <v>0</v>
      </c>
    </row>
    <row r="116" spans="1:26" x14ac:dyDescent="0.2">
      <c r="A116" s="123"/>
      <c r="B116" s="132"/>
      <c r="C116" s="123"/>
      <c r="D116" s="172">
        <f>+SUMIF(B[Bene],Assegnazione[[#This Row],[Bene]],B[Imponibile Iva])*Assegnazione[[#This Row],[Quota di assegnazione]]</f>
        <v>0</v>
      </c>
      <c r="E116" s="172">
        <f>+SUMIF(B[Bene],Assegnazione[[#This Row],[Bene]],B[Valore inserito manualmente])*Assegnazione[[#This Row],[Quota di assegnazione]]</f>
        <v>0</v>
      </c>
      <c r="F116" s="173" t="str">
        <f>+IF(A116="","",VLOOKUP(Assegnazione[[#This Row],[Bene]],B[],3,0))</f>
        <v/>
      </c>
      <c r="G116" s="129" t="str">
        <f>+IFERROR(VLOOKUP(Assegnazione[[#This Row],[Bene]],B[],MATCH("Agevolabile",Beni!$A$4:$AC$4,0),0)*VLOOKUP(Assegnazione[[#This Row],[Socio]],A_1[],8,0),"")</f>
        <v/>
      </c>
      <c r="H116" s="172">
        <f>+SUMIF(B[Bene],Assegnazione[[#This Row],[Bene]],B[Valore netto contabile fiscalmente riconosciuto])*Assegnazione[[#This Row],[Quota di assegnazione]]</f>
        <v>0</v>
      </c>
      <c r="I116" s="172">
        <f>+SUMIF(B[Bene],Assegnazione[[#This Row],[Bene]],B[Valore normale])*Assegnazione[[#This Row],[Quota di assegnazione]]</f>
        <v>0</v>
      </c>
      <c r="J116" s="174">
        <f>+IF(Assegnazione[[#This Row],[Bene]]="",0,SUMIF(Assegnazione[Socio],Assegnazione[[#This Row],[Socio]],Assegnazione[Valore Normale])/$I$3)</f>
        <v>0</v>
      </c>
      <c r="K116" s="174" t="str">
        <f>IF(Assegnazione[[#This Row],[Bene]]="","",SUMIF(A_1[Nome],Assegnazione[[#This Row],[Socio]],A_1[Quota partecipazione al momento dell''operazione]))</f>
        <v/>
      </c>
      <c r="L116" s="172">
        <f>+SUMIF(B[Bene],Assegnazione[[#This Row],[Bene]],B[Valore catastale])*Assegnazione[[#This Row],[Quota di assegnazione]]</f>
        <v>0</v>
      </c>
      <c r="M116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6" s="172">
        <f>+MIN(Assegnazione[[#This Row],[Valore ai fini dell''atto]],Assegnazione[[#This Row],[Valore Fiscalmente riconosciuto]])</f>
        <v>0</v>
      </c>
      <c r="O116" s="146" t="str">
        <f>+IFERROR(VLOOKUP(Assegnazione[[#This Row],[Bene]],B[],MATCH($O$4,Beni!$A$4:$Z$4,0),0),"")</f>
        <v/>
      </c>
      <c r="P116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6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6" s="175">
        <f>+SUMIF(B[Bene],Assegnazione[[#This Row],[Bene]],B[Iva se dovuta])*Assegnazione[[#This Row],[Quota di assegnazione]]</f>
        <v>0</v>
      </c>
      <c r="S116" s="175">
        <f>+SUMIF(B[Bene],Assegnazione[[#This Row],[Bene]],B[Imposta di registro (fissa + prop) senza agevolazione])*Assegnazione[[#This Row],[Quota di assegnazione]]</f>
        <v>0</v>
      </c>
      <c r="T116" s="175">
        <f>+SUMIF(B[Bene],Assegnazione[[#This Row],[Bene]],B[Ipotecaria e catastale senza agevolazione])*Assegnazione[[#This Row],[Quota di assegnazione]]</f>
        <v>0</v>
      </c>
      <c r="U116" s="176">
        <f>+SUM(Assegnazione[[#This Row],[Tassazione diretta senza agevolazione]:[Ipotecaria e catastale senza agevolazione]])</f>
        <v>0</v>
      </c>
      <c r="V116" s="175">
        <f>+SUMIF(B[Bene],Assegnazione[[#This Row],[Bene]],B[Imponibile Imposta sostitutiva])*Assegnazione[[#This Row],[Quota di assegnazione]]*DATI!$E$27</f>
        <v>0</v>
      </c>
      <c r="W116" s="175">
        <f>+SUMIF(B[Bene],Assegnazione[[#This Row],[Bene]],B[Imposta di registro in misura fissa agevolata])*Assegnazione[[#This Row],[Quota di assegnazione]]</f>
        <v>0</v>
      </c>
      <c r="X116" s="175">
        <f>+SUMIF(B[Bene],Assegnazione[[#This Row],[Bene]],B[Imposta di registro prop. Agevolata])*Assegnazione[[#This Row],[Quota di assegnazione]]</f>
        <v>0</v>
      </c>
      <c r="Y116" s="175">
        <f>+IFERROR(Assegnazione[[#This Row],[Imposta di registro in misura fissa]]+Assegnazione[[#This Row],[Imposta di registro prop.]],"")</f>
        <v>0</v>
      </c>
      <c r="Z116" s="175">
        <f>+SUMIF(B[Bene],Assegnazione[[#This Row],[Bene]],B[Ipotecaria catastale agevolata])*Assegnazione[[#This Row],[Quota di assegnazione]]</f>
        <v>0</v>
      </c>
    </row>
    <row r="117" spans="1:26" x14ac:dyDescent="0.2">
      <c r="A117" s="123"/>
      <c r="B117" s="132"/>
      <c r="C117" s="123"/>
      <c r="D117" s="172">
        <f>+SUMIF(B[Bene],Assegnazione[[#This Row],[Bene]],B[Imponibile Iva])*Assegnazione[[#This Row],[Quota di assegnazione]]</f>
        <v>0</v>
      </c>
      <c r="E117" s="172">
        <f>+SUMIF(B[Bene],Assegnazione[[#This Row],[Bene]],B[Valore inserito manualmente])*Assegnazione[[#This Row],[Quota di assegnazione]]</f>
        <v>0</v>
      </c>
      <c r="F117" s="173" t="str">
        <f>+IF(A117="","",VLOOKUP(Assegnazione[[#This Row],[Bene]],B[],3,0))</f>
        <v/>
      </c>
      <c r="G117" s="129" t="str">
        <f>+IFERROR(VLOOKUP(Assegnazione[[#This Row],[Bene]],B[],MATCH("Agevolabile",Beni!$A$4:$AC$4,0),0)*VLOOKUP(Assegnazione[[#This Row],[Socio]],A_1[],8,0),"")</f>
        <v/>
      </c>
      <c r="H117" s="172">
        <f>+SUMIF(B[Bene],Assegnazione[[#This Row],[Bene]],B[Valore netto contabile fiscalmente riconosciuto])*Assegnazione[[#This Row],[Quota di assegnazione]]</f>
        <v>0</v>
      </c>
      <c r="I117" s="172">
        <f>+SUMIF(B[Bene],Assegnazione[[#This Row],[Bene]],B[Valore normale])*Assegnazione[[#This Row],[Quota di assegnazione]]</f>
        <v>0</v>
      </c>
      <c r="J117" s="174">
        <f>+IF(Assegnazione[[#This Row],[Bene]]="",0,SUMIF(Assegnazione[Socio],Assegnazione[[#This Row],[Socio]],Assegnazione[Valore Normale])/$I$3)</f>
        <v>0</v>
      </c>
      <c r="K117" s="174" t="str">
        <f>IF(Assegnazione[[#This Row],[Bene]]="","",SUMIF(A_1[Nome],Assegnazione[[#This Row],[Socio]],A_1[Quota partecipazione al momento dell''operazione]))</f>
        <v/>
      </c>
      <c r="L117" s="172">
        <f>+SUMIF(B[Bene],Assegnazione[[#This Row],[Bene]],B[Valore catastale])*Assegnazione[[#This Row],[Quota di assegnazione]]</f>
        <v>0</v>
      </c>
      <c r="M117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7" s="172">
        <f>+MIN(Assegnazione[[#This Row],[Valore ai fini dell''atto]],Assegnazione[[#This Row],[Valore Fiscalmente riconosciuto]])</f>
        <v>0</v>
      </c>
      <c r="O117" s="146" t="str">
        <f>+IFERROR(VLOOKUP(Assegnazione[[#This Row],[Bene]],B[],MATCH($O$4,Beni!$A$4:$Z$4,0),0),"")</f>
        <v/>
      </c>
      <c r="P117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7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7" s="175">
        <f>+SUMIF(B[Bene],Assegnazione[[#This Row],[Bene]],B[Iva se dovuta])*Assegnazione[[#This Row],[Quota di assegnazione]]</f>
        <v>0</v>
      </c>
      <c r="S117" s="175">
        <f>+SUMIF(B[Bene],Assegnazione[[#This Row],[Bene]],B[Imposta di registro (fissa + prop) senza agevolazione])*Assegnazione[[#This Row],[Quota di assegnazione]]</f>
        <v>0</v>
      </c>
      <c r="T117" s="175">
        <f>+SUMIF(B[Bene],Assegnazione[[#This Row],[Bene]],B[Ipotecaria e catastale senza agevolazione])*Assegnazione[[#This Row],[Quota di assegnazione]]</f>
        <v>0</v>
      </c>
      <c r="U117" s="176">
        <f>+SUM(Assegnazione[[#This Row],[Tassazione diretta senza agevolazione]:[Ipotecaria e catastale senza agevolazione]])</f>
        <v>0</v>
      </c>
      <c r="V117" s="175">
        <f>+SUMIF(B[Bene],Assegnazione[[#This Row],[Bene]],B[Imponibile Imposta sostitutiva])*Assegnazione[[#This Row],[Quota di assegnazione]]*DATI!$E$27</f>
        <v>0</v>
      </c>
      <c r="W117" s="175">
        <f>+SUMIF(B[Bene],Assegnazione[[#This Row],[Bene]],B[Imposta di registro in misura fissa agevolata])*Assegnazione[[#This Row],[Quota di assegnazione]]</f>
        <v>0</v>
      </c>
      <c r="X117" s="175">
        <f>+SUMIF(B[Bene],Assegnazione[[#This Row],[Bene]],B[Imposta di registro prop. Agevolata])*Assegnazione[[#This Row],[Quota di assegnazione]]</f>
        <v>0</v>
      </c>
      <c r="Y117" s="175">
        <f>+IFERROR(Assegnazione[[#This Row],[Imposta di registro in misura fissa]]+Assegnazione[[#This Row],[Imposta di registro prop.]],"")</f>
        <v>0</v>
      </c>
      <c r="Z117" s="175">
        <f>+SUMIF(B[Bene],Assegnazione[[#This Row],[Bene]],B[Ipotecaria catastale agevolata])*Assegnazione[[#This Row],[Quota di assegnazione]]</f>
        <v>0</v>
      </c>
    </row>
    <row r="118" spans="1:26" x14ac:dyDescent="0.2">
      <c r="A118" s="123"/>
      <c r="B118" s="132"/>
      <c r="C118" s="123"/>
      <c r="D118" s="172">
        <f>+SUMIF(B[Bene],Assegnazione[[#This Row],[Bene]],B[Imponibile Iva])*Assegnazione[[#This Row],[Quota di assegnazione]]</f>
        <v>0</v>
      </c>
      <c r="E118" s="172">
        <f>+SUMIF(B[Bene],Assegnazione[[#This Row],[Bene]],B[Valore inserito manualmente])*Assegnazione[[#This Row],[Quota di assegnazione]]</f>
        <v>0</v>
      </c>
      <c r="F118" s="173" t="str">
        <f>+IF(A118="","",VLOOKUP(Assegnazione[[#This Row],[Bene]],B[],3,0))</f>
        <v/>
      </c>
      <c r="G118" s="129" t="str">
        <f>+IFERROR(VLOOKUP(Assegnazione[[#This Row],[Bene]],B[],MATCH("Agevolabile",Beni!$A$4:$AC$4,0),0)*VLOOKUP(Assegnazione[[#This Row],[Socio]],A_1[],8,0),"")</f>
        <v/>
      </c>
      <c r="H118" s="172">
        <f>+SUMIF(B[Bene],Assegnazione[[#This Row],[Bene]],B[Valore netto contabile fiscalmente riconosciuto])*Assegnazione[[#This Row],[Quota di assegnazione]]</f>
        <v>0</v>
      </c>
      <c r="I118" s="172">
        <f>+SUMIF(B[Bene],Assegnazione[[#This Row],[Bene]],B[Valore normale])*Assegnazione[[#This Row],[Quota di assegnazione]]</f>
        <v>0</v>
      </c>
      <c r="J118" s="174">
        <f>+IF(Assegnazione[[#This Row],[Bene]]="",0,SUMIF(Assegnazione[Socio],Assegnazione[[#This Row],[Socio]],Assegnazione[Valore Normale])/$I$3)</f>
        <v>0</v>
      </c>
      <c r="K118" s="174" t="str">
        <f>IF(Assegnazione[[#This Row],[Bene]]="","",SUMIF(A_1[Nome],Assegnazione[[#This Row],[Socio]],A_1[Quota partecipazione al momento dell''operazione]))</f>
        <v/>
      </c>
      <c r="L118" s="172">
        <f>+SUMIF(B[Bene],Assegnazione[[#This Row],[Bene]],B[Valore catastale])*Assegnazione[[#This Row],[Quota di assegnazione]]</f>
        <v>0</v>
      </c>
      <c r="M118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8" s="172">
        <f>+MIN(Assegnazione[[#This Row],[Valore ai fini dell''atto]],Assegnazione[[#This Row],[Valore Fiscalmente riconosciuto]])</f>
        <v>0</v>
      </c>
      <c r="O118" s="146" t="str">
        <f>+IFERROR(VLOOKUP(Assegnazione[[#This Row],[Bene]],B[],MATCH($O$4,Beni!$A$4:$Z$4,0),0),"")</f>
        <v/>
      </c>
      <c r="P118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8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8" s="175">
        <f>+SUMIF(B[Bene],Assegnazione[[#This Row],[Bene]],B[Iva se dovuta])*Assegnazione[[#This Row],[Quota di assegnazione]]</f>
        <v>0</v>
      </c>
      <c r="S118" s="175">
        <f>+SUMIF(B[Bene],Assegnazione[[#This Row],[Bene]],B[Imposta di registro (fissa + prop) senza agevolazione])*Assegnazione[[#This Row],[Quota di assegnazione]]</f>
        <v>0</v>
      </c>
      <c r="T118" s="175">
        <f>+SUMIF(B[Bene],Assegnazione[[#This Row],[Bene]],B[Ipotecaria e catastale senza agevolazione])*Assegnazione[[#This Row],[Quota di assegnazione]]</f>
        <v>0</v>
      </c>
      <c r="U118" s="176">
        <f>+SUM(Assegnazione[[#This Row],[Tassazione diretta senza agevolazione]:[Ipotecaria e catastale senza agevolazione]])</f>
        <v>0</v>
      </c>
      <c r="V118" s="175">
        <f>+SUMIF(B[Bene],Assegnazione[[#This Row],[Bene]],B[Imponibile Imposta sostitutiva])*Assegnazione[[#This Row],[Quota di assegnazione]]*DATI!$E$27</f>
        <v>0</v>
      </c>
      <c r="W118" s="175">
        <f>+SUMIF(B[Bene],Assegnazione[[#This Row],[Bene]],B[Imposta di registro in misura fissa agevolata])*Assegnazione[[#This Row],[Quota di assegnazione]]</f>
        <v>0</v>
      </c>
      <c r="X118" s="175">
        <f>+SUMIF(B[Bene],Assegnazione[[#This Row],[Bene]],B[Imposta di registro prop. Agevolata])*Assegnazione[[#This Row],[Quota di assegnazione]]</f>
        <v>0</v>
      </c>
      <c r="Y118" s="175">
        <f>+IFERROR(Assegnazione[[#This Row],[Imposta di registro in misura fissa]]+Assegnazione[[#This Row],[Imposta di registro prop.]],"")</f>
        <v>0</v>
      </c>
      <c r="Z118" s="175">
        <f>+SUMIF(B[Bene],Assegnazione[[#This Row],[Bene]],B[Ipotecaria catastale agevolata])*Assegnazione[[#This Row],[Quota di assegnazione]]</f>
        <v>0</v>
      </c>
    </row>
    <row r="119" spans="1:26" x14ac:dyDescent="0.2">
      <c r="A119" s="123"/>
      <c r="B119" s="132"/>
      <c r="C119" s="123"/>
      <c r="D119" s="172">
        <f>+SUMIF(B[Bene],Assegnazione[[#This Row],[Bene]],B[Imponibile Iva])*Assegnazione[[#This Row],[Quota di assegnazione]]</f>
        <v>0</v>
      </c>
      <c r="E119" s="172">
        <f>+SUMIF(B[Bene],Assegnazione[[#This Row],[Bene]],B[Valore inserito manualmente])*Assegnazione[[#This Row],[Quota di assegnazione]]</f>
        <v>0</v>
      </c>
      <c r="F119" s="173" t="str">
        <f>+IF(A119="","",VLOOKUP(Assegnazione[[#This Row],[Bene]],B[],3,0))</f>
        <v/>
      </c>
      <c r="G119" s="129" t="str">
        <f>+IFERROR(VLOOKUP(Assegnazione[[#This Row],[Bene]],B[],MATCH("Agevolabile",Beni!$A$4:$AC$4,0),0)*VLOOKUP(Assegnazione[[#This Row],[Socio]],A_1[],8,0),"")</f>
        <v/>
      </c>
      <c r="H119" s="172">
        <f>+SUMIF(B[Bene],Assegnazione[[#This Row],[Bene]],B[Valore netto contabile fiscalmente riconosciuto])*Assegnazione[[#This Row],[Quota di assegnazione]]</f>
        <v>0</v>
      </c>
      <c r="I119" s="172">
        <f>+SUMIF(B[Bene],Assegnazione[[#This Row],[Bene]],B[Valore normale])*Assegnazione[[#This Row],[Quota di assegnazione]]</f>
        <v>0</v>
      </c>
      <c r="J119" s="174">
        <f>+IF(Assegnazione[[#This Row],[Bene]]="",0,SUMIF(Assegnazione[Socio],Assegnazione[[#This Row],[Socio]],Assegnazione[Valore Normale])/$I$3)</f>
        <v>0</v>
      </c>
      <c r="K119" s="174" t="str">
        <f>IF(Assegnazione[[#This Row],[Bene]]="","",SUMIF(A_1[Nome],Assegnazione[[#This Row],[Socio]],A_1[Quota partecipazione al momento dell''operazione]))</f>
        <v/>
      </c>
      <c r="L119" s="172">
        <f>+SUMIF(B[Bene],Assegnazione[[#This Row],[Bene]],B[Valore catastale])*Assegnazione[[#This Row],[Quota di assegnazione]]</f>
        <v>0</v>
      </c>
      <c r="M119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9" s="172">
        <f>+MIN(Assegnazione[[#This Row],[Valore ai fini dell''atto]],Assegnazione[[#This Row],[Valore Fiscalmente riconosciuto]])</f>
        <v>0</v>
      </c>
      <c r="O119" s="146" t="str">
        <f>+IFERROR(VLOOKUP(Assegnazione[[#This Row],[Bene]],B[],MATCH($O$4,Beni!$A$4:$Z$4,0),0),"")</f>
        <v/>
      </c>
      <c r="P119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9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9" s="175">
        <f>+SUMIF(B[Bene],Assegnazione[[#This Row],[Bene]],B[Iva se dovuta])*Assegnazione[[#This Row],[Quota di assegnazione]]</f>
        <v>0</v>
      </c>
      <c r="S119" s="175">
        <f>+SUMIF(B[Bene],Assegnazione[[#This Row],[Bene]],B[Imposta di registro (fissa + prop) senza agevolazione])*Assegnazione[[#This Row],[Quota di assegnazione]]</f>
        <v>0</v>
      </c>
      <c r="T119" s="175">
        <f>+SUMIF(B[Bene],Assegnazione[[#This Row],[Bene]],B[Ipotecaria e catastale senza agevolazione])*Assegnazione[[#This Row],[Quota di assegnazione]]</f>
        <v>0</v>
      </c>
      <c r="U119" s="176">
        <f>+SUM(Assegnazione[[#This Row],[Tassazione diretta senza agevolazione]:[Ipotecaria e catastale senza agevolazione]])</f>
        <v>0</v>
      </c>
      <c r="V119" s="175">
        <f>+SUMIF(B[Bene],Assegnazione[[#This Row],[Bene]],B[Imponibile Imposta sostitutiva])*Assegnazione[[#This Row],[Quota di assegnazione]]*DATI!$E$27</f>
        <v>0</v>
      </c>
      <c r="W119" s="175">
        <f>+SUMIF(B[Bene],Assegnazione[[#This Row],[Bene]],B[Imposta di registro in misura fissa agevolata])*Assegnazione[[#This Row],[Quota di assegnazione]]</f>
        <v>0</v>
      </c>
      <c r="X119" s="175">
        <f>+SUMIF(B[Bene],Assegnazione[[#This Row],[Bene]],B[Imposta di registro prop. Agevolata])*Assegnazione[[#This Row],[Quota di assegnazione]]</f>
        <v>0</v>
      </c>
      <c r="Y119" s="175">
        <f>+IFERROR(Assegnazione[[#This Row],[Imposta di registro in misura fissa]]+Assegnazione[[#This Row],[Imposta di registro prop.]],"")</f>
        <v>0</v>
      </c>
      <c r="Z119" s="175">
        <f>+SUMIF(B[Bene],Assegnazione[[#This Row],[Bene]],B[Ipotecaria catastale agevolata])*Assegnazione[[#This Row],[Quota di assegnazione]]</f>
        <v>0</v>
      </c>
    </row>
    <row r="120" spans="1:26" x14ac:dyDescent="0.2">
      <c r="A120" s="123"/>
      <c r="B120" s="132"/>
      <c r="C120" s="123"/>
      <c r="D120" s="172">
        <f>+SUMIF(B[Bene],Assegnazione[[#This Row],[Bene]],B[Imponibile Iva])*Assegnazione[[#This Row],[Quota di assegnazione]]</f>
        <v>0</v>
      </c>
      <c r="E120" s="172">
        <f>+SUMIF(B[Bene],Assegnazione[[#This Row],[Bene]],B[Valore inserito manualmente])*Assegnazione[[#This Row],[Quota di assegnazione]]</f>
        <v>0</v>
      </c>
      <c r="F120" s="173" t="str">
        <f>+IF(A120="","",VLOOKUP(Assegnazione[[#This Row],[Bene]],B[],3,0))</f>
        <v/>
      </c>
      <c r="G120" s="129" t="str">
        <f>+IFERROR(VLOOKUP(Assegnazione[[#This Row],[Bene]],B[],MATCH("Agevolabile",Beni!$A$4:$AC$4,0),0)*VLOOKUP(Assegnazione[[#This Row],[Socio]],A_1[],8,0),"")</f>
        <v/>
      </c>
      <c r="H120" s="172">
        <f>+SUMIF(B[Bene],Assegnazione[[#This Row],[Bene]],B[Valore netto contabile fiscalmente riconosciuto])*Assegnazione[[#This Row],[Quota di assegnazione]]</f>
        <v>0</v>
      </c>
      <c r="I120" s="172">
        <f>+SUMIF(B[Bene],Assegnazione[[#This Row],[Bene]],B[Valore normale])*Assegnazione[[#This Row],[Quota di assegnazione]]</f>
        <v>0</v>
      </c>
      <c r="J120" s="174">
        <f>+IF(Assegnazione[[#This Row],[Bene]]="",0,SUMIF(Assegnazione[Socio],Assegnazione[[#This Row],[Socio]],Assegnazione[Valore Normale])/$I$3)</f>
        <v>0</v>
      </c>
      <c r="K120" s="174" t="str">
        <f>IF(Assegnazione[[#This Row],[Bene]]="","",SUMIF(A_1[Nome],Assegnazione[[#This Row],[Socio]],A_1[Quota partecipazione al momento dell''operazione]))</f>
        <v/>
      </c>
      <c r="L120" s="172">
        <f>+SUMIF(B[Bene],Assegnazione[[#This Row],[Bene]],B[Valore catastale])*Assegnazione[[#This Row],[Quota di assegnazione]]</f>
        <v>0</v>
      </c>
      <c r="M120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0" s="172">
        <f>+MIN(Assegnazione[[#This Row],[Valore ai fini dell''atto]],Assegnazione[[#This Row],[Valore Fiscalmente riconosciuto]])</f>
        <v>0</v>
      </c>
      <c r="O120" s="146" t="str">
        <f>+IFERROR(VLOOKUP(Assegnazione[[#This Row],[Bene]],B[],MATCH($O$4,Beni!$A$4:$Z$4,0),0),"")</f>
        <v/>
      </c>
      <c r="P120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0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0" s="175">
        <f>+SUMIF(B[Bene],Assegnazione[[#This Row],[Bene]],B[Iva se dovuta])*Assegnazione[[#This Row],[Quota di assegnazione]]</f>
        <v>0</v>
      </c>
      <c r="S120" s="175">
        <f>+SUMIF(B[Bene],Assegnazione[[#This Row],[Bene]],B[Imposta di registro (fissa + prop) senza agevolazione])*Assegnazione[[#This Row],[Quota di assegnazione]]</f>
        <v>0</v>
      </c>
      <c r="T120" s="175">
        <f>+SUMIF(B[Bene],Assegnazione[[#This Row],[Bene]],B[Ipotecaria e catastale senza agevolazione])*Assegnazione[[#This Row],[Quota di assegnazione]]</f>
        <v>0</v>
      </c>
      <c r="U120" s="176">
        <f>+SUM(Assegnazione[[#This Row],[Tassazione diretta senza agevolazione]:[Ipotecaria e catastale senza agevolazione]])</f>
        <v>0</v>
      </c>
      <c r="V120" s="175">
        <f>+SUMIF(B[Bene],Assegnazione[[#This Row],[Bene]],B[Imponibile Imposta sostitutiva])*Assegnazione[[#This Row],[Quota di assegnazione]]*DATI!$E$27</f>
        <v>0</v>
      </c>
      <c r="W120" s="175">
        <f>+SUMIF(B[Bene],Assegnazione[[#This Row],[Bene]],B[Imposta di registro in misura fissa agevolata])*Assegnazione[[#This Row],[Quota di assegnazione]]</f>
        <v>0</v>
      </c>
      <c r="X120" s="175">
        <f>+SUMIF(B[Bene],Assegnazione[[#This Row],[Bene]],B[Imposta di registro prop. Agevolata])*Assegnazione[[#This Row],[Quota di assegnazione]]</f>
        <v>0</v>
      </c>
      <c r="Y120" s="175">
        <f>+IFERROR(Assegnazione[[#This Row],[Imposta di registro in misura fissa]]+Assegnazione[[#This Row],[Imposta di registro prop.]],"")</f>
        <v>0</v>
      </c>
      <c r="Z120" s="175">
        <f>+SUMIF(B[Bene],Assegnazione[[#This Row],[Bene]],B[Ipotecaria catastale agevolata])*Assegnazione[[#This Row],[Quota di assegnazione]]</f>
        <v>0</v>
      </c>
    </row>
    <row r="121" spans="1:26" x14ac:dyDescent="0.2">
      <c r="A121" s="123"/>
      <c r="B121" s="132"/>
      <c r="C121" s="123"/>
      <c r="D121" s="172">
        <f>+SUMIF(B[Bene],Assegnazione[[#This Row],[Bene]],B[Imponibile Iva])*Assegnazione[[#This Row],[Quota di assegnazione]]</f>
        <v>0</v>
      </c>
      <c r="E121" s="172">
        <f>+SUMIF(B[Bene],Assegnazione[[#This Row],[Bene]],B[Valore inserito manualmente])*Assegnazione[[#This Row],[Quota di assegnazione]]</f>
        <v>0</v>
      </c>
      <c r="F121" s="173" t="str">
        <f>+IF(A121="","",VLOOKUP(Assegnazione[[#This Row],[Bene]],B[],3,0))</f>
        <v/>
      </c>
      <c r="G121" s="129" t="str">
        <f>+IFERROR(VLOOKUP(Assegnazione[[#This Row],[Bene]],B[],MATCH("Agevolabile",Beni!$A$4:$AC$4,0),0)*VLOOKUP(Assegnazione[[#This Row],[Socio]],A_1[],8,0),"")</f>
        <v/>
      </c>
      <c r="H121" s="172">
        <f>+SUMIF(B[Bene],Assegnazione[[#This Row],[Bene]],B[Valore netto contabile fiscalmente riconosciuto])*Assegnazione[[#This Row],[Quota di assegnazione]]</f>
        <v>0</v>
      </c>
      <c r="I121" s="172">
        <f>+SUMIF(B[Bene],Assegnazione[[#This Row],[Bene]],B[Valore normale])*Assegnazione[[#This Row],[Quota di assegnazione]]</f>
        <v>0</v>
      </c>
      <c r="J121" s="174">
        <f>+IF(Assegnazione[[#This Row],[Bene]]="",0,SUMIF(Assegnazione[Socio],Assegnazione[[#This Row],[Socio]],Assegnazione[Valore Normale])/$I$3)</f>
        <v>0</v>
      </c>
      <c r="K121" s="174" t="str">
        <f>IF(Assegnazione[[#This Row],[Bene]]="","",SUMIF(A_1[Nome],Assegnazione[[#This Row],[Socio]],A_1[Quota partecipazione al momento dell''operazione]))</f>
        <v/>
      </c>
      <c r="L121" s="172">
        <f>+SUMIF(B[Bene],Assegnazione[[#This Row],[Bene]],B[Valore catastale])*Assegnazione[[#This Row],[Quota di assegnazione]]</f>
        <v>0</v>
      </c>
      <c r="M121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1" s="172">
        <f>+MIN(Assegnazione[[#This Row],[Valore ai fini dell''atto]],Assegnazione[[#This Row],[Valore Fiscalmente riconosciuto]])</f>
        <v>0</v>
      </c>
      <c r="O121" s="146" t="str">
        <f>+IFERROR(VLOOKUP(Assegnazione[[#This Row],[Bene]],B[],MATCH($O$4,Beni!$A$4:$Z$4,0),0),"")</f>
        <v/>
      </c>
      <c r="P121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1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1" s="175">
        <f>+SUMIF(B[Bene],Assegnazione[[#This Row],[Bene]],B[Iva se dovuta])*Assegnazione[[#This Row],[Quota di assegnazione]]</f>
        <v>0</v>
      </c>
      <c r="S121" s="175">
        <f>+SUMIF(B[Bene],Assegnazione[[#This Row],[Bene]],B[Imposta di registro (fissa + prop) senza agevolazione])*Assegnazione[[#This Row],[Quota di assegnazione]]</f>
        <v>0</v>
      </c>
      <c r="T121" s="175">
        <f>+SUMIF(B[Bene],Assegnazione[[#This Row],[Bene]],B[Ipotecaria e catastale senza agevolazione])*Assegnazione[[#This Row],[Quota di assegnazione]]</f>
        <v>0</v>
      </c>
      <c r="U121" s="176">
        <f>+SUM(Assegnazione[[#This Row],[Tassazione diretta senza agevolazione]:[Ipotecaria e catastale senza agevolazione]])</f>
        <v>0</v>
      </c>
      <c r="V121" s="175">
        <f>+SUMIF(B[Bene],Assegnazione[[#This Row],[Bene]],B[Imponibile Imposta sostitutiva])*Assegnazione[[#This Row],[Quota di assegnazione]]*DATI!$E$27</f>
        <v>0</v>
      </c>
      <c r="W121" s="175">
        <f>+SUMIF(B[Bene],Assegnazione[[#This Row],[Bene]],B[Imposta di registro in misura fissa agevolata])*Assegnazione[[#This Row],[Quota di assegnazione]]</f>
        <v>0</v>
      </c>
      <c r="X121" s="175">
        <f>+SUMIF(B[Bene],Assegnazione[[#This Row],[Bene]],B[Imposta di registro prop. Agevolata])*Assegnazione[[#This Row],[Quota di assegnazione]]</f>
        <v>0</v>
      </c>
      <c r="Y121" s="175">
        <f>+IFERROR(Assegnazione[[#This Row],[Imposta di registro in misura fissa]]+Assegnazione[[#This Row],[Imposta di registro prop.]],"")</f>
        <v>0</v>
      </c>
      <c r="Z121" s="175">
        <f>+SUMIF(B[Bene],Assegnazione[[#This Row],[Bene]],B[Ipotecaria catastale agevolata])*Assegnazione[[#This Row],[Quota di assegnazione]]</f>
        <v>0</v>
      </c>
    </row>
    <row r="122" spans="1:26" x14ac:dyDescent="0.2">
      <c r="A122" s="123"/>
      <c r="B122" s="132"/>
      <c r="C122" s="123"/>
      <c r="D122" s="172">
        <f>+SUMIF(B[Bene],Assegnazione[[#This Row],[Bene]],B[Imponibile Iva])*Assegnazione[[#This Row],[Quota di assegnazione]]</f>
        <v>0</v>
      </c>
      <c r="E122" s="172">
        <f>+SUMIF(B[Bene],Assegnazione[[#This Row],[Bene]],B[Valore inserito manualmente])*Assegnazione[[#This Row],[Quota di assegnazione]]</f>
        <v>0</v>
      </c>
      <c r="F122" s="173" t="str">
        <f>+IF(A122="","",VLOOKUP(Assegnazione[[#This Row],[Bene]],B[],3,0))</f>
        <v/>
      </c>
      <c r="G122" s="129" t="str">
        <f>+IFERROR(VLOOKUP(Assegnazione[[#This Row],[Bene]],B[],MATCH("Agevolabile",Beni!$A$4:$AC$4,0),0)*VLOOKUP(Assegnazione[[#This Row],[Socio]],A_1[],8,0),"")</f>
        <v/>
      </c>
      <c r="H122" s="172">
        <f>+SUMIF(B[Bene],Assegnazione[[#This Row],[Bene]],B[Valore netto contabile fiscalmente riconosciuto])*Assegnazione[[#This Row],[Quota di assegnazione]]</f>
        <v>0</v>
      </c>
      <c r="I122" s="172">
        <f>+SUMIF(B[Bene],Assegnazione[[#This Row],[Bene]],B[Valore normale])*Assegnazione[[#This Row],[Quota di assegnazione]]</f>
        <v>0</v>
      </c>
      <c r="J122" s="174">
        <f>+IF(Assegnazione[[#This Row],[Bene]]="",0,SUMIF(Assegnazione[Socio],Assegnazione[[#This Row],[Socio]],Assegnazione[Valore Normale])/$I$3)</f>
        <v>0</v>
      </c>
      <c r="K122" s="174" t="str">
        <f>IF(Assegnazione[[#This Row],[Bene]]="","",SUMIF(A_1[Nome],Assegnazione[[#This Row],[Socio]],A_1[Quota partecipazione al momento dell''operazione]))</f>
        <v/>
      </c>
      <c r="L122" s="172">
        <f>+SUMIF(B[Bene],Assegnazione[[#This Row],[Bene]],B[Valore catastale])*Assegnazione[[#This Row],[Quota di assegnazione]]</f>
        <v>0</v>
      </c>
      <c r="M122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2" s="172">
        <f>+MIN(Assegnazione[[#This Row],[Valore ai fini dell''atto]],Assegnazione[[#This Row],[Valore Fiscalmente riconosciuto]])</f>
        <v>0</v>
      </c>
      <c r="O122" s="146" t="str">
        <f>+IFERROR(VLOOKUP(Assegnazione[[#This Row],[Bene]],B[],MATCH($O$4,Beni!$A$4:$Z$4,0),0),"")</f>
        <v/>
      </c>
      <c r="P122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2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2" s="175">
        <f>+SUMIF(B[Bene],Assegnazione[[#This Row],[Bene]],B[Iva se dovuta])*Assegnazione[[#This Row],[Quota di assegnazione]]</f>
        <v>0</v>
      </c>
      <c r="S122" s="175">
        <f>+SUMIF(B[Bene],Assegnazione[[#This Row],[Bene]],B[Imposta di registro (fissa + prop) senza agevolazione])*Assegnazione[[#This Row],[Quota di assegnazione]]</f>
        <v>0</v>
      </c>
      <c r="T122" s="175">
        <f>+SUMIF(B[Bene],Assegnazione[[#This Row],[Bene]],B[Ipotecaria e catastale senza agevolazione])*Assegnazione[[#This Row],[Quota di assegnazione]]</f>
        <v>0</v>
      </c>
      <c r="U122" s="176">
        <f>+SUM(Assegnazione[[#This Row],[Tassazione diretta senza agevolazione]:[Ipotecaria e catastale senza agevolazione]])</f>
        <v>0</v>
      </c>
      <c r="V122" s="175">
        <f>+SUMIF(B[Bene],Assegnazione[[#This Row],[Bene]],B[Imponibile Imposta sostitutiva])*Assegnazione[[#This Row],[Quota di assegnazione]]*DATI!$E$27</f>
        <v>0</v>
      </c>
      <c r="W122" s="175">
        <f>+SUMIF(B[Bene],Assegnazione[[#This Row],[Bene]],B[Imposta di registro in misura fissa agevolata])*Assegnazione[[#This Row],[Quota di assegnazione]]</f>
        <v>0</v>
      </c>
      <c r="X122" s="175">
        <f>+SUMIF(B[Bene],Assegnazione[[#This Row],[Bene]],B[Imposta di registro prop. Agevolata])*Assegnazione[[#This Row],[Quota di assegnazione]]</f>
        <v>0</v>
      </c>
      <c r="Y122" s="175">
        <f>+IFERROR(Assegnazione[[#This Row],[Imposta di registro in misura fissa]]+Assegnazione[[#This Row],[Imposta di registro prop.]],"")</f>
        <v>0</v>
      </c>
      <c r="Z122" s="175">
        <f>+SUMIF(B[Bene],Assegnazione[[#This Row],[Bene]],B[Ipotecaria catastale agevolata])*Assegnazione[[#This Row],[Quota di assegnazione]]</f>
        <v>0</v>
      </c>
    </row>
    <row r="123" spans="1:26" x14ac:dyDescent="0.2">
      <c r="A123" s="123"/>
      <c r="B123" s="132"/>
      <c r="C123" s="123"/>
      <c r="D123" s="172">
        <f>+SUMIF(B[Bene],Assegnazione[[#This Row],[Bene]],B[Imponibile Iva])*Assegnazione[[#This Row],[Quota di assegnazione]]</f>
        <v>0</v>
      </c>
      <c r="E123" s="172">
        <f>+SUMIF(B[Bene],Assegnazione[[#This Row],[Bene]],B[Valore inserito manualmente])*Assegnazione[[#This Row],[Quota di assegnazione]]</f>
        <v>0</v>
      </c>
      <c r="F123" s="173" t="str">
        <f>+IF(A123="","",VLOOKUP(Assegnazione[[#This Row],[Bene]],B[],3,0))</f>
        <v/>
      </c>
      <c r="G123" s="129" t="str">
        <f>+IFERROR(VLOOKUP(Assegnazione[[#This Row],[Bene]],B[],MATCH("Agevolabile",Beni!$A$4:$AC$4,0),0)*VLOOKUP(Assegnazione[[#This Row],[Socio]],A_1[],8,0),"")</f>
        <v/>
      </c>
      <c r="H123" s="172">
        <f>+SUMIF(B[Bene],Assegnazione[[#This Row],[Bene]],B[Valore netto contabile fiscalmente riconosciuto])*Assegnazione[[#This Row],[Quota di assegnazione]]</f>
        <v>0</v>
      </c>
      <c r="I123" s="172">
        <f>+SUMIF(B[Bene],Assegnazione[[#This Row],[Bene]],B[Valore normale])*Assegnazione[[#This Row],[Quota di assegnazione]]</f>
        <v>0</v>
      </c>
      <c r="J123" s="174">
        <f>+IF(Assegnazione[[#This Row],[Bene]]="",0,SUMIF(Assegnazione[Socio],Assegnazione[[#This Row],[Socio]],Assegnazione[Valore Normale])/$I$3)</f>
        <v>0</v>
      </c>
      <c r="K123" s="174" t="str">
        <f>IF(Assegnazione[[#This Row],[Bene]]="","",SUMIF(A_1[Nome],Assegnazione[[#This Row],[Socio]],A_1[Quota partecipazione al momento dell''operazione]))</f>
        <v/>
      </c>
      <c r="L123" s="172">
        <f>+SUMIF(B[Bene],Assegnazione[[#This Row],[Bene]],B[Valore catastale])*Assegnazione[[#This Row],[Quota di assegnazione]]</f>
        <v>0</v>
      </c>
      <c r="M123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3" s="172">
        <f>+MIN(Assegnazione[[#This Row],[Valore ai fini dell''atto]],Assegnazione[[#This Row],[Valore Fiscalmente riconosciuto]])</f>
        <v>0</v>
      </c>
      <c r="O123" s="146" t="str">
        <f>+IFERROR(VLOOKUP(Assegnazione[[#This Row],[Bene]],B[],MATCH($O$4,Beni!$A$4:$Z$4,0),0),"")</f>
        <v/>
      </c>
      <c r="P123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3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3" s="175">
        <f>+SUMIF(B[Bene],Assegnazione[[#This Row],[Bene]],B[Iva se dovuta])*Assegnazione[[#This Row],[Quota di assegnazione]]</f>
        <v>0</v>
      </c>
      <c r="S123" s="175">
        <f>+SUMIF(B[Bene],Assegnazione[[#This Row],[Bene]],B[Imposta di registro (fissa + prop) senza agevolazione])*Assegnazione[[#This Row],[Quota di assegnazione]]</f>
        <v>0</v>
      </c>
      <c r="T123" s="175">
        <f>+SUMIF(B[Bene],Assegnazione[[#This Row],[Bene]],B[Ipotecaria e catastale senza agevolazione])*Assegnazione[[#This Row],[Quota di assegnazione]]</f>
        <v>0</v>
      </c>
      <c r="U123" s="176">
        <f>+SUM(Assegnazione[[#This Row],[Tassazione diretta senza agevolazione]:[Ipotecaria e catastale senza agevolazione]])</f>
        <v>0</v>
      </c>
      <c r="V123" s="175">
        <f>+SUMIF(B[Bene],Assegnazione[[#This Row],[Bene]],B[Imponibile Imposta sostitutiva])*Assegnazione[[#This Row],[Quota di assegnazione]]*DATI!$E$27</f>
        <v>0</v>
      </c>
      <c r="W123" s="175">
        <f>+SUMIF(B[Bene],Assegnazione[[#This Row],[Bene]],B[Imposta di registro in misura fissa agevolata])*Assegnazione[[#This Row],[Quota di assegnazione]]</f>
        <v>0</v>
      </c>
      <c r="X123" s="175">
        <f>+SUMIF(B[Bene],Assegnazione[[#This Row],[Bene]],B[Imposta di registro prop. Agevolata])*Assegnazione[[#This Row],[Quota di assegnazione]]</f>
        <v>0</v>
      </c>
      <c r="Y123" s="175">
        <f>+IFERROR(Assegnazione[[#This Row],[Imposta di registro in misura fissa]]+Assegnazione[[#This Row],[Imposta di registro prop.]],"")</f>
        <v>0</v>
      </c>
      <c r="Z123" s="175">
        <f>+SUMIF(B[Bene],Assegnazione[[#This Row],[Bene]],B[Ipotecaria catastale agevolata])*Assegnazione[[#This Row],[Quota di assegnazione]]</f>
        <v>0</v>
      </c>
    </row>
    <row r="124" spans="1:26" x14ac:dyDescent="0.2">
      <c r="A124" s="123"/>
      <c r="B124" s="132"/>
      <c r="C124" s="123"/>
      <c r="D124" s="172">
        <f>+SUMIF(B[Bene],Assegnazione[[#This Row],[Bene]],B[Imponibile Iva])*Assegnazione[[#This Row],[Quota di assegnazione]]</f>
        <v>0</v>
      </c>
      <c r="E124" s="172">
        <f>+SUMIF(B[Bene],Assegnazione[[#This Row],[Bene]],B[Valore inserito manualmente])*Assegnazione[[#This Row],[Quota di assegnazione]]</f>
        <v>0</v>
      </c>
      <c r="F124" s="173" t="str">
        <f>+IF(A124="","",VLOOKUP(Assegnazione[[#This Row],[Bene]],B[],3,0))</f>
        <v/>
      </c>
      <c r="G124" s="129" t="str">
        <f>+IFERROR(VLOOKUP(Assegnazione[[#This Row],[Bene]],B[],MATCH("Agevolabile",Beni!$A$4:$AC$4,0),0)*VLOOKUP(Assegnazione[[#This Row],[Socio]],A_1[],8,0),"")</f>
        <v/>
      </c>
      <c r="H124" s="172">
        <f>+SUMIF(B[Bene],Assegnazione[[#This Row],[Bene]],B[Valore netto contabile fiscalmente riconosciuto])*Assegnazione[[#This Row],[Quota di assegnazione]]</f>
        <v>0</v>
      </c>
      <c r="I124" s="172">
        <f>+SUMIF(B[Bene],Assegnazione[[#This Row],[Bene]],B[Valore normale])*Assegnazione[[#This Row],[Quota di assegnazione]]</f>
        <v>0</v>
      </c>
      <c r="J124" s="174">
        <f>+IF(Assegnazione[[#This Row],[Bene]]="",0,SUMIF(Assegnazione[Socio],Assegnazione[[#This Row],[Socio]],Assegnazione[Valore Normale])/$I$3)</f>
        <v>0</v>
      </c>
      <c r="K124" s="174" t="str">
        <f>IF(Assegnazione[[#This Row],[Bene]]="","",SUMIF(A_1[Nome],Assegnazione[[#This Row],[Socio]],A_1[Quota partecipazione al momento dell''operazione]))</f>
        <v/>
      </c>
      <c r="L124" s="172">
        <f>+SUMIF(B[Bene],Assegnazione[[#This Row],[Bene]],B[Valore catastale])*Assegnazione[[#This Row],[Quota di assegnazione]]</f>
        <v>0</v>
      </c>
      <c r="M124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4" s="172">
        <f>+MIN(Assegnazione[[#This Row],[Valore ai fini dell''atto]],Assegnazione[[#This Row],[Valore Fiscalmente riconosciuto]])</f>
        <v>0</v>
      </c>
      <c r="O124" s="146" t="str">
        <f>+IFERROR(VLOOKUP(Assegnazione[[#This Row],[Bene]],B[],MATCH($O$4,Beni!$A$4:$Z$4,0),0),"")</f>
        <v/>
      </c>
      <c r="P124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4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4" s="175">
        <f>+SUMIF(B[Bene],Assegnazione[[#This Row],[Bene]],B[Iva se dovuta])*Assegnazione[[#This Row],[Quota di assegnazione]]</f>
        <v>0</v>
      </c>
      <c r="S124" s="175">
        <f>+SUMIF(B[Bene],Assegnazione[[#This Row],[Bene]],B[Imposta di registro (fissa + prop) senza agevolazione])*Assegnazione[[#This Row],[Quota di assegnazione]]</f>
        <v>0</v>
      </c>
      <c r="T124" s="175">
        <f>+SUMIF(B[Bene],Assegnazione[[#This Row],[Bene]],B[Ipotecaria e catastale senza agevolazione])*Assegnazione[[#This Row],[Quota di assegnazione]]</f>
        <v>0</v>
      </c>
      <c r="U124" s="176">
        <f>+SUM(Assegnazione[[#This Row],[Tassazione diretta senza agevolazione]:[Ipotecaria e catastale senza agevolazione]])</f>
        <v>0</v>
      </c>
      <c r="V124" s="175">
        <f>+SUMIF(B[Bene],Assegnazione[[#This Row],[Bene]],B[Imponibile Imposta sostitutiva])*Assegnazione[[#This Row],[Quota di assegnazione]]*DATI!$E$27</f>
        <v>0</v>
      </c>
      <c r="W124" s="175">
        <f>+SUMIF(B[Bene],Assegnazione[[#This Row],[Bene]],B[Imposta di registro in misura fissa agevolata])*Assegnazione[[#This Row],[Quota di assegnazione]]</f>
        <v>0</v>
      </c>
      <c r="X124" s="175">
        <f>+SUMIF(B[Bene],Assegnazione[[#This Row],[Bene]],B[Imposta di registro prop. Agevolata])*Assegnazione[[#This Row],[Quota di assegnazione]]</f>
        <v>0</v>
      </c>
      <c r="Y124" s="175">
        <f>+IFERROR(Assegnazione[[#This Row],[Imposta di registro in misura fissa]]+Assegnazione[[#This Row],[Imposta di registro prop.]],"")</f>
        <v>0</v>
      </c>
      <c r="Z124" s="175">
        <f>+SUMIF(B[Bene],Assegnazione[[#This Row],[Bene]],B[Ipotecaria catastale agevolata])*Assegnazione[[#This Row],[Quota di assegnazione]]</f>
        <v>0</v>
      </c>
    </row>
    <row r="125" spans="1:26" x14ac:dyDescent="0.2">
      <c r="A125" s="123"/>
      <c r="B125" s="132"/>
      <c r="C125" s="123"/>
      <c r="D125" s="172">
        <f>+SUMIF(B[Bene],Assegnazione[[#This Row],[Bene]],B[Imponibile Iva])*Assegnazione[[#This Row],[Quota di assegnazione]]</f>
        <v>0</v>
      </c>
      <c r="E125" s="172">
        <f>+SUMIF(B[Bene],Assegnazione[[#This Row],[Bene]],B[Valore inserito manualmente])*Assegnazione[[#This Row],[Quota di assegnazione]]</f>
        <v>0</v>
      </c>
      <c r="F125" s="173" t="str">
        <f>+IF(A125="","",VLOOKUP(Assegnazione[[#This Row],[Bene]],B[],3,0))</f>
        <v/>
      </c>
      <c r="G125" s="129" t="str">
        <f>+IFERROR(VLOOKUP(Assegnazione[[#This Row],[Bene]],B[],MATCH("Agevolabile",Beni!$A$4:$AC$4,0),0)*VLOOKUP(Assegnazione[[#This Row],[Socio]],A_1[],8,0),"")</f>
        <v/>
      </c>
      <c r="H125" s="172">
        <f>+SUMIF(B[Bene],Assegnazione[[#This Row],[Bene]],B[Valore netto contabile fiscalmente riconosciuto])*Assegnazione[[#This Row],[Quota di assegnazione]]</f>
        <v>0</v>
      </c>
      <c r="I125" s="172">
        <f>+SUMIF(B[Bene],Assegnazione[[#This Row],[Bene]],B[Valore normale])*Assegnazione[[#This Row],[Quota di assegnazione]]</f>
        <v>0</v>
      </c>
      <c r="J125" s="174">
        <f>+IF(Assegnazione[[#This Row],[Bene]]="",0,SUMIF(Assegnazione[Socio],Assegnazione[[#This Row],[Socio]],Assegnazione[Valore Normale])/$I$3)</f>
        <v>0</v>
      </c>
      <c r="K125" s="174" t="str">
        <f>IF(Assegnazione[[#This Row],[Bene]]="","",SUMIF(A_1[Nome],Assegnazione[[#This Row],[Socio]],A_1[Quota partecipazione al momento dell''operazione]))</f>
        <v/>
      </c>
      <c r="L125" s="172">
        <f>+SUMIF(B[Bene],Assegnazione[[#This Row],[Bene]],B[Valore catastale])*Assegnazione[[#This Row],[Quota di assegnazione]]</f>
        <v>0</v>
      </c>
      <c r="M125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5" s="172">
        <f>+MIN(Assegnazione[[#This Row],[Valore ai fini dell''atto]],Assegnazione[[#This Row],[Valore Fiscalmente riconosciuto]])</f>
        <v>0</v>
      </c>
      <c r="O125" s="146" t="str">
        <f>+IFERROR(VLOOKUP(Assegnazione[[#This Row],[Bene]],B[],MATCH($O$4,Beni!$A$4:$Z$4,0),0),"")</f>
        <v/>
      </c>
      <c r="P125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5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5" s="175">
        <f>+SUMIF(B[Bene],Assegnazione[[#This Row],[Bene]],B[Iva se dovuta])*Assegnazione[[#This Row],[Quota di assegnazione]]</f>
        <v>0</v>
      </c>
      <c r="S125" s="175">
        <f>+SUMIF(B[Bene],Assegnazione[[#This Row],[Bene]],B[Imposta di registro (fissa + prop) senza agevolazione])*Assegnazione[[#This Row],[Quota di assegnazione]]</f>
        <v>0</v>
      </c>
      <c r="T125" s="175">
        <f>+SUMIF(B[Bene],Assegnazione[[#This Row],[Bene]],B[Ipotecaria e catastale senza agevolazione])*Assegnazione[[#This Row],[Quota di assegnazione]]</f>
        <v>0</v>
      </c>
      <c r="U125" s="176">
        <f>+SUM(Assegnazione[[#This Row],[Tassazione diretta senza agevolazione]:[Ipotecaria e catastale senza agevolazione]])</f>
        <v>0</v>
      </c>
      <c r="V125" s="175">
        <f>+SUMIF(B[Bene],Assegnazione[[#This Row],[Bene]],B[Imponibile Imposta sostitutiva])*Assegnazione[[#This Row],[Quota di assegnazione]]*DATI!$E$27</f>
        <v>0</v>
      </c>
      <c r="W125" s="175">
        <f>+SUMIF(B[Bene],Assegnazione[[#This Row],[Bene]],B[Imposta di registro in misura fissa agevolata])*Assegnazione[[#This Row],[Quota di assegnazione]]</f>
        <v>0</v>
      </c>
      <c r="X125" s="175">
        <f>+SUMIF(B[Bene],Assegnazione[[#This Row],[Bene]],B[Imposta di registro prop. Agevolata])*Assegnazione[[#This Row],[Quota di assegnazione]]</f>
        <v>0</v>
      </c>
      <c r="Y125" s="175">
        <f>+IFERROR(Assegnazione[[#This Row],[Imposta di registro in misura fissa]]+Assegnazione[[#This Row],[Imposta di registro prop.]],"")</f>
        <v>0</v>
      </c>
      <c r="Z125" s="175">
        <f>+SUMIF(B[Bene],Assegnazione[[#This Row],[Bene]],B[Ipotecaria catastale agevolata])*Assegnazione[[#This Row],[Quota di assegnazione]]</f>
        <v>0</v>
      </c>
    </row>
    <row r="126" spans="1:26" x14ac:dyDescent="0.2">
      <c r="A126" s="123"/>
      <c r="B126" s="132"/>
      <c r="C126" s="123"/>
      <c r="D126" s="172">
        <f>+SUMIF(B[Bene],Assegnazione[[#This Row],[Bene]],B[Imponibile Iva])*Assegnazione[[#This Row],[Quota di assegnazione]]</f>
        <v>0</v>
      </c>
      <c r="E126" s="172">
        <f>+SUMIF(B[Bene],Assegnazione[[#This Row],[Bene]],B[Valore inserito manualmente])*Assegnazione[[#This Row],[Quota di assegnazione]]</f>
        <v>0</v>
      </c>
      <c r="F126" s="173" t="str">
        <f>+IF(A126="","",VLOOKUP(Assegnazione[[#This Row],[Bene]],B[],3,0))</f>
        <v/>
      </c>
      <c r="G126" s="129" t="str">
        <f>+IFERROR(VLOOKUP(Assegnazione[[#This Row],[Bene]],B[],MATCH("Agevolabile",Beni!$A$4:$AC$4,0),0)*VLOOKUP(Assegnazione[[#This Row],[Socio]],A_1[],8,0),"")</f>
        <v/>
      </c>
      <c r="H126" s="172">
        <f>+SUMIF(B[Bene],Assegnazione[[#This Row],[Bene]],B[Valore netto contabile fiscalmente riconosciuto])*Assegnazione[[#This Row],[Quota di assegnazione]]</f>
        <v>0</v>
      </c>
      <c r="I126" s="172">
        <f>+SUMIF(B[Bene],Assegnazione[[#This Row],[Bene]],B[Valore normale])*Assegnazione[[#This Row],[Quota di assegnazione]]</f>
        <v>0</v>
      </c>
      <c r="J126" s="174">
        <f>+IF(Assegnazione[[#This Row],[Bene]]="",0,SUMIF(Assegnazione[Socio],Assegnazione[[#This Row],[Socio]],Assegnazione[Valore Normale])/$I$3)</f>
        <v>0</v>
      </c>
      <c r="K126" s="174" t="str">
        <f>IF(Assegnazione[[#This Row],[Bene]]="","",SUMIF(A_1[Nome],Assegnazione[[#This Row],[Socio]],A_1[Quota partecipazione al momento dell''operazione]))</f>
        <v/>
      </c>
      <c r="L126" s="172">
        <f>+SUMIF(B[Bene],Assegnazione[[#This Row],[Bene]],B[Valore catastale])*Assegnazione[[#This Row],[Quota di assegnazione]]</f>
        <v>0</v>
      </c>
      <c r="M126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6" s="172">
        <f>+MIN(Assegnazione[[#This Row],[Valore ai fini dell''atto]],Assegnazione[[#This Row],[Valore Fiscalmente riconosciuto]])</f>
        <v>0</v>
      </c>
      <c r="O126" s="146" t="str">
        <f>+IFERROR(VLOOKUP(Assegnazione[[#This Row],[Bene]],B[],MATCH($O$4,Beni!$A$4:$Z$4,0),0),"")</f>
        <v/>
      </c>
      <c r="P126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6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6" s="175">
        <f>+SUMIF(B[Bene],Assegnazione[[#This Row],[Bene]],B[Iva se dovuta])*Assegnazione[[#This Row],[Quota di assegnazione]]</f>
        <v>0</v>
      </c>
      <c r="S126" s="175">
        <f>+SUMIF(B[Bene],Assegnazione[[#This Row],[Bene]],B[Imposta di registro (fissa + prop) senza agevolazione])*Assegnazione[[#This Row],[Quota di assegnazione]]</f>
        <v>0</v>
      </c>
      <c r="T126" s="175">
        <f>+SUMIF(B[Bene],Assegnazione[[#This Row],[Bene]],B[Ipotecaria e catastale senza agevolazione])*Assegnazione[[#This Row],[Quota di assegnazione]]</f>
        <v>0</v>
      </c>
      <c r="U126" s="176">
        <f>+SUM(Assegnazione[[#This Row],[Tassazione diretta senza agevolazione]:[Ipotecaria e catastale senza agevolazione]])</f>
        <v>0</v>
      </c>
      <c r="V126" s="175">
        <f>+SUMIF(B[Bene],Assegnazione[[#This Row],[Bene]],B[Imponibile Imposta sostitutiva])*Assegnazione[[#This Row],[Quota di assegnazione]]*DATI!$E$27</f>
        <v>0</v>
      </c>
      <c r="W126" s="175">
        <f>+SUMIF(B[Bene],Assegnazione[[#This Row],[Bene]],B[Imposta di registro in misura fissa agevolata])*Assegnazione[[#This Row],[Quota di assegnazione]]</f>
        <v>0</v>
      </c>
      <c r="X126" s="175">
        <f>+SUMIF(B[Bene],Assegnazione[[#This Row],[Bene]],B[Imposta di registro prop. Agevolata])*Assegnazione[[#This Row],[Quota di assegnazione]]</f>
        <v>0</v>
      </c>
      <c r="Y126" s="175">
        <f>+IFERROR(Assegnazione[[#This Row],[Imposta di registro in misura fissa]]+Assegnazione[[#This Row],[Imposta di registro prop.]],"")</f>
        <v>0</v>
      </c>
      <c r="Z126" s="175">
        <f>+SUMIF(B[Bene],Assegnazione[[#This Row],[Bene]],B[Ipotecaria catastale agevolata])*Assegnazione[[#This Row],[Quota di assegnazione]]</f>
        <v>0</v>
      </c>
    </row>
    <row r="127" spans="1:26" x14ac:dyDescent="0.2">
      <c r="A127" s="123"/>
      <c r="B127" s="132"/>
      <c r="C127" s="123"/>
      <c r="D127" s="172">
        <f>+SUMIF(B[Bene],Assegnazione[[#This Row],[Bene]],B[Imponibile Iva])*Assegnazione[[#This Row],[Quota di assegnazione]]</f>
        <v>0</v>
      </c>
      <c r="E127" s="172">
        <f>+SUMIF(B[Bene],Assegnazione[[#This Row],[Bene]],B[Valore inserito manualmente])*Assegnazione[[#This Row],[Quota di assegnazione]]</f>
        <v>0</v>
      </c>
      <c r="F127" s="173" t="str">
        <f>+IF(A127="","",VLOOKUP(Assegnazione[[#This Row],[Bene]],B[],3,0))</f>
        <v/>
      </c>
      <c r="G127" s="129" t="str">
        <f>+IFERROR(VLOOKUP(Assegnazione[[#This Row],[Bene]],B[],MATCH("Agevolabile",Beni!$A$4:$AC$4,0),0)*VLOOKUP(Assegnazione[[#This Row],[Socio]],A_1[],8,0),"")</f>
        <v/>
      </c>
      <c r="H127" s="172">
        <f>+SUMIF(B[Bene],Assegnazione[[#This Row],[Bene]],B[Valore netto contabile fiscalmente riconosciuto])*Assegnazione[[#This Row],[Quota di assegnazione]]</f>
        <v>0</v>
      </c>
      <c r="I127" s="172">
        <f>+SUMIF(B[Bene],Assegnazione[[#This Row],[Bene]],B[Valore normale])*Assegnazione[[#This Row],[Quota di assegnazione]]</f>
        <v>0</v>
      </c>
      <c r="J127" s="174">
        <f>+IF(Assegnazione[[#This Row],[Bene]]="",0,SUMIF(Assegnazione[Socio],Assegnazione[[#This Row],[Socio]],Assegnazione[Valore Normale])/$I$3)</f>
        <v>0</v>
      </c>
      <c r="K127" s="174" t="str">
        <f>IF(Assegnazione[[#This Row],[Bene]]="","",SUMIF(A_1[Nome],Assegnazione[[#This Row],[Socio]],A_1[Quota partecipazione al momento dell''operazione]))</f>
        <v/>
      </c>
      <c r="L127" s="172">
        <f>+SUMIF(B[Bene],Assegnazione[[#This Row],[Bene]],B[Valore catastale])*Assegnazione[[#This Row],[Quota di assegnazione]]</f>
        <v>0</v>
      </c>
      <c r="M127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7" s="172">
        <f>+MIN(Assegnazione[[#This Row],[Valore ai fini dell''atto]],Assegnazione[[#This Row],[Valore Fiscalmente riconosciuto]])</f>
        <v>0</v>
      </c>
      <c r="O127" s="146" t="str">
        <f>+IFERROR(VLOOKUP(Assegnazione[[#This Row],[Bene]],B[],MATCH($O$4,Beni!$A$4:$Z$4,0),0),"")</f>
        <v/>
      </c>
      <c r="P127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7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7" s="175">
        <f>+SUMIF(B[Bene],Assegnazione[[#This Row],[Bene]],B[Iva se dovuta])*Assegnazione[[#This Row],[Quota di assegnazione]]</f>
        <v>0</v>
      </c>
      <c r="S127" s="175">
        <f>+SUMIF(B[Bene],Assegnazione[[#This Row],[Bene]],B[Imposta di registro (fissa + prop) senza agevolazione])*Assegnazione[[#This Row],[Quota di assegnazione]]</f>
        <v>0</v>
      </c>
      <c r="T127" s="175">
        <f>+SUMIF(B[Bene],Assegnazione[[#This Row],[Bene]],B[Ipotecaria e catastale senza agevolazione])*Assegnazione[[#This Row],[Quota di assegnazione]]</f>
        <v>0</v>
      </c>
      <c r="U127" s="176">
        <f>+SUM(Assegnazione[[#This Row],[Tassazione diretta senza agevolazione]:[Ipotecaria e catastale senza agevolazione]])</f>
        <v>0</v>
      </c>
      <c r="V127" s="175">
        <f>+SUMIF(B[Bene],Assegnazione[[#This Row],[Bene]],B[Imponibile Imposta sostitutiva])*Assegnazione[[#This Row],[Quota di assegnazione]]*DATI!$E$27</f>
        <v>0</v>
      </c>
      <c r="W127" s="175">
        <f>+SUMIF(B[Bene],Assegnazione[[#This Row],[Bene]],B[Imposta di registro in misura fissa agevolata])*Assegnazione[[#This Row],[Quota di assegnazione]]</f>
        <v>0</v>
      </c>
      <c r="X127" s="175">
        <f>+SUMIF(B[Bene],Assegnazione[[#This Row],[Bene]],B[Imposta di registro prop. Agevolata])*Assegnazione[[#This Row],[Quota di assegnazione]]</f>
        <v>0</v>
      </c>
      <c r="Y127" s="175">
        <f>+IFERROR(Assegnazione[[#This Row],[Imposta di registro in misura fissa]]+Assegnazione[[#This Row],[Imposta di registro prop.]],"")</f>
        <v>0</v>
      </c>
      <c r="Z127" s="175">
        <f>+SUMIF(B[Bene],Assegnazione[[#This Row],[Bene]],B[Ipotecaria catastale agevolata])*Assegnazione[[#This Row],[Quota di assegnazione]]</f>
        <v>0</v>
      </c>
    </row>
    <row r="128" spans="1:26" x14ac:dyDescent="0.2">
      <c r="A128" s="123"/>
      <c r="B128" s="132"/>
      <c r="C128" s="123"/>
      <c r="D128" s="172">
        <f>+SUMIF(B[Bene],Assegnazione[[#This Row],[Bene]],B[Imponibile Iva])*Assegnazione[[#This Row],[Quota di assegnazione]]</f>
        <v>0</v>
      </c>
      <c r="E128" s="172">
        <f>+SUMIF(B[Bene],Assegnazione[[#This Row],[Bene]],B[Valore inserito manualmente])*Assegnazione[[#This Row],[Quota di assegnazione]]</f>
        <v>0</v>
      </c>
      <c r="F128" s="173" t="str">
        <f>+IF(A128="","",VLOOKUP(Assegnazione[[#This Row],[Bene]],B[],3,0))</f>
        <v/>
      </c>
      <c r="G128" s="129" t="str">
        <f>+IFERROR(VLOOKUP(Assegnazione[[#This Row],[Bene]],B[],MATCH("Agevolabile",Beni!$A$4:$AC$4,0),0)*VLOOKUP(Assegnazione[[#This Row],[Socio]],A_1[],8,0),"")</f>
        <v/>
      </c>
      <c r="H128" s="172">
        <f>+SUMIF(B[Bene],Assegnazione[[#This Row],[Bene]],B[Valore netto contabile fiscalmente riconosciuto])*Assegnazione[[#This Row],[Quota di assegnazione]]</f>
        <v>0</v>
      </c>
      <c r="I128" s="172">
        <f>+SUMIF(B[Bene],Assegnazione[[#This Row],[Bene]],B[Valore normale])*Assegnazione[[#This Row],[Quota di assegnazione]]</f>
        <v>0</v>
      </c>
      <c r="J128" s="174">
        <f>+IF(Assegnazione[[#This Row],[Bene]]="",0,SUMIF(Assegnazione[Socio],Assegnazione[[#This Row],[Socio]],Assegnazione[Valore Normale])/$I$3)</f>
        <v>0</v>
      </c>
      <c r="K128" s="174" t="str">
        <f>IF(Assegnazione[[#This Row],[Bene]]="","",SUMIF(A_1[Nome],Assegnazione[[#This Row],[Socio]],A_1[Quota partecipazione al momento dell''operazione]))</f>
        <v/>
      </c>
      <c r="L128" s="172">
        <f>+SUMIF(B[Bene],Assegnazione[[#This Row],[Bene]],B[Valore catastale])*Assegnazione[[#This Row],[Quota di assegnazione]]</f>
        <v>0</v>
      </c>
      <c r="M128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8" s="172">
        <f>+MIN(Assegnazione[[#This Row],[Valore ai fini dell''atto]],Assegnazione[[#This Row],[Valore Fiscalmente riconosciuto]])</f>
        <v>0</v>
      </c>
      <c r="O128" s="146" t="str">
        <f>+IFERROR(VLOOKUP(Assegnazione[[#This Row],[Bene]],B[],MATCH($O$4,Beni!$A$4:$Z$4,0),0),"")</f>
        <v/>
      </c>
      <c r="P128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8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8" s="175">
        <f>+SUMIF(B[Bene],Assegnazione[[#This Row],[Bene]],B[Iva se dovuta])*Assegnazione[[#This Row],[Quota di assegnazione]]</f>
        <v>0</v>
      </c>
      <c r="S128" s="175">
        <f>+SUMIF(B[Bene],Assegnazione[[#This Row],[Bene]],B[Imposta di registro (fissa + prop) senza agevolazione])*Assegnazione[[#This Row],[Quota di assegnazione]]</f>
        <v>0</v>
      </c>
      <c r="T128" s="175">
        <f>+SUMIF(B[Bene],Assegnazione[[#This Row],[Bene]],B[Ipotecaria e catastale senza agevolazione])*Assegnazione[[#This Row],[Quota di assegnazione]]</f>
        <v>0</v>
      </c>
      <c r="U128" s="176">
        <f>+SUM(Assegnazione[[#This Row],[Tassazione diretta senza agevolazione]:[Ipotecaria e catastale senza agevolazione]])</f>
        <v>0</v>
      </c>
      <c r="V128" s="175">
        <f>+SUMIF(B[Bene],Assegnazione[[#This Row],[Bene]],B[Imponibile Imposta sostitutiva])*Assegnazione[[#This Row],[Quota di assegnazione]]*DATI!$E$27</f>
        <v>0</v>
      </c>
      <c r="W128" s="175">
        <f>+SUMIF(B[Bene],Assegnazione[[#This Row],[Bene]],B[Imposta di registro in misura fissa agevolata])*Assegnazione[[#This Row],[Quota di assegnazione]]</f>
        <v>0</v>
      </c>
      <c r="X128" s="175">
        <f>+SUMIF(B[Bene],Assegnazione[[#This Row],[Bene]],B[Imposta di registro prop. Agevolata])*Assegnazione[[#This Row],[Quota di assegnazione]]</f>
        <v>0</v>
      </c>
      <c r="Y128" s="175">
        <f>+IFERROR(Assegnazione[[#This Row],[Imposta di registro in misura fissa]]+Assegnazione[[#This Row],[Imposta di registro prop.]],"")</f>
        <v>0</v>
      </c>
      <c r="Z128" s="175">
        <f>+SUMIF(B[Bene],Assegnazione[[#This Row],[Bene]],B[Ipotecaria catastale agevolata])*Assegnazione[[#This Row],[Quota di assegnazione]]</f>
        <v>0</v>
      </c>
    </row>
    <row r="129" spans="1:26" x14ac:dyDescent="0.2">
      <c r="A129" s="123"/>
      <c r="B129" s="132"/>
      <c r="C129" s="123"/>
      <c r="D129" s="172">
        <f>+SUMIF(B[Bene],Assegnazione[[#This Row],[Bene]],B[Imponibile Iva])*Assegnazione[[#This Row],[Quota di assegnazione]]</f>
        <v>0</v>
      </c>
      <c r="E129" s="172">
        <f>+SUMIF(B[Bene],Assegnazione[[#This Row],[Bene]],B[Valore inserito manualmente])*Assegnazione[[#This Row],[Quota di assegnazione]]</f>
        <v>0</v>
      </c>
      <c r="F129" s="173" t="str">
        <f>+IF(A129="","",VLOOKUP(Assegnazione[[#This Row],[Bene]],B[],3,0))</f>
        <v/>
      </c>
      <c r="G129" s="129" t="str">
        <f>+IFERROR(VLOOKUP(Assegnazione[[#This Row],[Bene]],B[],MATCH("Agevolabile",Beni!$A$4:$AC$4,0),0)*VLOOKUP(Assegnazione[[#This Row],[Socio]],A_1[],8,0),"")</f>
        <v/>
      </c>
      <c r="H129" s="172">
        <f>+SUMIF(B[Bene],Assegnazione[[#This Row],[Bene]],B[Valore netto contabile fiscalmente riconosciuto])*Assegnazione[[#This Row],[Quota di assegnazione]]</f>
        <v>0</v>
      </c>
      <c r="I129" s="172">
        <f>+SUMIF(B[Bene],Assegnazione[[#This Row],[Bene]],B[Valore normale])*Assegnazione[[#This Row],[Quota di assegnazione]]</f>
        <v>0</v>
      </c>
      <c r="J129" s="174">
        <f>+IF(Assegnazione[[#This Row],[Bene]]="",0,SUMIF(Assegnazione[Socio],Assegnazione[[#This Row],[Socio]],Assegnazione[Valore Normale])/$I$3)</f>
        <v>0</v>
      </c>
      <c r="K129" s="174" t="str">
        <f>IF(Assegnazione[[#This Row],[Bene]]="","",SUMIF(A_1[Nome],Assegnazione[[#This Row],[Socio]],A_1[Quota partecipazione al momento dell''operazione]))</f>
        <v/>
      </c>
      <c r="L129" s="172">
        <f>+SUMIF(B[Bene],Assegnazione[[#This Row],[Bene]],B[Valore catastale])*Assegnazione[[#This Row],[Quota di assegnazione]]</f>
        <v>0</v>
      </c>
      <c r="M129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9" s="172">
        <f>+MIN(Assegnazione[[#This Row],[Valore ai fini dell''atto]],Assegnazione[[#This Row],[Valore Fiscalmente riconosciuto]])</f>
        <v>0</v>
      </c>
      <c r="O129" s="146" t="str">
        <f>+IFERROR(VLOOKUP(Assegnazione[[#This Row],[Bene]],B[],MATCH($O$4,Beni!$A$4:$Z$4,0),0),"")</f>
        <v/>
      </c>
      <c r="P129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9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9" s="175">
        <f>+SUMIF(B[Bene],Assegnazione[[#This Row],[Bene]],B[Iva se dovuta])*Assegnazione[[#This Row],[Quota di assegnazione]]</f>
        <v>0</v>
      </c>
      <c r="S129" s="175">
        <f>+SUMIF(B[Bene],Assegnazione[[#This Row],[Bene]],B[Imposta di registro (fissa + prop) senza agevolazione])*Assegnazione[[#This Row],[Quota di assegnazione]]</f>
        <v>0</v>
      </c>
      <c r="T129" s="175">
        <f>+SUMIF(B[Bene],Assegnazione[[#This Row],[Bene]],B[Ipotecaria e catastale senza agevolazione])*Assegnazione[[#This Row],[Quota di assegnazione]]</f>
        <v>0</v>
      </c>
      <c r="U129" s="176">
        <f>+SUM(Assegnazione[[#This Row],[Tassazione diretta senza agevolazione]:[Ipotecaria e catastale senza agevolazione]])</f>
        <v>0</v>
      </c>
      <c r="V129" s="175">
        <f>+SUMIF(B[Bene],Assegnazione[[#This Row],[Bene]],B[Imponibile Imposta sostitutiva])*Assegnazione[[#This Row],[Quota di assegnazione]]*DATI!$E$27</f>
        <v>0</v>
      </c>
      <c r="W129" s="175">
        <f>+SUMIF(B[Bene],Assegnazione[[#This Row],[Bene]],B[Imposta di registro in misura fissa agevolata])*Assegnazione[[#This Row],[Quota di assegnazione]]</f>
        <v>0</v>
      </c>
      <c r="X129" s="175">
        <f>+SUMIF(B[Bene],Assegnazione[[#This Row],[Bene]],B[Imposta di registro prop. Agevolata])*Assegnazione[[#This Row],[Quota di assegnazione]]</f>
        <v>0</v>
      </c>
      <c r="Y129" s="175">
        <f>+IFERROR(Assegnazione[[#This Row],[Imposta di registro in misura fissa]]+Assegnazione[[#This Row],[Imposta di registro prop.]],"")</f>
        <v>0</v>
      </c>
      <c r="Z129" s="175">
        <f>+SUMIF(B[Bene],Assegnazione[[#This Row],[Bene]],B[Ipotecaria catastale agevolata])*Assegnazione[[#This Row],[Quota di assegnazione]]</f>
        <v>0</v>
      </c>
    </row>
    <row r="130" spans="1:26" x14ac:dyDescent="0.2">
      <c r="A130" s="123"/>
      <c r="B130" s="132"/>
      <c r="C130" s="123"/>
      <c r="D130" s="172">
        <f>+SUMIF(B[Bene],Assegnazione[[#This Row],[Bene]],B[Imponibile Iva])*Assegnazione[[#This Row],[Quota di assegnazione]]</f>
        <v>0</v>
      </c>
      <c r="E130" s="172">
        <f>+SUMIF(B[Bene],Assegnazione[[#This Row],[Bene]],B[Valore inserito manualmente])*Assegnazione[[#This Row],[Quota di assegnazione]]</f>
        <v>0</v>
      </c>
      <c r="F130" s="173" t="str">
        <f>+IF(A130="","",VLOOKUP(Assegnazione[[#This Row],[Bene]],B[],3,0))</f>
        <v/>
      </c>
      <c r="G130" s="129" t="str">
        <f>+IFERROR(VLOOKUP(Assegnazione[[#This Row],[Bene]],B[],MATCH("Agevolabile",Beni!$A$4:$AC$4,0),0)*VLOOKUP(Assegnazione[[#This Row],[Socio]],A_1[],8,0),"")</f>
        <v/>
      </c>
      <c r="H130" s="172">
        <f>+SUMIF(B[Bene],Assegnazione[[#This Row],[Bene]],B[Valore netto contabile fiscalmente riconosciuto])*Assegnazione[[#This Row],[Quota di assegnazione]]</f>
        <v>0</v>
      </c>
      <c r="I130" s="172">
        <f>+SUMIF(B[Bene],Assegnazione[[#This Row],[Bene]],B[Valore normale])*Assegnazione[[#This Row],[Quota di assegnazione]]</f>
        <v>0</v>
      </c>
      <c r="J130" s="174">
        <f>+IF(Assegnazione[[#This Row],[Bene]]="",0,SUMIF(Assegnazione[Socio],Assegnazione[[#This Row],[Socio]],Assegnazione[Valore Normale])/$I$3)</f>
        <v>0</v>
      </c>
      <c r="K130" s="174" t="str">
        <f>IF(Assegnazione[[#This Row],[Bene]]="","",SUMIF(A_1[Nome],Assegnazione[[#This Row],[Socio]],A_1[Quota partecipazione al momento dell''operazione]))</f>
        <v/>
      </c>
      <c r="L130" s="172">
        <f>+SUMIF(B[Bene],Assegnazione[[#This Row],[Bene]],B[Valore catastale])*Assegnazione[[#This Row],[Quota di assegnazione]]</f>
        <v>0</v>
      </c>
      <c r="M130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0" s="172">
        <f>+MIN(Assegnazione[[#This Row],[Valore ai fini dell''atto]],Assegnazione[[#This Row],[Valore Fiscalmente riconosciuto]])</f>
        <v>0</v>
      </c>
      <c r="O130" s="146" t="str">
        <f>+IFERROR(VLOOKUP(Assegnazione[[#This Row],[Bene]],B[],MATCH($O$4,Beni!$A$4:$Z$4,0),0),"")</f>
        <v/>
      </c>
      <c r="P130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0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0" s="175">
        <f>+SUMIF(B[Bene],Assegnazione[[#This Row],[Bene]],B[Iva se dovuta])*Assegnazione[[#This Row],[Quota di assegnazione]]</f>
        <v>0</v>
      </c>
      <c r="S130" s="175">
        <f>+SUMIF(B[Bene],Assegnazione[[#This Row],[Bene]],B[Imposta di registro (fissa + prop) senza agevolazione])*Assegnazione[[#This Row],[Quota di assegnazione]]</f>
        <v>0</v>
      </c>
      <c r="T130" s="175">
        <f>+SUMIF(B[Bene],Assegnazione[[#This Row],[Bene]],B[Ipotecaria e catastale senza agevolazione])*Assegnazione[[#This Row],[Quota di assegnazione]]</f>
        <v>0</v>
      </c>
      <c r="U130" s="176">
        <f>+SUM(Assegnazione[[#This Row],[Tassazione diretta senza agevolazione]:[Ipotecaria e catastale senza agevolazione]])</f>
        <v>0</v>
      </c>
      <c r="V130" s="175">
        <f>+SUMIF(B[Bene],Assegnazione[[#This Row],[Bene]],B[Imponibile Imposta sostitutiva])*Assegnazione[[#This Row],[Quota di assegnazione]]*DATI!$E$27</f>
        <v>0</v>
      </c>
      <c r="W130" s="175">
        <f>+SUMIF(B[Bene],Assegnazione[[#This Row],[Bene]],B[Imposta di registro in misura fissa agevolata])*Assegnazione[[#This Row],[Quota di assegnazione]]</f>
        <v>0</v>
      </c>
      <c r="X130" s="175">
        <f>+SUMIF(B[Bene],Assegnazione[[#This Row],[Bene]],B[Imposta di registro prop. Agevolata])*Assegnazione[[#This Row],[Quota di assegnazione]]</f>
        <v>0</v>
      </c>
      <c r="Y130" s="175">
        <f>+IFERROR(Assegnazione[[#This Row],[Imposta di registro in misura fissa]]+Assegnazione[[#This Row],[Imposta di registro prop.]],"")</f>
        <v>0</v>
      </c>
      <c r="Z130" s="175">
        <f>+SUMIF(B[Bene],Assegnazione[[#This Row],[Bene]],B[Ipotecaria catastale agevolata])*Assegnazione[[#This Row],[Quota di assegnazione]]</f>
        <v>0</v>
      </c>
    </row>
    <row r="131" spans="1:26" x14ac:dyDescent="0.2">
      <c r="A131" s="123"/>
      <c r="B131" s="132"/>
      <c r="C131" s="123"/>
      <c r="D131" s="172">
        <f>+SUMIF(B[Bene],Assegnazione[[#This Row],[Bene]],B[Imponibile Iva])*Assegnazione[[#This Row],[Quota di assegnazione]]</f>
        <v>0</v>
      </c>
      <c r="E131" s="172">
        <f>+SUMIF(B[Bene],Assegnazione[[#This Row],[Bene]],B[Valore inserito manualmente])*Assegnazione[[#This Row],[Quota di assegnazione]]</f>
        <v>0</v>
      </c>
      <c r="F131" s="173" t="str">
        <f>+IF(A131="","",VLOOKUP(Assegnazione[[#This Row],[Bene]],B[],3,0))</f>
        <v/>
      </c>
      <c r="G131" s="129" t="str">
        <f>+IFERROR(VLOOKUP(Assegnazione[[#This Row],[Bene]],B[],MATCH("Agevolabile",Beni!$A$4:$AC$4,0),0)*VLOOKUP(Assegnazione[[#This Row],[Socio]],A_1[],8,0),"")</f>
        <v/>
      </c>
      <c r="H131" s="172">
        <f>+SUMIF(B[Bene],Assegnazione[[#This Row],[Bene]],B[Valore netto contabile fiscalmente riconosciuto])*Assegnazione[[#This Row],[Quota di assegnazione]]</f>
        <v>0</v>
      </c>
      <c r="I131" s="172">
        <f>+SUMIF(B[Bene],Assegnazione[[#This Row],[Bene]],B[Valore normale])*Assegnazione[[#This Row],[Quota di assegnazione]]</f>
        <v>0</v>
      </c>
      <c r="J131" s="174">
        <f>+IF(Assegnazione[[#This Row],[Bene]]="",0,SUMIF(Assegnazione[Socio],Assegnazione[[#This Row],[Socio]],Assegnazione[Valore Normale])/$I$3)</f>
        <v>0</v>
      </c>
      <c r="K131" s="174" t="str">
        <f>IF(Assegnazione[[#This Row],[Bene]]="","",SUMIF(A_1[Nome],Assegnazione[[#This Row],[Socio]],A_1[Quota partecipazione al momento dell''operazione]))</f>
        <v/>
      </c>
      <c r="L131" s="172">
        <f>+SUMIF(B[Bene],Assegnazione[[#This Row],[Bene]],B[Valore catastale])*Assegnazione[[#This Row],[Quota di assegnazione]]</f>
        <v>0</v>
      </c>
      <c r="M131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1" s="172">
        <f>+MIN(Assegnazione[[#This Row],[Valore ai fini dell''atto]],Assegnazione[[#This Row],[Valore Fiscalmente riconosciuto]])</f>
        <v>0</v>
      </c>
      <c r="O131" s="146" t="str">
        <f>+IFERROR(VLOOKUP(Assegnazione[[#This Row],[Bene]],B[],MATCH($O$4,Beni!$A$4:$Z$4,0),0),"")</f>
        <v/>
      </c>
      <c r="P131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1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1" s="175">
        <f>+SUMIF(B[Bene],Assegnazione[[#This Row],[Bene]],B[Iva se dovuta])*Assegnazione[[#This Row],[Quota di assegnazione]]</f>
        <v>0</v>
      </c>
      <c r="S131" s="175">
        <f>+SUMIF(B[Bene],Assegnazione[[#This Row],[Bene]],B[Imposta di registro (fissa + prop) senza agevolazione])*Assegnazione[[#This Row],[Quota di assegnazione]]</f>
        <v>0</v>
      </c>
      <c r="T131" s="175">
        <f>+SUMIF(B[Bene],Assegnazione[[#This Row],[Bene]],B[Ipotecaria e catastale senza agevolazione])*Assegnazione[[#This Row],[Quota di assegnazione]]</f>
        <v>0</v>
      </c>
      <c r="U131" s="176">
        <f>+SUM(Assegnazione[[#This Row],[Tassazione diretta senza agevolazione]:[Ipotecaria e catastale senza agevolazione]])</f>
        <v>0</v>
      </c>
      <c r="V131" s="175">
        <f>+SUMIF(B[Bene],Assegnazione[[#This Row],[Bene]],B[Imponibile Imposta sostitutiva])*Assegnazione[[#This Row],[Quota di assegnazione]]*DATI!$E$27</f>
        <v>0</v>
      </c>
      <c r="W131" s="175">
        <f>+SUMIF(B[Bene],Assegnazione[[#This Row],[Bene]],B[Imposta di registro in misura fissa agevolata])*Assegnazione[[#This Row],[Quota di assegnazione]]</f>
        <v>0</v>
      </c>
      <c r="X131" s="175">
        <f>+SUMIF(B[Bene],Assegnazione[[#This Row],[Bene]],B[Imposta di registro prop. Agevolata])*Assegnazione[[#This Row],[Quota di assegnazione]]</f>
        <v>0</v>
      </c>
      <c r="Y131" s="175">
        <f>+IFERROR(Assegnazione[[#This Row],[Imposta di registro in misura fissa]]+Assegnazione[[#This Row],[Imposta di registro prop.]],"")</f>
        <v>0</v>
      </c>
      <c r="Z131" s="175">
        <f>+SUMIF(B[Bene],Assegnazione[[#This Row],[Bene]],B[Ipotecaria catastale agevolata])*Assegnazione[[#This Row],[Quota di assegnazione]]</f>
        <v>0</v>
      </c>
    </row>
    <row r="132" spans="1:26" x14ac:dyDescent="0.2">
      <c r="A132" s="123"/>
      <c r="B132" s="132"/>
      <c r="C132" s="123"/>
      <c r="D132" s="172">
        <f>+SUMIF(B[Bene],Assegnazione[[#This Row],[Bene]],B[Imponibile Iva])*Assegnazione[[#This Row],[Quota di assegnazione]]</f>
        <v>0</v>
      </c>
      <c r="E132" s="172">
        <f>+SUMIF(B[Bene],Assegnazione[[#This Row],[Bene]],B[Valore inserito manualmente])*Assegnazione[[#This Row],[Quota di assegnazione]]</f>
        <v>0</v>
      </c>
      <c r="F132" s="173" t="str">
        <f>+IF(A132="","",VLOOKUP(Assegnazione[[#This Row],[Bene]],B[],3,0))</f>
        <v/>
      </c>
      <c r="G132" s="129" t="str">
        <f>+IFERROR(VLOOKUP(Assegnazione[[#This Row],[Bene]],B[],MATCH("Agevolabile",Beni!$A$4:$AC$4,0),0)*VLOOKUP(Assegnazione[[#This Row],[Socio]],A_1[],8,0),"")</f>
        <v/>
      </c>
      <c r="H132" s="172">
        <f>+SUMIF(B[Bene],Assegnazione[[#This Row],[Bene]],B[Valore netto contabile fiscalmente riconosciuto])*Assegnazione[[#This Row],[Quota di assegnazione]]</f>
        <v>0</v>
      </c>
      <c r="I132" s="172">
        <f>+SUMIF(B[Bene],Assegnazione[[#This Row],[Bene]],B[Valore normale])*Assegnazione[[#This Row],[Quota di assegnazione]]</f>
        <v>0</v>
      </c>
      <c r="J132" s="174">
        <f>+IF(Assegnazione[[#This Row],[Bene]]="",0,SUMIF(Assegnazione[Socio],Assegnazione[[#This Row],[Socio]],Assegnazione[Valore Normale])/$I$3)</f>
        <v>0</v>
      </c>
      <c r="K132" s="174" t="str">
        <f>IF(Assegnazione[[#This Row],[Bene]]="","",SUMIF(A_1[Nome],Assegnazione[[#This Row],[Socio]],A_1[Quota partecipazione al momento dell''operazione]))</f>
        <v/>
      </c>
      <c r="L132" s="172">
        <f>+SUMIF(B[Bene],Assegnazione[[#This Row],[Bene]],B[Valore catastale])*Assegnazione[[#This Row],[Quota di assegnazione]]</f>
        <v>0</v>
      </c>
      <c r="M132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2" s="172">
        <f>+MIN(Assegnazione[[#This Row],[Valore ai fini dell''atto]],Assegnazione[[#This Row],[Valore Fiscalmente riconosciuto]])</f>
        <v>0</v>
      </c>
      <c r="O132" s="146" t="str">
        <f>+IFERROR(VLOOKUP(Assegnazione[[#This Row],[Bene]],B[],MATCH($O$4,Beni!$A$4:$Z$4,0),0),"")</f>
        <v/>
      </c>
      <c r="P132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2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2" s="175">
        <f>+SUMIF(B[Bene],Assegnazione[[#This Row],[Bene]],B[Iva se dovuta])*Assegnazione[[#This Row],[Quota di assegnazione]]</f>
        <v>0</v>
      </c>
      <c r="S132" s="175">
        <f>+SUMIF(B[Bene],Assegnazione[[#This Row],[Bene]],B[Imposta di registro (fissa + prop) senza agevolazione])*Assegnazione[[#This Row],[Quota di assegnazione]]</f>
        <v>0</v>
      </c>
      <c r="T132" s="175">
        <f>+SUMIF(B[Bene],Assegnazione[[#This Row],[Bene]],B[Ipotecaria e catastale senza agevolazione])*Assegnazione[[#This Row],[Quota di assegnazione]]</f>
        <v>0</v>
      </c>
      <c r="U132" s="176">
        <f>+SUM(Assegnazione[[#This Row],[Tassazione diretta senza agevolazione]:[Ipotecaria e catastale senza agevolazione]])</f>
        <v>0</v>
      </c>
      <c r="V132" s="175">
        <f>+SUMIF(B[Bene],Assegnazione[[#This Row],[Bene]],B[Imponibile Imposta sostitutiva])*Assegnazione[[#This Row],[Quota di assegnazione]]*DATI!$E$27</f>
        <v>0</v>
      </c>
      <c r="W132" s="175">
        <f>+SUMIF(B[Bene],Assegnazione[[#This Row],[Bene]],B[Imposta di registro in misura fissa agevolata])*Assegnazione[[#This Row],[Quota di assegnazione]]</f>
        <v>0</v>
      </c>
      <c r="X132" s="175">
        <f>+SUMIF(B[Bene],Assegnazione[[#This Row],[Bene]],B[Imposta di registro prop. Agevolata])*Assegnazione[[#This Row],[Quota di assegnazione]]</f>
        <v>0</v>
      </c>
      <c r="Y132" s="175">
        <f>+IFERROR(Assegnazione[[#This Row],[Imposta di registro in misura fissa]]+Assegnazione[[#This Row],[Imposta di registro prop.]],"")</f>
        <v>0</v>
      </c>
      <c r="Z132" s="175">
        <f>+SUMIF(B[Bene],Assegnazione[[#This Row],[Bene]],B[Ipotecaria catastale agevolata])*Assegnazione[[#This Row],[Quota di assegnazione]]</f>
        <v>0</v>
      </c>
    </row>
    <row r="133" spans="1:26" x14ac:dyDescent="0.2">
      <c r="A133" s="123"/>
      <c r="B133" s="132"/>
      <c r="C133" s="123"/>
      <c r="D133" s="172">
        <f>+SUMIF(B[Bene],Assegnazione[[#This Row],[Bene]],B[Imponibile Iva])*Assegnazione[[#This Row],[Quota di assegnazione]]</f>
        <v>0</v>
      </c>
      <c r="E133" s="172">
        <f>+SUMIF(B[Bene],Assegnazione[[#This Row],[Bene]],B[Valore inserito manualmente])*Assegnazione[[#This Row],[Quota di assegnazione]]</f>
        <v>0</v>
      </c>
      <c r="F133" s="173" t="str">
        <f>+IF(A133="","",VLOOKUP(Assegnazione[[#This Row],[Bene]],B[],3,0))</f>
        <v/>
      </c>
      <c r="G133" s="129" t="str">
        <f>+IFERROR(VLOOKUP(Assegnazione[[#This Row],[Bene]],B[],MATCH("Agevolabile",Beni!$A$4:$AC$4,0),0)*VLOOKUP(Assegnazione[[#This Row],[Socio]],A_1[],8,0),"")</f>
        <v/>
      </c>
      <c r="H133" s="172">
        <f>+SUMIF(B[Bene],Assegnazione[[#This Row],[Bene]],B[Valore netto contabile fiscalmente riconosciuto])*Assegnazione[[#This Row],[Quota di assegnazione]]</f>
        <v>0</v>
      </c>
      <c r="I133" s="172">
        <f>+SUMIF(B[Bene],Assegnazione[[#This Row],[Bene]],B[Valore normale])*Assegnazione[[#This Row],[Quota di assegnazione]]</f>
        <v>0</v>
      </c>
      <c r="J133" s="174">
        <f>+IF(Assegnazione[[#This Row],[Bene]]="",0,SUMIF(Assegnazione[Socio],Assegnazione[[#This Row],[Socio]],Assegnazione[Valore Normale])/$I$3)</f>
        <v>0</v>
      </c>
      <c r="K133" s="174" t="str">
        <f>IF(Assegnazione[[#This Row],[Bene]]="","",SUMIF(A_1[Nome],Assegnazione[[#This Row],[Socio]],A_1[Quota partecipazione al momento dell''operazione]))</f>
        <v/>
      </c>
      <c r="L133" s="172">
        <f>+SUMIF(B[Bene],Assegnazione[[#This Row],[Bene]],B[Valore catastale])*Assegnazione[[#This Row],[Quota di assegnazione]]</f>
        <v>0</v>
      </c>
      <c r="M133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3" s="172">
        <f>+MIN(Assegnazione[[#This Row],[Valore ai fini dell''atto]],Assegnazione[[#This Row],[Valore Fiscalmente riconosciuto]])</f>
        <v>0</v>
      </c>
      <c r="O133" s="146" t="str">
        <f>+IFERROR(VLOOKUP(Assegnazione[[#This Row],[Bene]],B[],MATCH($O$4,Beni!$A$4:$Z$4,0),0),"")</f>
        <v/>
      </c>
      <c r="P133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3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3" s="175">
        <f>+SUMIF(B[Bene],Assegnazione[[#This Row],[Bene]],B[Iva se dovuta])*Assegnazione[[#This Row],[Quota di assegnazione]]</f>
        <v>0</v>
      </c>
      <c r="S133" s="175">
        <f>+SUMIF(B[Bene],Assegnazione[[#This Row],[Bene]],B[Imposta di registro (fissa + prop) senza agevolazione])*Assegnazione[[#This Row],[Quota di assegnazione]]</f>
        <v>0</v>
      </c>
      <c r="T133" s="175">
        <f>+SUMIF(B[Bene],Assegnazione[[#This Row],[Bene]],B[Ipotecaria e catastale senza agevolazione])*Assegnazione[[#This Row],[Quota di assegnazione]]</f>
        <v>0</v>
      </c>
      <c r="U133" s="176">
        <f>+SUM(Assegnazione[[#This Row],[Tassazione diretta senza agevolazione]:[Ipotecaria e catastale senza agevolazione]])</f>
        <v>0</v>
      </c>
      <c r="V133" s="175">
        <f>+SUMIF(B[Bene],Assegnazione[[#This Row],[Bene]],B[Imponibile Imposta sostitutiva])*Assegnazione[[#This Row],[Quota di assegnazione]]*DATI!$E$27</f>
        <v>0</v>
      </c>
      <c r="W133" s="175">
        <f>+SUMIF(B[Bene],Assegnazione[[#This Row],[Bene]],B[Imposta di registro in misura fissa agevolata])*Assegnazione[[#This Row],[Quota di assegnazione]]</f>
        <v>0</v>
      </c>
      <c r="X133" s="175">
        <f>+SUMIF(B[Bene],Assegnazione[[#This Row],[Bene]],B[Imposta di registro prop. Agevolata])*Assegnazione[[#This Row],[Quota di assegnazione]]</f>
        <v>0</v>
      </c>
      <c r="Y133" s="175">
        <f>+IFERROR(Assegnazione[[#This Row],[Imposta di registro in misura fissa]]+Assegnazione[[#This Row],[Imposta di registro prop.]],"")</f>
        <v>0</v>
      </c>
      <c r="Z133" s="175">
        <f>+SUMIF(B[Bene],Assegnazione[[#This Row],[Bene]],B[Ipotecaria catastale agevolata])*Assegnazione[[#This Row],[Quota di assegnazione]]</f>
        <v>0</v>
      </c>
    </row>
    <row r="134" spans="1:26" x14ac:dyDescent="0.2">
      <c r="A134" s="123"/>
      <c r="B134" s="132"/>
      <c r="C134" s="123"/>
      <c r="D134" s="172">
        <f>+SUMIF(B[Bene],Assegnazione[[#This Row],[Bene]],B[Imponibile Iva])*Assegnazione[[#This Row],[Quota di assegnazione]]</f>
        <v>0</v>
      </c>
      <c r="E134" s="172">
        <f>+SUMIF(B[Bene],Assegnazione[[#This Row],[Bene]],B[Valore inserito manualmente])*Assegnazione[[#This Row],[Quota di assegnazione]]</f>
        <v>0</v>
      </c>
      <c r="F134" s="173" t="str">
        <f>+IF(A134="","",VLOOKUP(Assegnazione[[#This Row],[Bene]],B[],3,0))</f>
        <v/>
      </c>
      <c r="G134" s="129" t="str">
        <f>+IFERROR(VLOOKUP(Assegnazione[[#This Row],[Bene]],B[],MATCH("Agevolabile",Beni!$A$4:$AC$4,0),0)*VLOOKUP(Assegnazione[[#This Row],[Socio]],A_1[],8,0),"")</f>
        <v/>
      </c>
      <c r="H134" s="172">
        <f>+SUMIF(B[Bene],Assegnazione[[#This Row],[Bene]],B[Valore netto contabile fiscalmente riconosciuto])*Assegnazione[[#This Row],[Quota di assegnazione]]</f>
        <v>0</v>
      </c>
      <c r="I134" s="172">
        <f>+SUMIF(B[Bene],Assegnazione[[#This Row],[Bene]],B[Valore normale])*Assegnazione[[#This Row],[Quota di assegnazione]]</f>
        <v>0</v>
      </c>
      <c r="J134" s="174">
        <f>+IF(Assegnazione[[#This Row],[Bene]]="",0,SUMIF(Assegnazione[Socio],Assegnazione[[#This Row],[Socio]],Assegnazione[Valore Normale])/$I$3)</f>
        <v>0</v>
      </c>
      <c r="K134" s="174" t="str">
        <f>IF(Assegnazione[[#This Row],[Bene]]="","",SUMIF(A_1[Nome],Assegnazione[[#This Row],[Socio]],A_1[Quota partecipazione al momento dell''operazione]))</f>
        <v/>
      </c>
      <c r="L134" s="172">
        <f>+SUMIF(B[Bene],Assegnazione[[#This Row],[Bene]],B[Valore catastale])*Assegnazione[[#This Row],[Quota di assegnazione]]</f>
        <v>0</v>
      </c>
      <c r="M134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4" s="172">
        <f>+MIN(Assegnazione[[#This Row],[Valore ai fini dell''atto]],Assegnazione[[#This Row],[Valore Fiscalmente riconosciuto]])</f>
        <v>0</v>
      </c>
      <c r="O134" s="146" t="str">
        <f>+IFERROR(VLOOKUP(Assegnazione[[#This Row],[Bene]],B[],MATCH($O$4,Beni!$A$4:$Z$4,0),0),"")</f>
        <v/>
      </c>
      <c r="P134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4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4" s="175">
        <f>+SUMIF(B[Bene],Assegnazione[[#This Row],[Bene]],B[Iva se dovuta])*Assegnazione[[#This Row],[Quota di assegnazione]]</f>
        <v>0</v>
      </c>
      <c r="S134" s="175">
        <f>+SUMIF(B[Bene],Assegnazione[[#This Row],[Bene]],B[Imposta di registro (fissa + prop) senza agevolazione])*Assegnazione[[#This Row],[Quota di assegnazione]]</f>
        <v>0</v>
      </c>
      <c r="T134" s="175">
        <f>+SUMIF(B[Bene],Assegnazione[[#This Row],[Bene]],B[Ipotecaria e catastale senza agevolazione])*Assegnazione[[#This Row],[Quota di assegnazione]]</f>
        <v>0</v>
      </c>
      <c r="U134" s="176">
        <f>+SUM(Assegnazione[[#This Row],[Tassazione diretta senza agevolazione]:[Ipotecaria e catastale senza agevolazione]])</f>
        <v>0</v>
      </c>
      <c r="V134" s="175">
        <f>+SUMIF(B[Bene],Assegnazione[[#This Row],[Bene]],B[Imponibile Imposta sostitutiva])*Assegnazione[[#This Row],[Quota di assegnazione]]*DATI!$E$27</f>
        <v>0</v>
      </c>
      <c r="W134" s="175">
        <f>+SUMIF(B[Bene],Assegnazione[[#This Row],[Bene]],B[Imposta di registro in misura fissa agevolata])*Assegnazione[[#This Row],[Quota di assegnazione]]</f>
        <v>0</v>
      </c>
      <c r="X134" s="175">
        <f>+SUMIF(B[Bene],Assegnazione[[#This Row],[Bene]],B[Imposta di registro prop. Agevolata])*Assegnazione[[#This Row],[Quota di assegnazione]]</f>
        <v>0</v>
      </c>
      <c r="Y134" s="175">
        <f>+IFERROR(Assegnazione[[#This Row],[Imposta di registro in misura fissa]]+Assegnazione[[#This Row],[Imposta di registro prop.]],"")</f>
        <v>0</v>
      </c>
      <c r="Z134" s="175">
        <f>+SUMIF(B[Bene],Assegnazione[[#This Row],[Bene]],B[Ipotecaria catastale agevolata])*Assegnazione[[#This Row],[Quota di assegnazione]]</f>
        <v>0</v>
      </c>
    </row>
    <row r="135" spans="1:26" x14ac:dyDescent="0.2">
      <c r="A135" s="123"/>
      <c r="B135" s="132"/>
      <c r="C135" s="123"/>
      <c r="D135" s="172">
        <f>+SUMIF(B[Bene],Assegnazione[[#This Row],[Bene]],B[Imponibile Iva])*Assegnazione[[#This Row],[Quota di assegnazione]]</f>
        <v>0</v>
      </c>
      <c r="E135" s="172">
        <f>+SUMIF(B[Bene],Assegnazione[[#This Row],[Bene]],B[Valore inserito manualmente])*Assegnazione[[#This Row],[Quota di assegnazione]]</f>
        <v>0</v>
      </c>
      <c r="F135" s="173" t="str">
        <f>+IF(A135="","",VLOOKUP(Assegnazione[[#This Row],[Bene]],B[],3,0))</f>
        <v/>
      </c>
      <c r="G135" s="129" t="str">
        <f>+IFERROR(VLOOKUP(Assegnazione[[#This Row],[Bene]],B[],MATCH("Agevolabile",Beni!$A$4:$AC$4,0),0)*VLOOKUP(Assegnazione[[#This Row],[Socio]],A_1[],8,0),"")</f>
        <v/>
      </c>
      <c r="H135" s="172">
        <f>+SUMIF(B[Bene],Assegnazione[[#This Row],[Bene]],B[Valore netto contabile fiscalmente riconosciuto])*Assegnazione[[#This Row],[Quota di assegnazione]]</f>
        <v>0</v>
      </c>
      <c r="I135" s="172">
        <f>+SUMIF(B[Bene],Assegnazione[[#This Row],[Bene]],B[Valore normale])*Assegnazione[[#This Row],[Quota di assegnazione]]</f>
        <v>0</v>
      </c>
      <c r="J135" s="174">
        <f>+IF(Assegnazione[[#This Row],[Bene]]="",0,SUMIF(Assegnazione[Socio],Assegnazione[[#This Row],[Socio]],Assegnazione[Valore Normale])/$I$3)</f>
        <v>0</v>
      </c>
      <c r="K135" s="174" t="str">
        <f>IF(Assegnazione[[#This Row],[Bene]]="","",SUMIF(A_1[Nome],Assegnazione[[#This Row],[Socio]],A_1[Quota partecipazione al momento dell''operazione]))</f>
        <v/>
      </c>
      <c r="L135" s="172">
        <f>+SUMIF(B[Bene],Assegnazione[[#This Row],[Bene]],B[Valore catastale])*Assegnazione[[#This Row],[Quota di assegnazione]]</f>
        <v>0</v>
      </c>
      <c r="M135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5" s="172">
        <f>+MIN(Assegnazione[[#This Row],[Valore ai fini dell''atto]],Assegnazione[[#This Row],[Valore Fiscalmente riconosciuto]])</f>
        <v>0</v>
      </c>
      <c r="O135" s="146" t="str">
        <f>+IFERROR(VLOOKUP(Assegnazione[[#This Row],[Bene]],B[],MATCH($O$4,Beni!$A$4:$Z$4,0),0),"")</f>
        <v/>
      </c>
      <c r="P135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5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5" s="175">
        <f>+SUMIF(B[Bene],Assegnazione[[#This Row],[Bene]],B[Iva se dovuta])*Assegnazione[[#This Row],[Quota di assegnazione]]</f>
        <v>0</v>
      </c>
      <c r="S135" s="175">
        <f>+SUMIF(B[Bene],Assegnazione[[#This Row],[Bene]],B[Imposta di registro (fissa + prop) senza agevolazione])*Assegnazione[[#This Row],[Quota di assegnazione]]</f>
        <v>0</v>
      </c>
      <c r="T135" s="175">
        <f>+SUMIF(B[Bene],Assegnazione[[#This Row],[Bene]],B[Ipotecaria e catastale senza agevolazione])*Assegnazione[[#This Row],[Quota di assegnazione]]</f>
        <v>0</v>
      </c>
      <c r="U135" s="176">
        <f>+SUM(Assegnazione[[#This Row],[Tassazione diretta senza agevolazione]:[Ipotecaria e catastale senza agevolazione]])</f>
        <v>0</v>
      </c>
      <c r="V135" s="175">
        <f>+SUMIF(B[Bene],Assegnazione[[#This Row],[Bene]],B[Imponibile Imposta sostitutiva])*Assegnazione[[#This Row],[Quota di assegnazione]]*DATI!$E$27</f>
        <v>0</v>
      </c>
      <c r="W135" s="175">
        <f>+SUMIF(B[Bene],Assegnazione[[#This Row],[Bene]],B[Imposta di registro in misura fissa agevolata])*Assegnazione[[#This Row],[Quota di assegnazione]]</f>
        <v>0</v>
      </c>
      <c r="X135" s="175">
        <f>+SUMIF(B[Bene],Assegnazione[[#This Row],[Bene]],B[Imposta di registro prop. Agevolata])*Assegnazione[[#This Row],[Quota di assegnazione]]</f>
        <v>0</v>
      </c>
      <c r="Y135" s="175">
        <f>+IFERROR(Assegnazione[[#This Row],[Imposta di registro in misura fissa]]+Assegnazione[[#This Row],[Imposta di registro prop.]],"")</f>
        <v>0</v>
      </c>
      <c r="Z135" s="175">
        <f>+SUMIF(B[Bene],Assegnazione[[#This Row],[Bene]],B[Ipotecaria catastale agevolata])*Assegnazione[[#This Row],[Quota di assegnazione]]</f>
        <v>0</v>
      </c>
    </row>
    <row r="136" spans="1:26" x14ac:dyDescent="0.2">
      <c r="A136" s="123"/>
      <c r="B136" s="132"/>
      <c r="C136" s="123"/>
      <c r="D136" s="172">
        <f>+SUMIF(B[Bene],Assegnazione[[#This Row],[Bene]],B[Imponibile Iva])*Assegnazione[[#This Row],[Quota di assegnazione]]</f>
        <v>0</v>
      </c>
      <c r="E136" s="172">
        <f>+SUMIF(B[Bene],Assegnazione[[#This Row],[Bene]],B[Valore inserito manualmente])*Assegnazione[[#This Row],[Quota di assegnazione]]</f>
        <v>0</v>
      </c>
      <c r="F136" s="173" t="str">
        <f>+IF(A136="","",VLOOKUP(Assegnazione[[#This Row],[Bene]],B[],3,0))</f>
        <v/>
      </c>
      <c r="G136" s="129" t="str">
        <f>+IFERROR(VLOOKUP(Assegnazione[[#This Row],[Bene]],B[],MATCH("Agevolabile",Beni!$A$4:$AC$4,0),0)*VLOOKUP(Assegnazione[[#This Row],[Socio]],A_1[],8,0),"")</f>
        <v/>
      </c>
      <c r="H136" s="172">
        <f>+SUMIF(B[Bene],Assegnazione[[#This Row],[Bene]],B[Valore netto contabile fiscalmente riconosciuto])*Assegnazione[[#This Row],[Quota di assegnazione]]</f>
        <v>0</v>
      </c>
      <c r="I136" s="172">
        <f>+SUMIF(B[Bene],Assegnazione[[#This Row],[Bene]],B[Valore normale])*Assegnazione[[#This Row],[Quota di assegnazione]]</f>
        <v>0</v>
      </c>
      <c r="J136" s="174">
        <f>+IF(Assegnazione[[#This Row],[Bene]]="",0,SUMIF(Assegnazione[Socio],Assegnazione[[#This Row],[Socio]],Assegnazione[Valore Normale])/$I$3)</f>
        <v>0</v>
      </c>
      <c r="K136" s="174" t="str">
        <f>IF(Assegnazione[[#This Row],[Bene]]="","",SUMIF(A_1[Nome],Assegnazione[[#This Row],[Socio]],A_1[Quota partecipazione al momento dell''operazione]))</f>
        <v/>
      </c>
      <c r="L136" s="172">
        <f>+SUMIF(B[Bene],Assegnazione[[#This Row],[Bene]],B[Valore catastale])*Assegnazione[[#This Row],[Quota di assegnazione]]</f>
        <v>0</v>
      </c>
      <c r="M136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6" s="172">
        <f>+MIN(Assegnazione[[#This Row],[Valore ai fini dell''atto]],Assegnazione[[#This Row],[Valore Fiscalmente riconosciuto]])</f>
        <v>0</v>
      </c>
      <c r="O136" s="146" t="str">
        <f>+IFERROR(VLOOKUP(Assegnazione[[#This Row],[Bene]],B[],MATCH($O$4,Beni!$A$4:$Z$4,0),0),"")</f>
        <v/>
      </c>
      <c r="P136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6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6" s="175">
        <f>+SUMIF(B[Bene],Assegnazione[[#This Row],[Bene]],B[Iva se dovuta])*Assegnazione[[#This Row],[Quota di assegnazione]]</f>
        <v>0</v>
      </c>
      <c r="S136" s="175">
        <f>+SUMIF(B[Bene],Assegnazione[[#This Row],[Bene]],B[Imposta di registro (fissa + prop) senza agevolazione])*Assegnazione[[#This Row],[Quota di assegnazione]]</f>
        <v>0</v>
      </c>
      <c r="T136" s="175">
        <f>+SUMIF(B[Bene],Assegnazione[[#This Row],[Bene]],B[Ipotecaria e catastale senza agevolazione])*Assegnazione[[#This Row],[Quota di assegnazione]]</f>
        <v>0</v>
      </c>
      <c r="U136" s="176">
        <f>+SUM(Assegnazione[[#This Row],[Tassazione diretta senza agevolazione]:[Ipotecaria e catastale senza agevolazione]])</f>
        <v>0</v>
      </c>
      <c r="V136" s="175">
        <f>+SUMIF(B[Bene],Assegnazione[[#This Row],[Bene]],B[Imponibile Imposta sostitutiva])*Assegnazione[[#This Row],[Quota di assegnazione]]*DATI!$E$27</f>
        <v>0</v>
      </c>
      <c r="W136" s="175">
        <f>+SUMIF(B[Bene],Assegnazione[[#This Row],[Bene]],B[Imposta di registro in misura fissa agevolata])*Assegnazione[[#This Row],[Quota di assegnazione]]</f>
        <v>0</v>
      </c>
      <c r="X136" s="175">
        <f>+SUMIF(B[Bene],Assegnazione[[#This Row],[Bene]],B[Imposta di registro prop. Agevolata])*Assegnazione[[#This Row],[Quota di assegnazione]]</f>
        <v>0</v>
      </c>
      <c r="Y136" s="175">
        <f>+IFERROR(Assegnazione[[#This Row],[Imposta di registro in misura fissa]]+Assegnazione[[#This Row],[Imposta di registro prop.]],"")</f>
        <v>0</v>
      </c>
      <c r="Z136" s="175">
        <f>+SUMIF(B[Bene],Assegnazione[[#This Row],[Bene]],B[Ipotecaria catastale agevolata])*Assegnazione[[#This Row],[Quota di assegnazione]]</f>
        <v>0</v>
      </c>
    </row>
    <row r="137" spans="1:26" x14ac:dyDescent="0.2">
      <c r="A137" s="123"/>
      <c r="B137" s="132"/>
      <c r="C137" s="123"/>
      <c r="D137" s="172">
        <f>+SUMIF(B[Bene],Assegnazione[[#This Row],[Bene]],B[Imponibile Iva])*Assegnazione[[#This Row],[Quota di assegnazione]]</f>
        <v>0</v>
      </c>
      <c r="E137" s="172">
        <f>+SUMIF(B[Bene],Assegnazione[[#This Row],[Bene]],B[Valore inserito manualmente])*Assegnazione[[#This Row],[Quota di assegnazione]]</f>
        <v>0</v>
      </c>
      <c r="F137" s="173" t="str">
        <f>+IF(A137="","",VLOOKUP(Assegnazione[[#This Row],[Bene]],B[],3,0))</f>
        <v/>
      </c>
      <c r="G137" s="129" t="str">
        <f>+IFERROR(VLOOKUP(Assegnazione[[#This Row],[Bene]],B[],MATCH("Agevolabile",Beni!$A$4:$AC$4,0),0)*VLOOKUP(Assegnazione[[#This Row],[Socio]],A_1[],8,0),"")</f>
        <v/>
      </c>
      <c r="H137" s="172">
        <f>+SUMIF(B[Bene],Assegnazione[[#This Row],[Bene]],B[Valore netto contabile fiscalmente riconosciuto])*Assegnazione[[#This Row],[Quota di assegnazione]]</f>
        <v>0</v>
      </c>
      <c r="I137" s="172">
        <f>+SUMIF(B[Bene],Assegnazione[[#This Row],[Bene]],B[Valore normale])*Assegnazione[[#This Row],[Quota di assegnazione]]</f>
        <v>0</v>
      </c>
      <c r="J137" s="174">
        <f>+IF(Assegnazione[[#This Row],[Bene]]="",0,SUMIF(Assegnazione[Socio],Assegnazione[[#This Row],[Socio]],Assegnazione[Valore Normale])/$I$3)</f>
        <v>0</v>
      </c>
      <c r="K137" s="174" t="str">
        <f>IF(Assegnazione[[#This Row],[Bene]]="","",SUMIF(A_1[Nome],Assegnazione[[#This Row],[Socio]],A_1[Quota partecipazione al momento dell''operazione]))</f>
        <v/>
      </c>
      <c r="L137" s="172">
        <f>+SUMIF(B[Bene],Assegnazione[[#This Row],[Bene]],B[Valore catastale])*Assegnazione[[#This Row],[Quota di assegnazione]]</f>
        <v>0</v>
      </c>
      <c r="M137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7" s="172">
        <f>+MIN(Assegnazione[[#This Row],[Valore ai fini dell''atto]],Assegnazione[[#This Row],[Valore Fiscalmente riconosciuto]])</f>
        <v>0</v>
      </c>
      <c r="O137" s="146" t="str">
        <f>+IFERROR(VLOOKUP(Assegnazione[[#This Row],[Bene]],B[],MATCH($O$4,Beni!$A$4:$Z$4,0),0),"")</f>
        <v/>
      </c>
      <c r="P137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7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7" s="175">
        <f>+SUMIF(B[Bene],Assegnazione[[#This Row],[Bene]],B[Iva se dovuta])*Assegnazione[[#This Row],[Quota di assegnazione]]</f>
        <v>0</v>
      </c>
      <c r="S137" s="175">
        <f>+SUMIF(B[Bene],Assegnazione[[#This Row],[Bene]],B[Imposta di registro (fissa + prop) senza agevolazione])*Assegnazione[[#This Row],[Quota di assegnazione]]</f>
        <v>0</v>
      </c>
      <c r="T137" s="175">
        <f>+SUMIF(B[Bene],Assegnazione[[#This Row],[Bene]],B[Ipotecaria e catastale senza agevolazione])*Assegnazione[[#This Row],[Quota di assegnazione]]</f>
        <v>0</v>
      </c>
      <c r="U137" s="176">
        <f>+SUM(Assegnazione[[#This Row],[Tassazione diretta senza agevolazione]:[Ipotecaria e catastale senza agevolazione]])</f>
        <v>0</v>
      </c>
      <c r="V137" s="175">
        <f>+SUMIF(B[Bene],Assegnazione[[#This Row],[Bene]],B[Imponibile Imposta sostitutiva])*Assegnazione[[#This Row],[Quota di assegnazione]]*DATI!$E$27</f>
        <v>0</v>
      </c>
      <c r="W137" s="175">
        <f>+SUMIF(B[Bene],Assegnazione[[#This Row],[Bene]],B[Imposta di registro in misura fissa agevolata])*Assegnazione[[#This Row],[Quota di assegnazione]]</f>
        <v>0</v>
      </c>
      <c r="X137" s="175">
        <f>+SUMIF(B[Bene],Assegnazione[[#This Row],[Bene]],B[Imposta di registro prop. Agevolata])*Assegnazione[[#This Row],[Quota di assegnazione]]</f>
        <v>0</v>
      </c>
      <c r="Y137" s="175">
        <f>+IFERROR(Assegnazione[[#This Row],[Imposta di registro in misura fissa]]+Assegnazione[[#This Row],[Imposta di registro prop.]],"")</f>
        <v>0</v>
      </c>
      <c r="Z137" s="175">
        <f>+SUMIF(B[Bene],Assegnazione[[#This Row],[Bene]],B[Ipotecaria catastale agevolata])*Assegnazione[[#This Row],[Quota di assegnazione]]</f>
        <v>0</v>
      </c>
    </row>
    <row r="138" spans="1:26" x14ac:dyDescent="0.2">
      <c r="A138" s="123"/>
      <c r="B138" s="132"/>
      <c r="C138" s="123"/>
      <c r="D138" s="172">
        <f>+SUMIF(B[Bene],Assegnazione[[#This Row],[Bene]],B[Imponibile Iva])*Assegnazione[[#This Row],[Quota di assegnazione]]</f>
        <v>0</v>
      </c>
      <c r="E138" s="172">
        <f>+SUMIF(B[Bene],Assegnazione[[#This Row],[Bene]],B[Valore inserito manualmente])*Assegnazione[[#This Row],[Quota di assegnazione]]</f>
        <v>0</v>
      </c>
      <c r="F138" s="173" t="str">
        <f>+IF(A138="","",VLOOKUP(Assegnazione[[#This Row],[Bene]],B[],3,0))</f>
        <v/>
      </c>
      <c r="G138" s="129" t="str">
        <f>+IFERROR(VLOOKUP(Assegnazione[[#This Row],[Bene]],B[],MATCH("Agevolabile",Beni!$A$4:$AC$4,0),0)*VLOOKUP(Assegnazione[[#This Row],[Socio]],A_1[],8,0),"")</f>
        <v/>
      </c>
      <c r="H138" s="172">
        <f>+SUMIF(B[Bene],Assegnazione[[#This Row],[Bene]],B[Valore netto contabile fiscalmente riconosciuto])*Assegnazione[[#This Row],[Quota di assegnazione]]</f>
        <v>0</v>
      </c>
      <c r="I138" s="172">
        <f>+SUMIF(B[Bene],Assegnazione[[#This Row],[Bene]],B[Valore normale])*Assegnazione[[#This Row],[Quota di assegnazione]]</f>
        <v>0</v>
      </c>
      <c r="J138" s="174">
        <f>+IF(Assegnazione[[#This Row],[Bene]]="",0,SUMIF(Assegnazione[Socio],Assegnazione[[#This Row],[Socio]],Assegnazione[Valore Normale])/$I$3)</f>
        <v>0</v>
      </c>
      <c r="K138" s="174" t="str">
        <f>IF(Assegnazione[[#This Row],[Bene]]="","",SUMIF(A_1[Nome],Assegnazione[[#This Row],[Socio]],A_1[Quota partecipazione al momento dell''operazione]))</f>
        <v/>
      </c>
      <c r="L138" s="172">
        <f>+SUMIF(B[Bene],Assegnazione[[#This Row],[Bene]],B[Valore catastale])*Assegnazione[[#This Row],[Quota di assegnazione]]</f>
        <v>0</v>
      </c>
      <c r="M138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8" s="172">
        <f>+MIN(Assegnazione[[#This Row],[Valore ai fini dell''atto]],Assegnazione[[#This Row],[Valore Fiscalmente riconosciuto]])</f>
        <v>0</v>
      </c>
      <c r="O138" s="146" t="str">
        <f>+IFERROR(VLOOKUP(Assegnazione[[#This Row],[Bene]],B[],MATCH($O$4,Beni!$A$4:$Z$4,0),0),"")</f>
        <v/>
      </c>
      <c r="P138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8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8" s="175">
        <f>+SUMIF(B[Bene],Assegnazione[[#This Row],[Bene]],B[Iva se dovuta])*Assegnazione[[#This Row],[Quota di assegnazione]]</f>
        <v>0</v>
      </c>
      <c r="S138" s="175">
        <f>+SUMIF(B[Bene],Assegnazione[[#This Row],[Bene]],B[Imposta di registro (fissa + prop) senza agevolazione])*Assegnazione[[#This Row],[Quota di assegnazione]]</f>
        <v>0</v>
      </c>
      <c r="T138" s="175">
        <f>+SUMIF(B[Bene],Assegnazione[[#This Row],[Bene]],B[Ipotecaria e catastale senza agevolazione])*Assegnazione[[#This Row],[Quota di assegnazione]]</f>
        <v>0</v>
      </c>
      <c r="U138" s="176">
        <f>+SUM(Assegnazione[[#This Row],[Tassazione diretta senza agevolazione]:[Ipotecaria e catastale senza agevolazione]])</f>
        <v>0</v>
      </c>
      <c r="V138" s="175">
        <f>+SUMIF(B[Bene],Assegnazione[[#This Row],[Bene]],B[Imponibile Imposta sostitutiva])*Assegnazione[[#This Row],[Quota di assegnazione]]*DATI!$E$27</f>
        <v>0</v>
      </c>
      <c r="W138" s="175">
        <f>+SUMIF(B[Bene],Assegnazione[[#This Row],[Bene]],B[Imposta di registro in misura fissa agevolata])*Assegnazione[[#This Row],[Quota di assegnazione]]</f>
        <v>0</v>
      </c>
      <c r="X138" s="175">
        <f>+SUMIF(B[Bene],Assegnazione[[#This Row],[Bene]],B[Imposta di registro prop. Agevolata])*Assegnazione[[#This Row],[Quota di assegnazione]]</f>
        <v>0</v>
      </c>
      <c r="Y138" s="175">
        <f>+IFERROR(Assegnazione[[#This Row],[Imposta di registro in misura fissa]]+Assegnazione[[#This Row],[Imposta di registro prop.]],"")</f>
        <v>0</v>
      </c>
      <c r="Z138" s="175">
        <f>+SUMIF(B[Bene],Assegnazione[[#This Row],[Bene]],B[Ipotecaria catastale agevolata])*Assegnazione[[#This Row],[Quota di assegnazione]]</f>
        <v>0</v>
      </c>
    </row>
    <row r="139" spans="1:26" x14ac:dyDescent="0.2">
      <c r="A139" s="123"/>
      <c r="B139" s="132"/>
      <c r="C139" s="123"/>
      <c r="D139" s="172">
        <f>+SUMIF(B[Bene],Assegnazione[[#This Row],[Bene]],B[Imponibile Iva])*Assegnazione[[#This Row],[Quota di assegnazione]]</f>
        <v>0</v>
      </c>
      <c r="E139" s="172">
        <f>+SUMIF(B[Bene],Assegnazione[[#This Row],[Bene]],B[Valore inserito manualmente])*Assegnazione[[#This Row],[Quota di assegnazione]]</f>
        <v>0</v>
      </c>
      <c r="F139" s="173" t="str">
        <f>+IF(A139="","",VLOOKUP(Assegnazione[[#This Row],[Bene]],B[],3,0))</f>
        <v/>
      </c>
      <c r="G139" s="129" t="str">
        <f>+IFERROR(VLOOKUP(Assegnazione[[#This Row],[Bene]],B[],MATCH("Agevolabile",Beni!$A$4:$AC$4,0),0)*VLOOKUP(Assegnazione[[#This Row],[Socio]],A_1[],8,0),"")</f>
        <v/>
      </c>
      <c r="H139" s="172">
        <f>+SUMIF(B[Bene],Assegnazione[[#This Row],[Bene]],B[Valore netto contabile fiscalmente riconosciuto])*Assegnazione[[#This Row],[Quota di assegnazione]]</f>
        <v>0</v>
      </c>
      <c r="I139" s="172">
        <f>+SUMIF(B[Bene],Assegnazione[[#This Row],[Bene]],B[Valore normale])*Assegnazione[[#This Row],[Quota di assegnazione]]</f>
        <v>0</v>
      </c>
      <c r="J139" s="174">
        <f>+IF(Assegnazione[[#This Row],[Bene]]="",0,SUMIF(Assegnazione[Socio],Assegnazione[[#This Row],[Socio]],Assegnazione[Valore Normale])/$I$3)</f>
        <v>0</v>
      </c>
      <c r="K139" s="174" t="str">
        <f>IF(Assegnazione[[#This Row],[Bene]]="","",SUMIF(A_1[Nome],Assegnazione[[#This Row],[Socio]],A_1[Quota partecipazione al momento dell''operazione]))</f>
        <v/>
      </c>
      <c r="L139" s="172">
        <f>+SUMIF(B[Bene],Assegnazione[[#This Row],[Bene]],B[Valore catastale])*Assegnazione[[#This Row],[Quota di assegnazione]]</f>
        <v>0</v>
      </c>
      <c r="M139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9" s="172">
        <f>+MIN(Assegnazione[[#This Row],[Valore ai fini dell''atto]],Assegnazione[[#This Row],[Valore Fiscalmente riconosciuto]])</f>
        <v>0</v>
      </c>
      <c r="O139" s="146" t="str">
        <f>+IFERROR(VLOOKUP(Assegnazione[[#This Row],[Bene]],B[],MATCH($O$4,Beni!$A$4:$Z$4,0),0),"")</f>
        <v/>
      </c>
      <c r="P139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9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9" s="175">
        <f>+SUMIF(B[Bene],Assegnazione[[#This Row],[Bene]],B[Iva se dovuta])*Assegnazione[[#This Row],[Quota di assegnazione]]</f>
        <v>0</v>
      </c>
      <c r="S139" s="175">
        <f>+SUMIF(B[Bene],Assegnazione[[#This Row],[Bene]],B[Imposta di registro (fissa + prop) senza agevolazione])*Assegnazione[[#This Row],[Quota di assegnazione]]</f>
        <v>0</v>
      </c>
      <c r="T139" s="175">
        <f>+SUMIF(B[Bene],Assegnazione[[#This Row],[Bene]],B[Ipotecaria e catastale senza agevolazione])*Assegnazione[[#This Row],[Quota di assegnazione]]</f>
        <v>0</v>
      </c>
      <c r="U139" s="176">
        <f>+SUM(Assegnazione[[#This Row],[Tassazione diretta senza agevolazione]:[Ipotecaria e catastale senza agevolazione]])</f>
        <v>0</v>
      </c>
      <c r="V139" s="175">
        <f>+SUMIF(B[Bene],Assegnazione[[#This Row],[Bene]],B[Imponibile Imposta sostitutiva])*Assegnazione[[#This Row],[Quota di assegnazione]]*DATI!$E$27</f>
        <v>0</v>
      </c>
      <c r="W139" s="175">
        <f>+SUMIF(B[Bene],Assegnazione[[#This Row],[Bene]],B[Imposta di registro in misura fissa agevolata])*Assegnazione[[#This Row],[Quota di assegnazione]]</f>
        <v>0</v>
      </c>
      <c r="X139" s="175">
        <f>+SUMIF(B[Bene],Assegnazione[[#This Row],[Bene]],B[Imposta di registro prop. Agevolata])*Assegnazione[[#This Row],[Quota di assegnazione]]</f>
        <v>0</v>
      </c>
      <c r="Y139" s="175">
        <f>+IFERROR(Assegnazione[[#This Row],[Imposta di registro in misura fissa]]+Assegnazione[[#This Row],[Imposta di registro prop.]],"")</f>
        <v>0</v>
      </c>
      <c r="Z139" s="175">
        <f>+SUMIF(B[Bene],Assegnazione[[#This Row],[Bene]],B[Ipotecaria catastale agevolata])*Assegnazione[[#This Row],[Quota di assegnazione]]</f>
        <v>0</v>
      </c>
    </row>
    <row r="140" spans="1:26" x14ac:dyDescent="0.2">
      <c r="A140" s="123"/>
      <c r="B140" s="132"/>
      <c r="C140" s="123"/>
      <c r="D140" s="172">
        <f>+SUMIF(B[Bene],Assegnazione[[#This Row],[Bene]],B[Imponibile Iva])*Assegnazione[[#This Row],[Quota di assegnazione]]</f>
        <v>0</v>
      </c>
      <c r="E140" s="172">
        <f>+SUMIF(B[Bene],Assegnazione[[#This Row],[Bene]],B[Valore inserito manualmente])*Assegnazione[[#This Row],[Quota di assegnazione]]</f>
        <v>0</v>
      </c>
      <c r="F140" s="173" t="str">
        <f>+IF(A140="","",VLOOKUP(Assegnazione[[#This Row],[Bene]],B[],3,0))</f>
        <v/>
      </c>
      <c r="G140" s="129" t="str">
        <f>+IFERROR(VLOOKUP(Assegnazione[[#This Row],[Bene]],B[],MATCH("Agevolabile",Beni!$A$4:$AC$4,0),0)*VLOOKUP(Assegnazione[[#This Row],[Socio]],A_1[],8,0),"")</f>
        <v/>
      </c>
      <c r="H140" s="172">
        <f>+SUMIF(B[Bene],Assegnazione[[#This Row],[Bene]],B[Valore netto contabile fiscalmente riconosciuto])*Assegnazione[[#This Row],[Quota di assegnazione]]</f>
        <v>0</v>
      </c>
      <c r="I140" s="172">
        <f>+SUMIF(B[Bene],Assegnazione[[#This Row],[Bene]],B[Valore normale])*Assegnazione[[#This Row],[Quota di assegnazione]]</f>
        <v>0</v>
      </c>
      <c r="J140" s="174">
        <f>+IF(Assegnazione[[#This Row],[Bene]]="",0,SUMIF(Assegnazione[Socio],Assegnazione[[#This Row],[Socio]],Assegnazione[Valore Normale])/$I$3)</f>
        <v>0</v>
      </c>
      <c r="K140" s="174" t="str">
        <f>IF(Assegnazione[[#This Row],[Bene]]="","",SUMIF(A_1[Nome],Assegnazione[[#This Row],[Socio]],A_1[Quota partecipazione al momento dell''operazione]))</f>
        <v/>
      </c>
      <c r="L140" s="172">
        <f>+SUMIF(B[Bene],Assegnazione[[#This Row],[Bene]],B[Valore catastale])*Assegnazione[[#This Row],[Quota di assegnazione]]</f>
        <v>0</v>
      </c>
      <c r="M140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0" s="172">
        <f>+MIN(Assegnazione[[#This Row],[Valore ai fini dell''atto]],Assegnazione[[#This Row],[Valore Fiscalmente riconosciuto]])</f>
        <v>0</v>
      </c>
      <c r="O140" s="146" t="str">
        <f>+IFERROR(VLOOKUP(Assegnazione[[#This Row],[Bene]],B[],MATCH($O$4,Beni!$A$4:$Z$4,0),0),"")</f>
        <v/>
      </c>
      <c r="P140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0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0" s="175">
        <f>+SUMIF(B[Bene],Assegnazione[[#This Row],[Bene]],B[Iva se dovuta])*Assegnazione[[#This Row],[Quota di assegnazione]]</f>
        <v>0</v>
      </c>
      <c r="S140" s="175">
        <f>+SUMIF(B[Bene],Assegnazione[[#This Row],[Bene]],B[Imposta di registro (fissa + prop) senza agevolazione])*Assegnazione[[#This Row],[Quota di assegnazione]]</f>
        <v>0</v>
      </c>
      <c r="T140" s="175">
        <f>+SUMIF(B[Bene],Assegnazione[[#This Row],[Bene]],B[Ipotecaria e catastale senza agevolazione])*Assegnazione[[#This Row],[Quota di assegnazione]]</f>
        <v>0</v>
      </c>
      <c r="U140" s="176">
        <f>+SUM(Assegnazione[[#This Row],[Tassazione diretta senza agevolazione]:[Ipotecaria e catastale senza agevolazione]])</f>
        <v>0</v>
      </c>
      <c r="V140" s="175">
        <f>+SUMIF(B[Bene],Assegnazione[[#This Row],[Bene]],B[Imponibile Imposta sostitutiva])*Assegnazione[[#This Row],[Quota di assegnazione]]*DATI!$E$27</f>
        <v>0</v>
      </c>
      <c r="W140" s="175">
        <f>+SUMIF(B[Bene],Assegnazione[[#This Row],[Bene]],B[Imposta di registro in misura fissa agevolata])*Assegnazione[[#This Row],[Quota di assegnazione]]</f>
        <v>0</v>
      </c>
      <c r="X140" s="175">
        <f>+SUMIF(B[Bene],Assegnazione[[#This Row],[Bene]],B[Imposta di registro prop. Agevolata])*Assegnazione[[#This Row],[Quota di assegnazione]]</f>
        <v>0</v>
      </c>
      <c r="Y140" s="175">
        <f>+IFERROR(Assegnazione[[#This Row],[Imposta di registro in misura fissa]]+Assegnazione[[#This Row],[Imposta di registro prop.]],"")</f>
        <v>0</v>
      </c>
      <c r="Z140" s="175">
        <f>+SUMIF(B[Bene],Assegnazione[[#This Row],[Bene]],B[Ipotecaria catastale agevolata])*Assegnazione[[#This Row],[Quota di assegnazione]]</f>
        <v>0</v>
      </c>
    </row>
    <row r="141" spans="1:26" x14ac:dyDescent="0.2">
      <c r="A141" s="123"/>
      <c r="B141" s="132"/>
      <c r="C141" s="123"/>
      <c r="D141" s="172">
        <f>+SUMIF(B[Bene],Assegnazione[[#This Row],[Bene]],B[Imponibile Iva])*Assegnazione[[#This Row],[Quota di assegnazione]]</f>
        <v>0</v>
      </c>
      <c r="E141" s="172">
        <f>+SUMIF(B[Bene],Assegnazione[[#This Row],[Bene]],B[Valore inserito manualmente])*Assegnazione[[#This Row],[Quota di assegnazione]]</f>
        <v>0</v>
      </c>
      <c r="F141" s="173" t="str">
        <f>+IF(A141="","",VLOOKUP(Assegnazione[[#This Row],[Bene]],B[],3,0))</f>
        <v/>
      </c>
      <c r="G141" s="129" t="str">
        <f>+IFERROR(VLOOKUP(Assegnazione[[#This Row],[Bene]],B[],MATCH("Agevolabile",Beni!$A$4:$AC$4,0),0)*VLOOKUP(Assegnazione[[#This Row],[Socio]],A_1[],8,0),"")</f>
        <v/>
      </c>
      <c r="H141" s="172">
        <f>+SUMIF(B[Bene],Assegnazione[[#This Row],[Bene]],B[Valore netto contabile fiscalmente riconosciuto])*Assegnazione[[#This Row],[Quota di assegnazione]]</f>
        <v>0</v>
      </c>
      <c r="I141" s="172">
        <f>+SUMIF(B[Bene],Assegnazione[[#This Row],[Bene]],B[Valore normale])*Assegnazione[[#This Row],[Quota di assegnazione]]</f>
        <v>0</v>
      </c>
      <c r="J141" s="174">
        <f>+IF(Assegnazione[[#This Row],[Bene]]="",0,SUMIF(Assegnazione[Socio],Assegnazione[[#This Row],[Socio]],Assegnazione[Valore Normale])/$I$3)</f>
        <v>0</v>
      </c>
      <c r="K141" s="174" t="str">
        <f>IF(Assegnazione[[#This Row],[Bene]]="","",SUMIF(A_1[Nome],Assegnazione[[#This Row],[Socio]],A_1[Quota partecipazione al momento dell''operazione]))</f>
        <v/>
      </c>
      <c r="L141" s="172">
        <f>+SUMIF(B[Bene],Assegnazione[[#This Row],[Bene]],B[Valore catastale])*Assegnazione[[#This Row],[Quota di assegnazione]]</f>
        <v>0</v>
      </c>
      <c r="M141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1" s="172">
        <f>+MIN(Assegnazione[[#This Row],[Valore ai fini dell''atto]],Assegnazione[[#This Row],[Valore Fiscalmente riconosciuto]])</f>
        <v>0</v>
      </c>
      <c r="O141" s="146" t="str">
        <f>+IFERROR(VLOOKUP(Assegnazione[[#This Row],[Bene]],B[],MATCH($O$4,Beni!$A$4:$Z$4,0),0),"")</f>
        <v/>
      </c>
      <c r="P141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1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1" s="175">
        <f>+SUMIF(B[Bene],Assegnazione[[#This Row],[Bene]],B[Iva se dovuta])*Assegnazione[[#This Row],[Quota di assegnazione]]</f>
        <v>0</v>
      </c>
      <c r="S141" s="175">
        <f>+SUMIF(B[Bene],Assegnazione[[#This Row],[Bene]],B[Imposta di registro (fissa + prop) senza agevolazione])*Assegnazione[[#This Row],[Quota di assegnazione]]</f>
        <v>0</v>
      </c>
      <c r="T141" s="175">
        <f>+SUMIF(B[Bene],Assegnazione[[#This Row],[Bene]],B[Ipotecaria e catastale senza agevolazione])*Assegnazione[[#This Row],[Quota di assegnazione]]</f>
        <v>0</v>
      </c>
      <c r="U141" s="176">
        <f>+SUM(Assegnazione[[#This Row],[Tassazione diretta senza agevolazione]:[Ipotecaria e catastale senza agevolazione]])</f>
        <v>0</v>
      </c>
      <c r="V141" s="175">
        <f>+SUMIF(B[Bene],Assegnazione[[#This Row],[Bene]],B[Imponibile Imposta sostitutiva])*Assegnazione[[#This Row],[Quota di assegnazione]]*DATI!$E$27</f>
        <v>0</v>
      </c>
      <c r="W141" s="175">
        <f>+SUMIF(B[Bene],Assegnazione[[#This Row],[Bene]],B[Imposta di registro in misura fissa agevolata])*Assegnazione[[#This Row],[Quota di assegnazione]]</f>
        <v>0</v>
      </c>
      <c r="X141" s="175">
        <f>+SUMIF(B[Bene],Assegnazione[[#This Row],[Bene]],B[Imposta di registro prop. Agevolata])*Assegnazione[[#This Row],[Quota di assegnazione]]</f>
        <v>0</v>
      </c>
      <c r="Y141" s="175">
        <f>+IFERROR(Assegnazione[[#This Row],[Imposta di registro in misura fissa]]+Assegnazione[[#This Row],[Imposta di registro prop.]],"")</f>
        <v>0</v>
      </c>
      <c r="Z141" s="175">
        <f>+SUMIF(B[Bene],Assegnazione[[#This Row],[Bene]],B[Ipotecaria catastale agevolata])*Assegnazione[[#This Row],[Quota di assegnazione]]</f>
        <v>0</v>
      </c>
    </row>
    <row r="142" spans="1:26" x14ac:dyDescent="0.2">
      <c r="A142" s="123"/>
      <c r="B142" s="132"/>
      <c r="C142" s="123"/>
      <c r="D142" s="172">
        <f>+SUMIF(B[Bene],Assegnazione[[#This Row],[Bene]],B[Imponibile Iva])*Assegnazione[[#This Row],[Quota di assegnazione]]</f>
        <v>0</v>
      </c>
      <c r="E142" s="172">
        <f>+SUMIF(B[Bene],Assegnazione[[#This Row],[Bene]],B[Valore inserito manualmente])*Assegnazione[[#This Row],[Quota di assegnazione]]</f>
        <v>0</v>
      </c>
      <c r="F142" s="173" t="str">
        <f>+IF(A142="","",VLOOKUP(Assegnazione[[#This Row],[Bene]],B[],3,0))</f>
        <v/>
      </c>
      <c r="G142" s="129" t="str">
        <f>+IFERROR(VLOOKUP(Assegnazione[[#This Row],[Bene]],B[],MATCH("Agevolabile",Beni!$A$4:$AC$4,0),0)*VLOOKUP(Assegnazione[[#This Row],[Socio]],A_1[],8,0),"")</f>
        <v/>
      </c>
      <c r="H142" s="172">
        <f>+SUMIF(B[Bene],Assegnazione[[#This Row],[Bene]],B[Valore netto contabile fiscalmente riconosciuto])*Assegnazione[[#This Row],[Quota di assegnazione]]</f>
        <v>0</v>
      </c>
      <c r="I142" s="172">
        <f>+SUMIF(B[Bene],Assegnazione[[#This Row],[Bene]],B[Valore normale])*Assegnazione[[#This Row],[Quota di assegnazione]]</f>
        <v>0</v>
      </c>
      <c r="J142" s="174">
        <f>+IF(Assegnazione[[#This Row],[Bene]]="",0,SUMIF(Assegnazione[Socio],Assegnazione[[#This Row],[Socio]],Assegnazione[Valore Normale])/$I$3)</f>
        <v>0</v>
      </c>
      <c r="K142" s="174" t="str">
        <f>IF(Assegnazione[[#This Row],[Bene]]="","",SUMIF(A_1[Nome],Assegnazione[[#This Row],[Socio]],A_1[Quota partecipazione al momento dell''operazione]))</f>
        <v/>
      </c>
      <c r="L142" s="172">
        <f>+SUMIF(B[Bene],Assegnazione[[#This Row],[Bene]],B[Valore catastale])*Assegnazione[[#This Row],[Quota di assegnazione]]</f>
        <v>0</v>
      </c>
      <c r="M142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2" s="172">
        <f>+MIN(Assegnazione[[#This Row],[Valore ai fini dell''atto]],Assegnazione[[#This Row],[Valore Fiscalmente riconosciuto]])</f>
        <v>0</v>
      </c>
      <c r="O142" s="146" t="str">
        <f>+IFERROR(VLOOKUP(Assegnazione[[#This Row],[Bene]],B[],MATCH($O$4,Beni!$A$4:$Z$4,0),0),"")</f>
        <v/>
      </c>
      <c r="P142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2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2" s="175">
        <f>+SUMIF(B[Bene],Assegnazione[[#This Row],[Bene]],B[Iva se dovuta])*Assegnazione[[#This Row],[Quota di assegnazione]]</f>
        <v>0</v>
      </c>
      <c r="S142" s="175">
        <f>+SUMIF(B[Bene],Assegnazione[[#This Row],[Bene]],B[Imposta di registro (fissa + prop) senza agevolazione])*Assegnazione[[#This Row],[Quota di assegnazione]]</f>
        <v>0</v>
      </c>
      <c r="T142" s="175">
        <f>+SUMIF(B[Bene],Assegnazione[[#This Row],[Bene]],B[Ipotecaria e catastale senza agevolazione])*Assegnazione[[#This Row],[Quota di assegnazione]]</f>
        <v>0</v>
      </c>
      <c r="U142" s="176">
        <f>+SUM(Assegnazione[[#This Row],[Tassazione diretta senza agevolazione]:[Ipotecaria e catastale senza agevolazione]])</f>
        <v>0</v>
      </c>
      <c r="V142" s="175">
        <f>+SUMIF(B[Bene],Assegnazione[[#This Row],[Bene]],B[Imponibile Imposta sostitutiva])*Assegnazione[[#This Row],[Quota di assegnazione]]*DATI!$E$27</f>
        <v>0</v>
      </c>
      <c r="W142" s="175">
        <f>+SUMIF(B[Bene],Assegnazione[[#This Row],[Bene]],B[Imposta di registro in misura fissa agevolata])*Assegnazione[[#This Row],[Quota di assegnazione]]</f>
        <v>0</v>
      </c>
      <c r="X142" s="175">
        <f>+SUMIF(B[Bene],Assegnazione[[#This Row],[Bene]],B[Imposta di registro prop. Agevolata])*Assegnazione[[#This Row],[Quota di assegnazione]]</f>
        <v>0</v>
      </c>
      <c r="Y142" s="175">
        <f>+IFERROR(Assegnazione[[#This Row],[Imposta di registro in misura fissa]]+Assegnazione[[#This Row],[Imposta di registro prop.]],"")</f>
        <v>0</v>
      </c>
      <c r="Z142" s="175">
        <f>+SUMIF(B[Bene],Assegnazione[[#This Row],[Bene]],B[Ipotecaria catastale agevolata])*Assegnazione[[#This Row],[Quota di assegnazione]]</f>
        <v>0</v>
      </c>
    </row>
    <row r="143" spans="1:26" x14ac:dyDescent="0.2">
      <c r="A143" s="123"/>
      <c r="B143" s="132"/>
      <c r="C143" s="123"/>
      <c r="D143" s="172">
        <f>+SUMIF(B[Bene],Assegnazione[[#This Row],[Bene]],B[Imponibile Iva])*Assegnazione[[#This Row],[Quota di assegnazione]]</f>
        <v>0</v>
      </c>
      <c r="E143" s="172">
        <f>+SUMIF(B[Bene],Assegnazione[[#This Row],[Bene]],B[Valore inserito manualmente])*Assegnazione[[#This Row],[Quota di assegnazione]]</f>
        <v>0</v>
      </c>
      <c r="F143" s="173" t="str">
        <f>+IF(A143="","",VLOOKUP(Assegnazione[[#This Row],[Bene]],B[],3,0))</f>
        <v/>
      </c>
      <c r="G143" s="129" t="str">
        <f>+IFERROR(VLOOKUP(Assegnazione[[#This Row],[Bene]],B[],MATCH("Agevolabile",Beni!$A$4:$AC$4,0),0)*VLOOKUP(Assegnazione[[#This Row],[Socio]],A_1[],8,0),"")</f>
        <v/>
      </c>
      <c r="H143" s="172">
        <f>+SUMIF(B[Bene],Assegnazione[[#This Row],[Bene]],B[Valore netto contabile fiscalmente riconosciuto])*Assegnazione[[#This Row],[Quota di assegnazione]]</f>
        <v>0</v>
      </c>
      <c r="I143" s="172">
        <f>+SUMIF(B[Bene],Assegnazione[[#This Row],[Bene]],B[Valore normale])*Assegnazione[[#This Row],[Quota di assegnazione]]</f>
        <v>0</v>
      </c>
      <c r="J143" s="174">
        <f>+IF(Assegnazione[[#This Row],[Bene]]="",0,SUMIF(Assegnazione[Socio],Assegnazione[[#This Row],[Socio]],Assegnazione[Valore Normale])/$I$3)</f>
        <v>0</v>
      </c>
      <c r="K143" s="174" t="str">
        <f>IF(Assegnazione[[#This Row],[Bene]]="","",SUMIF(A_1[Nome],Assegnazione[[#This Row],[Socio]],A_1[Quota partecipazione al momento dell''operazione]))</f>
        <v/>
      </c>
      <c r="L143" s="172">
        <f>+SUMIF(B[Bene],Assegnazione[[#This Row],[Bene]],B[Valore catastale])*Assegnazione[[#This Row],[Quota di assegnazione]]</f>
        <v>0</v>
      </c>
      <c r="M143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3" s="172">
        <f>+MIN(Assegnazione[[#This Row],[Valore ai fini dell''atto]],Assegnazione[[#This Row],[Valore Fiscalmente riconosciuto]])</f>
        <v>0</v>
      </c>
      <c r="O143" s="146" t="str">
        <f>+IFERROR(VLOOKUP(Assegnazione[[#This Row],[Bene]],B[],MATCH($O$4,Beni!$A$4:$Z$4,0),0),"")</f>
        <v/>
      </c>
      <c r="P143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3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3" s="175">
        <f>+SUMIF(B[Bene],Assegnazione[[#This Row],[Bene]],B[Iva se dovuta])*Assegnazione[[#This Row],[Quota di assegnazione]]</f>
        <v>0</v>
      </c>
      <c r="S143" s="175">
        <f>+SUMIF(B[Bene],Assegnazione[[#This Row],[Bene]],B[Imposta di registro (fissa + prop) senza agevolazione])*Assegnazione[[#This Row],[Quota di assegnazione]]</f>
        <v>0</v>
      </c>
      <c r="T143" s="175">
        <f>+SUMIF(B[Bene],Assegnazione[[#This Row],[Bene]],B[Ipotecaria e catastale senza agevolazione])*Assegnazione[[#This Row],[Quota di assegnazione]]</f>
        <v>0</v>
      </c>
      <c r="U143" s="176">
        <f>+SUM(Assegnazione[[#This Row],[Tassazione diretta senza agevolazione]:[Ipotecaria e catastale senza agevolazione]])</f>
        <v>0</v>
      </c>
      <c r="V143" s="175">
        <f>+SUMIF(B[Bene],Assegnazione[[#This Row],[Bene]],B[Imponibile Imposta sostitutiva])*Assegnazione[[#This Row],[Quota di assegnazione]]*DATI!$E$27</f>
        <v>0</v>
      </c>
      <c r="W143" s="175">
        <f>+SUMIF(B[Bene],Assegnazione[[#This Row],[Bene]],B[Imposta di registro in misura fissa agevolata])*Assegnazione[[#This Row],[Quota di assegnazione]]</f>
        <v>0</v>
      </c>
      <c r="X143" s="175">
        <f>+SUMIF(B[Bene],Assegnazione[[#This Row],[Bene]],B[Imposta di registro prop. Agevolata])*Assegnazione[[#This Row],[Quota di assegnazione]]</f>
        <v>0</v>
      </c>
      <c r="Y143" s="175">
        <f>+IFERROR(Assegnazione[[#This Row],[Imposta di registro in misura fissa]]+Assegnazione[[#This Row],[Imposta di registro prop.]],"")</f>
        <v>0</v>
      </c>
      <c r="Z143" s="175">
        <f>+SUMIF(B[Bene],Assegnazione[[#This Row],[Bene]],B[Ipotecaria catastale agevolata])*Assegnazione[[#This Row],[Quota di assegnazione]]</f>
        <v>0</v>
      </c>
    </row>
    <row r="144" spans="1:26" x14ac:dyDescent="0.2">
      <c r="A144" s="123"/>
      <c r="B144" s="132"/>
      <c r="C144" s="123"/>
      <c r="D144" s="172">
        <f>+SUMIF(B[Bene],Assegnazione[[#This Row],[Bene]],B[Imponibile Iva])*Assegnazione[[#This Row],[Quota di assegnazione]]</f>
        <v>0</v>
      </c>
      <c r="E144" s="172">
        <f>+SUMIF(B[Bene],Assegnazione[[#This Row],[Bene]],B[Valore inserito manualmente])*Assegnazione[[#This Row],[Quota di assegnazione]]</f>
        <v>0</v>
      </c>
      <c r="F144" s="173" t="str">
        <f>+IF(A144="","",VLOOKUP(Assegnazione[[#This Row],[Bene]],B[],3,0))</f>
        <v/>
      </c>
      <c r="G144" s="129" t="str">
        <f>+IFERROR(VLOOKUP(Assegnazione[[#This Row],[Bene]],B[],MATCH("Agevolabile",Beni!$A$4:$AC$4,0),0)*VLOOKUP(Assegnazione[[#This Row],[Socio]],A_1[],8,0),"")</f>
        <v/>
      </c>
      <c r="H144" s="172">
        <f>+SUMIF(B[Bene],Assegnazione[[#This Row],[Bene]],B[Valore netto contabile fiscalmente riconosciuto])*Assegnazione[[#This Row],[Quota di assegnazione]]</f>
        <v>0</v>
      </c>
      <c r="I144" s="172">
        <f>+SUMIF(B[Bene],Assegnazione[[#This Row],[Bene]],B[Valore normale])*Assegnazione[[#This Row],[Quota di assegnazione]]</f>
        <v>0</v>
      </c>
      <c r="J144" s="174">
        <f>+IF(Assegnazione[[#This Row],[Bene]]="",0,SUMIF(Assegnazione[Socio],Assegnazione[[#This Row],[Socio]],Assegnazione[Valore Normale])/$I$3)</f>
        <v>0</v>
      </c>
      <c r="K144" s="174" t="str">
        <f>IF(Assegnazione[[#This Row],[Bene]]="","",SUMIF(A_1[Nome],Assegnazione[[#This Row],[Socio]],A_1[Quota partecipazione al momento dell''operazione]))</f>
        <v/>
      </c>
      <c r="L144" s="172">
        <f>+SUMIF(B[Bene],Assegnazione[[#This Row],[Bene]],B[Valore catastale])*Assegnazione[[#This Row],[Quota di assegnazione]]</f>
        <v>0</v>
      </c>
      <c r="M144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4" s="172">
        <f>+MIN(Assegnazione[[#This Row],[Valore ai fini dell''atto]],Assegnazione[[#This Row],[Valore Fiscalmente riconosciuto]])</f>
        <v>0</v>
      </c>
      <c r="O144" s="146" t="str">
        <f>+IFERROR(VLOOKUP(Assegnazione[[#This Row],[Bene]],B[],MATCH($O$4,Beni!$A$4:$Z$4,0),0),"")</f>
        <v/>
      </c>
      <c r="P144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4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4" s="175">
        <f>+SUMIF(B[Bene],Assegnazione[[#This Row],[Bene]],B[Iva se dovuta])*Assegnazione[[#This Row],[Quota di assegnazione]]</f>
        <v>0</v>
      </c>
      <c r="S144" s="175">
        <f>+SUMIF(B[Bene],Assegnazione[[#This Row],[Bene]],B[Imposta di registro (fissa + prop) senza agevolazione])*Assegnazione[[#This Row],[Quota di assegnazione]]</f>
        <v>0</v>
      </c>
      <c r="T144" s="175">
        <f>+SUMIF(B[Bene],Assegnazione[[#This Row],[Bene]],B[Ipotecaria e catastale senza agevolazione])*Assegnazione[[#This Row],[Quota di assegnazione]]</f>
        <v>0</v>
      </c>
      <c r="U144" s="176">
        <f>+SUM(Assegnazione[[#This Row],[Tassazione diretta senza agevolazione]:[Ipotecaria e catastale senza agevolazione]])</f>
        <v>0</v>
      </c>
      <c r="V144" s="175">
        <f>+SUMIF(B[Bene],Assegnazione[[#This Row],[Bene]],B[Imponibile Imposta sostitutiva])*Assegnazione[[#This Row],[Quota di assegnazione]]*DATI!$E$27</f>
        <v>0</v>
      </c>
      <c r="W144" s="175">
        <f>+SUMIF(B[Bene],Assegnazione[[#This Row],[Bene]],B[Imposta di registro in misura fissa agevolata])*Assegnazione[[#This Row],[Quota di assegnazione]]</f>
        <v>0</v>
      </c>
      <c r="X144" s="175">
        <f>+SUMIF(B[Bene],Assegnazione[[#This Row],[Bene]],B[Imposta di registro prop. Agevolata])*Assegnazione[[#This Row],[Quota di assegnazione]]</f>
        <v>0</v>
      </c>
      <c r="Y144" s="175">
        <f>+IFERROR(Assegnazione[[#This Row],[Imposta di registro in misura fissa]]+Assegnazione[[#This Row],[Imposta di registro prop.]],"")</f>
        <v>0</v>
      </c>
      <c r="Z144" s="175">
        <f>+SUMIF(B[Bene],Assegnazione[[#This Row],[Bene]],B[Ipotecaria catastale agevolata])*Assegnazione[[#This Row],[Quota di assegnazione]]</f>
        <v>0</v>
      </c>
    </row>
    <row r="145" spans="1:26" x14ac:dyDescent="0.2">
      <c r="A145" s="123"/>
      <c r="B145" s="132"/>
      <c r="C145" s="123"/>
      <c r="D145" s="172">
        <f>+SUMIF(B[Bene],Assegnazione[[#This Row],[Bene]],B[Imponibile Iva])*Assegnazione[[#This Row],[Quota di assegnazione]]</f>
        <v>0</v>
      </c>
      <c r="E145" s="172">
        <f>+SUMIF(B[Bene],Assegnazione[[#This Row],[Bene]],B[Valore inserito manualmente])*Assegnazione[[#This Row],[Quota di assegnazione]]</f>
        <v>0</v>
      </c>
      <c r="F145" s="173" t="str">
        <f>+IF(A145="","",VLOOKUP(Assegnazione[[#This Row],[Bene]],B[],3,0))</f>
        <v/>
      </c>
      <c r="G145" s="129" t="str">
        <f>+IFERROR(VLOOKUP(Assegnazione[[#This Row],[Bene]],B[],MATCH("Agevolabile",Beni!$A$4:$AC$4,0),0)*VLOOKUP(Assegnazione[[#This Row],[Socio]],A_1[],8,0),"")</f>
        <v/>
      </c>
      <c r="H145" s="172">
        <f>+SUMIF(B[Bene],Assegnazione[[#This Row],[Bene]],B[Valore netto contabile fiscalmente riconosciuto])*Assegnazione[[#This Row],[Quota di assegnazione]]</f>
        <v>0</v>
      </c>
      <c r="I145" s="172">
        <f>+SUMIF(B[Bene],Assegnazione[[#This Row],[Bene]],B[Valore normale])*Assegnazione[[#This Row],[Quota di assegnazione]]</f>
        <v>0</v>
      </c>
      <c r="J145" s="174">
        <f>+IF(Assegnazione[[#This Row],[Bene]]="",0,SUMIF(Assegnazione[Socio],Assegnazione[[#This Row],[Socio]],Assegnazione[Valore Normale])/$I$3)</f>
        <v>0</v>
      </c>
      <c r="K145" s="174" t="str">
        <f>IF(Assegnazione[[#This Row],[Bene]]="","",SUMIF(A_1[Nome],Assegnazione[[#This Row],[Socio]],A_1[Quota partecipazione al momento dell''operazione]))</f>
        <v/>
      </c>
      <c r="L145" s="172">
        <f>+SUMIF(B[Bene],Assegnazione[[#This Row],[Bene]],B[Valore catastale])*Assegnazione[[#This Row],[Quota di assegnazione]]</f>
        <v>0</v>
      </c>
      <c r="M145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5" s="172">
        <f>+MIN(Assegnazione[[#This Row],[Valore ai fini dell''atto]],Assegnazione[[#This Row],[Valore Fiscalmente riconosciuto]])</f>
        <v>0</v>
      </c>
      <c r="O145" s="146" t="str">
        <f>+IFERROR(VLOOKUP(Assegnazione[[#This Row],[Bene]],B[],MATCH($O$4,Beni!$A$4:$Z$4,0),0),"")</f>
        <v/>
      </c>
      <c r="P145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5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5" s="175">
        <f>+SUMIF(B[Bene],Assegnazione[[#This Row],[Bene]],B[Iva se dovuta])*Assegnazione[[#This Row],[Quota di assegnazione]]</f>
        <v>0</v>
      </c>
      <c r="S145" s="175">
        <f>+SUMIF(B[Bene],Assegnazione[[#This Row],[Bene]],B[Imposta di registro (fissa + prop) senza agevolazione])*Assegnazione[[#This Row],[Quota di assegnazione]]</f>
        <v>0</v>
      </c>
      <c r="T145" s="175">
        <f>+SUMIF(B[Bene],Assegnazione[[#This Row],[Bene]],B[Ipotecaria e catastale senza agevolazione])*Assegnazione[[#This Row],[Quota di assegnazione]]</f>
        <v>0</v>
      </c>
      <c r="U145" s="176">
        <f>+SUM(Assegnazione[[#This Row],[Tassazione diretta senza agevolazione]:[Ipotecaria e catastale senza agevolazione]])</f>
        <v>0</v>
      </c>
      <c r="V145" s="175">
        <f>+SUMIF(B[Bene],Assegnazione[[#This Row],[Bene]],B[Imponibile Imposta sostitutiva])*Assegnazione[[#This Row],[Quota di assegnazione]]*DATI!$E$27</f>
        <v>0</v>
      </c>
      <c r="W145" s="175">
        <f>+SUMIF(B[Bene],Assegnazione[[#This Row],[Bene]],B[Imposta di registro in misura fissa agevolata])*Assegnazione[[#This Row],[Quota di assegnazione]]</f>
        <v>0</v>
      </c>
      <c r="X145" s="175">
        <f>+SUMIF(B[Bene],Assegnazione[[#This Row],[Bene]],B[Imposta di registro prop. Agevolata])*Assegnazione[[#This Row],[Quota di assegnazione]]</f>
        <v>0</v>
      </c>
      <c r="Y145" s="175">
        <f>+IFERROR(Assegnazione[[#This Row],[Imposta di registro in misura fissa]]+Assegnazione[[#This Row],[Imposta di registro prop.]],"")</f>
        <v>0</v>
      </c>
      <c r="Z145" s="175">
        <f>+SUMIF(B[Bene],Assegnazione[[#This Row],[Bene]],B[Ipotecaria catastale agevolata])*Assegnazione[[#This Row],[Quota di assegnazione]]</f>
        <v>0</v>
      </c>
    </row>
    <row r="146" spans="1:26" x14ac:dyDescent="0.2">
      <c r="A146" s="123"/>
      <c r="B146" s="132"/>
      <c r="C146" s="123"/>
      <c r="D146" s="172">
        <f>+SUMIF(B[Bene],Assegnazione[[#This Row],[Bene]],B[Imponibile Iva])*Assegnazione[[#This Row],[Quota di assegnazione]]</f>
        <v>0</v>
      </c>
      <c r="E146" s="172">
        <f>+SUMIF(B[Bene],Assegnazione[[#This Row],[Bene]],B[Valore inserito manualmente])*Assegnazione[[#This Row],[Quota di assegnazione]]</f>
        <v>0</v>
      </c>
      <c r="F146" s="173" t="str">
        <f>+IF(A146="","",VLOOKUP(Assegnazione[[#This Row],[Bene]],B[],3,0))</f>
        <v/>
      </c>
      <c r="G146" s="129" t="str">
        <f>+IFERROR(VLOOKUP(Assegnazione[[#This Row],[Bene]],B[],MATCH("Agevolabile",Beni!$A$4:$AC$4,0),0)*VLOOKUP(Assegnazione[[#This Row],[Socio]],A_1[],8,0),"")</f>
        <v/>
      </c>
      <c r="H146" s="172">
        <f>+SUMIF(B[Bene],Assegnazione[[#This Row],[Bene]],B[Valore netto contabile fiscalmente riconosciuto])*Assegnazione[[#This Row],[Quota di assegnazione]]</f>
        <v>0</v>
      </c>
      <c r="I146" s="172">
        <f>+SUMIF(B[Bene],Assegnazione[[#This Row],[Bene]],B[Valore normale])*Assegnazione[[#This Row],[Quota di assegnazione]]</f>
        <v>0</v>
      </c>
      <c r="J146" s="174">
        <f>+IF(Assegnazione[[#This Row],[Bene]]="",0,SUMIF(Assegnazione[Socio],Assegnazione[[#This Row],[Socio]],Assegnazione[Valore Normale])/$I$3)</f>
        <v>0</v>
      </c>
      <c r="K146" s="174" t="str">
        <f>IF(Assegnazione[[#This Row],[Bene]]="","",SUMIF(A_1[Nome],Assegnazione[[#This Row],[Socio]],A_1[Quota partecipazione al momento dell''operazione]))</f>
        <v/>
      </c>
      <c r="L146" s="172">
        <f>+SUMIF(B[Bene],Assegnazione[[#This Row],[Bene]],B[Valore catastale])*Assegnazione[[#This Row],[Quota di assegnazione]]</f>
        <v>0</v>
      </c>
      <c r="M146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6" s="172">
        <f>+MIN(Assegnazione[[#This Row],[Valore ai fini dell''atto]],Assegnazione[[#This Row],[Valore Fiscalmente riconosciuto]])</f>
        <v>0</v>
      </c>
      <c r="O146" s="146" t="str">
        <f>+IFERROR(VLOOKUP(Assegnazione[[#This Row],[Bene]],B[],MATCH($O$4,Beni!$A$4:$Z$4,0),0),"")</f>
        <v/>
      </c>
      <c r="P146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6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6" s="175">
        <f>+SUMIF(B[Bene],Assegnazione[[#This Row],[Bene]],B[Iva se dovuta])*Assegnazione[[#This Row],[Quota di assegnazione]]</f>
        <v>0</v>
      </c>
      <c r="S146" s="175">
        <f>+SUMIF(B[Bene],Assegnazione[[#This Row],[Bene]],B[Imposta di registro (fissa + prop) senza agevolazione])*Assegnazione[[#This Row],[Quota di assegnazione]]</f>
        <v>0</v>
      </c>
      <c r="T146" s="175">
        <f>+SUMIF(B[Bene],Assegnazione[[#This Row],[Bene]],B[Ipotecaria e catastale senza agevolazione])*Assegnazione[[#This Row],[Quota di assegnazione]]</f>
        <v>0</v>
      </c>
      <c r="U146" s="176">
        <f>+SUM(Assegnazione[[#This Row],[Tassazione diretta senza agevolazione]:[Ipotecaria e catastale senza agevolazione]])</f>
        <v>0</v>
      </c>
      <c r="V146" s="175">
        <f>+SUMIF(B[Bene],Assegnazione[[#This Row],[Bene]],B[Imponibile Imposta sostitutiva])*Assegnazione[[#This Row],[Quota di assegnazione]]*DATI!$E$27</f>
        <v>0</v>
      </c>
      <c r="W146" s="175">
        <f>+SUMIF(B[Bene],Assegnazione[[#This Row],[Bene]],B[Imposta di registro in misura fissa agevolata])*Assegnazione[[#This Row],[Quota di assegnazione]]</f>
        <v>0</v>
      </c>
      <c r="X146" s="175">
        <f>+SUMIF(B[Bene],Assegnazione[[#This Row],[Bene]],B[Imposta di registro prop. Agevolata])*Assegnazione[[#This Row],[Quota di assegnazione]]</f>
        <v>0</v>
      </c>
      <c r="Y146" s="175">
        <f>+IFERROR(Assegnazione[[#This Row],[Imposta di registro in misura fissa]]+Assegnazione[[#This Row],[Imposta di registro prop.]],"")</f>
        <v>0</v>
      </c>
      <c r="Z146" s="175">
        <f>+SUMIF(B[Bene],Assegnazione[[#This Row],[Bene]],B[Ipotecaria catastale agevolata])*Assegnazione[[#This Row],[Quota di assegnazione]]</f>
        <v>0</v>
      </c>
    </row>
    <row r="147" spans="1:26" x14ac:dyDescent="0.2">
      <c r="A147" s="123"/>
      <c r="B147" s="132"/>
      <c r="C147" s="123"/>
      <c r="D147" s="172">
        <f>+SUMIF(B[Bene],Assegnazione[[#This Row],[Bene]],B[Imponibile Iva])*Assegnazione[[#This Row],[Quota di assegnazione]]</f>
        <v>0</v>
      </c>
      <c r="E147" s="172">
        <f>+SUMIF(B[Bene],Assegnazione[[#This Row],[Bene]],B[Valore inserito manualmente])*Assegnazione[[#This Row],[Quota di assegnazione]]</f>
        <v>0</v>
      </c>
      <c r="F147" s="173" t="str">
        <f>+IF(A147="","",VLOOKUP(Assegnazione[[#This Row],[Bene]],B[],3,0))</f>
        <v/>
      </c>
      <c r="G147" s="129" t="str">
        <f>+IFERROR(VLOOKUP(Assegnazione[[#This Row],[Bene]],B[],MATCH("Agevolabile",Beni!$A$4:$AC$4,0),0)*VLOOKUP(Assegnazione[[#This Row],[Socio]],A_1[],8,0),"")</f>
        <v/>
      </c>
      <c r="H147" s="172">
        <f>+SUMIF(B[Bene],Assegnazione[[#This Row],[Bene]],B[Valore netto contabile fiscalmente riconosciuto])*Assegnazione[[#This Row],[Quota di assegnazione]]</f>
        <v>0</v>
      </c>
      <c r="I147" s="172">
        <f>+SUMIF(B[Bene],Assegnazione[[#This Row],[Bene]],B[Valore normale])*Assegnazione[[#This Row],[Quota di assegnazione]]</f>
        <v>0</v>
      </c>
      <c r="J147" s="174">
        <f>+IF(Assegnazione[[#This Row],[Bene]]="",0,SUMIF(Assegnazione[Socio],Assegnazione[[#This Row],[Socio]],Assegnazione[Valore Normale])/$I$3)</f>
        <v>0</v>
      </c>
      <c r="K147" s="174" t="str">
        <f>IF(Assegnazione[[#This Row],[Bene]]="","",SUMIF(A_1[Nome],Assegnazione[[#This Row],[Socio]],A_1[Quota partecipazione al momento dell''operazione]))</f>
        <v/>
      </c>
      <c r="L147" s="172">
        <f>+SUMIF(B[Bene],Assegnazione[[#This Row],[Bene]],B[Valore catastale])*Assegnazione[[#This Row],[Quota di assegnazione]]</f>
        <v>0</v>
      </c>
      <c r="M147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7" s="172">
        <f>+MIN(Assegnazione[[#This Row],[Valore ai fini dell''atto]],Assegnazione[[#This Row],[Valore Fiscalmente riconosciuto]])</f>
        <v>0</v>
      </c>
      <c r="O147" s="146" t="str">
        <f>+IFERROR(VLOOKUP(Assegnazione[[#This Row],[Bene]],B[],MATCH($O$4,Beni!$A$4:$Z$4,0),0),"")</f>
        <v/>
      </c>
      <c r="P147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7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7" s="175">
        <f>+SUMIF(B[Bene],Assegnazione[[#This Row],[Bene]],B[Iva se dovuta])*Assegnazione[[#This Row],[Quota di assegnazione]]</f>
        <v>0</v>
      </c>
      <c r="S147" s="175">
        <f>+SUMIF(B[Bene],Assegnazione[[#This Row],[Bene]],B[Imposta di registro (fissa + prop) senza agevolazione])*Assegnazione[[#This Row],[Quota di assegnazione]]</f>
        <v>0</v>
      </c>
      <c r="T147" s="175">
        <f>+SUMIF(B[Bene],Assegnazione[[#This Row],[Bene]],B[Ipotecaria e catastale senza agevolazione])*Assegnazione[[#This Row],[Quota di assegnazione]]</f>
        <v>0</v>
      </c>
      <c r="U147" s="176">
        <f>+SUM(Assegnazione[[#This Row],[Tassazione diretta senza agevolazione]:[Ipotecaria e catastale senza agevolazione]])</f>
        <v>0</v>
      </c>
      <c r="V147" s="175">
        <f>+SUMIF(B[Bene],Assegnazione[[#This Row],[Bene]],B[Imponibile Imposta sostitutiva])*Assegnazione[[#This Row],[Quota di assegnazione]]*DATI!$E$27</f>
        <v>0</v>
      </c>
      <c r="W147" s="175">
        <f>+SUMIF(B[Bene],Assegnazione[[#This Row],[Bene]],B[Imposta di registro in misura fissa agevolata])*Assegnazione[[#This Row],[Quota di assegnazione]]</f>
        <v>0</v>
      </c>
      <c r="X147" s="175">
        <f>+SUMIF(B[Bene],Assegnazione[[#This Row],[Bene]],B[Imposta di registro prop. Agevolata])*Assegnazione[[#This Row],[Quota di assegnazione]]</f>
        <v>0</v>
      </c>
      <c r="Y147" s="175">
        <f>+IFERROR(Assegnazione[[#This Row],[Imposta di registro in misura fissa]]+Assegnazione[[#This Row],[Imposta di registro prop.]],"")</f>
        <v>0</v>
      </c>
      <c r="Z147" s="175">
        <f>+SUMIF(B[Bene],Assegnazione[[#This Row],[Bene]],B[Ipotecaria catastale agevolata])*Assegnazione[[#This Row],[Quota di assegnazione]]</f>
        <v>0</v>
      </c>
    </row>
    <row r="148" spans="1:26" x14ac:dyDescent="0.2">
      <c r="A148" s="123"/>
      <c r="B148" s="132"/>
      <c r="C148" s="123"/>
      <c r="D148" s="172">
        <f>+SUMIF(B[Bene],Assegnazione[[#This Row],[Bene]],B[Imponibile Iva])*Assegnazione[[#This Row],[Quota di assegnazione]]</f>
        <v>0</v>
      </c>
      <c r="E148" s="172">
        <f>+SUMIF(B[Bene],Assegnazione[[#This Row],[Bene]],B[Valore inserito manualmente])*Assegnazione[[#This Row],[Quota di assegnazione]]</f>
        <v>0</v>
      </c>
      <c r="F148" s="173" t="str">
        <f>+IF(A148="","",VLOOKUP(Assegnazione[[#This Row],[Bene]],B[],3,0))</f>
        <v/>
      </c>
      <c r="G148" s="129" t="str">
        <f>+IFERROR(VLOOKUP(Assegnazione[[#This Row],[Bene]],B[],MATCH("Agevolabile",Beni!$A$4:$AC$4,0),0)*VLOOKUP(Assegnazione[[#This Row],[Socio]],A_1[],8,0),"")</f>
        <v/>
      </c>
      <c r="H148" s="172">
        <f>+SUMIF(B[Bene],Assegnazione[[#This Row],[Bene]],B[Valore netto contabile fiscalmente riconosciuto])*Assegnazione[[#This Row],[Quota di assegnazione]]</f>
        <v>0</v>
      </c>
      <c r="I148" s="172">
        <f>+SUMIF(B[Bene],Assegnazione[[#This Row],[Bene]],B[Valore normale])*Assegnazione[[#This Row],[Quota di assegnazione]]</f>
        <v>0</v>
      </c>
      <c r="J148" s="174">
        <f>+IF(Assegnazione[[#This Row],[Bene]]="",0,SUMIF(Assegnazione[Socio],Assegnazione[[#This Row],[Socio]],Assegnazione[Valore Normale])/$I$3)</f>
        <v>0</v>
      </c>
      <c r="K148" s="174" t="str">
        <f>IF(Assegnazione[[#This Row],[Bene]]="","",SUMIF(A_1[Nome],Assegnazione[[#This Row],[Socio]],A_1[Quota partecipazione al momento dell''operazione]))</f>
        <v/>
      </c>
      <c r="L148" s="172">
        <f>+SUMIF(B[Bene],Assegnazione[[#This Row],[Bene]],B[Valore catastale])*Assegnazione[[#This Row],[Quota di assegnazione]]</f>
        <v>0</v>
      </c>
      <c r="M148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8" s="172">
        <f>+MIN(Assegnazione[[#This Row],[Valore ai fini dell''atto]],Assegnazione[[#This Row],[Valore Fiscalmente riconosciuto]])</f>
        <v>0</v>
      </c>
      <c r="O148" s="146" t="str">
        <f>+IFERROR(VLOOKUP(Assegnazione[[#This Row],[Bene]],B[],MATCH($O$4,Beni!$A$4:$Z$4,0),0),"")</f>
        <v/>
      </c>
      <c r="P148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8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8" s="175">
        <f>+SUMIF(B[Bene],Assegnazione[[#This Row],[Bene]],B[Iva se dovuta])*Assegnazione[[#This Row],[Quota di assegnazione]]</f>
        <v>0</v>
      </c>
      <c r="S148" s="175">
        <f>+SUMIF(B[Bene],Assegnazione[[#This Row],[Bene]],B[Imposta di registro (fissa + prop) senza agevolazione])*Assegnazione[[#This Row],[Quota di assegnazione]]</f>
        <v>0</v>
      </c>
      <c r="T148" s="175">
        <f>+SUMIF(B[Bene],Assegnazione[[#This Row],[Bene]],B[Ipotecaria e catastale senza agevolazione])*Assegnazione[[#This Row],[Quota di assegnazione]]</f>
        <v>0</v>
      </c>
      <c r="U148" s="176">
        <f>+SUM(Assegnazione[[#This Row],[Tassazione diretta senza agevolazione]:[Ipotecaria e catastale senza agevolazione]])</f>
        <v>0</v>
      </c>
      <c r="V148" s="175">
        <f>+SUMIF(B[Bene],Assegnazione[[#This Row],[Bene]],B[Imponibile Imposta sostitutiva])*Assegnazione[[#This Row],[Quota di assegnazione]]*DATI!$E$27</f>
        <v>0</v>
      </c>
      <c r="W148" s="175">
        <f>+SUMIF(B[Bene],Assegnazione[[#This Row],[Bene]],B[Imposta di registro in misura fissa agevolata])*Assegnazione[[#This Row],[Quota di assegnazione]]</f>
        <v>0</v>
      </c>
      <c r="X148" s="175">
        <f>+SUMIF(B[Bene],Assegnazione[[#This Row],[Bene]],B[Imposta di registro prop. Agevolata])*Assegnazione[[#This Row],[Quota di assegnazione]]</f>
        <v>0</v>
      </c>
      <c r="Y148" s="175">
        <f>+IFERROR(Assegnazione[[#This Row],[Imposta di registro in misura fissa]]+Assegnazione[[#This Row],[Imposta di registro prop.]],"")</f>
        <v>0</v>
      </c>
      <c r="Z148" s="175">
        <f>+SUMIF(B[Bene],Assegnazione[[#This Row],[Bene]],B[Ipotecaria catastale agevolata])*Assegnazione[[#This Row],[Quota di assegnazione]]</f>
        <v>0</v>
      </c>
    </row>
    <row r="149" spans="1:26" x14ac:dyDescent="0.2">
      <c r="A149" s="123"/>
      <c r="B149" s="132"/>
      <c r="C149" s="123"/>
      <c r="D149" s="172">
        <f>+SUMIF(B[Bene],Assegnazione[[#This Row],[Bene]],B[Imponibile Iva])*Assegnazione[[#This Row],[Quota di assegnazione]]</f>
        <v>0</v>
      </c>
      <c r="E149" s="172">
        <f>+SUMIF(B[Bene],Assegnazione[[#This Row],[Bene]],B[Valore inserito manualmente])*Assegnazione[[#This Row],[Quota di assegnazione]]</f>
        <v>0</v>
      </c>
      <c r="F149" s="173" t="str">
        <f>+IF(A149="","",VLOOKUP(Assegnazione[[#This Row],[Bene]],B[],3,0))</f>
        <v/>
      </c>
      <c r="G149" s="129" t="str">
        <f>+IFERROR(VLOOKUP(Assegnazione[[#This Row],[Bene]],B[],MATCH("Agevolabile",Beni!$A$4:$AC$4,0),0)*VLOOKUP(Assegnazione[[#This Row],[Socio]],A_1[],8,0),"")</f>
        <v/>
      </c>
      <c r="H149" s="172">
        <f>+SUMIF(B[Bene],Assegnazione[[#This Row],[Bene]],B[Valore netto contabile fiscalmente riconosciuto])*Assegnazione[[#This Row],[Quota di assegnazione]]</f>
        <v>0</v>
      </c>
      <c r="I149" s="172">
        <f>+SUMIF(B[Bene],Assegnazione[[#This Row],[Bene]],B[Valore normale])*Assegnazione[[#This Row],[Quota di assegnazione]]</f>
        <v>0</v>
      </c>
      <c r="J149" s="174">
        <f>+IF(Assegnazione[[#This Row],[Bene]]="",0,SUMIF(Assegnazione[Socio],Assegnazione[[#This Row],[Socio]],Assegnazione[Valore Normale])/$I$3)</f>
        <v>0</v>
      </c>
      <c r="K149" s="174" t="str">
        <f>IF(Assegnazione[[#This Row],[Bene]]="","",SUMIF(A_1[Nome],Assegnazione[[#This Row],[Socio]],A_1[Quota partecipazione al momento dell''operazione]))</f>
        <v/>
      </c>
      <c r="L149" s="172">
        <f>+SUMIF(B[Bene],Assegnazione[[#This Row],[Bene]],B[Valore catastale])*Assegnazione[[#This Row],[Quota di assegnazione]]</f>
        <v>0</v>
      </c>
      <c r="M149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9" s="172">
        <f>+MIN(Assegnazione[[#This Row],[Valore ai fini dell''atto]],Assegnazione[[#This Row],[Valore Fiscalmente riconosciuto]])</f>
        <v>0</v>
      </c>
      <c r="O149" s="146" t="str">
        <f>+IFERROR(VLOOKUP(Assegnazione[[#This Row],[Bene]],B[],MATCH($O$4,Beni!$A$4:$Z$4,0),0),"")</f>
        <v/>
      </c>
      <c r="P149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9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9" s="175">
        <f>+SUMIF(B[Bene],Assegnazione[[#This Row],[Bene]],B[Iva se dovuta])*Assegnazione[[#This Row],[Quota di assegnazione]]</f>
        <v>0</v>
      </c>
      <c r="S149" s="175">
        <f>+SUMIF(B[Bene],Assegnazione[[#This Row],[Bene]],B[Imposta di registro (fissa + prop) senza agevolazione])*Assegnazione[[#This Row],[Quota di assegnazione]]</f>
        <v>0</v>
      </c>
      <c r="T149" s="175">
        <f>+SUMIF(B[Bene],Assegnazione[[#This Row],[Bene]],B[Ipotecaria e catastale senza agevolazione])*Assegnazione[[#This Row],[Quota di assegnazione]]</f>
        <v>0</v>
      </c>
      <c r="U149" s="176">
        <f>+SUM(Assegnazione[[#This Row],[Tassazione diretta senza agevolazione]:[Ipotecaria e catastale senza agevolazione]])</f>
        <v>0</v>
      </c>
      <c r="V149" s="175">
        <f>+SUMIF(B[Bene],Assegnazione[[#This Row],[Bene]],B[Imponibile Imposta sostitutiva])*Assegnazione[[#This Row],[Quota di assegnazione]]*DATI!$E$27</f>
        <v>0</v>
      </c>
      <c r="W149" s="175">
        <f>+SUMIF(B[Bene],Assegnazione[[#This Row],[Bene]],B[Imposta di registro in misura fissa agevolata])*Assegnazione[[#This Row],[Quota di assegnazione]]</f>
        <v>0</v>
      </c>
      <c r="X149" s="175">
        <f>+SUMIF(B[Bene],Assegnazione[[#This Row],[Bene]],B[Imposta di registro prop. Agevolata])*Assegnazione[[#This Row],[Quota di assegnazione]]</f>
        <v>0</v>
      </c>
      <c r="Y149" s="175">
        <f>+IFERROR(Assegnazione[[#This Row],[Imposta di registro in misura fissa]]+Assegnazione[[#This Row],[Imposta di registro prop.]],"")</f>
        <v>0</v>
      </c>
      <c r="Z149" s="175">
        <f>+SUMIF(B[Bene],Assegnazione[[#This Row],[Bene]],B[Ipotecaria catastale agevolata])*Assegnazione[[#This Row],[Quota di assegnazione]]</f>
        <v>0</v>
      </c>
    </row>
    <row r="150" spans="1:26" x14ac:dyDescent="0.2">
      <c r="A150" s="123"/>
      <c r="B150" s="132"/>
      <c r="C150" s="123"/>
      <c r="D150" s="172">
        <f>+SUMIF(B[Bene],Assegnazione[[#This Row],[Bene]],B[Imponibile Iva])*Assegnazione[[#This Row],[Quota di assegnazione]]</f>
        <v>0</v>
      </c>
      <c r="E150" s="172">
        <f>+SUMIF(B[Bene],Assegnazione[[#This Row],[Bene]],B[Valore inserito manualmente])*Assegnazione[[#This Row],[Quota di assegnazione]]</f>
        <v>0</v>
      </c>
      <c r="F150" s="173" t="str">
        <f>+IF(A150="","",VLOOKUP(Assegnazione[[#This Row],[Bene]],B[],3,0))</f>
        <v/>
      </c>
      <c r="G150" s="129" t="str">
        <f>+IFERROR(VLOOKUP(Assegnazione[[#This Row],[Bene]],B[],MATCH("Agevolabile",Beni!$A$4:$AC$4,0),0)*VLOOKUP(Assegnazione[[#This Row],[Socio]],A_1[],8,0),"")</f>
        <v/>
      </c>
      <c r="H150" s="172">
        <f>+SUMIF(B[Bene],Assegnazione[[#This Row],[Bene]],B[Valore netto contabile fiscalmente riconosciuto])*Assegnazione[[#This Row],[Quota di assegnazione]]</f>
        <v>0</v>
      </c>
      <c r="I150" s="172">
        <f>+SUMIF(B[Bene],Assegnazione[[#This Row],[Bene]],B[Valore normale])*Assegnazione[[#This Row],[Quota di assegnazione]]</f>
        <v>0</v>
      </c>
      <c r="J150" s="174">
        <f>+IF(Assegnazione[[#This Row],[Bene]]="",0,SUMIF(Assegnazione[Socio],Assegnazione[[#This Row],[Socio]],Assegnazione[Valore Normale])/$I$3)</f>
        <v>0</v>
      </c>
      <c r="K150" s="174" t="str">
        <f>IF(Assegnazione[[#This Row],[Bene]]="","",SUMIF(A_1[Nome],Assegnazione[[#This Row],[Socio]],A_1[Quota partecipazione al momento dell''operazione]))</f>
        <v/>
      </c>
      <c r="L150" s="172">
        <f>+SUMIF(B[Bene],Assegnazione[[#This Row],[Bene]],B[Valore catastale])*Assegnazione[[#This Row],[Quota di assegnazione]]</f>
        <v>0</v>
      </c>
      <c r="M150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0" s="172">
        <f>+MIN(Assegnazione[[#This Row],[Valore ai fini dell''atto]],Assegnazione[[#This Row],[Valore Fiscalmente riconosciuto]])</f>
        <v>0</v>
      </c>
      <c r="O150" s="146" t="str">
        <f>+IFERROR(VLOOKUP(Assegnazione[[#This Row],[Bene]],B[],MATCH($O$4,Beni!$A$4:$Z$4,0),0),"")</f>
        <v/>
      </c>
      <c r="P150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0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0" s="175">
        <f>+SUMIF(B[Bene],Assegnazione[[#This Row],[Bene]],B[Iva se dovuta])*Assegnazione[[#This Row],[Quota di assegnazione]]</f>
        <v>0</v>
      </c>
      <c r="S150" s="175">
        <f>+SUMIF(B[Bene],Assegnazione[[#This Row],[Bene]],B[Imposta di registro (fissa + prop) senza agevolazione])*Assegnazione[[#This Row],[Quota di assegnazione]]</f>
        <v>0</v>
      </c>
      <c r="T150" s="175">
        <f>+SUMIF(B[Bene],Assegnazione[[#This Row],[Bene]],B[Ipotecaria e catastale senza agevolazione])*Assegnazione[[#This Row],[Quota di assegnazione]]</f>
        <v>0</v>
      </c>
      <c r="U150" s="176">
        <f>+SUM(Assegnazione[[#This Row],[Tassazione diretta senza agevolazione]:[Ipotecaria e catastale senza agevolazione]])</f>
        <v>0</v>
      </c>
      <c r="V150" s="175">
        <f>+SUMIF(B[Bene],Assegnazione[[#This Row],[Bene]],B[Imponibile Imposta sostitutiva])*Assegnazione[[#This Row],[Quota di assegnazione]]*DATI!$E$27</f>
        <v>0</v>
      </c>
      <c r="W150" s="175">
        <f>+SUMIF(B[Bene],Assegnazione[[#This Row],[Bene]],B[Imposta di registro in misura fissa agevolata])*Assegnazione[[#This Row],[Quota di assegnazione]]</f>
        <v>0</v>
      </c>
      <c r="X150" s="175">
        <f>+SUMIF(B[Bene],Assegnazione[[#This Row],[Bene]],B[Imposta di registro prop. Agevolata])*Assegnazione[[#This Row],[Quota di assegnazione]]</f>
        <v>0</v>
      </c>
      <c r="Y150" s="175">
        <f>+IFERROR(Assegnazione[[#This Row],[Imposta di registro in misura fissa]]+Assegnazione[[#This Row],[Imposta di registro prop.]],"")</f>
        <v>0</v>
      </c>
      <c r="Z150" s="175">
        <f>+SUMIF(B[Bene],Assegnazione[[#This Row],[Bene]],B[Ipotecaria catastale agevolata])*Assegnazione[[#This Row],[Quota di assegnazione]]</f>
        <v>0</v>
      </c>
    </row>
    <row r="151" spans="1:26" x14ac:dyDescent="0.2">
      <c r="A151" s="123"/>
      <c r="B151" s="132"/>
      <c r="C151" s="123"/>
      <c r="D151" s="172">
        <f>+SUMIF(B[Bene],Assegnazione[[#This Row],[Bene]],B[Imponibile Iva])*Assegnazione[[#This Row],[Quota di assegnazione]]</f>
        <v>0</v>
      </c>
      <c r="E151" s="172">
        <f>+SUMIF(B[Bene],Assegnazione[[#This Row],[Bene]],B[Valore inserito manualmente])*Assegnazione[[#This Row],[Quota di assegnazione]]</f>
        <v>0</v>
      </c>
      <c r="F151" s="173" t="str">
        <f>+IF(A151="","",VLOOKUP(Assegnazione[[#This Row],[Bene]],B[],3,0))</f>
        <v/>
      </c>
      <c r="G151" s="129" t="str">
        <f>+IFERROR(VLOOKUP(Assegnazione[[#This Row],[Bene]],B[],MATCH("Agevolabile",Beni!$A$4:$AC$4,0),0)*VLOOKUP(Assegnazione[[#This Row],[Socio]],A_1[],8,0),"")</f>
        <v/>
      </c>
      <c r="H151" s="172">
        <f>+SUMIF(B[Bene],Assegnazione[[#This Row],[Bene]],B[Valore netto contabile fiscalmente riconosciuto])*Assegnazione[[#This Row],[Quota di assegnazione]]</f>
        <v>0</v>
      </c>
      <c r="I151" s="172">
        <f>+SUMIF(B[Bene],Assegnazione[[#This Row],[Bene]],B[Valore normale])*Assegnazione[[#This Row],[Quota di assegnazione]]</f>
        <v>0</v>
      </c>
      <c r="J151" s="174">
        <f>+IF(Assegnazione[[#This Row],[Bene]]="",0,SUMIF(Assegnazione[Socio],Assegnazione[[#This Row],[Socio]],Assegnazione[Valore Normale])/$I$3)</f>
        <v>0</v>
      </c>
      <c r="K151" s="174" t="str">
        <f>IF(Assegnazione[[#This Row],[Bene]]="","",SUMIF(A_1[Nome],Assegnazione[[#This Row],[Socio]],A_1[Quota partecipazione al momento dell''operazione]))</f>
        <v/>
      </c>
      <c r="L151" s="172">
        <f>+SUMIF(B[Bene],Assegnazione[[#This Row],[Bene]],B[Valore catastale])*Assegnazione[[#This Row],[Quota di assegnazione]]</f>
        <v>0</v>
      </c>
      <c r="M151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1" s="172">
        <f>+MIN(Assegnazione[[#This Row],[Valore ai fini dell''atto]],Assegnazione[[#This Row],[Valore Fiscalmente riconosciuto]])</f>
        <v>0</v>
      </c>
      <c r="O151" s="146" t="str">
        <f>+IFERROR(VLOOKUP(Assegnazione[[#This Row],[Bene]],B[],MATCH($O$4,Beni!$A$4:$Z$4,0),0),"")</f>
        <v/>
      </c>
      <c r="P151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1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1" s="175">
        <f>+SUMIF(B[Bene],Assegnazione[[#This Row],[Bene]],B[Iva se dovuta])*Assegnazione[[#This Row],[Quota di assegnazione]]</f>
        <v>0</v>
      </c>
      <c r="S151" s="175">
        <f>+SUMIF(B[Bene],Assegnazione[[#This Row],[Bene]],B[Imposta di registro (fissa + prop) senza agevolazione])*Assegnazione[[#This Row],[Quota di assegnazione]]</f>
        <v>0</v>
      </c>
      <c r="T151" s="175">
        <f>+SUMIF(B[Bene],Assegnazione[[#This Row],[Bene]],B[Ipotecaria e catastale senza agevolazione])*Assegnazione[[#This Row],[Quota di assegnazione]]</f>
        <v>0</v>
      </c>
      <c r="U151" s="176">
        <f>+SUM(Assegnazione[[#This Row],[Tassazione diretta senza agevolazione]:[Ipotecaria e catastale senza agevolazione]])</f>
        <v>0</v>
      </c>
      <c r="V151" s="175">
        <f>+SUMIF(B[Bene],Assegnazione[[#This Row],[Bene]],B[Imponibile Imposta sostitutiva])*Assegnazione[[#This Row],[Quota di assegnazione]]*DATI!$E$27</f>
        <v>0</v>
      </c>
      <c r="W151" s="175">
        <f>+SUMIF(B[Bene],Assegnazione[[#This Row],[Bene]],B[Imposta di registro in misura fissa agevolata])*Assegnazione[[#This Row],[Quota di assegnazione]]</f>
        <v>0</v>
      </c>
      <c r="X151" s="175">
        <f>+SUMIF(B[Bene],Assegnazione[[#This Row],[Bene]],B[Imposta di registro prop. Agevolata])*Assegnazione[[#This Row],[Quota di assegnazione]]</f>
        <v>0</v>
      </c>
      <c r="Y151" s="175">
        <f>+IFERROR(Assegnazione[[#This Row],[Imposta di registro in misura fissa]]+Assegnazione[[#This Row],[Imposta di registro prop.]],"")</f>
        <v>0</v>
      </c>
      <c r="Z151" s="175">
        <f>+SUMIF(B[Bene],Assegnazione[[#This Row],[Bene]],B[Ipotecaria catastale agevolata])*Assegnazione[[#This Row],[Quota di assegnazione]]</f>
        <v>0</v>
      </c>
    </row>
    <row r="152" spans="1:26" x14ac:dyDescent="0.2">
      <c r="A152" s="123"/>
      <c r="B152" s="132"/>
      <c r="C152" s="123"/>
      <c r="D152" s="172">
        <f>+SUMIF(B[Bene],Assegnazione[[#This Row],[Bene]],B[Imponibile Iva])*Assegnazione[[#This Row],[Quota di assegnazione]]</f>
        <v>0</v>
      </c>
      <c r="E152" s="172">
        <f>+SUMIF(B[Bene],Assegnazione[[#This Row],[Bene]],B[Valore inserito manualmente])*Assegnazione[[#This Row],[Quota di assegnazione]]</f>
        <v>0</v>
      </c>
      <c r="F152" s="173" t="str">
        <f>+IF(A152="","",VLOOKUP(Assegnazione[[#This Row],[Bene]],B[],3,0))</f>
        <v/>
      </c>
      <c r="G152" s="129" t="str">
        <f>+IFERROR(VLOOKUP(Assegnazione[[#This Row],[Bene]],B[],MATCH("Agevolabile",Beni!$A$4:$AC$4,0),0)*VLOOKUP(Assegnazione[[#This Row],[Socio]],A_1[],8,0),"")</f>
        <v/>
      </c>
      <c r="H152" s="172">
        <f>+SUMIF(B[Bene],Assegnazione[[#This Row],[Bene]],B[Valore netto contabile fiscalmente riconosciuto])*Assegnazione[[#This Row],[Quota di assegnazione]]</f>
        <v>0</v>
      </c>
      <c r="I152" s="172">
        <f>+SUMIF(B[Bene],Assegnazione[[#This Row],[Bene]],B[Valore normale])*Assegnazione[[#This Row],[Quota di assegnazione]]</f>
        <v>0</v>
      </c>
      <c r="J152" s="174">
        <f>+IF(Assegnazione[[#This Row],[Bene]]="",0,SUMIF(Assegnazione[Socio],Assegnazione[[#This Row],[Socio]],Assegnazione[Valore Normale])/$I$3)</f>
        <v>0</v>
      </c>
      <c r="K152" s="174" t="str">
        <f>IF(Assegnazione[[#This Row],[Bene]]="","",SUMIF(A_1[Nome],Assegnazione[[#This Row],[Socio]],A_1[Quota partecipazione al momento dell''operazione]))</f>
        <v/>
      </c>
      <c r="L152" s="172">
        <f>+SUMIF(B[Bene],Assegnazione[[#This Row],[Bene]],B[Valore catastale])*Assegnazione[[#This Row],[Quota di assegnazione]]</f>
        <v>0</v>
      </c>
      <c r="M152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2" s="172">
        <f>+MIN(Assegnazione[[#This Row],[Valore ai fini dell''atto]],Assegnazione[[#This Row],[Valore Fiscalmente riconosciuto]])</f>
        <v>0</v>
      </c>
      <c r="O152" s="146" t="str">
        <f>+IFERROR(VLOOKUP(Assegnazione[[#This Row],[Bene]],B[],MATCH($O$4,Beni!$A$4:$Z$4,0),0),"")</f>
        <v/>
      </c>
      <c r="P152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2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2" s="175">
        <f>+SUMIF(B[Bene],Assegnazione[[#This Row],[Bene]],B[Iva se dovuta])*Assegnazione[[#This Row],[Quota di assegnazione]]</f>
        <v>0</v>
      </c>
      <c r="S152" s="175">
        <f>+SUMIF(B[Bene],Assegnazione[[#This Row],[Bene]],B[Imposta di registro (fissa + prop) senza agevolazione])*Assegnazione[[#This Row],[Quota di assegnazione]]</f>
        <v>0</v>
      </c>
      <c r="T152" s="175">
        <f>+SUMIF(B[Bene],Assegnazione[[#This Row],[Bene]],B[Ipotecaria e catastale senza agevolazione])*Assegnazione[[#This Row],[Quota di assegnazione]]</f>
        <v>0</v>
      </c>
      <c r="U152" s="176">
        <f>+SUM(Assegnazione[[#This Row],[Tassazione diretta senza agevolazione]:[Ipotecaria e catastale senza agevolazione]])</f>
        <v>0</v>
      </c>
      <c r="V152" s="175">
        <f>+SUMIF(B[Bene],Assegnazione[[#This Row],[Bene]],B[Imponibile Imposta sostitutiva])*Assegnazione[[#This Row],[Quota di assegnazione]]*DATI!$E$27</f>
        <v>0</v>
      </c>
      <c r="W152" s="175">
        <f>+SUMIF(B[Bene],Assegnazione[[#This Row],[Bene]],B[Imposta di registro in misura fissa agevolata])*Assegnazione[[#This Row],[Quota di assegnazione]]</f>
        <v>0</v>
      </c>
      <c r="X152" s="175">
        <f>+SUMIF(B[Bene],Assegnazione[[#This Row],[Bene]],B[Imposta di registro prop. Agevolata])*Assegnazione[[#This Row],[Quota di assegnazione]]</f>
        <v>0</v>
      </c>
      <c r="Y152" s="175">
        <f>+IFERROR(Assegnazione[[#This Row],[Imposta di registro in misura fissa]]+Assegnazione[[#This Row],[Imposta di registro prop.]],"")</f>
        <v>0</v>
      </c>
      <c r="Z152" s="175">
        <f>+SUMIF(B[Bene],Assegnazione[[#This Row],[Bene]],B[Ipotecaria catastale agevolata])*Assegnazione[[#This Row],[Quota di assegnazione]]</f>
        <v>0</v>
      </c>
    </row>
    <row r="153" spans="1:26" x14ac:dyDescent="0.2">
      <c r="A153" s="123"/>
      <c r="B153" s="132"/>
      <c r="C153" s="123"/>
      <c r="D153" s="172">
        <f>+SUMIF(B[Bene],Assegnazione[[#This Row],[Bene]],B[Imponibile Iva])*Assegnazione[[#This Row],[Quota di assegnazione]]</f>
        <v>0</v>
      </c>
      <c r="E153" s="172">
        <f>+SUMIF(B[Bene],Assegnazione[[#This Row],[Bene]],B[Valore inserito manualmente])*Assegnazione[[#This Row],[Quota di assegnazione]]</f>
        <v>0</v>
      </c>
      <c r="F153" s="173" t="str">
        <f>+IF(A153="","",VLOOKUP(Assegnazione[[#This Row],[Bene]],B[],3,0))</f>
        <v/>
      </c>
      <c r="G153" s="129" t="str">
        <f>+IFERROR(VLOOKUP(Assegnazione[[#This Row],[Bene]],B[],MATCH("Agevolabile",Beni!$A$4:$AC$4,0),0)*VLOOKUP(Assegnazione[[#This Row],[Socio]],A_1[],8,0),"")</f>
        <v/>
      </c>
      <c r="H153" s="172">
        <f>+SUMIF(B[Bene],Assegnazione[[#This Row],[Bene]],B[Valore netto contabile fiscalmente riconosciuto])*Assegnazione[[#This Row],[Quota di assegnazione]]</f>
        <v>0</v>
      </c>
      <c r="I153" s="172">
        <f>+SUMIF(B[Bene],Assegnazione[[#This Row],[Bene]],B[Valore normale])*Assegnazione[[#This Row],[Quota di assegnazione]]</f>
        <v>0</v>
      </c>
      <c r="J153" s="174">
        <f>+IF(Assegnazione[[#This Row],[Bene]]="",0,SUMIF(Assegnazione[Socio],Assegnazione[[#This Row],[Socio]],Assegnazione[Valore Normale])/$I$3)</f>
        <v>0</v>
      </c>
      <c r="K153" s="174" t="str">
        <f>IF(Assegnazione[[#This Row],[Bene]]="","",SUMIF(A_1[Nome],Assegnazione[[#This Row],[Socio]],A_1[Quota partecipazione al momento dell''operazione]))</f>
        <v/>
      </c>
      <c r="L153" s="172">
        <f>+SUMIF(B[Bene],Assegnazione[[#This Row],[Bene]],B[Valore catastale])*Assegnazione[[#This Row],[Quota di assegnazione]]</f>
        <v>0</v>
      </c>
      <c r="M153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3" s="172">
        <f>+MIN(Assegnazione[[#This Row],[Valore ai fini dell''atto]],Assegnazione[[#This Row],[Valore Fiscalmente riconosciuto]])</f>
        <v>0</v>
      </c>
      <c r="O153" s="146" t="str">
        <f>+IFERROR(VLOOKUP(Assegnazione[[#This Row],[Bene]],B[],MATCH($O$4,Beni!$A$4:$Z$4,0),0),"")</f>
        <v/>
      </c>
      <c r="P153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3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3" s="175">
        <f>+SUMIF(B[Bene],Assegnazione[[#This Row],[Bene]],B[Iva se dovuta])*Assegnazione[[#This Row],[Quota di assegnazione]]</f>
        <v>0</v>
      </c>
      <c r="S153" s="175">
        <f>+SUMIF(B[Bene],Assegnazione[[#This Row],[Bene]],B[Imposta di registro (fissa + prop) senza agevolazione])*Assegnazione[[#This Row],[Quota di assegnazione]]</f>
        <v>0</v>
      </c>
      <c r="T153" s="175">
        <f>+SUMIF(B[Bene],Assegnazione[[#This Row],[Bene]],B[Ipotecaria e catastale senza agevolazione])*Assegnazione[[#This Row],[Quota di assegnazione]]</f>
        <v>0</v>
      </c>
      <c r="U153" s="176">
        <f>+SUM(Assegnazione[[#This Row],[Tassazione diretta senza agevolazione]:[Ipotecaria e catastale senza agevolazione]])</f>
        <v>0</v>
      </c>
      <c r="V153" s="175">
        <f>+SUMIF(B[Bene],Assegnazione[[#This Row],[Bene]],B[Imponibile Imposta sostitutiva])*Assegnazione[[#This Row],[Quota di assegnazione]]*DATI!$E$27</f>
        <v>0</v>
      </c>
      <c r="W153" s="175">
        <f>+SUMIF(B[Bene],Assegnazione[[#This Row],[Bene]],B[Imposta di registro in misura fissa agevolata])*Assegnazione[[#This Row],[Quota di assegnazione]]</f>
        <v>0</v>
      </c>
      <c r="X153" s="175">
        <f>+SUMIF(B[Bene],Assegnazione[[#This Row],[Bene]],B[Imposta di registro prop. Agevolata])*Assegnazione[[#This Row],[Quota di assegnazione]]</f>
        <v>0</v>
      </c>
      <c r="Y153" s="175">
        <f>+IFERROR(Assegnazione[[#This Row],[Imposta di registro in misura fissa]]+Assegnazione[[#This Row],[Imposta di registro prop.]],"")</f>
        <v>0</v>
      </c>
      <c r="Z153" s="175">
        <f>+SUMIF(B[Bene],Assegnazione[[#This Row],[Bene]],B[Ipotecaria catastale agevolata])*Assegnazione[[#This Row],[Quota di assegnazione]]</f>
        <v>0</v>
      </c>
    </row>
    <row r="154" spans="1:26" x14ac:dyDescent="0.2">
      <c r="A154" s="123"/>
      <c r="B154" s="132"/>
      <c r="C154" s="123"/>
      <c r="D154" s="172">
        <f>+SUMIF(B[Bene],Assegnazione[[#This Row],[Bene]],B[Imponibile Iva])*Assegnazione[[#This Row],[Quota di assegnazione]]</f>
        <v>0</v>
      </c>
      <c r="E154" s="172">
        <f>+SUMIF(B[Bene],Assegnazione[[#This Row],[Bene]],B[Valore inserito manualmente])*Assegnazione[[#This Row],[Quota di assegnazione]]</f>
        <v>0</v>
      </c>
      <c r="F154" s="173" t="str">
        <f>+IF(A154="","",VLOOKUP(Assegnazione[[#This Row],[Bene]],B[],3,0))</f>
        <v/>
      </c>
      <c r="G154" s="129" t="str">
        <f>+IFERROR(VLOOKUP(Assegnazione[[#This Row],[Bene]],B[],MATCH("Agevolabile",Beni!$A$4:$AC$4,0),0)*VLOOKUP(Assegnazione[[#This Row],[Socio]],A_1[],8,0),"")</f>
        <v/>
      </c>
      <c r="H154" s="172">
        <f>+SUMIF(B[Bene],Assegnazione[[#This Row],[Bene]],B[Valore netto contabile fiscalmente riconosciuto])*Assegnazione[[#This Row],[Quota di assegnazione]]</f>
        <v>0</v>
      </c>
      <c r="I154" s="172">
        <f>+SUMIF(B[Bene],Assegnazione[[#This Row],[Bene]],B[Valore normale])*Assegnazione[[#This Row],[Quota di assegnazione]]</f>
        <v>0</v>
      </c>
      <c r="J154" s="174">
        <f>+IF(Assegnazione[[#This Row],[Bene]]="",0,SUMIF(Assegnazione[Socio],Assegnazione[[#This Row],[Socio]],Assegnazione[Valore Normale])/$I$3)</f>
        <v>0</v>
      </c>
      <c r="K154" s="174" t="str">
        <f>IF(Assegnazione[[#This Row],[Bene]]="","",SUMIF(A_1[Nome],Assegnazione[[#This Row],[Socio]],A_1[Quota partecipazione al momento dell''operazione]))</f>
        <v/>
      </c>
      <c r="L154" s="172">
        <f>+SUMIF(B[Bene],Assegnazione[[#This Row],[Bene]],B[Valore catastale])*Assegnazione[[#This Row],[Quota di assegnazione]]</f>
        <v>0</v>
      </c>
      <c r="M154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4" s="172">
        <f>+MIN(Assegnazione[[#This Row],[Valore ai fini dell''atto]],Assegnazione[[#This Row],[Valore Fiscalmente riconosciuto]])</f>
        <v>0</v>
      </c>
      <c r="O154" s="146" t="str">
        <f>+IFERROR(VLOOKUP(Assegnazione[[#This Row],[Bene]],B[],MATCH($O$4,Beni!$A$4:$Z$4,0),0),"")</f>
        <v/>
      </c>
      <c r="P154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4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4" s="175">
        <f>+SUMIF(B[Bene],Assegnazione[[#This Row],[Bene]],B[Iva se dovuta])*Assegnazione[[#This Row],[Quota di assegnazione]]</f>
        <v>0</v>
      </c>
      <c r="S154" s="175">
        <f>+SUMIF(B[Bene],Assegnazione[[#This Row],[Bene]],B[Imposta di registro (fissa + prop) senza agevolazione])*Assegnazione[[#This Row],[Quota di assegnazione]]</f>
        <v>0</v>
      </c>
      <c r="T154" s="175">
        <f>+SUMIF(B[Bene],Assegnazione[[#This Row],[Bene]],B[Ipotecaria e catastale senza agevolazione])*Assegnazione[[#This Row],[Quota di assegnazione]]</f>
        <v>0</v>
      </c>
      <c r="U154" s="176">
        <f>+SUM(Assegnazione[[#This Row],[Tassazione diretta senza agevolazione]:[Ipotecaria e catastale senza agevolazione]])</f>
        <v>0</v>
      </c>
      <c r="V154" s="175">
        <f>+SUMIF(B[Bene],Assegnazione[[#This Row],[Bene]],B[Imponibile Imposta sostitutiva])*Assegnazione[[#This Row],[Quota di assegnazione]]*DATI!$E$27</f>
        <v>0</v>
      </c>
      <c r="W154" s="175">
        <f>+SUMIF(B[Bene],Assegnazione[[#This Row],[Bene]],B[Imposta di registro in misura fissa agevolata])*Assegnazione[[#This Row],[Quota di assegnazione]]</f>
        <v>0</v>
      </c>
      <c r="X154" s="175">
        <f>+SUMIF(B[Bene],Assegnazione[[#This Row],[Bene]],B[Imposta di registro prop. Agevolata])*Assegnazione[[#This Row],[Quota di assegnazione]]</f>
        <v>0</v>
      </c>
      <c r="Y154" s="175">
        <f>+IFERROR(Assegnazione[[#This Row],[Imposta di registro in misura fissa]]+Assegnazione[[#This Row],[Imposta di registro prop.]],"")</f>
        <v>0</v>
      </c>
      <c r="Z154" s="175">
        <f>+SUMIF(B[Bene],Assegnazione[[#This Row],[Bene]],B[Ipotecaria catastale agevolata])*Assegnazione[[#This Row],[Quota di assegnazione]]</f>
        <v>0</v>
      </c>
    </row>
    <row r="155" spans="1:26" x14ac:dyDescent="0.2">
      <c r="A155" s="123"/>
      <c r="B155" s="132"/>
      <c r="C155" s="123"/>
      <c r="D155" s="172">
        <f>+SUMIF(B[Bene],Assegnazione[[#This Row],[Bene]],B[Imponibile Iva])*Assegnazione[[#This Row],[Quota di assegnazione]]</f>
        <v>0</v>
      </c>
      <c r="E155" s="172">
        <f>+SUMIF(B[Bene],Assegnazione[[#This Row],[Bene]],B[Valore inserito manualmente])*Assegnazione[[#This Row],[Quota di assegnazione]]</f>
        <v>0</v>
      </c>
      <c r="F155" s="173" t="str">
        <f>+IF(A155="","",VLOOKUP(Assegnazione[[#This Row],[Bene]],B[],3,0))</f>
        <v/>
      </c>
      <c r="G155" s="129" t="str">
        <f>+IFERROR(VLOOKUP(Assegnazione[[#This Row],[Bene]],B[],MATCH("Agevolabile",Beni!$A$4:$AC$4,0),0)*VLOOKUP(Assegnazione[[#This Row],[Socio]],A_1[],8,0),"")</f>
        <v/>
      </c>
      <c r="H155" s="172">
        <f>+SUMIF(B[Bene],Assegnazione[[#This Row],[Bene]],B[Valore netto contabile fiscalmente riconosciuto])*Assegnazione[[#This Row],[Quota di assegnazione]]</f>
        <v>0</v>
      </c>
      <c r="I155" s="172">
        <f>+SUMIF(B[Bene],Assegnazione[[#This Row],[Bene]],B[Valore normale])*Assegnazione[[#This Row],[Quota di assegnazione]]</f>
        <v>0</v>
      </c>
      <c r="J155" s="174">
        <f>+IF(Assegnazione[[#This Row],[Bene]]="",0,SUMIF(Assegnazione[Socio],Assegnazione[[#This Row],[Socio]],Assegnazione[Valore Normale])/$I$3)</f>
        <v>0</v>
      </c>
      <c r="K155" s="174" t="str">
        <f>IF(Assegnazione[[#This Row],[Bene]]="","",SUMIF(A_1[Nome],Assegnazione[[#This Row],[Socio]],A_1[Quota partecipazione al momento dell''operazione]))</f>
        <v/>
      </c>
      <c r="L155" s="172">
        <f>+SUMIF(B[Bene],Assegnazione[[#This Row],[Bene]],B[Valore catastale])*Assegnazione[[#This Row],[Quota di assegnazione]]</f>
        <v>0</v>
      </c>
      <c r="M155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5" s="172">
        <f>+MIN(Assegnazione[[#This Row],[Valore ai fini dell''atto]],Assegnazione[[#This Row],[Valore Fiscalmente riconosciuto]])</f>
        <v>0</v>
      </c>
      <c r="O155" s="146" t="str">
        <f>+IFERROR(VLOOKUP(Assegnazione[[#This Row],[Bene]],B[],MATCH($O$4,Beni!$A$4:$Z$4,0),0),"")</f>
        <v/>
      </c>
      <c r="P155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5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5" s="175">
        <f>+SUMIF(B[Bene],Assegnazione[[#This Row],[Bene]],B[Iva se dovuta])*Assegnazione[[#This Row],[Quota di assegnazione]]</f>
        <v>0</v>
      </c>
      <c r="S155" s="175">
        <f>+SUMIF(B[Bene],Assegnazione[[#This Row],[Bene]],B[Imposta di registro (fissa + prop) senza agevolazione])*Assegnazione[[#This Row],[Quota di assegnazione]]</f>
        <v>0</v>
      </c>
      <c r="T155" s="175">
        <f>+SUMIF(B[Bene],Assegnazione[[#This Row],[Bene]],B[Ipotecaria e catastale senza agevolazione])*Assegnazione[[#This Row],[Quota di assegnazione]]</f>
        <v>0</v>
      </c>
      <c r="U155" s="176">
        <f>+SUM(Assegnazione[[#This Row],[Tassazione diretta senza agevolazione]:[Ipotecaria e catastale senza agevolazione]])</f>
        <v>0</v>
      </c>
      <c r="V155" s="175">
        <f>+SUMIF(B[Bene],Assegnazione[[#This Row],[Bene]],B[Imponibile Imposta sostitutiva])*Assegnazione[[#This Row],[Quota di assegnazione]]*DATI!$E$27</f>
        <v>0</v>
      </c>
      <c r="W155" s="175">
        <f>+SUMIF(B[Bene],Assegnazione[[#This Row],[Bene]],B[Imposta di registro in misura fissa agevolata])*Assegnazione[[#This Row],[Quota di assegnazione]]</f>
        <v>0</v>
      </c>
      <c r="X155" s="175">
        <f>+SUMIF(B[Bene],Assegnazione[[#This Row],[Bene]],B[Imposta di registro prop. Agevolata])*Assegnazione[[#This Row],[Quota di assegnazione]]</f>
        <v>0</v>
      </c>
      <c r="Y155" s="175">
        <f>+IFERROR(Assegnazione[[#This Row],[Imposta di registro in misura fissa]]+Assegnazione[[#This Row],[Imposta di registro prop.]],"")</f>
        <v>0</v>
      </c>
      <c r="Z155" s="175">
        <f>+SUMIF(B[Bene],Assegnazione[[#This Row],[Bene]],B[Ipotecaria catastale agevolata])*Assegnazione[[#This Row],[Quota di assegnazione]]</f>
        <v>0</v>
      </c>
    </row>
    <row r="156" spans="1:26" x14ac:dyDescent="0.2">
      <c r="A156" s="123"/>
      <c r="B156" s="132"/>
      <c r="C156" s="123"/>
      <c r="D156" s="172">
        <f>+SUMIF(B[Bene],Assegnazione[[#This Row],[Bene]],B[Imponibile Iva])*Assegnazione[[#This Row],[Quota di assegnazione]]</f>
        <v>0</v>
      </c>
      <c r="E156" s="172">
        <f>+SUMIF(B[Bene],Assegnazione[[#This Row],[Bene]],B[Valore inserito manualmente])*Assegnazione[[#This Row],[Quota di assegnazione]]</f>
        <v>0</v>
      </c>
      <c r="F156" s="173" t="str">
        <f>+IF(A156="","",VLOOKUP(Assegnazione[[#This Row],[Bene]],B[],3,0))</f>
        <v/>
      </c>
      <c r="G156" s="129" t="str">
        <f>+IFERROR(VLOOKUP(Assegnazione[[#This Row],[Bene]],B[],MATCH("Agevolabile",Beni!$A$4:$AC$4,0),0)*VLOOKUP(Assegnazione[[#This Row],[Socio]],A_1[],8,0),"")</f>
        <v/>
      </c>
      <c r="H156" s="172">
        <f>+SUMIF(B[Bene],Assegnazione[[#This Row],[Bene]],B[Valore netto contabile fiscalmente riconosciuto])*Assegnazione[[#This Row],[Quota di assegnazione]]</f>
        <v>0</v>
      </c>
      <c r="I156" s="172">
        <f>+SUMIF(B[Bene],Assegnazione[[#This Row],[Bene]],B[Valore normale])*Assegnazione[[#This Row],[Quota di assegnazione]]</f>
        <v>0</v>
      </c>
      <c r="J156" s="174">
        <f>+IF(Assegnazione[[#This Row],[Bene]]="",0,SUMIF(Assegnazione[Socio],Assegnazione[[#This Row],[Socio]],Assegnazione[Valore Normale])/$I$3)</f>
        <v>0</v>
      </c>
      <c r="K156" s="174" t="str">
        <f>IF(Assegnazione[[#This Row],[Bene]]="","",SUMIF(A_1[Nome],Assegnazione[[#This Row],[Socio]],A_1[Quota partecipazione al momento dell''operazione]))</f>
        <v/>
      </c>
      <c r="L156" s="172">
        <f>+SUMIF(B[Bene],Assegnazione[[#This Row],[Bene]],B[Valore catastale])*Assegnazione[[#This Row],[Quota di assegnazione]]</f>
        <v>0</v>
      </c>
      <c r="M156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6" s="172">
        <f>+MIN(Assegnazione[[#This Row],[Valore ai fini dell''atto]],Assegnazione[[#This Row],[Valore Fiscalmente riconosciuto]])</f>
        <v>0</v>
      </c>
      <c r="O156" s="146" t="str">
        <f>+IFERROR(VLOOKUP(Assegnazione[[#This Row],[Bene]],B[],MATCH($O$4,Beni!$A$4:$Z$4,0),0),"")</f>
        <v/>
      </c>
      <c r="P156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6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6" s="175">
        <f>+SUMIF(B[Bene],Assegnazione[[#This Row],[Bene]],B[Iva se dovuta])*Assegnazione[[#This Row],[Quota di assegnazione]]</f>
        <v>0</v>
      </c>
      <c r="S156" s="175">
        <f>+SUMIF(B[Bene],Assegnazione[[#This Row],[Bene]],B[Imposta di registro (fissa + prop) senza agevolazione])*Assegnazione[[#This Row],[Quota di assegnazione]]</f>
        <v>0</v>
      </c>
      <c r="T156" s="175">
        <f>+SUMIF(B[Bene],Assegnazione[[#This Row],[Bene]],B[Ipotecaria e catastale senza agevolazione])*Assegnazione[[#This Row],[Quota di assegnazione]]</f>
        <v>0</v>
      </c>
      <c r="U156" s="176">
        <f>+SUM(Assegnazione[[#This Row],[Tassazione diretta senza agevolazione]:[Ipotecaria e catastale senza agevolazione]])</f>
        <v>0</v>
      </c>
      <c r="V156" s="175">
        <f>+SUMIF(B[Bene],Assegnazione[[#This Row],[Bene]],B[Imponibile Imposta sostitutiva])*Assegnazione[[#This Row],[Quota di assegnazione]]*DATI!$E$27</f>
        <v>0</v>
      </c>
      <c r="W156" s="175">
        <f>+SUMIF(B[Bene],Assegnazione[[#This Row],[Bene]],B[Imposta di registro in misura fissa agevolata])*Assegnazione[[#This Row],[Quota di assegnazione]]</f>
        <v>0</v>
      </c>
      <c r="X156" s="175">
        <f>+SUMIF(B[Bene],Assegnazione[[#This Row],[Bene]],B[Imposta di registro prop. Agevolata])*Assegnazione[[#This Row],[Quota di assegnazione]]</f>
        <v>0</v>
      </c>
      <c r="Y156" s="175">
        <f>+IFERROR(Assegnazione[[#This Row],[Imposta di registro in misura fissa]]+Assegnazione[[#This Row],[Imposta di registro prop.]],"")</f>
        <v>0</v>
      </c>
      <c r="Z156" s="175">
        <f>+SUMIF(B[Bene],Assegnazione[[#This Row],[Bene]],B[Ipotecaria catastale agevolata])*Assegnazione[[#This Row],[Quota di assegnazione]]</f>
        <v>0</v>
      </c>
    </row>
    <row r="157" spans="1:26" x14ac:dyDescent="0.2">
      <c r="A157" s="123"/>
      <c r="B157" s="132"/>
      <c r="C157" s="123"/>
      <c r="D157" s="172">
        <f>+SUMIF(B[Bene],Assegnazione[[#This Row],[Bene]],B[Imponibile Iva])*Assegnazione[[#This Row],[Quota di assegnazione]]</f>
        <v>0</v>
      </c>
      <c r="E157" s="172">
        <f>+SUMIF(B[Bene],Assegnazione[[#This Row],[Bene]],B[Valore inserito manualmente])*Assegnazione[[#This Row],[Quota di assegnazione]]</f>
        <v>0</v>
      </c>
      <c r="F157" s="173" t="str">
        <f>+IF(A157="","",VLOOKUP(Assegnazione[[#This Row],[Bene]],B[],3,0))</f>
        <v/>
      </c>
      <c r="G157" s="129" t="str">
        <f>+IFERROR(VLOOKUP(Assegnazione[[#This Row],[Bene]],B[],MATCH("Agevolabile",Beni!$A$4:$AC$4,0),0)*VLOOKUP(Assegnazione[[#This Row],[Socio]],A_1[],8,0),"")</f>
        <v/>
      </c>
      <c r="H157" s="172">
        <f>+SUMIF(B[Bene],Assegnazione[[#This Row],[Bene]],B[Valore netto contabile fiscalmente riconosciuto])*Assegnazione[[#This Row],[Quota di assegnazione]]</f>
        <v>0</v>
      </c>
      <c r="I157" s="172">
        <f>+SUMIF(B[Bene],Assegnazione[[#This Row],[Bene]],B[Valore normale])*Assegnazione[[#This Row],[Quota di assegnazione]]</f>
        <v>0</v>
      </c>
      <c r="J157" s="174">
        <f>+IF(Assegnazione[[#This Row],[Bene]]="",0,SUMIF(Assegnazione[Socio],Assegnazione[[#This Row],[Socio]],Assegnazione[Valore Normale])/$I$3)</f>
        <v>0</v>
      </c>
      <c r="K157" s="174" t="str">
        <f>IF(Assegnazione[[#This Row],[Bene]]="","",SUMIF(A_1[Nome],Assegnazione[[#This Row],[Socio]],A_1[Quota partecipazione al momento dell''operazione]))</f>
        <v/>
      </c>
      <c r="L157" s="172">
        <f>+SUMIF(B[Bene],Assegnazione[[#This Row],[Bene]],B[Valore catastale])*Assegnazione[[#This Row],[Quota di assegnazione]]</f>
        <v>0</v>
      </c>
      <c r="M157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7" s="172">
        <f>+MIN(Assegnazione[[#This Row],[Valore ai fini dell''atto]],Assegnazione[[#This Row],[Valore Fiscalmente riconosciuto]])</f>
        <v>0</v>
      </c>
      <c r="O157" s="146" t="str">
        <f>+IFERROR(VLOOKUP(Assegnazione[[#This Row],[Bene]],B[],MATCH($O$4,Beni!$A$4:$Z$4,0),0),"")</f>
        <v/>
      </c>
      <c r="P157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7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7" s="175">
        <f>+SUMIF(B[Bene],Assegnazione[[#This Row],[Bene]],B[Iva se dovuta])*Assegnazione[[#This Row],[Quota di assegnazione]]</f>
        <v>0</v>
      </c>
      <c r="S157" s="175">
        <f>+SUMIF(B[Bene],Assegnazione[[#This Row],[Bene]],B[Imposta di registro (fissa + prop) senza agevolazione])*Assegnazione[[#This Row],[Quota di assegnazione]]</f>
        <v>0</v>
      </c>
      <c r="T157" s="175">
        <f>+SUMIF(B[Bene],Assegnazione[[#This Row],[Bene]],B[Ipotecaria e catastale senza agevolazione])*Assegnazione[[#This Row],[Quota di assegnazione]]</f>
        <v>0</v>
      </c>
      <c r="U157" s="176">
        <f>+SUM(Assegnazione[[#This Row],[Tassazione diretta senza agevolazione]:[Ipotecaria e catastale senza agevolazione]])</f>
        <v>0</v>
      </c>
      <c r="V157" s="175">
        <f>+SUMIF(B[Bene],Assegnazione[[#This Row],[Bene]],B[Imponibile Imposta sostitutiva])*Assegnazione[[#This Row],[Quota di assegnazione]]*DATI!$E$27</f>
        <v>0</v>
      </c>
      <c r="W157" s="175">
        <f>+SUMIF(B[Bene],Assegnazione[[#This Row],[Bene]],B[Imposta di registro in misura fissa agevolata])*Assegnazione[[#This Row],[Quota di assegnazione]]</f>
        <v>0</v>
      </c>
      <c r="X157" s="175">
        <f>+SUMIF(B[Bene],Assegnazione[[#This Row],[Bene]],B[Imposta di registro prop. Agevolata])*Assegnazione[[#This Row],[Quota di assegnazione]]</f>
        <v>0</v>
      </c>
      <c r="Y157" s="175">
        <f>+IFERROR(Assegnazione[[#This Row],[Imposta di registro in misura fissa]]+Assegnazione[[#This Row],[Imposta di registro prop.]],"")</f>
        <v>0</v>
      </c>
      <c r="Z157" s="175">
        <f>+SUMIF(B[Bene],Assegnazione[[#This Row],[Bene]],B[Ipotecaria catastale agevolata])*Assegnazione[[#This Row],[Quota di assegnazione]]</f>
        <v>0</v>
      </c>
    </row>
    <row r="158" spans="1:26" x14ac:dyDescent="0.2">
      <c r="A158" s="123"/>
      <c r="B158" s="132"/>
      <c r="C158" s="123"/>
      <c r="D158" s="172">
        <f>+SUMIF(B[Bene],Assegnazione[[#This Row],[Bene]],B[Imponibile Iva])*Assegnazione[[#This Row],[Quota di assegnazione]]</f>
        <v>0</v>
      </c>
      <c r="E158" s="172">
        <f>+SUMIF(B[Bene],Assegnazione[[#This Row],[Bene]],B[Valore inserito manualmente])*Assegnazione[[#This Row],[Quota di assegnazione]]</f>
        <v>0</v>
      </c>
      <c r="F158" s="173" t="str">
        <f>+IF(A158="","",VLOOKUP(Assegnazione[[#This Row],[Bene]],B[],3,0))</f>
        <v/>
      </c>
      <c r="G158" s="129" t="str">
        <f>+IFERROR(VLOOKUP(Assegnazione[[#This Row],[Bene]],B[],MATCH("Agevolabile",Beni!$A$4:$AC$4,0),0)*VLOOKUP(Assegnazione[[#This Row],[Socio]],A_1[],8,0),"")</f>
        <v/>
      </c>
      <c r="H158" s="172">
        <f>+SUMIF(B[Bene],Assegnazione[[#This Row],[Bene]],B[Valore netto contabile fiscalmente riconosciuto])*Assegnazione[[#This Row],[Quota di assegnazione]]</f>
        <v>0</v>
      </c>
      <c r="I158" s="172">
        <f>+SUMIF(B[Bene],Assegnazione[[#This Row],[Bene]],B[Valore normale])*Assegnazione[[#This Row],[Quota di assegnazione]]</f>
        <v>0</v>
      </c>
      <c r="J158" s="174">
        <f>+IF(Assegnazione[[#This Row],[Bene]]="",0,SUMIF(Assegnazione[Socio],Assegnazione[[#This Row],[Socio]],Assegnazione[Valore Normale])/$I$3)</f>
        <v>0</v>
      </c>
      <c r="K158" s="174" t="str">
        <f>IF(Assegnazione[[#This Row],[Bene]]="","",SUMIF(A_1[Nome],Assegnazione[[#This Row],[Socio]],A_1[Quota partecipazione al momento dell''operazione]))</f>
        <v/>
      </c>
      <c r="L158" s="172">
        <f>+SUMIF(B[Bene],Assegnazione[[#This Row],[Bene]],B[Valore catastale])*Assegnazione[[#This Row],[Quota di assegnazione]]</f>
        <v>0</v>
      </c>
      <c r="M158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8" s="172">
        <f>+MIN(Assegnazione[[#This Row],[Valore ai fini dell''atto]],Assegnazione[[#This Row],[Valore Fiscalmente riconosciuto]])</f>
        <v>0</v>
      </c>
      <c r="O158" s="146" t="str">
        <f>+IFERROR(VLOOKUP(Assegnazione[[#This Row],[Bene]],B[],MATCH($O$4,Beni!$A$4:$Z$4,0),0),"")</f>
        <v/>
      </c>
      <c r="P158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8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8" s="175">
        <f>+SUMIF(B[Bene],Assegnazione[[#This Row],[Bene]],B[Iva se dovuta])*Assegnazione[[#This Row],[Quota di assegnazione]]</f>
        <v>0</v>
      </c>
      <c r="S158" s="175">
        <f>+SUMIF(B[Bene],Assegnazione[[#This Row],[Bene]],B[Imposta di registro (fissa + prop) senza agevolazione])*Assegnazione[[#This Row],[Quota di assegnazione]]</f>
        <v>0</v>
      </c>
      <c r="T158" s="175">
        <f>+SUMIF(B[Bene],Assegnazione[[#This Row],[Bene]],B[Ipotecaria e catastale senza agevolazione])*Assegnazione[[#This Row],[Quota di assegnazione]]</f>
        <v>0</v>
      </c>
      <c r="U158" s="176">
        <f>+SUM(Assegnazione[[#This Row],[Tassazione diretta senza agevolazione]:[Ipotecaria e catastale senza agevolazione]])</f>
        <v>0</v>
      </c>
      <c r="V158" s="175">
        <f>+SUMIF(B[Bene],Assegnazione[[#This Row],[Bene]],B[Imponibile Imposta sostitutiva])*Assegnazione[[#This Row],[Quota di assegnazione]]*DATI!$E$27</f>
        <v>0</v>
      </c>
      <c r="W158" s="175">
        <f>+SUMIF(B[Bene],Assegnazione[[#This Row],[Bene]],B[Imposta di registro in misura fissa agevolata])*Assegnazione[[#This Row],[Quota di assegnazione]]</f>
        <v>0</v>
      </c>
      <c r="X158" s="175">
        <f>+SUMIF(B[Bene],Assegnazione[[#This Row],[Bene]],B[Imposta di registro prop. Agevolata])*Assegnazione[[#This Row],[Quota di assegnazione]]</f>
        <v>0</v>
      </c>
      <c r="Y158" s="175">
        <f>+IFERROR(Assegnazione[[#This Row],[Imposta di registro in misura fissa]]+Assegnazione[[#This Row],[Imposta di registro prop.]],"")</f>
        <v>0</v>
      </c>
      <c r="Z158" s="175">
        <f>+SUMIF(B[Bene],Assegnazione[[#This Row],[Bene]],B[Ipotecaria catastale agevolata])*Assegnazione[[#This Row],[Quota di assegnazione]]</f>
        <v>0</v>
      </c>
    </row>
    <row r="159" spans="1:26" x14ac:dyDescent="0.2">
      <c r="A159" s="123"/>
      <c r="B159" s="132"/>
      <c r="C159" s="123"/>
      <c r="D159" s="172">
        <f>+SUMIF(B[Bene],Assegnazione[[#This Row],[Bene]],B[Imponibile Iva])*Assegnazione[[#This Row],[Quota di assegnazione]]</f>
        <v>0</v>
      </c>
      <c r="E159" s="172">
        <f>+SUMIF(B[Bene],Assegnazione[[#This Row],[Bene]],B[Valore inserito manualmente])*Assegnazione[[#This Row],[Quota di assegnazione]]</f>
        <v>0</v>
      </c>
      <c r="F159" s="173" t="str">
        <f>+IF(A159="","",VLOOKUP(Assegnazione[[#This Row],[Bene]],B[],3,0))</f>
        <v/>
      </c>
      <c r="G159" s="129" t="str">
        <f>+IFERROR(VLOOKUP(Assegnazione[[#This Row],[Bene]],B[],MATCH("Agevolabile",Beni!$A$4:$AC$4,0),0)*VLOOKUP(Assegnazione[[#This Row],[Socio]],A_1[],8,0),"")</f>
        <v/>
      </c>
      <c r="H159" s="172">
        <f>+SUMIF(B[Bene],Assegnazione[[#This Row],[Bene]],B[Valore netto contabile fiscalmente riconosciuto])*Assegnazione[[#This Row],[Quota di assegnazione]]</f>
        <v>0</v>
      </c>
      <c r="I159" s="172">
        <f>+SUMIF(B[Bene],Assegnazione[[#This Row],[Bene]],B[Valore normale])*Assegnazione[[#This Row],[Quota di assegnazione]]</f>
        <v>0</v>
      </c>
      <c r="J159" s="174">
        <f>+IF(Assegnazione[[#This Row],[Bene]]="",0,SUMIF(Assegnazione[Socio],Assegnazione[[#This Row],[Socio]],Assegnazione[Valore Normale])/$I$3)</f>
        <v>0</v>
      </c>
      <c r="K159" s="174" t="str">
        <f>IF(Assegnazione[[#This Row],[Bene]]="","",SUMIF(A_1[Nome],Assegnazione[[#This Row],[Socio]],A_1[Quota partecipazione al momento dell''operazione]))</f>
        <v/>
      </c>
      <c r="L159" s="172">
        <f>+SUMIF(B[Bene],Assegnazione[[#This Row],[Bene]],B[Valore catastale])*Assegnazione[[#This Row],[Quota di assegnazione]]</f>
        <v>0</v>
      </c>
      <c r="M159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9" s="172">
        <f>+MIN(Assegnazione[[#This Row],[Valore ai fini dell''atto]],Assegnazione[[#This Row],[Valore Fiscalmente riconosciuto]])</f>
        <v>0</v>
      </c>
      <c r="O159" s="146" t="str">
        <f>+IFERROR(VLOOKUP(Assegnazione[[#This Row],[Bene]],B[],MATCH($O$4,Beni!$A$4:$Z$4,0),0),"")</f>
        <v/>
      </c>
      <c r="P159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9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9" s="175">
        <f>+SUMIF(B[Bene],Assegnazione[[#This Row],[Bene]],B[Iva se dovuta])*Assegnazione[[#This Row],[Quota di assegnazione]]</f>
        <v>0</v>
      </c>
      <c r="S159" s="175">
        <f>+SUMIF(B[Bene],Assegnazione[[#This Row],[Bene]],B[Imposta di registro (fissa + prop) senza agevolazione])*Assegnazione[[#This Row],[Quota di assegnazione]]</f>
        <v>0</v>
      </c>
      <c r="T159" s="175">
        <f>+SUMIF(B[Bene],Assegnazione[[#This Row],[Bene]],B[Ipotecaria e catastale senza agevolazione])*Assegnazione[[#This Row],[Quota di assegnazione]]</f>
        <v>0</v>
      </c>
      <c r="U159" s="176">
        <f>+SUM(Assegnazione[[#This Row],[Tassazione diretta senza agevolazione]:[Ipotecaria e catastale senza agevolazione]])</f>
        <v>0</v>
      </c>
      <c r="V159" s="175">
        <f>+SUMIF(B[Bene],Assegnazione[[#This Row],[Bene]],B[Imponibile Imposta sostitutiva])*Assegnazione[[#This Row],[Quota di assegnazione]]*DATI!$E$27</f>
        <v>0</v>
      </c>
      <c r="W159" s="175">
        <f>+SUMIF(B[Bene],Assegnazione[[#This Row],[Bene]],B[Imposta di registro in misura fissa agevolata])*Assegnazione[[#This Row],[Quota di assegnazione]]</f>
        <v>0</v>
      </c>
      <c r="X159" s="175">
        <f>+SUMIF(B[Bene],Assegnazione[[#This Row],[Bene]],B[Imposta di registro prop. Agevolata])*Assegnazione[[#This Row],[Quota di assegnazione]]</f>
        <v>0</v>
      </c>
      <c r="Y159" s="175">
        <f>+IFERROR(Assegnazione[[#This Row],[Imposta di registro in misura fissa]]+Assegnazione[[#This Row],[Imposta di registro prop.]],"")</f>
        <v>0</v>
      </c>
      <c r="Z159" s="175">
        <f>+SUMIF(B[Bene],Assegnazione[[#This Row],[Bene]],B[Ipotecaria catastale agevolata])*Assegnazione[[#This Row],[Quota di assegnazione]]</f>
        <v>0</v>
      </c>
    </row>
    <row r="160" spans="1:26" x14ac:dyDescent="0.2">
      <c r="A160" s="123"/>
      <c r="B160" s="132"/>
      <c r="C160" s="123"/>
      <c r="D160" s="172">
        <f>+SUMIF(B[Bene],Assegnazione[[#This Row],[Bene]],B[Imponibile Iva])*Assegnazione[[#This Row],[Quota di assegnazione]]</f>
        <v>0</v>
      </c>
      <c r="E160" s="172">
        <f>+SUMIF(B[Bene],Assegnazione[[#This Row],[Bene]],B[Valore inserito manualmente])*Assegnazione[[#This Row],[Quota di assegnazione]]</f>
        <v>0</v>
      </c>
      <c r="F160" s="173" t="str">
        <f>+IF(A160="","",VLOOKUP(Assegnazione[[#This Row],[Bene]],B[],3,0))</f>
        <v/>
      </c>
      <c r="G160" s="129" t="str">
        <f>+IFERROR(VLOOKUP(Assegnazione[[#This Row],[Bene]],B[],MATCH("Agevolabile",Beni!$A$4:$AC$4,0),0)*VLOOKUP(Assegnazione[[#This Row],[Socio]],A_1[],8,0),"")</f>
        <v/>
      </c>
      <c r="H160" s="172">
        <f>+SUMIF(B[Bene],Assegnazione[[#This Row],[Bene]],B[Valore netto contabile fiscalmente riconosciuto])*Assegnazione[[#This Row],[Quota di assegnazione]]</f>
        <v>0</v>
      </c>
      <c r="I160" s="172">
        <f>+SUMIF(B[Bene],Assegnazione[[#This Row],[Bene]],B[Valore normale])*Assegnazione[[#This Row],[Quota di assegnazione]]</f>
        <v>0</v>
      </c>
      <c r="J160" s="174">
        <f>+IF(Assegnazione[[#This Row],[Bene]]="",0,SUMIF(Assegnazione[Socio],Assegnazione[[#This Row],[Socio]],Assegnazione[Valore Normale])/$I$3)</f>
        <v>0</v>
      </c>
      <c r="K160" s="174" t="str">
        <f>IF(Assegnazione[[#This Row],[Bene]]="","",SUMIF(A_1[Nome],Assegnazione[[#This Row],[Socio]],A_1[Quota partecipazione al momento dell''operazione]))</f>
        <v/>
      </c>
      <c r="L160" s="172">
        <f>+SUMIF(B[Bene],Assegnazione[[#This Row],[Bene]],B[Valore catastale])*Assegnazione[[#This Row],[Quota di assegnazione]]</f>
        <v>0</v>
      </c>
      <c r="M160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0" s="172">
        <f>+MIN(Assegnazione[[#This Row],[Valore ai fini dell''atto]],Assegnazione[[#This Row],[Valore Fiscalmente riconosciuto]])</f>
        <v>0</v>
      </c>
      <c r="O160" s="146" t="str">
        <f>+IFERROR(VLOOKUP(Assegnazione[[#This Row],[Bene]],B[],MATCH($O$4,Beni!$A$4:$Z$4,0),0),"")</f>
        <v/>
      </c>
      <c r="P160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0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0" s="175">
        <f>+SUMIF(B[Bene],Assegnazione[[#This Row],[Bene]],B[Iva se dovuta])*Assegnazione[[#This Row],[Quota di assegnazione]]</f>
        <v>0</v>
      </c>
      <c r="S160" s="175">
        <f>+SUMIF(B[Bene],Assegnazione[[#This Row],[Bene]],B[Imposta di registro (fissa + prop) senza agevolazione])*Assegnazione[[#This Row],[Quota di assegnazione]]</f>
        <v>0</v>
      </c>
      <c r="T160" s="175">
        <f>+SUMIF(B[Bene],Assegnazione[[#This Row],[Bene]],B[Ipotecaria e catastale senza agevolazione])*Assegnazione[[#This Row],[Quota di assegnazione]]</f>
        <v>0</v>
      </c>
      <c r="U160" s="176">
        <f>+SUM(Assegnazione[[#This Row],[Tassazione diretta senza agevolazione]:[Ipotecaria e catastale senza agevolazione]])</f>
        <v>0</v>
      </c>
      <c r="V160" s="175">
        <f>+SUMIF(B[Bene],Assegnazione[[#This Row],[Bene]],B[Imponibile Imposta sostitutiva])*Assegnazione[[#This Row],[Quota di assegnazione]]*DATI!$E$27</f>
        <v>0</v>
      </c>
      <c r="W160" s="175">
        <f>+SUMIF(B[Bene],Assegnazione[[#This Row],[Bene]],B[Imposta di registro in misura fissa agevolata])*Assegnazione[[#This Row],[Quota di assegnazione]]</f>
        <v>0</v>
      </c>
      <c r="X160" s="175">
        <f>+SUMIF(B[Bene],Assegnazione[[#This Row],[Bene]],B[Imposta di registro prop. Agevolata])*Assegnazione[[#This Row],[Quota di assegnazione]]</f>
        <v>0</v>
      </c>
      <c r="Y160" s="175">
        <f>+IFERROR(Assegnazione[[#This Row],[Imposta di registro in misura fissa]]+Assegnazione[[#This Row],[Imposta di registro prop.]],"")</f>
        <v>0</v>
      </c>
      <c r="Z160" s="175">
        <f>+SUMIF(B[Bene],Assegnazione[[#This Row],[Bene]],B[Ipotecaria catastale agevolata])*Assegnazione[[#This Row],[Quota di assegnazione]]</f>
        <v>0</v>
      </c>
    </row>
    <row r="161" spans="1:26" x14ac:dyDescent="0.2">
      <c r="A161" s="123"/>
      <c r="B161" s="132"/>
      <c r="C161" s="123"/>
      <c r="D161" s="172">
        <f>+SUMIF(B[Bene],Assegnazione[[#This Row],[Bene]],B[Imponibile Iva])*Assegnazione[[#This Row],[Quota di assegnazione]]</f>
        <v>0</v>
      </c>
      <c r="E161" s="172">
        <f>+SUMIF(B[Bene],Assegnazione[[#This Row],[Bene]],B[Valore inserito manualmente])*Assegnazione[[#This Row],[Quota di assegnazione]]</f>
        <v>0</v>
      </c>
      <c r="F161" s="173" t="str">
        <f>+IF(A161="","",VLOOKUP(Assegnazione[[#This Row],[Bene]],B[],3,0))</f>
        <v/>
      </c>
      <c r="G161" s="129" t="str">
        <f>+IFERROR(VLOOKUP(Assegnazione[[#This Row],[Bene]],B[],MATCH("Agevolabile",Beni!$A$4:$AC$4,0),0)*VLOOKUP(Assegnazione[[#This Row],[Socio]],A_1[],8,0),"")</f>
        <v/>
      </c>
      <c r="H161" s="172">
        <f>+SUMIF(B[Bene],Assegnazione[[#This Row],[Bene]],B[Valore netto contabile fiscalmente riconosciuto])*Assegnazione[[#This Row],[Quota di assegnazione]]</f>
        <v>0</v>
      </c>
      <c r="I161" s="172">
        <f>+SUMIF(B[Bene],Assegnazione[[#This Row],[Bene]],B[Valore normale])*Assegnazione[[#This Row],[Quota di assegnazione]]</f>
        <v>0</v>
      </c>
      <c r="J161" s="174">
        <f>+IF(Assegnazione[[#This Row],[Bene]]="",0,SUMIF(Assegnazione[Socio],Assegnazione[[#This Row],[Socio]],Assegnazione[Valore Normale])/$I$3)</f>
        <v>0</v>
      </c>
      <c r="K161" s="174" t="str">
        <f>IF(Assegnazione[[#This Row],[Bene]]="","",SUMIF(A_1[Nome],Assegnazione[[#This Row],[Socio]],A_1[Quota partecipazione al momento dell''operazione]))</f>
        <v/>
      </c>
      <c r="L161" s="172">
        <f>+SUMIF(B[Bene],Assegnazione[[#This Row],[Bene]],B[Valore catastale])*Assegnazione[[#This Row],[Quota di assegnazione]]</f>
        <v>0</v>
      </c>
      <c r="M161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1" s="172">
        <f>+MIN(Assegnazione[[#This Row],[Valore ai fini dell''atto]],Assegnazione[[#This Row],[Valore Fiscalmente riconosciuto]])</f>
        <v>0</v>
      </c>
      <c r="O161" s="146" t="str">
        <f>+IFERROR(VLOOKUP(Assegnazione[[#This Row],[Bene]],B[],MATCH($O$4,Beni!$A$4:$Z$4,0),0),"")</f>
        <v/>
      </c>
      <c r="P161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1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1" s="175">
        <f>+SUMIF(B[Bene],Assegnazione[[#This Row],[Bene]],B[Iva se dovuta])*Assegnazione[[#This Row],[Quota di assegnazione]]</f>
        <v>0</v>
      </c>
      <c r="S161" s="175">
        <f>+SUMIF(B[Bene],Assegnazione[[#This Row],[Bene]],B[Imposta di registro (fissa + prop) senza agevolazione])*Assegnazione[[#This Row],[Quota di assegnazione]]</f>
        <v>0</v>
      </c>
      <c r="T161" s="175">
        <f>+SUMIF(B[Bene],Assegnazione[[#This Row],[Bene]],B[Ipotecaria e catastale senza agevolazione])*Assegnazione[[#This Row],[Quota di assegnazione]]</f>
        <v>0</v>
      </c>
      <c r="U161" s="176">
        <f>+SUM(Assegnazione[[#This Row],[Tassazione diretta senza agevolazione]:[Ipotecaria e catastale senza agevolazione]])</f>
        <v>0</v>
      </c>
      <c r="V161" s="175">
        <f>+SUMIF(B[Bene],Assegnazione[[#This Row],[Bene]],B[Imponibile Imposta sostitutiva])*Assegnazione[[#This Row],[Quota di assegnazione]]*DATI!$E$27</f>
        <v>0</v>
      </c>
      <c r="W161" s="175">
        <f>+SUMIF(B[Bene],Assegnazione[[#This Row],[Bene]],B[Imposta di registro in misura fissa agevolata])*Assegnazione[[#This Row],[Quota di assegnazione]]</f>
        <v>0</v>
      </c>
      <c r="X161" s="175">
        <f>+SUMIF(B[Bene],Assegnazione[[#This Row],[Bene]],B[Imposta di registro prop. Agevolata])*Assegnazione[[#This Row],[Quota di assegnazione]]</f>
        <v>0</v>
      </c>
      <c r="Y161" s="175">
        <f>+IFERROR(Assegnazione[[#This Row],[Imposta di registro in misura fissa]]+Assegnazione[[#This Row],[Imposta di registro prop.]],"")</f>
        <v>0</v>
      </c>
      <c r="Z161" s="175">
        <f>+SUMIF(B[Bene],Assegnazione[[#This Row],[Bene]],B[Ipotecaria catastale agevolata])*Assegnazione[[#This Row],[Quota di assegnazione]]</f>
        <v>0</v>
      </c>
    </row>
    <row r="162" spans="1:26" x14ac:dyDescent="0.2">
      <c r="A162" s="123"/>
      <c r="B162" s="132"/>
      <c r="C162" s="123"/>
      <c r="D162" s="172">
        <f>+SUMIF(B[Bene],Assegnazione[[#This Row],[Bene]],B[Imponibile Iva])*Assegnazione[[#This Row],[Quota di assegnazione]]</f>
        <v>0</v>
      </c>
      <c r="E162" s="172">
        <f>+SUMIF(B[Bene],Assegnazione[[#This Row],[Bene]],B[Valore inserito manualmente])*Assegnazione[[#This Row],[Quota di assegnazione]]</f>
        <v>0</v>
      </c>
      <c r="F162" s="173" t="str">
        <f>+IF(A162="","",VLOOKUP(Assegnazione[[#This Row],[Bene]],B[],3,0))</f>
        <v/>
      </c>
      <c r="G162" s="129" t="str">
        <f>+IFERROR(VLOOKUP(Assegnazione[[#This Row],[Bene]],B[],MATCH("Agevolabile",Beni!$A$4:$AC$4,0),0)*VLOOKUP(Assegnazione[[#This Row],[Socio]],A_1[],8,0),"")</f>
        <v/>
      </c>
      <c r="H162" s="172">
        <f>+SUMIF(B[Bene],Assegnazione[[#This Row],[Bene]],B[Valore netto contabile fiscalmente riconosciuto])*Assegnazione[[#This Row],[Quota di assegnazione]]</f>
        <v>0</v>
      </c>
      <c r="I162" s="172">
        <f>+SUMIF(B[Bene],Assegnazione[[#This Row],[Bene]],B[Valore normale])*Assegnazione[[#This Row],[Quota di assegnazione]]</f>
        <v>0</v>
      </c>
      <c r="J162" s="174">
        <f>+IF(Assegnazione[[#This Row],[Bene]]="",0,SUMIF(Assegnazione[Socio],Assegnazione[[#This Row],[Socio]],Assegnazione[Valore Normale])/$I$3)</f>
        <v>0</v>
      </c>
      <c r="K162" s="174" t="str">
        <f>IF(Assegnazione[[#This Row],[Bene]]="","",SUMIF(A_1[Nome],Assegnazione[[#This Row],[Socio]],A_1[Quota partecipazione al momento dell''operazione]))</f>
        <v/>
      </c>
      <c r="L162" s="172">
        <f>+SUMIF(B[Bene],Assegnazione[[#This Row],[Bene]],B[Valore catastale])*Assegnazione[[#This Row],[Quota di assegnazione]]</f>
        <v>0</v>
      </c>
      <c r="M162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2" s="172">
        <f>+MIN(Assegnazione[[#This Row],[Valore ai fini dell''atto]],Assegnazione[[#This Row],[Valore Fiscalmente riconosciuto]])</f>
        <v>0</v>
      </c>
      <c r="O162" s="146" t="str">
        <f>+IFERROR(VLOOKUP(Assegnazione[[#This Row],[Bene]],B[],MATCH($O$4,Beni!$A$4:$Z$4,0),0),"")</f>
        <v/>
      </c>
      <c r="P162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2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2" s="175">
        <f>+SUMIF(B[Bene],Assegnazione[[#This Row],[Bene]],B[Iva se dovuta])*Assegnazione[[#This Row],[Quota di assegnazione]]</f>
        <v>0</v>
      </c>
      <c r="S162" s="175">
        <f>+SUMIF(B[Bene],Assegnazione[[#This Row],[Bene]],B[Imposta di registro (fissa + prop) senza agevolazione])*Assegnazione[[#This Row],[Quota di assegnazione]]</f>
        <v>0</v>
      </c>
      <c r="T162" s="175">
        <f>+SUMIF(B[Bene],Assegnazione[[#This Row],[Bene]],B[Ipotecaria e catastale senza agevolazione])*Assegnazione[[#This Row],[Quota di assegnazione]]</f>
        <v>0</v>
      </c>
      <c r="U162" s="176">
        <f>+SUM(Assegnazione[[#This Row],[Tassazione diretta senza agevolazione]:[Ipotecaria e catastale senza agevolazione]])</f>
        <v>0</v>
      </c>
      <c r="V162" s="175">
        <f>+SUMIF(B[Bene],Assegnazione[[#This Row],[Bene]],B[Imponibile Imposta sostitutiva])*Assegnazione[[#This Row],[Quota di assegnazione]]*DATI!$E$27</f>
        <v>0</v>
      </c>
      <c r="W162" s="175">
        <f>+SUMIF(B[Bene],Assegnazione[[#This Row],[Bene]],B[Imposta di registro in misura fissa agevolata])*Assegnazione[[#This Row],[Quota di assegnazione]]</f>
        <v>0</v>
      </c>
      <c r="X162" s="175">
        <f>+SUMIF(B[Bene],Assegnazione[[#This Row],[Bene]],B[Imposta di registro prop. Agevolata])*Assegnazione[[#This Row],[Quota di assegnazione]]</f>
        <v>0</v>
      </c>
      <c r="Y162" s="175">
        <f>+IFERROR(Assegnazione[[#This Row],[Imposta di registro in misura fissa]]+Assegnazione[[#This Row],[Imposta di registro prop.]],"")</f>
        <v>0</v>
      </c>
      <c r="Z162" s="175">
        <f>+SUMIF(B[Bene],Assegnazione[[#This Row],[Bene]],B[Ipotecaria catastale agevolata])*Assegnazione[[#This Row],[Quota di assegnazione]]</f>
        <v>0</v>
      </c>
    </row>
    <row r="163" spans="1:26" x14ac:dyDescent="0.2">
      <c r="A163" s="123"/>
      <c r="B163" s="132"/>
      <c r="C163" s="123"/>
      <c r="D163" s="172">
        <f>+SUMIF(B[Bene],Assegnazione[[#This Row],[Bene]],B[Imponibile Iva])*Assegnazione[[#This Row],[Quota di assegnazione]]</f>
        <v>0</v>
      </c>
      <c r="E163" s="172">
        <f>+SUMIF(B[Bene],Assegnazione[[#This Row],[Bene]],B[Valore inserito manualmente])*Assegnazione[[#This Row],[Quota di assegnazione]]</f>
        <v>0</v>
      </c>
      <c r="F163" s="173" t="str">
        <f>+IF(A163="","",VLOOKUP(Assegnazione[[#This Row],[Bene]],B[],3,0))</f>
        <v/>
      </c>
      <c r="G163" s="129" t="str">
        <f>+IFERROR(VLOOKUP(Assegnazione[[#This Row],[Bene]],B[],MATCH("Agevolabile",Beni!$A$4:$AC$4,0),0)*VLOOKUP(Assegnazione[[#This Row],[Socio]],A_1[],8,0),"")</f>
        <v/>
      </c>
      <c r="H163" s="172">
        <f>+SUMIF(B[Bene],Assegnazione[[#This Row],[Bene]],B[Valore netto contabile fiscalmente riconosciuto])*Assegnazione[[#This Row],[Quota di assegnazione]]</f>
        <v>0</v>
      </c>
      <c r="I163" s="172">
        <f>+SUMIF(B[Bene],Assegnazione[[#This Row],[Bene]],B[Valore normale])*Assegnazione[[#This Row],[Quota di assegnazione]]</f>
        <v>0</v>
      </c>
      <c r="J163" s="174">
        <f>+IF(Assegnazione[[#This Row],[Bene]]="",0,SUMIF(Assegnazione[Socio],Assegnazione[[#This Row],[Socio]],Assegnazione[Valore Normale])/$I$3)</f>
        <v>0</v>
      </c>
      <c r="K163" s="174" t="str">
        <f>IF(Assegnazione[[#This Row],[Bene]]="","",SUMIF(A_1[Nome],Assegnazione[[#This Row],[Socio]],A_1[Quota partecipazione al momento dell''operazione]))</f>
        <v/>
      </c>
      <c r="L163" s="172">
        <f>+SUMIF(B[Bene],Assegnazione[[#This Row],[Bene]],B[Valore catastale])*Assegnazione[[#This Row],[Quota di assegnazione]]</f>
        <v>0</v>
      </c>
      <c r="M163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3" s="172">
        <f>+MIN(Assegnazione[[#This Row],[Valore ai fini dell''atto]],Assegnazione[[#This Row],[Valore Fiscalmente riconosciuto]])</f>
        <v>0</v>
      </c>
      <c r="O163" s="146" t="str">
        <f>+IFERROR(VLOOKUP(Assegnazione[[#This Row],[Bene]],B[],MATCH($O$4,Beni!$A$4:$Z$4,0),0),"")</f>
        <v/>
      </c>
      <c r="P163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3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3" s="175">
        <f>+SUMIF(B[Bene],Assegnazione[[#This Row],[Bene]],B[Iva se dovuta])*Assegnazione[[#This Row],[Quota di assegnazione]]</f>
        <v>0</v>
      </c>
      <c r="S163" s="175">
        <f>+SUMIF(B[Bene],Assegnazione[[#This Row],[Bene]],B[Imposta di registro (fissa + prop) senza agevolazione])*Assegnazione[[#This Row],[Quota di assegnazione]]</f>
        <v>0</v>
      </c>
      <c r="T163" s="175">
        <f>+SUMIF(B[Bene],Assegnazione[[#This Row],[Bene]],B[Ipotecaria e catastale senza agevolazione])*Assegnazione[[#This Row],[Quota di assegnazione]]</f>
        <v>0</v>
      </c>
      <c r="U163" s="176">
        <f>+SUM(Assegnazione[[#This Row],[Tassazione diretta senza agevolazione]:[Ipotecaria e catastale senza agevolazione]])</f>
        <v>0</v>
      </c>
      <c r="V163" s="175">
        <f>+SUMIF(B[Bene],Assegnazione[[#This Row],[Bene]],B[Imponibile Imposta sostitutiva])*Assegnazione[[#This Row],[Quota di assegnazione]]*DATI!$E$27</f>
        <v>0</v>
      </c>
      <c r="W163" s="175">
        <f>+SUMIF(B[Bene],Assegnazione[[#This Row],[Bene]],B[Imposta di registro in misura fissa agevolata])*Assegnazione[[#This Row],[Quota di assegnazione]]</f>
        <v>0</v>
      </c>
      <c r="X163" s="175">
        <f>+SUMIF(B[Bene],Assegnazione[[#This Row],[Bene]],B[Imposta di registro prop. Agevolata])*Assegnazione[[#This Row],[Quota di assegnazione]]</f>
        <v>0</v>
      </c>
      <c r="Y163" s="175">
        <f>+IFERROR(Assegnazione[[#This Row],[Imposta di registro in misura fissa]]+Assegnazione[[#This Row],[Imposta di registro prop.]],"")</f>
        <v>0</v>
      </c>
      <c r="Z163" s="175">
        <f>+SUMIF(B[Bene],Assegnazione[[#This Row],[Bene]],B[Ipotecaria catastale agevolata])*Assegnazione[[#This Row],[Quota di assegnazione]]</f>
        <v>0</v>
      </c>
    </row>
    <row r="164" spans="1:26" x14ac:dyDescent="0.2">
      <c r="A164" s="123"/>
      <c r="B164" s="132"/>
      <c r="C164" s="123"/>
      <c r="D164" s="172">
        <f>+SUMIF(B[Bene],Assegnazione[[#This Row],[Bene]],B[Imponibile Iva])*Assegnazione[[#This Row],[Quota di assegnazione]]</f>
        <v>0</v>
      </c>
      <c r="E164" s="172">
        <f>+SUMIF(B[Bene],Assegnazione[[#This Row],[Bene]],B[Valore inserito manualmente])*Assegnazione[[#This Row],[Quota di assegnazione]]</f>
        <v>0</v>
      </c>
      <c r="F164" s="173" t="str">
        <f>+IF(A164="","",VLOOKUP(Assegnazione[[#This Row],[Bene]],B[],3,0))</f>
        <v/>
      </c>
      <c r="G164" s="129" t="str">
        <f>+IFERROR(VLOOKUP(Assegnazione[[#This Row],[Bene]],B[],MATCH("Agevolabile",Beni!$A$4:$AC$4,0),0)*VLOOKUP(Assegnazione[[#This Row],[Socio]],A_1[],8,0),"")</f>
        <v/>
      </c>
      <c r="H164" s="172">
        <f>+SUMIF(B[Bene],Assegnazione[[#This Row],[Bene]],B[Valore netto contabile fiscalmente riconosciuto])*Assegnazione[[#This Row],[Quota di assegnazione]]</f>
        <v>0</v>
      </c>
      <c r="I164" s="172">
        <f>+SUMIF(B[Bene],Assegnazione[[#This Row],[Bene]],B[Valore normale])*Assegnazione[[#This Row],[Quota di assegnazione]]</f>
        <v>0</v>
      </c>
      <c r="J164" s="174">
        <f>+IF(Assegnazione[[#This Row],[Bene]]="",0,SUMIF(Assegnazione[Socio],Assegnazione[[#This Row],[Socio]],Assegnazione[Valore Normale])/$I$3)</f>
        <v>0</v>
      </c>
      <c r="K164" s="174" t="str">
        <f>IF(Assegnazione[[#This Row],[Bene]]="","",SUMIF(A_1[Nome],Assegnazione[[#This Row],[Socio]],A_1[Quota partecipazione al momento dell''operazione]))</f>
        <v/>
      </c>
      <c r="L164" s="172">
        <f>+SUMIF(B[Bene],Assegnazione[[#This Row],[Bene]],B[Valore catastale])*Assegnazione[[#This Row],[Quota di assegnazione]]</f>
        <v>0</v>
      </c>
      <c r="M164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4" s="172">
        <f>+MIN(Assegnazione[[#This Row],[Valore ai fini dell''atto]],Assegnazione[[#This Row],[Valore Fiscalmente riconosciuto]])</f>
        <v>0</v>
      </c>
      <c r="O164" s="146" t="str">
        <f>+IFERROR(VLOOKUP(Assegnazione[[#This Row],[Bene]],B[],MATCH($O$4,Beni!$A$4:$Z$4,0),0),"")</f>
        <v/>
      </c>
      <c r="P164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4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4" s="175">
        <f>+SUMIF(B[Bene],Assegnazione[[#This Row],[Bene]],B[Iva se dovuta])*Assegnazione[[#This Row],[Quota di assegnazione]]</f>
        <v>0</v>
      </c>
      <c r="S164" s="175">
        <f>+SUMIF(B[Bene],Assegnazione[[#This Row],[Bene]],B[Imposta di registro (fissa + prop) senza agevolazione])*Assegnazione[[#This Row],[Quota di assegnazione]]</f>
        <v>0</v>
      </c>
      <c r="T164" s="175">
        <f>+SUMIF(B[Bene],Assegnazione[[#This Row],[Bene]],B[Ipotecaria e catastale senza agevolazione])*Assegnazione[[#This Row],[Quota di assegnazione]]</f>
        <v>0</v>
      </c>
      <c r="U164" s="176">
        <f>+SUM(Assegnazione[[#This Row],[Tassazione diretta senza agevolazione]:[Ipotecaria e catastale senza agevolazione]])</f>
        <v>0</v>
      </c>
      <c r="V164" s="175">
        <f>+SUMIF(B[Bene],Assegnazione[[#This Row],[Bene]],B[Imponibile Imposta sostitutiva])*Assegnazione[[#This Row],[Quota di assegnazione]]*DATI!$E$27</f>
        <v>0</v>
      </c>
      <c r="W164" s="175">
        <f>+SUMIF(B[Bene],Assegnazione[[#This Row],[Bene]],B[Imposta di registro in misura fissa agevolata])*Assegnazione[[#This Row],[Quota di assegnazione]]</f>
        <v>0</v>
      </c>
      <c r="X164" s="175">
        <f>+SUMIF(B[Bene],Assegnazione[[#This Row],[Bene]],B[Imposta di registro prop. Agevolata])*Assegnazione[[#This Row],[Quota di assegnazione]]</f>
        <v>0</v>
      </c>
      <c r="Y164" s="175">
        <f>+IFERROR(Assegnazione[[#This Row],[Imposta di registro in misura fissa]]+Assegnazione[[#This Row],[Imposta di registro prop.]],"")</f>
        <v>0</v>
      </c>
      <c r="Z164" s="175">
        <f>+SUMIF(B[Bene],Assegnazione[[#This Row],[Bene]],B[Ipotecaria catastale agevolata])*Assegnazione[[#This Row],[Quota di assegnazione]]</f>
        <v>0</v>
      </c>
    </row>
    <row r="165" spans="1:26" x14ac:dyDescent="0.2">
      <c r="A165" s="123"/>
      <c r="B165" s="132"/>
      <c r="C165" s="123"/>
      <c r="D165" s="172">
        <f>+SUMIF(B[Bene],Assegnazione[[#This Row],[Bene]],B[Imponibile Iva])*Assegnazione[[#This Row],[Quota di assegnazione]]</f>
        <v>0</v>
      </c>
      <c r="E165" s="172">
        <f>+SUMIF(B[Bene],Assegnazione[[#This Row],[Bene]],B[Valore inserito manualmente])*Assegnazione[[#This Row],[Quota di assegnazione]]</f>
        <v>0</v>
      </c>
      <c r="F165" s="173" t="str">
        <f>+IF(A165="","",VLOOKUP(Assegnazione[[#This Row],[Bene]],B[],3,0))</f>
        <v/>
      </c>
      <c r="G165" s="129" t="str">
        <f>+IFERROR(VLOOKUP(Assegnazione[[#This Row],[Bene]],B[],MATCH("Agevolabile",Beni!$A$4:$AC$4,0),0)*VLOOKUP(Assegnazione[[#This Row],[Socio]],A_1[],8,0),"")</f>
        <v/>
      </c>
      <c r="H165" s="172">
        <f>+SUMIF(B[Bene],Assegnazione[[#This Row],[Bene]],B[Valore netto contabile fiscalmente riconosciuto])*Assegnazione[[#This Row],[Quota di assegnazione]]</f>
        <v>0</v>
      </c>
      <c r="I165" s="172">
        <f>+SUMIF(B[Bene],Assegnazione[[#This Row],[Bene]],B[Valore normale])*Assegnazione[[#This Row],[Quota di assegnazione]]</f>
        <v>0</v>
      </c>
      <c r="J165" s="174">
        <f>+IF(Assegnazione[[#This Row],[Bene]]="",0,SUMIF(Assegnazione[Socio],Assegnazione[[#This Row],[Socio]],Assegnazione[Valore Normale])/$I$3)</f>
        <v>0</v>
      </c>
      <c r="K165" s="174" t="str">
        <f>IF(Assegnazione[[#This Row],[Bene]]="","",SUMIF(A_1[Nome],Assegnazione[[#This Row],[Socio]],A_1[Quota partecipazione al momento dell''operazione]))</f>
        <v/>
      </c>
      <c r="L165" s="172">
        <f>+SUMIF(B[Bene],Assegnazione[[#This Row],[Bene]],B[Valore catastale])*Assegnazione[[#This Row],[Quota di assegnazione]]</f>
        <v>0</v>
      </c>
      <c r="M165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5" s="172">
        <f>+MIN(Assegnazione[[#This Row],[Valore ai fini dell''atto]],Assegnazione[[#This Row],[Valore Fiscalmente riconosciuto]])</f>
        <v>0</v>
      </c>
      <c r="O165" s="146" t="str">
        <f>+IFERROR(VLOOKUP(Assegnazione[[#This Row],[Bene]],B[],MATCH($O$4,Beni!$A$4:$Z$4,0),0),"")</f>
        <v/>
      </c>
      <c r="P165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5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5" s="175">
        <f>+SUMIF(B[Bene],Assegnazione[[#This Row],[Bene]],B[Iva se dovuta])*Assegnazione[[#This Row],[Quota di assegnazione]]</f>
        <v>0</v>
      </c>
      <c r="S165" s="175">
        <f>+SUMIF(B[Bene],Assegnazione[[#This Row],[Bene]],B[Imposta di registro (fissa + prop) senza agevolazione])*Assegnazione[[#This Row],[Quota di assegnazione]]</f>
        <v>0</v>
      </c>
      <c r="T165" s="175">
        <f>+SUMIF(B[Bene],Assegnazione[[#This Row],[Bene]],B[Ipotecaria e catastale senza agevolazione])*Assegnazione[[#This Row],[Quota di assegnazione]]</f>
        <v>0</v>
      </c>
      <c r="U165" s="176">
        <f>+SUM(Assegnazione[[#This Row],[Tassazione diretta senza agevolazione]:[Ipotecaria e catastale senza agevolazione]])</f>
        <v>0</v>
      </c>
      <c r="V165" s="175">
        <f>+SUMIF(B[Bene],Assegnazione[[#This Row],[Bene]],B[Imponibile Imposta sostitutiva])*Assegnazione[[#This Row],[Quota di assegnazione]]*DATI!$E$27</f>
        <v>0</v>
      </c>
      <c r="W165" s="175">
        <f>+SUMIF(B[Bene],Assegnazione[[#This Row],[Bene]],B[Imposta di registro in misura fissa agevolata])*Assegnazione[[#This Row],[Quota di assegnazione]]</f>
        <v>0</v>
      </c>
      <c r="X165" s="175">
        <f>+SUMIF(B[Bene],Assegnazione[[#This Row],[Bene]],B[Imposta di registro prop. Agevolata])*Assegnazione[[#This Row],[Quota di assegnazione]]</f>
        <v>0</v>
      </c>
      <c r="Y165" s="175">
        <f>+IFERROR(Assegnazione[[#This Row],[Imposta di registro in misura fissa]]+Assegnazione[[#This Row],[Imposta di registro prop.]],"")</f>
        <v>0</v>
      </c>
      <c r="Z165" s="175">
        <f>+SUMIF(B[Bene],Assegnazione[[#This Row],[Bene]],B[Ipotecaria catastale agevolata])*Assegnazione[[#This Row],[Quota di assegnazione]]</f>
        <v>0</v>
      </c>
    </row>
    <row r="166" spans="1:26" x14ac:dyDescent="0.2">
      <c r="A166" s="123"/>
      <c r="B166" s="132"/>
      <c r="C166" s="123"/>
      <c r="D166" s="172">
        <f>+SUMIF(B[Bene],Assegnazione[[#This Row],[Bene]],B[Imponibile Iva])*Assegnazione[[#This Row],[Quota di assegnazione]]</f>
        <v>0</v>
      </c>
      <c r="E166" s="172">
        <f>+SUMIF(B[Bene],Assegnazione[[#This Row],[Bene]],B[Valore inserito manualmente])*Assegnazione[[#This Row],[Quota di assegnazione]]</f>
        <v>0</v>
      </c>
      <c r="F166" s="173" t="str">
        <f>+IF(A166="","",VLOOKUP(Assegnazione[[#This Row],[Bene]],B[],3,0))</f>
        <v/>
      </c>
      <c r="G166" s="129" t="str">
        <f>+IFERROR(VLOOKUP(Assegnazione[[#This Row],[Bene]],B[],MATCH("Agevolabile",Beni!$A$4:$AC$4,0),0)*VLOOKUP(Assegnazione[[#This Row],[Socio]],A_1[],8,0),"")</f>
        <v/>
      </c>
      <c r="H166" s="172">
        <f>+SUMIF(B[Bene],Assegnazione[[#This Row],[Bene]],B[Valore netto contabile fiscalmente riconosciuto])*Assegnazione[[#This Row],[Quota di assegnazione]]</f>
        <v>0</v>
      </c>
      <c r="I166" s="172">
        <f>+SUMIF(B[Bene],Assegnazione[[#This Row],[Bene]],B[Valore normale])*Assegnazione[[#This Row],[Quota di assegnazione]]</f>
        <v>0</v>
      </c>
      <c r="J166" s="174">
        <f>+IF(Assegnazione[[#This Row],[Bene]]="",0,SUMIF(Assegnazione[Socio],Assegnazione[[#This Row],[Socio]],Assegnazione[Valore Normale])/$I$3)</f>
        <v>0</v>
      </c>
      <c r="K166" s="174" t="str">
        <f>IF(Assegnazione[[#This Row],[Bene]]="","",SUMIF(A_1[Nome],Assegnazione[[#This Row],[Socio]],A_1[Quota partecipazione al momento dell''operazione]))</f>
        <v/>
      </c>
      <c r="L166" s="172">
        <f>+SUMIF(B[Bene],Assegnazione[[#This Row],[Bene]],B[Valore catastale])*Assegnazione[[#This Row],[Quota di assegnazione]]</f>
        <v>0</v>
      </c>
      <c r="M166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6" s="172">
        <f>+MIN(Assegnazione[[#This Row],[Valore ai fini dell''atto]],Assegnazione[[#This Row],[Valore Fiscalmente riconosciuto]])</f>
        <v>0</v>
      </c>
      <c r="O166" s="146" t="str">
        <f>+IFERROR(VLOOKUP(Assegnazione[[#This Row],[Bene]],B[],MATCH($O$4,Beni!$A$4:$Z$4,0),0),"")</f>
        <v/>
      </c>
      <c r="P166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6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6" s="175">
        <f>+SUMIF(B[Bene],Assegnazione[[#This Row],[Bene]],B[Iva se dovuta])*Assegnazione[[#This Row],[Quota di assegnazione]]</f>
        <v>0</v>
      </c>
      <c r="S166" s="175">
        <f>+SUMIF(B[Bene],Assegnazione[[#This Row],[Bene]],B[Imposta di registro (fissa + prop) senza agevolazione])*Assegnazione[[#This Row],[Quota di assegnazione]]</f>
        <v>0</v>
      </c>
      <c r="T166" s="175">
        <f>+SUMIF(B[Bene],Assegnazione[[#This Row],[Bene]],B[Ipotecaria e catastale senza agevolazione])*Assegnazione[[#This Row],[Quota di assegnazione]]</f>
        <v>0</v>
      </c>
      <c r="U166" s="176">
        <f>+SUM(Assegnazione[[#This Row],[Tassazione diretta senza agevolazione]:[Ipotecaria e catastale senza agevolazione]])</f>
        <v>0</v>
      </c>
      <c r="V166" s="175">
        <f>+SUMIF(B[Bene],Assegnazione[[#This Row],[Bene]],B[Imponibile Imposta sostitutiva])*Assegnazione[[#This Row],[Quota di assegnazione]]*DATI!$E$27</f>
        <v>0</v>
      </c>
      <c r="W166" s="175">
        <f>+SUMIF(B[Bene],Assegnazione[[#This Row],[Bene]],B[Imposta di registro in misura fissa agevolata])*Assegnazione[[#This Row],[Quota di assegnazione]]</f>
        <v>0</v>
      </c>
      <c r="X166" s="175">
        <f>+SUMIF(B[Bene],Assegnazione[[#This Row],[Bene]],B[Imposta di registro prop. Agevolata])*Assegnazione[[#This Row],[Quota di assegnazione]]</f>
        <v>0</v>
      </c>
      <c r="Y166" s="175">
        <f>+IFERROR(Assegnazione[[#This Row],[Imposta di registro in misura fissa]]+Assegnazione[[#This Row],[Imposta di registro prop.]],"")</f>
        <v>0</v>
      </c>
      <c r="Z166" s="175">
        <f>+SUMIF(B[Bene],Assegnazione[[#This Row],[Bene]],B[Ipotecaria catastale agevolata])*Assegnazione[[#This Row],[Quota di assegnazione]]</f>
        <v>0</v>
      </c>
    </row>
    <row r="167" spans="1:26" x14ac:dyDescent="0.2">
      <c r="A167" s="123"/>
      <c r="B167" s="132"/>
      <c r="C167" s="123"/>
      <c r="D167" s="172">
        <f>+SUMIF(B[Bene],Assegnazione[[#This Row],[Bene]],B[Imponibile Iva])*Assegnazione[[#This Row],[Quota di assegnazione]]</f>
        <v>0</v>
      </c>
      <c r="E167" s="172">
        <f>+SUMIF(B[Bene],Assegnazione[[#This Row],[Bene]],B[Valore inserito manualmente])*Assegnazione[[#This Row],[Quota di assegnazione]]</f>
        <v>0</v>
      </c>
      <c r="F167" s="173" t="str">
        <f>+IF(A167="","",VLOOKUP(Assegnazione[[#This Row],[Bene]],B[],3,0))</f>
        <v/>
      </c>
      <c r="G167" s="129" t="str">
        <f>+IFERROR(VLOOKUP(Assegnazione[[#This Row],[Bene]],B[],MATCH("Agevolabile",Beni!$A$4:$AC$4,0),0)*VLOOKUP(Assegnazione[[#This Row],[Socio]],A_1[],8,0),"")</f>
        <v/>
      </c>
      <c r="H167" s="172">
        <f>+SUMIF(B[Bene],Assegnazione[[#This Row],[Bene]],B[Valore netto contabile fiscalmente riconosciuto])*Assegnazione[[#This Row],[Quota di assegnazione]]</f>
        <v>0</v>
      </c>
      <c r="I167" s="172">
        <f>+SUMIF(B[Bene],Assegnazione[[#This Row],[Bene]],B[Valore normale])*Assegnazione[[#This Row],[Quota di assegnazione]]</f>
        <v>0</v>
      </c>
      <c r="J167" s="174">
        <f>+IF(Assegnazione[[#This Row],[Bene]]="",0,SUMIF(Assegnazione[Socio],Assegnazione[[#This Row],[Socio]],Assegnazione[Valore Normale])/$I$3)</f>
        <v>0</v>
      </c>
      <c r="K167" s="174" t="str">
        <f>IF(Assegnazione[[#This Row],[Bene]]="","",SUMIF(A_1[Nome],Assegnazione[[#This Row],[Socio]],A_1[Quota partecipazione al momento dell''operazione]))</f>
        <v/>
      </c>
      <c r="L167" s="172">
        <f>+SUMIF(B[Bene],Assegnazione[[#This Row],[Bene]],B[Valore catastale])*Assegnazione[[#This Row],[Quota di assegnazione]]</f>
        <v>0</v>
      </c>
      <c r="M167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7" s="172">
        <f>+MIN(Assegnazione[[#This Row],[Valore ai fini dell''atto]],Assegnazione[[#This Row],[Valore Fiscalmente riconosciuto]])</f>
        <v>0</v>
      </c>
      <c r="O167" s="146" t="str">
        <f>+IFERROR(VLOOKUP(Assegnazione[[#This Row],[Bene]],B[],MATCH($O$4,Beni!$A$4:$Z$4,0),0),"")</f>
        <v/>
      </c>
      <c r="P167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7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7" s="175">
        <f>+SUMIF(B[Bene],Assegnazione[[#This Row],[Bene]],B[Iva se dovuta])*Assegnazione[[#This Row],[Quota di assegnazione]]</f>
        <v>0</v>
      </c>
      <c r="S167" s="175">
        <f>+SUMIF(B[Bene],Assegnazione[[#This Row],[Bene]],B[Imposta di registro (fissa + prop) senza agevolazione])*Assegnazione[[#This Row],[Quota di assegnazione]]</f>
        <v>0</v>
      </c>
      <c r="T167" s="175">
        <f>+SUMIF(B[Bene],Assegnazione[[#This Row],[Bene]],B[Ipotecaria e catastale senza agevolazione])*Assegnazione[[#This Row],[Quota di assegnazione]]</f>
        <v>0</v>
      </c>
      <c r="U167" s="176">
        <f>+SUM(Assegnazione[[#This Row],[Tassazione diretta senza agevolazione]:[Ipotecaria e catastale senza agevolazione]])</f>
        <v>0</v>
      </c>
      <c r="V167" s="175">
        <f>+SUMIF(B[Bene],Assegnazione[[#This Row],[Bene]],B[Imponibile Imposta sostitutiva])*Assegnazione[[#This Row],[Quota di assegnazione]]*DATI!$E$27</f>
        <v>0</v>
      </c>
      <c r="W167" s="175">
        <f>+SUMIF(B[Bene],Assegnazione[[#This Row],[Bene]],B[Imposta di registro in misura fissa agevolata])*Assegnazione[[#This Row],[Quota di assegnazione]]</f>
        <v>0</v>
      </c>
      <c r="X167" s="175">
        <f>+SUMIF(B[Bene],Assegnazione[[#This Row],[Bene]],B[Imposta di registro prop. Agevolata])*Assegnazione[[#This Row],[Quota di assegnazione]]</f>
        <v>0</v>
      </c>
      <c r="Y167" s="175">
        <f>+IFERROR(Assegnazione[[#This Row],[Imposta di registro in misura fissa]]+Assegnazione[[#This Row],[Imposta di registro prop.]],"")</f>
        <v>0</v>
      </c>
      <c r="Z167" s="175">
        <f>+SUMIF(B[Bene],Assegnazione[[#This Row],[Bene]],B[Ipotecaria catastale agevolata])*Assegnazione[[#This Row],[Quota di assegnazione]]</f>
        <v>0</v>
      </c>
    </row>
    <row r="168" spans="1:26" x14ac:dyDescent="0.2">
      <c r="A168" s="123"/>
      <c r="B168" s="132"/>
      <c r="C168" s="123"/>
      <c r="D168" s="172">
        <f>+SUMIF(B[Bene],Assegnazione[[#This Row],[Bene]],B[Imponibile Iva])*Assegnazione[[#This Row],[Quota di assegnazione]]</f>
        <v>0</v>
      </c>
      <c r="E168" s="172">
        <f>+SUMIF(B[Bene],Assegnazione[[#This Row],[Bene]],B[Valore inserito manualmente])*Assegnazione[[#This Row],[Quota di assegnazione]]</f>
        <v>0</v>
      </c>
      <c r="F168" s="173" t="str">
        <f>+IF(A168="","",VLOOKUP(Assegnazione[[#This Row],[Bene]],B[],3,0))</f>
        <v/>
      </c>
      <c r="G168" s="129" t="str">
        <f>+IFERROR(VLOOKUP(Assegnazione[[#This Row],[Bene]],B[],MATCH("Agevolabile",Beni!$A$4:$AC$4,0),0)*VLOOKUP(Assegnazione[[#This Row],[Socio]],A_1[],8,0),"")</f>
        <v/>
      </c>
      <c r="H168" s="172">
        <f>+SUMIF(B[Bene],Assegnazione[[#This Row],[Bene]],B[Valore netto contabile fiscalmente riconosciuto])*Assegnazione[[#This Row],[Quota di assegnazione]]</f>
        <v>0</v>
      </c>
      <c r="I168" s="172">
        <f>+SUMIF(B[Bene],Assegnazione[[#This Row],[Bene]],B[Valore normale])*Assegnazione[[#This Row],[Quota di assegnazione]]</f>
        <v>0</v>
      </c>
      <c r="J168" s="174">
        <f>+IF(Assegnazione[[#This Row],[Bene]]="",0,SUMIF(Assegnazione[Socio],Assegnazione[[#This Row],[Socio]],Assegnazione[Valore Normale])/$I$3)</f>
        <v>0</v>
      </c>
      <c r="K168" s="174" t="str">
        <f>IF(Assegnazione[[#This Row],[Bene]]="","",SUMIF(A_1[Nome],Assegnazione[[#This Row],[Socio]],A_1[Quota partecipazione al momento dell''operazione]))</f>
        <v/>
      </c>
      <c r="L168" s="172">
        <f>+SUMIF(B[Bene],Assegnazione[[#This Row],[Bene]],B[Valore catastale])*Assegnazione[[#This Row],[Quota di assegnazione]]</f>
        <v>0</v>
      </c>
      <c r="M168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8" s="172">
        <f>+MIN(Assegnazione[[#This Row],[Valore ai fini dell''atto]],Assegnazione[[#This Row],[Valore Fiscalmente riconosciuto]])</f>
        <v>0</v>
      </c>
      <c r="O168" s="146" t="str">
        <f>+IFERROR(VLOOKUP(Assegnazione[[#This Row],[Bene]],B[],MATCH($O$4,Beni!$A$4:$Z$4,0),0),"")</f>
        <v/>
      </c>
      <c r="P168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8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8" s="175">
        <f>+SUMIF(B[Bene],Assegnazione[[#This Row],[Bene]],B[Iva se dovuta])*Assegnazione[[#This Row],[Quota di assegnazione]]</f>
        <v>0</v>
      </c>
      <c r="S168" s="175">
        <f>+SUMIF(B[Bene],Assegnazione[[#This Row],[Bene]],B[Imposta di registro (fissa + prop) senza agevolazione])*Assegnazione[[#This Row],[Quota di assegnazione]]</f>
        <v>0</v>
      </c>
      <c r="T168" s="175">
        <f>+SUMIF(B[Bene],Assegnazione[[#This Row],[Bene]],B[Ipotecaria e catastale senza agevolazione])*Assegnazione[[#This Row],[Quota di assegnazione]]</f>
        <v>0</v>
      </c>
      <c r="U168" s="176">
        <f>+SUM(Assegnazione[[#This Row],[Tassazione diretta senza agevolazione]:[Ipotecaria e catastale senza agevolazione]])</f>
        <v>0</v>
      </c>
      <c r="V168" s="175">
        <f>+SUMIF(B[Bene],Assegnazione[[#This Row],[Bene]],B[Imponibile Imposta sostitutiva])*Assegnazione[[#This Row],[Quota di assegnazione]]*DATI!$E$27</f>
        <v>0</v>
      </c>
      <c r="W168" s="175">
        <f>+SUMIF(B[Bene],Assegnazione[[#This Row],[Bene]],B[Imposta di registro in misura fissa agevolata])*Assegnazione[[#This Row],[Quota di assegnazione]]</f>
        <v>0</v>
      </c>
      <c r="X168" s="175">
        <f>+SUMIF(B[Bene],Assegnazione[[#This Row],[Bene]],B[Imposta di registro prop. Agevolata])*Assegnazione[[#This Row],[Quota di assegnazione]]</f>
        <v>0</v>
      </c>
      <c r="Y168" s="175">
        <f>+IFERROR(Assegnazione[[#This Row],[Imposta di registro in misura fissa]]+Assegnazione[[#This Row],[Imposta di registro prop.]],"")</f>
        <v>0</v>
      </c>
      <c r="Z168" s="175">
        <f>+SUMIF(B[Bene],Assegnazione[[#This Row],[Bene]],B[Ipotecaria catastale agevolata])*Assegnazione[[#This Row],[Quota di assegnazione]]</f>
        <v>0</v>
      </c>
    </row>
    <row r="169" spans="1:26" x14ac:dyDescent="0.2">
      <c r="A169" s="123"/>
      <c r="B169" s="132"/>
      <c r="C169" s="123"/>
      <c r="D169" s="172">
        <f>+SUMIF(B[Bene],Assegnazione[[#This Row],[Bene]],B[Imponibile Iva])*Assegnazione[[#This Row],[Quota di assegnazione]]</f>
        <v>0</v>
      </c>
      <c r="E169" s="172">
        <f>+SUMIF(B[Bene],Assegnazione[[#This Row],[Bene]],B[Valore inserito manualmente])*Assegnazione[[#This Row],[Quota di assegnazione]]</f>
        <v>0</v>
      </c>
      <c r="F169" s="173" t="str">
        <f>+IF(A169="","",VLOOKUP(Assegnazione[[#This Row],[Bene]],B[],3,0))</f>
        <v/>
      </c>
      <c r="G169" s="129" t="str">
        <f>+IFERROR(VLOOKUP(Assegnazione[[#This Row],[Bene]],B[],MATCH("Agevolabile",Beni!$A$4:$AC$4,0),0)*VLOOKUP(Assegnazione[[#This Row],[Socio]],A_1[],8,0),"")</f>
        <v/>
      </c>
      <c r="H169" s="172">
        <f>+SUMIF(B[Bene],Assegnazione[[#This Row],[Bene]],B[Valore netto contabile fiscalmente riconosciuto])*Assegnazione[[#This Row],[Quota di assegnazione]]</f>
        <v>0</v>
      </c>
      <c r="I169" s="172">
        <f>+SUMIF(B[Bene],Assegnazione[[#This Row],[Bene]],B[Valore normale])*Assegnazione[[#This Row],[Quota di assegnazione]]</f>
        <v>0</v>
      </c>
      <c r="J169" s="174">
        <f>+IF(Assegnazione[[#This Row],[Bene]]="",0,SUMIF(Assegnazione[Socio],Assegnazione[[#This Row],[Socio]],Assegnazione[Valore Normale])/$I$3)</f>
        <v>0</v>
      </c>
      <c r="K169" s="174" t="str">
        <f>IF(Assegnazione[[#This Row],[Bene]]="","",SUMIF(A_1[Nome],Assegnazione[[#This Row],[Socio]],A_1[Quota partecipazione al momento dell''operazione]))</f>
        <v/>
      </c>
      <c r="L169" s="172">
        <f>+SUMIF(B[Bene],Assegnazione[[#This Row],[Bene]],B[Valore catastale])*Assegnazione[[#This Row],[Quota di assegnazione]]</f>
        <v>0</v>
      </c>
      <c r="M169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9" s="172">
        <f>+MIN(Assegnazione[[#This Row],[Valore ai fini dell''atto]],Assegnazione[[#This Row],[Valore Fiscalmente riconosciuto]])</f>
        <v>0</v>
      </c>
      <c r="O169" s="146" t="str">
        <f>+IFERROR(VLOOKUP(Assegnazione[[#This Row],[Bene]],B[],MATCH($O$4,Beni!$A$4:$Z$4,0),0),"")</f>
        <v/>
      </c>
      <c r="P169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9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9" s="175">
        <f>+SUMIF(B[Bene],Assegnazione[[#This Row],[Bene]],B[Iva se dovuta])*Assegnazione[[#This Row],[Quota di assegnazione]]</f>
        <v>0</v>
      </c>
      <c r="S169" s="175">
        <f>+SUMIF(B[Bene],Assegnazione[[#This Row],[Bene]],B[Imposta di registro (fissa + prop) senza agevolazione])*Assegnazione[[#This Row],[Quota di assegnazione]]</f>
        <v>0</v>
      </c>
      <c r="T169" s="175">
        <f>+SUMIF(B[Bene],Assegnazione[[#This Row],[Bene]],B[Ipotecaria e catastale senza agevolazione])*Assegnazione[[#This Row],[Quota di assegnazione]]</f>
        <v>0</v>
      </c>
      <c r="U169" s="176">
        <f>+SUM(Assegnazione[[#This Row],[Tassazione diretta senza agevolazione]:[Ipotecaria e catastale senza agevolazione]])</f>
        <v>0</v>
      </c>
      <c r="V169" s="175">
        <f>+SUMIF(B[Bene],Assegnazione[[#This Row],[Bene]],B[Imponibile Imposta sostitutiva])*Assegnazione[[#This Row],[Quota di assegnazione]]*DATI!$E$27</f>
        <v>0</v>
      </c>
      <c r="W169" s="175">
        <f>+SUMIF(B[Bene],Assegnazione[[#This Row],[Bene]],B[Imposta di registro in misura fissa agevolata])*Assegnazione[[#This Row],[Quota di assegnazione]]</f>
        <v>0</v>
      </c>
      <c r="X169" s="175">
        <f>+SUMIF(B[Bene],Assegnazione[[#This Row],[Bene]],B[Imposta di registro prop. Agevolata])*Assegnazione[[#This Row],[Quota di assegnazione]]</f>
        <v>0</v>
      </c>
      <c r="Y169" s="175">
        <f>+IFERROR(Assegnazione[[#This Row],[Imposta di registro in misura fissa]]+Assegnazione[[#This Row],[Imposta di registro prop.]],"")</f>
        <v>0</v>
      </c>
      <c r="Z169" s="175">
        <f>+SUMIF(B[Bene],Assegnazione[[#This Row],[Bene]],B[Ipotecaria catastale agevolata])*Assegnazione[[#This Row],[Quota di assegnazione]]</f>
        <v>0</v>
      </c>
    </row>
    <row r="170" spans="1:26" x14ac:dyDescent="0.2">
      <c r="A170" s="123"/>
      <c r="B170" s="132"/>
      <c r="C170" s="123"/>
      <c r="D170" s="172">
        <f>+SUMIF(B[Bene],Assegnazione[[#This Row],[Bene]],B[Imponibile Iva])*Assegnazione[[#This Row],[Quota di assegnazione]]</f>
        <v>0</v>
      </c>
      <c r="E170" s="172">
        <f>+SUMIF(B[Bene],Assegnazione[[#This Row],[Bene]],B[Valore inserito manualmente])*Assegnazione[[#This Row],[Quota di assegnazione]]</f>
        <v>0</v>
      </c>
      <c r="F170" s="173" t="str">
        <f>+IF(A170="","",VLOOKUP(Assegnazione[[#This Row],[Bene]],B[],3,0))</f>
        <v/>
      </c>
      <c r="G170" s="129" t="str">
        <f>+IFERROR(VLOOKUP(Assegnazione[[#This Row],[Bene]],B[],MATCH("Agevolabile",Beni!$A$4:$AC$4,0),0)*VLOOKUP(Assegnazione[[#This Row],[Socio]],A_1[],8,0),"")</f>
        <v/>
      </c>
      <c r="H170" s="172">
        <f>+SUMIF(B[Bene],Assegnazione[[#This Row],[Bene]],B[Valore netto contabile fiscalmente riconosciuto])*Assegnazione[[#This Row],[Quota di assegnazione]]</f>
        <v>0</v>
      </c>
      <c r="I170" s="172">
        <f>+SUMIF(B[Bene],Assegnazione[[#This Row],[Bene]],B[Valore normale])*Assegnazione[[#This Row],[Quota di assegnazione]]</f>
        <v>0</v>
      </c>
      <c r="J170" s="174">
        <f>+IF(Assegnazione[[#This Row],[Bene]]="",0,SUMIF(Assegnazione[Socio],Assegnazione[[#This Row],[Socio]],Assegnazione[Valore Normale])/$I$3)</f>
        <v>0</v>
      </c>
      <c r="K170" s="174" t="str">
        <f>IF(Assegnazione[[#This Row],[Bene]]="","",SUMIF(A_1[Nome],Assegnazione[[#This Row],[Socio]],A_1[Quota partecipazione al momento dell''operazione]))</f>
        <v/>
      </c>
      <c r="L170" s="172">
        <f>+SUMIF(B[Bene],Assegnazione[[#This Row],[Bene]],B[Valore catastale])*Assegnazione[[#This Row],[Quota di assegnazione]]</f>
        <v>0</v>
      </c>
      <c r="M170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0" s="172">
        <f>+MIN(Assegnazione[[#This Row],[Valore ai fini dell''atto]],Assegnazione[[#This Row],[Valore Fiscalmente riconosciuto]])</f>
        <v>0</v>
      </c>
      <c r="O170" s="146" t="str">
        <f>+IFERROR(VLOOKUP(Assegnazione[[#This Row],[Bene]],B[],MATCH($O$4,Beni!$A$4:$Z$4,0),0),"")</f>
        <v/>
      </c>
      <c r="P170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0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0" s="175">
        <f>+SUMIF(B[Bene],Assegnazione[[#This Row],[Bene]],B[Iva se dovuta])*Assegnazione[[#This Row],[Quota di assegnazione]]</f>
        <v>0</v>
      </c>
      <c r="S170" s="175">
        <f>+SUMIF(B[Bene],Assegnazione[[#This Row],[Bene]],B[Imposta di registro (fissa + prop) senza agevolazione])*Assegnazione[[#This Row],[Quota di assegnazione]]</f>
        <v>0</v>
      </c>
      <c r="T170" s="175">
        <f>+SUMIF(B[Bene],Assegnazione[[#This Row],[Bene]],B[Ipotecaria e catastale senza agevolazione])*Assegnazione[[#This Row],[Quota di assegnazione]]</f>
        <v>0</v>
      </c>
      <c r="U170" s="176">
        <f>+SUM(Assegnazione[[#This Row],[Tassazione diretta senza agevolazione]:[Ipotecaria e catastale senza agevolazione]])</f>
        <v>0</v>
      </c>
      <c r="V170" s="175">
        <f>+SUMIF(B[Bene],Assegnazione[[#This Row],[Bene]],B[Imponibile Imposta sostitutiva])*Assegnazione[[#This Row],[Quota di assegnazione]]*DATI!$E$27</f>
        <v>0</v>
      </c>
      <c r="W170" s="175">
        <f>+SUMIF(B[Bene],Assegnazione[[#This Row],[Bene]],B[Imposta di registro in misura fissa agevolata])*Assegnazione[[#This Row],[Quota di assegnazione]]</f>
        <v>0</v>
      </c>
      <c r="X170" s="175">
        <f>+SUMIF(B[Bene],Assegnazione[[#This Row],[Bene]],B[Imposta di registro prop. Agevolata])*Assegnazione[[#This Row],[Quota di assegnazione]]</f>
        <v>0</v>
      </c>
      <c r="Y170" s="175">
        <f>+IFERROR(Assegnazione[[#This Row],[Imposta di registro in misura fissa]]+Assegnazione[[#This Row],[Imposta di registro prop.]],"")</f>
        <v>0</v>
      </c>
      <c r="Z170" s="175">
        <f>+SUMIF(B[Bene],Assegnazione[[#This Row],[Bene]],B[Ipotecaria catastale agevolata])*Assegnazione[[#This Row],[Quota di assegnazione]]</f>
        <v>0</v>
      </c>
    </row>
    <row r="171" spans="1:26" x14ac:dyDescent="0.2">
      <c r="A171" s="123"/>
      <c r="B171" s="132"/>
      <c r="C171" s="123"/>
      <c r="D171" s="172">
        <f>+SUMIF(B[Bene],Assegnazione[[#This Row],[Bene]],B[Imponibile Iva])*Assegnazione[[#This Row],[Quota di assegnazione]]</f>
        <v>0</v>
      </c>
      <c r="E171" s="172">
        <f>+SUMIF(B[Bene],Assegnazione[[#This Row],[Bene]],B[Valore inserito manualmente])*Assegnazione[[#This Row],[Quota di assegnazione]]</f>
        <v>0</v>
      </c>
      <c r="F171" s="173" t="str">
        <f>+IF(A171="","",VLOOKUP(Assegnazione[[#This Row],[Bene]],B[],3,0))</f>
        <v/>
      </c>
      <c r="G171" s="129" t="str">
        <f>+IFERROR(VLOOKUP(Assegnazione[[#This Row],[Bene]],B[],MATCH("Agevolabile",Beni!$A$4:$AC$4,0),0)*VLOOKUP(Assegnazione[[#This Row],[Socio]],A_1[],8,0),"")</f>
        <v/>
      </c>
      <c r="H171" s="172">
        <f>+SUMIF(B[Bene],Assegnazione[[#This Row],[Bene]],B[Valore netto contabile fiscalmente riconosciuto])*Assegnazione[[#This Row],[Quota di assegnazione]]</f>
        <v>0</v>
      </c>
      <c r="I171" s="172">
        <f>+SUMIF(B[Bene],Assegnazione[[#This Row],[Bene]],B[Valore normale])*Assegnazione[[#This Row],[Quota di assegnazione]]</f>
        <v>0</v>
      </c>
      <c r="J171" s="174">
        <f>+IF(Assegnazione[[#This Row],[Bene]]="",0,SUMIF(Assegnazione[Socio],Assegnazione[[#This Row],[Socio]],Assegnazione[Valore Normale])/$I$3)</f>
        <v>0</v>
      </c>
      <c r="K171" s="174" t="str">
        <f>IF(Assegnazione[[#This Row],[Bene]]="","",SUMIF(A_1[Nome],Assegnazione[[#This Row],[Socio]],A_1[Quota partecipazione al momento dell''operazione]))</f>
        <v/>
      </c>
      <c r="L171" s="172">
        <f>+SUMIF(B[Bene],Assegnazione[[#This Row],[Bene]],B[Valore catastale])*Assegnazione[[#This Row],[Quota di assegnazione]]</f>
        <v>0</v>
      </c>
      <c r="M171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1" s="172">
        <f>+MIN(Assegnazione[[#This Row],[Valore ai fini dell''atto]],Assegnazione[[#This Row],[Valore Fiscalmente riconosciuto]])</f>
        <v>0</v>
      </c>
      <c r="O171" s="146" t="str">
        <f>+IFERROR(VLOOKUP(Assegnazione[[#This Row],[Bene]],B[],MATCH($O$4,Beni!$A$4:$Z$4,0),0),"")</f>
        <v/>
      </c>
      <c r="P171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1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1" s="175">
        <f>+SUMIF(B[Bene],Assegnazione[[#This Row],[Bene]],B[Iva se dovuta])*Assegnazione[[#This Row],[Quota di assegnazione]]</f>
        <v>0</v>
      </c>
      <c r="S171" s="175">
        <f>+SUMIF(B[Bene],Assegnazione[[#This Row],[Bene]],B[Imposta di registro (fissa + prop) senza agevolazione])*Assegnazione[[#This Row],[Quota di assegnazione]]</f>
        <v>0</v>
      </c>
      <c r="T171" s="175">
        <f>+SUMIF(B[Bene],Assegnazione[[#This Row],[Bene]],B[Ipotecaria e catastale senza agevolazione])*Assegnazione[[#This Row],[Quota di assegnazione]]</f>
        <v>0</v>
      </c>
      <c r="U171" s="176">
        <f>+SUM(Assegnazione[[#This Row],[Tassazione diretta senza agevolazione]:[Ipotecaria e catastale senza agevolazione]])</f>
        <v>0</v>
      </c>
      <c r="V171" s="175">
        <f>+SUMIF(B[Bene],Assegnazione[[#This Row],[Bene]],B[Imponibile Imposta sostitutiva])*Assegnazione[[#This Row],[Quota di assegnazione]]*DATI!$E$27</f>
        <v>0</v>
      </c>
      <c r="W171" s="175">
        <f>+SUMIF(B[Bene],Assegnazione[[#This Row],[Bene]],B[Imposta di registro in misura fissa agevolata])*Assegnazione[[#This Row],[Quota di assegnazione]]</f>
        <v>0</v>
      </c>
      <c r="X171" s="175">
        <f>+SUMIF(B[Bene],Assegnazione[[#This Row],[Bene]],B[Imposta di registro prop. Agevolata])*Assegnazione[[#This Row],[Quota di assegnazione]]</f>
        <v>0</v>
      </c>
      <c r="Y171" s="175">
        <f>+IFERROR(Assegnazione[[#This Row],[Imposta di registro in misura fissa]]+Assegnazione[[#This Row],[Imposta di registro prop.]],"")</f>
        <v>0</v>
      </c>
      <c r="Z171" s="175">
        <f>+SUMIF(B[Bene],Assegnazione[[#This Row],[Bene]],B[Ipotecaria catastale agevolata])*Assegnazione[[#This Row],[Quota di assegnazione]]</f>
        <v>0</v>
      </c>
    </row>
    <row r="172" spans="1:26" x14ac:dyDescent="0.2">
      <c r="A172" s="123"/>
      <c r="B172" s="132"/>
      <c r="C172" s="123"/>
      <c r="D172" s="172">
        <f>+SUMIF(B[Bene],Assegnazione[[#This Row],[Bene]],B[Imponibile Iva])*Assegnazione[[#This Row],[Quota di assegnazione]]</f>
        <v>0</v>
      </c>
      <c r="E172" s="172">
        <f>+SUMIF(B[Bene],Assegnazione[[#This Row],[Bene]],B[Valore inserito manualmente])*Assegnazione[[#This Row],[Quota di assegnazione]]</f>
        <v>0</v>
      </c>
      <c r="F172" s="173" t="str">
        <f>+IF(A172="","",VLOOKUP(Assegnazione[[#This Row],[Bene]],B[],3,0))</f>
        <v/>
      </c>
      <c r="G172" s="129" t="str">
        <f>+IFERROR(VLOOKUP(Assegnazione[[#This Row],[Bene]],B[],MATCH("Agevolabile",Beni!$A$4:$AC$4,0),0)*VLOOKUP(Assegnazione[[#This Row],[Socio]],A_1[],8,0),"")</f>
        <v/>
      </c>
      <c r="H172" s="172">
        <f>+SUMIF(B[Bene],Assegnazione[[#This Row],[Bene]],B[Valore netto contabile fiscalmente riconosciuto])*Assegnazione[[#This Row],[Quota di assegnazione]]</f>
        <v>0</v>
      </c>
      <c r="I172" s="172">
        <f>+SUMIF(B[Bene],Assegnazione[[#This Row],[Bene]],B[Valore normale])*Assegnazione[[#This Row],[Quota di assegnazione]]</f>
        <v>0</v>
      </c>
      <c r="J172" s="174">
        <f>+IF(Assegnazione[[#This Row],[Bene]]="",0,SUMIF(Assegnazione[Socio],Assegnazione[[#This Row],[Socio]],Assegnazione[Valore Normale])/$I$3)</f>
        <v>0</v>
      </c>
      <c r="K172" s="174" t="str">
        <f>IF(Assegnazione[[#This Row],[Bene]]="","",SUMIF(A_1[Nome],Assegnazione[[#This Row],[Socio]],A_1[Quota partecipazione al momento dell''operazione]))</f>
        <v/>
      </c>
      <c r="L172" s="172">
        <f>+SUMIF(B[Bene],Assegnazione[[#This Row],[Bene]],B[Valore catastale])*Assegnazione[[#This Row],[Quota di assegnazione]]</f>
        <v>0</v>
      </c>
      <c r="M172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2" s="172">
        <f>+MIN(Assegnazione[[#This Row],[Valore ai fini dell''atto]],Assegnazione[[#This Row],[Valore Fiscalmente riconosciuto]])</f>
        <v>0</v>
      </c>
      <c r="O172" s="146" t="str">
        <f>+IFERROR(VLOOKUP(Assegnazione[[#This Row],[Bene]],B[],MATCH($O$4,Beni!$A$4:$Z$4,0),0),"")</f>
        <v/>
      </c>
      <c r="P172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2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2" s="175">
        <f>+SUMIF(B[Bene],Assegnazione[[#This Row],[Bene]],B[Iva se dovuta])*Assegnazione[[#This Row],[Quota di assegnazione]]</f>
        <v>0</v>
      </c>
      <c r="S172" s="175">
        <f>+SUMIF(B[Bene],Assegnazione[[#This Row],[Bene]],B[Imposta di registro (fissa + prop) senza agevolazione])*Assegnazione[[#This Row],[Quota di assegnazione]]</f>
        <v>0</v>
      </c>
      <c r="T172" s="175">
        <f>+SUMIF(B[Bene],Assegnazione[[#This Row],[Bene]],B[Ipotecaria e catastale senza agevolazione])*Assegnazione[[#This Row],[Quota di assegnazione]]</f>
        <v>0</v>
      </c>
      <c r="U172" s="176">
        <f>+SUM(Assegnazione[[#This Row],[Tassazione diretta senza agevolazione]:[Ipotecaria e catastale senza agevolazione]])</f>
        <v>0</v>
      </c>
      <c r="V172" s="175">
        <f>+SUMIF(B[Bene],Assegnazione[[#This Row],[Bene]],B[Imponibile Imposta sostitutiva])*Assegnazione[[#This Row],[Quota di assegnazione]]*DATI!$E$27</f>
        <v>0</v>
      </c>
      <c r="W172" s="175">
        <f>+SUMIF(B[Bene],Assegnazione[[#This Row],[Bene]],B[Imposta di registro in misura fissa agevolata])*Assegnazione[[#This Row],[Quota di assegnazione]]</f>
        <v>0</v>
      </c>
      <c r="X172" s="175">
        <f>+SUMIF(B[Bene],Assegnazione[[#This Row],[Bene]],B[Imposta di registro prop. Agevolata])*Assegnazione[[#This Row],[Quota di assegnazione]]</f>
        <v>0</v>
      </c>
      <c r="Y172" s="175">
        <f>+IFERROR(Assegnazione[[#This Row],[Imposta di registro in misura fissa]]+Assegnazione[[#This Row],[Imposta di registro prop.]],"")</f>
        <v>0</v>
      </c>
      <c r="Z172" s="175">
        <f>+SUMIF(B[Bene],Assegnazione[[#This Row],[Bene]],B[Ipotecaria catastale agevolata])*Assegnazione[[#This Row],[Quota di assegnazione]]</f>
        <v>0</v>
      </c>
    </row>
    <row r="173" spans="1:26" x14ac:dyDescent="0.2">
      <c r="A173" s="123"/>
      <c r="B173" s="132"/>
      <c r="C173" s="123"/>
      <c r="D173" s="172">
        <f>+SUMIF(B[Bene],Assegnazione[[#This Row],[Bene]],B[Imponibile Iva])*Assegnazione[[#This Row],[Quota di assegnazione]]</f>
        <v>0</v>
      </c>
      <c r="E173" s="172">
        <f>+SUMIF(B[Bene],Assegnazione[[#This Row],[Bene]],B[Valore inserito manualmente])*Assegnazione[[#This Row],[Quota di assegnazione]]</f>
        <v>0</v>
      </c>
      <c r="F173" s="173" t="str">
        <f>+IF(A173="","",VLOOKUP(Assegnazione[[#This Row],[Bene]],B[],3,0))</f>
        <v/>
      </c>
      <c r="G173" s="129" t="str">
        <f>+IFERROR(VLOOKUP(Assegnazione[[#This Row],[Bene]],B[],MATCH("Agevolabile",Beni!$A$4:$AC$4,0),0)*VLOOKUP(Assegnazione[[#This Row],[Socio]],A_1[],8,0),"")</f>
        <v/>
      </c>
      <c r="H173" s="172">
        <f>+SUMIF(B[Bene],Assegnazione[[#This Row],[Bene]],B[Valore netto contabile fiscalmente riconosciuto])*Assegnazione[[#This Row],[Quota di assegnazione]]</f>
        <v>0</v>
      </c>
      <c r="I173" s="172">
        <f>+SUMIF(B[Bene],Assegnazione[[#This Row],[Bene]],B[Valore normale])*Assegnazione[[#This Row],[Quota di assegnazione]]</f>
        <v>0</v>
      </c>
      <c r="J173" s="174">
        <f>+IF(Assegnazione[[#This Row],[Bene]]="",0,SUMIF(Assegnazione[Socio],Assegnazione[[#This Row],[Socio]],Assegnazione[Valore Normale])/$I$3)</f>
        <v>0</v>
      </c>
      <c r="K173" s="174" t="str">
        <f>IF(Assegnazione[[#This Row],[Bene]]="","",SUMIF(A_1[Nome],Assegnazione[[#This Row],[Socio]],A_1[Quota partecipazione al momento dell''operazione]))</f>
        <v/>
      </c>
      <c r="L173" s="172">
        <f>+SUMIF(B[Bene],Assegnazione[[#This Row],[Bene]],B[Valore catastale])*Assegnazione[[#This Row],[Quota di assegnazione]]</f>
        <v>0</v>
      </c>
      <c r="M173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3" s="172">
        <f>+MIN(Assegnazione[[#This Row],[Valore ai fini dell''atto]],Assegnazione[[#This Row],[Valore Fiscalmente riconosciuto]])</f>
        <v>0</v>
      </c>
      <c r="O173" s="146" t="str">
        <f>+IFERROR(VLOOKUP(Assegnazione[[#This Row],[Bene]],B[],MATCH($O$4,Beni!$A$4:$Z$4,0),0),"")</f>
        <v/>
      </c>
      <c r="P173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3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3" s="175">
        <f>+SUMIF(B[Bene],Assegnazione[[#This Row],[Bene]],B[Iva se dovuta])*Assegnazione[[#This Row],[Quota di assegnazione]]</f>
        <v>0</v>
      </c>
      <c r="S173" s="175">
        <f>+SUMIF(B[Bene],Assegnazione[[#This Row],[Bene]],B[Imposta di registro (fissa + prop) senza agevolazione])*Assegnazione[[#This Row],[Quota di assegnazione]]</f>
        <v>0</v>
      </c>
      <c r="T173" s="175">
        <f>+SUMIF(B[Bene],Assegnazione[[#This Row],[Bene]],B[Ipotecaria e catastale senza agevolazione])*Assegnazione[[#This Row],[Quota di assegnazione]]</f>
        <v>0</v>
      </c>
      <c r="U173" s="176">
        <f>+SUM(Assegnazione[[#This Row],[Tassazione diretta senza agevolazione]:[Ipotecaria e catastale senza agevolazione]])</f>
        <v>0</v>
      </c>
      <c r="V173" s="175">
        <f>+SUMIF(B[Bene],Assegnazione[[#This Row],[Bene]],B[Imponibile Imposta sostitutiva])*Assegnazione[[#This Row],[Quota di assegnazione]]*DATI!$E$27</f>
        <v>0</v>
      </c>
      <c r="W173" s="175">
        <f>+SUMIF(B[Bene],Assegnazione[[#This Row],[Bene]],B[Imposta di registro in misura fissa agevolata])*Assegnazione[[#This Row],[Quota di assegnazione]]</f>
        <v>0</v>
      </c>
      <c r="X173" s="175">
        <f>+SUMIF(B[Bene],Assegnazione[[#This Row],[Bene]],B[Imposta di registro prop. Agevolata])*Assegnazione[[#This Row],[Quota di assegnazione]]</f>
        <v>0</v>
      </c>
      <c r="Y173" s="175">
        <f>+IFERROR(Assegnazione[[#This Row],[Imposta di registro in misura fissa]]+Assegnazione[[#This Row],[Imposta di registro prop.]],"")</f>
        <v>0</v>
      </c>
      <c r="Z173" s="175">
        <f>+SUMIF(B[Bene],Assegnazione[[#This Row],[Bene]],B[Ipotecaria catastale agevolata])*Assegnazione[[#This Row],[Quota di assegnazione]]</f>
        <v>0</v>
      </c>
    </row>
    <row r="174" spans="1:26" x14ac:dyDescent="0.2">
      <c r="A174" s="123"/>
      <c r="B174" s="132"/>
      <c r="C174" s="123"/>
      <c r="D174" s="172">
        <f>+SUMIF(B[Bene],Assegnazione[[#This Row],[Bene]],B[Imponibile Iva])*Assegnazione[[#This Row],[Quota di assegnazione]]</f>
        <v>0</v>
      </c>
      <c r="E174" s="172">
        <f>+SUMIF(B[Bene],Assegnazione[[#This Row],[Bene]],B[Valore inserito manualmente])*Assegnazione[[#This Row],[Quota di assegnazione]]</f>
        <v>0</v>
      </c>
      <c r="F174" s="173" t="str">
        <f>+IF(A174="","",VLOOKUP(Assegnazione[[#This Row],[Bene]],B[],3,0))</f>
        <v/>
      </c>
      <c r="G174" s="129" t="str">
        <f>+IFERROR(VLOOKUP(Assegnazione[[#This Row],[Bene]],B[],MATCH("Agevolabile",Beni!$A$4:$AC$4,0),0)*VLOOKUP(Assegnazione[[#This Row],[Socio]],A_1[],8,0),"")</f>
        <v/>
      </c>
      <c r="H174" s="172">
        <f>+SUMIF(B[Bene],Assegnazione[[#This Row],[Bene]],B[Valore netto contabile fiscalmente riconosciuto])*Assegnazione[[#This Row],[Quota di assegnazione]]</f>
        <v>0</v>
      </c>
      <c r="I174" s="172">
        <f>+SUMIF(B[Bene],Assegnazione[[#This Row],[Bene]],B[Valore normale])*Assegnazione[[#This Row],[Quota di assegnazione]]</f>
        <v>0</v>
      </c>
      <c r="J174" s="174">
        <f>+IF(Assegnazione[[#This Row],[Bene]]="",0,SUMIF(Assegnazione[Socio],Assegnazione[[#This Row],[Socio]],Assegnazione[Valore Normale])/$I$3)</f>
        <v>0</v>
      </c>
      <c r="K174" s="174" t="str">
        <f>IF(Assegnazione[[#This Row],[Bene]]="","",SUMIF(A_1[Nome],Assegnazione[[#This Row],[Socio]],A_1[Quota partecipazione al momento dell''operazione]))</f>
        <v/>
      </c>
      <c r="L174" s="172">
        <f>+SUMIF(B[Bene],Assegnazione[[#This Row],[Bene]],B[Valore catastale])*Assegnazione[[#This Row],[Quota di assegnazione]]</f>
        <v>0</v>
      </c>
      <c r="M174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4" s="172">
        <f>+MIN(Assegnazione[[#This Row],[Valore ai fini dell''atto]],Assegnazione[[#This Row],[Valore Fiscalmente riconosciuto]])</f>
        <v>0</v>
      </c>
      <c r="O174" s="146" t="str">
        <f>+IFERROR(VLOOKUP(Assegnazione[[#This Row],[Bene]],B[],MATCH($O$4,Beni!$A$4:$Z$4,0),0),"")</f>
        <v/>
      </c>
      <c r="P174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4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4" s="175">
        <f>+SUMIF(B[Bene],Assegnazione[[#This Row],[Bene]],B[Iva se dovuta])*Assegnazione[[#This Row],[Quota di assegnazione]]</f>
        <v>0</v>
      </c>
      <c r="S174" s="175">
        <f>+SUMIF(B[Bene],Assegnazione[[#This Row],[Bene]],B[Imposta di registro (fissa + prop) senza agevolazione])*Assegnazione[[#This Row],[Quota di assegnazione]]</f>
        <v>0</v>
      </c>
      <c r="T174" s="175">
        <f>+SUMIF(B[Bene],Assegnazione[[#This Row],[Bene]],B[Ipotecaria e catastale senza agevolazione])*Assegnazione[[#This Row],[Quota di assegnazione]]</f>
        <v>0</v>
      </c>
      <c r="U174" s="176">
        <f>+SUM(Assegnazione[[#This Row],[Tassazione diretta senza agevolazione]:[Ipotecaria e catastale senza agevolazione]])</f>
        <v>0</v>
      </c>
      <c r="V174" s="175">
        <f>+SUMIF(B[Bene],Assegnazione[[#This Row],[Bene]],B[Imponibile Imposta sostitutiva])*Assegnazione[[#This Row],[Quota di assegnazione]]*DATI!$E$27</f>
        <v>0</v>
      </c>
      <c r="W174" s="175">
        <f>+SUMIF(B[Bene],Assegnazione[[#This Row],[Bene]],B[Imposta di registro in misura fissa agevolata])*Assegnazione[[#This Row],[Quota di assegnazione]]</f>
        <v>0</v>
      </c>
      <c r="X174" s="175">
        <f>+SUMIF(B[Bene],Assegnazione[[#This Row],[Bene]],B[Imposta di registro prop. Agevolata])*Assegnazione[[#This Row],[Quota di assegnazione]]</f>
        <v>0</v>
      </c>
      <c r="Y174" s="175">
        <f>+IFERROR(Assegnazione[[#This Row],[Imposta di registro in misura fissa]]+Assegnazione[[#This Row],[Imposta di registro prop.]],"")</f>
        <v>0</v>
      </c>
      <c r="Z174" s="175">
        <f>+SUMIF(B[Bene],Assegnazione[[#This Row],[Bene]],B[Ipotecaria catastale agevolata])*Assegnazione[[#This Row],[Quota di assegnazione]]</f>
        <v>0</v>
      </c>
    </row>
    <row r="175" spans="1:26" x14ac:dyDescent="0.2">
      <c r="A175" s="123"/>
      <c r="B175" s="132"/>
      <c r="C175" s="123"/>
      <c r="D175" s="172">
        <f>+SUMIF(B[Bene],Assegnazione[[#This Row],[Bene]],B[Imponibile Iva])*Assegnazione[[#This Row],[Quota di assegnazione]]</f>
        <v>0</v>
      </c>
      <c r="E175" s="172">
        <f>+SUMIF(B[Bene],Assegnazione[[#This Row],[Bene]],B[Valore inserito manualmente])*Assegnazione[[#This Row],[Quota di assegnazione]]</f>
        <v>0</v>
      </c>
      <c r="F175" s="173" t="str">
        <f>+IF(A175="","",VLOOKUP(Assegnazione[[#This Row],[Bene]],B[],3,0))</f>
        <v/>
      </c>
      <c r="G175" s="129" t="str">
        <f>+IFERROR(VLOOKUP(Assegnazione[[#This Row],[Bene]],B[],MATCH("Agevolabile",Beni!$A$4:$AC$4,0),0)*VLOOKUP(Assegnazione[[#This Row],[Socio]],A_1[],8,0),"")</f>
        <v/>
      </c>
      <c r="H175" s="172">
        <f>+SUMIF(B[Bene],Assegnazione[[#This Row],[Bene]],B[Valore netto contabile fiscalmente riconosciuto])*Assegnazione[[#This Row],[Quota di assegnazione]]</f>
        <v>0</v>
      </c>
      <c r="I175" s="172">
        <f>+SUMIF(B[Bene],Assegnazione[[#This Row],[Bene]],B[Valore normale])*Assegnazione[[#This Row],[Quota di assegnazione]]</f>
        <v>0</v>
      </c>
      <c r="J175" s="174">
        <f>+IF(Assegnazione[[#This Row],[Bene]]="",0,SUMIF(Assegnazione[Socio],Assegnazione[[#This Row],[Socio]],Assegnazione[Valore Normale])/$I$3)</f>
        <v>0</v>
      </c>
      <c r="K175" s="174" t="str">
        <f>IF(Assegnazione[[#This Row],[Bene]]="","",SUMIF(A_1[Nome],Assegnazione[[#This Row],[Socio]],A_1[Quota partecipazione al momento dell''operazione]))</f>
        <v/>
      </c>
      <c r="L175" s="172">
        <f>+SUMIF(B[Bene],Assegnazione[[#This Row],[Bene]],B[Valore catastale])*Assegnazione[[#This Row],[Quota di assegnazione]]</f>
        <v>0</v>
      </c>
      <c r="M175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5" s="172">
        <f>+MIN(Assegnazione[[#This Row],[Valore ai fini dell''atto]],Assegnazione[[#This Row],[Valore Fiscalmente riconosciuto]])</f>
        <v>0</v>
      </c>
      <c r="O175" s="146" t="str">
        <f>+IFERROR(VLOOKUP(Assegnazione[[#This Row],[Bene]],B[],MATCH($O$4,Beni!$A$4:$Z$4,0),0),"")</f>
        <v/>
      </c>
      <c r="P175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5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5" s="175">
        <f>+SUMIF(B[Bene],Assegnazione[[#This Row],[Bene]],B[Iva se dovuta])*Assegnazione[[#This Row],[Quota di assegnazione]]</f>
        <v>0</v>
      </c>
      <c r="S175" s="175">
        <f>+SUMIF(B[Bene],Assegnazione[[#This Row],[Bene]],B[Imposta di registro (fissa + prop) senza agevolazione])*Assegnazione[[#This Row],[Quota di assegnazione]]</f>
        <v>0</v>
      </c>
      <c r="T175" s="175">
        <f>+SUMIF(B[Bene],Assegnazione[[#This Row],[Bene]],B[Ipotecaria e catastale senza agevolazione])*Assegnazione[[#This Row],[Quota di assegnazione]]</f>
        <v>0</v>
      </c>
      <c r="U175" s="176">
        <f>+SUM(Assegnazione[[#This Row],[Tassazione diretta senza agevolazione]:[Ipotecaria e catastale senza agevolazione]])</f>
        <v>0</v>
      </c>
      <c r="V175" s="175">
        <f>+SUMIF(B[Bene],Assegnazione[[#This Row],[Bene]],B[Imponibile Imposta sostitutiva])*Assegnazione[[#This Row],[Quota di assegnazione]]*DATI!$E$27</f>
        <v>0</v>
      </c>
      <c r="W175" s="175">
        <f>+SUMIF(B[Bene],Assegnazione[[#This Row],[Bene]],B[Imposta di registro in misura fissa agevolata])*Assegnazione[[#This Row],[Quota di assegnazione]]</f>
        <v>0</v>
      </c>
      <c r="X175" s="175">
        <f>+SUMIF(B[Bene],Assegnazione[[#This Row],[Bene]],B[Imposta di registro prop. Agevolata])*Assegnazione[[#This Row],[Quota di assegnazione]]</f>
        <v>0</v>
      </c>
      <c r="Y175" s="175">
        <f>+IFERROR(Assegnazione[[#This Row],[Imposta di registro in misura fissa]]+Assegnazione[[#This Row],[Imposta di registro prop.]],"")</f>
        <v>0</v>
      </c>
      <c r="Z175" s="175">
        <f>+SUMIF(B[Bene],Assegnazione[[#This Row],[Bene]],B[Ipotecaria catastale agevolata])*Assegnazione[[#This Row],[Quota di assegnazione]]</f>
        <v>0</v>
      </c>
    </row>
    <row r="176" spans="1:26" x14ac:dyDescent="0.2">
      <c r="A176" s="123"/>
      <c r="B176" s="132"/>
      <c r="C176" s="123"/>
      <c r="D176" s="172">
        <f>+SUMIF(B[Bene],Assegnazione[[#This Row],[Bene]],B[Imponibile Iva])*Assegnazione[[#This Row],[Quota di assegnazione]]</f>
        <v>0</v>
      </c>
      <c r="E176" s="172">
        <f>+SUMIF(B[Bene],Assegnazione[[#This Row],[Bene]],B[Valore inserito manualmente])*Assegnazione[[#This Row],[Quota di assegnazione]]</f>
        <v>0</v>
      </c>
      <c r="F176" s="173" t="str">
        <f>+IF(A176="","",VLOOKUP(Assegnazione[[#This Row],[Bene]],B[],3,0))</f>
        <v/>
      </c>
      <c r="G176" s="129" t="str">
        <f>+IFERROR(VLOOKUP(Assegnazione[[#This Row],[Bene]],B[],MATCH("Agevolabile",Beni!$A$4:$AC$4,0),0)*VLOOKUP(Assegnazione[[#This Row],[Socio]],A_1[],8,0),"")</f>
        <v/>
      </c>
      <c r="H176" s="172">
        <f>+SUMIF(B[Bene],Assegnazione[[#This Row],[Bene]],B[Valore netto contabile fiscalmente riconosciuto])*Assegnazione[[#This Row],[Quota di assegnazione]]</f>
        <v>0</v>
      </c>
      <c r="I176" s="172">
        <f>+SUMIF(B[Bene],Assegnazione[[#This Row],[Bene]],B[Valore normale])*Assegnazione[[#This Row],[Quota di assegnazione]]</f>
        <v>0</v>
      </c>
      <c r="J176" s="174">
        <f>+IF(Assegnazione[[#This Row],[Bene]]="",0,SUMIF(Assegnazione[Socio],Assegnazione[[#This Row],[Socio]],Assegnazione[Valore Normale])/$I$3)</f>
        <v>0</v>
      </c>
      <c r="K176" s="174" t="str">
        <f>IF(Assegnazione[[#This Row],[Bene]]="","",SUMIF(A_1[Nome],Assegnazione[[#This Row],[Socio]],A_1[Quota partecipazione al momento dell''operazione]))</f>
        <v/>
      </c>
      <c r="L176" s="172">
        <f>+SUMIF(B[Bene],Assegnazione[[#This Row],[Bene]],B[Valore catastale])*Assegnazione[[#This Row],[Quota di assegnazione]]</f>
        <v>0</v>
      </c>
      <c r="M176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6" s="172">
        <f>+MIN(Assegnazione[[#This Row],[Valore ai fini dell''atto]],Assegnazione[[#This Row],[Valore Fiscalmente riconosciuto]])</f>
        <v>0</v>
      </c>
      <c r="O176" s="146" t="str">
        <f>+IFERROR(VLOOKUP(Assegnazione[[#This Row],[Bene]],B[],MATCH($O$4,Beni!$A$4:$Z$4,0),0),"")</f>
        <v/>
      </c>
      <c r="P176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6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6" s="175">
        <f>+SUMIF(B[Bene],Assegnazione[[#This Row],[Bene]],B[Iva se dovuta])*Assegnazione[[#This Row],[Quota di assegnazione]]</f>
        <v>0</v>
      </c>
      <c r="S176" s="175">
        <f>+SUMIF(B[Bene],Assegnazione[[#This Row],[Bene]],B[Imposta di registro (fissa + prop) senza agevolazione])*Assegnazione[[#This Row],[Quota di assegnazione]]</f>
        <v>0</v>
      </c>
      <c r="T176" s="175">
        <f>+SUMIF(B[Bene],Assegnazione[[#This Row],[Bene]],B[Ipotecaria e catastale senza agevolazione])*Assegnazione[[#This Row],[Quota di assegnazione]]</f>
        <v>0</v>
      </c>
      <c r="U176" s="176">
        <f>+SUM(Assegnazione[[#This Row],[Tassazione diretta senza agevolazione]:[Ipotecaria e catastale senza agevolazione]])</f>
        <v>0</v>
      </c>
      <c r="V176" s="175">
        <f>+SUMIF(B[Bene],Assegnazione[[#This Row],[Bene]],B[Imponibile Imposta sostitutiva])*Assegnazione[[#This Row],[Quota di assegnazione]]*DATI!$E$27</f>
        <v>0</v>
      </c>
      <c r="W176" s="175">
        <f>+SUMIF(B[Bene],Assegnazione[[#This Row],[Bene]],B[Imposta di registro in misura fissa agevolata])*Assegnazione[[#This Row],[Quota di assegnazione]]</f>
        <v>0</v>
      </c>
      <c r="X176" s="175">
        <f>+SUMIF(B[Bene],Assegnazione[[#This Row],[Bene]],B[Imposta di registro prop. Agevolata])*Assegnazione[[#This Row],[Quota di assegnazione]]</f>
        <v>0</v>
      </c>
      <c r="Y176" s="175">
        <f>+IFERROR(Assegnazione[[#This Row],[Imposta di registro in misura fissa]]+Assegnazione[[#This Row],[Imposta di registro prop.]],"")</f>
        <v>0</v>
      </c>
      <c r="Z176" s="175">
        <f>+SUMIF(B[Bene],Assegnazione[[#This Row],[Bene]],B[Ipotecaria catastale agevolata])*Assegnazione[[#This Row],[Quota di assegnazione]]</f>
        <v>0</v>
      </c>
    </row>
    <row r="177" spans="1:26" x14ac:dyDescent="0.2">
      <c r="A177" s="123"/>
      <c r="B177" s="132"/>
      <c r="C177" s="123"/>
      <c r="D177" s="172">
        <f>+SUMIF(B[Bene],Assegnazione[[#This Row],[Bene]],B[Imponibile Iva])*Assegnazione[[#This Row],[Quota di assegnazione]]</f>
        <v>0</v>
      </c>
      <c r="E177" s="172">
        <f>+SUMIF(B[Bene],Assegnazione[[#This Row],[Bene]],B[Valore inserito manualmente])*Assegnazione[[#This Row],[Quota di assegnazione]]</f>
        <v>0</v>
      </c>
      <c r="F177" s="173" t="str">
        <f>+IF(A177="","",VLOOKUP(Assegnazione[[#This Row],[Bene]],B[],3,0))</f>
        <v/>
      </c>
      <c r="G177" s="129" t="str">
        <f>+IFERROR(VLOOKUP(Assegnazione[[#This Row],[Bene]],B[],MATCH("Agevolabile",Beni!$A$4:$AC$4,0),0)*VLOOKUP(Assegnazione[[#This Row],[Socio]],A_1[],8,0),"")</f>
        <v/>
      </c>
      <c r="H177" s="172">
        <f>+SUMIF(B[Bene],Assegnazione[[#This Row],[Bene]],B[Valore netto contabile fiscalmente riconosciuto])*Assegnazione[[#This Row],[Quota di assegnazione]]</f>
        <v>0</v>
      </c>
      <c r="I177" s="172">
        <f>+SUMIF(B[Bene],Assegnazione[[#This Row],[Bene]],B[Valore normale])*Assegnazione[[#This Row],[Quota di assegnazione]]</f>
        <v>0</v>
      </c>
      <c r="J177" s="174">
        <f>+IF(Assegnazione[[#This Row],[Bene]]="",0,SUMIF(Assegnazione[Socio],Assegnazione[[#This Row],[Socio]],Assegnazione[Valore Normale])/$I$3)</f>
        <v>0</v>
      </c>
      <c r="K177" s="174" t="str">
        <f>IF(Assegnazione[[#This Row],[Bene]]="","",SUMIF(A_1[Nome],Assegnazione[[#This Row],[Socio]],A_1[Quota partecipazione al momento dell''operazione]))</f>
        <v/>
      </c>
      <c r="L177" s="172">
        <f>+SUMIF(B[Bene],Assegnazione[[#This Row],[Bene]],B[Valore catastale])*Assegnazione[[#This Row],[Quota di assegnazione]]</f>
        <v>0</v>
      </c>
      <c r="M177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7" s="172">
        <f>+MIN(Assegnazione[[#This Row],[Valore ai fini dell''atto]],Assegnazione[[#This Row],[Valore Fiscalmente riconosciuto]])</f>
        <v>0</v>
      </c>
      <c r="O177" s="146" t="str">
        <f>+IFERROR(VLOOKUP(Assegnazione[[#This Row],[Bene]],B[],MATCH($O$4,Beni!$A$4:$Z$4,0),0),"")</f>
        <v/>
      </c>
      <c r="P177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7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7" s="175">
        <f>+SUMIF(B[Bene],Assegnazione[[#This Row],[Bene]],B[Iva se dovuta])*Assegnazione[[#This Row],[Quota di assegnazione]]</f>
        <v>0</v>
      </c>
      <c r="S177" s="175">
        <f>+SUMIF(B[Bene],Assegnazione[[#This Row],[Bene]],B[Imposta di registro (fissa + prop) senza agevolazione])*Assegnazione[[#This Row],[Quota di assegnazione]]</f>
        <v>0</v>
      </c>
      <c r="T177" s="175">
        <f>+SUMIF(B[Bene],Assegnazione[[#This Row],[Bene]],B[Ipotecaria e catastale senza agevolazione])*Assegnazione[[#This Row],[Quota di assegnazione]]</f>
        <v>0</v>
      </c>
      <c r="U177" s="176">
        <f>+SUM(Assegnazione[[#This Row],[Tassazione diretta senza agevolazione]:[Ipotecaria e catastale senza agevolazione]])</f>
        <v>0</v>
      </c>
      <c r="V177" s="175">
        <f>+SUMIF(B[Bene],Assegnazione[[#This Row],[Bene]],B[Imponibile Imposta sostitutiva])*Assegnazione[[#This Row],[Quota di assegnazione]]*DATI!$E$27</f>
        <v>0</v>
      </c>
      <c r="W177" s="175">
        <f>+SUMIF(B[Bene],Assegnazione[[#This Row],[Bene]],B[Imposta di registro in misura fissa agevolata])*Assegnazione[[#This Row],[Quota di assegnazione]]</f>
        <v>0</v>
      </c>
      <c r="X177" s="175">
        <f>+SUMIF(B[Bene],Assegnazione[[#This Row],[Bene]],B[Imposta di registro prop. Agevolata])*Assegnazione[[#This Row],[Quota di assegnazione]]</f>
        <v>0</v>
      </c>
      <c r="Y177" s="175">
        <f>+IFERROR(Assegnazione[[#This Row],[Imposta di registro in misura fissa]]+Assegnazione[[#This Row],[Imposta di registro prop.]],"")</f>
        <v>0</v>
      </c>
      <c r="Z177" s="175">
        <f>+SUMIF(B[Bene],Assegnazione[[#This Row],[Bene]],B[Ipotecaria catastale agevolata])*Assegnazione[[#This Row],[Quota di assegnazione]]</f>
        <v>0</v>
      </c>
    </row>
    <row r="178" spans="1:26" x14ac:dyDescent="0.2">
      <c r="A178" s="123"/>
      <c r="B178" s="132"/>
      <c r="C178" s="123"/>
      <c r="D178" s="172">
        <f>+SUMIF(B[Bene],Assegnazione[[#This Row],[Bene]],B[Imponibile Iva])*Assegnazione[[#This Row],[Quota di assegnazione]]</f>
        <v>0</v>
      </c>
      <c r="E178" s="172">
        <f>+SUMIF(B[Bene],Assegnazione[[#This Row],[Bene]],B[Valore inserito manualmente])*Assegnazione[[#This Row],[Quota di assegnazione]]</f>
        <v>0</v>
      </c>
      <c r="F178" s="173" t="str">
        <f>+IF(A178="","",VLOOKUP(Assegnazione[[#This Row],[Bene]],B[],3,0))</f>
        <v/>
      </c>
      <c r="G178" s="129" t="str">
        <f>+IFERROR(VLOOKUP(Assegnazione[[#This Row],[Bene]],B[],MATCH("Agevolabile",Beni!$A$4:$AC$4,0),0)*VLOOKUP(Assegnazione[[#This Row],[Socio]],A_1[],8,0),"")</f>
        <v/>
      </c>
      <c r="H178" s="172">
        <f>+SUMIF(B[Bene],Assegnazione[[#This Row],[Bene]],B[Valore netto contabile fiscalmente riconosciuto])*Assegnazione[[#This Row],[Quota di assegnazione]]</f>
        <v>0</v>
      </c>
      <c r="I178" s="172">
        <f>+SUMIF(B[Bene],Assegnazione[[#This Row],[Bene]],B[Valore normale])*Assegnazione[[#This Row],[Quota di assegnazione]]</f>
        <v>0</v>
      </c>
      <c r="J178" s="174">
        <f>+IF(Assegnazione[[#This Row],[Bene]]="",0,SUMIF(Assegnazione[Socio],Assegnazione[[#This Row],[Socio]],Assegnazione[Valore Normale])/$I$3)</f>
        <v>0</v>
      </c>
      <c r="K178" s="174" t="str">
        <f>IF(Assegnazione[[#This Row],[Bene]]="","",SUMIF(A_1[Nome],Assegnazione[[#This Row],[Socio]],A_1[Quota partecipazione al momento dell''operazione]))</f>
        <v/>
      </c>
      <c r="L178" s="172">
        <f>+SUMIF(B[Bene],Assegnazione[[#This Row],[Bene]],B[Valore catastale])*Assegnazione[[#This Row],[Quota di assegnazione]]</f>
        <v>0</v>
      </c>
      <c r="M178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8" s="172">
        <f>+MIN(Assegnazione[[#This Row],[Valore ai fini dell''atto]],Assegnazione[[#This Row],[Valore Fiscalmente riconosciuto]])</f>
        <v>0</v>
      </c>
      <c r="O178" s="146" t="str">
        <f>+IFERROR(VLOOKUP(Assegnazione[[#This Row],[Bene]],B[],MATCH($O$4,Beni!$A$4:$Z$4,0),0),"")</f>
        <v/>
      </c>
      <c r="P178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8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8" s="175">
        <f>+SUMIF(B[Bene],Assegnazione[[#This Row],[Bene]],B[Iva se dovuta])*Assegnazione[[#This Row],[Quota di assegnazione]]</f>
        <v>0</v>
      </c>
      <c r="S178" s="175">
        <f>+SUMIF(B[Bene],Assegnazione[[#This Row],[Bene]],B[Imposta di registro (fissa + prop) senza agevolazione])*Assegnazione[[#This Row],[Quota di assegnazione]]</f>
        <v>0</v>
      </c>
      <c r="T178" s="175">
        <f>+SUMIF(B[Bene],Assegnazione[[#This Row],[Bene]],B[Ipotecaria e catastale senza agevolazione])*Assegnazione[[#This Row],[Quota di assegnazione]]</f>
        <v>0</v>
      </c>
      <c r="U178" s="176">
        <f>+SUM(Assegnazione[[#This Row],[Tassazione diretta senza agevolazione]:[Ipotecaria e catastale senza agevolazione]])</f>
        <v>0</v>
      </c>
      <c r="V178" s="175">
        <f>+SUMIF(B[Bene],Assegnazione[[#This Row],[Bene]],B[Imponibile Imposta sostitutiva])*Assegnazione[[#This Row],[Quota di assegnazione]]*DATI!$E$27</f>
        <v>0</v>
      </c>
      <c r="W178" s="175">
        <f>+SUMIF(B[Bene],Assegnazione[[#This Row],[Bene]],B[Imposta di registro in misura fissa agevolata])*Assegnazione[[#This Row],[Quota di assegnazione]]</f>
        <v>0</v>
      </c>
      <c r="X178" s="175">
        <f>+SUMIF(B[Bene],Assegnazione[[#This Row],[Bene]],B[Imposta di registro prop. Agevolata])*Assegnazione[[#This Row],[Quota di assegnazione]]</f>
        <v>0</v>
      </c>
      <c r="Y178" s="175">
        <f>+IFERROR(Assegnazione[[#This Row],[Imposta di registro in misura fissa]]+Assegnazione[[#This Row],[Imposta di registro prop.]],"")</f>
        <v>0</v>
      </c>
      <c r="Z178" s="175">
        <f>+SUMIF(B[Bene],Assegnazione[[#This Row],[Bene]],B[Ipotecaria catastale agevolata])*Assegnazione[[#This Row],[Quota di assegnazione]]</f>
        <v>0</v>
      </c>
    </row>
    <row r="179" spans="1:26" x14ac:dyDescent="0.2">
      <c r="A179" s="123"/>
      <c r="B179" s="132"/>
      <c r="C179" s="123"/>
      <c r="D179" s="172">
        <f>+SUMIF(B[Bene],Assegnazione[[#This Row],[Bene]],B[Imponibile Iva])*Assegnazione[[#This Row],[Quota di assegnazione]]</f>
        <v>0</v>
      </c>
      <c r="E179" s="172">
        <f>+SUMIF(B[Bene],Assegnazione[[#This Row],[Bene]],B[Valore inserito manualmente])*Assegnazione[[#This Row],[Quota di assegnazione]]</f>
        <v>0</v>
      </c>
      <c r="F179" s="173" t="str">
        <f>+IF(A179="","",VLOOKUP(Assegnazione[[#This Row],[Bene]],B[],3,0))</f>
        <v/>
      </c>
      <c r="G179" s="129" t="str">
        <f>+IFERROR(VLOOKUP(Assegnazione[[#This Row],[Bene]],B[],MATCH("Agevolabile",Beni!$A$4:$AC$4,0),0)*VLOOKUP(Assegnazione[[#This Row],[Socio]],A_1[],8,0),"")</f>
        <v/>
      </c>
      <c r="H179" s="172">
        <f>+SUMIF(B[Bene],Assegnazione[[#This Row],[Bene]],B[Valore netto contabile fiscalmente riconosciuto])*Assegnazione[[#This Row],[Quota di assegnazione]]</f>
        <v>0</v>
      </c>
      <c r="I179" s="172">
        <f>+SUMIF(B[Bene],Assegnazione[[#This Row],[Bene]],B[Valore normale])*Assegnazione[[#This Row],[Quota di assegnazione]]</f>
        <v>0</v>
      </c>
      <c r="J179" s="174">
        <f>+IF(Assegnazione[[#This Row],[Bene]]="",0,SUMIF(Assegnazione[Socio],Assegnazione[[#This Row],[Socio]],Assegnazione[Valore Normale])/$I$3)</f>
        <v>0</v>
      </c>
      <c r="K179" s="174" t="str">
        <f>IF(Assegnazione[[#This Row],[Bene]]="","",SUMIF(A_1[Nome],Assegnazione[[#This Row],[Socio]],A_1[Quota partecipazione al momento dell''operazione]))</f>
        <v/>
      </c>
      <c r="L179" s="172">
        <f>+SUMIF(B[Bene],Assegnazione[[#This Row],[Bene]],B[Valore catastale])*Assegnazione[[#This Row],[Quota di assegnazione]]</f>
        <v>0</v>
      </c>
      <c r="M179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9" s="172">
        <f>+MIN(Assegnazione[[#This Row],[Valore ai fini dell''atto]],Assegnazione[[#This Row],[Valore Fiscalmente riconosciuto]])</f>
        <v>0</v>
      </c>
      <c r="O179" s="146" t="str">
        <f>+IFERROR(VLOOKUP(Assegnazione[[#This Row],[Bene]],B[],MATCH($O$4,Beni!$A$4:$Z$4,0),0),"")</f>
        <v/>
      </c>
      <c r="P179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9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9" s="175">
        <f>+SUMIF(B[Bene],Assegnazione[[#This Row],[Bene]],B[Iva se dovuta])*Assegnazione[[#This Row],[Quota di assegnazione]]</f>
        <v>0</v>
      </c>
      <c r="S179" s="175">
        <f>+SUMIF(B[Bene],Assegnazione[[#This Row],[Bene]],B[Imposta di registro (fissa + prop) senza agevolazione])*Assegnazione[[#This Row],[Quota di assegnazione]]</f>
        <v>0</v>
      </c>
      <c r="T179" s="175">
        <f>+SUMIF(B[Bene],Assegnazione[[#This Row],[Bene]],B[Ipotecaria e catastale senza agevolazione])*Assegnazione[[#This Row],[Quota di assegnazione]]</f>
        <v>0</v>
      </c>
      <c r="U179" s="176">
        <f>+SUM(Assegnazione[[#This Row],[Tassazione diretta senza agevolazione]:[Ipotecaria e catastale senza agevolazione]])</f>
        <v>0</v>
      </c>
      <c r="V179" s="175">
        <f>+SUMIF(B[Bene],Assegnazione[[#This Row],[Bene]],B[Imponibile Imposta sostitutiva])*Assegnazione[[#This Row],[Quota di assegnazione]]*DATI!$E$27</f>
        <v>0</v>
      </c>
      <c r="W179" s="175">
        <f>+SUMIF(B[Bene],Assegnazione[[#This Row],[Bene]],B[Imposta di registro in misura fissa agevolata])*Assegnazione[[#This Row],[Quota di assegnazione]]</f>
        <v>0</v>
      </c>
      <c r="X179" s="175">
        <f>+SUMIF(B[Bene],Assegnazione[[#This Row],[Bene]],B[Imposta di registro prop. Agevolata])*Assegnazione[[#This Row],[Quota di assegnazione]]</f>
        <v>0</v>
      </c>
      <c r="Y179" s="175">
        <f>+IFERROR(Assegnazione[[#This Row],[Imposta di registro in misura fissa]]+Assegnazione[[#This Row],[Imposta di registro prop.]],"")</f>
        <v>0</v>
      </c>
      <c r="Z179" s="175">
        <f>+SUMIF(B[Bene],Assegnazione[[#This Row],[Bene]],B[Ipotecaria catastale agevolata])*Assegnazione[[#This Row],[Quota di assegnazione]]</f>
        <v>0</v>
      </c>
    </row>
    <row r="180" spans="1:26" x14ac:dyDescent="0.2">
      <c r="A180" s="123"/>
      <c r="B180" s="132"/>
      <c r="C180" s="123"/>
      <c r="D180" s="172">
        <f>+SUMIF(B[Bene],Assegnazione[[#This Row],[Bene]],B[Imponibile Iva])*Assegnazione[[#This Row],[Quota di assegnazione]]</f>
        <v>0</v>
      </c>
      <c r="E180" s="172">
        <f>+SUMIF(B[Bene],Assegnazione[[#This Row],[Bene]],B[Valore inserito manualmente])*Assegnazione[[#This Row],[Quota di assegnazione]]</f>
        <v>0</v>
      </c>
      <c r="F180" s="173" t="str">
        <f>+IF(A180="","",VLOOKUP(Assegnazione[[#This Row],[Bene]],B[],3,0))</f>
        <v/>
      </c>
      <c r="G180" s="129" t="str">
        <f>+IFERROR(VLOOKUP(Assegnazione[[#This Row],[Bene]],B[],MATCH("Agevolabile",Beni!$A$4:$AC$4,0),0)*VLOOKUP(Assegnazione[[#This Row],[Socio]],A_1[],8,0),"")</f>
        <v/>
      </c>
      <c r="H180" s="172">
        <f>+SUMIF(B[Bene],Assegnazione[[#This Row],[Bene]],B[Valore netto contabile fiscalmente riconosciuto])*Assegnazione[[#This Row],[Quota di assegnazione]]</f>
        <v>0</v>
      </c>
      <c r="I180" s="172">
        <f>+SUMIF(B[Bene],Assegnazione[[#This Row],[Bene]],B[Valore normale])*Assegnazione[[#This Row],[Quota di assegnazione]]</f>
        <v>0</v>
      </c>
      <c r="J180" s="174">
        <f>+IF(Assegnazione[[#This Row],[Bene]]="",0,SUMIF(Assegnazione[Socio],Assegnazione[[#This Row],[Socio]],Assegnazione[Valore Normale])/$I$3)</f>
        <v>0</v>
      </c>
      <c r="K180" s="174" t="str">
        <f>IF(Assegnazione[[#This Row],[Bene]]="","",SUMIF(A_1[Nome],Assegnazione[[#This Row],[Socio]],A_1[Quota partecipazione al momento dell''operazione]))</f>
        <v/>
      </c>
      <c r="L180" s="172">
        <f>+SUMIF(B[Bene],Assegnazione[[#This Row],[Bene]],B[Valore catastale])*Assegnazione[[#This Row],[Quota di assegnazione]]</f>
        <v>0</v>
      </c>
      <c r="M180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0" s="172">
        <f>+MIN(Assegnazione[[#This Row],[Valore ai fini dell''atto]],Assegnazione[[#This Row],[Valore Fiscalmente riconosciuto]])</f>
        <v>0</v>
      </c>
      <c r="O180" s="146" t="str">
        <f>+IFERROR(VLOOKUP(Assegnazione[[#This Row],[Bene]],B[],MATCH($O$4,Beni!$A$4:$Z$4,0),0),"")</f>
        <v/>
      </c>
      <c r="P180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0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0" s="175">
        <f>+SUMIF(B[Bene],Assegnazione[[#This Row],[Bene]],B[Iva se dovuta])*Assegnazione[[#This Row],[Quota di assegnazione]]</f>
        <v>0</v>
      </c>
      <c r="S180" s="175">
        <f>+SUMIF(B[Bene],Assegnazione[[#This Row],[Bene]],B[Imposta di registro (fissa + prop) senza agevolazione])*Assegnazione[[#This Row],[Quota di assegnazione]]</f>
        <v>0</v>
      </c>
      <c r="T180" s="175">
        <f>+SUMIF(B[Bene],Assegnazione[[#This Row],[Bene]],B[Ipotecaria e catastale senza agevolazione])*Assegnazione[[#This Row],[Quota di assegnazione]]</f>
        <v>0</v>
      </c>
      <c r="U180" s="176">
        <f>+SUM(Assegnazione[[#This Row],[Tassazione diretta senza agevolazione]:[Ipotecaria e catastale senza agevolazione]])</f>
        <v>0</v>
      </c>
      <c r="V180" s="175">
        <f>+SUMIF(B[Bene],Assegnazione[[#This Row],[Bene]],B[Imponibile Imposta sostitutiva])*Assegnazione[[#This Row],[Quota di assegnazione]]*DATI!$E$27</f>
        <v>0</v>
      </c>
      <c r="W180" s="175">
        <f>+SUMIF(B[Bene],Assegnazione[[#This Row],[Bene]],B[Imposta di registro in misura fissa agevolata])*Assegnazione[[#This Row],[Quota di assegnazione]]</f>
        <v>0</v>
      </c>
      <c r="X180" s="175">
        <f>+SUMIF(B[Bene],Assegnazione[[#This Row],[Bene]],B[Imposta di registro prop. Agevolata])*Assegnazione[[#This Row],[Quota di assegnazione]]</f>
        <v>0</v>
      </c>
      <c r="Y180" s="175">
        <f>+IFERROR(Assegnazione[[#This Row],[Imposta di registro in misura fissa]]+Assegnazione[[#This Row],[Imposta di registro prop.]],"")</f>
        <v>0</v>
      </c>
      <c r="Z180" s="175">
        <f>+SUMIF(B[Bene],Assegnazione[[#This Row],[Bene]],B[Ipotecaria catastale agevolata])*Assegnazione[[#This Row],[Quota di assegnazione]]</f>
        <v>0</v>
      </c>
    </row>
    <row r="181" spans="1:26" x14ac:dyDescent="0.2">
      <c r="A181" s="123"/>
      <c r="B181" s="132"/>
      <c r="C181" s="123"/>
      <c r="D181" s="172">
        <f>+SUMIF(B[Bene],Assegnazione[[#This Row],[Bene]],B[Imponibile Iva])*Assegnazione[[#This Row],[Quota di assegnazione]]</f>
        <v>0</v>
      </c>
      <c r="E181" s="172">
        <f>+SUMIF(B[Bene],Assegnazione[[#This Row],[Bene]],B[Valore inserito manualmente])*Assegnazione[[#This Row],[Quota di assegnazione]]</f>
        <v>0</v>
      </c>
      <c r="F181" s="173" t="str">
        <f>+IF(A181="","",VLOOKUP(Assegnazione[[#This Row],[Bene]],B[],3,0))</f>
        <v/>
      </c>
      <c r="G181" s="129" t="str">
        <f>+IFERROR(VLOOKUP(Assegnazione[[#This Row],[Bene]],B[],MATCH("Agevolabile",Beni!$A$4:$AC$4,0),0)*VLOOKUP(Assegnazione[[#This Row],[Socio]],A_1[],8,0),"")</f>
        <v/>
      </c>
      <c r="H181" s="172">
        <f>+SUMIF(B[Bene],Assegnazione[[#This Row],[Bene]],B[Valore netto contabile fiscalmente riconosciuto])*Assegnazione[[#This Row],[Quota di assegnazione]]</f>
        <v>0</v>
      </c>
      <c r="I181" s="172">
        <f>+SUMIF(B[Bene],Assegnazione[[#This Row],[Bene]],B[Valore normale])*Assegnazione[[#This Row],[Quota di assegnazione]]</f>
        <v>0</v>
      </c>
      <c r="J181" s="174">
        <f>+IF(Assegnazione[[#This Row],[Bene]]="",0,SUMIF(Assegnazione[Socio],Assegnazione[[#This Row],[Socio]],Assegnazione[Valore Normale])/$I$3)</f>
        <v>0</v>
      </c>
      <c r="K181" s="174" t="str">
        <f>IF(Assegnazione[[#This Row],[Bene]]="","",SUMIF(A_1[Nome],Assegnazione[[#This Row],[Socio]],A_1[Quota partecipazione al momento dell''operazione]))</f>
        <v/>
      </c>
      <c r="L181" s="172">
        <f>+SUMIF(B[Bene],Assegnazione[[#This Row],[Bene]],B[Valore catastale])*Assegnazione[[#This Row],[Quota di assegnazione]]</f>
        <v>0</v>
      </c>
      <c r="M181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1" s="172">
        <f>+MIN(Assegnazione[[#This Row],[Valore ai fini dell''atto]],Assegnazione[[#This Row],[Valore Fiscalmente riconosciuto]])</f>
        <v>0</v>
      </c>
      <c r="O181" s="146" t="str">
        <f>+IFERROR(VLOOKUP(Assegnazione[[#This Row],[Bene]],B[],MATCH($O$4,Beni!$A$4:$Z$4,0),0),"")</f>
        <v/>
      </c>
      <c r="P181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1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1" s="175">
        <f>+SUMIF(B[Bene],Assegnazione[[#This Row],[Bene]],B[Iva se dovuta])*Assegnazione[[#This Row],[Quota di assegnazione]]</f>
        <v>0</v>
      </c>
      <c r="S181" s="175">
        <f>+SUMIF(B[Bene],Assegnazione[[#This Row],[Bene]],B[Imposta di registro (fissa + prop) senza agevolazione])*Assegnazione[[#This Row],[Quota di assegnazione]]</f>
        <v>0</v>
      </c>
      <c r="T181" s="175">
        <f>+SUMIF(B[Bene],Assegnazione[[#This Row],[Bene]],B[Ipotecaria e catastale senza agevolazione])*Assegnazione[[#This Row],[Quota di assegnazione]]</f>
        <v>0</v>
      </c>
      <c r="U181" s="176">
        <f>+SUM(Assegnazione[[#This Row],[Tassazione diretta senza agevolazione]:[Ipotecaria e catastale senza agevolazione]])</f>
        <v>0</v>
      </c>
      <c r="V181" s="175">
        <f>+SUMIF(B[Bene],Assegnazione[[#This Row],[Bene]],B[Imponibile Imposta sostitutiva])*Assegnazione[[#This Row],[Quota di assegnazione]]*DATI!$E$27</f>
        <v>0</v>
      </c>
      <c r="W181" s="175">
        <f>+SUMIF(B[Bene],Assegnazione[[#This Row],[Bene]],B[Imposta di registro in misura fissa agevolata])*Assegnazione[[#This Row],[Quota di assegnazione]]</f>
        <v>0</v>
      </c>
      <c r="X181" s="175">
        <f>+SUMIF(B[Bene],Assegnazione[[#This Row],[Bene]],B[Imposta di registro prop. Agevolata])*Assegnazione[[#This Row],[Quota di assegnazione]]</f>
        <v>0</v>
      </c>
      <c r="Y181" s="175">
        <f>+IFERROR(Assegnazione[[#This Row],[Imposta di registro in misura fissa]]+Assegnazione[[#This Row],[Imposta di registro prop.]],"")</f>
        <v>0</v>
      </c>
      <c r="Z181" s="175">
        <f>+SUMIF(B[Bene],Assegnazione[[#This Row],[Bene]],B[Ipotecaria catastale agevolata])*Assegnazione[[#This Row],[Quota di assegnazione]]</f>
        <v>0</v>
      </c>
    </row>
    <row r="182" spans="1:26" x14ac:dyDescent="0.2">
      <c r="A182" s="123"/>
      <c r="B182" s="132"/>
      <c r="C182" s="123"/>
      <c r="D182" s="172">
        <f>+SUMIF(B[Bene],Assegnazione[[#This Row],[Bene]],B[Imponibile Iva])*Assegnazione[[#This Row],[Quota di assegnazione]]</f>
        <v>0</v>
      </c>
      <c r="E182" s="172">
        <f>+SUMIF(B[Bene],Assegnazione[[#This Row],[Bene]],B[Valore inserito manualmente])*Assegnazione[[#This Row],[Quota di assegnazione]]</f>
        <v>0</v>
      </c>
      <c r="F182" s="173" t="str">
        <f>+IF(A182="","",VLOOKUP(Assegnazione[[#This Row],[Bene]],B[],3,0))</f>
        <v/>
      </c>
      <c r="G182" s="129" t="str">
        <f>+IFERROR(VLOOKUP(Assegnazione[[#This Row],[Bene]],B[],MATCH("Agevolabile",Beni!$A$4:$AC$4,0),0)*VLOOKUP(Assegnazione[[#This Row],[Socio]],A_1[],8,0),"")</f>
        <v/>
      </c>
      <c r="H182" s="172">
        <f>+SUMIF(B[Bene],Assegnazione[[#This Row],[Bene]],B[Valore netto contabile fiscalmente riconosciuto])*Assegnazione[[#This Row],[Quota di assegnazione]]</f>
        <v>0</v>
      </c>
      <c r="I182" s="172">
        <f>+SUMIF(B[Bene],Assegnazione[[#This Row],[Bene]],B[Valore normale])*Assegnazione[[#This Row],[Quota di assegnazione]]</f>
        <v>0</v>
      </c>
      <c r="J182" s="174">
        <f>+IF(Assegnazione[[#This Row],[Bene]]="",0,SUMIF(Assegnazione[Socio],Assegnazione[[#This Row],[Socio]],Assegnazione[Valore Normale])/$I$3)</f>
        <v>0</v>
      </c>
      <c r="K182" s="174" t="str">
        <f>IF(Assegnazione[[#This Row],[Bene]]="","",SUMIF(A_1[Nome],Assegnazione[[#This Row],[Socio]],A_1[Quota partecipazione al momento dell''operazione]))</f>
        <v/>
      </c>
      <c r="L182" s="172">
        <f>+SUMIF(B[Bene],Assegnazione[[#This Row],[Bene]],B[Valore catastale])*Assegnazione[[#This Row],[Quota di assegnazione]]</f>
        <v>0</v>
      </c>
      <c r="M182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2" s="172">
        <f>+MIN(Assegnazione[[#This Row],[Valore ai fini dell''atto]],Assegnazione[[#This Row],[Valore Fiscalmente riconosciuto]])</f>
        <v>0</v>
      </c>
      <c r="O182" s="146" t="str">
        <f>+IFERROR(VLOOKUP(Assegnazione[[#This Row],[Bene]],B[],MATCH($O$4,Beni!$A$4:$Z$4,0),0),"")</f>
        <v/>
      </c>
      <c r="P182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2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2" s="175">
        <f>+SUMIF(B[Bene],Assegnazione[[#This Row],[Bene]],B[Iva se dovuta])*Assegnazione[[#This Row],[Quota di assegnazione]]</f>
        <v>0</v>
      </c>
      <c r="S182" s="175">
        <f>+SUMIF(B[Bene],Assegnazione[[#This Row],[Bene]],B[Imposta di registro (fissa + prop) senza agevolazione])*Assegnazione[[#This Row],[Quota di assegnazione]]</f>
        <v>0</v>
      </c>
      <c r="T182" s="175">
        <f>+SUMIF(B[Bene],Assegnazione[[#This Row],[Bene]],B[Ipotecaria e catastale senza agevolazione])*Assegnazione[[#This Row],[Quota di assegnazione]]</f>
        <v>0</v>
      </c>
      <c r="U182" s="176">
        <f>+SUM(Assegnazione[[#This Row],[Tassazione diretta senza agevolazione]:[Ipotecaria e catastale senza agevolazione]])</f>
        <v>0</v>
      </c>
      <c r="V182" s="175">
        <f>+SUMIF(B[Bene],Assegnazione[[#This Row],[Bene]],B[Imponibile Imposta sostitutiva])*Assegnazione[[#This Row],[Quota di assegnazione]]*DATI!$E$27</f>
        <v>0</v>
      </c>
      <c r="W182" s="175">
        <f>+SUMIF(B[Bene],Assegnazione[[#This Row],[Bene]],B[Imposta di registro in misura fissa agevolata])*Assegnazione[[#This Row],[Quota di assegnazione]]</f>
        <v>0</v>
      </c>
      <c r="X182" s="175">
        <f>+SUMIF(B[Bene],Assegnazione[[#This Row],[Bene]],B[Imposta di registro prop. Agevolata])*Assegnazione[[#This Row],[Quota di assegnazione]]</f>
        <v>0</v>
      </c>
      <c r="Y182" s="175">
        <f>+IFERROR(Assegnazione[[#This Row],[Imposta di registro in misura fissa]]+Assegnazione[[#This Row],[Imposta di registro prop.]],"")</f>
        <v>0</v>
      </c>
      <c r="Z182" s="175">
        <f>+SUMIF(B[Bene],Assegnazione[[#This Row],[Bene]],B[Ipotecaria catastale agevolata])*Assegnazione[[#This Row],[Quota di assegnazione]]</f>
        <v>0</v>
      </c>
    </row>
    <row r="183" spans="1:26" x14ac:dyDescent="0.2">
      <c r="A183" s="123"/>
      <c r="B183" s="132"/>
      <c r="C183" s="123"/>
      <c r="D183" s="172">
        <f>+SUMIF(B[Bene],Assegnazione[[#This Row],[Bene]],B[Imponibile Iva])*Assegnazione[[#This Row],[Quota di assegnazione]]</f>
        <v>0</v>
      </c>
      <c r="E183" s="172">
        <f>+SUMIF(B[Bene],Assegnazione[[#This Row],[Bene]],B[Valore inserito manualmente])*Assegnazione[[#This Row],[Quota di assegnazione]]</f>
        <v>0</v>
      </c>
      <c r="F183" s="173" t="str">
        <f>+IF(A183="","",VLOOKUP(Assegnazione[[#This Row],[Bene]],B[],3,0))</f>
        <v/>
      </c>
      <c r="G183" s="129" t="str">
        <f>+IFERROR(VLOOKUP(Assegnazione[[#This Row],[Bene]],B[],MATCH("Agevolabile",Beni!$A$4:$AC$4,0),0)*VLOOKUP(Assegnazione[[#This Row],[Socio]],A_1[],8,0),"")</f>
        <v/>
      </c>
      <c r="H183" s="172">
        <f>+SUMIF(B[Bene],Assegnazione[[#This Row],[Bene]],B[Valore netto contabile fiscalmente riconosciuto])*Assegnazione[[#This Row],[Quota di assegnazione]]</f>
        <v>0</v>
      </c>
      <c r="I183" s="172">
        <f>+SUMIF(B[Bene],Assegnazione[[#This Row],[Bene]],B[Valore normale])*Assegnazione[[#This Row],[Quota di assegnazione]]</f>
        <v>0</v>
      </c>
      <c r="J183" s="174">
        <f>+IF(Assegnazione[[#This Row],[Bene]]="",0,SUMIF(Assegnazione[Socio],Assegnazione[[#This Row],[Socio]],Assegnazione[Valore Normale])/$I$3)</f>
        <v>0</v>
      </c>
      <c r="K183" s="174" t="str">
        <f>IF(Assegnazione[[#This Row],[Bene]]="","",SUMIF(A_1[Nome],Assegnazione[[#This Row],[Socio]],A_1[Quota partecipazione al momento dell''operazione]))</f>
        <v/>
      </c>
      <c r="L183" s="172">
        <f>+SUMIF(B[Bene],Assegnazione[[#This Row],[Bene]],B[Valore catastale])*Assegnazione[[#This Row],[Quota di assegnazione]]</f>
        <v>0</v>
      </c>
      <c r="M183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3" s="172">
        <f>+MIN(Assegnazione[[#This Row],[Valore ai fini dell''atto]],Assegnazione[[#This Row],[Valore Fiscalmente riconosciuto]])</f>
        <v>0</v>
      </c>
      <c r="O183" s="146" t="str">
        <f>+IFERROR(VLOOKUP(Assegnazione[[#This Row],[Bene]],B[],MATCH($O$4,Beni!$A$4:$Z$4,0),0),"")</f>
        <v/>
      </c>
      <c r="P183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3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3" s="175">
        <f>+SUMIF(B[Bene],Assegnazione[[#This Row],[Bene]],B[Iva se dovuta])*Assegnazione[[#This Row],[Quota di assegnazione]]</f>
        <v>0</v>
      </c>
      <c r="S183" s="175">
        <f>+SUMIF(B[Bene],Assegnazione[[#This Row],[Bene]],B[Imposta di registro (fissa + prop) senza agevolazione])*Assegnazione[[#This Row],[Quota di assegnazione]]</f>
        <v>0</v>
      </c>
      <c r="T183" s="175">
        <f>+SUMIF(B[Bene],Assegnazione[[#This Row],[Bene]],B[Ipotecaria e catastale senza agevolazione])*Assegnazione[[#This Row],[Quota di assegnazione]]</f>
        <v>0</v>
      </c>
      <c r="U183" s="176">
        <f>+SUM(Assegnazione[[#This Row],[Tassazione diretta senza agevolazione]:[Ipotecaria e catastale senza agevolazione]])</f>
        <v>0</v>
      </c>
      <c r="V183" s="175">
        <f>+SUMIF(B[Bene],Assegnazione[[#This Row],[Bene]],B[Imponibile Imposta sostitutiva])*Assegnazione[[#This Row],[Quota di assegnazione]]*DATI!$E$27</f>
        <v>0</v>
      </c>
      <c r="W183" s="175">
        <f>+SUMIF(B[Bene],Assegnazione[[#This Row],[Bene]],B[Imposta di registro in misura fissa agevolata])*Assegnazione[[#This Row],[Quota di assegnazione]]</f>
        <v>0</v>
      </c>
      <c r="X183" s="175">
        <f>+SUMIF(B[Bene],Assegnazione[[#This Row],[Bene]],B[Imposta di registro prop. Agevolata])*Assegnazione[[#This Row],[Quota di assegnazione]]</f>
        <v>0</v>
      </c>
      <c r="Y183" s="175">
        <f>+IFERROR(Assegnazione[[#This Row],[Imposta di registro in misura fissa]]+Assegnazione[[#This Row],[Imposta di registro prop.]],"")</f>
        <v>0</v>
      </c>
      <c r="Z183" s="175">
        <f>+SUMIF(B[Bene],Assegnazione[[#This Row],[Bene]],B[Ipotecaria catastale agevolata])*Assegnazione[[#This Row],[Quota di assegnazione]]</f>
        <v>0</v>
      </c>
    </row>
    <row r="184" spans="1:26" x14ac:dyDescent="0.2">
      <c r="A184" s="123"/>
      <c r="B184" s="132"/>
      <c r="C184" s="123"/>
      <c r="D184" s="172">
        <f>+SUMIF(B[Bene],Assegnazione[[#This Row],[Bene]],B[Imponibile Iva])*Assegnazione[[#This Row],[Quota di assegnazione]]</f>
        <v>0</v>
      </c>
      <c r="E184" s="172">
        <f>+SUMIF(B[Bene],Assegnazione[[#This Row],[Bene]],B[Valore inserito manualmente])*Assegnazione[[#This Row],[Quota di assegnazione]]</f>
        <v>0</v>
      </c>
      <c r="F184" s="173" t="str">
        <f>+IF(A184="","",VLOOKUP(Assegnazione[[#This Row],[Bene]],B[],3,0))</f>
        <v/>
      </c>
      <c r="G184" s="129" t="str">
        <f>+IFERROR(VLOOKUP(Assegnazione[[#This Row],[Bene]],B[],MATCH("Agevolabile",Beni!$A$4:$AC$4,0),0)*VLOOKUP(Assegnazione[[#This Row],[Socio]],A_1[],8,0),"")</f>
        <v/>
      </c>
      <c r="H184" s="172">
        <f>+SUMIF(B[Bene],Assegnazione[[#This Row],[Bene]],B[Valore netto contabile fiscalmente riconosciuto])*Assegnazione[[#This Row],[Quota di assegnazione]]</f>
        <v>0</v>
      </c>
      <c r="I184" s="172">
        <f>+SUMIF(B[Bene],Assegnazione[[#This Row],[Bene]],B[Valore normale])*Assegnazione[[#This Row],[Quota di assegnazione]]</f>
        <v>0</v>
      </c>
      <c r="J184" s="174">
        <f>+IF(Assegnazione[[#This Row],[Bene]]="",0,SUMIF(Assegnazione[Socio],Assegnazione[[#This Row],[Socio]],Assegnazione[Valore Normale])/$I$3)</f>
        <v>0</v>
      </c>
      <c r="K184" s="174" t="str">
        <f>IF(Assegnazione[[#This Row],[Bene]]="","",SUMIF(A_1[Nome],Assegnazione[[#This Row],[Socio]],A_1[Quota partecipazione al momento dell''operazione]))</f>
        <v/>
      </c>
      <c r="L184" s="172">
        <f>+SUMIF(B[Bene],Assegnazione[[#This Row],[Bene]],B[Valore catastale])*Assegnazione[[#This Row],[Quota di assegnazione]]</f>
        <v>0</v>
      </c>
      <c r="M184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4" s="172">
        <f>+MIN(Assegnazione[[#This Row],[Valore ai fini dell''atto]],Assegnazione[[#This Row],[Valore Fiscalmente riconosciuto]])</f>
        <v>0</v>
      </c>
      <c r="O184" s="146" t="str">
        <f>+IFERROR(VLOOKUP(Assegnazione[[#This Row],[Bene]],B[],MATCH($O$4,Beni!$A$4:$Z$4,0),0),"")</f>
        <v/>
      </c>
      <c r="P184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4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4" s="175">
        <f>+SUMIF(B[Bene],Assegnazione[[#This Row],[Bene]],B[Iva se dovuta])*Assegnazione[[#This Row],[Quota di assegnazione]]</f>
        <v>0</v>
      </c>
      <c r="S184" s="175">
        <f>+SUMIF(B[Bene],Assegnazione[[#This Row],[Bene]],B[Imposta di registro (fissa + prop) senza agevolazione])*Assegnazione[[#This Row],[Quota di assegnazione]]</f>
        <v>0</v>
      </c>
      <c r="T184" s="175">
        <f>+SUMIF(B[Bene],Assegnazione[[#This Row],[Bene]],B[Ipotecaria e catastale senza agevolazione])*Assegnazione[[#This Row],[Quota di assegnazione]]</f>
        <v>0</v>
      </c>
      <c r="U184" s="176">
        <f>+SUM(Assegnazione[[#This Row],[Tassazione diretta senza agevolazione]:[Ipotecaria e catastale senza agevolazione]])</f>
        <v>0</v>
      </c>
      <c r="V184" s="175">
        <f>+SUMIF(B[Bene],Assegnazione[[#This Row],[Bene]],B[Imponibile Imposta sostitutiva])*Assegnazione[[#This Row],[Quota di assegnazione]]*DATI!$E$27</f>
        <v>0</v>
      </c>
      <c r="W184" s="175">
        <f>+SUMIF(B[Bene],Assegnazione[[#This Row],[Bene]],B[Imposta di registro in misura fissa agevolata])*Assegnazione[[#This Row],[Quota di assegnazione]]</f>
        <v>0</v>
      </c>
      <c r="X184" s="175">
        <f>+SUMIF(B[Bene],Assegnazione[[#This Row],[Bene]],B[Imposta di registro prop. Agevolata])*Assegnazione[[#This Row],[Quota di assegnazione]]</f>
        <v>0</v>
      </c>
      <c r="Y184" s="175">
        <f>+IFERROR(Assegnazione[[#This Row],[Imposta di registro in misura fissa]]+Assegnazione[[#This Row],[Imposta di registro prop.]],"")</f>
        <v>0</v>
      </c>
      <c r="Z184" s="175">
        <f>+SUMIF(B[Bene],Assegnazione[[#This Row],[Bene]],B[Ipotecaria catastale agevolata])*Assegnazione[[#This Row],[Quota di assegnazione]]</f>
        <v>0</v>
      </c>
    </row>
    <row r="185" spans="1:26" x14ac:dyDescent="0.2">
      <c r="A185" s="123"/>
      <c r="B185" s="132"/>
      <c r="C185" s="123"/>
      <c r="D185" s="172">
        <f>+SUMIF(B[Bene],Assegnazione[[#This Row],[Bene]],B[Imponibile Iva])*Assegnazione[[#This Row],[Quota di assegnazione]]</f>
        <v>0</v>
      </c>
      <c r="E185" s="172">
        <f>+SUMIF(B[Bene],Assegnazione[[#This Row],[Bene]],B[Valore inserito manualmente])*Assegnazione[[#This Row],[Quota di assegnazione]]</f>
        <v>0</v>
      </c>
      <c r="F185" s="173" t="str">
        <f>+IF(A185="","",VLOOKUP(Assegnazione[[#This Row],[Bene]],B[],3,0))</f>
        <v/>
      </c>
      <c r="G185" s="129" t="str">
        <f>+IFERROR(VLOOKUP(Assegnazione[[#This Row],[Bene]],B[],MATCH("Agevolabile",Beni!$A$4:$AC$4,0),0)*VLOOKUP(Assegnazione[[#This Row],[Socio]],A_1[],8,0),"")</f>
        <v/>
      </c>
      <c r="H185" s="172">
        <f>+SUMIF(B[Bene],Assegnazione[[#This Row],[Bene]],B[Valore netto contabile fiscalmente riconosciuto])*Assegnazione[[#This Row],[Quota di assegnazione]]</f>
        <v>0</v>
      </c>
      <c r="I185" s="172">
        <f>+SUMIF(B[Bene],Assegnazione[[#This Row],[Bene]],B[Valore normale])*Assegnazione[[#This Row],[Quota di assegnazione]]</f>
        <v>0</v>
      </c>
      <c r="J185" s="174">
        <f>+IF(Assegnazione[[#This Row],[Bene]]="",0,SUMIF(Assegnazione[Socio],Assegnazione[[#This Row],[Socio]],Assegnazione[Valore Normale])/$I$3)</f>
        <v>0</v>
      </c>
      <c r="K185" s="174" t="str">
        <f>IF(Assegnazione[[#This Row],[Bene]]="","",SUMIF(A_1[Nome],Assegnazione[[#This Row],[Socio]],A_1[Quota partecipazione al momento dell''operazione]))</f>
        <v/>
      </c>
      <c r="L185" s="172">
        <f>+SUMIF(B[Bene],Assegnazione[[#This Row],[Bene]],B[Valore catastale])*Assegnazione[[#This Row],[Quota di assegnazione]]</f>
        <v>0</v>
      </c>
      <c r="M185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5" s="172">
        <f>+MIN(Assegnazione[[#This Row],[Valore ai fini dell''atto]],Assegnazione[[#This Row],[Valore Fiscalmente riconosciuto]])</f>
        <v>0</v>
      </c>
      <c r="O185" s="146" t="str">
        <f>+IFERROR(VLOOKUP(Assegnazione[[#This Row],[Bene]],B[],MATCH($O$4,Beni!$A$4:$Z$4,0),0),"")</f>
        <v/>
      </c>
      <c r="P185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5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5" s="175">
        <f>+SUMIF(B[Bene],Assegnazione[[#This Row],[Bene]],B[Iva se dovuta])*Assegnazione[[#This Row],[Quota di assegnazione]]</f>
        <v>0</v>
      </c>
      <c r="S185" s="175">
        <f>+SUMIF(B[Bene],Assegnazione[[#This Row],[Bene]],B[Imposta di registro (fissa + prop) senza agevolazione])*Assegnazione[[#This Row],[Quota di assegnazione]]</f>
        <v>0</v>
      </c>
      <c r="T185" s="175">
        <f>+SUMIF(B[Bene],Assegnazione[[#This Row],[Bene]],B[Ipotecaria e catastale senza agevolazione])*Assegnazione[[#This Row],[Quota di assegnazione]]</f>
        <v>0</v>
      </c>
      <c r="U185" s="176">
        <f>+SUM(Assegnazione[[#This Row],[Tassazione diretta senza agevolazione]:[Ipotecaria e catastale senza agevolazione]])</f>
        <v>0</v>
      </c>
      <c r="V185" s="175">
        <f>+SUMIF(B[Bene],Assegnazione[[#This Row],[Bene]],B[Imponibile Imposta sostitutiva])*Assegnazione[[#This Row],[Quota di assegnazione]]*DATI!$E$27</f>
        <v>0</v>
      </c>
      <c r="W185" s="175">
        <f>+SUMIF(B[Bene],Assegnazione[[#This Row],[Bene]],B[Imposta di registro in misura fissa agevolata])*Assegnazione[[#This Row],[Quota di assegnazione]]</f>
        <v>0</v>
      </c>
      <c r="X185" s="175">
        <f>+SUMIF(B[Bene],Assegnazione[[#This Row],[Bene]],B[Imposta di registro prop. Agevolata])*Assegnazione[[#This Row],[Quota di assegnazione]]</f>
        <v>0</v>
      </c>
      <c r="Y185" s="175">
        <f>+IFERROR(Assegnazione[[#This Row],[Imposta di registro in misura fissa]]+Assegnazione[[#This Row],[Imposta di registro prop.]],"")</f>
        <v>0</v>
      </c>
      <c r="Z185" s="175">
        <f>+SUMIF(B[Bene],Assegnazione[[#This Row],[Bene]],B[Ipotecaria catastale agevolata])*Assegnazione[[#This Row],[Quota di assegnazione]]</f>
        <v>0</v>
      </c>
    </row>
    <row r="186" spans="1:26" x14ac:dyDescent="0.2">
      <c r="A186" s="123"/>
      <c r="B186" s="132"/>
      <c r="C186" s="123"/>
      <c r="D186" s="172">
        <f>+SUMIF(B[Bene],Assegnazione[[#This Row],[Bene]],B[Imponibile Iva])*Assegnazione[[#This Row],[Quota di assegnazione]]</f>
        <v>0</v>
      </c>
      <c r="E186" s="172">
        <f>+SUMIF(B[Bene],Assegnazione[[#This Row],[Bene]],B[Valore inserito manualmente])*Assegnazione[[#This Row],[Quota di assegnazione]]</f>
        <v>0</v>
      </c>
      <c r="F186" s="173" t="str">
        <f>+IF(A186="","",VLOOKUP(Assegnazione[[#This Row],[Bene]],B[],3,0))</f>
        <v/>
      </c>
      <c r="G186" s="129" t="str">
        <f>+IFERROR(VLOOKUP(Assegnazione[[#This Row],[Bene]],B[],MATCH("Agevolabile",Beni!$A$4:$AC$4,0),0)*VLOOKUP(Assegnazione[[#This Row],[Socio]],A_1[],8,0),"")</f>
        <v/>
      </c>
      <c r="H186" s="172">
        <f>+SUMIF(B[Bene],Assegnazione[[#This Row],[Bene]],B[Valore netto contabile fiscalmente riconosciuto])*Assegnazione[[#This Row],[Quota di assegnazione]]</f>
        <v>0</v>
      </c>
      <c r="I186" s="172">
        <f>+SUMIF(B[Bene],Assegnazione[[#This Row],[Bene]],B[Valore normale])*Assegnazione[[#This Row],[Quota di assegnazione]]</f>
        <v>0</v>
      </c>
      <c r="J186" s="174">
        <f>+IF(Assegnazione[[#This Row],[Bene]]="",0,SUMIF(Assegnazione[Socio],Assegnazione[[#This Row],[Socio]],Assegnazione[Valore Normale])/$I$3)</f>
        <v>0</v>
      </c>
      <c r="K186" s="174" t="str">
        <f>IF(Assegnazione[[#This Row],[Bene]]="","",SUMIF(A_1[Nome],Assegnazione[[#This Row],[Socio]],A_1[Quota partecipazione al momento dell''operazione]))</f>
        <v/>
      </c>
      <c r="L186" s="172">
        <f>+SUMIF(B[Bene],Assegnazione[[#This Row],[Bene]],B[Valore catastale])*Assegnazione[[#This Row],[Quota di assegnazione]]</f>
        <v>0</v>
      </c>
      <c r="M186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6" s="172">
        <f>+MIN(Assegnazione[[#This Row],[Valore ai fini dell''atto]],Assegnazione[[#This Row],[Valore Fiscalmente riconosciuto]])</f>
        <v>0</v>
      </c>
      <c r="O186" s="146" t="str">
        <f>+IFERROR(VLOOKUP(Assegnazione[[#This Row],[Bene]],B[],MATCH($O$4,Beni!$A$4:$Z$4,0),0),"")</f>
        <v/>
      </c>
      <c r="P186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6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6" s="175">
        <f>+SUMIF(B[Bene],Assegnazione[[#This Row],[Bene]],B[Iva se dovuta])*Assegnazione[[#This Row],[Quota di assegnazione]]</f>
        <v>0</v>
      </c>
      <c r="S186" s="175">
        <f>+SUMIF(B[Bene],Assegnazione[[#This Row],[Bene]],B[Imposta di registro (fissa + prop) senza agevolazione])*Assegnazione[[#This Row],[Quota di assegnazione]]</f>
        <v>0</v>
      </c>
      <c r="T186" s="175">
        <f>+SUMIF(B[Bene],Assegnazione[[#This Row],[Bene]],B[Ipotecaria e catastale senza agevolazione])*Assegnazione[[#This Row],[Quota di assegnazione]]</f>
        <v>0</v>
      </c>
      <c r="U186" s="176">
        <f>+SUM(Assegnazione[[#This Row],[Tassazione diretta senza agevolazione]:[Ipotecaria e catastale senza agevolazione]])</f>
        <v>0</v>
      </c>
      <c r="V186" s="175">
        <f>+SUMIF(B[Bene],Assegnazione[[#This Row],[Bene]],B[Imponibile Imposta sostitutiva])*Assegnazione[[#This Row],[Quota di assegnazione]]*DATI!$E$27</f>
        <v>0</v>
      </c>
      <c r="W186" s="175">
        <f>+SUMIF(B[Bene],Assegnazione[[#This Row],[Bene]],B[Imposta di registro in misura fissa agevolata])*Assegnazione[[#This Row],[Quota di assegnazione]]</f>
        <v>0</v>
      </c>
      <c r="X186" s="175">
        <f>+SUMIF(B[Bene],Assegnazione[[#This Row],[Bene]],B[Imposta di registro prop. Agevolata])*Assegnazione[[#This Row],[Quota di assegnazione]]</f>
        <v>0</v>
      </c>
      <c r="Y186" s="175">
        <f>+IFERROR(Assegnazione[[#This Row],[Imposta di registro in misura fissa]]+Assegnazione[[#This Row],[Imposta di registro prop.]],"")</f>
        <v>0</v>
      </c>
      <c r="Z186" s="175">
        <f>+SUMIF(B[Bene],Assegnazione[[#This Row],[Bene]],B[Ipotecaria catastale agevolata])*Assegnazione[[#This Row],[Quota di assegnazione]]</f>
        <v>0</v>
      </c>
    </row>
    <row r="187" spans="1:26" x14ac:dyDescent="0.2">
      <c r="A187" s="123"/>
      <c r="B187" s="132"/>
      <c r="C187" s="123"/>
      <c r="D187" s="172">
        <f>+SUMIF(B[Bene],Assegnazione[[#This Row],[Bene]],B[Imponibile Iva])*Assegnazione[[#This Row],[Quota di assegnazione]]</f>
        <v>0</v>
      </c>
      <c r="E187" s="172">
        <f>+SUMIF(B[Bene],Assegnazione[[#This Row],[Bene]],B[Valore inserito manualmente])*Assegnazione[[#This Row],[Quota di assegnazione]]</f>
        <v>0</v>
      </c>
      <c r="F187" s="173" t="str">
        <f>+IF(A187="","",VLOOKUP(Assegnazione[[#This Row],[Bene]],B[],3,0))</f>
        <v/>
      </c>
      <c r="G187" s="129" t="str">
        <f>+IFERROR(VLOOKUP(Assegnazione[[#This Row],[Bene]],B[],MATCH("Agevolabile",Beni!$A$4:$AC$4,0),0)*VLOOKUP(Assegnazione[[#This Row],[Socio]],A_1[],8,0),"")</f>
        <v/>
      </c>
      <c r="H187" s="172">
        <f>+SUMIF(B[Bene],Assegnazione[[#This Row],[Bene]],B[Valore netto contabile fiscalmente riconosciuto])*Assegnazione[[#This Row],[Quota di assegnazione]]</f>
        <v>0</v>
      </c>
      <c r="I187" s="172">
        <f>+SUMIF(B[Bene],Assegnazione[[#This Row],[Bene]],B[Valore normale])*Assegnazione[[#This Row],[Quota di assegnazione]]</f>
        <v>0</v>
      </c>
      <c r="J187" s="174">
        <f>+IF(Assegnazione[[#This Row],[Bene]]="",0,SUMIF(Assegnazione[Socio],Assegnazione[[#This Row],[Socio]],Assegnazione[Valore Normale])/$I$3)</f>
        <v>0</v>
      </c>
      <c r="K187" s="174" t="str">
        <f>IF(Assegnazione[[#This Row],[Bene]]="","",SUMIF(A_1[Nome],Assegnazione[[#This Row],[Socio]],A_1[Quota partecipazione al momento dell''operazione]))</f>
        <v/>
      </c>
      <c r="L187" s="172">
        <f>+SUMIF(B[Bene],Assegnazione[[#This Row],[Bene]],B[Valore catastale])*Assegnazione[[#This Row],[Quota di assegnazione]]</f>
        <v>0</v>
      </c>
      <c r="M187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7" s="172">
        <f>+MIN(Assegnazione[[#This Row],[Valore ai fini dell''atto]],Assegnazione[[#This Row],[Valore Fiscalmente riconosciuto]])</f>
        <v>0</v>
      </c>
      <c r="O187" s="146" t="str">
        <f>+IFERROR(VLOOKUP(Assegnazione[[#This Row],[Bene]],B[],MATCH($O$4,Beni!$A$4:$Z$4,0),0),"")</f>
        <v/>
      </c>
      <c r="P187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7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7" s="175">
        <f>+SUMIF(B[Bene],Assegnazione[[#This Row],[Bene]],B[Iva se dovuta])*Assegnazione[[#This Row],[Quota di assegnazione]]</f>
        <v>0</v>
      </c>
      <c r="S187" s="175">
        <f>+SUMIF(B[Bene],Assegnazione[[#This Row],[Bene]],B[Imposta di registro (fissa + prop) senza agevolazione])*Assegnazione[[#This Row],[Quota di assegnazione]]</f>
        <v>0</v>
      </c>
      <c r="T187" s="175">
        <f>+SUMIF(B[Bene],Assegnazione[[#This Row],[Bene]],B[Ipotecaria e catastale senza agevolazione])*Assegnazione[[#This Row],[Quota di assegnazione]]</f>
        <v>0</v>
      </c>
      <c r="U187" s="176">
        <f>+SUM(Assegnazione[[#This Row],[Tassazione diretta senza agevolazione]:[Ipotecaria e catastale senza agevolazione]])</f>
        <v>0</v>
      </c>
      <c r="V187" s="175">
        <f>+SUMIF(B[Bene],Assegnazione[[#This Row],[Bene]],B[Imponibile Imposta sostitutiva])*Assegnazione[[#This Row],[Quota di assegnazione]]*DATI!$E$27</f>
        <v>0</v>
      </c>
      <c r="W187" s="175">
        <f>+SUMIF(B[Bene],Assegnazione[[#This Row],[Bene]],B[Imposta di registro in misura fissa agevolata])*Assegnazione[[#This Row],[Quota di assegnazione]]</f>
        <v>0</v>
      </c>
      <c r="X187" s="175">
        <f>+SUMIF(B[Bene],Assegnazione[[#This Row],[Bene]],B[Imposta di registro prop. Agevolata])*Assegnazione[[#This Row],[Quota di assegnazione]]</f>
        <v>0</v>
      </c>
      <c r="Y187" s="175">
        <f>+IFERROR(Assegnazione[[#This Row],[Imposta di registro in misura fissa]]+Assegnazione[[#This Row],[Imposta di registro prop.]],"")</f>
        <v>0</v>
      </c>
      <c r="Z187" s="175">
        <f>+SUMIF(B[Bene],Assegnazione[[#This Row],[Bene]],B[Ipotecaria catastale agevolata])*Assegnazione[[#This Row],[Quota di assegnazione]]</f>
        <v>0</v>
      </c>
    </row>
    <row r="188" spans="1:26" x14ac:dyDescent="0.2">
      <c r="A188" s="123"/>
      <c r="B188" s="132"/>
      <c r="C188" s="123"/>
      <c r="D188" s="172">
        <f>+SUMIF(B[Bene],Assegnazione[[#This Row],[Bene]],B[Imponibile Iva])*Assegnazione[[#This Row],[Quota di assegnazione]]</f>
        <v>0</v>
      </c>
      <c r="E188" s="172">
        <f>+SUMIF(B[Bene],Assegnazione[[#This Row],[Bene]],B[Valore inserito manualmente])*Assegnazione[[#This Row],[Quota di assegnazione]]</f>
        <v>0</v>
      </c>
      <c r="F188" s="173" t="str">
        <f>+IF(A188="","",VLOOKUP(Assegnazione[[#This Row],[Bene]],B[],3,0))</f>
        <v/>
      </c>
      <c r="G188" s="129" t="str">
        <f>+IFERROR(VLOOKUP(Assegnazione[[#This Row],[Bene]],B[],MATCH("Agevolabile",Beni!$A$4:$AC$4,0),0)*VLOOKUP(Assegnazione[[#This Row],[Socio]],A_1[],8,0),"")</f>
        <v/>
      </c>
      <c r="H188" s="172">
        <f>+SUMIF(B[Bene],Assegnazione[[#This Row],[Bene]],B[Valore netto contabile fiscalmente riconosciuto])*Assegnazione[[#This Row],[Quota di assegnazione]]</f>
        <v>0</v>
      </c>
      <c r="I188" s="172">
        <f>+SUMIF(B[Bene],Assegnazione[[#This Row],[Bene]],B[Valore normale])*Assegnazione[[#This Row],[Quota di assegnazione]]</f>
        <v>0</v>
      </c>
      <c r="J188" s="174">
        <f>+IF(Assegnazione[[#This Row],[Bene]]="",0,SUMIF(Assegnazione[Socio],Assegnazione[[#This Row],[Socio]],Assegnazione[Valore Normale])/$I$3)</f>
        <v>0</v>
      </c>
      <c r="K188" s="174" t="str">
        <f>IF(Assegnazione[[#This Row],[Bene]]="","",SUMIF(A_1[Nome],Assegnazione[[#This Row],[Socio]],A_1[Quota partecipazione al momento dell''operazione]))</f>
        <v/>
      </c>
      <c r="L188" s="172">
        <f>+SUMIF(B[Bene],Assegnazione[[#This Row],[Bene]],B[Valore catastale])*Assegnazione[[#This Row],[Quota di assegnazione]]</f>
        <v>0</v>
      </c>
      <c r="M188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8" s="172">
        <f>+MIN(Assegnazione[[#This Row],[Valore ai fini dell''atto]],Assegnazione[[#This Row],[Valore Fiscalmente riconosciuto]])</f>
        <v>0</v>
      </c>
      <c r="O188" s="146" t="str">
        <f>+IFERROR(VLOOKUP(Assegnazione[[#This Row],[Bene]],B[],MATCH($O$4,Beni!$A$4:$Z$4,0),0),"")</f>
        <v/>
      </c>
      <c r="P188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8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8" s="175">
        <f>+SUMIF(B[Bene],Assegnazione[[#This Row],[Bene]],B[Iva se dovuta])*Assegnazione[[#This Row],[Quota di assegnazione]]</f>
        <v>0</v>
      </c>
      <c r="S188" s="175">
        <f>+SUMIF(B[Bene],Assegnazione[[#This Row],[Bene]],B[Imposta di registro (fissa + prop) senza agevolazione])*Assegnazione[[#This Row],[Quota di assegnazione]]</f>
        <v>0</v>
      </c>
      <c r="T188" s="175">
        <f>+SUMIF(B[Bene],Assegnazione[[#This Row],[Bene]],B[Ipotecaria e catastale senza agevolazione])*Assegnazione[[#This Row],[Quota di assegnazione]]</f>
        <v>0</v>
      </c>
      <c r="U188" s="176">
        <f>+SUM(Assegnazione[[#This Row],[Tassazione diretta senza agevolazione]:[Ipotecaria e catastale senza agevolazione]])</f>
        <v>0</v>
      </c>
      <c r="V188" s="175">
        <f>+SUMIF(B[Bene],Assegnazione[[#This Row],[Bene]],B[Imponibile Imposta sostitutiva])*Assegnazione[[#This Row],[Quota di assegnazione]]*DATI!$E$27</f>
        <v>0</v>
      </c>
      <c r="W188" s="175">
        <f>+SUMIF(B[Bene],Assegnazione[[#This Row],[Bene]],B[Imposta di registro in misura fissa agevolata])*Assegnazione[[#This Row],[Quota di assegnazione]]</f>
        <v>0</v>
      </c>
      <c r="X188" s="175">
        <f>+SUMIF(B[Bene],Assegnazione[[#This Row],[Bene]],B[Imposta di registro prop. Agevolata])*Assegnazione[[#This Row],[Quota di assegnazione]]</f>
        <v>0</v>
      </c>
      <c r="Y188" s="175">
        <f>+IFERROR(Assegnazione[[#This Row],[Imposta di registro in misura fissa]]+Assegnazione[[#This Row],[Imposta di registro prop.]],"")</f>
        <v>0</v>
      </c>
      <c r="Z188" s="175">
        <f>+SUMIF(B[Bene],Assegnazione[[#This Row],[Bene]],B[Ipotecaria catastale agevolata])*Assegnazione[[#This Row],[Quota di assegnazione]]</f>
        <v>0</v>
      </c>
    </row>
    <row r="189" spans="1:26" x14ac:dyDescent="0.2">
      <c r="A189" s="123"/>
      <c r="B189" s="132"/>
      <c r="C189" s="123"/>
      <c r="D189" s="172">
        <f>+SUMIF(B[Bene],Assegnazione[[#This Row],[Bene]],B[Imponibile Iva])*Assegnazione[[#This Row],[Quota di assegnazione]]</f>
        <v>0</v>
      </c>
      <c r="E189" s="172">
        <f>+SUMIF(B[Bene],Assegnazione[[#This Row],[Bene]],B[Valore inserito manualmente])*Assegnazione[[#This Row],[Quota di assegnazione]]</f>
        <v>0</v>
      </c>
      <c r="F189" s="173" t="str">
        <f>+IF(A189="","",VLOOKUP(Assegnazione[[#This Row],[Bene]],B[],3,0))</f>
        <v/>
      </c>
      <c r="G189" s="129" t="str">
        <f>+IFERROR(VLOOKUP(Assegnazione[[#This Row],[Bene]],B[],MATCH("Agevolabile",Beni!$A$4:$AC$4,0),0)*VLOOKUP(Assegnazione[[#This Row],[Socio]],A_1[],8,0),"")</f>
        <v/>
      </c>
      <c r="H189" s="172">
        <f>+SUMIF(B[Bene],Assegnazione[[#This Row],[Bene]],B[Valore netto contabile fiscalmente riconosciuto])*Assegnazione[[#This Row],[Quota di assegnazione]]</f>
        <v>0</v>
      </c>
      <c r="I189" s="172">
        <f>+SUMIF(B[Bene],Assegnazione[[#This Row],[Bene]],B[Valore normale])*Assegnazione[[#This Row],[Quota di assegnazione]]</f>
        <v>0</v>
      </c>
      <c r="J189" s="174">
        <f>+IF(Assegnazione[[#This Row],[Bene]]="",0,SUMIF(Assegnazione[Socio],Assegnazione[[#This Row],[Socio]],Assegnazione[Valore Normale])/$I$3)</f>
        <v>0</v>
      </c>
      <c r="K189" s="174" t="str">
        <f>IF(Assegnazione[[#This Row],[Bene]]="","",SUMIF(A_1[Nome],Assegnazione[[#This Row],[Socio]],A_1[Quota partecipazione al momento dell''operazione]))</f>
        <v/>
      </c>
      <c r="L189" s="172">
        <f>+SUMIF(B[Bene],Assegnazione[[#This Row],[Bene]],B[Valore catastale])*Assegnazione[[#This Row],[Quota di assegnazione]]</f>
        <v>0</v>
      </c>
      <c r="M189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9" s="172">
        <f>+MIN(Assegnazione[[#This Row],[Valore ai fini dell''atto]],Assegnazione[[#This Row],[Valore Fiscalmente riconosciuto]])</f>
        <v>0</v>
      </c>
      <c r="O189" s="146" t="str">
        <f>+IFERROR(VLOOKUP(Assegnazione[[#This Row],[Bene]],B[],MATCH($O$4,Beni!$A$4:$Z$4,0),0),"")</f>
        <v/>
      </c>
      <c r="P189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9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9" s="175">
        <f>+SUMIF(B[Bene],Assegnazione[[#This Row],[Bene]],B[Iva se dovuta])*Assegnazione[[#This Row],[Quota di assegnazione]]</f>
        <v>0</v>
      </c>
      <c r="S189" s="175">
        <f>+SUMIF(B[Bene],Assegnazione[[#This Row],[Bene]],B[Imposta di registro (fissa + prop) senza agevolazione])*Assegnazione[[#This Row],[Quota di assegnazione]]</f>
        <v>0</v>
      </c>
      <c r="T189" s="175">
        <f>+SUMIF(B[Bene],Assegnazione[[#This Row],[Bene]],B[Ipotecaria e catastale senza agevolazione])*Assegnazione[[#This Row],[Quota di assegnazione]]</f>
        <v>0</v>
      </c>
      <c r="U189" s="176">
        <f>+SUM(Assegnazione[[#This Row],[Tassazione diretta senza agevolazione]:[Ipotecaria e catastale senza agevolazione]])</f>
        <v>0</v>
      </c>
      <c r="V189" s="175">
        <f>+SUMIF(B[Bene],Assegnazione[[#This Row],[Bene]],B[Imponibile Imposta sostitutiva])*Assegnazione[[#This Row],[Quota di assegnazione]]*DATI!$E$27</f>
        <v>0</v>
      </c>
      <c r="W189" s="175">
        <f>+SUMIF(B[Bene],Assegnazione[[#This Row],[Bene]],B[Imposta di registro in misura fissa agevolata])*Assegnazione[[#This Row],[Quota di assegnazione]]</f>
        <v>0</v>
      </c>
      <c r="X189" s="175">
        <f>+SUMIF(B[Bene],Assegnazione[[#This Row],[Bene]],B[Imposta di registro prop. Agevolata])*Assegnazione[[#This Row],[Quota di assegnazione]]</f>
        <v>0</v>
      </c>
      <c r="Y189" s="175">
        <f>+IFERROR(Assegnazione[[#This Row],[Imposta di registro in misura fissa]]+Assegnazione[[#This Row],[Imposta di registro prop.]],"")</f>
        <v>0</v>
      </c>
      <c r="Z189" s="175">
        <f>+SUMIF(B[Bene],Assegnazione[[#This Row],[Bene]],B[Ipotecaria catastale agevolata])*Assegnazione[[#This Row],[Quota di assegnazione]]</f>
        <v>0</v>
      </c>
    </row>
    <row r="190" spans="1:26" x14ac:dyDescent="0.2">
      <c r="A190" s="123"/>
      <c r="B190" s="132"/>
      <c r="C190" s="123"/>
      <c r="D190" s="172">
        <f>+SUMIF(B[Bene],Assegnazione[[#This Row],[Bene]],B[Imponibile Iva])*Assegnazione[[#This Row],[Quota di assegnazione]]</f>
        <v>0</v>
      </c>
      <c r="E190" s="172">
        <f>+SUMIF(B[Bene],Assegnazione[[#This Row],[Bene]],B[Valore inserito manualmente])*Assegnazione[[#This Row],[Quota di assegnazione]]</f>
        <v>0</v>
      </c>
      <c r="F190" s="173" t="str">
        <f>+IF(A190="","",VLOOKUP(Assegnazione[[#This Row],[Bene]],B[],3,0))</f>
        <v/>
      </c>
      <c r="G190" s="129" t="str">
        <f>+IFERROR(VLOOKUP(Assegnazione[[#This Row],[Bene]],B[],MATCH("Agevolabile",Beni!$A$4:$AC$4,0),0)*VLOOKUP(Assegnazione[[#This Row],[Socio]],A_1[],8,0),"")</f>
        <v/>
      </c>
      <c r="H190" s="172">
        <f>+SUMIF(B[Bene],Assegnazione[[#This Row],[Bene]],B[Valore netto contabile fiscalmente riconosciuto])*Assegnazione[[#This Row],[Quota di assegnazione]]</f>
        <v>0</v>
      </c>
      <c r="I190" s="172">
        <f>+SUMIF(B[Bene],Assegnazione[[#This Row],[Bene]],B[Valore normale])*Assegnazione[[#This Row],[Quota di assegnazione]]</f>
        <v>0</v>
      </c>
      <c r="J190" s="174">
        <f>+IF(Assegnazione[[#This Row],[Bene]]="",0,SUMIF(Assegnazione[Socio],Assegnazione[[#This Row],[Socio]],Assegnazione[Valore Normale])/$I$3)</f>
        <v>0</v>
      </c>
      <c r="K190" s="174" t="str">
        <f>IF(Assegnazione[[#This Row],[Bene]]="","",SUMIF(A_1[Nome],Assegnazione[[#This Row],[Socio]],A_1[Quota partecipazione al momento dell''operazione]))</f>
        <v/>
      </c>
      <c r="L190" s="172">
        <f>+SUMIF(B[Bene],Assegnazione[[#This Row],[Bene]],B[Valore catastale])*Assegnazione[[#This Row],[Quota di assegnazione]]</f>
        <v>0</v>
      </c>
      <c r="M190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0" s="172">
        <f>+MIN(Assegnazione[[#This Row],[Valore ai fini dell''atto]],Assegnazione[[#This Row],[Valore Fiscalmente riconosciuto]])</f>
        <v>0</v>
      </c>
      <c r="O190" s="146" t="str">
        <f>+IFERROR(VLOOKUP(Assegnazione[[#This Row],[Bene]],B[],MATCH($O$4,Beni!$A$4:$Z$4,0),0),"")</f>
        <v/>
      </c>
      <c r="P190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0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0" s="175">
        <f>+SUMIF(B[Bene],Assegnazione[[#This Row],[Bene]],B[Iva se dovuta])*Assegnazione[[#This Row],[Quota di assegnazione]]</f>
        <v>0</v>
      </c>
      <c r="S190" s="175">
        <f>+SUMIF(B[Bene],Assegnazione[[#This Row],[Bene]],B[Imposta di registro (fissa + prop) senza agevolazione])*Assegnazione[[#This Row],[Quota di assegnazione]]</f>
        <v>0</v>
      </c>
      <c r="T190" s="175">
        <f>+SUMIF(B[Bene],Assegnazione[[#This Row],[Bene]],B[Ipotecaria e catastale senza agevolazione])*Assegnazione[[#This Row],[Quota di assegnazione]]</f>
        <v>0</v>
      </c>
      <c r="U190" s="176">
        <f>+SUM(Assegnazione[[#This Row],[Tassazione diretta senza agevolazione]:[Ipotecaria e catastale senza agevolazione]])</f>
        <v>0</v>
      </c>
      <c r="V190" s="175">
        <f>+SUMIF(B[Bene],Assegnazione[[#This Row],[Bene]],B[Imponibile Imposta sostitutiva])*Assegnazione[[#This Row],[Quota di assegnazione]]*DATI!$E$27</f>
        <v>0</v>
      </c>
      <c r="W190" s="175">
        <f>+SUMIF(B[Bene],Assegnazione[[#This Row],[Bene]],B[Imposta di registro in misura fissa agevolata])*Assegnazione[[#This Row],[Quota di assegnazione]]</f>
        <v>0</v>
      </c>
      <c r="X190" s="175">
        <f>+SUMIF(B[Bene],Assegnazione[[#This Row],[Bene]],B[Imposta di registro prop. Agevolata])*Assegnazione[[#This Row],[Quota di assegnazione]]</f>
        <v>0</v>
      </c>
      <c r="Y190" s="175">
        <f>+IFERROR(Assegnazione[[#This Row],[Imposta di registro in misura fissa]]+Assegnazione[[#This Row],[Imposta di registro prop.]],"")</f>
        <v>0</v>
      </c>
      <c r="Z190" s="175">
        <f>+SUMIF(B[Bene],Assegnazione[[#This Row],[Bene]],B[Ipotecaria catastale agevolata])*Assegnazione[[#This Row],[Quota di assegnazione]]</f>
        <v>0</v>
      </c>
    </row>
    <row r="191" spans="1:26" x14ac:dyDescent="0.2">
      <c r="A191" s="123"/>
      <c r="B191" s="132"/>
      <c r="C191" s="123"/>
      <c r="D191" s="172">
        <f>+SUMIF(B[Bene],Assegnazione[[#This Row],[Bene]],B[Imponibile Iva])*Assegnazione[[#This Row],[Quota di assegnazione]]</f>
        <v>0</v>
      </c>
      <c r="E191" s="172">
        <f>+SUMIF(B[Bene],Assegnazione[[#This Row],[Bene]],B[Valore inserito manualmente])*Assegnazione[[#This Row],[Quota di assegnazione]]</f>
        <v>0</v>
      </c>
      <c r="F191" s="173" t="str">
        <f>+IF(A191="","",VLOOKUP(Assegnazione[[#This Row],[Bene]],B[],3,0))</f>
        <v/>
      </c>
      <c r="G191" s="129" t="str">
        <f>+IFERROR(VLOOKUP(Assegnazione[[#This Row],[Bene]],B[],MATCH("Agevolabile",Beni!$A$4:$AC$4,0),0)*VLOOKUP(Assegnazione[[#This Row],[Socio]],A_1[],8,0),"")</f>
        <v/>
      </c>
      <c r="H191" s="172">
        <f>+SUMIF(B[Bene],Assegnazione[[#This Row],[Bene]],B[Valore netto contabile fiscalmente riconosciuto])*Assegnazione[[#This Row],[Quota di assegnazione]]</f>
        <v>0</v>
      </c>
      <c r="I191" s="172">
        <f>+SUMIF(B[Bene],Assegnazione[[#This Row],[Bene]],B[Valore normale])*Assegnazione[[#This Row],[Quota di assegnazione]]</f>
        <v>0</v>
      </c>
      <c r="J191" s="174">
        <f>+IF(Assegnazione[[#This Row],[Bene]]="",0,SUMIF(Assegnazione[Socio],Assegnazione[[#This Row],[Socio]],Assegnazione[Valore Normale])/$I$3)</f>
        <v>0</v>
      </c>
      <c r="K191" s="174" t="str">
        <f>IF(Assegnazione[[#This Row],[Bene]]="","",SUMIF(A_1[Nome],Assegnazione[[#This Row],[Socio]],A_1[Quota partecipazione al momento dell''operazione]))</f>
        <v/>
      </c>
      <c r="L191" s="172">
        <f>+SUMIF(B[Bene],Assegnazione[[#This Row],[Bene]],B[Valore catastale])*Assegnazione[[#This Row],[Quota di assegnazione]]</f>
        <v>0</v>
      </c>
      <c r="M191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1" s="172">
        <f>+MIN(Assegnazione[[#This Row],[Valore ai fini dell''atto]],Assegnazione[[#This Row],[Valore Fiscalmente riconosciuto]])</f>
        <v>0</v>
      </c>
      <c r="O191" s="146" t="str">
        <f>+IFERROR(VLOOKUP(Assegnazione[[#This Row],[Bene]],B[],MATCH($O$4,Beni!$A$4:$Z$4,0),0),"")</f>
        <v/>
      </c>
      <c r="P191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1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1" s="175">
        <f>+SUMIF(B[Bene],Assegnazione[[#This Row],[Bene]],B[Iva se dovuta])*Assegnazione[[#This Row],[Quota di assegnazione]]</f>
        <v>0</v>
      </c>
      <c r="S191" s="175">
        <f>+SUMIF(B[Bene],Assegnazione[[#This Row],[Bene]],B[Imposta di registro (fissa + prop) senza agevolazione])*Assegnazione[[#This Row],[Quota di assegnazione]]</f>
        <v>0</v>
      </c>
      <c r="T191" s="175">
        <f>+SUMIF(B[Bene],Assegnazione[[#This Row],[Bene]],B[Ipotecaria e catastale senza agevolazione])*Assegnazione[[#This Row],[Quota di assegnazione]]</f>
        <v>0</v>
      </c>
      <c r="U191" s="176">
        <f>+SUM(Assegnazione[[#This Row],[Tassazione diretta senza agevolazione]:[Ipotecaria e catastale senza agevolazione]])</f>
        <v>0</v>
      </c>
      <c r="V191" s="175">
        <f>+SUMIF(B[Bene],Assegnazione[[#This Row],[Bene]],B[Imponibile Imposta sostitutiva])*Assegnazione[[#This Row],[Quota di assegnazione]]*DATI!$E$27</f>
        <v>0</v>
      </c>
      <c r="W191" s="175">
        <f>+SUMIF(B[Bene],Assegnazione[[#This Row],[Bene]],B[Imposta di registro in misura fissa agevolata])*Assegnazione[[#This Row],[Quota di assegnazione]]</f>
        <v>0</v>
      </c>
      <c r="X191" s="175">
        <f>+SUMIF(B[Bene],Assegnazione[[#This Row],[Bene]],B[Imposta di registro prop. Agevolata])*Assegnazione[[#This Row],[Quota di assegnazione]]</f>
        <v>0</v>
      </c>
      <c r="Y191" s="175">
        <f>+IFERROR(Assegnazione[[#This Row],[Imposta di registro in misura fissa]]+Assegnazione[[#This Row],[Imposta di registro prop.]],"")</f>
        <v>0</v>
      </c>
      <c r="Z191" s="175">
        <f>+SUMIF(B[Bene],Assegnazione[[#This Row],[Bene]],B[Ipotecaria catastale agevolata])*Assegnazione[[#This Row],[Quota di assegnazione]]</f>
        <v>0</v>
      </c>
    </row>
    <row r="192" spans="1:26" x14ac:dyDescent="0.2">
      <c r="A192" s="123"/>
      <c r="B192" s="132"/>
      <c r="C192" s="123"/>
      <c r="D192" s="172">
        <f>+SUMIF(B[Bene],Assegnazione[[#This Row],[Bene]],B[Imponibile Iva])*Assegnazione[[#This Row],[Quota di assegnazione]]</f>
        <v>0</v>
      </c>
      <c r="E192" s="172">
        <f>+SUMIF(B[Bene],Assegnazione[[#This Row],[Bene]],B[Valore inserito manualmente])*Assegnazione[[#This Row],[Quota di assegnazione]]</f>
        <v>0</v>
      </c>
      <c r="F192" s="173" t="str">
        <f>+IF(A192="","",VLOOKUP(Assegnazione[[#This Row],[Bene]],B[],3,0))</f>
        <v/>
      </c>
      <c r="G192" s="129" t="str">
        <f>+IFERROR(VLOOKUP(Assegnazione[[#This Row],[Bene]],B[],MATCH("Agevolabile",Beni!$A$4:$AC$4,0),0)*VLOOKUP(Assegnazione[[#This Row],[Socio]],A_1[],8,0),"")</f>
        <v/>
      </c>
      <c r="H192" s="172">
        <f>+SUMIF(B[Bene],Assegnazione[[#This Row],[Bene]],B[Valore netto contabile fiscalmente riconosciuto])*Assegnazione[[#This Row],[Quota di assegnazione]]</f>
        <v>0</v>
      </c>
      <c r="I192" s="172">
        <f>+SUMIF(B[Bene],Assegnazione[[#This Row],[Bene]],B[Valore normale])*Assegnazione[[#This Row],[Quota di assegnazione]]</f>
        <v>0</v>
      </c>
      <c r="J192" s="174">
        <f>+IF(Assegnazione[[#This Row],[Bene]]="",0,SUMIF(Assegnazione[Socio],Assegnazione[[#This Row],[Socio]],Assegnazione[Valore Normale])/$I$3)</f>
        <v>0</v>
      </c>
      <c r="K192" s="174" t="str">
        <f>IF(Assegnazione[[#This Row],[Bene]]="","",SUMIF(A_1[Nome],Assegnazione[[#This Row],[Socio]],A_1[Quota partecipazione al momento dell''operazione]))</f>
        <v/>
      </c>
      <c r="L192" s="172">
        <f>+SUMIF(B[Bene],Assegnazione[[#This Row],[Bene]],B[Valore catastale])*Assegnazione[[#This Row],[Quota di assegnazione]]</f>
        <v>0</v>
      </c>
      <c r="M192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2" s="172">
        <f>+MIN(Assegnazione[[#This Row],[Valore ai fini dell''atto]],Assegnazione[[#This Row],[Valore Fiscalmente riconosciuto]])</f>
        <v>0</v>
      </c>
      <c r="O192" s="146" t="str">
        <f>+IFERROR(VLOOKUP(Assegnazione[[#This Row],[Bene]],B[],MATCH($O$4,Beni!$A$4:$Z$4,0),0),"")</f>
        <v/>
      </c>
      <c r="P192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2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2" s="175">
        <f>+SUMIF(B[Bene],Assegnazione[[#This Row],[Bene]],B[Iva se dovuta])*Assegnazione[[#This Row],[Quota di assegnazione]]</f>
        <v>0</v>
      </c>
      <c r="S192" s="175">
        <f>+SUMIF(B[Bene],Assegnazione[[#This Row],[Bene]],B[Imposta di registro (fissa + prop) senza agevolazione])*Assegnazione[[#This Row],[Quota di assegnazione]]</f>
        <v>0</v>
      </c>
      <c r="T192" s="175">
        <f>+SUMIF(B[Bene],Assegnazione[[#This Row],[Bene]],B[Ipotecaria e catastale senza agevolazione])*Assegnazione[[#This Row],[Quota di assegnazione]]</f>
        <v>0</v>
      </c>
      <c r="U192" s="176">
        <f>+SUM(Assegnazione[[#This Row],[Tassazione diretta senza agevolazione]:[Ipotecaria e catastale senza agevolazione]])</f>
        <v>0</v>
      </c>
      <c r="V192" s="175">
        <f>+SUMIF(B[Bene],Assegnazione[[#This Row],[Bene]],B[Imponibile Imposta sostitutiva])*Assegnazione[[#This Row],[Quota di assegnazione]]*DATI!$E$27</f>
        <v>0</v>
      </c>
      <c r="W192" s="175">
        <f>+SUMIF(B[Bene],Assegnazione[[#This Row],[Bene]],B[Imposta di registro in misura fissa agevolata])*Assegnazione[[#This Row],[Quota di assegnazione]]</f>
        <v>0</v>
      </c>
      <c r="X192" s="175">
        <f>+SUMIF(B[Bene],Assegnazione[[#This Row],[Bene]],B[Imposta di registro prop. Agevolata])*Assegnazione[[#This Row],[Quota di assegnazione]]</f>
        <v>0</v>
      </c>
      <c r="Y192" s="175">
        <f>+IFERROR(Assegnazione[[#This Row],[Imposta di registro in misura fissa]]+Assegnazione[[#This Row],[Imposta di registro prop.]],"")</f>
        <v>0</v>
      </c>
      <c r="Z192" s="175">
        <f>+SUMIF(B[Bene],Assegnazione[[#This Row],[Bene]],B[Ipotecaria catastale agevolata])*Assegnazione[[#This Row],[Quota di assegnazione]]</f>
        <v>0</v>
      </c>
    </row>
    <row r="193" spans="1:26" x14ac:dyDescent="0.2">
      <c r="A193" s="123"/>
      <c r="B193" s="132"/>
      <c r="C193" s="123"/>
      <c r="D193" s="172">
        <f>+SUMIF(B[Bene],Assegnazione[[#This Row],[Bene]],B[Imponibile Iva])*Assegnazione[[#This Row],[Quota di assegnazione]]</f>
        <v>0</v>
      </c>
      <c r="E193" s="172">
        <f>+SUMIF(B[Bene],Assegnazione[[#This Row],[Bene]],B[Valore inserito manualmente])*Assegnazione[[#This Row],[Quota di assegnazione]]</f>
        <v>0</v>
      </c>
      <c r="F193" s="173" t="str">
        <f>+IF(A193="","",VLOOKUP(Assegnazione[[#This Row],[Bene]],B[],3,0))</f>
        <v/>
      </c>
      <c r="G193" s="129" t="str">
        <f>+IFERROR(VLOOKUP(Assegnazione[[#This Row],[Bene]],B[],MATCH("Agevolabile",Beni!$A$4:$AC$4,0),0)*VLOOKUP(Assegnazione[[#This Row],[Socio]],A_1[],8,0),"")</f>
        <v/>
      </c>
      <c r="H193" s="172">
        <f>+SUMIF(B[Bene],Assegnazione[[#This Row],[Bene]],B[Valore netto contabile fiscalmente riconosciuto])*Assegnazione[[#This Row],[Quota di assegnazione]]</f>
        <v>0</v>
      </c>
      <c r="I193" s="172">
        <f>+SUMIF(B[Bene],Assegnazione[[#This Row],[Bene]],B[Valore normale])*Assegnazione[[#This Row],[Quota di assegnazione]]</f>
        <v>0</v>
      </c>
      <c r="J193" s="174">
        <f>+IF(Assegnazione[[#This Row],[Bene]]="",0,SUMIF(Assegnazione[Socio],Assegnazione[[#This Row],[Socio]],Assegnazione[Valore Normale])/$I$3)</f>
        <v>0</v>
      </c>
      <c r="K193" s="174" t="str">
        <f>IF(Assegnazione[[#This Row],[Bene]]="","",SUMIF(A_1[Nome],Assegnazione[[#This Row],[Socio]],A_1[Quota partecipazione al momento dell''operazione]))</f>
        <v/>
      </c>
      <c r="L193" s="172">
        <f>+SUMIF(B[Bene],Assegnazione[[#This Row],[Bene]],B[Valore catastale])*Assegnazione[[#This Row],[Quota di assegnazione]]</f>
        <v>0</v>
      </c>
      <c r="M193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3" s="172">
        <f>+MIN(Assegnazione[[#This Row],[Valore ai fini dell''atto]],Assegnazione[[#This Row],[Valore Fiscalmente riconosciuto]])</f>
        <v>0</v>
      </c>
      <c r="O193" s="146" t="str">
        <f>+IFERROR(VLOOKUP(Assegnazione[[#This Row],[Bene]],B[],MATCH($O$4,Beni!$A$4:$Z$4,0),0),"")</f>
        <v/>
      </c>
      <c r="P193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3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3" s="175">
        <f>+SUMIF(B[Bene],Assegnazione[[#This Row],[Bene]],B[Iva se dovuta])*Assegnazione[[#This Row],[Quota di assegnazione]]</f>
        <v>0</v>
      </c>
      <c r="S193" s="175">
        <f>+SUMIF(B[Bene],Assegnazione[[#This Row],[Bene]],B[Imposta di registro (fissa + prop) senza agevolazione])*Assegnazione[[#This Row],[Quota di assegnazione]]</f>
        <v>0</v>
      </c>
      <c r="T193" s="175">
        <f>+SUMIF(B[Bene],Assegnazione[[#This Row],[Bene]],B[Ipotecaria e catastale senza agevolazione])*Assegnazione[[#This Row],[Quota di assegnazione]]</f>
        <v>0</v>
      </c>
      <c r="U193" s="176">
        <f>+SUM(Assegnazione[[#This Row],[Tassazione diretta senza agevolazione]:[Ipotecaria e catastale senza agevolazione]])</f>
        <v>0</v>
      </c>
      <c r="V193" s="175">
        <f>+SUMIF(B[Bene],Assegnazione[[#This Row],[Bene]],B[Imponibile Imposta sostitutiva])*Assegnazione[[#This Row],[Quota di assegnazione]]*DATI!$E$27</f>
        <v>0</v>
      </c>
      <c r="W193" s="175">
        <f>+SUMIF(B[Bene],Assegnazione[[#This Row],[Bene]],B[Imposta di registro in misura fissa agevolata])*Assegnazione[[#This Row],[Quota di assegnazione]]</f>
        <v>0</v>
      </c>
      <c r="X193" s="175">
        <f>+SUMIF(B[Bene],Assegnazione[[#This Row],[Bene]],B[Imposta di registro prop. Agevolata])*Assegnazione[[#This Row],[Quota di assegnazione]]</f>
        <v>0</v>
      </c>
      <c r="Y193" s="175">
        <f>+IFERROR(Assegnazione[[#This Row],[Imposta di registro in misura fissa]]+Assegnazione[[#This Row],[Imposta di registro prop.]],"")</f>
        <v>0</v>
      </c>
      <c r="Z193" s="175">
        <f>+SUMIF(B[Bene],Assegnazione[[#This Row],[Bene]],B[Ipotecaria catastale agevolata])*Assegnazione[[#This Row],[Quota di assegnazione]]</f>
        <v>0</v>
      </c>
    </row>
    <row r="194" spans="1:26" x14ac:dyDescent="0.2">
      <c r="A194" s="123"/>
      <c r="B194" s="132"/>
      <c r="C194" s="123"/>
      <c r="D194" s="172">
        <f>+SUMIF(B[Bene],Assegnazione[[#This Row],[Bene]],B[Imponibile Iva])*Assegnazione[[#This Row],[Quota di assegnazione]]</f>
        <v>0</v>
      </c>
      <c r="E194" s="172">
        <f>+SUMIF(B[Bene],Assegnazione[[#This Row],[Bene]],B[Valore inserito manualmente])*Assegnazione[[#This Row],[Quota di assegnazione]]</f>
        <v>0</v>
      </c>
      <c r="F194" s="173" t="str">
        <f>+IF(A194="","",VLOOKUP(Assegnazione[[#This Row],[Bene]],B[],3,0))</f>
        <v/>
      </c>
      <c r="G194" s="129" t="str">
        <f>+IFERROR(VLOOKUP(Assegnazione[[#This Row],[Bene]],B[],MATCH("Agevolabile",Beni!$A$4:$AC$4,0),0)*VLOOKUP(Assegnazione[[#This Row],[Socio]],A_1[],8,0),"")</f>
        <v/>
      </c>
      <c r="H194" s="172">
        <f>+SUMIF(B[Bene],Assegnazione[[#This Row],[Bene]],B[Valore netto contabile fiscalmente riconosciuto])*Assegnazione[[#This Row],[Quota di assegnazione]]</f>
        <v>0</v>
      </c>
      <c r="I194" s="172">
        <f>+SUMIF(B[Bene],Assegnazione[[#This Row],[Bene]],B[Valore normale])*Assegnazione[[#This Row],[Quota di assegnazione]]</f>
        <v>0</v>
      </c>
      <c r="J194" s="174">
        <f>+IF(Assegnazione[[#This Row],[Bene]]="",0,SUMIF(Assegnazione[Socio],Assegnazione[[#This Row],[Socio]],Assegnazione[Valore Normale])/$I$3)</f>
        <v>0</v>
      </c>
      <c r="K194" s="174" t="str">
        <f>IF(Assegnazione[[#This Row],[Bene]]="","",SUMIF(A_1[Nome],Assegnazione[[#This Row],[Socio]],A_1[Quota partecipazione al momento dell''operazione]))</f>
        <v/>
      </c>
      <c r="L194" s="172">
        <f>+SUMIF(B[Bene],Assegnazione[[#This Row],[Bene]],B[Valore catastale])*Assegnazione[[#This Row],[Quota di assegnazione]]</f>
        <v>0</v>
      </c>
      <c r="M194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4" s="172">
        <f>+MIN(Assegnazione[[#This Row],[Valore ai fini dell''atto]],Assegnazione[[#This Row],[Valore Fiscalmente riconosciuto]])</f>
        <v>0</v>
      </c>
      <c r="O194" s="146" t="str">
        <f>+IFERROR(VLOOKUP(Assegnazione[[#This Row],[Bene]],B[],MATCH($O$4,Beni!$A$4:$Z$4,0),0),"")</f>
        <v/>
      </c>
      <c r="P194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4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4" s="175">
        <f>+SUMIF(B[Bene],Assegnazione[[#This Row],[Bene]],B[Iva se dovuta])*Assegnazione[[#This Row],[Quota di assegnazione]]</f>
        <v>0</v>
      </c>
      <c r="S194" s="175">
        <f>+SUMIF(B[Bene],Assegnazione[[#This Row],[Bene]],B[Imposta di registro (fissa + prop) senza agevolazione])*Assegnazione[[#This Row],[Quota di assegnazione]]</f>
        <v>0</v>
      </c>
      <c r="T194" s="175">
        <f>+SUMIF(B[Bene],Assegnazione[[#This Row],[Bene]],B[Ipotecaria e catastale senza agevolazione])*Assegnazione[[#This Row],[Quota di assegnazione]]</f>
        <v>0</v>
      </c>
      <c r="U194" s="176">
        <f>+SUM(Assegnazione[[#This Row],[Tassazione diretta senza agevolazione]:[Ipotecaria e catastale senza agevolazione]])</f>
        <v>0</v>
      </c>
      <c r="V194" s="175">
        <f>+SUMIF(B[Bene],Assegnazione[[#This Row],[Bene]],B[Imponibile Imposta sostitutiva])*Assegnazione[[#This Row],[Quota di assegnazione]]*DATI!$E$27</f>
        <v>0</v>
      </c>
      <c r="W194" s="175">
        <f>+SUMIF(B[Bene],Assegnazione[[#This Row],[Bene]],B[Imposta di registro in misura fissa agevolata])*Assegnazione[[#This Row],[Quota di assegnazione]]</f>
        <v>0</v>
      </c>
      <c r="X194" s="175">
        <f>+SUMIF(B[Bene],Assegnazione[[#This Row],[Bene]],B[Imposta di registro prop. Agevolata])*Assegnazione[[#This Row],[Quota di assegnazione]]</f>
        <v>0</v>
      </c>
      <c r="Y194" s="175">
        <f>+IFERROR(Assegnazione[[#This Row],[Imposta di registro in misura fissa]]+Assegnazione[[#This Row],[Imposta di registro prop.]],"")</f>
        <v>0</v>
      </c>
      <c r="Z194" s="175">
        <f>+SUMIF(B[Bene],Assegnazione[[#This Row],[Bene]],B[Ipotecaria catastale agevolata])*Assegnazione[[#This Row],[Quota di assegnazione]]</f>
        <v>0</v>
      </c>
    </row>
    <row r="195" spans="1:26" x14ac:dyDescent="0.2">
      <c r="A195" s="123"/>
      <c r="B195" s="132"/>
      <c r="C195" s="123"/>
      <c r="D195" s="172">
        <f>+SUMIF(B[Bene],Assegnazione[[#This Row],[Bene]],B[Imponibile Iva])*Assegnazione[[#This Row],[Quota di assegnazione]]</f>
        <v>0</v>
      </c>
      <c r="E195" s="172">
        <f>+SUMIF(B[Bene],Assegnazione[[#This Row],[Bene]],B[Valore inserito manualmente])*Assegnazione[[#This Row],[Quota di assegnazione]]</f>
        <v>0</v>
      </c>
      <c r="F195" s="173" t="str">
        <f>+IF(A195="","",VLOOKUP(Assegnazione[[#This Row],[Bene]],B[],3,0))</f>
        <v/>
      </c>
      <c r="G195" s="129" t="str">
        <f>+IFERROR(VLOOKUP(Assegnazione[[#This Row],[Bene]],B[],MATCH("Agevolabile",Beni!$A$4:$AC$4,0),0)*VLOOKUP(Assegnazione[[#This Row],[Socio]],A_1[],8,0),"")</f>
        <v/>
      </c>
      <c r="H195" s="172">
        <f>+SUMIF(B[Bene],Assegnazione[[#This Row],[Bene]],B[Valore netto contabile fiscalmente riconosciuto])*Assegnazione[[#This Row],[Quota di assegnazione]]</f>
        <v>0</v>
      </c>
      <c r="I195" s="172">
        <f>+SUMIF(B[Bene],Assegnazione[[#This Row],[Bene]],B[Valore normale])*Assegnazione[[#This Row],[Quota di assegnazione]]</f>
        <v>0</v>
      </c>
      <c r="J195" s="174">
        <f>+IF(Assegnazione[[#This Row],[Bene]]="",0,SUMIF(Assegnazione[Socio],Assegnazione[[#This Row],[Socio]],Assegnazione[Valore Normale])/$I$3)</f>
        <v>0</v>
      </c>
      <c r="K195" s="174" t="str">
        <f>IF(Assegnazione[[#This Row],[Bene]]="","",SUMIF(A_1[Nome],Assegnazione[[#This Row],[Socio]],A_1[Quota partecipazione al momento dell''operazione]))</f>
        <v/>
      </c>
      <c r="L195" s="172">
        <f>+SUMIF(B[Bene],Assegnazione[[#This Row],[Bene]],B[Valore catastale])*Assegnazione[[#This Row],[Quota di assegnazione]]</f>
        <v>0</v>
      </c>
      <c r="M195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5" s="172">
        <f>+MIN(Assegnazione[[#This Row],[Valore ai fini dell''atto]],Assegnazione[[#This Row],[Valore Fiscalmente riconosciuto]])</f>
        <v>0</v>
      </c>
      <c r="O195" s="146" t="str">
        <f>+IFERROR(VLOOKUP(Assegnazione[[#This Row],[Bene]],B[],MATCH($O$4,Beni!$A$4:$Z$4,0),0),"")</f>
        <v/>
      </c>
      <c r="P195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5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5" s="175">
        <f>+SUMIF(B[Bene],Assegnazione[[#This Row],[Bene]],B[Iva se dovuta])*Assegnazione[[#This Row],[Quota di assegnazione]]</f>
        <v>0</v>
      </c>
      <c r="S195" s="175">
        <f>+SUMIF(B[Bene],Assegnazione[[#This Row],[Bene]],B[Imposta di registro (fissa + prop) senza agevolazione])*Assegnazione[[#This Row],[Quota di assegnazione]]</f>
        <v>0</v>
      </c>
      <c r="T195" s="175">
        <f>+SUMIF(B[Bene],Assegnazione[[#This Row],[Bene]],B[Ipotecaria e catastale senza agevolazione])*Assegnazione[[#This Row],[Quota di assegnazione]]</f>
        <v>0</v>
      </c>
      <c r="U195" s="176">
        <f>+SUM(Assegnazione[[#This Row],[Tassazione diretta senza agevolazione]:[Ipotecaria e catastale senza agevolazione]])</f>
        <v>0</v>
      </c>
      <c r="V195" s="175">
        <f>+SUMIF(B[Bene],Assegnazione[[#This Row],[Bene]],B[Imponibile Imposta sostitutiva])*Assegnazione[[#This Row],[Quota di assegnazione]]*DATI!$E$27</f>
        <v>0</v>
      </c>
      <c r="W195" s="175">
        <f>+SUMIF(B[Bene],Assegnazione[[#This Row],[Bene]],B[Imposta di registro in misura fissa agevolata])*Assegnazione[[#This Row],[Quota di assegnazione]]</f>
        <v>0</v>
      </c>
      <c r="X195" s="175">
        <f>+SUMIF(B[Bene],Assegnazione[[#This Row],[Bene]],B[Imposta di registro prop. Agevolata])*Assegnazione[[#This Row],[Quota di assegnazione]]</f>
        <v>0</v>
      </c>
      <c r="Y195" s="175">
        <f>+IFERROR(Assegnazione[[#This Row],[Imposta di registro in misura fissa]]+Assegnazione[[#This Row],[Imposta di registro prop.]],"")</f>
        <v>0</v>
      </c>
      <c r="Z195" s="175">
        <f>+SUMIF(B[Bene],Assegnazione[[#This Row],[Bene]],B[Ipotecaria catastale agevolata])*Assegnazione[[#This Row],[Quota di assegnazione]]</f>
        <v>0</v>
      </c>
    </row>
    <row r="196" spans="1:26" x14ac:dyDescent="0.2">
      <c r="A196" s="123"/>
      <c r="B196" s="132"/>
      <c r="C196" s="123"/>
      <c r="D196" s="172">
        <f>+SUMIF(B[Bene],Assegnazione[[#This Row],[Bene]],B[Imponibile Iva])*Assegnazione[[#This Row],[Quota di assegnazione]]</f>
        <v>0</v>
      </c>
      <c r="E196" s="172">
        <f>+SUMIF(B[Bene],Assegnazione[[#This Row],[Bene]],B[Valore inserito manualmente])*Assegnazione[[#This Row],[Quota di assegnazione]]</f>
        <v>0</v>
      </c>
      <c r="F196" s="173" t="str">
        <f>+IF(A196="","",VLOOKUP(Assegnazione[[#This Row],[Bene]],B[],3,0))</f>
        <v/>
      </c>
      <c r="G196" s="129" t="str">
        <f>+IFERROR(VLOOKUP(Assegnazione[[#This Row],[Bene]],B[],MATCH("Agevolabile",Beni!$A$4:$AC$4,0),0)*VLOOKUP(Assegnazione[[#This Row],[Socio]],A_1[],8,0),"")</f>
        <v/>
      </c>
      <c r="H196" s="172">
        <f>+SUMIF(B[Bene],Assegnazione[[#This Row],[Bene]],B[Valore netto contabile fiscalmente riconosciuto])*Assegnazione[[#This Row],[Quota di assegnazione]]</f>
        <v>0</v>
      </c>
      <c r="I196" s="172">
        <f>+SUMIF(B[Bene],Assegnazione[[#This Row],[Bene]],B[Valore normale])*Assegnazione[[#This Row],[Quota di assegnazione]]</f>
        <v>0</v>
      </c>
      <c r="J196" s="174">
        <f>+IF(Assegnazione[[#This Row],[Bene]]="",0,SUMIF(Assegnazione[Socio],Assegnazione[[#This Row],[Socio]],Assegnazione[Valore Normale])/$I$3)</f>
        <v>0</v>
      </c>
      <c r="K196" s="174" t="str">
        <f>IF(Assegnazione[[#This Row],[Bene]]="","",SUMIF(A_1[Nome],Assegnazione[[#This Row],[Socio]],A_1[Quota partecipazione al momento dell''operazione]))</f>
        <v/>
      </c>
      <c r="L196" s="172">
        <f>+SUMIF(B[Bene],Assegnazione[[#This Row],[Bene]],B[Valore catastale])*Assegnazione[[#This Row],[Quota di assegnazione]]</f>
        <v>0</v>
      </c>
      <c r="M196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6" s="172">
        <f>+MIN(Assegnazione[[#This Row],[Valore ai fini dell''atto]],Assegnazione[[#This Row],[Valore Fiscalmente riconosciuto]])</f>
        <v>0</v>
      </c>
      <c r="O196" s="146" t="str">
        <f>+IFERROR(VLOOKUP(Assegnazione[[#This Row],[Bene]],B[],MATCH($O$4,Beni!$A$4:$Z$4,0),0),"")</f>
        <v/>
      </c>
      <c r="P196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6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6" s="175">
        <f>+SUMIF(B[Bene],Assegnazione[[#This Row],[Bene]],B[Iva se dovuta])*Assegnazione[[#This Row],[Quota di assegnazione]]</f>
        <v>0</v>
      </c>
      <c r="S196" s="175">
        <f>+SUMIF(B[Bene],Assegnazione[[#This Row],[Bene]],B[Imposta di registro (fissa + prop) senza agevolazione])*Assegnazione[[#This Row],[Quota di assegnazione]]</f>
        <v>0</v>
      </c>
      <c r="T196" s="175">
        <f>+SUMIF(B[Bene],Assegnazione[[#This Row],[Bene]],B[Ipotecaria e catastale senza agevolazione])*Assegnazione[[#This Row],[Quota di assegnazione]]</f>
        <v>0</v>
      </c>
      <c r="U196" s="176">
        <f>+SUM(Assegnazione[[#This Row],[Tassazione diretta senza agevolazione]:[Ipotecaria e catastale senza agevolazione]])</f>
        <v>0</v>
      </c>
      <c r="V196" s="175">
        <f>+SUMIF(B[Bene],Assegnazione[[#This Row],[Bene]],B[Imponibile Imposta sostitutiva])*Assegnazione[[#This Row],[Quota di assegnazione]]*DATI!$E$27</f>
        <v>0</v>
      </c>
      <c r="W196" s="175">
        <f>+SUMIF(B[Bene],Assegnazione[[#This Row],[Bene]],B[Imposta di registro in misura fissa agevolata])*Assegnazione[[#This Row],[Quota di assegnazione]]</f>
        <v>0</v>
      </c>
      <c r="X196" s="175">
        <f>+SUMIF(B[Bene],Assegnazione[[#This Row],[Bene]],B[Imposta di registro prop. Agevolata])*Assegnazione[[#This Row],[Quota di assegnazione]]</f>
        <v>0</v>
      </c>
      <c r="Y196" s="175">
        <f>+IFERROR(Assegnazione[[#This Row],[Imposta di registro in misura fissa]]+Assegnazione[[#This Row],[Imposta di registro prop.]],"")</f>
        <v>0</v>
      </c>
      <c r="Z196" s="175">
        <f>+SUMIF(B[Bene],Assegnazione[[#This Row],[Bene]],B[Ipotecaria catastale agevolata])*Assegnazione[[#This Row],[Quota di assegnazione]]</f>
        <v>0</v>
      </c>
    </row>
    <row r="197" spans="1:26" x14ac:dyDescent="0.2">
      <c r="A197" s="123"/>
      <c r="B197" s="132"/>
      <c r="C197" s="123"/>
      <c r="D197" s="172">
        <f>+SUMIF(B[Bene],Assegnazione[[#This Row],[Bene]],B[Imponibile Iva])*Assegnazione[[#This Row],[Quota di assegnazione]]</f>
        <v>0</v>
      </c>
      <c r="E197" s="172">
        <f>+SUMIF(B[Bene],Assegnazione[[#This Row],[Bene]],B[Valore inserito manualmente])*Assegnazione[[#This Row],[Quota di assegnazione]]</f>
        <v>0</v>
      </c>
      <c r="F197" s="173" t="str">
        <f>+IF(A197="","",VLOOKUP(Assegnazione[[#This Row],[Bene]],B[],3,0))</f>
        <v/>
      </c>
      <c r="G197" s="129" t="str">
        <f>+IFERROR(VLOOKUP(Assegnazione[[#This Row],[Bene]],B[],MATCH("Agevolabile",Beni!$A$4:$AC$4,0),0)*VLOOKUP(Assegnazione[[#This Row],[Socio]],A_1[],8,0),"")</f>
        <v/>
      </c>
      <c r="H197" s="172">
        <f>+SUMIF(B[Bene],Assegnazione[[#This Row],[Bene]],B[Valore netto contabile fiscalmente riconosciuto])*Assegnazione[[#This Row],[Quota di assegnazione]]</f>
        <v>0</v>
      </c>
      <c r="I197" s="172">
        <f>+SUMIF(B[Bene],Assegnazione[[#This Row],[Bene]],B[Valore normale])*Assegnazione[[#This Row],[Quota di assegnazione]]</f>
        <v>0</v>
      </c>
      <c r="J197" s="174">
        <f>+IF(Assegnazione[[#This Row],[Bene]]="",0,SUMIF(Assegnazione[Socio],Assegnazione[[#This Row],[Socio]],Assegnazione[Valore Normale])/$I$3)</f>
        <v>0</v>
      </c>
      <c r="K197" s="174" t="str">
        <f>IF(Assegnazione[[#This Row],[Bene]]="","",SUMIF(A_1[Nome],Assegnazione[[#This Row],[Socio]],A_1[Quota partecipazione al momento dell''operazione]))</f>
        <v/>
      </c>
      <c r="L197" s="172">
        <f>+SUMIF(B[Bene],Assegnazione[[#This Row],[Bene]],B[Valore catastale])*Assegnazione[[#This Row],[Quota di assegnazione]]</f>
        <v>0</v>
      </c>
      <c r="M197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7" s="172">
        <f>+MIN(Assegnazione[[#This Row],[Valore ai fini dell''atto]],Assegnazione[[#This Row],[Valore Fiscalmente riconosciuto]])</f>
        <v>0</v>
      </c>
      <c r="O197" s="146" t="str">
        <f>+IFERROR(VLOOKUP(Assegnazione[[#This Row],[Bene]],B[],MATCH($O$4,Beni!$A$4:$Z$4,0),0),"")</f>
        <v/>
      </c>
      <c r="P197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7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7" s="175">
        <f>+SUMIF(B[Bene],Assegnazione[[#This Row],[Bene]],B[Iva se dovuta])*Assegnazione[[#This Row],[Quota di assegnazione]]</f>
        <v>0</v>
      </c>
      <c r="S197" s="175">
        <f>+SUMIF(B[Bene],Assegnazione[[#This Row],[Bene]],B[Imposta di registro (fissa + prop) senza agevolazione])*Assegnazione[[#This Row],[Quota di assegnazione]]</f>
        <v>0</v>
      </c>
      <c r="T197" s="175">
        <f>+SUMIF(B[Bene],Assegnazione[[#This Row],[Bene]],B[Ipotecaria e catastale senza agevolazione])*Assegnazione[[#This Row],[Quota di assegnazione]]</f>
        <v>0</v>
      </c>
      <c r="U197" s="176">
        <f>+SUM(Assegnazione[[#This Row],[Tassazione diretta senza agevolazione]:[Ipotecaria e catastale senza agevolazione]])</f>
        <v>0</v>
      </c>
      <c r="V197" s="175">
        <f>+SUMIF(B[Bene],Assegnazione[[#This Row],[Bene]],B[Imponibile Imposta sostitutiva])*Assegnazione[[#This Row],[Quota di assegnazione]]*DATI!$E$27</f>
        <v>0</v>
      </c>
      <c r="W197" s="175">
        <f>+SUMIF(B[Bene],Assegnazione[[#This Row],[Bene]],B[Imposta di registro in misura fissa agevolata])*Assegnazione[[#This Row],[Quota di assegnazione]]</f>
        <v>0</v>
      </c>
      <c r="X197" s="175">
        <f>+SUMIF(B[Bene],Assegnazione[[#This Row],[Bene]],B[Imposta di registro prop. Agevolata])*Assegnazione[[#This Row],[Quota di assegnazione]]</f>
        <v>0</v>
      </c>
      <c r="Y197" s="175">
        <f>+IFERROR(Assegnazione[[#This Row],[Imposta di registro in misura fissa]]+Assegnazione[[#This Row],[Imposta di registro prop.]],"")</f>
        <v>0</v>
      </c>
      <c r="Z197" s="175">
        <f>+SUMIF(B[Bene],Assegnazione[[#This Row],[Bene]],B[Ipotecaria catastale agevolata])*Assegnazione[[#This Row],[Quota di assegnazione]]</f>
        <v>0</v>
      </c>
    </row>
    <row r="198" spans="1:26" x14ac:dyDescent="0.2">
      <c r="A198" s="123"/>
      <c r="B198" s="132"/>
      <c r="C198" s="123"/>
      <c r="D198" s="172">
        <f>+SUMIF(B[Bene],Assegnazione[[#This Row],[Bene]],B[Imponibile Iva])*Assegnazione[[#This Row],[Quota di assegnazione]]</f>
        <v>0</v>
      </c>
      <c r="E198" s="172">
        <f>+SUMIF(B[Bene],Assegnazione[[#This Row],[Bene]],B[Valore inserito manualmente])*Assegnazione[[#This Row],[Quota di assegnazione]]</f>
        <v>0</v>
      </c>
      <c r="F198" s="173" t="str">
        <f>+IF(A198="","",VLOOKUP(Assegnazione[[#This Row],[Bene]],B[],3,0))</f>
        <v/>
      </c>
      <c r="G198" s="129" t="str">
        <f>+IFERROR(VLOOKUP(Assegnazione[[#This Row],[Bene]],B[],MATCH("Agevolabile",Beni!$A$4:$AC$4,0),0)*VLOOKUP(Assegnazione[[#This Row],[Socio]],A_1[],8,0),"")</f>
        <v/>
      </c>
      <c r="H198" s="172">
        <f>+SUMIF(B[Bene],Assegnazione[[#This Row],[Bene]],B[Valore netto contabile fiscalmente riconosciuto])*Assegnazione[[#This Row],[Quota di assegnazione]]</f>
        <v>0</v>
      </c>
      <c r="I198" s="172">
        <f>+SUMIF(B[Bene],Assegnazione[[#This Row],[Bene]],B[Valore normale])*Assegnazione[[#This Row],[Quota di assegnazione]]</f>
        <v>0</v>
      </c>
      <c r="J198" s="174">
        <f>+IF(Assegnazione[[#This Row],[Bene]]="",0,SUMIF(Assegnazione[Socio],Assegnazione[[#This Row],[Socio]],Assegnazione[Valore Normale])/$I$3)</f>
        <v>0</v>
      </c>
      <c r="K198" s="174" t="str">
        <f>IF(Assegnazione[[#This Row],[Bene]]="","",SUMIF(A_1[Nome],Assegnazione[[#This Row],[Socio]],A_1[Quota partecipazione al momento dell''operazione]))</f>
        <v/>
      </c>
      <c r="L198" s="172">
        <f>+SUMIF(B[Bene],Assegnazione[[#This Row],[Bene]],B[Valore catastale])*Assegnazione[[#This Row],[Quota di assegnazione]]</f>
        <v>0</v>
      </c>
      <c r="M198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8" s="172">
        <f>+MIN(Assegnazione[[#This Row],[Valore ai fini dell''atto]],Assegnazione[[#This Row],[Valore Fiscalmente riconosciuto]])</f>
        <v>0</v>
      </c>
      <c r="O198" s="146" t="str">
        <f>+IFERROR(VLOOKUP(Assegnazione[[#This Row],[Bene]],B[],MATCH($O$4,Beni!$A$4:$Z$4,0),0),"")</f>
        <v/>
      </c>
      <c r="P198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8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8" s="175">
        <f>+SUMIF(B[Bene],Assegnazione[[#This Row],[Bene]],B[Iva se dovuta])*Assegnazione[[#This Row],[Quota di assegnazione]]</f>
        <v>0</v>
      </c>
      <c r="S198" s="175">
        <f>+SUMIF(B[Bene],Assegnazione[[#This Row],[Bene]],B[Imposta di registro (fissa + prop) senza agevolazione])*Assegnazione[[#This Row],[Quota di assegnazione]]</f>
        <v>0</v>
      </c>
      <c r="T198" s="175">
        <f>+SUMIF(B[Bene],Assegnazione[[#This Row],[Bene]],B[Ipotecaria e catastale senza agevolazione])*Assegnazione[[#This Row],[Quota di assegnazione]]</f>
        <v>0</v>
      </c>
      <c r="U198" s="176">
        <f>+SUM(Assegnazione[[#This Row],[Tassazione diretta senza agevolazione]:[Ipotecaria e catastale senza agevolazione]])</f>
        <v>0</v>
      </c>
      <c r="V198" s="175">
        <f>+SUMIF(B[Bene],Assegnazione[[#This Row],[Bene]],B[Imponibile Imposta sostitutiva])*Assegnazione[[#This Row],[Quota di assegnazione]]*DATI!$E$27</f>
        <v>0</v>
      </c>
      <c r="W198" s="175">
        <f>+SUMIF(B[Bene],Assegnazione[[#This Row],[Bene]],B[Imposta di registro in misura fissa agevolata])*Assegnazione[[#This Row],[Quota di assegnazione]]</f>
        <v>0</v>
      </c>
      <c r="X198" s="175">
        <f>+SUMIF(B[Bene],Assegnazione[[#This Row],[Bene]],B[Imposta di registro prop. Agevolata])*Assegnazione[[#This Row],[Quota di assegnazione]]</f>
        <v>0</v>
      </c>
      <c r="Y198" s="175">
        <f>+IFERROR(Assegnazione[[#This Row],[Imposta di registro in misura fissa]]+Assegnazione[[#This Row],[Imposta di registro prop.]],"")</f>
        <v>0</v>
      </c>
      <c r="Z198" s="175">
        <f>+SUMIF(B[Bene],Assegnazione[[#This Row],[Bene]],B[Ipotecaria catastale agevolata])*Assegnazione[[#This Row],[Quota di assegnazione]]</f>
        <v>0</v>
      </c>
    </row>
    <row r="199" spans="1:26" x14ac:dyDescent="0.2">
      <c r="A199" s="123"/>
      <c r="B199" s="132"/>
      <c r="C199" s="123"/>
      <c r="D199" s="172">
        <f>+SUMIF(B[Bene],Assegnazione[[#This Row],[Bene]],B[Imponibile Iva])*Assegnazione[[#This Row],[Quota di assegnazione]]</f>
        <v>0</v>
      </c>
      <c r="E199" s="172">
        <f>+SUMIF(B[Bene],Assegnazione[[#This Row],[Bene]],B[Valore inserito manualmente])*Assegnazione[[#This Row],[Quota di assegnazione]]</f>
        <v>0</v>
      </c>
      <c r="F199" s="173" t="str">
        <f>+IF(A199="","",VLOOKUP(Assegnazione[[#This Row],[Bene]],B[],3,0))</f>
        <v/>
      </c>
      <c r="G199" s="129" t="str">
        <f>+IFERROR(VLOOKUP(Assegnazione[[#This Row],[Bene]],B[],MATCH("Agevolabile",Beni!$A$4:$AC$4,0),0)*VLOOKUP(Assegnazione[[#This Row],[Socio]],A_1[],8,0),"")</f>
        <v/>
      </c>
      <c r="H199" s="172">
        <f>+SUMIF(B[Bene],Assegnazione[[#This Row],[Bene]],B[Valore netto contabile fiscalmente riconosciuto])*Assegnazione[[#This Row],[Quota di assegnazione]]</f>
        <v>0</v>
      </c>
      <c r="I199" s="172">
        <f>+SUMIF(B[Bene],Assegnazione[[#This Row],[Bene]],B[Valore normale])*Assegnazione[[#This Row],[Quota di assegnazione]]</f>
        <v>0</v>
      </c>
      <c r="J199" s="174">
        <f>+IF(Assegnazione[[#This Row],[Bene]]="",0,SUMIF(Assegnazione[Socio],Assegnazione[[#This Row],[Socio]],Assegnazione[Valore Normale])/$I$3)</f>
        <v>0</v>
      </c>
      <c r="K199" s="174" t="str">
        <f>IF(Assegnazione[[#This Row],[Bene]]="","",SUMIF(A_1[Nome],Assegnazione[[#This Row],[Socio]],A_1[Quota partecipazione al momento dell''operazione]))</f>
        <v/>
      </c>
      <c r="L199" s="172">
        <f>+SUMIF(B[Bene],Assegnazione[[#This Row],[Bene]],B[Valore catastale])*Assegnazione[[#This Row],[Quota di assegnazione]]</f>
        <v>0</v>
      </c>
      <c r="M199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9" s="172">
        <f>+MIN(Assegnazione[[#This Row],[Valore ai fini dell''atto]],Assegnazione[[#This Row],[Valore Fiscalmente riconosciuto]])</f>
        <v>0</v>
      </c>
      <c r="O199" s="146" t="str">
        <f>+IFERROR(VLOOKUP(Assegnazione[[#This Row],[Bene]],B[],MATCH($O$4,Beni!$A$4:$Z$4,0),0),"")</f>
        <v/>
      </c>
      <c r="P199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9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9" s="175">
        <f>+SUMIF(B[Bene],Assegnazione[[#This Row],[Bene]],B[Iva se dovuta])*Assegnazione[[#This Row],[Quota di assegnazione]]</f>
        <v>0</v>
      </c>
      <c r="S199" s="175">
        <f>+SUMIF(B[Bene],Assegnazione[[#This Row],[Bene]],B[Imposta di registro (fissa + prop) senza agevolazione])*Assegnazione[[#This Row],[Quota di assegnazione]]</f>
        <v>0</v>
      </c>
      <c r="T199" s="175">
        <f>+SUMIF(B[Bene],Assegnazione[[#This Row],[Bene]],B[Ipotecaria e catastale senza agevolazione])*Assegnazione[[#This Row],[Quota di assegnazione]]</f>
        <v>0</v>
      </c>
      <c r="U199" s="176">
        <f>+SUM(Assegnazione[[#This Row],[Tassazione diretta senza agevolazione]:[Ipotecaria e catastale senza agevolazione]])</f>
        <v>0</v>
      </c>
      <c r="V199" s="175">
        <f>+SUMIF(B[Bene],Assegnazione[[#This Row],[Bene]],B[Imponibile Imposta sostitutiva])*Assegnazione[[#This Row],[Quota di assegnazione]]*DATI!$E$27</f>
        <v>0</v>
      </c>
      <c r="W199" s="175">
        <f>+SUMIF(B[Bene],Assegnazione[[#This Row],[Bene]],B[Imposta di registro in misura fissa agevolata])*Assegnazione[[#This Row],[Quota di assegnazione]]</f>
        <v>0</v>
      </c>
      <c r="X199" s="175">
        <f>+SUMIF(B[Bene],Assegnazione[[#This Row],[Bene]],B[Imposta di registro prop. Agevolata])*Assegnazione[[#This Row],[Quota di assegnazione]]</f>
        <v>0</v>
      </c>
      <c r="Y199" s="175">
        <f>+IFERROR(Assegnazione[[#This Row],[Imposta di registro in misura fissa]]+Assegnazione[[#This Row],[Imposta di registro prop.]],"")</f>
        <v>0</v>
      </c>
      <c r="Z199" s="175">
        <f>+SUMIF(B[Bene],Assegnazione[[#This Row],[Bene]],B[Ipotecaria catastale agevolata])*Assegnazione[[#This Row],[Quota di assegnazione]]</f>
        <v>0</v>
      </c>
    </row>
    <row r="200" spans="1:26" x14ac:dyDescent="0.2">
      <c r="A200" s="123"/>
      <c r="B200" s="132"/>
      <c r="C200" s="123"/>
      <c r="D200" s="172">
        <f>+SUMIF(B[Bene],Assegnazione[[#This Row],[Bene]],B[Imponibile Iva])*Assegnazione[[#This Row],[Quota di assegnazione]]</f>
        <v>0</v>
      </c>
      <c r="E200" s="172">
        <f>+SUMIF(B[Bene],Assegnazione[[#This Row],[Bene]],B[Valore inserito manualmente])*Assegnazione[[#This Row],[Quota di assegnazione]]</f>
        <v>0</v>
      </c>
      <c r="F200" s="173" t="str">
        <f>+IF(A200="","",VLOOKUP(Assegnazione[[#This Row],[Bene]],B[],3,0))</f>
        <v/>
      </c>
      <c r="G200" s="129" t="str">
        <f>+IFERROR(VLOOKUP(Assegnazione[[#This Row],[Bene]],B[],MATCH("Agevolabile",Beni!$A$4:$AC$4,0),0)*VLOOKUP(Assegnazione[[#This Row],[Socio]],A_1[],8,0),"")</f>
        <v/>
      </c>
      <c r="H200" s="172">
        <f>+SUMIF(B[Bene],Assegnazione[[#This Row],[Bene]],B[Valore netto contabile fiscalmente riconosciuto])*Assegnazione[[#This Row],[Quota di assegnazione]]</f>
        <v>0</v>
      </c>
      <c r="I200" s="172">
        <f>+SUMIF(B[Bene],Assegnazione[[#This Row],[Bene]],B[Valore normale])*Assegnazione[[#This Row],[Quota di assegnazione]]</f>
        <v>0</v>
      </c>
      <c r="J200" s="174">
        <f>+IF(Assegnazione[[#This Row],[Bene]]="",0,SUMIF(Assegnazione[Socio],Assegnazione[[#This Row],[Socio]],Assegnazione[Valore Normale])/$I$3)</f>
        <v>0</v>
      </c>
      <c r="K200" s="174" t="str">
        <f>IF(Assegnazione[[#This Row],[Bene]]="","",SUMIF(A_1[Nome],Assegnazione[[#This Row],[Socio]],A_1[Quota partecipazione al momento dell''operazione]))</f>
        <v/>
      </c>
      <c r="L200" s="172">
        <f>+SUMIF(B[Bene],Assegnazione[[#This Row],[Bene]],B[Valore catastale])*Assegnazione[[#This Row],[Quota di assegnazione]]</f>
        <v>0</v>
      </c>
      <c r="M200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00" s="172">
        <f>+MIN(Assegnazione[[#This Row],[Valore ai fini dell''atto]],Assegnazione[[#This Row],[Valore Fiscalmente riconosciuto]])</f>
        <v>0</v>
      </c>
      <c r="O200" s="146" t="str">
        <f>+IFERROR(VLOOKUP(Assegnazione[[#This Row],[Bene]],B[],MATCH($O$4,Beni!$A$4:$Z$4,0),0),"")</f>
        <v/>
      </c>
      <c r="P200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00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00" s="175">
        <f>+SUMIF(B[Bene],Assegnazione[[#This Row],[Bene]],B[Iva se dovuta])*Assegnazione[[#This Row],[Quota di assegnazione]]</f>
        <v>0</v>
      </c>
      <c r="S200" s="175">
        <f>+SUMIF(B[Bene],Assegnazione[[#This Row],[Bene]],B[Imposta di registro (fissa + prop) senza agevolazione])*Assegnazione[[#This Row],[Quota di assegnazione]]</f>
        <v>0</v>
      </c>
      <c r="T200" s="175">
        <f>+SUMIF(B[Bene],Assegnazione[[#This Row],[Bene]],B[Ipotecaria e catastale senza agevolazione])*Assegnazione[[#This Row],[Quota di assegnazione]]</f>
        <v>0</v>
      </c>
      <c r="U200" s="176">
        <f>+SUM(Assegnazione[[#This Row],[Tassazione diretta senza agevolazione]:[Ipotecaria e catastale senza agevolazione]])</f>
        <v>0</v>
      </c>
      <c r="V200" s="175">
        <f>+SUMIF(B[Bene],Assegnazione[[#This Row],[Bene]],B[Imponibile Imposta sostitutiva])*Assegnazione[[#This Row],[Quota di assegnazione]]*DATI!$E$27</f>
        <v>0</v>
      </c>
      <c r="W200" s="175">
        <f>+SUMIF(B[Bene],Assegnazione[[#This Row],[Bene]],B[Imposta di registro in misura fissa agevolata])*Assegnazione[[#This Row],[Quota di assegnazione]]</f>
        <v>0</v>
      </c>
      <c r="X200" s="175">
        <f>+SUMIF(B[Bene],Assegnazione[[#This Row],[Bene]],B[Imposta di registro prop. Agevolata])*Assegnazione[[#This Row],[Quota di assegnazione]]</f>
        <v>0</v>
      </c>
      <c r="Y200" s="175">
        <f>+IFERROR(Assegnazione[[#This Row],[Imposta di registro in misura fissa]]+Assegnazione[[#This Row],[Imposta di registro prop.]],"")</f>
        <v>0</v>
      </c>
      <c r="Z200" s="175">
        <f>+SUMIF(B[Bene],Assegnazione[[#This Row],[Bene]],B[Ipotecaria catastale agevolata])*Assegnazione[[#This Row],[Quota di assegnazione]]</f>
        <v>0</v>
      </c>
    </row>
    <row r="201" spans="1:26" x14ac:dyDescent="0.2">
      <c r="A201" s="123"/>
      <c r="B201" s="132"/>
      <c r="C201" s="123"/>
      <c r="D201" s="172">
        <f>+SUMIF(B[Bene],Assegnazione[[#This Row],[Bene]],B[Imponibile Iva])*Assegnazione[[#This Row],[Quota di assegnazione]]</f>
        <v>0</v>
      </c>
      <c r="E201" s="172">
        <f>+SUMIF(B[Bene],Assegnazione[[#This Row],[Bene]],B[Valore inserito manualmente])*Assegnazione[[#This Row],[Quota di assegnazione]]</f>
        <v>0</v>
      </c>
      <c r="F201" s="173" t="str">
        <f>+IF(A201="","",VLOOKUP(Assegnazione[[#This Row],[Bene]],B[],3,0))</f>
        <v/>
      </c>
      <c r="G201" s="129" t="str">
        <f>+IFERROR(VLOOKUP(Assegnazione[[#This Row],[Bene]],B[],MATCH("Agevolabile",Beni!$A$4:$AC$4,0),0)*VLOOKUP(Assegnazione[[#This Row],[Socio]],A_1[],8,0),"")</f>
        <v/>
      </c>
      <c r="H201" s="172">
        <f>+SUMIF(B[Bene],Assegnazione[[#This Row],[Bene]],B[Valore netto contabile fiscalmente riconosciuto])*Assegnazione[[#This Row],[Quota di assegnazione]]</f>
        <v>0</v>
      </c>
      <c r="I201" s="172">
        <f>+SUMIF(B[Bene],Assegnazione[[#This Row],[Bene]],B[Valore normale])*Assegnazione[[#This Row],[Quota di assegnazione]]</f>
        <v>0</v>
      </c>
      <c r="J201" s="174">
        <f>+IF(Assegnazione[[#This Row],[Bene]]="",0,SUMIF(Assegnazione[Socio],Assegnazione[[#This Row],[Socio]],Assegnazione[Valore Normale])/$I$3)</f>
        <v>0</v>
      </c>
      <c r="K201" s="174" t="str">
        <f>IF(Assegnazione[[#This Row],[Bene]]="","",SUMIF(A_1[Nome],Assegnazione[[#This Row],[Socio]],A_1[Quota partecipazione al momento dell''operazione]))</f>
        <v/>
      </c>
      <c r="L201" s="172">
        <f>+SUMIF(B[Bene],Assegnazione[[#This Row],[Bene]],B[Valore catastale])*Assegnazione[[#This Row],[Quota di assegnazione]]</f>
        <v>0</v>
      </c>
      <c r="M201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01" s="172">
        <f>+MIN(Assegnazione[[#This Row],[Valore ai fini dell''atto]],Assegnazione[[#This Row],[Valore Fiscalmente riconosciuto]])</f>
        <v>0</v>
      </c>
      <c r="O201" s="146" t="str">
        <f>+IFERROR(VLOOKUP(Assegnazione[[#This Row],[Bene]],B[],MATCH($O$4,Beni!$A$4:$Z$4,0),0),"")</f>
        <v/>
      </c>
      <c r="P201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01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01" s="175">
        <f>+SUMIF(B[Bene],Assegnazione[[#This Row],[Bene]],B[Iva se dovuta])*Assegnazione[[#This Row],[Quota di assegnazione]]</f>
        <v>0</v>
      </c>
      <c r="S201" s="175">
        <f>+SUMIF(B[Bene],Assegnazione[[#This Row],[Bene]],B[Imposta di registro (fissa + prop) senza agevolazione])*Assegnazione[[#This Row],[Quota di assegnazione]]</f>
        <v>0</v>
      </c>
      <c r="T201" s="175">
        <f>+SUMIF(B[Bene],Assegnazione[[#This Row],[Bene]],B[Ipotecaria e catastale senza agevolazione])*Assegnazione[[#This Row],[Quota di assegnazione]]</f>
        <v>0</v>
      </c>
      <c r="U201" s="176">
        <f>+SUM(Assegnazione[[#This Row],[Tassazione diretta senza agevolazione]:[Ipotecaria e catastale senza agevolazione]])</f>
        <v>0</v>
      </c>
      <c r="V201" s="175">
        <f>+SUMIF(B[Bene],Assegnazione[[#This Row],[Bene]],B[Imponibile Imposta sostitutiva])*Assegnazione[[#This Row],[Quota di assegnazione]]*DATI!$E$27</f>
        <v>0</v>
      </c>
      <c r="W201" s="175">
        <f>+SUMIF(B[Bene],Assegnazione[[#This Row],[Bene]],B[Imposta di registro in misura fissa agevolata])*Assegnazione[[#This Row],[Quota di assegnazione]]</f>
        <v>0</v>
      </c>
      <c r="X201" s="175">
        <f>+SUMIF(B[Bene],Assegnazione[[#This Row],[Bene]],B[Imposta di registro prop. Agevolata])*Assegnazione[[#This Row],[Quota di assegnazione]]</f>
        <v>0</v>
      </c>
      <c r="Y201" s="175">
        <f>+IFERROR(Assegnazione[[#This Row],[Imposta di registro in misura fissa]]+Assegnazione[[#This Row],[Imposta di registro prop.]],"")</f>
        <v>0</v>
      </c>
      <c r="Z201" s="175">
        <f>+SUMIF(B[Bene],Assegnazione[[#This Row],[Bene]],B[Ipotecaria catastale agevolata])*Assegnazione[[#This Row],[Quota di assegnazione]]</f>
        <v>0</v>
      </c>
    </row>
    <row r="202" spans="1:26" x14ac:dyDescent="0.2">
      <c r="A202" s="123"/>
      <c r="B202" s="132"/>
      <c r="C202" s="123"/>
      <c r="D202" s="172">
        <f>+SUMIF(B[Bene],Assegnazione[[#This Row],[Bene]],B[Imponibile Iva])*Assegnazione[[#This Row],[Quota di assegnazione]]</f>
        <v>0</v>
      </c>
      <c r="E202" s="172">
        <f>+SUMIF(B[Bene],Assegnazione[[#This Row],[Bene]],B[Valore inserito manualmente])*Assegnazione[[#This Row],[Quota di assegnazione]]</f>
        <v>0</v>
      </c>
      <c r="F202" s="173" t="str">
        <f>+IF(A202="","",VLOOKUP(Assegnazione[[#This Row],[Bene]],B[],3,0))</f>
        <v/>
      </c>
      <c r="G202" s="129" t="str">
        <f>+IFERROR(VLOOKUP(Assegnazione[[#This Row],[Bene]],B[],MATCH("Agevolabile",Beni!$A$4:$AC$4,0),0)*VLOOKUP(Assegnazione[[#This Row],[Socio]],A_1[],8,0),"")</f>
        <v/>
      </c>
      <c r="H202" s="172">
        <f>+SUMIF(B[Bene],Assegnazione[[#This Row],[Bene]],B[Valore netto contabile fiscalmente riconosciuto])*Assegnazione[[#This Row],[Quota di assegnazione]]</f>
        <v>0</v>
      </c>
      <c r="I202" s="172">
        <f>+SUMIF(B[Bene],Assegnazione[[#This Row],[Bene]],B[Valore normale])*Assegnazione[[#This Row],[Quota di assegnazione]]</f>
        <v>0</v>
      </c>
      <c r="J202" s="174">
        <f>+IF(Assegnazione[[#This Row],[Bene]]="",0,SUMIF(Assegnazione[Socio],Assegnazione[[#This Row],[Socio]],Assegnazione[Valore Normale])/$I$3)</f>
        <v>0</v>
      </c>
      <c r="K202" s="174" t="str">
        <f>IF(Assegnazione[[#This Row],[Bene]]="","",SUMIF(A_1[Nome],Assegnazione[[#This Row],[Socio]],A_1[Quota partecipazione al momento dell''operazione]))</f>
        <v/>
      </c>
      <c r="L202" s="172">
        <f>+SUMIF(B[Bene],Assegnazione[[#This Row],[Bene]],B[Valore catastale])*Assegnazione[[#This Row],[Quota di assegnazione]]</f>
        <v>0</v>
      </c>
      <c r="M202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02" s="172">
        <f>+MIN(Assegnazione[[#This Row],[Valore ai fini dell''atto]],Assegnazione[[#This Row],[Valore Fiscalmente riconosciuto]])</f>
        <v>0</v>
      </c>
      <c r="O202" s="146" t="str">
        <f>+IFERROR(VLOOKUP(Assegnazione[[#This Row],[Bene]],B[],MATCH($O$4,Beni!$A$4:$Z$4,0),0),"")</f>
        <v/>
      </c>
      <c r="P202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02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02" s="175">
        <f>+SUMIF(B[Bene],Assegnazione[[#This Row],[Bene]],B[Iva se dovuta])*Assegnazione[[#This Row],[Quota di assegnazione]]</f>
        <v>0</v>
      </c>
      <c r="S202" s="175">
        <f>+SUMIF(B[Bene],Assegnazione[[#This Row],[Bene]],B[Imposta di registro (fissa + prop) senza agevolazione])*Assegnazione[[#This Row],[Quota di assegnazione]]</f>
        <v>0</v>
      </c>
      <c r="T202" s="175">
        <f>+SUMIF(B[Bene],Assegnazione[[#This Row],[Bene]],B[Ipotecaria e catastale senza agevolazione])*Assegnazione[[#This Row],[Quota di assegnazione]]</f>
        <v>0</v>
      </c>
      <c r="U202" s="176">
        <f>+SUM(Assegnazione[[#This Row],[Tassazione diretta senza agevolazione]:[Ipotecaria e catastale senza agevolazione]])</f>
        <v>0</v>
      </c>
      <c r="V202" s="175">
        <f>+SUMIF(B[Bene],Assegnazione[[#This Row],[Bene]],B[Imponibile Imposta sostitutiva])*Assegnazione[[#This Row],[Quota di assegnazione]]*DATI!$E$27</f>
        <v>0</v>
      </c>
      <c r="W202" s="175">
        <f>+SUMIF(B[Bene],Assegnazione[[#This Row],[Bene]],B[Imposta di registro in misura fissa agevolata])*Assegnazione[[#This Row],[Quota di assegnazione]]</f>
        <v>0</v>
      </c>
      <c r="X202" s="175">
        <f>+SUMIF(B[Bene],Assegnazione[[#This Row],[Bene]],B[Imposta di registro prop. Agevolata])*Assegnazione[[#This Row],[Quota di assegnazione]]</f>
        <v>0</v>
      </c>
      <c r="Y202" s="175">
        <f>+IFERROR(Assegnazione[[#This Row],[Imposta di registro in misura fissa]]+Assegnazione[[#This Row],[Imposta di registro prop.]],"")</f>
        <v>0</v>
      </c>
      <c r="Z202" s="175">
        <f>+SUMIF(B[Bene],Assegnazione[[#This Row],[Bene]],B[Ipotecaria catastale agevolata])*Assegnazione[[#This Row],[Quota di assegnazione]]</f>
        <v>0</v>
      </c>
    </row>
    <row r="203" spans="1:26" x14ac:dyDescent="0.2">
      <c r="A203" s="123"/>
      <c r="B203" s="132"/>
      <c r="C203" s="123"/>
      <c r="D203" s="172">
        <f>+SUMIF(B[Bene],Assegnazione[[#This Row],[Bene]],B[Imponibile Iva])*Assegnazione[[#This Row],[Quota di assegnazione]]</f>
        <v>0</v>
      </c>
      <c r="E203" s="172">
        <f>+SUMIF(B[Bene],Assegnazione[[#This Row],[Bene]],B[Valore inserito manualmente])*Assegnazione[[#This Row],[Quota di assegnazione]]</f>
        <v>0</v>
      </c>
      <c r="F203" s="173" t="str">
        <f>+IF(A203="","",VLOOKUP(Assegnazione[[#This Row],[Bene]],B[],3,0))</f>
        <v/>
      </c>
      <c r="G203" s="129" t="str">
        <f>+IFERROR(VLOOKUP(Assegnazione[[#This Row],[Bene]],B[],MATCH("Agevolabile",Beni!$A$4:$AC$4,0),0)*VLOOKUP(Assegnazione[[#This Row],[Socio]],A_1[],8,0),"")</f>
        <v/>
      </c>
      <c r="H203" s="172">
        <f>+SUMIF(B[Bene],Assegnazione[[#This Row],[Bene]],B[Valore netto contabile fiscalmente riconosciuto])*Assegnazione[[#This Row],[Quota di assegnazione]]</f>
        <v>0</v>
      </c>
      <c r="I203" s="172">
        <f>+SUMIF(B[Bene],Assegnazione[[#This Row],[Bene]],B[Valore normale])*Assegnazione[[#This Row],[Quota di assegnazione]]</f>
        <v>0</v>
      </c>
      <c r="J203" s="174">
        <f>+IF(Assegnazione[[#This Row],[Bene]]="",0,SUMIF(Assegnazione[Socio],Assegnazione[[#This Row],[Socio]],Assegnazione[Valore Normale])/$I$3)</f>
        <v>0</v>
      </c>
      <c r="K203" s="174" t="str">
        <f>IF(Assegnazione[[#This Row],[Bene]]="","",SUMIF(A_1[Nome],Assegnazione[[#This Row],[Socio]],A_1[Quota partecipazione al momento dell''operazione]))</f>
        <v/>
      </c>
      <c r="L203" s="172">
        <f>+SUMIF(B[Bene],Assegnazione[[#This Row],[Bene]],B[Valore catastale])*Assegnazione[[#This Row],[Quota di assegnazione]]</f>
        <v>0</v>
      </c>
      <c r="M203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03" s="172">
        <f>+MIN(Assegnazione[[#This Row],[Valore ai fini dell''atto]],Assegnazione[[#This Row],[Valore Fiscalmente riconosciuto]])</f>
        <v>0</v>
      </c>
      <c r="O203" s="146" t="str">
        <f>+IFERROR(VLOOKUP(Assegnazione[[#This Row],[Bene]],B[],MATCH($O$4,Beni!$A$4:$Z$4,0),0),"")</f>
        <v/>
      </c>
      <c r="P203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03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03" s="175">
        <f>+SUMIF(B[Bene],Assegnazione[[#This Row],[Bene]],B[Iva se dovuta])*Assegnazione[[#This Row],[Quota di assegnazione]]</f>
        <v>0</v>
      </c>
      <c r="S203" s="175">
        <f>+SUMIF(B[Bene],Assegnazione[[#This Row],[Bene]],B[Imposta di registro (fissa + prop) senza agevolazione])*Assegnazione[[#This Row],[Quota di assegnazione]]</f>
        <v>0</v>
      </c>
      <c r="T203" s="175">
        <f>+SUMIF(B[Bene],Assegnazione[[#This Row],[Bene]],B[Ipotecaria e catastale senza agevolazione])*Assegnazione[[#This Row],[Quota di assegnazione]]</f>
        <v>0</v>
      </c>
      <c r="U203" s="176">
        <f>+SUM(Assegnazione[[#This Row],[Tassazione diretta senza agevolazione]:[Ipotecaria e catastale senza agevolazione]])</f>
        <v>0</v>
      </c>
      <c r="V203" s="175">
        <f>+SUMIF(B[Bene],Assegnazione[[#This Row],[Bene]],B[Imponibile Imposta sostitutiva])*Assegnazione[[#This Row],[Quota di assegnazione]]*DATI!$E$27</f>
        <v>0</v>
      </c>
      <c r="W203" s="175">
        <f>+SUMIF(B[Bene],Assegnazione[[#This Row],[Bene]],B[Imposta di registro in misura fissa agevolata])*Assegnazione[[#This Row],[Quota di assegnazione]]</f>
        <v>0</v>
      </c>
      <c r="X203" s="175">
        <f>+SUMIF(B[Bene],Assegnazione[[#This Row],[Bene]],B[Imposta di registro prop. Agevolata])*Assegnazione[[#This Row],[Quota di assegnazione]]</f>
        <v>0</v>
      </c>
      <c r="Y203" s="175">
        <f>+IFERROR(Assegnazione[[#This Row],[Imposta di registro in misura fissa]]+Assegnazione[[#This Row],[Imposta di registro prop.]],"")</f>
        <v>0</v>
      </c>
      <c r="Z203" s="175">
        <f>+SUMIF(B[Bene],Assegnazione[[#This Row],[Bene]],B[Ipotecaria catastale agevolata])*Assegnazione[[#This Row],[Quota di assegnazione]]</f>
        <v>0</v>
      </c>
    </row>
    <row r="204" spans="1:26" x14ac:dyDescent="0.2">
      <c r="A204" s="123"/>
      <c r="B204" s="127"/>
      <c r="C204" s="123"/>
      <c r="D204" s="177">
        <f>+SUMIF(B[Bene],Assegnazione[[#This Row],[Bene]],B[Imponibile Iva])*Assegnazione[[#This Row],[Quota di assegnazione]]</f>
        <v>0</v>
      </c>
      <c r="E204" s="172">
        <f>+SUMIF(B[Bene],Assegnazione[[#This Row],[Bene]],B[Valore inserito manualmente])*Assegnazione[[#This Row],[Quota di assegnazione]]</f>
        <v>0</v>
      </c>
      <c r="F204" s="116"/>
      <c r="G204" s="129" t="str">
        <f>+IFERROR(VLOOKUP(Assegnazione[[#This Row],[Bene]],B[],MATCH("Agevolabile",Beni!$A$4:$AC$4,0),0)*VLOOKUP(Assegnazione[[#This Row],[Socio]],A_1[],8,0),"")</f>
        <v/>
      </c>
      <c r="H204" s="172">
        <f>+SUMIF(B[Bene],Assegnazione[[#This Row],[Bene]],B[Valore netto contabile fiscalmente riconosciuto])*Assegnazione[[#This Row],[Quota di assegnazione]]</f>
        <v>0</v>
      </c>
      <c r="I204" s="172">
        <f>+SUMIF(B[Bene],Assegnazione[[#This Row],[Bene]],B[Valore normale])*Assegnazione[[#This Row],[Quota di assegnazione]]</f>
        <v>0</v>
      </c>
      <c r="J204" s="174">
        <f>+IF(Assegnazione[[#This Row],[Bene]]="",0,SUMIF(Assegnazione[Socio],Assegnazione[[#This Row],[Socio]],Assegnazione[Valore Normale])/$I$3)</f>
        <v>0</v>
      </c>
      <c r="K204" s="174" t="str">
        <f>IF(Assegnazione[[#This Row],[Bene]]="","",SUMIF(A_1[Nome],Assegnazione[[#This Row],[Socio]],A_1[Quota partecipazione al momento dell''operazione]))</f>
        <v/>
      </c>
      <c r="L204" s="172">
        <f>+SUMIF(B[Bene],Assegnazione[[#This Row],[Bene]],B[Valore catastale])*Assegnazione[[#This Row],[Quota di assegnazione]]</f>
        <v>0</v>
      </c>
      <c r="M204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04" s="172">
        <f>+MIN(Assegnazione[[#This Row],[Valore ai fini dell''atto]],Assegnazione[[#This Row],[Valore Fiscalmente riconosciuto]])</f>
        <v>0</v>
      </c>
      <c r="O204" s="146" t="str">
        <f>+IFERROR(VLOOKUP(Assegnazione[[#This Row],[Bene]],B[],MATCH($O$4,Beni!$A$4:$Z$4,0),0),"")</f>
        <v/>
      </c>
      <c r="P204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04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04" s="175">
        <f>+SUMIF(B[Bene],Assegnazione[[#This Row],[Bene]],B[Iva se dovuta])*Assegnazione[[#This Row],[Quota di assegnazione]]</f>
        <v>0</v>
      </c>
      <c r="S204" s="175">
        <f>+SUMIF(B[Bene],Assegnazione[[#This Row],[Bene]],B[Imposta di registro (fissa + prop) senza agevolazione])*Assegnazione[[#This Row],[Quota di assegnazione]]</f>
        <v>0</v>
      </c>
      <c r="T204" s="175">
        <f>+SUMIF(B[Bene],Assegnazione[[#This Row],[Bene]],B[Ipotecaria e catastale senza agevolazione])*Assegnazione[[#This Row],[Quota di assegnazione]]</f>
        <v>0</v>
      </c>
      <c r="U204" s="176">
        <f>+SUM(Assegnazione[[#This Row],[Tassazione diretta senza agevolazione]:[Ipotecaria e catastale senza agevolazione]])</f>
        <v>0</v>
      </c>
      <c r="V204" s="175">
        <f>+SUMIF(B[Bene],Assegnazione[[#This Row],[Bene]],B[Imponibile Imposta sostitutiva])*Assegnazione[[#This Row],[Quota di assegnazione]]*DATI!$E$27</f>
        <v>0</v>
      </c>
      <c r="W204" s="175">
        <f>+SUMIF(B[Bene],Assegnazione[[#This Row],[Bene]],B[Imposta di registro in misura fissa agevolata])*Assegnazione[[#This Row],[Quota di assegnazione]]</f>
        <v>0</v>
      </c>
      <c r="X204" s="175">
        <f>+SUMIF(B[Bene],Assegnazione[[#This Row],[Bene]],B[Imposta di registro prop. Agevolata])*Assegnazione[[#This Row],[Quota di assegnazione]]</f>
        <v>0</v>
      </c>
      <c r="Y204" s="175">
        <f>+IFERROR(Assegnazione[[#This Row],[Imposta di registro in misura fissa]]+Assegnazione[[#This Row],[Imposta di registro prop.]],"")</f>
        <v>0</v>
      </c>
      <c r="Z204" s="175">
        <f>+SUMIF(B[Bene],Assegnazione[[#This Row],[Bene]],B[Ipotecaria catastale agevolata])*Assegnazione[[#This Row],[Quota di assegnazione]]</f>
        <v>0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A5:A203" xr:uid="{00000000-0002-0000-0600-000000000000}">
      <formula1>Beni</formula1>
    </dataValidation>
  </dataValidations>
  <pageMargins left="0.25" right="0.25" top="0.75" bottom="0.75" header="0.3" footer="0.3"/>
  <pageSetup paperSize="9" scale="57" fitToWidth="3" fitToHeight="0" orientation="landscape" r:id="rId1"/>
  <drawing r:id="rId2"/>
  <legacy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644FC374-0128-41A4-A604-9C4700F23D9C}">
            <x14:iconSet iconSet="3Symbols2" showValue="0" custom="1">
              <x14:cfvo type="percent">
                <xm:f>0</xm:f>
              </x14:cfvo>
              <x14:cfvo type="num">
                <xm:f>-1</xm:f>
              </x14:cfvo>
              <x14:cfvo type="num" gte="0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G5:G204</xm:sqref>
        </x14:conditionalFormatting>
        <x14:conditionalFormatting xmlns:xm="http://schemas.microsoft.com/office/excel/2006/main">
          <x14:cfRule type="iconSet" priority="78" id="{F4285E76-F054-483D-9A01-C5426F93FAB0}">
            <x14:iconSet iconSet="3TrafficLights2" custom="1">
              <x14:cfvo type="percent">
                <xm:f>0</xm:f>
              </x14:cfvo>
              <x14:cfvo type="formula">
                <xm:f>#REF!</xm:f>
              </x14:cfvo>
              <x14:cfvo type="formula" gte="0">
                <xm:f>#REF!</xm:f>
              </x14:cfvo>
              <x14:cfIcon iconSet="3TrafficLights2" iconId="0"/>
              <x14:cfIcon iconSet="3TrafficLights2" iconId="2"/>
              <x14:cfIcon iconSet="3TrafficLights2" iconId="0"/>
            </x14:iconSet>
          </x14:cfRule>
          <xm:sqref>P6:V7 P5:X5 W6:X204 Z5:Z204</xm:sqref>
        </x14:conditionalFormatting>
        <x14:conditionalFormatting xmlns:xm="http://schemas.microsoft.com/office/excel/2006/main">
          <x14:cfRule type="iconSet" priority="84" id="{AB343D85-EC4B-4EBE-A019-D09771DD1C07}">
            <x14:iconSet iconSet="3TrafficLights2" custom="1">
              <x14:cfvo type="percent">
                <xm:f>0</xm:f>
              </x14:cfvo>
              <x14:cfvo type="formula">
                <xm:f>#REF!</xm:f>
              </x14:cfvo>
              <x14:cfvo type="formula" gte="0">
                <xm:f>#REF!</xm:f>
              </x14:cfvo>
              <x14:cfIcon iconSet="3TrafficLights2" iconId="0"/>
              <x14:cfIcon iconSet="3TrafficLights2" iconId="2"/>
              <x14:cfIcon iconSet="3TrafficLights2" iconId="0"/>
            </x14:iconSet>
          </x14:cfRule>
          <xm:sqref>P8:V11</xm:sqref>
        </x14:conditionalFormatting>
        <x14:conditionalFormatting xmlns:xm="http://schemas.microsoft.com/office/excel/2006/main">
          <x14:cfRule type="iconSet" priority="87" id="{48D3782A-E091-4CC7-9FAE-2CD82F253945}">
            <x14:iconSet iconSet="3TrafficLights2" custom="1">
              <x14:cfvo type="percent">
                <xm:f>0</xm:f>
              </x14:cfvo>
              <x14:cfvo type="formula">
                <xm:f>#REF!</xm:f>
              </x14:cfvo>
              <x14:cfvo type="formula" gte="0">
                <xm:f>#REF!</xm:f>
              </x14:cfvo>
              <x14:cfIcon iconSet="3TrafficLights2" iconId="0"/>
              <x14:cfIcon iconSet="3TrafficLights2" iconId="2"/>
              <x14:cfIcon iconSet="3TrafficLights2" iconId="0"/>
            </x14:iconSet>
          </x14:cfRule>
          <xm:sqref>P12:V204 Y5:Y204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1000000}">
          <x14:formula1>
            <xm:f>Soci!$B$6:$B$105</xm:f>
          </x14:formula1>
          <xm:sqref>C7:C204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oglio8">
    <pageSetUpPr fitToPage="1"/>
  </sheetPr>
  <dimension ref="A1:R113"/>
  <sheetViews>
    <sheetView showGridLines="0" topLeftCell="A2" zoomScale="85" zoomScaleNormal="85" workbookViewId="0">
      <selection activeCell="B8" sqref="B8"/>
    </sheetView>
  </sheetViews>
  <sheetFormatPr defaultRowHeight="15" x14ac:dyDescent="0.25"/>
  <cols>
    <col min="1" max="1" width="30.140625" customWidth="1"/>
    <col min="2" max="2" width="15.42578125" customWidth="1"/>
    <col min="3" max="3" width="20.7109375" customWidth="1"/>
    <col min="4" max="4" width="15.42578125" customWidth="1"/>
    <col min="5" max="5" width="15.140625" customWidth="1"/>
    <col min="6" max="6" width="16.42578125" customWidth="1"/>
    <col min="7" max="7" width="15.28515625" bestFit="1" customWidth="1"/>
    <col min="8" max="8" width="14.140625" customWidth="1"/>
    <col min="9" max="9" width="21.42578125" customWidth="1"/>
    <col min="10" max="10" width="17.7109375" customWidth="1"/>
    <col min="11" max="11" width="13.5703125" bestFit="1" customWidth="1"/>
    <col min="12" max="12" width="16.5703125" bestFit="1" customWidth="1"/>
    <col min="13" max="13" width="20.5703125" customWidth="1"/>
    <col min="14" max="14" width="14.5703125" customWidth="1"/>
    <col min="15" max="15" width="14" customWidth="1"/>
    <col min="16" max="16" width="14.85546875" customWidth="1"/>
    <col min="17" max="18" width="12.42578125" customWidth="1"/>
    <col min="19" max="19" width="7.5703125" bestFit="1" customWidth="1"/>
    <col min="20" max="21" width="11.42578125" bestFit="1" customWidth="1"/>
    <col min="22" max="22" width="9.5703125" bestFit="1" customWidth="1"/>
    <col min="23" max="23" width="10.140625" bestFit="1" customWidth="1"/>
  </cols>
  <sheetData>
    <row r="1" spans="1:18" ht="110.25" customHeight="1" x14ac:dyDescent="0.25"/>
    <row r="2" spans="1:18" ht="54.95" customHeight="1" x14ac:dyDescent="0.25"/>
    <row r="3" spans="1:18" ht="64.5" customHeight="1" x14ac:dyDescent="0.25">
      <c r="A3" s="316" t="str">
        <f>+IF(p=1,IF(IR,"L’assegnazione dei beni ai soci comporta la necessità di annullare riserve contabili (di utili e/o di capitale) in misura pari al valore contabile attribuito al bene in sede di assegnazione",DATI!H25),IF(p=2,"Non occorre considerare alcuna variazione delle riserve; la contropartita dell'immobile sarà un debito per il cessionario","Non occorre compilare: in caso di trasformazione tutte le riserve si intendono distribuite"))</f>
        <v>NESSUNA TASSAZIONE DEI DIVIDENDI SUL SOCIO. RILEVA L'EVENTUALE SOTTOZERO</v>
      </c>
      <c r="B3" s="316"/>
      <c r="C3" s="316"/>
      <c r="D3" s="316"/>
      <c r="E3" s="316"/>
      <c r="F3" s="316"/>
      <c r="G3" s="316"/>
      <c r="H3" s="316"/>
      <c r="I3" s="178"/>
      <c r="J3" s="179"/>
      <c r="K3" s="179"/>
      <c r="L3" s="318" t="str">
        <f>+DATI!S45</f>
        <v>Costo operazione: 7,3% su valore normale assegnato pari a € 230.000 Conseguendo un risparmio di €100.542</v>
      </c>
      <c r="M3" s="318"/>
      <c r="N3" s="318"/>
      <c r="O3" s="318"/>
      <c r="P3" s="318"/>
      <c r="Q3" s="318"/>
      <c r="R3" s="52"/>
    </row>
    <row r="4" spans="1:18" x14ac:dyDescent="0.25">
      <c r="A4" s="230" t="s">
        <v>245</v>
      </c>
      <c r="B4" s="231"/>
      <c r="C4" s="232">
        <f>+Beni!I3*(p=1)</f>
        <v>0</v>
      </c>
      <c r="D4" s="180" t="str">
        <f>+IF(AND(p=1,IR),IF($G$8=C4,"",IF(G8&gt;C4,"Riduzione riserve in eccesso per ","Riduzione riserve in difetto per ")&amp;TEXT(ABS(C4-G8),"€ #.###,00")),"")</f>
        <v/>
      </c>
      <c r="E4" s="65"/>
      <c r="F4" s="65"/>
      <c r="G4" s="66"/>
      <c r="H4" s="66"/>
      <c r="I4" s="66"/>
      <c r="J4" s="181"/>
      <c r="K4" s="182"/>
      <c r="L4" s="66"/>
      <c r="M4" s="66"/>
      <c r="N4" s="66"/>
      <c r="O4" s="66"/>
      <c r="P4" s="66"/>
      <c r="Q4" s="66"/>
      <c r="R4" s="51"/>
    </row>
    <row r="5" spans="1:18" ht="27" customHeight="1" x14ac:dyDescent="0.25">
      <c r="A5" s="317" t="str">
        <f>+IF(AND(p=1,C4&gt;SUM(B8:D8)+E12),"Attenzione le riserve non sono sufficienti a coprire interamente il valore contabile assegnato pertanto, fatto salvo il caso di messa in liquidazione, l'assegnazione potrebbe non essere possibile. "," ")&amp;IF(AND(p=1,SUM(B10:C10)&gt;0,D8&gt;0),CHAR(13)&amp;"Il contribuente può utilizzare le riserve in sospensione d’imposta solo dopo aver utilizzato le altre (riserve di utili e di capitale) già disponibili. ","")</f>
        <v xml:space="preserve"> </v>
      </c>
      <c r="B5" s="317"/>
      <c r="C5" s="317"/>
      <c r="D5" s="317"/>
      <c r="E5" s="317"/>
      <c r="F5" s="317"/>
      <c r="G5" s="317"/>
      <c r="H5" s="317"/>
      <c r="I5" s="317"/>
      <c r="J5" s="317"/>
      <c r="K5" s="317"/>
      <c r="M5" s="236"/>
      <c r="N5" s="234" t="s">
        <v>248</v>
      </c>
      <c r="O5" s="207" t="s">
        <v>247</v>
      </c>
      <c r="P5" s="66"/>
      <c r="Q5" s="66"/>
      <c r="R5" s="51"/>
    </row>
    <row r="6" spans="1:18" ht="29.25" thickBot="1" x14ac:dyDescent="0.35">
      <c r="A6" s="195"/>
      <c r="B6" s="196" t="str">
        <f>+IF(IR,"Utili","")</f>
        <v/>
      </c>
      <c r="C6" s="196" t="str">
        <f>+IF(IR,"Riserve","Valore normale")</f>
        <v>Valore normale</v>
      </c>
      <c r="D6" s="196" t="str">
        <f>+IF(IR,"Riserve in sospensione","")</f>
        <v/>
      </c>
      <c r="E6" s="196" t="str">
        <f>+IF(IR,"Capitale sociale","")</f>
        <v/>
      </c>
      <c r="F6" s="197" t="s">
        <v>229</v>
      </c>
      <c r="G6" s="203" t="s">
        <v>142</v>
      </c>
      <c r="H6" s="195"/>
      <c r="I6" s="212" t="s">
        <v>239</v>
      </c>
      <c r="J6" s="183"/>
      <c r="K6" s="66"/>
      <c r="M6" s="235" t="s">
        <v>126</v>
      </c>
      <c r="N6" s="209">
        <f>+B8</f>
        <v>0</v>
      </c>
      <c r="O6" s="210">
        <f>+IFERROR(N6/SUM(B8:C8,E8),0)</f>
        <v>0</v>
      </c>
      <c r="P6" s="66"/>
      <c r="Q6" s="66"/>
      <c r="R6" s="51"/>
    </row>
    <row r="7" spans="1:18" ht="16.5" thickTop="1" thickBot="1" x14ac:dyDescent="0.3">
      <c r="A7" s="198" t="s">
        <v>128</v>
      </c>
      <c r="B7" s="199">
        <f>+Società!B7</f>
        <v>0</v>
      </c>
      <c r="C7" s="199">
        <f>+Società!B8</f>
        <v>0</v>
      </c>
      <c r="D7" s="200">
        <f>+Società!B9</f>
        <v>0</v>
      </c>
      <c r="E7" s="200">
        <f>+Società!B6</f>
        <v>300000</v>
      </c>
      <c r="F7" s="201"/>
      <c r="G7" s="204">
        <f>SUM(B7:E7)</f>
        <v>300000</v>
      </c>
      <c r="H7" s="195"/>
      <c r="I7" s="237" t="s">
        <v>238</v>
      </c>
      <c r="J7" s="238">
        <f>+IF(p=3,D7,D8)</f>
        <v>0</v>
      </c>
      <c r="K7" s="66"/>
      <c r="M7" s="208" t="s">
        <v>127</v>
      </c>
      <c r="N7" s="209">
        <f>+C8</f>
        <v>0</v>
      </c>
      <c r="O7" s="210">
        <f>+IFERROR(N7/SUM(B8:C8,E8),0)</f>
        <v>0</v>
      </c>
      <c r="P7" s="66"/>
      <c r="Q7" s="66"/>
      <c r="R7" s="51"/>
    </row>
    <row r="8" spans="1:18" ht="16.5" thickTop="1" thickBot="1" x14ac:dyDescent="0.3">
      <c r="A8" s="198" t="s">
        <v>218</v>
      </c>
      <c r="B8" s="285"/>
      <c r="C8" s="285"/>
      <c r="D8" s="285"/>
      <c r="E8" s="286"/>
      <c r="F8" s="287">
        <f>+E12</f>
        <v>0</v>
      </c>
      <c r="G8" s="204">
        <f>SUM(B8:F8)</f>
        <v>0</v>
      </c>
      <c r="H8" s="206">
        <f>+OR($G$8=C4,p&gt;1)*1</f>
        <v>1</v>
      </c>
      <c r="I8" s="65"/>
      <c r="J8" s="65"/>
      <c r="K8" s="66"/>
      <c r="M8" s="208" t="s">
        <v>104</v>
      </c>
      <c r="N8" s="209">
        <f>+E8</f>
        <v>0</v>
      </c>
      <c r="O8" s="210">
        <f>+IFERROR(N8/SUM(B9:C9,E9),0)</f>
        <v>0</v>
      </c>
      <c r="P8" s="66"/>
      <c r="Q8" s="66"/>
      <c r="R8" s="51"/>
    </row>
    <row r="9" spans="1:18" ht="16.5" customHeight="1" thickTop="1" thickBot="1" x14ac:dyDescent="0.3">
      <c r="A9" s="198"/>
      <c r="B9" s="199">
        <f>+B8*(p=1)+B7*(p=3)</f>
        <v>0</v>
      </c>
      <c r="C9" s="199">
        <f>+C8*(p=1)+C7*(p=3)</f>
        <v>0</v>
      </c>
      <c r="D9" s="199">
        <f>+D8*(p=1)+D7*(p=3)</f>
        <v>0</v>
      </c>
      <c r="E9" s="199">
        <f>+E8</f>
        <v>0</v>
      </c>
      <c r="F9" s="202"/>
      <c r="G9" s="204">
        <f>SUM(C9:D9)</f>
        <v>0</v>
      </c>
      <c r="H9" s="195"/>
      <c r="I9" s="237" t="s">
        <v>240</v>
      </c>
      <c r="J9" s="238">
        <f>+J7*13%</f>
        <v>0</v>
      </c>
      <c r="K9" s="66"/>
      <c r="M9" s="319" t="s">
        <v>312</v>
      </c>
      <c r="N9" s="319"/>
      <c r="O9" s="319"/>
      <c r="P9" s="319"/>
      <c r="Q9" s="319"/>
      <c r="R9" s="51"/>
    </row>
    <row r="10" spans="1:18" ht="16.5" thickTop="1" thickBot="1" x14ac:dyDescent="0.3">
      <c r="A10" s="198" t="s">
        <v>129</v>
      </c>
      <c r="B10" s="199">
        <f>+B7-B8</f>
        <v>0</v>
      </c>
      <c r="C10" s="199">
        <f>+C7-C8</f>
        <v>0</v>
      </c>
      <c r="D10" s="199">
        <f>+D7-D8</f>
        <v>0</v>
      </c>
      <c r="E10" s="199">
        <f>+E7-E8</f>
        <v>300000</v>
      </c>
      <c r="F10" s="202"/>
      <c r="G10" s="205">
        <f>+G7-G9</f>
        <v>300000</v>
      </c>
      <c r="H10" s="195"/>
      <c r="I10" s="66"/>
      <c r="J10" s="66"/>
      <c r="K10" s="66"/>
      <c r="L10" s="211"/>
      <c r="M10" s="319"/>
      <c r="N10" s="319"/>
      <c r="O10" s="319"/>
      <c r="P10" s="319"/>
      <c r="Q10" s="319"/>
      <c r="R10" s="51"/>
    </row>
    <row r="11" spans="1:18" ht="27.75" customHeight="1" thickTop="1" thickBot="1" x14ac:dyDescent="0.3">
      <c r="A11" s="233" t="b">
        <v>0</v>
      </c>
      <c r="B11" s="65"/>
      <c r="C11" s="65"/>
      <c r="D11" s="65"/>
      <c r="E11" s="65"/>
      <c r="F11" s="65"/>
      <c r="G11" s="65"/>
      <c r="H11" s="65"/>
      <c r="I11" s="239" t="s">
        <v>347</v>
      </c>
      <c r="J11" s="238">
        <f>(A11=TRUE)*SUM(Tabella7[Accollo debiti])*3%</f>
        <v>0</v>
      </c>
      <c r="K11" s="65"/>
      <c r="L11" s="211"/>
      <c r="M11" s="319"/>
      <c r="N11" s="319"/>
      <c r="O11" s="319"/>
      <c r="P11" s="319"/>
      <c r="Q11" s="319"/>
      <c r="R11" s="51"/>
    </row>
    <row r="12" spans="1:18" ht="33.75" customHeight="1" thickTop="1" x14ac:dyDescent="0.25">
      <c r="A12" s="320" t="str">
        <f>+IF(p=1,"","Questa tabella non è significativa in caso di cessione o trasformazione")</f>
        <v/>
      </c>
      <c r="B12" s="320"/>
      <c r="C12" s="184">
        <f>SUM(Tabella7[Netto assegnato (Costo fiscale del bene in capo al socio)])</f>
        <v>201600</v>
      </c>
      <c r="D12" s="65"/>
      <c r="E12" s="185">
        <f>SUM(Tabella7[Accollo debiti])</f>
        <v>0</v>
      </c>
      <c r="F12" s="184">
        <f>SUM(Tabella7[Base netta])</f>
        <v>0</v>
      </c>
      <c r="G12" s="184">
        <f>SUM(Tabella7[Utili])</f>
        <v>0</v>
      </c>
      <c r="H12" s="184">
        <f>SUM(Tabella7[Riserve])</f>
        <v>0</v>
      </c>
      <c r="I12" s="184">
        <f>SUM(Tabella7[Capitale sociale])</f>
        <v>0</v>
      </c>
      <c r="J12" s="184">
        <f>SUM(Tabella7[Totale attribuito])</f>
        <v>0</v>
      </c>
      <c r="K12" s="65"/>
      <c r="L12" s="184">
        <f>SUM(Tabella7[Valore Part.])</f>
        <v>200000</v>
      </c>
      <c r="M12" s="184">
        <f>SUM(Tabella7[Dividendi da "Sottozero"])</f>
        <v>0</v>
      </c>
      <c r="N12" s="184">
        <f>SUM(Tabella7[Totale Redditi])</f>
        <v>0</v>
      </c>
      <c r="O12" s="184">
        <f>SUM(Tabella7[Maggior IRPEF/Sostitutiva])</f>
        <v>0</v>
      </c>
      <c r="P12" s="184">
        <f>SUM(Tabella7[Valore Normale attribuito])</f>
        <v>230000</v>
      </c>
      <c r="Q12" s="66"/>
      <c r="R12" s="51"/>
    </row>
    <row r="13" spans="1:18" ht="51" customHeight="1" x14ac:dyDescent="0.25">
      <c r="A13" s="220" t="s">
        <v>100</v>
      </c>
      <c r="B13" s="220" t="s">
        <v>140</v>
      </c>
      <c r="C13" s="220" t="s">
        <v>217</v>
      </c>
      <c r="D13" s="220" t="s">
        <v>141</v>
      </c>
      <c r="E13" s="194" t="s">
        <v>229</v>
      </c>
      <c r="F13" s="220" t="s">
        <v>125</v>
      </c>
      <c r="G13" s="220" t="s">
        <v>126</v>
      </c>
      <c r="H13" s="220" t="s">
        <v>127</v>
      </c>
      <c r="I13" s="220" t="s">
        <v>104</v>
      </c>
      <c r="J13" s="220" t="s">
        <v>131</v>
      </c>
      <c r="K13" s="220" t="s">
        <v>136</v>
      </c>
      <c r="L13" s="220" t="s">
        <v>132</v>
      </c>
      <c r="M13" s="220" t="s">
        <v>249</v>
      </c>
      <c r="N13" s="220" t="s">
        <v>130</v>
      </c>
      <c r="O13" s="220" t="s">
        <v>282</v>
      </c>
      <c r="P13" s="220" t="s">
        <v>284</v>
      </c>
      <c r="Q13" s="220" t="s">
        <v>286</v>
      </c>
      <c r="R13" s="220" t="s">
        <v>285</v>
      </c>
    </row>
    <row r="14" spans="1:18" x14ac:dyDescent="0.25">
      <c r="A14" s="33" t="str">
        <f>+IF(Soci!B6="","",Soci!B6)</f>
        <v>Socio X</v>
      </c>
      <c r="B14" s="34">
        <f>+IF(Tabella7[[#This Row],[Socio]]="","",Soci!E6)</f>
        <v>0.5</v>
      </c>
      <c r="C14" s="35">
        <f>+SUMIFS(Assegnazione[Valore ai fini dell''atto],Assegnazione[Agevolabile],1,Assegnazione[Socio],Tabella7[[#This Row],[Socio]])+SUMIFS(Assegnazione[Valore Normale],Assegnazione[Agevolabile],0,Assegnazione[Socio],Tabella7[[#This Row],[Socio]])</f>
        <v>100800</v>
      </c>
      <c r="D14" s="36">
        <f>+IF(Tabella7[[#This Row],[Socio]]="","",Tabella7[[#This Row],[Netto assegnato (Costo fiscale del bene in capo al socio)]]/'Tassazione Soci'!$C$12)</f>
        <v>0.5</v>
      </c>
      <c r="E14" s="41"/>
      <c r="F1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4" s="38">
        <f>+IF(Tabella7[[#This Row],[Socio]]="",0,'Tassazione Soci'!E$9*$B14)</f>
        <v>0</v>
      </c>
      <c r="J14" s="35">
        <f>+(Tabella7[[#This Row],[Riserve]]+Tabella7[[#This Row],[Capitale sociale]])*(p=1)</f>
        <v>0</v>
      </c>
      <c r="K14" s="39">
        <f>+Soci!H6</f>
        <v>0</v>
      </c>
      <c r="L14" s="37">
        <f>+IF(Tabella7[[#This Row],[Socio]]="","",MAX(0,Soci!F6-Tabella7[[#This Row],[Riserve]])+(p=3)*(Tabella7[[#This Row],[% Beni]]*DATI!$E$34))</f>
        <v>100000</v>
      </c>
      <c r="M14" s="37">
        <f>+(Tabella7[[#This Row],[Totale attribuito]]-Soci!F6)*((Tabella7[[#This Row],[Totale attribuito]]-Soci!F6)&gt;0)</f>
        <v>0</v>
      </c>
      <c r="N14" s="40">
        <f>+IFERROR((Tabella7[[#This Row],[Dividendi da "Sottozero"]]+Tabella7[[#This Row],[Utili]]*IR)*Tabella7[[#This Row],[% Imp. Div.]],0)*(p=1)</f>
        <v>0</v>
      </c>
      <c r="O14" s="35">
        <f>+Tabella7[[#This Row],[Totale Redditi]]*Soci!G6</f>
        <v>0</v>
      </c>
      <c r="P14" s="35">
        <f>+SUMIF(Assegnazione[Socio],Tabella7[[#This Row],[Socio]],Assegnazione[Valore Normale])</f>
        <v>115000</v>
      </c>
      <c r="Q14" s="40">
        <f>+IFERROR(Tabella7[[#This Row],[Valore Normale attribuito]]/Tabella7[[#This Row],[% Cap]],0)*(p=1)</f>
        <v>230000</v>
      </c>
      <c r="R14" s="35">
        <f>+IFERROR(MAX(Tabella7[Dividendo teorico distribuito])*Tabella7[[#This Row],[% Cap]]-Tabella7[[#This Row],[Valore Normale attribuito]],0)*(p=1)</f>
        <v>0</v>
      </c>
    </row>
    <row r="15" spans="1:18" x14ac:dyDescent="0.25">
      <c r="A15" s="33" t="str">
        <f>+IF(Soci!B7="","",Soci!B7)</f>
        <v>Socio Y</v>
      </c>
      <c r="B15" s="34">
        <f>+IF(Tabella7[[#This Row],[Socio]]="","",Soci!E7)</f>
        <v>0.5</v>
      </c>
      <c r="C15" s="35">
        <f>+SUMIFS(Assegnazione[Valore ai fini dell''atto],Assegnazione[Agevolabile],1,Assegnazione[Socio],Tabella7[[#This Row],[Socio]])+SUMIFS(Assegnazione[Valore Normale],Assegnazione[Agevolabile],0,Assegnazione[Socio],Tabella7[[#This Row],[Socio]])</f>
        <v>100800</v>
      </c>
      <c r="D15" s="36">
        <f>+IF(Tabella7[[#This Row],[Socio]]="","",Tabella7[[#This Row],[Netto assegnato (Costo fiscale del bene in capo al socio)]]/'Tassazione Soci'!$C$12)</f>
        <v>0.5</v>
      </c>
      <c r="E15" s="41"/>
      <c r="F1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5" s="38">
        <f>+IF(Tabella7[[#This Row],[Socio]]="",0,'Tassazione Soci'!E$9*$B15)</f>
        <v>0</v>
      </c>
      <c r="J15" s="35">
        <f>+(Tabella7[[#This Row],[Riserve]]+Tabella7[[#This Row],[Capitale sociale]])*(p=1)</f>
        <v>0</v>
      </c>
      <c r="K15" s="39">
        <f>+Soci!H7</f>
        <v>0</v>
      </c>
      <c r="L15" s="37">
        <f>+IF(Tabella7[[#This Row],[Socio]]="","",MAX(0,Soci!F7-Tabella7[[#This Row],[Riserve]])+(p=3)*(Tabella7[[#This Row],[% Beni]]*DATI!$E$34))</f>
        <v>100000</v>
      </c>
      <c r="M15" s="37">
        <f>+(Tabella7[[#This Row],[Totale attribuito]]-Soci!F7)*((Tabella7[[#This Row],[Totale attribuito]]-Soci!F7)&gt;0)</f>
        <v>0</v>
      </c>
      <c r="N15" s="40">
        <f>+IFERROR((Tabella7[[#This Row],[Dividendi da "Sottozero"]]+Tabella7[[#This Row],[Utili]]*IR)*Tabella7[[#This Row],[% Imp. Div.]],0)*(p=1)</f>
        <v>0</v>
      </c>
      <c r="O15" s="35">
        <f>+Tabella7[[#This Row],[Totale Redditi]]*Soci!G7</f>
        <v>0</v>
      </c>
      <c r="P15" s="35">
        <f>+SUMIF(Assegnazione[Socio],Tabella7[[#This Row],[Socio]],Assegnazione[Valore Normale])</f>
        <v>115000</v>
      </c>
      <c r="Q15" s="40">
        <f>+IFERROR(Tabella7[[#This Row],[Valore Normale attribuito]]/Tabella7[[#This Row],[% Cap]],0)*(p=1)</f>
        <v>230000</v>
      </c>
      <c r="R15" s="35">
        <f>+IFERROR(MAX(Tabella7[Dividendo teorico distribuito])*Tabella7[[#This Row],[% Cap]]-Tabella7[[#This Row],[Valore Normale attribuito]],0)*(p=1)</f>
        <v>0</v>
      </c>
    </row>
    <row r="16" spans="1:18" x14ac:dyDescent="0.25">
      <c r="A16" s="33" t="str">
        <f>+IF(Soci!B8="","",Soci!B8)</f>
        <v/>
      </c>
      <c r="B16" s="34" t="str">
        <f>+IF(Tabella7[[#This Row],[Socio]]="","",Soci!E8)</f>
        <v/>
      </c>
      <c r="C1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6" s="36" t="str">
        <f>+IF(Tabella7[[#This Row],[Socio]]="","",Tabella7[[#This Row],[Netto assegnato (Costo fiscale del bene in capo al socio)]]/'Tassazione Soci'!$C$12)</f>
        <v/>
      </c>
      <c r="E16" s="41"/>
      <c r="F1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6" s="38">
        <f>+IF(Tabella7[[#This Row],[Socio]]="",0,'Tassazione Soci'!E$9*$B16)</f>
        <v>0</v>
      </c>
      <c r="J16" s="35">
        <f>+(Tabella7[[#This Row],[Riserve]]+Tabella7[[#This Row],[Capitale sociale]])*(p=1)</f>
        <v>0</v>
      </c>
      <c r="K16" s="39">
        <f>+Soci!H8</f>
        <v>0</v>
      </c>
      <c r="L16" s="37" t="str">
        <f>+IF(Tabella7[[#This Row],[Socio]]="","",MAX(0,Soci!F8-Tabella7[[#This Row],[Riserve]])+(p=3)*(Tabella7[[#This Row],[% Beni]]*DATI!$E$34))</f>
        <v/>
      </c>
      <c r="M16" s="37">
        <f>+(Tabella7[[#This Row],[Totale attribuito]]-Soci!F8)*((Tabella7[[#This Row],[Totale attribuito]]-Soci!F8)&gt;0)</f>
        <v>0</v>
      </c>
      <c r="N16" s="40">
        <f>+IFERROR((Tabella7[[#This Row],[Dividendi da "Sottozero"]]+Tabella7[[#This Row],[Utili]]*IR)*Tabella7[[#This Row],[% Imp. Div.]],0)*(p=1)</f>
        <v>0</v>
      </c>
      <c r="O16" s="35">
        <f>+Tabella7[[#This Row],[Totale Redditi]]*Soci!G8</f>
        <v>0</v>
      </c>
      <c r="P16" s="35">
        <f>+SUMIF(Assegnazione[Socio],Tabella7[[#This Row],[Socio]],Assegnazione[Valore Normale])</f>
        <v>0</v>
      </c>
      <c r="Q16" s="40">
        <f>+IFERROR(Tabella7[[#This Row],[Valore Normale attribuito]]/Tabella7[[#This Row],[% Cap]],0)*(p=1)</f>
        <v>0</v>
      </c>
      <c r="R16" s="35">
        <f>+IFERROR(MAX(Tabella7[Dividendo teorico distribuito])*Tabella7[[#This Row],[% Cap]]-Tabella7[[#This Row],[Valore Normale attribuito]],0)*(p=1)</f>
        <v>0</v>
      </c>
    </row>
    <row r="17" spans="1:18" x14ac:dyDescent="0.25">
      <c r="A17" s="33" t="str">
        <f>+IF(Soci!B9="","",Soci!B9)</f>
        <v/>
      </c>
      <c r="B17" s="34" t="str">
        <f>+IF(Tabella7[[#This Row],[Socio]]="","",Soci!E9)</f>
        <v/>
      </c>
      <c r="C1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7" s="36" t="str">
        <f>+IF(Tabella7[[#This Row],[Socio]]="","",Tabella7[[#This Row],[Netto assegnato (Costo fiscale del bene in capo al socio)]]/'Tassazione Soci'!$C$12)</f>
        <v/>
      </c>
      <c r="E17" s="41"/>
      <c r="F1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7" s="38">
        <f>+IF(Tabella7[[#This Row],[Socio]]="",0,'Tassazione Soci'!E$9*$B17)</f>
        <v>0</v>
      </c>
      <c r="J17" s="35">
        <f>+(Tabella7[[#This Row],[Riserve]]+Tabella7[[#This Row],[Capitale sociale]])*(p=1)</f>
        <v>0</v>
      </c>
      <c r="K17" s="39">
        <f>+Soci!H9</f>
        <v>0</v>
      </c>
      <c r="L17" s="37" t="str">
        <f>+IF(Tabella7[[#This Row],[Socio]]="","",MAX(0,Soci!F9-Tabella7[[#This Row],[Riserve]])+(p=3)*(Tabella7[[#This Row],[% Beni]]*DATI!$E$34))</f>
        <v/>
      </c>
      <c r="M17" s="37">
        <f>+(Tabella7[[#This Row],[Totale attribuito]]-Soci!F9)*((Tabella7[[#This Row],[Totale attribuito]]-Soci!F9)&gt;0)</f>
        <v>0</v>
      </c>
      <c r="N17" s="40">
        <f>+IFERROR((Tabella7[[#This Row],[Dividendi da "Sottozero"]]+Tabella7[[#This Row],[Utili]]*IR)*Tabella7[[#This Row],[% Imp. Div.]],0)*(p=1)</f>
        <v>0</v>
      </c>
      <c r="O17" s="35">
        <f>+Tabella7[[#This Row],[Totale Redditi]]*Soci!G9</f>
        <v>0</v>
      </c>
      <c r="P17" s="35">
        <f>+SUMIF(Assegnazione[Socio],Tabella7[[#This Row],[Socio]],Assegnazione[Valore Normale])</f>
        <v>0</v>
      </c>
      <c r="Q17" s="40">
        <f>+IFERROR(Tabella7[[#This Row],[Valore Normale attribuito]]/Tabella7[[#This Row],[% Cap]],0)*(p=1)</f>
        <v>0</v>
      </c>
      <c r="R17" s="35">
        <f>+IFERROR(MAX(Tabella7[Dividendo teorico distribuito])*Tabella7[[#This Row],[% Cap]]-Tabella7[[#This Row],[Valore Normale attribuito]],0)*(p=1)</f>
        <v>0</v>
      </c>
    </row>
    <row r="18" spans="1:18" x14ac:dyDescent="0.25">
      <c r="A18" s="33" t="str">
        <f>+IF(Soci!B10="","",Soci!B10)</f>
        <v/>
      </c>
      <c r="B18" s="34" t="str">
        <f>+IF(Tabella7[[#This Row],[Socio]]="","",Soci!E10)</f>
        <v/>
      </c>
      <c r="C1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8" s="36" t="str">
        <f>+IF(Tabella7[[#This Row],[Socio]]="","",Tabella7[[#This Row],[Netto assegnato (Costo fiscale del bene in capo al socio)]]/'Tassazione Soci'!$C$12)</f>
        <v/>
      </c>
      <c r="E18" s="41"/>
      <c r="F1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8" s="38">
        <f>+IF(Tabella7[[#This Row],[Socio]]="",0,'Tassazione Soci'!E$9*$B18)</f>
        <v>0</v>
      </c>
      <c r="J18" s="35">
        <f>+(Tabella7[[#This Row],[Riserve]]+Tabella7[[#This Row],[Capitale sociale]])*(p=1)</f>
        <v>0</v>
      </c>
      <c r="K18" s="39">
        <f>+Soci!H10</f>
        <v>0</v>
      </c>
      <c r="L18" s="37" t="str">
        <f>+IF(Tabella7[[#This Row],[Socio]]="","",MAX(0,Soci!F10-Tabella7[[#This Row],[Riserve]])+(p=3)*(Tabella7[[#This Row],[% Beni]]*DATI!$E$34))</f>
        <v/>
      </c>
      <c r="M18" s="37">
        <f>+(Tabella7[[#This Row],[Totale attribuito]]-Soci!F10)*((Tabella7[[#This Row],[Totale attribuito]]-Soci!F10)&gt;0)</f>
        <v>0</v>
      </c>
      <c r="N18" s="40">
        <f>+IFERROR((Tabella7[[#This Row],[Dividendi da "Sottozero"]]+Tabella7[[#This Row],[Utili]]*IR)*Tabella7[[#This Row],[% Imp. Div.]],0)*(p=1)</f>
        <v>0</v>
      </c>
      <c r="O18" s="35">
        <f>+Tabella7[[#This Row],[Totale Redditi]]*Soci!G10</f>
        <v>0</v>
      </c>
      <c r="P18" s="35">
        <f>+SUMIF(Assegnazione[Socio],Tabella7[[#This Row],[Socio]],Assegnazione[Valore Normale])</f>
        <v>0</v>
      </c>
      <c r="Q18" s="40">
        <f>+IFERROR(Tabella7[[#This Row],[Valore Normale attribuito]]/Tabella7[[#This Row],[% Cap]],0)*(p=1)</f>
        <v>0</v>
      </c>
      <c r="R18" s="35">
        <f>+IFERROR(MAX(Tabella7[Dividendo teorico distribuito])*Tabella7[[#This Row],[% Cap]]-Tabella7[[#This Row],[Valore Normale attribuito]],0)*(p=1)</f>
        <v>0</v>
      </c>
    </row>
    <row r="19" spans="1:18" x14ac:dyDescent="0.25">
      <c r="A19" s="33" t="str">
        <f>+IF(Soci!B11="","",Soci!B11)</f>
        <v/>
      </c>
      <c r="B19" s="34" t="str">
        <f>+IF(Tabella7[[#This Row],[Socio]]="","",Soci!E11)</f>
        <v/>
      </c>
      <c r="C1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9" s="36" t="str">
        <f>+IF(Tabella7[[#This Row],[Socio]]="","",Tabella7[[#This Row],[Netto assegnato (Costo fiscale del bene in capo al socio)]]/'Tassazione Soci'!$C$12)</f>
        <v/>
      </c>
      <c r="E19" s="41"/>
      <c r="F1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9" s="38">
        <f>+IF(Tabella7[[#This Row],[Socio]]="",0,'Tassazione Soci'!E$9*$B19)</f>
        <v>0</v>
      </c>
      <c r="J19" s="35">
        <f>+(Tabella7[[#This Row],[Riserve]]+Tabella7[[#This Row],[Capitale sociale]])*(p=1)</f>
        <v>0</v>
      </c>
      <c r="K19" s="39">
        <f>+Soci!H11</f>
        <v>0</v>
      </c>
      <c r="L19" s="37" t="str">
        <f>+IF(Tabella7[[#This Row],[Socio]]="","",MAX(0,Soci!F11-Tabella7[[#This Row],[Riserve]])+(p=3)*(Tabella7[[#This Row],[% Beni]]*DATI!$E$34))</f>
        <v/>
      </c>
      <c r="M19" s="37">
        <f>+(Tabella7[[#This Row],[Totale attribuito]]-Soci!F11)*((Tabella7[[#This Row],[Totale attribuito]]-Soci!F11)&gt;0)</f>
        <v>0</v>
      </c>
      <c r="N19" s="40">
        <f>+IFERROR((Tabella7[[#This Row],[Dividendi da "Sottozero"]]+Tabella7[[#This Row],[Utili]]*IR)*Tabella7[[#This Row],[% Imp. Div.]],0)*(p=1)</f>
        <v>0</v>
      </c>
      <c r="O19" s="35">
        <f>+Tabella7[[#This Row],[Totale Redditi]]*Soci!G11</f>
        <v>0</v>
      </c>
      <c r="P19" s="35">
        <f>+SUMIF(Assegnazione[Socio],Tabella7[[#This Row],[Socio]],Assegnazione[Valore Normale])</f>
        <v>0</v>
      </c>
      <c r="Q19" s="40">
        <f>+IFERROR(Tabella7[[#This Row],[Valore Normale attribuito]]/Tabella7[[#This Row],[% Cap]],0)*(p=1)</f>
        <v>0</v>
      </c>
      <c r="R19" s="35">
        <f>+IFERROR(MAX(Tabella7[Dividendo teorico distribuito])*Tabella7[[#This Row],[% Cap]]-Tabella7[[#This Row],[Valore Normale attribuito]],0)*(p=1)</f>
        <v>0</v>
      </c>
    </row>
    <row r="20" spans="1:18" x14ac:dyDescent="0.25">
      <c r="A20" s="33" t="str">
        <f>+IF(Soci!B12="","",Soci!B12)</f>
        <v/>
      </c>
      <c r="B20" s="34" t="str">
        <f>+IF(Tabella7[[#This Row],[Socio]]="","",Soci!E12)</f>
        <v/>
      </c>
      <c r="C2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0" s="36" t="str">
        <f>+IF(Tabella7[[#This Row],[Socio]]="","",Tabella7[[#This Row],[Netto assegnato (Costo fiscale del bene in capo al socio)]]/'Tassazione Soci'!$C$12)</f>
        <v/>
      </c>
      <c r="E20" s="41"/>
      <c r="F2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0" s="38">
        <f>+IF(Tabella7[[#This Row],[Socio]]="",0,'Tassazione Soci'!E$9*$B20)</f>
        <v>0</v>
      </c>
      <c r="J20" s="35">
        <f>+(Tabella7[[#This Row],[Riserve]]+Tabella7[[#This Row],[Capitale sociale]])*(p=1)</f>
        <v>0</v>
      </c>
      <c r="K20" s="39">
        <f>+Soci!H12</f>
        <v>0</v>
      </c>
      <c r="L20" s="37" t="str">
        <f>+IF(Tabella7[[#This Row],[Socio]]="","",MAX(0,Soci!F12-Tabella7[[#This Row],[Riserve]])+(p=3)*(Tabella7[[#This Row],[% Beni]]*DATI!$E$34))</f>
        <v/>
      </c>
      <c r="M20" s="37">
        <f>+(Tabella7[[#This Row],[Totale attribuito]]-Soci!F12)*((Tabella7[[#This Row],[Totale attribuito]]-Soci!F12)&gt;0)</f>
        <v>0</v>
      </c>
      <c r="N20" s="40">
        <f>+IFERROR((Tabella7[[#This Row],[Dividendi da "Sottozero"]]+Tabella7[[#This Row],[Utili]]*IR)*Tabella7[[#This Row],[% Imp. Div.]],0)*(p=1)</f>
        <v>0</v>
      </c>
      <c r="O20" s="35">
        <f>+Tabella7[[#This Row],[Totale Redditi]]*Soci!G12</f>
        <v>0</v>
      </c>
      <c r="P20" s="35">
        <f>+SUMIF(Assegnazione[Socio],Tabella7[[#This Row],[Socio]],Assegnazione[Valore Normale])</f>
        <v>0</v>
      </c>
      <c r="Q20" s="40">
        <f>+IFERROR(Tabella7[[#This Row],[Valore Normale attribuito]]/Tabella7[[#This Row],[% Cap]],0)*(p=1)</f>
        <v>0</v>
      </c>
      <c r="R20" s="35">
        <f>+IFERROR(MAX(Tabella7[Dividendo teorico distribuito])*Tabella7[[#This Row],[% Cap]]-Tabella7[[#This Row],[Valore Normale attribuito]],0)*(p=1)</f>
        <v>0</v>
      </c>
    </row>
    <row r="21" spans="1:18" x14ac:dyDescent="0.25">
      <c r="A21" s="33" t="str">
        <f>+IF(Soci!B13="","",Soci!B13)</f>
        <v/>
      </c>
      <c r="B21" s="34" t="str">
        <f>+IF(Tabella7[[#This Row],[Socio]]="","",Soci!E13)</f>
        <v/>
      </c>
      <c r="C2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1" s="36" t="str">
        <f>+IF(Tabella7[[#This Row],[Socio]]="","",Tabella7[[#This Row],[Netto assegnato (Costo fiscale del bene in capo al socio)]]/'Tassazione Soci'!$C$12)</f>
        <v/>
      </c>
      <c r="E21" s="41"/>
      <c r="F2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1" s="38">
        <f>+IF(Tabella7[[#This Row],[Socio]]="",0,'Tassazione Soci'!E$9*$B21)</f>
        <v>0</v>
      </c>
      <c r="J21" s="35">
        <f>+(Tabella7[[#This Row],[Riserve]]+Tabella7[[#This Row],[Capitale sociale]])*(p=1)</f>
        <v>0</v>
      </c>
      <c r="K21" s="39">
        <f>+Soci!H13</f>
        <v>0</v>
      </c>
      <c r="L21" s="37" t="str">
        <f>+IF(Tabella7[[#This Row],[Socio]]="","",MAX(0,Soci!F13-Tabella7[[#This Row],[Riserve]])+(p=3)*(Tabella7[[#This Row],[% Beni]]*DATI!$E$34))</f>
        <v/>
      </c>
      <c r="M21" s="37">
        <f>+(Tabella7[[#This Row],[Totale attribuito]]-Soci!F13)*((Tabella7[[#This Row],[Totale attribuito]]-Soci!F13)&gt;0)</f>
        <v>0</v>
      </c>
      <c r="N21" s="40">
        <f>+IFERROR((Tabella7[[#This Row],[Dividendi da "Sottozero"]]+Tabella7[[#This Row],[Utili]]*IR)*Tabella7[[#This Row],[% Imp. Div.]],0)*(p=1)</f>
        <v>0</v>
      </c>
      <c r="O21" s="35">
        <f>+Tabella7[[#This Row],[Totale Redditi]]*Soci!G13</f>
        <v>0</v>
      </c>
      <c r="P21" s="35">
        <f>+SUMIF(Assegnazione[Socio],Tabella7[[#This Row],[Socio]],Assegnazione[Valore Normale])</f>
        <v>0</v>
      </c>
      <c r="Q21" s="40">
        <f>+IFERROR(Tabella7[[#This Row],[Valore Normale attribuito]]/Tabella7[[#This Row],[% Cap]],0)*(p=1)</f>
        <v>0</v>
      </c>
      <c r="R21" s="35">
        <f>+IFERROR(MAX(Tabella7[Dividendo teorico distribuito])*Tabella7[[#This Row],[% Cap]]-Tabella7[[#This Row],[Valore Normale attribuito]],0)*(p=1)</f>
        <v>0</v>
      </c>
    </row>
    <row r="22" spans="1:18" x14ac:dyDescent="0.25">
      <c r="A22" s="33" t="str">
        <f>+IF(Soci!B14="","",Soci!B14)</f>
        <v/>
      </c>
      <c r="B22" s="34" t="str">
        <f>+IF(Tabella7[[#This Row],[Socio]]="","",Soci!E14)</f>
        <v/>
      </c>
      <c r="C2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2" s="36" t="str">
        <f>+IF(Tabella7[[#This Row],[Socio]]="","",Tabella7[[#This Row],[Netto assegnato (Costo fiscale del bene in capo al socio)]]/'Tassazione Soci'!$C$12)</f>
        <v/>
      </c>
      <c r="E22" s="41"/>
      <c r="F2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2" s="38">
        <f>+IF(Tabella7[[#This Row],[Socio]]="",0,'Tassazione Soci'!E$9*$B22)</f>
        <v>0</v>
      </c>
      <c r="J22" s="35">
        <f>+(Tabella7[[#This Row],[Riserve]]+Tabella7[[#This Row],[Capitale sociale]])*(p=1)</f>
        <v>0</v>
      </c>
      <c r="K22" s="39">
        <f>+Soci!H14</f>
        <v>0</v>
      </c>
      <c r="L22" s="37" t="str">
        <f>+IF(Tabella7[[#This Row],[Socio]]="","",MAX(0,Soci!F14-Tabella7[[#This Row],[Riserve]])+(p=3)*(Tabella7[[#This Row],[% Beni]]*DATI!$E$34))</f>
        <v/>
      </c>
      <c r="M22" s="37">
        <f>+(Tabella7[[#This Row],[Totale attribuito]]-Soci!F14)*((Tabella7[[#This Row],[Totale attribuito]]-Soci!F14)&gt;0)</f>
        <v>0</v>
      </c>
      <c r="N22" s="40">
        <f>+IFERROR((Tabella7[[#This Row],[Dividendi da "Sottozero"]]+Tabella7[[#This Row],[Utili]]*IR)*Tabella7[[#This Row],[% Imp. Div.]],0)*(p=1)</f>
        <v>0</v>
      </c>
      <c r="O22" s="35">
        <f>+Tabella7[[#This Row],[Totale Redditi]]*Soci!G14</f>
        <v>0</v>
      </c>
      <c r="P22" s="35">
        <f>+SUMIF(Assegnazione[Socio],Tabella7[[#This Row],[Socio]],Assegnazione[Valore Normale])</f>
        <v>0</v>
      </c>
      <c r="Q22" s="40">
        <f>+IFERROR(Tabella7[[#This Row],[Valore Normale attribuito]]/Tabella7[[#This Row],[% Cap]],0)*(p=1)</f>
        <v>0</v>
      </c>
      <c r="R22" s="35">
        <f>+IFERROR(MAX(Tabella7[Dividendo teorico distribuito])*Tabella7[[#This Row],[% Cap]]-Tabella7[[#This Row],[Valore Normale attribuito]],0)*(p=1)</f>
        <v>0</v>
      </c>
    </row>
    <row r="23" spans="1:18" x14ac:dyDescent="0.25">
      <c r="A23" s="33" t="str">
        <f>+IF(Soci!B15="","",Soci!B15)</f>
        <v/>
      </c>
      <c r="B23" s="34" t="str">
        <f>+IF(Tabella7[[#This Row],[Socio]]="","",Soci!E15)</f>
        <v/>
      </c>
      <c r="C2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3" s="36" t="str">
        <f>+IF(Tabella7[[#This Row],[Socio]]="","",Tabella7[[#This Row],[Netto assegnato (Costo fiscale del bene in capo al socio)]]/'Tassazione Soci'!$C$12)</f>
        <v/>
      </c>
      <c r="E23" s="41"/>
      <c r="F2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3" s="38">
        <f>+IF(Tabella7[[#This Row],[Socio]]="",0,'Tassazione Soci'!E$9*$B23)</f>
        <v>0</v>
      </c>
      <c r="J23" s="35">
        <f>+(Tabella7[[#This Row],[Riserve]]+Tabella7[[#This Row],[Capitale sociale]])*(p=1)</f>
        <v>0</v>
      </c>
      <c r="K23" s="39">
        <f>+Soci!H15</f>
        <v>0</v>
      </c>
      <c r="L23" s="37" t="str">
        <f>+IF(Tabella7[[#This Row],[Socio]]="","",MAX(0,Soci!F15-Tabella7[[#This Row],[Riserve]])+(p=3)*(Tabella7[[#This Row],[% Beni]]*DATI!$E$34))</f>
        <v/>
      </c>
      <c r="M23" s="37">
        <f>+(Tabella7[[#This Row],[Totale attribuito]]-Soci!F15)*((Tabella7[[#This Row],[Totale attribuito]]-Soci!F15)&gt;0)</f>
        <v>0</v>
      </c>
      <c r="N23" s="40">
        <f>+IFERROR((Tabella7[[#This Row],[Dividendi da "Sottozero"]]+Tabella7[[#This Row],[Utili]]*IR)*Tabella7[[#This Row],[% Imp. Div.]],0)*(p=1)</f>
        <v>0</v>
      </c>
      <c r="O23" s="35">
        <f>+Tabella7[[#This Row],[Totale Redditi]]*Soci!G15</f>
        <v>0</v>
      </c>
      <c r="P23" s="35">
        <f>+SUMIF(Assegnazione[Socio],Tabella7[[#This Row],[Socio]],Assegnazione[Valore Normale])</f>
        <v>0</v>
      </c>
      <c r="Q23" s="40">
        <f>+IFERROR(Tabella7[[#This Row],[Valore Normale attribuito]]/Tabella7[[#This Row],[% Cap]],0)*(p=1)</f>
        <v>0</v>
      </c>
      <c r="R23" s="35">
        <f>+IFERROR(MAX(Tabella7[Dividendo teorico distribuito])*Tabella7[[#This Row],[% Cap]]-Tabella7[[#This Row],[Valore Normale attribuito]],0)*(p=1)</f>
        <v>0</v>
      </c>
    </row>
    <row r="24" spans="1:18" x14ac:dyDescent="0.25">
      <c r="A24" s="33" t="str">
        <f>+IF(Soci!B16="","",Soci!B16)</f>
        <v/>
      </c>
      <c r="B24" s="34" t="str">
        <f>+IF(Tabella7[[#This Row],[Socio]]="","",Soci!E16)</f>
        <v/>
      </c>
      <c r="C2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4" s="36" t="str">
        <f>+IF(Tabella7[[#This Row],[Socio]]="","",Tabella7[[#This Row],[Netto assegnato (Costo fiscale del bene in capo al socio)]]/'Tassazione Soci'!$C$12)</f>
        <v/>
      </c>
      <c r="E24" s="41"/>
      <c r="F2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4" s="38">
        <f>+IF(Tabella7[[#This Row],[Socio]]="",0,'Tassazione Soci'!E$9*$B24)</f>
        <v>0</v>
      </c>
      <c r="J24" s="35">
        <f>+(Tabella7[[#This Row],[Riserve]]+Tabella7[[#This Row],[Capitale sociale]])*(p=1)</f>
        <v>0</v>
      </c>
      <c r="K24" s="39">
        <f>+Soci!H16</f>
        <v>0</v>
      </c>
      <c r="L24" s="37" t="str">
        <f>+IF(Tabella7[[#This Row],[Socio]]="","",MAX(0,Soci!F16-Tabella7[[#This Row],[Riserve]])+(p=3)*(Tabella7[[#This Row],[% Beni]]*DATI!$E$34))</f>
        <v/>
      </c>
      <c r="M24" s="37">
        <f>+(Tabella7[[#This Row],[Totale attribuito]]-Soci!F16)*((Tabella7[[#This Row],[Totale attribuito]]-Soci!F16)&gt;0)</f>
        <v>0</v>
      </c>
      <c r="N24" s="40">
        <f>+IFERROR((Tabella7[[#This Row],[Dividendi da "Sottozero"]]+Tabella7[[#This Row],[Utili]]*IR)*Tabella7[[#This Row],[% Imp. Div.]],0)*(p=1)</f>
        <v>0</v>
      </c>
      <c r="O24" s="35">
        <f>+Tabella7[[#This Row],[Totale Redditi]]*Soci!G16</f>
        <v>0</v>
      </c>
      <c r="P24" s="35">
        <f>+SUMIF(Assegnazione[Socio],Tabella7[[#This Row],[Socio]],Assegnazione[Valore Normale])</f>
        <v>0</v>
      </c>
      <c r="Q24" s="40">
        <f>+IFERROR(Tabella7[[#This Row],[Valore Normale attribuito]]/Tabella7[[#This Row],[% Cap]],0)*(p=1)</f>
        <v>0</v>
      </c>
      <c r="R24" s="35">
        <f>+IFERROR(MAX(Tabella7[Dividendo teorico distribuito])*Tabella7[[#This Row],[% Cap]]-Tabella7[[#This Row],[Valore Normale attribuito]],0)*(p=1)</f>
        <v>0</v>
      </c>
    </row>
    <row r="25" spans="1:18" x14ac:dyDescent="0.25">
      <c r="A25" s="33" t="str">
        <f>+IF(Soci!B17="","",Soci!B17)</f>
        <v/>
      </c>
      <c r="B25" s="34" t="str">
        <f>+IF(Tabella7[[#This Row],[Socio]]="","",Soci!E17)</f>
        <v/>
      </c>
      <c r="C2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5" s="36" t="str">
        <f>+IF(Tabella7[[#This Row],[Socio]]="","",Tabella7[[#This Row],[Netto assegnato (Costo fiscale del bene in capo al socio)]]/'Tassazione Soci'!$C$12)</f>
        <v/>
      </c>
      <c r="E25" s="41"/>
      <c r="F2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5" s="38">
        <f>+IF(Tabella7[[#This Row],[Socio]]="",0,'Tassazione Soci'!E$9*$B25)</f>
        <v>0</v>
      </c>
      <c r="J25" s="35">
        <f>+(Tabella7[[#This Row],[Riserve]]+Tabella7[[#This Row],[Capitale sociale]])*(p=1)</f>
        <v>0</v>
      </c>
      <c r="K25" s="39">
        <f>+Soci!H17</f>
        <v>0</v>
      </c>
      <c r="L25" s="37" t="str">
        <f>+IF(Tabella7[[#This Row],[Socio]]="","",MAX(0,Soci!F17-Tabella7[[#This Row],[Riserve]])+(p=3)*(Tabella7[[#This Row],[% Beni]]*DATI!$E$34))</f>
        <v/>
      </c>
      <c r="M25" s="37">
        <f>+(Tabella7[[#This Row],[Totale attribuito]]-Soci!F17)*((Tabella7[[#This Row],[Totale attribuito]]-Soci!F17)&gt;0)</f>
        <v>0</v>
      </c>
      <c r="N25" s="40">
        <f>+IFERROR((Tabella7[[#This Row],[Dividendi da "Sottozero"]]+Tabella7[[#This Row],[Utili]]*IR)*Tabella7[[#This Row],[% Imp. Div.]],0)*(p=1)</f>
        <v>0</v>
      </c>
      <c r="O25" s="35">
        <f>+Tabella7[[#This Row],[Totale Redditi]]*Soci!G17</f>
        <v>0</v>
      </c>
      <c r="P25" s="35">
        <f>+SUMIF(Assegnazione[Socio],Tabella7[[#This Row],[Socio]],Assegnazione[Valore Normale])</f>
        <v>0</v>
      </c>
      <c r="Q25" s="40">
        <f>+IFERROR(Tabella7[[#This Row],[Valore Normale attribuito]]/Tabella7[[#This Row],[% Cap]],0)*(p=1)</f>
        <v>0</v>
      </c>
      <c r="R25" s="35">
        <f>+IFERROR(MAX(Tabella7[Dividendo teorico distribuito])*Tabella7[[#This Row],[% Cap]]-Tabella7[[#This Row],[Valore Normale attribuito]],0)*(p=1)</f>
        <v>0</v>
      </c>
    </row>
    <row r="26" spans="1:18" x14ac:dyDescent="0.25">
      <c r="A26" s="33" t="str">
        <f>+IF(Soci!B18="","",Soci!B18)</f>
        <v/>
      </c>
      <c r="B26" s="34" t="str">
        <f>+IF(Tabella7[[#This Row],[Socio]]="","",Soci!E18)</f>
        <v/>
      </c>
      <c r="C2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6" s="36" t="str">
        <f>+IF(Tabella7[[#This Row],[Socio]]="","",Tabella7[[#This Row],[Netto assegnato (Costo fiscale del bene in capo al socio)]]/'Tassazione Soci'!$C$12)</f>
        <v/>
      </c>
      <c r="E26" s="41"/>
      <c r="F2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6" s="38">
        <f>+IF(Tabella7[[#This Row],[Socio]]="",0,'Tassazione Soci'!E$9*$B26)</f>
        <v>0</v>
      </c>
      <c r="J26" s="35">
        <f>+(Tabella7[[#This Row],[Riserve]]+Tabella7[[#This Row],[Capitale sociale]])*(p=1)</f>
        <v>0</v>
      </c>
      <c r="K26" s="39">
        <f>+Soci!H18</f>
        <v>0</v>
      </c>
      <c r="L26" s="37" t="str">
        <f>+IF(Tabella7[[#This Row],[Socio]]="","",MAX(0,Soci!F18-Tabella7[[#This Row],[Riserve]])+(p=3)*(Tabella7[[#This Row],[% Beni]]*DATI!$E$34))</f>
        <v/>
      </c>
      <c r="M26" s="37">
        <f>+(Tabella7[[#This Row],[Totale attribuito]]-Soci!F18)*((Tabella7[[#This Row],[Totale attribuito]]-Soci!F18)&gt;0)</f>
        <v>0</v>
      </c>
      <c r="N26" s="40">
        <f>+IFERROR((Tabella7[[#This Row],[Dividendi da "Sottozero"]]+Tabella7[[#This Row],[Utili]]*IR)*Tabella7[[#This Row],[% Imp. Div.]],0)*(p=1)</f>
        <v>0</v>
      </c>
      <c r="O26" s="35">
        <f>+Tabella7[[#This Row],[Totale Redditi]]*Soci!G18</f>
        <v>0</v>
      </c>
      <c r="P26" s="35">
        <f>+SUMIF(Assegnazione[Socio],Tabella7[[#This Row],[Socio]],Assegnazione[Valore Normale])</f>
        <v>0</v>
      </c>
      <c r="Q26" s="40">
        <f>+IFERROR(Tabella7[[#This Row],[Valore Normale attribuito]]/Tabella7[[#This Row],[% Cap]],0)*(p=1)</f>
        <v>0</v>
      </c>
      <c r="R26" s="35">
        <f>+IFERROR(MAX(Tabella7[Dividendo teorico distribuito])*Tabella7[[#This Row],[% Cap]]-Tabella7[[#This Row],[Valore Normale attribuito]],0)*(p=1)</f>
        <v>0</v>
      </c>
    </row>
    <row r="27" spans="1:18" x14ac:dyDescent="0.25">
      <c r="A27" s="33" t="str">
        <f>+IF(Soci!B19="","",Soci!B19)</f>
        <v/>
      </c>
      <c r="B27" s="34" t="str">
        <f>+IF(Tabella7[[#This Row],[Socio]]="","",Soci!E19)</f>
        <v/>
      </c>
      <c r="C2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7" s="36" t="str">
        <f>+IF(Tabella7[[#This Row],[Socio]]="","",Tabella7[[#This Row],[Netto assegnato (Costo fiscale del bene in capo al socio)]]/'Tassazione Soci'!$C$12)</f>
        <v/>
      </c>
      <c r="E27" s="41"/>
      <c r="F2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7" s="38">
        <f>+IF(Tabella7[[#This Row],[Socio]]="",0,'Tassazione Soci'!E$9*$B27)</f>
        <v>0</v>
      </c>
      <c r="J27" s="35">
        <f>+(Tabella7[[#This Row],[Riserve]]+Tabella7[[#This Row],[Capitale sociale]])*(p=1)</f>
        <v>0</v>
      </c>
      <c r="K27" s="39">
        <f>+Soci!H19</f>
        <v>0</v>
      </c>
      <c r="L27" s="37" t="str">
        <f>+IF(Tabella7[[#This Row],[Socio]]="","",MAX(0,Soci!F19-Tabella7[[#This Row],[Riserve]])+(p=3)*(Tabella7[[#This Row],[% Beni]]*DATI!$E$34))</f>
        <v/>
      </c>
      <c r="M27" s="37">
        <f>+(Tabella7[[#This Row],[Totale attribuito]]-Soci!F19)*((Tabella7[[#This Row],[Totale attribuito]]-Soci!F19)&gt;0)</f>
        <v>0</v>
      </c>
      <c r="N27" s="40">
        <f>+IFERROR((Tabella7[[#This Row],[Dividendi da "Sottozero"]]+Tabella7[[#This Row],[Utili]]*IR)*Tabella7[[#This Row],[% Imp. Div.]],0)*(p=1)</f>
        <v>0</v>
      </c>
      <c r="O27" s="35">
        <f>+Tabella7[[#This Row],[Totale Redditi]]*Soci!G19</f>
        <v>0</v>
      </c>
      <c r="P27" s="35">
        <f>+SUMIF(Assegnazione[Socio],Tabella7[[#This Row],[Socio]],Assegnazione[Valore Normale])</f>
        <v>0</v>
      </c>
      <c r="Q27" s="40">
        <f>+IFERROR(Tabella7[[#This Row],[Valore Normale attribuito]]/Tabella7[[#This Row],[% Cap]],0)*(p=1)</f>
        <v>0</v>
      </c>
      <c r="R27" s="35">
        <f>+IFERROR(MAX(Tabella7[Dividendo teorico distribuito])*Tabella7[[#This Row],[% Cap]]-Tabella7[[#This Row],[Valore Normale attribuito]],0)*(p=1)</f>
        <v>0</v>
      </c>
    </row>
    <row r="28" spans="1:18" x14ac:dyDescent="0.25">
      <c r="A28" s="33" t="str">
        <f>+IF(Soci!B20="","",Soci!B20)</f>
        <v/>
      </c>
      <c r="B28" s="34" t="str">
        <f>+IF(Tabella7[[#This Row],[Socio]]="","",Soci!E20)</f>
        <v/>
      </c>
      <c r="C2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8" s="36" t="str">
        <f>+IF(Tabella7[[#This Row],[Socio]]="","",Tabella7[[#This Row],[Netto assegnato (Costo fiscale del bene in capo al socio)]]/'Tassazione Soci'!$C$12)</f>
        <v/>
      </c>
      <c r="E28" s="41"/>
      <c r="F2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8" s="38">
        <f>+IF(Tabella7[[#This Row],[Socio]]="",0,'Tassazione Soci'!E$9*$B28)</f>
        <v>0</v>
      </c>
      <c r="J28" s="35">
        <f>+(Tabella7[[#This Row],[Riserve]]+Tabella7[[#This Row],[Capitale sociale]])*(p=1)</f>
        <v>0</v>
      </c>
      <c r="K28" s="39">
        <f>+Soci!H20</f>
        <v>0</v>
      </c>
      <c r="L28" s="37" t="str">
        <f>+IF(Tabella7[[#This Row],[Socio]]="","",MAX(0,Soci!F20-Tabella7[[#This Row],[Riserve]])+(p=3)*(Tabella7[[#This Row],[% Beni]]*DATI!$E$34))</f>
        <v/>
      </c>
      <c r="M28" s="37">
        <f>+(Tabella7[[#This Row],[Totale attribuito]]-Soci!F20)*((Tabella7[[#This Row],[Totale attribuito]]-Soci!F20)&gt;0)</f>
        <v>0</v>
      </c>
      <c r="N28" s="40">
        <f>+IFERROR((Tabella7[[#This Row],[Dividendi da "Sottozero"]]+Tabella7[[#This Row],[Utili]]*IR)*Tabella7[[#This Row],[% Imp. Div.]],0)*(p=1)</f>
        <v>0</v>
      </c>
      <c r="O28" s="35">
        <f>+Tabella7[[#This Row],[Totale Redditi]]*Soci!G20</f>
        <v>0</v>
      </c>
      <c r="P28" s="35">
        <f>+SUMIF(Assegnazione[Socio],Tabella7[[#This Row],[Socio]],Assegnazione[Valore Normale])</f>
        <v>0</v>
      </c>
      <c r="Q28" s="40">
        <f>+IFERROR(Tabella7[[#This Row],[Valore Normale attribuito]]/Tabella7[[#This Row],[% Cap]],0)*(p=1)</f>
        <v>0</v>
      </c>
      <c r="R28" s="35">
        <f>+IFERROR(MAX(Tabella7[Dividendo teorico distribuito])*Tabella7[[#This Row],[% Cap]]-Tabella7[[#This Row],[Valore Normale attribuito]],0)*(p=1)</f>
        <v>0</v>
      </c>
    </row>
    <row r="29" spans="1:18" x14ac:dyDescent="0.25">
      <c r="A29" s="33" t="str">
        <f>+IF(Soci!B21="","",Soci!B21)</f>
        <v/>
      </c>
      <c r="B29" s="34" t="str">
        <f>+IF(Tabella7[[#This Row],[Socio]]="","",Soci!E21)</f>
        <v/>
      </c>
      <c r="C2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9" s="36" t="str">
        <f>+IF(Tabella7[[#This Row],[Socio]]="","",Tabella7[[#This Row],[Netto assegnato (Costo fiscale del bene in capo al socio)]]/'Tassazione Soci'!$C$12)</f>
        <v/>
      </c>
      <c r="E29" s="41"/>
      <c r="F2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9" s="38">
        <f>+IF(Tabella7[[#This Row],[Socio]]="",0,'Tassazione Soci'!E$9*$B29)</f>
        <v>0</v>
      </c>
      <c r="J29" s="35">
        <f>+(Tabella7[[#This Row],[Riserve]]+Tabella7[[#This Row],[Capitale sociale]])*(p=1)</f>
        <v>0</v>
      </c>
      <c r="K29" s="39">
        <f>+Soci!H21</f>
        <v>0</v>
      </c>
      <c r="L29" s="37" t="str">
        <f>+IF(Tabella7[[#This Row],[Socio]]="","",MAX(0,Soci!F21-Tabella7[[#This Row],[Riserve]])+(p=3)*(Tabella7[[#This Row],[% Beni]]*DATI!$E$34))</f>
        <v/>
      </c>
      <c r="M29" s="37">
        <f>+(Tabella7[[#This Row],[Totale attribuito]]-Soci!F21)*((Tabella7[[#This Row],[Totale attribuito]]-Soci!F21)&gt;0)</f>
        <v>0</v>
      </c>
      <c r="N29" s="40">
        <f>+IFERROR((Tabella7[[#This Row],[Dividendi da "Sottozero"]]+Tabella7[[#This Row],[Utili]]*IR)*Tabella7[[#This Row],[% Imp. Div.]],0)*(p=1)</f>
        <v>0</v>
      </c>
      <c r="O29" s="35">
        <f>+Tabella7[[#This Row],[Totale Redditi]]*Soci!G21</f>
        <v>0</v>
      </c>
      <c r="P29" s="35">
        <f>+SUMIF(Assegnazione[Socio],Tabella7[[#This Row],[Socio]],Assegnazione[Valore Normale])</f>
        <v>0</v>
      </c>
      <c r="Q29" s="40">
        <f>+IFERROR(Tabella7[[#This Row],[Valore Normale attribuito]]/Tabella7[[#This Row],[% Cap]],0)*(p=1)</f>
        <v>0</v>
      </c>
      <c r="R29" s="35">
        <f>+IFERROR(MAX(Tabella7[Dividendo teorico distribuito])*Tabella7[[#This Row],[% Cap]]-Tabella7[[#This Row],[Valore Normale attribuito]],0)*(p=1)</f>
        <v>0</v>
      </c>
    </row>
    <row r="30" spans="1:18" x14ac:dyDescent="0.25">
      <c r="A30" s="33" t="str">
        <f>+IF(Soci!B22="","",Soci!B22)</f>
        <v/>
      </c>
      <c r="B30" s="34" t="str">
        <f>+IF(Tabella7[[#This Row],[Socio]]="","",Soci!E22)</f>
        <v/>
      </c>
      <c r="C3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0" s="36" t="str">
        <f>+IF(Tabella7[[#This Row],[Socio]]="","",Tabella7[[#This Row],[Netto assegnato (Costo fiscale del bene in capo al socio)]]/'Tassazione Soci'!$C$12)</f>
        <v/>
      </c>
      <c r="E30" s="41"/>
      <c r="F3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0" s="38">
        <f>+IF(Tabella7[[#This Row],[Socio]]="",0,'Tassazione Soci'!E$9*$B30)</f>
        <v>0</v>
      </c>
      <c r="J30" s="35">
        <f>+(Tabella7[[#This Row],[Riserve]]+Tabella7[[#This Row],[Capitale sociale]])*(p=1)</f>
        <v>0</v>
      </c>
      <c r="K30" s="39">
        <f>+Soci!H22</f>
        <v>0</v>
      </c>
      <c r="L30" s="37" t="str">
        <f>+IF(Tabella7[[#This Row],[Socio]]="","",MAX(0,Soci!F22-Tabella7[[#This Row],[Riserve]])+(p=3)*(Tabella7[[#This Row],[% Beni]]*DATI!$E$34))</f>
        <v/>
      </c>
      <c r="M30" s="37">
        <f>+(Tabella7[[#This Row],[Totale attribuito]]-Soci!F22)*((Tabella7[[#This Row],[Totale attribuito]]-Soci!F22)&gt;0)</f>
        <v>0</v>
      </c>
      <c r="N30" s="40">
        <f>+IFERROR((Tabella7[[#This Row],[Dividendi da "Sottozero"]]+Tabella7[[#This Row],[Utili]]*IR)*Tabella7[[#This Row],[% Imp. Div.]],0)*(p=1)</f>
        <v>0</v>
      </c>
      <c r="O30" s="35">
        <f>+Tabella7[[#This Row],[Totale Redditi]]*Soci!G22</f>
        <v>0</v>
      </c>
      <c r="P30" s="35">
        <f>+SUMIF(Assegnazione[Socio],Tabella7[[#This Row],[Socio]],Assegnazione[Valore Normale])</f>
        <v>0</v>
      </c>
      <c r="Q30" s="40">
        <f>+IFERROR(Tabella7[[#This Row],[Valore Normale attribuito]]/Tabella7[[#This Row],[% Cap]],0)*(p=1)</f>
        <v>0</v>
      </c>
      <c r="R30" s="35">
        <f>+IFERROR(MAX(Tabella7[Dividendo teorico distribuito])*Tabella7[[#This Row],[% Cap]]-Tabella7[[#This Row],[Valore Normale attribuito]],0)*(p=1)</f>
        <v>0</v>
      </c>
    </row>
    <row r="31" spans="1:18" x14ac:dyDescent="0.25">
      <c r="A31" s="33" t="str">
        <f>+IF(Soci!B23="","",Soci!B23)</f>
        <v/>
      </c>
      <c r="B31" s="34" t="str">
        <f>+IF(Tabella7[[#This Row],[Socio]]="","",Soci!E23)</f>
        <v/>
      </c>
      <c r="C3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1" s="36" t="str">
        <f>+IF(Tabella7[[#This Row],[Socio]]="","",Tabella7[[#This Row],[Netto assegnato (Costo fiscale del bene in capo al socio)]]/'Tassazione Soci'!$C$12)</f>
        <v/>
      </c>
      <c r="E31" s="41"/>
      <c r="F3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1" s="38">
        <f>+IF(Tabella7[[#This Row],[Socio]]="",0,'Tassazione Soci'!E$9*$B31)</f>
        <v>0</v>
      </c>
      <c r="J31" s="35">
        <f>+(Tabella7[[#This Row],[Riserve]]+Tabella7[[#This Row],[Capitale sociale]])*(p=1)</f>
        <v>0</v>
      </c>
      <c r="K31" s="39">
        <f>+Soci!H23</f>
        <v>0</v>
      </c>
      <c r="L31" s="37" t="str">
        <f>+IF(Tabella7[[#This Row],[Socio]]="","",MAX(0,Soci!F23-Tabella7[[#This Row],[Riserve]])+(p=3)*(Tabella7[[#This Row],[% Beni]]*DATI!$E$34))</f>
        <v/>
      </c>
      <c r="M31" s="37">
        <f>+(Tabella7[[#This Row],[Totale attribuito]]-Soci!F23)*((Tabella7[[#This Row],[Totale attribuito]]-Soci!F23)&gt;0)</f>
        <v>0</v>
      </c>
      <c r="N31" s="40">
        <f>+IFERROR((Tabella7[[#This Row],[Dividendi da "Sottozero"]]+Tabella7[[#This Row],[Utili]]*IR)*Tabella7[[#This Row],[% Imp. Div.]],0)*(p=1)</f>
        <v>0</v>
      </c>
      <c r="O31" s="35">
        <f>+Tabella7[[#This Row],[Totale Redditi]]*Soci!G23</f>
        <v>0</v>
      </c>
      <c r="P31" s="35">
        <f>+SUMIF(Assegnazione[Socio],Tabella7[[#This Row],[Socio]],Assegnazione[Valore Normale])</f>
        <v>0</v>
      </c>
      <c r="Q31" s="40">
        <f>+IFERROR(Tabella7[[#This Row],[Valore Normale attribuito]]/Tabella7[[#This Row],[% Cap]],0)*(p=1)</f>
        <v>0</v>
      </c>
      <c r="R31" s="35">
        <f>+IFERROR(MAX(Tabella7[Dividendo teorico distribuito])*Tabella7[[#This Row],[% Cap]]-Tabella7[[#This Row],[Valore Normale attribuito]],0)*(p=1)</f>
        <v>0</v>
      </c>
    </row>
    <row r="32" spans="1:18" x14ac:dyDescent="0.25">
      <c r="A32" s="33" t="str">
        <f>+IF(Soci!B24="","",Soci!B24)</f>
        <v/>
      </c>
      <c r="B32" s="34" t="str">
        <f>+IF(Tabella7[[#This Row],[Socio]]="","",Soci!E24)</f>
        <v/>
      </c>
      <c r="C3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2" s="36" t="str">
        <f>+IF(Tabella7[[#This Row],[Socio]]="","",Tabella7[[#This Row],[Netto assegnato (Costo fiscale del bene in capo al socio)]]/'Tassazione Soci'!$C$12)</f>
        <v/>
      </c>
      <c r="E32" s="41"/>
      <c r="F3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2" s="38">
        <f>+IF(Tabella7[[#This Row],[Socio]]="",0,'Tassazione Soci'!E$9*$B32)</f>
        <v>0</v>
      </c>
      <c r="J32" s="35">
        <f>+(Tabella7[[#This Row],[Riserve]]+Tabella7[[#This Row],[Capitale sociale]])*(p=1)</f>
        <v>0</v>
      </c>
      <c r="K32" s="39">
        <f>+Soci!H24</f>
        <v>0</v>
      </c>
      <c r="L32" s="37" t="str">
        <f>+IF(Tabella7[[#This Row],[Socio]]="","",MAX(0,Soci!F24-Tabella7[[#This Row],[Riserve]])+(p=3)*(Tabella7[[#This Row],[% Beni]]*DATI!$E$34))</f>
        <v/>
      </c>
      <c r="M32" s="37">
        <f>+(Tabella7[[#This Row],[Totale attribuito]]-Soci!F24)*((Tabella7[[#This Row],[Totale attribuito]]-Soci!F24)&gt;0)</f>
        <v>0</v>
      </c>
      <c r="N32" s="40">
        <f>+IFERROR((Tabella7[[#This Row],[Dividendi da "Sottozero"]]+Tabella7[[#This Row],[Utili]]*IR)*Tabella7[[#This Row],[% Imp. Div.]],0)*(p=1)</f>
        <v>0</v>
      </c>
      <c r="O32" s="35">
        <f>+Tabella7[[#This Row],[Totale Redditi]]*Soci!G24</f>
        <v>0</v>
      </c>
      <c r="P32" s="35">
        <f>+SUMIF(Assegnazione[Socio],Tabella7[[#This Row],[Socio]],Assegnazione[Valore Normale])</f>
        <v>0</v>
      </c>
      <c r="Q32" s="40">
        <f>+IFERROR(Tabella7[[#This Row],[Valore Normale attribuito]]/Tabella7[[#This Row],[% Cap]],0)*(p=1)</f>
        <v>0</v>
      </c>
      <c r="R32" s="35">
        <f>+IFERROR(MAX(Tabella7[Dividendo teorico distribuito])*Tabella7[[#This Row],[% Cap]]-Tabella7[[#This Row],[Valore Normale attribuito]],0)*(p=1)</f>
        <v>0</v>
      </c>
    </row>
    <row r="33" spans="1:18" x14ac:dyDescent="0.25">
      <c r="A33" s="33" t="str">
        <f>+IF(Soci!B25="","",Soci!B25)</f>
        <v/>
      </c>
      <c r="B33" s="34" t="str">
        <f>+IF(Tabella7[[#This Row],[Socio]]="","",Soci!E25)</f>
        <v/>
      </c>
      <c r="C3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3" s="36" t="str">
        <f>+IF(Tabella7[[#This Row],[Socio]]="","",Tabella7[[#This Row],[Netto assegnato (Costo fiscale del bene in capo al socio)]]/'Tassazione Soci'!$C$12)</f>
        <v/>
      </c>
      <c r="E33" s="41"/>
      <c r="F3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3" s="38">
        <f>+IF(Tabella7[[#This Row],[Socio]]="",0,'Tassazione Soci'!E$9*$B33)</f>
        <v>0</v>
      </c>
      <c r="J33" s="35">
        <f>+(Tabella7[[#This Row],[Riserve]]+Tabella7[[#This Row],[Capitale sociale]])*(p=1)</f>
        <v>0</v>
      </c>
      <c r="K33" s="39">
        <f>+Soci!H25</f>
        <v>0</v>
      </c>
      <c r="L33" s="37" t="str">
        <f>+IF(Tabella7[[#This Row],[Socio]]="","",MAX(0,Soci!F25-Tabella7[[#This Row],[Riserve]])+(p=3)*(Tabella7[[#This Row],[% Beni]]*DATI!$E$34))</f>
        <v/>
      </c>
      <c r="M33" s="37">
        <f>+(Tabella7[[#This Row],[Totale attribuito]]-Soci!F25)*((Tabella7[[#This Row],[Totale attribuito]]-Soci!F25)&gt;0)</f>
        <v>0</v>
      </c>
      <c r="N33" s="40">
        <f>+IFERROR((Tabella7[[#This Row],[Dividendi da "Sottozero"]]+Tabella7[[#This Row],[Utili]]*IR)*Tabella7[[#This Row],[% Imp. Div.]],0)*(p=1)</f>
        <v>0</v>
      </c>
      <c r="O33" s="35">
        <f>+Tabella7[[#This Row],[Totale Redditi]]*Soci!G25</f>
        <v>0</v>
      </c>
      <c r="P33" s="35">
        <f>+SUMIF(Assegnazione[Socio],Tabella7[[#This Row],[Socio]],Assegnazione[Valore Normale])</f>
        <v>0</v>
      </c>
      <c r="Q33" s="40">
        <f>+IFERROR(Tabella7[[#This Row],[Valore Normale attribuito]]/Tabella7[[#This Row],[% Cap]],0)*(p=1)</f>
        <v>0</v>
      </c>
      <c r="R33" s="35">
        <f>+IFERROR(MAX(Tabella7[Dividendo teorico distribuito])*Tabella7[[#This Row],[% Cap]]-Tabella7[[#This Row],[Valore Normale attribuito]],0)*(p=1)</f>
        <v>0</v>
      </c>
    </row>
    <row r="34" spans="1:18" x14ac:dyDescent="0.25">
      <c r="A34" s="33" t="str">
        <f>+IF(Soci!B26="","",Soci!B26)</f>
        <v/>
      </c>
      <c r="B34" s="34" t="str">
        <f>+IF(Tabella7[[#This Row],[Socio]]="","",Soci!E26)</f>
        <v/>
      </c>
      <c r="C3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4" s="36" t="str">
        <f>+IF(Tabella7[[#This Row],[Socio]]="","",Tabella7[[#This Row],[Netto assegnato (Costo fiscale del bene in capo al socio)]]/'Tassazione Soci'!$C$12)</f>
        <v/>
      </c>
      <c r="E34" s="41"/>
      <c r="F3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4" s="38">
        <f>+IF(Tabella7[[#This Row],[Socio]]="",0,'Tassazione Soci'!E$9*$B34)</f>
        <v>0</v>
      </c>
      <c r="J34" s="35">
        <f>+(Tabella7[[#This Row],[Riserve]]+Tabella7[[#This Row],[Capitale sociale]])*(p=1)</f>
        <v>0</v>
      </c>
      <c r="K34" s="39">
        <f>+Soci!H26</f>
        <v>0</v>
      </c>
      <c r="L34" s="37" t="str">
        <f>+IF(Tabella7[[#This Row],[Socio]]="","",MAX(0,Soci!F26-Tabella7[[#This Row],[Riserve]])+(p=3)*(Tabella7[[#This Row],[% Beni]]*DATI!$E$34))</f>
        <v/>
      </c>
      <c r="M34" s="37">
        <f>+(Tabella7[[#This Row],[Totale attribuito]]-Soci!F26)*((Tabella7[[#This Row],[Totale attribuito]]-Soci!F26)&gt;0)</f>
        <v>0</v>
      </c>
      <c r="N34" s="40">
        <f>+IFERROR((Tabella7[[#This Row],[Dividendi da "Sottozero"]]+Tabella7[[#This Row],[Utili]]*IR)*Tabella7[[#This Row],[% Imp. Div.]],0)*(p=1)</f>
        <v>0</v>
      </c>
      <c r="O34" s="35">
        <f>+Tabella7[[#This Row],[Totale Redditi]]*Soci!G26</f>
        <v>0</v>
      </c>
      <c r="P34" s="35">
        <f>+SUMIF(Assegnazione[Socio],Tabella7[[#This Row],[Socio]],Assegnazione[Valore Normale])</f>
        <v>0</v>
      </c>
      <c r="Q34" s="40">
        <f>+IFERROR(Tabella7[[#This Row],[Valore Normale attribuito]]/Tabella7[[#This Row],[% Cap]],0)*(p=1)</f>
        <v>0</v>
      </c>
      <c r="R34" s="35">
        <f>+IFERROR(MAX(Tabella7[Dividendo teorico distribuito])*Tabella7[[#This Row],[% Cap]]-Tabella7[[#This Row],[Valore Normale attribuito]],0)*(p=1)</f>
        <v>0</v>
      </c>
    </row>
    <row r="35" spans="1:18" x14ac:dyDescent="0.25">
      <c r="A35" s="33" t="str">
        <f>+IF(Soci!B27="","",Soci!B27)</f>
        <v/>
      </c>
      <c r="B35" s="34" t="str">
        <f>+IF(Tabella7[[#This Row],[Socio]]="","",Soci!E27)</f>
        <v/>
      </c>
      <c r="C3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5" s="36" t="str">
        <f>+IF(Tabella7[[#This Row],[Socio]]="","",Tabella7[[#This Row],[Netto assegnato (Costo fiscale del bene in capo al socio)]]/'Tassazione Soci'!$C$12)</f>
        <v/>
      </c>
      <c r="E35" s="41"/>
      <c r="F3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5" s="38">
        <f>+IF(Tabella7[[#This Row],[Socio]]="",0,'Tassazione Soci'!E$9*$B35)</f>
        <v>0</v>
      </c>
      <c r="J35" s="35">
        <f>+(Tabella7[[#This Row],[Riserve]]+Tabella7[[#This Row],[Capitale sociale]])*(p=1)</f>
        <v>0</v>
      </c>
      <c r="K35" s="39">
        <f>+Soci!H27</f>
        <v>0</v>
      </c>
      <c r="L35" s="37" t="str">
        <f>+IF(Tabella7[[#This Row],[Socio]]="","",MAX(0,Soci!F27-Tabella7[[#This Row],[Riserve]])+(p=3)*(Tabella7[[#This Row],[% Beni]]*DATI!$E$34))</f>
        <v/>
      </c>
      <c r="M35" s="37">
        <f>+(Tabella7[[#This Row],[Totale attribuito]]-Soci!F27)*((Tabella7[[#This Row],[Totale attribuito]]-Soci!F27)&gt;0)</f>
        <v>0</v>
      </c>
      <c r="N35" s="40">
        <f>+IFERROR((Tabella7[[#This Row],[Dividendi da "Sottozero"]]+Tabella7[[#This Row],[Utili]]*IR)*Tabella7[[#This Row],[% Imp. Div.]],0)*(p=1)</f>
        <v>0</v>
      </c>
      <c r="O35" s="35">
        <f>+Tabella7[[#This Row],[Totale Redditi]]*Soci!G27</f>
        <v>0</v>
      </c>
      <c r="P35" s="35">
        <f>+SUMIF(Assegnazione[Socio],Tabella7[[#This Row],[Socio]],Assegnazione[Valore Normale])</f>
        <v>0</v>
      </c>
      <c r="Q35" s="40">
        <f>+IFERROR(Tabella7[[#This Row],[Valore Normale attribuito]]/Tabella7[[#This Row],[% Cap]],0)*(p=1)</f>
        <v>0</v>
      </c>
      <c r="R35" s="35">
        <f>+IFERROR(MAX(Tabella7[Dividendo teorico distribuito])*Tabella7[[#This Row],[% Cap]]-Tabella7[[#This Row],[Valore Normale attribuito]],0)*(p=1)</f>
        <v>0</v>
      </c>
    </row>
    <row r="36" spans="1:18" x14ac:dyDescent="0.25">
      <c r="A36" s="33" t="str">
        <f>+IF(Soci!B28="","",Soci!B28)</f>
        <v/>
      </c>
      <c r="B36" s="34" t="str">
        <f>+IF(Tabella7[[#This Row],[Socio]]="","",Soci!E28)</f>
        <v/>
      </c>
      <c r="C3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6" s="36" t="str">
        <f>+IF(Tabella7[[#This Row],[Socio]]="","",Tabella7[[#This Row],[Netto assegnato (Costo fiscale del bene in capo al socio)]]/'Tassazione Soci'!$C$12)</f>
        <v/>
      </c>
      <c r="E36" s="41"/>
      <c r="F3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6" s="38">
        <f>+IF(Tabella7[[#This Row],[Socio]]="",0,'Tassazione Soci'!E$9*$B36)</f>
        <v>0</v>
      </c>
      <c r="J36" s="35">
        <f>+(Tabella7[[#This Row],[Riserve]]+Tabella7[[#This Row],[Capitale sociale]])*(p=1)</f>
        <v>0</v>
      </c>
      <c r="K36" s="39">
        <f>+Soci!H28</f>
        <v>0</v>
      </c>
      <c r="L36" s="37" t="str">
        <f>+IF(Tabella7[[#This Row],[Socio]]="","",MAX(0,Soci!F28-Tabella7[[#This Row],[Riserve]])+(p=3)*(Tabella7[[#This Row],[% Beni]]*DATI!$E$34))</f>
        <v/>
      </c>
      <c r="M36" s="37">
        <f>+(Tabella7[[#This Row],[Totale attribuito]]-Soci!F28)*((Tabella7[[#This Row],[Totale attribuito]]-Soci!F28)&gt;0)</f>
        <v>0</v>
      </c>
      <c r="N36" s="40">
        <f>+IFERROR((Tabella7[[#This Row],[Dividendi da "Sottozero"]]+Tabella7[[#This Row],[Utili]]*IR)*Tabella7[[#This Row],[% Imp. Div.]],0)*(p=1)</f>
        <v>0</v>
      </c>
      <c r="O36" s="35">
        <f>+Tabella7[[#This Row],[Totale Redditi]]*Soci!G28</f>
        <v>0</v>
      </c>
      <c r="P36" s="35">
        <f>+SUMIF(Assegnazione[Socio],Tabella7[[#This Row],[Socio]],Assegnazione[Valore Normale])</f>
        <v>0</v>
      </c>
      <c r="Q36" s="40">
        <f>+IFERROR(Tabella7[[#This Row],[Valore Normale attribuito]]/Tabella7[[#This Row],[% Cap]],0)*(p=1)</f>
        <v>0</v>
      </c>
      <c r="R36" s="35">
        <f>+IFERROR(MAX(Tabella7[Dividendo teorico distribuito])*Tabella7[[#This Row],[% Cap]]-Tabella7[[#This Row],[Valore Normale attribuito]],0)*(p=1)</f>
        <v>0</v>
      </c>
    </row>
    <row r="37" spans="1:18" x14ac:dyDescent="0.25">
      <c r="A37" s="33" t="str">
        <f>+IF(Soci!B29="","",Soci!B29)</f>
        <v/>
      </c>
      <c r="B37" s="34" t="str">
        <f>+IF(Tabella7[[#This Row],[Socio]]="","",Soci!E29)</f>
        <v/>
      </c>
      <c r="C3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7" s="36" t="str">
        <f>+IF(Tabella7[[#This Row],[Socio]]="","",Tabella7[[#This Row],[Netto assegnato (Costo fiscale del bene in capo al socio)]]/'Tassazione Soci'!$C$12)</f>
        <v/>
      </c>
      <c r="E37" s="41"/>
      <c r="F3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7" s="38">
        <f>+IF(Tabella7[[#This Row],[Socio]]="",0,'Tassazione Soci'!E$9*$B37)</f>
        <v>0</v>
      </c>
      <c r="J37" s="35">
        <f>+(Tabella7[[#This Row],[Riserve]]+Tabella7[[#This Row],[Capitale sociale]])*(p=1)</f>
        <v>0</v>
      </c>
      <c r="K37" s="39">
        <f>+Soci!H29</f>
        <v>0</v>
      </c>
      <c r="L37" s="37" t="str">
        <f>+IF(Tabella7[[#This Row],[Socio]]="","",MAX(0,Soci!F29-Tabella7[[#This Row],[Riserve]])+(p=3)*(Tabella7[[#This Row],[% Beni]]*DATI!$E$34))</f>
        <v/>
      </c>
      <c r="M37" s="37">
        <f>+(Tabella7[[#This Row],[Totale attribuito]]-Soci!F29)*((Tabella7[[#This Row],[Totale attribuito]]-Soci!F29)&gt;0)</f>
        <v>0</v>
      </c>
      <c r="N37" s="40">
        <f>+IFERROR((Tabella7[[#This Row],[Dividendi da "Sottozero"]]+Tabella7[[#This Row],[Utili]]*IR)*Tabella7[[#This Row],[% Imp. Div.]],0)*(p=1)</f>
        <v>0</v>
      </c>
      <c r="O37" s="35">
        <f>+Tabella7[[#This Row],[Totale Redditi]]*Soci!G29</f>
        <v>0</v>
      </c>
      <c r="P37" s="35">
        <f>+SUMIF(Assegnazione[Socio],Tabella7[[#This Row],[Socio]],Assegnazione[Valore Normale])</f>
        <v>0</v>
      </c>
      <c r="Q37" s="40">
        <f>+IFERROR(Tabella7[[#This Row],[Valore Normale attribuito]]/Tabella7[[#This Row],[% Cap]],0)*(p=1)</f>
        <v>0</v>
      </c>
      <c r="R37" s="35">
        <f>+IFERROR(MAX(Tabella7[Dividendo teorico distribuito])*Tabella7[[#This Row],[% Cap]]-Tabella7[[#This Row],[Valore Normale attribuito]],0)*(p=1)</f>
        <v>0</v>
      </c>
    </row>
    <row r="38" spans="1:18" x14ac:dyDescent="0.25">
      <c r="A38" s="33" t="str">
        <f>+IF(Soci!B30="","",Soci!B30)</f>
        <v/>
      </c>
      <c r="B38" s="34" t="str">
        <f>+IF(Tabella7[[#This Row],[Socio]]="","",Soci!E30)</f>
        <v/>
      </c>
      <c r="C3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8" s="36" t="str">
        <f>+IF(Tabella7[[#This Row],[Socio]]="","",Tabella7[[#This Row],[Netto assegnato (Costo fiscale del bene in capo al socio)]]/'Tassazione Soci'!$C$12)</f>
        <v/>
      </c>
      <c r="E38" s="41"/>
      <c r="F3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8" s="38">
        <f>+IF(Tabella7[[#This Row],[Socio]]="",0,'Tassazione Soci'!E$9*$B38)</f>
        <v>0</v>
      </c>
      <c r="J38" s="35">
        <f>+(Tabella7[[#This Row],[Riserve]]+Tabella7[[#This Row],[Capitale sociale]])*(p=1)</f>
        <v>0</v>
      </c>
      <c r="K38" s="39">
        <f>+Soci!H30</f>
        <v>0</v>
      </c>
      <c r="L38" s="37" t="str">
        <f>+IF(Tabella7[[#This Row],[Socio]]="","",MAX(0,Soci!F30-Tabella7[[#This Row],[Riserve]])+(p=3)*(Tabella7[[#This Row],[% Beni]]*DATI!$E$34))</f>
        <v/>
      </c>
      <c r="M38" s="37">
        <f>+(Tabella7[[#This Row],[Totale attribuito]]-Soci!F30)*((Tabella7[[#This Row],[Totale attribuito]]-Soci!F30)&gt;0)</f>
        <v>0</v>
      </c>
      <c r="N38" s="40">
        <f>+IFERROR((Tabella7[[#This Row],[Dividendi da "Sottozero"]]+Tabella7[[#This Row],[Utili]]*IR)*Tabella7[[#This Row],[% Imp. Div.]],0)*(p=1)</f>
        <v>0</v>
      </c>
      <c r="O38" s="35">
        <f>+Tabella7[[#This Row],[Totale Redditi]]*Soci!G30</f>
        <v>0</v>
      </c>
      <c r="P38" s="35">
        <f>+SUMIF(Assegnazione[Socio],Tabella7[[#This Row],[Socio]],Assegnazione[Valore Normale])</f>
        <v>0</v>
      </c>
      <c r="Q38" s="40">
        <f>+IFERROR(Tabella7[[#This Row],[Valore Normale attribuito]]/Tabella7[[#This Row],[% Cap]],0)*(p=1)</f>
        <v>0</v>
      </c>
      <c r="R38" s="35">
        <f>+IFERROR(MAX(Tabella7[Dividendo teorico distribuito])*Tabella7[[#This Row],[% Cap]]-Tabella7[[#This Row],[Valore Normale attribuito]],0)*(p=1)</f>
        <v>0</v>
      </c>
    </row>
    <row r="39" spans="1:18" x14ac:dyDescent="0.25">
      <c r="A39" s="33" t="str">
        <f>+IF(Soci!B31="","",Soci!B31)</f>
        <v/>
      </c>
      <c r="B39" s="34" t="str">
        <f>+IF(Tabella7[[#This Row],[Socio]]="","",Soci!E31)</f>
        <v/>
      </c>
      <c r="C3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9" s="36" t="str">
        <f>+IF(Tabella7[[#This Row],[Socio]]="","",Tabella7[[#This Row],[Netto assegnato (Costo fiscale del bene in capo al socio)]]/'Tassazione Soci'!$C$12)</f>
        <v/>
      </c>
      <c r="E39" s="41"/>
      <c r="F3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9" s="38">
        <f>+IF(Tabella7[[#This Row],[Socio]]="",0,'Tassazione Soci'!E$9*$B39)</f>
        <v>0</v>
      </c>
      <c r="J39" s="35">
        <f>+(Tabella7[[#This Row],[Riserve]]+Tabella7[[#This Row],[Capitale sociale]])*(p=1)</f>
        <v>0</v>
      </c>
      <c r="K39" s="39">
        <f>+Soci!H31</f>
        <v>0</v>
      </c>
      <c r="L39" s="37" t="str">
        <f>+IF(Tabella7[[#This Row],[Socio]]="","",MAX(0,Soci!F31-Tabella7[[#This Row],[Riserve]])+(p=3)*(Tabella7[[#This Row],[% Beni]]*DATI!$E$34))</f>
        <v/>
      </c>
      <c r="M39" s="37">
        <f>+(Tabella7[[#This Row],[Totale attribuito]]-Soci!F31)*((Tabella7[[#This Row],[Totale attribuito]]-Soci!F31)&gt;0)</f>
        <v>0</v>
      </c>
      <c r="N39" s="40">
        <f>+IFERROR((Tabella7[[#This Row],[Dividendi da "Sottozero"]]+Tabella7[[#This Row],[Utili]]*IR)*Tabella7[[#This Row],[% Imp. Div.]],0)*(p=1)</f>
        <v>0</v>
      </c>
      <c r="O39" s="35">
        <f>+Tabella7[[#This Row],[Totale Redditi]]*Soci!G31</f>
        <v>0</v>
      </c>
      <c r="P39" s="35">
        <f>+SUMIF(Assegnazione[Socio],Tabella7[[#This Row],[Socio]],Assegnazione[Valore Normale])</f>
        <v>0</v>
      </c>
      <c r="Q39" s="40">
        <f>+IFERROR(Tabella7[[#This Row],[Valore Normale attribuito]]/Tabella7[[#This Row],[% Cap]],0)*(p=1)</f>
        <v>0</v>
      </c>
      <c r="R39" s="35">
        <f>+IFERROR(MAX(Tabella7[Dividendo teorico distribuito])*Tabella7[[#This Row],[% Cap]]-Tabella7[[#This Row],[Valore Normale attribuito]],0)*(p=1)</f>
        <v>0</v>
      </c>
    </row>
    <row r="40" spans="1:18" x14ac:dyDescent="0.25">
      <c r="A40" s="33" t="str">
        <f>+IF(Soci!B32="","",Soci!B32)</f>
        <v/>
      </c>
      <c r="B40" s="34" t="str">
        <f>+IF(Tabella7[[#This Row],[Socio]]="","",Soci!E32)</f>
        <v/>
      </c>
      <c r="C4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0" s="36" t="str">
        <f>+IF(Tabella7[[#This Row],[Socio]]="","",Tabella7[[#This Row],[Netto assegnato (Costo fiscale del bene in capo al socio)]]/'Tassazione Soci'!$C$12)</f>
        <v/>
      </c>
      <c r="E40" s="41"/>
      <c r="F4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0" s="38">
        <f>+IF(Tabella7[[#This Row],[Socio]]="",0,'Tassazione Soci'!E$9*$B40)</f>
        <v>0</v>
      </c>
      <c r="J40" s="35">
        <f>+(Tabella7[[#This Row],[Riserve]]+Tabella7[[#This Row],[Capitale sociale]])*(p=1)</f>
        <v>0</v>
      </c>
      <c r="K40" s="39">
        <f>+Soci!H32</f>
        <v>0</v>
      </c>
      <c r="L40" s="37" t="str">
        <f>+IF(Tabella7[[#This Row],[Socio]]="","",MAX(0,Soci!F32-Tabella7[[#This Row],[Riserve]])+(p=3)*(Tabella7[[#This Row],[% Beni]]*DATI!$E$34))</f>
        <v/>
      </c>
      <c r="M40" s="37">
        <f>+(Tabella7[[#This Row],[Totale attribuito]]-Soci!F32)*((Tabella7[[#This Row],[Totale attribuito]]-Soci!F32)&gt;0)</f>
        <v>0</v>
      </c>
      <c r="N40" s="40">
        <f>+IFERROR((Tabella7[[#This Row],[Dividendi da "Sottozero"]]+Tabella7[[#This Row],[Utili]]*IR)*Tabella7[[#This Row],[% Imp. Div.]],0)*(p=1)</f>
        <v>0</v>
      </c>
      <c r="O40" s="35">
        <f>+Tabella7[[#This Row],[Totale Redditi]]*Soci!G32</f>
        <v>0</v>
      </c>
      <c r="P40" s="35">
        <f>+SUMIF(Assegnazione[Socio],Tabella7[[#This Row],[Socio]],Assegnazione[Valore Normale])</f>
        <v>0</v>
      </c>
      <c r="Q40" s="40">
        <f>+IFERROR(Tabella7[[#This Row],[Valore Normale attribuito]]/Tabella7[[#This Row],[% Cap]],0)*(p=1)</f>
        <v>0</v>
      </c>
      <c r="R40" s="35">
        <f>+IFERROR(MAX(Tabella7[Dividendo teorico distribuito])*Tabella7[[#This Row],[% Cap]]-Tabella7[[#This Row],[Valore Normale attribuito]],0)*(p=1)</f>
        <v>0</v>
      </c>
    </row>
    <row r="41" spans="1:18" x14ac:dyDescent="0.25">
      <c r="A41" s="33" t="str">
        <f>+IF(Soci!B33="","",Soci!B33)</f>
        <v/>
      </c>
      <c r="B41" s="34" t="str">
        <f>+IF(Tabella7[[#This Row],[Socio]]="","",Soci!E33)</f>
        <v/>
      </c>
      <c r="C4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1" s="36" t="str">
        <f>+IF(Tabella7[[#This Row],[Socio]]="","",Tabella7[[#This Row],[Netto assegnato (Costo fiscale del bene in capo al socio)]]/'Tassazione Soci'!$C$12)</f>
        <v/>
      </c>
      <c r="E41" s="41"/>
      <c r="F4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1" s="38">
        <f>+IF(Tabella7[[#This Row],[Socio]]="",0,'Tassazione Soci'!E$9*$B41)</f>
        <v>0</v>
      </c>
      <c r="J41" s="35">
        <f>+(Tabella7[[#This Row],[Riserve]]+Tabella7[[#This Row],[Capitale sociale]])*(p=1)</f>
        <v>0</v>
      </c>
      <c r="K41" s="39">
        <f>+Soci!H33</f>
        <v>0</v>
      </c>
      <c r="L41" s="37" t="str">
        <f>+IF(Tabella7[[#This Row],[Socio]]="","",MAX(0,Soci!F33-Tabella7[[#This Row],[Riserve]])+(p=3)*(Tabella7[[#This Row],[% Beni]]*DATI!$E$34))</f>
        <v/>
      </c>
      <c r="M41" s="37">
        <f>+(Tabella7[[#This Row],[Totale attribuito]]-Soci!F33)*((Tabella7[[#This Row],[Totale attribuito]]-Soci!F33)&gt;0)</f>
        <v>0</v>
      </c>
      <c r="N41" s="40">
        <f>+IFERROR((Tabella7[[#This Row],[Dividendi da "Sottozero"]]+Tabella7[[#This Row],[Utili]]*IR)*Tabella7[[#This Row],[% Imp. Div.]],0)*(p=1)</f>
        <v>0</v>
      </c>
      <c r="O41" s="35">
        <f>+Tabella7[[#This Row],[Totale Redditi]]*Soci!G33</f>
        <v>0</v>
      </c>
      <c r="P41" s="35">
        <f>+SUMIF(Assegnazione[Socio],Tabella7[[#This Row],[Socio]],Assegnazione[Valore Normale])</f>
        <v>0</v>
      </c>
      <c r="Q41" s="40">
        <f>+IFERROR(Tabella7[[#This Row],[Valore Normale attribuito]]/Tabella7[[#This Row],[% Cap]],0)*(p=1)</f>
        <v>0</v>
      </c>
      <c r="R41" s="35">
        <f>+IFERROR(MAX(Tabella7[Dividendo teorico distribuito])*Tabella7[[#This Row],[% Cap]]-Tabella7[[#This Row],[Valore Normale attribuito]],0)*(p=1)</f>
        <v>0</v>
      </c>
    </row>
    <row r="42" spans="1:18" x14ac:dyDescent="0.25">
      <c r="A42" s="33" t="str">
        <f>+IF(Soci!B34="","",Soci!B34)</f>
        <v/>
      </c>
      <c r="B42" s="34" t="str">
        <f>+IF(Tabella7[[#This Row],[Socio]]="","",Soci!E34)</f>
        <v/>
      </c>
      <c r="C4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2" s="36" t="str">
        <f>+IF(Tabella7[[#This Row],[Socio]]="","",Tabella7[[#This Row],[Netto assegnato (Costo fiscale del bene in capo al socio)]]/'Tassazione Soci'!$C$12)</f>
        <v/>
      </c>
      <c r="E42" s="41"/>
      <c r="F4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2" s="38">
        <f>+IF(Tabella7[[#This Row],[Socio]]="",0,'Tassazione Soci'!E$9*$B42)</f>
        <v>0</v>
      </c>
      <c r="J42" s="35">
        <f>+(Tabella7[[#This Row],[Riserve]]+Tabella7[[#This Row],[Capitale sociale]])*(p=1)</f>
        <v>0</v>
      </c>
      <c r="K42" s="39">
        <f>+Soci!H34</f>
        <v>0</v>
      </c>
      <c r="L42" s="37" t="str">
        <f>+IF(Tabella7[[#This Row],[Socio]]="","",MAX(0,Soci!F34-Tabella7[[#This Row],[Riserve]])+(p=3)*(Tabella7[[#This Row],[% Beni]]*DATI!$E$34))</f>
        <v/>
      </c>
      <c r="M42" s="37">
        <f>+(Tabella7[[#This Row],[Totale attribuito]]-Soci!F34)*((Tabella7[[#This Row],[Totale attribuito]]-Soci!F34)&gt;0)</f>
        <v>0</v>
      </c>
      <c r="N42" s="40">
        <f>+IFERROR((Tabella7[[#This Row],[Dividendi da "Sottozero"]]+Tabella7[[#This Row],[Utili]]*IR)*Tabella7[[#This Row],[% Imp. Div.]],0)*(p=1)</f>
        <v>0</v>
      </c>
      <c r="O42" s="35">
        <f>+Tabella7[[#This Row],[Totale Redditi]]*Soci!G34</f>
        <v>0</v>
      </c>
      <c r="P42" s="35">
        <f>+SUMIF(Assegnazione[Socio],Tabella7[[#This Row],[Socio]],Assegnazione[Valore Normale])</f>
        <v>0</v>
      </c>
      <c r="Q42" s="40">
        <f>+IFERROR(Tabella7[[#This Row],[Valore Normale attribuito]]/Tabella7[[#This Row],[% Cap]],0)*(p=1)</f>
        <v>0</v>
      </c>
      <c r="R42" s="35">
        <f>+IFERROR(MAX(Tabella7[Dividendo teorico distribuito])*Tabella7[[#This Row],[% Cap]]-Tabella7[[#This Row],[Valore Normale attribuito]],0)*(p=1)</f>
        <v>0</v>
      </c>
    </row>
    <row r="43" spans="1:18" x14ac:dyDescent="0.25">
      <c r="A43" s="33" t="str">
        <f>+IF(Soci!B35="","",Soci!B35)</f>
        <v/>
      </c>
      <c r="B43" s="34" t="str">
        <f>+IF(Tabella7[[#This Row],[Socio]]="","",Soci!E35)</f>
        <v/>
      </c>
      <c r="C4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3" s="36" t="str">
        <f>+IF(Tabella7[[#This Row],[Socio]]="","",Tabella7[[#This Row],[Netto assegnato (Costo fiscale del bene in capo al socio)]]/'Tassazione Soci'!$C$12)</f>
        <v/>
      </c>
      <c r="E43" s="41"/>
      <c r="F4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3" s="38">
        <f>+IF(Tabella7[[#This Row],[Socio]]="",0,'Tassazione Soci'!E$9*$B43)</f>
        <v>0</v>
      </c>
      <c r="J43" s="35">
        <f>+(Tabella7[[#This Row],[Riserve]]+Tabella7[[#This Row],[Capitale sociale]])*(p=1)</f>
        <v>0</v>
      </c>
      <c r="K43" s="39">
        <f>+Soci!H35</f>
        <v>0</v>
      </c>
      <c r="L43" s="37" t="str">
        <f>+IF(Tabella7[[#This Row],[Socio]]="","",MAX(0,Soci!F35-Tabella7[[#This Row],[Riserve]])+(p=3)*(Tabella7[[#This Row],[% Beni]]*DATI!$E$34))</f>
        <v/>
      </c>
      <c r="M43" s="37">
        <f>+(Tabella7[[#This Row],[Totale attribuito]]-Soci!F35)*((Tabella7[[#This Row],[Totale attribuito]]-Soci!F35)&gt;0)</f>
        <v>0</v>
      </c>
      <c r="N43" s="40">
        <f>+IFERROR((Tabella7[[#This Row],[Dividendi da "Sottozero"]]+Tabella7[[#This Row],[Utili]]*IR)*Tabella7[[#This Row],[% Imp. Div.]],0)*(p=1)</f>
        <v>0</v>
      </c>
      <c r="O43" s="35">
        <f>+Tabella7[[#This Row],[Totale Redditi]]*Soci!G35</f>
        <v>0</v>
      </c>
      <c r="P43" s="35">
        <f>+SUMIF(Assegnazione[Socio],Tabella7[[#This Row],[Socio]],Assegnazione[Valore Normale])</f>
        <v>0</v>
      </c>
      <c r="Q43" s="40">
        <f>+IFERROR(Tabella7[[#This Row],[Valore Normale attribuito]]/Tabella7[[#This Row],[% Cap]],0)*(p=1)</f>
        <v>0</v>
      </c>
      <c r="R43" s="35">
        <f>+IFERROR(MAX(Tabella7[Dividendo teorico distribuito])*Tabella7[[#This Row],[% Cap]]-Tabella7[[#This Row],[Valore Normale attribuito]],0)*(p=1)</f>
        <v>0</v>
      </c>
    </row>
    <row r="44" spans="1:18" x14ac:dyDescent="0.25">
      <c r="A44" s="33" t="str">
        <f>+IF(Soci!B36="","",Soci!B36)</f>
        <v/>
      </c>
      <c r="B44" s="34" t="str">
        <f>+IF(Tabella7[[#This Row],[Socio]]="","",Soci!E36)</f>
        <v/>
      </c>
      <c r="C4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4" s="36" t="str">
        <f>+IF(Tabella7[[#This Row],[Socio]]="","",Tabella7[[#This Row],[Netto assegnato (Costo fiscale del bene in capo al socio)]]/'Tassazione Soci'!$C$12)</f>
        <v/>
      </c>
      <c r="E44" s="41"/>
      <c r="F4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4" s="38">
        <f>+IF(Tabella7[[#This Row],[Socio]]="",0,'Tassazione Soci'!E$9*$B44)</f>
        <v>0</v>
      </c>
      <c r="J44" s="35">
        <f>+(Tabella7[[#This Row],[Riserve]]+Tabella7[[#This Row],[Capitale sociale]])*(p=1)</f>
        <v>0</v>
      </c>
      <c r="K44" s="39">
        <f>+Soci!H36</f>
        <v>0</v>
      </c>
      <c r="L44" s="37" t="str">
        <f>+IF(Tabella7[[#This Row],[Socio]]="","",MAX(0,Soci!F36-Tabella7[[#This Row],[Riserve]])+(p=3)*(Tabella7[[#This Row],[% Beni]]*DATI!$E$34))</f>
        <v/>
      </c>
      <c r="M44" s="37">
        <f>+(Tabella7[[#This Row],[Totale attribuito]]-Soci!F36)*((Tabella7[[#This Row],[Totale attribuito]]-Soci!F36)&gt;0)</f>
        <v>0</v>
      </c>
      <c r="N44" s="40">
        <f>+IFERROR((Tabella7[[#This Row],[Dividendi da "Sottozero"]]+Tabella7[[#This Row],[Utili]]*IR)*Tabella7[[#This Row],[% Imp. Div.]],0)*(p=1)</f>
        <v>0</v>
      </c>
      <c r="O44" s="35">
        <f>+Tabella7[[#This Row],[Totale Redditi]]*Soci!G36</f>
        <v>0</v>
      </c>
      <c r="P44" s="35">
        <f>+SUMIF(Assegnazione[Socio],Tabella7[[#This Row],[Socio]],Assegnazione[Valore Normale])</f>
        <v>0</v>
      </c>
      <c r="Q44" s="40">
        <f>+IFERROR(Tabella7[[#This Row],[Valore Normale attribuito]]/Tabella7[[#This Row],[% Cap]],0)*(p=1)</f>
        <v>0</v>
      </c>
      <c r="R44" s="35">
        <f>+IFERROR(MAX(Tabella7[Dividendo teorico distribuito])*Tabella7[[#This Row],[% Cap]]-Tabella7[[#This Row],[Valore Normale attribuito]],0)*(p=1)</f>
        <v>0</v>
      </c>
    </row>
    <row r="45" spans="1:18" x14ac:dyDescent="0.25">
      <c r="A45" s="33" t="str">
        <f>+IF(Soci!B37="","",Soci!B37)</f>
        <v/>
      </c>
      <c r="B45" s="34" t="str">
        <f>+IF(Tabella7[[#This Row],[Socio]]="","",Soci!E37)</f>
        <v/>
      </c>
      <c r="C4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5" s="36" t="str">
        <f>+IF(Tabella7[[#This Row],[Socio]]="","",Tabella7[[#This Row],[Netto assegnato (Costo fiscale del bene in capo al socio)]]/'Tassazione Soci'!$C$12)</f>
        <v/>
      </c>
      <c r="E45" s="41"/>
      <c r="F4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5" s="38">
        <f>+IF(Tabella7[[#This Row],[Socio]]="",0,'Tassazione Soci'!E$9*$B45)</f>
        <v>0</v>
      </c>
      <c r="J45" s="35">
        <f>+(Tabella7[[#This Row],[Riserve]]+Tabella7[[#This Row],[Capitale sociale]])*(p=1)</f>
        <v>0</v>
      </c>
      <c r="K45" s="39">
        <f>+Soci!H37</f>
        <v>0</v>
      </c>
      <c r="L45" s="37" t="str">
        <f>+IF(Tabella7[[#This Row],[Socio]]="","",MAX(0,Soci!F37-Tabella7[[#This Row],[Riserve]])+(p=3)*(Tabella7[[#This Row],[% Beni]]*DATI!$E$34))</f>
        <v/>
      </c>
      <c r="M45" s="37">
        <f>+(Tabella7[[#This Row],[Totale attribuito]]-Soci!F37)*((Tabella7[[#This Row],[Totale attribuito]]-Soci!F37)&gt;0)</f>
        <v>0</v>
      </c>
      <c r="N45" s="40">
        <f>+IFERROR((Tabella7[[#This Row],[Dividendi da "Sottozero"]]+Tabella7[[#This Row],[Utili]]*IR)*Tabella7[[#This Row],[% Imp. Div.]],0)*(p=1)</f>
        <v>0</v>
      </c>
      <c r="O45" s="35">
        <f>+Tabella7[[#This Row],[Totale Redditi]]*Soci!G37</f>
        <v>0</v>
      </c>
      <c r="P45" s="35">
        <f>+SUMIF(Assegnazione[Socio],Tabella7[[#This Row],[Socio]],Assegnazione[Valore Normale])</f>
        <v>0</v>
      </c>
      <c r="Q45" s="40">
        <f>+IFERROR(Tabella7[[#This Row],[Valore Normale attribuito]]/Tabella7[[#This Row],[% Cap]],0)*(p=1)</f>
        <v>0</v>
      </c>
      <c r="R45" s="35">
        <f>+IFERROR(MAX(Tabella7[Dividendo teorico distribuito])*Tabella7[[#This Row],[% Cap]]-Tabella7[[#This Row],[Valore Normale attribuito]],0)*(p=1)</f>
        <v>0</v>
      </c>
    </row>
    <row r="46" spans="1:18" x14ac:dyDescent="0.25">
      <c r="A46" s="33" t="str">
        <f>+IF(Soci!B38="","",Soci!B38)</f>
        <v/>
      </c>
      <c r="B46" s="34" t="str">
        <f>+IF(Tabella7[[#This Row],[Socio]]="","",Soci!E38)</f>
        <v/>
      </c>
      <c r="C4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6" s="36" t="str">
        <f>+IF(Tabella7[[#This Row],[Socio]]="","",Tabella7[[#This Row],[Netto assegnato (Costo fiscale del bene in capo al socio)]]/'Tassazione Soci'!$C$12)</f>
        <v/>
      </c>
      <c r="E46" s="41"/>
      <c r="F4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6" s="38">
        <f>+IF(Tabella7[[#This Row],[Socio]]="",0,'Tassazione Soci'!E$9*$B46)</f>
        <v>0</v>
      </c>
      <c r="J46" s="35">
        <f>+(Tabella7[[#This Row],[Riserve]]+Tabella7[[#This Row],[Capitale sociale]])*(p=1)</f>
        <v>0</v>
      </c>
      <c r="K46" s="39">
        <f>+Soci!H38</f>
        <v>0</v>
      </c>
      <c r="L46" s="37" t="str">
        <f>+IF(Tabella7[[#This Row],[Socio]]="","",MAX(0,Soci!F38-Tabella7[[#This Row],[Riserve]])+(p=3)*(Tabella7[[#This Row],[% Beni]]*DATI!$E$34))</f>
        <v/>
      </c>
      <c r="M46" s="37">
        <f>+(Tabella7[[#This Row],[Totale attribuito]]-Soci!F38)*((Tabella7[[#This Row],[Totale attribuito]]-Soci!F38)&gt;0)</f>
        <v>0</v>
      </c>
      <c r="N46" s="40">
        <f>+IFERROR((Tabella7[[#This Row],[Dividendi da "Sottozero"]]+Tabella7[[#This Row],[Utili]]*IR)*Tabella7[[#This Row],[% Imp. Div.]],0)*(p=1)</f>
        <v>0</v>
      </c>
      <c r="O46" s="35">
        <f>+Tabella7[[#This Row],[Totale Redditi]]*Soci!G38</f>
        <v>0</v>
      </c>
      <c r="P46" s="35">
        <f>+SUMIF(Assegnazione[Socio],Tabella7[[#This Row],[Socio]],Assegnazione[Valore Normale])</f>
        <v>0</v>
      </c>
      <c r="Q46" s="40">
        <f>+IFERROR(Tabella7[[#This Row],[Valore Normale attribuito]]/Tabella7[[#This Row],[% Cap]],0)*(p=1)</f>
        <v>0</v>
      </c>
      <c r="R46" s="35">
        <f>+IFERROR(MAX(Tabella7[Dividendo teorico distribuito])*Tabella7[[#This Row],[% Cap]]-Tabella7[[#This Row],[Valore Normale attribuito]],0)*(p=1)</f>
        <v>0</v>
      </c>
    </row>
    <row r="47" spans="1:18" x14ac:dyDescent="0.25">
      <c r="A47" s="33" t="str">
        <f>+IF(Soci!B39="","",Soci!B39)</f>
        <v/>
      </c>
      <c r="B47" s="34" t="str">
        <f>+IF(Tabella7[[#This Row],[Socio]]="","",Soci!E39)</f>
        <v/>
      </c>
      <c r="C4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7" s="36" t="str">
        <f>+IF(Tabella7[[#This Row],[Socio]]="","",Tabella7[[#This Row],[Netto assegnato (Costo fiscale del bene in capo al socio)]]/'Tassazione Soci'!$C$12)</f>
        <v/>
      </c>
      <c r="E47" s="41"/>
      <c r="F4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7" s="38">
        <f>+IF(Tabella7[[#This Row],[Socio]]="",0,'Tassazione Soci'!E$9*$B47)</f>
        <v>0</v>
      </c>
      <c r="J47" s="35">
        <f>+(Tabella7[[#This Row],[Riserve]]+Tabella7[[#This Row],[Capitale sociale]])*(p=1)</f>
        <v>0</v>
      </c>
      <c r="K47" s="39">
        <f>+Soci!H39</f>
        <v>0</v>
      </c>
      <c r="L47" s="37" t="str">
        <f>+IF(Tabella7[[#This Row],[Socio]]="","",MAX(0,Soci!F39-Tabella7[[#This Row],[Riserve]])+(p=3)*(Tabella7[[#This Row],[% Beni]]*DATI!$E$34))</f>
        <v/>
      </c>
      <c r="M47" s="37">
        <f>+(Tabella7[[#This Row],[Totale attribuito]]-Soci!F39)*((Tabella7[[#This Row],[Totale attribuito]]-Soci!F39)&gt;0)</f>
        <v>0</v>
      </c>
      <c r="N47" s="40">
        <f>+IFERROR((Tabella7[[#This Row],[Dividendi da "Sottozero"]]+Tabella7[[#This Row],[Utili]]*IR)*Tabella7[[#This Row],[% Imp. Div.]],0)*(p=1)</f>
        <v>0</v>
      </c>
      <c r="O47" s="35">
        <f>+Tabella7[[#This Row],[Totale Redditi]]*Soci!G39</f>
        <v>0</v>
      </c>
      <c r="P47" s="35">
        <f>+SUMIF(Assegnazione[Socio],Tabella7[[#This Row],[Socio]],Assegnazione[Valore Normale])</f>
        <v>0</v>
      </c>
      <c r="Q47" s="40">
        <f>+IFERROR(Tabella7[[#This Row],[Valore Normale attribuito]]/Tabella7[[#This Row],[% Cap]],0)*(p=1)</f>
        <v>0</v>
      </c>
      <c r="R47" s="35">
        <f>+IFERROR(MAX(Tabella7[Dividendo teorico distribuito])*Tabella7[[#This Row],[% Cap]]-Tabella7[[#This Row],[Valore Normale attribuito]],0)*(p=1)</f>
        <v>0</v>
      </c>
    </row>
    <row r="48" spans="1:18" x14ac:dyDescent="0.25">
      <c r="A48" s="33" t="str">
        <f>+IF(Soci!B40="","",Soci!B40)</f>
        <v/>
      </c>
      <c r="B48" s="34" t="str">
        <f>+IF(Tabella7[[#This Row],[Socio]]="","",Soci!E40)</f>
        <v/>
      </c>
      <c r="C4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8" s="36" t="str">
        <f>+IF(Tabella7[[#This Row],[Socio]]="","",Tabella7[[#This Row],[Netto assegnato (Costo fiscale del bene in capo al socio)]]/'Tassazione Soci'!$C$12)</f>
        <v/>
      </c>
      <c r="E48" s="41"/>
      <c r="F4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8" s="38">
        <f>+IF(Tabella7[[#This Row],[Socio]]="",0,'Tassazione Soci'!E$9*$B48)</f>
        <v>0</v>
      </c>
      <c r="J48" s="35">
        <f>+(Tabella7[[#This Row],[Riserve]]+Tabella7[[#This Row],[Capitale sociale]])*(p=1)</f>
        <v>0</v>
      </c>
      <c r="K48" s="39">
        <f>+Soci!H40</f>
        <v>0</v>
      </c>
      <c r="L48" s="37" t="str">
        <f>+IF(Tabella7[[#This Row],[Socio]]="","",MAX(0,Soci!F40-Tabella7[[#This Row],[Riserve]])+(p=3)*(Tabella7[[#This Row],[% Beni]]*DATI!$E$34))</f>
        <v/>
      </c>
      <c r="M48" s="37">
        <f>+(Tabella7[[#This Row],[Totale attribuito]]-Soci!F40)*((Tabella7[[#This Row],[Totale attribuito]]-Soci!F40)&gt;0)</f>
        <v>0</v>
      </c>
      <c r="N48" s="40">
        <f>+IFERROR((Tabella7[[#This Row],[Dividendi da "Sottozero"]]+Tabella7[[#This Row],[Utili]]*IR)*Tabella7[[#This Row],[% Imp. Div.]],0)*(p=1)</f>
        <v>0</v>
      </c>
      <c r="O48" s="35">
        <f>+Tabella7[[#This Row],[Totale Redditi]]*Soci!G40</f>
        <v>0</v>
      </c>
      <c r="P48" s="35">
        <f>+SUMIF(Assegnazione[Socio],Tabella7[[#This Row],[Socio]],Assegnazione[Valore Normale])</f>
        <v>0</v>
      </c>
      <c r="Q48" s="40">
        <f>+IFERROR(Tabella7[[#This Row],[Valore Normale attribuito]]/Tabella7[[#This Row],[% Cap]],0)*(p=1)</f>
        <v>0</v>
      </c>
      <c r="R48" s="35">
        <f>+IFERROR(MAX(Tabella7[Dividendo teorico distribuito])*Tabella7[[#This Row],[% Cap]]-Tabella7[[#This Row],[Valore Normale attribuito]],0)*(p=1)</f>
        <v>0</v>
      </c>
    </row>
    <row r="49" spans="1:18" x14ac:dyDescent="0.25">
      <c r="A49" s="33" t="str">
        <f>+IF(Soci!B41="","",Soci!B41)</f>
        <v/>
      </c>
      <c r="B49" s="34" t="str">
        <f>+IF(Tabella7[[#This Row],[Socio]]="","",Soci!E41)</f>
        <v/>
      </c>
      <c r="C4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9" s="36" t="str">
        <f>+IF(Tabella7[[#This Row],[Socio]]="","",Tabella7[[#This Row],[Netto assegnato (Costo fiscale del bene in capo al socio)]]/'Tassazione Soci'!$C$12)</f>
        <v/>
      </c>
      <c r="E49" s="41"/>
      <c r="F4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9" s="38">
        <f>+IF(Tabella7[[#This Row],[Socio]]="",0,'Tassazione Soci'!E$9*$B49)</f>
        <v>0</v>
      </c>
      <c r="J49" s="35">
        <f>+(Tabella7[[#This Row],[Riserve]]+Tabella7[[#This Row],[Capitale sociale]])*(p=1)</f>
        <v>0</v>
      </c>
      <c r="K49" s="39">
        <f>+Soci!H41</f>
        <v>0</v>
      </c>
      <c r="L49" s="37" t="str">
        <f>+IF(Tabella7[[#This Row],[Socio]]="","",MAX(0,Soci!F41-Tabella7[[#This Row],[Riserve]])+(p=3)*(Tabella7[[#This Row],[% Beni]]*DATI!$E$34))</f>
        <v/>
      </c>
      <c r="M49" s="37">
        <f>+(Tabella7[[#This Row],[Totale attribuito]]-Soci!F41)*((Tabella7[[#This Row],[Totale attribuito]]-Soci!F41)&gt;0)</f>
        <v>0</v>
      </c>
      <c r="N49" s="40">
        <f>+IFERROR((Tabella7[[#This Row],[Dividendi da "Sottozero"]]+Tabella7[[#This Row],[Utili]]*IR)*Tabella7[[#This Row],[% Imp. Div.]],0)*(p=1)</f>
        <v>0</v>
      </c>
      <c r="O49" s="35">
        <f>+Tabella7[[#This Row],[Totale Redditi]]*Soci!G41</f>
        <v>0</v>
      </c>
      <c r="P49" s="35">
        <f>+SUMIF(Assegnazione[Socio],Tabella7[[#This Row],[Socio]],Assegnazione[Valore Normale])</f>
        <v>0</v>
      </c>
      <c r="Q49" s="40">
        <f>+IFERROR(Tabella7[[#This Row],[Valore Normale attribuito]]/Tabella7[[#This Row],[% Cap]],0)*(p=1)</f>
        <v>0</v>
      </c>
      <c r="R49" s="35">
        <f>+IFERROR(MAX(Tabella7[Dividendo teorico distribuito])*Tabella7[[#This Row],[% Cap]]-Tabella7[[#This Row],[Valore Normale attribuito]],0)*(p=1)</f>
        <v>0</v>
      </c>
    </row>
    <row r="50" spans="1:18" x14ac:dyDescent="0.25">
      <c r="A50" s="33" t="str">
        <f>+IF(Soci!B42="","",Soci!B42)</f>
        <v/>
      </c>
      <c r="B50" s="34" t="str">
        <f>+IF(Tabella7[[#This Row],[Socio]]="","",Soci!E42)</f>
        <v/>
      </c>
      <c r="C5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0" s="36" t="str">
        <f>+IF(Tabella7[[#This Row],[Socio]]="","",Tabella7[[#This Row],[Netto assegnato (Costo fiscale del bene in capo al socio)]]/'Tassazione Soci'!$C$12)</f>
        <v/>
      </c>
      <c r="E50" s="41"/>
      <c r="F5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0" s="38">
        <f>+IF(Tabella7[[#This Row],[Socio]]="",0,'Tassazione Soci'!E$9*$B50)</f>
        <v>0</v>
      </c>
      <c r="J50" s="35">
        <f>+(Tabella7[[#This Row],[Riserve]]+Tabella7[[#This Row],[Capitale sociale]])*(p=1)</f>
        <v>0</v>
      </c>
      <c r="K50" s="39">
        <f>+Soci!H42</f>
        <v>0</v>
      </c>
      <c r="L50" s="37" t="str">
        <f>+IF(Tabella7[[#This Row],[Socio]]="","",MAX(0,Soci!F42-Tabella7[[#This Row],[Riserve]])+(p=3)*(Tabella7[[#This Row],[% Beni]]*DATI!$E$34))</f>
        <v/>
      </c>
      <c r="M50" s="37">
        <f>+(Tabella7[[#This Row],[Totale attribuito]]-Soci!F42)*((Tabella7[[#This Row],[Totale attribuito]]-Soci!F42)&gt;0)</f>
        <v>0</v>
      </c>
      <c r="N50" s="40">
        <f>+IFERROR((Tabella7[[#This Row],[Dividendi da "Sottozero"]]+Tabella7[[#This Row],[Utili]]*IR)*Tabella7[[#This Row],[% Imp. Div.]],0)*(p=1)</f>
        <v>0</v>
      </c>
      <c r="O50" s="35">
        <f>+Tabella7[[#This Row],[Totale Redditi]]*Soci!G42</f>
        <v>0</v>
      </c>
      <c r="P50" s="35">
        <f>+SUMIF(Assegnazione[Socio],Tabella7[[#This Row],[Socio]],Assegnazione[Valore Normale])</f>
        <v>0</v>
      </c>
      <c r="Q50" s="40">
        <f>+IFERROR(Tabella7[[#This Row],[Valore Normale attribuito]]/Tabella7[[#This Row],[% Cap]],0)*(p=1)</f>
        <v>0</v>
      </c>
      <c r="R50" s="35">
        <f>+IFERROR(MAX(Tabella7[Dividendo teorico distribuito])*Tabella7[[#This Row],[% Cap]]-Tabella7[[#This Row],[Valore Normale attribuito]],0)*(p=1)</f>
        <v>0</v>
      </c>
    </row>
    <row r="51" spans="1:18" x14ac:dyDescent="0.25">
      <c r="A51" s="33" t="str">
        <f>+IF(Soci!B43="","",Soci!B43)</f>
        <v/>
      </c>
      <c r="B51" s="34" t="str">
        <f>+IF(Tabella7[[#This Row],[Socio]]="","",Soci!E43)</f>
        <v/>
      </c>
      <c r="C5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1" s="36" t="str">
        <f>+IF(Tabella7[[#This Row],[Socio]]="","",Tabella7[[#This Row],[Netto assegnato (Costo fiscale del bene in capo al socio)]]/'Tassazione Soci'!$C$12)</f>
        <v/>
      </c>
      <c r="E51" s="41"/>
      <c r="F5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1" s="38">
        <f>+IF(Tabella7[[#This Row],[Socio]]="",0,'Tassazione Soci'!E$9*$B51)</f>
        <v>0</v>
      </c>
      <c r="J51" s="35">
        <f>+(Tabella7[[#This Row],[Riserve]]+Tabella7[[#This Row],[Capitale sociale]])*(p=1)</f>
        <v>0</v>
      </c>
      <c r="K51" s="39">
        <f>+Soci!H43</f>
        <v>0</v>
      </c>
      <c r="L51" s="37" t="str">
        <f>+IF(Tabella7[[#This Row],[Socio]]="","",MAX(0,Soci!F43-Tabella7[[#This Row],[Riserve]])+(p=3)*(Tabella7[[#This Row],[% Beni]]*DATI!$E$34))</f>
        <v/>
      </c>
      <c r="M51" s="37">
        <f>+(Tabella7[[#This Row],[Totale attribuito]]-Soci!F43)*((Tabella7[[#This Row],[Totale attribuito]]-Soci!F43)&gt;0)</f>
        <v>0</v>
      </c>
      <c r="N51" s="40">
        <f>+IFERROR((Tabella7[[#This Row],[Dividendi da "Sottozero"]]+Tabella7[[#This Row],[Utili]]*IR)*Tabella7[[#This Row],[% Imp. Div.]],0)*(p=1)</f>
        <v>0</v>
      </c>
      <c r="O51" s="35">
        <f>+Tabella7[[#This Row],[Totale Redditi]]*Soci!G43</f>
        <v>0</v>
      </c>
      <c r="P51" s="35">
        <f>+SUMIF(Assegnazione[Socio],Tabella7[[#This Row],[Socio]],Assegnazione[Valore Normale])</f>
        <v>0</v>
      </c>
      <c r="Q51" s="40">
        <f>+IFERROR(Tabella7[[#This Row],[Valore Normale attribuito]]/Tabella7[[#This Row],[% Cap]],0)*(p=1)</f>
        <v>0</v>
      </c>
      <c r="R51" s="35">
        <f>+IFERROR(MAX(Tabella7[Dividendo teorico distribuito])*Tabella7[[#This Row],[% Cap]]-Tabella7[[#This Row],[Valore Normale attribuito]],0)*(p=1)</f>
        <v>0</v>
      </c>
    </row>
    <row r="52" spans="1:18" x14ac:dyDescent="0.25">
      <c r="A52" s="33" t="str">
        <f>+IF(Soci!B44="","",Soci!B44)</f>
        <v/>
      </c>
      <c r="B52" s="34" t="str">
        <f>+IF(Tabella7[[#This Row],[Socio]]="","",Soci!E44)</f>
        <v/>
      </c>
      <c r="C5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2" s="36" t="str">
        <f>+IF(Tabella7[[#This Row],[Socio]]="","",Tabella7[[#This Row],[Netto assegnato (Costo fiscale del bene in capo al socio)]]/'Tassazione Soci'!$C$12)</f>
        <v/>
      </c>
      <c r="E52" s="41"/>
      <c r="F5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2" s="38">
        <f>+IF(Tabella7[[#This Row],[Socio]]="",0,'Tassazione Soci'!E$9*$B52)</f>
        <v>0</v>
      </c>
      <c r="J52" s="35">
        <f>+(Tabella7[[#This Row],[Riserve]]+Tabella7[[#This Row],[Capitale sociale]])*(p=1)</f>
        <v>0</v>
      </c>
      <c r="K52" s="39">
        <f>+Soci!H44</f>
        <v>0</v>
      </c>
      <c r="L52" s="37" t="str">
        <f>+IF(Tabella7[[#This Row],[Socio]]="","",MAX(0,Soci!F44-Tabella7[[#This Row],[Riserve]])+(p=3)*(Tabella7[[#This Row],[% Beni]]*DATI!$E$34))</f>
        <v/>
      </c>
      <c r="M52" s="37">
        <f>+(Tabella7[[#This Row],[Totale attribuito]]-Soci!F44)*((Tabella7[[#This Row],[Totale attribuito]]-Soci!F44)&gt;0)</f>
        <v>0</v>
      </c>
      <c r="N52" s="40">
        <f>+IFERROR((Tabella7[[#This Row],[Dividendi da "Sottozero"]]+Tabella7[[#This Row],[Utili]]*IR)*Tabella7[[#This Row],[% Imp. Div.]],0)*(p=1)</f>
        <v>0</v>
      </c>
      <c r="O52" s="35">
        <f>+Tabella7[[#This Row],[Totale Redditi]]*Soci!G44</f>
        <v>0</v>
      </c>
      <c r="P52" s="35">
        <f>+SUMIF(Assegnazione[Socio],Tabella7[[#This Row],[Socio]],Assegnazione[Valore Normale])</f>
        <v>0</v>
      </c>
      <c r="Q52" s="40">
        <f>+IFERROR(Tabella7[[#This Row],[Valore Normale attribuito]]/Tabella7[[#This Row],[% Cap]],0)*(p=1)</f>
        <v>0</v>
      </c>
      <c r="R52" s="35">
        <f>+IFERROR(MAX(Tabella7[Dividendo teorico distribuito])*Tabella7[[#This Row],[% Cap]]-Tabella7[[#This Row],[Valore Normale attribuito]],0)*(p=1)</f>
        <v>0</v>
      </c>
    </row>
    <row r="53" spans="1:18" x14ac:dyDescent="0.25">
      <c r="A53" s="33" t="str">
        <f>+IF(Soci!B45="","",Soci!B45)</f>
        <v/>
      </c>
      <c r="B53" s="34" t="str">
        <f>+IF(Tabella7[[#This Row],[Socio]]="","",Soci!E45)</f>
        <v/>
      </c>
      <c r="C5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3" s="36" t="str">
        <f>+IF(Tabella7[[#This Row],[Socio]]="","",Tabella7[[#This Row],[Netto assegnato (Costo fiscale del bene in capo al socio)]]/'Tassazione Soci'!$C$12)</f>
        <v/>
      </c>
      <c r="E53" s="41"/>
      <c r="F5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3" s="38">
        <f>+IF(Tabella7[[#This Row],[Socio]]="",0,'Tassazione Soci'!E$9*$B53)</f>
        <v>0</v>
      </c>
      <c r="J53" s="35">
        <f>+(Tabella7[[#This Row],[Riserve]]+Tabella7[[#This Row],[Capitale sociale]])*(p=1)</f>
        <v>0</v>
      </c>
      <c r="K53" s="39">
        <f>+Soci!H45</f>
        <v>0</v>
      </c>
      <c r="L53" s="37" t="str">
        <f>+IF(Tabella7[[#This Row],[Socio]]="","",MAX(0,Soci!F45-Tabella7[[#This Row],[Riserve]])+(p=3)*(Tabella7[[#This Row],[% Beni]]*DATI!$E$34))</f>
        <v/>
      </c>
      <c r="M53" s="37">
        <f>+(Tabella7[[#This Row],[Totale attribuito]]-Soci!F45)*((Tabella7[[#This Row],[Totale attribuito]]-Soci!F45)&gt;0)</f>
        <v>0</v>
      </c>
      <c r="N53" s="40">
        <f>+IFERROR((Tabella7[[#This Row],[Dividendi da "Sottozero"]]+Tabella7[[#This Row],[Utili]]*IR)*Tabella7[[#This Row],[% Imp. Div.]],0)*(p=1)</f>
        <v>0</v>
      </c>
      <c r="O53" s="35">
        <f>+Tabella7[[#This Row],[Totale Redditi]]*Soci!G45</f>
        <v>0</v>
      </c>
      <c r="P53" s="35">
        <f>+SUMIF(Assegnazione[Socio],Tabella7[[#This Row],[Socio]],Assegnazione[Valore Normale])</f>
        <v>0</v>
      </c>
      <c r="Q53" s="40">
        <f>+IFERROR(Tabella7[[#This Row],[Valore Normale attribuito]]/Tabella7[[#This Row],[% Cap]],0)*(p=1)</f>
        <v>0</v>
      </c>
      <c r="R53" s="35">
        <f>+IFERROR(MAX(Tabella7[Dividendo teorico distribuito])*Tabella7[[#This Row],[% Cap]]-Tabella7[[#This Row],[Valore Normale attribuito]],0)*(p=1)</f>
        <v>0</v>
      </c>
    </row>
    <row r="54" spans="1:18" x14ac:dyDescent="0.25">
      <c r="A54" s="33" t="str">
        <f>+IF(Soci!B46="","",Soci!B46)</f>
        <v/>
      </c>
      <c r="B54" s="34" t="str">
        <f>+IF(Tabella7[[#This Row],[Socio]]="","",Soci!E46)</f>
        <v/>
      </c>
      <c r="C5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4" s="36" t="str">
        <f>+IF(Tabella7[[#This Row],[Socio]]="","",Tabella7[[#This Row],[Netto assegnato (Costo fiscale del bene in capo al socio)]]/'Tassazione Soci'!$C$12)</f>
        <v/>
      </c>
      <c r="E54" s="41"/>
      <c r="F5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4" s="38">
        <f>+IF(Tabella7[[#This Row],[Socio]]="",0,'Tassazione Soci'!E$9*$B54)</f>
        <v>0</v>
      </c>
      <c r="J54" s="35">
        <f>+(Tabella7[[#This Row],[Riserve]]+Tabella7[[#This Row],[Capitale sociale]])*(p=1)</f>
        <v>0</v>
      </c>
      <c r="K54" s="39">
        <f>+Soci!H46</f>
        <v>0</v>
      </c>
      <c r="L54" s="37" t="str">
        <f>+IF(Tabella7[[#This Row],[Socio]]="","",MAX(0,Soci!F46-Tabella7[[#This Row],[Riserve]])+(p=3)*(Tabella7[[#This Row],[% Beni]]*DATI!$E$34))</f>
        <v/>
      </c>
      <c r="M54" s="37">
        <f>+(Tabella7[[#This Row],[Totale attribuito]]-Soci!F46)*((Tabella7[[#This Row],[Totale attribuito]]-Soci!F46)&gt;0)</f>
        <v>0</v>
      </c>
      <c r="N54" s="40">
        <f>+IFERROR((Tabella7[[#This Row],[Dividendi da "Sottozero"]]+Tabella7[[#This Row],[Utili]]*IR)*Tabella7[[#This Row],[% Imp. Div.]],0)*(p=1)</f>
        <v>0</v>
      </c>
      <c r="O54" s="35">
        <f>+Tabella7[[#This Row],[Totale Redditi]]*Soci!G46</f>
        <v>0</v>
      </c>
      <c r="P54" s="35">
        <f>+SUMIF(Assegnazione[Socio],Tabella7[[#This Row],[Socio]],Assegnazione[Valore Normale])</f>
        <v>0</v>
      </c>
      <c r="Q54" s="40">
        <f>+IFERROR(Tabella7[[#This Row],[Valore Normale attribuito]]/Tabella7[[#This Row],[% Cap]],0)*(p=1)</f>
        <v>0</v>
      </c>
      <c r="R54" s="35">
        <f>+IFERROR(MAX(Tabella7[Dividendo teorico distribuito])*Tabella7[[#This Row],[% Cap]]-Tabella7[[#This Row],[Valore Normale attribuito]],0)*(p=1)</f>
        <v>0</v>
      </c>
    </row>
    <row r="55" spans="1:18" x14ac:dyDescent="0.25">
      <c r="A55" s="33" t="str">
        <f>+IF(Soci!B47="","",Soci!B47)</f>
        <v/>
      </c>
      <c r="B55" s="34" t="str">
        <f>+IF(Tabella7[[#This Row],[Socio]]="","",Soci!E47)</f>
        <v/>
      </c>
      <c r="C5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5" s="36" t="str">
        <f>+IF(Tabella7[[#This Row],[Socio]]="","",Tabella7[[#This Row],[Netto assegnato (Costo fiscale del bene in capo al socio)]]/'Tassazione Soci'!$C$12)</f>
        <v/>
      </c>
      <c r="E55" s="41"/>
      <c r="F5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5" s="38">
        <f>+IF(Tabella7[[#This Row],[Socio]]="",0,'Tassazione Soci'!E$9*$B55)</f>
        <v>0</v>
      </c>
      <c r="J55" s="35">
        <f>+(Tabella7[[#This Row],[Riserve]]+Tabella7[[#This Row],[Capitale sociale]])*(p=1)</f>
        <v>0</v>
      </c>
      <c r="K55" s="39">
        <f>+Soci!H47</f>
        <v>0</v>
      </c>
      <c r="L55" s="37" t="str">
        <f>+IF(Tabella7[[#This Row],[Socio]]="","",MAX(0,Soci!F47-Tabella7[[#This Row],[Riserve]])+(p=3)*(Tabella7[[#This Row],[% Beni]]*DATI!$E$34))</f>
        <v/>
      </c>
      <c r="M55" s="37">
        <f>+(Tabella7[[#This Row],[Totale attribuito]]-Soci!F47)*((Tabella7[[#This Row],[Totale attribuito]]-Soci!F47)&gt;0)</f>
        <v>0</v>
      </c>
      <c r="N55" s="40">
        <f>+IFERROR((Tabella7[[#This Row],[Dividendi da "Sottozero"]]+Tabella7[[#This Row],[Utili]]*IR)*Tabella7[[#This Row],[% Imp. Div.]],0)*(p=1)</f>
        <v>0</v>
      </c>
      <c r="O55" s="35">
        <f>+Tabella7[[#This Row],[Totale Redditi]]*Soci!G47</f>
        <v>0</v>
      </c>
      <c r="P55" s="35">
        <f>+SUMIF(Assegnazione[Socio],Tabella7[[#This Row],[Socio]],Assegnazione[Valore Normale])</f>
        <v>0</v>
      </c>
      <c r="Q55" s="40">
        <f>+IFERROR(Tabella7[[#This Row],[Valore Normale attribuito]]/Tabella7[[#This Row],[% Cap]],0)*(p=1)</f>
        <v>0</v>
      </c>
      <c r="R55" s="35">
        <f>+IFERROR(MAX(Tabella7[Dividendo teorico distribuito])*Tabella7[[#This Row],[% Cap]]-Tabella7[[#This Row],[Valore Normale attribuito]],0)*(p=1)</f>
        <v>0</v>
      </c>
    </row>
    <row r="56" spans="1:18" x14ac:dyDescent="0.25">
      <c r="A56" s="33" t="str">
        <f>+IF(Soci!B48="","",Soci!B48)</f>
        <v/>
      </c>
      <c r="B56" s="34" t="str">
        <f>+IF(Tabella7[[#This Row],[Socio]]="","",Soci!E48)</f>
        <v/>
      </c>
      <c r="C5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6" s="36" t="str">
        <f>+IF(Tabella7[[#This Row],[Socio]]="","",Tabella7[[#This Row],[Netto assegnato (Costo fiscale del bene in capo al socio)]]/'Tassazione Soci'!$C$12)</f>
        <v/>
      </c>
      <c r="E56" s="41"/>
      <c r="F5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6" s="38">
        <f>+IF(Tabella7[[#This Row],[Socio]]="",0,'Tassazione Soci'!E$9*$B56)</f>
        <v>0</v>
      </c>
      <c r="J56" s="35">
        <f>+(Tabella7[[#This Row],[Riserve]]+Tabella7[[#This Row],[Capitale sociale]])*(p=1)</f>
        <v>0</v>
      </c>
      <c r="K56" s="39">
        <f>+Soci!H48</f>
        <v>0</v>
      </c>
      <c r="L56" s="37" t="str">
        <f>+IF(Tabella7[[#This Row],[Socio]]="","",MAX(0,Soci!F48-Tabella7[[#This Row],[Riserve]])+(p=3)*(Tabella7[[#This Row],[% Beni]]*DATI!$E$34))</f>
        <v/>
      </c>
      <c r="M56" s="37">
        <f>+(Tabella7[[#This Row],[Totale attribuito]]-Soci!F48)*((Tabella7[[#This Row],[Totale attribuito]]-Soci!F48)&gt;0)</f>
        <v>0</v>
      </c>
      <c r="N56" s="40">
        <f>+IFERROR((Tabella7[[#This Row],[Dividendi da "Sottozero"]]+Tabella7[[#This Row],[Utili]]*IR)*Tabella7[[#This Row],[% Imp. Div.]],0)*(p=1)</f>
        <v>0</v>
      </c>
      <c r="O56" s="35">
        <f>+Tabella7[[#This Row],[Totale Redditi]]*Soci!G48</f>
        <v>0</v>
      </c>
      <c r="P56" s="35">
        <f>+SUMIF(Assegnazione[Socio],Tabella7[[#This Row],[Socio]],Assegnazione[Valore Normale])</f>
        <v>0</v>
      </c>
      <c r="Q56" s="40">
        <f>+IFERROR(Tabella7[[#This Row],[Valore Normale attribuito]]/Tabella7[[#This Row],[% Cap]],0)*(p=1)</f>
        <v>0</v>
      </c>
      <c r="R56" s="35">
        <f>+IFERROR(MAX(Tabella7[Dividendo teorico distribuito])*Tabella7[[#This Row],[% Cap]]-Tabella7[[#This Row],[Valore Normale attribuito]],0)*(p=1)</f>
        <v>0</v>
      </c>
    </row>
    <row r="57" spans="1:18" x14ac:dyDescent="0.25">
      <c r="A57" s="33" t="str">
        <f>+IF(Soci!B49="","",Soci!B49)</f>
        <v/>
      </c>
      <c r="B57" s="34" t="str">
        <f>+IF(Tabella7[[#This Row],[Socio]]="","",Soci!E49)</f>
        <v/>
      </c>
      <c r="C5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7" s="36" t="str">
        <f>+IF(Tabella7[[#This Row],[Socio]]="","",Tabella7[[#This Row],[Netto assegnato (Costo fiscale del bene in capo al socio)]]/'Tassazione Soci'!$C$12)</f>
        <v/>
      </c>
      <c r="E57" s="41"/>
      <c r="F5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7" s="38">
        <f>+IF(Tabella7[[#This Row],[Socio]]="",0,'Tassazione Soci'!E$9*$B57)</f>
        <v>0</v>
      </c>
      <c r="J57" s="35">
        <f>+(Tabella7[[#This Row],[Riserve]]+Tabella7[[#This Row],[Capitale sociale]])*(p=1)</f>
        <v>0</v>
      </c>
      <c r="K57" s="39">
        <f>+Soci!H49</f>
        <v>0</v>
      </c>
      <c r="L57" s="37" t="str">
        <f>+IF(Tabella7[[#This Row],[Socio]]="","",MAX(0,Soci!F49-Tabella7[[#This Row],[Riserve]])+(p=3)*(Tabella7[[#This Row],[% Beni]]*DATI!$E$34))</f>
        <v/>
      </c>
      <c r="M57" s="37">
        <f>+(Tabella7[[#This Row],[Totale attribuito]]-Soci!F49)*((Tabella7[[#This Row],[Totale attribuito]]-Soci!F49)&gt;0)</f>
        <v>0</v>
      </c>
      <c r="N57" s="40">
        <f>+IFERROR((Tabella7[[#This Row],[Dividendi da "Sottozero"]]+Tabella7[[#This Row],[Utili]]*IR)*Tabella7[[#This Row],[% Imp. Div.]],0)*(p=1)</f>
        <v>0</v>
      </c>
      <c r="O57" s="35">
        <f>+Tabella7[[#This Row],[Totale Redditi]]*Soci!G49</f>
        <v>0</v>
      </c>
      <c r="P57" s="35">
        <f>+SUMIF(Assegnazione[Socio],Tabella7[[#This Row],[Socio]],Assegnazione[Valore Normale])</f>
        <v>0</v>
      </c>
      <c r="Q57" s="40">
        <f>+IFERROR(Tabella7[[#This Row],[Valore Normale attribuito]]/Tabella7[[#This Row],[% Cap]],0)*(p=1)</f>
        <v>0</v>
      </c>
      <c r="R57" s="35">
        <f>+IFERROR(MAX(Tabella7[Dividendo teorico distribuito])*Tabella7[[#This Row],[% Cap]]-Tabella7[[#This Row],[Valore Normale attribuito]],0)*(p=1)</f>
        <v>0</v>
      </c>
    </row>
    <row r="58" spans="1:18" x14ac:dyDescent="0.25">
      <c r="A58" s="33" t="str">
        <f>+IF(Soci!B50="","",Soci!B50)</f>
        <v/>
      </c>
      <c r="B58" s="34" t="str">
        <f>+IF(Tabella7[[#This Row],[Socio]]="","",Soci!E50)</f>
        <v/>
      </c>
      <c r="C5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8" s="36" t="str">
        <f>+IF(Tabella7[[#This Row],[Socio]]="","",Tabella7[[#This Row],[Netto assegnato (Costo fiscale del bene in capo al socio)]]/'Tassazione Soci'!$C$12)</f>
        <v/>
      </c>
      <c r="E58" s="41"/>
      <c r="F5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8" s="38">
        <f>+IF(Tabella7[[#This Row],[Socio]]="",0,'Tassazione Soci'!E$9*$B58)</f>
        <v>0</v>
      </c>
      <c r="J58" s="35">
        <f>+(Tabella7[[#This Row],[Riserve]]+Tabella7[[#This Row],[Capitale sociale]])*(p=1)</f>
        <v>0</v>
      </c>
      <c r="K58" s="39">
        <f>+Soci!H50</f>
        <v>0</v>
      </c>
      <c r="L58" s="37" t="str">
        <f>+IF(Tabella7[[#This Row],[Socio]]="","",MAX(0,Soci!F50-Tabella7[[#This Row],[Riserve]])+(p=3)*(Tabella7[[#This Row],[% Beni]]*DATI!$E$34))</f>
        <v/>
      </c>
      <c r="M58" s="37">
        <f>+(Tabella7[[#This Row],[Totale attribuito]]-Soci!F50)*((Tabella7[[#This Row],[Totale attribuito]]-Soci!F50)&gt;0)</f>
        <v>0</v>
      </c>
      <c r="N58" s="40">
        <f>+IFERROR((Tabella7[[#This Row],[Dividendi da "Sottozero"]]+Tabella7[[#This Row],[Utili]]*IR)*Tabella7[[#This Row],[% Imp. Div.]],0)*(p=1)</f>
        <v>0</v>
      </c>
      <c r="O58" s="35">
        <f>+Tabella7[[#This Row],[Totale Redditi]]*Soci!G50</f>
        <v>0</v>
      </c>
      <c r="P58" s="35">
        <f>+SUMIF(Assegnazione[Socio],Tabella7[[#This Row],[Socio]],Assegnazione[Valore Normale])</f>
        <v>0</v>
      </c>
      <c r="Q58" s="40">
        <f>+IFERROR(Tabella7[[#This Row],[Valore Normale attribuito]]/Tabella7[[#This Row],[% Cap]],0)*(p=1)</f>
        <v>0</v>
      </c>
      <c r="R58" s="35">
        <f>+IFERROR(MAX(Tabella7[Dividendo teorico distribuito])*Tabella7[[#This Row],[% Cap]]-Tabella7[[#This Row],[Valore Normale attribuito]],0)*(p=1)</f>
        <v>0</v>
      </c>
    </row>
    <row r="59" spans="1:18" x14ac:dyDescent="0.25">
      <c r="A59" s="33" t="str">
        <f>+IF(Soci!B51="","",Soci!B51)</f>
        <v/>
      </c>
      <c r="B59" s="34" t="str">
        <f>+IF(Tabella7[[#This Row],[Socio]]="","",Soci!E51)</f>
        <v/>
      </c>
      <c r="C5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9" s="36" t="str">
        <f>+IF(Tabella7[[#This Row],[Socio]]="","",Tabella7[[#This Row],[Netto assegnato (Costo fiscale del bene in capo al socio)]]/'Tassazione Soci'!$C$12)</f>
        <v/>
      </c>
      <c r="E59" s="41"/>
      <c r="F5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9" s="38">
        <f>+IF(Tabella7[[#This Row],[Socio]]="",0,'Tassazione Soci'!E$9*$B59)</f>
        <v>0</v>
      </c>
      <c r="J59" s="35">
        <f>+(Tabella7[[#This Row],[Riserve]]+Tabella7[[#This Row],[Capitale sociale]])*(p=1)</f>
        <v>0</v>
      </c>
      <c r="K59" s="39">
        <f>+Soci!H51</f>
        <v>0</v>
      </c>
      <c r="L59" s="37" t="str">
        <f>+IF(Tabella7[[#This Row],[Socio]]="","",MAX(0,Soci!F51-Tabella7[[#This Row],[Riserve]])+(p=3)*(Tabella7[[#This Row],[% Beni]]*DATI!$E$34))</f>
        <v/>
      </c>
      <c r="M59" s="37">
        <f>+(Tabella7[[#This Row],[Totale attribuito]]-Soci!F51)*((Tabella7[[#This Row],[Totale attribuito]]-Soci!F51)&gt;0)</f>
        <v>0</v>
      </c>
      <c r="N59" s="40">
        <f>+IFERROR((Tabella7[[#This Row],[Dividendi da "Sottozero"]]+Tabella7[[#This Row],[Utili]]*IR)*Tabella7[[#This Row],[% Imp. Div.]],0)*(p=1)</f>
        <v>0</v>
      </c>
      <c r="O59" s="35">
        <f>+Tabella7[[#This Row],[Totale Redditi]]*Soci!G51</f>
        <v>0</v>
      </c>
      <c r="P59" s="35">
        <f>+SUMIF(Assegnazione[Socio],Tabella7[[#This Row],[Socio]],Assegnazione[Valore Normale])</f>
        <v>0</v>
      </c>
      <c r="Q59" s="40">
        <f>+IFERROR(Tabella7[[#This Row],[Valore Normale attribuito]]/Tabella7[[#This Row],[% Cap]],0)*(p=1)</f>
        <v>0</v>
      </c>
      <c r="R59" s="35">
        <f>+IFERROR(MAX(Tabella7[Dividendo teorico distribuito])*Tabella7[[#This Row],[% Cap]]-Tabella7[[#This Row],[Valore Normale attribuito]],0)*(p=1)</f>
        <v>0</v>
      </c>
    </row>
    <row r="60" spans="1:18" x14ac:dyDescent="0.25">
      <c r="A60" s="33" t="str">
        <f>+IF(Soci!B52="","",Soci!B52)</f>
        <v/>
      </c>
      <c r="B60" s="34" t="str">
        <f>+IF(Tabella7[[#This Row],[Socio]]="","",Soci!E52)</f>
        <v/>
      </c>
      <c r="C6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0" s="36" t="str">
        <f>+IF(Tabella7[[#This Row],[Socio]]="","",Tabella7[[#This Row],[Netto assegnato (Costo fiscale del bene in capo al socio)]]/'Tassazione Soci'!$C$12)</f>
        <v/>
      </c>
      <c r="E60" s="41"/>
      <c r="F6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0" s="38">
        <f>+IF(Tabella7[[#This Row],[Socio]]="",0,'Tassazione Soci'!E$9*$B60)</f>
        <v>0</v>
      </c>
      <c r="J60" s="35">
        <f>+(Tabella7[[#This Row],[Riserve]]+Tabella7[[#This Row],[Capitale sociale]])*(p=1)</f>
        <v>0</v>
      </c>
      <c r="K60" s="39">
        <f>+Soci!H52</f>
        <v>0</v>
      </c>
      <c r="L60" s="37" t="str">
        <f>+IF(Tabella7[[#This Row],[Socio]]="","",MAX(0,Soci!F52-Tabella7[[#This Row],[Riserve]])+(p=3)*(Tabella7[[#This Row],[% Beni]]*DATI!$E$34))</f>
        <v/>
      </c>
      <c r="M60" s="37">
        <f>+(Tabella7[[#This Row],[Totale attribuito]]-Soci!F52)*((Tabella7[[#This Row],[Totale attribuito]]-Soci!F52)&gt;0)</f>
        <v>0</v>
      </c>
      <c r="N60" s="40">
        <f>+IFERROR((Tabella7[[#This Row],[Dividendi da "Sottozero"]]+Tabella7[[#This Row],[Utili]]*IR)*Tabella7[[#This Row],[% Imp. Div.]],0)*(p=1)</f>
        <v>0</v>
      </c>
      <c r="O60" s="35">
        <f>+Tabella7[[#This Row],[Totale Redditi]]*Soci!G52</f>
        <v>0</v>
      </c>
      <c r="P60" s="35">
        <f>+SUMIF(Assegnazione[Socio],Tabella7[[#This Row],[Socio]],Assegnazione[Valore Normale])</f>
        <v>0</v>
      </c>
      <c r="Q60" s="40">
        <f>+IFERROR(Tabella7[[#This Row],[Valore Normale attribuito]]/Tabella7[[#This Row],[% Cap]],0)*(p=1)</f>
        <v>0</v>
      </c>
      <c r="R60" s="35">
        <f>+IFERROR(MAX(Tabella7[Dividendo teorico distribuito])*Tabella7[[#This Row],[% Cap]]-Tabella7[[#This Row],[Valore Normale attribuito]],0)*(p=1)</f>
        <v>0</v>
      </c>
    </row>
    <row r="61" spans="1:18" x14ac:dyDescent="0.25">
      <c r="A61" s="33" t="str">
        <f>+IF(Soci!B53="","",Soci!B53)</f>
        <v/>
      </c>
      <c r="B61" s="34" t="str">
        <f>+IF(Tabella7[[#This Row],[Socio]]="","",Soci!E53)</f>
        <v/>
      </c>
      <c r="C6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1" s="36" t="str">
        <f>+IF(Tabella7[[#This Row],[Socio]]="","",Tabella7[[#This Row],[Netto assegnato (Costo fiscale del bene in capo al socio)]]/'Tassazione Soci'!$C$12)</f>
        <v/>
      </c>
      <c r="E61" s="41"/>
      <c r="F6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1" s="38">
        <f>+IF(Tabella7[[#This Row],[Socio]]="",0,'Tassazione Soci'!E$9*$B61)</f>
        <v>0</v>
      </c>
      <c r="J61" s="35">
        <f>+(Tabella7[[#This Row],[Riserve]]+Tabella7[[#This Row],[Capitale sociale]])*(p=1)</f>
        <v>0</v>
      </c>
      <c r="K61" s="39">
        <f>+Soci!H53</f>
        <v>0</v>
      </c>
      <c r="L61" s="37" t="str">
        <f>+IF(Tabella7[[#This Row],[Socio]]="","",MAX(0,Soci!F53-Tabella7[[#This Row],[Riserve]])+(p=3)*(Tabella7[[#This Row],[% Beni]]*DATI!$E$34))</f>
        <v/>
      </c>
      <c r="M61" s="37">
        <f>+(Tabella7[[#This Row],[Totale attribuito]]-Soci!F53)*((Tabella7[[#This Row],[Totale attribuito]]-Soci!F53)&gt;0)</f>
        <v>0</v>
      </c>
      <c r="N61" s="40">
        <f>+IFERROR((Tabella7[[#This Row],[Dividendi da "Sottozero"]]+Tabella7[[#This Row],[Utili]]*IR)*Tabella7[[#This Row],[% Imp. Div.]],0)*(p=1)</f>
        <v>0</v>
      </c>
      <c r="O61" s="35">
        <f>+Tabella7[[#This Row],[Totale Redditi]]*Soci!G53</f>
        <v>0</v>
      </c>
      <c r="P61" s="35">
        <f>+SUMIF(Assegnazione[Socio],Tabella7[[#This Row],[Socio]],Assegnazione[Valore Normale])</f>
        <v>0</v>
      </c>
      <c r="Q61" s="40">
        <f>+IFERROR(Tabella7[[#This Row],[Valore Normale attribuito]]/Tabella7[[#This Row],[% Cap]],0)*(p=1)</f>
        <v>0</v>
      </c>
      <c r="R61" s="35">
        <f>+IFERROR(MAX(Tabella7[Dividendo teorico distribuito])*Tabella7[[#This Row],[% Cap]]-Tabella7[[#This Row],[Valore Normale attribuito]],0)*(p=1)</f>
        <v>0</v>
      </c>
    </row>
    <row r="62" spans="1:18" x14ac:dyDescent="0.25">
      <c r="A62" s="33" t="str">
        <f>+IF(Soci!B54="","",Soci!B54)</f>
        <v/>
      </c>
      <c r="B62" s="34" t="str">
        <f>+IF(Tabella7[[#This Row],[Socio]]="","",Soci!E54)</f>
        <v/>
      </c>
      <c r="C6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2" s="36" t="str">
        <f>+IF(Tabella7[[#This Row],[Socio]]="","",Tabella7[[#This Row],[Netto assegnato (Costo fiscale del bene in capo al socio)]]/'Tassazione Soci'!$C$12)</f>
        <v/>
      </c>
      <c r="E62" s="41"/>
      <c r="F6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2" s="38">
        <f>+IF(Tabella7[[#This Row],[Socio]]="",0,'Tassazione Soci'!E$9*$B62)</f>
        <v>0</v>
      </c>
      <c r="J62" s="35">
        <f>+(Tabella7[[#This Row],[Riserve]]+Tabella7[[#This Row],[Capitale sociale]])*(p=1)</f>
        <v>0</v>
      </c>
      <c r="K62" s="39">
        <f>+Soci!H54</f>
        <v>0</v>
      </c>
      <c r="L62" s="37" t="str">
        <f>+IF(Tabella7[[#This Row],[Socio]]="","",MAX(0,Soci!F54-Tabella7[[#This Row],[Riserve]])+(p=3)*(Tabella7[[#This Row],[% Beni]]*DATI!$E$34))</f>
        <v/>
      </c>
      <c r="M62" s="37">
        <f>+(Tabella7[[#This Row],[Totale attribuito]]-Soci!F54)*((Tabella7[[#This Row],[Totale attribuito]]-Soci!F54)&gt;0)</f>
        <v>0</v>
      </c>
      <c r="N62" s="40">
        <f>+IFERROR((Tabella7[[#This Row],[Dividendi da "Sottozero"]]+Tabella7[[#This Row],[Utili]]*IR)*Tabella7[[#This Row],[% Imp. Div.]],0)*(p=1)</f>
        <v>0</v>
      </c>
      <c r="O62" s="35">
        <f>+Tabella7[[#This Row],[Totale Redditi]]*Soci!G54</f>
        <v>0</v>
      </c>
      <c r="P62" s="35">
        <f>+SUMIF(Assegnazione[Socio],Tabella7[[#This Row],[Socio]],Assegnazione[Valore Normale])</f>
        <v>0</v>
      </c>
      <c r="Q62" s="40">
        <f>+IFERROR(Tabella7[[#This Row],[Valore Normale attribuito]]/Tabella7[[#This Row],[% Cap]],0)*(p=1)</f>
        <v>0</v>
      </c>
      <c r="R62" s="35">
        <f>+IFERROR(MAX(Tabella7[Dividendo teorico distribuito])*Tabella7[[#This Row],[% Cap]]-Tabella7[[#This Row],[Valore Normale attribuito]],0)*(p=1)</f>
        <v>0</v>
      </c>
    </row>
    <row r="63" spans="1:18" x14ac:dyDescent="0.25">
      <c r="A63" s="33" t="str">
        <f>+IF(Soci!B55="","",Soci!B55)</f>
        <v/>
      </c>
      <c r="B63" s="34" t="str">
        <f>+IF(Tabella7[[#This Row],[Socio]]="","",Soci!E55)</f>
        <v/>
      </c>
      <c r="C6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3" s="36" t="str">
        <f>+IF(Tabella7[[#This Row],[Socio]]="","",Tabella7[[#This Row],[Netto assegnato (Costo fiscale del bene in capo al socio)]]/'Tassazione Soci'!$C$12)</f>
        <v/>
      </c>
      <c r="E63" s="41"/>
      <c r="F6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3" s="38">
        <f>+IF(Tabella7[[#This Row],[Socio]]="",0,'Tassazione Soci'!E$9*$B63)</f>
        <v>0</v>
      </c>
      <c r="J63" s="35">
        <f>+(Tabella7[[#This Row],[Riserve]]+Tabella7[[#This Row],[Capitale sociale]])*(p=1)</f>
        <v>0</v>
      </c>
      <c r="K63" s="39">
        <f>+Soci!H55</f>
        <v>0</v>
      </c>
      <c r="L63" s="37" t="str">
        <f>+IF(Tabella7[[#This Row],[Socio]]="","",MAX(0,Soci!F55-Tabella7[[#This Row],[Riserve]])+(p=3)*(Tabella7[[#This Row],[% Beni]]*DATI!$E$34))</f>
        <v/>
      </c>
      <c r="M63" s="37">
        <f>+(Tabella7[[#This Row],[Totale attribuito]]-Soci!F55)*((Tabella7[[#This Row],[Totale attribuito]]-Soci!F55)&gt;0)</f>
        <v>0</v>
      </c>
      <c r="N63" s="40">
        <f>+IFERROR((Tabella7[[#This Row],[Dividendi da "Sottozero"]]+Tabella7[[#This Row],[Utili]]*IR)*Tabella7[[#This Row],[% Imp. Div.]],0)*(p=1)</f>
        <v>0</v>
      </c>
      <c r="O63" s="35">
        <f>+Tabella7[[#This Row],[Totale Redditi]]*Soci!G55</f>
        <v>0</v>
      </c>
      <c r="P63" s="35">
        <f>+SUMIF(Assegnazione[Socio],Tabella7[[#This Row],[Socio]],Assegnazione[Valore Normale])</f>
        <v>0</v>
      </c>
      <c r="Q63" s="40">
        <f>+IFERROR(Tabella7[[#This Row],[Valore Normale attribuito]]/Tabella7[[#This Row],[% Cap]],0)*(p=1)</f>
        <v>0</v>
      </c>
      <c r="R63" s="35">
        <f>+IFERROR(MAX(Tabella7[Dividendo teorico distribuito])*Tabella7[[#This Row],[% Cap]]-Tabella7[[#This Row],[Valore Normale attribuito]],0)*(p=1)</f>
        <v>0</v>
      </c>
    </row>
    <row r="64" spans="1:18" x14ac:dyDescent="0.25">
      <c r="A64" s="33" t="str">
        <f>+IF(Soci!B56="","",Soci!B56)</f>
        <v/>
      </c>
      <c r="B64" s="34" t="str">
        <f>+IF(Tabella7[[#This Row],[Socio]]="","",Soci!E56)</f>
        <v/>
      </c>
      <c r="C6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4" s="36" t="str">
        <f>+IF(Tabella7[[#This Row],[Socio]]="","",Tabella7[[#This Row],[Netto assegnato (Costo fiscale del bene in capo al socio)]]/'Tassazione Soci'!$C$12)</f>
        <v/>
      </c>
      <c r="E64" s="41"/>
      <c r="F6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4" s="38">
        <f>+IF(Tabella7[[#This Row],[Socio]]="",0,'Tassazione Soci'!E$9*$B64)</f>
        <v>0</v>
      </c>
      <c r="J64" s="35">
        <f>+(Tabella7[[#This Row],[Riserve]]+Tabella7[[#This Row],[Capitale sociale]])*(p=1)</f>
        <v>0</v>
      </c>
      <c r="K64" s="39">
        <f>+Soci!H56</f>
        <v>0</v>
      </c>
      <c r="L64" s="37" t="str">
        <f>+IF(Tabella7[[#This Row],[Socio]]="","",MAX(0,Soci!F56-Tabella7[[#This Row],[Riserve]])+(p=3)*(Tabella7[[#This Row],[% Beni]]*DATI!$E$34))</f>
        <v/>
      </c>
      <c r="M64" s="37">
        <f>+(Tabella7[[#This Row],[Totale attribuito]]-Soci!F56)*((Tabella7[[#This Row],[Totale attribuito]]-Soci!F56)&gt;0)</f>
        <v>0</v>
      </c>
      <c r="N64" s="40">
        <f>+IFERROR((Tabella7[[#This Row],[Dividendi da "Sottozero"]]+Tabella7[[#This Row],[Utili]]*IR)*Tabella7[[#This Row],[% Imp. Div.]],0)*(p=1)</f>
        <v>0</v>
      </c>
      <c r="O64" s="35">
        <f>+Tabella7[[#This Row],[Totale Redditi]]*Soci!G56</f>
        <v>0</v>
      </c>
      <c r="P64" s="35">
        <f>+SUMIF(Assegnazione[Socio],Tabella7[[#This Row],[Socio]],Assegnazione[Valore Normale])</f>
        <v>0</v>
      </c>
      <c r="Q64" s="40">
        <f>+IFERROR(Tabella7[[#This Row],[Valore Normale attribuito]]/Tabella7[[#This Row],[% Cap]],0)*(p=1)</f>
        <v>0</v>
      </c>
      <c r="R64" s="35">
        <f>+IFERROR(MAX(Tabella7[Dividendo teorico distribuito])*Tabella7[[#This Row],[% Cap]]-Tabella7[[#This Row],[Valore Normale attribuito]],0)*(p=1)</f>
        <v>0</v>
      </c>
    </row>
    <row r="65" spans="1:18" x14ac:dyDescent="0.25">
      <c r="A65" s="33" t="str">
        <f>+IF(Soci!B57="","",Soci!B57)</f>
        <v/>
      </c>
      <c r="B65" s="34" t="str">
        <f>+IF(Tabella7[[#This Row],[Socio]]="","",Soci!E57)</f>
        <v/>
      </c>
      <c r="C6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5" s="36" t="str">
        <f>+IF(Tabella7[[#This Row],[Socio]]="","",Tabella7[[#This Row],[Netto assegnato (Costo fiscale del bene in capo al socio)]]/'Tassazione Soci'!$C$12)</f>
        <v/>
      </c>
      <c r="E65" s="41"/>
      <c r="F6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5" s="38">
        <f>+IF(Tabella7[[#This Row],[Socio]]="",0,'Tassazione Soci'!E$9*$B65)</f>
        <v>0</v>
      </c>
      <c r="J65" s="35">
        <f>+(Tabella7[[#This Row],[Riserve]]+Tabella7[[#This Row],[Capitale sociale]])*(p=1)</f>
        <v>0</v>
      </c>
      <c r="K65" s="39">
        <f>+Soci!H57</f>
        <v>0</v>
      </c>
      <c r="L65" s="37" t="str">
        <f>+IF(Tabella7[[#This Row],[Socio]]="","",MAX(0,Soci!F57-Tabella7[[#This Row],[Riserve]])+(p=3)*(Tabella7[[#This Row],[% Beni]]*DATI!$E$34))</f>
        <v/>
      </c>
      <c r="M65" s="37">
        <f>+(Tabella7[[#This Row],[Totale attribuito]]-Soci!F57)*((Tabella7[[#This Row],[Totale attribuito]]-Soci!F57)&gt;0)</f>
        <v>0</v>
      </c>
      <c r="N65" s="40">
        <f>+IFERROR((Tabella7[[#This Row],[Dividendi da "Sottozero"]]+Tabella7[[#This Row],[Utili]]*IR)*Tabella7[[#This Row],[% Imp. Div.]],0)*(p=1)</f>
        <v>0</v>
      </c>
      <c r="O65" s="35">
        <f>+Tabella7[[#This Row],[Totale Redditi]]*Soci!G57</f>
        <v>0</v>
      </c>
      <c r="P65" s="35">
        <f>+SUMIF(Assegnazione[Socio],Tabella7[[#This Row],[Socio]],Assegnazione[Valore Normale])</f>
        <v>0</v>
      </c>
      <c r="Q65" s="40">
        <f>+IFERROR(Tabella7[[#This Row],[Valore Normale attribuito]]/Tabella7[[#This Row],[% Cap]],0)*(p=1)</f>
        <v>0</v>
      </c>
      <c r="R65" s="35">
        <f>+IFERROR(MAX(Tabella7[Dividendo teorico distribuito])*Tabella7[[#This Row],[% Cap]]-Tabella7[[#This Row],[Valore Normale attribuito]],0)*(p=1)</f>
        <v>0</v>
      </c>
    </row>
    <row r="66" spans="1:18" x14ac:dyDescent="0.25">
      <c r="A66" s="33" t="str">
        <f>+IF(Soci!B58="","",Soci!B58)</f>
        <v/>
      </c>
      <c r="B66" s="34" t="str">
        <f>+IF(Tabella7[[#This Row],[Socio]]="","",Soci!E58)</f>
        <v/>
      </c>
      <c r="C6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6" s="36" t="str">
        <f>+IF(Tabella7[[#This Row],[Socio]]="","",Tabella7[[#This Row],[Netto assegnato (Costo fiscale del bene in capo al socio)]]/'Tassazione Soci'!$C$12)</f>
        <v/>
      </c>
      <c r="E66" s="41"/>
      <c r="F6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6" s="38">
        <f>+IF(Tabella7[[#This Row],[Socio]]="",0,'Tassazione Soci'!E$9*$B66)</f>
        <v>0</v>
      </c>
      <c r="J66" s="35">
        <f>+(Tabella7[[#This Row],[Riserve]]+Tabella7[[#This Row],[Capitale sociale]])*(p=1)</f>
        <v>0</v>
      </c>
      <c r="K66" s="39">
        <f>+Soci!H58</f>
        <v>0</v>
      </c>
      <c r="L66" s="37" t="str">
        <f>+IF(Tabella7[[#This Row],[Socio]]="","",MAX(0,Soci!F58-Tabella7[[#This Row],[Riserve]])+(p=3)*(Tabella7[[#This Row],[% Beni]]*DATI!$E$34))</f>
        <v/>
      </c>
      <c r="M66" s="37">
        <f>+(Tabella7[[#This Row],[Totale attribuito]]-Soci!F58)*((Tabella7[[#This Row],[Totale attribuito]]-Soci!F58)&gt;0)</f>
        <v>0</v>
      </c>
      <c r="N66" s="40">
        <f>+IFERROR((Tabella7[[#This Row],[Dividendi da "Sottozero"]]+Tabella7[[#This Row],[Utili]]*IR)*Tabella7[[#This Row],[% Imp. Div.]],0)*(p=1)</f>
        <v>0</v>
      </c>
      <c r="O66" s="35">
        <f>+Tabella7[[#This Row],[Totale Redditi]]*Soci!G58</f>
        <v>0</v>
      </c>
      <c r="P66" s="35">
        <f>+SUMIF(Assegnazione[Socio],Tabella7[[#This Row],[Socio]],Assegnazione[Valore Normale])</f>
        <v>0</v>
      </c>
      <c r="Q66" s="40">
        <f>+IFERROR(Tabella7[[#This Row],[Valore Normale attribuito]]/Tabella7[[#This Row],[% Cap]],0)*(p=1)</f>
        <v>0</v>
      </c>
      <c r="R66" s="35">
        <f>+IFERROR(MAX(Tabella7[Dividendo teorico distribuito])*Tabella7[[#This Row],[% Cap]]-Tabella7[[#This Row],[Valore Normale attribuito]],0)*(p=1)</f>
        <v>0</v>
      </c>
    </row>
    <row r="67" spans="1:18" x14ac:dyDescent="0.25">
      <c r="A67" s="33" t="str">
        <f>+IF(Soci!B59="","",Soci!B59)</f>
        <v/>
      </c>
      <c r="B67" s="34" t="str">
        <f>+IF(Tabella7[[#This Row],[Socio]]="","",Soci!E59)</f>
        <v/>
      </c>
      <c r="C6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7" s="36" t="str">
        <f>+IF(Tabella7[[#This Row],[Socio]]="","",Tabella7[[#This Row],[Netto assegnato (Costo fiscale del bene in capo al socio)]]/'Tassazione Soci'!$C$12)</f>
        <v/>
      </c>
      <c r="E67" s="41"/>
      <c r="F6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7" s="38">
        <f>+IF(Tabella7[[#This Row],[Socio]]="",0,'Tassazione Soci'!E$9*$B67)</f>
        <v>0</v>
      </c>
      <c r="J67" s="35">
        <f>+(Tabella7[[#This Row],[Riserve]]+Tabella7[[#This Row],[Capitale sociale]])*(p=1)</f>
        <v>0</v>
      </c>
      <c r="K67" s="39">
        <f>+Soci!H59</f>
        <v>0</v>
      </c>
      <c r="L67" s="37" t="str">
        <f>+IF(Tabella7[[#This Row],[Socio]]="","",MAX(0,Soci!F59-Tabella7[[#This Row],[Riserve]])+(p=3)*(Tabella7[[#This Row],[% Beni]]*DATI!$E$34))</f>
        <v/>
      </c>
      <c r="M67" s="37">
        <f>+(Tabella7[[#This Row],[Totale attribuito]]-Soci!F59)*((Tabella7[[#This Row],[Totale attribuito]]-Soci!F59)&gt;0)</f>
        <v>0</v>
      </c>
      <c r="N67" s="40">
        <f>+IFERROR((Tabella7[[#This Row],[Dividendi da "Sottozero"]]+Tabella7[[#This Row],[Utili]]*IR)*Tabella7[[#This Row],[% Imp. Div.]],0)*(p=1)</f>
        <v>0</v>
      </c>
      <c r="O67" s="35">
        <f>+Tabella7[[#This Row],[Totale Redditi]]*Soci!G59</f>
        <v>0</v>
      </c>
      <c r="P67" s="35">
        <f>+SUMIF(Assegnazione[Socio],Tabella7[[#This Row],[Socio]],Assegnazione[Valore Normale])</f>
        <v>0</v>
      </c>
      <c r="Q67" s="40">
        <f>+IFERROR(Tabella7[[#This Row],[Valore Normale attribuito]]/Tabella7[[#This Row],[% Cap]],0)*(p=1)</f>
        <v>0</v>
      </c>
      <c r="R67" s="35">
        <f>+IFERROR(MAX(Tabella7[Dividendo teorico distribuito])*Tabella7[[#This Row],[% Cap]]-Tabella7[[#This Row],[Valore Normale attribuito]],0)*(p=1)</f>
        <v>0</v>
      </c>
    </row>
    <row r="68" spans="1:18" x14ac:dyDescent="0.25">
      <c r="A68" s="33" t="str">
        <f>+IF(Soci!B60="","",Soci!B60)</f>
        <v/>
      </c>
      <c r="B68" s="34" t="str">
        <f>+IF(Tabella7[[#This Row],[Socio]]="","",Soci!E60)</f>
        <v/>
      </c>
      <c r="C6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8" s="36" t="str">
        <f>+IF(Tabella7[[#This Row],[Socio]]="","",Tabella7[[#This Row],[Netto assegnato (Costo fiscale del bene in capo al socio)]]/'Tassazione Soci'!$C$12)</f>
        <v/>
      </c>
      <c r="E68" s="41"/>
      <c r="F6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8" s="38">
        <f>+IF(Tabella7[[#This Row],[Socio]]="",0,'Tassazione Soci'!E$9*$B68)</f>
        <v>0</v>
      </c>
      <c r="J68" s="35">
        <f>+(Tabella7[[#This Row],[Riserve]]+Tabella7[[#This Row],[Capitale sociale]])*(p=1)</f>
        <v>0</v>
      </c>
      <c r="K68" s="39">
        <f>+Soci!H60</f>
        <v>0</v>
      </c>
      <c r="L68" s="37" t="str">
        <f>+IF(Tabella7[[#This Row],[Socio]]="","",MAX(0,Soci!F60-Tabella7[[#This Row],[Riserve]])+(p=3)*(Tabella7[[#This Row],[% Beni]]*DATI!$E$34))</f>
        <v/>
      </c>
      <c r="M68" s="37">
        <f>+(Tabella7[[#This Row],[Totale attribuito]]-Soci!F60)*((Tabella7[[#This Row],[Totale attribuito]]-Soci!F60)&gt;0)</f>
        <v>0</v>
      </c>
      <c r="N68" s="40">
        <f>+IFERROR((Tabella7[[#This Row],[Dividendi da "Sottozero"]]+Tabella7[[#This Row],[Utili]]*IR)*Tabella7[[#This Row],[% Imp. Div.]],0)*(p=1)</f>
        <v>0</v>
      </c>
      <c r="O68" s="35">
        <f>+Tabella7[[#This Row],[Totale Redditi]]*Soci!G60</f>
        <v>0</v>
      </c>
      <c r="P68" s="35">
        <f>+SUMIF(Assegnazione[Socio],Tabella7[[#This Row],[Socio]],Assegnazione[Valore Normale])</f>
        <v>0</v>
      </c>
      <c r="Q68" s="40">
        <f>+IFERROR(Tabella7[[#This Row],[Valore Normale attribuito]]/Tabella7[[#This Row],[% Cap]],0)*(p=1)</f>
        <v>0</v>
      </c>
      <c r="R68" s="35">
        <f>+IFERROR(MAX(Tabella7[Dividendo teorico distribuito])*Tabella7[[#This Row],[% Cap]]-Tabella7[[#This Row],[Valore Normale attribuito]],0)*(p=1)</f>
        <v>0</v>
      </c>
    </row>
    <row r="69" spans="1:18" x14ac:dyDescent="0.25">
      <c r="A69" s="33" t="str">
        <f>+IF(Soci!B61="","",Soci!B61)</f>
        <v/>
      </c>
      <c r="B69" s="34" t="str">
        <f>+IF(Tabella7[[#This Row],[Socio]]="","",Soci!E61)</f>
        <v/>
      </c>
      <c r="C6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9" s="36" t="str">
        <f>+IF(Tabella7[[#This Row],[Socio]]="","",Tabella7[[#This Row],[Netto assegnato (Costo fiscale del bene in capo al socio)]]/'Tassazione Soci'!$C$12)</f>
        <v/>
      </c>
      <c r="E69" s="41"/>
      <c r="F6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9" s="38">
        <f>+IF(Tabella7[[#This Row],[Socio]]="",0,'Tassazione Soci'!E$9*$B69)</f>
        <v>0</v>
      </c>
      <c r="J69" s="35">
        <f>+(Tabella7[[#This Row],[Riserve]]+Tabella7[[#This Row],[Capitale sociale]])*(p=1)</f>
        <v>0</v>
      </c>
      <c r="K69" s="39">
        <f>+Soci!H61</f>
        <v>0</v>
      </c>
      <c r="L69" s="37" t="str">
        <f>+IF(Tabella7[[#This Row],[Socio]]="","",MAX(0,Soci!F61-Tabella7[[#This Row],[Riserve]])+(p=3)*(Tabella7[[#This Row],[% Beni]]*DATI!$E$34))</f>
        <v/>
      </c>
      <c r="M69" s="37">
        <f>+(Tabella7[[#This Row],[Totale attribuito]]-Soci!F61)*((Tabella7[[#This Row],[Totale attribuito]]-Soci!F61)&gt;0)</f>
        <v>0</v>
      </c>
      <c r="N69" s="40">
        <f>+IFERROR((Tabella7[[#This Row],[Dividendi da "Sottozero"]]+Tabella7[[#This Row],[Utili]]*IR)*Tabella7[[#This Row],[% Imp. Div.]],0)*(p=1)</f>
        <v>0</v>
      </c>
      <c r="O69" s="35">
        <f>+Tabella7[[#This Row],[Totale Redditi]]*Soci!G61</f>
        <v>0</v>
      </c>
      <c r="P69" s="35">
        <f>+SUMIF(Assegnazione[Socio],Tabella7[[#This Row],[Socio]],Assegnazione[Valore Normale])</f>
        <v>0</v>
      </c>
      <c r="Q69" s="40">
        <f>+IFERROR(Tabella7[[#This Row],[Valore Normale attribuito]]/Tabella7[[#This Row],[% Cap]],0)*(p=1)</f>
        <v>0</v>
      </c>
      <c r="R69" s="35">
        <f>+IFERROR(MAX(Tabella7[Dividendo teorico distribuito])*Tabella7[[#This Row],[% Cap]]-Tabella7[[#This Row],[Valore Normale attribuito]],0)*(p=1)</f>
        <v>0</v>
      </c>
    </row>
    <row r="70" spans="1:18" x14ac:dyDescent="0.25">
      <c r="A70" s="33" t="str">
        <f>+IF(Soci!B62="","",Soci!B62)</f>
        <v/>
      </c>
      <c r="B70" s="34" t="str">
        <f>+IF(Tabella7[[#This Row],[Socio]]="","",Soci!E62)</f>
        <v/>
      </c>
      <c r="C7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0" s="36" t="str">
        <f>+IF(Tabella7[[#This Row],[Socio]]="","",Tabella7[[#This Row],[Netto assegnato (Costo fiscale del bene in capo al socio)]]/'Tassazione Soci'!$C$12)</f>
        <v/>
      </c>
      <c r="E70" s="41"/>
      <c r="F7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0" s="38">
        <f>+IF(Tabella7[[#This Row],[Socio]]="",0,'Tassazione Soci'!E$9*$B70)</f>
        <v>0</v>
      </c>
      <c r="J70" s="35">
        <f>+(Tabella7[[#This Row],[Riserve]]+Tabella7[[#This Row],[Capitale sociale]])*(p=1)</f>
        <v>0</v>
      </c>
      <c r="K70" s="39">
        <f>+Soci!H62</f>
        <v>0</v>
      </c>
      <c r="L70" s="37" t="str">
        <f>+IF(Tabella7[[#This Row],[Socio]]="","",MAX(0,Soci!F62-Tabella7[[#This Row],[Riserve]])+(p=3)*(Tabella7[[#This Row],[% Beni]]*DATI!$E$34))</f>
        <v/>
      </c>
      <c r="M70" s="37">
        <f>+(Tabella7[[#This Row],[Totale attribuito]]-Soci!F62)*((Tabella7[[#This Row],[Totale attribuito]]-Soci!F62)&gt;0)</f>
        <v>0</v>
      </c>
      <c r="N70" s="40">
        <f>+IFERROR((Tabella7[[#This Row],[Dividendi da "Sottozero"]]+Tabella7[[#This Row],[Utili]]*IR)*Tabella7[[#This Row],[% Imp. Div.]],0)*(p=1)</f>
        <v>0</v>
      </c>
      <c r="O70" s="35">
        <f>+Tabella7[[#This Row],[Totale Redditi]]*Soci!G62</f>
        <v>0</v>
      </c>
      <c r="P70" s="35">
        <f>+SUMIF(Assegnazione[Socio],Tabella7[[#This Row],[Socio]],Assegnazione[Valore Normale])</f>
        <v>0</v>
      </c>
      <c r="Q70" s="40">
        <f>+IFERROR(Tabella7[[#This Row],[Valore Normale attribuito]]/Tabella7[[#This Row],[% Cap]],0)*(p=1)</f>
        <v>0</v>
      </c>
      <c r="R70" s="35">
        <f>+IFERROR(MAX(Tabella7[Dividendo teorico distribuito])*Tabella7[[#This Row],[% Cap]]-Tabella7[[#This Row],[Valore Normale attribuito]],0)*(p=1)</f>
        <v>0</v>
      </c>
    </row>
    <row r="71" spans="1:18" x14ac:dyDescent="0.25">
      <c r="A71" s="33" t="str">
        <f>+IF(Soci!B63="","",Soci!B63)</f>
        <v/>
      </c>
      <c r="B71" s="34" t="str">
        <f>+IF(Tabella7[[#This Row],[Socio]]="","",Soci!E63)</f>
        <v/>
      </c>
      <c r="C7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1" s="36" t="str">
        <f>+IF(Tabella7[[#This Row],[Socio]]="","",Tabella7[[#This Row],[Netto assegnato (Costo fiscale del bene in capo al socio)]]/'Tassazione Soci'!$C$12)</f>
        <v/>
      </c>
      <c r="E71" s="41"/>
      <c r="F7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1" s="38">
        <f>+IF(Tabella7[[#This Row],[Socio]]="",0,'Tassazione Soci'!E$9*$B71)</f>
        <v>0</v>
      </c>
      <c r="J71" s="35">
        <f>+(Tabella7[[#This Row],[Riserve]]+Tabella7[[#This Row],[Capitale sociale]])*(p=1)</f>
        <v>0</v>
      </c>
      <c r="K71" s="39">
        <f>+Soci!H63</f>
        <v>0</v>
      </c>
      <c r="L71" s="37" t="str">
        <f>+IF(Tabella7[[#This Row],[Socio]]="","",MAX(0,Soci!F63-Tabella7[[#This Row],[Riserve]])+(p=3)*(Tabella7[[#This Row],[% Beni]]*DATI!$E$34))</f>
        <v/>
      </c>
      <c r="M71" s="37">
        <f>+(Tabella7[[#This Row],[Totale attribuito]]-Soci!F63)*((Tabella7[[#This Row],[Totale attribuito]]-Soci!F63)&gt;0)</f>
        <v>0</v>
      </c>
      <c r="N71" s="40">
        <f>+IFERROR((Tabella7[[#This Row],[Dividendi da "Sottozero"]]+Tabella7[[#This Row],[Utili]]*IR)*Tabella7[[#This Row],[% Imp. Div.]],0)*(p=1)</f>
        <v>0</v>
      </c>
      <c r="O71" s="35">
        <f>+Tabella7[[#This Row],[Totale Redditi]]*Soci!G63</f>
        <v>0</v>
      </c>
      <c r="P71" s="35">
        <f>+SUMIF(Assegnazione[Socio],Tabella7[[#This Row],[Socio]],Assegnazione[Valore Normale])</f>
        <v>0</v>
      </c>
      <c r="Q71" s="40">
        <f>+IFERROR(Tabella7[[#This Row],[Valore Normale attribuito]]/Tabella7[[#This Row],[% Cap]],0)*(p=1)</f>
        <v>0</v>
      </c>
      <c r="R71" s="35">
        <f>+IFERROR(MAX(Tabella7[Dividendo teorico distribuito])*Tabella7[[#This Row],[% Cap]]-Tabella7[[#This Row],[Valore Normale attribuito]],0)*(p=1)</f>
        <v>0</v>
      </c>
    </row>
    <row r="72" spans="1:18" x14ac:dyDescent="0.25">
      <c r="A72" s="33" t="str">
        <f>+IF(Soci!B64="","",Soci!B64)</f>
        <v/>
      </c>
      <c r="B72" s="34" t="str">
        <f>+IF(Tabella7[[#This Row],[Socio]]="","",Soci!E64)</f>
        <v/>
      </c>
      <c r="C7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2" s="36" t="str">
        <f>+IF(Tabella7[[#This Row],[Socio]]="","",Tabella7[[#This Row],[Netto assegnato (Costo fiscale del bene in capo al socio)]]/'Tassazione Soci'!$C$12)</f>
        <v/>
      </c>
      <c r="E72" s="41"/>
      <c r="F7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2" s="38">
        <f>+IF(Tabella7[[#This Row],[Socio]]="",0,'Tassazione Soci'!E$9*$B72)</f>
        <v>0</v>
      </c>
      <c r="J72" s="35">
        <f>+(Tabella7[[#This Row],[Riserve]]+Tabella7[[#This Row],[Capitale sociale]])*(p=1)</f>
        <v>0</v>
      </c>
      <c r="K72" s="39">
        <f>+Soci!H64</f>
        <v>0</v>
      </c>
      <c r="L72" s="37" t="str">
        <f>+IF(Tabella7[[#This Row],[Socio]]="","",MAX(0,Soci!F64-Tabella7[[#This Row],[Riserve]])+(p=3)*(Tabella7[[#This Row],[% Beni]]*DATI!$E$34))</f>
        <v/>
      </c>
      <c r="M72" s="37">
        <f>+(Tabella7[[#This Row],[Totale attribuito]]-Soci!F64)*((Tabella7[[#This Row],[Totale attribuito]]-Soci!F64)&gt;0)</f>
        <v>0</v>
      </c>
      <c r="N72" s="40">
        <f>+IFERROR((Tabella7[[#This Row],[Dividendi da "Sottozero"]]+Tabella7[[#This Row],[Utili]]*IR)*Tabella7[[#This Row],[% Imp. Div.]],0)*(p=1)</f>
        <v>0</v>
      </c>
      <c r="O72" s="35">
        <f>+Tabella7[[#This Row],[Totale Redditi]]*Soci!G64</f>
        <v>0</v>
      </c>
      <c r="P72" s="35">
        <f>+SUMIF(Assegnazione[Socio],Tabella7[[#This Row],[Socio]],Assegnazione[Valore Normale])</f>
        <v>0</v>
      </c>
      <c r="Q72" s="40">
        <f>+IFERROR(Tabella7[[#This Row],[Valore Normale attribuito]]/Tabella7[[#This Row],[% Cap]],0)*(p=1)</f>
        <v>0</v>
      </c>
      <c r="R72" s="35">
        <f>+IFERROR(MAX(Tabella7[Dividendo teorico distribuito])*Tabella7[[#This Row],[% Cap]]-Tabella7[[#This Row],[Valore Normale attribuito]],0)*(p=1)</f>
        <v>0</v>
      </c>
    </row>
    <row r="73" spans="1:18" x14ac:dyDescent="0.25">
      <c r="A73" s="33" t="str">
        <f>+IF(Soci!B65="","",Soci!B65)</f>
        <v/>
      </c>
      <c r="B73" s="34" t="str">
        <f>+IF(Tabella7[[#This Row],[Socio]]="","",Soci!E65)</f>
        <v/>
      </c>
      <c r="C7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3" s="36" t="str">
        <f>+IF(Tabella7[[#This Row],[Socio]]="","",Tabella7[[#This Row],[Netto assegnato (Costo fiscale del bene in capo al socio)]]/'Tassazione Soci'!$C$12)</f>
        <v/>
      </c>
      <c r="E73" s="41"/>
      <c r="F7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3" s="38">
        <f>+IF(Tabella7[[#This Row],[Socio]]="",0,'Tassazione Soci'!E$9*$B73)</f>
        <v>0</v>
      </c>
      <c r="J73" s="35">
        <f>+(Tabella7[[#This Row],[Riserve]]+Tabella7[[#This Row],[Capitale sociale]])*(p=1)</f>
        <v>0</v>
      </c>
      <c r="K73" s="39">
        <f>+Soci!H65</f>
        <v>0</v>
      </c>
      <c r="L73" s="37" t="str">
        <f>+IF(Tabella7[[#This Row],[Socio]]="","",MAX(0,Soci!F65-Tabella7[[#This Row],[Riserve]])+(p=3)*(Tabella7[[#This Row],[% Beni]]*DATI!$E$34))</f>
        <v/>
      </c>
      <c r="M73" s="37">
        <f>+(Tabella7[[#This Row],[Totale attribuito]]-Soci!F65)*((Tabella7[[#This Row],[Totale attribuito]]-Soci!F65)&gt;0)</f>
        <v>0</v>
      </c>
      <c r="N73" s="40">
        <f>+IFERROR((Tabella7[[#This Row],[Dividendi da "Sottozero"]]+Tabella7[[#This Row],[Utili]]*IR)*Tabella7[[#This Row],[% Imp. Div.]],0)*(p=1)</f>
        <v>0</v>
      </c>
      <c r="O73" s="35">
        <f>+Tabella7[[#This Row],[Totale Redditi]]*Soci!G65</f>
        <v>0</v>
      </c>
      <c r="P73" s="35">
        <f>+SUMIF(Assegnazione[Socio],Tabella7[[#This Row],[Socio]],Assegnazione[Valore Normale])</f>
        <v>0</v>
      </c>
      <c r="Q73" s="40">
        <f>+IFERROR(Tabella7[[#This Row],[Valore Normale attribuito]]/Tabella7[[#This Row],[% Cap]],0)*(p=1)</f>
        <v>0</v>
      </c>
      <c r="R73" s="35">
        <f>+IFERROR(MAX(Tabella7[Dividendo teorico distribuito])*Tabella7[[#This Row],[% Cap]]-Tabella7[[#This Row],[Valore Normale attribuito]],0)*(p=1)</f>
        <v>0</v>
      </c>
    </row>
    <row r="74" spans="1:18" x14ac:dyDescent="0.25">
      <c r="A74" s="33" t="str">
        <f>+IF(Soci!B66="","",Soci!B66)</f>
        <v/>
      </c>
      <c r="B74" s="34" t="str">
        <f>+IF(Tabella7[[#This Row],[Socio]]="","",Soci!E66)</f>
        <v/>
      </c>
      <c r="C7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4" s="36" t="str">
        <f>+IF(Tabella7[[#This Row],[Socio]]="","",Tabella7[[#This Row],[Netto assegnato (Costo fiscale del bene in capo al socio)]]/'Tassazione Soci'!$C$12)</f>
        <v/>
      </c>
      <c r="E74" s="41"/>
      <c r="F7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4" s="38">
        <f>+IF(Tabella7[[#This Row],[Socio]]="",0,'Tassazione Soci'!E$9*$B74)</f>
        <v>0</v>
      </c>
      <c r="J74" s="35">
        <f>+(Tabella7[[#This Row],[Riserve]]+Tabella7[[#This Row],[Capitale sociale]])*(p=1)</f>
        <v>0</v>
      </c>
      <c r="K74" s="39">
        <f>+Soci!H66</f>
        <v>0</v>
      </c>
      <c r="L74" s="37" t="str">
        <f>+IF(Tabella7[[#This Row],[Socio]]="","",MAX(0,Soci!F66-Tabella7[[#This Row],[Riserve]])+(p=3)*(Tabella7[[#This Row],[% Beni]]*DATI!$E$34))</f>
        <v/>
      </c>
      <c r="M74" s="37">
        <f>+(Tabella7[[#This Row],[Totale attribuito]]-Soci!F66)*((Tabella7[[#This Row],[Totale attribuito]]-Soci!F66)&gt;0)</f>
        <v>0</v>
      </c>
      <c r="N74" s="40">
        <f>+IFERROR((Tabella7[[#This Row],[Dividendi da "Sottozero"]]+Tabella7[[#This Row],[Utili]]*IR)*Tabella7[[#This Row],[% Imp. Div.]],0)*(p=1)</f>
        <v>0</v>
      </c>
      <c r="O74" s="35">
        <f>+Tabella7[[#This Row],[Totale Redditi]]*Soci!G66</f>
        <v>0</v>
      </c>
      <c r="P74" s="35">
        <f>+SUMIF(Assegnazione[Socio],Tabella7[[#This Row],[Socio]],Assegnazione[Valore Normale])</f>
        <v>0</v>
      </c>
      <c r="Q74" s="40">
        <f>+IFERROR(Tabella7[[#This Row],[Valore Normale attribuito]]/Tabella7[[#This Row],[% Cap]],0)*(p=1)</f>
        <v>0</v>
      </c>
      <c r="R74" s="35">
        <f>+IFERROR(MAX(Tabella7[Dividendo teorico distribuito])*Tabella7[[#This Row],[% Cap]]-Tabella7[[#This Row],[Valore Normale attribuito]],0)*(p=1)</f>
        <v>0</v>
      </c>
    </row>
    <row r="75" spans="1:18" x14ac:dyDescent="0.25">
      <c r="A75" s="33" t="str">
        <f>+IF(Soci!B67="","",Soci!B67)</f>
        <v/>
      </c>
      <c r="B75" s="34" t="str">
        <f>+IF(Tabella7[[#This Row],[Socio]]="","",Soci!E67)</f>
        <v/>
      </c>
      <c r="C7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5" s="36" t="str">
        <f>+IF(Tabella7[[#This Row],[Socio]]="","",Tabella7[[#This Row],[Netto assegnato (Costo fiscale del bene in capo al socio)]]/'Tassazione Soci'!$C$12)</f>
        <v/>
      </c>
      <c r="E75" s="41"/>
      <c r="F7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5" s="38">
        <f>+IF(Tabella7[[#This Row],[Socio]]="",0,'Tassazione Soci'!E$9*$B75)</f>
        <v>0</v>
      </c>
      <c r="J75" s="35">
        <f>+(Tabella7[[#This Row],[Riserve]]+Tabella7[[#This Row],[Capitale sociale]])*(p=1)</f>
        <v>0</v>
      </c>
      <c r="K75" s="39">
        <f>+Soci!H67</f>
        <v>0</v>
      </c>
      <c r="L75" s="37" t="str">
        <f>+IF(Tabella7[[#This Row],[Socio]]="","",MAX(0,Soci!F67-Tabella7[[#This Row],[Riserve]])+(p=3)*(Tabella7[[#This Row],[% Beni]]*DATI!$E$34))</f>
        <v/>
      </c>
      <c r="M75" s="37">
        <f>+(Tabella7[[#This Row],[Totale attribuito]]-Soci!F67)*((Tabella7[[#This Row],[Totale attribuito]]-Soci!F67)&gt;0)</f>
        <v>0</v>
      </c>
      <c r="N75" s="40">
        <f>+IFERROR((Tabella7[[#This Row],[Dividendi da "Sottozero"]]+Tabella7[[#This Row],[Utili]]*IR)*Tabella7[[#This Row],[% Imp. Div.]],0)*(p=1)</f>
        <v>0</v>
      </c>
      <c r="O75" s="35">
        <f>+Tabella7[[#This Row],[Totale Redditi]]*Soci!G67</f>
        <v>0</v>
      </c>
      <c r="P75" s="35">
        <f>+SUMIF(Assegnazione[Socio],Tabella7[[#This Row],[Socio]],Assegnazione[Valore Normale])</f>
        <v>0</v>
      </c>
      <c r="Q75" s="40">
        <f>+IFERROR(Tabella7[[#This Row],[Valore Normale attribuito]]/Tabella7[[#This Row],[% Cap]],0)*(p=1)</f>
        <v>0</v>
      </c>
      <c r="R75" s="35">
        <f>+IFERROR(MAX(Tabella7[Dividendo teorico distribuito])*Tabella7[[#This Row],[% Cap]]-Tabella7[[#This Row],[Valore Normale attribuito]],0)*(p=1)</f>
        <v>0</v>
      </c>
    </row>
    <row r="76" spans="1:18" x14ac:dyDescent="0.25">
      <c r="A76" s="33" t="str">
        <f>+IF(Soci!B68="","",Soci!B68)</f>
        <v/>
      </c>
      <c r="B76" s="34" t="str">
        <f>+IF(Tabella7[[#This Row],[Socio]]="","",Soci!E68)</f>
        <v/>
      </c>
      <c r="C7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6" s="36" t="str">
        <f>+IF(Tabella7[[#This Row],[Socio]]="","",Tabella7[[#This Row],[Netto assegnato (Costo fiscale del bene in capo al socio)]]/'Tassazione Soci'!$C$12)</f>
        <v/>
      </c>
      <c r="E76" s="41"/>
      <c r="F7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6" s="38">
        <f>+IF(Tabella7[[#This Row],[Socio]]="",0,'Tassazione Soci'!E$9*$B76)</f>
        <v>0</v>
      </c>
      <c r="J76" s="35">
        <f>+(Tabella7[[#This Row],[Riserve]]+Tabella7[[#This Row],[Capitale sociale]])*(p=1)</f>
        <v>0</v>
      </c>
      <c r="K76" s="39">
        <f>+Soci!H68</f>
        <v>0</v>
      </c>
      <c r="L76" s="37" t="str">
        <f>+IF(Tabella7[[#This Row],[Socio]]="","",MAX(0,Soci!F68-Tabella7[[#This Row],[Riserve]])+(p=3)*(Tabella7[[#This Row],[% Beni]]*DATI!$E$34))</f>
        <v/>
      </c>
      <c r="M76" s="37">
        <f>+(Tabella7[[#This Row],[Totale attribuito]]-Soci!F68)*((Tabella7[[#This Row],[Totale attribuito]]-Soci!F68)&gt;0)</f>
        <v>0</v>
      </c>
      <c r="N76" s="40">
        <f>+IFERROR((Tabella7[[#This Row],[Dividendi da "Sottozero"]]+Tabella7[[#This Row],[Utili]]*IR)*Tabella7[[#This Row],[% Imp. Div.]],0)*(p=1)</f>
        <v>0</v>
      </c>
      <c r="O76" s="35">
        <f>+Tabella7[[#This Row],[Totale Redditi]]*Soci!G68</f>
        <v>0</v>
      </c>
      <c r="P76" s="35">
        <f>+SUMIF(Assegnazione[Socio],Tabella7[[#This Row],[Socio]],Assegnazione[Valore Normale])</f>
        <v>0</v>
      </c>
      <c r="Q76" s="40">
        <f>+IFERROR(Tabella7[[#This Row],[Valore Normale attribuito]]/Tabella7[[#This Row],[% Cap]],0)*(p=1)</f>
        <v>0</v>
      </c>
      <c r="R76" s="35">
        <f>+IFERROR(MAX(Tabella7[Dividendo teorico distribuito])*Tabella7[[#This Row],[% Cap]]-Tabella7[[#This Row],[Valore Normale attribuito]],0)*(p=1)</f>
        <v>0</v>
      </c>
    </row>
    <row r="77" spans="1:18" x14ac:dyDescent="0.25">
      <c r="A77" s="33" t="str">
        <f>+IF(Soci!B69="","",Soci!B69)</f>
        <v/>
      </c>
      <c r="B77" s="34" t="str">
        <f>+IF(Tabella7[[#This Row],[Socio]]="","",Soci!E69)</f>
        <v/>
      </c>
      <c r="C7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7" s="36" t="str">
        <f>+IF(Tabella7[[#This Row],[Socio]]="","",Tabella7[[#This Row],[Netto assegnato (Costo fiscale del bene in capo al socio)]]/'Tassazione Soci'!$C$12)</f>
        <v/>
      </c>
      <c r="E77" s="41"/>
      <c r="F7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7" s="38">
        <f>+IF(Tabella7[[#This Row],[Socio]]="",0,'Tassazione Soci'!E$9*$B77)</f>
        <v>0</v>
      </c>
      <c r="J77" s="35">
        <f>+(Tabella7[[#This Row],[Riserve]]+Tabella7[[#This Row],[Capitale sociale]])*(p=1)</f>
        <v>0</v>
      </c>
      <c r="K77" s="39">
        <f>+Soci!H69</f>
        <v>0</v>
      </c>
      <c r="L77" s="37" t="str">
        <f>+IF(Tabella7[[#This Row],[Socio]]="","",MAX(0,Soci!F69-Tabella7[[#This Row],[Riserve]])+(p=3)*(Tabella7[[#This Row],[% Beni]]*DATI!$E$34))</f>
        <v/>
      </c>
      <c r="M77" s="37">
        <f>+(Tabella7[[#This Row],[Totale attribuito]]-Soci!F69)*((Tabella7[[#This Row],[Totale attribuito]]-Soci!F69)&gt;0)</f>
        <v>0</v>
      </c>
      <c r="N77" s="40">
        <f>+IFERROR((Tabella7[[#This Row],[Dividendi da "Sottozero"]]+Tabella7[[#This Row],[Utili]]*IR)*Tabella7[[#This Row],[% Imp. Div.]],0)*(p=1)</f>
        <v>0</v>
      </c>
      <c r="O77" s="35">
        <f>+Tabella7[[#This Row],[Totale Redditi]]*Soci!G69</f>
        <v>0</v>
      </c>
      <c r="P77" s="35">
        <f>+SUMIF(Assegnazione[Socio],Tabella7[[#This Row],[Socio]],Assegnazione[Valore Normale])</f>
        <v>0</v>
      </c>
      <c r="Q77" s="40">
        <f>+IFERROR(Tabella7[[#This Row],[Valore Normale attribuito]]/Tabella7[[#This Row],[% Cap]],0)*(p=1)</f>
        <v>0</v>
      </c>
      <c r="R77" s="35">
        <f>+IFERROR(MAX(Tabella7[Dividendo teorico distribuito])*Tabella7[[#This Row],[% Cap]]-Tabella7[[#This Row],[Valore Normale attribuito]],0)*(p=1)</f>
        <v>0</v>
      </c>
    </row>
    <row r="78" spans="1:18" x14ac:dyDescent="0.25">
      <c r="A78" s="33" t="str">
        <f>+IF(Soci!B70="","",Soci!B70)</f>
        <v/>
      </c>
      <c r="B78" s="34" t="str">
        <f>+IF(Tabella7[[#This Row],[Socio]]="","",Soci!E70)</f>
        <v/>
      </c>
      <c r="C7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8" s="36" t="str">
        <f>+IF(Tabella7[[#This Row],[Socio]]="","",Tabella7[[#This Row],[Netto assegnato (Costo fiscale del bene in capo al socio)]]/'Tassazione Soci'!$C$12)</f>
        <v/>
      </c>
      <c r="E78" s="41"/>
      <c r="F7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8" s="38">
        <f>+IF(Tabella7[[#This Row],[Socio]]="",0,'Tassazione Soci'!E$9*$B78)</f>
        <v>0</v>
      </c>
      <c r="J78" s="35">
        <f>+(Tabella7[[#This Row],[Riserve]]+Tabella7[[#This Row],[Capitale sociale]])*(p=1)</f>
        <v>0</v>
      </c>
      <c r="K78" s="39">
        <f>+Soci!H70</f>
        <v>0</v>
      </c>
      <c r="L78" s="37" t="str">
        <f>+IF(Tabella7[[#This Row],[Socio]]="","",MAX(0,Soci!F70-Tabella7[[#This Row],[Riserve]])+(p=3)*(Tabella7[[#This Row],[% Beni]]*DATI!$E$34))</f>
        <v/>
      </c>
      <c r="M78" s="37">
        <f>+(Tabella7[[#This Row],[Totale attribuito]]-Soci!F70)*((Tabella7[[#This Row],[Totale attribuito]]-Soci!F70)&gt;0)</f>
        <v>0</v>
      </c>
      <c r="N78" s="40">
        <f>+IFERROR((Tabella7[[#This Row],[Dividendi da "Sottozero"]]+Tabella7[[#This Row],[Utili]]*IR)*Tabella7[[#This Row],[% Imp. Div.]],0)*(p=1)</f>
        <v>0</v>
      </c>
      <c r="O78" s="35">
        <f>+Tabella7[[#This Row],[Totale Redditi]]*Soci!G70</f>
        <v>0</v>
      </c>
      <c r="P78" s="35">
        <f>+SUMIF(Assegnazione[Socio],Tabella7[[#This Row],[Socio]],Assegnazione[Valore Normale])</f>
        <v>0</v>
      </c>
      <c r="Q78" s="40">
        <f>+IFERROR(Tabella7[[#This Row],[Valore Normale attribuito]]/Tabella7[[#This Row],[% Cap]],0)*(p=1)</f>
        <v>0</v>
      </c>
      <c r="R78" s="35">
        <f>+IFERROR(MAX(Tabella7[Dividendo teorico distribuito])*Tabella7[[#This Row],[% Cap]]-Tabella7[[#This Row],[Valore Normale attribuito]],0)*(p=1)</f>
        <v>0</v>
      </c>
    </row>
    <row r="79" spans="1:18" x14ac:dyDescent="0.25">
      <c r="A79" s="33" t="str">
        <f>+IF(Soci!B71="","",Soci!B71)</f>
        <v/>
      </c>
      <c r="B79" s="34" t="str">
        <f>+IF(Tabella7[[#This Row],[Socio]]="","",Soci!E71)</f>
        <v/>
      </c>
      <c r="C7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9" s="36" t="str">
        <f>+IF(Tabella7[[#This Row],[Socio]]="","",Tabella7[[#This Row],[Netto assegnato (Costo fiscale del bene in capo al socio)]]/'Tassazione Soci'!$C$12)</f>
        <v/>
      </c>
      <c r="E79" s="41"/>
      <c r="F7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9" s="38">
        <f>+IF(Tabella7[[#This Row],[Socio]]="",0,'Tassazione Soci'!E$9*$B79)</f>
        <v>0</v>
      </c>
      <c r="J79" s="35">
        <f>+(Tabella7[[#This Row],[Riserve]]+Tabella7[[#This Row],[Capitale sociale]])*(p=1)</f>
        <v>0</v>
      </c>
      <c r="K79" s="39">
        <f>+Soci!H71</f>
        <v>0</v>
      </c>
      <c r="L79" s="37" t="str">
        <f>+IF(Tabella7[[#This Row],[Socio]]="","",MAX(0,Soci!F71-Tabella7[[#This Row],[Riserve]])+(p=3)*(Tabella7[[#This Row],[% Beni]]*DATI!$E$34))</f>
        <v/>
      </c>
      <c r="M79" s="37">
        <f>+(Tabella7[[#This Row],[Totale attribuito]]-Soci!F71)*((Tabella7[[#This Row],[Totale attribuito]]-Soci!F71)&gt;0)</f>
        <v>0</v>
      </c>
      <c r="N79" s="40">
        <f>+IFERROR((Tabella7[[#This Row],[Dividendi da "Sottozero"]]+Tabella7[[#This Row],[Utili]]*IR)*Tabella7[[#This Row],[% Imp. Div.]],0)*(p=1)</f>
        <v>0</v>
      </c>
      <c r="O79" s="35">
        <f>+Tabella7[[#This Row],[Totale Redditi]]*Soci!G71</f>
        <v>0</v>
      </c>
      <c r="P79" s="35">
        <f>+SUMIF(Assegnazione[Socio],Tabella7[[#This Row],[Socio]],Assegnazione[Valore Normale])</f>
        <v>0</v>
      </c>
      <c r="Q79" s="40">
        <f>+IFERROR(Tabella7[[#This Row],[Valore Normale attribuito]]/Tabella7[[#This Row],[% Cap]],0)*(p=1)</f>
        <v>0</v>
      </c>
      <c r="R79" s="35">
        <f>+IFERROR(MAX(Tabella7[Dividendo teorico distribuito])*Tabella7[[#This Row],[% Cap]]-Tabella7[[#This Row],[Valore Normale attribuito]],0)*(p=1)</f>
        <v>0</v>
      </c>
    </row>
    <row r="80" spans="1:18" x14ac:dyDescent="0.25">
      <c r="A80" s="33" t="str">
        <f>+IF(Soci!B72="","",Soci!B72)</f>
        <v/>
      </c>
      <c r="B80" s="34" t="str">
        <f>+IF(Tabella7[[#This Row],[Socio]]="","",Soci!E72)</f>
        <v/>
      </c>
      <c r="C8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0" s="36" t="str">
        <f>+IF(Tabella7[[#This Row],[Socio]]="","",Tabella7[[#This Row],[Netto assegnato (Costo fiscale del bene in capo al socio)]]/'Tassazione Soci'!$C$12)</f>
        <v/>
      </c>
      <c r="E80" s="41"/>
      <c r="F8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0" s="38">
        <f>+IF(Tabella7[[#This Row],[Socio]]="",0,'Tassazione Soci'!E$9*$B80)</f>
        <v>0</v>
      </c>
      <c r="J80" s="35">
        <f>+(Tabella7[[#This Row],[Riserve]]+Tabella7[[#This Row],[Capitale sociale]])*(p=1)</f>
        <v>0</v>
      </c>
      <c r="K80" s="39">
        <f>+Soci!H72</f>
        <v>0</v>
      </c>
      <c r="L80" s="37" t="str">
        <f>+IF(Tabella7[[#This Row],[Socio]]="","",MAX(0,Soci!F72-Tabella7[[#This Row],[Riserve]])+(p=3)*(Tabella7[[#This Row],[% Beni]]*DATI!$E$34))</f>
        <v/>
      </c>
      <c r="M80" s="37">
        <f>+(Tabella7[[#This Row],[Totale attribuito]]-Soci!F72)*((Tabella7[[#This Row],[Totale attribuito]]-Soci!F72)&gt;0)</f>
        <v>0</v>
      </c>
      <c r="N80" s="40">
        <f>+IFERROR((Tabella7[[#This Row],[Dividendi da "Sottozero"]]+Tabella7[[#This Row],[Utili]]*IR)*Tabella7[[#This Row],[% Imp. Div.]],0)*(p=1)</f>
        <v>0</v>
      </c>
      <c r="O80" s="35">
        <f>+Tabella7[[#This Row],[Totale Redditi]]*Soci!G72</f>
        <v>0</v>
      </c>
      <c r="P80" s="35">
        <f>+SUMIF(Assegnazione[Socio],Tabella7[[#This Row],[Socio]],Assegnazione[Valore Normale])</f>
        <v>0</v>
      </c>
      <c r="Q80" s="40">
        <f>+IFERROR(Tabella7[[#This Row],[Valore Normale attribuito]]/Tabella7[[#This Row],[% Cap]],0)*(p=1)</f>
        <v>0</v>
      </c>
      <c r="R80" s="35">
        <f>+IFERROR(MAX(Tabella7[Dividendo teorico distribuito])*Tabella7[[#This Row],[% Cap]]-Tabella7[[#This Row],[Valore Normale attribuito]],0)*(p=1)</f>
        <v>0</v>
      </c>
    </row>
    <row r="81" spans="1:18" x14ac:dyDescent="0.25">
      <c r="A81" s="33" t="str">
        <f>+IF(Soci!B73="","",Soci!B73)</f>
        <v/>
      </c>
      <c r="B81" s="34" t="str">
        <f>+IF(Tabella7[[#This Row],[Socio]]="","",Soci!E73)</f>
        <v/>
      </c>
      <c r="C8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1" s="36" t="str">
        <f>+IF(Tabella7[[#This Row],[Socio]]="","",Tabella7[[#This Row],[Netto assegnato (Costo fiscale del bene in capo al socio)]]/'Tassazione Soci'!$C$12)</f>
        <v/>
      </c>
      <c r="E81" s="41"/>
      <c r="F8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1" s="38">
        <f>+IF(Tabella7[[#This Row],[Socio]]="",0,'Tassazione Soci'!E$9*$B81)</f>
        <v>0</v>
      </c>
      <c r="J81" s="35">
        <f>+(Tabella7[[#This Row],[Riserve]]+Tabella7[[#This Row],[Capitale sociale]])*(p=1)</f>
        <v>0</v>
      </c>
      <c r="K81" s="39">
        <f>+Soci!H73</f>
        <v>0</v>
      </c>
      <c r="L81" s="37" t="str">
        <f>+IF(Tabella7[[#This Row],[Socio]]="","",MAX(0,Soci!F73-Tabella7[[#This Row],[Riserve]])+(p=3)*(Tabella7[[#This Row],[% Beni]]*DATI!$E$34))</f>
        <v/>
      </c>
      <c r="M81" s="37">
        <f>+(Tabella7[[#This Row],[Totale attribuito]]-Soci!F73)*((Tabella7[[#This Row],[Totale attribuito]]-Soci!F73)&gt;0)</f>
        <v>0</v>
      </c>
      <c r="N81" s="40">
        <f>+IFERROR((Tabella7[[#This Row],[Dividendi da "Sottozero"]]+Tabella7[[#This Row],[Utili]]*IR)*Tabella7[[#This Row],[% Imp. Div.]],0)*(p=1)</f>
        <v>0</v>
      </c>
      <c r="O81" s="35">
        <f>+Tabella7[[#This Row],[Totale Redditi]]*Soci!G73</f>
        <v>0</v>
      </c>
      <c r="P81" s="35">
        <f>+SUMIF(Assegnazione[Socio],Tabella7[[#This Row],[Socio]],Assegnazione[Valore Normale])</f>
        <v>0</v>
      </c>
      <c r="Q81" s="40">
        <f>+IFERROR(Tabella7[[#This Row],[Valore Normale attribuito]]/Tabella7[[#This Row],[% Cap]],0)*(p=1)</f>
        <v>0</v>
      </c>
      <c r="R81" s="35">
        <f>+IFERROR(MAX(Tabella7[Dividendo teorico distribuito])*Tabella7[[#This Row],[% Cap]]-Tabella7[[#This Row],[Valore Normale attribuito]],0)*(p=1)</f>
        <v>0</v>
      </c>
    </row>
    <row r="82" spans="1:18" x14ac:dyDescent="0.25">
      <c r="A82" s="33" t="str">
        <f>+IF(Soci!B74="","",Soci!B74)</f>
        <v/>
      </c>
      <c r="B82" s="34" t="str">
        <f>+IF(Tabella7[[#This Row],[Socio]]="","",Soci!E74)</f>
        <v/>
      </c>
      <c r="C8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2" s="36" t="str">
        <f>+IF(Tabella7[[#This Row],[Socio]]="","",Tabella7[[#This Row],[Netto assegnato (Costo fiscale del bene in capo al socio)]]/'Tassazione Soci'!$C$12)</f>
        <v/>
      </c>
      <c r="E82" s="41"/>
      <c r="F8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2" s="38">
        <f>+IF(Tabella7[[#This Row],[Socio]]="",0,'Tassazione Soci'!E$9*$B82)</f>
        <v>0</v>
      </c>
      <c r="J82" s="35">
        <f>+(Tabella7[[#This Row],[Riserve]]+Tabella7[[#This Row],[Capitale sociale]])*(p=1)</f>
        <v>0</v>
      </c>
      <c r="K82" s="39">
        <f>+Soci!H74</f>
        <v>0</v>
      </c>
      <c r="L82" s="37" t="str">
        <f>+IF(Tabella7[[#This Row],[Socio]]="","",MAX(0,Soci!F74-Tabella7[[#This Row],[Riserve]])+(p=3)*(Tabella7[[#This Row],[% Beni]]*DATI!$E$34))</f>
        <v/>
      </c>
      <c r="M82" s="37">
        <f>+(Tabella7[[#This Row],[Totale attribuito]]-Soci!F74)*((Tabella7[[#This Row],[Totale attribuito]]-Soci!F74)&gt;0)</f>
        <v>0</v>
      </c>
      <c r="N82" s="40">
        <f>+IFERROR((Tabella7[[#This Row],[Dividendi da "Sottozero"]]+Tabella7[[#This Row],[Utili]]*IR)*Tabella7[[#This Row],[% Imp. Div.]],0)*(p=1)</f>
        <v>0</v>
      </c>
      <c r="O82" s="35">
        <f>+Tabella7[[#This Row],[Totale Redditi]]*Soci!G74</f>
        <v>0</v>
      </c>
      <c r="P82" s="35">
        <f>+SUMIF(Assegnazione[Socio],Tabella7[[#This Row],[Socio]],Assegnazione[Valore Normale])</f>
        <v>0</v>
      </c>
      <c r="Q82" s="40">
        <f>+IFERROR(Tabella7[[#This Row],[Valore Normale attribuito]]/Tabella7[[#This Row],[% Cap]],0)*(p=1)</f>
        <v>0</v>
      </c>
      <c r="R82" s="35">
        <f>+IFERROR(MAX(Tabella7[Dividendo teorico distribuito])*Tabella7[[#This Row],[% Cap]]-Tabella7[[#This Row],[Valore Normale attribuito]],0)*(p=1)</f>
        <v>0</v>
      </c>
    </row>
    <row r="83" spans="1:18" x14ac:dyDescent="0.25">
      <c r="A83" s="33" t="str">
        <f>+IF(Soci!B75="","",Soci!B75)</f>
        <v/>
      </c>
      <c r="B83" s="34" t="str">
        <f>+IF(Tabella7[[#This Row],[Socio]]="","",Soci!E75)</f>
        <v/>
      </c>
      <c r="C8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3" s="36" t="str">
        <f>+IF(Tabella7[[#This Row],[Socio]]="","",Tabella7[[#This Row],[Netto assegnato (Costo fiscale del bene in capo al socio)]]/'Tassazione Soci'!$C$12)</f>
        <v/>
      </c>
      <c r="E83" s="41"/>
      <c r="F8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3" s="38">
        <f>+IF(Tabella7[[#This Row],[Socio]]="",0,'Tassazione Soci'!E$9*$B83)</f>
        <v>0</v>
      </c>
      <c r="J83" s="35">
        <f>+(Tabella7[[#This Row],[Riserve]]+Tabella7[[#This Row],[Capitale sociale]])*(p=1)</f>
        <v>0</v>
      </c>
      <c r="K83" s="39">
        <f>+Soci!H75</f>
        <v>0</v>
      </c>
      <c r="L83" s="37" t="str">
        <f>+IF(Tabella7[[#This Row],[Socio]]="","",MAX(0,Soci!F75-Tabella7[[#This Row],[Riserve]])+(p=3)*(Tabella7[[#This Row],[% Beni]]*DATI!$E$34))</f>
        <v/>
      </c>
      <c r="M83" s="37">
        <f>+(Tabella7[[#This Row],[Totale attribuito]]-Soci!F75)*((Tabella7[[#This Row],[Totale attribuito]]-Soci!F75)&gt;0)</f>
        <v>0</v>
      </c>
      <c r="N83" s="40">
        <f>+IFERROR((Tabella7[[#This Row],[Dividendi da "Sottozero"]]+Tabella7[[#This Row],[Utili]]*IR)*Tabella7[[#This Row],[% Imp. Div.]],0)*(p=1)</f>
        <v>0</v>
      </c>
      <c r="O83" s="35">
        <f>+Tabella7[[#This Row],[Totale Redditi]]*Soci!G75</f>
        <v>0</v>
      </c>
      <c r="P83" s="35">
        <f>+SUMIF(Assegnazione[Socio],Tabella7[[#This Row],[Socio]],Assegnazione[Valore Normale])</f>
        <v>0</v>
      </c>
      <c r="Q83" s="40">
        <f>+IFERROR(Tabella7[[#This Row],[Valore Normale attribuito]]/Tabella7[[#This Row],[% Cap]],0)*(p=1)</f>
        <v>0</v>
      </c>
      <c r="R83" s="35">
        <f>+IFERROR(MAX(Tabella7[Dividendo teorico distribuito])*Tabella7[[#This Row],[% Cap]]-Tabella7[[#This Row],[Valore Normale attribuito]],0)*(p=1)</f>
        <v>0</v>
      </c>
    </row>
    <row r="84" spans="1:18" x14ac:dyDescent="0.25">
      <c r="A84" s="33" t="str">
        <f>+IF(Soci!B76="","",Soci!B76)</f>
        <v/>
      </c>
      <c r="B84" s="34" t="str">
        <f>+IF(Tabella7[[#This Row],[Socio]]="","",Soci!E76)</f>
        <v/>
      </c>
      <c r="C8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4" s="36" t="str">
        <f>+IF(Tabella7[[#This Row],[Socio]]="","",Tabella7[[#This Row],[Netto assegnato (Costo fiscale del bene in capo al socio)]]/'Tassazione Soci'!$C$12)</f>
        <v/>
      </c>
      <c r="E84" s="41"/>
      <c r="F8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4" s="38">
        <f>+IF(Tabella7[[#This Row],[Socio]]="",0,'Tassazione Soci'!E$9*$B84)</f>
        <v>0</v>
      </c>
      <c r="J84" s="35">
        <f>+(Tabella7[[#This Row],[Riserve]]+Tabella7[[#This Row],[Capitale sociale]])*(p=1)</f>
        <v>0</v>
      </c>
      <c r="K84" s="39">
        <f>+Soci!H76</f>
        <v>0</v>
      </c>
      <c r="L84" s="37" t="str">
        <f>+IF(Tabella7[[#This Row],[Socio]]="","",MAX(0,Soci!F76-Tabella7[[#This Row],[Riserve]])+(p=3)*(Tabella7[[#This Row],[% Beni]]*DATI!$E$34))</f>
        <v/>
      </c>
      <c r="M84" s="37">
        <f>+(Tabella7[[#This Row],[Totale attribuito]]-Soci!F76)*((Tabella7[[#This Row],[Totale attribuito]]-Soci!F76)&gt;0)</f>
        <v>0</v>
      </c>
      <c r="N84" s="40">
        <f>+IFERROR((Tabella7[[#This Row],[Dividendi da "Sottozero"]]+Tabella7[[#This Row],[Utili]]*IR)*Tabella7[[#This Row],[% Imp. Div.]],0)*(p=1)</f>
        <v>0</v>
      </c>
      <c r="O84" s="35">
        <f>+Tabella7[[#This Row],[Totale Redditi]]*Soci!G76</f>
        <v>0</v>
      </c>
      <c r="P84" s="35">
        <f>+SUMIF(Assegnazione[Socio],Tabella7[[#This Row],[Socio]],Assegnazione[Valore Normale])</f>
        <v>0</v>
      </c>
      <c r="Q84" s="40">
        <f>+IFERROR(Tabella7[[#This Row],[Valore Normale attribuito]]/Tabella7[[#This Row],[% Cap]],0)*(p=1)</f>
        <v>0</v>
      </c>
      <c r="R84" s="35">
        <f>+IFERROR(MAX(Tabella7[Dividendo teorico distribuito])*Tabella7[[#This Row],[% Cap]]-Tabella7[[#This Row],[Valore Normale attribuito]],0)*(p=1)</f>
        <v>0</v>
      </c>
    </row>
    <row r="85" spans="1:18" x14ac:dyDescent="0.25">
      <c r="A85" s="33" t="str">
        <f>+IF(Soci!B77="","",Soci!B77)</f>
        <v/>
      </c>
      <c r="B85" s="34" t="str">
        <f>+IF(Tabella7[[#This Row],[Socio]]="","",Soci!E77)</f>
        <v/>
      </c>
      <c r="C8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5" s="36" t="str">
        <f>+IF(Tabella7[[#This Row],[Socio]]="","",Tabella7[[#This Row],[Netto assegnato (Costo fiscale del bene in capo al socio)]]/'Tassazione Soci'!$C$12)</f>
        <v/>
      </c>
      <c r="E85" s="41"/>
      <c r="F8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5" s="38">
        <f>+IF(Tabella7[[#This Row],[Socio]]="",0,'Tassazione Soci'!E$9*$B85)</f>
        <v>0</v>
      </c>
      <c r="J85" s="35">
        <f>+(Tabella7[[#This Row],[Riserve]]+Tabella7[[#This Row],[Capitale sociale]])*(p=1)</f>
        <v>0</v>
      </c>
      <c r="K85" s="39">
        <f>+Soci!H77</f>
        <v>0</v>
      </c>
      <c r="L85" s="37" t="str">
        <f>+IF(Tabella7[[#This Row],[Socio]]="","",MAX(0,Soci!F77-Tabella7[[#This Row],[Riserve]])+(p=3)*(Tabella7[[#This Row],[% Beni]]*DATI!$E$34))</f>
        <v/>
      </c>
      <c r="M85" s="37">
        <f>+(Tabella7[[#This Row],[Totale attribuito]]-Soci!F77)*((Tabella7[[#This Row],[Totale attribuito]]-Soci!F77)&gt;0)</f>
        <v>0</v>
      </c>
      <c r="N85" s="40">
        <f>+IFERROR((Tabella7[[#This Row],[Dividendi da "Sottozero"]]+Tabella7[[#This Row],[Utili]]*IR)*Tabella7[[#This Row],[% Imp. Div.]],0)*(p=1)</f>
        <v>0</v>
      </c>
      <c r="O85" s="35">
        <f>+Tabella7[[#This Row],[Totale Redditi]]*Soci!G77</f>
        <v>0</v>
      </c>
      <c r="P85" s="35">
        <f>+SUMIF(Assegnazione[Socio],Tabella7[[#This Row],[Socio]],Assegnazione[Valore Normale])</f>
        <v>0</v>
      </c>
      <c r="Q85" s="40">
        <f>+IFERROR(Tabella7[[#This Row],[Valore Normale attribuito]]/Tabella7[[#This Row],[% Cap]],0)*(p=1)</f>
        <v>0</v>
      </c>
      <c r="R85" s="35">
        <f>+IFERROR(MAX(Tabella7[Dividendo teorico distribuito])*Tabella7[[#This Row],[% Cap]]-Tabella7[[#This Row],[Valore Normale attribuito]],0)*(p=1)</f>
        <v>0</v>
      </c>
    </row>
    <row r="86" spans="1:18" x14ac:dyDescent="0.25">
      <c r="A86" s="33" t="str">
        <f>+IF(Soci!B78="","",Soci!B78)</f>
        <v/>
      </c>
      <c r="B86" s="34" t="str">
        <f>+IF(Tabella7[[#This Row],[Socio]]="","",Soci!E78)</f>
        <v/>
      </c>
      <c r="C8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6" s="36" t="str">
        <f>+IF(Tabella7[[#This Row],[Socio]]="","",Tabella7[[#This Row],[Netto assegnato (Costo fiscale del bene in capo al socio)]]/'Tassazione Soci'!$C$12)</f>
        <v/>
      </c>
      <c r="E86" s="41"/>
      <c r="F8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6" s="38">
        <f>+IF(Tabella7[[#This Row],[Socio]]="",0,'Tassazione Soci'!E$9*$B86)</f>
        <v>0</v>
      </c>
      <c r="J86" s="35">
        <f>+(Tabella7[[#This Row],[Riserve]]+Tabella7[[#This Row],[Capitale sociale]])*(p=1)</f>
        <v>0</v>
      </c>
      <c r="K86" s="39">
        <f>+Soci!H78</f>
        <v>0</v>
      </c>
      <c r="L86" s="37" t="str">
        <f>+IF(Tabella7[[#This Row],[Socio]]="","",MAX(0,Soci!F78-Tabella7[[#This Row],[Riserve]])+(p=3)*(Tabella7[[#This Row],[% Beni]]*DATI!$E$34))</f>
        <v/>
      </c>
      <c r="M86" s="37">
        <f>+(Tabella7[[#This Row],[Totale attribuito]]-Soci!F78)*((Tabella7[[#This Row],[Totale attribuito]]-Soci!F78)&gt;0)</f>
        <v>0</v>
      </c>
      <c r="N86" s="40">
        <f>+IFERROR((Tabella7[[#This Row],[Dividendi da "Sottozero"]]+Tabella7[[#This Row],[Utili]]*IR)*Tabella7[[#This Row],[% Imp. Div.]],0)*(p=1)</f>
        <v>0</v>
      </c>
      <c r="O86" s="35">
        <f>+Tabella7[[#This Row],[Totale Redditi]]*Soci!G78</f>
        <v>0</v>
      </c>
      <c r="P86" s="35">
        <f>+SUMIF(Assegnazione[Socio],Tabella7[[#This Row],[Socio]],Assegnazione[Valore Normale])</f>
        <v>0</v>
      </c>
      <c r="Q86" s="40">
        <f>+IFERROR(Tabella7[[#This Row],[Valore Normale attribuito]]/Tabella7[[#This Row],[% Cap]],0)*(p=1)</f>
        <v>0</v>
      </c>
      <c r="R86" s="35">
        <f>+IFERROR(MAX(Tabella7[Dividendo teorico distribuito])*Tabella7[[#This Row],[% Cap]]-Tabella7[[#This Row],[Valore Normale attribuito]],0)*(p=1)</f>
        <v>0</v>
      </c>
    </row>
    <row r="87" spans="1:18" x14ac:dyDescent="0.25">
      <c r="A87" s="33" t="str">
        <f>+IF(Soci!B79="","",Soci!B79)</f>
        <v/>
      </c>
      <c r="B87" s="34" t="str">
        <f>+IF(Tabella7[[#This Row],[Socio]]="","",Soci!E79)</f>
        <v/>
      </c>
      <c r="C8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7" s="36" t="str">
        <f>+IF(Tabella7[[#This Row],[Socio]]="","",Tabella7[[#This Row],[Netto assegnato (Costo fiscale del bene in capo al socio)]]/'Tassazione Soci'!$C$12)</f>
        <v/>
      </c>
      <c r="E87" s="41"/>
      <c r="F8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7" s="38">
        <f>+IF(Tabella7[[#This Row],[Socio]]="",0,'Tassazione Soci'!E$9*$B87)</f>
        <v>0</v>
      </c>
      <c r="J87" s="35">
        <f>+(Tabella7[[#This Row],[Riserve]]+Tabella7[[#This Row],[Capitale sociale]])*(p=1)</f>
        <v>0</v>
      </c>
      <c r="K87" s="39">
        <f>+Soci!H79</f>
        <v>0</v>
      </c>
      <c r="L87" s="37" t="str">
        <f>+IF(Tabella7[[#This Row],[Socio]]="","",MAX(0,Soci!F79-Tabella7[[#This Row],[Riserve]])+(p=3)*(Tabella7[[#This Row],[% Beni]]*DATI!$E$34))</f>
        <v/>
      </c>
      <c r="M87" s="37">
        <f>+(Tabella7[[#This Row],[Totale attribuito]]-Soci!F79)*((Tabella7[[#This Row],[Totale attribuito]]-Soci!F79)&gt;0)</f>
        <v>0</v>
      </c>
      <c r="N87" s="40">
        <f>+IFERROR((Tabella7[[#This Row],[Dividendi da "Sottozero"]]+Tabella7[[#This Row],[Utili]]*IR)*Tabella7[[#This Row],[% Imp. Div.]],0)*(p=1)</f>
        <v>0</v>
      </c>
      <c r="O87" s="35">
        <f>+Tabella7[[#This Row],[Totale Redditi]]*Soci!G79</f>
        <v>0</v>
      </c>
      <c r="P87" s="35">
        <f>+SUMIF(Assegnazione[Socio],Tabella7[[#This Row],[Socio]],Assegnazione[Valore Normale])</f>
        <v>0</v>
      </c>
      <c r="Q87" s="40">
        <f>+IFERROR(Tabella7[[#This Row],[Valore Normale attribuito]]/Tabella7[[#This Row],[% Cap]],0)*(p=1)</f>
        <v>0</v>
      </c>
      <c r="R87" s="35">
        <f>+IFERROR(MAX(Tabella7[Dividendo teorico distribuito])*Tabella7[[#This Row],[% Cap]]-Tabella7[[#This Row],[Valore Normale attribuito]],0)*(p=1)</f>
        <v>0</v>
      </c>
    </row>
    <row r="88" spans="1:18" x14ac:dyDescent="0.25">
      <c r="A88" s="33" t="str">
        <f>+IF(Soci!B80="","",Soci!B80)</f>
        <v/>
      </c>
      <c r="B88" s="34" t="str">
        <f>+IF(Tabella7[[#This Row],[Socio]]="","",Soci!E80)</f>
        <v/>
      </c>
      <c r="C8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8" s="36" t="str">
        <f>+IF(Tabella7[[#This Row],[Socio]]="","",Tabella7[[#This Row],[Netto assegnato (Costo fiscale del bene in capo al socio)]]/'Tassazione Soci'!$C$12)</f>
        <v/>
      </c>
      <c r="E88" s="41"/>
      <c r="F8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8" s="38">
        <f>+IF(Tabella7[[#This Row],[Socio]]="",0,'Tassazione Soci'!E$9*$B88)</f>
        <v>0</v>
      </c>
      <c r="J88" s="35">
        <f>+(Tabella7[[#This Row],[Riserve]]+Tabella7[[#This Row],[Capitale sociale]])*(p=1)</f>
        <v>0</v>
      </c>
      <c r="K88" s="39">
        <f>+Soci!H80</f>
        <v>0</v>
      </c>
      <c r="L88" s="37" t="str">
        <f>+IF(Tabella7[[#This Row],[Socio]]="","",MAX(0,Soci!F80-Tabella7[[#This Row],[Riserve]])+(p=3)*(Tabella7[[#This Row],[% Beni]]*DATI!$E$34))</f>
        <v/>
      </c>
      <c r="M88" s="37">
        <f>+(Tabella7[[#This Row],[Totale attribuito]]-Soci!F80)*((Tabella7[[#This Row],[Totale attribuito]]-Soci!F80)&gt;0)</f>
        <v>0</v>
      </c>
      <c r="N88" s="40">
        <f>+IFERROR((Tabella7[[#This Row],[Dividendi da "Sottozero"]]+Tabella7[[#This Row],[Utili]]*IR)*Tabella7[[#This Row],[% Imp. Div.]],0)*(p=1)</f>
        <v>0</v>
      </c>
      <c r="O88" s="35">
        <f>+Tabella7[[#This Row],[Totale Redditi]]*Soci!G80</f>
        <v>0</v>
      </c>
      <c r="P88" s="35">
        <f>+SUMIF(Assegnazione[Socio],Tabella7[[#This Row],[Socio]],Assegnazione[Valore Normale])</f>
        <v>0</v>
      </c>
      <c r="Q88" s="40">
        <f>+IFERROR(Tabella7[[#This Row],[Valore Normale attribuito]]/Tabella7[[#This Row],[% Cap]],0)*(p=1)</f>
        <v>0</v>
      </c>
      <c r="R88" s="35">
        <f>+IFERROR(MAX(Tabella7[Dividendo teorico distribuito])*Tabella7[[#This Row],[% Cap]]-Tabella7[[#This Row],[Valore Normale attribuito]],0)*(p=1)</f>
        <v>0</v>
      </c>
    </row>
    <row r="89" spans="1:18" x14ac:dyDescent="0.25">
      <c r="A89" s="33" t="str">
        <f>+IF(Soci!B81="","",Soci!B81)</f>
        <v/>
      </c>
      <c r="B89" s="34" t="str">
        <f>+IF(Tabella7[[#This Row],[Socio]]="","",Soci!E81)</f>
        <v/>
      </c>
      <c r="C8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9" s="36" t="str">
        <f>+IF(Tabella7[[#This Row],[Socio]]="","",Tabella7[[#This Row],[Netto assegnato (Costo fiscale del bene in capo al socio)]]/'Tassazione Soci'!$C$12)</f>
        <v/>
      </c>
      <c r="E89" s="41"/>
      <c r="F8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9" s="38">
        <f>+IF(Tabella7[[#This Row],[Socio]]="",0,'Tassazione Soci'!E$9*$B89)</f>
        <v>0</v>
      </c>
      <c r="J89" s="35">
        <f>+(Tabella7[[#This Row],[Riserve]]+Tabella7[[#This Row],[Capitale sociale]])*(p=1)</f>
        <v>0</v>
      </c>
      <c r="K89" s="39">
        <f>+Soci!H81</f>
        <v>0</v>
      </c>
      <c r="L89" s="37" t="str">
        <f>+IF(Tabella7[[#This Row],[Socio]]="","",MAX(0,Soci!F81-Tabella7[[#This Row],[Riserve]])+(p=3)*(Tabella7[[#This Row],[% Beni]]*DATI!$E$34))</f>
        <v/>
      </c>
      <c r="M89" s="37">
        <f>+(Tabella7[[#This Row],[Totale attribuito]]-Soci!F81)*((Tabella7[[#This Row],[Totale attribuito]]-Soci!F81)&gt;0)</f>
        <v>0</v>
      </c>
      <c r="N89" s="40">
        <f>+IFERROR((Tabella7[[#This Row],[Dividendi da "Sottozero"]]+Tabella7[[#This Row],[Utili]]*IR)*Tabella7[[#This Row],[% Imp. Div.]],0)*(p=1)</f>
        <v>0</v>
      </c>
      <c r="O89" s="35">
        <f>+Tabella7[[#This Row],[Totale Redditi]]*Soci!G81</f>
        <v>0</v>
      </c>
      <c r="P89" s="35">
        <f>+SUMIF(Assegnazione[Socio],Tabella7[[#This Row],[Socio]],Assegnazione[Valore Normale])</f>
        <v>0</v>
      </c>
      <c r="Q89" s="40">
        <f>+IFERROR(Tabella7[[#This Row],[Valore Normale attribuito]]/Tabella7[[#This Row],[% Cap]],0)*(p=1)</f>
        <v>0</v>
      </c>
      <c r="R89" s="35">
        <f>+IFERROR(MAX(Tabella7[Dividendo teorico distribuito])*Tabella7[[#This Row],[% Cap]]-Tabella7[[#This Row],[Valore Normale attribuito]],0)*(p=1)</f>
        <v>0</v>
      </c>
    </row>
    <row r="90" spans="1:18" x14ac:dyDescent="0.25">
      <c r="A90" s="33" t="str">
        <f>+IF(Soci!B82="","",Soci!B82)</f>
        <v/>
      </c>
      <c r="B90" s="34" t="str">
        <f>+IF(Tabella7[[#This Row],[Socio]]="","",Soci!E82)</f>
        <v/>
      </c>
      <c r="C9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0" s="36" t="str">
        <f>+IF(Tabella7[[#This Row],[Socio]]="","",Tabella7[[#This Row],[Netto assegnato (Costo fiscale del bene in capo al socio)]]/'Tassazione Soci'!$C$12)</f>
        <v/>
      </c>
      <c r="E90" s="41"/>
      <c r="F9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0" s="38">
        <f>+IF(Tabella7[[#This Row],[Socio]]="",0,'Tassazione Soci'!E$9*$B90)</f>
        <v>0</v>
      </c>
      <c r="J90" s="35">
        <f>+(Tabella7[[#This Row],[Riserve]]+Tabella7[[#This Row],[Capitale sociale]])*(p=1)</f>
        <v>0</v>
      </c>
      <c r="K90" s="39">
        <f>+Soci!H82</f>
        <v>0</v>
      </c>
      <c r="L90" s="37" t="str">
        <f>+IF(Tabella7[[#This Row],[Socio]]="","",MAX(0,Soci!F82-Tabella7[[#This Row],[Riserve]])+(p=3)*(Tabella7[[#This Row],[% Beni]]*DATI!$E$34))</f>
        <v/>
      </c>
      <c r="M90" s="37">
        <f>+(Tabella7[[#This Row],[Totale attribuito]]-Soci!F82)*((Tabella7[[#This Row],[Totale attribuito]]-Soci!F82)&gt;0)</f>
        <v>0</v>
      </c>
      <c r="N90" s="40">
        <f>+IFERROR((Tabella7[[#This Row],[Dividendi da "Sottozero"]]+Tabella7[[#This Row],[Utili]]*IR)*Tabella7[[#This Row],[% Imp. Div.]],0)*(p=1)</f>
        <v>0</v>
      </c>
      <c r="O90" s="35">
        <f>+Tabella7[[#This Row],[Totale Redditi]]*Soci!G82</f>
        <v>0</v>
      </c>
      <c r="P90" s="35">
        <f>+SUMIF(Assegnazione[Socio],Tabella7[[#This Row],[Socio]],Assegnazione[Valore Normale])</f>
        <v>0</v>
      </c>
      <c r="Q90" s="40">
        <f>+IFERROR(Tabella7[[#This Row],[Valore Normale attribuito]]/Tabella7[[#This Row],[% Cap]],0)*(p=1)</f>
        <v>0</v>
      </c>
      <c r="R90" s="35">
        <f>+IFERROR(MAX(Tabella7[Dividendo teorico distribuito])*Tabella7[[#This Row],[% Cap]]-Tabella7[[#This Row],[Valore Normale attribuito]],0)*(p=1)</f>
        <v>0</v>
      </c>
    </row>
    <row r="91" spans="1:18" x14ac:dyDescent="0.25">
      <c r="A91" s="33" t="str">
        <f>+IF(Soci!B83="","",Soci!B83)</f>
        <v/>
      </c>
      <c r="B91" s="34" t="str">
        <f>+IF(Tabella7[[#This Row],[Socio]]="","",Soci!E83)</f>
        <v/>
      </c>
      <c r="C9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1" s="36" t="str">
        <f>+IF(Tabella7[[#This Row],[Socio]]="","",Tabella7[[#This Row],[Netto assegnato (Costo fiscale del bene in capo al socio)]]/'Tassazione Soci'!$C$12)</f>
        <v/>
      </c>
      <c r="E91" s="41"/>
      <c r="F9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1" s="38">
        <f>+IF(Tabella7[[#This Row],[Socio]]="",0,'Tassazione Soci'!E$9*$B91)</f>
        <v>0</v>
      </c>
      <c r="J91" s="35">
        <f>+(Tabella7[[#This Row],[Riserve]]+Tabella7[[#This Row],[Capitale sociale]])*(p=1)</f>
        <v>0</v>
      </c>
      <c r="K91" s="39">
        <f>+Soci!H83</f>
        <v>0</v>
      </c>
      <c r="L91" s="37" t="str">
        <f>+IF(Tabella7[[#This Row],[Socio]]="","",MAX(0,Soci!F83-Tabella7[[#This Row],[Riserve]])+(p=3)*(Tabella7[[#This Row],[% Beni]]*DATI!$E$34))</f>
        <v/>
      </c>
      <c r="M91" s="37">
        <f>+(Tabella7[[#This Row],[Totale attribuito]]-Soci!F83)*((Tabella7[[#This Row],[Totale attribuito]]-Soci!F83)&gt;0)</f>
        <v>0</v>
      </c>
      <c r="N91" s="40">
        <f>+IFERROR((Tabella7[[#This Row],[Dividendi da "Sottozero"]]+Tabella7[[#This Row],[Utili]]*IR)*Tabella7[[#This Row],[% Imp. Div.]],0)*(p=1)</f>
        <v>0</v>
      </c>
      <c r="O91" s="35">
        <f>+Tabella7[[#This Row],[Totale Redditi]]*Soci!G83</f>
        <v>0</v>
      </c>
      <c r="P91" s="35">
        <f>+SUMIF(Assegnazione[Socio],Tabella7[[#This Row],[Socio]],Assegnazione[Valore Normale])</f>
        <v>0</v>
      </c>
      <c r="Q91" s="40">
        <f>+IFERROR(Tabella7[[#This Row],[Valore Normale attribuito]]/Tabella7[[#This Row],[% Cap]],0)*(p=1)</f>
        <v>0</v>
      </c>
      <c r="R91" s="35">
        <f>+IFERROR(MAX(Tabella7[Dividendo teorico distribuito])*Tabella7[[#This Row],[% Cap]]-Tabella7[[#This Row],[Valore Normale attribuito]],0)*(p=1)</f>
        <v>0</v>
      </c>
    </row>
    <row r="92" spans="1:18" x14ac:dyDescent="0.25">
      <c r="A92" s="33" t="str">
        <f>+IF(Soci!B84="","",Soci!B84)</f>
        <v/>
      </c>
      <c r="B92" s="34" t="str">
        <f>+IF(Tabella7[[#This Row],[Socio]]="","",Soci!E84)</f>
        <v/>
      </c>
      <c r="C9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2" s="36" t="str">
        <f>+IF(Tabella7[[#This Row],[Socio]]="","",Tabella7[[#This Row],[Netto assegnato (Costo fiscale del bene in capo al socio)]]/'Tassazione Soci'!$C$12)</f>
        <v/>
      </c>
      <c r="E92" s="41"/>
      <c r="F9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2" s="38">
        <f>+IF(Tabella7[[#This Row],[Socio]]="",0,'Tassazione Soci'!E$9*$B92)</f>
        <v>0</v>
      </c>
      <c r="J92" s="35">
        <f>+(Tabella7[[#This Row],[Riserve]]+Tabella7[[#This Row],[Capitale sociale]])*(p=1)</f>
        <v>0</v>
      </c>
      <c r="K92" s="39">
        <f>+Soci!H84</f>
        <v>0</v>
      </c>
      <c r="L92" s="37" t="str">
        <f>+IF(Tabella7[[#This Row],[Socio]]="","",MAX(0,Soci!F84-Tabella7[[#This Row],[Riserve]])+(p=3)*(Tabella7[[#This Row],[% Beni]]*DATI!$E$34))</f>
        <v/>
      </c>
      <c r="M92" s="37">
        <f>+(Tabella7[[#This Row],[Totale attribuito]]-Soci!F84)*((Tabella7[[#This Row],[Totale attribuito]]-Soci!F84)&gt;0)</f>
        <v>0</v>
      </c>
      <c r="N92" s="40">
        <f>+IFERROR((Tabella7[[#This Row],[Dividendi da "Sottozero"]]+Tabella7[[#This Row],[Utili]]*IR)*Tabella7[[#This Row],[% Imp. Div.]],0)*(p=1)</f>
        <v>0</v>
      </c>
      <c r="O92" s="35">
        <f>+Tabella7[[#This Row],[Totale Redditi]]*Soci!G84</f>
        <v>0</v>
      </c>
      <c r="P92" s="35">
        <f>+SUMIF(Assegnazione[Socio],Tabella7[[#This Row],[Socio]],Assegnazione[Valore Normale])</f>
        <v>0</v>
      </c>
      <c r="Q92" s="40">
        <f>+IFERROR(Tabella7[[#This Row],[Valore Normale attribuito]]/Tabella7[[#This Row],[% Cap]],0)*(p=1)</f>
        <v>0</v>
      </c>
      <c r="R92" s="35">
        <f>+IFERROR(MAX(Tabella7[Dividendo teorico distribuito])*Tabella7[[#This Row],[% Cap]]-Tabella7[[#This Row],[Valore Normale attribuito]],0)*(p=1)</f>
        <v>0</v>
      </c>
    </row>
    <row r="93" spans="1:18" x14ac:dyDescent="0.25">
      <c r="A93" s="33" t="str">
        <f>+IF(Soci!B85="","",Soci!B85)</f>
        <v/>
      </c>
      <c r="B93" s="34" t="str">
        <f>+IF(Tabella7[[#This Row],[Socio]]="","",Soci!E85)</f>
        <v/>
      </c>
      <c r="C9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3" s="36" t="str">
        <f>+IF(Tabella7[[#This Row],[Socio]]="","",Tabella7[[#This Row],[Netto assegnato (Costo fiscale del bene in capo al socio)]]/'Tassazione Soci'!$C$12)</f>
        <v/>
      </c>
      <c r="E93" s="41"/>
      <c r="F9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3" s="38">
        <f>+IF(Tabella7[[#This Row],[Socio]]="",0,'Tassazione Soci'!E$9*$B93)</f>
        <v>0</v>
      </c>
      <c r="J93" s="35">
        <f>+(Tabella7[[#This Row],[Riserve]]+Tabella7[[#This Row],[Capitale sociale]])*(p=1)</f>
        <v>0</v>
      </c>
      <c r="K93" s="39">
        <f>+Soci!H85</f>
        <v>0</v>
      </c>
      <c r="L93" s="37" t="str">
        <f>+IF(Tabella7[[#This Row],[Socio]]="","",MAX(0,Soci!F85-Tabella7[[#This Row],[Riserve]])+(p=3)*(Tabella7[[#This Row],[% Beni]]*DATI!$E$34))</f>
        <v/>
      </c>
      <c r="M93" s="37">
        <f>+(Tabella7[[#This Row],[Totale attribuito]]-Soci!F85)*((Tabella7[[#This Row],[Totale attribuito]]-Soci!F85)&gt;0)</f>
        <v>0</v>
      </c>
      <c r="N93" s="40">
        <f>+IFERROR((Tabella7[[#This Row],[Dividendi da "Sottozero"]]+Tabella7[[#This Row],[Utili]]*IR)*Tabella7[[#This Row],[% Imp. Div.]],0)*(p=1)</f>
        <v>0</v>
      </c>
      <c r="O93" s="35">
        <f>+Tabella7[[#This Row],[Totale Redditi]]*Soci!G85</f>
        <v>0</v>
      </c>
      <c r="P93" s="35">
        <f>+SUMIF(Assegnazione[Socio],Tabella7[[#This Row],[Socio]],Assegnazione[Valore Normale])</f>
        <v>0</v>
      </c>
      <c r="Q93" s="40">
        <f>+IFERROR(Tabella7[[#This Row],[Valore Normale attribuito]]/Tabella7[[#This Row],[% Cap]],0)*(p=1)</f>
        <v>0</v>
      </c>
      <c r="R93" s="35">
        <f>+IFERROR(MAX(Tabella7[Dividendo teorico distribuito])*Tabella7[[#This Row],[% Cap]]-Tabella7[[#This Row],[Valore Normale attribuito]],0)*(p=1)</f>
        <v>0</v>
      </c>
    </row>
    <row r="94" spans="1:18" x14ac:dyDescent="0.25">
      <c r="A94" s="33" t="str">
        <f>+IF(Soci!B86="","",Soci!B86)</f>
        <v/>
      </c>
      <c r="B94" s="34" t="str">
        <f>+IF(Tabella7[[#This Row],[Socio]]="","",Soci!E86)</f>
        <v/>
      </c>
      <c r="C9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4" s="36" t="str">
        <f>+IF(Tabella7[[#This Row],[Socio]]="","",Tabella7[[#This Row],[Netto assegnato (Costo fiscale del bene in capo al socio)]]/'Tassazione Soci'!$C$12)</f>
        <v/>
      </c>
      <c r="E94" s="41"/>
      <c r="F9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4" s="38">
        <f>+IF(Tabella7[[#This Row],[Socio]]="",0,'Tassazione Soci'!E$9*$B94)</f>
        <v>0</v>
      </c>
      <c r="J94" s="35">
        <f>+(Tabella7[[#This Row],[Riserve]]+Tabella7[[#This Row],[Capitale sociale]])*(p=1)</f>
        <v>0</v>
      </c>
      <c r="K94" s="39">
        <f>+Soci!H86</f>
        <v>0</v>
      </c>
      <c r="L94" s="37" t="str">
        <f>+IF(Tabella7[[#This Row],[Socio]]="","",MAX(0,Soci!F86-Tabella7[[#This Row],[Riserve]])+(p=3)*(Tabella7[[#This Row],[% Beni]]*DATI!$E$34))</f>
        <v/>
      </c>
      <c r="M94" s="37">
        <f>+(Tabella7[[#This Row],[Totale attribuito]]-Soci!F86)*((Tabella7[[#This Row],[Totale attribuito]]-Soci!F86)&gt;0)</f>
        <v>0</v>
      </c>
      <c r="N94" s="40">
        <f>+IFERROR((Tabella7[[#This Row],[Dividendi da "Sottozero"]]+Tabella7[[#This Row],[Utili]]*IR)*Tabella7[[#This Row],[% Imp. Div.]],0)*(p=1)</f>
        <v>0</v>
      </c>
      <c r="O94" s="35">
        <f>+Tabella7[[#This Row],[Totale Redditi]]*Soci!G86</f>
        <v>0</v>
      </c>
      <c r="P94" s="35">
        <f>+SUMIF(Assegnazione[Socio],Tabella7[[#This Row],[Socio]],Assegnazione[Valore Normale])</f>
        <v>0</v>
      </c>
      <c r="Q94" s="40">
        <f>+IFERROR(Tabella7[[#This Row],[Valore Normale attribuito]]/Tabella7[[#This Row],[% Cap]],0)*(p=1)</f>
        <v>0</v>
      </c>
      <c r="R94" s="35">
        <f>+IFERROR(MAX(Tabella7[Dividendo teorico distribuito])*Tabella7[[#This Row],[% Cap]]-Tabella7[[#This Row],[Valore Normale attribuito]],0)*(p=1)</f>
        <v>0</v>
      </c>
    </row>
    <row r="95" spans="1:18" x14ac:dyDescent="0.25">
      <c r="A95" s="33" t="str">
        <f>+IF(Soci!B87="","",Soci!B87)</f>
        <v/>
      </c>
      <c r="B95" s="34" t="str">
        <f>+IF(Tabella7[[#This Row],[Socio]]="","",Soci!E87)</f>
        <v/>
      </c>
      <c r="C9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5" s="36" t="str">
        <f>+IF(Tabella7[[#This Row],[Socio]]="","",Tabella7[[#This Row],[Netto assegnato (Costo fiscale del bene in capo al socio)]]/'Tassazione Soci'!$C$12)</f>
        <v/>
      </c>
      <c r="E95" s="41"/>
      <c r="F9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5" s="38">
        <f>+IF(Tabella7[[#This Row],[Socio]]="",0,'Tassazione Soci'!E$9*$B95)</f>
        <v>0</v>
      </c>
      <c r="J95" s="35">
        <f>+(Tabella7[[#This Row],[Riserve]]+Tabella7[[#This Row],[Capitale sociale]])*(p=1)</f>
        <v>0</v>
      </c>
      <c r="K95" s="39">
        <f>+Soci!H87</f>
        <v>0</v>
      </c>
      <c r="L95" s="37" t="str">
        <f>+IF(Tabella7[[#This Row],[Socio]]="","",MAX(0,Soci!F87-Tabella7[[#This Row],[Riserve]])+(p=3)*(Tabella7[[#This Row],[% Beni]]*DATI!$E$34))</f>
        <v/>
      </c>
      <c r="M95" s="37">
        <f>+(Tabella7[[#This Row],[Totale attribuito]]-Soci!F87)*((Tabella7[[#This Row],[Totale attribuito]]-Soci!F87)&gt;0)</f>
        <v>0</v>
      </c>
      <c r="N95" s="40">
        <f>+IFERROR((Tabella7[[#This Row],[Dividendi da "Sottozero"]]+Tabella7[[#This Row],[Utili]]*IR)*Tabella7[[#This Row],[% Imp. Div.]],0)*(p=1)</f>
        <v>0</v>
      </c>
      <c r="O95" s="35">
        <f>+Tabella7[[#This Row],[Totale Redditi]]*Soci!G87</f>
        <v>0</v>
      </c>
      <c r="P95" s="35">
        <f>+SUMIF(Assegnazione[Socio],Tabella7[[#This Row],[Socio]],Assegnazione[Valore Normale])</f>
        <v>0</v>
      </c>
      <c r="Q95" s="40">
        <f>+IFERROR(Tabella7[[#This Row],[Valore Normale attribuito]]/Tabella7[[#This Row],[% Cap]],0)*(p=1)</f>
        <v>0</v>
      </c>
      <c r="R95" s="35">
        <f>+IFERROR(MAX(Tabella7[Dividendo teorico distribuito])*Tabella7[[#This Row],[% Cap]]-Tabella7[[#This Row],[Valore Normale attribuito]],0)*(p=1)</f>
        <v>0</v>
      </c>
    </row>
    <row r="96" spans="1:18" x14ac:dyDescent="0.25">
      <c r="A96" s="33" t="str">
        <f>+IF(Soci!B88="","",Soci!B88)</f>
        <v/>
      </c>
      <c r="B96" s="34" t="str">
        <f>+IF(Tabella7[[#This Row],[Socio]]="","",Soci!E88)</f>
        <v/>
      </c>
      <c r="C9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6" s="36" t="str">
        <f>+IF(Tabella7[[#This Row],[Socio]]="","",Tabella7[[#This Row],[Netto assegnato (Costo fiscale del bene in capo al socio)]]/'Tassazione Soci'!$C$12)</f>
        <v/>
      </c>
      <c r="E96" s="41"/>
      <c r="F9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6" s="38">
        <f>+IF(Tabella7[[#This Row],[Socio]]="",0,'Tassazione Soci'!E$9*$B96)</f>
        <v>0</v>
      </c>
      <c r="J96" s="35">
        <f>+(Tabella7[[#This Row],[Riserve]]+Tabella7[[#This Row],[Capitale sociale]])*(p=1)</f>
        <v>0</v>
      </c>
      <c r="K96" s="39">
        <f>+Soci!H88</f>
        <v>0</v>
      </c>
      <c r="L96" s="37" t="str">
        <f>+IF(Tabella7[[#This Row],[Socio]]="","",MAX(0,Soci!F88-Tabella7[[#This Row],[Riserve]])+(p=3)*(Tabella7[[#This Row],[% Beni]]*DATI!$E$34))</f>
        <v/>
      </c>
      <c r="M96" s="37">
        <f>+(Tabella7[[#This Row],[Totale attribuito]]-Soci!F88)*((Tabella7[[#This Row],[Totale attribuito]]-Soci!F88)&gt;0)</f>
        <v>0</v>
      </c>
      <c r="N96" s="40">
        <f>+IFERROR((Tabella7[[#This Row],[Dividendi da "Sottozero"]]+Tabella7[[#This Row],[Utili]]*IR)*Tabella7[[#This Row],[% Imp. Div.]],0)*(p=1)</f>
        <v>0</v>
      </c>
      <c r="O96" s="35">
        <f>+Tabella7[[#This Row],[Totale Redditi]]*Soci!G88</f>
        <v>0</v>
      </c>
      <c r="P96" s="35">
        <f>+SUMIF(Assegnazione[Socio],Tabella7[[#This Row],[Socio]],Assegnazione[Valore Normale])</f>
        <v>0</v>
      </c>
      <c r="Q96" s="40">
        <f>+IFERROR(Tabella7[[#This Row],[Valore Normale attribuito]]/Tabella7[[#This Row],[% Cap]],0)*(p=1)</f>
        <v>0</v>
      </c>
      <c r="R96" s="35">
        <f>+IFERROR(MAX(Tabella7[Dividendo teorico distribuito])*Tabella7[[#This Row],[% Cap]]-Tabella7[[#This Row],[Valore Normale attribuito]],0)*(p=1)</f>
        <v>0</v>
      </c>
    </row>
    <row r="97" spans="1:18" x14ac:dyDescent="0.25">
      <c r="A97" s="33" t="str">
        <f>+IF(Soci!B89="","",Soci!B89)</f>
        <v/>
      </c>
      <c r="B97" s="34" t="str">
        <f>+IF(Tabella7[[#This Row],[Socio]]="","",Soci!E89)</f>
        <v/>
      </c>
      <c r="C9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7" s="36" t="str">
        <f>+IF(Tabella7[[#This Row],[Socio]]="","",Tabella7[[#This Row],[Netto assegnato (Costo fiscale del bene in capo al socio)]]/'Tassazione Soci'!$C$12)</f>
        <v/>
      </c>
      <c r="E97" s="41"/>
      <c r="F9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7" s="38">
        <f>+IF(Tabella7[[#This Row],[Socio]]="",0,'Tassazione Soci'!E$9*$B97)</f>
        <v>0</v>
      </c>
      <c r="J97" s="35">
        <f>+(Tabella7[[#This Row],[Riserve]]+Tabella7[[#This Row],[Capitale sociale]])*(p=1)</f>
        <v>0</v>
      </c>
      <c r="K97" s="39">
        <f>+Soci!H89</f>
        <v>0</v>
      </c>
      <c r="L97" s="37" t="str">
        <f>+IF(Tabella7[[#This Row],[Socio]]="","",MAX(0,Soci!F89-Tabella7[[#This Row],[Riserve]])+(p=3)*(Tabella7[[#This Row],[% Beni]]*DATI!$E$34))</f>
        <v/>
      </c>
      <c r="M97" s="37">
        <f>+(Tabella7[[#This Row],[Totale attribuito]]-Soci!F89)*((Tabella7[[#This Row],[Totale attribuito]]-Soci!F89)&gt;0)</f>
        <v>0</v>
      </c>
      <c r="N97" s="40">
        <f>+IFERROR((Tabella7[[#This Row],[Dividendi da "Sottozero"]]+Tabella7[[#This Row],[Utili]]*IR)*Tabella7[[#This Row],[% Imp. Div.]],0)*(p=1)</f>
        <v>0</v>
      </c>
      <c r="O97" s="35">
        <f>+Tabella7[[#This Row],[Totale Redditi]]*Soci!G89</f>
        <v>0</v>
      </c>
      <c r="P97" s="35">
        <f>+SUMIF(Assegnazione[Socio],Tabella7[[#This Row],[Socio]],Assegnazione[Valore Normale])</f>
        <v>0</v>
      </c>
      <c r="Q97" s="40">
        <f>+IFERROR(Tabella7[[#This Row],[Valore Normale attribuito]]/Tabella7[[#This Row],[% Cap]],0)*(p=1)</f>
        <v>0</v>
      </c>
      <c r="R97" s="35">
        <f>+IFERROR(MAX(Tabella7[Dividendo teorico distribuito])*Tabella7[[#This Row],[% Cap]]-Tabella7[[#This Row],[Valore Normale attribuito]],0)*(p=1)</f>
        <v>0</v>
      </c>
    </row>
    <row r="98" spans="1:18" x14ac:dyDescent="0.25">
      <c r="A98" s="33" t="str">
        <f>+IF(Soci!B90="","",Soci!B90)</f>
        <v/>
      </c>
      <c r="B98" s="34" t="str">
        <f>+IF(Tabella7[[#This Row],[Socio]]="","",Soci!E90)</f>
        <v/>
      </c>
      <c r="C9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8" s="36" t="str">
        <f>+IF(Tabella7[[#This Row],[Socio]]="","",Tabella7[[#This Row],[Netto assegnato (Costo fiscale del bene in capo al socio)]]/'Tassazione Soci'!$C$12)</f>
        <v/>
      </c>
      <c r="E98" s="41"/>
      <c r="F9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8" s="38">
        <f>+IF(Tabella7[[#This Row],[Socio]]="",0,'Tassazione Soci'!E$9*$B98)</f>
        <v>0</v>
      </c>
      <c r="J98" s="35">
        <f>+(Tabella7[[#This Row],[Riserve]]+Tabella7[[#This Row],[Capitale sociale]])*(p=1)</f>
        <v>0</v>
      </c>
      <c r="K98" s="39">
        <f>+Soci!H90</f>
        <v>0</v>
      </c>
      <c r="L98" s="37" t="str">
        <f>+IF(Tabella7[[#This Row],[Socio]]="","",MAX(0,Soci!F90-Tabella7[[#This Row],[Riserve]])+(p=3)*(Tabella7[[#This Row],[% Beni]]*DATI!$E$34))</f>
        <v/>
      </c>
      <c r="M98" s="37">
        <f>+(Tabella7[[#This Row],[Totale attribuito]]-Soci!F90)*((Tabella7[[#This Row],[Totale attribuito]]-Soci!F90)&gt;0)</f>
        <v>0</v>
      </c>
      <c r="N98" s="40">
        <f>+IFERROR((Tabella7[[#This Row],[Dividendi da "Sottozero"]]+Tabella7[[#This Row],[Utili]]*IR)*Tabella7[[#This Row],[% Imp. Div.]],0)*(p=1)</f>
        <v>0</v>
      </c>
      <c r="O98" s="35">
        <f>+Tabella7[[#This Row],[Totale Redditi]]*Soci!G90</f>
        <v>0</v>
      </c>
      <c r="P98" s="35">
        <f>+SUMIF(Assegnazione[Socio],Tabella7[[#This Row],[Socio]],Assegnazione[Valore Normale])</f>
        <v>0</v>
      </c>
      <c r="Q98" s="40">
        <f>+IFERROR(Tabella7[[#This Row],[Valore Normale attribuito]]/Tabella7[[#This Row],[% Cap]],0)*(p=1)</f>
        <v>0</v>
      </c>
      <c r="R98" s="35">
        <f>+IFERROR(MAX(Tabella7[Dividendo teorico distribuito])*Tabella7[[#This Row],[% Cap]]-Tabella7[[#This Row],[Valore Normale attribuito]],0)*(p=1)</f>
        <v>0</v>
      </c>
    </row>
    <row r="99" spans="1:18" x14ac:dyDescent="0.25">
      <c r="A99" s="33" t="str">
        <f>+IF(Soci!B91="","",Soci!B91)</f>
        <v/>
      </c>
      <c r="B99" s="34" t="str">
        <f>+IF(Tabella7[[#This Row],[Socio]]="","",Soci!E91)</f>
        <v/>
      </c>
      <c r="C9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9" s="36" t="str">
        <f>+IF(Tabella7[[#This Row],[Socio]]="","",Tabella7[[#This Row],[Netto assegnato (Costo fiscale del bene in capo al socio)]]/'Tassazione Soci'!$C$12)</f>
        <v/>
      </c>
      <c r="E99" s="41"/>
      <c r="F9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9" s="38">
        <f>+IF(Tabella7[[#This Row],[Socio]]="",0,'Tassazione Soci'!E$9*$B99)</f>
        <v>0</v>
      </c>
      <c r="J99" s="35">
        <f>+(Tabella7[[#This Row],[Riserve]]+Tabella7[[#This Row],[Capitale sociale]])*(p=1)</f>
        <v>0</v>
      </c>
      <c r="K99" s="39">
        <f>+Soci!H91</f>
        <v>0</v>
      </c>
      <c r="L99" s="37" t="str">
        <f>+IF(Tabella7[[#This Row],[Socio]]="","",MAX(0,Soci!F91-Tabella7[[#This Row],[Riserve]])+(p=3)*(Tabella7[[#This Row],[% Beni]]*DATI!$E$34))</f>
        <v/>
      </c>
      <c r="M99" s="37">
        <f>+(Tabella7[[#This Row],[Totale attribuito]]-Soci!F91)*((Tabella7[[#This Row],[Totale attribuito]]-Soci!F91)&gt;0)</f>
        <v>0</v>
      </c>
      <c r="N99" s="40">
        <f>+IFERROR((Tabella7[[#This Row],[Dividendi da "Sottozero"]]+Tabella7[[#This Row],[Utili]]*IR)*Tabella7[[#This Row],[% Imp. Div.]],0)*(p=1)</f>
        <v>0</v>
      </c>
      <c r="O99" s="35">
        <f>+Tabella7[[#This Row],[Totale Redditi]]*Soci!G91</f>
        <v>0</v>
      </c>
      <c r="P99" s="35">
        <f>+SUMIF(Assegnazione[Socio],Tabella7[[#This Row],[Socio]],Assegnazione[Valore Normale])</f>
        <v>0</v>
      </c>
      <c r="Q99" s="40">
        <f>+IFERROR(Tabella7[[#This Row],[Valore Normale attribuito]]/Tabella7[[#This Row],[% Cap]],0)*(p=1)</f>
        <v>0</v>
      </c>
      <c r="R99" s="35">
        <f>+IFERROR(MAX(Tabella7[Dividendo teorico distribuito])*Tabella7[[#This Row],[% Cap]]-Tabella7[[#This Row],[Valore Normale attribuito]],0)*(p=1)</f>
        <v>0</v>
      </c>
    </row>
    <row r="100" spans="1:18" x14ac:dyDescent="0.25">
      <c r="A100" s="33" t="str">
        <f>+IF(Soci!B92="","",Soci!B92)</f>
        <v/>
      </c>
      <c r="B100" s="34" t="str">
        <f>+IF(Tabella7[[#This Row],[Socio]]="","",Soci!E92)</f>
        <v/>
      </c>
      <c r="C10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0" s="36" t="str">
        <f>+IF(Tabella7[[#This Row],[Socio]]="","",Tabella7[[#This Row],[Netto assegnato (Costo fiscale del bene in capo al socio)]]/'Tassazione Soci'!$C$12)</f>
        <v/>
      </c>
      <c r="E100" s="41"/>
      <c r="F10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0" s="38">
        <f>+IF(Tabella7[[#This Row],[Socio]]="",0,'Tassazione Soci'!E$9*$B100)</f>
        <v>0</v>
      </c>
      <c r="J100" s="35">
        <f>+(Tabella7[[#This Row],[Riserve]]+Tabella7[[#This Row],[Capitale sociale]])*(p=1)</f>
        <v>0</v>
      </c>
      <c r="K100" s="39">
        <f>+Soci!H92</f>
        <v>0</v>
      </c>
      <c r="L100" s="37" t="str">
        <f>+IF(Tabella7[[#This Row],[Socio]]="","",MAX(0,Soci!F92-Tabella7[[#This Row],[Riserve]])+(p=3)*(Tabella7[[#This Row],[% Beni]]*DATI!$E$34))</f>
        <v/>
      </c>
      <c r="M100" s="37">
        <f>+(Tabella7[[#This Row],[Totale attribuito]]-Soci!F92)*((Tabella7[[#This Row],[Totale attribuito]]-Soci!F92)&gt;0)</f>
        <v>0</v>
      </c>
      <c r="N100" s="40">
        <f>+IFERROR((Tabella7[[#This Row],[Dividendi da "Sottozero"]]+Tabella7[[#This Row],[Utili]]*IR)*Tabella7[[#This Row],[% Imp. Div.]],0)*(p=1)</f>
        <v>0</v>
      </c>
      <c r="O100" s="35">
        <f>+Tabella7[[#This Row],[Totale Redditi]]*Soci!G92</f>
        <v>0</v>
      </c>
      <c r="P100" s="35">
        <f>+SUMIF(Assegnazione[Socio],Tabella7[[#This Row],[Socio]],Assegnazione[Valore Normale])</f>
        <v>0</v>
      </c>
      <c r="Q100" s="40">
        <f>+IFERROR(Tabella7[[#This Row],[Valore Normale attribuito]]/Tabella7[[#This Row],[% Cap]],0)*(p=1)</f>
        <v>0</v>
      </c>
      <c r="R100" s="35">
        <f>+IFERROR(MAX(Tabella7[Dividendo teorico distribuito])*Tabella7[[#This Row],[% Cap]]-Tabella7[[#This Row],[Valore Normale attribuito]],0)*(p=1)</f>
        <v>0</v>
      </c>
    </row>
    <row r="101" spans="1:18" x14ac:dyDescent="0.25">
      <c r="A101" s="33" t="str">
        <f>+IF(Soci!B93="","",Soci!B93)</f>
        <v/>
      </c>
      <c r="B101" s="34" t="str">
        <f>+IF(Tabella7[[#This Row],[Socio]]="","",Soci!E93)</f>
        <v/>
      </c>
      <c r="C10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1" s="36" t="str">
        <f>+IF(Tabella7[[#This Row],[Socio]]="","",Tabella7[[#This Row],[Netto assegnato (Costo fiscale del bene in capo al socio)]]/'Tassazione Soci'!$C$12)</f>
        <v/>
      </c>
      <c r="E101" s="41"/>
      <c r="F10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1" s="38">
        <f>+IF(Tabella7[[#This Row],[Socio]]="",0,'Tassazione Soci'!E$9*$B101)</f>
        <v>0</v>
      </c>
      <c r="J101" s="35">
        <f>+(Tabella7[[#This Row],[Riserve]]+Tabella7[[#This Row],[Capitale sociale]])*(p=1)</f>
        <v>0</v>
      </c>
      <c r="K101" s="39">
        <f>+Soci!H93</f>
        <v>0</v>
      </c>
      <c r="L101" s="37" t="str">
        <f>+IF(Tabella7[[#This Row],[Socio]]="","",MAX(0,Soci!F93-Tabella7[[#This Row],[Riserve]])+(p=3)*(Tabella7[[#This Row],[% Beni]]*DATI!$E$34))</f>
        <v/>
      </c>
      <c r="M101" s="37">
        <f>+(Tabella7[[#This Row],[Totale attribuito]]-Soci!F93)*((Tabella7[[#This Row],[Totale attribuito]]-Soci!F93)&gt;0)</f>
        <v>0</v>
      </c>
      <c r="N101" s="40">
        <f>+IFERROR((Tabella7[[#This Row],[Dividendi da "Sottozero"]]+Tabella7[[#This Row],[Utili]]*IR)*Tabella7[[#This Row],[% Imp. Div.]],0)*(p=1)</f>
        <v>0</v>
      </c>
      <c r="O101" s="35">
        <f>+Tabella7[[#This Row],[Totale Redditi]]*Soci!G93</f>
        <v>0</v>
      </c>
      <c r="P101" s="35">
        <f>+SUMIF(Assegnazione[Socio],Tabella7[[#This Row],[Socio]],Assegnazione[Valore Normale])</f>
        <v>0</v>
      </c>
      <c r="Q101" s="40">
        <f>+IFERROR(Tabella7[[#This Row],[Valore Normale attribuito]]/Tabella7[[#This Row],[% Cap]],0)*(p=1)</f>
        <v>0</v>
      </c>
      <c r="R101" s="35">
        <f>+IFERROR(MAX(Tabella7[Dividendo teorico distribuito])*Tabella7[[#This Row],[% Cap]]-Tabella7[[#This Row],[Valore Normale attribuito]],0)*(p=1)</f>
        <v>0</v>
      </c>
    </row>
    <row r="102" spans="1:18" x14ac:dyDescent="0.25">
      <c r="A102" s="33" t="str">
        <f>+IF(Soci!B94="","",Soci!B94)</f>
        <v/>
      </c>
      <c r="B102" s="34" t="str">
        <f>+IF(Tabella7[[#This Row],[Socio]]="","",Soci!E94)</f>
        <v/>
      </c>
      <c r="C10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2" s="36" t="str">
        <f>+IF(Tabella7[[#This Row],[Socio]]="","",Tabella7[[#This Row],[Netto assegnato (Costo fiscale del bene in capo al socio)]]/'Tassazione Soci'!$C$12)</f>
        <v/>
      </c>
      <c r="E102" s="41"/>
      <c r="F10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2" s="38">
        <f>+IF(Tabella7[[#This Row],[Socio]]="",0,'Tassazione Soci'!E$9*$B102)</f>
        <v>0</v>
      </c>
      <c r="J102" s="35">
        <f>+(Tabella7[[#This Row],[Riserve]]+Tabella7[[#This Row],[Capitale sociale]])*(p=1)</f>
        <v>0</v>
      </c>
      <c r="K102" s="39">
        <f>+Soci!H94</f>
        <v>0</v>
      </c>
      <c r="L102" s="37" t="str">
        <f>+IF(Tabella7[[#This Row],[Socio]]="","",MAX(0,Soci!F94-Tabella7[[#This Row],[Riserve]])+(p=3)*(Tabella7[[#This Row],[% Beni]]*DATI!$E$34))</f>
        <v/>
      </c>
      <c r="M102" s="37">
        <f>+(Tabella7[[#This Row],[Totale attribuito]]-Soci!F94)*((Tabella7[[#This Row],[Totale attribuito]]-Soci!F94)&gt;0)</f>
        <v>0</v>
      </c>
      <c r="N102" s="40">
        <f>+IFERROR((Tabella7[[#This Row],[Dividendi da "Sottozero"]]+Tabella7[[#This Row],[Utili]]*IR)*Tabella7[[#This Row],[% Imp. Div.]],0)*(p=1)</f>
        <v>0</v>
      </c>
      <c r="O102" s="35">
        <f>+Tabella7[[#This Row],[Totale Redditi]]*Soci!G94</f>
        <v>0</v>
      </c>
      <c r="P102" s="35">
        <f>+SUMIF(Assegnazione[Socio],Tabella7[[#This Row],[Socio]],Assegnazione[Valore Normale])</f>
        <v>0</v>
      </c>
      <c r="Q102" s="40">
        <f>+IFERROR(Tabella7[[#This Row],[Valore Normale attribuito]]/Tabella7[[#This Row],[% Cap]],0)*(p=1)</f>
        <v>0</v>
      </c>
      <c r="R102" s="35">
        <f>+IFERROR(MAX(Tabella7[Dividendo teorico distribuito])*Tabella7[[#This Row],[% Cap]]-Tabella7[[#This Row],[Valore Normale attribuito]],0)*(p=1)</f>
        <v>0</v>
      </c>
    </row>
    <row r="103" spans="1:18" x14ac:dyDescent="0.25">
      <c r="A103" s="33" t="str">
        <f>+IF(Soci!B95="","",Soci!B95)</f>
        <v/>
      </c>
      <c r="B103" s="34" t="str">
        <f>+IF(Tabella7[[#This Row],[Socio]]="","",Soci!E95)</f>
        <v/>
      </c>
      <c r="C10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3" s="36" t="str">
        <f>+IF(Tabella7[[#This Row],[Socio]]="","",Tabella7[[#This Row],[Netto assegnato (Costo fiscale del bene in capo al socio)]]/'Tassazione Soci'!$C$12)</f>
        <v/>
      </c>
      <c r="E103" s="41"/>
      <c r="F10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3" s="38">
        <f>+IF(Tabella7[[#This Row],[Socio]]="",0,'Tassazione Soci'!E$9*$B103)</f>
        <v>0</v>
      </c>
      <c r="J103" s="35">
        <f>+(Tabella7[[#This Row],[Riserve]]+Tabella7[[#This Row],[Capitale sociale]])*(p=1)</f>
        <v>0</v>
      </c>
      <c r="K103" s="39">
        <f>+Soci!H95</f>
        <v>0</v>
      </c>
      <c r="L103" s="37" t="str">
        <f>+IF(Tabella7[[#This Row],[Socio]]="","",MAX(0,Soci!F95-Tabella7[[#This Row],[Riserve]])+(p=3)*(Tabella7[[#This Row],[% Beni]]*DATI!$E$34))</f>
        <v/>
      </c>
      <c r="M103" s="37">
        <f>+(Tabella7[[#This Row],[Totale attribuito]]-Soci!F95)*((Tabella7[[#This Row],[Totale attribuito]]-Soci!F95)&gt;0)</f>
        <v>0</v>
      </c>
      <c r="N103" s="40">
        <f>+IFERROR((Tabella7[[#This Row],[Dividendi da "Sottozero"]]+Tabella7[[#This Row],[Utili]]*IR)*Tabella7[[#This Row],[% Imp. Div.]],0)*(p=1)</f>
        <v>0</v>
      </c>
      <c r="O103" s="35">
        <f>+Tabella7[[#This Row],[Totale Redditi]]*Soci!G95</f>
        <v>0</v>
      </c>
      <c r="P103" s="35">
        <f>+SUMIF(Assegnazione[Socio],Tabella7[[#This Row],[Socio]],Assegnazione[Valore Normale])</f>
        <v>0</v>
      </c>
      <c r="Q103" s="40">
        <f>+IFERROR(Tabella7[[#This Row],[Valore Normale attribuito]]/Tabella7[[#This Row],[% Cap]],0)*(p=1)</f>
        <v>0</v>
      </c>
      <c r="R103" s="35">
        <f>+IFERROR(MAX(Tabella7[Dividendo teorico distribuito])*Tabella7[[#This Row],[% Cap]]-Tabella7[[#This Row],[Valore Normale attribuito]],0)*(p=1)</f>
        <v>0</v>
      </c>
    </row>
    <row r="104" spans="1:18" x14ac:dyDescent="0.25">
      <c r="A104" s="33" t="str">
        <f>+IF(Soci!B96="","",Soci!B96)</f>
        <v/>
      </c>
      <c r="B104" s="34" t="str">
        <f>+IF(Tabella7[[#This Row],[Socio]]="","",Soci!E96)</f>
        <v/>
      </c>
      <c r="C10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4" s="36" t="str">
        <f>+IF(Tabella7[[#This Row],[Socio]]="","",Tabella7[[#This Row],[Netto assegnato (Costo fiscale del bene in capo al socio)]]/'Tassazione Soci'!$C$12)</f>
        <v/>
      </c>
      <c r="E104" s="41"/>
      <c r="F10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4" s="38">
        <f>+IF(Tabella7[[#This Row],[Socio]]="",0,'Tassazione Soci'!E$9*$B104)</f>
        <v>0</v>
      </c>
      <c r="J104" s="35">
        <f>+(Tabella7[[#This Row],[Riserve]]+Tabella7[[#This Row],[Capitale sociale]])*(p=1)</f>
        <v>0</v>
      </c>
      <c r="K104" s="39">
        <f>+Soci!H96</f>
        <v>0</v>
      </c>
      <c r="L104" s="37" t="str">
        <f>+IF(Tabella7[[#This Row],[Socio]]="","",MAX(0,Soci!F96-Tabella7[[#This Row],[Riserve]])+(p=3)*(Tabella7[[#This Row],[% Beni]]*DATI!$E$34))</f>
        <v/>
      </c>
      <c r="M104" s="37">
        <f>+(Tabella7[[#This Row],[Totale attribuito]]-Soci!F96)*((Tabella7[[#This Row],[Totale attribuito]]-Soci!F96)&gt;0)</f>
        <v>0</v>
      </c>
      <c r="N104" s="40">
        <f>+IFERROR((Tabella7[[#This Row],[Dividendi da "Sottozero"]]+Tabella7[[#This Row],[Utili]]*IR)*Tabella7[[#This Row],[% Imp. Div.]],0)*(p=1)</f>
        <v>0</v>
      </c>
      <c r="O104" s="35">
        <f>+Tabella7[[#This Row],[Totale Redditi]]*Soci!G96</f>
        <v>0</v>
      </c>
      <c r="P104" s="35">
        <f>+SUMIF(Assegnazione[Socio],Tabella7[[#This Row],[Socio]],Assegnazione[Valore Normale])</f>
        <v>0</v>
      </c>
      <c r="Q104" s="40">
        <f>+IFERROR(Tabella7[[#This Row],[Valore Normale attribuito]]/Tabella7[[#This Row],[% Cap]],0)*(p=1)</f>
        <v>0</v>
      </c>
      <c r="R104" s="35">
        <f>+IFERROR(MAX(Tabella7[Dividendo teorico distribuito])*Tabella7[[#This Row],[% Cap]]-Tabella7[[#This Row],[Valore Normale attribuito]],0)*(p=1)</f>
        <v>0</v>
      </c>
    </row>
    <row r="105" spans="1:18" x14ac:dyDescent="0.25">
      <c r="A105" s="33" t="str">
        <f>+IF(Soci!B97="","",Soci!B97)</f>
        <v/>
      </c>
      <c r="B105" s="34" t="str">
        <f>+IF(Tabella7[[#This Row],[Socio]]="","",Soci!E97)</f>
        <v/>
      </c>
      <c r="C10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5" s="36" t="str">
        <f>+IF(Tabella7[[#This Row],[Socio]]="","",Tabella7[[#This Row],[Netto assegnato (Costo fiscale del bene in capo al socio)]]/'Tassazione Soci'!$C$12)</f>
        <v/>
      </c>
      <c r="E105" s="41"/>
      <c r="F10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5" s="38">
        <f>+IF(Tabella7[[#This Row],[Socio]]="",0,'Tassazione Soci'!E$9*$B105)</f>
        <v>0</v>
      </c>
      <c r="J105" s="35">
        <f>+(Tabella7[[#This Row],[Riserve]]+Tabella7[[#This Row],[Capitale sociale]])*(p=1)</f>
        <v>0</v>
      </c>
      <c r="K105" s="39">
        <f>+Soci!H97</f>
        <v>0</v>
      </c>
      <c r="L105" s="37" t="str">
        <f>+IF(Tabella7[[#This Row],[Socio]]="","",MAX(0,Soci!F97-Tabella7[[#This Row],[Riserve]])+(p=3)*(Tabella7[[#This Row],[% Beni]]*DATI!$E$34))</f>
        <v/>
      </c>
      <c r="M105" s="37">
        <f>+(Tabella7[[#This Row],[Totale attribuito]]-Soci!F97)*((Tabella7[[#This Row],[Totale attribuito]]-Soci!F97)&gt;0)</f>
        <v>0</v>
      </c>
      <c r="N105" s="40">
        <f>+IFERROR((Tabella7[[#This Row],[Dividendi da "Sottozero"]]+Tabella7[[#This Row],[Utili]]*IR)*Tabella7[[#This Row],[% Imp. Div.]],0)*(p=1)</f>
        <v>0</v>
      </c>
      <c r="O105" s="35">
        <f>+Tabella7[[#This Row],[Totale Redditi]]*Soci!G97</f>
        <v>0</v>
      </c>
      <c r="P105" s="35">
        <f>+SUMIF(Assegnazione[Socio],Tabella7[[#This Row],[Socio]],Assegnazione[Valore Normale])</f>
        <v>0</v>
      </c>
      <c r="Q105" s="40">
        <f>+IFERROR(Tabella7[[#This Row],[Valore Normale attribuito]]/Tabella7[[#This Row],[% Cap]],0)*(p=1)</f>
        <v>0</v>
      </c>
      <c r="R105" s="35">
        <f>+IFERROR(MAX(Tabella7[Dividendo teorico distribuito])*Tabella7[[#This Row],[% Cap]]-Tabella7[[#This Row],[Valore Normale attribuito]],0)*(p=1)</f>
        <v>0</v>
      </c>
    </row>
    <row r="106" spans="1:18" x14ac:dyDescent="0.25">
      <c r="A106" s="33" t="str">
        <f>+IF(Soci!B98="","",Soci!B98)</f>
        <v/>
      </c>
      <c r="B106" s="34" t="str">
        <f>+IF(Tabella7[[#This Row],[Socio]]="","",Soci!E98)</f>
        <v/>
      </c>
      <c r="C10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6" s="36" t="str">
        <f>+IF(Tabella7[[#This Row],[Socio]]="","",Tabella7[[#This Row],[Netto assegnato (Costo fiscale del bene in capo al socio)]]/'Tassazione Soci'!$C$12)</f>
        <v/>
      </c>
      <c r="E106" s="41"/>
      <c r="F10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6" s="38">
        <f>+IF(Tabella7[[#This Row],[Socio]]="",0,'Tassazione Soci'!E$9*$B106)</f>
        <v>0</v>
      </c>
      <c r="J106" s="35">
        <f>+(Tabella7[[#This Row],[Riserve]]+Tabella7[[#This Row],[Capitale sociale]])*(p=1)</f>
        <v>0</v>
      </c>
      <c r="K106" s="39">
        <f>+Soci!H98</f>
        <v>0</v>
      </c>
      <c r="L106" s="37" t="str">
        <f>+IF(Tabella7[[#This Row],[Socio]]="","",MAX(0,Soci!F98-Tabella7[[#This Row],[Riserve]])+(p=3)*(Tabella7[[#This Row],[% Beni]]*DATI!$E$34))</f>
        <v/>
      </c>
      <c r="M106" s="37">
        <f>+(Tabella7[[#This Row],[Totale attribuito]]-Soci!F98)*((Tabella7[[#This Row],[Totale attribuito]]-Soci!F98)&gt;0)</f>
        <v>0</v>
      </c>
      <c r="N106" s="40">
        <f>+IFERROR((Tabella7[[#This Row],[Dividendi da "Sottozero"]]+Tabella7[[#This Row],[Utili]]*IR)*Tabella7[[#This Row],[% Imp. Div.]],0)*(p=1)</f>
        <v>0</v>
      </c>
      <c r="O106" s="35">
        <f>+Tabella7[[#This Row],[Totale Redditi]]*Soci!G98</f>
        <v>0</v>
      </c>
      <c r="P106" s="35">
        <f>+SUMIF(Assegnazione[Socio],Tabella7[[#This Row],[Socio]],Assegnazione[Valore Normale])</f>
        <v>0</v>
      </c>
      <c r="Q106" s="40">
        <f>+IFERROR(Tabella7[[#This Row],[Valore Normale attribuito]]/Tabella7[[#This Row],[% Cap]],0)*(p=1)</f>
        <v>0</v>
      </c>
      <c r="R106" s="35">
        <f>+IFERROR(MAX(Tabella7[Dividendo teorico distribuito])*Tabella7[[#This Row],[% Cap]]-Tabella7[[#This Row],[Valore Normale attribuito]],0)*(p=1)</f>
        <v>0</v>
      </c>
    </row>
    <row r="107" spans="1:18" x14ac:dyDescent="0.25">
      <c r="A107" s="33" t="str">
        <f>+IF(Soci!B99="","",Soci!B99)</f>
        <v/>
      </c>
      <c r="B107" s="34" t="str">
        <f>+IF(Tabella7[[#This Row],[Socio]]="","",Soci!E99)</f>
        <v/>
      </c>
      <c r="C10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7" s="36" t="str">
        <f>+IF(Tabella7[[#This Row],[Socio]]="","",Tabella7[[#This Row],[Netto assegnato (Costo fiscale del bene in capo al socio)]]/'Tassazione Soci'!$C$12)</f>
        <v/>
      </c>
      <c r="E107" s="41"/>
      <c r="F10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7" s="38">
        <f>+IF(Tabella7[[#This Row],[Socio]]="",0,'Tassazione Soci'!E$9*$B107)</f>
        <v>0</v>
      </c>
      <c r="J107" s="35">
        <f>+(Tabella7[[#This Row],[Riserve]]+Tabella7[[#This Row],[Capitale sociale]])*(p=1)</f>
        <v>0</v>
      </c>
      <c r="K107" s="39">
        <f>+Soci!H99</f>
        <v>0</v>
      </c>
      <c r="L107" s="37" t="str">
        <f>+IF(Tabella7[[#This Row],[Socio]]="","",MAX(0,Soci!F99-Tabella7[[#This Row],[Riserve]])+(p=3)*(Tabella7[[#This Row],[% Beni]]*DATI!$E$34))</f>
        <v/>
      </c>
      <c r="M107" s="37">
        <f>+(Tabella7[[#This Row],[Totale attribuito]]-Soci!F99)*((Tabella7[[#This Row],[Totale attribuito]]-Soci!F99)&gt;0)</f>
        <v>0</v>
      </c>
      <c r="N107" s="40">
        <f>+IFERROR((Tabella7[[#This Row],[Dividendi da "Sottozero"]]+Tabella7[[#This Row],[Utili]]*IR)*Tabella7[[#This Row],[% Imp. Div.]],0)*(p=1)</f>
        <v>0</v>
      </c>
      <c r="O107" s="35">
        <f>+Tabella7[[#This Row],[Totale Redditi]]*Soci!G99</f>
        <v>0</v>
      </c>
      <c r="P107" s="35">
        <f>+SUMIF(Assegnazione[Socio],Tabella7[[#This Row],[Socio]],Assegnazione[Valore Normale])</f>
        <v>0</v>
      </c>
      <c r="Q107" s="40">
        <f>+IFERROR(Tabella7[[#This Row],[Valore Normale attribuito]]/Tabella7[[#This Row],[% Cap]],0)*(p=1)</f>
        <v>0</v>
      </c>
      <c r="R107" s="35">
        <f>+IFERROR(MAX(Tabella7[Dividendo teorico distribuito])*Tabella7[[#This Row],[% Cap]]-Tabella7[[#This Row],[Valore Normale attribuito]],0)*(p=1)</f>
        <v>0</v>
      </c>
    </row>
    <row r="108" spans="1:18" x14ac:dyDescent="0.25">
      <c r="A108" s="33" t="str">
        <f>+IF(Soci!B100="","",Soci!B100)</f>
        <v/>
      </c>
      <c r="B108" s="34" t="str">
        <f>+IF(Tabella7[[#This Row],[Socio]]="","",Soci!E100)</f>
        <v/>
      </c>
      <c r="C10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8" s="36" t="str">
        <f>+IF(Tabella7[[#This Row],[Socio]]="","",Tabella7[[#This Row],[Netto assegnato (Costo fiscale del bene in capo al socio)]]/'Tassazione Soci'!$C$12)</f>
        <v/>
      </c>
      <c r="E108" s="41"/>
      <c r="F10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8" s="38">
        <f>+IF(Tabella7[[#This Row],[Socio]]="",0,'Tassazione Soci'!E$9*$B108)</f>
        <v>0</v>
      </c>
      <c r="J108" s="35">
        <f>+(Tabella7[[#This Row],[Riserve]]+Tabella7[[#This Row],[Capitale sociale]])*(p=1)</f>
        <v>0</v>
      </c>
      <c r="K108" s="39">
        <f>+Soci!H100</f>
        <v>0</v>
      </c>
      <c r="L108" s="37" t="str">
        <f>+IF(Tabella7[[#This Row],[Socio]]="","",MAX(0,Soci!F100-Tabella7[[#This Row],[Riserve]])+(p=3)*(Tabella7[[#This Row],[% Beni]]*DATI!$E$34))</f>
        <v/>
      </c>
      <c r="M108" s="37">
        <f>+(Tabella7[[#This Row],[Totale attribuito]]-Soci!F100)*((Tabella7[[#This Row],[Totale attribuito]]-Soci!F100)&gt;0)</f>
        <v>0</v>
      </c>
      <c r="N108" s="40">
        <f>+IFERROR((Tabella7[[#This Row],[Dividendi da "Sottozero"]]+Tabella7[[#This Row],[Utili]]*IR)*Tabella7[[#This Row],[% Imp. Div.]],0)*(p=1)</f>
        <v>0</v>
      </c>
      <c r="O108" s="35">
        <f>+Tabella7[[#This Row],[Totale Redditi]]*Soci!G100</f>
        <v>0</v>
      </c>
      <c r="P108" s="35">
        <f>+SUMIF(Assegnazione[Socio],Tabella7[[#This Row],[Socio]],Assegnazione[Valore Normale])</f>
        <v>0</v>
      </c>
      <c r="Q108" s="40">
        <f>+IFERROR(Tabella7[[#This Row],[Valore Normale attribuito]]/Tabella7[[#This Row],[% Cap]],0)*(p=1)</f>
        <v>0</v>
      </c>
      <c r="R108" s="35">
        <f>+IFERROR(MAX(Tabella7[Dividendo teorico distribuito])*Tabella7[[#This Row],[% Cap]]-Tabella7[[#This Row],[Valore Normale attribuito]],0)*(p=1)</f>
        <v>0</v>
      </c>
    </row>
    <row r="109" spans="1:18" x14ac:dyDescent="0.25">
      <c r="A109" s="33" t="str">
        <f>+IF(Soci!B101="","",Soci!B101)</f>
        <v/>
      </c>
      <c r="B109" s="34" t="str">
        <f>+IF(Tabella7[[#This Row],[Socio]]="","",Soci!E101)</f>
        <v/>
      </c>
      <c r="C10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9" s="36" t="str">
        <f>+IF(Tabella7[[#This Row],[Socio]]="","",Tabella7[[#This Row],[Netto assegnato (Costo fiscale del bene in capo al socio)]]/'Tassazione Soci'!$C$12)</f>
        <v/>
      </c>
      <c r="E109" s="41"/>
      <c r="F10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9" s="38">
        <f>+IF(Tabella7[[#This Row],[Socio]]="",0,'Tassazione Soci'!E$9*$B109)</f>
        <v>0</v>
      </c>
      <c r="J109" s="35">
        <f>+(Tabella7[[#This Row],[Riserve]]+Tabella7[[#This Row],[Capitale sociale]])*(p=1)</f>
        <v>0</v>
      </c>
      <c r="K109" s="39">
        <f>+Soci!H101</f>
        <v>0</v>
      </c>
      <c r="L109" s="37" t="str">
        <f>+IF(Tabella7[[#This Row],[Socio]]="","",MAX(0,Soci!F101-Tabella7[[#This Row],[Riserve]])+(p=3)*(Tabella7[[#This Row],[% Beni]]*DATI!$E$34))</f>
        <v/>
      </c>
      <c r="M109" s="37">
        <f>+(Tabella7[[#This Row],[Totale attribuito]]-Soci!F101)*((Tabella7[[#This Row],[Totale attribuito]]-Soci!F101)&gt;0)</f>
        <v>0</v>
      </c>
      <c r="N109" s="40">
        <f>+IFERROR((Tabella7[[#This Row],[Dividendi da "Sottozero"]]+Tabella7[[#This Row],[Utili]]*IR)*Tabella7[[#This Row],[% Imp. Div.]],0)*(p=1)</f>
        <v>0</v>
      </c>
      <c r="O109" s="35">
        <f>+Tabella7[[#This Row],[Totale Redditi]]*Soci!G101</f>
        <v>0</v>
      </c>
      <c r="P109" s="35">
        <f>+SUMIF(Assegnazione[Socio],Tabella7[[#This Row],[Socio]],Assegnazione[Valore Normale])</f>
        <v>0</v>
      </c>
      <c r="Q109" s="40">
        <f>+IFERROR(Tabella7[[#This Row],[Valore Normale attribuito]]/Tabella7[[#This Row],[% Cap]],0)*(p=1)</f>
        <v>0</v>
      </c>
      <c r="R109" s="35">
        <f>+IFERROR(MAX(Tabella7[Dividendo teorico distribuito])*Tabella7[[#This Row],[% Cap]]-Tabella7[[#This Row],[Valore Normale attribuito]],0)*(p=1)</f>
        <v>0</v>
      </c>
    </row>
    <row r="110" spans="1:18" x14ac:dyDescent="0.25">
      <c r="A110" s="33" t="str">
        <f>+IF(Soci!B102="","",Soci!B102)</f>
        <v/>
      </c>
      <c r="B110" s="34" t="str">
        <f>+IF(Tabella7[[#This Row],[Socio]]="","",Soci!E102)</f>
        <v/>
      </c>
      <c r="C11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10" s="36" t="str">
        <f>+IF(Tabella7[[#This Row],[Socio]]="","",Tabella7[[#This Row],[Netto assegnato (Costo fiscale del bene in capo al socio)]]/'Tassazione Soci'!$C$12)</f>
        <v/>
      </c>
      <c r="E110" s="41"/>
      <c r="F11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1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1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10" s="38">
        <f>+IF(Tabella7[[#This Row],[Socio]]="",0,'Tassazione Soci'!E$9*$B110)</f>
        <v>0</v>
      </c>
      <c r="J110" s="35">
        <f>+(Tabella7[[#This Row],[Riserve]]+Tabella7[[#This Row],[Capitale sociale]])*(p=1)</f>
        <v>0</v>
      </c>
      <c r="K110" s="39">
        <f>+Soci!H102</f>
        <v>0</v>
      </c>
      <c r="L110" s="37" t="str">
        <f>+IF(Tabella7[[#This Row],[Socio]]="","",MAX(0,Soci!F102-Tabella7[[#This Row],[Riserve]])+(p=3)*(Tabella7[[#This Row],[% Beni]]*DATI!$E$34))</f>
        <v/>
      </c>
      <c r="M110" s="37">
        <f>+(Tabella7[[#This Row],[Totale attribuito]]-Soci!F102)*((Tabella7[[#This Row],[Totale attribuito]]-Soci!F102)&gt;0)</f>
        <v>0</v>
      </c>
      <c r="N110" s="40">
        <f>+IFERROR((Tabella7[[#This Row],[Dividendi da "Sottozero"]]+Tabella7[[#This Row],[Utili]]*IR)*Tabella7[[#This Row],[% Imp. Div.]],0)*(p=1)</f>
        <v>0</v>
      </c>
      <c r="O110" s="35">
        <f>+Tabella7[[#This Row],[Totale Redditi]]*Soci!G102</f>
        <v>0</v>
      </c>
      <c r="P110" s="35">
        <f>+SUMIF(Assegnazione[Socio],Tabella7[[#This Row],[Socio]],Assegnazione[Valore Normale])</f>
        <v>0</v>
      </c>
      <c r="Q110" s="40">
        <f>+IFERROR(Tabella7[[#This Row],[Valore Normale attribuito]]/Tabella7[[#This Row],[% Cap]],0)*(p=1)</f>
        <v>0</v>
      </c>
      <c r="R110" s="35">
        <f>+IFERROR(MAX(Tabella7[Dividendo teorico distribuito])*Tabella7[[#This Row],[% Cap]]-Tabella7[[#This Row],[Valore Normale attribuito]],0)*(p=1)</f>
        <v>0</v>
      </c>
    </row>
    <row r="111" spans="1:18" x14ac:dyDescent="0.25">
      <c r="A111" s="33" t="str">
        <f>+IF(Soci!B103="","",Soci!B103)</f>
        <v/>
      </c>
      <c r="B111" s="34" t="str">
        <f>+IF(Tabella7[[#This Row],[Socio]]="","",Soci!E103)</f>
        <v/>
      </c>
      <c r="C11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11" s="36" t="str">
        <f>+IF(Tabella7[[#This Row],[Socio]]="","",Tabella7[[#This Row],[Netto assegnato (Costo fiscale del bene in capo al socio)]]/'Tassazione Soci'!$C$12)</f>
        <v/>
      </c>
      <c r="E111" s="41"/>
      <c r="F11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1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1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11" s="38">
        <f>+IF(Tabella7[[#This Row],[Socio]]="",0,'Tassazione Soci'!E$9*$B111)</f>
        <v>0</v>
      </c>
      <c r="J111" s="35">
        <f>+(Tabella7[[#This Row],[Riserve]]+Tabella7[[#This Row],[Capitale sociale]])*(p=1)</f>
        <v>0</v>
      </c>
      <c r="K111" s="39">
        <f>+Soci!H103</f>
        <v>0</v>
      </c>
      <c r="L111" s="37" t="str">
        <f>+IF(Tabella7[[#This Row],[Socio]]="","",MAX(0,Soci!F103-Tabella7[[#This Row],[Riserve]])+(p=3)*(Tabella7[[#This Row],[% Beni]]*DATI!$E$34))</f>
        <v/>
      </c>
      <c r="M111" s="37">
        <f>+(Tabella7[[#This Row],[Totale attribuito]]-Soci!F103)*((Tabella7[[#This Row],[Totale attribuito]]-Soci!F103)&gt;0)</f>
        <v>0</v>
      </c>
      <c r="N111" s="40">
        <f>+IFERROR((Tabella7[[#This Row],[Dividendi da "Sottozero"]]+Tabella7[[#This Row],[Utili]]*IR)*Tabella7[[#This Row],[% Imp. Div.]],0)*(p=1)</f>
        <v>0</v>
      </c>
      <c r="O111" s="35">
        <f>+Tabella7[[#This Row],[Totale Redditi]]*Soci!G103</f>
        <v>0</v>
      </c>
      <c r="P111" s="35">
        <f>+SUMIF(Assegnazione[Socio],Tabella7[[#This Row],[Socio]],Assegnazione[Valore Normale])</f>
        <v>0</v>
      </c>
      <c r="Q111" s="40">
        <f>+IFERROR(Tabella7[[#This Row],[Valore Normale attribuito]]/Tabella7[[#This Row],[% Cap]],0)*(p=1)</f>
        <v>0</v>
      </c>
      <c r="R111" s="35">
        <f>+IFERROR(MAX(Tabella7[Dividendo teorico distribuito])*Tabella7[[#This Row],[% Cap]]-Tabella7[[#This Row],[Valore Normale attribuito]],0)*(p=1)</f>
        <v>0</v>
      </c>
    </row>
    <row r="112" spans="1:18" x14ac:dyDescent="0.25">
      <c r="A112" s="33" t="str">
        <f>+IF(Soci!B104="","",Soci!B104)</f>
        <v/>
      </c>
      <c r="B112" s="34" t="str">
        <f>+IF(Tabella7[[#This Row],[Socio]]="","",Soci!E104)</f>
        <v/>
      </c>
      <c r="C11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12" s="36" t="str">
        <f>+IF(Tabella7[[#This Row],[Socio]]="","",Tabella7[[#This Row],[Netto assegnato (Costo fiscale del bene in capo al socio)]]/'Tassazione Soci'!$C$12)</f>
        <v/>
      </c>
      <c r="E112" s="41"/>
      <c r="F11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1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1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12" s="38">
        <f>+IF(Tabella7[[#This Row],[Socio]]="",0,'Tassazione Soci'!E$9*$B112)</f>
        <v>0</v>
      </c>
      <c r="J112" s="35">
        <f>+(Tabella7[[#This Row],[Riserve]]+Tabella7[[#This Row],[Capitale sociale]])*(p=1)</f>
        <v>0</v>
      </c>
      <c r="K112" s="39">
        <f>+Soci!H104</f>
        <v>0</v>
      </c>
      <c r="L112" s="37" t="str">
        <f>+IF(Tabella7[[#This Row],[Socio]]="","",MAX(0,Soci!F104-Tabella7[[#This Row],[Riserve]])+(p=3)*(Tabella7[[#This Row],[% Beni]]*DATI!$E$34))</f>
        <v/>
      </c>
      <c r="M112" s="37">
        <f>+(Tabella7[[#This Row],[Totale attribuito]]-Soci!F104)*((Tabella7[[#This Row],[Totale attribuito]]-Soci!F104)&gt;0)</f>
        <v>0</v>
      </c>
      <c r="N112" s="40">
        <f>+IFERROR((Tabella7[[#This Row],[Dividendi da "Sottozero"]]+Tabella7[[#This Row],[Utili]]*IR)*Tabella7[[#This Row],[% Imp. Div.]],0)*(p=1)</f>
        <v>0</v>
      </c>
      <c r="O112" s="35">
        <f>+Tabella7[[#This Row],[Totale Redditi]]*Soci!G104</f>
        <v>0</v>
      </c>
      <c r="P112" s="35">
        <f>+SUMIF(Assegnazione[Socio],Tabella7[[#This Row],[Socio]],Assegnazione[Valore Normale])</f>
        <v>0</v>
      </c>
      <c r="Q112" s="40">
        <f>+IFERROR(Tabella7[[#This Row],[Valore Normale attribuito]]/Tabella7[[#This Row],[% Cap]],0)*(p=1)</f>
        <v>0</v>
      </c>
      <c r="R112" s="35">
        <f>+IFERROR(MAX(Tabella7[Dividendo teorico distribuito])*Tabella7[[#This Row],[% Cap]]-Tabella7[[#This Row],[Valore Normale attribuito]],0)*(p=1)</f>
        <v>0</v>
      </c>
    </row>
    <row r="113" spans="1:18" x14ac:dyDescent="0.25">
      <c r="A113" s="33" t="str">
        <f>+IF(Soci!B105="","",Soci!B105)</f>
        <v/>
      </c>
      <c r="B113" s="34" t="str">
        <f>+IF(Tabella7[[#This Row],[Socio]]="","",Soci!E105)</f>
        <v/>
      </c>
      <c r="C11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13" s="36" t="str">
        <f>+IF(Tabella7[[#This Row],[Socio]]="","",Tabella7[[#This Row],[Netto assegnato (Costo fiscale del bene in capo al socio)]]/'Tassazione Soci'!$C$12)</f>
        <v/>
      </c>
      <c r="E113" s="41"/>
      <c r="F11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1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1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13" s="38">
        <f>+IF(Tabella7[[#This Row],[Socio]]="",0,'Tassazione Soci'!E$9*$B113)</f>
        <v>0</v>
      </c>
      <c r="J113" s="35">
        <f>+(Tabella7[[#This Row],[Riserve]]+Tabella7[[#This Row],[Capitale sociale]])*(p=1)</f>
        <v>0</v>
      </c>
      <c r="K113" s="39">
        <f>+Soci!H105</f>
        <v>0</v>
      </c>
      <c r="L113" s="37" t="str">
        <f>+IF(Tabella7[[#This Row],[Socio]]="","",MAX(0,Soci!F105-Tabella7[[#This Row],[Riserve]])+(p=3)*(Tabella7[[#This Row],[% Beni]]*DATI!$E$34))</f>
        <v/>
      </c>
      <c r="M113" s="37">
        <f>+(Tabella7[[#This Row],[Totale attribuito]]-Soci!F105)*((Tabella7[[#This Row],[Totale attribuito]]-Soci!F105)&gt;0)</f>
        <v>0</v>
      </c>
      <c r="N113" s="40">
        <f>+IFERROR((Tabella7[[#This Row],[Dividendi da "Sottozero"]]+Tabella7[[#This Row],[Utili]]*IR)*Tabella7[[#This Row],[% Imp. Div.]],0)*(p=1)</f>
        <v>0</v>
      </c>
      <c r="O113" s="35">
        <f>+Tabella7[[#This Row],[Totale Redditi]]*Soci!G105</f>
        <v>0</v>
      </c>
      <c r="P113" s="35">
        <f>+SUMIF(Assegnazione[Socio],Tabella7[[#This Row],[Socio]],Assegnazione[Valore Normale])</f>
        <v>0</v>
      </c>
      <c r="Q113" s="40">
        <f>+IFERROR(Tabella7[[#This Row],[Valore Normale attribuito]]/Tabella7[[#This Row],[% Cap]],0)*(p=1)</f>
        <v>0</v>
      </c>
      <c r="R113" s="35">
        <f>+IFERROR(MAX(Tabella7[Dividendo teorico distribuito])*Tabella7[[#This Row],[% Cap]]-Tabella7[[#This Row],[Valore Normale attribuito]],0)*(p=1)</f>
        <v>0</v>
      </c>
    </row>
  </sheetData>
  <sheetProtection formatCells="0" formatColumns="0" formatRows="0" insertColumns="0" insertRows="0" insertHyperlinks="0" deleteColumns="0" deleteRows="0" sort="0" autoFilter="0" pivotTables="0"/>
  <mergeCells count="5">
    <mergeCell ref="A3:H3"/>
    <mergeCell ref="A5:K5"/>
    <mergeCell ref="L3:Q3"/>
    <mergeCell ref="M9:Q11"/>
    <mergeCell ref="A12:B12"/>
  </mergeCells>
  <conditionalFormatting sqref="A5:K5">
    <cfRule type="expression" dxfId="0" priority="1">
      <formula>LEN($A$5)&gt;5</formula>
    </cfRule>
  </conditionalFormatting>
  <pageMargins left="0.25" right="0.25" top="0.75" bottom="0.75" header="0.3" footer="0.3"/>
  <pageSetup paperSize="9" scale="51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List Box 1">
              <controlPr defaultSize="0" autoLine="0" autoPict="0">
                <anchor moveWithCells="1">
                  <from>
                    <xdr:col>8</xdr:col>
                    <xdr:colOff>257175</xdr:colOff>
                    <xdr:row>2</xdr:row>
                    <xdr:rowOff>257175</xdr:rowOff>
                  </from>
                  <to>
                    <xdr:col>9</xdr:col>
                    <xdr:colOff>571500</xdr:colOff>
                    <xdr:row>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4" r:id="rId5" name="Check Box 6">
              <controlPr defaultSize="0" autoFill="0" autoLine="0" autoPict="0">
                <anchor moveWithCells="1">
                  <from>
                    <xdr:col>4</xdr:col>
                    <xdr:colOff>47625</xdr:colOff>
                    <xdr:row>12</xdr:row>
                    <xdr:rowOff>247650</xdr:rowOff>
                  </from>
                  <to>
                    <xdr:col>4</xdr:col>
                    <xdr:colOff>952500</xdr:colOff>
                    <xdr:row>12</xdr:row>
                    <xdr:rowOff>485775</xdr:rowOff>
                  </to>
                </anchor>
              </controlPr>
            </control>
          </mc:Choice>
        </mc:AlternateContent>
      </controls>
    </mc:Choice>
  </mc:AlternateContent>
  <tableParts count="1"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" id="{8515CE1B-B0D5-4D85-A01E-A0E33F2EBCF5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2" iconId="0"/>
              <x14:cfIcon iconSet="3TrafficLights2" iconId="2"/>
              <x14:cfIcon iconSet="3TrafficLights2" iconId="2"/>
            </x14:iconSet>
          </x14:cfRule>
          <xm:sqref>B10</xm:sqref>
        </x14:conditionalFormatting>
        <x14:conditionalFormatting xmlns:xm="http://schemas.microsoft.com/office/excel/2006/main">
          <x14:cfRule type="iconSet" priority="5" id="{873F6B81-F004-4A87-8C49-7854B9256E8E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2" iconId="0"/>
              <x14:cfIcon iconSet="3TrafficLights2" iconId="2"/>
              <x14:cfIcon iconSet="3TrafficLights2" iconId="2"/>
            </x14:iconSet>
          </x14:cfRule>
          <xm:sqref>C10:E10</xm:sqref>
        </x14:conditionalFormatting>
        <x14:conditionalFormatting xmlns:xm="http://schemas.microsoft.com/office/excel/2006/main">
          <x14:cfRule type="iconSet" priority="77" id="{FD7F30CB-F725-4E3C-8B99-EBC975C3172E}">
            <x14:iconSet iconSet="3TrafficLights2" custom="1">
              <x14:cfvo type="percent">
                <xm:f>0</xm:f>
              </x14:cfvo>
              <x14:cfvo type="num">
                <xm:f>$N$335</xm:f>
              </x14:cfvo>
              <x14:cfvo type="num" gte="0">
                <xm:f>$N$335</xm:f>
              </x14:cfvo>
              <x14:cfIcon iconSet="3TrafficLights2" iconId="0"/>
              <x14:cfIcon iconSet="3TrafficLights2" iconId="2"/>
              <x14:cfIcon iconSet="3TrafficLights2" iconId="2"/>
            </x14:iconSet>
          </x14:cfRule>
          <xm:sqref>E12</xm:sqref>
        </x14:conditionalFormatting>
        <x14:conditionalFormatting xmlns:xm="http://schemas.microsoft.com/office/excel/2006/main">
          <x14:cfRule type="iconSet" priority="3" id="{C6DA0449-6F3A-4E70-BF7D-FC65C9C2921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2" iconId="0"/>
              <x14:cfIcon iconSet="3TrafficLights2" iconId="2"/>
              <x14:cfIcon iconSet="3TrafficLights2" iconId="2"/>
            </x14:iconSet>
          </x14:cfRule>
          <xm:sqref>F10</xm:sqref>
        </x14:conditionalFormatting>
        <x14:conditionalFormatting xmlns:xm="http://schemas.microsoft.com/office/excel/2006/main">
          <x14:cfRule type="iconSet" priority="4" id="{8673805B-9864-4BA2-B8D3-7BF3A3CD880A}">
            <x14:iconSet iconSet="3TrafficLights2" showValue="0" custom="1">
              <x14:cfvo type="percent">
                <xm:f>0</xm:f>
              </x14:cfvo>
              <x14:cfvo type="num" gte="0">
                <xm:f>-1</xm:f>
              </x14:cfvo>
              <x14:cfvo type="num">
                <xm:f>1</xm:f>
              </x14:cfvo>
              <x14:cfIcon iconSet="3TrafficLights2" iconId="0"/>
              <x14:cfIcon iconSet="3TrafficLights2" iconId="0"/>
              <x14:cfIcon iconSet="3TrafficLights2" iconId="2"/>
            </x14:iconSet>
          </x14:cfRule>
          <xm:sqref>H8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oglio9">
    <pageSetUpPr fitToPage="1"/>
  </sheetPr>
  <dimension ref="A1:U24"/>
  <sheetViews>
    <sheetView showGridLines="0" zoomScaleNormal="100" workbookViewId="0">
      <selection activeCell="A6" sqref="A6"/>
    </sheetView>
  </sheetViews>
  <sheetFormatPr defaultColWidth="9.140625" defaultRowHeight="14.25" x14ac:dyDescent="0.2"/>
  <cols>
    <col min="1" max="1" width="9.42578125" style="56" customWidth="1"/>
    <col min="2" max="2" width="17" style="56" bestFit="1" customWidth="1"/>
    <col min="3" max="3" width="25.7109375" style="56" customWidth="1"/>
    <col min="4" max="4" width="22" style="56" customWidth="1"/>
    <col min="5" max="5" width="11.140625" style="56" customWidth="1"/>
    <col min="6" max="6" width="35.42578125" style="56" customWidth="1"/>
    <col min="7" max="16384" width="9.140625" style="56"/>
  </cols>
  <sheetData>
    <row r="1" spans="1:21" ht="127.5" customHeight="1" x14ac:dyDescent="0.2"/>
    <row r="2" spans="1:21" ht="54.95" customHeight="1" x14ac:dyDescent="0.2"/>
    <row r="3" spans="1:21" ht="26.25" customHeight="1" x14ac:dyDescent="0.2">
      <c r="A3" s="272" t="s">
        <v>222</v>
      </c>
      <c r="B3" s="272"/>
      <c r="C3" s="272"/>
      <c r="D3" s="272"/>
      <c r="E3" s="272"/>
      <c r="F3" s="273">
        <f>SUM(Tabella10[Rettifica della detrazione])</f>
        <v>0</v>
      </c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</row>
    <row r="4" spans="1:21" ht="56.25" customHeight="1" x14ac:dyDescent="0.2">
      <c r="A4" s="221" t="s">
        <v>220</v>
      </c>
      <c r="B4" s="221" t="s">
        <v>13</v>
      </c>
      <c r="C4" s="221" t="s">
        <v>219</v>
      </c>
      <c r="D4" s="222" t="s">
        <v>226</v>
      </c>
      <c r="E4" s="222" t="s">
        <v>223</v>
      </c>
      <c r="F4" s="222" t="s">
        <v>221</v>
      </c>
    </row>
    <row r="5" spans="1:21" x14ac:dyDescent="0.2">
      <c r="A5" s="275">
        <v>2007</v>
      </c>
      <c r="B5" s="123" t="s">
        <v>388</v>
      </c>
      <c r="C5" s="186">
        <v>0</v>
      </c>
      <c r="D5" s="276">
        <f>+IF(Tabella10[[#This Row],[Anno]]="","",IFERROR(IF(VLOOKUP(Tabella10[[#This Row],[Bene]],B[[Bene]:[Tipologia]],3,0)="Altri Beni",5,10),10))</f>
        <v>10</v>
      </c>
      <c r="E5" s="187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>0</v>
      </c>
      <c r="F5" s="172">
        <f>+IFERROR(Tabella10[[#This Row],[Iva portata in detrazione]]*Tabella10[[#This Row],[Anni residui]],0)</f>
        <v>0</v>
      </c>
    </row>
    <row r="6" spans="1:21" x14ac:dyDescent="0.2">
      <c r="A6" s="275"/>
      <c r="B6" s="123"/>
      <c r="C6" s="186"/>
      <c r="D6" s="276" t="str">
        <f>+IF(Tabella10[[#This Row],[Anno]]="","",IFERROR(IF(VLOOKUP(Tabella10[[#This Row],[Bene]],B[[Bene]:[Tipologia]],3,0)="Altri Beni",5,10),10))</f>
        <v/>
      </c>
      <c r="E6" s="187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6" s="172">
        <f>+IFERROR(Tabella10[[#This Row],[Iva portata in detrazione]]*Tabella10[[#This Row],[Anni residui]],0)</f>
        <v>0</v>
      </c>
    </row>
    <row r="7" spans="1:21" x14ac:dyDescent="0.2">
      <c r="A7" s="275"/>
      <c r="B7" s="123"/>
      <c r="C7" s="186"/>
      <c r="D7" s="276" t="str">
        <f>+IF(Tabella10[[#This Row],[Anno]]="","",IFERROR(IF(VLOOKUP(Tabella10[[#This Row],[Bene]],B[[Bene]:[Tipologia]],3,0)="Altri Beni",5,10),10))</f>
        <v/>
      </c>
      <c r="E7" s="187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7" s="172">
        <f>+IFERROR(Tabella10[[#This Row],[Iva portata in detrazione]]*Tabella10[[#This Row],[Anni residui]],0)</f>
        <v>0</v>
      </c>
    </row>
    <row r="8" spans="1:21" x14ac:dyDescent="0.2">
      <c r="A8" s="275"/>
      <c r="B8" s="123"/>
      <c r="C8" s="186"/>
      <c r="D8" s="276" t="str">
        <f>+IF(Tabella10[[#This Row],[Anno]]="","",IFERROR(IF(VLOOKUP(Tabella10[[#This Row],[Bene]],B[[Bene]:[Tipologia]],3,0)="Altri Beni",5,10),10))</f>
        <v/>
      </c>
      <c r="E8" s="187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8" s="172">
        <f>+IFERROR(Tabella10[[#This Row],[Iva portata in detrazione]]*Tabella10[[#This Row],[Anni residui]],0)</f>
        <v>0</v>
      </c>
    </row>
    <row r="9" spans="1:21" x14ac:dyDescent="0.2">
      <c r="A9" s="275"/>
      <c r="B9" s="123"/>
      <c r="C9" s="186"/>
      <c r="D9" s="276" t="str">
        <f>+IF(Tabella10[[#This Row],[Anno]]="","",IFERROR(IF(VLOOKUP(Tabella10[[#This Row],[Bene]],B[[Bene]:[Tipologia]],3,0)="Altri Beni",5,10),10))</f>
        <v/>
      </c>
      <c r="E9" s="187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9" s="172">
        <f>+IFERROR(Tabella10[[#This Row],[Iva portata in detrazione]]*Tabella10[[#This Row],[Anni residui]],0)</f>
        <v>0</v>
      </c>
    </row>
    <row r="10" spans="1:21" x14ac:dyDescent="0.2">
      <c r="A10" s="275"/>
      <c r="B10" s="123"/>
      <c r="C10" s="186"/>
      <c r="D10" s="276" t="str">
        <f>+IF(Tabella10[[#This Row],[Anno]]="","",IFERROR(IF(VLOOKUP(Tabella10[[#This Row],[Bene]],B[[Bene]:[Tipologia]],3,0)="Altri Beni",5,10),10))</f>
        <v/>
      </c>
      <c r="E10" s="187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0" s="172">
        <f>+IFERROR(Tabella10[[#This Row],[Iva portata in detrazione]]*Tabella10[[#This Row],[Anni residui]],0)</f>
        <v>0</v>
      </c>
    </row>
    <row r="11" spans="1:21" x14ac:dyDescent="0.2">
      <c r="A11" s="275"/>
      <c r="B11" s="123"/>
      <c r="C11" s="186"/>
      <c r="D11" s="276" t="str">
        <f>+IF(Tabella10[[#This Row],[Anno]]="","",IFERROR(IF(VLOOKUP(Tabella10[[#This Row],[Bene]],B[[Bene]:[Tipologia]],3,0)="Altri Beni",5,10),10))</f>
        <v/>
      </c>
      <c r="E11" s="187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1" s="172">
        <f>+IFERROR(Tabella10[[#This Row],[Iva portata in detrazione]]*Tabella10[[#This Row],[Anni residui]],0)</f>
        <v>0</v>
      </c>
    </row>
    <row r="12" spans="1:21" x14ac:dyDescent="0.2">
      <c r="A12" s="275"/>
      <c r="B12" s="123"/>
      <c r="C12" s="186"/>
      <c r="D12" s="276" t="str">
        <f>+IF(Tabella10[[#This Row],[Anno]]="","",IFERROR(IF(VLOOKUP(Tabella10[[#This Row],[Bene]],B[[Bene]:[Tipologia]],3,0)="Altri Beni",5,10),10))</f>
        <v/>
      </c>
      <c r="E12" s="187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2" s="172">
        <f>+IFERROR(Tabella10[[#This Row],[Iva portata in detrazione]]*Tabella10[[#This Row],[Anni residui]],0)</f>
        <v>0</v>
      </c>
    </row>
    <row r="13" spans="1:21" x14ac:dyDescent="0.2">
      <c r="A13" s="275"/>
      <c r="B13" s="123"/>
      <c r="C13" s="186"/>
      <c r="D13" s="276" t="str">
        <f>+IF(Tabella10[[#This Row],[Anno]]="","",IFERROR(IF(VLOOKUP(Tabella10[[#This Row],[Bene]],B[[Bene]:[Tipologia]],3,0)="Altri Beni",5,10),10))</f>
        <v/>
      </c>
      <c r="E13" s="187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3" s="172">
        <f>+IFERROR(Tabella10[[#This Row],[Iva portata in detrazione]]*Tabella10[[#This Row],[Anni residui]],0)</f>
        <v>0</v>
      </c>
    </row>
    <row r="14" spans="1:21" x14ac:dyDescent="0.2">
      <c r="A14" s="275"/>
      <c r="B14" s="123"/>
      <c r="C14" s="188"/>
      <c r="D14" s="276" t="str">
        <f>+IF(Tabella10[[#This Row],[Anno]]="","",IFERROR(IF(VLOOKUP(Tabella10[[#This Row],[Bene]],B[[Bene]:[Tipologia]],3,0)="Altri Beni",5,10),10))</f>
        <v/>
      </c>
      <c r="E14" s="187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4" s="189">
        <f>+IFERROR(Tabella10[[#This Row],[Iva portata in detrazione]]*Tabella10[[#This Row],[Anni residui]],0)</f>
        <v>0</v>
      </c>
    </row>
    <row r="15" spans="1:21" x14ac:dyDescent="0.2">
      <c r="A15" s="275"/>
      <c r="B15" s="123"/>
      <c r="C15" s="188"/>
      <c r="D15" s="276" t="str">
        <f>+IF(Tabella10[[#This Row],[Anno]]="","",IFERROR(IF(VLOOKUP(Tabella10[[#This Row],[Bene]],B[[Bene]:[Tipologia]],3,0)="Altri Beni",5,10),10))</f>
        <v/>
      </c>
      <c r="E15" s="187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5" s="189">
        <f>+IFERROR(Tabella10[[#This Row],[Iva portata in detrazione]]*Tabella10[[#This Row],[Anni residui]],0)</f>
        <v>0</v>
      </c>
    </row>
    <row r="16" spans="1:21" x14ac:dyDescent="0.2">
      <c r="A16" s="275"/>
      <c r="B16" s="123"/>
      <c r="C16" s="188"/>
      <c r="D16" s="276" t="str">
        <f>+IF(Tabella10[[#This Row],[Anno]]="","",IFERROR(IF(VLOOKUP(Tabella10[[#This Row],[Bene]],B[[Bene]:[Tipologia]],3,0)="Altri Beni",5,10),10))</f>
        <v/>
      </c>
      <c r="E16" s="187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6" s="189">
        <f>+IFERROR(Tabella10[[#This Row],[Iva portata in detrazione]]*Tabella10[[#This Row],[Anni residui]],0)</f>
        <v>0</v>
      </c>
    </row>
    <row r="17" spans="1:6" x14ac:dyDescent="0.2">
      <c r="A17" s="275"/>
      <c r="B17" s="123"/>
      <c r="C17" s="188"/>
      <c r="D17" s="276" t="str">
        <f>+IF(Tabella10[[#This Row],[Anno]]="","",IFERROR(IF(VLOOKUP(Tabella10[[#This Row],[Bene]],B[[Bene]:[Tipologia]],3,0)="Altri Beni",5,10),10))</f>
        <v/>
      </c>
      <c r="E17" s="187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7" s="189">
        <f>+IFERROR(Tabella10[[#This Row],[Iva portata in detrazione]]*Tabella10[[#This Row],[Anni residui]],0)</f>
        <v>0</v>
      </c>
    </row>
    <row r="18" spans="1:6" x14ac:dyDescent="0.2">
      <c r="A18" s="275"/>
      <c r="B18" s="123"/>
      <c r="C18" s="188"/>
      <c r="D18" s="276" t="str">
        <f>+IF(Tabella10[[#This Row],[Anno]]="","",IFERROR(IF(VLOOKUP(Tabella10[[#This Row],[Bene]],B[[Bene]:[Tipologia]],3,0)="Altri Beni",5,10),10))</f>
        <v/>
      </c>
      <c r="E18" s="187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8" s="189">
        <f>+IFERROR(Tabella10[[#This Row],[Iva portata in detrazione]]*Tabella10[[#This Row],[Anni residui]],0)</f>
        <v>0</v>
      </c>
    </row>
    <row r="19" spans="1:6" x14ac:dyDescent="0.2">
      <c r="A19" s="275"/>
      <c r="B19" s="123"/>
      <c r="C19" s="188"/>
      <c r="D19" s="276" t="str">
        <f>+IF(Tabella10[[#This Row],[Anno]]="","",IFERROR(IF(VLOOKUP(Tabella10[[#This Row],[Bene]],B[[Bene]:[Tipologia]],3,0)="Altri Beni",5,10),10))</f>
        <v/>
      </c>
      <c r="E19" s="187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9" s="189">
        <f>+IFERROR(Tabella10[[#This Row],[Iva portata in detrazione]]*Tabella10[[#This Row],[Anni residui]],0)</f>
        <v>0</v>
      </c>
    </row>
    <row r="20" spans="1:6" x14ac:dyDescent="0.2">
      <c r="A20" s="275"/>
      <c r="B20" s="123"/>
      <c r="C20" s="188"/>
      <c r="D20" s="276" t="str">
        <f>+IF(Tabella10[[#This Row],[Anno]]="","",IFERROR(IF(VLOOKUP(Tabella10[[#This Row],[Bene]],B[[Bene]:[Tipologia]],3,0)="Altri Beni",5,10),10))</f>
        <v/>
      </c>
      <c r="E20" s="187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20" s="189">
        <f>+IFERROR(Tabella10[[#This Row],[Iva portata in detrazione]]*Tabella10[[#This Row],[Anni residui]],0)</f>
        <v>0</v>
      </c>
    </row>
    <row r="21" spans="1:6" x14ac:dyDescent="0.2">
      <c r="A21" s="275"/>
      <c r="B21" s="123"/>
      <c r="C21" s="188"/>
      <c r="D21" s="276" t="str">
        <f>+IF(Tabella10[[#This Row],[Anno]]="","",IFERROR(IF(VLOOKUP(Tabella10[[#This Row],[Bene]],B[[Bene]:[Tipologia]],3,0)="Altri Beni",5,10),10))</f>
        <v/>
      </c>
      <c r="E21" s="187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21" s="189">
        <f>+IFERROR(Tabella10[[#This Row],[Iva portata in detrazione]]*Tabella10[[#This Row],[Anni residui]],0)</f>
        <v>0</v>
      </c>
    </row>
    <row r="22" spans="1:6" x14ac:dyDescent="0.2">
      <c r="A22" s="275"/>
      <c r="B22" s="123"/>
      <c r="C22" s="188"/>
      <c r="D22" s="276" t="str">
        <f>+IF(Tabella10[[#This Row],[Anno]]="","",IFERROR(IF(VLOOKUP(Tabella10[[#This Row],[Bene]],B[[Bene]:[Tipologia]],3,0)="Altri Beni",5,10),10))</f>
        <v/>
      </c>
      <c r="E22" s="187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22" s="189">
        <f>+IFERROR(Tabella10[[#This Row],[Iva portata in detrazione]]*Tabella10[[#This Row],[Anni residui]],0)</f>
        <v>0</v>
      </c>
    </row>
    <row r="23" spans="1:6" x14ac:dyDescent="0.2">
      <c r="A23" s="275"/>
      <c r="B23" s="123"/>
      <c r="C23" s="188"/>
      <c r="D23" s="276" t="str">
        <f>+IF(Tabella10[[#This Row],[Anno]]="","",IFERROR(IF(VLOOKUP(Tabella10[[#This Row],[Bene]],B[[Bene]:[Tipologia]],3,0)="Altri Beni",5,10),10))</f>
        <v/>
      </c>
      <c r="E23" s="187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23" s="189">
        <f>+IFERROR(Tabella10[[#This Row],[Iva portata in detrazione]]*Tabella10[[#This Row],[Anni residui]],0)</f>
        <v>0</v>
      </c>
    </row>
    <row r="24" spans="1:6" x14ac:dyDescent="0.2">
      <c r="A24" s="275"/>
      <c r="B24" s="123"/>
      <c r="C24" s="188"/>
      <c r="D24" s="276" t="str">
        <f>+IF(Tabella10[[#This Row],[Anno]]="","",IFERROR(IF(VLOOKUP(Tabella10[[#This Row],[Bene]],B[[Bene]:[Tipologia]],3,0)="Altri Beni",5,10),10))</f>
        <v/>
      </c>
      <c r="E24" s="187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24" s="189">
        <f>+IFERROR(Tabella10[[#This Row],[Iva portata in detrazione]]*Tabella10[[#This Row],[Anni residui]],0)</f>
        <v>0</v>
      </c>
    </row>
  </sheetData>
  <sheetProtection algorithmName="SHA-512" hashValue="Ppuftskr2GX6nNI4xvvu9wybM033/xib8uU7Dr8JYFrwzgTlKWYfaQF9KJPkZbXr3B+b6gBnrBjAgJ9vagOglw==" saltValue="xdI591CNGQLc8nqDEGilww==" spinCount="100000" sheet="1"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B5:B24" xr:uid="{00000000-0002-0000-0800-000000000000}">
      <formula1>Beni</formula1>
    </dataValidation>
  </dataValidations>
  <pageMargins left="0.7" right="0.7" top="0.75" bottom="0.75" header="0.3" footer="0.3"/>
  <pageSetup paperSize="9" orientation="landscape" r:id="rId1"/>
  <drawing r:id="rId2"/>
  <legacyDrawing r:id="rId3"/>
  <tableParts count="1"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oglio12">
    <pageSetUpPr fitToPage="1"/>
  </sheetPr>
  <dimension ref="A1:U26"/>
  <sheetViews>
    <sheetView showGridLines="0" zoomScaleNormal="100" workbookViewId="0">
      <selection activeCell="F6" sqref="F6"/>
    </sheetView>
  </sheetViews>
  <sheetFormatPr defaultColWidth="9.140625" defaultRowHeight="14.25" zeroHeight="1" x14ac:dyDescent="0.2"/>
  <cols>
    <col min="1" max="1" width="9.140625" style="56"/>
    <col min="2" max="2" width="49.28515625" style="56" customWidth="1"/>
    <col min="3" max="3" width="16.28515625" style="56" bestFit="1" customWidth="1"/>
    <col min="4" max="4" width="14.7109375" style="56" customWidth="1"/>
    <col min="5" max="7" width="9.140625" style="56"/>
    <col min="8" max="8" width="12.28515625" style="56" bestFit="1" customWidth="1"/>
    <col min="9" max="11" width="9.140625" style="56"/>
    <col min="12" max="12" width="9.140625" style="149"/>
    <col min="13" max="19" width="9.140625" style="56"/>
    <col min="20" max="20" width="9.140625" style="56" customWidth="1"/>
    <col min="21" max="21" width="9" style="56" hidden="1" customWidth="1"/>
    <col min="22" max="16384" width="9.140625" style="56"/>
  </cols>
  <sheetData>
    <row r="1" spans="1:21" ht="115.5" customHeight="1" x14ac:dyDescent="0.2"/>
    <row r="2" spans="1:21" ht="54.95" customHeight="1" x14ac:dyDescent="0.2">
      <c r="L2" s="56"/>
      <c r="U2" s="136"/>
    </row>
    <row r="3" spans="1:21" ht="37.5" customHeight="1" x14ac:dyDescent="0.2">
      <c r="A3" s="240" t="s">
        <v>353</v>
      </c>
      <c r="B3" s="54"/>
      <c r="C3" s="54"/>
      <c r="D3" s="54"/>
      <c r="E3" s="54"/>
      <c r="F3" s="241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  <c r="S3" s="242"/>
      <c r="T3" s="242"/>
      <c r="U3" s="190"/>
    </row>
    <row r="4" spans="1:21" ht="16.5" customHeight="1" x14ac:dyDescent="0.2">
      <c r="A4" s="54"/>
      <c r="B4" s="65"/>
      <c r="C4" s="65"/>
      <c r="D4" s="65"/>
      <c r="E4" s="65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1" ht="15" thickBot="1" x14ac:dyDescent="0.25">
      <c r="A5" s="54"/>
      <c r="B5" s="65"/>
      <c r="C5" s="65"/>
      <c r="D5" s="65"/>
      <c r="E5" s="65"/>
      <c r="F5" s="54"/>
      <c r="G5" s="54"/>
      <c r="H5" s="54"/>
      <c r="I5" s="54"/>
      <c r="J5" s="54"/>
      <c r="K5" s="54"/>
      <c r="L5" s="243"/>
      <c r="M5" s="54"/>
      <c r="N5" s="54"/>
      <c r="O5" s="54"/>
      <c r="P5" s="54"/>
      <c r="Q5" s="54"/>
      <c r="R5" s="54"/>
      <c r="S5" s="54"/>
      <c r="T5" s="54"/>
    </row>
    <row r="6" spans="1:21" ht="15.75" thickTop="1" thickBot="1" x14ac:dyDescent="0.25">
      <c r="A6" s="54"/>
      <c r="B6" s="244" t="s">
        <v>191</v>
      </c>
      <c r="C6" s="245">
        <f>+Beni!G3</f>
        <v>230000</v>
      </c>
      <c r="D6" s="65"/>
      <c r="E6" s="65"/>
      <c r="F6" s="54"/>
      <c r="G6" s="54"/>
      <c r="H6" s="54"/>
      <c r="I6" s="54"/>
      <c r="J6" s="54"/>
      <c r="K6" s="54"/>
      <c r="L6" s="243"/>
      <c r="M6" s="54"/>
      <c r="N6" s="54"/>
      <c r="O6" s="54"/>
      <c r="P6" s="54"/>
      <c r="Q6" s="54"/>
      <c r="R6" s="54"/>
      <c r="S6" s="54"/>
      <c r="T6" s="54"/>
    </row>
    <row r="7" spans="1:21" ht="15.75" thickTop="1" thickBot="1" x14ac:dyDescent="0.25">
      <c r="A7" s="54"/>
      <c r="B7" s="244" t="s">
        <v>354</v>
      </c>
      <c r="C7" s="245">
        <f>+Assegnazione!M3</f>
        <v>201600</v>
      </c>
      <c r="D7" s="65"/>
      <c r="E7" s="65"/>
      <c r="F7" s="54"/>
      <c r="G7" s="54"/>
      <c r="H7" s="54"/>
      <c r="I7" s="54"/>
      <c r="J7" s="54"/>
      <c r="K7" s="54"/>
      <c r="L7" s="243"/>
      <c r="M7" s="54"/>
      <c r="N7" s="54"/>
      <c r="O7" s="54"/>
      <c r="P7" s="54"/>
      <c r="Q7" s="54"/>
      <c r="R7" s="54"/>
      <c r="S7" s="54"/>
      <c r="T7" s="54"/>
    </row>
    <row r="8" spans="1:21" ht="6" customHeight="1" thickTop="1" x14ac:dyDescent="0.2">
      <c r="A8" s="54"/>
      <c r="B8" s="65"/>
      <c r="C8" s="65"/>
      <c r="D8" s="65"/>
      <c r="E8" s="65"/>
      <c r="F8" s="54"/>
      <c r="G8" s="54"/>
      <c r="H8" s="54"/>
      <c r="I8" s="54"/>
      <c r="J8" s="54"/>
      <c r="K8" s="54"/>
      <c r="L8" s="243"/>
      <c r="M8" s="54"/>
      <c r="N8" s="54"/>
      <c r="O8" s="54"/>
      <c r="P8" s="54"/>
      <c r="Q8" s="54"/>
      <c r="R8" s="54"/>
      <c r="S8" s="54"/>
      <c r="T8" s="54"/>
    </row>
    <row r="9" spans="1:21" x14ac:dyDescent="0.2">
      <c r="A9" s="54"/>
      <c r="B9" s="246" t="s">
        <v>355</v>
      </c>
      <c r="C9" s="50"/>
      <c r="D9" s="65"/>
      <c r="E9" s="65"/>
      <c r="F9" s="54"/>
      <c r="G9" s="54"/>
      <c r="H9" s="54"/>
      <c r="I9" s="54"/>
      <c r="J9" s="54"/>
      <c r="K9" s="54"/>
      <c r="L9" s="243"/>
      <c r="M9" s="54"/>
      <c r="N9" s="54"/>
      <c r="O9" s="54"/>
      <c r="P9" s="54"/>
      <c r="Q9" s="54"/>
      <c r="R9" s="54"/>
      <c r="S9" s="54"/>
      <c r="T9" s="54"/>
    </row>
    <row r="10" spans="1:21" ht="18" customHeight="1" x14ac:dyDescent="0.2">
      <c r="A10" s="54"/>
      <c r="B10" s="65"/>
      <c r="C10" s="65"/>
      <c r="D10" s="65"/>
      <c r="E10" s="65"/>
      <c r="F10" s="54"/>
      <c r="G10" s="54"/>
      <c r="H10" s="54"/>
      <c r="I10" s="54"/>
      <c r="J10" s="54"/>
      <c r="K10" s="54"/>
      <c r="L10" s="243"/>
      <c r="M10" s="54"/>
      <c r="N10" s="54"/>
      <c r="O10" s="54"/>
      <c r="P10" s="54"/>
      <c r="Q10" s="54"/>
      <c r="R10" s="54"/>
      <c r="S10" s="54"/>
      <c r="T10" s="54"/>
    </row>
    <row r="11" spans="1:21" ht="16.5" hidden="1" thickTop="1" thickBot="1" x14ac:dyDescent="0.25">
      <c r="A11" s="54"/>
      <c r="B11" s="247" t="s">
        <v>352</v>
      </c>
      <c r="C11" s="321">
        <f>+C9</f>
        <v>0</v>
      </c>
      <c r="D11" s="322"/>
      <c r="E11" s="65"/>
      <c r="F11" s="54"/>
      <c r="G11" s="54"/>
      <c r="H11" s="54"/>
      <c r="I11" s="54"/>
      <c r="J11" s="54"/>
      <c r="K11" s="54"/>
      <c r="L11" s="243"/>
      <c r="M11" s="54"/>
      <c r="N11" s="54"/>
      <c r="O11" s="54"/>
      <c r="P11" s="54"/>
      <c r="Q11" s="54"/>
      <c r="R11" s="54"/>
      <c r="S11" s="54"/>
      <c r="T11" s="54"/>
    </row>
    <row r="12" spans="1:21" ht="15" thickBot="1" x14ac:dyDescent="0.25">
      <c r="A12" s="54"/>
      <c r="B12" s="103" t="s">
        <v>356</v>
      </c>
      <c r="C12" s="103" t="s">
        <v>348</v>
      </c>
      <c r="D12" s="103" t="s">
        <v>349</v>
      </c>
      <c r="E12" s="65"/>
      <c r="F12" s="54"/>
      <c r="G12" s="54"/>
      <c r="H12" s="54"/>
      <c r="I12" s="54"/>
      <c r="J12" s="54"/>
      <c r="K12" s="54"/>
      <c r="L12" s="243"/>
      <c r="M12" s="54"/>
      <c r="N12" s="54"/>
      <c r="O12" s="54"/>
      <c r="P12" s="54"/>
      <c r="Q12" s="54"/>
      <c r="R12" s="54"/>
      <c r="S12" s="54"/>
      <c r="T12" s="54"/>
    </row>
    <row r="13" spans="1:21" ht="15.75" thickTop="1" thickBot="1" x14ac:dyDescent="0.25">
      <c r="A13" s="54"/>
      <c r="B13" s="244" t="s">
        <v>350</v>
      </c>
      <c r="C13" s="245">
        <f>+MIN(2000000,$C$11)*0.75%</f>
        <v>0</v>
      </c>
      <c r="D13" s="245">
        <f>+MIN(2000000,$C$11)*2%</f>
        <v>0</v>
      </c>
      <c r="E13" s="65"/>
      <c r="F13" s="54"/>
      <c r="G13" s="54"/>
      <c r="H13" s="54"/>
      <c r="I13" s="54"/>
      <c r="J13" s="54"/>
      <c r="K13" s="54"/>
      <c r="L13" s="243"/>
      <c r="M13" s="54"/>
      <c r="N13" s="54"/>
      <c r="O13" s="54"/>
      <c r="P13" s="54"/>
      <c r="Q13" s="54"/>
      <c r="R13" s="54"/>
      <c r="S13" s="54"/>
      <c r="T13" s="54"/>
    </row>
    <row r="14" spans="1:21" ht="15.75" thickTop="1" thickBot="1" x14ac:dyDescent="0.25">
      <c r="A14" s="54"/>
      <c r="B14" s="244" t="s">
        <v>351</v>
      </c>
      <c r="C14" s="245">
        <f>+MAX(C11-2000000,0)*0.5%</f>
        <v>0</v>
      </c>
      <c r="D14" s="245">
        <f>+MAX(C11-2000000,0)*0.75%</f>
        <v>0</v>
      </c>
      <c r="E14" s="65"/>
      <c r="F14" s="54"/>
      <c r="G14" s="54"/>
      <c r="H14" s="54"/>
      <c r="I14" s="54"/>
      <c r="J14" s="54"/>
      <c r="K14" s="54"/>
      <c r="L14" s="243"/>
      <c r="M14" s="54"/>
      <c r="N14" s="54"/>
      <c r="O14" s="54"/>
      <c r="P14" s="54"/>
      <c r="Q14" s="54"/>
      <c r="R14" s="54"/>
      <c r="S14" s="54"/>
      <c r="T14" s="54"/>
    </row>
    <row r="15" spans="1:21" ht="5.25" customHeight="1" thickTop="1" thickBot="1" x14ac:dyDescent="0.25">
      <c r="A15" s="54"/>
      <c r="B15" s="65"/>
      <c r="C15" s="65"/>
      <c r="D15" s="65"/>
      <c r="E15" s="65"/>
      <c r="F15" s="54"/>
      <c r="G15" s="54"/>
      <c r="H15" s="54"/>
      <c r="I15" s="54"/>
      <c r="J15" s="54"/>
      <c r="K15" s="54"/>
      <c r="L15" s="243"/>
      <c r="M15" s="54"/>
      <c r="N15" s="54"/>
      <c r="O15" s="54"/>
      <c r="P15" s="54"/>
      <c r="Q15" s="54"/>
      <c r="R15" s="54"/>
      <c r="S15" s="54"/>
      <c r="T15" s="54"/>
    </row>
    <row r="16" spans="1:21" ht="15.75" thickTop="1" thickBot="1" x14ac:dyDescent="0.25">
      <c r="A16" s="54"/>
      <c r="B16" s="248" t="s">
        <v>142</v>
      </c>
      <c r="C16" s="249">
        <f>+SUM(C13:C14)</f>
        <v>0</v>
      </c>
      <c r="D16" s="249">
        <f>+SUM(D13:D14)</f>
        <v>0</v>
      </c>
      <c r="E16" s="65"/>
      <c r="F16" s="54"/>
      <c r="G16" s="54"/>
      <c r="H16" s="54"/>
      <c r="I16" s="54"/>
      <c r="J16" s="54"/>
      <c r="K16" s="54"/>
      <c r="L16" s="243"/>
      <c r="M16" s="54"/>
      <c r="N16" s="54"/>
      <c r="O16" s="54"/>
      <c r="P16" s="54"/>
      <c r="Q16" s="54"/>
      <c r="R16" s="54"/>
      <c r="S16" s="54"/>
      <c r="T16" s="54"/>
    </row>
    <row r="17" spans="1:20" ht="15" thickTop="1" x14ac:dyDescent="0.2">
      <c r="A17" s="54"/>
      <c r="B17" s="65"/>
      <c r="C17" s="65"/>
      <c r="D17" s="65"/>
      <c r="E17" s="65"/>
      <c r="F17" s="54"/>
      <c r="G17" s="54"/>
      <c r="H17" s="54"/>
      <c r="I17" s="54"/>
      <c r="J17" s="54"/>
      <c r="K17" s="54"/>
      <c r="L17" s="243"/>
      <c r="M17" s="54"/>
      <c r="N17" s="54"/>
      <c r="O17" s="54"/>
      <c r="P17" s="54"/>
      <c r="Q17" s="54"/>
      <c r="R17" s="54"/>
      <c r="S17" s="54"/>
      <c r="T17" s="54"/>
    </row>
    <row r="18" spans="1:20" x14ac:dyDescent="0.2">
      <c r="A18" s="54"/>
      <c r="B18" s="65"/>
      <c r="C18" s="65"/>
      <c r="D18" s="65"/>
      <c r="E18" s="65"/>
      <c r="F18" s="54"/>
      <c r="G18" s="54"/>
      <c r="H18" s="54"/>
      <c r="I18" s="54"/>
      <c r="J18" s="54"/>
      <c r="K18" s="54"/>
      <c r="L18" s="243"/>
      <c r="M18" s="54"/>
      <c r="N18" s="54"/>
      <c r="O18" s="54"/>
      <c r="P18" s="54"/>
      <c r="Q18" s="54"/>
      <c r="R18" s="54"/>
      <c r="S18" s="54"/>
      <c r="T18" s="54"/>
    </row>
    <row r="19" spans="1:20" x14ac:dyDescent="0.2">
      <c r="A19" s="54"/>
      <c r="B19" s="65"/>
      <c r="C19" s="65"/>
      <c r="D19" s="65"/>
      <c r="E19" s="65"/>
      <c r="F19" s="54"/>
      <c r="G19" s="54"/>
      <c r="H19" s="54"/>
      <c r="I19" s="54"/>
      <c r="J19" s="54"/>
      <c r="K19" s="54"/>
      <c r="L19" s="243"/>
      <c r="M19" s="54"/>
      <c r="N19" s="54"/>
      <c r="O19" s="54"/>
      <c r="P19" s="54"/>
      <c r="Q19" s="54"/>
      <c r="R19" s="54"/>
      <c r="S19" s="54"/>
      <c r="T19" s="54"/>
    </row>
    <row r="20" spans="1:20" x14ac:dyDescent="0.2">
      <c r="A20" s="54"/>
      <c r="B20" s="65"/>
      <c r="C20" s="65"/>
      <c r="D20" s="65"/>
      <c r="E20" s="65"/>
      <c r="F20" s="54"/>
      <c r="G20" s="54"/>
      <c r="H20" s="54"/>
      <c r="I20" s="54"/>
      <c r="J20" s="54"/>
      <c r="K20" s="54"/>
      <c r="L20" s="243"/>
      <c r="M20" s="54"/>
      <c r="N20" s="54"/>
      <c r="O20" s="54"/>
      <c r="P20" s="54"/>
      <c r="Q20" s="54"/>
      <c r="R20" s="54"/>
      <c r="S20" s="54"/>
      <c r="T20" s="54"/>
    </row>
    <row r="21" spans="1:20" x14ac:dyDescent="0.2">
      <c r="A21" s="54"/>
      <c r="B21" s="65"/>
      <c r="C21" s="65"/>
      <c r="D21" s="65"/>
      <c r="E21" s="65"/>
      <c r="F21" s="54"/>
      <c r="G21" s="54"/>
      <c r="H21" s="54"/>
      <c r="I21" s="54"/>
      <c r="J21" s="54"/>
      <c r="K21" s="54"/>
      <c r="L21" s="243"/>
      <c r="M21" s="54"/>
      <c r="N21" s="54"/>
      <c r="O21" s="54"/>
      <c r="P21" s="54"/>
      <c r="Q21" s="54"/>
      <c r="R21" s="54"/>
      <c r="S21" s="54"/>
      <c r="T21" s="54"/>
    </row>
    <row r="22" spans="1:20" x14ac:dyDescent="0.2">
      <c r="A22" s="54"/>
      <c r="B22" s="65"/>
      <c r="C22" s="65"/>
      <c r="D22" s="65"/>
      <c r="E22" s="65"/>
      <c r="F22" s="54"/>
      <c r="G22" s="54"/>
      <c r="H22" s="54"/>
      <c r="I22" s="54"/>
      <c r="J22" s="54"/>
      <c r="K22" s="54"/>
      <c r="L22" s="243"/>
      <c r="M22" s="54"/>
      <c r="N22" s="54"/>
      <c r="O22" s="54"/>
      <c r="P22" s="54"/>
      <c r="Q22" s="54"/>
      <c r="R22" s="54"/>
      <c r="S22" s="54"/>
      <c r="T22" s="54"/>
    </row>
    <row r="23" spans="1:20" x14ac:dyDescent="0.2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243"/>
      <c r="M23" s="54"/>
      <c r="N23" s="54"/>
      <c r="O23" s="54"/>
      <c r="P23" s="54"/>
      <c r="Q23" s="54"/>
      <c r="R23" s="54"/>
      <c r="S23" s="54"/>
      <c r="T23" s="54"/>
    </row>
    <row r="24" spans="1:20" hidden="1" x14ac:dyDescent="0.2">
      <c r="A24" s="140"/>
      <c r="B24" s="140"/>
      <c r="C24" s="140"/>
      <c r="D24" s="140"/>
      <c r="E24" s="140"/>
      <c r="F24" s="140"/>
      <c r="G24" s="140"/>
      <c r="H24" s="140"/>
      <c r="I24" s="140"/>
      <c r="J24" s="140"/>
      <c r="K24" s="140"/>
      <c r="L24" s="191"/>
      <c r="M24" s="140"/>
      <c r="N24" s="140"/>
      <c r="O24" s="140"/>
      <c r="P24" s="140"/>
      <c r="Q24" s="140"/>
      <c r="R24" s="140"/>
      <c r="S24" s="140"/>
      <c r="T24" s="140"/>
    </row>
    <row r="25" spans="1:20" hidden="1" x14ac:dyDescent="0.2">
      <c r="A25" s="140"/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91"/>
      <c r="M25" s="140"/>
      <c r="N25" s="140"/>
      <c r="O25" s="140"/>
      <c r="P25" s="140"/>
      <c r="Q25" s="140"/>
      <c r="R25" s="140"/>
      <c r="S25" s="140"/>
      <c r="T25" s="140"/>
    </row>
    <row r="26" spans="1:20" x14ac:dyDescent="0.2"/>
  </sheetData>
  <sheetProtection algorithmName="SHA-512" hashValue="be4/d+RK/uOyCzZJP7/qHflrb0f8uq11mY2ZzEEb1lYaf32Vk9WtFAvWTLlCCy22enDG7hOr4PjWXvn0A/u+KA==" saltValue="0HG7mgk7M7IvbzNNZ+H9Jw==" spinCount="100000" sheet="1" formatCells="0" formatColumns="0" formatRows="0" insertColumns="0" insertRows="0" insertHyperlinks="0" deleteColumns="0" deleteRows="0" sort="0" autoFilter="0" pivotTables="0"/>
  <mergeCells count="1">
    <mergeCell ref="C11:D11"/>
  </mergeCells>
  <pageMargins left="0.25" right="0.25" top="0.75" bottom="0.75" header="0.3" footer="0.3"/>
  <pageSetup paperSize="9" orientation="portrait" horizontalDpi="0" verticalDpi="0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oglio10">
    <pageSetUpPr fitToPage="1"/>
  </sheetPr>
  <dimension ref="A1:XFC20"/>
  <sheetViews>
    <sheetView showGridLines="0" zoomScaleNormal="100" workbookViewId="0">
      <selection activeCell="F6" sqref="F6"/>
    </sheetView>
  </sheetViews>
  <sheetFormatPr defaultColWidth="0" defaultRowHeight="14.25" zeroHeight="1" x14ac:dyDescent="0.2"/>
  <cols>
    <col min="1" max="1" width="5" style="192" customWidth="1"/>
    <col min="2" max="2" width="5.42578125" style="192" bestFit="1" customWidth="1"/>
    <col min="3" max="3" width="1.5703125" style="192" bestFit="1" customWidth="1"/>
    <col min="4" max="4" width="46.28515625" style="192" customWidth="1"/>
    <col min="5" max="5" width="27.7109375" style="192" customWidth="1"/>
    <col min="6" max="9" width="16.28515625" style="192" bestFit="1" customWidth="1"/>
    <col min="10" max="10" width="18.5703125" style="192" bestFit="1" customWidth="1"/>
    <col min="11" max="12" width="16.28515625" style="192" bestFit="1" customWidth="1"/>
    <col min="13" max="17" width="9.140625" style="192" customWidth="1"/>
    <col min="18" max="18" width="15.7109375" style="192" customWidth="1"/>
    <col min="19" max="19" width="27.28515625" style="192" customWidth="1"/>
    <col min="20" max="20" width="9.140625" style="192" customWidth="1"/>
    <col min="21" max="16383" width="9.140625" style="192" hidden="1"/>
    <col min="16384" max="16384" width="55.42578125" style="192" hidden="1" customWidth="1"/>
  </cols>
  <sheetData>
    <row r="1" spans="1:20" s="56" customFormat="1" ht="107.25" customHeight="1" x14ac:dyDescent="0.2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s="56" customFormat="1" ht="54.95" customHeight="1" x14ac:dyDescent="0.2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</row>
    <row r="3" spans="1:20" s="56" customFormat="1" ht="54.95" customHeight="1" x14ac:dyDescent="0.2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</row>
    <row r="4" spans="1:20" ht="22.5" x14ac:dyDescent="0.2">
      <c r="A4" s="252"/>
      <c r="B4" s="253" t="str">
        <f ca="1">"Calcolo rapido "&amp;DATI!B19</f>
        <v>Calcolo rapido Assegnazione</v>
      </c>
      <c r="C4" s="252"/>
      <c r="D4" s="252"/>
      <c r="E4" s="252"/>
      <c r="F4" s="252"/>
      <c r="G4" s="252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2"/>
    </row>
    <row r="5" spans="1:20" ht="18.75" customHeight="1" x14ac:dyDescent="0.2">
      <c r="A5" s="252"/>
      <c r="B5" s="254" t="s">
        <v>273</v>
      </c>
      <c r="C5" s="255"/>
      <c r="D5" s="255" t="s">
        <v>272</v>
      </c>
      <c r="E5" s="265" t="s">
        <v>271</v>
      </c>
      <c r="F5" s="266" t="s">
        <v>275</v>
      </c>
      <c r="G5" s="267" t="s">
        <v>276</v>
      </c>
      <c r="H5" s="267" t="s">
        <v>277</v>
      </c>
      <c r="I5" s="267" t="s">
        <v>278</v>
      </c>
      <c r="J5" s="267" t="s">
        <v>279</v>
      </c>
      <c r="K5" s="267" t="s">
        <v>280</v>
      </c>
      <c r="L5" s="267" t="s">
        <v>281</v>
      </c>
      <c r="M5" s="250"/>
      <c r="N5" s="250"/>
      <c r="O5" s="250"/>
      <c r="P5" s="250"/>
      <c r="Q5" s="250"/>
      <c r="R5" s="250"/>
      <c r="S5" s="250"/>
      <c r="T5" s="250"/>
    </row>
    <row r="6" spans="1:20" x14ac:dyDescent="0.2">
      <c r="A6" s="251"/>
      <c r="B6" s="256" t="s">
        <v>253</v>
      </c>
      <c r="C6" s="257" t="s">
        <v>254</v>
      </c>
      <c r="D6" s="258" t="s">
        <v>97</v>
      </c>
      <c r="E6" s="279"/>
      <c r="F6" s="268">
        <v>300000</v>
      </c>
      <c r="G6" s="268">
        <v>230000</v>
      </c>
      <c r="H6" s="268">
        <v>140000</v>
      </c>
      <c r="I6" s="268">
        <v>120000</v>
      </c>
      <c r="J6" s="268">
        <v>1170000</v>
      </c>
      <c r="K6" s="268">
        <v>260000</v>
      </c>
      <c r="L6" s="268">
        <v>260000</v>
      </c>
      <c r="M6" s="250"/>
      <c r="N6" s="250"/>
      <c r="O6" s="250"/>
      <c r="P6" s="250"/>
      <c r="Q6" s="250"/>
      <c r="R6" s="250"/>
      <c r="S6" s="250"/>
      <c r="T6" s="250"/>
    </row>
    <row r="7" spans="1:20" x14ac:dyDescent="0.2">
      <c r="A7" s="251"/>
      <c r="B7" s="256" t="s">
        <v>255</v>
      </c>
      <c r="C7" s="257" t="s">
        <v>254</v>
      </c>
      <c r="D7" s="258" t="s">
        <v>203</v>
      </c>
      <c r="E7" s="279"/>
      <c r="F7" s="269">
        <v>277200</v>
      </c>
      <c r="G7" s="269">
        <v>201600</v>
      </c>
      <c r="H7" s="269">
        <v>129780</v>
      </c>
      <c r="I7" s="269">
        <v>113400</v>
      </c>
      <c r="J7" s="269">
        <v>756000</v>
      </c>
      <c r="K7" s="269">
        <v>260000</v>
      </c>
      <c r="L7" s="269">
        <v>260000</v>
      </c>
      <c r="M7" s="250"/>
      <c r="N7" s="250"/>
      <c r="O7" s="250"/>
      <c r="P7" s="250"/>
      <c r="Q7" s="250"/>
      <c r="R7" s="250"/>
      <c r="S7" s="250"/>
      <c r="T7" s="250"/>
    </row>
    <row r="8" spans="1:20" x14ac:dyDescent="0.2">
      <c r="A8" s="251"/>
      <c r="B8" s="259" t="s">
        <v>256</v>
      </c>
      <c r="C8" s="260" t="s">
        <v>254</v>
      </c>
      <c r="D8" s="263" t="s">
        <v>257</v>
      </c>
      <c r="E8" s="279"/>
      <c r="F8" s="269"/>
      <c r="G8" s="269"/>
      <c r="H8" s="269">
        <v>120600</v>
      </c>
      <c r="I8" s="269">
        <v>90000</v>
      </c>
      <c r="J8" s="269">
        <v>127500</v>
      </c>
      <c r="K8" s="269">
        <v>166500</v>
      </c>
      <c r="L8" s="269">
        <v>166500</v>
      </c>
      <c r="M8" s="250"/>
      <c r="N8" s="250"/>
      <c r="O8" s="250"/>
      <c r="P8" s="250"/>
      <c r="Q8" s="250"/>
      <c r="R8" s="250"/>
      <c r="S8" s="250"/>
      <c r="T8" s="250"/>
    </row>
    <row r="9" spans="1:20" x14ac:dyDescent="0.2">
      <c r="A9" s="251"/>
      <c r="B9" s="259" t="s">
        <v>258</v>
      </c>
      <c r="C9" s="260" t="s">
        <v>254</v>
      </c>
      <c r="D9" s="263" t="s">
        <v>268</v>
      </c>
      <c r="E9" s="279"/>
      <c r="F9" s="281"/>
      <c r="G9" s="281"/>
      <c r="H9" s="281"/>
      <c r="I9" s="281"/>
      <c r="J9" s="281"/>
      <c r="K9" s="281">
        <v>200000</v>
      </c>
      <c r="L9" s="281">
        <v>100000</v>
      </c>
      <c r="M9" s="250"/>
      <c r="N9" s="250"/>
      <c r="O9" s="250"/>
      <c r="P9" s="250"/>
      <c r="Q9" s="250"/>
      <c r="R9" s="250"/>
      <c r="S9" s="250"/>
      <c r="T9" s="250"/>
    </row>
    <row r="10" spans="1:20" s="193" customFormat="1" x14ac:dyDescent="0.2">
      <c r="A10" s="251"/>
      <c r="B10" s="259" t="s">
        <v>377</v>
      </c>
      <c r="C10" s="260" t="s">
        <v>254</v>
      </c>
      <c r="D10" s="263" t="s">
        <v>378</v>
      </c>
      <c r="E10" s="280"/>
      <c r="F10" s="281"/>
      <c r="G10" s="281"/>
      <c r="H10" s="281"/>
      <c r="I10" s="281" t="b">
        <v>1</v>
      </c>
      <c r="J10" s="281" t="b">
        <v>1</v>
      </c>
      <c r="K10" s="281" t="b">
        <v>1</v>
      </c>
      <c r="L10" s="281" t="b">
        <v>1</v>
      </c>
      <c r="M10" s="250"/>
      <c r="N10" s="250"/>
      <c r="O10" s="250"/>
      <c r="P10" s="250"/>
      <c r="Q10" s="250"/>
      <c r="R10" s="250"/>
      <c r="S10" s="250"/>
      <c r="T10" s="250"/>
    </row>
    <row r="11" spans="1:20" x14ac:dyDescent="0.2">
      <c r="A11" s="251"/>
      <c r="B11" s="259" t="s">
        <v>379</v>
      </c>
      <c r="C11" s="260" t="s">
        <v>254</v>
      </c>
      <c r="D11" s="263" t="s">
        <v>380</v>
      </c>
      <c r="E11" s="280"/>
      <c r="F11" s="281"/>
      <c r="G11" s="281"/>
      <c r="H11" s="281"/>
      <c r="I11" s="281"/>
      <c r="J11" s="281"/>
      <c r="K11" s="281"/>
      <c r="L11" s="281"/>
      <c r="M11" s="250"/>
      <c r="N11" s="250"/>
      <c r="O11" s="250"/>
      <c r="P11" s="250"/>
      <c r="Q11" s="250"/>
      <c r="R11" s="250"/>
      <c r="S11" s="250"/>
      <c r="T11" s="250"/>
    </row>
    <row r="12" spans="1:20" x14ac:dyDescent="0.2">
      <c r="A12" s="251"/>
      <c r="B12" s="261" t="s">
        <v>274</v>
      </c>
      <c r="C12" s="262" t="s">
        <v>254</v>
      </c>
      <c r="D12" s="264" t="s">
        <v>259</v>
      </c>
      <c r="E12" s="279"/>
      <c r="F12" s="278"/>
      <c r="G12" s="278"/>
      <c r="H12" s="278"/>
      <c r="I12" s="278"/>
      <c r="J12" s="278">
        <v>1</v>
      </c>
      <c r="K12" s="278">
        <v>1</v>
      </c>
      <c r="L12" s="278">
        <v>1</v>
      </c>
      <c r="M12" s="250"/>
      <c r="N12" s="250"/>
      <c r="O12" s="250"/>
      <c r="P12" s="250"/>
      <c r="Q12" s="250"/>
      <c r="R12" s="250"/>
      <c r="S12" s="250"/>
      <c r="T12" s="250"/>
    </row>
    <row r="13" spans="1:20" x14ac:dyDescent="0.2">
      <c r="A13" s="251"/>
      <c r="B13" s="259" t="s">
        <v>260</v>
      </c>
      <c r="C13" s="260" t="s">
        <v>254</v>
      </c>
      <c r="D13" s="263" t="s">
        <v>261</v>
      </c>
      <c r="E13" s="279"/>
      <c r="F13" s="282">
        <f t="shared" ref="F13:L13" si="0">MAX(VC-Valfisc,0)</f>
        <v>277200</v>
      </c>
      <c r="G13" s="282">
        <f t="shared" si="0"/>
        <v>201600</v>
      </c>
      <c r="H13" s="282">
        <f t="shared" si="0"/>
        <v>9180</v>
      </c>
      <c r="I13" s="282">
        <f t="shared" si="0"/>
        <v>23400</v>
      </c>
      <c r="J13" s="282">
        <f t="shared" si="0"/>
        <v>628500</v>
      </c>
      <c r="K13" s="282">
        <f t="shared" si="0"/>
        <v>93500</v>
      </c>
      <c r="L13" s="282">
        <f t="shared" si="0"/>
        <v>93500</v>
      </c>
      <c r="M13" s="250"/>
      <c r="N13" s="250"/>
      <c r="O13" s="250"/>
      <c r="P13" s="250"/>
      <c r="Q13" s="250"/>
      <c r="R13" s="250"/>
      <c r="S13" s="250"/>
      <c r="T13" s="250"/>
    </row>
    <row r="14" spans="1:20" x14ac:dyDescent="0.2">
      <c r="A14" s="251"/>
      <c r="B14" s="259" t="s">
        <v>381</v>
      </c>
      <c r="C14" s="260" t="s">
        <v>254</v>
      </c>
      <c r="D14" s="263" t="s">
        <v>382</v>
      </c>
      <c r="E14" s="279"/>
      <c r="F14" s="282">
        <f>+F13*(0.08+0.02*F11)</f>
        <v>22176</v>
      </c>
      <c r="G14" s="282">
        <f t="shared" ref="G14:L14" si="1">+G13*(0.08+0.02*G11)</f>
        <v>16128</v>
      </c>
      <c r="H14" s="282">
        <f t="shared" si="1"/>
        <v>734.4</v>
      </c>
      <c r="I14" s="282">
        <f t="shared" si="1"/>
        <v>1872</v>
      </c>
      <c r="J14" s="282">
        <f t="shared" si="1"/>
        <v>50280</v>
      </c>
      <c r="K14" s="282">
        <f t="shared" si="1"/>
        <v>7480</v>
      </c>
      <c r="L14" s="282">
        <f t="shared" si="1"/>
        <v>7480</v>
      </c>
      <c r="M14" s="250"/>
      <c r="N14" s="250"/>
      <c r="O14" s="250"/>
      <c r="P14" s="250"/>
      <c r="Q14" s="250"/>
      <c r="R14" s="250"/>
      <c r="S14" s="250"/>
      <c r="T14" s="250"/>
    </row>
    <row r="15" spans="1:20" x14ac:dyDescent="0.2">
      <c r="A15" s="251"/>
      <c r="B15" s="259" t="s">
        <v>262</v>
      </c>
      <c r="C15" s="260" t="s">
        <v>254</v>
      </c>
      <c r="D15" s="263" t="s">
        <v>263</v>
      </c>
      <c r="E15" s="279"/>
      <c r="F15" s="282">
        <f t="shared" ref="F15:L15" si="2">VC</f>
        <v>277200</v>
      </c>
      <c r="G15" s="282">
        <f t="shared" si="2"/>
        <v>201600</v>
      </c>
      <c r="H15" s="282">
        <f t="shared" si="2"/>
        <v>129780</v>
      </c>
      <c r="I15" s="282">
        <f t="shared" si="2"/>
        <v>113400</v>
      </c>
      <c r="J15" s="282">
        <f t="shared" si="2"/>
        <v>756000</v>
      </c>
      <c r="K15" s="282">
        <f t="shared" si="2"/>
        <v>260000</v>
      </c>
      <c r="L15" s="282">
        <f t="shared" si="2"/>
        <v>260000</v>
      </c>
      <c r="M15" s="250"/>
      <c r="N15" s="250"/>
      <c r="O15" s="250"/>
      <c r="P15" s="250"/>
      <c r="Q15" s="250"/>
      <c r="R15" s="250"/>
      <c r="S15" s="250"/>
      <c r="T15" s="250"/>
    </row>
    <row r="16" spans="1:20" x14ac:dyDescent="0.2">
      <c r="A16" s="65"/>
      <c r="B16" s="259" t="s">
        <v>264</v>
      </c>
      <c r="C16" s="260" t="s">
        <v>254</v>
      </c>
      <c r="D16" s="263" t="s">
        <v>267</v>
      </c>
      <c r="E16" s="279"/>
      <c r="F16" s="282">
        <f t="shared" ref="F16:L16" si="3">MAX(VP_1-MIN(VC,Valfisc)*Ris,0)*(p&lt;&gt;2)+F9*(p=2)</f>
        <v>0</v>
      </c>
      <c r="G16" s="282">
        <f t="shared" si="3"/>
        <v>0</v>
      </c>
      <c r="H16" s="282">
        <f t="shared" si="3"/>
        <v>0</v>
      </c>
      <c r="I16" s="282">
        <f t="shared" si="3"/>
        <v>0</v>
      </c>
      <c r="J16" s="282">
        <f t="shared" si="3"/>
        <v>0</v>
      </c>
      <c r="K16" s="282">
        <f t="shared" si="3"/>
        <v>33500</v>
      </c>
      <c r="L16" s="282">
        <f t="shared" si="3"/>
        <v>0</v>
      </c>
      <c r="M16" s="65"/>
      <c r="N16" s="65"/>
      <c r="O16" s="65"/>
      <c r="P16" s="65"/>
      <c r="Q16" s="65"/>
      <c r="R16" s="65"/>
      <c r="S16" s="65"/>
      <c r="T16" s="65"/>
    </row>
    <row r="17" spans="2:12" x14ac:dyDescent="0.2">
      <c r="B17" s="259" t="s">
        <v>265</v>
      </c>
      <c r="C17" s="260" t="s">
        <v>254</v>
      </c>
      <c r="D17" s="263" t="s">
        <v>266</v>
      </c>
      <c r="E17" s="279"/>
      <c r="F17" s="282">
        <f t="shared" ref="F17:L17" si="4">MAX(0,MIN(VC,Valfisc)*Ris-VP_1,0)*(p=1)*F10</f>
        <v>0</v>
      </c>
      <c r="G17" s="282">
        <f t="shared" si="4"/>
        <v>0</v>
      </c>
      <c r="H17" s="282">
        <f t="shared" si="4"/>
        <v>0</v>
      </c>
      <c r="I17" s="282">
        <f t="shared" si="4"/>
        <v>0</v>
      </c>
      <c r="J17" s="282">
        <f t="shared" si="4"/>
        <v>127500</v>
      </c>
      <c r="K17" s="282">
        <f t="shared" si="4"/>
        <v>0</v>
      </c>
      <c r="L17" s="282">
        <f t="shared" si="4"/>
        <v>66500</v>
      </c>
    </row>
    <row r="18" spans="2:12" x14ac:dyDescent="0.2">
      <c r="B18" s="259" t="s">
        <v>269</v>
      </c>
      <c r="C18" s="260" t="s">
        <v>254</v>
      </c>
      <c r="D18" s="263" t="s">
        <v>270</v>
      </c>
      <c r="E18" s="279"/>
      <c r="F18" s="282">
        <f t="shared" ref="F18:L18" si="5">(1-Ris)*MIN(VC,Valfisc)*(p=1)*F10</f>
        <v>0</v>
      </c>
      <c r="G18" s="282">
        <f t="shared" si="5"/>
        <v>0</v>
      </c>
      <c r="H18" s="282">
        <f t="shared" si="5"/>
        <v>0</v>
      </c>
      <c r="I18" s="282">
        <f>(1-Ris)*MIN(VC,Valfisc)*(p=1)*I10</f>
        <v>90000</v>
      </c>
      <c r="J18" s="282">
        <f t="shared" si="5"/>
        <v>0</v>
      </c>
      <c r="K18" s="282">
        <f t="shared" si="5"/>
        <v>0</v>
      </c>
      <c r="L18" s="282">
        <f t="shared" si="5"/>
        <v>0</v>
      </c>
    </row>
    <row r="19" spans="2:12" x14ac:dyDescent="0.2"/>
    <row r="20" spans="2:12" x14ac:dyDescent="0.2"/>
  </sheetData>
  <sheetProtection algorithmName="SHA-512" hashValue="p3nyytmIdVgjVUiH9eiWN3zQK8GUpI8NI4ToD9z/rv92oO9vw8JuffRrtKVUDdjMSE2R385oNBlUK4+HPI5jLg==" saltValue="VCrp+o8Y9X0JgUccozZuVg==" spinCount="100000" sheet="1"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F10:L11" xr:uid="{48943081-9075-4A92-9FCB-943EFEC44709}">
      <formula1>"VERO,FALSO"</formula1>
    </dataValidation>
  </dataValidations>
  <pageMargins left="0.25" right="0.25" top="0.75" bottom="0.75" header="0.3" footer="0.3"/>
  <pageSetup paperSize="9" scale="72" orientation="landscape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List Box 1">
              <controlPr defaultSize="0" autoLine="0" autoPict="0">
                <anchor moveWithCells="1">
                  <from>
                    <xdr:col>12</xdr:col>
                    <xdr:colOff>247650</xdr:colOff>
                    <xdr:row>4</xdr:row>
                    <xdr:rowOff>19050</xdr:rowOff>
                  </from>
                  <to>
                    <xdr:col>15</xdr:col>
                    <xdr:colOff>161925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B2E99503D3AD4DA2231F0D240043DD" ma:contentTypeVersion="19" ma:contentTypeDescription="Creare un nuovo documento." ma:contentTypeScope="" ma:versionID="5d22b860b2d7b05646517e191754a185">
  <xsd:schema xmlns:xsd="http://www.w3.org/2001/XMLSchema" xmlns:xs="http://www.w3.org/2001/XMLSchema" xmlns:p="http://schemas.microsoft.com/office/2006/metadata/properties" xmlns:ns2="77a3f60d-3740-4b8f-aea2-18b203205ead" xmlns:ns3="6c014026-a0ef-45dc-9ca9-ac355db24e99" targetNamespace="http://schemas.microsoft.com/office/2006/metadata/properties" ma:root="true" ma:fieldsID="c3ef981538194d0481c402a9a66d521d" ns2:_="" ns3:_="">
    <xsd:import namespace="77a3f60d-3740-4b8f-aea2-18b203205ead"/>
    <xsd:import namespace="6c014026-a0ef-45dc-9ca9-ac355db24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a3f60d-3740-4b8f-aea2-18b203205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bbff36a2-fd21-4e1e-a182-03a870c089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014026-a0ef-45dc-9ca9-ac355db24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c17ed12-4c7d-4ce0-86b8-91d9357e9166}" ma:internalName="TaxCatchAll" ma:showField="CatchAllData" ma:web="6c014026-a0ef-45dc-9ca9-ac355db24e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014026-a0ef-45dc-9ca9-ac355db24e99" xsi:nil="true"/>
    <lcf76f155ced4ddcb4097134ff3c332f xmlns="77a3f60d-3740-4b8f-aea2-18b203205e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4AC437-DD41-45AC-909E-D13125ACA630}"/>
</file>

<file path=customXml/itemProps2.xml><?xml version="1.0" encoding="utf-8"?>
<ds:datastoreItem xmlns:ds="http://schemas.openxmlformats.org/officeDocument/2006/customXml" ds:itemID="{1AB0126C-8B6F-4308-8762-F0315A8A08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25608B-A6BF-45C9-85EA-7D25746D111B}">
  <ds:schemaRefs>
    <ds:schemaRef ds:uri="http://purl.org/dc/elements/1.1/"/>
    <ds:schemaRef ds:uri="6c014026-a0ef-45dc-9ca9-ac355db24e99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77a3f60d-3740-4b8f-aea2-18b203205ea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11</vt:i4>
      </vt:variant>
      <vt:variant>
        <vt:lpstr>Intervalli denominati</vt:lpstr>
      </vt:variant>
      <vt:variant>
        <vt:i4>30</vt:i4>
      </vt:variant>
    </vt:vector>
  </HeadingPairs>
  <TitlesOfParts>
    <vt:vector size="41" baseType="lpstr">
      <vt:lpstr>Intro</vt:lpstr>
      <vt:lpstr>DATI</vt:lpstr>
      <vt:lpstr>Società</vt:lpstr>
      <vt:lpstr>Soci</vt:lpstr>
      <vt:lpstr>Beni</vt:lpstr>
      <vt:lpstr>Tabelle</vt:lpstr>
      <vt:lpstr>Assegnazione</vt:lpstr>
      <vt:lpstr>Tassazione Soci</vt:lpstr>
      <vt:lpstr>Rettifica della detrazione</vt:lpstr>
      <vt:lpstr>Tariffa</vt:lpstr>
      <vt:lpstr>CalcoloRapido</vt:lpstr>
      <vt:lpstr>Assegnazione!Area_stampa</vt:lpstr>
      <vt:lpstr>Beni!Area_stampa</vt:lpstr>
      <vt:lpstr>CalcoloRapido!Area_stampa</vt:lpstr>
      <vt:lpstr>DATI!Area_stampa</vt:lpstr>
      <vt:lpstr>'Rettifica della detrazione'!Area_stampa</vt:lpstr>
      <vt:lpstr>Soci!Area_stampa</vt:lpstr>
      <vt:lpstr>Società!Area_stampa</vt:lpstr>
      <vt:lpstr>Tariffa!Area_stampa</vt:lpstr>
      <vt:lpstr>'Tassazione Soci'!Area_stampa</vt:lpstr>
      <vt:lpstr>Beni</vt:lpstr>
      <vt:lpstr>Cat</vt:lpstr>
      <vt:lpstr>ic</vt:lpstr>
      <vt:lpstr>p</vt:lpstr>
      <vt:lpstr>Prat</vt:lpstr>
      <vt:lpstr>Ris</vt:lpstr>
      <vt:lpstr>ristr</vt:lpstr>
      <vt:lpstr>t</vt:lpstr>
      <vt:lpstr>Tipi</vt:lpstr>
      <vt:lpstr>Tipim</vt:lpstr>
      <vt:lpstr>Assegnazione!Titoli_stampa</vt:lpstr>
      <vt:lpstr>Beni!Titoli_stampa</vt:lpstr>
      <vt:lpstr>Soci!Titoli_stampa</vt:lpstr>
      <vt:lpstr>Valfisc</vt:lpstr>
      <vt:lpstr>Valnorm</vt:lpstr>
      <vt:lpstr>Valnormù</vt:lpstr>
      <vt:lpstr>VC</vt:lpstr>
      <vt:lpstr>VF</vt:lpstr>
      <vt:lpstr>VN</vt:lpstr>
      <vt:lpstr>VOE</vt:lpstr>
      <vt:lpstr>VP_1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Mattavelli</dc:creator>
  <cp:lastModifiedBy>Alessandro Pastore</cp:lastModifiedBy>
  <cp:lastPrinted>2023-09-21T15:50:36Z</cp:lastPrinted>
  <dcterms:created xsi:type="dcterms:W3CDTF">2016-01-27T14:05:52Z</dcterms:created>
  <dcterms:modified xsi:type="dcterms:W3CDTF">2025-03-20T13:41:51Z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0x01010049B2E99503D3AD4DA2231F0D240043DD</vt:lpwstr>
  </property>
  <property fmtid="{D5CDD505-2E9C-101B-9397-08002B2CF9AE}" pid="3" name="MediaServiceImageTags">
    <vt:lpwstr/>
  </property>
</Properties>
</file>