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14-Dividendi e compensi/"/>
    </mc:Choice>
  </mc:AlternateContent>
  <xr:revisionPtr revIDLastSave="325" documentId="8_{C79FEDD5-6F2F-4AE2-8122-E0F4A63358C7}" xr6:coauthVersionLast="47" xr6:coauthVersionMax="47" xr10:uidLastSave="{0C919054-ACE0-4226-B9F2-85921C06A602}"/>
  <bookViews>
    <workbookView xWindow="-120" yWindow="-120" windowWidth="30960" windowHeight="16800" xr2:uid="{54859C49-29AA-4468-82E6-3DCC05B43FD4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E9" i="1" s="1"/>
  <c r="C3" i="1"/>
  <c r="C32" i="1"/>
  <c r="C30" i="1"/>
  <c r="C31" i="1" s="1"/>
  <c r="C29" i="1"/>
  <c r="C28" i="1"/>
  <c r="C25" i="1"/>
  <c r="C24" i="1"/>
  <c r="C23" i="1"/>
  <c r="C21" i="1"/>
  <c r="C19" i="1"/>
  <c r="C17" i="1"/>
  <c r="C16" i="1"/>
  <c r="C14" i="1"/>
  <c r="C12" i="1"/>
  <c r="C11" i="1"/>
  <c r="C10" i="1"/>
  <c r="C9" i="1"/>
  <c r="C7" i="1"/>
  <c r="C5" i="1"/>
  <c r="C4" i="1"/>
  <c r="K27" i="1"/>
  <c r="K22" i="1"/>
  <c r="K23" i="1"/>
  <c r="K24" i="1"/>
  <c r="K21" i="1"/>
  <c r="M28" i="1" l="1"/>
  <c r="M29" i="1" s="1"/>
  <c r="L30" i="1"/>
  <c r="M30" i="1" l="1"/>
  <c r="E6" i="1" s="1"/>
  <c r="M15" i="1" l="1"/>
  <c r="L22" i="1" l="1"/>
  <c r="L16" i="1"/>
  <c r="D18" i="1" l="1"/>
  <c r="M17" i="1"/>
  <c r="L23" i="1" l="1"/>
  <c r="M14" i="1" l="1"/>
  <c r="L21" i="1" l="1"/>
  <c r="M18" i="1"/>
  <c r="L24" i="1" s="1"/>
  <c r="M20" i="1" l="1"/>
  <c r="D6" i="1" s="1"/>
  <c r="D30" i="1" s="1"/>
  <c r="G22" i="1"/>
  <c r="G18" i="1"/>
  <c r="F4" i="1"/>
  <c r="F5" i="1"/>
  <c r="F18" i="1"/>
  <c r="F22" i="1"/>
  <c r="E12" i="1"/>
  <c r="E5" i="1"/>
  <c r="G5" i="1" s="1"/>
  <c r="E4" i="1"/>
  <c r="G4" i="1" s="1"/>
  <c r="E3" i="1"/>
  <c r="E7" i="1" s="1"/>
  <c r="E11" i="1"/>
  <c r="G11" i="1" s="1"/>
  <c r="G9" i="1"/>
  <c r="E17" i="1"/>
  <c r="F17" i="1" s="1"/>
  <c r="E20" i="1"/>
  <c r="G20" i="1" s="1"/>
  <c r="D19" i="1"/>
  <c r="E16" i="1"/>
  <c r="F16" i="1" s="1"/>
  <c r="D7" i="1" l="1"/>
  <c r="G7" i="1" s="1"/>
  <c r="F6" i="1"/>
  <c r="G6" i="1"/>
  <c r="F9" i="1"/>
  <c r="G17" i="1"/>
  <c r="D31" i="1"/>
  <c r="F20" i="1"/>
  <c r="G16" i="1"/>
  <c r="F11" i="1"/>
  <c r="E30" i="1"/>
  <c r="F3" i="1"/>
  <c r="G3" i="1"/>
  <c r="G12" i="1"/>
  <c r="F12" i="1"/>
  <c r="E19" i="1"/>
  <c r="D21" i="1"/>
  <c r="F7" i="1" l="1"/>
  <c r="G30" i="1"/>
  <c r="F30" i="1"/>
  <c r="E31" i="1"/>
  <c r="D23" i="1"/>
  <c r="D32" i="1"/>
  <c r="D28" i="1"/>
  <c r="F19" i="1"/>
  <c r="G19" i="1"/>
  <c r="E21" i="1"/>
  <c r="E23" i="1" s="1"/>
  <c r="E24" i="1" s="1"/>
  <c r="E13" i="1" s="1"/>
  <c r="D24" i="1" l="1"/>
  <c r="F21" i="1"/>
  <c r="G21" i="1"/>
  <c r="E32" i="1"/>
  <c r="E28" i="1"/>
  <c r="G23" i="1"/>
  <c r="F23" i="1"/>
  <c r="G31" i="1"/>
  <c r="F31" i="1"/>
  <c r="D25" i="1" l="1"/>
  <c r="D10" i="1" s="1"/>
  <c r="D13" i="1"/>
  <c r="E25" i="1"/>
  <c r="G24" i="1"/>
  <c r="F24" i="1"/>
  <c r="G32" i="1"/>
  <c r="F32" i="1"/>
  <c r="F28" i="1"/>
  <c r="G28" i="1"/>
  <c r="D14" i="1" l="1"/>
  <c r="D29" i="1"/>
  <c r="F13" i="1"/>
  <c r="G13" i="1"/>
  <c r="E10" i="1"/>
  <c r="E29" i="1" s="1"/>
  <c r="F25" i="1"/>
  <c r="G25" i="1"/>
  <c r="F29" i="1" l="1"/>
  <c r="G29" i="1"/>
  <c r="E14" i="1"/>
  <c r="G10" i="1"/>
  <c r="F10" i="1"/>
  <c r="F14" i="1" l="1"/>
  <c r="G14" i="1"/>
</calcChain>
</file>

<file path=xl/sharedStrings.xml><?xml version="1.0" encoding="utf-8"?>
<sst xmlns="http://schemas.openxmlformats.org/spreadsheetml/2006/main" count="48" uniqueCount="45">
  <si>
    <t>Attività fisse</t>
  </si>
  <si>
    <t>Rimanenze</t>
  </si>
  <si>
    <t>Crediti</t>
  </si>
  <si>
    <t>Liquidità</t>
  </si>
  <si>
    <t>Con compenso</t>
  </si>
  <si>
    <t>Con Dividendi</t>
  </si>
  <si>
    <t>Capitale e riserve</t>
  </si>
  <si>
    <t>Utili netti</t>
  </si>
  <si>
    <t>Debiti a Ml Finanziari</t>
  </si>
  <si>
    <t>Debiti a Bt Finanziari</t>
  </si>
  <si>
    <t>Debiti a Bt Non Fin.</t>
  </si>
  <si>
    <t>Totale Attivo</t>
  </si>
  <si>
    <t>Totale Passivo</t>
  </si>
  <si>
    <t>Ricavi</t>
  </si>
  <si>
    <t>Costi Monetari</t>
  </si>
  <si>
    <t>EBITDA</t>
  </si>
  <si>
    <t>Risultato Ante imposte</t>
  </si>
  <si>
    <t>Imposte</t>
  </si>
  <si>
    <t>Risultato Netto</t>
  </si>
  <si>
    <t>Emolumenti compresi contributi</t>
  </si>
  <si>
    <t>ROI</t>
  </si>
  <si>
    <t>ROE</t>
  </si>
  <si>
    <t>PFN</t>
  </si>
  <si>
    <t>PFN/EBITDA</t>
  </si>
  <si>
    <t>MOL/OF</t>
  </si>
  <si>
    <t xml:space="preserve">Costi non monetari </t>
  </si>
  <si>
    <t>EBIT</t>
  </si>
  <si>
    <t>Costi finanziari netti</t>
  </si>
  <si>
    <t>∆</t>
  </si>
  <si>
    <t>∆%</t>
  </si>
  <si>
    <t>SINTESI:</t>
  </si>
  <si>
    <t>Utile ante compenso</t>
  </si>
  <si>
    <t>Imposte e contributi carico società</t>
  </si>
  <si>
    <t>Utile netto</t>
  </si>
  <si>
    <t>Compensi e dividendi lordi distribuiti</t>
  </si>
  <si>
    <t>Imposte e contributi carico socio</t>
  </si>
  <si>
    <t>Compensi e dividendi netti</t>
  </si>
  <si>
    <t>Compenso</t>
  </si>
  <si>
    <t>d</t>
  </si>
  <si>
    <t>a</t>
  </si>
  <si>
    <t>irpef</t>
  </si>
  <si>
    <t>Debiti inps</t>
  </si>
  <si>
    <t>Contr.</t>
  </si>
  <si>
    <t>Debiti Amm</t>
  </si>
  <si>
    <t>Cassa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</si>
</sst>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i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43" fontId="0" fillId="0" borderId="0" xfId="2" applyFont="1"/>
    <xf numFmtId="43" fontId="2" fillId="0" borderId="0" xfId="2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9" fontId="3" fillId="0" borderId="0" xfId="0" applyNumberFormat="1" applyFont="1"/>
    <xf numFmtId="3" fontId="4" fillId="0" borderId="0" xfId="0" applyNumberFormat="1" applyFont="1"/>
    <xf numFmtId="9" fontId="4" fillId="0" borderId="0" xfId="0" applyNumberFormat="1" applyFont="1"/>
    <xf numFmtId="4" fontId="3" fillId="0" borderId="0" xfId="0" applyNumberFormat="1" applyFont="1"/>
    <xf numFmtId="0" fontId="5" fillId="0" borderId="0" xfId="0" applyFont="1"/>
    <xf numFmtId="10" fontId="5" fillId="0" borderId="0" xfId="1" applyNumberFormat="1" applyFont="1"/>
    <xf numFmtId="164" fontId="5" fillId="0" borderId="0" xfId="1" applyNumberFormat="1" applyFont="1"/>
    <xf numFmtId="3" fontId="5" fillId="0" borderId="0" xfId="0" applyNumberFormat="1" applyFont="1"/>
    <xf numFmtId="3" fontId="5" fillId="0" borderId="0" xfId="2" applyNumberFormat="1" applyFont="1"/>
    <xf numFmtId="4" fontId="5" fillId="0" borderId="0" xfId="0" applyNumberFormat="1" applyFont="1"/>
    <xf numFmtId="9" fontId="5" fillId="0" borderId="0" xfId="0" applyNumberFormat="1" applyFont="1"/>
    <xf numFmtId="0" fontId="4" fillId="0" borderId="0" xfId="0" applyFont="1" applyAlignment="1">
      <alignment horizontal="right"/>
    </xf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ttavelliassociati.sharepoint.com/Documenti%20condivisi/Clienti/IL%20Sole24ore/TOOLS/FINITI/DIVIDENDI%20E%20COMPENSI/DividendiCompensi_24%202025%20Ver%201.0.XLSB" TargetMode="External"/><Relationship Id="rId1" Type="http://schemas.openxmlformats.org/officeDocument/2006/relationships/externalLinkPath" Target="/Documenti%20condivisi/Clienti/IL%20Sole24ore/TOOLS/FINITI/DIVIDENDI%20E%20COMPENSI/DividendiCompensi_24%202025%20Ver%201.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RONTO"/>
      <sheetName val="Tabelle"/>
    </sheetNames>
    <sheetDataSet>
      <sheetData sheetId="0">
        <row r="36">
          <cell r="G36">
            <v>14082.877366666668</v>
          </cell>
        </row>
        <row r="45">
          <cell r="G45">
            <v>59605.406304333337</v>
          </cell>
        </row>
        <row r="46">
          <cell r="G46">
            <v>3940.0576267433335</v>
          </cell>
        </row>
        <row r="51">
          <cell r="J51">
            <v>165367.10635440089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72AF-704B-486A-ADB3-B9FFF8C4D500}">
  <sheetPr codeName="Foglio1"/>
  <dimension ref="B2:M32"/>
  <sheetViews>
    <sheetView showGridLines="0" tabSelected="1" zoomScaleNormal="100" workbookViewId="0">
      <selection activeCell="I21" sqref="I21"/>
    </sheetView>
  </sheetViews>
  <sheetFormatPr defaultRowHeight="14.5" outlineLevelCol="1" x14ac:dyDescent="0.35"/>
  <cols>
    <col min="1" max="1" width="2.90625" customWidth="1"/>
    <col min="2" max="2" width="25.54296875" bestFit="1" customWidth="1"/>
    <col min="3" max="3" width="15.26953125" hidden="1" customWidth="1" outlineLevel="1"/>
    <col min="4" max="4" width="16.453125" bestFit="1" customWidth="1" collapsed="1"/>
    <col min="5" max="5" width="14.7265625" customWidth="1"/>
    <col min="6" max="6" width="11.81640625" customWidth="1"/>
    <col min="7" max="7" width="8.81640625" bestFit="1" customWidth="1"/>
    <col min="11" max="11" width="30.81640625" bestFit="1" customWidth="1"/>
    <col min="12" max="13" width="11.7265625" style="2" bestFit="1" customWidth="1"/>
  </cols>
  <sheetData>
    <row r="2" spans="2:13" x14ac:dyDescent="0.35">
      <c r="B2" s="4"/>
      <c r="C2" s="5"/>
      <c r="D2" s="5" t="s">
        <v>4</v>
      </c>
      <c r="E2" s="5" t="s">
        <v>5</v>
      </c>
      <c r="F2" s="18" t="s">
        <v>28</v>
      </c>
      <c r="G2" s="18" t="s">
        <v>29</v>
      </c>
    </row>
    <row r="3" spans="2:13" x14ac:dyDescent="0.35">
      <c r="B3" s="4" t="s">
        <v>0</v>
      </c>
      <c r="C3" s="6">
        <f>+D3</f>
        <v>6000000</v>
      </c>
      <c r="D3" s="6">
        <v>6000000</v>
      </c>
      <c r="E3" s="6">
        <f>+D3</f>
        <v>6000000</v>
      </c>
      <c r="F3" s="6">
        <f>+E3-D3</f>
        <v>0</v>
      </c>
      <c r="G3" s="7">
        <f>+E3/D3-1</f>
        <v>0</v>
      </c>
      <c r="K3" t="s">
        <v>30</v>
      </c>
    </row>
    <row r="4" spans="2:13" x14ac:dyDescent="0.35">
      <c r="B4" s="4" t="s">
        <v>1</v>
      </c>
      <c r="C4" s="6">
        <f>+D4</f>
        <v>1000000</v>
      </c>
      <c r="D4" s="6">
        <v>1000000</v>
      </c>
      <c r="E4" s="6">
        <f>+D4</f>
        <v>1000000</v>
      </c>
      <c r="F4" s="6">
        <f t="shared" ref="F4:F25" si="0">+E4-D4</f>
        <v>0</v>
      </c>
      <c r="G4" s="7">
        <f t="shared" ref="G4:G25" si="1">+E4/D4-1</f>
        <v>0</v>
      </c>
      <c r="K4" t="s">
        <v>31</v>
      </c>
      <c r="L4" s="2">
        <v>500000</v>
      </c>
      <c r="M4" s="2">
        <v>500000</v>
      </c>
    </row>
    <row r="5" spans="2:13" x14ac:dyDescent="0.35">
      <c r="B5" s="4" t="s">
        <v>2</v>
      </c>
      <c r="C5" s="6">
        <f>+D5</f>
        <v>2000000</v>
      </c>
      <c r="D5" s="6">
        <v>2000000</v>
      </c>
      <c r="E5" s="6">
        <f>+D5</f>
        <v>2000000</v>
      </c>
      <c r="F5" s="6">
        <f t="shared" si="0"/>
        <v>0</v>
      </c>
      <c r="G5" s="7">
        <f t="shared" si="1"/>
        <v>0</v>
      </c>
      <c r="K5" t="s">
        <v>32</v>
      </c>
      <c r="L5" s="2">
        <v>112905.97359733333</v>
      </c>
      <c r="M5" s="2">
        <v>139500</v>
      </c>
    </row>
    <row r="6" spans="2:13" x14ac:dyDescent="0.35">
      <c r="B6" s="4" t="s">
        <v>3</v>
      </c>
      <c r="C6" s="10">
        <v>500000</v>
      </c>
      <c r="D6" s="6">
        <f>500000-M20</f>
        <v>314082.87736666668</v>
      </c>
      <c r="E6" s="6">
        <f>500000-M30</f>
        <v>334632.89364559914</v>
      </c>
      <c r="F6" s="6">
        <f t="shared" si="0"/>
        <v>20550.016278932453</v>
      </c>
      <c r="G6" s="7">
        <f t="shared" si="1"/>
        <v>6.54286424373971E-2</v>
      </c>
      <c r="K6" t="s">
        <v>33</v>
      </c>
      <c r="L6" s="2">
        <v>187094.02640266664</v>
      </c>
      <c r="M6" s="2">
        <v>360500</v>
      </c>
    </row>
    <row r="7" spans="2:13" x14ac:dyDescent="0.35">
      <c r="B7" s="5" t="s">
        <v>11</v>
      </c>
      <c r="C7" s="8">
        <f>SUM(C3:C6)</f>
        <v>9500000</v>
      </c>
      <c r="D7" s="8">
        <f>SUM(D3:D6)</f>
        <v>9314082.8773666658</v>
      </c>
      <c r="E7" s="8">
        <f>SUM(E3:E6)</f>
        <v>9334632.8936455995</v>
      </c>
      <c r="F7" s="8">
        <f t="shared" si="0"/>
        <v>20550.016278933734</v>
      </c>
      <c r="G7" s="9">
        <f t="shared" si="1"/>
        <v>2.2063381386556724E-3</v>
      </c>
      <c r="K7" t="s">
        <v>34</v>
      </c>
      <c r="L7" s="2">
        <v>200000</v>
      </c>
      <c r="M7" s="2">
        <v>165367.10635440089</v>
      </c>
    </row>
    <row r="8" spans="2:13" x14ac:dyDescent="0.35">
      <c r="B8" s="4"/>
      <c r="C8" s="4"/>
      <c r="D8" s="10"/>
      <c r="E8" s="10"/>
      <c r="F8" s="10"/>
      <c r="G8" s="7"/>
      <c r="K8" t="s">
        <v>35</v>
      </c>
      <c r="L8" s="2">
        <v>107811.96089774334</v>
      </c>
      <c r="M8" s="2">
        <v>73179.067252144232</v>
      </c>
    </row>
    <row r="9" spans="2:13" x14ac:dyDescent="0.35">
      <c r="B9" s="4" t="s">
        <v>6</v>
      </c>
      <c r="C9" s="6">
        <f>+D9</f>
        <v>3000000</v>
      </c>
      <c r="D9" s="6">
        <v>3000000</v>
      </c>
      <c r="E9" s="6">
        <f>+D9-L27</f>
        <v>2834632.893645599</v>
      </c>
      <c r="F9" s="6">
        <f t="shared" si="0"/>
        <v>-165367.10635440098</v>
      </c>
      <c r="G9" s="7">
        <f t="shared" si="1"/>
        <v>-5.5122368784800369E-2</v>
      </c>
      <c r="K9" t="s">
        <v>36</v>
      </c>
      <c r="L9" s="2">
        <v>92188.039102256662</v>
      </c>
      <c r="M9" s="2">
        <v>92188.039102256662</v>
      </c>
    </row>
    <row r="10" spans="2:13" x14ac:dyDescent="0.35">
      <c r="B10" s="4" t="s">
        <v>7</v>
      </c>
      <c r="C10" s="6">
        <f>+C25</f>
        <v>380000</v>
      </c>
      <c r="D10" s="6">
        <f>+D25</f>
        <v>245953.75458136667</v>
      </c>
      <c r="E10" s="6">
        <f>+E25</f>
        <v>380000</v>
      </c>
      <c r="F10" s="6">
        <f t="shared" si="0"/>
        <v>134046.24541863333</v>
      </c>
      <c r="G10" s="7">
        <f t="shared" si="1"/>
        <v>0.54500589204987326</v>
      </c>
    </row>
    <row r="11" spans="2:13" x14ac:dyDescent="0.35">
      <c r="B11" s="4" t="s">
        <v>8</v>
      </c>
      <c r="C11" s="6">
        <f>+D11</f>
        <v>2500000</v>
      </c>
      <c r="D11" s="6">
        <v>2500000</v>
      </c>
      <c r="E11" s="6">
        <f>+D11</f>
        <v>2500000</v>
      </c>
      <c r="F11" s="6">
        <f t="shared" si="0"/>
        <v>0</v>
      </c>
      <c r="G11" s="7">
        <f t="shared" si="1"/>
        <v>0</v>
      </c>
    </row>
    <row r="12" spans="2:13" x14ac:dyDescent="0.35">
      <c r="B12" s="4" t="s">
        <v>9</v>
      </c>
      <c r="C12" s="6">
        <f>+D12</f>
        <v>3000000</v>
      </c>
      <c r="D12" s="6">
        <v>3000000</v>
      </c>
      <c r="E12" s="6">
        <f>+D12</f>
        <v>3000000</v>
      </c>
      <c r="F12" s="6">
        <f t="shared" si="0"/>
        <v>0</v>
      </c>
      <c r="G12" s="7">
        <f t="shared" si="1"/>
        <v>0</v>
      </c>
      <c r="L12" s="2" t="s">
        <v>38</v>
      </c>
      <c r="M12" s="2" t="s">
        <v>39</v>
      </c>
    </row>
    <row r="13" spans="2:13" x14ac:dyDescent="0.35">
      <c r="B13" s="4" t="s">
        <v>10</v>
      </c>
      <c r="C13" s="10">
        <v>500000</v>
      </c>
      <c r="D13" s="6">
        <f>500000-D24</f>
        <v>568129.12278530002</v>
      </c>
      <c r="E13" s="6">
        <f>500000-E24</f>
        <v>620000</v>
      </c>
      <c r="F13" s="6">
        <f t="shared" si="0"/>
        <v>51870.877214699984</v>
      </c>
      <c r="G13" s="7">
        <f t="shared" si="1"/>
        <v>9.1301211528109549E-2</v>
      </c>
      <c r="K13" t="s">
        <v>37</v>
      </c>
      <c r="L13" s="2">
        <v>200000</v>
      </c>
    </row>
    <row r="14" spans="2:13" x14ac:dyDescent="0.35">
      <c r="B14" s="5" t="s">
        <v>12</v>
      </c>
      <c r="C14" s="8">
        <f>SUM(C9:C13)</f>
        <v>9380000</v>
      </c>
      <c r="D14" s="8">
        <f>SUM(D9:D13)</f>
        <v>9314082.8773666658</v>
      </c>
      <c r="E14" s="8">
        <f>SUM(E9:E13)</f>
        <v>9334632.8936455995</v>
      </c>
      <c r="F14" s="8">
        <f t="shared" si="0"/>
        <v>20550.016278933734</v>
      </c>
      <c r="G14" s="9">
        <f t="shared" si="1"/>
        <v>2.2063381386556724E-3</v>
      </c>
      <c r="K14" t="s">
        <v>40</v>
      </c>
      <c r="M14" s="2">
        <f>+[1]CONFRONTO!$G$45+[1]CONFRONTO!$G$46</f>
        <v>63545.463931076672</v>
      </c>
    </row>
    <row r="15" spans="2:13" x14ac:dyDescent="0.35">
      <c r="B15" s="4"/>
      <c r="C15" s="4"/>
      <c r="D15" s="10"/>
      <c r="E15" s="10"/>
      <c r="F15" s="10"/>
      <c r="G15" s="7"/>
      <c r="K15" t="s">
        <v>41</v>
      </c>
      <c r="M15" s="2">
        <f>+[1]CONFRONTO!$G$36</f>
        <v>14082.877366666668</v>
      </c>
    </row>
    <row r="16" spans="2:13" x14ac:dyDescent="0.35">
      <c r="B16" s="5" t="s">
        <v>13</v>
      </c>
      <c r="C16" s="8">
        <f>+D16</f>
        <v>5000000</v>
      </c>
      <c r="D16" s="8">
        <v>5000000</v>
      </c>
      <c r="E16" s="8">
        <f>+D16</f>
        <v>5000000</v>
      </c>
      <c r="F16" s="8">
        <f t="shared" si="0"/>
        <v>0</v>
      </c>
      <c r="G16" s="9">
        <f t="shared" si="1"/>
        <v>0</v>
      </c>
      <c r="K16" t="s">
        <v>42</v>
      </c>
      <c r="L16" s="2">
        <f>+[1]CONFRONTO!$G$34-M15</f>
        <v>-14082.877366666668</v>
      </c>
    </row>
    <row r="17" spans="2:13" x14ac:dyDescent="0.35">
      <c r="B17" s="4" t="s">
        <v>14</v>
      </c>
      <c r="C17" s="6">
        <f>+D17</f>
        <v>-4000000</v>
      </c>
      <c r="D17" s="6">
        <v>-4000000</v>
      </c>
      <c r="E17" s="6">
        <f>+D17</f>
        <v>-4000000</v>
      </c>
      <c r="F17" s="6">
        <f t="shared" si="0"/>
        <v>0</v>
      </c>
      <c r="G17" s="7">
        <f t="shared" si="1"/>
        <v>0</v>
      </c>
      <c r="K17" t="s">
        <v>41</v>
      </c>
      <c r="M17" s="2">
        <f>+L16</f>
        <v>-14082.877366666668</v>
      </c>
    </row>
    <row r="18" spans="2:13" x14ac:dyDescent="0.35">
      <c r="B18" s="4" t="s">
        <v>19</v>
      </c>
      <c r="C18" s="4"/>
      <c r="D18" s="6">
        <f>-(L13+L16)</f>
        <v>-185917.12263333332</v>
      </c>
      <c r="E18" s="6"/>
      <c r="F18" s="6">
        <f t="shared" si="0"/>
        <v>185917.12263333332</v>
      </c>
      <c r="G18" s="7">
        <f t="shared" si="1"/>
        <v>-1</v>
      </c>
      <c r="I18" s="1"/>
      <c r="K18" t="s">
        <v>43</v>
      </c>
      <c r="M18" s="2">
        <f>+L13+L16-(M13+M14+M15+M16+M17)</f>
        <v>122371.65870225664</v>
      </c>
    </row>
    <row r="19" spans="2:13" x14ac:dyDescent="0.35">
      <c r="B19" s="5" t="s">
        <v>15</v>
      </c>
      <c r="C19" s="8">
        <f>+C16+C17+C18</f>
        <v>1000000</v>
      </c>
      <c r="D19" s="8">
        <f>+D16+D17+D18</f>
        <v>814082.87736666668</v>
      </c>
      <c r="E19" s="8">
        <f>+E16+E17+E18</f>
        <v>1000000</v>
      </c>
      <c r="F19" s="8">
        <f t="shared" si="0"/>
        <v>185917.12263333332</v>
      </c>
      <c r="G19" s="9">
        <f t="shared" si="1"/>
        <v>0.22837616144774331</v>
      </c>
    </row>
    <row r="20" spans="2:13" x14ac:dyDescent="0.35">
      <c r="B20" s="4" t="s">
        <v>25</v>
      </c>
      <c r="C20" s="6">
        <v>-300000</v>
      </c>
      <c r="D20" s="6">
        <v>-300000</v>
      </c>
      <c r="E20" s="6">
        <f>+D20</f>
        <v>-300000</v>
      </c>
      <c r="F20" s="6">
        <f t="shared" si="0"/>
        <v>0</v>
      </c>
      <c r="G20" s="7">
        <f t="shared" si="1"/>
        <v>0</v>
      </c>
      <c r="K20" t="s">
        <v>44</v>
      </c>
      <c r="M20" s="2">
        <f>+SUM(L21:L24)</f>
        <v>185917.12263333332</v>
      </c>
    </row>
    <row r="21" spans="2:13" x14ac:dyDescent="0.35">
      <c r="B21" s="5" t="s">
        <v>26</v>
      </c>
      <c r="C21" s="8">
        <f>+C19+C20</f>
        <v>700000</v>
      </c>
      <c r="D21" s="8">
        <f>+D19+D20</f>
        <v>514082.87736666668</v>
      </c>
      <c r="E21" s="8">
        <f>+E19+E20</f>
        <v>700000</v>
      </c>
      <c r="F21" s="8">
        <f t="shared" si="0"/>
        <v>185917.12263333332</v>
      </c>
      <c r="G21" s="9">
        <f t="shared" si="1"/>
        <v>0.3616481521144479</v>
      </c>
      <c r="K21" t="str">
        <f>+K14</f>
        <v>irpef</v>
      </c>
      <c r="L21" s="2">
        <f>+M14</f>
        <v>63545.463931076672</v>
      </c>
    </row>
    <row r="22" spans="2:13" x14ac:dyDescent="0.35">
      <c r="B22" s="4" t="s">
        <v>27</v>
      </c>
      <c r="C22" s="6">
        <v>-200000</v>
      </c>
      <c r="D22" s="6">
        <v>-200000</v>
      </c>
      <c r="E22" s="6">
        <v>-200000</v>
      </c>
      <c r="F22" s="6">
        <f t="shared" si="0"/>
        <v>0</v>
      </c>
      <c r="G22" s="7">
        <f t="shared" si="1"/>
        <v>0</v>
      </c>
      <c r="K22" t="str">
        <f t="shared" ref="K22" si="2">+K15</f>
        <v>Debiti inps</v>
      </c>
      <c r="L22" s="2">
        <f t="shared" ref="L22" si="3">+M15</f>
        <v>14082.877366666668</v>
      </c>
    </row>
    <row r="23" spans="2:13" x14ac:dyDescent="0.35">
      <c r="B23" s="5" t="s">
        <v>16</v>
      </c>
      <c r="C23" s="8">
        <f>+C21+C22</f>
        <v>500000</v>
      </c>
      <c r="D23" s="8">
        <f>+D21+D22</f>
        <v>314082.87736666668</v>
      </c>
      <c r="E23" s="8">
        <f>+E21+E22</f>
        <v>500000</v>
      </c>
      <c r="F23" s="8">
        <f t="shared" si="0"/>
        <v>185917.12263333332</v>
      </c>
      <c r="G23" s="9">
        <f t="shared" si="1"/>
        <v>0.59193651112757073</v>
      </c>
      <c r="I23" s="1"/>
      <c r="K23" t="str">
        <f>+K17</f>
        <v>Debiti inps</v>
      </c>
      <c r="L23" s="2">
        <f>+M17</f>
        <v>-14082.877366666668</v>
      </c>
    </row>
    <row r="24" spans="2:13" x14ac:dyDescent="0.35">
      <c r="B24" s="4" t="s">
        <v>17</v>
      </c>
      <c r="C24" s="6">
        <f>-C23*0.279+3.9%*(+C16+C17+C20+C22)</f>
        <v>-120000</v>
      </c>
      <c r="D24" s="6">
        <f>-D23*0.279+3.9%*(+D16+D17+D20+D22)</f>
        <v>-68129.122785300016</v>
      </c>
      <c r="E24" s="6">
        <f>-E23*0.279+3.9%*(+E16+E17+E20+E22)</f>
        <v>-120000</v>
      </c>
      <c r="F24" s="6">
        <f t="shared" si="0"/>
        <v>-51870.877214699984</v>
      </c>
      <c r="G24" s="7">
        <f t="shared" si="1"/>
        <v>0.76136129593454838</v>
      </c>
      <c r="K24" t="str">
        <f>+K18</f>
        <v>Debiti Amm</v>
      </c>
      <c r="L24" s="2">
        <f>+M18</f>
        <v>122371.65870225664</v>
      </c>
    </row>
    <row r="25" spans="2:13" x14ac:dyDescent="0.35">
      <c r="B25" s="5" t="s">
        <v>18</v>
      </c>
      <c r="C25" s="8">
        <f>+C23+C24</f>
        <v>380000</v>
      </c>
      <c r="D25" s="8">
        <f>+D23+D24</f>
        <v>245953.75458136667</v>
      </c>
      <c r="E25" s="8">
        <f>+E23+E24</f>
        <v>380000</v>
      </c>
      <c r="F25" s="8">
        <f t="shared" si="0"/>
        <v>134046.24541863333</v>
      </c>
      <c r="G25" s="9">
        <f t="shared" si="1"/>
        <v>0.54500589204987326</v>
      </c>
    </row>
    <row r="26" spans="2:13" x14ac:dyDescent="0.35">
      <c r="B26" s="4"/>
      <c r="C26" s="4"/>
      <c r="D26" s="4"/>
      <c r="E26" s="4"/>
      <c r="F26" s="4"/>
      <c r="G26" s="4"/>
    </row>
    <row r="27" spans="2:13" x14ac:dyDescent="0.35">
      <c r="B27" s="4"/>
      <c r="C27" s="4"/>
      <c r="D27" s="4"/>
      <c r="E27" s="4"/>
      <c r="F27" s="4"/>
      <c r="G27" s="4"/>
      <c r="K27" t="str">
        <f>+B9</f>
        <v>Capitale e riserve</v>
      </c>
      <c r="L27" s="2">
        <f>+[1]CONFRONTO!$J$51</f>
        <v>165367.10635440089</v>
      </c>
    </row>
    <row r="28" spans="2:13" x14ac:dyDescent="0.35">
      <c r="B28" s="11" t="s">
        <v>20</v>
      </c>
      <c r="C28" s="12">
        <f>+C21/C7</f>
        <v>7.3684210526315783E-2</v>
      </c>
      <c r="D28" s="12">
        <f>+D21/D7</f>
        <v>5.5194148917860106E-2</v>
      </c>
      <c r="E28" s="12">
        <f>+E21/E7</f>
        <v>7.4989558558485325E-2</v>
      </c>
      <c r="F28" s="13">
        <f t="shared" ref="F28" si="4">+E28-D28</f>
        <v>1.9795409640625219E-2</v>
      </c>
      <c r="G28" s="13">
        <f t="shared" ref="G28" si="5">+E28/D28-1</f>
        <v>0.35865050967784162</v>
      </c>
      <c r="K28" t="s">
        <v>17</v>
      </c>
      <c r="M28" s="2">
        <f>+L27*0.26</f>
        <v>42995.447652144234</v>
      </c>
    </row>
    <row r="29" spans="2:13" x14ac:dyDescent="0.35">
      <c r="B29" s="11" t="s">
        <v>21</v>
      </c>
      <c r="C29" s="12">
        <f>+C25/(C9+C10)</f>
        <v>0.11242603550295859</v>
      </c>
      <c r="D29" s="12">
        <f>+D25/(D9+D10)</f>
        <v>7.577241488244417E-2</v>
      </c>
      <c r="E29" s="12">
        <f>+E25/(E9+E10)</f>
        <v>0.11820945425872742</v>
      </c>
      <c r="F29" s="13">
        <f t="shared" ref="F29:F30" si="6">+E29-D29</f>
        <v>4.243703937628325E-2</v>
      </c>
      <c r="G29" s="13">
        <f t="shared" ref="G29:G30" si="7">+E29/D29-1</f>
        <v>0.56005921735662612</v>
      </c>
      <c r="K29" t="s">
        <v>44</v>
      </c>
      <c r="M29" s="2">
        <f>+L27-M28</f>
        <v>122371.65870225665</v>
      </c>
    </row>
    <row r="30" spans="2:13" x14ac:dyDescent="0.35">
      <c r="B30" s="11" t="s">
        <v>22</v>
      </c>
      <c r="C30" s="14">
        <f>+C12+C11-C6</f>
        <v>5000000</v>
      </c>
      <c r="D30" s="14">
        <f>+D12+D11-D6</f>
        <v>5185917.1226333333</v>
      </c>
      <c r="E30" s="14">
        <f>+E12+E11-E6</f>
        <v>5165367.1063544005</v>
      </c>
      <c r="F30" s="15">
        <f t="shared" si="6"/>
        <v>-20550.016278932802</v>
      </c>
      <c r="G30" s="13">
        <f t="shared" si="7"/>
        <v>-3.9626580589274818E-3</v>
      </c>
      <c r="L30" s="3">
        <f>SUM(L27:L29)</f>
        <v>165367.10635440089</v>
      </c>
      <c r="M30" s="3">
        <f>SUM(M28:M29)</f>
        <v>165367.10635440089</v>
      </c>
    </row>
    <row r="31" spans="2:13" x14ac:dyDescent="0.35">
      <c r="B31" s="11" t="s">
        <v>23</v>
      </c>
      <c r="C31" s="16">
        <f>+C30/C19</f>
        <v>5</v>
      </c>
      <c r="D31" s="16">
        <f>+D30/D19</f>
        <v>6.3702569686864603</v>
      </c>
      <c r="E31" s="16">
        <f>+E30/E19</f>
        <v>5.1653671063544007</v>
      </c>
      <c r="F31" s="16">
        <f t="shared" ref="F31" si="8">+E31-D31</f>
        <v>-1.2048898623320596</v>
      </c>
      <c r="G31" s="17">
        <f t="shared" ref="G31" si="9">+E31/D31-1</f>
        <v>-0.18914305470796522</v>
      </c>
    </row>
    <row r="32" spans="2:13" x14ac:dyDescent="0.35">
      <c r="B32" s="11" t="s">
        <v>24</v>
      </c>
      <c r="C32" s="16">
        <f>-C21/C22</f>
        <v>3.5</v>
      </c>
      <c r="D32" s="16">
        <f>-D21/D22</f>
        <v>2.5704143868333333</v>
      </c>
      <c r="E32" s="16">
        <f>-E21/E22</f>
        <v>3.5</v>
      </c>
      <c r="F32" s="16">
        <f t="shared" ref="F32" si="10">+E32-D32</f>
        <v>0.92958561316666666</v>
      </c>
      <c r="G32" s="17">
        <f t="shared" ref="G32" si="11">+E32/D32-1</f>
        <v>0.3616481521144479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D0AE0-C2BA-4BDF-9C32-430AE405323A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2.xml><?xml version="1.0" encoding="utf-8"?>
<ds:datastoreItem xmlns:ds="http://schemas.openxmlformats.org/officeDocument/2006/customXml" ds:itemID="{98324EA2-A952-465B-9833-EA39AAF98F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96172-8503-4A91-80AE-DF154AD52DB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Mattavelli</cp:lastModifiedBy>
  <dcterms:created xsi:type="dcterms:W3CDTF">2025-07-15T13:18:46Z</dcterms:created>
  <dcterms:modified xsi:type="dcterms:W3CDTF">2025-07-17T15:16:26Z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