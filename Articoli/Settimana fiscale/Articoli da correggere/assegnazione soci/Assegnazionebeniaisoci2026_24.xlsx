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C:\Users\GabrieleMusazzi\Desktop\"/>
    </mc:Choice>
  </mc:AlternateContent>
  <xr:revisionPtr revIDLastSave="0" documentId="13_ncr:1_{B0BED5F0-66CA-4BF3-B793-324759D74B06}" xr6:coauthVersionLast="47" xr6:coauthVersionMax="47" xr10:uidLastSave="{00000000-0000-0000-0000-000000000000}"/>
  <bookViews>
    <workbookView xWindow="2790" yWindow="30" windowWidth="25035" windowHeight="16995" tabRatio="747" firstSheet="1" activeTab="10" xr2:uid="{00000000-000D-0000-FFFF-FFFF00000000}"/>
  </bookViews>
  <sheets>
    <sheet name="Foglio1" sheetId="13" state="veryHidden" r:id="rId1"/>
    <sheet name="DATI" sheetId="1" r:id="rId2"/>
    <sheet name="Società" sheetId="5" r:id="rId3"/>
    <sheet name="Soci" sheetId="6" r:id="rId4"/>
    <sheet name="Beni" sheetId="9" r:id="rId5"/>
    <sheet name="Tabelle" sheetId="2" state="veryHidden" r:id="rId6"/>
    <sheet name="Assegnazione" sheetId="8" r:id="rId7"/>
    <sheet name="Tassazione Soci" sheetId="10" r:id="rId8"/>
    <sheet name="Rettifica della detrazione" sheetId="11" r:id="rId9"/>
    <sheet name="Tariffa" sheetId="18" r:id="rId10"/>
    <sheet name="CalcoloRapido" sheetId="12" r:id="rId11"/>
  </sheets>
  <definedNames>
    <definedName name="anscount" hidden="1">1</definedName>
    <definedName name="_xlnm.Print_Area" localSheetId="6">Assegnazione!$A$3:$AB$30</definedName>
    <definedName name="_xlnm.Print_Area" localSheetId="4">Beni!$A$3:$Z$60</definedName>
    <definedName name="_xlnm.Print_Area" localSheetId="10">CalcoloRapido!$B$4:$L$18</definedName>
    <definedName name="_xlnm.Print_Area" localSheetId="1">DATI!$B$18:$Q$54</definedName>
    <definedName name="_xlnm.Print_Area" localSheetId="8">'Rettifica della detrazione'!$A$3:$F$24</definedName>
    <definedName name="_xlnm.Print_Area" localSheetId="3">Soci!$B$4:$K$105</definedName>
    <definedName name="_xlnm.Print_Area" localSheetId="2">Società!$A$4:$G$10</definedName>
    <definedName name="_xlnm.Print_Area" localSheetId="9">Tariffa!$B$6:$D$16</definedName>
    <definedName name="_xlnm.Print_Area" localSheetId="7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6">Assegnazione!$A:$C,Assegnazione!$3:$4</definedName>
    <definedName name="_xlnm.Print_Titles" localSheetId="4">Beni!$A:$C,Beni!$3:$4</definedName>
    <definedName name="_xlnm.Print_Titles" localSheetId="3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0" l="1"/>
  <c r="I11" i="6" l="1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N25" i="1" l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7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18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U5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N9" i="8" s="1"/>
  <c r="M8" i="8"/>
  <c r="M7" i="8"/>
  <c r="C16" i="10" s="1"/>
  <c r="L3" i="8"/>
  <c r="M5" i="8"/>
  <c r="M6" i="8"/>
  <c r="L34" i="1"/>
  <c r="O36" i="1"/>
  <c r="N26" i="1"/>
  <c r="X10" i="8" l="1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N74" i="10" s="1"/>
  <c r="O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50" i="10" l="1"/>
  <c r="O50" i="10" s="1"/>
  <c r="N105" i="10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<sst xmlns="http://schemas.openxmlformats.org/spreadsheetml/2006/main" count="546" uniqueCount="395">
  <si>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</si>
  <si>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</si>
  <si>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</si>
  <si>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</si>
  <si>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</si>
  <si>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</si>
  <si>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</si>
  <si>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</si>
  <si>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</si>
  <si>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</si>
  <si>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</si>
  <si>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</si>
  <si>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</si>
  <si>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</si>
  <si>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</si>
  <si>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</si>
  <si>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</si>
  <si>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</si>
  <si>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</si>
  <si>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</si>
  <si>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</si>
  <si>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</si>
  <si>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</si>
  <si>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</si>
  <si>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</si>
  <si>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</si>
  <si>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</si>
  <si>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</si>
  <si>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</si>
  <si>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</si>
  <si>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</si>
  <si>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</si>
  <si>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</si>
  <si>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</si>
  <si>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</si>
  <si>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</si>
  <si>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</si>
  <si>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</si>
  <si>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</si>
  <si>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</si>
  <si>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</si>
  <si>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</si>
  <si>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</si>
  <si>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</si>
  <si>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</si>
  <si>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</si>
  <si>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</si>
  <si>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</si>
  <si>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</si>
  <si>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</si>
  <si>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</si>
  <si>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</si>
  <si>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</si>
  <si>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</si>
  <si>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</si>
  <si>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</si>
  <si>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</si>
  <si>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</si>
  <si>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</si>
  <si>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</si>
  <si>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</si>
  <si>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</si>
  <si>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</si>
  <si>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</si>
  <si>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</si>
  <si>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</si>
  <si>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</si>
  <si>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</si>
  <si>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</si>
  <si>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</si>
  <si>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</si>
  <si>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</si>
  <si>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</si>
  <si>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</si>
  <si>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</si>
  <si>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</si>
  <si>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</si>
  <si>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</si>
  <si>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</si>
  <si>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</si>
  <si>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</si>
  <si>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</si>
  <si>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</si>
  <si>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</si>
  <si>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</si>
  <si>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</si>
  <si>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</si>
  <si>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</si>
  <si>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</si>
  <si>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</si>
  <si>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</si>
  <si>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</si>
  <si>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</si>
  <si>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</si>
  <si>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</si>
  <si>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</si>
  <si>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</si>
  <si>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</si>
  <si>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</si>
  <si>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</si>
  <si>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</si>
  <si>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</si>
  <si>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</si>
  <si>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</si>
  <si>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</si>
  <si>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</si>
  <si>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</si>
  <si>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</si>
  <si>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</si>
  <si>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</si>
  <si>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</si>
  <si>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</si>
  <si>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</si>
  <si>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</si>
  <si>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</si>
  <si>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</si>
  <si>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</si>
  <si>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</si>
  <si>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</si>
  <si>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</si>
  <si>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</si>
  <si>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</si>
  <si>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</si>
  <si>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</si>
  <si>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</si>
  <si>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</si>
  <si>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</si>
  <si>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</si>
  <si>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</si>
  <si>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</si>
  <si>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</si>
  <si>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</si>
  <si>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</si>
  <si>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</si>
  <si>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</si>
  <si>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</si>
  <si>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</si>
  <si>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</si>
  <si>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</si>
  <si>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</si>
  <si>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</si>
  <si>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</si>
  <si>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</si>
  <si>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</si>
  <si>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</si>
  <si>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</si>
  <si>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</si>
  <si>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</si>
  <si>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</si>
  <si>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</si>
  <si>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</si>
  <si>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</si>
  <si>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</si>
  <si>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</si>
  <si>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</si>
  <si>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</si>
  <si>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</si>
  <si>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</si>
  <si>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</si>
  <si>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</si>
  <si>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</si>
  <si>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</si>
  <si>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</si>
  <si>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</si>
  <si>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</si>
  <si>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</si>
  <si>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</si>
  <si>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</si>
  <si>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</si>
  <si>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</si>
  <si>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</si>
  <si>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</si>
  <si>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</si>
  <si>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</si>
  <si>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</si>
  <si>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</si>
  <si>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</si>
  <si>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</si>
  <si>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</si>
  <si>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</si>
  <si>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</si>
  <si>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</si>
  <si>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</si>
  <si>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</si>
  <si>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</si>
  <si>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</si>
  <si>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</si>
  <si>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</si>
  <si>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</si>
  <si>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</si>
  <si>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</si>
  <si>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</si>
  <si>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</si>
  <si>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</si>
  <si>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</si>
  <si>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</si>
  <si>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</si>
  <si>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</si>
  <si>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</si>
  <si>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</si>
  <si>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</si>
  <si>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</si>
  <si>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</si>
  <si>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</si>
  <si>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</si>
  <si>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</si>
  <si>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</si>
  <si>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</si>
  <si>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</si>
  <si>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</si>
  <si>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</si>
  <si>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</si>
  <si>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</si>
  <si>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</si>
  <si>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</si>
  <si>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</si>
  <si>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</si>
  <si>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</si>
  <si>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</si>
  <si>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</si>
  <si>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</si>
  <si>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</si>
  <si>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</si>
  <si>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</si>
  <si>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</si>
  <si>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</si>
  <si>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</si>
  <si>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</si>
  <si>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</si>
  <si>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</si>
  <si>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</si>
  <si>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</si>
  <si>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</si>
  <si>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</si>
  <si>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</si>
  <si>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</si>
  <si>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</si>
  <si>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</si>
  <si>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</si>
  <si>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</si>
  <si>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</si>
  <si>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</si>
  <si>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</si>
  <si>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</si>
  <si>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</si>
  <si>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</si>
  <si>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</si>
  <si>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</si>
  <si>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</si>
  <si>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</si>
  <si>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</si>
  <si>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</si>
  <si>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</si>
  <si>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</si>
  <si>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</si>
  <si>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</si>
  <si>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</si>
  <si>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</si>
  <si>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</si>
  <si>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</si>
  <si>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</si>
  <si>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</si>
  <si>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</si>
  <si>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</si>
  <si>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</si>
  <si>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</si>
  <si>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</si>
  <si>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</si>
  <si>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</si>
  <si>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</si>
  <si>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</si>
  <si>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</si>
  <si>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</si>
  <si>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</si>
  <si>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</si>
  <si>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</si>
  <si>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</si>
  <si>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</si>
  <si>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</si>
  <si>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</si>
  <si>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</si>
  <si>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</si>
  <si>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</si>
  <si>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</si>
  <si>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</si>
  <si>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</si>
  <si>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</si>
  <si>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</si>
  <si>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</si>
  <si>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</si>
  <si>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</si>
  <si>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</si>
  <si>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</si>
  <si>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</si>
  <si>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</si>
  <si>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</si>
  <si>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</si>
  <si>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</si>
  <si>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</si>
  <si>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</si>
  <si>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</si>
  <si>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</si>
  <si>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</si>
  <si>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</si>
  <si>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</si>
  <si>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</si>
  <si>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</si>
  <si>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</si>
  <si>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</si>
  <si>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</si>
  <si>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</si>
  <si>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</si>
  <si>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</si>
  <si>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</si>
  <si>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</si>
  <si>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</si>
  <si>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</si>
  <si>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</si>
  <si>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</si>
  <si>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</si>
  <si>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</si>
  <si>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</si>
  <si>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</si>
  <si>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</si>
  <si>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</si>
  <si>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</si>
  <si>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</si>
  <si>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</si>
  <si>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</si>
  <si>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</si>
  <si>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</si>
  <si>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</si>
  <si>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</si>
  <si>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</si>
  <si>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</si>
  <si>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</si>
  <si>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</si>
  <si>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</si>
  <si>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</si>
  <si>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</si>
  <si>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</si>
  <si>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</si>
  <si>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</si>
  <si>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</si>
  <si>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</si>
  <si>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</si>
  <si>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</si>
  <si>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</si>
  <si>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</si>
  <si>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</si>
  <si>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</si>
  <si>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</si>
  <si>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</si>
  <si>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</si>
  <si>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</si>
  <si>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</si>
  <si>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</si>
  <si>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</si>
  <si>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</si>
  <si>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</si>
  <si>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</si>
  <si>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</si>
  <si>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</si>
  <si>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</si>
  <si>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</si>
  <si>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</si>
  <si>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</si>
  <si>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</si>
  <si>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</si>
  <si>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</si>
  <si>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</si>
  <si>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</si>
  <si>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</si>
  <si>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</si>
  <si>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</si>
  <si>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</si>
  <si>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</si>
  <si>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</si>
  <si>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</si>
  <si>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</si>
  <si>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</si>
  <si>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</si>
  <si>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</si>
  <si>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</si>
  <si>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Socio X</t>
  </si>
  <si>
    <t>Socio Y</t>
  </si>
  <si>
    <t>Capannone</t>
  </si>
  <si>
    <t>Alpha SPA</t>
  </si>
  <si>
    <t>QUOTA TAX DIVIDENDI 
(100%-58,14%-5%-40%)</t>
  </si>
  <si>
    <t>s</t>
  </si>
  <si>
    <t>MODELLO REDDITI 2025</t>
  </si>
  <si>
    <t>F24 DA VERSARE ENTRO IL 30/11/2025</t>
  </si>
  <si>
    <t>F24 DA VERSARE ENTRO IL 30/09/2025</t>
  </si>
  <si>
    <t>I rata (30/09/26)</t>
  </si>
  <si>
    <t>II rata (30/11/26)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</si>
</sst>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</numFmts>
  <fonts count="6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7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43" fontId="30" fillId="8" borderId="0" xfId="1" applyFont="1" applyFill="1" applyBorder="1" applyAlignment="1" applyProtection="1">
      <alignment horizontal="center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43" fontId="40" fillId="8" borderId="0" xfId="1" applyFont="1" applyFill="1" applyBorder="1" applyAlignment="1" applyProtection="1">
      <protection hidden="1"/>
    </xf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43" fontId="30" fillId="0" borderId="14" xfId="1" applyFont="1" applyBorder="1" applyProtection="1"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8" applyFont="1" applyFill="1" applyAlignment="1" applyProtection="1">
      <alignment vertical="center"/>
      <protection locked="0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9" fontId="51" fillId="23" borderId="21" xfId="0" applyNumberFormat="1" applyFont="1" applyFill="1" applyBorder="1" applyAlignment="1">
      <alignment horizontal="center" vertical="center" wrapText="1"/>
    </xf>
    <xf numFmtId="4" fontId="51" fillId="23" borderId="21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A$25" lockText="1" noThreeD="1"/>
</file>

<file path=xl/ctrlProps/ctrlProp2.xml><?xml version="1.0" encoding="utf-8"?>
<formControlPr xmlns="http://schemas.microsoft.com/office/spreadsheetml/2009/9/main" objectType="CheckBox" checked="Checked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checked="Checked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Beni!A1"/><Relationship Id="rId11" Type="http://schemas.openxmlformats.org/officeDocument/2006/relationships/image" Target="../media/image3.jpeg"/><Relationship Id="rId5" Type="http://schemas.openxmlformats.org/officeDocument/2006/relationships/hyperlink" Target="#Soci!A1"/><Relationship Id="rId10" Type="http://schemas.openxmlformats.org/officeDocument/2006/relationships/hyperlink" Target="#Tariffa!A1"/><Relationship Id="rId4" Type="http://schemas.openxmlformats.org/officeDocument/2006/relationships/hyperlink" Target="#Societ&#224;!A1"/><Relationship Id="rId9" Type="http://schemas.openxmlformats.org/officeDocument/2006/relationships/hyperlink" Target="#CalcoloRapido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13</xdr:col>
      <xdr:colOff>655353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28575</xdr:rowOff>
        </xdr:from>
        <xdr:to>
          <xdr:col>3</xdr:col>
          <xdr:colOff>2819400</xdr:colOff>
          <xdr:row>24</xdr:row>
          <xdr:rowOff>238125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28575</xdr:rowOff>
        </xdr:from>
        <xdr:to>
          <xdr:col>4</xdr:col>
          <xdr:colOff>657225</xdr:colOff>
          <xdr:row>24</xdr:row>
          <xdr:rowOff>238125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28575</xdr:rowOff>
        </xdr:from>
        <xdr:to>
          <xdr:col>4</xdr:col>
          <xdr:colOff>1266825</xdr:colOff>
          <xdr:row>24</xdr:row>
          <xdr:rowOff>238125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9525</xdr:rowOff>
        </xdr:from>
        <xdr:to>
          <xdr:col>9</xdr:col>
          <xdr:colOff>228600</xdr:colOff>
          <xdr:row>22</xdr:row>
          <xdr:rowOff>123825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1133475</xdr:colOff>
          <xdr:row>18</xdr:row>
          <xdr:rowOff>133350</xdr:rowOff>
        </xdr:from>
        <xdr:to>
          <xdr:col>3</xdr:col>
          <xdr:colOff>2552700</xdr:colOff>
          <xdr:row>21</xdr:row>
          <xdr:rowOff>38100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13</xdr:col>
      <xdr:colOff>658888</xdr:colOff>
      <xdr:row>115</xdr:row>
      <xdr:rowOff>9721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38,8% su valore normale assegnato pari a € 300.000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13</xdr:col>
      <xdr:colOff>656420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910203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11</xdr:col>
      <xdr:colOff>857869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220.000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659240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80.000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8</xdr:col>
      <xdr:colOff>1662504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661473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8.652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8</xdr:col>
      <xdr:colOff>1601309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X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683885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10625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120349</xdr:colOff>
      <xdr:row>82</xdr:row>
      <xdr:rowOff>39955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657487</xdr:colOff>
      <xdr:row>82</xdr:row>
      <xdr:rowOff>35385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1</xdr:col>
      <xdr:colOff>153459</xdr:colOff>
      <xdr:row>14</xdr:row>
      <xdr:rowOff>283274</xdr:rowOff>
    </xdr:from>
    <xdr:to>
      <xdr:col>3</xdr:col>
      <xdr:colOff>710184</xdr:colOff>
      <xdr:row>15</xdr:row>
      <xdr:rowOff>351149</xdr:rowOff>
    </xdr:to>
    <xdr:sp macro="" textlink="">
      <xdr:nvSpPr>
        <xdr:cNvPr id="18" name="Ova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53459" y="2950274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3</xdr:col>
      <xdr:colOff>920274</xdr:colOff>
      <xdr:row>14</xdr:row>
      <xdr:rowOff>283274</xdr:rowOff>
    </xdr:from>
    <xdr:to>
      <xdr:col>3</xdr:col>
      <xdr:colOff>3296274</xdr:colOff>
      <xdr:row>15</xdr:row>
      <xdr:rowOff>351149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273954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3</xdr:col>
      <xdr:colOff>3506364</xdr:colOff>
      <xdr:row>14</xdr:row>
      <xdr:rowOff>283274</xdr:rowOff>
    </xdr:from>
    <xdr:to>
      <xdr:col>6</xdr:col>
      <xdr:colOff>376914</xdr:colOff>
      <xdr:row>15</xdr:row>
      <xdr:rowOff>351149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32563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7</xdr:col>
      <xdr:colOff>25029</xdr:colOff>
      <xdr:row>14</xdr:row>
      <xdr:rowOff>283274</xdr:rowOff>
    </xdr:from>
    <xdr:to>
      <xdr:col>8</xdr:col>
      <xdr:colOff>191229</xdr:colOff>
      <xdr:row>15</xdr:row>
      <xdr:rowOff>351149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791172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8</xdr:col>
      <xdr:colOff>401319</xdr:colOff>
      <xdr:row>14</xdr:row>
      <xdr:rowOff>283274</xdr:rowOff>
    </xdr:from>
    <xdr:to>
      <xdr:col>10</xdr:col>
      <xdr:colOff>110319</xdr:colOff>
      <xdr:row>15</xdr:row>
      <xdr:rowOff>351149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49781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10</xdr:col>
      <xdr:colOff>320409</xdr:colOff>
      <xdr:row>14</xdr:row>
      <xdr:rowOff>283274</xdr:rowOff>
    </xdr:from>
    <xdr:to>
      <xdr:col>11</xdr:col>
      <xdr:colOff>496134</xdr:colOff>
      <xdr:row>15</xdr:row>
      <xdr:rowOff>351149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08390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13</xdr:col>
      <xdr:colOff>939636</xdr:colOff>
      <xdr:row>14</xdr:row>
      <xdr:rowOff>283274</xdr:rowOff>
    </xdr:from>
    <xdr:to>
      <xdr:col>16</xdr:col>
      <xdr:colOff>77136</xdr:colOff>
      <xdr:row>15</xdr:row>
      <xdr:rowOff>351149</xdr:rowOff>
    </xdr:to>
    <xdr:sp macro="" textlink="">
      <xdr:nvSpPr>
        <xdr:cNvPr id="28" name="Ova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256086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 editAs="absolute">
    <xdr:from>
      <xdr:col>11</xdr:col>
      <xdr:colOff>706224</xdr:colOff>
      <xdr:row>14</xdr:row>
      <xdr:rowOff>283274</xdr:rowOff>
    </xdr:from>
    <xdr:to>
      <xdr:col>13</xdr:col>
      <xdr:colOff>729549</xdr:colOff>
      <xdr:row>15</xdr:row>
      <xdr:rowOff>351149</xdr:rowOff>
    </xdr:to>
    <xdr:sp macro="" textlink="">
      <xdr:nvSpPr>
        <xdr:cNvPr id="4" name="Ovale 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669999" y="295027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 editAs="absolute">
    <xdr:from>
      <xdr:col>14</xdr:col>
      <xdr:colOff>381000</xdr:colOff>
      <xdr:row>0</xdr:row>
      <xdr:rowOff>0</xdr:rowOff>
    </xdr:from>
    <xdr:to>
      <xdr:col>14</xdr:col>
      <xdr:colOff>1815144</xdr:colOff>
      <xdr:row>4</xdr:row>
      <xdr:rowOff>81044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F4F3948-F436-4B96-8935-3F393A398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5400" y="0"/>
          <a:ext cx="1434144" cy="843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2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0</xdr:colOff>
      <xdr:row>1</xdr:row>
      <xdr:rowOff>10234</xdr:rowOff>
    </xdr:from>
    <xdr:to>
      <xdr:col>1</xdr:col>
      <xdr:colOff>290025</xdr:colOff>
      <xdr:row>2</xdr:row>
      <xdr:rowOff>78109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1</xdr:col>
      <xdr:colOff>473451</xdr:colOff>
      <xdr:row>1</xdr:row>
      <xdr:rowOff>10234</xdr:rowOff>
    </xdr:from>
    <xdr:to>
      <xdr:col>3</xdr:col>
      <xdr:colOff>696801</xdr:colOff>
      <xdr:row>2</xdr:row>
      <xdr:rowOff>78109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59426" y="1715209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3</xdr:col>
      <xdr:colOff>880227</xdr:colOff>
      <xdr:row>1</xdr:row>
      <xdr:rowOff>10234</xdr:rowOff>
    </xdr:from>
    <xdr:to>
      <xdr:col>5</xdr:col>
      <xdr:colOff>1075002</xdr:colOff>
      <xdr:row>2</xdr:row>
      <xdr:rowOff>78109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18852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5</xdr:col>
      <xdr:colOff>1258428</xdr:colOff>
      <xdr:row>1</xdr:row>
      <xdr:rowOff>10234</xdr:rowOff>
    </xdr:from>
    <xdr:to>
      <xdr:col>8</xdr:col>
      <xdr:colOff>500703</xdr:colOff>
      <xdr:row>2</xdr:row>
      <xdr:rowOff>78109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78278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8</xdr:col>
      <xdr:colOff>684129</xdr:colOff>
      <xdr:row>1</xdr:row>
      <xdr:rowOff>10234</xdr:rowOff>
    </xdr:from>
    <xdr:to>
      <xdr:col>10</xdr:col>
      <xdr:colOff>402654</xdr:colOff>
      <xdr:row>2</xdr:row>
      <xdr:rowOff>78109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237704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10</xdr:col>
      <xdr:colOff>586080</xdr:colOff>
      <xdr:row>1</xdr:row>
      <xdr:rowOff>10234</xdr:rowOff>
    </xdr:from>
    <xdr:to>
      <xdr:col>14</xdr:col>
      <xdr:colOff>523680</xdr:colOff>
      <xdr:row>2</xdr:row>
      <xdr:rowOff>78109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97130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15</xdr:col>
      <xdr:colOff>97504</xdr:colOff>
      <xdr:row>1</xdr:row>
      <xdr:rowOff>10234</xdr:rowOff>
    </xdr:from>
    <xdr:to>
      <xdr:col>19</xdr:col>
      <xdr:colOff>35104</xdr:colOff>
      <xdr:row>2</xdr:row>
      <xdr:rowOff>78109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356554" y="1715209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27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1</xdr:col>
      <xdr:colOff>84857</xdr:colOff>
      <xdr:row>0</xdr:row>
      <xdr:rowOff>1702627</xdr:rowOff>
    </xdr:from>
    <xdr:to>
      <xdr:col>2</xdr:col>
      <xdr:colOff>174857</xdr:colOff>
      <xdr:row>1</xdr:row>
      <xdr:rowOff>494152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84857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2</xdr:col>
      <xdr:colOff>312843</xdr:colOff>
      <xdr:row>0</xdr:row>
      <xdr:rowOff>1702627</xdr:rowOff>
    </xdr:from>
    <xdr:to>
      <xdr:col>4</xdr:col>
      <xdr:colOff>288543</xdr:colOff>
      <xdr:row>1</xdr:row>
      <xdr:rowOff>494152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598843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4</xdr:col>
      <xdr:colOff>426529</xdr:colOff>
      <xdr:row>0</xdr:row>
      <xdr:rowOff>1702627</xdr:rowOff>
    </xdr:from>
    <xdr:to>
      <xdr:col>5</xdr:col>
      <xdr:colOff>611779</xdr:colOff>
      <xdr:row>1</xdr:row>
      <xdr:rowOff>494152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12829" y="1702627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5</xdr:col>
      <xdr:colOff>749765</xdr:colOff>
      <xdr:row>0</xdr:row>
      <xdr:rowOff>1702627</xdr:rowOff>
    </xdr:from>
    <xdr:to>
      <xdr:col>6</xdr:col>
      <xdr:colOff>1754165</xdr:colOff>
      <xdr:row>1</xdr:row>
      <xdr:rowOff>494152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626815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6</xdr:col>
      <xdr:colOff>1892151</xdr:colOff>
      <xdr:row>0</xdr:row>
      <xdr:rowOff>1702627</xdr:rowOff>
    </xdr:from>
    <xdr:to>
      <xdr:col>7</xdr:col>
      <xdr:colOff>1925001</xdr:colOff>
      <xdr:row>1</xdr:row>
      <xdr:rowOff>494152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140801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7</xdr:col>
      <xdr:colOff>2062987</xdr:colOff>
      <xdr:row>0</xdr:row>
      <xdr:rowOff>1702627</xdr:rowOff>
    </xdr:from>
    <xdr:to>
      <xdr:col>9</xdr:col>
      <xdr:colOff>238462</xdr:colOff>
      <xdr:row>1</xdr:row>
      <xdr:rowOff>494152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654787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9</xdr:col>
      <xdr:colOff>376448</xdr:colOff>
      <xdr:row>0</xdr:row>
      <xdr:rowOff>1702627</xdr:rowOff>
    </xdr:from>
    <xdr:to>
      <xdr:col>13</xdr:col>
      <xdr:colOff>314048</xdr:colOff>
      <xdr:row>1</xdr:row>
      <xdr:rowOff>494152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168773" y="170262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3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369794</xdr:colOff>
      <xdr:row>0</xdr:row>
      <xdr:rowOff>1065760</xdr:rowOff>
    </xdr:from>
    <xdr:to>
      <xdr:col>1</xdr:col>
      <xdr:colOff>1445912</xdr:colOff>
      <xdr:row>1</xdr:row>
      <xdr:rowOff>417019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2</xdr:col>
      <xdr:colOff>333008</xdr:colOff>
      <xdr:row>0</xdr:row>
      <xdr:rowOff>1065760</xdr:rowOff>
    </xdr:from>
    <xdr:to>
      <xdr:col>3</xdr:col>
      <xdr:colOff>523861</xdr:colOff>
      <xdr:row>1</xdr:row>
      <xdr:rowOff>417019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100861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3</xdr:col>
      <xdr:colOff>878928</xdr:colOff>
      <xdr:row>0</xdr:row>
      <xdr:rowOff>1065760</xdr:rowOff>
    </xdr:from>
    <xdr:to>
      <xdr:col>6</xdr:col>
      <xdr:colOff>61252</xdr:colOff>
      <xdr:row>1</xdr:row>
      <xdr:rowOff>417019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831928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6</xdr:col>
      <xdr:colOff>416319</xdr:colOff>
      <xdr:row>0</xdr:row>
      <xdr:rowOff>1065760</xdr:rowOff>
    </xdr:from>
    <xdr:to>
      <xdr:col>8</xdr:col>
      <xdr:colOff>181348</xdr:colOff>
      <xdr:row>1</xdr:row>
      <xdr:rowOff>417019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62995" y="1065760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8</xdr:col>
      <xdr:colOff>536415</xdr:colOff>
      <xdr:row>0</xdr:row>
      <xdr:rowOff>1065760</xdr:rowOff>
    </xdr:from>
    <xdr:to>
      <xdr:col>10</xdr:col>
      <xdr:colOff>357474</xdr:colOff>
      <xdr:row>1</xdr:row>
      <xdr:rowOff>417019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1294062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10</xdr:col>
      <xdr:colOff>712541</xdr:colOff>
      <xdr:row>0</xdr:row>
      <xdr:rowOff>1065760</xdr:rowOff>
    </xdr:from>
    <xdr:to>
      <xdr:col>12</xdr:col>
      <xdr:colOff>656864</xdr:colOff>
      <xdr:row>1</xdr:row>
      <xdr:rowOff>417019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4025129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12</xdr:col>
      <xdr:colOff>1011930</xdr:colOff>
      <xdr:row>0</xdr:row>
      <xdr:rowOff>1065760</xdr:rowOff>
    </xdr:from>
    <xdr:to>
      <xdr:col>15</xdr:col>
      <xdr:colOff>115813</xdr:colOff>
      <xdr:row>1</xdr:row>
      <xdr:rowOff>417019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6756195" y="1065760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3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230432</xdr:colOff>
      <xdr:row>0</xdr:row>
      <xdr:rowOff>987458</xdr:rowOff>
    </xdr:from>
    <xdr:to>
      <xdr:col>2</xdr:col>
      <xdr:colOff>141138</xdr:colOff>
      <xdr:row>1</xdr:row>
      <xdr:rowOff>383540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30432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2</xdr:col>
      <xdr:colOff>606456</xdr:colOff>
      <xdr:row>0</xdr:row>
      <xdr:rowOff>987458</xdr:rowOff>
    </xdr:from>
    <xdr:to>
      <xdr:col>4</xdr:col>
      <xdr:colOff>68926</xdr:colOff>
      <xdr:row>1</xdr:row>
      <xdr:rowOff>383540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071750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4</xdr:col>
      <xdr:colOff>534244</xdr:colOff>
      <xdr:row>0</xdr:row>
      <xdr:rowOff>987458</xdr:rowOff>
    </xdr:from>
    <xdr:to>
      <xdr:col>5</xdr:col>
      <xdr:colOff>1531921</xdr:colOff>
      <xdr:row>1</xdr:row>
      <xdr:rowOff>383540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913068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5</xdr:col>
      <xdr:colOff>1997239</xdr:colOff>
      <xdr:row>0</xdr:row>
      <xdr:rowOff>987458</xdr:rowOff>
    </xdr:from>
    <xdr:to>
      <xdr:col>6</xdr:col>
      <xdr:colOff>215857</xdr:colOff>
      <xdr:row>1</xdr:row>
      <xdr:rowOff>383540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8754386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6</xdr:col>
      <xdr:colOff>681175</xdr:colOff>
      <xdr:row>0</xdr:row>
      <xdr:rowOff>987458</xdr:rowOff>
    </xdr:from>
    <xdr:to>
      <xdr:col>8</xdr:col>
      <xdr:colOff>827204</xdr:colOff>
      <xdr:row>1</xdr:row>
      <xdr:rowOff>383540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1595704" y="987458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9</xdr:col>
      <xdr:colOff>171934</xdr:colOff>
      <xdr:row>0</xdr:row>
      <xdr:rowOff>987458</xdr:rowOff>
    </xdr:from>
    <xdr:to>
      <xdr:col>11</xdr:col>
      <xdr:colOff>743787</xdr:colOff>
      <xdr:row>1</xdr:row>
      <xdr:rowOff>383540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4437022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12</xdr:col>
      <xdr:colOff>54897</xdr:colOff>
      <xdr:row>0</xdr:row>
      <xdr:rowOff>987458</xdr:rowOff>
    </xdr:from>
    <xdr:to>
      <xdr:col>13</xdr:col>
      <xdr:colOff>1310309</xdr:colOff>
      <xdr:row>1</xdr:row>
      <xdr:rowOff>383540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7278338" y="987458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257175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12</xdr:row>
          <xdr:rowOff>247650</xdr:rowOff>
        </xdr:from>
        <xdr:to>
          <xdr:col>4</xdr:col>
          <xdr:colOff>952500</xdr:colOff>
          <xdr:row>12</xdr:row>
          <xdr:rowOff>485775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7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308764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228600</xdr:colOff>
      <xdr:row>0</xdr:row>
      <xdr:rowOff>1149554</xdr:rowOff>
    </xdr:from>
    <xdr:to>
      <xdr:col>1</xdr:col>
      <xdr:colOff>598747</xdr:colOff>
      <xdr:row>1</xdr:row>
      <xdr:rowOff>512019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2</xdr:col>
      <xdr:colOff>26714</xdr:colOff>
      <xdr:row>0</xdr:row>
      <xdr:rowOff>1149554</xdr:rowOff>
    </xdr:from>
    <xdr:to>
      <xdr:col>3</xdr:col>
      <xdr:colOff>1024390</xdr:colOff>
      <xdr:row>1</xdr:row>
      <xdr:rowOff>512019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063508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4</xdr:col>
      <xdr:colOff>452357</xdr:colOff>
      <xdr:row>0</xdr:row>
      <xdr:rowOff>1149554</xdr:rowOff>
    </xdr:from>
    <xdr:to>
      <xdr:col>6</xdr:col>
      <xdr:colOff>721651</xdr:colOff>
      <xdr:row>1</xdr:row>
      <xdr:rowOff>512019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898416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7</xdr:col>
      <xdr:colOff>160824</xdr:colOff>
      <xdr:row>0</xdr:row>
      <xdr:rowOff>1149554</xdr:rowOff>
    </xdr:from>
    <xdr:to>
      <xdr:col>9</xdr:col>
      <xdr:colOff>161177</xdr:colOff>
      <xdr:row>1</xdr:row>
      <xdr:rowOff>512019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8733324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9</xdr:col>
      <xdr:colOff>620085</xdr:colOff>
      <xdr:row>0</xdr:row>
      <xdr:rowOff>1149554</xdr:rowOff>
    </xdr:from>
    <xdr:to>
      <xdr:col>11</xdr:col>
      <xdr:colOff>911791</xdr:colOff>
      <xdr:row>1</xdr:row>
      <xdr:rowOff>512019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1568232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12</xdr:col>
      <xdr:colOff>261316</xdr:colOff>
      <xdr:row>0</xdr:row>
      <xdr:rowOff>1149554</xdr:rowOff>
    </xdr:from>
    <xdr:to>
      <xdr:col>14</xdr:col>
      <xdr:colOff>295287</xdr:colOff>
      <xdr:row>1</xdr:row>
      <xdr:rowOff>512019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4403140" y="1149554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14</xdr:col>
      <xdr:colOff>754195</xdr:colOff>
      <xdr:row>0</xdr:row>
      <xdr:rowOff>1149554</xdr:rowOff>
    </xdr:from>
    <xdr:to>
      <xdr:col>17</xdr:col>
      <xdr:colOff>384754</xdr:colOff>
      <xdr:row>1</xdr:row>
      <xdr:rowOff>512019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238048" y="114955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3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122464</xdr:colOff>
      <xdr:row>0</xdr:row>
      <xdr:rowOff>1182584</xdr:rowOff>
    </xdr:from>
    <xdr:to>
      <xdr:col>2</xdr:col>
      <xdr:colOff>736339</xdr:colOff>
      <xdr:row>1</xdr:row>
      <xdr:rowOff>326534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2</xdr:col>
      <xdr:colOff>778984</xdr:colOff>
      <xdr:row>0</xdr:row>
      <xdr:rowOff>1182584</xdr:rowOff>
    </xdr:from>
    <xdr:to>
      <xdr:col>3</xdr:col>
      <xdr:colOff>1440484</xdr:colOff>
      <xdr:row>1</xdr:row>
      <xdr:rowOff>326534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541109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4</xdr:col>
      <xdr:colOff>16279</xdr:colOff>
      <xdr:row>0</xdr:row>
      <xdr:rowOff>1182584</xdr:rowOff>
    </xdr:from>
    <xdr:to>
      <xdr:col>5</xdr:col>
      <xdr:colOff>1649329</xdr:colOff>
      <xdr:row>1</xdr:row>
      <xdr:rowOff>326534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959754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5</xdr:col>
      <xdr:colOff>1691974</xdr:colOff>
      <xdr:row>0</xdr:row>
      <xdr:rowOff>1182584</xdr:rowOff>
    </xdr:from>
    <xdr:to>
      <xdr:col>8</xdr:col>
      <xdr:colOff>486574</xdr:colOff>
      <xdr:row>1</xdr:row>
      <xdr:rowOff>326534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378399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8</xdr:col>
      <xdr:colOff>529219</xdr:colOff>
      <xdr:row>0</xdr:row>
      <xdr:rowOff>1182584</xdr:rowOff>
    </xdr:from>
    <xdr:to>
      <xdr:col>12</xdr:col>
      <xdr:colOff>466819</xdr:colOff>
      <xdr:row>1</xdr:row>
      <xdr:rowOff>326534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797044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12</xdr:col>
      <xdr:colOff>509464</xdr:colOff>
      <xdr:row>0</xdr:row>
      <xdr:rowOff>1182584</xdr:rowOff>
    </xdr:from>
    <xdr:to>
      <xdr:col>16</xdr:col>
      <xdr:colOff>447064</xdr:colOff>
      <xdr:row>1</xdr:row>
      <xdr:rowOff>326534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2215689" y="118258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16</xdr:col>
      <xdr:colOff>489709</xdr:colOff>
      <xdr:row>0</xdr:row>
      <xdr:rowOff>1182584</xdr:rowOff>
    </xdr:from>
    <xdr:to>
      <xdr:col>20</xdr:col>
      <xdr:colOff>427309</xdr:colOff>
      <xdr:row>1</xdr:row>
      <xdr:rowOff>326534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634334" y="1182584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absolute">
    <xdr:from>
      <xdr:col>0</xdr:col>
      <xdr:colOff>78440</xdr:colOff>
      <xdr:row>0</xdr:row>
      <xdr:rowOff>1304607</xdr:rowOff>
    </xdr:from>
    <xdr:to>
      <xdr:col>1</xdr:col>
      <xdr:colOff>1844840</xdr:colOff>
      <xdr:row>1</xdr:row>
      <xdr:rowOff>600957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0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1</xdr:col>
      <xdr:colOff>1890607</xdr:colOff>
      <xdr:row>0</xdr:row>
      <xdr:rowOff>1304607</xdr:rowOff>
    </xdr:from>
    <xdr:to>
      <xdr:col>2</xdr:col>
      <xdr:colOff>980482</xdr:colOff>
      <xdr:row>1</xdr:row>
      <xdr:rowOff>600957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500207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2</xdr:col>
      <xdr:colOff>1026249</xdr:colOff>
      <xdr:row>0</xdr:row>
      <xdr:rowOff>1304607</xdr:rowOff>
    </xdr:from>
    <xdr:to>
      <xdr:col>6</xdr:col>
      <xdr:colOff>116124</xdr:colOff>
      <xdr:row>1</xdr:row>
      <xdr:rowOff>600957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921974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6</xdr:col>
      <xdr:colOff>161891</xdr:colOff>
      <xdr:row>0</xdr:row>
      <xdr:rowOff>1304607</xdr:rowOff>
    </xdr:from>
    <xdr:to>
      <xdr:col>9</xdr:col>
      <xdr:colOff>499541</xdr:colOff>
      <xdr:row>1</xdr:row>
      <xdr:rowOff>600957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343741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9</xdr:col>
      <xdr:colOff>545308</xdr:colOff>
      <xdr:row>0</xdr:row>
      <xdr:rowOff>1304607</xdr:rowOff>
    </xdr:from>
    <xdr:to>
      <xdr:col>13</xdr:col>
      <xdr:colOff>482908</xdr:colOff>
      <xdr:row>1</xdr:row>
      <xdr:rowOff>600957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765508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13</xdr:col>
      <xdr:colOff>528675</xdr:colOff>
      <xdr:row>0</xdr:row>
      <xdr:rowOff>1304607</xdr:rowOff>
    </xdr:from>
    <xdr:to>
      <xdr:col>17</xdr:col>
      <xdr:colOff>466275</xdr:colOff>
      <xdr:row>1</xdr:row>
      <xdr:rowOff>600957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2187275" y="1304607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17</xdr:col>
      <xdr:colOff>512042</xdr:colOff>
      <xdr:row>0</xdr:row>
      <xdr:rowOff>1304607</xdr:rowOff>
    </xdr:from>
    <xdr:to>
      <xdr:col>22</xdr:col>
      <xdr:colOff>449642</xdr:colOff>
      <xdr:row>1</xdr:row>
      <xdr:rowOff>600957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609042" y="1304607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161925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4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 editAs="absolute">
    <xdr:from>
      <xdr:col>0</xdr:col>
      <xdr:colOff>196803</xdr:colOff>
      <xdr:row>1</xdr:row>
      <xdr:rowOff>111619</xdr:rowOff>
    </xdr:from>
    <xdr:to>
      <xdr:col>3</xdr:col>
      <xdr:colOff>1772703</xdr:colOff>
      <xdr:row>2</xdr:row>
      <xdr:rowOff>179494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 editAs="absolute">
    <xdr:from>
      <xdr:col>3</xdr:col>
      <xdr:colOff>1909973</xdr:colOff>
      <xdr:row>1</xdr:row>
      <xdr:rowOff>111619</xdr:rowOff>
    </xdr:from>
    <xdr:to>
      <xdr:col>4</xdr:col>
      <xdr:colOff>1199873</xdr:colOff>
      <xdr:row>2</xdr:row>
      <xdr:rowOff>179494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71007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 editAs="absolute">
    <xdr:from>
      <xdr:col>4</xdr:col>
      <xdr:colOff>1337143</xdr:colOff>
      <xdr:row>1</xdr:row>
      <xdr:rowOff>111619</xdr:rowOff>
    </xdr:from>
    <xdr:to>
      <xdr:col>6</xdr:col>
      <xdr:colOff>779443</xdr:colOff>
      <xdr:row>2</xdr:row>
      <xdr:rowOff>179494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22334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 editAs="absolute">
    <xdr:from>
      <xdr:col>6</xdr:col>
      <xdr:colOff>916713</xdr:colOff>
      <xdr:row>1</xdr:row>
      <xdr:rowOff>111619</xdr:rowOff>
    </xdr:from>
    <xdr:to>
      <xdr:col>9</xdr:col>
      <xdr:colOff>35163</xdr:colOff>
      <xdr:row>2</xdr:row>
      <xdr:rowOff>179494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3661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 editAs="absolute">
    <xdr:from>
      <xdr:col>9</xdr:col>
      <xdr:colOff>172433</xdr:colOff>
      <xdr:row>1</xdr:row>
      <xdr:rowOff>111619</xdr:rowOff>
    </xdr:from>
    <xdr:to>
      <xdr:col>11</xdr:col>
      <xdr:colOff>224333</xdr:colOff>
      <xdr:row>2</xdr:row>
      <xdr:rowOff>179494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4988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 editAs="absolute">
    <xdr:from>
      <xdr:col>11</xdr:col>
      <xdr:colOff>361603</xdr:colOff>
      <xdr:row>1</xdr:row>
      <xdr:rowOff>111619</xdr:rowOff>
    </xdr:from>
    <xdr:to>
      <xdr:col>14</xdr:col>
      <xdr:colOff>432553</xdr:colOff>
      <xdr:row>2</xdr:row>
      <xdr:rowOff>179494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63153" y="1473694"/>
          <a:ext cx="2376000" cy="7632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 editAs="absolute">
    <xdr:from>
      <xdr:col>14</xdr:col>
      <xdr:colOff>569820</xdr:colOff>
      <xdr:row>1</xdr:row>
      <xdr:rowOff>111619</xdr:rowOff>
    </xdr:from>
    <xdr:to>
      <xdr:col>18</xdr:col>
      <xdr:colOff>69270</xdr:colOff>
      <xdr:row>2</xdr:row>
      <xdr:rowOff>179494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473694"/>
          <a:ext cx="2376000" cy="7632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2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5" x14ac:dyDescent="0.25"/>
  <cols>
    <col min="1" max="1" width="5.140625" bestFit="1" customWidth="1"/>
    <col min="2" max="2" width="10.85546875" customWidth="1"/>
    <col min="3" max="3" width="24.140625" customWidth="1"/>
    <col min="4" max="4" width="124" customWidth="1"/>
    <col min="5" max="6" width="10.5703125" bestFit="1" customWidth="1"/>
  </cols>
  <sheetData>
    <row r="2" spans="2:8" x14ac:dyDescent="0.25">
      <c r="B2" t="s">
        <v>289</v>
      </c>
      <c r="C2" t="s">
        <v>290</v>
      </c>
      <c r="D2" t="s">
        <v>291</v>
      </c>
    </row>
    <row r="3" spans="2:8" x14ac:dyDescent="0.25">
      <c r="B3">
        <v>1</v>
      </c>
      <c r="C3">
        <v>1836</v>
      </c>
      <c r="D3" t="s">
        <v>288</v>
      </c>
    </row>
    <row r="4" spans="2:8" x14ac:dyDescent="0.25">
      <c r="B4">
        <v>2</v>
      </c>
      <c r="C4">
        <v>1837</v>
      </c>
      <c r="D4" t="s">
        <v>287</v>
      </c>
    </row>
    <row r="5" spans="2:8" x14ac:dyDescent="0.25">
      <c r="B5">
        <v>3</v>
      </c>
      <c r="C5">
        <v>1127</v>
      </c>
      <c r="D5" t="s">
        <v>292</v>
      </c>
    </row>
    <row r="7" spans="2:8" x14ac:dyDescent="0.2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25">
      <c r="B8" t="s">
        <v>294</v>
      </c>
      <c r="D8" s="16">
        <f>IF(DATI!I34&gt;0,Foglio1!C3,"")</f>
        <v>1836</v>
      </c>
    </row>
    <row r="9" spans="2:8" x14ac:dyDescent="0.25">
      <c r="B9" t="s">
        <v>298</v>
      </c>
      <c r="D9" s="31">
        <f>(IF(DATI!$I$34&gt;0,ROUND(DATI!$I$34*60%,2),""))</f>
        <v>5191.2</v>
      </c>
      <c r="E9" s="26">
        <f>+IFERROR(+IF(D9&gt;0,(+TRUNC(D9)),""),"")</f>
        <v>5191</v>
      </c>
      <c r="F9" s="11" t="str">
        <f>+IF(D9&gt;0,+RIGHT(D9,2),"")</f>
        <v>,2</v>
      </c>
    </row>
    <row r="10" spans="2:8" x14ac:dyDescent="0.2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25">
      <c r="B11" t="s">
        <v>296</v>
      </c>
      <c r="D11" s="28">
        <f>IFERROR(IF(D8&gt;0,D9+D10,""),0)</f>
        <v>5191.2</v>
      </c>
      <c r="E11" s="26">
        <f>+IFERROR(+IF(D11&gt;0,(+TRUNC(D11)),""),"")</f>
        <v>5191</v>
      </c>
      <c r="F11" s="11" t="str">
        <f>+IF(D11&gt;0,+RIGHT(D11,2),"")</f>
        <v>,2</v>
      </c>
    </row>
    <row r="13" spans="2:8" x14ac:dyDescent="0.25">
      <c r="B13" s="18" t="str">
        <f>DATI!$D$103</f>
        <v>F24 DA VERSARE ENTRO IL 30/09/2025</v>
      </c>
    </row>
    <row r="14" spans="2:8" x14ac:dyDescent="0.25">
      <c r="B14" t="s">
        <v>295</v>
      </c>
      <c r="D14" s="19" t="str">
        <f>IF(DATI!I36&gt;0,Foglio1!C4,"")</f>
        <v/>
      </c>
    </row>
    <row r="15" spans="2:8" x14ac:dyDescent="0.25">
      <c r="B15" t="s">
        <v>301</v>
      </c>
      <c r="D15" s="32">
        <f>IF(DATI!$I$34&gt;0,ROUND(DATI!$I$34*40%,2),"")</f>
        <v>3460.8</v>
      </c>
      <c r="E15" s="26">
        <f>+IFERROR(+IF(D15&gt;0,(+TRUNC(D15)),""),"")</f>
        <v>3460</v>
      </c>
      <c r="F15" s="11" t="str">
        <f>+IF(D15&gt;0,+RIGHT(D15,2),"")</f>
        <v>,8</v>
      </c>
      <c r="H15" s="15"/>
    </row>
    <row r="16" spans="2:8" x14ac:dyDescent="0.2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25">
      <c r="B17" t="s">
        <v>297</v>
      </c>
      <c r="D17" s="30">
        <f>IFERROR(IF(D14&gt;0,D15+D16,""),0)</f>
        <v>3460.8</v>
      </c>
      <c r="E17" s="26">
        <f>+IFERROR(+IF(D17&gt;0,(+TRUNC(D17)),""),"")</f>
        <v>3460</v>
      </c>
      <c r="F17" s="11" t="str">
        <f>+IF(D17&gt;0,+RIGHT(D17,2),"")</f>
        <v>,8</v>
      </c>
      <c r="H17" s="15"/>
    </row>
    <row r="19" spans="2:8" x14ac:dyDescent="0.25">
      <c r="B19" t="s">
        <v>302</v>
      </c>
      <c r="D19" s="20">
        <v>2024</v>
      </c>
    </row>
    <row r="20" spans="2:8" x14ac:dyDescent="0.25">
      <c r="B20" t="s">
        <v>302</v>
      </c>
      <c r="D20" s="23" t="str">
        <f>+IF(DATI!I36&gt;0,2017,"")</f>
        <v/>
      </c>
    </row>
    <row r="21" spans="2:8" x14ac:dyDescent="0.25">
      <c r="B21" t="s">
        <v>293</v>
      </c>
      <c r="D21" s="21">
        <v>2024</v>
      </c>
    </row>
    <row r="22" spans="2:8" x14ac:dyDescent="0.25">
      <c r="B22" t="s">
        <v>293</v>
      </c>
      <c r="D22" s="24" t="str">
        <f>+IF(DATI!I36&gt;0,2018,"")</f>
        <v/>
      </c>
    </row>
    <row r="25" spans="2:8" x14ac:dyDescent="0.25">
      <c r="B25" s="22" t="s">
        <v>303</v>
      </c>
      <c r="D25" s="17" t="str">
        <f>+IF(DATI!$I$34&gt;0,Foglio1!B25,"")</f>
        <v xml:space="preserve">0 0 </v>
      </c>
    </row>
    <row r="26" spans="2:8" x14ac:dyDescent="0.25">
      <c r="B26" s="22" t="s">
        <v>303</v>
      </c>
      <c r="D26" s="17" t="str">
        <f>+IF(DATI!$I$36&gt;0,Foglio1!B26,"")</f>
        <v/>
      </c>
    </row>
    <row r="27" spans="2:8" x14ac:dyDescent="0.2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B1" zoomScale="60" zoomScaleNormal="60" workbookViewId="0">
      <selection activeCell="N3" sqref="N3"/>
    </sheetView>
  </sheetViews>
  <sheetFormatPr defaultColWidth="9.140625" defaultRowHeight="21.75" customHeight="1" x14ac:dyDescent="0.2"/>
  <cols>
    <col min="1" max="1" width="13.5703125" style="56" hidden="1" customWidth="1"/>
    <col min="2" max="2" width="16.140625" style="56" customWidth="1"/>
    <col min="3" max="3" width="11.140625" style="56" bestFit="1" customWidth="1"/>
    <col min="4" max="4" width="53.28515625" style="56" customWidth="1"/>
    <col min="5" max="5" width="27.140625" style="56" customWidth="1"/>
    <col min="6" max="6" width="2.140625" style="56" customWidth="1"/>
    <col min="7" max="7" width="8.42578125" style="56" customWidth="1"/>
    <col min="8" max="8" width="33.140625" style="56" customWidth="1"/>
    <col min="9" max="9" width="26.5703125" style="56" customWidth="1"/>
    <col min="10" max="10" width="13.42578125" style="56" customWidth="1"/>
    <col min="11" max="11" width="33" style="56" customWidth="1"/>
    <col min="12" max="12" width="21.5703125" style="56" customWidth="1"/>
    <col min="13" max="13" width="13.7109375" style="56" customWidth="1"/>
    <col min="14" max="14" width="19.85546875" style="56" customWidth="1"/>
    <col min="15" max="15" width="25.7109375" style="56" customWidth="1"/>
    <col min="16" max="16" width="3" style="56" customWidth="1"/>
    <col min="17" max="17" width="2.7109375" style="56" customWidth="1"/>
    <col min="18" max="18" width="7.28515625" style="56" customWidth="1"/>
    <col min="19" max="19" width="65.85546875" style="56" hidden="1" customWidth="1"/>
    <col min="20" max="20" width="17.140625" style="56" customWidth="1"/>
    <col min="21" max="21" width="17.42578125" style="56" customWidth="1"/>
    <col min="22" max="24" width="9.140625" style="56" customWidth="1"/>
    <col min="25" max="25" width="18.5703125" style="56" customWidth="1"/>
    <col min="26" max="26" width="18.85546875" style="56" customWidth="1"/>
    <col min="27" max="27" width="10.7109375" style="56" customWidth="1"/>
    <col min="28" max="29" width="9.140625" style="56" customWidth="1"/>
    <col min="30" max="16384" width="9.140625" style="56"/>
  </cols>
  <sheetData>
    <row r="1" spans="1:20" ht="15" customHeight="1" x14ac:dyDescent="0.2">
      <c r="A1" s="53">
        <v>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">
      <c r="A2" s="57"/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">
      <c r="A3" s="57"/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">
      <c r="A4" s="57"/>
      <c r="B4" s="54"/>
      <c r="C4" s="54"/>
      <c r="D4" s="54"/>
      <c r="E4" s="54"/>
      <c r="F4" s="54"/>
      <c r="G4" s="54"/>
      <c r="H4" s="54"/>
      <c r="I4" s="54"/>
      <c r="J4" s="54"/>
      <c r="K4" s="54"/>
      <c r="L4" s="286"/>
      <c r="M4" s="55"/>
      <c r="N4" s="55"/>
      <c r="O4" s="55"/>
      <c r="P4" s="55"/>
      <c r="Q4" s="55"/>
      <c r="R4" s="55"/>
    </row>
    <row r="5" spans="1:20" ht="15" customHeight="1" x14ac:dyDescent="0.2">
      <c r="A5" s="57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">
      <c r="A6" s="57"/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  <c r="M6" s="292"/>
      <c r="N6" s="292"/>
      <c r="O6" s="292"/>
      <c r="P6" s="292"/>
      <c r="Q6" s="292"/>
      <c r="R6" s="292"/>
      <c r="T6" s="58"/>
    </row>
    <row r="7" spans="1:20" ht="15" customHeight="1" x14ac:dyDescent="0.2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295"/>
      <c r="J7" s="296"/>
      <c r="K7" s="296"/>
      <c r="L7" s="54"/>
      <c r="M7" s="292"/>
      <c r="N7" s="292"/>
      <c r="O7" s="292"/>
      <c r="P7" s="292"/>
      <c r="Q7" s="292"/>
      <c r="R7" s="292"/>
      <c r="T7" s="58"/>
    </row>
    <row r="8" spans="1:20" ht="15" customHeight="1" x14ac:dyDescent="0.2">
      <c r="A8" s="57"/>
      <c r="B8" s="54"/>
      <c r="C8" s="60"/>
      <c r="D8" s="61"/>
      <c r="E8" s="54"/>
      <c r="F8" s="54"/>
      <c r="G8" s="54"/>
      <c r="H8" s="60"/>
      <c r="I8" s="62"/>
      <c r="J8" s="63"/>
      <c r="K8" s="62"/>
      <c r="L8" s="54"/>
      <c r="M8" s="292"/>
      <c r="N8" s="292"/>
      <c r="O8" s="292"/>
      <c r="P8" s="292"/>
      <c r="Q8" s="292"/>
      <c r="R8" s="292"/>
      <c r="T8" s="58"/>
    </row>
    <row r="9" spans="1:20" ht="15" customHeight="1" x14ac:dyDescent="0.2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295"/>
      <c r="J9" s="296"/>
      <c r="K9" s="296"/>
      <c r="L9" s="54"/>
      <c r="M9" s="292"/>
      <c r="N9" s="292"/>
      <c r="O9" s="292"/>
      <c r="P9" s="292"/>
      <c r="Q9" s="292"/>
      <c r="R9" s="292"/>
      <c r="T9" s="58"/>
    </row>
    <row r="10" spans="1:20" ht="15" customHeight="1" x14ac:dyDescent="0.2">
      <c r="A10" s="57"/>
      <c r="B10" s="54"/>
      <c r="C10" s="60"/>
      <c r="D10" s="61"/>
      <c r="E10" s="54"/>
      <c r="F10" s="54"/>
      <c r="G10" s="54"/>
      <c r="H10" s="60"/>
      <c r="I10" s="62"/>
      <c r="J10" s="63"/>
      <c r="K10" s="62"/>
      <c r="L10" s="54"/>
      <c r="M10" s="292"/>
      <c r="N10" s="292"/>
      <c r="O10" s="292"/>
      <c r="P10" s="292"/>
      <c r="Q10" s="292"/>
      <c r="R10" s="292"/>
      <c r="T10" s="58"/>
    </row>
    <row r="11" spans="1:20" ht="15" customHeight="1" x14ac:dyDescent="0.2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295"/>
      <c r="J11" s="296"/>
      <c r="K11" s="296"/>
      <c r="L11" s="54"/>
      <c r="M11" s="292"/>
      <c r="N11" s="292"/>
      <c r="O11" s="292"/>
      <c r="P11" s="292"/>
      <c r="Q11" s="292"/>
      <c r="R11" s="292"/>
      <c r="T11" s="58"/>
    </row>
    <row r="12" spans="1:20" ht="15" customHeight="1" x14ac:dyDescent="0.2">
      <c r="A12" s="57"/>
      <c r="B12" s="54"/>
      <c r="C12" s="60"/>
      <c r="D12" s="61"/>
      <c r="E12" s="54"/>
      <c r="F12" s="54"/>
      <c r="G12" s="54"/>
      <c r="H12" s="60"/>
      <c r="I12" s="62"/>
      <c r="J12" s="63"/>
      <c r="K12" s="62"/>
      <c r="L12" s="54"/>
      <c r="M12" s="292"/>
      <c r="N12" s="292"/>
      <c r="O12" s="292"/>
      <c r="P12" s="292"/>
      <c r="Q12" s="292"/>
      <c r="R12" s="292"/>
      <c r="T12" s="58"/>
    </row>
    <row r="13" spans="1:20" ht="15" customHeight="1" x14ac:dyDescent="0.2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295"/>
      <c r="J13" s="296"/>
      <c r="K13" s="296"/>
      <c r="L13" s="54"/>
      <c r="M13" s="292"/>
      <c r="N13" s="292"/>
      <c r="O13" s="292"/>
      <c r="P13" s="292"/>
      <c r="Q13" s="292"/>
      <c r="R13" s="292"/>
      <c r="T13" s="58"/>
    </row>
    <row r="14" spans="1:20" ht="15" customHeight="1" x14ac:dyDescent="0.2">
      <c r="A14" s="57"/>
      <c r="B14" s="54"/>
      <c r="C14" s="54"/>
      <c r="D14" s="60"/>
      <c r="E14" s="60"/>
      <c r="F14" s="60"/>
      <c r="G14" s="60"/>
      <c r="H14" s="60"/>
      <c r="I14" s="64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4.95" customHeight="1" x14ac:dyDescent="0.2">
      <c r="A15" s="57"/>
      <c r="B15" s="54"/>
      <c r="C15" s="54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4.95" customHeight="1" x14ac:dyDescent="0.2">
      <c r="A16" s="57"/>
      <c r="B16" s="54"/>
      <c r="C16" s="54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4.95" customHeight="1" x14ac:dyDescent="0.2">
      <c r="A17" s="57"/>
      <c r="B17" s="54"/>
      <c r="C17" s="54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">
      <c r="B19" s="299" t="str">
        <f ca="1">+OFFSET(Tabelle!AT1,A1,0)</f>
        <v>Assegnazione</v>
      </c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65"/>
      <c r="N19" s="66"/>
      <c r="O19" s="66"/>
      <c r="P19" s="66"/>
      <c r="Q19" s="66"/>
      <c r="R19" s="66"/>
    </row>
    <row r="20" spans="1:18" ht="6" customHeight="1" x14ac:dyDescent="0.2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65"/>
      <c r="N20" s="66"/>
      <c r="O20" s="66"/>
      <c r="P20" s="66"/>
      <c r="Q20" s="66"/>
      <c r="R20" s="66"/>
    </row>
    <row r="21" spans="1:18" ht="19.5" customHeight="1" thickBot="1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67"/>
      <c r="N21" s="66"/>
      <c r="O21" s="66"/>
      <c r="P21" s="66"/>
      <c r="Q21" s="66"/>
      <c r="R21" s="66"/>
    </row>
    <row r="22" spans="1:18" ht="21.75" customHeight="1" x14ac:dyDescent="0.25">
      <c r="B22" s="65"/>
      <c r="C22" s="65"/>
      <c r="D22" s="65" t="s">
        <v>1</v>
      </c>
      <c r="E22" s="295" t="s">
        <v>387</v>
      </c>
      <c r="F22" s="296"/>
      <c r="G22" s="296"/>
      <c r="H22" s="296"/>
      <c r="I22" s="65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31.5" customHeight="1" x14ac:dyDescent="0.2">
      <c r="A23" s="58" t="b">
        <v>1</v>
      </c>
      <c r="B23" s="65"/>
      <c r="C23" s="65"/>
      <c r="D23" s="65" t="s">
        <v>0</v>
      </c>
      <c r="E23" s="227" t="s">
        <v>7</v>
      </c>
      <c r="F23" s="71"/>
      <c r="G23" s="72" t="s">
        <v>202</v>
      </c>
      <c r="H23" s="226">
        <v>3.9E-2</v>
      </c>
      <c r="I23" s="65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14.25" x14ac:dyDescent="0.2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IRES</v>
      </c>
      <c r="E24" s="228">
        <v>0.24</v>
      </c>
      <c r="F24" s="77"/>
      <c r="G24" s="78"/>
      <c r="H24" s="78"/>
      <c r="I24" s="78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.75" customHeight="1" x14ac:dyDescent="0.2">
      <c r="A25" s="58" t="b">
        <v>1</v>
      </c>
      <c r="B25" s="65"/>
      <c r="C25" s="65"/>
      <c r="D25" s="65" t="s">
        <v>107</v>
      </c>
      <c r="E25" s="65"/>
      <c r="F25" s="65"/>
      <c r="G25" s="81"/>
      <c r="H25" s="297" t="str">
        <f>+IF(RIGHT(D24,4)="IRES","Dividendi imponibili per il socio","NESSUNA TASSAZIONE DEI DIVIDENDI SUL SOCIO. RILEVA L'EVENTUALE SOTTOZERO")</f>
        <v>Dividendi imponibili per il socio</v>
      </c>
      <c r="I25" s="297"/>
      <c r="J25" s="298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18.75" customHeight="1" thickBot="1" x14ac:dyDescent="0.25">
      <c r="A26" s="58" t="b">
        <v>1</v>
      </c>
      <c r="B26" s="65"/>
      <c r="C26" s="65"/>
      <c r="D26" s="65"/>
      <c r="E26" s="65"/>
      <c r="F26" s="65"/>
      <c r="G26" s="81"/>
      <c r="H26" s="297"/>
      <c r="I26" s="297"/>
      <c r="J26" s="298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18.75" customHeight="1" thickTop="1" thickBot="1" x14ac:dyDescent="0.25">
      <c r="A27" s="58"/>
      <c r="B27" s="65"/>
      <c r="C27" s="65"/>
      <c r="D27" s="84" t="s">
        <v>95</v>
      </c>
      <c r="E27" s="229">
        <f>(A25*1+A26*1+A28*1&gt;1)*2.5%+8%</f>
        <v>0.10500000000000001</v>
      </c>
      <c r="F27" s="65"/>
      <c r="G27" s="81"/>
      <c r="H27" s="81"/>
      <c r="I27" s="81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">
      <c r="A28" s="88" t="b">
        <v>0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">
      <c r="A29" s="58"/>
      <c r="B29" s="65"/>
      <c r="C29" s="65"/>
      <c r="D29" s="65"/>
      <c r="E29" s="65"/>
      <c r="F29" s="65"/>
      <c r="G29" s="65"/>
      <c r="H29" s="65"/>
      <c r="I29" s="65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35">
      <c r="B30" s="49" t="s">
        <v>372</v>
      </c>
      <c r="C30" s="65"/>
      <c r="D30" s="65"/>
      <c r="E30" s="49"/>
      <c r="F30" s="49"/>
      <c r="G30" s="49"/>
      <c r="H30" s="49"/>
      <c r="I30" s="49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25">
      <c r="B32" s="65"/>
      <c r="C32" s="65"/>
      <c r="D32" s="65" t="s">
        <v>144</v>
      </c>
      <c r="E32" s="94">
        <f>+Assegnazione!M3</f>
        <v>302400</v>
      </c>
      <c r="F32" s="95"/>
      <c r="G32" s="65"/>
      <c r="H32" s="96" t="s">
        <v>209</v>
      </c>
      <c r="I32" s="65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">
      <c r="B33" s="65"/>
      <c r="C33" s="65"/>
      <c r="D33" s="65" t="s">
        <v>123</v>
      </c>
      <c r="E33" s="94">
        <f>+Assegnazione!H3</f>
        <v>220000</v>
      </c>
      <c r="F33" s="95"/>
      <c r="G33" s="65"/>
      <c r="H33" s="97" t="str">
        <f ca="1">+B19</f>
        <v>Assegnazione</v>
      </c>
      <c r="I33" s="65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">
      <c r="B34" s="65"/>
      <c r="C34" s="65"/>
      <c r="D34" s="65" t="s">
        <v>311</v>
      </c>
      <c r="E34" s="98">
        <f>+I34/E27</f>
        <v>82399.999999999985</v>
      </c>
      <c r="F34" s="99"/>
      <c r="G34" s="65"/>
      <c r="H34" s="100" t="str">
        <f>"Imposta sostitutiva: "&amp;TEXT(E27,"0,00%")</f>
        <v>Imposta sostitutiva: 10,50%</v>
      </c>
      <c r="I34" s="101">
        <f>+Assegnazione!V3</f>
        <v>8652</v>
      </c>
      <c r="J34" s="65"/>
      <c r="K34" s="102" t="s">
        <v>149</v>
      </c>
      <c r="L34" s="94">
        <f>+Assegnazione!R3</f>
        <v>0</v>
      </c>
      <c r="M34" s="65"/>
      <c r="N34" s="102" t="s">
        <v>207</v>
      </c>
      <c r="O34" s="294">
        <f>+'Tassazione Soci'!O12</f>
        <v>57200</v>
      </c>
      <c r="P34" s="294"/>
      <c r="Q34" s="95"/>
      <c r="R34" s="65"/>
    </row>
    <row r="35" spans="2:19" ht="21.75" customHeight="1" x14ac:dyDescent="0.2">
      <c r="B35" s="65"/>
      <c r="C35" s="65"/>
      <c r="D35" s="65" t="s">
        <v>180</v>
      </c>
      <c r="E35" s="65"/>
      <c r="F35" s="65"/>
      <c r="G35" s="65"/>
      <c r="H35" s="65"/>
      <c r="I35" s="65"/>
      <c r="J35" s="65"/>
      <c r="K35" s="102" t="s">
        <v>221</v>
      </c>
      <c r="L35" s="94">
        <f>+'Rettifica della detrazione'!F3</f>
        <v>50000</v>
      </c>
      <c r="M35" s="82"/>
      <c r="N35" s="82"/>
      <c r="O35" s="82"/>
      <c r="P35" s="82"/>
      <c r="Q35" s="82"/>
      <c r="R35" s="65"/>
    </row>
    <row r="36" spans="2:19" ht="21.75" customHeight="1" x14ac:dyDescent="0.2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2" t="s">
        <v>143</v>
      </c>
      <c r="I36" s="94">
        <f>+'Tassazione Soci'!J9</f>
        <v>0</v>
      </c>
      <c r="J36" s="65"/>
      <c r="K36" s="102" t="s">
        <v>177</v>
      </c>
      <c r="L36" s="94">
        <f>+Assegnazione!Y3+Assegnazione!Z3</f>
        <v>600</v>
      </c>
      <c r="M36" s="82"/>
      <c r="N36" s="102" t="s">
        <v>202</v>
      </c>
      <c r="O36" s="294">
        <f>+Assegnazione!Q3-SUMPRODUCT(Assegnazione[Agevolabile],Assegnazione[IRAP])</f>
        <v>0</v>
      </c>
      <c r="P36" s="294"/>
      <c r="Q36" s="95"/>
      <c r="R36" s="65"/>
    </row>
    <row r="37" spans="2:19" ht="21.75" customHeight="1" x14ac:dyDescent="0.2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3" t="s">
        <v>393</v>
      </c>
      <c r="I37" s="104">
        <f>+(I34+I36)*0.6</f>
        <v>5191.2</v>
      </c>
      <c r="J37" s="65"/>
      <c r="K37" s="65"/>
      <c r="L37" s="103"/>
      <c r="M37" s="82"/>
      <c r="N37" s="65"/>
      <c r="O37" s="65"/>
      <c r="P37" s="65"/>
      <c r="Q37" s="65"/>
      <c r="R37" s="65"/>
    </row>
    <row r="38" spans="2:19" ht="21.75" customHeight="1" x14ac:dyDescent="0.2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3" t="s">
        <v>394</v>
      </c>
      <c r="I38" s="104">
        <f>+I37/0.6*0.4</f>
        <v>3460.8</v>
      </c>
      <c r="J38" s="65"/>
      <c r="K38" s="102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2" t="s">
        <v>208</v>
      </c>
      <c r="O38" s="294">
        <f>+SUMIF(Assegnazione[Agevolabile],0,Assegnazione[Tassazione diretta senza agevolazione])+SUMIF(Assegnazione[Agevolabile],0,Assegnazione[IRAP])</f>
        <v>0</v>
      </c>
      <c r="P38" s="294"/>
      <c r="Q38" s="95"/>
      <c r="R38" s="65"/>
    </row>
    <row r="39" spans="2:19" ht="21.75" customHeight="1" x14ac:dyDescent="0.2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3"/>
      <c r="I39" s="82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65"/>
      <c r="J40" s="65"/>
      <c r="K40" s="102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">
      <c r="B41" s="65"/>
      <c r="C41" s="65"/>
      <c r="D41" s="65" t="s">
        <v>313</v>
      </c>
      <c r="E41" s="95"/>
      <c r="F41" s="95"/>
      <c r="G41" s="65"/>
      <c r="H41" s="65"/>
      <c r="I41" s="65"/>
      <c r="J41" s="105" t="s">
        <v>342</v>
      </c>
      <c r="K41" s="105"/>
      <c r="L41" s="106">
        <f>+I34+I36+L34+L35+L36+L38+O34+O36+O38+L40</f>
        <v>116452</v>
      </c>
      <c r="M41" s="82"/>
      <c r="N41" s="65"/>
      <c r="O41" s="65"/>
      <c r="P41" s="65"/>
      <c r="Q41" s="65"/>
      <c r="R41" s="65"/>
    </row>
    <row r="42" spans="2:19" ht="21.75" customHeight="1" x14ac:dyDescent="0.2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65"/>
      <c r="J42" s="105" t="s">
        <v>343</v>
      </c>
      <c r="K42" s="105"/>
      <c r="L42" s="106">
        <f>+Assegnazione!U3</f>
        <v>34520</v>
      </c>
      <c r="M42" s="82"/>
      <c r="N42" s="65"/>
      <c r="O42" s="65"/>
      <c r="P42" s="65"/>
      <c r="Q42" s="65"/>
      <c r="R42" s="65"/>
    </row>
    <row r="43" spans="2:19" ht="21.75" customHeight="1" x14ac:dyDescent="0.2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65"/>
      <c r="J43" s="65" t="s">
        <v>344</v>
      </c>
      <c r="K43" s="65"/>
      <c r="L43" s="107">
        <f>+L42-L41</f>
        <v>-81932</v>
      </c>
      <c r="M43" s="82"/>
      <c r="N43" s="65"/>
      <c r="O43" s="65"/>
      <c r="P43" s="65"/>
      <c r="Q43" s="65"/>
      <c r="R43" s="65"/>
    </row>
    <row r="44" spans="2:19" ht="21.75" customHeight="1" x14ac:dyDescent="0.2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65"/>
      <c r="J44" s="65" t="s">
        <v>345</v>
      </c>
      <c r="K44" s="65"/>
      <c r="L44" s="107">
        <f>+Beni!G3</f>
        <v>300000</v>
      </c>
      <c r="M44" s="82"/>
      <c r="N44" s="65"/>
      <c r="O44" s="65"/>
      <c r="P44" s="65"/>
      <c r="Q44" s="65"/>
      <c r="R44" s="65"/>
    </row>
    <row r="45" spans="2:19" ht="21.75" customHeight="1" x14ac:dyDescent="0.2">
      <c r="B45" s="65"/>
      <c r="C45" s="65"/>
      <c r="D45" s="105"/>
      <c r="E45" s="108"/>
      <c r="F45" s="108"/>
      <c r="G45" s="65"/>
      <c r="H45" s="65"/>
      <c r="I45" s="65"/>
      <c r="J45" s="65"/>
      <c r="K45" s="65"/>
      <c r="L45" s="109"/>
      <c r="M45" s="82"/>
      <c r="N45" s="65"/>
      <c r="O45" s="65"/>
      <c r="P45" s="65"/>
      <c r="Q45" s="65"/>
      <c r="R45" s="65"/>
      <c r="S45" s="110" t="str">
        <f>+IF(L44=0,"","Costo operazione: "&amp;TEXT(L41/L44,"0,0%")&amp;" su valore normale assegnato pari a "&amp;TEXT(L44,"€ 0.000"))&amp;IF(L43&gt;0," Conseguendo un risparmio di €"&amp;TEXT(L43,"#.##0"),"")</f>
        <v>Costo operazione: 38,8% su valore normale assegnato pari a € 300.000</v>
      </c>
    </row>
    <row r="46" spans="2:19" ht="21.75" customHeight="1" x14ac:dyDescent="0.2">
      <c r="B46" s="65"/>
      <c r="C46" s="65"/>
      <c r="D46" s="293" t="s">
        <v>375</v>
      </c>
      <c r="E46" s="293"/>
      <c r="F46" s="293"/>
      <c r="G46" s="293"/>
      <c r="H46" s="293"/>
      <c r="I46" s="65"/>
      <c r="J46" s="65"/>
      <c r="K46" s="65"/>
      <c r="L46" s="109"/>
      <c r="M46" s="82"/>
      <c r="N46" s="65"/>
      <c r="O46" s="65"/>
      <c r="P46" s="65"/>
      <c r="Q46" s="65"/>
      <c r="R46" s="65"/>
      <c r="S46" s="111"/>
    </row>
    <row r="47" spans="2:19" ht="21.75" customHeight="1" x14ac:dyDescent="0.2">
      <c r="B47" s="65"/>
      <c r="C47" s="65"/>
      <c r="D47" s="293"/>
      <c r="E47" s="293"/>
      <c r="F47" s="293"/>
      <c r="G47" s="293"/>
      <c r="H47" s="293"/>
      <c r="I47" s="65"/>
      <c r="J47" s="65"/>
      <c r="K47" s="65"/>
      <c r="L47" s="103"/>
      <c r="M47" s="82"/>
      <c r="N47" s="65"/>
      <c r="O47" s="65"/>
      <c r="P47" s="65"/>
      <c r="Q47" s="65"/>
      <c r="R47" s="65"/>
      <c r="S47" s="111"/>
    </row>
    <row r="48" spans="2:19" ht="21.75" customHeight="1" x14ac:dyDescent="0.2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103"/>
      <c r="M48" s="82"/>
      <c r="N48" s="65"/>
      <c r="O48" s="65"/>
      <c r="P48" s="65"/>
      <c r="Q48" s="65"/>
      <c r="R48" s="65"/>
    </row>
    <row r="49" spans="2:18" ht="21.75" customHeight="1" x14ac:dyDescent="0.2"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"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"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"/>
    <row r="58" spans="2:18" ht="21.75" hidden="1" customHeight="1" x14ac:dyDescent="0.2"/>
    <row r="59" spans="2:18" ht="21.75" hidden="1" customHeight="1" x14ac:dyDescent="0.2"/>
    <row r="60" spans="2:18" ht="21.75" hidden="1" customHeight="1" x14ac:dyDescent="0.2"/>
    <row r="61" spans="2:18" ht="21.75" hidden="1" customHeight="1" x14ac:dyDescent="0.2"/>
    <row r="62" spans="2:18" ht="21.75" hidden="1" customHeight="1" x14ac:dyDescent="0.2"/>
    <row r="63" spans="2:18" ht="21.75" hidden="1" customHeight="1" x14ac:dyDescent="0.2"/>
    <row r="64" spans="2:18" ht="21.75" hidden="1" customHeight="1" x14ac:dyDescent="0.2">
      <c r="H64" s="112">
        <f>+Assegnazione!V3/DATI!E27-DATI!I64</f>
        <v>82399.999999999985</v>
      </c>
      <c r="I64" s="113">
        <f>+SUMIF(Assegnazione[Tipologia],"Altri Beni",Assegnazione[Imposta sostitutiva])/E27</f>
        <v>0</v>
      </c>
      <c r="K64" s="114" t="str">
        <f>+IF(E27&gt;8%,"X","")</f>
        <v>X</v>
      </c>
      <c r="N64" s="115">
        <f>+I34</f>
        <v>8652</v>
      </c>
      <c r="O64" s="116">
        <f>+N64*0.6</f>
        <v>5191.2</v>
      </c>
    </row>
    <row r="65" spans="4:15" ht="21.75" hidden="1" customHeight="1" x14ac:dyDescent="0.2">
      <c r="H65" s="117">
        <f>+'Tassazione Soci'!J7</f>
        <v>0</v>
      </c>
      <c r="N65" s="115">
        <f>+H65*13%</f>
        <v>0</v>
      </c>
      <c r="O65" s="116">
        <f>+N65*0.6</f>
        <v>0</v>
      </c>
    </row>
    <row r="66" spans="4:15" ht="21.75" hidden="1" customHeight="1" x14ac:dyDescent="0.2"/>
    <row r="67" spans="4:15" ht="21.75" hidden="1" customHeight="1" x14ac:dyDescent="0.2"/>
    <row r="68" spans="4:15" ht="33.75" hidden="1" customHeight="1" x14ac:dyDescent="0.2">
      <c r="H68" s="115" t="s">
        <v>357</v>
      </c>
      <c r="I68" s="118" t="s">
        <v>370</v>
      </c>
      <c r="J68" s="115" t="s">
        <v>358</v>
      </c>
      <c r="L68" s="115" t="s">
        <v>359</v>
      </c>
    </row>
    <row r="69" spans="4:15" ht="21.75" hidden="1" customHeight="1" x14ac:dyDescent="0.2">
      <c r="H69" s="115">
        <f>+SUMIF(B[Tipologia],"&lt;&gt;Altri Beni",B[Valore normale])</f>
        <v>300000</v>
      </c>
      <c r="I69" s="115">
        <f>+SUMIF(B[Tipologia],"&lt;&gt;Altri Beni",B[Valore netto contabile fiscalmente riconosciuto])</f>
        <v>220000</v>
      </c>
      <c r="J69" s="115">
        <f>+H69-I69</f>
        <v>80000</v>
      </c>
      <c r="L69" s="115">
        <f>+H69-H73</f>
        <v>300000</v>
      </c>
    </row>
    <row r="70" spans="4:15" ht="21.75" hidden="1" customHeight="1" x14ac:dyDescent="0.2"/>
    <row r="71" spans="4:15" ht="21.75" hidden="1" customHeight="1" x14ac:dyDescent="0.2"/>
    <row r="72" spans="4:15" ht="30" hidden="1" customHeight="1" x14ac:dyDescent="0.2">
      <c r="H72" s="115" t="s">
        <v>360</v>
      </c>
      <c r="I72" s="118" t="s">
        <v>369</v>
      </c>
      <c r="J72" s="115" t="s">
        <v>358</v>
      </c>
      <c r="L72" s="115" t="s">
        <v>361</v>
      </c>
      <c r="M72" s="119"/>
      <c r="N72" s="115" t="s">
        <v>362</v>
      </c>
    </row>
    <row r="73" spans="4:15" ht="21.75" hidden="1" customHeight="1" x14ac:dyDescent="0.2">
      <c r="H73" s="115">
        <f>+SUMIF(B[Tipologia],"Altri Beni",B[Valore normale])</f>
        <v>0</v>
      </c>
      <c r="I73" s="115">
        <f>+SUMIF(B[Tipologia],"Altri Beni",B[Valore netto contabile fiscalmente riconosciuto])</f>
        <v>0</v>
      </c>
      <c r="J73" s="115">
        <f>+H73-I73</f>
        <v>0</v>
      </c>
      <c r="L73" s="115"/>
      <c r="N73" s="115">
        <f>I34</f>
        <v>8652</v>
      </c>
    </row>
    <row r="74" spans="4:15" ht="21.75" hidden="1" customHeight="1" x14ac:dyDescent="0.2"/>
    <row r="75" spans="4:15" ht="32.25" hidden="1" customHeight="1" x14ac:dyDescent="0.2">
      <c r="H75" s="118" t="s">
        <v>363</v>
      </c>
      <c r="L75" s="118" t="s">
        <v>364</v>
      </c>
      <c r="M75" s="119"/>
      <c r="N75" s="118" t="s">
        <v>365</v>
      </c>
    </row>
    <row r="76" spans="4:15" ht="21.75" hidden="1" customHeight="1" x14ac:dyDescent="0.2">
      <c r="H76" s="115">
        <f>+'Tassazione Soci'!D8</f>
        <v>0</v>
      </c>
      <c r="L76" s="115"/>
      <c r="N76" s="115">
        <f>'Tassazione Soci'!J9</f>
        <v>0</v>
      </c>
    </row>
    <row r="77" spans="4:15" ht="21.75" customHeight="1" x14ac:dyDescent="0.25">
      <c r="D77" s="120" t="s">
        <v>390</v>
      </c>
    </row>
    <row r="89" spans="4:4" ht="21.75" customHeight="1" x14ac:dyDescent="0.25">
      <c r="D89" s="120" t="s">
        <v>391</v>
      </c>
    </row>
    <row r="103" spans="4:4" ht="21.75" customHeight="1" x14ac:dyDescent="0.25">
      <c r="D103" s="120" t="s">
        <v>392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28575</xdr:rowOff>
                  </from>
                  <to>
                    <xdr:col>3</xdr:col>
                    <xdr:colOff>2819400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28575</xdr:rowOff>
                  </from>
                  <to>
                    <xdr:col>4</xdr:col>
                    <xdr:colOff>657225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28575</xdr:rowOff>
                  </from>
                  <to>
                    <xdr:col>4</xdr:col>
                    <xdr:colOff>1266825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9525</xdr:rowOff>
                  </from>
                  <to>
                    <xdr:col>9</xdr:col>
                    <xdr:colOff>228600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1133475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U1" sqref="U1"/>
    </sheetView>
  </sheetViews>
  <sheetFormatPr defaultColWidth="9.140625" defaultRowHeight="14.25" x14ac:dyDescent="0.2"/>
  <cols>
    <col min="1" max="1" width="31.28515625" style="56" customWidth="1"/>
    <col min="2" max="2" width="30.28515625" style="56" bestFit="1" customWidth="1"/>
    <col min="3" max="3" width="2" style="56" customWidth="1"/>
    <col min="4" max="4" width="30.5703125" style="56" customWidth="1"/>
    <col min="5" max="5" width="2.140625" style="56" customWidth="1"/>
    <col min="6" max="6" width="20.42578125" style="56" customWidth="1"/>
    <col min="7" max="7" width="17.42578125" style="56" customWidth="1"/>
    <col min="8" max="8" width="9.140625" style="56"/>
    <col min="9" max="9" width="30.7109375" style="56" bestFit="1" customWidth="1"/>
    <col min="10" max="16384" width="9.140625" style="56"/>
  </cols>
  <sheetData>
    <row r="1" spans="1:18" ht="134.25" customHeight="1" x14ac:dyDescent="0.2"/>
    <row r="2" spans="1:18" ht="54.95" customHeight="1" x14ac:dyDescent="0.2"/>
    <row r="3" spans="1:18" ht="54.95" customHeight="1" x14ac:dyDescent="0.2"/>
    <row r="4" spans="1:18" ht="19.5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</row>
    <row r="5" spans="1:18" ht="20.25" thickBot="1" x14ac:dyDescent="0.3">
      <c r="A5" s="121" t="s">
        <v>98</v>
      </c>
      <c r="B5" s="121" t="s">
        <v>236</v>
      </c>
      <c r="C5" s="121"/>
      <c r="D5" s="121" t="s">
        <v>237</v>
      </c>
      <c r="E5" s="121"/>
      <c r="F5" s="121" t="s">
        <v>242</v>
      </c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</row>
    <row r="6" spans="1:18" ht="15.75" thickTop="1" thickBot="1" x14ac:dyDescent="0.25">
      <c r="A6" s="56" t="s">
        <v>104</v>
      </c>
      <c r="B6" s="122">
        <v>800000</v>
      </c>
      <c r="D6" s="123">
        <f>+'Tassazione Soci'!E9</f>
        <v>0</v>
      </c>
      <c r="F6" s="123">
        <f>+B6-D6</f>
        <v>800000</v>
      </c>
    </row>
    <row r="7" spans="1:18" ht="15.75" thickTop="1" thickBot="1" x14ac:dyDescent="0.25">
      <c r="A7" s="56" t="s">
        <v>105</v>
      </c>
      <c r="B7" s="122">
        <v>600000</v>
      </c>
      <c r="D7" s="123">
        <f>+'Tassazione Soci'!B9</f>
        <v>220000</v>
      </c>
      <c r="F7" s="123">
        <f>+B7-D7</f>
        <v>380000</v>
      </c>
    </row>
    <row r="8" spans="1:18" ht="15.75" thickTop="1" thickBot="1" x14ac:dyDescent="0.25">
      <c r="A8" s="56" t="s">
        <v>106</v>
      </c>
      <c r="B8" s="122">
        <v>500000</v>
      </c>
      <c r="D8" s="123">
        <f>+'Tassazione Soci'!C9</f>
        <v>0</v>
      </c>
      <c r="F8" s="123">
        <f>+B8-D8</f>
        <v>500000</v>
      </c>
    </row>
    <row r="9" spans="1:18" ht="15.75" thickTop="1" thickBot="1" x14ac:dyDescent="0.25">
      <c r="A9" s="56" t="s">
        <v>122</v>
      </c>
      <c r="B9" s="122">
        <v>100000</v>
      </c>
      <c r="D9" s="123">
        <f>+'Tassazione Soci'!D9</f>
        <v>0</v>
      </c>
      <c r="F9" s="123">
        <f>+B9-D9</f>
        <v>100000</v>
      </c>
    </row>
    <row r="10" spans="1:18" ht="15" thickTop="1" x14ac:dyDescent="0.2">
      <c r="A10" s="124" t="s">
        <v>124</v>
      </c>
      <c r="B10" s="125">
        <f>SUM(B6:B9)</f>
        <v>2000000</v>
      </c>
      <c r="C10" s="124"/>
      <c r="D10" s="125">
        <f>SUM(D6:D9)</f>
        <v>220000</v>
      </c>
      <c r="E10" s="124"/>
      <c r="F10" s="125">
        <f>SUM(F6:F9)</f>
        <v>1780000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</row>
    <row r="11" spans="1:18" ht="19.5" x14ac:dyDescent="0.25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</row>
    <row r="12" spans="1:18" ht="19.5" x14ac:dyDescent="0.2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</row>
    <row r="13" spans="1:18" ht="19.5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</row>
    <row r="14" spans="1:18" ht="19.5" x14ac:dyDescent="0.2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</row>
    <row r="15" spans="1:18" ht="19.5" x14ac:dyDescent="0.2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</row>
    <row r="16" spans="1:18" ht="19.5" x14ac:dyDescent="0.25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</row>
    <row r="17" spans="1:18" ht="19.5" x14ac:dyDescent="0.2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</row>
    <row r="18" spans="1:18" ht="19.5" x14ac:dyDescent="0.2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</row>
  </sheetData>
  <sheetProtection algorithmName="SHA-512" hashValue="Aq6hwcZDvum3VFDzjXTwzUqowmVijLSHkJ1X1UDiYp7fNBUuBQ+ddu2g2LIMKVkQJHScGLUucTZLSUgVHwhyMQ==" saltValue="zNLbpwpxuds8UPA8859GLg==" spinCount="100000" sheet="1"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D12" sqref="D12"/>
    </sheetView>
  </sheetViews>
  <sheetFormatPr defaultColWidth="9.140625" defaultRowHeight="14.25" x14ac:dyDescent="0.2"/>
  <cols>
    <col min="1" max="1" width="4" style="56" hidden="1" customWidth="1"/>
    <col min="2" max="2" width="34.28515625" style="56" customWidth="1"/>
    <col min="3" max="3" width="22.28515625" style="56" customWidth="1"/>
    <col min="4" max="4" width="13.7109375" style="56" customWidth="1"/>
    <col min="5" max="5" width="32.85546875" style="56" customWidth="1"/>
    <col min="6" max="6" width="20.5703125" style="56" customWidth="1"/>
    <col min="7" max="7" width="35.140625" style="56" customWidth="1"/>
    <col min="8" max="8" width="35.42578125" style="56" customWidth="1"/>
    <col min="9" max="9" width="27.5703125" style="56" customWidth="1"/>
    <col min="10" max="13" width="9.140625" style="56"/>
    <col min="14" max="14" width="14.85546875" style="56" bestFit="1" customWidth="1"/>
    <col min="15" max="16384" width="9.140625" style="56"/>
  </cols>
  <sheetData>
    <row r="1" spans="1:14" ht="155.44999999999999" customHeight="1" x14ac:dyDescent="0.2">
      <c r="A1" s="139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4.95" customHeight="1" x14ac:dyDescent="0.2">
      <c r="A2" s="139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">
      <c r="A3" s="139"/>
      <c r="B3" s="277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">
      <c r="A4" s="56"/>
      <c r="B4" s="273" t="s">
        <v>216</v>
      </c>
      <c r="C4" s="274">
        <v>45930</v>
      </c>
      <c r="D4" s="273"/>
      <c r="E4" s="290">
        <f>+SUM(A_1[Quota partecipazione al momento dell''operazione])</f>
        <v>1</v>
      </c>
      <c r="F4" s="291">
        <f>+SUM(A_1[Costo della Partecipaz.])</f>
        <v>200000</v>
      </c>
      <c r="G4" s="273" t="str">
        <f>+IF(p=3,IF(COUNTIF(A_1[Agevolabile],0)=0,"","Risultano nuovi soci rispetto alla compagine al 30/09/2015: trasformazione non possibile"),"")</f>
        <v/>
      </c>
      <c r="H4" s="273"/>
      <c r="I4" s="273"/>
      <c r="J4" s="273"/>
      <c r="K4" s="273"/>
    </row>
    <row r="5" spans="1:14" s="141" customFormat="1" ht="37.5" customHeight="1" x14ac:dyDescent="0.2">
      <c r="A5" s="140"/>
      <c r="B5" s="216" t="s">
        <v>1</v>
      </c>
      <c r="C5" s="216" t="s">
        <v>2</v>
      </c>
      <c r="D5" s="216" t="s">
        <v>103</v>
      </c>
      <c r="E5" s="217" t="s">
        <v>215</v>
      </c>
      <c r="F5" s="218" t="s">
        <v>102</v>
      </c>
      <c r="G5" s="219" t="s">
        <v>283</v>
      </c>
      <c r="H5" s="220" t="s">
        <v>388</v>
      </c>
      <c r="I5" s="138" t="s">
        <v>3</v>
      </c>
    </row>
    <row r="6" spans="1:14" x14ac:dyDescent="0.2">
      <c r="A6" s="142">
        <v>100</v>
      </c>
      <c r="B6" s="126" t="s">
        <v>384</v>
      </c>
      <c r="C6" s="127">
        <v>45292</v>
      </c>
      <c r="D6" s="126" t="s">
        <v>101</v>
      </c>
      <c r="E6" s="128">
        <v>0.5</v>
      </c>
      <c r="F6" s="129">
        <v>100000</v>
      </c>
      <c r="G6" s="130">
        <v>0.26</v>
      </c>
      <c r="H6" s="131">
        <v>1</v>
      </c>
      <c r="I6" s="132">
        <f>+IF(A_1[[#This Row],[Nome]]="","",(A_1[[#This Row],[Data iscrizione libro soci]]&lt;=$C$4)*1)</f>
        <v>1</v>
      </c>
      <c r="N6" s="280"/>
    </row>
    <row r="7" spans="1:14" x14ac:dyDescent="0.2">
      <c r="A7" s="143">
        <v>100</v>
      </c>
      <c r="B7" s="126" t="s">
        <v>385</v>
      </c>
      <c r="C7" s="127">
        <v>45930</v>
      </c>
      <c r="D7" s="126" t="s">
        <v>101</v>
      </c>
      <c r="E7" s="128">
        <v>0.5</v>
      </c>
      <c r="F7" s="129">
        <v>100000</v>
      </c>
      <c r="G7" s="130">
        <v>0.26</v>
      </c>
      <c r="H7" s="131">
        <v>1</v>
      </c>
      <c r="I7" s="132">
        <f>+IF(A_1[[#This Row],[Nome]]="","",(A_1[[#This Row],[Data iscrizione libro soci]]&lt;=$C$4)*1)</f>
        <v>1</v>
      </c>
    </row>
    <row r="8" spans="1:14" x14ac:dyDescent="0.2">
      <c r="A8" s="143">
        <v>100</v>
      </c>
      <c r="B8" s="126"/>
      <c r="C8" s="127"/>
      <c r="D8" s="126"/>
      <c r="E8" s="128"/>
      <c r="F8" s="133"/>
      <c r="G8" s="130"/>
      <c r="H8" s="131"/>
      <c r="I8" s="132" t="str">
        <f>+IF(A_1[[#This Row],[Nome]]="","",(A_1[[#This Row],[Data iscrizione libro soci]]&lt;=$C$4)*1)</f>
        <v/>
      </c>
    </row>
    <row r="9" spans="1:14" x14ac:dyDescent="0.2">
      <c r="A9" s="143">
        <v>100</v>
      </c>
      <c r="B9" s="126"/>
      <c r="C9" s="127"/>
      <c r="D9" s="126"/>
      <c r="E9" s="128"/>
      <c r="F9" s="134"/>
      <c r="G9" s="130"/>
      <c r="H9" s="131"/>
      <c r="I9" s="132" t="str">
        <f>+IF(A_1[[#This Row],[Nome]]="","",(A_1[[#This Row],[Data iscrizione libro soci]]&lt;=$C$4)*1)</f>
        <v/>
      </c>
    </row>
    <row r="10" spans="1:14" x14ac:dyDescent="0.2">
      <c r="A10" s="143">
        <v>100</v>
      </c>
      <c r="B10" s="126"/>
      <c r="C10" s="127"/>
      <c r="D10" s="126"/>
      <c r="E10" s="128"/>
      <c r="F10" s="134"/>
      <c r="G10" s="130"/>
      <c r="H10" s="131"/>
      <c r="I10" s="132" t="str">
        <f>+IF(A_1[[#This Row],[Nome]]="","",(A_1[[#This Row],[Data iscrizione libro soci]]&lt;=$C$4)*1)</f>
        <v/>
      </c>
    </row>
    <row r="11" spans="1:14" x14ac:dyDescent="0.2">
      <c r="A11" s="143">
        <v>100</v>
      </c>
      <c r="B11" s="126"/>
      <c r="C11" s="127"/>
      <c r="D11" s="126"/>
      <c r="E11" s="128"/>
      <c r="F11" s="134"/>
      <c r="G11" s="135"/>
      <c r="H11" s="131"/>
      <c r="I11" s="132" t="str">
        <f>+IF(A_1[[#This Row],[Nome]]="","",(A_1[[#This Row],[Data iscrizione libro soci]]&lt;=$C$4)*1)</f>
        <v/>
      </c>
    </row>
    <row r="12" spans="1:14" x14ac:dyDescent="0.2">
      <c r="A12" s="143">
        <v>100</v>
      </c>
      <c r="B12" s="126"/>
      <c r="C12" s="127"/>
      <c r="D12" s="126"/>
      <c r="E12" s="128"/>
      <c r="F12" s="134"/>
      <c r="G12" s="135"/>
      <c r="H12" s="131"/>
      <c r="I12" s="132" t="str">
        <f>+IF(A_1[[#This Row],[Nome]]="","",(A_1[[#This Row],[Data iscrizione libro soci]]&lt;=$C$4)*1)</f>
        <v/>
      </c>
    </row>
    <row r="13" spans="1:14" x14ac:dyDescent="0.2">
      <c r="A13" s="143">
        <v>100</v>
      </c>
      <c r="B13" s="126"/>
      <c r="C13" s="127"/>
      <c r="D13" s="126"/>
      <c r="E13" s="128"/>
      <c r="F13" s="134"/>
      <c r="G13" s="135"/>
      <c r="H13" s="131"/>
      <c r="I13" s="132" t="str">
        <f>+IF(A_1[[#This Row],[Nome]]="","",(A_1[[#This Row],[Data iscrizione libro soci]]&lt;=$C$4)*1)</f>
        <v/>
      </c>
    </row>
    <row r="14" spans="1:14" x14ac:dyDescent="0.2">
      <c r="A14" s="143">
        <v>100</v>
      </c>
      <c r="B14" s="126"/>
      <c r="C14" s="127"/>
      <c r="D14" s="126"/>
      <c r="E14" s="128"/>
      <c r="F14" s="134"/>
      <c r="G14" s="135"/>
      <c r="H14" s="131"/>
      <c r="I14" s="132" t="str">
        <f>+IF(A_1[[#This Row],[Nome]]="","",(A_1[[#This Row],[Data iscrizione libro soci]]&lt;=$C$4)*1)</f>
        <v/>
      </c>
    </row>
    <row r="15" spans="1:14" x14ac:dyDescent="0.2">
      <c r="A15" s="143">
        <v>100</v>
      </c>
      <c r="B15" s="126"/>
      <c r="C15" s="127"/>
      <c r="D15" s="126"/>
      <c r="E15" s="128"/>
      <c r="F15" s="134"/>
      <c r="G15" s="135"/>
      <c r="H15" s="131"/>
      <c r="I15" s="132" t="str">
        <f>+IF(A_1[[#This Row],[Nome]]="","",(A_1[[#This Row],[Data iscrizione libro soci]]&lt;=$C$4)*1)</f>
        <v/>
      </c>
    </row>
    <row r="16" spans="1:14" x14ac:dyDescent="0.2">
      <c r="A16" s="143">
        <v>100</v>
      </c>
      <c r="B16" s="126"/>
      <c r="C16" s="127"/>
      <c r="D16" s="126"/>
      <c r="E16" s="128"/>
      <c r="F16" s="134"/>
      <c r="G16" s="135"/>
      <c r="H16" s="131"/>
      <c r="I16" s="132" t="str">
        <f>+IF(A_1[[#This Row],[Nome]]="","",(A_1[[#This Row],[Data iscrizione libro soci]]&lt;=$C$4)*1)</f>
        <v/>
      </c>
    </row>
    <row r="17" spans="1:9" x14ac:dyDescent="0.2">
      <c r="A17" s="143">
        <v>100</v>
      </c>
      <c r="B17" s="126"/>
      <c r="C17" s="127"/>
      <c r="D17" s="126"/>
      <c r="E17" s="128"/>
      <c r="F17" s="134"/>
      <c r="G17" s="135"/>
      <c r="H17" s="131"/>
      <c r="I17" s="132" t="str">
        <f>+IF(A_1[[#This Row],[Nome]]="","",(A_1[[#This Row],[Data iscrizione libro soci]]&lt;=$C$4)*1)</f>
        <v/>
      </c>
    </row>
    <row r="18" spans="1:9" x14ac:dyDescent="0.2">
      <c r="A18" s="143">
        <v>100</v>
      </c>
      <c r="B18" s="126"/>
      <c r="C18" s="127"/>
      <c r="D18" s="126"/>
      <c r="E18" s="128"/>
      <c r="F18" s="134"/>
      <c r="G18" s="135"/>
      <c r="H18" s="131"/>
      <c r="I18" s="132" t="str">
        <f>+IF(A_1[[#This Row],[Nome]]="","",(A_1[[#This Row],[Data iscrizione libro soci]]&lt;=$C$4)*1)</f>
        <v/>
      </c>
    </row>
    <row r="19" spans="1:9" x14ac:dyDescent="0.2">
      <c r="A19" s="143">
        <v>100</v>
      </c>
      <c r="B19" s="126"/>
      <c r="C19" s="127"/>
      <c r="D19" s="126"/>
      <c r="E19" s="128"/>
      <c r="F19" s="134"/>
      <c r="G19" s="135"/>
      <c r="H19" s="131"/>
      <c r="I19" s="132" t="str">
        <f>+IF(A_1[[#This Row],[Nome]]="","",(A_1[[#This Row],[Data iscrizione libro soci]]&lt;=$C$4)*1)</f>
        <v/>
      </c>
    </row>
    <row r="20" spans="1:9" x14ac:dyDescent="0.2">
      <c r="A20" s="143">
        <v>100</v>
      </c>
      <c r="B20" s="126"/>
      <c r="C20" s="127"/>
      <c r="D20" s="126"/>
      <c r="E20" s="128"/>
      <c r="F20" s="134"/>
      <c r="G20" s="135"/>
      <c r="H20" s="131"/>
      <c r="I20" s="132" t="str">
        <f>+IF(A_1[[#This Row],[Nome]]="","",(A_1[[#This Row],[Data iscrizione libro soci]]&lt;=$C$4)*1)</f>
        <v/>
      </c>
    </row>
    <row r="21" spans="1:9" x14ac:dyDescent="0.2">
      <c r="A21" s="143">
        <v>100</v>
      </c>
      <c r="B21" s="126"/>
      <c r="C21" s="127"/>
      <c r="D21" s="126"/>
      <c r="E21" s="128"/>
      <c r="F21" s="134"/>
      <c r="G21" s="135"/>
      <c r="H21" s="131"/>
      <c r="I21" s="132" t="str">
        <f>+IF(A_1[[#This Row],[Nome]]="","",(A_1[[#This Row],[Data iscrizione libro soci]]&lt;=$C$4)*1)</f>
        <v/>
      </c>
    </row>
    <row r="22" spans="1:9" x14ac:dyDescent="0.2">
      <c r="A22" s="143">
        <v>100</v>
      </c>
      <c r="B22" s="126"/>
      <c r="C22" s="127"/>
      <c r="D22" s="126"/>
      <c r="E22" s="128"/>
      <c r="F22" s="134"/>
      <c r="G22" s="135"/>
      <c r="H22" s="131"/>
      <c r="I22" s="132" t="str">
        <f>+IF(A_1[[#This Row],[Nome]]="","",(A_1[[#This Row],[Data iscrizione libro soci]]&lt;=$C$4)*1)</f>
        <v/>
      </c>
    </row>
    <row r="23" spans="1:9" x14ac:dyDescent="0.2">
      <c r="A23" s="143">
        <v>100</v>
      </c>
      <c r="B23" s="126"/>
      <c r="C23" s="127"/>
      <c r="D23" s="126"/>
      <c r="E23" s="128"/>
      <c r="F23" s="134"/>
      <c r="G23" s="135"/>
      <c r="H23" s="131"/>
      <c r="I23" s="132" t="str">
        <f>+IF(A_1[[#This Row],[Nome]]="","",(A_1[[#This Row],[Data iscrizione libro soci]]&lt;=$C$4)*1)</f>
        <v/>
      </c>
    </row>
    <row r="24" spans="1:9" x14ac:dyDescent="0.2">
      <c r="A24" s="143">
        <v>100</v>
      </c>
      <c r="B24" s="126"/>
      <c r="C24" s="127"/>
      <c r="D24" s="126"/>
      <c r="E24" s="128"/>
      <c r="F24" s="134"/>
      <c r="G24" s="135"/>
      <c r="H24" s="131"/>
      <c r="I24" s="132" t="str">
        <f>+IF(A_1[[#This Row],[Nome]]="","",(A_1[[#This Row],[Data iscrizione libro soci]]&lt;=$C$4)*1)</f>
        <v/>
      </c>
    </row>
    <row r="25" spans="1:9" x14ac:dyDescent="0.2">
      <c r="A25" s="143">
        <v>100</v>
      </c>
      <c r="B25" s="126"/>
      <c r="C25" s="127"/>
      <c r="D25" s="126"/>
      <c r="E25" s="128"/>
      <c r="F25" s="134"/>
      <c r="G25" s="135"/>
      <c r="H25" s="131"/>
      <c r="I25" s="132" t="str">
        <f>+IF(A_1[[#This Row],[Nome]]="","",(A_1[[#This Row],[Data iscrizione libro soci]]&lt;=$C$4)*1)</f>
        <v/>
      </c>
    </row>
    <row r="26" spans="1:9" x14ac:dyDescent="0.2">
      <c r="A26" s="143">
        <v>100</v>
      </c>
      <c r="B26" s="126"/>
      <c r="C26" s="127"/>
      <c r="D26" s="58"/>
      <c r="E26" s="128"/>
      <c r="F26" s="134"/>
      <c r="G26" s="135"/>
      <c r="H26" s="131"/>
      <c r="I26" s="132" t="str">
        <f>+IF(A_1[[#This Row],[Nome]]="","",(A_1[[#This Row],[Data iscrizione libro soci]]&lt;=$C$4)*1)</f>
        <v/>
      </c>
    </row>
    <row r="27" spans="1:9" x14ac:dyDescent="0.2">
      <c r="A27" s="143">
        <v>100</v>
      </c>
      <c r="B27" s="126"/>
      <c r="C27" s="127"/>
      <c r="D27" s="58"/>
      <c r="E27" s="128"/>
      <c r="F27" s="134"/>
      <c r="G27" s="135"/>
      <c r="H27" s="131"/>
      <c r="I27" s="132" t="str">
        <f>+IF(A_1[[#This Row],[Nome]]="","",(A_1[[#This Row],[Data iscrizione libro soci]]&lt;=$C$4)*1)</f>
        <v/>
      </c>
    </row>
    <row r="28" spans="1:9" x14ac:dyDescent="0.2">
      <c r="A28" s="143">
        <v>100</v>
      </c>
      <c r="B28" s="126"/>
      <c r="C28" s="127"/>
      <c r="D28" s="58"/>
      <c r="E28" s="128"/>
      <c r="F28" s="134"/>
      <c r="G28" s="135"/>
      <c r="H28" s="131"/>
      <c r="I28" s="132" t="str">
        <f>+IF(A_1[[#This Row],[Nome]]="","",(A_1[[#This Row],[Data iscrizione libro soci]]&lt;=$C$4)*1)</f>
        <v/>
      </c>
    </row>
    <row r="29" spans="1:9" x14ac:dyDescent="0.2">
      <c r="A29" s="143">
        <v>100</v>
      </c>
      <c r="B29" s="126"/>
      <c r="C29" s="127"/>
      <c r="D29" s="58"/>
      <c r="E29" s="128"/>
      <c r="F29" s="134"/>
      <c r="G29" s="135"/>
      <c r="H29" s="131"/>
      <c r="I29" s="132" t="str">
        <f>+IF(A_1[[#This Row],[Nome]]="","",(A_1[[#This Row],[Data iscrizione libro soci]]&lt;=$C$4)*1)</f>
        <v/>
      </c>
    </row>
    <row r="30" spans="1:9" x14ac:dyDescent="0.2">
      <c r="A30" s="143">
        <v>100</v>
      </c>
      <c r="B30" s="126"/>
      <c r="C30" s="127"/>
      <c r="D30" s="58"/>
      <c r="E30" s="128"/>
      <c r="F30" s="134"/>
      <c r="G30" s="135"/>
      <c r="H30" s="131"/>
      <c r="I30" s="132" t="str">
        <f>+IF(A_1[[#This Row],[Nome]]="","",(A_1[[#This Row],[Data iscrizione libro soci]]&lt;=$C$4)*1)</f>
        <v/>
      </c>
    </row>
    <row r="31" spans="1:9" x14ac:dyDescent="0.2">
      <c r="A31" s="143">
        <v>100</v>
      </c>
      <c r="B31" s="126"/>
      <c r="C31" s="127"/>
      <c r="D31" s="58"/>
      <c r="E31" s="128"/>
      <c r="F31" s="134"/>
      <c r="G31" s="135"/>
      <c r="H31" s="131"/>
      <c r="I31" s="132" t="str">
        <f>+IF(A_1[[#This Row],[Nome]]="","",(A_1[[#This Row],[Data iscrizione libro soci]]&lt;=$C$4)*1)</f>
        <v/>
      </c>
    </row>
    <row r="32" spans="1:9" x14ac:dyDescent="0.2">
      <c r="A32" s="143">
        <v>100</v>
      </c>
      <c r="B32" s="126"/>
      <c r="C32" s="127"/>
      <c r="D32" s="58"/>
      <c r="E32" s="128"/>
      <c r="F32" s="134"/>
      <c r="G32" s="135"/>
      <c r="H32" s="131"/>
      <c r="I32" s="132" t="str">
        <f>+IF(A_1[[#This Row],[Nome]]="","",(A_1[[#This Row],[Data iscrizione libro soci]]&lt;=$C$4)*1)</f>
        <v/>
      </c>
    </row>
    <row r="33" spans="1:9" x14ac:dyDescent="0.2">
      <c r="A33" s="143">
        <v>100</v>
      </c>
      <c r="B33" s="126"/>
      <c r="C33" s="127"/>
      <c r="D33" s="58"/>
      <c r="E33" s="128"/>
      <c r="F33" s="134"/>
      <c r="G33" s="135"/>
      <c r="H33" s="131"/>
      <c r="I33" s="132" t="str">
        <f>+IF(A_1[[#This Row],[Nome]]="","",(A_1[[#This Row],[Data iscrizione libro soci]]&lt;=$C$4)*1)</f>
        <v/>
      </c>
    </row>
    <row r="34" spans="1:9" x14ac:dyDescent="0.2">
      <c r="A34" s="143">
        <v>100</v>
      </c>
      <c r="B34" s="126"/>
      <c r="C34" s="127"/>
      <c r="D34" s="58"/>
      <c r="E34" s="128"/>
      <c r="F34" s="134"/>
      <c r="G34" s="135"/>
      <c r="H34" s="131"/>
      <c r="I34" s="132" t="str">
        <f>+IF(A_1[[#This Row],[Nome]]="","",(A_1[[#This Row],[Data iscrizione libro soci]]&lt;=$C$4)*1)</f>
        <v/>
      </c>
    </row>
    <row r="35" spans="1:9" x14ac:dyDescent="0.2">
      <c r="A35" s="143">
        <v>100</v>
      </c>
      <c r="B35" s="126"/>
      <c r="C35" s="127"/>
      <c r="D35" s="58"/>
      <c r="E35" s="128"/>
      <c r="F35" s="134"/>
      <c r="G35" s="135"/>
      <c r="H35" s="131"/>
      <c r="I35" s="132" t="str">
        <f>+IF(A_1[[#This Row],[Nome]]="","",(A_1[[#This Row],[Data iscrizione libro soci]]&lt;=$C$4)*1)</f>
        <v/>
      </c>
    </row>
    <row r="36" spans="1:9" x14ac:dyDescent="0.2">
      <c r="A36" s="143">
        <v>100</v>
      </c>
      <c r="B36" s="126"/>
      <c r="C36" s="127"/>
      <c r="D36" s="58"/>
      <c r="E36" s="128"/>
      <c r="F36" s="134"/>
      <c r="G36" s="135"/>
      <c r="H36" s="131"/>
      <c r="I36" s="132" t="str">
        <f>+IF(A_1[[#This Row],[Nome]]="","",(A_1[[#This Row],[Data iscrizione libro soci]]&lt;=$C$4)*1)</f>
        <v/>
      </c>
    </row>
    <row r="37" spans="1:9" x14ac:dyDescent="0.2">
      <c r="A37" s="143">
        <v>100</v>
      </c>
      <c r="B37" s="126"/>
      <c r="C37" s="127"/>
      <c r="D37" s="58"/>
      <c r="E37" s="128"/>
      <c r="F37" s="134"/>
      <c r="G37" s="135"/>
      <c r="H37" s="131"/>
      <c r="I37" s="132" t="str">
        <f>+IF(A_1[[#This Row],[Nome]]="","",(A_1[[#This Row],[Data iscrizione libro soci]]&lt;=$C$4)*1)</f>
        <v/>
      </c>
    </row>
    <row r="38" spans="1:9" x14ac:dyDescent="0.2">
      <c r="A38" s="143">
        <v>100</v>
      </c>
      <c r="B38" s="126"/>
      <c r="C38" s="127"/>
      <c r="D38" s="58"/>
      <c r="E38" s="128"/>
      <c r="F38" s="134"/>
      <c r="G38" s="135"/>
      <c r="H38" s="131"/>
      <c r="I38" s="132" t="str">
        <f>+IF(A_1[[#This Row],[Nome]]="","",(A_1[[#This Row],[Data iscrizione libro soci]]&lt;=$C$4)*1)</f>
        <v/>
      </c>
    </row>
    <row r="39" spans="1:9" x14ac:dyDescent="0.2">
      <c r="A39" s="143">
        <v>100</v>
      </c>
      <c r="B39" s="126"/>
      <c r="C39" s="127"/>
      <c r="D39" s="58"/>
      <c r="E39" s="128"/>
      <c r="F39" s="134"/>
      <c r="G39" s="135"/>
      <c r="H39" s="131"/>
      <c r="I39" s="132" t="str">
        <f>+IF(A_1[[#This Row],[Nome]]="","",(A_1[[#This Row],[Data iscrizione libro soci]]&lt;=$C$4)*1)</f>
        <v/>
      </c>
    </row>
    <row r="40" spans="1:9" x14ac:dyDescent="0.2">
      <c r="A40" s="143">
        <v>100</v>
      </c>
      <c r="B40" s="126"/>
      <c r="C40" s="127"/>
      <c r="D40" s="58"/>
      <c r="E40" s="128"/>
      <c r="F40" s="134"/>
      <c r="G40" s="135"/>
      <c r="H40" s="131"/>
      <c r="I40" s="132" t="str">
        <f>+IF(A_1[[#This Row],[Nome]]="","",(A_1[[#This Row],[Data iscrizione libro soci]]&lt;=$C$4)*1)</f>
        <v/>
      </c>
    </row>
    <row r="41" spans="1:9" x14ac:dyDescent="0.2">
      <c r="A41" s="143">
        <v>100</v>
      </c>
      <c r="B41" s="126"/>
      <c r="C41" s="127"/>
      <c r="D41" s="58"/>
      <c r="E41" s="128"/>
      <c r="F41" s="134"/>
      <c r="G41" s="135"/>
      <c r="H41" s="131"/>
      <c r="I41" s="132" t="str">
        <f>+IF(A_1[[#This Row],[Nome]]="","",(A_1[[#This Row],[Data iscrizione libro soci]]&lt;=$C$4)*1)</f>
        <v/>
      </c>
    </row>
    <row r="42" spans="1:9" x14ac:dyDescent="0.2">
      <c r="A42" s="143">
        <v>100</v>
      </c>
      <c r="B42" s="126"/>
      <c r="C42" s="127"/>
      <c r="D42" s="58"/>
      <c r="E42" s="128"/>
      <c r="F42" s="134"/>
      <c r="G42" s="135"/>
      <c r="H42" s="131"/>
      <c r="I42" s="132" t="str">
        <f>+IF(A_1[[#This Row],[Nome]]="","",(A_1[[#This Row],[Data iscrizione libro soci]]&lt;=$C$4)*1)</f>
        <v/>
      </c>
    </row>
    <row r="43" spans="1:9" x14ac:dyDescent="0.2">
      <c r="A43" s="143">
        <v>100</v>
      </c>
      <c r="B43" s="126"/>
      <c r="C43" s="127"/>
      <c r="D43" s="58"/>
      <c r="E43" s="128"/>
      <c r="F43" s="134"/>
      <c r="G43" s="135"/>
      <c r="H43" s="131"/>
      <c r="I43" s="132" t="str">
        <f>+IF(A_1[[#This Row],[Nome]]="","",(A_1[[#This Row],[Data iscrizione libro soci]]&lt;=$C$4)*1)</f>
        <v/>
      </c>
    </row>
    <row r="44" spans="1:9" x14ac:dyDescent="0.2">
      <c r="A44" s="143">
        <v>100</v>
      </c>
      <c r="B44" s="126"/>
      <c r="C44" s="127"/>
      <c r="D44" s="58"/>
      <c r="E44" s="128"/>
      <c r="F44" s="134"/>
      <c r="G44" s="135"/>
      <c r="H44" s="131"/>
      <c r="I44" s="132" t="str">
        <f>+IF(A_1[[#This Row],[Nome]]="","",(A_1[[#This Row],[Data iscrizione libro soci]]&lt;=$C$4)*1)</f>
        <v/>
      </c>
    </row>
    <row r="45" spans="1:9" x14ac:dyDescent="0.2">
      <c r="A45" s="143">
        <v>100</v>
      </c>
      <c r="B45" s="126"/>
      <c r="C45" s="127"/>
      <c r="D45" s="58"/>
      <c r="E45" s="128"/>
      <c r="F45" s="134"/>
      <c r="G45" s="135"/>
      <c r="H45" s="131"/>
      <c r="I45" s="132" t="str">
        <f>+IF(A_1[[#This Row],[Nome]]="","",(A_1[[#This Row],[Data iscrizione libro soci]]&lt;=$C$4)*1)</f>
        <v/>
      </c>
    </row>
    <row r="46" spans="1:9" x14ac:dyDescent="0.2">
      <c r="A46" s="143">
        <v>100</v>
      </c>
      <c r="B46" s="126"/>
      <c r="C46" s="127"/>
      <c r="D46" s="58"/>
      <c r="E46" s="128"/>
      <c r="F46" s="134"/>
      <c r="G46" s="135"/>
      <c r="H46" s="131"/>
      <c r="I46" s="132" t="str">
        <f>+IF(A_1[[#This Row],[Nome]]="","",(A_1[[#This Row],[Data iscrizione libro soci]]&lt;=$C$4)*1)</f>
        <v/>
      </c>
    </row>
    <row r="47" spans="1:9" x14ac:dyDescent="0.2">
      <c r="A47" s="143">
        <v>100</v>
      </c>
      <c r="B47" s="126"/>
      <c r="C47" s="127"/>
      <c r="D47" s="58"/>
      <c r="E47" s="128"/>
      <c r="F47" s="134"/>
      <c r="G47" s="135"/>
      <c r="H47" s="131"/>
      <c r="I47" s="132" t="str">
        <f>+IF(A_1[[#This Row],[Nome]]="","",(A_1[[#This Row],[Data iscrizione libro soci]]&lt;=$C$4)*1)</f>
        <v/>
      </c>
    </row>
    <row r="48" spans="1:9" x14ac:dyDescent="0.2">
      <c r="A48" s="143">
        <v>100</v>
      </c>
      <c r="B48" s="126"/>
      <c r="C48" s="127"/>
      <c r="D48" s="58"/>
      <c r="E48" s="128"/>
      <c r="F48" s="134"/>
      <c r="G48" s="135"/>
      <c r="H48" s="131"/>
      <c r="I48" s="132" t="str">
        <f>+IF(A_1[[#This Row],[Nome]]="","",(A_1[[#This Row],[Data iscrizione libro soci]]&lt;=$C$4)*1)</f>
        <v/>
      </c>
    </row>
    <row r="49" spans="1:9" x14ac:dyDescent="0.2">
      <c r="A49" s="143">
        <v>100</v>
      </c>
      <c r="B49" s="126"/>
      <c r="C49" s="127"/>
      <c r="D49" s="58"/>
      <c r="E49" s="128"/>
      <c r="F49" s="134"/>
      <c r="G49" s="135"/>
      <c r="H49" s="131"/>
      <c r="I49" s="132" t="str">
        <f>+IF(A_1[[#This Row],[Nome]]="","",(A_1[[#This Row],[Data iscrizione libro soci]]&lt;=$C$4)*1)</f>
        <v/>
      </c>
    </row>
    <row r="50" spans="1:9" x14ac:dyDescent="0.2">
      <c r="A50" s="143">
        <v>100</v>
      </c>
      <c r="B50" s="126"/>
      <c r="C50" s="127"/>
      <c r="D50" s="58"/>
      <c r="E50" s="128"/>
      <c r="F50" s="134"/>
      <c r="G50" s="135"/>
      <c r="H50" s="131"/>
      <c r="I50" s="132" t="str">
        <f>+IF(A_1[[#This Row],[Nome]]="","",(A_1[[#This Row],[Data iscrizione libro soci]]&lt;=$C$4)*1)</f>
        <v/>
      </c>
    </row>
    <row r="51" spans="1:9" x14ac:dyDescent="0.2">
      <c r="A51" s="143">
        <v>100</v>
      </c>
      <c r="B51" s="126"/>
      <c r="C51" s="127"/>
      <c r="D51" s="58"/>
      <c r="E51" s="128"/>
      <c r="F51" s="134"/>
      <c r="G51" s="135"/>
      <c r="H51" s="131"/>
      <c r="I51" s="132" t="str">
        <f>+IF(A_1[[#This Row],[Nome]]="","",(A_1[[#This Row],[Data iscrizione libro soci]]&lt;=$C$4)*1)</f>
        <v/>
      </c>
    </row>
    <row r="52" spans="1:9" x14ac:dyDescent="0.2">
      <c r="A52" s="143">
        <v>100</v>
      </c>
      <c r="B52" s="126"/>
      <c r="C52" s="127"/>
      <c r="D52" s="58"/>
      <c r="E52" s="128"/>
      <c r="F52" s="134"/>
      <c r="G52" s="135"/>
      <c r="H52" s="131"/>
      <c r="I52" s="132" t="str">
        <f>+IF(A_1[[#This Row],[Nome]]="","",(A_1[[#This Row],[Data iscrizione libro soci]]&lt;=$C$4)*1)</f>
        <v/>
      </c>
    </row>
    <row r="53" spans="1:9" x14ac:dyDescent="0.2">
      <c r="A53" s="143">
        <v>100</v>
      </c>
      <c r="B53" s="126"/>
      <c r="C53" s="127"/>
      <c r="D53" s="58"/>
      <c r="E53" s="128"/>
      <c r="F53" s="134"/>
      <c r="G53" s="135"/>
      <c r="H53" s="131"/>
      <c r="I53" s="132" t="str">
        <f>+IF(A_1[[#This Row],[Nome]]="","",(A_1[[#This Row],[Data iscrizione libro soci]]&lt;=$C$4)*1)</f>
        <v/>
      </c>
    </row>
    <row r="54" spans="1:9" x14ac:dyDescent="0.2">
      <c r="A54" s="143">
        <v>100</v>
      </c>
      <c r="B54" s="126"/>
      <c r="C54" s="127"/>
      <c r="D54" s="58"/>
      <c r="E54" s="128"/>
      <c r="F54" s="134"/>
      <c r="G54" s="135"/>
      <c r="H54" s="131"/>
      <c r="I54" s="132" t="str">
        <f>+IF(A_1[[#This Row],[Nome]]="","",(A_1[[#This Row],[Data iscrizione libro soci]]&lt;=$C$4)*1)</f>
        <v/>
      </c>
    </row>
    <row r="55" spans="1:9" x14ac:dyDescent="0.2">
      <c r="A55" s="143">
        <v>100</v>
      </c>
      <c r="B55" s="126"/>
      <c r="C55" s="127"/>
      <c r="D55" s="58"/>
      <c r="E55" s="128"/>
      <c r="F55" s="134"/>
      <c r="G55" s="135"/>
      <c r="H55" s="131"/>
      <c r="I55" s="132" t="str">
        <f>+IF(A_1[[#This Row],[Nome]]="","",(A_1[[#This Row],[Data iscrizione libro soci]]&lt;=$C$4)*1)</f>
        <v/>
      </c>
    </row>
    <row r="56" spans="1:9" x14ac:dyDescent="0.2">
      <c r="A56" s="143">
        <v>100</v>
      </c>
      <c r="B56" s="126"/>
      <c r="C56" s="127"/>
      <c r="D56" s="58"/>
      <c r="E56" s="128"/>
      <c r="F56" s="134"/>
      <c r="G56" s="135"/>
      <c r="H56" s="131"/>
      <c r="I56" s="132" t="str">
        <f>+IF(A_1[[#This Row],[Nome]]="","",(A_1[[#This Row],[Data iscrizione libro soci]]&lt;=$C$4)*1)</f>
        <v/>
      </c>
    </row>
    <row r="57" spans="1:9" x14ac:dyDescent="0.2">
      <c r="A57" s="143">
        <v>100</v>
      </c>
      <c r="B57" s="126"/>
      <c r="C57" s="127"/>
      <c r="D57" s="58"/>
      <c r="E57" s="128"/>
      <c r="F57" s="134"/>
      <c r="G57" s="135"/>
      <c r="H57" s="131"/>
      <c r="I57" s="132" t="str">
        <f>+IF(A_1[[#This Row],[Nome]]="","",(A_1[[#This Row],[Data iscrizione libro soci]]&lt;=$C$4)*1)</f>
        <v/>
      </c>
    </row>
    <row r="58" spans="1:9" x14ac:dyDescent="0.2">
      <c r="A58" s="143">
        <v>100</v>
      </c>
      <c r="B58" s="126"/>
      <c r="C58" s="127"/>
      <c r="D58" s="58"/>
      <c r="E58" s="128"/>
      <c r="F58" s="134"/>
      <c r="G58" s="135"/>
      <c r="H58" s="131"/>
      <c r="I58" s="132" t="str">
        <f>+IF(A_1[[#This Row],[Nome]]="","",(A_1[[#This Row],[Data iscrizione libro soci]]&lt;=$C$4)*1)</f>
        <v/>
      </c>
    </row>
    <row r="59" spans="1:9" x14ac:dyDescent="0.2">
      <c r="A59" s="143">
        <v>100</v>
      </c>
      <c r="B59" s="126"/>
      <c r="C59" s="127"/>
      <c r="D59" s="58"/>
      <c r="E59" s="128"/>
      <c r="F59" s="134"/>
      <c r="G59" s="135"/>
      <c r="H59" s="131"/>
      <c r="I59" s="132" t="str">
        <f>+IF(A_1[[#This Row],[Nome]]="","",(A_1[[#This Row],[Data iscrizione libro soci]]&lt;=$C$4)*1)</f>
        <v/>
      </c>
    </row>
    <row r="60" spans="1:9" x14ac:dyDescent="0.2">
      <c r="A60" s="143">
        <v>100</v>
      </c>
      <c r="B60" s="126"/>
      <c r="C60" s="127"/>
      <c r="D60" s="58"/>
      <c r="E60" s="128"/>
      <c r="F60" s="134"/>
      <c r="G60" s="135"/>
      <c r="H60" s="131"/>
      <c r="I60" s="132" t="str">
        <f>+IF(A_1[[#This Row],[Nome]]="","",(A_1[[#This Row],[Data iscrizione libro soci]]&lt;=$C$4)*1)</f>
        <v/>
      </c>
    </row>
    <row r="61" spans="1:9" x14ac:dyDescent="0.2">
      <c r="A61" s="143">
        <v>100</v>
      </c>
      <c r="B61" s="126"/>
      <c r="C61" s="127"/>
      <c r="D61" s="58"/>
      <c r="E61" s="128"/>
      <c r="F61" s="134"/>
      <c r="G61" s="135"/>
      <c r="H61" s="131"/>
      <c r="I61" s="132" t="str">
        <f>+IF(A_1[[#This Row],[Nome]]="","",(A_1[[#This Row],[Data iscrizione libro soci]]&lt;=$C$4)*1)</f>
        <v/>
      </c>
    </row>
    <row r="62" spans="1:9" x14ac:dyDescent="0.2">
      <c r="A62" s="143">
        <v>100</v>
      </c>
      <c r="B62" s="126"/>
      <c r="C62" s="127"/>
      <c r="D62" s="58"/>
      <c r="E62" s="128"/>
      <c r="F62" s="134"/>
      <c r="G62" s="135"/>
      <c r="H62" s="131"/>
      <c r="I62" s="132" t="str">
        <f>+IF(A_1[[#This Row],[Nome]]="","",(A_1[[#This Row],[Data iscrizione libro soci]]&lt;=$C$4)*1)</f>
        <v/>
      </c>
    </row>
    <row r="63" spans="1:9" x14ac:dyDescent="0.2">
      <c r="A63" s="143">
        <v>100</v>
      </c>
      <c r="B63" s="126"/>
      <c r="C63" s="127"/>
      <c r="D63" s="58"/>
      <c r="E63" s="128"/>
      <c r="F63" s="134"/>
      <c r="G63" s="135"/>
      <c r="H63" s="131"/>
      <c r="I63" s="132" t="str">
        <f>+IF(A_1[[#This Row],[Nome]]="","",(A_1[[#This Row],[Data iscrizione libro soci]]&lt;=$C$4)*1)</f>
        <v/>
      </c>
    </row>
    <row r="64" spans="1:9" x14ac:dyDescent="0.2">
      <c r="A64" s="143">
        <v>100</v>
      </c>
      <c r="B64" s="126"/>
      <c r="C64" s="127"/>
      <c r="D64" s="58"/>
      <c r="E64" s="128"/>
      <c r="F64" s="134"/>
      <c r="G64" s="135"/>
      <c r="H64" s="131"/>
      <c r="I64" s="132" t="str">
        <f>+IF(A_1[[#This Row],[Nome]]="","",(A_1[[#This Row],[Data iscrizione libro soci]]&lt;=$C$4)*1)</f>
        <v/>
      </c>
    </row>
    <row r="65" spans="1:9" x14ac:dyDescent="0.2">
      <c r="A65" s="143">
        <v>100</v>
      </c>
      <c r="B65" s="126"/>
      <c r="C65" s="127"/>
      <c r="D65" s="58"/>
      <c r="E65" s="128"/>
      <c r="F65" s="134"/>
      <c r="G65" s="135"/>
      <c r="H65" s="131"/>
      <c r="I65" s="132" t="str">
        <f>+IF(A_1[[#This Row],[Nome]]="","",(A_1[[#This Row],[Data iscrizione libro soci]]&lt;=$C$4)*1)</f>
        <v/>
      </c>
    </row>
    <row r="66" spans="1:9" x14ac:dyDescent="0.2">
      <c r="A66" s="143">
        <v>100</v>
      </c>
      <c r="B66" s="126"/>
      <c r="C66" s="127"/>
      <c r="D66" s="58"/>
      <c r="E66" s="128"/>
      <c r="F66" s="134"/>
      <c r="G66" s="135"/>
      <c r="H66" s="131"/>
      <c r="I66" s="132" t="str">
        <f>+IF(A_1[[#This Row],[Nome]]="","",(A_1[[#This Row],[Data iscrizione libro soci]]&lt;=$C$4)*1)</f>
        <v/>
      </c>
    </row>
    <row r="67" spans="1:9" x14ac:dyDescent="0.2">
      <c r="A67" s="143">
        <v>100</v>
      </c>
      <c r="B67" s="126"/>
      <c r="C67" s="127"/>
      <c r="D67" s="58"/>
      <c r="E67" s="128"/>
      <c r="F67" s="134"/>
      <c r="G67" s="135"/>
      <c r="H67" s="131"/>
      <c r="I67" s="132" t="str">
        <f>+IF(A_1[[#This Row],[Nome]]="","",(A_1[[#This Row],[Data iscrizione libro soci]]&lt;=$C$4)*1)</f>
        <v/>
      </c>
    </row>
    <row r="68" spans="1:9" x14ac:dyDescent="0.2">
      <c r="A68" s="143">
        <v>100</v>
      </c>
      <c r="B68" s="126"/>
      <c r="C68" s="127"/>
      <c r="D68" s="58"/>
      <c r="E68" s="128"/>
      <c r="F68" s="134"/>
      <c r="G68" s="135"/>
      <c r="H68" s="131"/>
      <c r="I68" s="132" t="str">
        <f>+IF(A_1[[#This Row],[Nome]]="","",(A_1[[#This Row],[Data iscrizione libro soci]]&lt;=$C$4)*1)</f>
        <v/>
      </c>
    </row>
    <row r="69" spans="1:9" x14ac:dyDescent="0.2">
      <c r="A69" s="143">
        <v>100</v>
      </c>
      <c r="B69" s="126"/>
      <c r="C69" s="127"/>
      <c r="D69" s="58"/>
      <c r="E69" s="128"/>
      <c r="F69" s="134"/>
      <c r="G69" s="135"/>
      <c r="H69" s="131"/>
      <c r="I69" s="132" t="str">
        <f>+IF(A_1[[#This Row],[Nome]]="","",(A_1[[#This Row],[Data iscrizione libro soci]]&lt;=$C$4)*1)</f>
        <v/>
      </c>
    </row>
    <row r="70" spans="1:9" x14ac:dyDescent="0.2">
      <c r="A70" s="143">
        <v>100</v>
      </c>
      <c r="B70" s="126"/>
      <c r="C70" s="127"/>
      <c r="D70" s="58"/>
      <c r="E70" s="128"/>
      <c r="F70" s="134"/>
      <c r="G70" s="135"/>
      <c r="H70" s="131"/>
      <c r="I70" s="132" t="str">
        <f>+IF(A_1[[#This Row],[Nome]]="","",(A_1[[#This Row],[Data iscrizione libro soci]]&lt;=$C$4)*1)</f>
        <v/>
      </c>
    </row>
    <row r="71" spans="1:9" x14ac:dyDescent="0.2">
      <c r="A71" s="143">
        <v>100</v>
      </c>
      <c r="B71" s="126"/>
      <c r="C71" s="127"/>
      <c r="D71" s="58"/>
      <c r="E71" s="128"/>
      <c r="F71" s="134"/>
      <c r="G71" s="135"/>
      <c r="H71" s="131"/>
      <c r="I71" s="132" t="str">
        <f>+IF(A_1[[#This Row],[Nome]]="","",(A_1[[#This Row],[Data iscrizione libro soci]]&lt;=$C$4)*1)</f>
        <v/>
      </c>
    </row>
    <row r="72" spans="1:9" x14ac:dyDescent="0.2">
      <c r="A72" s="143">
        <v>100</v>
      </c>
      <c r="B72" s="126"/>
      <c r="C72" s="127"/>
      <c r="D72" s="58"/>
      <c r="E72" s="128"/>
      <c r="F72" s="134"/>
      <c r="G72" s="135"/>
      <c r="H72" s="131"/>
      <c r="I72" s="132" t="str">
        <f>+IF(A_1[[#This Row],[Nome]]="","",(A_1[[#This Row],[Data iscrizione libro soci]]&lt;=$C$4)*1)</f>
        <v/>
      </c>
    </row>
    <row r="73" spans="1:9" x14ac:dyDescent="0.2">
      <c r="A73" s="143">
        <v>100</v>
      </c>
      <c r="B73" s="126"/>
      <c r="C73" s="127"/>
      <c r="D73" s="58"/>
      <c r="E73" s="128"/>
      <c r="F73" s="134"/>
      <c r="G73" s="135"/>
      <c r="H73" s="131"/>
      <c r="I73" s="132" t="str">
        <f>+IF(A_1[[#This Row],[Nome]]="","",(A_1[[#This Row],[Data iscrizione libro soci]]&lt;=$C$4)*1)</f>
        <v/>
      </c>
    </row>
    <row r="74" spans="1:9" x14ac:dyDescent="0.2">
      <c r="A74" s="143">
        <v>100</v>
      </c>
      <c r="B74" s="126"/>
      <c r="C74" s="127"/>
      <c r="D74" s="58"/>
      <c r="E74" s="128"/>
      <c r="F74" s="134"/>
      <c r="G74" s="135"/>
      <c r="H74" s="131"/>
      <c r="I74" s="132" t="str">
        <f>+IF(A_1[[#This Row],[Nome]]="","",(A_1[[#This Row],[Data iscrizione libro soci]]&lt;=$C$4)*1)</f>
        <v/>
      </c>
    </row>
    <row r="75" spans="1:9" x14ac:dyDescent="0.2">
      <c r="A75" s="143">
        <v>100</v>
      </c>
      <c r="B75" s="126"/>
      <c r="C75" s="127"/>
      <c r="D75" s="58"/>
      <c r="E75" s="128"/>
      <c r="F75" s="134"/>
      <c r="G75" s="135"/>
      <c r="H75" s="131"/>
      <c r="I75" s="132" t="str">
        <f>+IF(A_1[[#This Row],[Nome]]="","",(A_1[[#This Row],[Data iscrizione libro soci]]&lt;=$C$4)*1)</f>
        <v/>
      </c>
    </row>
    <row r="76" spans="1:9" x14ac:dyDescent="0.2">
      <c r="A76" s="143">
        <v>100</v>
      </c>
      <c r="B76" s="126"/>
      <c r="C76" s="127"/>
      <c r="D76" s="58"/>
      <c r="E76" s="128"/>
      <c r="F76" s="134"/>
      <c r="G76" s="135"/>
      <c r="H76" s="131"/>
      <c r="I76" s="132" t="str">
        <f>+IF(A_1[[#This Row],[Nome]]="","",(A_1[[#This Row],[Data iscrizione libro soci]]&lt;=$C$4)*1)</f>
        <v/>
      </c>
    </row>
    <row r="77" spans="1:9" x14ac:dyDescent="0.2">
      <c r="A77" s="143">
        <v>100</v>
      </c>
      <c r="B77" s="126"/>
      <c r="C77" s="127"/>
      <c r="D77" s="58"/>
      <c r="E77" s="128"/>
      <c r="F77" s="134"/>
      <c r="G77" s="135"/>
      <c r="H77" s="131"/>
      <c r="I77" s="132" t="str">
        <f>+IF(A_1[[#This Row],[Nome]]="","",(A_1[[#This Row],[Data iscrizione libro soci]]&lt;=$C$4)*1)</f>
        <v/>
      </c>
    </row>
    <row r="78" spans="1:9" x14ac:dyDescent="0.2">
      <c r="A78" s="143">
        <v>100</v>
      </c>
      <c r="B78" s="126"/>
      <c r="C78" s="127"/>
      <c r="D78" s="58"/>
      <c r="E78" s="128"/>
      <c r="F78" s="134"/>
      <c r="G78" s="135"/>
      <c r="H78" s="131"/>
      <c r="I78" s="132" t="str">
        <f>+IF(A_1[[#This Row],[Nome]]="","",(A_1[[#This Row],[Data iscrizione libro soci]]&lt;=$C$4)*1)</f>
        <v/>
      </c>
    </row>
    <row r="79" spans="1:9" x14ac:dyDescent="0.2">
      <c r="A79" s="143">
        <v>100</v>
      </c>
      <c r="B79" s="126"/>
      <c r="C79" s="127"/>
      <c r="D79" s="58"/>
      <c r="E79" s="128"/>
      <c r="F79" s="134"/>
      <c r="G79" s="135"/>
      <c r="H79" s="131"/>
      <c r="I79" s="132" t="str">
        <f>+IF(A_1[[#This Row],[Nome]]="","",(A_1[[#This Row],[Data iscrizione libro soci]]&lt;=$C$4)*1)</f>
        <v/>
      </c>
    </row>
    <row r="80" spans="1:9" x14ac:dyDescent="0.2">
      <c r="A80" s="143">
        <v>100</v>
      </c>
      <c r="B80" s="126"/>
      <c r="C80" s="127"/>
      <c r="D80" s="58"/>
      <c r="E80" s="128"/>
      <c r="F80" s="134"/>
      <c r="G80" s="135"/>
      <c r="H80" s="131"/>
      <c r="I80" s="132" t="str">
        <f>+IF(A_1[[#This Row],[Nome]]="","",(A_1[[#This Row],[Data iscrizione libro soci]]&lt;=$C$4)*1)</f>
        <v/>
      </c>
    </row>
    <row r="81" spans="1:9" x14ac:dyDescent="0.2">
      <c r="A81" s="143">
        <v>100</v>
      </c>
      <c r="B81" s="126"/>
      <c r="C81" s="127"/>
      <c r="D81" s="58"/>
      <c r="E81" s="128"/>
      <c r="F81" s="134"/>
      <c r="G81" s="135"/>
      <c r="H81" s="131"/>
      <c r="I81" s="132" t="str">
        <f>+IF(A_1[[#This Row],[Nome]]="","",(A_1[[#This Row],[Data iscrizione libro soci]]&lt;=$C$4)*1)</f>
        <v/>
      </c>
    </row>
    <row r="82" spans="1:9" x14ac:dyDescent="0.2">
      <c r="A82" s="143">
        <v>100</v>
      </c>
      <c r="B82" s="126"/>
      <c r="C82" s="127"/>
      <c r="D82" s="58"/>
      <c r="E82" s="128"/>
      <c r="F82" s="134"/>
      <c r="G82" s="135"/>
      <c r="H82" s="131"/>
      <c r="I82" s="132" t="str">
        <f>+IF(A_1[[#This Row],[Nome]]="","",(A_1[[#This Row],[Data iscrizione libro soci]]&lt;=$C$4)*1)</f>
        <v/>
      </c>
    </row>
    <row r="83" spans="1:9" x14ac:dyDescent="0.2">
      <c r="A83" s="143">
        <v>100</v>
      </c>
      <c r="B83" s="126"/>
      <c r="C83" s="127"/>
      <c r="D83" s="58"/>
      <c r="E83" s="128"/>
      <c r="F83" s="134"/>
      <c r="G83" s="135"/>
      <c r="H83" s="131"/>
      <c r="I83" s="132" t="str">
        <f>+IF(A_1[[#This Row],[Nome]]="","",(A_1[[#This Row],[Data iscrizione libro soci]]&lt;=$C$4)*1)</f>
        <v/>
      </c>
    </row>
    <row r="84" spans="1:9" x14ac:dyDescent="0.2">
      <c r="A84" s="143">
        <v>100</v>
      </c>
      <c r="B84" s="126"/>
      <c r="C84" s="127"/>
      <c r="D84" s="58"/>
      <c r="E84" s="128"/>
      <c r="F84" s="134"/>
      <c r="G84" s="135"/>
      <c r="H84" s="131"/>
      <c r="I84" s="132" t="str">
        <f>+IF(A_1[[#This Row],[Nome]]="","",(A_1[[#This Row],[Data iscrizione libro soci]]&lt;=$C$4)*1)</f>
        <v/>
      </c>
    </row>
    <row r="85" spans="1:9" x14ac:dyDescent="0.2">
      <c r="A85" s="143">
        <v>100</v>
      </c>
      <c r="B85" s="126"/>
      <c r="C85" s="127"/>
      <c r="D85" s="58"/>
      <c r="E85" s="128"/>
      <c r="F85" s="134"/>
      <c r="G85" s="135"/>
      <c r="H85" s="131"/>
      <c r="I85" s="132" t="str">
        <f>+IF(A_1[[#This Row],[Nome]]="","",(A_1[[#This Row],[Data iscrizione libro soci]]&lt;=$C$4)*1)</f>
        <v/>
      </c>
    </row>
    <row r="86" spans="1:9" x14ac:dyDescent="0.2">
      <c r="A86" s="143">
        <v>100</v>
      </c>
      <c r="B86" s="126"/>
      <c r="C86" s="127"/>
      <c r="D86" s="58"/>
      <c r="E86" s="128"/>
      <c r="F86" s="134"/>
      <c r="G86" s="135"/>
      <c r="H86" s="131"/>
      <c r="I86" s="132" t="str">
        <f>+IF(A_1[[#This Row],[Nome]]="","",(A_1[[#This Row],[Data iscrizione libro soci]]&lt;=$C$4)*1)</f>
        <v/>
      </c>
    </row>
    <row r="87" spans="1:9" x14ac:dyDescent="0.2">
      <c r="A87" s="143">
        <v>100</v>
      </c>
      <c r="B87" s="126"/>
      <c r="C87" s="127"/>
      <c r="D87" s="58"/>
      <c r="E87" s="128"/>
      <c r="F87" s="134"/>
      <c r="G87" s="135"/>
      <c r="H87" s="131"/>
      <c r="I87" s="132" t="str">
        <f>+IF(A_1[[#This Row],[Nome]]="","",(A_1[[#This Row],[Data iscrizione libro soci]]&lt;=$C$4)*1)</f>
        <v/>
      </c>
    </row>
    <row r="88" spans="1:9" x14ac:dyDescent="0.2">
      <c r="A88" s="143">
        <v>100</v>
      </c>
      <c r="B88" s="126"/>
      <c r="C88" s="127"/>
      <c r="D88" s="58"/>
      <c r="E88" s="128"/>
      <c r="F88" s="134"/>
      <c r="G88" s="135"/>
      <c r="H88" s="131"/>
      <c r="I88" s="132" t="str">
        <f>+IF(A_1[[#This Row],[Nome]]="","",(A_1[[#This Row],[Data iscrizione libro soci]]&lt;=$C$4)*1)</f>
        <v/>
      </c>
    </row>
    <row r="89" spans="1:9" x14ac:dyDescent="0.2">
      <c r="A89" s="143">
        <v>100</v>
      </c>
      <c r="B89" s="126"/>
      <c r="C89" s="127"/>
      <c r="D89" s="58"/>
      <c r="E89" s="128"/>
      <c r="F89" s="134"/>
      <c r="G89" s="135"/>
      <c r="H89" s="131"/>
      <c r="I89" s="132" t="str">
        <f>+IF(A_1[[#This Row],[Nome]]="","",(A_1[[#This Row],[Data iscrizione libro soci]]&lt;=$C$4)*1)</f>
        <v/>
      </c>
    </row>
    <row r="90" spans="1:9" x14ac:dyDescent="0.2">
      <c r="A90" s="143">
        <v>100</v>
      </c>
      <c r="B90" s="126"/>
      <c r="C90" s="127"/>
      <c r="D90" s="58"/>
      <c r="E90" s="128"/>
      <c r="F90" s="134"/>
      <c r="G90" s="135"/>
      <c r="H90" s="131"/>
      <c r="I90" s="132" t="str">
        <f>+IF(A_1[[#This Row],[Nome]]="","",(A_1[[#This Row],[Data iscrizione libro soci]]&lt;=$C$4)*1)</f>
        <v/>
      </c>
    </row>
    <row r="91" spans="1:9" x14ac:dyDescent="0.2">
      <c r="A91" s="143">
        <v>100</v>
      </c>
      <c r="B91" s="126"/>
      <c r="C91" s="127"/>
      <c r="D91" s="58"/>
      <c r="E91" s="128"/>
      <c r="F91" s="134"/>
      <c r="G91" s="135"/>
      <c r="H91" s="131"/>
      <c r="I91" s="132" t="str">
        <f>+IF(A_1[[#This Row],[Nome]]="","",(A_1[[#This Row],[Data iscrizione libro soci]]&lt;=$C$4)*1)</f>
        <v/>
      </c>
    </row>
    <row r="92" spans="1:9" x14ac:dyDescent="0.2">
      <c r="A92" s="143">
        <v>100</v>
      </c>
      <c r="B92" s="126"/>
      <c r="C92" s="127"/>
      <c r="D92" s="58"/>
      <c r="E92" s="128"/>
      <c r="F92" s="134"/>
      <c r="G92" s="135"/>
      <c r="H92" s="131"/>
      <c r="I92" s="132" t="str">
        <f>+IF(A_1[[#This Row],[Nome]]="","",(A_1[[#This Row],[Data iscrizione libro soci]]&lt;=$C$4)*1)</f>
        <v/>
      </c>
    </row>
    <row r="93" spans="1:9" x14ac:dyDescent="0.2">
      <c r="A93" s="143">
        <v>100</v>
      </c>
      <c r="B93" s="126"/>
      <c r="C93" s="127"/>
      <c r="D93" s="58"/>
      <c r="E93" s="128"/>
      <c r="F93" s="134"/>
      <c r="G93" s="135"/>
      <c r="H93" s="131"/>
      <c r="I93" s="132" t="str">
        <f>+IF(A_1[[#This Row],[Nome]]="","",(A_1[[#This Row],[Data iscrizione libro soci]]&lt;=$C$4)*1)</f>
        <v/>
      </c>
    </row>
    <row r="94" spans="1:9" x14ac:dyDescent="0.2">
      <c r="A94" s="143">
        <v>100</v>
      </c>
      <c r="B94" s="126"/>
      <c r="C94" s="127"/>
      <c r="D94" s="58"/>
      <c r="E94" s="128"/>
      <c r="F94" s="134"/>
      <c r="G94" s="135"/>
      <c r="H94" s="131"/>
      <c r="I94" s="132" t="str">
        <f>+IF(A_1[[#This Row],[Nome]]="","",(A_1[[#This Row],[Data iscrizione libro soci]]&lt;=$C$4)*1)</f>
        <v/>
      </c>
    </row>
    <row r="95" spans="1:9" x14ac:dyDescent="0.2">
      <c r="A95" s="143">
        <v>100</v>
      </c>
      <c r="B95" s="126"/>
      <c r="C95" s="127"/>
      <c r="D95" s="58"/>
      <c r="E95" s="128"/>
      <c r="F95" s="134"/>
      <c r="G95" s="135"/>
      <c r="H95" s="131"/>
      <c r="I95" s="132" t="str">
        <f>+IF(A_1[[#This Row],[Nome]]="","",(A_1[[#This Row],[Data iscrizione libro soci]]&lt;=$C$4)*1)</f>
        <v/>
      </c>
    </row>
    <row r="96" spans="1:9" x14ac:dyDescent="0.2">
      <c r="A96" s="143">
        <v>100</v>
      </c>
      <c r="B96" s="126"/>
      <c r="C96" s="127"/>
      <c r="D96" s="58"/>
      <c r="E96" s="128"/>
      <c r="F96" s="134"/>
      <c r="G96" s="135"/>
      <c r="H96" s="131"/>
      <c r="I96" s="132" t="str">
        <f>+IF(A_1[[#This Row],[Nome]]="","",(A_1[[#This Row],[Data iscrizione libro soci]]&lt;=$C$4)*1)</f>
        <v/>
      </c>
    </row>
    <row r="97" spans="1:9" x14ac:dyDescent="0.2">
      <c r="A97" s="143">
        <v>100</v>
      </c>
      <c r="B97" s="126"/>
      <c r="C97" s="127"/>
      <c r="D97" s="58"/>
      <c r="E97" s="128"/>
      <c r="F97" s="134"/>
      <c r="G97" s="135"/>
      <c r="H97" s="131"/>
      <c r="I97" s="132" t="str">
        <f>+IF(A_1[[#This Row],[Nome]]="","",(A_1[[#This Row],[Data iscrizione libro soci]]&lt;=$C$4)*1)</f>
        <v/>
      </c>
    </row>
    <row r="98" spans="1:9" x14ac:dyDescent="0.2">
      <c r="A98" s="143">
        <v>100</v>
      </c>
      <c r="B98" s="126"/>
      <c r="C98" s="127"/>
      <c r="D98" s="58"/>
      <c r="E98" s="128"/>
      <c r="F98" s="134"/>
      <c r="G98" s="135"/>
      <c r="H98" s="131"/>
      <c r="I98" s="132" t="str">
        <f>+IF(A_1[[#This Row],[Nome]]="","",(A_1[[#This Row],[Data iscrizione libro soci]]&lt;=$C$4)*1)</f>
        <v/>
      </c>
    </row>
    <row r="99" spans="1:9" x14ac:dyDescent="0.2">
      <c r="A99" s="143">
        <v>100</v>
      </c>
      <c r="B99" s="126"/>
      <c r="C99" s="127"/>
      <c r="D99" s="58"/>
      <c r="E99" s="128"/>
      <c r="F99" s="134"/>
      <c r="G99" s="135"/>
      <c r="H99" s="131"/>
      <c r="I99" s="132" t="str">
        <f>+IF(A_1[[#This Row],[Nome]]="","",(A_1[[#This Row],[Data iscrizione libro soci]]&lt;=$C$4)*1)</f>
        <v/>
      </c>
    </row>
    <row r="100" spans="1:9" x14ac:dyDescent="0.2">
      <c r="A100" s="143">
        <v>100</v>
      </c>
      <c r="B100" s="126"/>
      <c r="C100" s="127"/>
      <c r="D100" s="58"/>
      <c r="E100" s="128"/>
      <c r="F100" s="134"/>
      <c r="G100" s="135"/>
      <c r="H100" s="131"/>
      <c r="I100" s="132" t="str">
        <f>+IF(A_1[[#This Row],[Nome]]="","",(A_1[[#This Row],[Data iscrizione libro soci]]&lt;=$C$4)*1)</f>
        <v/>
      </c>
    </row>
    <row r="101" spans="1:9" x14ac:dyDescent="0.2">
      <c r="A101" s="143">
        <v>100</v>
      </c>
      <c r="B101" s="126"/>
      <c r="C101" s="127"/>
      <c r="D101" s="58"/>
      <c r="E101" s="128"/>
      <c r="F101" s="134"/>
      <c r="G101" s="135"/>
      <c r="H101" s="131"/>
      <c r="I101" s="132" t="str">
        <f>+IF(A_1[[#This Row],[Nome]]="","",(A_1[[#This Row],[Data iscrizione libro soci]]&lt;=$C$4)*1)</f>
        <v/>
      </c>
    </row>
    <row r="102" spans="1:9" x14ac:dyDescent="0.2">
      <c r="A102" s="143">
        <v>100</v>
      </c>
      <c r="B102" s="126"/>
      <c r="C102" s="127"/>
      <c r="D102" s="58"/>
      <c r="E102" s="128"/>
      <c r="F102" s="134"/>
      <c r="G102" s="135"/>
      <c r="H102" s="131"/>
      <c r="I102" s="132" t="str">
        <f>+IF(A_1[[#This Row],[Nome]]="","",(A_1[[#This Row],[Data iscrizione libro soci]]&lt;=$C$4)*1)</f>
        <v/>
      </c>
    </row>
    <row r="103" spans="1:9" x14ac:dyDescent="0.2">
      <c r="A103" s="143">
        <v>100</v>
      </c>
      <c r="B103" s="126"/>
      <c r="C103" s="127"/>
      <c r="D103" s="58"/>
      <c r="E103" s="128"/>
      <c r="F103" s="134"/>
      <c r="G103" s="135"/>
      <c r="H103" s="131"/>
      <c r="I103" s="132" t="str">
        <f>+IF(A_1[[#This Row],[Nome]]="","",(A_1[[#This Row],[Data iscrizione libro soci]]&lt;=$C$4)*1)</f>
        <v/>
      </c>
    </row>
    <row r="104" spans="1:9" x14ac:dyDescent="0.2">
      <c r="A104" s="143">
        <v>100</v>
      </c>
      <c r="B104" s="126"/>
      <c r="C104" s="127"/>
      <c r="D104" s="58"/>
      <c r="E104" s="128"/>
      <c r="F104" s="134"/>
      <c r="G104" s="135"/>
      <c r="H104" s="131"/>
      <c r="I104" s="132" t="str">
        <f>+IF(A_1[[#This Row],[Nome]]="","",(A_1[[#This Row],[Data iscrizione libro soci]]&lt;=$C$4)*1)</f>
        <v/>
      </c>
    </row>
    <row r="105" spans="1:9" x14ac:dyDescent="0.2">
      <c r="A105" s="143">
        <v>100</v>
      </c>
      <c r="B105" s="58"/>
      <c r="C105" s="127"/>
      <c r="D105" s="58"/>
      <c r="E105" s="58"/>
      <c r="F105" s="136"/>
      <c r="G105" s="137"/>
      <c r="H105" s="131"/>
      <c r="I105" s="132" t="str">
        <f>+IF(A_1[[#This Row],[Nome]]="","",(A_1[[#This Row],[Data iscrizione libro soci]]&lt;=$C$4)*1)</f>
        <v/>
      </c>
    </row>
    <row r="106" spans="1:9" x14ac:dyDescent="0.2">
      <c r="A106" s="143">
        <v>100</v>
      </c>
    </row>
    <row r="107" spans="1:9" x14ac:dyDescent="0.2">
      <c r="A107" s="143"/>
    </row>
  </sheetData>
  <sheetProtection algorithmName="SHA-512" hashValue="CJfQJRRMoYAASNBSvsv1STqptLJoy+wqyMPvM5fCPvZO007RNLcm+wpgo/zGOERlK3iIewMb//YhUJA+JM9LWg==" saltValue="5EVDFR3EiU2CE6qoFwfhvw==" spinCount="100000" sheet="1" formatCells="0" formatColumns="0" formatRows="0" insertColumns="0" insertRows="0" insertHyperlinks="0" deleteColumns="0" deleteRows="0" sort="0" autoFilter="0" pivotTables="0"/>
  <conditionalFormatting sqref="C6:C105">
    <cfRule type="cellIs" dxfId="1" priority="3" operator="greaterThan">
      <formula>$C$4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$C$4+1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zoomScaleNormal="100" workbookViewId="0">
      <selection activeCell="B10" sqref="B10"/>
    </sheetView>
  </sheetViews>
  <sheetFormatPr defaultColWidth="9.140625" defaultRowHeight="14.25" x14ac:dyDescent="0.2"/>
  <cols>
    <col min="1" max="1" width="19.5703125" style="56" customWidth="1"/>
    <col min="2" max="2" width="22" style="56" bestFit="1" customWidth="1"/>
    <col min="3" max="3" width="32.7109375" style="56" customWidth="1"/>
    <col min="4" max="4" width="19.7109375" style="56" bestFit="1" customWidth="1"/>
    <col min="5" max="5" width="13.7109375" style="56" customWidth="1"/>
    <col min="6" max="6" width="14.42578125" style="56" customWidth="1"/>
    <col min="7" max="7" width="19.7109375" style="56" customWidth="1"/>
    <col min="8" max="8" width="19.42578125" style="56" bestFit="1" customWidth="1"/>
    <col min="9" max="9" width="18.85546875" style="56" customWidth="1"/>
    <col min="10" max="10" width="19.5703125" style="56" customWidth="1"/>
    <col min="11" max="11" width="21.140625" style="56" bestFit="1" customWidth="1"/>
    <col min="12" max="12" width="15.28515625" style="56" customWidth="1"/>
    <col min="13" max="13" width="16.85546875" style="56" bestFit="1" customWidth="1"/>
    <col min="14" max="14" width="18.140625" style="56" bestFit="1" customWidth="1"/>
    <col min="15" max="15" width="14.140625" style="56" customWidth="1"/>
    <col min="16" max="16" width="16.7109375" style="56" bestFit="1" customWidth="1"/>
    <col min="17" max="17" width="19.7109375" style="56" bestFit="1" customWidth="1"/>
    <col min="18" max="18" width="17.85546875" style="56" bestFit="1" customWidth="1"/>
    <col min="19" max="19" width="16.7109375" style="56" customWidth="1"/>
    <col min="20" max="20" width="21.140625" style="56" bestFit="1" customWidth="1"/>
    <col min="21" max="21" width="20.85546875" style="56" bestFit="1" customWidth="1"/>
    <col min="22" max="22" width="18.85546875" style="56" bestFit="1" customWidth="1"/>
    <col min="23" max="23" width="18" style="56" customWidth="1"/>
    <col min="24" max="25" width="17.85546875" style="56" bestFit="1" customWidth="1"/>
    <col min="26" max="26" width="28.42578125" style="56" customWidth="1"/>
    <col min="27" max="16384" width="9.140625" style="56"/>
  </cols>
  <sheetData>
    <row r="1" spans="1:26" ht="111" customHeight="1" x14ac:dyDescent="0.2"/>
    <row r="2" spans="1:26" ht="54.95" customHeight="1" x14ac:dyDescent="0.2"/>
    <row r="3" spans="1:26" ht="26.25" customHeight="1" x14ac:dyDescent="0.2">
      <c r="A3" s="222" t="s">
        <v>108</v>
      </c>
      <c r="B3" s="222"/>
      <c r="C3" s="222"/>
      <c r="D3" s="222"/>
      <c r="E3" s="222"/>
      <c r="F3" s="222"/>
      <c r="G3" s="231">
        <f>SUM(B[Valore normale])</f>
        <v>300000</v>
      </c>
      <c r="H3" s="231">
        <f>SUM(B[Valore netto contabile fiscalmente riconosciuto])</f>
        <v>220000</v>
      </c>
      <c r="I3" s="231">
        <f>SUM(B[Valore contabile attribuito])</f>
        <v>220000</v>
      </c>
      <c r="J3" s="231"/>
      <c r="K3" s="231"/>
      <c r="L3" s="231"/>
      <c r="M3" s="231"/>
      <c r="N3" s="231">
        <f>SUM(B[Valore catastale])</f>
        <v>302400</v>
      </c>
      <c r="O3" s="231"/>
      <c r="P3" s="231"/>
      <c r="Q3" s="231">
        <f>SUM(B[Valore ai fini dell''imposta di registro])</f>
        <v>302400</v>
      </c>
      <c r="R3" s="231">
        <f>+(SUM(B[Imponibile Imposta sostitutiva])&gt;0)*1*SUM(B[Imponibile Imposta sostitutiva])</f>
        <v>82400</v>
      </c>
      <c r="S3" s="231">
        <f>SUM(B[Iva se dovuta])</f>
        <v>0</v>
      </c>
      <c r="T3" s="231">
        <f>SUM(B[Imposta di registro (fissa + prop) senza agevolazione])</f>
        <v>200</v>
      </c>
      <c r="U3" s="231">
        <f>SUM(B[Ipotecaria e catastale senza agevolazione])</f>
        <v>12000</v>
      </c>
      <c r="V3" s="231">
        <f>SUM(B[Imposta di registro in misura fissa agevolata])</f>
        <v>200</v>
      </c>
      <c r="W3" s="231">
        <f>SUM(B[Imposta di registro prop. Agevolata])</f>
        <v>0</v>
      </c>
      <c r="X3" s="231">
        <f>SUM(B[Totale imposta di registro])*(p&lt;3)+200*(p=3)</f>
        <v>200</v>
      </c>
      <c r="Y3" s="231">
        <f>SUM(B[Ipotecaria catastale agevolata])</f>
        <v>400</v>
      </c>
      <c r="Z3" s="231"/>
    </row>
    <row r="4" spans="1:26" s="168" customFormat="1" ht="71.25" customHeight="1" x14ac:dyDescent="0.25">
      <c r="A4" s="169" t="s">
        <v>13</v>
      </c>
      <c r="B4" s="169" t="s">
        <v>193</v>
      </c>
      <c r="C4" s="169" t="s">
        <v>167</v>
      </c>
      <c r="D4" s="169" t="s">
        <v>14</v>
      </c>
      <c r="E4" s="169" t="s">
        <v>16</v>
      </c>
      <c r="F4" s="169" t="s">
        <v>92</v>
      </c>
      <c r="G4" s="169" t="s">
        <v>191</v>
      </c>
      <c r="H4" s="169" t="s">
        <v>307</v>
      </c>
      <c r="I4" s="169" t="s">
        <v>306</v>
      </c>
      <c r="J4" s="169" t="s">
        <v>251</v>
      </c>
      <c r="K4" s="169" t="s">
        <v>179</v>
      </c>
      <c r="L4" s="169" t="s">
        <v>252</v>
      </c>
      <c r="M4" s="169" t="s">
        <v>315</v>
      </c>
      <c r="N4" s="221" t="s">
        <v>96</v>
      </c>
      <c r="O4" s="221" t="s">
        <v>3</v>
      </c>
      <c r="P4" s="221" t="s">
        <v>205</v>
      </c>
      <c r="Q4" s="221" t="s">
        <v>324</v>
      </c>
      <c r="R4" s="221" t="s">
        <v>325</v>
      </c>
      <c r="S4" s="221" t="s">
        <v>195</v>
      </c>
      <c r="T4" s="221" t="s">
        <v>320</v>
      </c>
      <c r="U4" s="221" t="s">
        <v>197</v>
      </c>
      <c r="V4" s="221" t="s">
        <v>321</v>
      </c>
      <c r="W4" s="221" t="s">
        <v>322</v>
      </c>
      <c r="X4" s="221" t="s">
        <v>323</v>
      </c>
      <c r="Y4" s="221" t="s">
        <v>199</v>
      </c>
      <c r="Z4" s="221" t="s">
        <v>341</v>
      </c>
    </row>
    <row r="5" spans="1:26" ht="28.5" x14ac:dyDescent="0.2">
      <c r="A5" s="126" t="s">
        <v>386</v>
      </c>
      <c r="B5" s="126">
        <v>2024</v>
      </c>
      <c r="C5" s="146" t="s">
        <v>334</v>
      </c>
      <c r="D5" s="127" t="s">
        <v>15</v>
      </c>
      <c r="E5" s="126" t="s">
        <v>120</v>
      </c>
      <c r="F5" s="144">
        <v>4800</v>
      </c>
      <c r="G5" s="145">
        <v>300000</v>
      </c>
      <c r="H5" s="145">
        <v>220000</v>
      </c>
      <c r="I5" s="145">
        <v>220000</v>
      </c>
      <c r="J5" s="145"/>
      <c r="K5" s="146" t="s">
        <v>383</v>
      </c>
      <c r="L5" s="145"/>
      <c r="M5" s="147" t="s">
        <v>389</v>
      </c>
      <c r="N5" s="148">
        <f>+IF(B[[#This Row],[Categoria Catastale]]="",0,VLOOKUP(B[[#This Row],[Categoria Catastale]],Gruppi[],6,0)*B[[#This Row],[Rendita catastale]])</f>
        <v>302400</v>
      </c>
      <c r="O5" s="149">
        <f t="shared" ref="O5:O36" si="0">+IF(A5="","",IF(D5="Sì",0,1))</f>
        <v>1</v>
      </c>
      <c r="P5" s="150">
        <f>+IF(B[[#This Row],[Valore inserito manualmente]]&gt;0,B[[#This Row],[Valore inserito manualmente]],B[[#This Row],[Valore catastale]])</f>
        <v>302400</v>
      </c>
      <c r="Q5" s="150">
        <f>+IF(OR(B[[#This Row],[Opzione per prezzo-valore (s/n)]]="s",B[[#This Row],[Valore inserito manualmente]]=0),B[[#This Row],[Valore catastale]],B[[#This Row],[Valore inserito manualmente]])</f>
        <v>302400</v>
      </c>
      <c r="R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82400</v>
      </c>
      <c r="S5" s="150">
        <f>+IF(B[[#This Row],[Bene]]="","",VLOOKUP(B[[#This Row],[Tipologia]],TipoImm[],3,0)*B[[#This Row],[Imponibile Iva]])</f>
        <v>0</v>
      </c>
      <c r="T5" s="150">
        <f>+IF(B[[#This Row],[Bene]]="","",VLOOKUP(B[[#This Row],[Tipologia]],TipoImm[],6,0)*B[[#This Row],[Valore catastale]]+VLOOKUP(B[[#This Row],[Tipologia]],TipoImm[],4,0))</f>
        <v>200</v>
      </c>
      <c r="U5" s="150">
        <f>+IF(B[[#This Row],[Bene]]="","",VLOOKUP(B[[#This Row],[Tipologia]],TipoImm[],8,0)*B[[#This Row],[Valore normale]]+VLOOKUP(B[[#This Row],[Tipologia]],TipoImm[],9,0))</f>
        <v>12000</v>
      </c>
      <c r="V5" s="150">
        <f>+IF(OR(B[[#This Row],[Bene]]="",B[[#This Row],[Agevolabile]]=0),0,VLOOKUP(B[[#This Row],[Tipologia]],TipoImm[],5,0))</f>
        <v>200</v>
      </c>
      <c r="W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50">
        <f>SUM(B[[#This Row],[Imposta di registro in misura fissa agevolata]:[Imposta di registro prop. Agevolata]])</f>
        <v>200</v>
      </c>
      <c r="Y5" s="150">
        <f>+IF(B[[#This Row],[Bene]]="",0,VLOOKUP(B[[#This Row],[Tipologia]],TipoImm[],10,0))</f>
        <v>400</v>
      </c>
      <c r="Z5" s="152" t="str">
        <f>+IF(p=3,"",IF(B[[#This Row],[Tipologia]]="","",VLOOKUP(B[[#This Row],[Tipologia]],TipoImm[],MATCH($Z$4,Tabelle!$AF$1:$AR$1,0),0)))</f>
        <v>Esente art. 10 c.1 n 8 ter</v>
      </c>
    </row>
    <row r="6" spans="1:26" x14ac:dyDescent="0.2">
      <c r="A6" s="126"/>
      <c r="B6" s="126"/>
      <c r="C6" s="146"/>
      <c r="D6" s="127"/>
      <c r="E6" s="126"/>
      <c r="F6" s="144"/>
      <c r="G6" s="145"/>
      <c r="H6" s="145"/>
      <c r="I6" s="145"/>
      <c r="J6" s="145"/>
      <c r="K6" s="146"/>
      <c r="L6" s="145"/>
      <c r="M6" s="153"/>
      <c r="N6" s="148">
        <f>+IF(B[[#This Row],[Categoria Catastale]]="",0,VLOOKUP(B[[#This Row],[Categoria Catastale]],Gruppi[],6,0)*B[[#This Row],[Rendita catastale]])</f>
        <v>0</v>
      </c>
      <c r="O6" s="149" t="str">
        <f t="shared" si="0"/>
        <v/>
      </c>
      <c r="P6" s="150">
        <f>+IF(B[[#This Row],[Valore inserito manualmente]]&gt;0,B[[#This Row],[Valore inserito manualmente]],B[[#This Row],[Valore catastale]])</f>
        <v>0</v>
      </c>
      <c r="Q6" s="150">
        <f>+IF(OR(B[[#This Row],[Opzione per prezzo-valore (s/n)]]="s",B[[#This Row],[Valore inserito manualmente]]=0),B[[#This Row],[Valore catastale]],B[[#This Row],[Valore inserito manualmente]])</f>
        <v>0</v>
      </c>
      <c r="R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50" t="str">
        <f>+IF(B[[#This Row],[Bene]]="","",VLOOKUP(B[[#This Row],[Tipologia]],TipoImm[],3,0)*B[[#This Row],[Imponibile Iva]])</f>
        <v/>
      </c>
      <c r="T6" s="150" t="str">
        <f>+IF(B[[#This Row],[Bene]]="","",VLOOKUP(B[[#This Row],[Tipologia]],TipoImm[],6,0)*B[[#This Row],[Valore catastale]]+VLOOKUP(B[[#This Row],[Tipologia]],TipoImm[],4,0))</f>
        <v/>
      </c>
      <c r="U6" s="154" t="str">
        <f>+IF(B[[#This Row],[Bene]]="","",VLOOKUP(B[[#This Row],[Tipologia]],TipoImm[],8,0)*B[[#This Row],[Valore normale]]+VLOOKUP(B[[#This Row],[Tipologia]],TipoImm[],9,0))</f>
        <v/>
      </c>
      <c r="V6" s="150">
        <f>+IF(OR(B[[#This Row],[Bene]]="",B[[#This Row],[Agevolabile]]=0),0,VLOOKUP(B[[#This Row],[Tipologia]],TipoImm[],5,0))</f>
        <v>0</v>
      </c>
      <c r="W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50">
        <f>SUM(B[[#This Row],[Imposta di registro in misura fissa agevolata]:[Imposta di registro prop. Agevolata]])</f>
        <v>0</v>
      </c>
      <c r="Y6" s="150">
        <f>+IF(B[[#This Row],[Bene]]="",0,VLOOKUP(B[[#This Row],[Tipologia]],TipoImm[],10,0))</f>
        <v>0</v>
      </c>
      <c r="Z6" s="152" t="str">
        <f>+IF(p=3,"",IF(B[[#This Row],[Tipologia]]="","",VLOOKUP(B[[#This Row],[Tipologia]],TipoImm[],MATCH($Z$4,Tabelle!$AF$1:$AR$1,0),0)))</f>
        <v/>
      </c>
    </row>
    <row r="7" spans="1:26" x14ac:dyDescent="0.2">
      <c r="A7" s="126"/>
      <c r="B7" s="126"/>
      <c r="C7" s="146"/>
      <c r="D7" s="127"/>
      <c r="E7" s="126"/>
      <c r="F7" s="155"/>
      <c r="G7" s="156"/>
      <c r="H7" s="156"/>
      <c r="I7" s="156"/>
      <c r="J7" s="145"/>
      <c r="K7" s="146"/>
      <c r="L7" s="156"/>
      <c r="M7" s="153"/>
      <c r="N7" s="148">
        <f>+IF(B[[#This Row],[Categoria Catastale]]="",0,VLOOKUP(B[[#This Row],[Categoria Catastale]],Gruppi[],6,0)*B[[#This Row],[Rendita catastale]])</f>
        <v>0</v>
      </c>
      <c r="O7" s="149" t="str">
        <f t="shared" si="0"/>
        <v/>
      </c>
      <c r="P7" s="150">
        <f>+IF(B[[#This Row],[Valore inserito manualmente]]&gt;0,B[[#This Row],[Valore inserito manualmente]],B[[#This Row],[Valore catastale]])</f>
        <v>0</v>
      </c>
      <c r="Q7" s="150">
        <f>+IF(OR(B[[#This Row],[Opzione per prezzo-valore (s/n)]]="s",B[[#This Row],[Valore inserito manualmente]]=0),B[[#This Row],[Valore catastale]],B[[#This Row],[Valore inserito manualmente]])</f>
        <v>0</v>
      </c>
      <c r="R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50" t="str">
        <f>+IF(B[[#This Row],[Bene]]="","",VLOOKUP(B[[#This Row],[Tipologia]],TipoImm[],3,0)*B[[#This Row],[Imponibile Iva]])</f>
        <v/>
      </c>
      <c r="T7" s="150" t="str">
        <f>+IF(B[[#This Row],[Bene]]="","",VLOOKUP(B[[#This Row],[Tipologia]],TipoImm[],6,0)*B[[#This Row],[Valore catastale]]+VLOOKUP(B[[#This Row],[Tipologia]],TipoImm[],4,0))</f>
        <v/>
      </c>
      <c r="U7" s="154" t="str">
        <f>+IF(B[[#This Row],[Bene]]="","",VLOOKUP(B[[#This Row],[Tipologia]],TipoImm[],8,0)*B[[#This Row],[Valore normale]]+VLOOKUP(B[[#This Row],[Tipologia]],TipoImm[],9,0))</f>
        <v/>
      </c>
      <c r="V7" s="150">
        <f>+IF(OR(B[[#This Row],[Bene]]="",B[[#This Row],[Agevolabile]]=0),0,VLOOKUP(B[[#This Row],[Tipologia]],TipoImm[],5,0))</f>
        <v>0</v>
      </c>
      <c r="W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50">
        <f>SUM(B[[#This Row],[Imposta di registro in misura fissa agevolata]:[Imposta di registro prop. Agevolata]])</f>
        <v>0</v>
      </c>
      <c r="Y7" s="150">
        <f>+IF(B[[#This Row],[Bene]]="",0,VLOOKUP(B[[#This Row],[Tipologia]],TipoImm[],10,0))</f>
        <v>0</v>
      </c>
      <c r="Z7" s="152" t="str">
        <f>+IF(p=3,"",IF(B[[#This Row],[Tipologia]]="","",VLOOKUP(B[[#This Row],[Tipologia]],TipoImm[],MATCH($Z$4,Tabelle!$AF$1:$AR$1,0),0)))</f>
        <v/>
      </c>
    </row>
    <row r="8" spans="1:26" x14ac:dyDescent="0.2">
      <c r="A8" s="126"/>
      <c r="B8" s="126"/>
      <c r="C8" s="146"/>
      <c r="D8" s="127"/>
      <c r="E8" s="126"/>
      <c r="F8" s="155"/>
      <c r="G8" s="156"/>
      <c r="H8" s="156"/>
      <c r="I8" s="156"/>
      <c r="J8" s="145"/>
      <c r="K8" s="146"/>
      <c r="L8" s="156"/>
      <c r="M8" s="153"/>
      <c r="N8" s="148">
        <f>+IF(B[[#This Row],[Categoria Catastale]]="",0,VLOOKUP(B[[#This Row],[Categoria Catastale]],Gruppi[],6,0)*B[[#This Row],[Rendita catastale]])</f>
        <v>0</v>
      </c>
      <c r="O8" s="149" t="str">
        <f t="shared" si="0"/>
        <v/>
      </c>
      <c r="P8" s="150">
        <f>+IF(B[[#This Row],[Valore inserito manualmente]]&gt;0,B[[#This Row],[Valore inserito manualmente]],B[[#This Row],[Valore catastale]])</f>
        <v>0</v>
      </c>
      <c r="Q8" s="150">
        <f>+IF(OR(B[[#This Row],[Opzione per prezzo-valore (s/n)]]="s",B[[#This Row],[Valore inserito manualmente]]=0),B[[#This Row],[Valore catastale]],B[[#This Row],[Valore inserito manualmente]])</f>
        <v>0</v>
      </c>
      <c r="R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50" t="str">
        <f>+IF(B[[#This Row],[Bene]]="","",VLOOKUP(B[[#This Row],[Tipologia]],TipoImm[],3,0)*B[[#This Row],[Imponibile Iva]])</f>
        <v/>
      </c>
      <c r="T8" s="150" t="str">
        <f>+IF(B[[#This Row],[Bene]]="","",VLOOKUP(B[[#This Row],[Tipologia]],TipoImm[],6,0)*B[[#This Row],[Valore catastale]]+VLOOKUP(B[[#This Row],[Tipologia]],TipoImm[],4,0))</f>
        <v/>
      </c>
      <c r="U8" s="154" t="str">
        <f>+IF(B[[#This Row],[Bene]]="","",VLOOKUP(B[[#This Row],[Tipologia]],TipoImm[],8,0)*B[[#This Row],[Valore normale]]+VLOOKUP(B[[#This Row],[Tipologia]],TipoImm[],9,0))</f>
        <v/>
      </c>
      <c r="V8" s="150">
        <f>+IF(OR(B[[#This Row],[Bene]]="",B[[#This Row],[Agevolabile]]=0),0,VLOOKUP(B[[#This Row],[Tipologia]],TipoImm[],5,0))</f>
        <v>0</v>
      </c>
      <c r="W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50">
        <f>SUM(B[[#This Row],[Imposta di registro in misura fissa agevolata]:[Imposta di registro prop. Agevolata]])</f>
        <v>0</v>
      </c>
      <c r="Y8" s="150">
        <f>+IF(B[[#This Row],[Bene]]="",0,VLOOKUP(B[[#This Row],[Tipologia]],TipoImm[],10,0))</f>
        <v>0</v>
      </c>
      <c r="Z8" s="152" t="str">
        <f>+IF(p=3,"",IF(B[[#This Row],[Tipologia]]="","",VLOOKUP(B[[#This Row],[Tipologia]],TipoImm[],MATCH($Z$4,Tabelle!$AF$1:$AR$1,0),0)))</f>
        <v/>
      </c>
    </row>
    <row r="9" spans="1:26" x14ac:dyDescent="0.2">
      <c r="A9" s="126"/>
      <c r="B9" s="126"/>
      <c r="C9" s="146"/>
      <c r="D9" s="127"/>
      <c r="E9" s="126"/>
      <c r="F9" s="155"/>
      <c r="G9" s="156"/>
      <c r="H9" s="156"/>
      <c r="I9" s="156"/>
      <c r="J9" s="145"/>
      <c r="K9" s="146"/>
      <c r="L9" s="156"/>
      <c r="M9" s="153"/>
      <c r="N9" s="148">
        <f>+IF(B[[#This Row],[Categoria Catastale]]="",0,VLOOKUP(B[[#This Row],[Categoria Catastale]],Gruppi[],6,0)*B[[#This Row],[Rendita catastale]])</f>
        <v>0</v>
      </c>
      <c r="O9" s="149" t="str">
        <f t="shared" si="0"/>
        <v/>
      </c>
      <c r="P9" s="150">
        <f>+IF(B[[#This Row],[Valore inserito manualmente]]&gt;0,B[[#This Row],[Valore inserito manualmente]],B[[#This Row],[Valore catastale]])</f>
        <v>0</v>
      </c>
      <c r="Q9" s="150">
        <f>+IF(OR(B[[#This Row],[Opzione per prezzo-valore (s/n)]]="s",B[[#This Row],[Valore inserito manualmente]]=0),B[[#This Row],[Valore catastale]],B[[#This Row],[Valore inserito manualmente]])</f>
        <v>0</v>
      </c>
      <c r="R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50" t="str">
        <f>+IF(B[[#This Row],[Bene]]="","",VLOOKUP(B[[#This Row],[Tipologia]],TipoImm[],3,0)*B[[#This Row],[Imponibile Iva]])</f>
        <v/>
      </c>
      <c r="T9" s="150" t="str">
        <f>+IF(B[[#This Row],[Bene]]="","",VLOOKUP(B[[#This Row],[Tipologia]],TipoImm[],6,0)*B[[#This Row],[Valore catastale]]+VLOOKUP(B[[#This Row],[Tipologia]],TipoImm[],4,0))</f>
        <v/>
      </c>
      <c r="U9" s="154" t="str">
        <f>+IF(B[[#This Row],[Bene]]="","",VLOOKUP(B[[#This Row],[Tipologia]],TipoImm[],8,0)*B[[#This Row],[Valore normale]]+VLOOKUP(B[[#This Row],[Tipologia]],TipoImm[],9,0))</f>
        <v/>
      </c>
      <c r="V9" s="150">
        <f>+IF(OR(B[[#This Row],[Bene]]="",B[[#This Row],[Agevolabile]]=0),0,VLOOKUP(B[[#This Row],[Tipologia]],TipoImm[],5,0))</f>
        <v>0</v>
      </c>
      <c r="W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50">
        <f>SUM(B[[#This Row],[Imposta di registro in misura fissa agevolata]:[Imposta di registro prop. Agevolata]])</f>
        <v>0</v>
      </c>
      <c r="Y9" s="150">
        <f>+IF(B[[#This Row],[Bene]]="",0,VLOOKUP(B[[#This Row],[Tipologia]],TipoImm[],10,0))</f>
        <v>0</v>
      </c>
      <c r="Z9" s="152" t="str">
        <f>+IF(p=3,"",IF(B[[#This Row],[Tipologia]]="","",VLOOKUP(B[[#This Row],[Tipologia]],TipoImm[],MATCH($Z$4,Tabelle!$AF$1:$AR$1,0),0)))</f>
        <v/>
      </c>
    </row>
    <row r="10" spans="1:26" x14ac:dyDescent="0.2">
      <c r="A10" s="126"/>
      <c r="B10" s="126"/>
      <c r="C10" s="146"/>
      <c r="D10" s="127"/>
      <c r="E10" s="126"/>
      <c r="F10" s="155"/>
      <c r="G10" s="156"/>
      <c r="H10" s="156"/>
      <c r="I10" s="156"/>
      <c r="J10" s="145"/>
      <c r="K10" s="146"/>
      <c r="L10" s="156"/>
      <c r="M10" s="153"/>
      <c r="N10" s="148">
        <f>+IF(B[[#This Row],[Categoria Catastale]]="",0,VLOOKUP(B[[#This Row],[Categoria Catastale]],Gruppi[],6,0)*B[[#This Row],[Rendita catastale]])</f>
        <v>0</v>
      </c>
      <c r="O10" s="149" t="str">
        <f t="shared" si="0"/>
        <v/>
      </c>
      <c r="P10" s="150">
        <f>+IF(B[[#This Row],[Valore inserito manualmente]]&gt;0,B[[#This Row],[Valore inserito manualmente]],B[[#This Row],[Valore catastale]])</f>
        <v>0</v>
      </c>
      <c r="Q10" s="150">
        <f>+IF(OR(B[[#This Row],[Opzione per prezzo-valore (s/n)]]="s",B[[#This Row],[Valore inserito manualmente]]=0),B[[#This Row],[Valore catastale]],B[[#This Row],[Valore inserito manualmente]])</f>
        <v>0</v>
      </c>
      <c r="R1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50" t="str">
        <f>+IF(B[[#This Row],[Bene]]="","",VLOOKUP(B[[#This Row],[Tipologia]],TipoImm[],3,0)*B[[#This Row],[Imponibile Iva]])</f>
        <v/>
      </c>
      <c r="T10" s="150" t="str">
        <f>+IF(B[[#This Row],[Bene]]="","",VLOOKUP(B[[#This Row],[Tipologia]],TipoImm[],6,0)*B[[#This Row],[Valore catastale]]+VLOOKUP(B[[#This Row],[Tipologia]],TipoImm[],4,0))</f>
        <v/>
      </c>
      <c r="U10" s="154" t="str">
        <f>+IF(B[[#This Row],[Bene]]="","",VLOOKUP(B[[#This Row],[Tipologia]],TipoImm[],8,0)*B[[#This Row],[Valore normale]]+VLOOKUP(B[[#This Row],[Tipologia]],TipoImm[],9,0))</f>
        <v/>
      </c>
      <c r="V10" s="150">
        <f>+IF(OR(B[[#This Row],[Bene]]="",B[[#This Row],[Agevolabile]]=0),0,VLOOKUP(B[[#This Row],[Tipologia]],TipoImm[],5,0))</f>
        <v>0</v>
      </c>
      <c r="W1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50">
        <f>SUM(B[[#This Row],[Imposta di registro in misura fissa agevolata]:[Imposta di registro prop. Agevolata]])</f>
        <v>0</v>
      </c>
      <c r="Y10" s="150">
        <f>+IF(B[[#This Row],[Bene]]="",0,VLOOKUP(B[[#This Row],[Tipologia]],TipoImm[],10,0))</f>
        <v>0</v>
      </c>
      <c r="Z10" s="152" t="str">
        <f>+IF(p=3,"",IF(B[[#This Row],[Tipologia]]="","",VLOOKUP(B[[#This Row],[Tipologia]],TipoImm[],MATCH($Z$4,Tabelle!$AF$1:$AR$1,0),0)))</f>
        <v/>
      </c>
    </row>
    <row r="11" spans="1:26" x14ac:dyDescent="0.2">
      <c r="A11" s="126"/>
      <c r="B11" s="126"/>
      <c r="C11" s="146"/>
      <c r="D11" s="127"/>
      <c r="E11" s="126"/>
      <c r="F11" s="155"/>
      <c r="G11" s="156"/>
      <c r="H11" s="156"/>
      <c r="I11" s="156"/>
      <c r="J11" s="145"/>
      <c r="K11" s="146"/>
      <c r="L11" s="156"/>
      <c r="M11" s="153"/>
      <c r="N11" s="148">
        <f>+IF(B[[#This Row],[Categoria Catastale]]="",0,VLOOKUP(B[[#This Row],[Categoria Catastale]],Gruppi[],6,0)*B[[#This Row],[Rendita catastale]])</f>
        <v>0</v>
      </c>
      <c r="O11" s="149" t="str">
        <f t="shared" si="0"/>
        <v/>
      </c>
      <c r="P11" s="150">
        <f>+IF(B[[#This Row],[Valore inserito manualmente]]&gt;0,B[[#This Row],[Valore inserito manualmente]],B[[#This Row],[Valore catastale]])</f>
        <v>0</v>
      </c>
      <c r="Q11" s="150">
        <f>+IF(OR(B[[#This Row],[Opzione per prezzo-valore (s/n)]]="s",B[[#This Row],[Valore inserito manualmente]]=0),B[[#This Row],[Valore catastale]],B[[#This Row],[Valore inserito manualmente]])</f>
        <v>0</v>
      </c>
      <c r="R1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50" t="str">
        <f>+IF(B[[#This Row],[Bene]]="","",VLOOKUP(B[[#This Row],[Tipologia]],TipoImm[],3,0)*B[[#This Row],[Imponibile Iva]])</f>
        <v/>
      </c>
      <c r="T11" s="150" t="str">
        <f>+IF(B[[#This Row],[Bene]]="","",VLOOKUP(B[[#This Row],[Tipologia]],TipoImm[],6,0)*B[[#This Row],[Valore catastale]]+VLOOKUP(B[[#This Row],[Tipologia]],TipoImm[],4,0))</f>
        <v/>
      </c>
      <c r="U11" s="154" t="str">
        <f>+IF(B[[#This Row],[Bene]]="","",VLOOKUP(B[[#This Row],[Tipologia]],TipoImm[],8,0)*B[[#This Row],[Valore normale]]+VLOOKUP(B[[#This Row],[Tipologia]],TipoImm[],9,0))</f>
        <v/>
      </c>
      <c r="V11" s="150">
        <f>+IF(OR(B[[#This Row],[Bene]]="",B[[#This Row],[Agevolabile]]=0),0,VLOOKUP(B[[#This Row],[Tipologia]],TipoImm[],5,0))</f>
        <v>0</v>
      </c>
      <c r="W1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50">
        <f>SUM(B[[#This Row],[Imposta di registro in misura fissa agevolata]:[Imposta di registro prop. Agevolata]])</f>
        <v>0</v>
      </c>
      <c r="Y11" s="150">
        <f>+IF(B[[#This Row],[Bene]]="",0,VLOOKUP(B[[#This Row],[Tipologia]],TipoImm[],10,0))</f>
        <v>0</v>
      </c>
      <c r="Z11" s="152" t="str">
        <f>+IF(p=3,"",IF(B[[#This Row],[Tipologia]]="","",VLOOKUP(B[[#This Row],[Tipologia]],TipoImm[],MATCH($Z$4,Tabelle!$AF$1:$AR$1,0),0)))</f>
        <v/>
      </c>
    </row>
    <row r="12" spans="1:26" x14ac:dyDescent="0.2">
      <c r="A12" s="126"/>
      <c r="B12" s="126"/>
      <c r="C12" s="146"/>
      <c r="D12" s="127"/>
      <c r="E12" s="126"/>
      <c r="F12" s="155"/>
      <c r="G12" s="156"/>
      <c r="H12" s="156"/>
      <c r="I12" s="156"/>
      <c r="J12" s="145"/>
      <c r="K12" s="146"/>
      <c r="L12" s="156"/>
      <c r="M12" s="153"/>
      <c r="N12" s="148">
        <f>+IF(B[[#This Row],[Categoria Catastale]]="",0,VLOOKUP(B[[#This Row],[Categoria Catastale]],Gruppi[],6,0)*B[[#This Row],[Rendita catastale]])</f>
        <v>0</v>
      </c>
      <c r="O12" s="149" t="str">
        <f t="shared" si="0"/>
        <v/>
      </c>
      <c r="P12" s="150">
        <f>+IF(B[[#This Row],[Valore inserito manualmente]]&gt;0,B[[#This Row],[Valore inserito manualmente]],B[[#This Row],[Valore catastale]])</f>
        <v>0</v>
      </c>
      <c r="Q12" s="150">
        <f>+IF(OR(B[[#This Row],[Opzione per prezzo-valore (s/n)]]="s",B[[#This Row],[Valore inserito manualmente]]=0),B[[#This Row],[Valore catastale]],B[[#This Row],[Valore inserito manualmente]])</f>
        <v>0</v>
      </c>
      <c r="R1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50" t="str">
        <f>+IF(B[[#This Row],[Bene]]="","",VLOOKUP(B[[#This Row],[Tipologia]],TipoImm[],3,0)*B[[#This Row],[Imponibile Iva]])</f>
        <v/>
      </c>
      <c r="T12" s="150" t="str">
        <f>+IF(B[[#This Row],[Bene]]="","",VLOOKUP(B[[#This Row],[Tipologia]],TipoImm[],6,0)*B[[#This Row],[Valore catastale]]+VLOOKUP(B[[#This Row],[Tipologia]],TipoImm[],4,0))</f>
        <v/>
      </c>
      <c r="U12" s="154" t="str">
        <f>+IF(B[[#This Row],[Bene]]="","",VLOOKUP(B[[#This Row],[Tipologia]],TipoImm[],8,0)*B[[#This Row],[Valore normale]]+VLOOKUP(B[[#This Row],[Tipologia]],TipoImm[],9,0))</f>
        <v/>
      </c>
      <c r="V12" s="150">
        <f>+IF(OR(B[[#This Row],[Bene]]="",B[[#This Row],[Agevolabile]]=0),0,VLOOKUP(B[[#This Row],[Tipologia]],TipoImm[],5,0))</f>
        <v>0</v>
      </c>
      <c r="W1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50">
        <f>SUM(B[[#This Row],[Imposta di registro in misura fissa agevolata]:[Imposta di registro prop. Agevolata]])</f>
        <v>0</v>
      </c>
      <c r="Y12" s="150">
        <f>+IF(B[[#This Row],[Bene]]="",0,VLOOKUP(B[[#This Row],[Tipologia]],TipoImm[],10,0))</f>
        <v>0</v>
      </c>
      <c r="Z12" s="152" t="str">
        <f>+IF(p=3,"",IF(B[[#This Row],[Tipologia]]="","",VLOOKUP(B[[#This Row],[Tipologia]],TipoImm[],MATCH($Z$4,Tabelle!$AF$1:$AR$1,0),0)))</f>
        <v/>
      </c>
    </row>
    <row r="13" spans="1:26" x14ac:dyDescent="0.2">
      <c r="A13" s="126"/>
      <c r="B13" s="126"/>
      <c r="C13" s="146"/>
      <c r="D13" s="127"/>
      <c r="E13" s="126"/>
      <c r="F13" s="155"/>
      <c r="G13" s="156"/>
      <c r="H13" s="156"/>
      <c r="I13" s="156"/>
      <c r="J13" s="145"/>
      <c r="K13" s="146"/>
      <c r="L13" s="156"/>
      <c r="M13" s="153"/>
      <c r="N13" s="148">
        <f>+IF(B[[#This Row],[Categoria Catastale]]="",0,VLOOKUP(B[[#This Row],[Categoria Catastale]],Gruppi[],6,0)*B[[#This Row],[Rendita catastale]])</f>
        <v>0</v>
      </c>
      <c r="O13" s="149" t="str">
        <f t="shared" si="0"/>
        <v/>
      </c>
      <c r="P13" s="150">
        <f>+IF(B[[#This Row],[Valore inserito manualmente]]&gt;0,B[[#This Row],[Valore inserito manualmente]],B[[#This Row],[Valore catastale]])</f>
        <v>0</v>
      </c>
      <c r="Q13" s="150">
        <f>+IF(OR(B[[#This Row],[Opzione per prezzo-valore (s/n)]]="s",B[[#This Row],[Valore inserito manualmente]]=0),B[[#This Row],[Valore catastale]],B[[#This Row],[Valore inserito manualmente]])</f>
        <v>0</v>
      </c>
      <c r="R1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50" t="str">
        <f>+IF(B[[#This Row],[Bene]]="","",VLOOKUP(B[[#This Row],[Tipologia]],TipoImm[],3,0)*B[[#This Row],[Imponibile Iva]])</f>
        <v/>
      </c>
      <c r="T13" s="150" t="str">
        <f>+IF(B[[#This Row],[Bene]]="","",VLOOKUP(B[[#This Row],[Tipologia]],TipoImm[],6,0)*B[[#This Row],[Valore catastale]]+VLOOKUP(B[[#This Row],[Tipologia]],TipoImm[],4,0))</f>
        <v/>
      </c>
      <c r="U13" s="154" t="str">
        <f>+IF(B[[#This Row],[Bene]]="","",VLOOKUP(B[[#This Row],[Tipologia]],TipoImm[],8,0)*B[[#This Row],[Valore normale]]+VLOOKUP(B[[#This Row],[Tipologia]],TipoImm[],9,0))</f>
        <v/>
      </c>
      <c r="V13" s="150">
        <f>+IF(OR(B[[#This Row],[Bene]]="",B[[#This Row],[Agevolabile]]=0),0,VLOOKUP(B[[#This Row],[Tipologia]],TipoImm[],5,0))</f>
        <v>0</v>
      </c>
      <c r="W1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50">
        <f>SUM(B[[#This Row],[Imposta di registro in misura fissa agevolata]:[Imposta di registro prop. Agevolata]])</f>
        <v>0</v>
      </c>
      <c r="Y13" s="150">
        <f>+IF(B[[#This Row],[Bene]]="",0,VLOOKUP(B[[#This Row],[Tipologia]],TipoImm[],10,0))</f>
        <v>0</v>
      </c>
      <c r="Z13" s="152" t="str">
        <f>+IF(p=3,"",IF(B[[#This Row],[Tipologia]]="","",VLOOKUP(B[[#This Row],[Tipologia]],TipoImm[],MATCH($Z$4,Tabelle!$AF$1:$AR$1,0),0)))</f>
        <v/>
      </c>
    </row>
    <row r="14" spans="1:26" x14ac:dyDescent="0.2">
      <c r="A14" s="126"/>
      <c r="B14" s="126"/>
      <c r="C14" s="146"/>
      <c r="D14" s="127"/>
      <c r="E14" s="126"/>
      <c r="F14" s="155"/>
      <c r="G14" s="156"/>
      <c r="H14" s="156"/>
      <c r="I14" s="156"/>
      <c r="J14" s="145"/>
      <c r="K14" s="146"/>
      <c r="L14" s="156"/>
      <c r="M14" s="153"/>
      <c r="N14" s="148">
        <f>+IF(B[[#This Row],[Categoria Catastale]]="",0,VLOOKUP(B[[#This Row],[Categoria Catastale]],Gruppi[],6,0)*B[[#This Row],[Rendita catastale]])</f>
        <v>0</v>
      </c>
      <c r="O14" s="149" t="str">
        <f t="shared" si="0"/>
        <v/>
      </c>
      <c r="P14" s="150">
        <f>+IF(B[[#This Row],[Valore inserito manualmente]]&gt;0,B[[#This Row],[Valore inserito manualmente]],B[[#This Row],[Valore catastale]])</f>
        <v>0</v>
      </c>
      <c r="Q14" s="150">
        <f>+IF(OR(B[[#This Row],[Opzione per prezzo-valore (s/n)]]="s",B[[#This Row],[Valore inserito manualmente]]=0),B[[#This Row],[Valore catastale]],B[[#This Row],[Valore inserito manualmente]])</f>
        <v>0</v>
      </c>
      <c r="R1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50" t="str">
        <f>+IF(B[[#This Row],[Bene]]="","",VLOOKUP(B[[#This Row],[Tipologia]],TipoImm[],3,0)*B[[#This Row],[Imponibile Iva]])</f>
        <v/>
      </c>
      <c r="T14" s="150" t="str">
        <f>+IF(B[[#This Row],[Bene]]="","",VLOOKUP(B[[#This Row],[Tipologia]],TipoImm[],6,0)*B[[#This Row],[Valore catastale]]+VLOOKUP(B[[#This Row],[Tipologia]],TipoImm[],4,0))</f>
        <v/>
      </c>
      <c r="U14" s="154" t="str">
        <f>+IF(B[[#This Row],[Bene]]="","",VLOOKUP(B[[#This Row],[Tipologia]],TipoImm[],8,0)*B[[#This Row],[Valore normale]]+VLOOKUP(B[[#This Row],[Tipologia]],TipoImm[],9,0))</f>
        <v/>
      </c>
      <c r="V14" s="150">
        <f>+IF(OR(B[[#This Row],[Bene]]="",B[[#This Row],[Agevolabile]]=0),0,VLOOKUP(B[[#This Row],[Tipologia]],TipoImm[],5,0))</f>
        <v>0</v>
      </c>
      <c r="W1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50">
        <f>SUM(B[[#This Row],[Imposta di registro in misura fissa agevolata]:[Imposta di registro prop. Agevolata]])</f>
        <v>0</v>
      </c>
      <c r="Y14" s="150">
        <f>+IF(B[[#This Row],[Bene]]="",0,VLOOKUP(B[[#This Row],[Tipologia]],TipoImm[],10,0))</f>
        <v>0</v>
      </c>
      <c r="Z14" s="152" t="str">
        <f>+IF(p=3,"",IF(B[[#This Row],[Tipologia]]="","",VLOOKUP(B[[#This Row],[Tipologia]],TipoImm[],MATCH($Z$4,Tabelle!$AF$1:$AR$1,0),0)))</f>
        <v/>
      </c>
    </row>
    <row r="15" spans="1:26" x14ac:dyDescent="0.2">
      <c r="A15" s="126"/>
      <c r="B15" s="126"/>
      <c r="C15" s="146"/>
      <c r="D15" s="127"/>
      <c r="E15" s="126"/>
      <c r="F15" s="157"/>
      <c r="G15" s="156"/>
      <c r="H15" s="156"/>
      <c r="I15" s="156"/>
      <c r="J15" s="145"/>
      <c r="K15" s="146"/>
      <c r="L15" s="156"/>
      <c r="M15" s="153"/>
      <c r="N15" s="148">
        <f>+IF(B[[#This Row],[Categoria Catastale]]="",0,VLOOKUP(B[[#This Row],[Categoria Catastale]],Gruppi[],6,0)*B[[#This Row],[Rendita catastale]])</f>
        <v>0</v>
      </c>
      <c r="O15" s="149" t="str">
        <f t="shared" si="0"/>
        <v/>
      </c>
      <c r="P15" s="150">
        <f>+IF(B[[#This Row],[Valore inserito manualmente]]&gt;0,B[[#This Row],[Valore inserito manualmente]],B[[#This Row],[Valore catastale]])</f>
        <v>0</v>
      </c>
      <c r="Q15" s="150">
        <f>+IF(OR(B[[#This Row],[Opzione per prezzo-valore (s/n)]]="s",B[[#This Row],[Valore inserito manualmente]]=0),B[[#This Row],[Valore catastale]],B[[#This Row],[Valore inserito manualmente]])</f>
        <v>0</v>
      </c>
      <c r="R1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50" t="str">
        <f>+IF(B[[#This Row],[Bene]]="","",VLOOKUP(B[[#This Row],[Tipologia]],TipoImm[],3,0)*B[[#This Row],[Imponibile Iva]])</f>
        <v/>
      </c>
      <c r="T15" s="150" t="str">
        <f>+IF(B[[#This Row],[Bene]]="","",VLOOKUP(B[[#This Row],[Tipologia]],TipoImm[],6,0)*B[[#This Row],[Valore catastale]]+VLOOKUP(B[[#This Row],[Tipologia]],TipoImm[],4,0))</f>
        <v/>
      </c>
      <c r="U15" s="154" t="str">
        <f>+IF(B[[#This Row],[Bene]]="","",VLOOKUP(B[[#This Row],[Tipologia]],TipoImm[],8,0)*B[[#This Row],[Valore normale]]+VLOOKUP(B[[#This Row],[Tipologia]],TipoImm[],9,0))</f>
        <v/>
      </c>
      <c r="V15" s="150">
        <f>+IF(OR(B[[#This Row],[Bene]]="",B[[#This Row],[Agevolabile]]=0),0,VLOOKUP(B[[#This Row],[Tipologia]],TipoImm[],5,0))</f>
        <v>0</v>
      </c>
      <c r="W1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50">
        <f>SUM(B[[#This Row],[Imposta di registro in misura fissa agevolata]:[Imposta di registro prop. Agevolata]])</f>
        <v>0</v>
      </c>
      <c r="Y15" s="150">
        <f>+IF(B[[#This Row],[Bene]]="",0,VLOOKUP(B[[#This Row],[Tipologia]],TipoImm[],10,0))</f>
        <v>0</v>
      </c>
      <c r="Z15" s="152" t="str">
        <f>+IF(p=3,"",IF(B[[#This Row],[Tipologia]]="","",VLOOKUP(B[[#This Row],[Tipologia]],TipoImm[],MATCH($Z$4,Tabelle!$AF$1:$AR$1,0),0)))</f>
        <v/>
      </c>
    </row>
    <row r="16" spans="1:26" x14ac:dyDescent="0.2">
      <c r="A16" s="126"/>
      <c r="B16" s="126"/>
      <c r="C16" s="146"/>
      <c r="D16" s="127"/>
      <c r="E16" s="126"/>
      <c r="F16" s="157"/>
      <c r="G16" s="156"/>
      <c r="H16" s="156"/>
      <c r="I16" s="156"/>
      <c r="J16" s="145"/>
      <c r="K16" s="146"/>
      <c r="L16" s="156"/>
      <c r="M16" s="153"/>
      <c r="N16" s="148">
        <f>+IF(B[[#This Row],[Categoria Catastale]]="",0,VLOOKUP(B[[#This Row],[Categoria Catastale]],Gruppi[],6,0)*B[[#This Row],[Rendita catastale]])</f>
        <v>0</v>
      </c>
      <c r="O16" s="149" t="str">
        <f t="shared" si="0"/>
        <v/>
      </c>
      <c r="P16" s="150">
        <f>+IF(B[[#This Row],[Valore inserito manualmente]]&gt;0,B[[#This Row],[Valore inserito manualmente]],B[[#This Row],[Valore catastale]])</f>
        <v>0</v>
      </c>
      <c r="Q16" s="150">
        <f>+IF(OR(B[[#This Row],[Opzione per prezzo-valore (s/n)]]="s",B[[#This Row],[Valore inserito manualmente]]=0),B[[#This Row],[Valore catastale]],B[[#This Row],[Valore inserito manualmente]])</f>
        <v>0</v>
      </c>
      <c r="R1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50" t="str">
        <f>+IF(B[[#This Row],[Bene]]="","",VLOOKUP(B[[#This Row],[Tipologia]],TipoImm[],3,0)*B[[#This Row],[Imponibile Iva]])</f>
        <v/>
      </c>
      <c r="T16" s="150" t="str">
        <f>+IF(B[[#This Row],[Bene]]="","",VLOOKUP(B[[#This Row],[Tipologia]],TipoImm[],6,0)*B[[#This Row],[Valore catastale]]+VLOOKUP(B[[#This Row],[Tipologia]],TipoImm[],4,0))</f>
        <v/>
      </c>
      <c r="U16" s="154" t="str">
        <f>+IF(B[[#This Row],[Bene]]="","",VLOOKUP(B[[#This Row],[Tipologia]],TipoImm[],8,0)*B[[#This Row],[Valore normale]]+VLOOKUP(B[[#This Row],[Tipologia]],TipoImm[],9,0))</f>
        <v/>
      </c>
      <c r="V16" s="150">
        <f>+IF(OR(B[[#This Row],[Bene]]="",B[[#This Row],[Agevolabile]]=0),0,VLOOKUP(B[[#This Row],[Tipologia]],TipoImm[],5,0))</f>
        <v>0</v>
      </c>
      <c r="W1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50">
        <f>SUM(B[[#This Row],[Imposta di registro in misura fissa agevolata]:[Imposta di registro prop. Agevolata]])</f>
        <v>0</v>
      </c>
      <c r="Y16" s="150">
        <f>+IF(B[[#This Row],[Bene]]="",0,VLOOKUP(B[[#This Row],[Tipologia]],TipoImm[],10,0))</f>
        <v>0</v>
      </c>
      <c r="Z16" s="152" t="str">
        <f>+IF(p=3,"",IF(B[[#This Row],[Tipologia]]="","",VLOOKUP(B[[#This Row],[Tipologia]],TipoImm[],MATCH($Z$4,Tabelle!$AF$1:$AR$1,0),0)))</f>
        <v/>
      </c>
    </row>
    <row r="17" spans="1:26" x14ac:dyDescent="0.2">
      <c r="A17" s="126"/>
      <c r="B17" s="126"/>
      <c r="C17" s="146"/>
      <c r="D17" s="127"/>
      <c r="E17" s="126"/>
      <c r="F17" s="157"/>
      <c r="G17" s="156"/>
      <c r="H17" s="156"/>
      <c r="I17" s="156"/>
      <c r="J17" s="145"/>
      <c r="K17" s="146"/>
      <c r="L17" s="156"/>
      <c r="M17" s="153"/>
      <c r="N17" s="148">
        <f>+IF(B[[#This Row],[Categoria Catastale]]="",0,VLOOKUP(B[[#This Row],[Categoria Catastale]],Gruppi[],6,0)*B[[#This Row],[Rendita catastale]])</f>
        <v>0</v>
      </c>
      <c r="O17" s="149" t="str">
        <f t="shared" si="0"/>
        <v/>
      </c>
      <c r="P17" s="150">
        <f>+IF(B[[#This Row],[Valore inserito manualmente]]&gt;0,B[[#This Row],[Valore inserito manualmente]],B[[#This Row],[Valore catastale]])</f>
        <v>0</v>
      </c>
      <c r="Q17" s="150">
        <f>+IF(OR(B[[#This Row],[Opzione per prezzo-valore (s/n)]]="s",B[[#This Row],[Valore inserito manualmente]]=0),B[[#This Row],[Valore catastale]],B[[#This Row],[Valore inserito manualmente]])</f>
        <v>0</v>
      </c>
      <c r="R1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50" t="str">
        <f>+IF(B[[#This Row],[Bene]]="","",VLOOKUP(B[[#This Row],[Tipologia]],TipoImm[],3,0)*B[[#This Row],[Imponibile Iva]])</f>
        <v/>
      </c>
      <c r="T17" s="150" t="str">
        <f>+IF(B[[#This Row],[Bene]]="","",VLOOKUP(B[[#This Row],[Tipologia]],TipoImm[],6,0)*B[[#This Row],[Valore catastale]]+VLOOKUP(B[[#This Row],[Tipologia]],TipoImm[],4,0))</f>
        <v/>
      </c>
      <c r="U17" s="154" t="str">
        <f>+IF(B[[#This Row],[Bene]]="","",VLOOKUP(B[[#This Row],[Tipologia]],TipoImm[],8,0)*B[[#This Row],[Valore normale]]+VLOOKUP(B[[#This Row],[Tipologia]],TipoImm[],9,0))</f>
        <v/>
      </c>
      <c r="V17" s="150">
        <f>+IF(OR(B[[#This Row],[Bene]]="",B[[#This Row],[Agevolabile]]=0),0,VLOOKUP(B[[#This Row],[Tipologia]],TipoImm[],5,0))</f>
        <v>0</v>
      </c>
      <c r="W1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50">
        <f>SUM(B[[#This Row],[Imposta di registro in misura fissa agevolata]:[Imposta di registro prop. Agevolata]])</f>
        <v>0</v>
      </c>
      <c r="Y17" s="150">
        <f>+IF(B[[#This Row],[Bene]]="",0,VLOOKUP(B[[#This Row],[Tipologia]],TipoImm[],10,0))</f>
        <v>0</v>
      </c>
      <c r="Z17" s="152" t="str">
        <f>+IF(p=3,"",IF(B[[#This Row],[Tipologia]]="","",VLOOKUP(B[[#This Row],[Tipologia]],TipoImm[],MATCH($Z$4,Tabelle!$AF$1:$AR$1,0),0)))</f>
        <v/>
      </c>
    </row>
    <row r="18" spans="1:26" x14ac:dyDescent="0.2">
      <c r="A18" s="126"/>
      <c r="B18" s="126"/>
      <c r="C18" s="146"/>
      <c r="D18" s="127"/>
      <c r="E18" s="126"/>
      <c r="F18" s="157"/>
      <c r="G18" s="156"/>
      <c r="H18" s="156"/>
      <c r="I18" s="156"/>
      <c r="J18" s="145"/>
      <c r="K18" s="146"/>
      <c r="L18" s="156"/>
      <c r="M18" s="153"/>
      <c r="N18" s="148">
        <f>+IF(B[[#This Row],[Categoria Catastale]]="",0,VLOOKUP(B[[#This Row],[Categoria Catastale]],Gruppi[],6,0)*B[[#This Row],[Rendita catastale]])</f>
        <v>0</v>
      </c>
      <c r="O18" s="149" t="str">
        <f t="shared" si="0"/>
        <v/>
      </c>
      <c r="P18" s="150">
        <f>+IF(B[[#This Row],[Valore inserito manualmente]]&gt;0,B[[#This Row],[Valore inserito manualmente]],B[[#This Row],[Valore catastale]])</f>
        <v>0</v>
      </c>
      <c r="Q18" s="150">
        <f>+IF(OR(B[[#This Row],[Opzione per prezzo-valore (s/n)]]="s",B[[#This Row],[Valore inserito manualmente]]=0),B[[#This Row],[Valore catastale]],B[[#This Row],[Valore inserito manualmente]])</f>
        <v>0</v>
      </c>
      <c r="R1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50" t="str">
        <f>+IF(B[[#This Row],[Bene]]="","",VLOOKUP(B[[#This Row],[Tipologia]],TipoImm[],3,0)*B[[#This Row],[Imponibile Iva]])</f>
        <v/>
      </c>
      <c r="T18" s="150" t="str">
        <f>+IF(B[[#This Row],[Bene]]="","",VLOOKUP(B[[#This Row],[Tipologia]],TipoImm[],6,0)*B[[#This Row],[Valore catastale]]+VLOOKUP(B[[#This Row],[Tipologia]],TipoImm[],4,0))</f>
        <v/>
      </c>
      <c r="U18" s="154" t="str">
        <f>+IF(B[[#This Row],[Bene]]="","",VLOOKUP(B[[#This Row],[Tipologia]],TipoImm[],8,0)*B[[#This Row],[Valore normale]]+VLOOKUP(B[[#This Row],[Tipologia]],TipoImm[],9,0))</f>
        <v/>
      </c>
      <c r="V18" s="150">
        <f>+IF(OR(B[[#This Row],[Bene]]="",B[[#This Row],[Agevolabile]]=0),0,VLOOKUP(B[[#This Row],[Tipologia]],TipoImm[],5,0))</f>
        <v>0</v>
      </c>
      <c r="W1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50">
        <f>SUM(B[[#This Row],[Imposta di registro in misura fissa agevolata]:[Imposta di registro prop. Agevolata]])</f>
        <v>0</v>
      </c>
      <c r="Y18" s="150">
        <f>+IF(B[[#This Row],[Bene]]="",0,VLOOKUP(B[[#This Row],[Tipologia]],TipoImm[],10,0))</f>
        <v>0</v>
      </c>
      <c r="Z18" s="152" t="str">
        <f>+IF(p=3,"",IF(B[[#This Row],[Tipologia]]="","",VLOOKUP(B[[#This Row],[Tipologia]],TipoImm[],MATCH($Z$4,Tabelle!$AF$1:$AR$1,0),0)))</f>
        <v/>
      </c>
    </row>
    <row r="19" spans="1:26" x14ac:dyDescent="0.2">
      <c r="A19" s="126"/>
      <c r="B19" s="126"/>
      <c r="C19" s="146"/>
      <c r="D19" s="127"/>
      <c r="E19" s="126"/>
      <c r="F19" s="157"/>
      <c r="G19" s="156"/>
      <c r="H19" s="156"/>
      <c r="I19" s="156"/>
      <c r="J19" s="145"/>
      <c r="K19" s="146"/>
      <c r="L19" s="156"/>
      <c r="M19" s="153"/>
      <c r="N19" s="148">
        <f>+IF(B[[#This Row],[Categoria Catastale]]="",0,VLOOKUP(B[[#This Row],[Categoria Catastale]],Gruppi[],6,0)*B[[#This Row],[Rendita catastale]])</f>
        <v>0</v>
      </c>
      <c r="O19" s="149" t="str">
        <f t="shared" si="0"/>
        <v/>
      </c>
      <c r="P19" s="150">
        <f>+IF(B[[#This Row],[Valore inserito manualmente]]&gt;0,B[[#This Row],[Valore inserito manualmente]],B[[#This Row],[Valore catastale]])</f>
        <v>0</v>
      </c>
      <c r="Q19" s="150">
        <f>+IF(OR(B[[#This Row],[Opzione per prezzo-valore (s/n)]]="s",B[[#This Row],[Valore inserito manualmente]]=0),B[[#This Row],[Valore catastale]],B[[#This Row],[Valore inserito manualmente]])</f>
        <v>0</v>
      </c>
      <c r="R1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50" t="str">
        <f>+IF(B[[#This Row],[Bene]]="","",VLOOKUP(B[[#This Row],[Tipologia]],TipoImm[],3,0)*B[[#This Row],[Imponibile Iva]])</f>
        <v/>
      </c>
      <c r="T19" s="150" t="str">
        <f>+IF(B[[#This Row],[Bene]]="","",VLOOKUP(B[[#This Row],[Tipologia]],TipoImm[],6,0)*B[[#This Row],[Valore catastale]]+VLOOKUP(B[[#This Row],[Tipologia]],TipoImm[],4,0))</f>
        <v/>
      </c>
      <c r="U19" s="154" t="str">
        <f>+IF(B[[#This Row],[Bene]]="","",VLOOKUP(B[[#This Row],[Tipologia]],TipoImm[],8,0)*B[[#This Row],[Valore normale]]+VLOOKUP(B[[#This Row],[Tipologia]],TipoImm[],9,0))</f>
        <v/>
      </c>
      <c r="V19" s="150">
        <f>+IF(OR(B[[#This Row],[Bene]]="",B[[#This Row],[Agevolabile]]=0),0,VLOOKUP(B[[#This Row],[Tipologia]],TipoImm[],5,0))</f>
        <v>0</v>
      </c>
      <c r="W1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50">
        <f>SUM(B[[#This Row],[Imposta di registro in misura fissa agevolata]:[Imposta di registro prop. Agevolata]])</f>
        <v>0</v>
      </c>
      <c r="Y19" s="150">
        <f>+IF(B[[#This Row],[Bene]]="",0,VLOOKUP(B[[#This Row],[Tipologia]],TipoImm[],10,0))</f>
        <v>0</v>
      </c>
      <c r="Z19" s="152" t="str">
        <f>+IF(p=3,"",IF(B[[#This Row],[Tipologia]]="","",VLOOKUP(B[[#This Row],[Tipologia]],TipoImm[],MATCH($Z$4,Tabelle!$AF$1:$AR$1,0),0)))</f>
        <v/>
      </c>
    </row>
    <row r="20" spans="1:26" x14ac:dyDescent="0.2">
      <c r="A20" s="126"/>
      <c r="B20" s="126"/>
      <c r="C20" s="146"/>
      <c r="D20" s="127"/>
      <c r="E20" s="126"/>
      <c r="F20" s="157"/>
      <c r="G20" s="156"/>
      <c r="H20" s="156"/>
      <c r="I20" s="156"/>
      <c r="J20" s="145"/>
      <c r="K20" s="146"/>
      <c r="L20" s="156"/>
      <c r="M20" s="153"/>
      <c r="N20" s="148">
        <f>+IF(B[[#This Row],[Categoria Catastale]]="",0,VLOOKUP(B[[#This Row],[Categoria Catastale]],Gruppi[],6,0)*B[[#This Row],[Rendita catastale]])</f>
        <v>0</v>
      </c>
      <c r="O20" s="149" t="str">
        <f t="shared" si="0"/>
        <v/>
      </c>
      <c r="P20" s="150">
        <f>+IF(B[[#This Row],[Valore inserito manualmente]]&gt;0,B[[#This Row],[Valore inserito manualmente]],B[[#This Row],[Valore catastale]])</f>
        <v>0</v>
      </c>
      <c r="Q20" s="150">
        <f>+IF(OR(B[[#This Row],[Opzione per prezzo-valore (s/n)]]="s",B[[#This Row],[Valore inserito manualmente]]=0),B[[#This Row],[Valore catastale]],B[[#This Row],[Valore inserito manualmente]])</f>
        <v>0</v>
      </c>
      <c r="R2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50" t="str">
        <f>+IF(B[[#This Row],[Bene]]="","",VLOOKUP(B[[#This Row],[Tipologia]],TipoImm[],3,0)*B[[#This Row],[Imponibile Iva]])</f>
        <v/>
      </c>
      <c r="T20" s="150" t="str">
        <f>+IF(B[[#This Row],[Bene]]="","",VLOOKUP(B[[#This Row],[Tipologia]],TipoImm[],6,0)*B[[#This Row],[Valore catastale]]+VLOOKUP(B[[#This Row],[Tipologia]],TipoImm[],4,0))</f>
        <v/>
      </c>
      <c r="U20" s="154" t="str">
        <f>+IF(B[[#This Row],[Bene]]="","",VLOOKUP(B[[#This Row],[Tipologia]],TipoImm[],8,0)*B[[#This Row],[Valore normale]]+VLOOKUP(B[[#This Row],[Tipologia]],TipoImm[],9,0))</f>
        <v/>
      </c>
      <c r="V20" s="150">
        <f>+IF(OR(B[[#This Row],[Bene]]="",B[[#This Row],[Agevolabile]]=0),0,VLOOKUP(B[[#This Row],[Tipologia]],TipoImm[],5,0))</f>
        <v>0</v>
      </c>
      <c r="W2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50">
        <f>SUM(B[[#This Row],[Imposta di registro in misura fissa agevolata]:[Imposta di registro prop. Agevolata]])</f>
        <v>0</v>
      </c>
      <c r="Y20" s="150">
        <f>+IF(B[[#This Row],[Bene]]="",0,VLOOKUP(B[[#This Row],[Tipologia]],TipoImm[],10,0))</f>
        <v>0</v>
      </c>
      <c r="Z20" s="152" t="str">
        <f>+IF(p=3,"",IF(B[[#This Row],[Tipologia]]="","",VLOOKUP(B[[#This Row],[Tipologia]],TipoImm[],MATCH($Z$4,Tabelle!$AF$1:$AR$1,0),0)))</f>
        <v/>
      </c>
    </row>
    <row r="21" spans="1:26" x14ac:dyDescent="0.2">
      <c r="A21" s="126"/>
      <c r="B21" s="126"/>
      <c r="C21" s="146"/>
      <c r="D21" s="127"/>
      <c r="E21" s="126"/>
      <c r="F21" s="158"/>
      <c r="G21" s="159"/>
      <c r="H21" s="159"/>
      <c r="I21" s="159"/>
      <c r="J21" s="145"/>
      <c r="K21" s="146"/>
      <c r="L21" s="159"/>
      <c r="M21" s="153"/>
      <c r="N21" s="148">
        <f>+IF(B[[#This Row],[Categoria Catastale]]="",0,VLOOKUP(B[[#This Row],[Categoria Catastale]],Gruppi[],6,0)*B[[#This Row],[Rendita catastale]])</f>
        <v>0</v>
      </c>
      <c r="O21" s="149" t="str">
        <f t="shared" si="0"/>
        <v/>
      </c>
      <c r="P21" s="150">
        <f>+IF(B[[#This Row],[Valore inserito manualmente]]&gt;0,B[[#This Row],[Valore inserito manualmente]],B[[#This Row],[Valore catastale]])</f>
        <v>0</v>
      </c>
      <c r="Q21" s="150">
        <f>+IF(OR(B[[#This Row],[Opzione per prezzo-valore (s/n)]]="s",B[[#This Row],[Valore inserito manualmente]]=0),B[[#This Row],[Valore catastale]],B[[#This Row],[Valore inserito manualmente]])</f>
        <v>0</v>
      </c>
      <c r="R2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50" t="str">
        <f>+IF(B[[#This Row],[Bene]]="","",VLOOKUP(B[[#This Row],[Tipologia]],TipoImm[],3,0)*B[[#This Row],[Imponibile Iva]])</f>
        <v/>
      </c>
      <c r="T21" s="150" t="str">
        <f>+IF(B[[#This Row],[Bene]]="","",VLOOKUP(B[[#This Row],[Tipologia]],TipoImm[],6,0)*B[[#This Row],[Valore catastale]]+VLOOKUP(B[[#This Row],[Tipologia]],TipoImm[],4,0))</f>
        <v/>
      </c>
      <c r="U21" s="154" t="str">
        <f>+IF(B[[#This Row],[Bene]]="","",VLOOKUP(B[[#This Row],[Tipologia]],TipoImm[],8,0)*B[[#This Row],[Valore normale]]+VLOOKUP(B[[#This Row],[Tipologia]],TipoImm[],9,0))</f>
        <v/>
      </c>
      <c r="V21" s="150">
        <f>+IF(OR(B[[#This Row],[Bene]]="",B[[#This Row],[Agevolabile]]=0),0,VLOOKUP(B[[#This Row],[Tipologia]],TipoImm[],5,0))</f>
        <v>0</v>
      </c>
      <c r="W2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50">
        <f>SUM(B[[#This Row],[Imposta di registro in misura fissa agevolata]:[Imposta di registro prop. Agevolata]])</f>
        <v>0</v>
      </c>
      <c r="Y21" s="150">
        <f>+IF(B[[#This Row],[Bene]]="",0,VLOOKUP(B[[#This Row],[Tipologia]],TipoImm[],10,0))</f>
        <v>0</v>
      </c>
      <c r="Z21" s="152" t="str">
        <f>+IF(p=3,"",IF(B[[#This Row],[Tipologia]]="","",VLOOKUP(B[[#This Row],[Tipologia]],TipoImm[],MATCH($Z$4,Tabelle!$AF$1:$AR$1,0),0)))</f>
        <v/>
      </c>
    </row>
    <row r="22" spans="1:26" x14ac:dyDescent="0.2">
      <c r="A22" s="126"/>
      <c r="B22" s="126"/>
      <c r="C22" s="146"/>
      <c r="D22" s="127"/>
      <c r="E22" s="126"/>
      <c r="F22" s="158"/>
      <c r="G22" s="159"/>
      <c r="H22" s="159"/>
      <c r="I22" s="159"/>
      <c r="J22" s="145"/>
      <c r="K22" s="146"/>
      <c r="L22" s="159"/>
      <c r="M22" s="153"/>
      <c r="N22" s="148">
        <f>+IF(B[[#This Row],[Categoria Catastale]]="",0,VLOOKUP(B[[#This Row],[Categoria Catastale]],Gruppi[],6,0)*B[[#This Row],[Rendita catastale]])</f>
        <v>0</v>
      </c>
      <c r="O22" s="149" t="str">
        <f t="shared" si="0"/>
        <v/>
      </c>
      <c r="P22" s="150">
        <f>+IF(B[[#This Row],[Valore inserito manualmente]]&gt;0,B[[#This Row],[Valore inserito manualmente]],B[[#This Row],[Valore catastale]])</f>
        <v>0</v>
      </c>
      <c r="Q22" s="150">
        <f>+IF(OR(B[[#This Row],[Opzione per prezzo-valore (s/n)]]="s",B[[#This Row],[Valore inserito manualmente]]=0),B[[#This Row],[Valore catastale]],B[[#This Row],[Valore inserito manualmente]])</f>
        <v>0</v>
      </c>
      <c r="R2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50" t="str">
        <f>+IF(B[[#This Row],[Bene]]="","",VLOOKUP(B[[#This Row],[Tipologia]],TipoImm[],3,0)*B[[#This Row],[Imponibile Iva]])</f>
        <v/>
      </c>
      <c r="T22" s="150" t="str">
        <f>+IF(B[[#This Row],[Bene]]="","",VLOOKUP(B[[#This Row],[Tipologia]],TipoImm[],6,0)*B[[#This Row],[Valore catastale]]+VLOOKUP(B[[#This Row],[Tipologia]],TipoImm[],4,0))</f>
        <v/>
      </c>
      <c r="U22" s="154" t="str">
        <f>+IF(B[[#This Row],[Bene]]="","",VLOOKUP(B[[#This Row],[Tipologia]],TipoImm[],8,0)*B[[#This Row],[Valore normale]]+VLOOKUP(B[[#This Row],[Tipologia]],TipoImm[],9,0))</f>
        <v/>
      </c>
      <c r="V22" s="150">
        <f>+IF(OR(B[[#This Row],[Bene]]="",B[[#This Row],[Agevolabile]]=0),0,VLOOKUP(B[[#This Row],[Tipologia]],TipoImm[],5,0))</f>
        <v>0</v>
      </c>
      <c r="W2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50">
        <f>SUM(B[[#This Row],[Imposta di registro in misura fissa agevolata]:[Imposta di registro prop. Agevolata]])</f>
        <v>0</v>
      </c>
      <c r="Y22" s="150">
        <f>+IF(B[[#This Row],[Bene]]="",0,VLOOKUP(B[[#This Row],[Tipologia]],TipoImm[],10,0))</f>
        <v>0</v>
      </c>
      <c r="Z22" s="152" t="str">
        <f>+IF(p=3,"",IF(B[[#This Row],[Tipologia]]="","",VLOOKUP(B[[#This Row],[Tipologia]],TipoImm[],MATCH($Z$4,Tabelle!$AF$1:$AR$1,0),0)))</f>
        <v/>
      </c>
    </row>
    <row r="23" spans="1:26" x14ac:dyDescent="0.2">
      <c r="A23" s="126"/>
      <c r="B23" s="126"/>
      <c r="C23" s="146"/>
      <c r="D23" s="127"/>
      <c r="E23" s="126"/>
      <c r="F23" s="158"/>
      <c r="G23" s="159"/>
      <c r="H23" s="159"/>
      <c r="I23" s="159"/>
      <c r="J23" s="145"/>
      <c r="K23" s="146"/>
      <c r="L23" s="159"/>
      <c r="M23" s="153"/>
      <c r="N23" s="148">
        <f>+IF(B[[#This Row],[Categoria Catastale]]="",0,VLOOKUP(B[[#This Row],[Categoria Catastale]],Gruppi[],6,0)*B[[#This Row],[Rendita catastale]])</f>
        <v>0</v>
      </c>
      <c r="O23" s="149" t="str">
        <f t="shared" si="0"/>
        <v/>
      </c>
      <c r="P23" s="150">
        <f>+IF(B[[#This Row],[Valore inserito manualmente]]&gt;0,B[[#This Row],[Valore inserito manualmente]],B[[#This Row],[Valore catastale]])</f>
        <v>0</v>
      </c>
      <c r="Q23" s="150">
        <f>+IF(OR(B[[#This Row],[Opzione per prezzo-valore (s/n)]]="s",B[[#This Row],[Valore inserito manualmente]]=0),B[[#This Row],[Valore catastale]],B[[#This Row],[Valore inserito manualmente]])</f>
        <v>0</v>
      </c>
      <c r="R2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50" t="str">
        <f>+IF(B[[#This Row],[Bene]]="","",VLOOKUP(B[[#This Row],[Tipologia]],TipoImm[],3,0)*B[[#This Row],[Imponibile Iva]])</f>
        <v/>
      </c>
      <c r="T23" s="150" t="str">
        <f>+IF(B[[#This Row],[Bene]]="","",VLOOKUP(B[[#This Row],[Tipologia]],TipoImm[],6,0)*B[[#This Row],[Valore catastale]]+VLOOKUP(B[[#This Row],[Tipologia]],TipoImm[],4,0))</f>
        <v/>
      </c>
      <c r="U23" s="154" t="str">
        <f>+IF(B[[#This Row],[Bene]]="","",VLOOKUP(B[[#This Row],[Tipologia]],TipoImm[],8,0)*B[[#This Row],[Valore normale]]+VLOOKUP(B[[#This Row],[Tipologia]],TipoImm[],9,0))</f>
        <v/>
      </c>
      <c r="V23" s="150">
        <f>+IF(OR(B[[#This Row],[Bene]]="",B[[#This Row],[Agevolabile]]=0),0,VLOOKUP(B[[#This Row],[Tipologia]],TipoImm[],5,0))</f>
        <v>0</v>
      </c>
      <c r="W2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50">
        <f>SUM(B[[#This Row],[Imposta di registro in misura fissa agevolata]:[Imposta di registro prop. Agevolata]])</f>
        <v>0</v>
      </c>
      <c r="Y23" s="150">
        <f>+IF(B[[#This Row],[Bene]]="",0,VLOOKUP(B[[#This Row],[Tipologia]],TipoImm[],10,0))</f>
        <v>0</v>
      </c>
      <c r="Z23" s="152" t="str">
        <f>+IF(p=3,"",IF(B[[#This Row],[Tipologia]]="","",VLOOKUP(B[[#This Row],[Tipologia]],TipoImm[],MATCH($Z$4,Tabelle!$AF$1:$AR$1,0),0)))</f>
        <v/>
      </c>
    </row>
    <row r="24" spans="1:26" x14ac:dyDescent="0.2">
      <c r="A24" s="126"/>
      <c r="B24" s="126"/>
      <c r="C24" s="146"/>
      <c r="D24" s="127"/>
      <c r="E24" s="126"/>
      <c r="F24" s="158"/>
      <c r="G24" s="159"/>
      <c r="H24" s="159"/>
      <c r="I24" s="159"/>
      <c r="J24" s="145"/>
      <c r="K24" s="146"/>
      <c r="L24" s="159"/>
      <c r="M24" s="153"/>
      <c r="N24" s="148">
        <f>+IF(B[[#This Row],[Categoria Catastale]]="",0,VLOOKUP(B[[#This Row],[Categoria Catastale]],Gruppi[],6,0)*B[[#This Row],[Rendita catastale]])</f>
        <v>0</v>
      </c>
      <c r="O24" s="149" t="str">
        <f t="shared" si="0"/>
        <v/>
      </c>
      <c r="P24" s="150">
        <f>+IF(B[[#This Row],[Valore inserito manualmente]]&gt;0,B[[#This Row],[Valore inserito manualmente]],B[[#This Row],[Valore catastale]])</f>
        <v>0</v>
      </c>
      <c r="Q24" s="150">
        <f>+IF(OR(B[[#This Row],[Opzione per prezzo-valore (s/n)]]="s",B[[#This Row],[Valore inserito manualmente]]=0),B[[#This Row],[Valore catastale]],B[[#This Row],[Valore inserito manualmente]])</f>
        <v>0</v>
      </c>
      <c r="R2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50" t="str">
        <f>+IF(B[[#This Row],[Bene]]="","",VLOOKUP(B[[#This Row],[Tipologia]],TipoImm[],3,0)*B[[#This Row],[Imponibile Iva]])</f>
        <v/>
      </c>
      <c r="T24" s="150" t="str">
        <f>+IF(B[[#This Row],[Bene]]="","",VLOOKUP(B[[#This Row],[Tipologia]],TipoImm[],6,0)*B[[#This Row],[Valore catastale]]+VLOOKUP(B[[#This Row],[Tipologia]],TipoImm[],4,0))</f>
        <v/>
      </c>
      <c r="U24" s="154" t="str">
        <f>+IF(B[[#This Row],[Bene]]="","",VLOOKUP(B[[#This Row],[Tipologia]],TipoImm[],8,0)*B[[#This Row],[Valore normale]]+VLOOKUP(B[[#This Row],[Tipologia]],TipoImm[],9,0))</f>
        <v/>
      </c>
      <c r="V24" s="150">
        <f>+IF(OR(B[[#This Row],[Bene]]="",B[[#This Row],[Agevolabile]]=0),0,VLOOKUP(B[[#This Row],[Tipologia]],TipoImm[],5,0))</f>
        <v>0</v>
      </c>
      <c r="W2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50">
        <f>SUM(B[[#This Row],[Imposta di registro in misura fissa agevolata]:[Imposta di registro prop. Agevolata]])</f>
        <v>0</v>
      </c>
      <c r="Y24" s="150">
        <f>+IF(B[[#This Row],[Bene]]="",0,VLOOKUP(B[[#This Row],[Tipologia]],TipoImm[],10,0))</f>
        <v>0</v>
      </c>
      <c r="Z24" s="152" t="str">
        <f>+IF(p=3,"",IF(B[[#This Row],[Tipologia]]="","",VLOOKUP(B[[#This Row],[Tipologia]],TipoImm[],MATCH($Z$4,Tabelle!$AF$1:$AR$1,0),0)))</f>
        <v/>
      </c>
    </row>
    <row r="25" spans="1:26" x14ac:dyDescent="0.2">
      <c r="A25" s="126"/>
      <c r="B25" s="126"/>
      <c r="C25" s="146"/>
      <c r="D25" s="127"/>
      <c r="E25" s="126"/>
      <c r="F25" s="158"/>
      <c r="G25" s="159"/>
      <c r="H25" s="159"/>
      <c r="I25" s="159"/>
      <c r="J25" s="145"/>
      <c r="K25" s="160"/>
      <c r="L25" s="161"/>
      <c r="M25" s="162"/>
      <c r="N25" s="148">
        <f>+IF(B[[#This Row],[Categoria Catastale]]="",0,VLOOKUP(B[[#This Row],[Categoria Catastale]],Gruppi[],6,0)*B[[#This Row],[Rendita catastale]])</f>
        <v>0</v>
      </c>
      <c r="O25" s="149" t="str">
        <f t="shared" si="0"/>
        <v/>
      </c>
      <c r="P25" s="150">
        <f>+IF(B[[#This Row],[Valore inserito manualmente]]&gt;0,B[[#This Row],[Valore inserito manualmente]],B[[#This Row],[Valore catastale]])</f>
        <v>0</v>
      </c>
      <c r="Q25" s="150">
        <f>+IF(OR(B[[#This Row],[Opzione per prezzo-valore (s/n)]]="s",B[[#This Row],[Valore inserito manualmente]]=0),B[[#This Row],[Valore catastale]],B[[#This Row],[Valore inserito manualmente]])</f>
        <v>0</v>
      </c>
      <c r="R2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50" t="str">
        <f>+IF(B[[#This Row],[Bene]]="","",VLOOKUP(B[[#This Row],[Tipologia]],TipoImm[],3,0)*B[[#This Row],[Imponibile Iva]])</f>
        <v/>
      </c>
      <c r="T25" s="150" t="str">
        <f>+IF(B[[#This Row],[Bene]]="","",VLOOKUP(B[[#This Row],[Tipologia]],TipoImm[],6,0)*B[[#This Row],[Valore catastale]]+VLOOKUP(B[[#This Row],[Tipologia]],TipoImm[],4,0))</f>
        <v/>
      </c>
      <c r="U25" s="154" t="str">
        <f>+IF(B[[#This Row],[Bene]]="","",VLOOKUP(B[[#This Row],[Tipologia]],TipoImm[],8,0)*B[[#This Row],[Valore normale]]+VLOOKUP(B[[#This Row],[Tipologia]],TipoImm[],9,0))</f>
        <v/>
      </c>
      <c r="V25" s="150">
        <f>+IF(OR(B[[#This Row],[Bene]]="",B[[#This Row],[Agevolabile]]=0),0,VLOOKUP(B[[#This Row],[Tipologia]],TipoImm[],5,0))</f>
        <v>0</v>
      </c>
      <c r="W2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50">
        <f>SUM(B[[#This Row],[Imposta di registro in misura fissa agevolata]:[Imposta di registro prop. Agevolata]])</f>
        <v>0</v>
      </c>
      <c r="Y25" s="150">
        <f>+IF(B[[#This Row],[Bene]]="",0,VLOOKUP(B[[#This Row],[Tipologia]],TipoImm[],10,0))</f>
        <v>0</v>
      </c>
      <c r="Z25" s="152" t="str">
        <f>+IF(p=3,"",IF(B[[#This Row],[Tipologia]]="","",VLOOKUP(B[[#This Row],[Tipologia]],TipoImm[],MATCH($Z$4,Tabelle!$AF$1:$AR$1,0),0)))</f>
        <v/>
      </c>
    </row>
    <row r="26" spans="1:26" x14ac:dyDescent="0.2">
      <c r="A26" s="126"/>
      <c r="B26" s="126"/>
      <c r="C26" s="146"/>
      <c r="D26" s="127"/>
      <c r="E26" s="126"/>
      <c r="F26" s="158"/>
      <c r="G26" s="159"/>
      <c r="H26" s="159"/>
      <c r="I26" s="159"/>
      <c r="J26" s="145"/>
      <c r="K26" s="160"/>
      <c r="L26" s="161"/>
      <c r="M26" s="162"/>
      <c r="N26" s="148">
        <f>+IF(B[[#This Row],[Categoria Catastale]]="",0,VLOOKUP(B[[#This Row],[Categoria Catastale]],Gruppi[],6,0)*B[[#This Row],[Rendita catastale]])</f>
        <v>0</v>
      </c>
      <c r="O26" s="149" t="str">
        <f t="shared" si="0"/>
        <v/>
      </c>
      <c r="P26" s="150">
        <f>+IF(B[[#This Row],[Valore inserito manualmente]]&gt;0,B[[#This Row],[Valore inserito manualmente]],B[[#This Row],[Valore catastale]])</f>
        <v>0</v>
      </c>
      <c r="Q26" s="150">
        <f>+IF(OR(B[[#This Row],[Opzione per prezzo-valore (s/n)]]="s",B[[#This Row],[Valore inserito manualmente]]=0),B[[#This Row],[Valore catastale]],B[[#This Row],[Valore inserito manualmente]])</f>
        <v>0</v>
      </c>
      <c r="R2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50" t="str">
        <f>+IF(B[[#This Row],[Bene]]="","",VLOOKUP(B[[#This Row],[Tipologia]],TipoImm[],3,0)*B[[#This Row],[Imponibile Iva]])</f>
        <v/>
      </c>
      <c r="T26" s="150" t="str">
        <f>+IF(B[[#This Row],[Bene]]="","",VLOOKUP(B[[#This Row],[Tipologia]],TipoImm[],6,0)*B[[#This Row],[Valore catastale]]+VLOOKUP(B[[#This Row],[Tipologia]],TipoImm[],4,0))</f>
        <v/>
      </c>
      <c r="U26" s="154" t="str">
        <f>+IF(B[[#This Row],[Bene]]="","",VLOOKUP(B[[#This Row],[Tipologia]],TipoImm[],8,0)*B[[#This Row],[Valore normale]]+VLOOKUP(B[[#This Row],[Tipologia]],TipoImm[],9,0))</f>
        <v/>
      </c>
      <c r="V26" s="150">
        <f>+IF(OR(B[[#This Row],[Bene]]="",B[[#This Row],[Agevolabile]]=0),0,VLOOKUP(B[[#This Row],[Tipologia]],TipoImm[],5,0))</f>
        <v>0</v>
      </c>
      <c r="W2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50">
        <f>SUM(B[[#This Row],[Imposta di registro in misura fissa agevolata]:[Imposta di registro prop. Agevolata]])</f>
        <v>0</v>
      </c>
      <c r="Y26" s="150">
        <f>+IF(B[[#This Row],[Bene]]="",0,VLOOKUP(B[[#This Row],[Tipologia]],TipoImm[],10,0))</f>
        <v>0</v>
      </c>
      <c r="Z26" s="152" t="str">
        <f>+IF(p=3,"",IF(B[[#This Row],[Tipologia]]="","",VLOOKUP(B[[#This Row],[Tipologia]],TipoImm[],MATCH($Z$4,Tabelle!$AF$1:$AR$1,0),0)))</f>
        <v/>
      </c>
    </row>
    <row r="27" spans="1:26" x14ac:dyDescent="0.2">
      <c r="A27" s="126"/>
      <c r="B27" s="126"/>
      <c r="C27" s="146"/>
      <c r="D27" s="127"/>
      <c r="E27" s="126"/>
      <c r="F27" s="158"/>
      <c r="G27" s="159"/>
      <c r="H27" s="159"/>
      <c r="I27" s="159"/>
      <c r="J27" s="145"/>
      <c r="K27" s="160"/>
      <c r="L27" s="161"/>
      <c r="M27" s="162"/>
      <c r="N27" s="148">
        <f>+IF(B[[#This Row],[Categoria Catastale]]="",0,VLOOKUP(B[[#This Row],[Categoria Catastale]],Gruppi[],6,0)*B[[#This Row],[Rendita catastale]])</f>
        <v>0</v>
      </c>
      <c r="O27" s="149" t="str">
        <f t="shared" si="0"/>
        <v/>
      </c>
      <c r="P27" s="150">
        <f>+IF(B[[#This Row],[Valore inserito manualmente]]&gt;0,B[[#This Row],[Valore inserito manualmente]],B[[#This Row],[Valore catastale]])</f>
        <v>0</v>
      </c>
      <c r="Q27" s="150">
        <f>+IF(OR(B[[#This Row],[Opzione per prezzo-valore (s/n)]]="s",B[[#This Row],[Valore inserito manualmente]]=0),B[[#This Row],[Valore catastale]],B[[#This Row],[Valore inserito manualmente]])</f>
        <v>0</v>
      </c>
      <c r="R2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50" t="str">
        <f>+IF(B[[#This Row],[Bene]]="","",VLOOKUP(B[[#This Row],[Tipologia]],TipoImm[],3,0)*B[[#This Row],[Imponibile Iva]])</f>
        <v/>
      </c>
      <c r="T27" s="150" t="str">
        <f>+IF(B[[#This Row],[Bene]]="","",VLOOKUP(B[[#This Row],[Tipologia]],TipoImm[],6,0)*B[[#This Row],[Valore catastale]]+VLOOKUP(B[[#This Row],[Tipologia]],TipoImm[],4,0))</f>
        <v/>
      </c>
      <c r="U27" s="154" t="str">
        <f>+IF(B[[#This Row],[Bene]]="","",VLOOKUP(B[[#This Row],[Tipologia]],TipoImm[],8,0)*B[[#This Row],[Valore normale]]+VLOOKUP(B[[#This Row],[Tipologia]],TipoImm[],9,0))</f>
        <v/>
      </c>
      <c r="V27" s="150">
        <f>+IF(OR(B[[#This Row],[Bene]]="",B[[#This Row],[Agevolabile]]=0),0,VLOOKUP(B[[#This Row],[Tipologia]],TipoImm[],5,0))</f>
        <v>0</v>
      </c>
      <c r="W2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50">
        <f>SUM(B[[#This Row],[Imposta di registro in misura fissa agevolata]:[Imposta di registro prop. Agevolata]])</f>
        <v>0</v>
      </c>
      <c r="Y27" s="150">
        <f>+IF(B[[#This Row],[Bene]]="",0,VLOOKUP(B[[#This Row],[Tipologia]],TipoImm[],10,0))</f>
        <v>0</v>
      </c>
      <c r="Z27" s="152" t="str">
        <f>+IF(p=3,"",IF(B[[#This Row],[Tipologia]]="","",VLOOKUP(B[[#This Row],[Tipologia]],TipoImm[],MATCH($Z$4,Tabelle!$AF$1:$AR$1,0),0)))</f>
        <v/>
      </c>
    </row>
    <row r="28" spans="1:26" x14ac:dyDescent="0.2">
      <c r="A28" s="126"/>
      <c r="B28" s="126"/>
      <c r="C28" s="146"/>
      <c r="D28" s="127"/>
      <c r="E28" s="126"/>
      <c r="F28" s="158"/>
      <c r="G28" s="159"/>
      <c r="H28" s="159"/>
      <c r="I28" s="159"/>
      <c r="J28" s="145"/>
      <c r="K28" s="160"/>
      <c r="L28" s="161"/>
      <c r="M28" s="162"/>
      <c r="N28" s="148">
        <f>+IF(B[[#This Row],[Categoria Catastale]]="",0,VLOOKUP(B[[#This Row],[Categoria Catastale]],Gruppi[],6,0)*B[[#This Row],[Rendita catastale]])</f>
        <v>0</v>
      </c>
      <c r="O28" s="149" t="str">
        <f t="shared" si="0"/>
        <v/>
      </c>
      <c r="P28" s="150">
        <f>+IF(B[[#This Row],[Valore inserito manualmente]]&gt;0,B[[#This Row],[Valore inserito manualmente]],B[[#This Row],[Valore catastale]])</f>
        <v>0</v>
      </c>
      <c r="Q28" s="150">
        <f>+IF(OR(B[[#This Row],[Opzione per prezzo-valore (s/n)]]="s",B[[#This Row],[Valore inserito manualmente]]=0),B[[#This Row],[Valore catastale]],B[[#This Row],[Valore inserito manualmente]])</f>
        <v>0</v>
      </c>
      <c r="R2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50" t="str">
        <f>+IF(B[[#This Row],[Bene]]="","",VLOOKUP(B[[#This Row],[Tipologia]],TipoImm[],3,0)*B[[#This Row],[Imponibile Iva]])</f>
        <v/>
      </c>
      <c r="T28" s="150" t="str">
        <f>+IF(B[[#This Row],[Bene]]="","",VLOOKUP(B[[#This Row],[Tipologia]],TipoImm[],6,0)*B[[#This Row],[Valore catastale]]+VLOOKUP(B[[#This Row],[Tipologia]],TipoImm[],4,0))</f>
        <v/>
      </c>
      <c r="U28" s="154" t="str">
        <f>+IF(B[[#This Row],[Bene]]="","",VLOOKUP(B[[#This Row],[Tipologia]],TipoImm[],8,0)*B[[#This Row],[Valore normale]]+VLOOKUP(B[[#This Row],[Tipologia]],TipoImm[],9,0))</f>
        <v/>
      </c>
      <c r="V28" s="150">
        <f>+IF(OR(B[[#This Row],[Bene]]="",B[[#This Row],[Agevolabile]]=0),0,VLOOKUP(B[[#This Row],[Tipologia]],TipoImm[],5,0))</f>
        <v>0</v>
      </c>
      <c r="W2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50">
        <f>SUM(B[[#This Row],[Imposta di registro in misura fissa agevolata]:[Imposta di registro prop. Agevolata]])</f>
        <v>0</v>
      </c>
      <c r="Y28" s="150">
        <f>+IF(B[[#This Row],[Bene]]="",0,VLOOKUP(B[[#This Row],[Tipologia]],TipoImm[],10,0))</f>
        <v>0</v>
      </c>
      <c r="Z28" s="152" t="str">
        <f>+IF(p=3,"",IF(B[[#This Row],[Tipologia]]="","",VLOOKUP(B[[#This Row],[Tipologia]],TipoImm[],MATCH($Z$4,Tabelle!$AF$1:$AR$1,0),0)))</f>
        <v/>
      </c>
    </row>
    <row r="29" spans="1:26" x14ac:dyDescent="0.2">
      <c r="A29" s="126"/>
      <c r="B29" s="126"/>
      <c r="C29" s="146"/>
      <c r="D29" s="127"/>
      <c r="E29" s="126"/>
      <c r="F29" s="158"/>
      <c r="G29" s="159"/>
      <c r="H29" s="159"/>
      <c r="I29" s="159"/>
      <c r="J29" s="145"/>
      <c r="K29" s="160"/>
      <c r="L29" s="161"/>
      <c r="M29" s="162"/>
      <c r="N29" s="148">
        <f>+IF(B[[#This Row],[Categoria Catastale]]="",0,VLOOKUP(B[[#This Row],[Categoria Catastale]],Gruppi[],6,0)*B[[#This Row],[Rendita catastale]])</f>
        <v>0</v>
      </c>
      <c r="O29" s="149" t="str">
        <f t="shared" si="0"/>
        <v/>
      </c>
      <c r="P29" s="150">
        <f>+IF(B[[#This Row],[Valore inserito manualmente]]&gt;0,B[[#This Row],[Valore inserito manualmente]],B[[#This Row],[Valore catastale]])</f>
        <v>0</v>
      </c>
      <c r="Q29" s="150">
        <f>+IF(OR(B[[#This Row],[Opzione per prezzo-valore (s/n)]]="s",B[[#This Row],[Valore inserito manualmente]]=0),B[[#This Row],[Valore catastale]],B[[#This Row],[Valore inserito manualmente]])</f>
        <v>0</v>
      </c>
      <c r="R2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50" t="str">
        <f>+IF(B[[#This Row],[Bene]]="","",VLOOKUP(B[[#This Row],[Tipologia]],TipoImm[],3,0)*B[[#This Row],[Imponibile Iva]])</f>
        <v/>
      </c>
      <c r="T29" s="150" t="str">
        <f>+IF(B[[#This Row],[Bene]]="","",VLOOKUP(B[[#This Row],[Tipologia]],TipoImm[],6,0)*B[[#This Row],[Valore catastale]]+VLOOKUP(B[[#This Row],[Tipologia]],TipoImm[],4,0))</f>
        <v/>
      </c>
      <c r="U29" s="154" t="str">
        <f>+IF(B[[#This Row],[Bene]]="","",VLOOKUP(B[[#This Row],[Tipologia]],TipoImm[],8,0)*B[[#This Row],[Valore normale]]+VLOOKUP(B[[#This Row],[Tipologia]],TipoImm[],9,0))</f>
        <v/>
      </c>
      <c r="V29" s="150">
        <f>+IF(OR(B[[#This Row],[Bene]]="",B[[#This Row],[Agevolabile]]=0),0,VLOOKUP(B[[#This Row],[Tipologia]],TipoImm[],5,0))</f>
        <v>0</v>
      </c>
      <c r="W2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50">
        <f>SUM(B[[#This Row],[Imposta di registro in misura fissa agevolata]:[Imposta di registro prop. Agevolata]])</f>
        <v>0</v>
      </c>
      <c r="Y29" s="150">
        <f>+IF(B[[#This Row],[Bene]]="",0,VLOOKUP(B[[#This Row],[Tipologia]],TipoImm[],10,0))</f>
        <v>0</v>
      </c>
      <c r="Z29" s="152" t="str">
        <f>+IF(p=3,"",IF(B[[#This Row],[Tipologia]]="","",VLOOKUP(B[[#This Row],[Tipologia]],TipoImm[],MATCH($Z$4,Tabelle!$AF$1:$AR$1,0),0)))</f>
        <v/>
      </c>
    </row>
    <row r="30" spans="1:26" x14ac:dyDescent="0.2">
      <c r="A30" s="126"/>
      <c r="B30" s="126"/>
      <c r="C30" s="146"/>
      <c r="D30" s="127"/>
      <c r="E30" s="126"/>
      <c r="F30" s="158"/>
      <c r="G30" s="159"/>
      <c r="H30" s="159"/>
      <c r="I30" s="159"/>
      <c r="J30" s="145"/>
      <c r="K30" s="160"/>
      <c r="L30" s="161"/>
      <c r="M30" s="162"/>
      <c r="N30" s="148">
        <f>+IF(B[[#This Row],[Categoria Catastale]]="",0,VLOOKUP(B[[#This Row],[Categoria Catastale]],Gruppi[],6,0)*B[[#This Row],[Rendita catastale]])</f>
        <v>0</v>
      </c>
      <c r="O30" s="149" t="str">
        <f t="shared" si="0"/>
        <v/>
      </c>
      <c r="P30" s="150">
        <f>+IF(B[[#This Row],[Valore inserito manualmente]]&gt;0,B[[#This Row],[Valore inserito manualmente]],B[[#This Row],[Valore catastale]])</f>
        <v>0</v>
      </c>
      <c r="Q30" s="150">
        <f>+IF(OR(B[[#This Row],[Opzione per prezzo-valore (s/n)]]="s",B[[#This Row],[Valore inserito manualmente]]=0),B[[#This Row],[Valore catastale]],B[[#This Row],[Valore inserito manualmente]])</f>
        <v>0</v>
      </c>
      <c r="R3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50" t="str">
        <f>+IF(B[[#This Row],[Bene]]="","",VLOOKUP(B[[#This Row],[Tipologia]],TipoImm[],3,0)*B[[#This Row],[Imponibile Iva]])</f>
        <v/>
      </c>
      <c r="T30" s="150" t="str">
        <f>+IF(B[[#This Row],[Bene]]="","",VLOOKUP(B[[#This Row],[Tipologia]],TipoImm[],6,0)*B[[#This Row],[Valore catastale]]+VLOOKUP(B[[#This Row],[Tipologia]],TipoImm[],4,0))</f>
        <v/>
      </c>
      <c r="U30" s="154" t="str">
        <f>+IF(B[[#This Row],[Bene]]="","",VLOOKUP(B[[#This Row],[Tipologia]],TipoImm[],8,0)*B[[#This Row],[Valore normale]]+VLOOKUP(B[[#This Row],[Tipologia]],TipoImm[],9,0))</f>
        <v/>
      </c>
      <c r="V30" s="150">
        <f>+IF(OR(B[[#This Row],[Bene]]="",B[[#This Row],[Agevolabile]]=0),0,VLOOKUP(B[[#This Row],[Tipologia]],TipoImm[],5,0))</f>
        <v>0</v>
      </c>
      <c r="W3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50">
        <f>SUM(B[[#This Row],[Imposta di registro in misura fissa agevolata]:[Imposta di registro prop. Agevolata]])</f>
        <v>0</v>
      </c>
      <c r="Y30" s="150">
        <f>+IF(B[[#This Row],[Bene]]="",0,VLOOKUP(B[[#This Row],[Tipologia]],TipoImm[],10,0))</f>
        <v>0</v>
      </c>
      <c r="Z30" s="152" t="str">
        <f>+IF(p=3,"",IF(B[[#This Row],[Tipologia]]="","",VLOOKUP(B[[#This Row],[Tipologia]],TipoImm[],MATCH($Z$4,Tabelle!$AF$1:$AR$1,0),0)))</f>
        <v/>
      </c>
    </row>
    <row r="31" spans="1:26" x14ac:dyDescent="0.2">
      <c r="A31" s="126"/>
      <c r="B31" s="126"/>
      <c r="C31" s="146"/>
      <c r="D31" s="127"/>
      <c r="E31" s="126"/>
      <c r="F31" s="158"/>
      <c r="G31" s="159"/>
      <c r="H31" s="159"/>
      <c r="I31" s="159"/>
      <c r="J31" s="145"/>
      <c r="K31" s="160"/>
      <c r="L31" s="161"/>
      <c r="M31" s="162"/>
      <c r="N31" s="148">
        <f>+IF(B[[#This Row],[Categoria Catastale]]="",0,VLOOKUP(B[[#This Row],[Categoria Catastale]],Gruppi[],6,0)*B[[#This Row],[Rendita catastale]])</f>
        <v>0</v>
      </c>
      <c r="O31" s="149" t="str">
        <f t="shared" si="0"/>
        <v/>
      </c>
      <c r="P31" s="150">
        <f>+IF(B[[#This Row],[Valore inserito manualmente]]&gt;0,B[[#This Row],[Valore inserito manualmente]],B[[#This Row],[Valore catastale]])</f>
        <v>0</v>
      </c>
      <c r="Q31" s="150">
        <f>+IF(OR(B[[#This Row],[Opzione per prezzo-valore (s/n)]]="s",B[[#This Row],[Valore inserito manualmente]]=0),B[[#This Row],[Valore catastale]],B[[#This Row],[Valore inserito manualmente]])</f>
        <v>0</v>
      </c>
      <c r="R3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50" t="str">
        <f>+IF(B[[#This Row],[Bene]]="","",VLOOKUP(B[[#This Row],[Tipologia]],TipoImm[],3,0)*B[[#This Row],[Imponibile Iva]])</f>
        <v/>
      </c>
      <c r="T31" s="150" t="str">
        <f>+IF(B[[#This Row],[Bene]]="","",VLOOKUP(B[[#This Row],[Tipologia]],TipoImm[],6,0)*B[[#This Row],[Valore catastale]]+VLOOKUP(B[[#This Row],[Tipologia]],TipoImm[],4,0))</f>
        <v/>
      </c>
      <c r="U31" s="154" t="str">
        <f>+IF(B[[#This Row],[Bene]]="","",VLOOKUP(B[[#This Row],[Tipologia]],TipoImm[],8,0)*B[[#This Row],[Valore normale]]+VLOOKUP(B[[#This Row],[Tipologia]],TipoImm[],9,0))</f>
        <v/>
      </c>
      <c r="V31" s="150">
        <f>+IF(OR(B[[#This Row],[Bene]]="",B[[#This Row],[Agevolabile]]=0),0,VLOOKUP(B[[#This Row],[Tipologia]],TipoImm[],5,0))</f>
        <v>0</v>
      </c>
      <c r="W3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50">
        <f>SUM(B[[#This Row],[Imposta di registro in misura fissa agevolata]:[Imposta di registro prop. Agevolata]])</f>
        <v>0</v>
      </c>
      <c r="Y31" s="150">
        <f>+IF(B[[#This Row],[Bene]]="",0,VLOOKUP(B[[#This Row],[Tipologia]],TipoImm[],10,0))</f>
        <v>0</v>
      </c>
      <c r="Z31" s="152" t="str">
        <f>+IF(p=3,"",IF(B[[#This Row],[Tipologia]]="","",VLOOKUP(B[[#This Row],[Tipologia]],TipoImm[],MATCH($Z$4,Tabelle!$AF$1:$AR$1,0),0)))</f>
        <v/>
      </c>
    </row>
    <row r="32" spans="1:26" x14ac:dyDescent="0.2">
      <c r="A32" s="126"/>
      <c r="B32" s="126"/>
      <c r="C32" s="146"/>
      <c r="D32" s="127"/>
      <c r="E32" s="126"/>
      <c r="F32" s="158"/>
      <c r="G32" s="159"/>
      <c r="H32" s="159"/>
      <c r="I32" s="159"/>
      <c r="J32" s="145"/>
      <c r="K32" s="160"/>
      <c r="L32" s="161"/>
      <c r="M32" s="162"/>
      <c r="N32" s="148">
        <f>+IF(B[[#This Row],[Categoria Catastale]]="",0,VLOOKUP(B[[#This Row],[Categoria Catastale]],Gruppi[],6,0)*B[[#This Row],[Rendita catastale]])</f>
        <v>0</v>
      </c>
      <c r="O32" s="149" t="str">
        <f t="shared" si="0"/>
        <v/>
      </c>
      <c r="P32" s="150">
        <f>+IF(B[[#This Row],[Valore inserito manualmente]]&gt;0,B[[#This Row],[Valore inserito manualmente]],B[[#This Row],[Valore catastale]])</f>
        <v>0</v>
      </c>
      <c r="Q32" s="150">
        <f>+IF(OR(B[[#This Row],[Opzione per prezzo-valore (s/n)]]="s",B[[#This Row],[Valore inserito manualmente]]=0),B[[#This Row],[Valore catastale]],B[[#This Row],[Valore inserito manualmente]])</f>
        <v>0</v>
      </c>
      <c r="R3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50" t="str">
        <f>+IF(B[[#This Row],[Bene]]="","",VLOOKUP(B[[#This Row],[Tipologia]],TipoImm[],3,0)*B[[#This Row],[Imponibile Iva]])</f>
        <v/>
      </c>
      <c r="T32" s="150" t="str">
        <f>+IF(B[[#This Row],[Bene]]="","",VLOOKUP(B[[#This Row],[Tipologia]],TipoImm[],6,0)*B[[#This Row],[Valore catastale]]+VLOOKUP(B[[#This Row],[Tipologia]],TipoImm[],4,0))</f>
        <v/>
      </c>
      <c r="U32" s="154" t="str">
        <f>+IF(B[[#This Row],[Bene]]="","",VLOOKUP(B[[#This Row],[Tipologia]],TipoImm[],8,0)*B[[#This Row],[Valore normale]]+VLOOKUP(B[[#This Row],[Tipologia]],TipoImm[],9,0))</f>
        <v/>
      </c>
      <c r="V32" s="150">
        <f>+IF(OR(B[[#This Row],[Bene]]="",B[[#This Row],[Agevolabile]]=0),0,VLOOKUP(B[[#This Row],[Tipologia]],TipoImm[],5,0))</f>
        <v>0</v>
      </c>
      <c r="W3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50">
        <f>SUM(B[[#This Row],[Imposta di registro in misura fissa agevolata]:[Imposta di registro prop. Agevolata]])</f>
        <v>0</v>
      </c>
      <c r="Y32" s="150">
        <f>+IF(B[[#This Row],[Bene]]="",0,VLOOKUP(B[[#This Row],[Tipologia]],TipoImm[],10,0))</f>
        <v>0</v>
      </c>
      <c r="Z32" s="152" t="str">
        <f>+IF(p=3,"",IF(B[[#This Row],[Tipologia]]="","",VLOOKUP(B[[#This Row],[Tipologia]],TipoImm[],MATCH($Z$4,Tabelle!$AF$1:$AR$1,0),0)))</f>
        <v/>
      </c>
    </row>
    <row r="33" spans="1:26" x14ac:dyDescent="0.2">
      <c r="A33" s="126"/>
      <c r="B33" s="126"/>
      <c r="C33" s="146"/>
      <c r="D33" s="127"/>
      <c r="E33" s="126"/>
      <c r="F33" s="158"/>
      <c r="G33" s="159"/>
      <c r="H33" s="159"/>
      <c r="I33" s="159"/>
      <c r="J33" s="145"/>
      <c r="K33" s="160"/>
      <c r="L33" s="161"/>
      <c r="M33" s="162"/>
      <c r="N33" s="148">
        <f>+IF(B[[#This Row],[Categoria Catastale]]="",0,VLOOKUP(B[[#This Row],[Categoria Catastale]],Gruppi[],6,0)*B[[#This Row],[Rendita catastale]])</f>
        <v>0</v>
      </c>
      <c r="O33" s="149" t="str">
        <f t="shared" si="0"/>
        <v/>
      </c>
      <c r="P33" s="150">
        <f>+IF(B[[#This Row],[Valore inserito manualmente]]&gt;0,B[[#This Row],[Valore inserito manualmente]],B[[#This Row],[Valore catastale]])</f>
        <v>0</v>
      </c>
      <c r="Q33" s="150">
        <f>+IF(OR(B[[#This Row],[Opzione per prezzo-valore (s/n)]]="s",B[[#This Row],[Valore inserito manualmente]]=0),B[[#This Row],[Valore catastale]],B[[#This Row],[Valore inserito manualmente]])</f>
        <v>0</v>
      </c>
      <c r="R3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50" t="str">
        <f>+IF(B[[#This Row],[Bene]]="","",VLOOKUP(B[[#This Row],[Tipologia]],TipoImm[],3,0)*B[[#This Row],[Imponibile Iva]])</f>
        <v/>
      </c>
      <c r="T33" s="150" t="str">
        <f>+IF(B[[#This Row],[Bene]]="","",VLOOKUP(B[[#This Row],[Tipologia]],TipoImm[],6,0)*B[[#This Row],[Valore catastale]]+VLOOKUP(B[[#This Row],[Tipologia]],TipoImm[],4,0))</f>
        <v/>
      </c>
      <c r="U33" s="154" t="str">
        <f>+IF(B[[#This Row],[Bene]]="","",VLOOKUP(B[[#This Row],[Tipologia]],TipoImm[],8,0)*B[[#This Row],[Valore normale]]+VLOOKUP(B[[#This Row],[Tipologia]],TipoImm[],9,0))</f>
        <v/>
      </c>
      <c r="V33" s="150">
        <f>+IF(OR(B[[#This Row],[Bene]]="",B[[#This Row],[Agevolabile]]=0),0,VLOOKUP(B[[#This Row],[Tipologia]],TipoImm[],5,0))</f>
        <v>0</v>
      </c>
      <c r="W3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50">
        <f>SUM(B[[#This Row],[Imposta di registro in misura fissa agevolata]:[Imposta di registro prop. Agevolata]])</f>
        <v>0</v>
      </c>
      <c r="Y33" s="150">
        <f>+IF(B[[#This Row],[Bene]]="",0,VLOOKUP(B[[#This Row],[Tipologia]],TipoImm[],10,0))</f>
        <v>0</v>
      </c>
      <c r="Z33" s="152" t="str">
        <f>+IF(p=3,"",IF(B[[#This Row],[Tipologia]]="","",VLOOKUP(B[[#This Row],[Tipologia]],TipoImm[],MATCH($Z$4,Tabelle!$AF$1:$AR$1,0),0)))</f>
        <v/>
      </c>
    </row>
    <row r="34" spans="1:26" x14ac:dyDescent="0.2">
      <c r="A34" s="126"/>
      <c r="B34" s="126"/>
      <c r="C34" s="146"/>
      <c r="D34" s="127"/>
      <c r="E34" s="126"/>
      <c r="F34" s="158"/>
      <c r="G34" s="159"/>
      <c r="H34" s="159"/>
      <c r="I34" s="159"/>
      <c r="J34" s="145"/>
      <c r="K34" s="160"/>
      <c r="L34" s="161"/>
      <c r="M34" s="162"/>
      <c r="N34" s="148">
        <f>+IF(B[[#This Row],[Categoria Catastale]]="",0,VLOOKUP(B[[#This Row],[Categoria Catastale]],Gruppi[],6,0)*B[[#This Row],[Rendita catastale]])</f>
        <v>0</v>
      </c>
      <c r="O34" s="149" t="str">
        <f t="shared" si="0"/>
        <v/>
      </c>
      <c r="P34" s="150">
        <f>+IF(B[[#This Row],[Valore inserito manualmente]]&gt;0,B[[#This Row],[Valore inserito manualmente]],B[[#This Row],[Valore catastale]])</f>
        <v>0</v>
      </c>
      <c r="Q34" s="150">
        <f>+IF(OR(B[[#This Row],[Opzione per prezzo-valore (s/n)]]="s",B[[#This Row],[Valore inserito manualmente]]=0),B[[#This Row],[Valore catastale]],B[[#This Row],[Valore inserito manualmente]])</f>
        <v>0</v>
      </c>
      <c r="R3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50" t="str">
        <f>+IF(B[[#This Row],[Bene]]="","",VLOOKUP(B[[#This Row],[Tipologia]],TipoImm[],3,0)*B[[#This Row],[Imponibile Iva]])</f>
        <v/>
      </c>
      <c r="T34" s="150" t="str">
        <f>+IF(B[[#This Row],[Bene]]="","",VLOOKUP(B[[#This Row],[Tipologia]],TipoImm[],6,0)*B[[#This Row],[Valore catastale]]+VLOOKUP(B[[#This Row],[Tipologia]],TipoImm[],4,0))</f>
        <v/>
      </c>
      <c r="U34" s="154" t="str">
        <f>+IF(B[[#This Row],[Bene]]="","",VLOOKUP(B[[#This Row],[Tipologia]],TipoImm[],8,0)*B[[#This Row],[Valore normale]]+VLOOKUP(B[[#This Row],[Tipologia]],TipoImm[],9,0))</f>
        <v/>
      </c>
      <c r="V34" s="150">
        <f>+IF(OR(B[[#This Row],[Bene]]="",B[[#This Row],[Agevolabile]]=0),0,VLOOKUP(B[[#This Row],[Tipologia]],TipoImm[],5,0))</f>
        <v>0</v>
      </c>
      <c r="W3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50">
        <f>SUM(B[[#This Row],[Imposta di registro in misura fissa agevolata]:[Imposta di registro prop. Agevolata]])</f>
        <v>0</v>
      </c>
      <c r="Y34" s="150">
        <f>+IF(B[[#This Row],[Bene]]="",0,VLOOKUP(B[[#This Row],[Tipologia]],TipoImm[],10,0))</f>
        <v>0</v>
      </c>
      <c r="Z34" s="152" t="str">
        <f>+IF(p=3,"",IF(B[[#This Row],[Tipologia]]="","",VLOOKUP(B[[#This Row],[Tipologia]],TipoImm[],MATCH($Z$4,Tabelle!$AF$1:$AR$1,0),0)))</f>
        <v/>
      </c>
    </row>
    <row r="35" spans="1:26" x14ac:dyDescent="0.2">
      <c r="A35" s="126"/>
      <c r="B35" s="126"/>
      <c r="C35" s="146"/>
      <c r="D35" s="127"/>
      <c r="E35" s="126"/>
      <c r="F35" s="158"/>
      <c r="G35" s="159"/>
      <c r="H35" s="159"/>
      <c r="I35" s="159"/>
      <c r="J35" s="145"/>
      <c r="K35" s="160"/>
      <c r="L35" s="161"/>
      <c r="M35" s="162"/>
      <c r="N35" s="148">
        <f>+IF(B[[#This Row],[Categoria Catastale]]="",0,VLOOKUP(B[[#This Row],[Categoria Catastale]],Gruppi[],6,0)*B[[#This Row],[Rendita catastale]])</f>
        <v>0</v>
      </c>
      <c r="O35" s="149" t="str">
        <f t="shared" si="0"/>
        <v/>
      </c>
      <c r="P35" s="150">
        <f>+IF(B[[#This Row],[Valore inserito manualmente]]&gt;0,B[[#This Row],[Valore inserito manualmente]],B[[#This Row],[Valore catastale]])</f>
        <v>0</v>
      </c>
      <c r="Q35" s="150">
        <f>+IF(OR(B[[#This Row],[Opzione per prezzo-valore (s/n)]]="s",B[[#This Row],[Valore inserito manualmente]]=0),B[[#This Row],[Valore catastale]],B[[#This Row],[Valore inserito manualmente]])</f>
        <v>0</v>
      </c>
      <c r="R3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50" t="str">
        <f>+IF(B[[#This Row],[Bene]]="","",VLOOKUP(B[[#This Row],[Tipologia]],TipoImm[],3,0)*B[[#This Row],[Imponibile Iva]])</f>
        <v/>
      </c>
      <c r="T35" s="150" t="str">
        <f>+IF(B[[#This Row],[Bene]]="","",VLOOKUP(B[[#This Row],[Tipologia]],TipoImm[],6,0)*B[[#This Row],[Valore catastale]]+VLOOKUP(B[[#This Row],[Tipologia]],TipoImm[],4,0))</f>
        <v/>
      </c>
      <c r="U35" s="154" t="str">
        <f>+IF(B[[#This Row],[Bene]]="","",VLOOKUP(B[[#This Row],[Tipologia]],TipoImm[],8,0)*B[[#This Row],[Valore normale]]+VLOOKUP(B[[#This Row],[Tipologia]],TipoImm[],9,0))</f>
        <v/>
      </c>
      <c r="V35" s="150">
        <f>+IF(OR(B[[#This Row],[Bene]]="",B[[#This Row],[Agevolabile]]=0),0,VLOOKUP(B[[#This Row],[Tipologia]],TipoImm[],5,0))</f>
        <v>0</v>
      </c>
      <c r="W3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50">
        <f>SUM(B[[#This Row],[Imposta di registro in misura fissa agevolata]:[Imposta di registro prop. Agevolata]])</f>
        <v>0</v>
      </c>
      <c r="Y35" s="150">
        <f>+IF(B[[#This Row],[Bene]]="",0,VLOOKUP(B[[#This Row],[Tipologia]],TipoImm[],10,0))</f>
        <v>0</v>
      </c>
      <c r="Z35" s="152" t="str">
        <f>+IF(p=3,"",IF(B[[#This Row],[Tipologia]]="","",VLOOKUP(B[[#This Row],[Tipologia]],TipoImm[],MATCH($Z$4,Tabelle!$AF$1:$AR$1,0),0)))</f>
        <v/>
      </c>
    </row>
    <row r="36" spans="1:26" x14ac:dyDescent="0.2">
      <c r="A36" s="126"/>
      <c r="B36" s="126"/>
      <c r="C36" s="146"/>
      <c r="D36" s="127"/>
      <c r="E36" s="126"/>
      <c r="F36" s="158"/>
      <c r="G36" s="159"/>
      <c r="H36" s="159"/>
      <c r="I36" s="159"/>
      <c r="J36" s="145"/>
      <c r="K36" s="160"/>
      <c r="L36" s="161"/>
      <c r="M36" s="162"/>
      <c r="N36" s="148">
        <f>+IF(B[[#This Row],[Categoria Catastale]]="",0,VLOOKUP(B[[#This Row],[Categoria Catastale]],Gruppi[],6,0)*B[[#This Row],[Rendita catastale]])</f>
        <v>0</v>
      </c>
      <c r="O36" s="149" t="str">
        <f t="shared" si="0"/>
        <v/>
      </c>
      <c r="P36" s="150">
        <f>+IF(B[[#This Row],[Valore inserito manualmente]]&gt;0,B[[#This Row],[Valore inserito manualmente]],B[[#This Row],[Valore catastale]])</f>
        <v>0</v>
      </c>
      <c r="Q36" s="150">
        <f>+IF(OR(B[[#This Row],[Opzione per prezzo-valore (s/n)]]="s",B[[#This Row],[Valore inserito manualmente]]=0),B[[#This Row],[Valore catastale]],B[[#This Row],[Valore inserito manualmente]])</f>
        <v>0</v>
      </c>
      <c r="R3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50" t="str">
        <f>+IF(B[[#This Row],[Bene]]="","",VLOOKUP(B[[#This Row],[Tipologia]],TipoImm[],3,0)*B[[#This Row],[Imponibile Iva]])</f>
        <v/>
      </c>
      <c r="T36" s="150" t="str">
        <f>+IF(B[[#This Row],[Bene]]="","",VLOOKUP(B[[#This Row],[Tipologia]],TipoImm[],6,0)*B[[#This Row],[Valore catastale]]+VLOOKUP(B[[#This Row],[Tipologia]],TipoImm[],4,0))</f>
        <v/>
      </c>
      <c r="U36" s="154" t="str">
        <f>+IF(B[[#This Row],[Bene]]="","",VLOOKUP(B[[#This Row],[Tipologia]],TipoImm[],8,0)*B[[#This Row],[Valore normale]]+VLOOKUP(B[[#This Row],[Tipologia]],TipoImm[],9,0))</f>
        <v/>
      </c>
      <c r="V36" s="150">
        <f>+IF(OR(B[[#This Row],[Bene]]="",B[[#This Row],[Agevolabile]]=0),0,VLOOKUP(B[[#This Row],[Tipologia]],TipoImm[],5,0))</f>
        <v>0</v>
      </c>
      <c r="W3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50">
        <f>SUM(B[[#This Row],[Imposta di registro in misura fissa agevolata]:[Imposta di registro prop. Agevolata]])</f>
        <v>0</v>
      </c>
      <c r="Y36" s="150">
        <f>+IF(B[[#This Row],[Bene]]="",0,VLOOKUP(B[[#This Row],[Tipologia]],TipoImm[],10,0))</f>
        <v>0</v>
      </c>
      <c r="Z36" s="152" t="str">
        <f>+IF(p=3,"",IF(B[[#This Row],[Tipologia]]="","",VLOOKUP(B[[#This Row],[Tipologia]],TipoImm[],MATCH($Z$4,Tabelle!$AF$1:$AR$1,0),0)))</f>
        <v/>
      </c>
    </row>
    <row r="37" spans="1:26" x14ac:dyDescent="0.2">
      <c r="A37" s="126"/>
      <c r="B37" s="126"/>
      <c r="C37" s="146"/>
      <c r="D37" s="127"/>
      <c r="E37" s="126"/>
      <c r="F37" s="158"/>
      <c r="G37" s="159"/>
      <c r="H37" s="159"/>
      <c r="I37" s="159"/>
      <c r="J37" s="145"/>
      <c r="K37" s="160"/>
      <c r="L37" s="161"/>
      <c r="M37" s="162"/>
      <c r="N37" s="148">
        <f>+IF(B[[#This Row],[Categoria Catastale]]="",0,VLOOKUP(B[[#This Row],[Categoria Catastale]],Gruppi[],6,0)*B[[#This Row],[Rendita catastale]])</f>
        <v>0</v>
      </c>
      <c r="O37" s="149" t="str">
        <f t="shared" ref="O37:O68" si="1">+IF(A37="","",IF(D37="Sì",0,1))</f>
        <v/>
      </c>
      <c r="P37" s="150">
        <f>+IF(B[[#This Row],[Valore inserito manualmente]]&gt;0,B[[#This Row],[Valore inserito manualmente]],B[[#This Row],[Valore catastale]])</f>
        <v>0</v>
      </c>
      <c r="Q37" s="150">
        <f>+IF(OR(B[[#This Row],[Opzione per prezzo-valore (s/n)]]="s",B[[#This Row],[Valore inserito manualmente]]=0),B[[#This Row],[Valore catastale]],B[[#This Row],[Valore inserito manualmente]])</f>
        <v>0</v>
      </c>
      <c r="R3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50" t="str">
        <f>+IF(B[[#This Row],[Bene]]="","",VLOOKUP(B[[#This Row],[Tipologia]],TipoImm[],3,0)*B[[#This Row],[Imponibile Iva]])</f>
        <v/>
      </c>
      <c r="T37" s="150" t="str">
        <f>+IF(B[[#This Row],[Bene]]="","",VLOOKUP(B[[#This Row],[Tipologia]],TipoImm[],6,0)*B[[#This Row],[Valore catastale]]+VLOOKUP(B[[#This Row],[Tipologia]],TipoImm[],4,0))</f>
        <v/>
      </c>
      <c r="U37" s="154" t="str">
        <f>+IF(B[[#This Row],[Bene]]="","",VLOOKUP(B[[#This Row],[Tipologia]],TipoImm[],8,0)*B[[#This Row],[Valore normale]]+VLOOKUP(B[[#This Row],[Tipologia]],TipoImm[],9,0))</f>
        <v/>
      </c>
      <c r="V37" s="150">
        <f>+IF(OR(B[[#This Row],[Bene]]="",B[[#This Row],[Agevolabile]]=0),0,VLOOKUP(B[[#This Row],[Tipologia]],TipoImm[],5,0))</f>
        <v>0</v>
      </c>
      <c r="W3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50">
        <f>SUM(B[[#This Row],[Imposta di registro in misura fissa agevolata]:[Imposta di registro prop. Agevolata]])</f>
        <v>0</v>
      </c>
      <c r="Y37" s="150">
        <f>+IF(B[[#This Row],[Bene]]="",0,VLOOKUP(B[[#This Row],[Tipologia]],TipoImm[],10,0))</f>
        <v>0</v>
      </c>
      <c r="Z37" s="152" t="str">
        <f>+IF(p=3,"",IF(B[[#This Row],[Tipologia]]="","",VLOOKUP(B[[#This Row],[Tipologia]],TipoImm[],MATCH($Z$4,Tabelle!$AF$1:$AR$1,0),0)))</f>
        <v/>
      </c>
    </row>
    <row r="38" spans="1:26" x14ac:dyDescent="0.2">
      <c r="A38" s="126"/>
      <c r="B38" s="126"/>
      <c r="C38" s="146"/>
      <c r="D38" s="127"/>
      <c r="E38" s="126"/>
      <c r="F38" s="158"/>
      <c r="G38" s="159"/>
      <c r="H38" s="159"/>
      <c r="I38" s="159"/>
      <c r="J38" s="145"/>
      <c r="K38" s="160"/>
      <c r="L38" s="161"/>
      <c r="M38" s="162"/>
      <c r="N38" s="148">
        <f>+IF(B[[#This Row],[Categoria Catastale]]="",0,VLOOKUP(B[[#This Row],[Categoria Catastale]],Gruppi[],6,0)*B[[#This Row],[Rendita catastale]])</f>
        <v>0</v>
      </c>
      <c r="O38" s="149" t="str">
        <f t="shared" si="1"/>
        <v/>
      </c>
      <c r="P38" s="150">
        <f>+IF(B[[#This Row],[Valore inserito manualmente]]&gt;0,B[[#This Row],[Valore inserito manualmente]],B[[#This Row],[Valore catastale]])</f>
        <v>0</v>
      </c>
      <c r="Q38" s="150">
        <f>+IF(OR(B[[#This Row],[Opzione per prezzo-valore (s/n)]]="s",B[[#This Row],[Valore inserito manualmente]]=0),B[[#This Row],[Valore catastale]],B[[#This Row],[Valore inserito manualmente]])</f>
        <v>0</v>
      </c>
      <c r="R3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50" t="str">
        <f>+IF(B[[#This Row],[Bene]]="","",VLOOKUP(B[[#This Row],[Tipologia]],TipoImm[],3,0)*B[[#This Row],[Imponibile Iva]])</f>
        <v/>
      </c>
      <c r="T38" s="150" t="str">
        <f>+IF(B[[#This Row],[Bene]]="","",VLOOKUP(B[[#This Row],[Tipologia]],TipoImm[],6,0)*B[[#This Row],[Valore catastale]]+VLOOKUP(B[[#This Row],[Tipologia]],TipoImm[],4,0))</f>
        <v/>
      </c>
      <c r="U38" s="154" t="str">
        <f>+IF(B[[#This Row],[Bene]]="","",VLOOKUP(B[[#This Row],[Tipologia]],TipoImm[],8,0)*B[[#This Row],[Valore normale]]+VLOOKUP(B[[#This Row],[Tipologia]],TipoImm[],9,0))</f>
        <v/>
      </c>
      <c r="V38" s="150">
        <f>+IF(OR(B[[#This Row],[Bene]]="",B[[#This Row],[Agevolabile]]=0),0,VLOOKUP(B[[#This Row],[Tipologia]],TipoImm[],5,0))</f>
        <v>0</v>
      </c>
      <c r="W3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50">
        <f>SUM(B[[#This Row],[Imposta di registro in misura fissa agevolata]:[Imposta di registro prop. Agevolata]])</f>
        <v>0</v>
      </c>
      <c r="Y38" s="150">
        <f>+IF(B[[#This Row],[Bene]]="",0,VLOOKUP(B[[#This Row],[Tipologia]],TipoImm[],10,0))</f>
        <v>0</v>
      </c>
      <c r="Z38" s="152" t="str">
        <f>+IF(p=3,"",IF(B[[#This Row],[Tipologia]]="","",VLOOKUP(B[[#This Row],[Tipologia]],TipoImm[],MATCH($Z$4,Tabelle!$AF$1:$AR$1,0),0)))</f>
        <v/>
      </c>
    </row>
    <row r="39" spans="1:26" x14ac:dyDescent="0.2">
      <c r="A39" s="126"/>
      <c r="B39" s="126"/>
      <c r="C39" s="146"/>
      <c r="D39" s="127"/>
      <c r="E39" s="126"/>
      <c r="F39" s="158"/>
      <c r="G39" s="159"/>
      <c r="H39" s="159"/>
      <c r="I39" s="159"/>
      <c r="J39" s="145"/>
      <c r="K39" s="160"/>
      <c r="L39" s="161"/>
      <c r="M39" s="162"/>
      <c r="N39" s="148">
        <f>+IF(B[[#This Row],[Categoria Catastale]]="",0,VLOOKUP(B[[#This Row],[Categoria Catastale]],Gruppi[],6,0)*B[[#This Row],[Rendita catastale]])</f>
        <v>0</v>
      </c>
      <c r="O39" s="149" t="str">
        <f t="shared" si="1"/>
        <v/>
      </c>
      <c r="P39" s="150">
        <f>+IF(B[[#This Row],[Valore inserito manualmente]]&gt;0,B[[#This Row],[Valore inserito manualmente]],B[[#This Row],[Valore catastale]])</f>
        <v>0</v>
      </c>
      <c r="Q39" s="150">
        <f>+IF(OR(B[[#This Row],[Opzione per prezzo-valore (s/n)]]="s",B[[#This Row],[Valore inserito manualmente]]=0),B[[#This Row],[Valore catastale]],B[[#This Row],[Valore inserito manualmente]])</f>
        <v>0</v>
      </c>
      <c r="R3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50" t="str">
        <f>+IF(B[[#This Row],[Bene]]="","",VLOOKUP(B[[#This Row],[Tipologia]],TipoImm[],3,0)*B[[#This Row],[Imponibile Iva]])</f>
        <v/>
      </c>
      <c r="T39" s="150" t="str">
        <f>+IF(B[[#This Row],[Bene]]="","",VLOOKUP(B[[#This Row],[Tipologia]],TipoImm[],6,0)*B[[#This Row],[Valore catastale]]+VLOOKUP(B[[#This Row],[Tipologia]],TipoImm[],4,0))</f>
        <v/>
      </c>
      <c r="U39" s="154" t="str">
        <f>+IF(B[[#This Row],[Bene]]="","",VLOOKUP(B[[#This Row],[Tipologia]],TipoImm[],8,0)*B[[#This Row],[Valore normale]]+VLOOKUP(B[[#This Row],[Tipologia]],TipoImm[],9,0))</f>
        <v/>
      </c>
      <c r="V39" s="150">
        <f>+IF(OR(B[[#This Row],[Bene]]="",B[[#This Row],[Agevolabile]]=0),0,VLOOKUP(B[[#This Row],[Tipologia]],TipoImm[],5,0))</f>
        <v>0</v>
      </c>
      <c r="W3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50">
        <f>SUM(B[[#This Row],[Imposta di registro in misura fissa agevolata]:[Imposta di registro prop. Agevolata]])</f>
        <v>0</v>
      </c>
      <c r="Y39" s="150">
        <f>+IF(B[[#This Row],[Bene]]="",0,VLOOKUP(B[[#This Row],[Tipologia]],TipoImm[],10,0))</f>
        <v>0</v>
      </c>
      <c r="Z39" s="152" t="str">
        <f>+IF(p=3,"",IF(B[[#This Row],[Tipologia]]="","",VLOOKUP(B[[#This Row],[Tipologia]],TipoImm[],MATCH($Z$4,Tabelle!$AF$1:$AR$1,0),0)))</f>
        <v/>
      </c>
    </row>
    <row r="40" spans="1:26" x14ac:dyDescent="0.2">
      <c r="A40" s="126"/>
      <c r="B40" s="126"/>
      <c r="C40" s="146"/>
      <c r="D40" s="127"/>
      <c r="E40" s="126"/>
      <c r="F40" s="158"/>
      <c r="G40" s="159"/>
      <c r="H40" s="159"/>
      <c r="I40" s="159"/>
      <c r="J40" s="145"/>
      <c r="K40" s="160"/>
      <c r="L40" s="161"/>
      <c r="M40" s="162"/>
      <c r="N40" s="148">
        <f>+IF(B[[#This Row],[Categoria Catastale]]="",0,VLOOKUP(B[[#This Row],[Categoria Catastale]],Gruppi[],6,0)*B[[#This Row],[Rendita catastale]])</f>
        <v>0</v>
      </c>
      <c r="O40" s="149" t="str">
        <f t="shared" si="1"/>
        <v/>
      </c>
      <c r="P40" s="150">
        <f>+IF(B[[#This Row],[Valore inserito manualmente]]&gt;0,B[[#This Row],[Valore inserito manualmente]],B[[#This Row],[Valore catastale]])</f>
        <v>0</v>
      </c>
      <c r="Q40" s="150">
        <f>+IF(OR(B[[#This Row],[Opzione per prezzo-valore (s/n)]]="s",B[[#This Row],[Valore inserito manualmente]]=0),B[[#This Row],[Valore catastale]],B[[#This Row],[Valore inserito manualmente]])</f>
        <v>0</v>
      </c>
      <c r="R4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50" t="str">
        <f>+IF(B[[#This Row],[Bene]]="","",VLOOKUP(B[[#This Row],[Tipologia]],TipoImm[],3,0)*B[[#This Row],[Imponibile Iva]])</f>
        <v/>
      </c>
      <c r="T40" s="150" t="str">
        <f>+IF(B[[#This Row],[Bene]]="","",VLOOKUP(B[[#This Row],[Tipologia]],TipoImm[],6,0)*B[[#This Row],[Valore catastale]]+VLOOKUP(B[[#This Row],[Tipologia]],TipoImm[],4,0))</f>
        <v/>
      </c>
      <c r="U40" s="154" t="str">
        <f>+IF(B[[#This Row],[Bene]]="","",VLOOKUP(B[[#This Row],[Tipologia]],TipoImm[],8,0)*B[[#This Row],[Valore normale]]+VLOOKUP(B[[#This Row],[Tipologia]],TipoImm[],9,0))</f>
        <v/>
      </c>
      <c r="V40" s="150">
        <f>+IF(OR(B[[#This Row],[Bene]]="",B[[#This Row],[Agevolabile]]=0),0,VLOOKUP(B[[#This Row],[Tipologia]],TipoImm[],5,0))</f>
        <v>0</v>
      </c>
      <c r="W4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50">
        <f>SUM(B[[#This Row],[Imposta di registro in misura fissa agevolata]:[Imposta di registro prop. Agevolata]])</f>
        <v>0</v>
      </c>
      <c r="Y40" s="150">
        <f>+IF(B[[#This Row],[Bene]]="",0,VLOOKUP(B[[#This Row],[Tipologia]],TipoImm[],10,0))</f>
        <v>0</v>
      </c>
      <c r="Z40" s="152" t="str">
        <f>+IF(p=3,"",IF(B[[#This Row],[Tipologia]]="","",VLOOKUP(B[[#This Row],[Tipologia]],TipoImm[],MATCH($Z$4,Tabelle!$AF$1:$AR$1,0),0)))</f>
        <v/>
      </c>
    </row>
    <row r="41" spans="1:26" x14ac:dyDescent="0.2">
      <c r="A41" s="126"/>
      <c r="B41" s="126"/>
      <c r="C41" s="146"/>
      <c r="D41" s="127"/>
      <c r="E41" s="126"/>
      <c r="F41" s="158"/>
      <c r="G41" s="159"/>
      <c r="H41" s="159"/>
      <c r="I41" s="159"/>
      <c r="J41" s="145"/>
      <c r="K41" s="160"/>
      <c r="L41" s="161"/>
      <c r="M41" s="162"/>
      <c r="N41" s="148">
        <f>+IF(B[[#This Row],[Categoria Catastale]]="",0,VLOOKUP(B[[#This Row],[Categoria Catastale]],Gruppi[],6,0)*B[[#This Row],[Rendita catastale]])</f>
        <v>0</v>
      </c>
      <c r="O41" s="149" t="str">
        <f t="shared" si="1"/>
        <v/>
      </c>
      <c r="P41" s="150">
        <f>+IF(B[[#This Row],[Valore inserito manualmente]]&gt;0,B[[#This Row],[Valore inserito manualmente]],B[[#This Row],[Valore catastale]])</f>
        <v>0</v>
      </c>
      <c r="Q41" s="150">
        <f>+IF(OR(B[[#This Row],[Opzione per prezzo-valore (s/n)]]="s",B[[#This Row],[Valore inserito manualmente]]=0),B[[#This Row],[Valore catastale]],B[[#This Row],[Valore inserito manualmente]])</f>
        <v>0</v>
      </c>
      <c r="R4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50" t="str">
        <f>+IF(B[[#This Row],[Bene]]="","",VLOOKUP(B[[#This Row],[Tipologia]],TipoImm[],3,0)*B[[#This Row],[Imponibile Iva]])</f>
        <v/>
      </c>
      <c r="T41" s="150" t="str">
        <f>+IF(B[[#This Row],[Bene]]="","",VLOOKUP(B[[#This Row],[Tipologia]],TipoImm[],6,0)*B[[#This Row],[Valore catastale]]+VLOOKUP(B[[#This Row],[Tipologia]],TipoImm[],4,0))</f>
        <v/>
      </c>
      <c r="U41" s="154" t="str">
        <f>+IF(B[[#This Row],[Bene]]="","",VLOOKUP(B[[#This Row],[Tipologia]],TipoImm[],8,0)*B[[#This Row],[Valore normale]]+VLOOKUP(B[[#This Row],[Tipologia]],TipoImm[],9,0))</f>
        <v/>
      </c>
      <c r="V41" s="150">
        <f>+IF(OR(B[[#This Row],[Bene]]="",B[[#This Row],[Agevolabile]]=0),0,VLOOKUP(B[[#This Row],[Tipologia]],TipoImm[],5,0))</f>
        <v>0</v>
      </c>
      <c r="W4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50">
        <f>SUM(B[[#This Row],[Imposta di registro in misura fissa agevolata]:[Imposta di registro prop. Agevolata]])</f>
        <v>0</v>
      </c>
      <c r="Y41" s="150">
        <f>+IF(B[[#This Row],[Bene]]="",0,VLOOKUP(B[[#This Row],[Tipologia]],TipoImm[],10,0))</f>
        <v>0</v>
      </c>
      <c r="Z41" s="152" t="str">
        <f>+IF(p=3,"",IF(B[[#This Row],[Tipologia]]="","",VLOOKUP(B[[#This Row],[Tipologia]],TipoImm[],MATCH($Z$4,Tabelle!$AF$1:$AR$1,0),0)))</f>
        <v/>
      </c>
    </row>
    <row r="42" spans="1:26" x14ac:dyDescent="0.2">
      <c r="A42" s="126"/>
      <c r="B42" s="126"/>
      <c r="C42" s="146"/>
      <c r="D42" s="127"/>
      <c r="E42" s="126"/>
      <c r="F42" s="158"/>
      <c r="G42" s="159"/>
      <c r="H42" s="159"/>
      <c r="I42" s="159"/>
      <c r="J42" s="145"/>
      <c r="K42" s="160"/>
      <c r="L42" s="161"/>
      <c r="M42" s="162"/>
      <c r="N42" s="148">
        <f>+IF(B[[#This Row],[Categoria Catastale]]="",0,VLOOKUP(B[[#This Row],[Categoria Catastale]],Gruppi[],6,0)*B[[#This Row],[Rendita catastale]])</f>
        <v>0</v>
      </c>
      <c r="O42" s="149" t="str">
        <f t="shared" si="1"/>
        <v/>
      </c>
      <c r="P42" s="150">
        <f>+IF(B[[#This Row],[Valore inserito manualmente]]&gt;0,B[[#This Row],[Valore inserito manualmente]],B[[#This Row],[Valore catastale]])</f>
        <v>0</v>
      </c>
      <c r="Q42" s="150">
        <f>+IF(OR(B[[#This Row],[Opzione per prezzo-valore (s/n)]]="s",B[[#This Row],[Valore inserito manualmente]]=0),B[[#This Row],[Valore catastale]],B[[#This Row],[Valore inserito manualmente]])</f>
        <v>0</v>
      </c>
      <c r="R4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50" t="str">
        <f>+IF(B[[#This Row],[Bene]]="","",VLOOKUP(B[[#This Row],[Tipologia]],TipoImm[],3,0)*B[[#This Row],[Imponibile Iva]])</f>
        <v/>
      </c>
      <c r="T42" s="150" t="str">
        <f>+IF(B[[#This Row],[Bene]]="","",VLOOKUP(B[[#This Row],[Tipologia]],TipoImm[],6,0)*B[[#This Row],[Valore catastale]]+VLOOKUP(B[[#This Row],[Tipologia]],TipoImm[],4,0))</f>
        <v/>
      </c>
      <c r="U42" s="154" t="str">
        <f>+IF(B[[#This Row],[Bene]]="","",VLOOKUP(B[[#This Row],[Tipologia]],TipoImm[],8,0)*B[[#This Row],[Valore normale]]+VLOOKUP(B[[#This Row],[Tipologia]],TipoImm[],9,0))</f>
        <v/>
      </c>
      <c r="V42" s="150">
        <f>+IF(OR(B[[#This Row],[Bene]]="",B[[#This Row],[Agevolabile]]=0),0,VLOOKUP(B[[#This Row],[Tipologia]],TipoImm[],5,0))</f>
        <v>0</v>
      </c>
      <c r="W4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50">
        <f>SUM(B[[#This Row],[Imposta di registro in misura fissa agevolata]:[Imposta di registro prop. Agevolata]])</f>
        <v>0</v>
      </c>
      <c r="Y42" s="150">
        <f>+IF(B[[#This Row],[Bene]]="",0,VLOOKUP(B[[#This Row],[Tipologia]],TipoImm[],10,0))</f>
        <v>0</v>
      </c>
      <c r="Z42" s="152" t="str">
        <f>+IF(p=3,"",IF(B[[#This Row],[Tipologia]]="","",VLOOKUP(B[[#This Row],[Tipologia]],TipoImm[],MATCH($Z$4,Tabelle!$AF$1:$AR$1,0),0)))</f>
        <v/>
      </c>
    </row>
    <row r="43" spans="1:26" x14ac:dyDescent="0.2">
      <c r="A43" s="126"/>
      <c r="B43" s="126"/>
      <c r="C43" s="146"/>
      <c r="D43" s="127"/>
      <c r="E43" s="126"/>
      <c r="F43" s="158"/>
      <c r="G43" s="159"/>
      <c r="H43" s="159"/>
      <c r="I43" s="159"/>
      <c r="J43" s="145"/>
      <c r="K43" s="160"/>
      <c r="L43" s="161"/>
      <c r="M43" s="162"/>
      <c r="N43" s="148">
        <f>+IF(B[[#This Row],[Categoria Catastale]]="",0,VLOOKUP(B[[#This Row],[Categoria Catastale]],Gruppi[],6,0)*B[[#This Row],[Rendita catastale]])</f>
        <v>0</v>
      </c>
      <c r="O43" s="149" t="str">
        <f t="shared" si="1"/>
        <v/>
      </c>
      <c r="P43" s="150">
        <f>+IF(B[[#This Row],[Valore inserito manualmente]]&gt;0,B[[#This Row],[Valore inserito manualmente]],B[[#This Row],[Valore catastale]])</f>
        <v>0</v>
      </c>
      <c r="Q43" s="150">
        <f>+IF(OR(B[[#This Row],[Opzione per prezzo-valore (s/n)]]="s",B[[#This Row],[Valore inserito manualmente]]=0),B[[#This Row],[Valore catastale]],B[[#This Row],[Valore inserito manualmente]])</f>
        <v>0</v>
      </c>
      <c r="R4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50" t="str">
        <f>+IF(B[[#This Row],[Bene]]="","",VLOOKUP(B[[#This Row],[Tipologia]],TipoImm[],3,0)*B[[#This Row],[Imponibile Iva]])</f>
        <v/>
      </c>
      <c r="T43" s="150" t="str">
        <f>+IF(B[[#This Row],[Bene]]="","",VLOOKUP(B[[#This Row],[Tipologia]],TipoImm[],6,0)*B[[#This Row],[Valore catastale]]+VLOOKUP(B[[#This Row],[Tipologia]],TipoImm[],4,0))</f>
        <v/>
      </c>
      <c r="U43" s="154" t="str">
        <f>+IF(B[[#This Row],[Bene]]="","",VLOOKUP(B[[#This Row],[Tipologia]],TipoImm[],8,0)*B[[#This Row],[Valore normale]]+VLOOKUP(B[[#This Row],[Tipologia]],TipoImm[],9,0))</f>
        <v/>
      </c>
      <c r="V43" s="150">
        <f>+IF(OR(B[[#This Row],[Bene]]="",B[[#This Row],[Agevolabile]]=0),0,VLOOKUP(B[[#This Row],[Tipologia]],TipoImm[],5,0))</f>
        <v>0</v>
      </c>
      <c r="W4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50">
        <f>SUM(B[[#This Row],[Imposta di registro in misura fissa agevolata]:[Imposta di registro prop. Agevolata]])</f>
        <v>0</v>
      </c>
      <c r="Y43" s="150">
        <f>+IF(B[[#This Row],[Bene]]="",0,VLOOKUP(B[[#This Row],[Tipologia]],TipoImm[],10,0))</f>
        <v>0</v>
      </c>
      <c r="Z43" s="152" t="str">
        <f>+IF(p=3,"",IF(B[[#This Row],[Tipologia]]="","",VLOOKUP(B[[#This Row],[Tipologia]],TipoImm[],MATCH($Z$4,Tabelle!$AF$1:$AR$1,0),0)))</f>
        <v/>
      </c>
    </row>
    <row r="44" spans="1:26" x14ac:dyDescent="0.2">
      <c r="A44" s="126"/>
      <c r="B44" s="126"/>
      <c r="C44" s="146"/>
      <c r="D44" s="127"/>
      <c r="E44" s="126"/>
      <c r="F44" s="158"/>
      <c r="G44" s="159"/>
      <c r="H44" s="159"/>
      <c r="I44" s="159"/>
      <c r="J44" s="145"/>
      <c r="K44" s="160"/>
      <c r="L44" s="161"/>
      <c r="M44" s="162"/>
      <c r="N44" s="148">
        <f>+IF(B[[#This Row],[Categoria Catastale]]="",0,VLOOKUP(B[[#This Row],[Categoria Catastale]],Gruppi[],6,0)*B[[#This Row],[Rendita catastale]])</f>
        <v>0</v>
      </c>
      <c r="O44" s="149" t="str">
        <f t="shared" si="1"/>
        <v/>
      </c>
      <c r="P44" s="150">
        <f>+IF(B[[#This Row],[Valore inserito manualmente]]&gt;0,B[[#This Row],[Valore inserito manualmente]],B[[#This Row],[Valore catastale]])</f>
        <v>0</v>
      </c>
      <c r="Q44" s="150">
        <f>+IF(OR(B[[#This Row],[Opzione per prezzo-valore (s/n)]]="s",B[[#This Row],[Valore inserito manualmente]]=0),B[[#This Row],[Valore catastale]],B[[#This Row],[Valore inserito manualmente]])</f>
        <v>0</v>
      </c>
      <c r="R4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50" t="str">
        <f>+IF(B[[#This Row],[Bene]]="","",VLOOKUP(B[[#This Row],[Tipologia]],TipoImm[],3,0)*B[[#This Row],[Imponibile Iva]])</f>
        <v/>
      </c>
      <c r="T44" s="150" t="str">
        <f>+IF(B[[#This Row],[Bene]]="","",VLOOKUP(B[[#This Row],[Tipologia]],TipoImm[],6,0)*B[[#This Row],[Valore catastale]]+VLOOKUP(B[[#This Row],[Tipologia]],TipoImm[],4,0))</f>
        <v/>
      </c>
      <c r="U44" s="154" t="str">
        <f>+IF(B[[#This Row],[Bene]]="","",VLOOKUP(B[[#This Row],[Tipologia]],TipoImm[],8,0)*B[[#This Row],[Valore normale]]+VLOOKUP(B[[#This Row],[Tipologia]],TipoImm[],9,0))</f>
        <v/>
      </c>
      <c r="V44" s="150">
        <f>+IF(OR(B[[#This Row],[Bene]]="",B[[#This Row],[Agevolabile]]=0),0,VLOOKUP(B[[#This Row],[Tipologia]],TipoImm[],5,0))</f>
        <v>0</v>
      </c>
      <c r="W4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50">
        <f>SUM(B[[#This Row],[Imposta di registro in misura fissa agevolata]:[Imposta di registro prop. Agevolata]])</f>
        <v>0</v>
      </c>
      <c r="Y44" s="150">
        <f>+IF(B[[#This Row],[Bene]]="",0,VLOOKUP(B[[#This Row],[Tipologia]],TipoImm[],10,0))</f>
        <v>0</v>
      </c>
      <c r="Z44" s="152" t="str">
        <f>+IF(p=3,"",IF(B[[#This Row],[Tipologia]]="","",VLOOKUP(B[[#This Row],[Tipologia]],TipoImm[],MATCH($Z$4,Tabelle!$AF$1:$AR$1,0),0)))</f>
        <v/>
      </c>
    </row>
    <row r="45" spans="1:26" x14ac:dyDescent="0.2">
      <c r="A45" s="126"/>
      <c r="B45" s="126"/>
      <c r="C45" s="146"/>
      <c r="D45" s="127"/>
      <c r="E45" s="126"/>
      <c r="F45" s="158"/>
      <c r="G45" s="159"/>
      <c r="H45" s="159"/>
      <c r="I45" s="159"/>
      <c r="J45" s="145"/>
      <c r="K45" s="160"/>
      <c r="L45" s="161"/>
      <c r="M45" s="162"/>
      <c r="N45" s="148">
        <f>+IF(B[[#This Row],[Categoria Catastale]]="",0,VLOOKUP(B[[#This Row],[Categoria Catastale]],Gruppi[],6,0)*B[[#This Row],[Rendita catastale]])</f>
        <v>0</v>
      </c>
      <c r="O45" s="149" t="str">
        <f t="shared" si="1"/>
        <v/>
      </c>
      <c r="P45" s="150">
        <f>+IF(B[[#This Row],[Valore inserito manualmente]]&gt;0,B[[#This Row],[Valore inserito manualmente]],B[[#This Row],[Valore catastale]])</f>
        <v>0</v>
      </c>
      <c r="Q45" s="150">
        <f>+IF(OR(B[[#This Row],[Opzione per prezzo-valore (s/n)]]="s",B[[#This Row],[Valore inserito manualmente]]=0),B[[#This Row],[Valore catastale]],B[[#This Row],[Valore inserito manualmente]])</f>
        <v>0</v>
      </c>
      <c r="R4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50" t="str">
        <f>+IF(B[[#This Row],[Bene]]="","",VLOOKUP(B[[#This Row],[Tipologia]],TipoImm[],3,0)*B[[#This Row],[Imponibile Iva]])</f>
        <v/>
      </c>
      <c r="T45" s="150" t="str">
        <f>+IF(B[[#This Row],[Bene]]="","",VLOOKUP(B[[#This Row],[Tipologia]],TipoImm[],6,0)*B[[#This Row],[Valore catastale]]+VLOOKUP(B[[#This Row],[Tipologia]],TipoImm[],4,0))</f>
        <v/>
      </c>
      <c r="U45" s="154" t="str">
        <f>+IF(B[[#This Row],[Bene]]="","",VLOOKUP(B[[#This Row],[Tipologia]],TipoImm[],8,0)*B[[#This Row],[Valore normale]]+VLOOKUP(B[[#This Row],[Tipologia]],TipoImm[],9,0))</f>
        <v/>
      </c>
      <c r="V45" s="150">
        <f>+IF(OR(B[[#This Row],[Bene]]="",B[[#This Row],[Agevolabile]]=0),0,VLOOKUP(B[[#This Row],[Tipologia]],TipoImm[],5,0))</f>
        <v>0</v>
      </c>
      <c r="W4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50">
        <f>SUM(B[[#This Row],[Imposta di registro in misura fissa agevolata]:[Imposta di registro prop. Agevolata]])</f>
        <v>0</v>
      </c>
      <c r="Y45" s="150">
        <f>+IF(B[[#This Row],[Bene]]="",0,VLOOKUP(B[[#This Row],[Tipologia]],TipoImm[],10,0))</f>
        <v>0</v>
      </c>
      <c r="Z45" s="152" t="str">
        <f>+IF(p=3,"",IF(B[[#This Row],[Tipologia]]="","",VLOOKUP(B[[#This Row],[Tipologia]],TipoImm[],MATCH($Z$4,Tabelle!$AF$1:$AR$1,0),0)))</f>
        <v/>
      </c>
    </row>
    <row r="46" spans="1:26" x14ac:dyDescent="0.2">
      <c r="A46" s="126"/>
      <c r="B46" s="126"/>
      <c r="C46" s="146"/>
      <c r="D46" s="127"/>
      <c r="E46" s="126"/>
      <c r="F46" s="158"/>
      <c r="G46" s="159"/>
      <c r="H46" s="159"/>
      <c r="I46" s="159"/>
      <c r="J46" s="145"/>
      <c r="K46" s="160"/>
      <c r="L46" s="161"/>
      <c r="M46" s="162"/>
      <c r="N46" s="148">
        <f>+IF(B[[#This Row],[Categoria Catastale]]="",0,VLOOKUP(B[[#This Row],[Categoria Catastale]],Gruppi[],6,0)*B[[#This Row],[Rendita catastale]])</f>
        <v>0</v>
      </c>
      <c r="O46" s="149" t="str">
        <f t="shared" si="1"/>
        <v/>
      </c>
      <c r="P46" s="150">
        <f>+IF(B[[#This Row],[Valore inserito manualmente]]&gt;0,B[[#This Row],[Valore inserito manualmente]],B[[#This Row],[Valore catastale]])</f>
        <v>0</v>
      </c>
      <c r="Q46" s="150">
        <f>+IF(OR(B[[#This Row],[Opzione per prezzo-valore (s/n)]]="s",B[[#This Row],[Valore inserito manualmente]]=0),B[[#This Row],[Valore catastale]],B[[#This Row],[Valore inserito manualmente]])</f>
        <v>0</v>
      </c>
      <c r="R4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50" t="str">
        <f>+IF(B[[#This Row],[Bene]]="","",VLOOKUP(B[[#This Row],[Tipologia]],TipoImm[],3,0)*B[[#This Row],[Imponibile Iva]])</f>
        <v/>
      </c>
      <c r="T46" s="150" t="str">
        <f>+IF(B[[#This Row],[Bene]]="","",VLOOKUP(B[[#This Row],[Tipologia]],TipoImm[],6,0)*B[[#This Row],[Valore catastale]]+VLOOKUP(B[[#This Row],[Tipologia]],TipoImm[],4,0))</f>
        <v/>
      </c>
      <c r="U46" s="154" t="str">
        <f>+IF(B[[#This Row],[Bene]]="","",VLOOKUP(B[[#This Row],[Tipologia]],TipoImm[],8,0)*B[[#This Row],[Valore normale]]+VLOOKUP(B[[#This Row],[Tipologia]],TipoImm[],9,0))</f>
        <v/>
      </c>
      <c r="V46" s="150">
        <f>+IF(OR(B[[#This Row],[Bene]]="",B[[#This Row],[Agevolabile]]=0),0,VLOOKUP(B[[#This Row],[Tipologia]],TipoImm[],5,0))</f>
        <v>0</v>
      </c>
      <c r="W4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50">
        <f>SUM(B[[#This Row],[Imposta di registro in misura fissa agevolata]:[Imposta di registro prop. Agevolata]])</f>
        <v>0</v>
      </c>
      <c r="Y46" s="150">
        <f>+IF(B[[#This Row],[Bene]]="",0,VLOOKUP(B[[#This Row],[Tipologia]],TipoImm[],10,0))</f>
        <v>0</v>
      </c>
      <c r="Z46" s="152" t="str">
        <f>+IF(p=3,"",IF(B[[#This Row],[Tipologia]]="","",VLOOKUP(B[[#This Row],[Tipologia]],TipoImm[],MATCH($Z$4,Tabelle!$AF$1:$AR$1,0),0)))</f>
        <v/>
      </c>
    </row>
    <row r="47" spans="1:26" x14ac:dyDescent="0.2">
      <c r="A47" s="126"/>
      <c r="B47" s="126"/>
      <c r="C47" s="146"/>
      <c r="D47" s="127"/>
      <c r="E47" s="126"/>
      <c r="F47" s="158"/>
      <c r="G47" s="159"/>
      <c r="H47" s="159"/>
      <c r="I47" s="159"/>
      <c r="J47" s="145"/>
      <c r="K47" s="160"/>
      <c r="L47" s="161"/>
      <c r="M47" s="162"/>
      <c r="N47" s="148">
        <f>+IF(B[[#This Row],[Categoria Catastale]]="",0,VLOOKUP(B[[#This Row],[Categoria Catastale]],Gruppi[],6,0)*B[[#This Row],[Rendita catastale]])</f>
        <v>0</v>
      </c>
      <c r="O47" s="149" t="str">
        <f t="shared" si="1"/>
        <v/>
      </c>
      <c r="P47" s="150">
        <f>+IF(B[[#This Row],[Valore inserito manualmente]]&gt;0,B[[#This Row],[Valore inserito manualmente]],B[[#This Row],[Valore catastale]])</f>
        <v>0</v>
      </c>
      <c r="Q47" s="150">
        <f>+IF(OR(B[[#This Row],[Opzione per prezzo-valore (s/n)]]="s",B[[#This Row],[Valore inserito manualmente]]=0),B[[#This Row],[Valore catastale]],B[[#This Row],[Valore inserito manualmente]])</f>
        <v>0</v>
      </c>
      <c r="R4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50" t="str">
        <f>+IF(B[[#This Row],[Bene]]="","",VLOOKUP(B[[#This Row],[Tipologia]],TipoImm[],3,0)*B[[#This Row],[Imponibile Iva]])</f>
        <v/>
      </c>
      <c r="T47" s="150" t="str">
        <f>+IF(B[[#This Row],[Bene]]="","",VLOOKUP(B[[#This Row],[Tipologia]],TipoImm[],6,0)*B[[#This Row],[Valore catastale]]+VLOOKUP(B[[#This Row],[Tipologia]],TipoImm[],4,0))</f>
        <v/>
      </c>
      <c r="U47" s="154" t="str">
        <f>+IF(B[[#This Row],[Bene]]="","",VLOOKUP(B[[#This Row],[Tipologia]],TipoImm[],8,0)*B[[#This Row],[Valore normale]]+VLOOKUP(B[[#This Row],[Tipologia]],TipoImm[],9,0))</f>
        <v/>
      </c>
      <c r="V47" s="150">
        <f>+IF(OR(B[[#This Row],[Bene]]="",B[[#This Row],[Agevolabile]]=0),0,VLOOKUP(B[[#This Row],[Tipologia]],TipoImm[],5,0))</f>
        <v>0</v>
      </c>
      <c r="W4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50">
        <f>SUM(B[[#This Row],[Imposta di registro in misura fissa agevolata]:[Imposta di registro prop. Agevolata]])</f>
        <v>0</v>
      </c>
      <c r="Y47" s="150">
        <f>+IF(B[[#This Row],[Bene]]="",0,VLOOKUP(B[[#This Row],[Tipologia]],TipoImm[],10,0))</f>
        <v>0</v>
      </c>
      <c r="Z47" s="152" t="str">
        <f>+IF(p=3,"",IF(B[[#This Row],[Tipologia]]="","",VLOOKUP(B[[#This Row],[Tipologia]],TipoImm[],MATCH($Z$4,Tabelle!$AF$1:$AR$1,0),0)))</f>
        <v/>
      </c>
    </row>
    <row r="48" spans="1:26" x14ac:dyDescent="0.2">
      <c r="A48" s="126"/>
      <c r="B48" s="126"/>
      <c r="C48" s="146"/>
      <c r="D48" s="127"/>
      <c r="E48" s="126"/>
      <c r="F48" s="158"/>
      <c r="G48" s="159"/>
      <c r="H48" s="159"/>
      <c r="I48" s="159"/>
      <c r="J48" s="145"/>
      <c r="K48" s="160"/>
      <c r="L48" s="161"/>
      <c r="M48" s="162"/>
      <c r="N48" s="148">
        <f>+IF(B[[#This Row],[Categoria Catastale]]="",0,VLOOKUP(B[[#This Row],[Categoria Catastale]],Gruppi[],6,0)*B[[#This Row],[Rendita catastale]])</f>
        <v>0</v>
      </c>
      <c r="O48" s="149" t="str">
        <f t="shared" si="1"/>
        <v/>
      </c>
      <c r="P48" s="150">
        <f>+IF(B[[#This Row],[Valore inserito manualmente]]&gt;0,B[[#This Row],[Valore inserito manualmente]],B[[#This Row],[Valore catastale]])</f>
        <v>0</v>
      </c>
      <c r="Q48" s="150">
        <f>+IF(OR(B[[#This Row],[Opzione per prezzo-valore (s/n)]]="s",B[[#This Row],[Valore inserito manualmente]]=0),B[[#This Row],[Valore catastale]],B[[#This Row],[Valore inserito manualmente]])</f>
        <v>0</v>
      </c>
      <c r="R4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50" t="str">
        <f>+IF(B[[#This Row],[Bene]]="","",VLOOKUP(B[[#This Row],[Tipologia]],TipoImm[],3,0)*B[[#This Row],[Imponibile Iva]])</f>
        <v/>
      </c>
      <c r="T48" s="150" t="str">
        <f>+IF(B[[#This Row],[Bene]]="","",VLOOKUP(B[[#This Row],[Tipologia]],TipoImm[],6,0)*B[[#This Row],[Valore catastale]]+VLOOKUP(B[[#This Row],[Tipologia]],TipoImm[],4,0))</f>
        <v/>
      </c>
      <c r="U48" s="154" t="str">
        <f>+IF(B[[#This Row],[Bene]]="","",VLOOKUP(B[[#This Row],[Tipologia]],TipoImm[],8,0)*B[[#This Row],[Valore normale]]+VLOOKUP(B[[#This Row],[Tipologia]],TipoImm[],9,0))</f>
        <v/>
      </c>
      <c r="V48" s="150">
        <f>+IF(OR(B[[#This Row],[Bene]]="",B[[#This Row],[Agevolabile]]=0),0,VLOOKUP(B[[#This Row],[Tipologia]],TipoImm[],5,0))</f>
        <v>0</v>
      </c>
      <c r="W4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50">
        <f>SUM(B[[#This Row],[Imposta di registro in misura fissa agevolata]:[Imposta di registro prop. Agevolata]])</f>
        <v>0</v>
      </c>
      <c r="Y48" s="150">
        <f>+IF(B[[#This Row],[Bene]]="",0,VLOOKUP(B[[#This Row],[Tipologia]],TipoImm[],10,0))</f>
        <v>0</v>
      </c>
      <c r="Z48" s="152" t="str">
        <f>+IF(p=3,"",IF(B[[#This Row],[Tipologia]]="","",VLOOKUP(B[[#This Row],[Tipologia]],TipoImm[],MATCH($Z$4,Tabelle!$AF$1:$AR$1,0),0)))</f>
        <v/>
      </c>
    </row>
    <row r="49" spans="1:26" x14ac:dyDescent="0.2">
      <c r="A49" s="126"/>
      <c r="B49" s="126"/>
      <c r="C49" s="146"/>
      <c r="D49" s="127"/>
      <c r="E49" s="126"/>
      <c r="F49" s="158"/>
      <c r="G49" s="159"/>
      <c r="H49" s="159"/>
      <c r="I49" s="159"/>
      <c r="J49" s="145"/>
      <c r="K49" s="160"/>
      <c r="L49" s="161"/>
      <c r="M49" s="162"/>
      <c r="N49" s="148">
        <f>+IF(B[[#This Row],[Categoria Catastale]]="",0,VLOOKUP(B[[#This Row],[Categoria Catastale]],Gruppi[],6,0)*B[[#This Row],[Rendita catastale]])</f>
        <v>0</v>
      </c>
      <c r="O49" s="149" t="str">
        <f t="shared" si="1"/>
        <v/>
      </c>
      <c r="P49" s="150">
        <f>+IF(B[[#This Row],[Valore inserito manualmente]]&gt;0,B[[#This Row],[Valore inserito manualmente]],B[[#This Row],[Valore catastale]])</f>
        <v>0</v>
      </c>
      <c r="Q49" s="150">
        <f>+IF(OR(B[[#This Row],[Opzione per prezzo-valore (s/n)]]="s",B[[#This Row],[Valore inserito manualmente]]=0),B[[#This Row],[Valore catastale]],B[[#This Row],[Valore inserito manualmente]])</f>
        <v>0</v>
      </c>
      <c r="R4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50" t="str">
        <f>+IF(B[[#This Row],[Bene]]="","",VLOOKUP(B[[#This Row],[Tipologia]],TipoImm[],3,0)*B[[#This Row],[Imponibile Iva]])</f>
        <v/>
      </c>
      <c r="T49" s="150" t="str">
        <f>+IF(B[[#This Row],[Bene]]="","",VLOOKUP(B[[#This Row],[Tipologia]],TipoImm[],6,0)*B[[#This Row],[Valore catastale]]+VLOOKUP(B[[#This Row],[Tipologia]],TipoImm[],4,0))</f>
        <v/>
      </c>
      <c r="U49" s="154" t="str">
        <f>+IF(B[[#This Row],[Bene]]="","",VLOOKUP(B[[#This Row],[Tipologia]],TipoImm[],8,0)*B[[#This Row],[Valore normale]]+VLOOKUP(B[[#This Row],[Tipologia]],TipoImm[],9,0))</f>
        <v/>
      </c>
      <c r="V49" s="150">
        <f>+IF(OR(B[[#This Row],[Bene]]="",B[[#This Row],[Agevolabile]]=0),0,VLOOKUP(B[[#This Row],[Tipologia]],TipoImm[],5,0))</f>
        <v>0</v>
      </c>
      <c r="W4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50">
        <f>SUM(B[[#This Row],[Imposta di registro in misura fissa agevolata]:[Imposta di registro prop. Agevolata]])</f>
        <v>0</v>
      </c>
      <c r="Y49" s="150">
        <f>+IF(B[[#This Row],[Bene]]="",0,VLOOKUP(B[[#This Row],[Tipologia]],TipoImm[],10,0))</f>
        <v>0</v>
      </c>
      <c r="Z49" s="152" t="str">
        <f>+IF(p=3,"",IF(B[[#This Row],[Tipologia]]="","",VLOOKUP(B[[#This Row],[Tipologia]],TipoImm[],MATCH($Z$4,Tabelle!$AF$1:$AR$1,0),0)))</f>
        <v/>
      </c>
    </row>
    <row r="50" spans="1:26" x14ac:dyDescent="0.2">
      <c r="A50" s="126"/>
      <c r="B50" s="126"/>
      <c r="C50" s="146"/>
      <c r="D50" s="127"/>
      <c r="E50" s="126"/>
      <c r="F50" s="158"/>
      <c r="G50" s="159"/>
      <c r="H50" s="159"/>
      <c r="I50" s="159"/>
      <c r="J50" s="145"/>
      <c r="K50" s="160"/>
      <c r="L50" s="161"/>
      <c r="M50" s="162"/>
      <c r="N50" s="148">
        <f>+IF(B[[#This Row],[Categoria Catastale]]="",0,VLOOKUP(B[[#This Row],[Categoria Catastale]],Gruppi[],6,0)*B[[#This Row],[Rendita catastale]])</f>
        <v>0</v>
      </c>
      <c r="O50" s="149" t="str">
        <f t="shared" si="1"/>
        <v/>
      </c>
      <c r="P50" s="150">
        <f>+IF(B[[#This Row],[Valore inserito manualmente]]&gt;0,B[[#This Row],[Valore inserito manualmente]],B[[#This Row],[Valore catastale]])</f>
        <v>0</v>
      </c>
      <c r="Q50" s="150">
        <f>+IF(OR(B[[#This Row],[Opzione per prezzo-valore (s/n)]]="s",B[[#This Row],[Valore inserito manualmente]]=0),B[[#This Row],[Valore catastale]],B[[#This Row],[Valore inserito manualmente]])</f>
        <v>0</v>
      </c>
      <c r="R5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50" t="str">
        <f>+IF(B[[#This Row],[Bene]]="","",VLOOKUP(B[[#This Row],[Tipologia]],TipoImm[],3,0)*B[[#This Row],[Imponibile Iva]])</f>
        <v/>
      </c>
      <c r="T50" s="150" t="str">
        <f>+IF(B[[#This Row],[Bene]]="","",VLOOKUP(B[[#This Row],[Tipologia]],TipoImm[],6,0)*B[[#This Row],[Valore catastale]]+VLOOKUP(B[[#This Row],[Tipologia]],TipoImm[],4,0))</f>
        <v/>
      </c>
      <c r="U50" s="154" t="str">
        <f>+IF(B[[#This Row],[Bene]]="","",VLOOKUP(B[[#This Row],[Tipologia]],TipoImm[],8,0)*B[[#This Row],[Valore normale]]+VLOOKUP(B[[#This Row],[Tipologia]],TipoImm[],9,0))</f>
        <v/>
      </c>
      <c r="V50" s="150">
        <f>+IF(OR(B[[#This Row],[Bene]]="",B[[#This Row],[Agevolabile]]=0),0,VLOOKUP(B[[#This Row],[Tipologia]],TipoImm[],5,0))</f>
        <v>0</v>
      </c>
      <c r="W5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50">
        <f>SUM(B[[#This Row],[Imposta di registro in misura fissa agevolata]:[Imposta di registro prop. Agevolata]])</f>
        <v>0</v>
      </c>
      <c r="Y50" s="150">
        <f>+IF(B[[#This Row],[Bene]]="",0,VLOOKUP(B[[#This Row],[Tipologia]],TipoImm[],10,0))</f>
        <v>0</v>
      </c>
      <c r="Z50" s="152" t="str">
        <f>+IF(p=3,"",IF(B[[#This Row],[Tipologia]]="","",VLOOKUP(B[[#This Row],[Tipologia]],TipoImm[],MATCH($Z$4,Tabelle!$AF$1:$AR$1,0),0)))</f>
        <v/>
      </c>
    </row>
    <row r="51" spans="1:26" x14ac:dyDescent="0.2">
      <c r="A51" s="126"/>
      <c r="B51" s="126"/>
      <c r="C51" s="146"/>
      <c r="D51" s="127"/>
      <c r="E51" s="126"/>
      <c r="F51" s="158"/>
      <c r="G51" s="159"/>
      <c r="H51" s="159"/>
      <c r="I51" s="159"/>
      <c r="J51" s="145"/>
      <c r="K51" s="160"/>
      <c r="L51" s="161"/>
      <c r="M51" s="162"/>
      <c r="N51" s="148">
        <f>+IF(B[[#This Row],[Categoria Catastale]]="",0,VLOOKUP(B[[#This Row],[Categoria Catastale]],Gruppi[],6,0)*B[[#This Row],[Rendita catastale]])</f>
        <v>0</v>
      </c>
      <c r="O51" s="149" t="str">
        <f t="shared" si="1"/>
        <v/>
      </c>
      <c r="P51" s="150">
        <f>+IF(B[[#This Row],[Valore inserito manualmente]]&gt;0,B[[#This Row],[Valore inserito manualmente]],B[[#This Row],[Valore catastale]])</f>
        <v>0</v>
      </c>
      <c r="Q51" s="150">
        <f>+IF(OR(B[[#This Row],[Opzione per prezzo-valore (s/n)]]="s",B[[#This Row],[Valore inserito manualmente]]=0),B[[#This Row],[Valore catastale]],B[[#This Row],[Valore inserito manualmente]])</f>
        <v>0</v>
      </c>
      <c r="R5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50" t="str">
        <f>+IF(B[[#This Row],[Bene]]="","",VLOOKUP(B[[#This Row],[Tipologia]],TipoImm[],3,0)*B[[#This Row],[Imponibile Iva]])</f>
        <v/>
      </c>
      <c r="T51" s="150" t="str">
        <f>+IF(B[[#This Row],[Bene]]="","",VLOOKUP(B[[#This Row],[Tipologia]],TipoImm[],6,0)*B[[#This Row],[Valore catastale]]+VLOOKUP(B[[#This Row],[Tipologia]],TipoImm[],4,0))</f>
        <v/>
      </c>
      <c r="U51" s="154" t="str">
        <f>+IF(B[[#This Row],[Bene]]="","",VLOOKUP(B[[#This Row],[Tipologia]],TipoImm[],8,0)*B[[#This Row],[Valore normale]]+VLOOKUP(B[[#This Row],[Tipologia]],TipoImm[],9,0))</f>
        <v/>
      </c>
      <c r="V51" s="150">
        <f>+IF(OR(B[[#This Row],[Bene]]="",B[[#This Row],[Agevolabile]]=0),0,VLOOKUP(B[[#This Row],[Tipologia]],TipoImm[],5,0))</f>
        <v>0</v>
      </c>
      <c r="W5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50">
        <f>SUM(B[[#This Row],[Imposta di registro in misura fissa agevolata]:[Imposta di registro prop. Agevolata]])</f>
        <v>0</v>
      </c>
      <c r="Y51" s="150">
        <f>+IF(B[[#This Row],[Bene]]="",0,VLOOKUP(B[[#This Row],[Tipologia]],TipoImm[],10,0))</f>
        <v>0</v>
      </c>
      <c r="Z51" s="152" t="str">
        <f>+IF(p=3,"",IF(B[[#This Row],[Tipologia]]="","",VLOOKUP(B[[#This Row],[Tipologia]],TipoImm[],MATCH($Z$4,Tabelle!$AF$1:$AR$1,0),0)))</f>
        <v/>
      </c>
    </row>
    <row r="52" spans="1:26" x14ac:dyDescent="0.2">
      <c r="A52" s="126"/>
      <c r="B52" s="126"/>
      <c r="C52" s="146"/>
      <c r="D52" s="127"/>
      <c r="E52" s="126"/>
      <c r="F52" s="158"/>
      <c r="G52" s="159"/>
      <c r="H52" s="159"/>
      <c r="I52" s="159"/>
      <c r="J52" s="145"/>
      <c r="K52" s="160"/>
      <c r="L52" s="161"/>
      <c r="M52" s="162"/>
      <c r="N52" s="148">
        <f>+IF(B[[#This Row],[Categoria Catastale]]="",0,VLOOKUP(B[[#This Row],[Categoria Catastale]],Gruppi[],6,0)*B[[#This Row],[Rendita catastale]])</f>
        <v>0</v>
      </c>
      <c r="O52" s="149" t="str">
        <f t="shared" si="1"/>
        <v/>
      </c>
      <c r="P52" s="150">
        <f>+IF(B[[#This Row],[Valore inserito manualmente]]&gt;0,B[[#This Row],[Valore inserito manualmente]],B[[#This Row],[Valore catastale]])</f>
        <v>0</v>
      </c>
      <c r="Q52" s="150">
        <f>+IF(OR(B[[#This Row],[Opzione per prezzo-valore (s/n)]]="s",B[[#This Row],[Valore inserito manualmente]]=0),B[[#This Row],[Valore catastale]],B[[#This Row],[Valore inserito manualmente]])</f>
        <v>0</v>
      </c>
      <c r="R5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50" t="str">
        <f>+IF(B[[#This Row],[Bene]]="","",VLOOKUP(B[[#This Row],[Tipologia]],TipoImm[],3,0)*B[[#This Row],[Imponibile Iva]])</f>
        <v/>
      </c>
      <c r="T52" s="150" t="str">
        <f>+IF(B[[#This Row],[Bene]]="","",VLOOKUP(B[[#This Row],[Tipologia]],TipoImm[],6,0)*B[[#This Row],[Valore catastale]]+VLOOKUP(B[[#This Row],[Tipologia]],TipoImm[],4,0))</f>
        <v/>
      </c>
      <c r="U52" s="154" t="str">
        <f>+IF(B[[#This Row],[Bene]]="","",VLOOKUP(B[[#This Row],[Tipologia]],TipoImm[],8,0)*B[[#This Row],[Valore normale]]+VLOOKUP(B[[#This Row],[Tipologia]],TipoImm[],9,0))</f>
        <v/>
      </c>
      <c r="V52" s="150">
        <f>+IF(OR(B[[#This Row],[Bene]]="",B[[#This Row],[Agevolabile]]=0),0,VLOOKUP(B[[#This Row],[Tipologia]],TipoImm[],5,0))</f>
        <v>0</v>
      </c>
      <c r="W5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50">
        <f>SUM(B[[#This Row],[Imposta di registro in misura fissa agevolata]:[Imposta di registro prop. Agevolata]])</f>
        <v>0</v>
      </c>
      <c r="Y52" s="150">
        <f>+IF(B[[#This Row],[Bene]]="",0,VLOOKUP(B[[#This Row],[Tipologia]],TipoImm[],10,0))</f>
        <v>0</v>
      </c>
      <c r="Z52" s="152" t="str">
        <f>+IF(p=3,"",IF(B[[#This Row],[Tipologia]]="","",VLOOKUP(B[[#This Row],[Tipologia]],TipoImm[],MATCH($Z$4,Tabelle!$AF$1:$AR$1,0),0)))</f>
        <v/>
      </c>
    </row>
    <row r="53" spans="1:26" x14ac:dyDescent="0.2">
      <c r="A53" s="126"/>
      <c r="B53" s="126"/>
      <c r="C53" s="146"/>
      <c r="D53" s="127"/>
      <c r="E53" s="126"/>
      <c r="F53" s="158"/>
      <c r="G53" s="159"/>
      <c r="H53" s="159"/>
      <c r="I53" s="159"/>
      <c r="J53" s="145"/>
      <c r="K53" s="160"/>
      <c r="L53" s="161"/>
      <c r="M53" s="162"/>
      <c r="N53" s="148">
        <f>+IF(B[[#This Row],[Categoria Catastale]]="",0,VLOOKUP(B[[#This Row],[Categoria Catastale]],Gruppi[],6,0)*B[[#This Row],[Rendita catastale]])</f>
        <v>0</v>
      </c>
      <c r="O53" s="149" t="str">
        <f t="shared" si="1"/>
        <v/>
      </c>
      <c r="P53" s="150">
        <f>+IF(B[[#This Row],[Valore inserito manualmente]]&gt;0,B[[#This Row],[Valore inserito manualmente]],B[[#This Row],[Valore catastale]])</f>
        <v>0</v>
      </c>
      <c r="Q53" s="150">
        <f>+IF(OR(B[[#This Row],[Opzione per prezzo-valore (s/n)]]="s",B[[#This Row],[Valore inserito manualmente]]=0),B[[#This Row],[Valore catastale]],B[[#This Row],[Valore inserito manualmente]])</f>
        <v>0</v>
      </c>
      <c r="R5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50" t="str">
        <f>+IF(B[[#This Row],[Bene]]="","",VLOOKUP(B[[#This Row],[Tipologia]],TipoImm[],3,0)*B[[#This Row],[Imponibile Iva]])</f>
        <v/>
      </c>
      <c r="T53" s="150" t="str">
        <f>+IF(B[[#This Row],[Bene]]="","",VLOOKUP(B[[#This Row],[Tipologia]],TipoImm[],6,0)*B[[#This Row],[Valore catastale]]+VLOOKUP(B[[#This Row],[Tipologia]],TipoImm[],4,0))</f>
        <v/>
      </c>
      <c r="U53" s="154" t="str">
        <f>+IF(B[[#This Row],[Bene]]="","",VLOOKUP(B[[#This Row],[Tipologia]],TipoImm[],8,0)*B[[#This Row],[Valore normale]]+VLOOKUP(B[[#This Row],[Tipologia]],TipoImm[],9,0))</f>
        <v/>
      </c>
      <c r="V53" s="150">
        <f>+IF(OR(B[[#This Row],[Bene]]="",B[[#This Row],[Agevolabile]]=0),0,VLOOKUP(B[[#This Row],[Tipologia]],TipoImm[],5,0))</f>
        <v>0</v>
      </c>
      <c r="W5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50">
        <f>SUM(B[[#This Row],[Imposta di registro in misura fissa agevolata]:[Imposta di registro prop. Agevolata]])</f>
        <v>0</v>
      </c>
      <c r="Y53" s="150">
        <f>+IF(B[[#This Row],[Bene]]="",0,VLOOKUP(B[[#This Row],[Tipologia]],TipoImm[],10,0))</f>
        <v>0</v>
      </c>
      <c r="Z53" s="152" t="str">
        <f>+IF(p=3,"",IF(B[[#This Row],[Tipologia]]="","",VLOOKUP(B[[#This Row],[Tipologia]],TipoImm[],MATCH($Z$4,Tabelle!$AF$1:$AR$1,0),0)))</f>
        <v/>
      </c>
    </row>
    <row r="54" spans="1:26" x14ac:dyDescent="0.2">
      <c r="A54" s="126"/>
      <c r="B54" s="126"/>
      <c r="C54" s="146"/>
      <c r="D54" s="127"/>
      <c r="E54" s="126"/>
      <c r="F54" s="158"/>
      <c r="G54" s="159"/>
      <c r="H54" s="159"/>
      <c r="I54" s="159"/>
      <c r="J54" s="145"/>
      <c r="K54" s="160"/>
      <c r="L54" s="161"/>
      <c r="M54" s="162"/>
      <c r="N54" s="148">
        <f>+IF(B[[#This Row],[Categoria Catastale]]="",0,VLOOKUP(B[[#This Row],[Categoria Catastale]],Gruppi[],6,0)*B[[#This Row],[Rendita catastale]])</f>
        <v>0</v>
      </c>
      <c r="O54" s="149" t="str">
        <f t="shared" si="1"/>
        <v/>
      </c>
      <c r="P54" s="150">
        <f>+IF(B[[#This Row],[Valore inserito manualmente]]&gt;0,B[[#This Row],[Valore inserito manualmente]],B[[#This Row],[Valore catastale]])</f>
        <v>0</v>
      </c>
      <c r="Q54" s="150">
        <f>+IF(OR(B[[#This Row],[Opzione per prezzo-valore (s/n)]]="s",B[[#This Row],[Valore inserito manualmente]]=0),B[[#This Row],[Valore catastale]],B[[#This Row],[Valore inserito manualmente]])</f>
        <v>0</v>
      </c>
      <c r="R5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50" t="str">
        <f>+IF(B[[#This Row],[Bene]]="","",VLOOKUP(B[[#This Row],[Tipologia]],TipoImm[],3,0)*B[[#This Row],[Imponibile Iva]])</f>
        <v/>
      </c>
      <c r="T54" s="150" t="str">
        <f>+IF(B[[#This Row],[Bene]]="","",VLOOKUP(B[[#This Row],[Tipologia]],TipoImm[],6,0)*B[[#This Row],[Valore catastale]]+VLOOKUP(B[[#This Row],[Tipologia]],TipoImm[],4,0))</f>
        <v/>
      </c>
      <c r="U54" s="154" t="str">
        <f>+IF(B[[#This Row],[Bene]]="","",VLOOKUP(B[[#This Row],[Tipologia]],TipoImm[],8,0)*B[[#This Row],[Valore normale]]+VLOOKUP(B[[#This Row],[Tipologia]],TipoImm[],9,0))</f>
        <v/>
      </c>
      <c r="V54" s="150">
        <f>+IF(OR(B[[#This Row],[Bene]]="",B[[#This Row],[Agevolabile]]=0),0,VLOOKUP(B[[#This Row],[Tipologia]],TipoImm[],5,0))</f>
        <v>0</v>
      </c>
      <c r="W5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50">
        <f>SUM(B[[#This Row],[Imposta di registro in misura fissa agevolata]:[Imposta di registro prop. Agevolata]])</f>
        <v>0</v>
      </c>
      <c r="Y54" s="150">
        <f>+IF(B[[#This Row],[Bene]]="",0,VLOOKUP(B[[#This Row],[Tipologia]],TipoImm[],10,0))</f>
        <v>0</v>
      </c>
      <c r="Z54" s="152" t="str">
        <f>+IF(p=3,"",IF(B[[#This Row],[Tipologia]]="","",VLOOKUP(B[[#This Row],[Tipologia]],TipoImm[],MATCH($Z$4,Tabelle!$AF$1:$AR$1,0),0)))</f>
        <v/>
      </c>
    </row>
    <row r="55" spans="1:26" x14ac:dyDescent="0.2">
      <c r="A55" s="126"/>
      <c r="B55" s="126"/>
      <c r="C55" s="146"/>
      <c r="D55" s="127"/>
      <c r="E55" s="126"/>
      <c r="F55" s="158"/>
      <c r="G55" s="159"/>
      <c r="H55" s="159"/>
      <c r="I55" s="159"/>
      <c r="J55" s="145"/>
      <c r="K55" s="160"/>
      <c r="L55" s="161"/>
      <c r="M55" s="162"/>
      <c r="N55" s="148">
        <f>+IF(B[[#This Row],[Categoria Catastale]]="",0,VLOOKUP(B[[#This Row],[Categoria Catastale]],Gruppi[],6,0)*B[[#This Row],[Rendita catastale]])</f>
        <v>0</v>
      </c>
      <c r="O55" s="149" t="str">
        <f t="shared" si="1"/>
        <v/>
      </c>
      <c r="P55" s="150">
        <f>+IF(B[[#This Row],[Valore inserito manualmente]]&gt;0,B[[#This Row],[Valore inserito manualmente]],B[[#This Row],[Valore catastale]])</f>
        <v>0</v>
      </c>
      <c r="Q55" s="150">
        <f>+IF(OR(B[[#This Row],[Opzione per prezzo-valore (s/n)]]="s",B[[#This Row],[Valore inserito manualmente]]=0),B[[#This Row],[Valore catastale]],B[[#This Row],[Valore inserito manualmente]])</f>
        <v>0</v>
      </c>
      <c r="R5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50" t="str">
        <f>+IF(B[[#This Row],[Bene]]="","",VLOOKUP(B[[#This Row],[Tipologia]],TipoImm[],3,0)*B[[#This Row],[Imponibile Iva]])</f>
        <v/>
      </c>
      <c r="T55" s="150" t="str">
        <f>+IF(B[[#This Row],[Bene]]="","",VLOOKUP(B[[#This Row],[Tipologia]],TipoImm[],6,0)*B[[#This Row],[Valore catastale]]+VLOOKUP(B[[#This Row],[Tipologia]],TipoImm[],4,0))</f>
        <v/>
      </c>
      <c r="U55" s="154" t="str">
        <f>+IF(B[[#This Row],[Bene]]="","",VLOOKUP(B[[#This Row],[Tipologia]],TipoImm[],8,0)*B[[#This Row],[Valore normale]]+VLOOKUP(B[[#This Row],[Tipologia]],TipoImm[],9,0))</f>
        <v/>
      </c>
      <c r="V55" s="150">
        <f>+IF(OR(B[[#This Row],[Bene]]="",B[[#This Row],[Agevolabile]]=0),0,VLOOKUP(B[[#This Row],[Tipologia]],TipoImm[],5,0))</f>
        <v>0</v>
      </c>
      <c r="W5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50">
        <f>SUM(B[[#This Row],[Imposta di registro in misura fissa agevolata]:[Imposta di registro prop. Agevolata]])</f>
        <v>0</v>
      </c>
      <c r="Y55" s="150">
        <f>+IF(B[[#This Row],[Bene]]="",0,VLOOKUP(B[[#This Row],[Tipologia]],TipoImm[],10,0))</f>
        <v>0</v>
      </c>
      <c r="Z55" s="152" t="str">
        <f>+IF(p=3,"",IF(B[[#This Row],[Tipologia]]="","",VLOOKUP(B[[#This Row],[Tipologia]],TipoImm[],MATCH($Z$4,Tabelle!$AF$1:$AR$1,0),0)))</f>
        <v/>
      </c>
    </row>
    <row r="56" spans="1:26" x14ac:dyDescent="0.2">
      <c r="A56" s="126"/>
      <c r="B56" s="126"/>
      <c r="C56" s="146"/>
      <c r="D56" s="127"/>
      <c r="E56" s="126"/>
      <c r="F56" s="158"/>
      <c r="G56" s="159"/>
      <c r="H56" s="159"/>
      <c r="I56" s="159"/>
      <c r="J56" s="145"/>
      <c r="K56" s="160"/>
      <c r="L56" s="161"/>
      <c r="M56" s="162"/>
      <c r="N56" s="148">
        <f>+IF(B[[#This Row],[Categoria Catastale]]="",0,VLOOKUP(B[[#This Row],[Categoria Catastale]],Gruppi[],6,0)*B[[#This Row],[Rendita catastale]])</f>
        <v>0</v>
      </c>
      <c r="O56" s="149" t="str">
        <f t="shared" si="1"/>
        <v/>
      </c>
      <c r="P56" s="150">
        <f>+IF(B[[#This Row],[Valore inserito manualmente]]&gt;0,B[[#This Row],[Valore inserito manualmente]],B[[#This Row],[Valore catastale]])</f>
        <v>0</v>
      </c>
      <c r="Q56" s="150">
        <f>+IF(OR(B[[#This Row],[Opzione per prezzo-valore (s/n)]]="s",B[[#This Row],[Valore inserito manualmente]]=0),B[[#This Row],[Valore catastale]],B[[#This Row],[Valore inserito manualmente]])</f>
        <v>0</v>
      </c>
      <c r="R5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50" t="str">
        <f>+IF(B[[#This Row],[Bene]]="","",VLOOKUP(B[[#This Row],[Tipologia]],TipoImm[],3,0)*B[[#This Row],[Imponibile Iva]])</f>
        <v/>
      </c>
      <c r="T56" s="150" t="str">
        <f>+IF(B[[#This Row],[Bene]]="","",VLOOKUP(B[[#This Row],[Tipologia]],TipoImm[],6,0)*B[[#This Row],[Valore catastale]]+VLOOKUP(B[[#This Row],[Tipologia]],TipoImm[],4,0))</f>
        <v/>
      </c>
      <c r="U56" s="154" t="str">
        <f>+IF(B[[#This Row],[Bene]]="","",VLOOKUP(B[[#This Row],[Tipologia]],TipoImm[],8,0)*B[[#This Row],[Valore normale]]+VLOOKUP(B[[#This Row],[Tipologia]],TipoImm[],9,0))</f>
        <v/>
      </c>
      <c r="V56" s="150">
        <f>+IF(OR(B[[#This Row],[Bene]]="",B[[#This Row],[Agevolabile]]=0),0,VLOOKUP(B[[#This Row],[Tipologia]],TipoImm[],5,0))</f>
        <v>0</v>
      </c>
      <c r="W5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50">
        <f>SUM(B[[#This Row],[Imposta di registro in misura fissa agevolata]:[Imposta di registro prop. Agevolata]])</f>
        <v>0</v>
      </c>
      <c r="Y56" s="150">
        <f>+IF(B[[#This Row],[Bene]]="",0,VLOOKUP(B[[#This Row],[Tipologia]],TipoImm[],10,0))</f>
        <v>0</v>
      </c>
      <c r="Z56" s="152" t="str">
        <f>+IF(p=3,"",IF(B[[#This Row],[Tipologia]]="","",VLOOKUP(B[[#This Row],[Tipologia]],TipoImm[],MATCH($Z$4,Tabelle!$AF$1:$AR$1,0),0)))</f>
        <v/>
      </c>
    </row>
    <row r="57" spans="1:26" x14ac:dyDescent="0.2">
      <c r="A57" s="126"/>
      <c r="B57" s="126"/>
      <c r="C57" s="146"/>
      <c r="D57" s="127"/>
      <c r="E57" s="126"/>
      <c r="F57" s="158"/>
      <c r="G57" s="159"/>
      <c r="H57" s="159"/>
      <c r="I57" s="159"/>
      <c r="J57" s="145"/>
      <c r="K57" s="160"/>
      <c r="L57" s="161"/>
      <c r="M57" s="162"/>
      <c r="N57" s="148">
        <f>+IF(B[[#This Row],[Categoria Catastale]]="",0,VLOOKUP(B[[#This Row],[Categoria Catastale]],Gruppi[],6,0)*B[[#This Row],[Rendita catastale]])</f>
        <v>0</v>
      </c>
      <c r="O57" s="149" t="str">
        <f t="shared" si="1"/>
        <v/>
      </c>
      <c r="P57" s="150">
        <f>+IF(B[[#This Row],[Valore inserito manualmente]]&gt;0,B[[#This Row],[Valore inserito manualmente]],B[[#This Row],[Valore catastale]])</f>
        <v>0</v>
      </c>
      <c r="Q57" s="150">
        <f>+IF(OR(B[[#This Row],[Opzione per prezzo-valore (s/n)]]="s",B[[#This Row],[Valore inserito manualmente]]=0),B[[#This Row],[Valore catastale]],B[[#This Row],[Valore inserito manualmente]])</f>
        <v>0</v>
      </c>
      <c r="R5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50" t="str">
        <f>+IF(B[[#This Row],[Bene]]="","",VLOOKUP(B[[#This Row],[Tipologia]],TipoImm[],3,0)*B[[#This Row],[Imponibile Iva]])</f>
        <v/>
      </c>
      <c r="T57" s="150" t="str">
        <f>+IF(B[[#This Row],[Bene]]="","",VLOOKUP(B[[#This Row],[Tipologia]],TipoImm[],6,0)*B[[#This Row],[Valore catastale]]+VLOOKUP(B[[#This Row],[Tipologia]],TipoImm[],4,0))</f>
        <v/>
      </c>
      <c r="U57" s="154" t="str">
        <f>+IF(B[[#This Row],[Bene]]="","",VLOOKUP(B[[#This Row],[Tipologia]],TipoImm[],8,0)*B[[#This Row],[Valore normale]]+VLOOKUP(B[[#This Row],[Tipologia]],TipoImm[],9,0))</f>
        <v/>
      </c>
      <c r="V57" s="150">
        <f>+IF(OR(B[[#This Row],[Bene]]="",B[[#This Row],[Agevolabile]]=0),0,VLOOKUP(B[[#This Row],[Tipologia]],TipoImm[],5,0))</f>
        <v>0</v>
      </c>
      <c r="W5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50">
        <f>SUM(B[[#This Row],[Imposta di registro in misura fissa agevolata]:[Imposta di registro prop. Agevolata]])</f>
        <v>0</v>
      </c>
      <c r="Y57" s="150">
        <f>+IF(B[[#This Row],[Bene]]="",0,VLOOKUP(B[[#This Row],[Tipologia]],TipoImm[],10,0))</f>
        <v>0</v>
      </c>
      <c r="Z57" s="152" t="str">
        <f>+IF(p=3,"",IF(B[[#This Row],[Tipologia]]="","",VLOOKUP(B[[#This Row],[Tipologia]],TipoImm[],MATCH($Z$4,Tabelle!$AF$1:$AR$1,0),0)))</f>
        <v/>
      </c>
    </row>
    <row r="58" spans="1:26" x14ac:dyDescent="0.2">
      <c r="A58" s="126"/>
      <c r="B58" s="126"/>
      <c r="C58" s="146"/>
      <c r="D58" s="127"/>
      <c r="E58" s="126"/>
      <c r="F58" s="158"/>
      <c r="G58" s="159"/>
      <c r="H58" s="159"/>
      <c r="I58" s="159"/>
      <c r="J58" s="145"/>
      <c r="K58" s="160"/>
      <c r="L58" s="161"/>
      <c r="M58" s="162"/>
      <c r="N58" s="148">
        <f>+IF(B[[#This Row],[Categoria Catastale]]="",0,VLOOKUP(B[[#This Row],[Categoria Catastale]],Gruppi[],6,0)*B[[#This Row],[Rendita catastale]])</f>
        <v>0</v>
      </c>
      <c r="O58" s="149" t="str">
        <f t="shared" si="1"/>
        <v/>
      </c>
      <c r="P58" s="150">
        <f>+IF(B[[#This Row],[Valore inserito manualmente]]&gt;0,B[[#This Row],[Valore inserito manualmente]],B[[#This Row],[Valore catastale]])</f>
        <v>0</v>
      </c>
      <c r="Q58" s="150">
        <f>+IF(OR(B[[#This Row],[Opzione per prezzo-valore (s/n)]]="s",B[[#This Row],[Valore inserito manualmente]]=0),B[[#This Row],[Valore catastale]],B[[#This Row],[Valore inserito manualmente]])</f>
        <v>0</v>
      </c>
      <c r="R5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50" t="str">
        <f>+IF(B[[#This Row],[Bene]]="","",VLOOKUP(B[[#This Row],[Tipologia]],TipoImm[],3,0)*B[[#This Row],[Imponibile Iva]])</f>
        <v/>
      </c>
      <c r="T58" s="150" t="str">
        <f>+IF(B[[#This Row],[Bene]]="","",VLOOKUP(B[[#This Row],[Tipologia]],TipoImm[],6,0)*B[[#This Row],[Valore catastale]]+VLOOKUP(B[[#This Row],[Tipologia]],TipoImm[],4,0))</f>
        <v/>
      </c>
      <c r="U58" s="154" t="str">
        <f>+IF(B[[#This Row],[Bene]]="","",VLOOKUP(B[[#This Row],[Tipologia]],TipoImm[],8,0)*B[[#This Row],[Valore normale]]+VLOOKUP(B[[#This Row],[Tipologia]],TipoImm[],9,0))</f>
        <v/>
      </c>
      <c r="V58" s="150">
        <f>+IF(OR(B[[#This Row],[Bene]]="",B[[#This Row],[Agevolabile]]=0),0,VLOOKUP(B[[#This Row],[Tipologia]],TipoImm[],5,0))</f>
        <v>0</v>
      </c>
      <c r="W5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50">
        <f>SUM(B[[#This Row],[Imposta di registro in misura fissa agevolata]:[Imposta di registro prop. Agevolata]])</f>
        <v>0</v>
      </c>
      <c r="Y58" s="150">
        <f>+IF(B[[#This Row],[Bene]]="",0,VLOOKUP(B[[#This Row],[Tipologia]],TipoImm[],10,0))</f>
        <v>0</v>
      </c>
      <c r="Z58" s="152" t="str">
        <f>+IF(p=3,"",IF(B[[#This Row],[Tipologia]]="","",VLOOKUP(B[[#This Row],[Tipologia]],TipoImm[],MATCH($Z$4,Tabelle!$AF$1:$AR$1,0),0)))</f>
        <v/>
      </c>
    </row>
    <row r="59" spans="1:26" x14ac:dyDescent="0.2">
      <c r="A59" s="126"/>
      <c r="B59" s="126"/>
      <c r="C59" s="146"/>
      <c r="D59" s="127"/>
      <c r="E59" s="126"/>
      <c r="F59" s="158"/>
      <c r="G59" s="159"/>
      <c r="H59" s="159"/>
      <c r="I59" s="159"/>
      <c r="J59" s="145"/>
      <c r="K59" s="160"/>
      <c r="L59" s="161"/>
      <c r="M59" s="162"/>
      <c r="N59" s="148">
        <f>+IF(B[[#This Row],[Categoria Catastale]]="",0,VLOOKUP(B[[#This Row],[Categoria Catastale]],Gruppi[],6,0)*B[[#This Row],[Rendita catastale]])</f>
        <v>0</v>
      </c>
      <c r="O59" s="149" t="str">
        <f t="shared" si="1"/>
        <v/>
      </c>
      <c r="P59" s="150">
        <f>+IF(B[[#This Row],[Valore inserito manualmente]]&gt;0,B[[#This Row],[Valore inserito manualmente]],B[[#This Row],[Valore catastale]])</f>
        <v>0</v>
      </c>
      <c r="Q59" s="150">
        <f>+IF(OR(B[[#This Row],[Opzione per prezzo-valore (s/n)]]="s",B[[#This Row],[Valore inserito manualmente]]=0),B[[#This Row],[Valore catastale]],B[[#This Row],[Valore inserito manualmente]])</f>
        <v>0</v>
      </c>
      <c r="R5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50" t="str">
        <f>+IF(B[[#This Row],[Bene]]="","",VLOOKUP(B[[#This Row],[Tipologia]],TipoImm[],3,0)*B[[#This Row],[Imponibile Iva]])</f>
        <v/>
      </c>
      <c r="T59" s="150" t="str">
        <f>+IF(B[[#This Row],[Bene]]="","",VLOOKUP(B[[#This Row],[Tipologia]],TipoImm[],6,0)*B[[#This Row],[Valore catastale]]+VLOOKUP(B[[#This Row],[Tipologia]],TipoImm[],4,0))</f>
        <v/>
      </c>
      <c r="U59" s="154" t="str">
        <f>+IF(B[[#This Row],[Bene]]="","",VLOOKUP(B[[#This Row],[Tipologia]],TipoImm[],8,0)*B[[#This Row],[Valore normale]]+VLOOKUP(B[[#This Row],[Tipologia]],TipoImm[],9,0))</f>
        <v/>
      </c>
      <c r="V59" s="150">
        <f>+IF(OR(B[[#This Row],[Bene]]="",B[[#This Row],[Agevolabile]]=0),0,VLOOKUP(B[[#This Row],[Tipologia]],TipoImm[],5,0))</f>
        <v>0</v>
      </c>
      <c r="W5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50">
        <f>SUM(B[[#This Row],[Imposta di registro in misura fissa agevolata]:[Imposta di registro prop. Agevolata]])</f>
        <v>0</v>
      </c>
      <c r="Y59" s="150">
        <f>+IF(B[[#This Row],[Bene]]="",0,VLOOKUP(B[[#This Row],[Tipologia]],TipoImm[],10,0))</f>
        <v>0</v>
      </c>
      <c r="Z59" s="152" t="str">
        <f>+IF(p=3,"",IF(B[[#This Row],[Tipologia]]="","",VLOOKUP(B[[#This Row],[Tipologia]],TipoImm[],MATCH($Z$4,Tabelle!$AF$1:$AR$1,0),0)))</f>
        <v/>
      </c>
    </row>
    <row r="60" spans="1:26" x14ac:dyDescent="0.2">
      <c r="A60" s="126"/>
      <c r="B60" s="126"/>
      <c r="C60" s="146"/>
      <c r="D60" s="127"/>
      <c r="E60" s="126"/>
      <c r="F60" s="158"/>
      <c r="G60" s="159"/>
      <c r="H60" s="159"/>
      <c r="I60" s="159"/>
      <c r="J60" s="145"/>
      <c r="K60" s="160"/>
      <c r="L60" s="161"/>
      <c r="M60" s="162"/>
      <c r="N60" s="148">
        <f>+IF(B[[#This Row],[Categoria Catastale]]="",0,VLOOKUP(B[[#This Row],[Categoria Catastale]],Gruppi[],6,0)*B[[#This Row],[Rendita catastale]])</f>
        <v>0</v>
      </c>
      <c r="O60" s="149" t="str">
        <f t="shared" si="1"/>
        <v/>
      </c>
      <c r="P60" s="150">
        <f>+IF(B[[#This Row],[Valore inserito manualmente]]&gt;0,B[[#This Row],[Valore inserito manualmente]],B[[#This Row],[Valore catastale]])</f>
        <v>0</v>
      </c>
      <c r="Q60" s="150">
        <f>+IF(OR(B[[#This Row],[Opzione per prezzo-valore (s/n)]]="s",B[[#This Row],[Valore inserito manualmente]]=0),B[[#This Row],[Valore catastale]],B[[#This Row],[Valore inserito manualmente]])</f>
        <v>0</v>
      </c>
      <c r="R6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50" t="str">
        <f>+IF(B[[#This Row],[Bene]]="","",VLOOKUP(B[[#This Row],[Tipologia]],TipoImm[],3,0)*B[[#This Row],[Imponibile Iva]])</f>
        <v/>
      </c>
      <c r="T60" s="150" t="str">
        <f>+IF(B[[#This Row],[Bene]]="","",VLOOKUP(B[[#This Row],[Tipologia]],TipoImm[],6,0)*B[[#This Row],[Valore catastale]]+VLOOKUP(B[[#This Row],[Tipologia]],TipoImm[],4,0))</f>
        <v/>
      </c>
      <c r="U60" s="154" t="str">
        <f>+IF(B[[#This Row],[Bene]]="","",VLOOKUP(B[[#This Row],[Tipologia]],TipoImm[],8,0)*B[[#This Row],[Valore normale]]+VLOOKUP(B[[#This Row],[Tipologia]],TipoImm[],9,0))</f>
        <v/>
      </c>
      <c r="V60" s="150">
        <f>+IF(OR(B[[#This Row],[Bene]]="",B[[#This Row],[Agevolabile]]=0),0,VLOOKUP(B[[#This Row],[Tipologia]],TipoImm[],5,0))</f>
        <v>0</v>
      </c>
      <c r="W6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50">
        <f>SUM(B[[#This Row],[Imposta di registro in misura fissa agevolata]:[Imposta di registro prop. Agevolata]])</f>
        <v>0</v>
      </c>
      <c r="Y60" s="150">
        <f>+IF(B[[#This Row],[Bene]]="",0,VLOOKUP(B[[#This Row],[Tipologia]],TipoImm[],10,0))</f>
        <v>0</v>
      </c>
      <c r="Z60" s="152" t="str">
        <f>+IF(p=3,"",IF(B[[#This Row],[Tipologia]]="","",VLOOKUP(B[[#This Row],[Tipologia]],TipoImm[],MATCH($Z$4,Tabelle!$AF$1:$AR$1,0),0)))</f>
        <v/>
      </c>
    </row>
    <row r="61" spans="1:26" x14ac:dyDescent="0.2">
      <c r="A61" s="126"/>
      <c r="B61" s="126"/>
      <c r="C61" s="146"/>
      <c r="D61" s="127"/>
      <c r="E61" s="126"/>
      <c r="F61" s="158"/>
      <c r="G61" s="159"/>
      <c r="H61" s="159"/>
      <c r="I61" s="159"/>
      <c r="J61" s="145"/>
      <c r="K61" s="160"/>
      <c r="L61" s="161"/>
      <c r="M61" s="162"/>
      <c r="N61" s="148">
        <f>+IF(B[[#This Row],[Categoria Catastale]]="",0,VLOOKUP(B[[#This Row],[Categoria Catastale]],Gruppi[],6,0)*B[[#This Row],[Rendita catastale]])</f>
        <v>0</v>
      </c>
      <c r="O61" s="149" t="str">
        <f t="shared" si="1"/>
        <v/>
      </c>
      <c r="P61" s="150">
        <f>+IF(B[[#This Row],[Valore inserito manualmente]]&gt;0,B[[#This Row],[Valore inserito manualmente]],B[[#This Row],[Valore catastale]])</f>
        <v>0</v>
      </c>
      <c r="Q61" s="150">
        <f>+IF(OR(B[[#This Row],[Opzione per prezzo-valore (s/n)]]="s",B[[#This Row],[Valore inserito manualmente]]=0),B[[#This Row],[Valore catastale]],B[[#This Row],[Valore inserito manualmente]])</f>
        <v>0</v>
      </c>
      <c r="R6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50" t="str">
        <f>+IF(B[[#This Row],[Bene]]="","",VLOOKUP(B[[#This Row],[Tipologia]],TipoImm[],3,0)*B[[#This Row],[Imponibile Iva]])</f>
        <v/>
      </c>
      <c r="T61" s="150" t="str">
        <f>+IF(B[[#This Row],[Bene]]="","",VLOOKUP(B[[#This Row],[Tipologia]],TipoImm[],6,0)*B[[#This Row],[Valore catastale]]+VLOOKUP(B[[#This Row],[Tipologia]],TipoImm[],4,0))</f>
        <v/>
      </c>
      <c r="U61" s="154" t="str">
        <f>+IF(B[[#This Row],[Bene]]="","",VLOOKUP(B[[#This Row],[Tipologia]],TipoImm[],8,0)*B[[#This Row],[Valore normale]]+VLOOKUP(B[[#This Row],[Tipologia]],TipoImm[],9,0))</f>
        <v/>
      </c>
      <c r="V61" s="150">
        <f>+IF(OR(B[[#This Row],[Bene]]="",B[[#This Row],[Agevolabile]]=0),0,VLOOKUP(B[[#This Row],[Tipologia]],TipoImm[],5,0))</f>
        <v>0</v>
      </c>
      <c r="W6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50">
        <f>SUM(B[[#This Row],[Imposta di registro in misura fissa agevolata]:[Imposta di registro prop. Agevolata]])</f>
        <v>0</v>
      </c>
      <c r="Y61" s="150">
        <f>+IF(B[[#This Row],[Bene]]="",0,VLOOKUP(B[[#This Row],[Tipologia]],TipoImm[],10,0))</f>
        <v>0</v>
      </c>
      <c r="Z61" s="152" t="str">
        <f>+IF(p=3,"",IF(B[[#This Row],[Tipologia]]="","",VLOOKUP(B[[#This Row],[Tipologia]],TipoImm[],MATCH($Z$4,Tabelle!$AF$1:$AR$1,0),0)))</f>
        <v/>
      </c>
    </row>
    <row r="62" spans="1:26" x14ac:dyDescent="0.2">
      <c r="A62" s="126"/>
      <c r="B62" s="126"/>
      <c r="C62" s="146"/>
      <c r="D62" s="127"/>
      <c r="E62" s="126"/>
      <c r="F62" s="158"/>
      <c r="G62" s="159"/>
      <c r="H62" s="159"/>
      <c r="I62" s="159"/>
      <c r="J62" s="145"/>
      <c r="K62" s="160"/>
      <c r="L62" s="161"/>
      <c r="M62" s="162"/>
      <c r="N62" s="148">
        <f>+IF(B[[#This Row],[Categoria Catastale]]="",0,VLOOKUP(B[[#This Row],[Categoria Catastale]],Gruppi[],6,0)*B[[#This Row],[Rendita catastale]])</f>
        <v>0</v>
      </c>
      <c r="O62" s="149" t="str">
        <f t="shared" si="1"/>
        <v/>
      </c>
      <c r="P62" s="150">
        <f>+IF(B[[#This Row],[Valore inserito manualmente]]&gt;0,B[[#This Row],[Valore inserito manualmente]],B[[#This Row],[Valore catastale]])</f>
        <v>0</v>
      </c>
      <c r="Q62" s="150">
        <f>+IF(OR(B[[#This Row],[Opzione per prezzo-valore (s/n)]]="s",B[[#This Row],[Valore inserito manualmente]]=0),B[[#This Row],[Valore catastale]],B[[#This Row],[Valore inserito manualmente]])</f>
        <v>0</v>
      </c>
      <c r="R6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50" t="str">
        <f>+IF(B[[#This Row],[Bene]]="","",VLOOKUP(B[[#This Row],[Tipologia]],TipoImm[],3,0)*B[[#This Row],[Imponibile Iva]])</f>
        <v/>
      </c>
      <c r="T62" s="150" t="str">
        <f>+IF(B[[#This Row],[Bene]]="","",VLOOKUP(B[[#This Row],[Tipologia]],TipoImm[],6,0)*B[[#This Row],[Valore catastale]]+VLOOKUP(B[[#This Row],[Tipologia]],TipoImm[],4,0))</f>
        <v/>
      </c>
      <c r="U62" s="154" t="str">
        <f>+IF(B[[#This Row],[Bene]]="","",VLOOKUP(B[[#This Row],[Tipologia]],TipoImm[],8,0)*B[[#This Row],[Valore normale]]+VLOOKUP(B[[#This Row],[Tipologia]],TipoImm[],9,0))</f>
        <v/>
      </c>
      <c r="V62" s="150">
        <f>+IF(OR(B[[#This Row],[Bene]]="",B[[#This Row],[Agevolabile]]=0),0,VLOOKUP(B[[#This Row],[Tipologia]],TipoImm[],5,0))</f>
        <v>0</v>
      </c>
      <c r="W6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50">
        <f>SUM(B[[#This Row],[Imposta di registro in misura fissa agevolata]:[Imposta di registro prop. Agevolata]])</f>
        <v>0</v>
      </c>
      <c r="Y62" s="150">
        <f>+IF(B[[#This Row],[Bene]]="",0,VLOOKUP(B[[#This Row],[Tipologia]],TipoImm[],10,0))</f>
        <v>0</v>
      </c>
      <c r="Z62" s="152" t="str">
        <f>+IF(p=3,"",IF(B[[#This Row],[Tipologia]]="","",VLOOKUP(B[[#This Row],[Tipologia]],TipoImm[],MATCH($Z$4,Tabelle!$AF$1:$AR$1,0),0)))</f>
        <v/>
      </c>
    </row>
    <row r="63" spans="1:26" x14ac:dyDescent="0.2">
      <c r="A63" s="126"/>
      <c r="B63" s="126"/>
      <c r="C63" s="146"/>
      <c r="D63" s="127"/>
      <c r="E63" s="126"/>
      <c r="F63" s="158"/>
      <c r="G63" s="159"/>
      <c r="H63" s="159"/>
      <c r="I63" s="159"/>
      <c r="J63" s="145"/>
      <c r="K63" s="160"/>
      <c r="L63" s="161"/>
      <c r="M63" s="162"/>
      <c r="N63" s="148">
        <f>+IF(B[[#This Row],[Categoria Catastale]]="",0,VLOOKUP(B[[#This Row],[Categoria Catastale]],Gruppi[],6,0)*B[[#This Row],[Rendita catastale]])</f>
        <v>0</v>
      </c>
      <c r="O63" s="149" t="str">
        <f t="shared" si="1"/>
        <v/>
      </c>
      <c r="P63" s="150">
        <f>+IF(B[[#This Row],[Valore inserito manualmente]]&gt;0,B[[#This Row],[Valore inserito manualmente]],B[[#This Row],[Valore catastale]])</f>
        <v>0</v>
      </c>
      <c r="Q63" s="150">
        <f>+IF(OR(B[[#This Row],[Opzione per prezzo-valore (s/n)]]="s",B[[#This Row],[Valore inserito manualmente]]=0),B[[#This Row],[Valore catastale]],B[[#This Row],[Valore inserito manualmente]])</f>
        <v>0</v>
      </c>
      <c r="R6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50" t="str">
        <f>+IF(B[[#This Row],[Bene]]="","",VLOOKUP(B[[#This Row],[Tipologia]],TipoImm[],3,0)*B[[#This Row],[Imponibile Iva]])</f>
        <v/>
      </c>
      <c r="T63" s="150" t="str">
        <f>+IF(B[[#This Row],[Bene]]="","",VLOOKUP(B[[#This Row],[Tipologia]],TipoImm[],6,0)*B[[#This Row],[Valore catastale]]+VLOOKUP(B[[#This Row],[Tipologia]],TipoImm[],4,0))</f>
        <v/>
      </c>
      <c r="U63" s="154" t="str">
        <f>+IF(B[[#This Row],[Bene]]="","",VLOOKUP(B[[#This Row],[Tipologia]],TipoImm[],8,0)*B[[#This Row],[Valore normale]]+VLOOKUP(B[[#This Row],[Tipologia]],TipoImm[],9,0))</f>
        <v/>
      </c>
      <c r="V63" s="150">
        <f>+IF(OR(B[[#This Row],[Bene]]="",B[[#This Row],[Agevolabile]]=0),0,VLOOKUP(B[[#This Row],[Tipologia]],TipoImm[],5,0))</f>
        <v>0</v>
      </c>
      <c r="W6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50">
        <f>SUM(B[[#This Row],[Imposta di registro in misura fissa agevolata]:[Imposta di registro prop. Agevolata]])</f>
        <v>0</v>
      </c>
      <c r="Y63" s="150">
        <f>+IF(B[[#This Row],[Bene]]="",0,VLOOKUP(B[[#This Row],[Tipologia]],TipoImm[],10,0))</f>
        <v>0</v>
      </c>
      <c r="Z63" s="152" t="str">
        <f>+IF(p=3,"",IF(B[[#This Row],[Tipologia]]="","",VLOOKUP(B[[#This Row],[Tipologia]],TipoImm[],MATCH($Z$4,Tabelle!$AF$1:$AR$1,0),0)))</f>
        <v/>
      </c>
    </row>
    <row r="64" spans="1:26" x14ac:dyDescent="0.2">
      <c r="A64" s="126"/>
      <c r="B64" s="126"/>
      <c r="C64" s="146"/>
      <c r="D64" s="127"/>
      <c r="E64" s="126"/>
      <c r="F64" s="158"/>
      <c r="G64" s="159"/>
      <c r="H64" s="159"/>
      <c r="I64" s="159"/>
      <c r="J64" s="145"/>
      <c r="K64" s="160"/>
      <c r="L64" s="161"/>
      <c r="M64" s="162"/>
      <c r="N64" s="148">
        <f>+IF(B[[#This Row],[Categoria Catastale]]="",0,VLOOKUP(B[[#This Row],[Categoria Catastale]],Gruppi[],6,0)*B[[#This Row],[Rendita catastale]])</f>
        <v>0</v>
      </c>
      <c r="O64" s="149" t="str">
        <f t="shared" si="1"/>
        <v/>
      </c>
      <c r="P64" s="150">
        <f>+IF(B[[#This Row],[Valore inserito manualmente]]&gt;0,B[[#This Row],[Valore inserito manualmente]],B[[#This Row],[Valore catastale]])</f>
        <v>0</v>
      </c>
      <c r="Q64" s="150">
        <f>+IF(OR(B[[#This Row],[Opzione per prezzo-valore (s/n)]]="s",B[[#This Row],[Valore inserito manualmente]]=0),B[[#This Row],[Valore catastale]],B[[#This Row],[Valore inserito manualmente]])</f>
        <v>0</v>
      </c>
      <c r="R6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50" t="str">
        <f>+IF(B[[#This Row],[Bene]]="","",VLOOKUP(B[[#This Row],[Tipologia]],TipoImm[],3,0)*B[[#This Row],[Imponibile Iva]])</f>
        <v/>
      </c>
      <c r="T64" s="150" t="str">
        <f>+IF(B[[#This Row],[Bene]]="","",VLOOKUP(B[[#This Row],[Tipologia]],TipoImm[],6,0)*B[[#This Row],[Valore catastale]]+VLOOKUP(B[[#This Row],[Tipologia]],TipoImm[],4,0))</f>
        <v/>
      </c>
      <c r="U64" s="154" t="str">
        <f>+IF(B[[#This Row],[Bene]]="","",VLOOKUP(B[[#This Row],[Tipologia]],TipoImm[],8,0)*B[[#This Row],[Valore normale]]+VLOOKUP(B[[#This Row],[Tipologia]],TipoImm[],9,0))</f>
        <v/>
      </c>
      <c r="V64" s="150">
        <f>+IF(OR(B[[#This Row],[Bene]]="",B[[#This Row],[Agevolabile]]=0),0,VLOOKUP(B[[#This Row],[Tipologia]],TipoImm[],5,0))</f>
        <v>0</v>
      </c>
      <c r="W6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50">
        <f>SUM(B[[#This Row],[Imposta di registro in misura fissa agevolata]:[Imposta di registro prop. Agevolata]])</f>
        <v>0</v>
      </c>
      <c r="Y64" s="150">
        <f>+IF(B[[#This Row],[Bene]]="",0,VLOOKUP(B[[#This Row],[Tipologia]],TipoImm[],10,0))</f>
        <v>0</v>
      </c>
      <c r="Z64" s="152" t="str">
        <f>+IF(p=3,"",IF(B[[#This Row],[Tipologia]]="","",VLOOKUP(B[[#This Row],[Tipologia]],TipoImm[],MATCH($Z$4,Tabelle!$AF$1:$AR$1,0),0)))</f>
        <v/>
      </c>
    </row>
    <row r="65" spans="1:26" x14ac:dyDescent="0.2">
      <c r="A65" s="126"/>
      <c r="B65" s="126"/>
      <c r="C65" s="146"/>
      <c r="D65" s="127"/>
      <c r="E65" s="126"/>
      <c r="F65" s="158"/>
      <c r="G65" s="159"/>
      <c r="H65" s="159"/>
      <c r="I65" s="159"/>
      <c r="J65" s="145"/>
      <c r="K65" s="160"/>
      <c r="L65" s="161"/>
      <c r="M65" s="162"/>
      <c r="N65" s="148">
        <f>+IF(B[[#This Row],[Categoria Catastale]]="",0,VLOOKUP(B[[#This Row],[Categoria Catastale]],Gruppi[],6,0)*B[[#This Row],[Rendita catastale]])</f>
        <v>0</v>
      </c>
      <c r="O65" s="149" t="str">
        <f t="shared" si="1"/>
        <v/>
      </c>
      <c r="P65" s="150">
        <f>+IF(B[[#This Row],[Valore inserito manualmente]]&gt;0,B[[#This Row],[Valore inserito manualmente]],B[[#This Row],[Valore catastale]])</f>
        <v>0</v>
      </c>
      <c r="Q65" s="150">
        <f>+IF(OR(B[[#This Row],[Opzione per prezzo-valore (s/n)]]="s",B[[#This Row],[Valore inserito manualmente]]=0),B[[#This Row],[Valore catastale]],B[[#This Row],[Valore inserito manualmente]])</f>
        <v>0</v>
      </c>
      <c r="R6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50" t="str">
        <f>+IF(B[[#This Row],[Bene]]="","",VLOOKUP(B[[#This Row],[Tipologia]],TipoImm[],3,0)*B[[#This Row],[Imponibile Iva]])</f>
        <v/>
      </c>
      <c r="T65" s="150" t="str">
        <f>+IF(B[[#This Row],[Bene]]="","",VLOOKUP(B[[#This Row],[Tipologia]],TipoImm[],6,0)*B[[#This Row],[Valore catastale]]+VLOOKUP(B[[#This Row],[Tipologia]],TipoImm[],4,0))</f>
        <v/>
      </c>
      <c r="U65" s="154" t="str">
        <f>+IF(B[[#This Row],[Bene]]="","",VLOOKUP(B[[#This Row],[Tipologia]],TipoImm[],8,0)*B[[#This Row],[Valore normale]]+VLOOKUP(B[[#This Row],[Tipologia]],TipoImm[],9,0))</f>
        <v/>
      </c>
      <c r="V65" s="150">
        <f>+IF(OR(B[[#This Row],[Bene]]="",B[[#This Row],[Agevolabile]]=0),0,VLOOKUP(B[[#This Row],[Tipologia]],TipoImm[],5,0))</f>
        <v>0</v>
      </c>
      <c r="W6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50">
        <f>SUM(B[[#This Row],[Imposta di registro in misura fissa agevolata]:[Imposta di registro prop. Agevolata]])</f>
        <v>0</v>
      </c>
      <c r="Y65" s="150">
        <f>+IF(B[[#This Row],[Bene]]="",0,VLOOKUP(B[[#This Row],[Tipologia]],TipoImm[],10,0))</f>
        <v>0</v>
      </c>
      <c r="Z65" s="152" t="str">
        <f>+IF(p=3,"",IF(B[[#This Row],[Tipologia]]="","",VLOOKUP(B[[#This Row],[Tipologia]],TipoImm[],MATCH($Z$4,Tabelle!$AF$1:$AR$1,0),0)))</f>
        <v/>
      </c>
    </row>
    <row r="66" spans="1:26" x14ac:dyDescent="0.2">
      <c r="A66" s="126"/>
      <c r="B66" s="126"/>
      <c r="C66" s="146"/>
      <c r="D66" s="127"/>
      <c r="E66" s="126"/>
      <c r="F66" s="158"/>
      <c r="G66" s="159"/>
      <c r="H66" s="159"/>
      <c r="I66" s="159"/>
      <c r="J66" s="145"/>
      <c r="K66" s="160"/>
      <c r="L66" s="161"/>
      <c r="M66" s="162"/>
      <c r="N66" s="148">
        <f>+IF(B[[#This Row],[Categoria Catastale]]="",0,VLOOKUP(B[[#This Row],[Categoria Catastale]],Gruppi[],6,0)*B[[#This Row],[Rendita catastale]])</f>
        <v>0</v>
      </c>
      <c r="O66" s="149" t="str">
        <f t="shared" si="1"/>
        <v/>
      </c>
      <c r="P66" s="150">
        <f>+IF(B[[#This Row],[Valore inserito manualmente]]&gt;0,B[[#This Row],[Valore inserito manualmente]],B[[#This Row],[Valore catastale]])</f>
        <v>0</v>
      </c>
      <c r="Q66" s="150">
        <f>+IF(OR(B[[#This Row],[Opzione per prezzo-valore (s/n)]]="s",B[[#This Row],[Valore inserito manualmente]]=0),B[[#This Row],[Valore catastale]],B[[#This Row],[Valore inserito manualmente]])</f>
        <v>0</v>
      </c>
      <c r="R6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50" t="str">
        <f>+IF(B[[#This Row],[Bene]]="","",VLOOKUP(B[[#This Row],[Tipologia]],TipoImm[],3,0)*B[[#This Row],[Imponibile Iva]])</f>
        <v/>
      </c>
      <c r="T66" s="150" t="str">
        <f>+IF(B[[#This Row],[Bene]]="","",VLOOKUP(B[[#This Row],[Tipologia]],TipoImm[],6,0)*B[[#This Row],[Valore catastale]]+VLOOKUP(B[[#This Row],[Tipologia]],TipoImm[],4,0))</f>
        <v/>
      </c>
      <c r="U66" s="154" t="str">
        <f>+IF(B[[#This Row],[Bene]]="","",VLOOKUP(B[[#This Row],[Tipologia]],TipoImm[],8,0)*B[[#This Row],[Valore normale]]+VLOOKUP(B[[#This Row],[Tipologia]],TipoImm[],9,0))</f>
        <v/>
      </c>
      <c r="V66" s="150">
        <f>+IF(OR(B[[#This Row],[Bene]]="",B[[#This Row],[Agevolabile]]=0),0,VLOOKUP(B[[#This Row],[Tipologia]],TipoImm[],5,0))</f>
        <v>0</v>
      </c>
      <c r="W6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50">
        <f>SUM(B[[#This Row],[Imposta di registro in misura fissa agevolata]:[Imposta di registro prop. Agevolata]])</f>
        <v>0</v>
      </c>
      <c r="Y66" s="150">
        <f>+IF(B[[#This Row],[Bene]]="",0,VLOOKUP(B[[#This Row],[Tipologia]],TipoImm[],10,0))</f>
        <v>0</v>
      </c>
      <c r="Z66" s="152" t="str">
        <f>+IF(p=3,"",IF(B[[#This Row],[Tipologia]]="","",VLOOKUP(B[[#This Row],[Tipologia]],TipoImm[],MATCH($Z$4,Tabelle!$AF$1:$AR$1,0),0)))</f>
        <v/>
      </c>
    </row>
    <row r="67" spans="1:26" x14ac:dyDescent="0.2">
      <c r="A67" s="126"/>
      <c r="B67" s="126"/>
      <c r="C67" s="146"/>
      <c r="D67" s="127"/>
      <c r="E67" s="126"/>
      <c r="F67" s="158"/>
      <c r="G67" s="159"/>
      <c r="H67" s="159"/>
      <c r="I67" s="159"/>
      <c r="J67" s="145"/>
      <c r="K67" s="160"/>
      <c r="L67" s="161"/>
      <c r="M67" s="162"/>
      <c r="N67" s="148">
        <f>+IF(B[[#This Row],[Categoria Catastale]]="",0,VLOOKUP(B[[#This Row],[Categoria Catastale]],Gruppi[],6,0)*B[[#This Row],[Rendita catastale]])</f>
        <v>0</v>
      </c>
      <c r="O67" s="149" t="str">
        <f t="shared" si="1"/>
        <v/>
      </c>
      <c r="P67" s="150">
        <f>+IF(B[[#This Row],[Valore inserito manualmente]]&gt;0,B[[#This Row],[Valore inserito manualmente]],B[[#This Row],[Valore catastale]])</f>
        <v>0</v>
      </c>
      <c r="Q67" s="150">
        <f>+IF(OR(B[[#This Row],[Opzione per prezzo-valore (s/n)]]="s",B[[#This Row],[Valore inserito manualmente]]=0),B[[#This Row],[Valore catastale]],B[[#This Row],[Valore inserito manualmente]])</f>
        <v>0</v>
      </c>
      <c r="R6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50" t="str">
        <f>+IF(B[[#This Row],[Bene]]="","",VLOOKUP(B[[#This Row],[Tipologia]],TipoImm[],3,0)*B[[#This Row],[Imponibile Iva]])</f>
        <v/>
      </c>
      <c r="T67" s="150" t="str">
        <f>+IF(B[[#This Row],[Bene]]="","",VLOOKUP(B[[#This Row],[Tipologia]],TipoImm[],6,0)*B[[#This Row],[Valore catastale]]+VLOOKUP(B[[#This Row],[Tipologia]],TipoImm[],4,0))</f>
        <v/>
      </c>
      <c r="U67" s="154" t="str">
        <f>+IF(B[[#This Row],[Bene]]="","",VLOOKUP(B[[#This Row],[Tipologia]],TipoImm[],8,0)*B[[#This Row],[Valore normale]]+VLOOKUP(B[[#This Row],[Tipologia]],TipoImm[],9,0))</f>
        <v/>
      </c>
      <c r="V67" s="150">
        <f>+IF(OR(B[[#This Row],[Bene]]="",B[[#This Row],[Agevolabile]]=0),0,VLOOKUP(B[[#This Row],[Tipologia]],TipoImm[],5,0))</f>
        <v>0</v>
      </c>
      <c r="W6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50">
        <f>SUM(B[[#This Row],[Imposta di registro in misura fissa agevolata]:[Imposta di registro prop. Agevolata]])</f>
        <v>0</v>
      </c>
      <c r="Y67" s="150">
        <f>+IF(B[[#This Row],[Bene]]="",0,VLOOKUP(B[[#This Row],[Tipologia]],TipoImm[],10,0))</f>
        <v>0</v>
      </c>
      <c r="Z67" s="152" t="str">
        <f>+IF(p=3,"",IF(B[[#This Row],[Tipologia]]="","",VLOOKUP(B[[#This Row],[Tipologia]],TipoImm[],MATCH($Z$4,Tabelle!$AF$1:$AR$1,0),0)))</f>
        <v/>
      </c>
    </row>
    <row r="68" spans="1:26" x14ac:dyDescent="0.2">
      <c r="A68" s="126"/>
      <c r="B68" s="126"/>
      <c r="C68" s="146"/>
      <c r="D68" s="127"/>
      <c r="E68" s="126"/>
      <c r="F68" s="158"/>
      <c r="G68" s="159"/>
      <c r="H68" s="159"/>
      <c r="I68" s="159"/>
      <c r="J68" s="145"/>
      <c r="K68" s="160"/>
      <c r="L68" s="161"/>
      <c r="M68" s="162"/>
      <c r="N68" s="148">
        <f>+IF(B[[#This Row],[Categoria Catastale]]="",0,VLOOKUP(B[[#This Row],[Categoria Catastale]],Gruppi[],6,0)*B[[#This Row],[Rendita catastale]])</f>
        <v>0</v>
      </c>
      <c r="O68" s="149" t="str">
        <f t="shared" si="1"/>
        <v/>
      </c>
      <c r="P68" s="150">
        <f>+IF(B[[#This Row],[Valore inserito manualmente]]&gt;0,B[[#This Row],[Valore inserito manualmente]],B[[#This Row],[Valore catastale]])</f>
        <v>0</v>
      </c>
      <c r="Q68" s="150">
        <f>+IF(OR(B[[#This Row],[Opzione per prezzo-valore (s/n)]]="s",B[[#This Row],[Valore inserito manualmente]]=0),B[[#This Row],[Valore catastale]],B[[#This Row],[Valore inserito manualmente]])</f>
        <v>0</v>
      </c>
      <c r="R6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50" t="str">
        <f>+IF(B[[#This Row],[Bene]]="","",VLOOKUP(B[[#This Row],[Tipologia]],TipoImm[],3,0)*B[[#This Row],[Imponibile Iva]])</f>
        <v/>
      </c>
      <c r="T68" s="150" t="str">
        <f>+IF(B[[#This Row],[Bene]]="","",VLOOKUP(B[[#This Row],[Tipologia]],TipoImm[],6,0)*B[[#This Row],[Valore catastale]]+VLOOKUP(B[[#This Row],[Tipologia]],TipoImm[],4,0))</f>
        <v/>
      </c>
      <c r="U68" s="154" t="str">
        <f>+IF(B[[#This Row],[Bene]]="","",VLOOKUP(B[[#This Row],[Tipologia]],TipoImm[],8,0)*B[[#This Row],[Valore normale]]+VLOOKUP(B[[#This Row],[Tipologia]],TipoImm[],9,0))</f>
        <v/>
      </c>
      <c r="V68" s="150">
        <f>+IF(OR(B[[#This Row],[Bene]]="",B[[#This Row],[Agevolabile]]=0),0,VLOOKUP(B[[#This Row],[Tipologia]],TipoImm[],5,0))</f>
        <v>0</v>
      </c>
      <c r="W6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50">
        <f>SUM(B[[#This Row],[Imposta di registro in misura fissa agevolata]:[Imposta di registro prop. Agevolata]])</f>
        <v>0</v>
      </c>
      <c r="Y68" s="150">
        <f>+IF(B[[#This Row],[Bene]]="",0,VLOOKUP(B[[#This Row],[Tipologia]],TipoImm[],10,0))</f>
        <v>0</v>
      </c>
      <c r="Z68" s="152" t="str">
        <f>+IF(p=3,"",IF(B[[#This Row],[Tipologia]]="","",VLOOKUP(B[[#This Row],[Tipologia]],TipoImm[],MATCH($Z$4,Tabelle!$AF$1:$AR$1,0),0)))</f>
        <v/>
      </c>
    </row>
    <row r="69" spans="1:26" x14ac:dyDescent="0.2">
      <c r="A69" s="126"/>
      <c r="B69" s="126"/>
      <c r="C69" s="146"/>
      <c r="D69" s="127"/>
      <c r="E69" s="126"/>
      <c r="F69" s="158"/>
      <c r="G69" s="159"/>
      <c r="H69" s="159"/>
      <c r="I69" s="159"/>
      <c r="J69" s="145"/>
      <c r="K69" s="160"/>
      <c r="L69" s="161"/>
      <c r="M69" s="162"/>
      <c r="N69" s="148">
        <f>+IF(B[[#This Row],[Categoria Catastale]]="",0,VLOOKUP(B[[#This Row],[Categoria Catastale]],Gruppi[],6,0)*B[[#This Row],[Rendita catastale]])</f>
        <v>0</v>
      </c>
      <c r="O69" s="149" t="str">
        <f t="shared" ref="O69:O104" si="2">+IF(A69="","",IF(D69="Sì",0,1))</f>
        <v/>
      </c>
      <c r="P69" s="150">
        <f>+IF(B[[#This Row],[Valore inserito manualmente]]&gt;0,B[[#This Row],[Valore inserito manualmente]],B[[#This Row],[Valore catastale]])</f>
        <v>0</v>
      </c>
      <c r="Q69" s="150">
        <f>+IF(OR(B[[#This Row],[Opzione per prezzo-valore (s/n)]]="s",B[[#This Row],[Valore inserito manualmente]]=0),B[[#This Row],[Valore catastale]],B[[#This Row],[Valore inserito manualmente]])</f>
        <v>0</v>
      </c>
      <c r="R6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50" t="str">
        <f>+IF(B[[#This Row],[Bene]]="","",VLOOKUP(B[[#This Row],[Tipologia]],TipoImm[],3,0)*B[[#This Row],[Imponibile Iva]])</f>
        <v/>
      </c>
      <c r="T69" s="150" t="str">
        <f>+IF(B[[#This Row],[Bene]]="","",VLOOKUP(B[[#This Row],[Tipologia]],TipoImm[],6,0)*B[[#This Row],[Valore catastale]]+VLOOKUP(B[[#This Row],[Tipologia]],TipoImm[],4,0))</f>
        <v/>
      </c>
      <c r="U69" s="154" t="str">
        <f>+IF(B[[#This Row],[Bene]]="","",VLOOKUP(B[[#This Row],[Tipologia]],TipoImm[],8,0)*B[[#This Row],[Valore normale]]+VLOOKUP(B[[#This Row],[Tipologia]],TipoImm[],9,0))</f>
        <v/>
      </c>
      <c r="V69" s="150">
        <f>+IF(OR(B[[#This Row],[Bene]]="",B[[#This Row],[Agevolabile]]=0),0,VLOOKUP(B[[#This Row],[Tipologia]],TipoImm[],5,0))</f>
        <v>0</v>
      </c>
      <c r="W6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50">
        <f>SUM(B[[#This Row],[Imposta di registro in misura fissa agevolata]:[Imposta di registro prop. Agevolata]])</f>
        <v>0</v>
      </c>
      <c r="Y69" s="150">
        <f>+IF(B[[#This Row],[Bene]]="",0,VLOOKUP(B[[#This Row],[Tipologia]],TipoImm[],10,0))</f>
        <v>0</v>
      </c>
      <c r="Z69" s="152" t="str">
        <f>+IF(p=3,"",IF(B[[#This Row],[Tipologia]]="","",VLOOKUP(B[[#This Row],[Tipologia]],TipoImm[],MATCH($Z$4,Tabelle!$AF$1:$AR$1,0),0)))</f>
        <v/>
      </c>
    </row>
    <row r="70" spans="1:26" x14ac:dyDescent="0.2">
      <c r="A70" s="126"/>
      <c r="B70" s="126"/>
      <c r="C70" s="146"/>
      <c r="D70" s="127"/>
      <c r="E70" s="126"/>
      <c r="F70" s="158"/>
      <c r="G70" s="159"/>
      <c r="H70" s="159"/>
      <c r="I70" s="159"/>
      <c r="J70" s="145"/>
      <c r="K70" s="160"/>
      <c r="L70" s="161"/>
      <c r="M70" s="162"/>
      <c r="N70" s="148">
        <f>+IF(B[[#This Row],[Categoria Catastale]]="",0,VLOOKUP(B[[#This Row],[Categoria Catastale]],Gruppi[],6,0)*B[[#This Row],[Rendita catastale]])</f>
        <v>0</v>
      </c>
      <c r="O70" s="149" t="str">
        <f t="shared" si="2"/>
        <v/>
      </c>
      <c r="P70" s="150">
        <f>+IF(B[[#This Row],[Valore inserito manualmente]]&gt;0,B[[#This Row],[Valore inserito manualmente]],B[[#This Row],[Valore catastale]])</f>
        <v>0</v>
      </c>
      <c r="Q70" s="150">
        <f>+IF(OR(B[[#This Row],[Opzione per prezzo-valore (s/n)]]="s",B[[#This Row],[Valore inserito manualmente]]=0),B[[#This Row],[Valore catastale]],B[[#This Row],[Valore inserito manualmente]])</f>
        <v>0</v>
      </c>
      <c r="R7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50" t="str">
        <f>+IF(B[[#This Row],[Bene]]="","",VLOOKUP(B[[#This Row],[Tipologia]],TipoImm[],3,0)*B[[#This Row],[Imponibile Iva]])</f>
        <v/>
      </c>
      <c r="T70" s="150" t="str">
        <f>+IF(B[[#This Row],[Bene]]="","",VLOOKUP(B[[#This Row],[Tipologia]],TipoImm[],6,0)*B[[#This Row],[Valore catastale]]+VLOOKUP(B[[#This Row],[Tipologia]],TipoImm[],4,0))</f>
        <v/>
      </c>
      <c r="U70" s="154" t="str">
        <f>+IF(B[[#This Row],[Bene]]="","",VLOOKUP(B[[#This Row],[Tipologia]],TipoImm[],8,0)*B[[#This Row],[Valore normale]]+VLOOKUP(B[[#This Row],[Tipologia]],TipoImm[],9,0))</f>
        <v/>
      </c>
      <c r="V70" s="150">
        <f>+IF(OR(B[[#This Row],[Bene]]="",B[[#This Row],[Agevolabile]]=0),0,VLOOKUP(B[[#This Row],[Tipologia]],TipoImm[],5,0))</f>
        <v>0</v>
      </c>
      <c r="W7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50">
        <f>SUM(B[[#This Row],[Imposta di registro in misura fissa agevolata]:[Imposta di registro prop. Agevolata]])</f>
        <v>0</v>
      </c>
      <c r="Y70" s="150">
        <f>+IF(B[[#This Row],[Bene]]="",0,VLOOKUP(B[[#This Row],[Tipologia]],TipoImm[],10,0))</f>
        <v>0</v>
      </c>
      <c r="Z70" s="152" t="str">
        <f>+IF(p=3,"",IF(B[[#This Row],[Tipologia]]="","",VLOOKUP(B[[#This Row],[Tipologia]],TipoImm[],MATCH($Z$4,Tabelle!$AF$1:$AR$1,0),0)))</f>
        <v/>
      </c>
    </row>
    <row r="71" spans="1:26" x14ac:dyDescent="0.2">
      <c r="A71" s="126"/>
      <c r="B71" s="126"/>
      <c r="C71" s="146"/>
      <c r="D71" s="127"/>
      <c r="E71" s="126"/>
      <c r="F71" s="158"/>
      <c r="G71" s="159"/>
      <c r="H71" s="159"/>
      <c r="I71" s="159"/>
      <c r="J71" s="145"/>
      <c r="K71" s="160"/>
      <c r="L71" s="161"/>
      <c r="M71" s="162"/>
      <c r="N71" s="148">
        <f>+IF(B[[#This Row],[Categoria Catastale]]="",0,VLOOKUP(B[[#This Row],[Categoria Catastale]],Gruppi[],6,0)*B[[#This Row],[Rendita catastale]])</f>
        <v>0</v>
      </c>
      <c r="O71" s="149" t="str">
        <f t="shared" si="2"/>
        <v/>
      </c>
      <c r="P71" s="150">
        <f>+IF(B[[#This Row],[Valore inserito manualmente]]&gt;0,B[[#This Row],[Valore inserito manualmente]],B[[#This Row],[Valore catastale]])</f>
        <v>0</v>
      </c>
      <c r="Q71" s="150">
        <f>+IF(OR(B[[#This Row],[Opzione per prezzo-valore (s/n)]]="s",B[[#This Row],[Valore inserito manualmente]]=0),B[[#This Row],[Valore catastale]],B[[#This Row],[Valore inserito manualmente]])</f>
        <v>0</v>
      </c>
      <c r="R7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50" t="str">
        <f>+IF(B[[#This Row],[Bene]]="","",VLOOKUP(B[[#This Row],[Tipologia]],TipoImm[],3,0)*B[[#This Row],[Imponibile Iva]])</f>
        <v/>
      </c>
      <c r="T71" s="150" t="str">
        <f>+IF(B[[#This Row],[Bene]]="","",VLOOKUP(B[[#This Row],[Tipologia]],TipoImm[],6,0)*B[[#This Row],[Valore catastale]]+VLOOKUP(B[[#This Row],[Tipologia]],TipoImm[],4,0))</f>
        <v/>
      </c>
      <c r="U71" s="154" t="str">
        <f>+IF(B[[#This Row],[Bene]]="","",VLOOKUP(B[[#This Row],[Tipologia]],TipoImm[],8,0)*B[[#This Row],[Valore normale]]+VLOOKUP(B[[#This Row],[Tipologia]],TipoImm[],9,0))</f>
        <v/>
      </c>
      <c r="V71" s="150">
        <f>+IF(OR(B[[#This Row],[Bene]]="",B[[#This Row],[Agevolabile]]=0),0,VLOOKUP(B[[#This Row],[Tipologia]],TipoImm[],5,0))</f>
        <v>0</v>
      </c>
      <c r="W7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50">
        <f>SUM(B[[#This Row],[Imposta di registro in misura fissa agevolata]:[Imposta di registro prop. Agevolata]])</f>
        <v>0</v>
      </c>
      <c r="Y71" s="150">
        <f>+IF(B[[#This Row],[Bene]]="",0,VLOOKUP(B[[#This Row],[Tipologia]],TipoImm[],10,0))</f>
        <v>0</v>
      </c>
      <c r="Z71" s="152" t="str">
        <f>+IF(p=3,"",IF(B[[#This Row],[Tipologia]]="","",VLOOKUP(B[[#This Row],[Tipologia]],TipoImm[],MATCH($Z$4,Tabelle!$AF$1:$AR$1,0),0)))</f>
        <v/>
      </c>
    </row>
    <row r="72" spans="1:26" x14ac:dyDescent="0.2">
      <c r="A72" s="126"/>
      <c r="B72" s="126"/>
      <c r="C72" s="146"/>
      <c r="D72" s="127"/>
      <c r="E72" s="126"/>
      <c r="F72" s="158"/>
      <c r="G72" s="159"/>
      <c r="H72" s="159"/>
      <c r="I72" s="159"/>
      <c r="J72" s="145"/>
      <c r="K72" s="160"/>
      <c r="L72" s="161"/>
      <c r="M72" s="162"/>
      <c r="N72" s="148">
        <f>+IF(B[[#This Row],[Categoria Catastale]]="",0,VLOOKUP(B[[#This Row],[Categoria Catastale]],Gruppi[],6,0)*B[[#This Row],[Rendita catastale]])</f>
        <v>0</v>
      </c>
      <c r="O72" s="149" t="str">
        <f t="shared" si="2"/>
        <v/>
      </c>
      <c r="P72" s="150">
        <f>+IF(B[[#This Row],[Valore inserito manualmente]]&gt;0,B[[#This Row],[Valore inserito manualmente]],B[[#This Row],[Valore catastale]])</f>
        <v>0</v>
      </c>
      <c r="Q72" s="150">
        <f>+IF(OR(B[[#This Row],[Opzione per prezzo-valore (s/n)]]="s",B[[#This Row],[Valore inserito manualmente]]=0),B[[#This Row],[Valore catastale]],B[[#This Row],[Valore inserito manualmente]])</f>
        <v>0</v>
      </c>
      <c r="R7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50" t="str">
        <f>+IF(B[[#This Row],[Bene]]="","",VLOOKUP(B[[#This Row],[Tipologia]],TipoImm[],3,0)*B[[#This Row],[Imponibile Iva]])</f>
        <v/>
      </c>
      <c r="T72" s="150" t="str">
        <f>+IF(B[[#This Row],[Bene]]="","",VLOOKUP(B[[#This Row],[Tipologia]],TipoImm[],6,0)*B[[#This Row],[Valore catastale]]+VLOOKUP(B[[#This Row],[Tipologia]],TipoImm[],4,0))</f>
        <v/>
      </c>
      <c r="U72" s="154" t="str">
        <f>+IF(B[[#This Row],[Bene]]="","",VLOOKUP(B[[#This Row],[Tipologia]],TipoImm[],8,0)*B[[#This Row],[Valore normale]]+VLOOKUP(B[[#This Row],[Tipologia]],TipoImm[],9,0))</f>
        <v/>
      </c>
      <c r="V72" s="150">
        <f>+IF(OR(B[[#This Row],[Bene]]="",B[[#This Row],[Agevolabile]]=0),0,VLOOKUP(B[[#This Row],[Tipologia]],TipoImm[],5,0))</f>
        <v>0</v>
      </c>
      <c r="W7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50">
        <f>SUM(B[[#This Row],[Imposta di registro in misura fissa agevolata]:[Imposta di registro prop. Agevolata]])</f>
        <v>0</v>
      </c>
      <c r="Y72" s="150">
        <f>+IF(B[[#This Row],[Bene]]="",0,VLOOKUP(B[[#This Row],[Tipologia]],TipoImm[],10,0))</f>
        <v>0</v>
      </c>
      <c r="Z72" s="152" t="str">
        <f>+IF(p=3,"",IF(B[[#This Row],[Tipologia]]="","",VLOOKUP(B[[#This Row],[Tipologia]],TipoImm[],MATCH($Z$4,Tabelle!$AF$1:$AR$1,0),0)))</f>
        <v/>
      </c>
    </row>
    <row r="73" spans="1:26" x14ac:dyDescent="0.2">
      <c r="A73" s="126"/>
      <c r="B73" s="126"/>
      <c r="C73" s="146"/>
      <c r="D73" s="127"/>
      <c r="E73" s="126"/>
      <c r="F73" s="158"/>
      <c r="G73" s="159"/>
      <c r="H73" s="159"/>
      <c r="I73" s="159"/>
      <c r="J73" s="145"/>
      <c r="K73" s="160"/>
      <c r="L73" s="161"/>
      <c r="M73" s="162"/>
      <c r="N73" s="148">
        <f>+IF(B[[#This Row],[Categoria Catastale]]="",0,VLOOKUP(B[[#This Row],[Categoria Catastale]],Gruppi[],6,0)*B[[#This Row],[Rendita catastale]])</f>
        <v>0</v>
      </c>
      <c r="O73" s="149" t="str">
        <f t="shared" si="2"/>
        <v/>
      </c>
      <c r="P73" s="150">
        <f>+IF(B[[#This Row],[Valore inserito manualmente]]&gt;0,B[[#This Row],[Valore inserito manualmente]],B[[#This Row],[Valore catastale]])</f>
        <v>0</v>
      </c>
      <c r="Q73" s="150">
        <f>+IF(OR(B[[#This Row],[Opzione per prezzo-valore (s/n)]]="s",B[[#This Row],[Valore inserito manualmente]]=0),B[[#This Row],[Valore catastale]],B[[#This Row],[Valore inserito manualmente]])</f>
        <v>0</v>
      </c>
      <c r="R7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50" t="str">
        <f>+IF(B[[#This Row],[Bene]]="","",VLOOKUP(B[[#This Row],[Tipologia]],TipoImm[],3,0)*B[[#This Row],[Imponibile Iva]])</f>
        <v/>
      </c>
      <c r="T73" s="150" t="str">
        <f>+IF(B[[#This Row],[Bene]]="","",VLOOKUP(B[[#This Row],[Tipologia]],TipoImm[],6,0)*B[[#This Row],[Valore catastale]]+VLOOKUP(B[[#This Row],[Tipologia]],TipoImm[],4,0))</f>
        <v/>
      </c>
      <c r="U73" s="154" t="str">
        <f>+IF(B[[#This Row],[Bene]]="","",VLOOKUP(B[[#This Row],[Tipologia]],TipoImm[],8,0)*B[[#This Row],[Valore normale]]+VLOOKUP(B[[#This Row],[Tipologia]],TipoImm[],9,0))</f>
        <v/>
      </c>
      <c r="V73" s="150">
        <f>+IF(OR(B[[#This Row],[Bene]]="",B[[#This Row],[Agevolabile]]=0),0,VLOOKUP(B[[#This Row],[Tipologia]],TipoImm[],5,0))</f>
        <v>0</v>
      </c>
      <c r="W7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50">
        <f>SUM(B[[#This Row],[Imposta di registro in misura fissa agevolata]:[Imposta di registro prop. Agevolata]])</f>
        <v>0</v>
      </c>
      <c r="Y73" s="150">
        <f>+IF(B[[#This Row],[Bene]]="",0,VLOOKUP(B[[#This Row],[Tipologia]],TipoImm[],10,0))</f>
        <v>0</v>
      </c>
      <c r="Z73" s="152" t="str">
        <f>+IF(p=3,"",IF(B[[#This Row],[Tipologia]]="","",VLOOKUP(B[[#This Row],[Tipologia]],TipoImm[],MATCH($Z$4,Tabelle!$AF$1:$AR$1,0),0)))</f>
        <v/>
      </c>
    </row>
    <row r="74" spans="1:26" x14ac:dyDescent="0.2">
      <c r="A74" s="126"/>
      <c r="B74" s="126"/>
      <c r="C74" s="146"/>
      <c r="D74" s="127"/>
      <c r="E74" s="126"/>
      <c r="F74" s="158"/>
      <c r="G74" s="159"/>
      <c r="H74" s="159"/>
      <c r="I74" s="159"/>
      <c r="J74" s="145"/>
      <c r="K74" s="160"/>
      <c r="L74" s="161"/>
      <c r="M74" s="162"/>
      <c r="N74" s="148">
        <f>+IF(B[[#This Row],[Categoria Catastale]]="",0,VLOOKUP(B[[#This Row],[Categoria Catastale]],Gruppi[],6,0)*B[[#This Row],[Rendita catastale]])</f>
        <v>0</v>
      </c>
      <c r="O74" s="149" t="str">
        <f t="shared" si="2"/>
        <v/>
      </c>
      <c r="P74" s="150">
        <f>+IF(B[[#This Row],[Valore inserito manualmente]]&gt;0,B[[#This Row],[Valore inserito manualmente]],B[[#This Row],[Valore catastale]])</f>
        <v>0</v>
      </c>
      <c r="Q74" s="150">
        <f>+IF(OR(B[[#This Row],[Opzione per prezzo-valore (s/n)]]="s",B[[#This Row],[Valore inserito manualmente]]=0),B[[#This Row],[Valore catastale]],B[[#This Row],[Valore inserito manualmente]])</f>
        <v>0</v>
      </c>
      <c r="R7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50" t="str">
        <f>+IF(B[[#This Row],[Bene]]="","",VLOOKUP(B[[#This Row],[Tipologia]],TipoImm[],3,0)*B[[#This Row],[Imponibile Iva]])</f>
        <v/>
      </c>
      <c r="T74" s="150" t="str">
        <f>+IF(B[[#This Row],[Bene]]="","",VLOOKUP(B[[#This Row],[Tipologia]],TipoImm[],6,0)*B[[#This Row],[Valore catastale]]+VLOOKUP(B[[#This Row],[Tipologia]],TipoImm[],4,0))</f>
        <v/>
      </c>
      <c r="U74" s="154" t="str">
        <f>+IF(B[[#This Row],[Bene]]="","",VLOOKUP(B[[#This Row],[Tipologia]],TipoImm[],8,0)*B[[#This Row],[Valore normale]]+VLOOKUP(B[[#This Row],[Tipologia]],TipoImm[],9,0))</f>
        <v/>
      </c>
      <c r="V74" s="150">
        <f>+IF(OR(B[[#This Row],[Bene]]="",B[[#This Row],[Agevolabile]]=0),0,VLOOKUP(B[[#This Row],[Tipologia]],TipoImm[],5,0))</f>
        <v>0</v>
      </c>
      <c r="W7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50">
        <f>SUM(B[[#This Row],[Imposta di registro in misura fissa agevolata]:[Imposta di registro prop. Agevolata]])</f>
        <v>0</v>
      </c>
      <c r="Y74" s="150">
        <f>+IF(B[[#This Row],[Bene]]="",0,VLOOKUP(B[[#This Row],[Tipologia]],TipoImm[],10,0))</f>
        <v>0</v>
      </c>
      <c r="Z74" s="152" t="str">
        <f>+IF(p=3,"",IF(B[[#This Row],[Tipologia]]="","",VLOOKUP(B[[#This Row],[Tipologia]],TipoImm[],MATCH($Z$4,Tabelle!$AF$1:$AR$1,0),0)))</f>
        <v/>
      </c>
    </row>
    <row r="75" spans="1:26" x14ac:dyDescent="0.2">
      <c r="A75" s="126"/>
      <c r="B75" s="126"/>
      <c r="C75" s="146"/>
      <c r="D75" s="127"/>
      <c r="E75" s="126"/>
      <c r="F75" s="158"/>
      <c r="G75" s="159"/>
      <c r="H75" s="159"/>
      <c r="I75" s="159"/>
      <c r="J75" s="145"/>
      <c r="K75" s="160"/>
      <c r="L75" s="161"/>
      <c r="M75" s="162"/>
      <c r="N75" s="148">
        <f>+IF(B[[#This Row],[Categoria Catastale]]="",0,VLOOKUP(B[[#This Row],[Categoria Catastale]],Gruppi[],6,0)*B[[#This Row],[Rendita catastale]])</f>
        <v>0</v>
      </c>
      <c r="O75" s="149" t="str">
        <f t="shared" si="2"/>
        <v/>
      </c>
      <c r="P75" s="150">
        <f>+IF(B[[#This Row],[Valore inserito manualmente]]&gt;0,B[[#This Row],[Valore inserito manualmente]],B[[#This Row],[Valore catastale]])</f>
        <v>0</v>
      </c>
      <c r="Q75" s="150">
        <f>+IF(OR(B[[#This Row],[Opzione per prezzo-valore (s/n)]]="s",B[[#This Row],[Valore inserito manualmente]]=0),B[[#This Row],[Valore catastale]],B[[#This Row],[Valore inserito manualmente]])</f>
        <v>0</v>
      </c>
      <c r="R7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50" t="str">
        <f>+IF(B[[#This Row],[Bene]]="","",VLOOKUP(B[[#This Row],[Tipologia]],TipoImm[],3,0)*B[[#This Row],[Imponibile Iva]])</f>
        <v/>
      </c>
      <c r="T75" s="150" t="str">
        <f>+IF(B[[#This Row],[Bene]]="","",VLOOKUP(B[[#This Row],[Tipologia]],TipoImm[],6,0)*B[[#This Row],[Valore catastale]]+VLOOKUP(B[[#This Row],[Tipologia]],TipoImm[],4,0))</f>
        <v/>
      </c>
      <c r="U75" s="154" t="str">
        <f>+IF(B[[#This Row],[Bene]]="","",VLOOKUP(B[[#This Row],[Tipologia]],TipoImm[],8,0)*B[[#This Row],[Valore normale]]+VLOOKUP(B[[#This Row],[Tipologia]],TipoImm[],9,0))</f>
        <v/>
      </c>
      <c r="V75" s="150">
        <f>+IF(OR(B[[#This Row],[Bene]]="",B[[#This Row],[Agevolabile]]=0),0,VLOOKUP(B[[#This Row],[Tipologia]],TipoImm[],5,0))</f>
        <v>0</v>
      </c>
      <c r="W7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50">
        <f>SUM(B[[#This Row],[Imposta di registro in misura fissa agevolata]:[Imposta di registro prop. Agevolata]])</f>
        <v>0</v>
      </c>
      <c r="Y75" s="150">
        <f>+IF(B[[#This Row],[Bene]]="",0,VLOOKUP(B[[#This Row],[Tipologia]],TipoImm[],10,0))</f>
        <v>0</v>
      </c>
      <c r="Z75" s="152" t="str">
        <f>+IF(p=3,"",IF(B[[#This Row],[Tipologia]]="","",VLOOKUP(B[[#This Row],[Tipologia]],TipoImm[],MATCH($Z$4,Tabelle!$AF$1:$AR$1,0),0)))</f>
        <v/>
      </c>
    </row>
    <row r="76" spans="1:26" x14ac:dyDescent="0.2">
      <c r="A76" s="126"/>
      <c r="B76" s="126"/>
      <c r="C76" s="146"/>
      <c r="D76" s="127"/>
      <c r="E76" s="126"/>
      <c r="F76" s="158"/>
      <c r="G76" s="159"/>
      <c r="H76" s="159"/>
      <c r="I76" s="159"/>
      <c r="J76" s="145"/>
      <c r="K76" s="160"/>
      <c r="L76" s="161"/>
      <c r="M76" s="162"/>
      <c r="N76" s="148">
        <f>+IF(B[[#This Row],[Categoria Catastale]]="",0,VLOOKUP(B[[#This Row],[Categoria Catastale]],Gruppi[],6,0)*B[[#This Row],[Rendita catastale]])</f>
        <v>0</v>
      </c>
      <c r="O76" s="149" t="str">
        <f t="shared" si="2"/>
        <v/>
      </c>
      <c r="P76" s="150">
        <f>+IF(B[[#This Row],[Valore inserito manualmente]]&gt;0,B[[#This Row],[Valore inserito manualmente]],B[[#This Row],[Valore catastale]])</f>
        <v>0</v>
      </c>
      <c r="Q76" s="150">
        <f>+IF(OR(B[[#This Row],[Opzione per prezzo-valore (s/n)]]="s",B[[#This Row],[Valore inserito manualmente]]=0),B[[#This Row],[Valore catastale]],B[[#This Row],[Valore inserito manualmente]])</f>
        <v>0</v>
      </c>
      <c r="R7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50" t="str">
        <f>+IF(B[[#This Row],[Bene]]="","",VLOOKUP(B[[#This Row],[Tipologia]],TipoImm[],3,0)*B[[#This Row],[Imponibile Iva]])</f>
        <v/>
      </c>
      <c r="T76" s="150" t="str">
        <f>+IF(B[[#This Row],[Bene]]="","",VLOOKUP(B[[#This Row],[Tipologia]],TipoImm[],6,0)*B[[#This Row],[Valore catastale]]+VLOOKUP(B[[#This Row],[Tipologia]],TipoImm[],4,0))</f>
        <v/>
      </c>
      <c r="U76" s="154" t="str">
        <f>+IF(B[[#This Row],[Bene]]="","",VLOOKUP(B[[#This Row],[Tipologia]],TipoImm[],8,0)*B[[#This Row],[Valore normale]]+VLOOKUP(B[[#This Row],[Tipologia]],TipoImm[],9,0))</f>
        <v/>
      </c>
      <c r="V76" s="150">
        <f>+IF(OR(B[[#This Row],[Bene]]="",B[[#This Row],[Agevolabile]]=0),0,VLOOKUP(B[[#This Row],[Tipologia]],TipoImm[],5,0))</f>
        <v>0</v>
      </c>
      <c r="W7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50">
        <f>SUM(B[[#This Row],[Imposta di registro in misura fissa agevolata]:[Imposta di registro prop. Agevolata]])</f>
        <v>0</v>
      </c>
      <c r="Y76" s="150">
        <f>+IF(B[[#This Row],[Bene]]="",0,VLOOKUP(B[[#This Row],[Tipologia]],TipoImm[],10,0))</f>
        <v>0</v>
      </c>
      <c r="Z76" s="152" t="str">
        <f>+IF(p=3,"",IF(B[[#This Row],[Tipologia]]="","",VLOOKUP(B[[#This Row],[Tipologia]],TipoImm[],MATCH($Z$4,Tabelle!$AF$1:$AR$1,0),0)))</f>
        <v/>
      </c>
    </row>
    <row r="77" spans="1:26" x14ac:dyDescent="0.2">
      <c r="A77" s="126"/>
      <c r="B77" s="126"/>
      <c r="C77" s="146"/>
      <c r="D77" s="127"/>
      <c r="E77" s="126"/>
      <c r="F77" s="158"/>
      <c r="G77" s="159"/>
      <c r="H77" s="159"/>
      <c r="I77" s="159"/>
      <c r="J77" s="145"/>
      <c r="K77" s="160"/>
      <c r="L77" s="161"/>
      <c r="M77" s="162"/>
      <c r="N77" s="148">
        <f>+IF(B[[#This Row],[Categoria Catastale]]="",0,VLOOKUP(B[[#This Row],[Categoria Catastale]],Gruppi[],6,0)*B[[#This Row],[Rendita catastale]])</f>
        <v>0</v>
      </c>
      <c r="O77" s="149" t="str">
        <f t="shared" si="2"/>
        <v/>
      </c>
      <c r="P77" s="150">
        <f>+IF(B[[#This Row],[Valore inserito manualmente]]&gt;0,B[[#This Row],[Valore inserito manualmente]],B[[#This Row],[Valore catastale]])</f>
        <v>0</v>
      </c>
      <c r="Q77" s="150">
        <f>+IF(OR(B[[#This Row],[Opzione per prezzo-valore (s/n)]]="s",B[[#This Row],[Valore inserito manualmente]]=0),B[[#This Row],[Valore catastale]],B[[#This Row],[Valore inserito manualmente]])</f>
        <v>0</v>
      </c>
      <c r="R7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50" t="str">
        <f>+IF(B[[#This Row],[Bene]]="","",VLOOKUP(B[[#This Row],[Tipologia]],TipoImm[],3,0)*B[[#This Row],[Imponibile Iva]])</f>
        <v/>
      </c>
      <c r="T77" s="150" t="str">
        <f>+IF(B[[#This Row],[Bene]]="","",VLOOKUP(B[[#This Row],[Tipologia]],TipoImm[],6,0)*B[[#This Row],[Valore catastale]]+VLOOKUP(B[[#This Row],[Tipologia]],TipoImm[],4,0))</f>
        <v/>
      </c>
      <c r="U77" s="154" t="str">
        <f>+IF(B[[#This Row],[Bene]]="","",VLOOKUP(B[[#This Row],[Tipologia]],TipoImm[],8,0)*B[[#This Row],[Valore normale]]+VLOOKUP(B[[#This Row],[Tipologia]],TipoImm[],9,0))</f>
        <v/>
      </c>
      <c r="V77" s="150">
        <f>+IF(OR(B[[#This Row],[Bene]]="",B[[#This Row],[Agevolabile]]=0),0,VLOOKUP(B[[#This Row],[Tipologia]],TipoImm[],5,0))</f>
        <v>0</v>
      </c>
      <c r="W7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50">
        <f>SUM(B[[#This Row],[Imposta di registro in misura fissa agevolata]:[Imposta di registro prop. Agevolata]])</f>
        <v>0</v>
      </c>
      <c r="Y77" s="150">
        <f>+IF(B[[#This Row],[Bene]]="",0,VLOOKUP(B[[#This Row],[Tipologia]],TipoImm[],10,0))</f>
        <v>0</v>
      </c>
      <c r="Z77" s="152" t="str">
        <f>+IF(p=3,"",IF(B[[#This Row],[Tipologia]]="","",VLOOKUP(B[[#This Row],[Tipologia]],TipoImm[],MATCH($Z$4,Tabelle!$AF$1:$AR$1,0),0)))</f>
        <v/>
      </c>
    </row>
    <row r="78" spans="1:26" x14ac:dyDescent="0.2">
      <c r="A78" s="126"/>
      <c r="B78" s="126"/>
      <c r="C78" s="146"/>
      <c r="D78" s="127"/>
      <c r="E78" s="126"/>
      <c r="F78" s="158"/>
      <c r="G78" s="159"/>
      <c r="H78" s="159"/>
      <c r="I78" s="159"/>
      <c r="J78" s="145"/>
      <c r="K78" s="160"/>
      <c r="L78" s="161"/>
      <c r="M78" s="162"/>
      <c r="N78" s="148">
        <f>+IF(B[[#This Row],[Categoria Catastale]]="",0,VLOOKUP(B[[#This Row],[Categoria Catastale]],Gruppi[],6,0)*B[[#This Row],[Rendita catastale]])</f>
        <v>0</v>
      </c>
      <c r="O78" s="149" t="str">
        <f t="shared" si="2"/>
        <v/>
      </c>
      <c r="P78" s="150">
        <f>+IF(B[[#This Row],[Valore inserito manualmente]]&gt;0,B[[#This Row],[Valore inserito manualmente]],B[[#This Row],[Valore catastale]])</f>
        <v>0</v>
      </c>
      <c r="Q78" s="150">
        <f>+IF(OR(B[[#This Row],[Opzione per prezzo-valore (s/n)]]="s",B[[#This Row],[Valore inserito manualmente]]=0),B[[#This Row],[Valore catastale]],B[[#This Row],[Valore inserito manualmente]])</f>
        <v>0</v>
      </c>
      <c r="R7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50" t="str">
        <f>+IF(B[[#This Row],[Bene]]="","",VLOOKUP(B[[#This Row],[Tipologia]],TipoImm[],3,0)*B[[#This Row],[Imponibile Iva]])</f>
        <v/>
      </c>
      <c r="T78" s="150" t="str">
        <f>+IF(B[[#This Row],[Bene]]="","",VLOOKUP(B[[#This Row],[Tipologia]],TipoImm[],6,0)*B[[#This Row],[Valore catastale]]+VLOOKUP(B[[#This Row],[Tipologia]],TipoImm[],4,0))</f>
        <v/>
      </c>
      <c r="U78" s="154" t="str">
        <f>+IF(B[[#This Row],[Bene]]="","",VLOOKUP(B[[#This Row],[Tipologia]],TipoImm[],8,0)*B[[#This Row],[Valore normale]]+VLOOKUP(B[[#This Row],[Tipologia]],TipoImm[],9,0))</f>
        <v/>
      </c>
      <c r="V78" s="150">
        <f>+IF(OR(B[[#This Row],[Bene]]="",B[[#This Row],[Agevolabile]]=0),0,VLOOKUP(B[[#This Row],[Tipologia]],TipoImm[],5,0))</f>
        <v>0</v>
      </c>
      <c r="W7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50">
        <f>SUM(B[[#This Row],[Imposta di registro in misura fissa agevolata]:[Imposta di registro prop. Agevolata]])</f>
        <v>0</v>
      </c>
      <c r="Y78" s="150">
        <f>+IF(B[[#This Row],[Bene]]="",0,VLOOKUP(B[[#This Row],[Tipologia]],TipoImm[],10,0))</f>
        <v>0</v>
      </c>
      <c r="Z78" s="152" t="str">
        <f>+IF(p=3,"",IF(B[[#This Row],[Tipologia]]="","",VLOOKUP(B[[#This Row],[Tipologia]],TipoImm[],MATCH($Z$4,Tabelle!$AF$1:$AR$1,0),0)))</f>
        <v/>
      </c>
    </row>
    <row r="79" spans="1:26" x14ac:dyDescent="0.2">
      <c r="A79" s="126"/>
      <c r="B79" s="126"/>
      <c r="C79" s="146"/>
      <c r="D79" s="127"/>
      <c r="E79" s="126"/>
      <c r="F79" s="158"/>
      <c r="G79" s="159"/>
      <c r="H79" s="159"/>
      <c r="I79" s="159"/>
      <c r="J79" s="145"/>
      <c r="K79" s="160"/>
      <c r="L79" s="161"/>
      <c r="M79" s="162"/>
      <c r="N79" s="148">
        <f>+IF(B[[#This Row],[Categoria Catastale]]="",0,VLOOKUP(B[[#This Row],[Categoria Catastale]],Gruppi[],6,0)*B[[#This Row],[Rendita catastale]])</f>
        <v>0</v>
      </c>
      <c r="O79" s="149" t="str">
        <f t="shared" si="2"/>
        <v/>
      </c>
      <c r="P79" s="150">
        <f>+IF(B[[#This Row],[Valore inserito manualmente]]&gt;0,B[[#This Row],[Valore inserito manualmente]],B[[#This Row],[Valore catastale]])</f>
        <v>0</v>
      </c>
      <c r="Q79" s="150">
        <f>+IF(OR(B[[#This Row],[Opzione per prezzo-valore (s/n)]]="s",B[[#This Row],[Valore inserito manualmente]]=0),B[[#This Row],[Valore catastale]],B[[#This Row],[Valore inserito manualmente]])</f>
        <v>0</v>
      </c>
      <c r="R7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50" t="str">
        <f>+IF(B[[#This Row],[Bene]]="","",VLOOKUP(B[[#This Row],[Tipologia]],TipoImm[],3,0)*B[[#This Row],[Imponibile Iva]])</f>
        <v/>
      </c>
      <c r="T79" s="150" t="str">
        <f>+IF(B[[#This Row],[Bene]]="","",VLOOKUP(B[[#This Row],[Tipologia]],TipoImm[],6,0)*B[[#This Row],[Valore catastale]]+VLOOKUP(B[[#This Row],[Tipologia]],TipoImm[],4,0))</f>
        <v/>
      </c>
      <c r="U79" s="154" t="str">
        <f>+IF(B[[#This Row],[Bene]]="","",VLOOKUP(B[[#This Row],[Tipologia]],TipoImm[],8,0)*B[[#This Row],[Valore normale]]+VLOOKUP(B[[#This Row],[Tipologia]],TipoImm[],9,0))</f>
        <v/>
      </c>
      <c r="V79" s="150">
        <f>+IF(OR(B[[#This Row],[Bene]]="",B[[#This Row],[Agevolabile]]=0),0,VLOOKUP(B[[#This Row],[Tipologia]],TipoImm[],5,0))</f>
        <v>0</v>
      </c>
      <c r="W7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50">
        <f>SUM(B[[#This Row],[Imposta di registro in misura fissa agevolata]:[Imposta di registro prop. Agevolata]])</f>
        <v>0</v>
      </c>
      <c r="Y79" s="150">
        <f>+IF(B[[#This Row],[Bene]]="",0,VLOOKUP(B[[#This Row],[Tipologia]],TipoImm[],10,0))</f>
        <v>0</v>
      </c>
      <c r="Z79" s="152" t="str">
        <f>+IF(p=3,"",IF(B[[#This Row],[Tipologia]]="","",VLOOKUP(B[[#This Row],[Tipologia]],TipoImm[],MATCH($Z$4,Tabelle!$AF$1:$AR$1,0),0)))</f>
        <v/>
      </c>
    </row>
    <row r="80" spans="1:26" x14ac:dyDescent="0.2">
      <c r="A80" s="126"/>
      <c r="B80" s="126"/>
      <c r="C80" s="146"/>
      <c r="D80" s="127"/>
      <c r="E80" s="126"/>
      <c r="F80" s="158"/>
      <c r="G80" s="159"/>
      <c r="H80" s="159"/>
      <c r="I80" s="159"/>
      <c r="J80" s="145"/>
      <c r="K80" s="160"/>
      <c r="L80" s="161"/>
      <c r="M80" s="162"/>
      <c r="N80" s="148">
        <f>+IF(B[[#This Row],[Categoria Catastale]]="",0,VLOOKUP(B[[#This Row],[Categoria Catastale]],Gruppi[],6,0)*B[[#This Row],[Rendita catastale]])</f>
        <v>0</v>
      </c>
      <c r="O80" s="149" t="str">
        <f t="shared" si="2"/>
        <v/>
      </c>
      <c r="P80" s="150">
        <f>+IF(B[[#This Row],[Valore inserito manualmente]]&gt;0,B[[#This Row],[Valore inserito manualmente]],B[[#This Row],[Valore catastale]])</f>
        <v>0</v>
      </c>
      <c r="Q80" s="150">
        <f>+IF(OR(B[[#This Row],[Opzione per prezzo-valore (s/n)]]="s",B[[#This Row],[Valore inserito manualmente]]=0),B[[#This Row],[Valore catastale]],B[[#This Row],[Valore inserito manualmente]])</f>
        <v>0</v>
      </c>
      <c r="R8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50" t="str">
        <f>+IF(B[[#This Row],[Bene]]="","",VLOOKUP(B[[#This Row],[Tipologia]],TipoImm[],3,0)*B[[#This Row],[Imponibile Iva]])</f>
        <v/>
      </c>
      <c r="T80" s="150" t="str">
        <f>+IF(B[[#This Row],[Bene]]="","",VLOOKUP(B[[#This Row],[Tipologia]],TipoImm[],6,0)*B[[#This Row],[Valore catastale]]+VLOOKUP(B[[#This Row],[Tipologia]],TipoImm[],4,0))</f>
        <v/>
      </c>
      <c r="U80" s="154" t="str">
        <f>+IF(B[[#This Row],[Bene]]="","",VLOOKUP(B[[#This Row],[Tipologia]],TipoImm[],8,0)*B[[#This Row],[Valore normale]]+VLOOKUP(B[[#This Row],[Tipologia]],TipoImm[],9,0))</f>
        <v/>
      </c>
      <c r="V80" s="150">
        <f>+IF(OR(B[[#This Row],[Bene]]="",B[[#This Row],[Agevolabile]]=0),0,VLOOKUP(B[[#This Row],[Tipologia]],TipoImm[],5,0))</f>
        <v>0</v>
      </c>
      <c r="W8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50">
        <f>SUM(B[[#This Row],[Imposta di registro in misura fissa agevolata]:[Imposta di registro prop. Agevolata]])</f>
        <v>0</v>
      </c>
      <c r="Y80" s="150">
        <f>+IF(B[[#This Row],[Bene]]="",0,VLOOKUP(B[[#This Row],[Tipologia]],TipoImm[],10,0))</f>
        <v>0</v>
      </c>
      <c r="Z80" s="152" t="str">
        <f>+IF(p=3,"",IF(B[[#This Row],[Tipologia]]="","",VLOOKUP(B[[#This Row],[Tipologia]],TipoImm[],MATCH($Z$4,Tabelle!$AF$1:$AR$1,0),0)))</f>
        <v/>
      </c>
    </row>
    <row r="81" spans="1:26" x14ac:dyDescent="0.2">
      <c r="A81" s="126"/>
      <c r="B81" s="126"/>
      <c r="C81" s="146"/>
      <c r="D81" s="127"/>
      <c r="E81" s="126"/>
      <c r="F81" s="158"/>
      <c r="G81" s="159"/>
      <c r="H81" s="159"/>
      <c r="I81" s="159"/>
      <c r="J81" s="145"/>
      <c r="K81" s="160"/>
      <c r="L81" s="161"/>
      <c r="M81" s="162"/>
      <c r="N81" s="148">
        <f>+IF(B[[#This Row],[Categoria Catastale]]="",0,VLOOKUP(B[[#This Row],[Categoria Catastale]],Gruppi[],6,0)*B[[#This Row],[Rendita catastale]])</f>
        <v>0</v>
      </c>
      <c r="O81" s="149" t="str">
        <f t="shared" si="2"/>
        <v/>
      </c>
      <c r="P81" s="150">
        <f>+IF(B[[#This Row],[Valore inserito manualmente]]&gt;0,B[[#This Row],[Valore inserito manualmente]],B[[#This Row],[Valore catastale]])</f>
        <v>0</v>
      </c>
      <c r="Q81" s="150">
        <f>+IF(OR(B[[#This Row],[Opzione per prezzo-valore (s/n)]]="s",B[[#This Row],[Valore inserito manualmente]]=0),B[[#This Row],[Valore catastale]],B[[#This Row],[Valore inserito manualmente]])</f>
        <v>0</v>
      </c>
      <c r="R8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50" t="str">
        <f>+IF(B[[#This Row],[Bene]]="","",VLOOKUP(B[[#This Row],[Tipologia]],TipoImm[],3,0)*B[[#This Row],[Imponibile Iva]])</f>
        <v/>
      </c>
      <c r="T81" s="150" t="str">
        <f>+IF(B[[#This Row],[Bene]]="","",VLOOKUP(B[[#This Row],[Tipologia]],TipoImm[],6,0)*B[[#This Row],[Valore catastale]]+VLOOKUP(B[[#This Row],[Tipologia]],TipoImm[],4,0))</f>
        <v/>
      </c>
      <c r="U81" s="154" t="str">
        <f>+IF(B[[#This Row],[Bene]]="","",VLOOKUP(B[[#This Row],[Tipologia]],TipoImm[],8,0)*B[[#This Row],[Valore normale]]+VLOOKUP(B[[#This Row],[Tipologia]],TipoImm[],9,0))</f>
        <v/>
      </c>
      <c r="V81" s="150">
        <f>+IF(OR(B[[#This Row],[Bene]]="",B[[#This Row],[Agevolabile]]=0),0,VLOOKUP(B[[#This Row],[Tipologia]],TipoImm[],5,0))</f>
        <v>0</v>
      </c>
      <c r="W8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50">
        <f>SUM(B[[#This Row],[Imposta di registro in misura fissa agevolata]:[Imposta di registro prop. Agevolata]])</f>
        <v>0</v>
      </c>
      <c r="Y81" s="150">
        <f>+IF(B[[#This Row],[Bene]]="",0,VLOOKUP(B[[#This Row],[Tipologia]],TipoImm[],10,0))</f>
        <v>0</v>
      </c>
      <c r="Z81" s="152" t="str">
        <f>+IF(p=3,"",IF(B[[#This Row],[Tipologia]]="","",VLOOKUP(B[[#This Row],[Tipologia]],TipoImm[],MATCH($Z$4,Tabelle!$AF$1:$AR$1,0),0)))</f>
        <v/>
      </c>
    </row>
    <row r="82" spans="1:26" x14ac:dyDescent="0.2">
      <c r="A82" s="126"/>
      <c r="B82" s="126"/>
      <c r="C82" s="146"/>
      <c r="D82" s="127"/>
      <c r="E82" s="126"/>
      <c r="F82" s="158"/>
      <c r="G82" s="159"/>
      <c r="H82" s="159"/>
      <c r="I82" s="159"/>
      <c r="J82" s="145"/>
      <c r="K82" s="160"/>
      <c r="L82" s="161"/>
      <c r="M82" s="162"/>
      <c r="N82" s="148">
        <f>+IF(B[[#This Row],[Categoria Catastale]]="",0,VLOOKUP(B[[#This Row],[Categoria Catastale]],Gruppi[],6,0)*B[[#This Row],[Rendita catastale]])</f>
        <v>0</v>
      </c>
      <c r="O82" s="149" t="str">
        <f t="shared" si="2"/>
        <v/>
      </c>
      <c r="P82" s="150">
        <f>+IF(B[[#This Row],[Valore inserito manualmente]]&gt;0,B[[#This Row],[Valore inserito manualmente]],B[[#This Row],[Valore catastale]])</f>
        <v>0</v>
      </c>
      <c r="Q82" s="150">
        <f>+IF(OR(B[[#This Row],[Opzione per prezzo-valore (s/n)]]="s",B[[#This Row],[Valore inserito manualmente]]=0),B[[#This Row],[Valore catastale]],B[[#This Row],[Valore inserito manualmente]])</f>
        <v>0</v>
      </c>
      <c r="R8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50" t="str">
        <f>+IF(B[[#This Row],[Bene]]="","",VLOOKUP(B[[#This Row],[Tipologia]],TipoImm[],3,0)*B[[#This Row],[Imponibile Iva]])</f>
        <v/>
      </c>
      <c r="T82" s="150" t="str">
        <f>+IF(B[[#This Row],[Bene]]="","",VLOOKUP(B[[#This Row],[Tipologia]],TipoImm[],6,0)*B[[#This Row],[Valore catastale]]+VLOOKUP(B[[#This Row],[Tipologia]],TipoImm[],4,0))</f>
        <v/>
      </c>
      <c r="U82" s="154" t="str">
        <f>+IF(B[[#This Row],[Bene]]="","",VLOOKUP(B[[#This Row],[Tipologia]],TipoImm[],8,0)*B[[#This Row],[Valore normale]]+VLOOKUP(B[[#This Row],[Tipologia]],TipoImm[],9,0))</f>
        <v/>
      </c>
      <c r="V82" s="150">
        <f>+IF(OR(B[[#This Row],[Bene]]="",B[[#This Row],[Agevolabile]]=0),0,VLOOKUP(B[[#This Row],[Tipologia]],TipoImm[],5,0))</f>
        <v>0</v>
      </c>
      <c r="W8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50">
        <f>SUM(B[[#This Row],[Imposta di registro in misura fissa agevolata]:[Imposta di registro prop. Agevolata]])</f>
        <v>0</v>
      </c>
      <c r="Y82" s="150">
        <f>+IF(B[[#This Row],[Bene]]="",0,VLOOKUP(B[[#This Row],[Tipologia]],TipoImm[],10,0))</f>
        <v>0</v>
      </c>
      <c r="Z82" s="152" t="str">
        <f>+IF(p=3,"",IF(B[[#This Row],[Tipologia]]="","",VLOOKUP(B[[#This Row],[Tipologia]],TipoImm[],MATCH($Z$4,Tabelle!$AF$1:$AR$1,0),0)))</f>
        <v/>
      </c>
    </row>
    <row r="83" spans="1:26" x14ac:dyDescent="0.2">
      <c r="A83" s="126"/>
      <c r="B83" s="126"/>
      <c r="C83" s="146"/>
      <c r="D83" s="127"/>
      <c r="E83" s="126"/>
      <c r="F83" s="158"/>
      <c r="G83" s="159"/>
      <c r="H83" s="159"/>
      <c r="I83" s="159"/>
      <c r="J83" s="145"/>
      <c r="K83" s="160"/>
      <c r="L83" s="161"/>
      <c r="M83" s="162"/>
      <c r="N83" s="148">
        <f>+IF(B[[#This Row],[Categoria Catastale]]="",0,VLOOKUP(B[[#This Row],[Categoria Catastale]],Gruppi[],6,0)*B[[#This Row],[Rendita catastale]])</f>
        <v>0</v>
      </c>
      <c r="O83" s="149" t="str">
        <f t="shared" si="2"/>
        <v/>
      </c>
      <c r="P83" s="150">
        <f>+IF(B[[#This Row],[Valore inserito manualmente]]&gt;0,B[[#This Row],[Valore inserito manualmente]],B[[#This Row],[Valore catastale]])</f>
        <v>0</v>
      </c>
      <c r="Q83" s="150">
        <f>+IF(OR(B[[#This Row],[Opzione per prezzo-valore (s/n)]]="s",B[[#This Row],[Valore inserito manualmente]]=0),B[[#This Row],[Valore catastale]],B[[#This Row],[Valore inserito manualmente]])</f>
        <v>0</v>
      </c>
      <c r="R8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50" t="str">
        <f>+IF(B[[#This Row],[Bene]]="","",VLOOKUP(B[[#This Row],[Tipologia]],TipoImm[],3,0)*B[[#This Row],[Imponibile Iva]])</f>
        <v/>
      </c>
      <c r="T83" s="150" t="str">
        <f>+IF(B[[#This Row],[Bene]]="","",VLOOKUP(B[[#This Row],[Tipologia]],TipoImm[],6,0)*B[[#This Row],[Valore catastale]]+VLOOKUP(B[[#This Row],[Tipologia]],TipoImm[],4,0))</f>
        <v/>
      </c>
      <c r="U83" s="154" t="str">
        <f>+IF(B[[#This Row],[Bene]]="","",VLOOKUP(B[[#This Row],[Tipologia]],TipoImm[],8,0)*B[[#This Row],[Valore normale]]+VLOOKUP(B[[#This Row],[Tipologia]],TipoImm[],9,0))</f>
        <v/>
      </c>
      <c r="V83" s="150">
        <f>+IF(OR(B[[#This Row],[Bene]]="",B[[#This Row],[Agevolabile]]=0),0,VLOOKUP(B[[#This Row],[Tipologia]],TipoImm[],5,0))</f>
        <v>0</v>
      </c>
      <c r="W8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50">
        <f>SUM(B[[#This Row],[Imposta di registro in misura fissa agevolata]:[Imposta di registro prop. Agevolata]])</f>
        <v>0</v>
      </c>
      <c r="Y83" s="150">
        <f>+IF(B[[#This Row],[Bene]]="",0,VLOOKUP(B[[#This Row],[Tipologia]],TipoImm[],10,0))</f>
        <v>0</v>
      </c>
      <c r="Z83" s="152" t="str">
        <f>+IF(p=3,"",IF(B[[#This Row],[Tipologia]]="","",VLOOKUP(B[[#This Row],[Tipologia]],TipoImm[],MATCH($Z$4,Tabelle!$AF$1:$AR$1,0),0)))</f>
        <v/>
      </c>
    </row>
    <row r="84" spans="1:26" x14ac:dyDescent="0.2">
      <c r="A84" s="126"/>
      <c r="B84" s="126"/>
      <c r="C84" s="146"/>
      <c r="D84" s="127"/>
      <c r="E84" s="126"/>
      <c r="F84" s="158"/>
      <c r="G84" s="159"/>
      <c r="H84" s="159"/>
      <c r="I84" s="159"/>
      <c r="J84" s="145"/>
      <c r="K84" s="160"/>
      <c r="L84" s="161"/>
      <c r="M84" s="162"/>
      <c r="N84" s="148">
        <f>+IF(B[[#This Row],[Categoria Catastale]]="",0,VLOOKUP(B[[#This Row],[Categoria Catastale]],Gruppi[],6,0)*B[[#This Row],[Rendita catastale]])</f>
        <v>0</v>
      </c>
      <c r="O84" s="149" t="str">
        <f t="shared" si="2"/>
        <v/>
      </c>
      <c r="P84" s="150">
        <f>+IF(B[[#This Row],[Valore inserito manualmente]]&gt;0,B[[#This Row],[Valore inserito manualmente]],B[[#This Row],[Valore catastale]])</f>
        <v>0</v>
      </c>
      <c r="Q84" s="150">
        <f>+IF(OR(B[[#This Row],[Opzione per prezzo-valore (s/n)]]="s",B[[#This Row],[Valore inserito manualmente]]=0),B[[#This Row],[Valore catastale]],B[[#This Row],[Valore inserito manualmente]])</f>
        <v>0</v>
      </c>
      <c r="R8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50" t="str">
        <f>+IF(B[[#This Row],[Bene]]="","",VLOOKUP(B[[#This Row],[Tipologia]],TipoImm[],3,0)*B[[#This Row],[Imponibile Iva]])</f>
        <v/>
      </c>
      <c r="T84" s="150" t="str">
        <f>+IF(B[[#This Row],[Bene]]="","",VLOOKUP(B[[#This Row],[Tipologia]],TipoImm[],6,0)*B[[#This Row],[Valore catastale]]+VLOOKUP(B[[#This Row],[Tipologia]],TipoImm[],4,0))</f>
        <v/>
      </c>
      <c r="U84" s="154" t="str">
        <f>+IF(B[[#This Row],[Bene]]="","",VLOOKUP(B[[#This Row],[Tipologia]],TipoImm[],8,0)*B[[#This Row],[Valore normale]]+VLOOKUP(B[[#This Row],[Tipologia]],TipoImm[],9,0))</f>
        <v/>
      </c>
      <c r="V84" s="150">
        <f>+IF(OR(B[[#This Row],[Bene]]="",B[[#This Row],[Agevolabile]]=0),0,VLOOKUP(B[[#This Row],[Tipologia]],TipoImm[],5,0))</f>
        <v>0</v>
      </c>
      <c r="W8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50">
        <f>SUM(B[[#This Row],[Imposta di registro in misura fissa agevolata]:[Imposta di registro prop. Agevolata]])</f>
        <v>0</v>
      </c>
      <c r="Y84" s="150">
        <f>+IF(B[[#This Row],[Bene]]="",0,VLOOKUP(B[[#This Row],[Tipologia]],TipoImm[],10,0))</f>
        <v>0</v>
      </c>
      <c r="Z84" s="152" t="str">
        <f>+IF(p=3,"",IF(B[[#This Row],[Tipologia]]="","",VLOOKUP(B[[#This Row],[Tipologia]],TipoImm[],MATCH($Z$4,Tabelle!$AF$1:$AR$1,0),0)))</f>
        <v/>
      </c>
    </row>
    <row r="85" spans="1:26" x14ac:dyDescent="0.2">
      <c r="A85" s="126"/>
      <c r="B85" s="126"/>
      <c r="C85" s="146"/>
      <c r="D85" s="127"/>
      <c r="E85" s="126"/>
      <c r="F85" s="158"/>
      <c r="G85" s="159"/>
      <c r="H85" s="159"/>
      <c r="I85" s="159"/>
      <c r="J85" s="145"/>
      <c r="K85" s="160"/>
      <c r="L85" s="161"/>
      <c r="M85" s="162"/>
      <c r="N85" s="148">
        <f>+IF(B[[#This Row],[Categoria Catastale]]="",0,VLOOKUP(B[[#This Row],[Categoria Catastale]],Gruppi[],6,0)*B[[#This Row],[Rendita catastale]])</f>
        <v>0</v>
      </c>
      <c r="O85" s="149" t="str">
        <f t="shared" si="2"/>
        <v/>
      </c>
      <c r="P85" s="150">
        <f>+IF(B[[#This Row],[Valore inserito manualmente]]&gt;0,B[[#This Row],[Valore inserito manualmente]],B[[#This Row],[Valore catastale]])</f>
        <v>0</v>
      </c>
      <c r="Q85" s="150">
        <f>+IF(OR(B[[#This Row],[Opzione per prezzo-valore (s/n)]]="s",B[[#This Row],[Valore inserito manualmente]]=0),B[[#This Row],[Valore catastale]],B[[#This Row],[Valore inserito manualmente]])</f>
        <v>0</v>
      </c>
      <c r="R8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50" t="str">
        <f>+IF(B[[#This Row],[Bene]]="","",VLOOKUP(B[[#This Row],[Tipologia]],TipoImm[],3,0)*B[[#This Row],[Imponibile Iva]])</f>
        <v/>
      </c>
      <c r="T85" s="150" t="str">
        <f>+IF(B[[#This Row],[Bene]]="","",VLOOKUP(B[[#This Row],[Tipologia]],TipoImm[],6,0)*B[[#This Row],[Valore catastale]]+VLOOKUP(B[[#This Row],[Tipologia]],TipoImm[],4,0))</f>
        <v/>
      </c>
      <c r="U85" s="154" t="str">
        <f>+IF(B[[#This Row],[Bene]]="","",VLOOKUP(B[[#This Row],[Tipologia]],TipoImm[],8,0)*B[[#This Row],[Valore normale]]+VLOOKUP(B[[#This Row],[Tipologia]],TipoImm[],9,0))</f>
        <v/>
      </c>
      <c r="V85" s="150">
        <f>+IF(OR(B[[#This Row],[Bene]]="",B[[#This Row],[Agevolabile]]=0),0,VLOOKUP(B[[#This Row],[Tipologia]],TipoImm[],5,0))</f>
        <v>0</v>
      </c>
      <c r="W8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50">
        <f>SUM(B[[#This Row],[Imposta di registro in misura fissa agevolata]:[Imposta di registro prop. Agevolata]])</f>
        <v>0</v>
      </c>
      <c r="Y85" s="150">
        <f>+IF(B[[#This Row],[Bene]]="",0,VLOOKUP(B[[#This Row],[Tipologia]],TipoImm[],10,0))</f>
        <v>0</v>
      </c>
      <c r="Z85" s="152" t="str">
        <f>+IF(p=3,"",IF(B[[#This Row],[Tipologia]]="","",VLOOKUP(B[[#This Row],[Tipologia]],TipoImm[],MATCH($Z$4,Tabelle!$AF$1:$AR$1,0),0)))</f>
        <v/>
      </c>
    </row>
    <row r="86" spans="1:26" x14ac:dyDescent="0.2">
      <c r="A86" s="126"/>
      <c r="B86" s="126"/>
      <c r="C86" s="146"/>
      <c r="D86" s="127"/>
      <c r="E86" s="126"/>
      <c r="F86" s="158"/>
      <c r="G86" s="159"/>
      <c r="H86" s="159"/>
      <c r="I86" s="159"/>
      <c r="J86" s="145"/>
      <c r="K86" s="160"/>
      <c r="L86" s="161"/>
      <c r="M86" s="162"/>
      <c r="N86" s="148">
        <f>+IF(B[[#This Row],[Categoria Catastale]]="",0,VLOOKUP(B[[#This Row],[Categoria Catastale]],Gruppi[],6,0)*B[[#This Row],[Rendita catastale]])</f>
        <v>0</v>
      </c>
      <c r="O86" s="149" t="str">
        <f t="shared" si="2"/>
        <v/>
      </c>
      <c r="P86" s="150">
        <f>+IF(B[[#This Row],[Valore inserito manualmente]]&gt;0,B[[#This Row],[Valore inserito manualmente]],B[[#This Row],[Valore catastale]])</f>
        <v>0</v>
      </c>
      <c r="Q86" s="150">
        <f>+IF(OR(B[[#This Row],[Opzione per prezzo-valore (s/n)]]="s",B[[#This Row],[Valore inserito manualmente]]=0),B[[#This Row],[Valore catastale]],B[[#This Row],[Valore inserito manualmente]])</f>
        <v>0</v>
      </c>
      <c r="R8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50" t="str">
        <f>+IF(B[[#This Row],[Bene]]="","",VLOOKUP(B[[#This Row],[Tipologia]],TipoImm[],3,0)*B[[#This Row],[Imponibile Iva]])</f>
        <v/>
      </c>
      <c r="T86" s="150" t="str">
        <f>+IF(B[[#This Row],[Bene]]="","",VLOOKUP(B[[#This Row],[Tipologia]],TipoImm[],6,0)*B[[#This Row],[Valore catastale]]+VLOOKUP(B[[#This Row],[Tipologia]],TipoImm[],4,0))</f>
        <v/>
      </c>
      <c r="U86" s="154" t="str">
        <f>+IF(B[[#This Row],[Bene]]="","",VLOOKUP(B[[#This Row],[Tipologia]],TipoImm[],8,0)*B[[#This Row],[Valore normale]]+VLOOKUP(B[[#This Row],[Tipologia]],TipoImm[],9,0))</f>
        <v/>
      </c>
      <c r="V86" s="150">
        <f>+IF(OR(B[[#This Row],[Bene]]="",B[[#This Row],[Agevolabile]]=0),0,VLOOKUP(B[[#This Row],[Tipologia]],TipoImm[],5,0))</f>
        <v>0</v>
      </c>
      <c r="W8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50">
        <f>SUM(B[[#This Row],[Imposta di registro in misura fissa agevolata]:[Imposta di registro prop. Agevolata]])</f>
        <v>0</v>
      </c>
      <c r="Y86" s="150">
        <f>+IF(B[[#This Row],[Bene]]="",0,VLOOKUP(B[[#This Row],[Tipologia]],TipoImm[],10,0))</f>
        <v>0</v>
      </c>
      <c r="Z86" s="152" t="str">
        <f>+IF(p=3,"",IF(B[[#This Row],[Tipologia]]="","",VLOOKUP(B[[#This Row],[Tipologia]],TipoImm[],MATCH($Z$4,Tabelle!$AF$1:$AR$1,0),0)))</f>
        <v/>
      </c>
    </row>
    <row r="87" spans="1:26" x14ac:dyDescent="0.2">
      <c r="A87" s="126"/>
      <c r="B87" s="126"/>
      <c r="C87" s="146"/>
      <c r="D87" s="127"/>
      <c r="E87" s="126"/>
      <c r="F87" s="158"/>
      <c r="G87" s="159"/>
      <c r="H87" s="159"/>
      <c r="I87" s="159"/>
      <c r="J87" s="145"/>
      <c r="K87" s="160"/>
      <c r="L87" s="161"/>
      <c r="M87" s="162"/>
      <c r="N87" s="148">
        <f>+IF(B[[#This Row],[Categoria Catastale]]="",0,VLOOKUP(B[[#This Row],[Categoria Catastale]],Gruppi[],6,0)*B[[#This Row],[Rendita catastale]])</f>
        <v>0</v>
      </c>
      <c r="O87" s="149" t="str">
        <f t="shared" si="2"/>
        <v/>
      </c>
      <c r="P87" s="150">
        <f>+IF(B[[#This Row],[Valore inserito manualmente]]&gt;0,B[[#This Row],[Valore inserito manualmente]],B[[#This Row],[Valore catastale]])</f>
        <v>0</v>
      </c>
      <c r="Q87" s="150">
        <f>+IF(OR(B[[#This Row],[Opzione per prezzo-valore (s/n)]]="s",B[[#This Row],[Valore inserito manualmente]]=0),B[[#This Row],[Valore catastale]],B[[#This Row],[Valore inserito manualmente]])</f>
        <v>0</v>
      </c>
      <c r="R8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50" t="str">
        <f>+IF(B[[#This Row],[Bene]]="","",VLOOKUP(B[[#This Row],[Tipologia]],TipoImm[],3,0)*B[[#This Row],[Imponibile Iva]])</f>
        <v/>
      </c>
      <c r="T87" s="150" t="str">
        <f>+IF(B[[#This Row],[Bene]]="","",VLOOKUP(B[[#This Row],[Tipologia]],TipoImm[],6,0)*B[[#This Row],[Valore catastale]]+VLOOKUP(B[[#This Row],[Tipologia]],TipoImm[],4,0))</f>
        <v/>
      </c>
      <c r="U87" s="154" t="str">
        <f>+IF(B[[#This Row],[Bene]]="","",VLOOKUP(B[[#This Row],[Tipologia]],TipoImm[],8,0)*B[[#This Row],[Valore normale]]+VLOOKUP(B[[#This Row],[Tipologia]],TipoImm[],9,0))</f>
        <v/>
      </c>
      <c r="V87" s="150">
        <f>+IF(OR(B[[#This Row],[Bene]]="",B[[#This Row],[Agevolabile]]=0),0,VLOOKUP(B[[#This Row],[Tipologia]],TipoImm[],5,0))</f>
        <v>0</v>
      </c>
      <c r="W8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50">
        <f>SUM(B[[#This Row],[Imposta di registro in misura fissa agevolata]:[Imposta di registro prop. Agevolata]])</f>
        <v>0</v>
      </c>
      <c r="Y87" s="150">
        <f>+IF(B[[#This Row],[Bene]]="",0,VLOOKUP(B[[#This Row],[Tipologia]],TipoImm[],10,0))</f>
        <v>0</v>
      </c>
      <c r="Z87" s="152" t="str">
        <f>+IF(p=3,"",IF(B[[#This Row],[Tipologia]]="","",VLOOKUP(B[[#This Row],[Tipologia]],TipoImm[],MATCH($Z$4,Tabelle!$AF$1:$AR$1,0),0)))</f>
        <v/>
      </c>
    </row>
    <row r="88" spans="1:26" x14ac:dyDescent="0.2">
      <c r="A88" s="126"/>
      <c r="B88" s="126"/>
      <c r="C88" s="146"/>
      <c r="D88" s="127"/>
      <c r="E88" s="126"/>
      <c r="F88" s="158"/>
      <c r="G88" s="159"/>
      <c r="H88" s="159"/>
      <c r="I88" s="159"/>
      <c r="J88" s="145"/>
      <c r="K88" s="160"/>
      <c r="L88" s="161"/>
      <c r="M88" s="162"/>
      <c r="N88" s="148">
        <f>+IF(B[[#This Row],[Categoria Catastale]]="",0,VLOOKUP(B[[#This Row],[Categoria Catastale]],Gruppi[],6,0)*B[[#This Row],[Rendita catastale]])</f>
        <v>0</v>
      </c>
      <c r="O88" s="149" t="str">
        <f t="shared" si="2"/>
        <v/>
      </c>
      <c r="P88" s="150">
        <f>+IF(B[[#This Row],[Valore inserito manualmente]]&gt;0,B[[#This Row],[Valore inserito manualmente]],B[[#This Row],[Valore catastale]])</f>
        <v>0</v>
      </c>
      <c r="Q88" s="150">
        <f>+IF(OR(B[[#This Row],[Opzione per prezzo-valore (s/n)]]="s",B[[#This Row],[Valore inserito manualmente]]=0),B[[#This Row],[Valore catastale]],B[[#This Row],[Valore inserito manualmente]])</f>
        <v>0</v>
      </c>
      <c r="R8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50" t="str">
        <f>+IF(B[[#This Row],[Bene]]="","",VLOOKUP(B[[#This Row],[Tipologia]],TipoImm[],3,0)*B[[#This Row],[Imponibile Iva]])</f>
        <v/>
      </c>
      <c r="T88" s="150" t="str">
        <f>+IF(B[[#This Row],[Bene]]="","",VLOOKUP(B[[#This Row],[Tipologia]],TipoImm[],6,0)*B[[#This Row],[Valore catastale]]+VLOOKUP(B[[#This Row],[Tipologia]],TipoImm[],4,0))</f>
        <v/>
      </c>
      <c r="U88" s="154" t="str">
        <f>+IF(B[[#This Row],[Bene]]="","",VLOOKUP(B[[#This Row],[Tipologia]],TipoImm[],8,0)*B[[#This Row],[Valore normale]]+VLOOKUP(B[[#This Row],[Tipologia]],TipoImm[],9,0))</f>
        <v/>
      </c>
      <c r="V88" s="150">
        <f>+IF(OR(B[[#This Row],[Bene]]="",B[[#This Row],[Agevolabile]]=0),0,VLOOKUP(B[[#This Row],[Tipologia]],TipoImm[],5,0))</f>
        <v>0</v>
      </c>
      <c r="W8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50">
        <f>SUM(B[[#This Row],[Imposta di registro in misura fissa agevolata]:[Imposta di registro prop. Agevolata]])</f>
        <v>0</v>
      </c>
      <c r="Y88" s="150">
        <f>+IF(B[[#This Row],[Bene]]="",0,VLOOKUP(B[[#This Row],[Tipologia]],TipoImm[],10,0))</f>
        <v>0</v>
      </c>
      <c r="Z88" s="152" t="str">
        <f>+IF(p=3,"",IF(B[[#This Row],[Tipologia]]="","",VLOOKUP(B[[#This Row],[Tipologia]],TipoImm[],MATCH($Z$4,Tabelle!$AF$1:$AR$1,0),0)))</f>
        <v/>
      </c>
    </row>
    <row r="89" spans="1:26" x14ac:dyDescent="0.2">
      <c r="A89" s="126"/>
      <c r="B89" s="126"/>
      <c r="C89" s="146"/>
      <c r="D89" s="127"/>
      <c r="E89" s="126"/>
      <c r="F89" s="158"/>
      <c r="G89" s="159"/>
      <c r="H89" s="159"/>
      <c r="I89" s="159"/>
      <c r="J89" s="145"/>
      <c r="K89" s="160"/>
      <c r="L89" s="161"/>
      <c r="M89" s="162"/>
      <c r="N89" s="148">
        <f>+IF(B[[#This Row],[Categoria Catastale]]="",0,VLOOKUP(B[[#This Row],[Categoria Catastale]],Gruppi[],6,0)*B[[#This Row],[Rendita catastale]])</f>
        <v>0</v>
      </c>
      <c r="O89" s="149" t="str">
        <f t="shared" si="2"/>
        <v/>
      </c>
      <c r="P89" s="150">
        <f>+IF(B[[#This Row],[Valore inserito manualmente]]&gt;0,B[[#This Row],[Valore inserito manualmente]],B[[#This Row],[Valore catastale]])</f>
        <v>0</v>
      </c>
      <c r="Q89" s="150">
        <f>+IF(OR(B[[#This Row],[Opzione per prezzo-valore (s/n)]]="s",B[[#This Row],[Valore inserito manualmente]]=0),B[[#This Row],[Valore catastale]],B[[#This Row],[Valore inserito manualmente]])</f>
        <v>0</v>
      </c>
      <c r="R8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50" t="str">
        <f>+IF(B[[#This Row],[Bene]]="","",VLOOKUP(B[[#This Row],[Tipologia]],TipoImm[],3,0)*B[[#This Row],[Imponibile Iva]])</f>
        <v/>
      </c>
      <c r="T89" s="150" t="str">
        <f>+IF(B[[#This Row],[Bene]]="","",VLOOKUP(B[[#This Row],[Tipologia]],TipoImm[],6,0)*B[[#This Row],[Valore catastale]]+VLOOKUP(B[[#This Row],[Tipologia]],TipoImm[],4,0))</f>
        <v/>
      </c>
      <c r="U89" s="154" t="str">
        <f>+IF(B[[#This Row],[Bene]]="","",VLOOKUP(B[[#This Row],[Tipologia]],TipoImm[],8,0)*B[[#This Row],[Valore normale]]+VLOOKUP(B[[#This Row],[Tipologia]],TipoImm[],9,0))</f>
        <v/>
      </c>
      <c r="V89" s="150">
        <f>+IF(OR(B[[#This Row],[Bene]]="",B[[#This Row],[Agevolabile]]=0),0,VLOOKUP(B[[#This Row],[Tipologia]],TipoImm[],5,0))</f>
        <v>0</v>
      </c>
      <c r="W8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50">
        <f>SUM(B[[#This Row],[Imposta di registro in misura fissa agevolata]:[Imposta di registro prop. Agevolata]])</f>
        <v>0</v>
      </c>
      <c r="Y89" s="150">
        <f>+IF(B[[#This Row],[Bene]]="",0,VLOOKUP(B[[#This Row],[Tipologia]],TipoImm[],10,0))</f>
        <v>0</v>
      </c>
      <c r="Z89" s="152" t="str">
        <f>+IF(p=3,"",IF(B[[#This Row],[Tipologia]]="","",VLOOKUP(B[[#This Row],[Tipologia]],TipoImm[],MATCH($Z$4,Tabelle!$AF$1:$AR$1,0),0)))</f>
        <v/>
      </c>
    </row>
    <row r="90" spans="1:26" x14ac:dyDescent="0.2">
      <c r="A90" s="126"/>
      <c r="B90" s="126"/>
      <c r="C90" s="146"/>
      <c r="D90" s="127"/>
      <c r="E90" s="126"/>
      <c r="F90" s="158"/>
      <c r="G90" s="159"/>
      <c r="H90" s="159"/>
      <c r="I90" s="159"/>
      <c r="J90" s="145"/>
      <c r="K90" s="160"/>
      <c r="L90" s="161"/>
      <c r="M90" s="162"/>
      <c r="N90" s="148">
        <f>+IF(B[[#This Row],[Categoria Catastale]]="",0,VLOOKUP(B[[#This Row],[Categoria Catastale]],Gruppi[],6,0)*B[[#This Row],[Rendita catastale]])</f>
        <v>0</v>
      </c>
      <c r="O90" s="149" t="str">
        <f t="shared" si="2"/>
        <v/>
      </c>
      <c r="P90" s="150">
        <f>+IF(B[[#This Row],[Valore inserito manualmente]]&gt;0,B[[#This Row],[Valore inserito manualmente]],B[[#This Row],[Valore catastale]])</f>
        <v>0</v>
      </c>
      <c r="Q90" s="150">
        <f>+IF(OR(B[[#This Row],[Opzione per prezzo-valore (s/n)]]="s",B[[#This Row],[Valore inserito manualmente]]=0),B[[#This Row],[Valore catastale]],B[[#This Row],[Valore inserito manualmente]])</f>
        <v>0</v>
      </c>
      <c r="R9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50" t="str">
        <f>+IF(B[[#This Row],[Bene]]="","",VLOOKUP(B[[#This Row],[Tipologia]],TipoImm[],3,0)*B[[#This Row],[Imponibile Iva]])</f>
        <v/>
      </c>
      <c r="T90" s="150" t="str">
        <f>+IF(B[[#This Row],[Bene]]="","",VLOOKUP(B[[#This Row],[Tipologia]],TipoImm[],6,0)*B[[#This Row],[Valore catastale]]+VLOOKUP(B[[#This Row],[Tipologia]],TipoImm[],4,0))</f>
        <v/>
      </c>
      <c r="U90" s="154" t="str">
        <f>+IF(B[[#This Row],[Bene]]="","",VLOOKUP(B[[#This Row],[Tipologia]],TipoImm[],8,0)*B[[#This Row],[Valore normale]]+VLOOKUP(B[[#This Row],[Tipologia]],TipoImm[],9,0))</f>
        <v/>
      </c>
      <c r="V90" s="150">
        <f>+IF(OR(B[[#This Row],[Bene]]="",B[[#This Row],[Agevolabile]]=0),0,VLOOKUP(B[[#This Row],[Tipologia]],TipoImm[],5,0))</f>
        <v>0</v>
      </c>
      <c r="W9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50">
        <f>SUM(B[[#This Row],[Imposta di registro in misura fissa agevolata]:[Imposta di registro prop. Agevolata]])</f>
        <v>0</v>
      </c>
      <c r="Y90" s="150">
        <f>+IF(B[[#This Row],[Bene]]="",0,VLOOKUP(B[[#This Row],[Tipologia]],TipoImm[],10,0))</f>
        <v>0</v>
      </c>
      <c r="Z90" s="152" t="str">
        <f>+IF(p=3,"",IF(B[[#This Row],[Tipologia]]="","",VLOOKUP(B[[#This Row],[Tipologia]],TipoImm[],MATCH($Z$4,Tabelle!$AF$1:$AR$1,0),0)))</f>
        <v/>
      </c>
    </row>
    <row r="91" spans="1:26" x14ac:dyDescent="0.2">
      <c r="A91" s="126"/>
      <c r="B91" s="126"/>
      <c r="C91" s="146"/>
      <c r="D91" s="127"/>
      <c r="E91" s="126"/>
      <c r="F91" s="158"/>
      <c r="G91" s="159"/>
      <c r="H91" s="159"/>
      <c r="I91" s="159"/>
      <c r="J91" s="145"/>
      <c r="K91" s="160"/>
      <c r="L91" s="161"/>
      <c r="M91" s="162"/>
      <c r="N91" s="148">
        <f>+IF(B[[#This Row],[Categoria Catastale]]="",0,VLOOKUP(B[[#This Row],[Categoria Catastale]],Gruppi[],6,0)*B[[#This Row],[Rendita catastale]])</f>
        <v>0</v>
      </c>
      <c r="O91" s="149" t="str">
        <f t="shared" si="2"/>
        <v/>
      </c>
      <c r="P91" s="150">
        <f>+IF(B[[#This Row],[Valore inserito manualmente]]&gt;0,B[[#This Row],[Valore inserito manualmente]],B[[#This Row],[Valore catastale]])</f>
        <v>0</v>
      </c>
      <c r="Q91" s="150">
        <f>+IF(OR(B[[#This Row],[Opzione per prezzo-valore (s/n)]]="s",B[[#This Row],[Valore inserito manualmente]]=0),B[[#This Row],[Valore catastale]],B[[#This Row],[Valore inserito manualmente]])</f>
        <v>0</v>
      </c>
      <c r="R9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50" t="str">
        <f>+IF(B[[#This Row],[Bene]]="","",VLOOKUP(B[[#This Row],[Tipologia]],TipoImm[],3,0)*B[[#This Row],[Imponibile Iva]])</f>
        <v/>
      </c>
      <c r="T91" s="150" t="str">
        <f>+IF(B[[#This Row],[Bene]]="","",VLOOKUP(B[[#This Row],[Tipologia]],TipoImm[],6,0)*B[[#This Row],[Valore catastale]]+VLOOKUP(B[[#This Row],[Tipologia]],TipoImm[],4,0))</f>
        <v/>
      </c>
      <c r="U91" s="154" t="str">
        <f>+IF(B[[#This Row],[Bene]]="","",VLOOKUP(B[[#This Row],[Tipologia]],TipoImm[],8,0)*B[[#This Row],[Valore normale]]+VLOOKUP(B[[#This Row],[Tipologia]],TipoImm[],9,0))</f>
        <v/>
      </c>
      <c r="V91" s="150">
        <f>+IF(OR(B[[#This Row],[Bene]]="",B[[#This Row],[Agevolabile]]=0),0,VLOOKUP(B[[#This Row],[Tipologia]],TipoImm[],5,0))</f>
        <v>0</v>
      </c>
      <c r="W9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50">
        <f>SUM(B[[#This Row],[Imposta di registro in misura fissa agevolata]:[Imposta di registro prop. Agevolata]])</f>
        <v>0</v>
      </c>
      <c r="Y91" s="150">
        <f>+IF(B[[#This Row],[Bene]]="",0,VLOOKUP(B[[#This Row],[Tipologia]],TipoImm[],10,0))</f>
        <v>0</v>
      </c>
      <c r="Z91" s="152" t="str">
        <f>+IF(p=3,"",IF(B[[#This Row],[Tipologia]]="","",VLOOKUP(B[[#This Row],[Tipologia]],TipoImm[],MATCH($Z$4,Tabelle!$AF$1:$AR$1,0),0)))</f>
        <v/>
      </c>
    </row>
    <row r="92" spans="1:26" x14ac:dyDescent="0.2">
      <c r="A92" s="126"/>
      <c r="B92" s="126"/>
      <c r="C92" s="146"/>
      <c r="D92" s="127"/>
      <c r="E92" s="126"/>
      <c r="F92" s="158"/>
      <c r="G92" s="159"/>
      <c r="H92" s="159"/>
      <c r="I92" s="159"/>
      <c r="J92" s="145"/>
      <c r="K92" s="160"/>
      <c r="L92" s="161"/>
      <c r="M92" s="162"/>
      <c r="N92" s="148">
        <f>+IF(B[[#This Row],[Categoria Catastale]]="",0,VLOOKUP(B[[#This Row],[Categoria Catastale]],Gruppi[],6,0)*B[[#This Row],[Rendita catastale]])</f>
        <v>0</v>
      </c>
      <c r="O92" s="149" t="str">
        <f t="shared" si="2"/>
        <v/>
      </c>
      <c r="P92" s="150">
        <f>+IF(B[[#This Row],[Valore inserito manualmente]]&gt;0,B[[#This Row],[Valore inserito manualmente]],B[[#This Row],[Valore catastale]])</f>
        <v>0</v>
      </c>
      <c r="Q92" s="150">
        <f>+IF(OR(B[[#This Row],[Opzione per prezzo-valore (s/n)]]="s",B[[#This Row],[Valore inserito manualmente]]=0),B[[#This Row],[Valore catastale]],B[[#This Row],[Valore inserito manualmente]])</f>
        <v>0</v>
      </c>
      <c r="R9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50" t="str">
        <f>+IF(B[[#This Row],[Bene]]="","",VLOOKUP(B[[#This Row],[Tipologia]],TipoImm[],3,0)*B[[#This Row],[Imponibile Iva]])</f>
        <v/>
      </c>
      <c r="T92" s="150" t="str">
        <f>+IF(B[[#This Row],[Bene]]="","",VLOOKUP(B[[#This Row],[Tipologia]],TipoImm[],6,0)*B[[#This Row],[Valore catastale]]+VLOOKUP(B[[#This Row],[Tipologia]],TipoImm[],4,0))</f>
        <v/>
      </c>
      <c r="U92" s="154" t="str">
        <f>+IF(B[[#This Row],[Bene]]="","",VLOOKUP(B[[#This Row],[Tipologia]],TipoImm[],8,0)*B[[#This Row],[Valore normale]]+VLOOKUP(B[[#This Row],[Tipologia]],TipoImm[],9,0))</f>
        <v/>
      </c>
      <c r="V92" s="150">
        <f>+IF(OR(B[[#This Row],[Bene]]="",B[[#This Row],[Agevolabile]]=0),0,VLOOKUP(B[[#This Row],[Tipologia]],TipoImm[],5,0))</f>
        <v>0</v>
      </c>
      <c r="W9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50">
        <f>SUM(B[[#This Row],[Imposta di registro in misura fissa agevolata]:[Imposta di registro prop. Agevolata]])</f>
        <v>0</v>
      </c>
      <c r="Y92" s="150">
        <f>+IF(B[[#This Row],[Bene]]="",0,VLOOKUP(B[[#This Row],[Tipologia]],TipoImm[],10,0))</f>
        <v>0</v>
      </c>
      <c r="Z92" s="152" t="str">
        <f>+IF(p=3,"",IF(B[[#This Row],[Tipologia]]="","",VLOOKUP(B[[#This Row],[Tipologia]],TipoImm[],MATCH($Z$4,Tabelle!$AF$1:$AR$1,0),0)))</f>
        <v/>
      </c>
    </row>
    <row r="93" spans="1:26" x14ac:dyDescent="0.2">
      <c r="A93" s="126"/>
      <c r="B93" s="126"/>
      <c r="C93" s="146"/>
      <c r="D93" s="127"/>
      <c r="E93" s="126"/>
      <c r="F93" s="158"/>
      <c r="G93" s="159"/>
      <c r="H93" s="159"/>
      <c r="I93" s="159"/>
      <c r="J93" s="145"/>
      <c r="K93" s="160"/>
      <c r="L93" s="161"/>
      <c r="M93" s="162"/>
      <c r="N93" s="148">
        <f>+IF(B[[#This Row],[Categoria Catastale]]="",0,VLOOKUP(B[[#This Row],[Categoria Catastale]],Gruppi[],6,0)*B[[#This Row],[Rendita catastale]])</f>
        <v>0</v>
      </c>
      <c r="O93" s="149" t="str">
        <f t="shared" si="2"/>
        <v/>
      </c>
      <c r="P93" s="150">
        <f>+IF(B[[#This Row],[Valore inserito manualmente]]&gt;0,B[[#This Row],[Valore inserito manualmente]],B[[#This Row],[Valore catastale]])</f>
        <v>0</v>
      </c>
      <c r="Q93" s="150">
        <f>+IF(OR(B[[#This Row],[Opzione per prezzo-valore (s/n)]]="s",B[[#This Row],[Valore inserito manualmente]]=0),B[[#This Row],[Valore catastale]],B[[#This Row],[Valore inserito manualmente]])</f>
        <v>0</v>
      </c>
      <c r="R9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50" t="str">
        <f>+IF(B[[#This Row],[Bene]]="","",VLOOKUP(B[[#This Row],[Tipologia]],TipoImm[],3,0)*B[[#This Row],[Imponibile Iva]])</f>
        <v/>
      </c>
      <c r="T93" s="150" t="str">
        <f>+IF(B[[#This Row],[Bene]]="","",VLOOKUP(B[[#This Row],[Tipologia]],TipoImm[],6,0)*B[[#This Row],[Valore catastale]]+VLOOKUP(B[[#This Row],[Tipologia]],TipoImm[],4,0))</f>
        <v/>
      </c>
      <c r="U93" s="154" t="str">
        <f>+IF(B[[#This Row],[Bene]]="","",VLOOKUP(B[[#This Row],[Tipologia]],TipoImm[],8,0)*B[[#This Row],[Valore normale]]+VLOOKUP(B[[#This Row],[Tipologia]],TipoImm[],9,0))</f>
        <v/>
      </c>
      <c r="V93" s="150">
        <f>+IF(OR(B[[#This Row],[Bene]]="",B[[#This Row],[Agevolabile]]=0),0,VLOOKUP(B[[#This Row],[Tipologia]],TipoImm[],5,0))</f>
        <v>0</v>
      </c>
      <c r="W9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50">
        <f>SUM(B[[#This Row],[Imposta di registro in misura fissa agevolata]:[Imposta di registro prop. Agevolata]])</f>
        <v>0</v>
      </c>
      <c r="Y93" s="150">
        <f>+IF(B[[#This Row],[Bene]]="",0,VLOOKUP(B[[#This Row],[Tipologia]],TipoImm[],10,0))</f>
        <v>0</v>
      </c>
      <c r="Z93" s="152" t="str">
        <f>+IF(p=3,"",IF(B[[#This Row],[Tipologia]]="","",VLOOKUP(B[[#This Row],[Tipologia]],TipoImm[],MATCH($Z$4,Tabelle!$AF$1:$AR$1,0),0)))</f>
        <v/>
      </c>
    </row>
    <row r="94" spans="1:26" x14ac:dyDescent="0.2">
      <c r="A94" s="126"/>
      <c r="B94" s="126"/>
      <c r="C94" s="146"/>
      <c r="D94" s="127"/>
      <c r="E94" s="126"/>
      <c r="F94" s="158"/>
      <c r="G94" s="159"/>
      <c r="H94" s="159"/>
      <c r="I94" s="159"/>
      <c r="J94" s="145"/>
      <c r="K94" s="160"/>
      <c r="L94" s="161"/>
      <c r="M94" s="162"/>
      <c r="N94" s="148">
        <f>+IF(B[[#This Row],[Categoria Catastale]]="",0,VLOOKUP(B[[#This Row],[Categoria Catastale]],Gruppi[],6,0)*B[[#This Row],[Rendita catastale]])</f>
        <v>0</v>
      </c>
      <c r="O94" s="149" t="str">
        <f t="shared" si="2"/>
        <v/>
      </c>
      <c r="P94" s="150">
        <f>+IF(B[[#This Row],[Valore inserito manualmente]]&gt;0,B[[#This Row],[Valore inserito manualmente]],B[[#This Row],[Valore catastale]])</f>
        <v>0</v>
      </c>
      <c r="Q94" s="150">
        <f>+IF(OR(B[[#This Row],[Opzione per prezzo-valore (s/n)]]="s",B[[#This Row],[Valore inserito manualmente]]=0),B[[#This Row],[Valore catastale]],B[[#This Row],[Valore inserito manualmente]])</f>
        <v>0</v>
      </c>
      <c r="R9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50" t="str">
        <f>+IF(B[[#This Row],[Bene]]="","",VLOOKUP(B[[#This Row],[Tipologia]],TipoImm[],3,0)*B[[#This Row],[Imponibile Iva]])</f>
        <v/>
      </c>
      <c r="T94" s="150" t="str">
        <f>+IF(B[[#This Row],[Bene]]="","",VLOOKUP(B[[#This Row],[Tipologia]],TipoImm[],6,0)*B[[#This Row],[Valore catastale]]+VLOOKUP(B[[#This Row],[Tipologia]],TipoImm[],4,0))</f>
        <v/>
      </c>
      <c r="U94" s="154" t="str">
        <f>+IF(B[[#This Row],[Bene]]="","",VLOOKUP(B[[#This Row],[Tipologia]],TipoImm[],8,0)*B[[#This Row],[Valore normale]]+VLOOKUP(B[[#This Row],[Tipologia]],TipoImm[],9,0))</f>
        <v/>
      </c>
      <c r="V94" s="150">
        <f>+IF(OR(B[[#This Row],[Bene]]="",B[[#This Row],[Agevolabile]]=0),0,VLOOKUP(B[[#This Row],[Tipologia]],TipoImm[],5,0))</f>
        <v>0</v>
      </c>
      <c r="W9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50">
        <f>SUM(B[[#This Row],[Imposta di registro in misura fissa agevolata]:[Imposta di registro prop. Agevolata]])</f>
        <v>0</v>
      </c>
      <c r="Y94" s="150">
        <f>+IF(B[[#This Row],[Bene]]="",0,VLOOKUP(B[[#This Row],[Tipologia]],TipoImm[],10,0))</f>
        <v>0</v>
      </c>
      <c r="Z94" s="152" t="str">
        <f>+IF(p=3,"",IF(B[[#This Row],[Tipologia]]="","",VLOOKUP(B[[#This Row],[Tipologia]],TipoImm[],MATCH($Z$4,Tabelle!$AF$1:$AR$1,0),0)))</f>
        <v/>
      </c>
    </row>
    <row r="95" spans="1:26" x14ac:dyDescent="0.2">
      <c r="A95" s="126"/>
      <c r="B95" s="126"/>
      <c r="C95" s="146"/>
      <c r="D95" s="127"/>
      <c r="E95" s="126"/>
      <c r="F95" s="158"/>
      <c r="G95" s="159"/>
      <c r="H95" s="159"/>
      <c r="I95" s="159"/>
      <c r="J95" s="145"/>
      <c r="K95" s="160"/>
      <c r="L95" s="161"/>
      <c r="M95" s="162"/>
      <c r="N95" s="148">
        <f>+IF(B[[#This Row],[Categoria Catastale]]="",0,VLOOKUP(B[[#This Row],[Categoria Catastale]],Gruppi[],6,0)*B[[#This Row],[Rendita catastale]])</f>
        <v>0</v>
      </c>
      <c r="O95" s="149" t="str">
        <f t="shared" si="2"/>
        <v/>
      </c>
      <c r="P95" s="150">
        <f>+IF(B[[#This Row],[Valore inserito manualmente]]&gt;0,B[[#This Row],[Valore inserito manualmente]],B[[#This Row],[Valore catastale]])</f>
        <v>0</v>
      </c>
      <c r="Q95" s="150">
        <f>+IF(OR(B[[#This Row],[Opzione per prezzo-valore (s/n)]]="s",B[[#This Row],[Valore inserito manualmente]]=0),B[[#This Row],[Valore catastale]],B[[#This Row],[Valore inserito manualmente]])</f>
        <v>0</v>
      </c>
      <c r="R9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50" t="str">
        <f>+IF(B[[#This Row],[Bene]]="","",VLOOKUP(B[[#This Row],[Tipologia]],TipoImm[],3,0)*B[[#This Row],[Imponibile Iva]])</f>
        <v/>
      </c>
      <c r="T95" s="150" t="str">
        <f>+IF(B[[#This Row],[Bene]]="","",VLOOKUP(B[[#This Row],[Tipologia]],TipoImm[],6,0)*B[[#This Row],[Valore catastale]]+VLOOKUP(B[[#This Row],[Tipologia]],TipoImm[],4,0))</f>
        <v/>
      </c>
      <c r="U95" s="154" t="str">
        <f>+IF(B[[#This Row],[Bene]]="","",VLOOKUP(B[[#This Row],[Tipologia]],TipoImm[],8,0)*B[[#This Row],[Valore normale]]+VLOOKUP(B[[#This Row],[Tipologia]],TipoImm[],9,0))</f>
        <v/>
      </c>
      <c r="V95" s="150">
        <f>+IF(OR(B[[#This Row],[Bene]]="",B[[#This Row],[Agevolabile]]=0),0,VLOOKUP(B[[#This Row],[Tipologia]],TipoImm[],5,0))</f>
        <v>0</v>
      </c>
      <c r="W9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50">
        <f>SUM(B[[#This Row],[Imposta di registro in misura fissa agevolata]:[Imposta di registro prop. Agevolata]])</f>
        <v>0</v>
      </c>
      <c r="Y95" s="150">
        <f>+IF(B[[#This Row],[Bene]]="",0,VLOOKUP(B[[#This Row],[Tipologia]],TipoImm[],10,0))</f>
        <v>0</v>
      </c>
      <c r="Z95" s="152" t="str">
        <f>+IF(p=3,"",IF(B[[#This Row],[Tipologia]]="","",VLOOKUP(B[[#This Row],[Tipologia]],TipoImm[],MATCH($Z$4,Tabelle!$AF$1:$AR$1,0),0)))</f>
        <v/>
      </c>
    </row>
    <row r="96" spans="1:26" x14ac:dyDescent="0.2">
      <c r="A96" s="126"/>
      <c r="B96" s="126"/>
      <c r="C96" s="146"/>
      <c r="D96" s="127"/>
      <c r="E96" s="126"/>
      <c r="F96" s="158"/>
      <c r="G96" s="159"/>
      <c r="H96" s="159"/>
      <c r="I96" s="159"/>
      <c r="J96" s="145"/>
      <c r="K96" s="160"/>
      <c r="L96" s="161"/>
      <c r="M96" s="162"/>
      <c r="N96" s="148">
        <f>+IF(B[[#This Row],[Categoria Catastale]]="",0,VLOOKUP(B[[#This Row],[Categoria Catastale]],Gruppi[],6,0)*B[[#This Row],[Rendita catastale]])</f>
        <v>0</v>
      </c>
      <c r="O96" s="149" t="str">
        <f t="shared" si="2"/>
        <v/>
      </c>
      <c r="P96" s="150">
        <f>+IF(B[[#This Row],[Valore inserito manualmente]]&gt;0,B[[#This Row],[Valore inserito manualmente]],B[[#This Row],[Valore catastale]])</f>
        <v>0</v>
      </c>
      <c r="Q96" s="150">
        <f>+IF(OR(B[[#This Row],[Opzione per prezzo-valore (s/n)]]="s",B[[#This Row],[Valore inserito manualmente]]=0),B[[#This Row],[Valore catastale]],B[[#This Row],[Valore inserito manualmente]])</f>
        <v>0</v>
      </c>
      <c r="R9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50" t="str">
        <f>+IF(B[[#This Row],[Bene]]="","",VLOOKUP(B[[#This Row],[Tipologia]],TipoImm[],3,0)*B[[#This Row],[Imponibile Iva]])</f>
        <v/>
      </c>
      <c r="T96" s="150" t="str">
        <f>+IF(B[[#This Row],[Bene]]="","",VLOOKUP(B[[#This Row],[Tipologia]],TipoImm[],6,0)*B[[#This Row],[Valore catastale]]+VLOOKUP(B[[#This Row],[Tipologia]],TipoImm[],4,0))</f>
        <v/>
      </c>
      <c r="U96" s="154" t="str">
        <f>+IF(B[[#This Row],[Bene]]="","",VLOOKUP(B[[#This Row],[Tipologia]],TipoImm[],8,0)*B[[#This Row],[Valore normale]]+VLOOKUP(B[[#This Row],[Tipologia]],TipoImm[],9,0))</f>
        <v/>
      </c>
      <c r="V96" s="150">
        <f>+IF(OR(B[[#This Row],[Bene]]="",B[[#This Row],[Agevolabile]]=0),0,VLOOKUP(B[[#This Row],[Tipologia]],TipoImm[],5,0))</f>
        <v>0</v>
      </c>
      <c r="W9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50">
        <f>SUM(B[[#This Row],[Imposta di registro in misura fissa agevolata]:[Imposta di registro prop. Agevolata]])</f>
        <v>0</v>
      </c>
      <c r="Y96" s="150">
        <f>+IF(B[[#This Row],[Bene]]="",0,VLOOKUP(B[[#This Row],[Tipologia]],TipoImm[],10,0))</f>
        <v>0</v>
      </c>
      <c r="Z96" s="152" t="str">
        <f>+IF(p=3,"",IF(B[[#This Row],[Tipologia]]="","",VLOOKUP(B[[#This Row],[Tipologia]],TipoImm[],MATCH($Z$4,Tabelle!$AF$1:$AR$1,0),0)))</f>
        <v/>
      </c>
    </row>
    <row r="97" spans="1:26" x14ac:dyDescent="0.2">
      <c r="A97" s="126"/>
      <c r="B97" s="126"/>
      <c r="C97" s="146"/>
      <c r="D97" s="127"/>
      <c r="E97" s="126"/>
      <c r="F97" s="158"/>
      <c r="G97" s="159"/>
      <c r="H97" s="159"/>
      <c r="I97" s="159"/>
      <c r="J97" s="145"/>
      <c r="K97" s="160"/>
      <c r="L97" s="161"/>
      <c r="M97" s="162"/>
      <c r="N97" s="148">
        <f>+IF(B[[#This Row],[Categoria Catastale]]="",0,VLOOKUP(B[[#This Row],[Categoria Catastale]],Gruppi[],6,0)*B[[#This Row],[Rendita catastale]])</f>
        <v>0</v>
      </c>
      <c r="O97" s="149" t="str">
        <f t="shared" si="2"/>
        <v/>
      </c>
      <c r="P97" s="150">
        <f>+IF(B[[#This Row],[Valore inserito manualmente]]&gt;0,B[[#This Row],[Valore inserito manualmente]],B[[#This Row],[Valore catastale]])</f>
        <v>0</v>
      </c>
      <c r="Q97" s="150">
        <f>+IF(OR(B[[#This Row],[Opzione per prezzo-valore (s/n)]]="s",B[[#This Row],[Valore inserito manualmente]]=0),B[[#This Row],[Valore catastale]],B[[#This Row],[Valore inserito manualmente]])</f>
        <v>0</v>
      </c>
      <c r="R9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50" t="str">
        <f>+IF(B[[#This Row],[Bene]]="","",VLOOKUP(B[[#This Row],[Tipologia]],TipoImm[],3,0)*B[[#This Row],[Imponibile Iva]])</f>
        <v/>
      </c>
      <c r="T97" s="150" t="str">
        <f>+IF(B[[#This Row],[Bene]]="","",VLOOKUP(B[[#This Row],[Tipologia]],TipoImm[],6,0)*B[[#This Row],[Valore catastale]]+VLOOKUP(B[[#This Row],[Tipologia]],TipoImm[],4,0))</f>
        <v/>
      </c>
      <c r="U97" s="154" t="str">
        <f>+IF(B[[#This Row],[Bene]]="","",VLOOKUP(B[[#This Row],[Tipologia]],TipoImm[],8,0)*B[[#This Row],[Valore normale]]+VLOOKUP(B[[#This Row],[Tipologia]],TipoImm[],9,0))</f>
        <v/>
      </c>
      <c r="V97" s="150">
        <f>+IF(OR(B[[#This Row],[Bene]]="",B[[#This Row],[Agevolabile]]=0),0,VLOOKUP(B[[#This Row],[Tipologia]],TipoImm[],5,0))</f>
        <v>0</v>
      </c>
      <c r="W9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50">
        <f>SUM(B[[#This Row],[Imposta di registro in misura fissa agevolata]:[Imposta di registro prop. Agevolata]])</f>
        <v>0</v>
      </c>
      <c r="Y97" s="150">
        <f>+IF(B[[#This Row],[Bene]]="",0,VLOOKUP(B[[#This Row],[Tipologia]],TipoImm[],10,0))</f>
        <v>0</v>
      </c>
      <c r="Z97" s="152" t="str">
        <f>+IF(p=3,"",IF(B[[#This Row],[Tipologia]]="","",VLOOKUP(B[[#This Row],[Tipologia]],TipoImm[],MATCH($Z$4,Tabelle!$AF$1:$AR$1,0),0)))</f>
        <v/>
      </c>
    </row>
    <row r="98" spans="1:26" x14ac:dyDescent="0.2">
      <c r="A98" s="126"/>
      <c r="B98" s="126"/>
      <c r="C98" s="146"/>
      <c r="D98" s="127"/>
      <c r="E98" s="126"/>
      <c r="F98" s="158"/>
      <c r="G98" s="159"/>
      <c r="H98" s="159"/>
      <c r="I98" s="159"/>
      <c r="J98" s="145"/>
      <c r="K98" s="160"/>
      <c r="L98" s="161"/>
      <c r="M98" s="162"/>
      <c r="N98" s="148">
        <f>+IF(B[[#This Row],[Categoria Catastale]]="",0,VLOOKUP(B[[#This Row],[Categoria Catastale]],Gruppi[],6,0)*B[[#This Row],[Rendita catastale]])</f>
        <v>0</v>
      </c>
      <c r="O98" s="149" t="str">
        <f t="shared" si="2"/>
        <v/>
      </c>
      <c r="P98" s="150">
        <f>+IF(B[[#This Row],[Valore inserito manualmente]]&gt;0,B[[#This Row],[Valore inserito manualmente]],B[[#This Row],[Valore catastale]])</f>
        <v>0</v>
      </c>
      <c r="Q98" s="150">
        <f>+IF(OR(B[[#This Row],[Opzione per prezzo-valore (s/n)]]="s",B[[#This Row],[Valore inserito manualmente]]=0),B[[#This Row],[Valore catastale]],B[[#This Row],[Valore inserito manualmente]])</f>
        <v>0</v>
      </c>
      <c r="R9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50" t="str">
        <f>+IF(B[[#This Row],[Bene]]="","",VLOOKUP(B[[#This Row],[Tipologia]],TipoImm[],3,0)*B[[#This Row],[Imponibile Iva]])</f>
        <v/>
      </c>
      <c r="T98" s="150" t="str">
        <f>+IF(B[[#This Row],[Bene]]="","",VLOOKUP(B[[#This Row],[Tipologia]],TipoImm[],6,0)*B[[#This Row],[Valore catastale]]+VLOOKUP(B[[#This Row],[Tipologia]],TipoImm[],4,0))</f>
        <v/>
      </c>
      <c r="U98" s="154" t="str">
        <f>+IF(B[[#This Row],[Bene]]="","",VLOOKUP(B[[#This Row],[Tipologia]],TipoImm[],8,0)*B[[#This Row],[Valore normale]]+VLOOKUP(B[[#This Row],[Tipologia]],TipoImm[],9,0))</f>
        <v/>
      </c>
      <c r="V98" s="150">
        <f>+IF(OR(B[[#This Row],[Bene]]="",B[[#This Row],[Agevolabile]]=0),0,VLOOKUP(B[[#This Row],[Tipologia]],TipoImm[],5,0))</f>
        <v>0</v>
      </c>
      <c r="W9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50">
        <f>SUM(B[[#This Row],[Imposta di registro in misura fissa agevolata]:[Imposta di registro prop. Agevolata]])</f>
        <v>0</v>
      </c>
      <c r="Y98" s="150">
        <f>+IF(B[[#This Row],[Bene]]="",0,VLOOKUP(B[[#This Row],[Tipologia]],TipoImm[],10,0))</f>
        <v>0</v>
      </c>
      <c r="Z98" s="152" t="str">
        <f>+IF(p=3,"",IF(B[[#This Row],[Tipologia]]="","",VLOOKUP(B[[#This Row],[Tipologia]],TipoImm[],MATCH($Z$4,Tabelle!$AF$1:$AR$1,0),0)))</f>
        <v/>
      </c>
    </row>
    <row r="99" spans="1:26" x14ac:dyDescent="0.2">
      <c r="A99" s="126"/>
      <c r="B99" s="126"/>
      <c r="C99" s="146"/>
      <c r="D99" s="127"/>
      <c r="E99" s="126"/>
      <c r="F99" s="158"/>
      <c r="G99" s="159"/>
      <c r="H99" s="159"/>
      <c r="I99" s="159"/>
      <c r="J99" s="145"/>
      <c r="K99" s="160"/>
      <c r="L99" s="161"/>
      <c r="M99" s="162"/>
      <c r="N99" s="148">
        <f>+IF(B[[#This Row],[Categoria Catastale]]="",0,VLOOKUP(B[[#This Row],[Categoria Catastale]],Gruppi[],6,0)*B[[#This Row],[Rendita catastale]])</f>
        <v>0</v>
      </c>
      <c r="O99" s="149" t="str">
        <f t="shared" si="2"/>
        <v/>
      </c>
      <c r="P99" s="150">
        <f>+IF(B[[#This Row],[Valore inserito manualmente]]&gt;0,B[[#This Row],[Valore inserito manualmente]],B[[#This Row],[Valore catastale]])</f>
        <v>0</v>
      </c>
      <c r="Q99" s="150">
        <f>+IF(OR(B[[#This Row],[Opzione per prezzo-valore (s/n)]]="s",B[[#This Row],[Valore inserito manualmente]]=0),B[[#This Row],[Valore catastale]],B[[#This Row],[Valore inserito manualmente]])</f>
        <v>0</v>
      </c>
      <c r="R9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50" t="str">
        <f>+IF(B[[#This Row],[Bene]]="","",VLOOKUP(B[[#This Row],[Tipologia]],TipoImm[],3,0)*B[[#This Row],[Imponibile Iva]])</f>
        <v/>
      </c>
      <c r="T99" s="150" t="str">
        <f>+IF(B[[#This Row],[Bene]]="","",VLOOKUP(B[[#This Row],[Tipologia]],TipoImm[],6,0)*B[[#This Row],[Valore catastale]]+VLOOKUP(B[[#This Row],[Tipologia]],TipoImm[],4,0))</f>
        <v/>
      </c>
      <c r="U99" s="154" t="str">
        <f>+IF(B[[#This Row],[Bene]]="","",VLOOKUP(B[[#This Row],[Tipologia]],TipoImm[],8,0)*B[[#This Row],[Valore normale]]+VLOOKUP(B[[#This Row],[Tipologia]],TipoImm[],9,0))</f>
        <v/>
      </c>
      <c r="V99" s="150">
        <f>+IF(OR(B[[#This Row],[Bene]]="",B[[#This Row],[Agevolabile]]=0),0,VLOOKUP(B[[#This Row],[Tipologia]],TipoImm[],5,0))</f>
        <v>0</v>
      </c>
      <c r="W9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50">
        <f>SUM(B[[#This Row],[Imposta di registro in misura fissa agevolata]:[Imposta di registro prop. Agevolata]])</f>
        <v>0</v>
      </c>
      <c r="Y99" s="150">
        <f>+IF(B[[#This Row],[Bene]]="",0,VLOOKUP(B[[#This Row],[Tipologia]],TipoImm[],10,0))</f>
        <v>0</v>
      </c>
      <c r="Z99" s="152" t="str">
        <f>+IF(p=3,"",IF(B[[#This Row],[Tipologia]]="","",VLOOKUP(B[[#This Row],[Tipologia]],TipoImm[],MATCH($Z$4,Tabelle!$AF$1:$AR$1,0),0)))</f>
        <v/>
      </c>
    </row>
    <row r="100" spans="1:26" x14ac:dyDescent="0.2">
      <c r="A100" s="126"/>
      <c r="B100" s="126"/>
      <c r="C100" s="146"/>
      <c r="D100" s="127"/>
      <c r="E100" s="126"/>
      <c r="F100" s="158"/>
      <c r="G100" s="159"/>
      <c r="H100" s="159"/>
      <c r="I100" s="159"/>
      <c r="J100" s="145"/>
      <c r="K100" s="160"/>
      <c r="L100" s="161"/>
      <c r="M100" s="162"/>
      <c r="N100" s="148">
        <f>+IF(B[[#This Row],[Categoria Catastale]]="",0,VLOOKUP(B[[#This Row],[Categoria Catastale]],Gruppi[],6,0)*B[[#This Row],[Rendita catastale]])</f>
        <v>0</v>
      </c>
      <c r="O100" s="149" t="str">
        <f t="shared" si="2"/>
        <v/>
      </c>
      <c r="P100" s="150">
        <f>+IF(B[[#This Row],[Valore inserito manualmente]]&gt;0,B[[#This Row],[Valore inserito manualmente]],B[[#This Row],[Valore catastale]])</f>
        <v>0</v>
      </c>
      <c r="Q100" s="150">
        <f>+IF(OR(B[[#This Row],[Opzione per prezzo-valore (s/n)]]="s",B[[#This Row],[Valore inserito manualmente]]=0),B[[#This Row],[Valore catastale]],B[[#This Row],[Valore inserito manualmente]])</f>
        <v>0</v>
      </c>
      <c r="R10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50" t="str">
        <f>+IF(B[[#This Row],[Bene]]="","",VLOOKUP(B[[#This Row],[Tipologia]],TipoImm[],3,0)*B[[#This Row],[Imponibile Iva]])</f>
        <v/>
      </c>
      <c r="T100" s="150" t="str">
        <f>+IF(B[[#This Row],[Bene]]="","",VLOOKUP(B[[#This Row],[Tipologia]],TipoImm[],6,0)*B[[#This Row],[Valore catastale]]+VLOOKUP(B[[#This Row],[Tipologia]],TipoImm[],4,0))</f>
        <v/>
      </c>
      <c r="U100" s="154" t="str">
        <f>+IF(B[[#This Row],[Bene]]="","",VLOOKUP(B[[#This Row],[Tipologia]],TipoImm[],8,0)*B[[#This Row],[Valore normale]]+VLOOKUP(B[[#This Row],[Tipologia]],TipoImm[],9,0))</f>
        <v/>
      </c>
      <c r="V100" s="150">
        <f>+IF(OR(B[[#This Row],[Bene]]="",B[[#This Row],[Agevolabile]]=0),0,VLOOKUP(B[[#This Row],[Tipologia]],TipoImm[],5,0))</f>
        <v>0</v>
      </c>
      <c r="W10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50">
        <f>SUM(B[[#This Row],[Imposta di registro in misura fissa agevolata]:[Imposta di registro prop. Agevolata]])</f>
        <v>0</v>
      </c>
      <c r="Y100" s="150">
        <f>+IF(B[[#This Row],[Bene]]="",0,VLOOKUP(B[[#This Row],[Tipologia]],TipoImm[],10,0))</f>
        <v>0</v>
      </c>
      <c r="Z100" s="152" t="str">
        <f>+IF(p=3,"",IF(B[[#This Row],[Tipologia]]="","",VLOOKUP(B[[#This Row],[Tipologia]],TipoImm[],MATCH($Z$4,Tabelle!$AF$1:$AR$1,0),0)))</f>
        <v/>
      </c>
    </row>
    <row r="101" spans="1:26" x14ac:dyDescent="0.2">
      <c r="A101" s="126"/>
      <c r="B101" s="126"/>
      <c r="C101" s="146"/>
      <c r="D101" s="127"/>
      <c r="E101" s="126"/>
      <c r="F101" s="158"/>
      <c r="G101" s="159"/>
      <c r="H101" s="159"/>
      <c r="I101" s="159"/>
      <c r="J101" s="145"/>
      <c r="K101" s="160"/>
      <c r="L101" s="161"/>
      <c r="M101" s="162"/>
      <c r="N101" s="148">
        <f>+IF(B[[#This Row],[Categoria Catastale]]="",0,VLOOKUP(B[[#This Row],[Categoria Catastale]],Gruppi[],6,0)*B[[#This Row],[Rendita catastale]])</f>
        <v>0</v>
      </c>
      <c r="O101" s="149" t="str">
        <f t="shared" si="2"/>
        <v/>
      </c>
      <c r="P101" s="150">
        <f>+IF(B[[#This Row],[Valore inserito manualmente]]&gt;0,B[[#This Row],[Valore inserito manualmente]],B[[#This Row],[Valore catastale]])</f>
        <v>0</v>
      </c>
      <c r="Q101" s="150">
        <f>+IF(OR(B[[#This Row],[Opzione per prezzo-valore (s/n)]]="s",B[[#This Row],[Valore inserito manualmente]]=0),B[[#This Row],[Valore catastale]],B[[#This Row],[Valore inserito manualmente]])</f>
        <v>0</v>
      </c>
      <c r="R10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50" t="str">
        <f>+IF(B[[#This Row],[Bene]]="","",VLOOKUP(B[[#This Row],[Tipologia]],TipoImm[],3,0)*B[[#This Row],[Imponibile Iva]])</f>
        <v/>
      </c>
      <c r="T101" s="150" t="str">
        <f>+IF(B[[#This Row],[Bene]]="","",VLOOKUP(B[[#This Row],[Tipologia]],TipoImm[],6,0)*B[[#This Row],[Valore catastale]]+VLOOKUP(B[[#This Row],[Tipologia]],TipoImm[],4,0))</f>
        <v/>
      </c>
      <c r="U101" s="154" t="str">
        <f>+IF(B[[#This Row],[Bene]]="","",VLOOKUP(B[[#This Row],[Tipologia]],TipoImm[],8,0)*B[[#This Row],[Valore normale]]+VLOOKUP(B[[#This Row],[Tipologia]],TipoImm[],9,0))</f>
        <v/>
      </c>
      <c r="V101" s="150">
        <f>+IF(OR(B[[#This Row],[Bene]]="",B[[#This Row],[Agevolabile]]=0),0,VLOOKUP(B[[#This Row],[Tipologia]],TipoImm[],5,0))</f>
        <v>0</v>
      </c>
      <c r="W10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50">
        <f>SUM(B[[#This Row],[Imposta di registro in misura fissa agevolata]:[Imposta di registro prop. Agevolata]])</f>
        <v>0</v>
      </c>
      <c r="Y101" s="150">
        <f>+IF(B[[#This Row],[Bene]]="",0,VLOOKUP(B[[#This Row],[Tipologia]],TipoImm[],10,0))</f>
        <v>0</v>
      </c>
      <c r="Z101" s="152" t="str">
        <f>+IF(p=3,"",IF(B[[#This Row],[Tipologia]]="","",VLOOKUP(B[[#This Row],[Tipologia]],TipoImm[],MATCH($Z$4,Tabelle!$AF$1:$AR$1,0),0)))</f>
        <v/>
      </c>
    </row>
    <row r="102" spans="1:26" x14ac:dyDescent="0.2">
      <c r="A102" s="126"/>
      <c r="B102" s="126"/>
      <c r="C102" s="146"/>
      <c r="D102" s="127"/>
      <c r="E102" s="126"/>
      <c r="F102" s="158"/>
      <c r="G102" s="159"/>
      <c r="H102" s="159"/>
      <c r="I102" s="159"/>
      <c r="J102" s="145"/>
      <c r="K102" s="160"/>
      <c r="L102" s="161"/>
      <c r="M102" s="162"/>
      <c r="N102" s="148">
        <f>+IF(B[[#This Row],[Categoria Catastale]]="",0,VLOOKUP(B[[#This Row],[Categoria Catastale]],Gruppi[],6,0)*B[[#This Row],[Rendita catastale]])</f>
        <v>0</v>
      </c>
      <c r="O102" s="149" t="str">
        <f t="shared" si="2"/>
        <v/>
      </c>
      <c r="P102" s="150">
        <f>+IF(B[[#This Row],[Valore inserito manualmente]]&gt;0,B[[#This Row],[Valore inserito manualmente]],B[[#This Row],[Valore catastale]])</f>
        <v>0</v>
      </c>
      <c r="Q102" s="150">
        <f>+IF(OR(B[[#This Row],[Opzione per prezzo-valore (s/n)]]="s",B[[#This Row],[Valore inserito manualmente]]=0),B[[#This Row],[Valore catastale]],B[[#This Row],[Valore inserito manualmente]])</f>
        <v>0</v>
      </c>
      <c r="R10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50" t="str">
        <f>+IF(B[[#This Row],[Bene]]="","",VLOOKUP(B[[#This Row],[Tipologia]],TipoImm[],3,0)*B[[#This Row],[Imponibile Iva]])</f>
        <v/>
      </c>
      <c r="T102" s="150" t="str">
        <f>+IF(B[[#This Row],[Bene]]="","",VLOOKUP(B[[#This Row],[Tipologia]],TipoImm[],6,0)*B[[#This Row],[Valore catastale]]+VLOOKUP(B[[#This Row],[Tipologia]],TipoImm[],4,0))</f>
        <v/>
      </c>
      <c r="U102" s="154" t="str">
        <f>+IF(B[[#This Row],[Bene]]="","",VLOOKUP(B[[#This Row],[Tipologia]],TipoImm[],8,0)*B[[#This Row],[Valore normale]]+VLOOKUP(B[[#This Row],[Tipologia]],TipoImm[],9,0))</f>
        <v/>
      </c>
      <c r="V102" s="150">
        <f>+IF(OR(B[[#This Row],[Bene]]="",B[[#This Row],[Agevolabile]]=0),0,VLOOKUP(B[[#This Row],[Tipologia]],TipoImm[],5,0))</f>
        <v>0</v>
      </c>
      <c r="W10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50">
        <f>SUM(B[[#This Row],[Imposta di registro in misura fissa agevolata]:[Imposta di registro prop. Agevolata]])</f>
        <v>0</v>
      </c>
      <c r="Y102" s="150">
        <f>+IF(B[[#This Row],[Bene]]="",0,VLOOKUP(B[[#This Row],[Tipologia]],TipoImm[],10,0))</f>
        <v>0</v>
      </c>
      <c r="Z102" s="152" t="str">
        <f>+IF(p=3,"",IF(B[[#This Row],[Tipologia]]="","",VLOOKUP(B[[#This Row],[Tipologia]],TipoImm[],MATCH($Z$4,Tabelle!$AF$1:$AR$1,0),0)))</f>
        <v/>
      </c>
    </row>
    <row r="103" spans="1:26" x14ac:dyDescent="0.2">
      <c r="A103" s="126"/>
      <c r="B103" s="126"/>
      <c r="C103" s="146"/>
      <c r="D103" s="127"/>
      <c r="E103" s="126"/>
      <c r="F103" s="158"/>
      <c r="G103" s="159"/>
      <c r="H103" s="159"/>
      <c r="I103" s="159"/>
      <c r="J103" s="145"/>
      <c r="K103" s="160"/>
      <c r="L103" s="161"/>
      <c r="M103" s="162"/>
      <c r="N103" s="148">
        <f>+IF(B[[#This Row],[Categoria Catastale]]="",0,VLOOKUP(B[[#This Row],[Categoria Catastale]],Gruppi[],6,0)*B[[#This Row],[Rendita catastale]])</f>
        <v>0</v>
      </c>
      <c r="O103" s="149" t="str">
        <f t="shared" si="2"/>
        <v/>
      </c>
      <c r="P103" s="150">
        <f>+IF(B[[#This Row],[Valore inserito manualmente]]&gt;0,B[[#This Row],[Valore inserito manualmente]],B[[#This Row],[Valore catastale]])</f>
        <v>0</v>
      </c>
      <c r="Q103" s="150">
        <f>+IF(OR(B[[#This Row],[Opzione per prezzo-valore (s/n)]]="s",B[[#This Row],[Valore inserito manualmente]]=0),B[[#This Row],[Valore catastale]],B[[#This Row],[Valore inserito manualmente]])</f>
        <v>0</v>
      </c>
      <c r="R10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50" t="str">
        <f>+IF(B[[#This Row],[Bene]]="","",VLOOKUP(B[[#This Row],[Tipologia]],TipoImm[],3,0)*B[[#This Row],[Imponibile Iva]])</f>
        <v/>
      </c>
      <c r="T103" s="150" t="str">
        <f>+IF(B[[#This Row],[Bene]]="","",VLOOKUP(B[[#This Row],[Tipologia]],TipoImm[],6,0)*B[[#This Row],[Valore catastale]]+VLOOKUP(B[[#This Row],[Tipologia]],TipoImm[],4,0))</f>
        <v/>
      </c>
      <c r="U103" s="154" t="str">
        <f>+IF(B[[#This Row],[Bene]]="","",VLOOKUP(B[[#This Row],[Tipologia]],TipoImm[],8,0)*B[[#This Row],[Valore normale]]+VLOOKUP(B[[#This Row],[Tipologia]],TipoImm[],9,0))</f>
        <v/>
      </c>
      <c r="V103" s="150">
        <f>+IF(OR(B[[#This Row],[Bene]]="",B[[#This Row],[Agevolabile]]=0),0,VLOOKUP(B[[#This Row],[Tipologia]],TipoImm[],5,0))</f>
        <v>0</v>
      </c>
      <c r="W10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50">
        <f>SUM(B[[#This Row],[Imposta di registro in misura fissa agevolata]:[Imposta di registro prop. Agevolata]])</f>
        <v>0</v>
      </c>
      <c r="Y103" s="150">
        <f>+IF(B[[#This Row],[Bene]]="",0,VLOOKUP(B[[#This Row],[Tipologia]],TipoImm[],10,0))</f>
        <v>0</v>
      </c>
      <c r="Z103" s="152" t="str">
        <f>+IF(p=3,"",IF(B[[#This Row],[Tipologia]]="","",VLOOKUP(B[[#This Row],[Tipologia]],TipoImm[],MATCH($Z$4,Tabelle!$AF$1:$AR$1,0),0)))</f>
        <v/>
      </c>
    </row>
    <row r="104" spans="1:26" x14ac:dyDescent="0.2">
      <c r="A104" s="126"/>
      <c r="B104" s="126"/>
      <c r="C104" s="146"/>
      <c r="D104" s="126"/>
      <c r="E104" s="126"/>
      <c r="F104" s="163"/>
      <c r="G104" s="164"/>
      <c r="H104" s="165"/>
      <c r="I104" s="164"/>
      <c r="J104" s="145"/>
      <c r="K104" s="160"/>
      <c r="L104" s="166"/>
      <c r="M104" s="167"/>
      <c r="N104" s="148">
        <f>+IF(B[[#This Row],[Categoria Catastale]]="",0,VLOOKUP(B[[#This Row],[Categoria Catastale]],Gruppi[],6,0)*B[[#This Row],[Rendita catastale]])</f>
        <v>0</v>
      </c>
      <c r="O104" s="149" t="str">
        <f t="shared" si="2"/>
        <v/>
      </c>
      <c r="P104" s="149">
        <f>+IF(B[[#This Row],[Valore inserito manualmente]]&gt;0,B[[#This Row],[Valore inserito manualmente]],B[[#This Row],[Valore catastale]])</f>
        <v>0</v>
      </c>
      <c r="Q104" s="149">
        <f>+IF(OR(B[[#This Row],[Opzione per prezzo-valore (s/n)]]="s",B[[#This Row],[Valore inserito manualmente]]=0),B[[#This Row],[Valore catastale]],B[[#This Row],[Valore inserito manualmente]])</f>
        <v>0</v>
      </c>
      <c r="R10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50" t="str">
        <f>+IF(B[[#This Row],[Bene]]="","",VLOOKUP(B[[#This Row],[Tipologia]],TipoImm[],3,0)*B[[#This Row],[Imponibile Iva]])</f>
        <v/>
      </c>
      <c r="T104" s="150" t="str">
        <f>+IF(B[[#This Row],[Bene]]="","",VLOOKUP(B[[#This Row],[Tipologia]],TipoImm[],6,0)*B[[#This Row],[Valore catastale]]+VLOOKUP(B[[#This Row],[Tipologia]],TipoImm[],4,0))</f>
        <v/>
      </c>
      <c r="U104" s="154" t="str">
        <f>+IF(B[[#This Row],[Bene]]="","",VLOOKUP(B[[#This Row],[Tipologia]],TipoImm[],8,0)*B[[#This Row],[Valore normale]]+VLOOKUP(B[[#This Row],[Tipologia]],TipoImm[],9,0))</f>
        <v/>
      </c>
      <c r="V104" s="150">
        <f>+IF(OR(B[[#This Row],[Bene]]="",B[[#This Row],[Agevolabile]]=0),0,VLOOKUP(B[[#This Row],[Tipologia]],TipoImm[],5,0))</f>
        <v>0</v>
      </c>
      <c r="W10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50">
        <f>SUM(B[[#This Row],[Imposta di registro in misura fissa agevolata]:[Imposta di registro prop. Agevolata]])</f>
        <v>0</v>
      </c>
      <c r="Y104" s="150">
        <f>+IF(B[[#This Row],[Bene]]="",0,VLOOKUP(B[[#This Row],[Tipologia]],TipoImm[],10,0))</f>
        <v>0</v>
      </c>
      <c r="Z104" s="152" t="str">
        <f>+IF(p=3,"",IF(B[[#This Row],[Tipologia]]="","",VLOOKUP(B[[#This Row],[Tipologia]],TipoImm[],MATCH($Z$4,Tabelle!$AF$1:$AR$1,0),0)))</f>
        <v/>
      </c>
    </row>
    <row r="105" spans="1:26" x14ac:dyDescent="0.2">
      <c r="A105" s="143"/>
      <c r="B105" s="143"/>
      <c r="C105" s="143"/>
      <c r="D105" s="170"/>
      <c r="E105" s="143"/>
      <c r="F105" s="142"/>
      <c r="G105" s="142"/>
      <c r="H105" s="171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</sheetData>
  <sheetProtection algorithmName="SHA-512" hashValue="ntc6dKjCig7SkbsRcqYD3lowONQuRynnwrMeBzP1C8ySl8Mu8QwhYWvBMaXDz2DUaC7y/TgnGHJbDSNQwpWomA==" saltValue="CIsdSydHoKD/U6305BcUeA==" spinCount="100000" sheet="1"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topLeftCell="X1" zoomScaleNormal="100" workbookViewId="0">
      <selection activeCell="AG21" sqref="AG21"/>
    </sheetView>
  </sheetViews>
  <sheetFormatPr defaultRowHeight="15" x14ac:dyDescent="0.25"/>
  <cols>
    <col min="1" max="1" width="38" customWidth="1"/>
    <col min="2" max="2" width="23" customWidth="1"/>
    <col min="4" max="4" width="19" customWidth="1"/>
    <col min="5" max="5" width="18.7109375" bestFit="1" customWidth="1"/>
    <col min="8" max="8" width="10" customWidth="1"/>
    <col min="9" max="9" width="10.42578125" customWidth="1"/>
    <col min="10" max="10" width="13.85546875" bestFit="1" customWidth="1"/>
    <col min="12" max="12" width="10" customWidth="1"/>
    <col min="13" max="13" width="57.28515625" customWidth="1"/>
    <col min="14" max="14" width="16.140625" bestFit="1" customWidth="1"/>
    <col min="15" max="15" width="12.85546875" bestFit="1" customWidth="1"/>
    <col min="19" max="19" width="9.5703125" bestFit="1" customWidth="1"/>
    <col min="22" max="22" width="32.7109375" bestFit="1" customWidth="1"/>
    <col min="23" max="23" width="81.140625" bestFit="1" customWidth="1"/>
    <col min="24" max="24" width="23.140625" bestFit="1" customWidth="1"/>
    <col min="25" max="25" width="22.28515625" bestFit="1" customWidth="1"/>
    <col min="26" max="26" width="10.42578125" customWidth="1"/>
    <col min="27" max="27" width="20.5703125" customWidth="1"/>
    <col min="32" max="32" width="69.28515625" bestFit="1" customWidth="1"/>
    <col min="33" max="33" width="11.140625" customWidth="1"/>
    <col min="35" max="35" width="12.5703125" customWidth="1"/>
    <col min="36" max="36" width="15.5703125" bestFit="1" customWidth="1"/>
    <col min="37" max="37" width="15.42578125" customWidth="1"/>
    <col min="38" max="38" width="15.140625" bestFit="1" customWidth="1"/>
    <col min="39" max="39" width="13.42578125" customWidth="1"/>
    <col min="41" max="41" width="14.140625" customWidth="1"/>
    <col min="42" max="42" width="16.5703125" bestFit="1" customWidth="1"/>
    <col min="43" max="43" width="23.85546875" customWidth="1"/>
    <col min="45" max="45" width="10.85546875" customWidth="1"/>
    <col min="46" max="46" width="15.140625" bestFit="1" customWidth="1"/>
  </cols>
  <sheetData>
    <row r="1" spans="1:46" x14ac:dyDescent="0.2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2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2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2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>Trasformazione</v>
      </c>
    </row>
    <row r="5" spans="1:46" x14ac:dyDescent="0.2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2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2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2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2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2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2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2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2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2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>
        <v>0.22</v>
      </c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338</v>
      </c>
    </row>
    <row r="15" spans="1:46" x14ac:dyDescent="0.2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2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2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2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2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2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2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25">
      <c r="L22" t="s">
        <v>57</v>
      </c>
      <c r="M22" t="s">
        <v>58</v>
      </c>
      <c r="N22">
        <v>120</v>
      </c>
    </row>
    <row r="23" spans="1:43" x14ac:dyDescent="0.25">
      <c r="L23" t="s">
        <v>59</v>
      </c>
      <c r="M23" t="s">
        <v>60</v>
      </c>
      <c r="N23">
        <v>120</v>
      </c>
    </row>
    <row r="24" spans="1:43" x14ac:dyDescent="0.25">
      <c r="L24" t="s">
        <v>61</v>
      </c>
      <c r="M24" t="s">
        <v>62</v>
      </c>
      <c r="N24">
        <v>120</v>
      </c>
    </row>
    <row r="25" spans="1:43" x14ac:dyDescent="0.25">
      <c r="L25" t="s">
        <v>63</v>
      </c>
      <c r="M25" t="s">
        <v>64</v>
      </c>
      <c r="N25">
        <v>120</v>
      </c>
    </row>
    <row r="26" spans="1:43" x14ac:dyDescent="0.25">
      <c r="L26" t="s">
        <v>65</v>
      </c>
      <c r="M26" t="s">
        <v>66</v>
      </c>
      <c r="N26">
        <v>120</v>
      </c>
    </row>
    <row r="27" spans="1:43" x14ac:dyDescent="0.25">
      <c r="G27" s="3"/>
      <c r="L27" t="s">
        <v>67</v>
      </c>
      <c r="M27" t="s">
        <v>68</v>
      </c>
      <c r="N27">
        <v>120</v>
      </c>
    </row>
    <row r="28" spans="1:43" x14ac:dyDescent="0.25">
      <c r="L28" t="s">
        <v>69</v>
      </c>
      <c r="M28" t="s">
        <v>70</v>
      </c>
      <c r="N28">
        <v>60</v>
      </c>
    </row>
    <row r="29" spans="1:43" x14ac:dyDescent="0.25">
      <c r="L29" t="s">
        <v>71</v>
      </c>
      <c r="M29" t="s">
        <v>72</v>
      </c>
      <c r="N29">
        <v>60</v>
      </c>
    </row>
    <row r="30" spans="1:43" x14ac:dyDescent="0.25">
      <c r="L30" t="s">
        <v>73</v>
      </c>
      <c r="M30" t="s">
        <v>74</v>
      </c>
      <c r="N30">
        <v>60</v>
      </c>
    </row>
    <row r="31" spans="1:43" x14ac:dyDescent="0.25">
      <c r="L31" t="s">
        <v>75</v>
      </c>
      <c r="M31" t="s">
        <v>76</v>
      </c>
      <c r="N31">
        <v>60</v>
      </c>
    </row>
    <row r="32" spans="1:43" x14ac:dyDescent="0.25">
      <c r="L32" t="s">
        <v>77</v>
      </c>
      <c r="M32" t="s">
        <v>78</v>
      </c>
      <c r="N32">
        <v>60</v>
      </c>
    </row>
    <row r="33" spans="12:14" x14ac:dyDescent="0.25">
      <c r="L33" t="s">
        <v>79</v>
      </c>
      <c r="M33" t="s">
        <v>80</v>
      </c>
      <c r="N33">
        <v>60</v>
      </c>
    </row>
    <row r="34" spans="12:14" x14ac:dyDescent="0.25">
      <c r="L34" t="s">
        <v>81</v>
      </c>
      <c r="M34" t="s">
        <v>89</v>
      </c>
      <c r="N34">
        <v>60</v>
      </c>
    </row>
    <row r="35" spans="12:14" x14ac:dyDescent="0.25">
      <c r="L35" t="s">
        <v>82</v>
      </c>
      <c r="M35" t="s">
        <v>90</v>
      </c>
      <c r="N35">
        <v>60</v>
      </c>
    </row>
    <row r="36" spans="12:14" x14ac:dyDescent="0.25">
      <c r="L36" t="s">
        <v>83</v>
      </c>
      <c r="M36" t="s">
        <v>91</v>
      </c>
      <c r="N36">
        <v>60</v>
      </c>
    </row>
    <row r="37" spans="12:14" x14ac:dyDescent="0.2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zoomScaleNormal="100" workbookViewId="0">
      <selection activeCell="F17" sqref="F17"/>
    </sheetView>
  </sheetViews>
  <sheetFormatPr defaultColWidth="9.140625" defaultRowHeight="14.25" x14ac:dyDescent="0.2"/>
  <cols>
    <col min="1" max="1" width="20.5703125" style="56" bestFit="1" customWidth="1"/>
    <col min="2" max="2" width="16.42578125" style="56" customWidth="1"/>
    <col min="3" max="3" width="27.42578125" style="56" customWidth="1"/>
    <col min="4" max="4" width="16.28515625" style="56" customWidth="1"/>
    <col min="5" max="5" width="20.7109375" style="56" customWidth="1"/>
    <col min="6" max="6" width="62.42578125" style="56" bestFit="1" customWidth="1"/>
    <col min="7" max="7" width="14.7109375" style="56" customWidth="1"/>
    <col min="8" max="8" width="18.7109375" style="56" customWidth="1"/>
    <col min="9" max="9" width="16.85546875" style="56" bestFit="1" customWidth="1"/>
    <col min="10" max="10" width="15" style="56" customWidth="1"/>
    <col min="11" max="11" width="12.140625" style="56" customWidth="1"/>
    <col min="12" max="12" width="17.28515625" style="56" customWidth="1"/>
    <col min="13" max="13" width="16.85546875" style="56" bestFit="1" customWidth="1"/>
    <col min="14" max="14" width="19.7109375" style="56" customWidth="1"/>
    <col min="15" max="15" width="13.85546875" style="56" customWidth="1"/>
    <col min="16" max="16" width="16.5703125" style="56" customWidth="1"/>
    <col min="17" max="17" width="18.140625" style="56" bestFit="1" customWidth="1"/>
    <col min="18" max="18" width="12" style="56" bestFit="1" customWidth="1"/>
    <col min="19" max="19" width="16.7109375" style="56" customWidth="1"/>
    <col min="20" max="20" width="21.28515625" style="56" bestFit="1" customWidth="1"/>
    <col min="21" max="21" width="22.7109375" style="56" bestFit="1" customWidth="1"/>
    <col min="22" max="22" width="15.85546875" style="56" bestFit="1" customWidth="1"/>
    <col min="23" max="23" width="14.85546875" style="56" customWidth="1"/>
    <col min="24" max="24" width="14.5703125" style="56" customWidth="1"/>
    <col min="25" max="25" width="13.5703125" style="56" customWidth="1"/>
    <col min="26" max="26" width="13.7109375" style="56" customWidth="1"/>
    <col min="27" max="27" width="15.28515625" style="56" bestFit="1" customWidth="1"/>
    <col min="28" max="28" width="18.140625" style="56" bestFit="1" customWidth="1"/>
    <col min="29" max="16384" width="9.140625" style="56"/>
  </cols>
  <sheetData>
    <row r="1" spans="1:28" ht="108" customHeight="1" x14ac:dyDescent="0.2"/>
    <row r="2" spans="1:28" ht="54.95" customHeight="1" x14ac:dyDescent="0.2">
      <c r="AA2" s="172" t="s">
        <v>326</v>
      </c>
      <c r="AB2" s="172" t="s">
        <v>201</v>
      </c>
    </row>
    <row r="3" spans="1:28" ht="26.25" customHeight="1" x14ac:dyDescent="0.2">
      <c r="A3" s="173" t="str">
        <f ca="1">+DATI!B19</f>
        <v>Assegnazione</v>
      </c>
      <c r="B3" s="173"/>
      <c r="C3" s="173"/>
      <c r="D3" s="173"/>
      <c r="E3" s="173"/>
      <c r="F3" s="173"/>
      <c r="G3" s="173"/>
      <c r="H3" s="232">
        <f>+SUM(Assegnazione[Valore Fiscalmente riconosciuto])</f>
        <v>220000</v>
      </c>
      <c r="I3" s="232">
        <f>+SUM(Assegnazione[Valore Normale])</f>
        <v>300000</v>
      </c>
      <c r="J3" s="232"/>
      <c r="K3" s="232"/>
      <c r="L3" s="232">
        <f>+SUM(Assegnazione[Valore Catastale])</f>
        <v>302400</v>
      </c>
      <c r="M3" s="232">
        <f>+SUM(Assegnazione[Valore ai fini dell''atto])</f>
        <v>302400</v>
      </c>
      <c r="N3" s="232">
        <f>+SUM(Assegnazione[Valore fiscale ai fini della Tassazione soci])</f>
        <v>220000</v>
      </c>
      <c r="O3" s="232"/>
      <c r="P3" s="232">
        <f>+SUM(Assegnazione[Tassazione diretta senza agevolazione])</f>
        <v>19200</v>
      </c>
      <c r="Q3" s="232">
        <f>+SUM(Assegnazione[IRAP])</f>
        <v>3120</v>
      </c>
      <c r="R3" s="232">
        <f>+SUM(Assegnazione[Iva se dovuta])</f>
        <v>0</v>
      </c>
      <c r="S3" s="232">
        <f>+SUM(Assegnazione[Imposta di registro senza agevolazione])</f>
        <v>200</v>
      </c>
      <c r="T3" s="232">
        <f>+SUM(Assegnazione[Ipotecaria e catastale senza agevolazione])</f>
        <v>12000</v>
      </c>
      <c r="U3" s="232">
        <f>+SUM(Assegnazione[Tassazione totale senza agevolazione])</f>
        <v>34520</v>
      </c>
      <c r="V3" s="232">
        <f>+Beni!R3*DATI!$E$27</f>
        <v>8652</v>
      </c>
      <c r="W3" s="232">
        <f>+SUM(Assegnazione[Imposta di registro in misura fissa])</f>
        <v>200</v>
      </c>
      <c r="X3" s="232"/>
      <c r="Y3" s="232">
        <f>+SUM(Assegnazione[Imposta di registro agevolata])*(p&lt;3)+(p=3)*200</f>
        <v>200</v>
      </c>
      <c r="Z3" s="232">
        <f>+SUM(Assegnazione[Ipotecaria catastale agevolata])</f>
        <v>400</v>
      </c>
      <c r="AA3" s="232">
        <f>+Y3+Z3+V3</f>
        <v>9252</v>
      </c>
      <c r="AB3" s="232">
        <f>+U3-AA3</f>
        <v>25268</v>
      </c>
    </row>
    <row r="4" spans="1:28" ht="59.25" customHeight="1" x14ac:dyDescent="0.2">
      <c r="A4" s="230" t="s">
        <v>13</v>
      </c>
      <c r="B4" s="230" t="s">
        <v>99</v>
      </c>
      <c r="C4" s="230" t="s">
        <v>100</v>
      </c>
      <c r="D4" s="174" t="s">
        <v>228</v>
      </c>
      <c r="E4" s="174" t="s">
        <v>227</v>
      </c>
      <c r="F4" s="174" t="s">
        <v>167</v>
      </c>
      <c r="G4" s="174" t="s">
        <v>3</v>
      </c>
      <c r="H4" s="174" t="s">
        <v>192</v>
      </c>
      <c r="I4" s="174" t="s">
        <v>97</v>
      </c>
      <c r="J4" s="174" t="s">
        <v>243</v>
      </c>
      <c r="K4" s="174" t="s">
        <v>244</v>
      </c>
      <c r="L4" s="174" t="s">
        <v>203</v>
      </c>
      <c r="M4" s="174" t="s">
        <v>205</v>
      </c>
      <c r="N4" s="174" t="s">
        <v>246</v>
      </c>
      <c r="O4" s="174" t="s">
        <v>315</v>
      </c>
      <c r="P4" s="174" t="s">
        <v>194</v>
      </c>
      <c r="Q4" s="174" t="s">
        <v>202</v>
      </c>
      <c r="R4" s="174" t="s">
        <v>195</v>
      </c>
      <c r="S4" s="174" t="s">
        <v>196</v>
      </c>
      <c r="T4" s="174" t="s">
        <v>197</v>
      </c>
      <c r="U4" s="174" t="s">
        <v>200</v>
      </c>
      <c r="V4" s="174" t="s">
        <v>310</v>
      </c>
      <c r="W4" s="174" t="s">
        <v>318</v>
      </c>
      <c r="X4" s="174" t="s">
        <v>319</v>
      </c>
      <c r="Y4" s="174" t="s">
        <v>198</v>
      </c>
      <c r="Z4" s="174" t="s">
        <v>199</v>
      </c>
    </row>
    <row r="5" spans="1:28" x14ac:dyDescent="0.2">
      <c r="A5" s="126" t="s">
        <v>386</v>
      </c>
      <c r="B5" s="135">
        <v>0.5</v>
      </c>
      <c r="C5" s="126" t="s">
        <v>384</v>
      </c>
      <c r="D5" s="175">
        <f>+SUMIF(B[Bene],Assegnazione[[#This Row],[Bene]],B[Imponibile Iva])*Assegnazione[[#This Row],[Quota di assegnazione]]</f>
        <v>0</v>
      </c>
      <c r="E5" s="175">
        <f>+SUMIF(B[Bene],Assegnazione[[#This Row],[Bene]],B[Valore inserito manualmente])*Assegnazione[[#This Row],[Quota di assegnazione]]</f>
        <v>0</v>
      </c>
      <c r="F5" s="176" t="str">
        <f>+IF(A5="","",VLOOKUP(Assegnazione[[#This Row],[Bene]],B[],3,0))</f>
        <v>Immobili Strumentali &gt;5 anni o no Iva per opzione</v>
      </c>
      <c r="G5" s="132">
        <f>+IFERROR(VLOOKUP(Assegnazione[[#This Row],[Bene]],B[],MATCH("Agevolabile",Beni!$A$4:$AC$4,0),0)*VLOOKUP(Assegnazione[[#This Row],[Socio]],A_1[],8,0),"")</f>
        <v>1</v>
      </c>
      <c r="H5" s="175">
        <f>+SUMIF(B[Bene],Assegnazione[[#This Row],[Bene]],B[Valore netto contabile fiscalmente riconosciuto])*Assegnazione[[#This Row],[Quota di assegnazione]]</f>
        <v>110000</v>
      </c>
      <c r="I5" s="175">
        <f>+SUMIF(B[Bene],Assegnazione[[#This Row],[Bene]],B[Valore normale])*Assegnazione[[#This Row],[Quota di assegnazione]]</f>
        <v>150000</v>
      </c>
      <c r="J5" s="177">
        <f>+IF(Assegnazione[[#This Row],[Bene]]="",0,SUMIF(Assegnazione[Socio],Assegnazione[[#This Row],[Socio]],Assegnazione[Valore Normale])/$I$3)</f>
        <v>0.5</v>
      </c>
      <c r="K5" s="177">
        <f>IF(Assegnazione[[#This Row],[Bene]]="","",SUMIF(A_1[Nome],Assegnazione[[#This Row],[Socio]],A_1[Quota partecipazione al momento dell''operazione]))</f>
        <v>0.5</v>
      </c>
      <c r="L5" s="175">
        <f>+SUMIF(B[Bene],Assegnazione[[#This Row],[Bene]],B[Valore catastale])*Assegnazione[[#This Row],[Quota di assegnazione]]</f>
        <v>151200</v>
      </c>
      <c r="M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5" s="175">
        <f>+MIN(Assegnazione[[#This Row],[Valore ai fini dell''atto]],Assegnazione[[#This Row],[Valore Fiscalmente riconosciuto]])</f>
        <v>110000</v>
      </c>
      <c r="O5" s="149" t="str">
        <f>+IFERROR(VLOOKUP(Assegnazione[[#This Row],[Bene]],B[],MATCH($O$4,Beni!$A$4:$Z$4,0),0),"")</f>
        <v>s</v>
      </c>
      <c r="P5" s="178">
        <f>+IF(Assegnazione[[#This Row],[Valore Fiscalmente riconosciuto]]&gt;Assegnazione[[#This Row],[Valore Normale]],0,(Assegnazione[[#This Row],[Valore Normale]]-Assegnazione[[#This Row],[Valore Fiscalmente riconosciuto]])*t)</f>
        <v>9600</v>
      </c>
      <c r="Q5" s="178">
        <f>+IF(Assegnazione[[#This Row],[Valore Fiscalmente riconosciuto]]&gt;Assegnazione[[#This Row],[Valore Normale]],0,(Assegnazione[[#This Row],[Valore Normale]]-Assegnazione[[#This Row],[Valore Fiscalmente riconosciuto]])*DATI!$H$23)</f>
        <v>1560</v>
      </c>
      <c r="R5" s="178">
        <f>+SUMIF(B[Bene],Assegnazione[[#This Row],[Bene]],B[Iva se dovuta])*Assegnazione[[#This Row],[Quota di assegnazione]]</f>
        <v>0</v>
      </c>
      <c r="S5" s="178">
        <f>+SUMIF(B[Bene],Assegnazione[[#This Row],[Bene]],B[Imposta di registro (fissa + prop) senza agevolazione])*Assegnazione[[#This Row],[Quota di assegnazione]]</f>
        <v>100</v>
      </c>
      <c r="T5" s="178">
        <f>+SUMIF(B[Bene],Assegnazione[[#This Row],[Bene]],B[Ipotecaria e catastale senza agevolazione])*Assegnazione[[#This Row],[Quota di assegnazione]]</f>
        <v>6000</v>
      </c>
      <c r="U5" s="179">
        <f>+SUM(Assegnazione[[#This Row],[Tassazione diretta senza agevolazione]:[Ipotecaria e catastale senza agevolazione]])</f>
        <v>17260</v>
      </c>
      <c r="V5" s="178">
        <f>+SUMIF(B[Bene],Assegnazione[[#This Row],[Bene]],B[Imponibile Imposta sostitutiva])*Assegnazione[[#This Row],[Quota di assegnazione]]*DATI!$E$27</f>
        <v>4326</v>
      </c>
      <c r="W5" s="178">
        <f>+SUMIF(B[Bene],Assegnazione[[#This Row],[Bene]],B[Imposta di registro in misura fissa agevolata])*Assegnazione[[#This Row],[Quota di assegnazione]]</f>
        <v>100</v>
      </c>
      <c r="X5" s="178">
        <f>+SUMIF(B[Bene],Assegnazione[[#This Row],[Bene]],B[Imposta di registro prop. Agevolata])*Assegnazione[[#This Row],[Quota di assegnazione]]</f>
        <v>0</v>
      </c>
      <c r="Y5" s="178">
        <f>+IFERROR(Assegnazione[[#This Row],[Imposta di registro in misura fissa]]+Assegnazione[[#This Row],[Imposta di registro prop.]],"")</f>
        <v>100</v>
      </c>
      <c r="Z5" s="178">
        <f>+SUMIF(B[Bene],Assegnazione[[#This Row],[Bene]],B[Ipotecaria catastale agevolata])*Assegnazione[[#This Row],[Quota di assegnazione]]</f>
        <v>200</v>
      </c>
    </row>
    <row r="6" spans="1:28" x14ac:dyDescent="0.2">
      <c r="A6" s="126" t="s">
        <v>386</v>
      </c>
      <c r="B6" s="135">
        <v>0.5</v>
      </c>
      <c r="C6" s="126" t="s">
        <v>385</v>
      </c>
      <c r="D6" s="175">
        <f>+SUMIF(B[Bene],Assegnazione[[#This Row],[Bene]],B[Imponibile Iva])*Assegnazione[[#This Row],[Quota di assegnazione]]</f>
        <v>0</v>
      </c>
      <c r="E6" s="175">
        <f>+SUMIF(B[Bene],Assegnazione[[#This Row],[Bene]],B[Valore inserito manualmente])*Assegnazione[[#This Row],[Quota di assegnazione]]</f>
        <v>0</v>
      </c>
      <c r="F6" s="176" t="str">
        <f>+IF(A6="","",VLOOKUP(Assegnazione[[#This Row],[Bene]],B[],3,0))</f>
        <v>Immobili Strumentali &gt;5 anni o no Iva per opzione</v>
      </c>
      <c r="G6" s="132">
        <f>+IFERROR(VLOOKUP(Assegnazione[[#This Row],[Bene]],B[],MATCH("Agevolabile",Beni!$A$4:$AC$4,0),0)*VLOOKUP(Assegnazione[[#This Row],[Socio]],A_1[],8,0),"")</f>
        <v>1</v>
      </c>
      <c r="H6" s="175">
        <f>+SUMIF(B[Bene],Assegnazione[[#This Row],[Bene]],B[Valore netto contabile fiscalmente riconosciuto])*Assegnazione[[#This Row],[Quota di assegnazione]]</f>
        <v>110000</v>
      </c>
      <c r="I6" s="175">
        <f>+SUMIF(B[Bene],Assegnazione[[#This Row],[Bene]],B[Valore normale])*Assegnazione[[#This Row],[Quota di assegnazione]]</f>
        <v>150000</v>
      </c>
      <c r="J6" s="177">
        <f>+IF(Assegnazione[[#This Row],[Bene]]="",0,SUMIF(Assegnazione[Socio],Assegnazione[[#This Row],[Socio]],Assegnazione[Valore Normale])/$I$3)</f>
        <v>0.5</v>
      </c>
      <c r="K6" s="177">
        <f>IF(Assegnazione[[#This Row],[Bene]]="","",SUMIF(A_1[Nome],Assegnazione[[#This Row],[Socio]],A_1[Quota partecipazione al momento dell''operazione]))</f>
        <v>0.5</v>
      </c>
      <c r="L6" s="175">
        <f>+SUMIF(B[Bene],Assegnazione[[#This Row],[Bene]],B[Valore catastale])*Assegnazione[[#This Row],[Quota di assegnazione]]</f>
        <v>151200</v>
      </c>
      <c r="M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6" s="175">
        <f>+MIN(Assegnazione[[#This Row],[Valore ai fini dell''atto]],Assegnazione[[#This Row],[Valore Fiscalmente riconosciuto]])</f>
        <v>110000</v>
      </c>
      <c r="O6" s="149" t="str">
        <f>+IFERROR(VLOOKUP(Assegnazione[[#This Row],[Bene]],B[],MATCH($O$4,Beni!$A$4:$Z$4,0),0),"")</f>
        <v>s</v>
      </c>
      <c r="P6" s="178">
        <f>+IF(Assegnazione[[#This Row],[Valore Fiscalmente riconosciuto]]&gt;Assegnazione[[#This Row],[Valore Normale]],0,(Assegnazione[[#This Row],[Valore Normale]]-Assegnazione[[#This Row],[Valore Fiscalmente riconosciuto]])*t)</f>
        <v>9600</v>
      </c>
      <c r="Q6" s="178">
        <f>+IF(Assegnazione[[#This Row],[Valore Fiscalmente riconosciuto]]&gt;Assegnazione[[#This Row],[Valore Normale]],0,(Assegnazione[[#This Row],[Valore Normale]]-Assegnazione[[#This Row],[Valore Fiscalmente riconosciuto]])*DATI!$H$23)</f>
        <v>1560</v>
      </c>
      <c r="R6" s="178">
        <f>+SUMIF(B[Bene],Assegnazione[[#This Row],[Bene]],B[Iva se dovuta])*Assegnazione[[#This Row],[Quota di assegnazione]]</f>
        <v>0</v>
      </c>
      <c r="S6" s="178">
        <f>+SUMIF(B[Bene],Assegnazione[[#This Row],[Bene]],B[Imposta di registro (fissa + prop) senza agevolazione])*Assegnazione[[#This Row],[Quota di assegnazione]]</f>
        <v>100</v>
      </c>
      <c r="T6" s="178">
        <f>+SUMIF(B[Bene],Assegnazione[[#This Row],[Bene]],B[Ipotecaria e catastale senza agevolazione])*Assegnazione[[#This Row],[Quota di assegnazione]]</f>
        <v>6000</v>
      </c>
      <c r="U6" s="179">
        <f>+SUM(Assegnazione[[#This Row],[Tassazione diretta senza agevolazione]:[Ipotecaria e catastale senza agevolazione]])</f>
        <v>17260</v>
      </c>
      <c r="V6" s="178">
        <f>+SUMIF(B[Bene],Assegnazione[[#This Row],[Bene]],B[Imponibile Imposta sostitutiva])*Assegnazione[[#This Row],[Quota di assegnazione]]*DATI!$E$27</f>
        <v>4326</v>
      </c>
      <c r="W6" s="178">
        <f>+SUMIF(B[Bene],Assegnazione[[#This Row],[Bene]],B[Imposta di registro in misura fissa agevolata])*Assegnazione[[#This Row],[Quota di assegnazione]]</f>
        <v>100</v>
      </c>
      <c r="X6" s="178">
        <f>+SUMIF(B[Bene],Assegnazione[[#This Row],[Bene]],B[Imposta di registro prop. Agevolata])*Assegnazione[[#This Row],[Quota di assegnazione]]</f>
        <v>0</v>
      </c>
      <c r="Y6" s="178">
        <f>+IFERROR(Assegnazione[[#This Row],[Imposta di registro in misura fissa]]+Assegnazione[[#This Row],[Imposta di registro prop.]],"")</f>
        <v>100</v>
      </c>
      <c r="Z6" s="178">
        <f>+SUMIF(B[Bene],Assegnazione[[#This Row],[Bene]],B[Ipotecaria catastale agevolata])*Assegnazione[[#This Row],[Quota di assegnazione]]</f>
        <v>200</v>
      </c>
    </row>
    <row r="7" spans="1:28" x14ac:dyDescent="0.2">
      <c r="A7" s="126"/>
      <c r="B7" s="135"/>
      <c r="C7" s="126"/>
      <c r="D7" s="175">
        <f>+SUMIF(B[Bene],Assegnazione[[#This Row],[Bene]],B[Imponibile Iva])*Assegnazione[[#This Row],[Quota di assegnazione]]</f>
        <v>0</v>
      </c>
      <c r="E7" s="175">
        <f>+SUMIF(B[Bene],Assegnazione[[#This Row],[Bene]],B[Valore inserito manualmente])*Assegnazione[[#This Row],[Quota di assegnazione]]</f>
        <v>0</v>
      </c>
      <c r="F7" s="176" t="str">
        <f>+IF(A7="","",VLOOKUP(Assegnazione[[#This Row],[Bene]],B[],3,0))</f>
        <v/>
      </c>
      <c r="G7" s="132" t="str">
        <f>+IFERROR(VLOOKUP(Assegnazione[[#This Row],[Bene]],B[],MATCH("Agevolabile",Beni!$A$4:$AC$4,0),0)*VLOOKUP(Assegnazione[[#This Row],[Socio]],A_1[],8,0),"")</f>
        <v/>
      </c>
      <c r="H7" s="175">
        <f>+SUMIF(B[Bene],Assegnazione[[#This Row],[Bene]],B[Valore netto contabile fiscalmente riconosciuto])*Assegnazione[[#This Row],[Quota di assegnazione]]</f>
        <v>0</v>
      </c>
      <c r="I7" s="175">
        <f>+SUMIF(B[Bene],Assegnazione[[#This Row],[Bene]],B[Valore normale])*Assegnazione[[#This Row],[Quota di assegnazione]]</f>
        <v>0</v>
      </c>
      <c r="J7" s="177">
        <f>+IF(Assegnazione[[#This Row],[Bene]]="",0,SUMIF(Assegnazione[Socio],Assegnazione[[#This Row],[Socio]],Assegnazione[Valore Normale])/$I$3)</f>
        <v>0</v>
      </c>
      <c r="K7" s="177" t="str">
        <f>IF(Assegnazione[[#This Row],[Bene]]="","",SUMIF(A_1[Nome],Assegnazione[[#This Row],[Socio]],A_1[Quota partecipazione al momento dell''operazione]))</f>
        <v/>
      </c>
      <c r="L7" s="175">
        <f>+SUMIF(B[Bene],Assegnazione[[#This Row],[Bene]],B[Valore catastale])*Assegnazione[[#This Row],[Quota di assegnazione]]</f>
        <v>0</v>
      </c>
      <c r="M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5">
        <f>+MIN(Assegnazione[[#This Row],[Valore ai fini dell''atto]],Assegnazione[[#This Row],[Valore Fiscalmente riconosciuto]])</f>
        <v>0</v>
      </c>
      <c r="O7" s="149" t="str">
        <f>+IFERROR(VLOOKUP(Assegnazione[[#This Row],[Bene]],B[],MATCH($O$4,Beni!$A$4:$Z$4,0),0),"")</f>
        <v/>
      </c>
      <c r="P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8">
        <f>+SUMIF(B[Bene],Assegnazione[[#This Row],[Bene]],B[Iva se dovuta])*Assegnazione[[#This Row],[Quota di assegnazione]]</f>
        <v>0</v>
      </c>
      <c r="S7" s="178">
        <f>+SUMIF(B[Bene],Assegnazione[[#This Row],[Bene]],B[Imposta di registro (fissa + prop) senza agevolazione])*Assegnazione[[#This Row],[Quota di assegnazione]]</f>
        <v>0</v>
      </c>
      <c r="T7" s="178">
        <f>+SUMIF(B[Bene],Assegnazione[[#This Row],[Bene]],B[Ipotecaria e catastale senza agevolazione])*Assegnazione[[#This Row],[Quota di assegnazione]]</f>
        <v>0</v>
      </c>
      <c r="U7" s="179">
        <f>+SUM(Assegnazione[[#This Row],[Tassazione diretta senza agevolazione]:[Ipotecaria e catastale senza agevolazione]])</f>
        <v>0</v>
      </c>
      <c r="V7" s="178">
        <f>+SUMIF(B[Bene],Assegnazione[[#This Row],[Bene]],B[Imponibile Imposta sostitutiva])*Assegnazione[[#This Row],[Quota di assegnazione]]*DATI!$E$27</f>
        <v>0</v>
      </c>
      <c r="W7" s="178">
        <f>+SUMIF(B[Bene],Assegnazione[[#This Row],[Bene]],B[Imposta di registro in misura fissa agevolata])*Assegnazione[[#This Row],[Quota di assegnazione]]</f>
        <v>0</v>
      </c>
      <c r="X7" s="178">
        <f>+SUMIF(B[Bene],Assegnazione[[#This Row],[Bene]],B[Imposta di registro prop. Agevolata])*Assegnazione[[#This Row],[Quota di assegnazione]]</f>
        <v>0</v>
      </c>
      <c r="Y7" s="178">
        <f>+IFERROR(Assegnazione[[#This Row],[Imposta di registro in misura fissa]]+Assegnazione[[#This Row],[Imposta di registro prop.]],"")</f>
        <v>0</v>
      </c>
      <c r="Z7" s="178">
        <f>+SUMIF(B[Bene],Assegnazione[[#This Row],[Bene]],B[Ipotecaria catastale agevolata])*Assegnazione[[#This Row],[Quota di assegnazione]]</f>
        <v>0</v>
      </c>
    </row>
    <row r="8" spans="1:28" x14ac:dyDescent="0.2">
      <c r="A8" s="126"/>
      <c r="B8" s="135"/>
      <c r="C8" s="126"/>
      <c r="D8" s="175">
        <f>+SUMIF(B[Bene],Assegnazione[[#This Row],[Bene]],B[Imponibile Iva])*Assegnazione[[#This Row],[Quota di assegnazione]]</f>
        <v>0</v>
      </c>
      <c r="E8" s="175">
        <f>+SUMIF(B[Bene],Assegnazione[[#This Row],[Bene]],B[Valore inserito manualmente])*Assegnazione[[#This Row],[Quota di assegnazione]]</f>
        <v>0</v>
      </c>
      <c r="F8" s="176" t="str">
        <f>+IF(A8="","",VLOOKUP(Assegnazione[[#This Row],[Bene]],B[],3,0))</f>
        <v/>
      </c>
      <c r="G8" s="132" t="str">
        <f>+IFERROR(VLOOKUP(Assegnazione[[#This Row],[Bene]],B[],MATCH("Agevolabile",Beni!$A$4:$AC$4,0),0)*VLOOKUP(Assegnazione[[#This Row],[Socio]],A_1[],8,0),"")</f>
        <v/>
      </c>
      <c r="H8" s="175">
        <f>+SUMIF(B[Bene],Assegnazione[[#This Row],[Bene]],B[Valore netto contabile fiscalmente riconosciuto])*Assegnazione[[#This Row],[Quota di assegnazione]]</f>
        <v>0</v>
      </c>
      <c r="I8" s="175">
        <f>+SUMIF(B[Bene],Assegnazione[[#This Row],[Bene]],B[Valore normale])*Assegnazione[[#This Row],[Quota di assegnazione]]</f>
        <v>0</v>
      </c>
      <c r="J8" s="177">
        <f>+IF(Assegnazione[[#This Row],[Bene]]="",0,SUMIF(Assegnazione[Socio],Assegnazione[[#This Row],[Socio]],Assegnazione[Valore Normale])/$I$3)</f>
        <v>0</v>
      </c>
      <c r="K8" s="177" t="str">
        <f>IF(Assegnazione[[#This Row],[Bene]]="","",SUMIF(A_1[Nome],Assegnazione[[#This Row],[Socio]],A_1[Quota partecipazione al momento dell''operazione]))</f>
        <v/>
      </c>
      <c r="L8" s="175">
        <f>+SUMIF(B[Bene],Assegnazione[[#This Row],[Bene]],B[Valore catastale])*Assegnazione[[#This Row],[Quota di assegnazione]]</f>
        <v>0</v>
      </c>
      <c r="M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5">
        <f>+MIN(Assegnazione[[#This Row],[Valore ai fini dell''atto]],Assegnazione[[#This Row],[Valore Fiscalmente riconosciuto]])</f>
        <v>0</v>
      </c>
      <c r="O8" s="149" t="str">
        <f>+IFERROR(VLOOKUP(Assegnazione[[#This Row],[Bene]],B[],MATCH($O$4,Beni!$A$4:$Z$4,0),0),"")</f>
        <v/>
      </c>
      <c r="P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8">
        <f>+SUMIF(B[Bene],Assegnazione[[#This Row],[Bene]],B[Iva se dovuta])*Assegnazione[[#This Row],[Quota di assegnazione]]</f>
        <v>0</v>
      </c>
      <c r="S8" s="178">
        <f>+SUMIF(B[Bene],Assegnazione[[#This Row],[Bene]],B[Imposta di registro (fissa + prop) senza agevolazione])*Assegnazione[[#This Row],[Quota di assegnazione]]</f>
        <v>0</v>
      </c>
      <c r="T8" s="178">
        <f>+SUMIF(B[Bene],Assegnazione[[#This Row],[Bene]],B[Ipotecaria e catastale senza agevolazione])*Assegnazione[[#This Row],[Quota di assegnazione]]</f>
        <v>0</v>
      </c>
      <c r="U8" s="179">
        <f>+SUM(Assegnazione[[#This Row],[Tassazione diretta senza agevolazione]:[Ipotecaria e catastale senza agevolazione]])</f>
        <v>0</v>
      </c>
      <c r="V8" s="178">
        <f>+SUMIF(B[Bene],Assegnazione[[#This Row],[Bene]],B[Imponibile Imposta sostitutiva])*Assegnazione[[#This Row],[Quota di assegnazione]]*DATI!$E$27</f>
        <v>0</v>
      </c>
      <c r="W8" s="178">
        <f>+SUMIF(B[Bene],Assegnazione[[#This Row],[Bene]],B[Imposta di registro in misura fissa agevolata])*Assegnazione[[#This Row],[Quota di assegnazione]]</f>
        <v>0</v>
      </c>
      <c r="X8" s="178">
        <f>+SUMIF(B[Bene],Assegnazione[[#This Row],[Bene]],B[Imposta di registro prop. Agevolata])*Assegnazione[[#This Row],[Quota di assegnazione]]</f>
        <v>0</v>
      </c>
      <c r="Y8" s="178">
        <f>+IFERROR(Assegnazione[[#This Row],[Imposta di registro in misura fissa]]+Assegnazione[[#This Row],[Imposta di registro prop.]],"")</f>
        <v>0</v>
      </c>
      <c r="Z8" s="178">
        <f>+SUMIF(B[Bene],Assegnazione[[#This Row],[Bene]],B[Ipotecaria catastale agevolata])*Assegnazione[[#This Row],[Quota di assegnazione]]</f>
        <v>0</v>
      </c>
    </row>
    <row r="9" spans="1:28" x14ac:dyDescent="0.2">
      <c r="A9" s="126"/>
      <c r="B9" s="135"/>
      <c r="C9" s="126"/>
      <c r="D9" s="175">
        <f>+SUMIF(B[Bene],Assegnazione[[#This Row],[Bene]],B[Imponibile Iva])*Assegnazione[[#This Row],[Quota di assegnazione]]</f>
        <v>0</v>
      </c>
      <c r="E9" s="175">
        <f>+SUMIF(B[Bene],Assegnazione[[#This Row],[Bene]],B[Valore inserito manualmente])*Assegnazione[[#This Row],[Quota di assegnazione]]</f>
        <v>0</v>
      </c>
      <c r="F9" s="176" t="str">
        <f>+IF(A9="","",VLOOKUP(Assegnazione[[#This Row],[Bene]],B[],3,0))</f>
        <v/>
      </c>
      <c r="G9" s="132" t="str">
        <f>+IFERROR(VLOOKUP(Assegnazione[[#This Row],[Bene]],B[],MATCH("Agevolabile",Beni!$A$4:$AC$4,0),0)*VLOOKUP(Assegnazione[[#This Row],[Socio]],A_1[],8,0),"")</f>
        <v/>
      </c>
      <c r="H9" s="175">
        <f>+SUMIF(B[Bene],Assegnazione[[#This Row],[Bene]],B[Valore netto contabile fiscalmente riconosciuto])*Assegnazione[[#This Row],[Quota di assegnazione]]</f>
        <v>0</v>
      </c>
      <c r="I9" s="175">
        <f>+SUMIF(B[Bene],Assegnazione[[#This Row],[Bene]],B[Valore normale])*Assegnazione[[#This Row],[Quota di assegnazione]]</f>
        <v>0</v>
      </c>
      <c r="J9" s="177">
        <f>+IF(Assegnazione[[#This Row],[Bene]]="",0,SUMIF(Assegnazione[Socio],Assegnazione[[#This Row],[Socio]],Assegnazione[Valore Normale])/$I$3)</f>
        <v>0</v>
      </c>
      <c r="K9" s="177" t="str">
        <f>IF(Assegnazione[[#This Row],[Bene]]="","",SUMIF(A_1[Nome],Assegnazione[[#This Row],[Socio]],A_1[Quota partecipazione al momento dell''operazione]))</f>
        <v/>
      </c>
      <c r="L9" s="175">
        <f>+SUMIF(B[Bene],Assegnazione[[#This Row],[Bene]],B[Valore catastale])*Assegnazione[[#This Row],[Quota di assegnazione]]</f>
        <v>0</v>
      </c>
      <c r="M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5">
        <f>+MIN(Assegnazione[[#This Row],[Valore ai fini dell''atto]],Assegnazione[[#This Row],[Valore Fiscalmente riconosciuto]])</f>
        <v>0</v>
      </c>
      <c r="O9" s="149" t="str">
        <f>+IFERROR(VLOOKUP(Assegnazione[[#This Row],[Bene]],B[],MATCH($O$4,Beni!$A$4:$Z$4,0),0),"")</f>
        <v/>
      </c>
      <c r="P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8">
        <f>+SUMIF(B[Bene],Assegnazione[[#This Row],[Bene]],B[Iva se dovuta])*Assegnazione[[#This Row],[Quota di assegnazione]]</f>
        <v>0</v>
      </c>
      <c r="S9" s="178">
        <f>+SUMIF(B[Bene],Assegnazione[[#This Row],[Bene]],B[Imposta di registro (fissa + prop) senza agevolazione])*Assegnazione[[#This Row],[Quota di assegnazione]]</f>
        <v>0</v>
      </c>
      <c r="T9" s="178">
        <f>+SUMIF(B[Bene],Assegnazione[[#This Row],[Bene]],B[Ipotecaria e catastale senza agevolazione])*Assegnazione[[#This Row],[Quota di assegnazione]]</f>
        <v>0</v>
      </c>
      <c r="U9" s="179">
        <f>+SUM(Assegnazione[[#This Row],[Tassazione diretta senza agevolazione]:[Ipotecaria e catastale senza agevolazione]])</f>
        <v>0</v>
      </c>
      <c r="V9" s="178">
        <f>+SUMIF(B[Bene],Assegnazione[[#This Row],[Bene]],B[Imponibile Imposta sostitutiva])*Assegnazione[[#This Row],[Quota di assegnazione]]*DATI!$E$27</f>
        <v>0</v>
      </c>
      <c r="W9" s="178">
        <f>+SUMIF(B[Bene],Assegnazione[[#This Row],[Bene]],B[Imposta di registro in misura fissa agevolata])*Assegnazione[[#This Row],[Quota di assegnazione]]</f>
        <v>0</v>
      </c>
      <c r="X9" s="178">
        <f>+SUMIF(B[Bene],Assegnazione[[#This Row],[Bene]],B[Imposta di registro prop. Agevolata])*Assegnazione[[#This Row],[Quota di assegnazione]]</f>
        <v>0</v>
      </c>
      <c r="Y9" s="178">
        <f>+IFERROR(Assegnazione[[#This Row],[Imposta di registro in misura fissa]]+Assegnazione[[#This Row],[Imposta di registro prop.]],"")</f>
        <v>0</v>
      </c>
      <c r="Z9" s="178">
        <f>+SUMIF(B[Bene],Assegnazione[[#This Row],[Bene]],B[Ipotecaria catastale agevolata])*Assegnazione[[#This Row],[Quota di assegnazione]]</f>
        <v>0</v>
      </c>
    </row>
    <row r="10" spans="1:28" x14ac:dyDescent="0.2">
      <c r="A10" s="126"/>
      <c r="B10" s="135"/>
      <c r="C10" s="126"/>
      <c r="D10" s="175">
        <f>+SUMIF(B[Bene],Assegnazione[[#This Row],[Bene]],B[Imponibile Iva])*Assegnazione[[#This Row],[Quota di assegnazione]]</f>
        <v>0</v>
      </c>
      <c r="E10" s="175">
        <f>+SUMIF(B[Bene],Assegnazione[[#This Row],[Bene]],B[Valore inserito manualmente])*Assegnazione[[#This Row],[Quota di assegnazione]]</f>
        <v>0</v>
      </c>
      <c r="F10" s="176" t="str">
        <f>+IF(A10="","",VLOOKUP(Assegnazione[[#This Row],[Bene]],B[],3,0))</f>
        <v/>
      </c>
      <c r="G10" s="132" t="str">
        <f>+IFERROR(VLOOKUP(Assegnazione[[#This Row],[Bene]],B[],MATCH("Agevolabile",Beni!$A$4:$AC$4,0),0)*VLOOKUP(Assegnazione[[#This Row],[Socio]],A_1[],8,0),"")</f>
        <v/>
      </c>
      <c r="H10" s="175">
        <f>+SUMIF(B[Bene],Assegnazione[[#This Row],[Bene]],B[Valore netto contabile fiscalmente riconosciuto])*Assegnazione[[#This Row],[Quota di assegnazione]]</f>
        <v>0</v>
      </c>
      <c r="I10" s="175">
        <f>+SUMIF(B[Bene],Assegnazione[[#This Row],[Bene]],B[Valore normale])*Assegnazione[[#This Row],[Quota di assegnazione]]</f>
        <v>0</v>
      </c>
      <c r="J10" s="177">
        <f>+IF(Assegnazione[[#This Row],[Bene]]="",0,SUMIF(Assegnazione[Socio],Assegnazione[[#This Row],[Socio]],Assegnazione[Valore Normale])/$I$3)</f>
        <v>0</v>
      </c>
      <c r="K10" s="177" t="str">
        <f>IF(Assegnazione[[#This Row],[Bene]]="","",SUMIF(A_1[Nome],Assegnazione[[#This Row],[Socio]],A_1[Quota partecipazione al momento dell''operazione]))</f>
        <v/>
      </c>
      <c r="L10" s="175">
        <f>+SUMIF(B[Bene],Assegnazione[[#This Row],[Bene]],B[Valore catastale])*Assegnazione[[#This Row],[Quota di assegnazione]]</f>
        <v>0</v>
      </c>
      <c r="M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5">
        <f>+MIN(Assegnazione[[#This Row],[Valore ai fini dell''atto]],Assegnazione[[#This Row],[Valore Fiscalmente riconosciuto]])</f>
        <v>0</v>
      </c>
      <c r="O10" s="149" t="str">
        <f>+IFERROR(VLOOKUP(Assegnazione[[#This Row],[Bene]],B[],MATCH($O$4,Beni!$A$4:$Z$4,0),0),"")</f>
        <v/>
      </c>
      <c r="P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8">
        <f>+SUMIF(B[Bene],Assegnazione[[#This Row],[Bene]],B[Iva se dovuta])*Assegnazione[[#This Row],[Quota di assegnazione]]</f>
        <v>0</v>
      </c>
      <c r="S10" s="178">
        <f>+SUMIF(B[Bene],Assegnazione[[#This Row],[Bene]],B[Imposta di registro (fissa + prop) senza agevolazione])*Assegnazione[[#This Row],[Quota di assegnazione]]</f>
        <v>0</v>
      </c>
      <c r="T10" s="178">
        <f>+SUMIF(B[Bene],Assegnazione[[#This Row],[Bene]],B[Ipotecaria e catastale senza agevolazione])*Assegnazione[[#This Row],[Quota di assegnazione]]</f>
        <v>0</v>
      </c>
      <c r="U10" s="179">
        <f>+SUM(Assegnazione[[#This Row],[Tassazione diretta senza agevolazione]:[Ipotecaria e catastale senza agevolazione]])</f>
        <v>0</v>
      </c>
      <c r="V10" s="178">
        <f>+SUMIF(B[Bene],Assegnazione[[#This Row],[Bene]],B[Imponibile Imposta sostitutiva])*Assegnazione[[#This Row],[Quota di assegnazione]]*DATI!$E$27</f>
        <v>0</v>
      </c>
      <c r="W10" s="178">
        <f>+SUMIF(B[Bene],Assegnazione[[#This Row],[Bene]],B[Imposta di registro in misura fissa agevolata])*Assegnazione[[#This Row],[Quota di assegnazione]]</f>
        <v>0</v>
      </c>
      <c r="X10" s="178">
        <f>+SUMIF(B[Bene],Assegnazione[[#This Row],[Bene]],B[Imposta di registro prop. Agevolata])*Assegnazione[[#This Row],[Quota di assegnazione]]</f>
        <v>0</v>
      </c>
      <c r="Y10" s="178">
        <f>+IFERROR(Assegnazione[[#This Row],[Imposta di registro in misura fissa]]+Assegnazione[[#This Row],[Imposta di registro prop.]],"")</f>
        <v>0</v>
      </c>
      <c r="Z10" s="178">
        <f>+SUMIF(B[Bene],Assegnazione[[#This Row],[Bene]],B[Ipotecaria catastale agevolata])*Assegnazione[[#This Row],[Quota di assegnazione]]</f>
        <v>0</v>
      </c>
    </row>
    <row r="11" spans="1:28" x14ac:dyDescent="0.2">
      <c r="A11" s="126"/>
      <c r="B11" s="135"/>
      <c r="C11" s="126"/>
      <c r="D11" s="175">
        <f>+SUMIF(B[Bene],Assegnazione[[#This Row],[Bene]],B[Imponibile Iva])*Assegnazione[[#This Row],[Quota di assegnazione]]</f>
        <v>0</v>
      </c>
      <c r="E11" s="175">
        <f>+SUMIF(B[Bene],Assegnazione[[#This Row],[Bene]],B[Valore inserito manualmente])*Assegnazione[[#This Row],[Quota di assegnazione]]</f>
        <v>0</v>
      </c>
      <c r="F11" s="176" t="str">
        <f>+IF(A11="","",VLOOKUP(Assegnazione[[#This Row],[Bene]],B[],3,0))</f>
        <v/>
      </c>
      <c r="G11" s="132" t="str">
        <f>+IFERROR(VLOOKUP(Assegnazione[[#This Row],[Bene]],B[],MATCH("Agevolabile",Beni!$A$4:$AC$4,0),0)*VLOOKUP(Assegnazione[[#This Row],[Socio]],A_1[],8,0),"")</f>
        <v/>
      </c>
      <c r="H11" s="175">
        <f>+SUMIF(B[Bene],Assegnazione[[#This Row],[Bene]],B[Valore netto contabile fiscalmente riconosciuto])*Assegnazione[[#This Row],[Quota di assegnazione]]</f>
        <v>0</v>
      </c>
      <c r="I11" s="175">
        <f>+SUMIF(B[Bene],Assegnazione[[#This Row],[Bene]],B[Valore normale])*Assegnazione[[#This Row],[Quota di assegnazione]]</f>
        <v>0</v>
      </c>
      <c r="J11" s="177">
        <f>+IF(Assegnazione[[#This Row],[Bene]]="",0,SUMIF(Assegnazione[Socio],Assegnazione[[#This Row],[Socio]],Assegnazione[Valore Normale])/$I$3)</f>
        <v>0</v>
      </c>
      <c r="K11" s="177" t="str">
        <f>IF(Assegnazione[[#This Row],[Bene]]="","",SUMIF(A_1[Nome],Assegnazione[[#This Row],[Socio]],A_1[Quota partecipazione al momento dell''operazione]))</f>
        <v/>
      </c>
      <c r="L11" s="175">
        <f>+SUMIF(B[Bene],Assegnazione[[#This Row],[Bene]],B[Valore catastale])*Assegnazione[[#This Row],[Quota di assegnazione]]</f>
        <v>0</v>
      </c>
      <c r="M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5">
        <f>+MIN(Assegnazione[[#This Row],[Valore ai fini dell''atto]],Assegnazione[[#This Row],[Valore Fiscalmente riconosciuto]])</f>
        <v>0</v>
      </c>
      <c r="O11" s="149" t="str">
        <f>+IFERROR(VLOOKUP(Assegnazione[[#This Row],[Bene]],B[],MATCH($O$4,Beni!$A$4:$Z$4,0),0),"")</f>
        <v/>
      </c>
      <c r="P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8">
        <f>+SUMIF(B[Bene],Assegnazione[[#This Row],[Bene]],B[Iva se dovuta])*Assegnazione[[#This Row],[Quota di assegnazione]]</f>
        <v>0</v>
      </c>
      <c r="S11" s="178">
        <f>+SUMIF(B[Bene],Assegnazione[[#This Row],[Bene]],B[Imposta di registro (fissa + prop) senza agevolazione])*Assegnazione[[#This Row],[Quota di assegnazione]]</f>
        <v>0</v>
      </c>
      <c r="T11" s="178">
        <f>+SUMIF(B[Bene],Assegnazione[[#This Row],[Bene]],B[Ipotecaria e catastale senza agevolazione])*Assegnazione[[#This Row],[Quota di assegnazione]]</f>
        <v>0</v>
      </c>
      <c r="U11" s="179">
        <f>+SUM(Assegnazione[[#This Row],[Tassazione diretta senza agevolazione]:[Ipotecaria e catastale senza agevolazione]])</f>
        <v>0</v>
      </c>
      <c r="V11" s="178">
        <f>+SUMIF(B[Bene],Assegnazione[[#This Row],[Bene]],B[Imponibile Imposta sostitutiva])*Assegnazione[[#This Row],[Quota di assegnazione]]*DATI!$E$27</f>
        <v>0</v>
      </c>
      <c r="W11" s="178">
        <f>+SUMIF(B[Bene],Assegnazione[[#This Row],[Bene]],B[Imposta di registro in misura fissa agevolata])*Assegnazione[[#This Row],[Quota di assegnazione]]</f>
        <v>0</v>
      </c>
      <c r="X11" s="178">
        <f>+SUMIF(B[Bene],Assegnazione[[#This Row],[Bene]],B[Imposta di registro prop. Agevolata])*Assegnazione[[#This Row],[Quota di assegnazione]]</f>
        <v>0</v>
      </c>
      <c r="Y11" s="178">
        <f>+IFERROR(Assegnazione[[#This Row],[Imposta di registro in misura fissa]]+Assegnazione[[#This Row],[Imposta di registro prop.]],"")</f>
        <v>0</v>
      </c>
      <c r="Z11" s="178">
        <f>+SUMIF(B[Bene],Assegnazione[[#This Row],[Bene]],B[Ipotecaria catastale agevolata])*Assegnazione[[#This Row],[Quota di assegnazione]]</f>
        <v>0</v>
      </c>
    </row>
    <row r="12" spans="1:28" x14ac:dyDescent="0.2">
      <c r="A12" s="126"/>
      <c r="B12" s="135"/>
      <c r="C12" s="126"/>
      <c r="D12" s="175">
        <f>+SUMIF(B[Bene],Assegnazione[[#This Row],[Bene]],B[Imponibile Iva])*Assegnazione[[#This Row],[Quota di assegnazione]]</f>
        <v>0</v>
      </c>
      <c r="E12" s="175">
        <f>+SUMIF(B[Bene],Assegnazione[[#This Row],[Bene]],B[Valore inserito manualmente])*Assegnazione[[#This Row],[Quota di assegnazione]]</f>
        <v>0</v>
      </c>
      <c r="F12" s="176" t="str">
        <f>+IF(A12="","",VLOOKUP(Assegnazione[[#This Row],[Bene]],B[],3,0))</f>
        <v/>
      </c>
      <c r="G12" s="132" t="str">
        <f>+IFERROR(VLOOKUP(Assegnazione[[#This Row],[Bene]],B[],MATCH("Agevolabile",Beni!$A$4:$AC$4,0),0)*VLOOKUP(Assegnazione[[#This Row],[Socio]],A_1[],8,0),"")</f>
        <v/>
      </c>
      <c r="H12" s="175">
        <f>+SUMIF(B[Bene],Assegnazione[[#This Row],[Bene]],B[Valore netto contabile fiscalmente riconosciuto])*Assegnazione[[#This Row],[Quota di assegnazione]]</f>
        <v>0</v>
      </c>
      <c r="I12" s="175">
        <f>+SUMIF(B[Bene],Assegnazione[[#This Row],[Bene]],B[Valore normale])*Assegnazione[[#This Row],[Quota di assegnazione]]</f>
        <v>0</v>
      </c>
      <c r="J12" s="177">
        <f>+IF(Assegnazione[[#This Row],[Bene]]="",0,SUMIF(Assegnazione[Socio],Assegnazione[[#This Row],[Socio]],Assegnazione[Valore Normale])/$I$3)</f>
        <v>0</v>
      </c>
      <c r="K12" s="177" t="str">
        <f>IF(Assegnazione[[#This Row],[Bene]]="","",SUMIF(A_1[Nome],Assegnazione[[#This Row],[Socio]],A_1[Quota partecipazione al momento dell''operazione]))</f>
        <v/>
      </c>
      <c r="L12" s="175">
        <f>+SUMIF(B[Bene],Assegnazione[[#This Row],[Bene]],B[Valore catastale])*Assegnazione[[#This Row],[Quota di assegnazione]]</f>
        <v>0</v>
      </c>
      <c r="M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5">
        <f>+MIN(Assegnazione[[#This Row],[Valore ai fini dell''atto]],Assegnazione[[#This Row],[Valore Fiscalmente riconosciuto]])</f>
        <v>0</v>
      </c>
      <c r="O12" s="149" t="str">
        <f>+IFERROR(VLOOKUP(Assegnazione[[#This Row],[Bene]],B[],MATCH($O$4,Beni!$A$4:$Z$4,0),0),"")</f>
        <v/>
      </c>
      <c r="P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8">
        <f>+SUMIF(B[Bene],Assegnazione[[#This Row],[Bene]],B[Iva se dovuta])*Assegnazione[[#This Row],[Quota di assegnazione]]</f>
        <v>0</v>
      </c>
      <c r="S12" s="178">
        <f>+SUMIF(B[Bene],Assegnazione[[#This Row],[Bene]],B[Imposta di registro (fissa + prop) senza agevolazione])*Assegnazione[[#This Row],[Quota di assegnazione]]</f>
        <v>0</v>
      </c>
      <c r="T12" s="178">
        <f>+SUMIF(B[Bene],Assegnazione[[#This Row],[Bene]],B[Ipotecaria e catastale senza agevolazione])*Assegnazione[[#This Row],[Quota di assegnazione]]</f>
        <v>0</v>
      </c>
      <c r="U12" s="179">
        <f>+SUM(Assegnazione[[#This Row],[Tassazione diretta senza agevolazione]:[Ipotecaria e catastale senza agevolazione]])</f>
        <v>0</v>
      </c>
      <c r="V12" s="178">
        <f>+SUMIF(B[Bene],Assegnazione[[#This Row],[Bene]],B[Imponibile Imposta sostitutiva])*Assegnazione[[#This Row],[Quota di assegnazione]]*DATI!$E$27</f>
        <v>0</v>
      </c>
      <c r="W12" s="178">
        <f>+SUMIF(B[Bene],Assegnazione[[#This Row],[Bene]],B[Imposta di registro in misura fissa agevolata])*Assegnazione[[#This Row],[Quota di assegnazione]]</f>
        <v>0</v>
      </c>
      <c r="X12" s="178">
        <f>+SUMIF(B[Bene],Assegnazione[[#This Row],[Bene]],B[Imposta di registro prop. Agevolata])*Assegnazione[[#This Row],[Quota di assegnazione]]</f>
        <v>0</v>
      </c>
      <c r="Y12" s="178">
        <f>+IFERROR(Assegnazione[[#This Row],[Imposta di registro in misura fissa]]+Assegnazione[[#This Row],[Imposta di registro prop.]],"")</f>
        <v>0</v>
      </c>
      <c r="Z12" s="178">
        <f>+SUMIF(B[Bene],Assegnazione[[#This Row],[Bene]],B[Ipotecaria catastale agevolata])*Assegnazione[[#This Row],[Quota di assegnazione]]</f>
        <v>0</v>
      </c>
    </row>
    <row r="13" spans="1:28" x14ac:dyDescent="0.2">
      <c r="A13" s="126"/>
      <c r="B13" s="135"/>
      <c r="C13" s="126"/>
      <c r="D13" s="175">
        <f>+SUMIF(B[Bene],Assegnazione[[#This Row],[Bene]],B[Imponibile Iva])*Assegnazione[[#This Row],[Quota di assegnazione]]</f>
        <v>0</v>
      </c>
      <c r="E13" s="175">
        <f>+SUMIF(B[Bene],Assegnazione[[#This Row],[Bene]],B[Valore inserito manualmente])*Assegnazione[[#This Row],[Quota di assegnazione]]</f>
        <v>0</v>
      </c>
      <c r="F13" s="176" t="str">
        <f>+IF(A13="","",VLOOKUP(Assegnazione[[#This Row],[Bene]],B[],3,0))</f>
        <v/>
      </c>
      <c r="G13" s="132" t="str">
        <f>+IFERROR(VLOOKUP(Assegnazione[[#This Row],[Bene]],B[],MATCH("Agevolabile",Beni!$A$4:$AC$4,0),0)*VLOOKUP(Assegnazione[[#This Row],[Socio]],A_1[],8,0),"")</f>
        <v/>
      </c>
      <c r="H13" s="175">
        <f>+SUMIF(B[Bene],Assegnazione[[#This Row],[Bene]],B[Valore netto contabile fiscalmente riconosciuto])*Assegnazione[[#This Row],[Quota di assegnazione]]</f>
        <v>0</v>
      </c>
      <c r="I13" s="175">
        <f>+SUMIF(B[Bene],Assegnazione[[#This Row],[Bene]],B[Valore normale])*Assegnazione[[#This Row],[Quota di assegnazione]]</f>
        <v>0</v>
      </c>
      <c r="J13" s="177">
        <f>+IF(Assegnazione[[#This Row],[Bene]]="",0,SUMIF(Assegnazione[Socio],Assegnazione[[#This Row],[Socio]],Assegnazione[Valore Normale])/$I$3)</f>
        <v>0</v>
      </c>
      <c r="K13" s="177" t="str">
        <f>IF(Assegnazione[[#This Row],[Bene]]="","",SUMIF(A_1[Nome],Assegnazione[[#This Row],[Socio]],A_1[Quota partecipazione al momento dell''operazione]))</f>
        <v/>
      </c>
      <c r="L13" s="175">
        <f>+SUMIF(B[Bene],Assegnazione[[#This Row],[Bene]],B[Valore catastale])*Assegnazione[[#This Row],[Quota di assegnazione]]</f>
        <v>0</v>
      </c>
      <c r="M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5">
        <f>+MIN(Assegnazione[[#This Row],[Valore ai fini dell''atto]],Assegnazione[[#This Row],[Valore Fiscalmente riconosciuto]])</f>
        <v>0</v>
      </c>
      <c r="O13" s="149" t="str">
        <f>+IFERROR(VLOOKUP(Assegnazione[[#This Row],[Bene]],B[],MATCH($O$4,Beni!$A$4:$Z$4,0),0),"")</f>
        <v/>
      </c>
      <c r="P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8">
        <f>+SUMIF(B[Bene],Assegnazione[[#This Row],[Bene]],B[Iva se dovuta])*Assegnazione[[#This Row],[Quota di assegnazione]]</f>
        <v>0</v>
      </c>
      <c r="S13" s="178">
        <f>+SUMIF(B[Bene],Assegnazione[[#This Row],[Bene]],B[Imposta di registro (fissa + prop) senza agevolazione])*Assegnazione[[#This Row],[Quota di assegnazione]]</f>
        <v>0</v>
      </c>
      <c r="T13" s="178">
        <f>+SUMIF(B[Bene],Assegnazione[[#This Row],[Bene]],B[Ipotecaria e catastale senza agevolazione])*Assegnazione[[#This Row],[Quota di assegnazione]]</f>
        <v>0</v>
      </c>
      <c r="U13" s="179">
        <f>+SUM(Assegnazione[[#This Row],[Tassazione diretta senza agevolazione]:[Ipotecaria e catastale senza agevolazione]])</f>
        <v>0</v>
      </c>
      <c r="V13" s="178">
        <f>+SUMIF(B[Bene],Assegnazione[[#This Row],[Bene]],B[Imponibile Imposta sostitutiva])*Assegnazione[[#This Row],[Quota di assegnazione]]*DATI!$E$27</f>
        <v>0</v>
      </c>
      <c r="W13" s="178">
        <f>+SUMIF(B[Bene],Assegnazione[[#This Row],[Bene]],B[Imposta di registro in misura fissa agevolata])*Assegnazione[[#This Row],[Quota di assegnazione]]</f>
        <v>0</v>
      </c>
      <c r="X13" s="178">
        <f>+SUMIF(B[Bene],Assegnazione[[#This Row],[Bene]],B[Imposta di registro prop. Agevolata])*Assegnazione[[#This Row],[Quota di assegnazione]]</f>
        <v>0</v>
      </c>
      <c r="Y13" s="178">
        <f>+IFERROR(Assegnazione[[#This Row],[Imposta di registro in misura fissa]]+Assegnazione[[#This Row],[Imposta di registro prop.]],"")</f>
        <v>0</v>
      </c>
      <c r="Z13" s="178">
        <f>+SUMIF(B[Bene],Assegnazione[[#This Row],[Bene]],B[Ipotecaria catastale agevolata])*Assegnazione[[#This Row],[Quota di assegnazione]]</f>
        <v>0</v>
      </c>
    </row>
    <row r="14" spans="1:28" x14ac:dyDescent="0.2">
      <c r="A14" s="126"/>
      <c r="B14" s="135"/>
      <c r="C14" s="126"/>
      <c r="D14" s="175">
        <f>+SUMIF(B[Bene],Assegnazione[[#This Row],[Bene]],B[Imponibile Iva])*Assegnazione[[#This Row],[Quota di assegnazione]]</f>
        <v>0</v>
      </c>
      <c r="E14" s="175">
        <f>+SUMIF(B[Bene],Assegnazione[[#This Row],[Bene]],B[Valore inserito manualmente])*Assegnazione[[#This Row],[Quota di assegnazione]]</f>
        <v>0</v>
      </c>
      <c r="F14" s="176" t="str">
        <f>+IF(A14="","",VLOOKUP(Assegnazione[[#This Row],[Bene]],B[],3,0))</f>
        <v/>
      </c>
      <c r="G14" s="132" t="str">
        <f>+IFERROR(VLOOKUP(Assegnazione[[#This Row],[Bene]],B[],MATCH("Agevolabile",Beni!$A$4:$AC$4,0),0)*VLOOKUP(Assegnazione[[#This Row],[Socio]],A_1[],8,0),"")</f>
        <v/>
      </c>
      <c r="H14" s="175">
        <f>+SUMIF(B[Bene],Assegnazione[[#This Row],[Bene]],B[Valore netto contabile fiscalmente riconosciuto])*Assegnazione[[#This Row],[Quota di assegnazione]]</f>
        <v>0</v>
      </c>
      <c r="I14" s="175">
        <f>+SUMIF(B[Bene],Assegnazione[[#This Row],[Bene]],B[Valore normale])*Assegnazione[[#This Row],[Quota di assegnazione]]</f>
        <v>0</v>
      </c>
      <c r="J14" s="177">
        <f>+IF(Assegnazione[[#This Row],[Bene]]="",0,SUMIF(Assegnazione[Socio],Assegnazione[[#This Row],[Socio]],Assegnazione[Valore Normale])/$I$3)</f>
        <v>0</v>
      </c>
      <c r="K14" s="177" t="str">
        <f>IF(Assegnazione[[#This Row],[Bene]]="","",SUMIF(A_1[Nome],Assegnazione[[#This Row],[Socio]],A_1[Quota partecipazione al momento dell''operazione]))</f>
        <v/>
      </c>
      <c r="L14" s="175">
        <f>+SUMIF(B[Bene],Assegnazione[[#This Row],[Bene]],B[Valore catastale])*Assegnazione[[#This Row],[Quota di assegnazione]]</f>
        <v>0</v>
      </c>
      <c r="M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5">
        <f>+MIN(Assegnazione[[#This Row],[Valore ai fini dell''atto]],Assegnazione[[#This Row],[Valore Fiscalmente riconosciuto]])</f>
        <v>0</v>
      </c>
      <c r="O14" s="149" t="str">
        <f>+IFERROR(VLOOKUP(Assegnazione[[#This Row],[Bene]],B[],MATCH($O$4,Beni!$A$4:$Z$4,0),0),"")</f>
        <v/>
      </c>
      <c r="P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8">
        <f>+SUMIF(B[Bene],Assegnazione[[#This Row],[Bene]],B[Iva se dovuta])*Assegnazione[[#This Row],[Quota di assegnazione]]</f>
        <v>0</v>
      </c>
      <c r="S14" s="178">
        <f>+SUMIF(B[Bene],Assegnazione[[#This Row],[Bene]],B[Imposta di registro (fissa + prop) senza agevolazione])*Assegnazione[[#This Row],[Quota di assegnazione]]</f>
        <v>0</v>
      </c>
      <c r="T14" s="178">
        <f>+SUMIF(B[Bene],Assegnazione[[#This Row],[Bene]],B[Ipotecaria e catastale senza agevolazione])*Assegnazione[[#This Row],[Quota di assegnazione]]</f>
        <v>0</v>
      </c>
      <c r="U14" s="179">
        <f>+SUM(Assegnazione[[#This Row],[Tassazione diretta senza agevolazione]:[Ipotecaria e catastale senza agevolazione]])</f>
        <v>0</v>
      </c>
      <c r="V14" s="178">
        <f>+SUMIF(B[Bene],Assegnazione[[#This Row],[Bene]],B[Imponibile Imposta sostitutiva])*Assegnazione[[#This Row],[Quota di assegnazione]]*DATI!$E$27</f>
        <v>0</v>
      </c>
      <c r="W14" s="178">
        <f>+SUMIF(B[Bene],Assegnazione[[#This Row],[Bene]],B[Imposta di registro in misura fissa agevolata])*Assegnazione[[#This Row],[Quota di assegnazione]]</f>
        <v>0</v>
      </c>
      <c r="X14" s="178">
        <f>+SUMIF(B[Bene],Assegnazione[[#This Row],[Bene]],B[Imposta di registro prop. Agevolata])*Assegnazione[[#This Row],[Quota di assegnazione]]</f>
        <v>0</v>
      </c>
      <c r="Y14" s="178">
        <f>+IFERROR(Assegnazione[[#This Row],[Imposta di registro in misura fissa]]+Assegnazione[[#This Row],[Imposta di registro prop.]],"")</f>
        <v>0</v>
      </c>
      <c r="Z14" s="178">
        <f>+SUMIF(B[Bene],Assegnazione[[#This Row],[Bene]],B[Ipotecaria catastale agevolata])*Assegnazione[[#This Row],[Quota di assegnazione]]</f>
        <v>0</v>
      </c>
    </row>
    <row r="15" spans="1:28" x14ac:dyDescent="0.2">
      <c r="A15" s="126"/>
      <c r="B15" s="135"/>
      <c r="C15" s="126"/>
      <c r="D15" s="175">
        <f>+SUMIF(B[Bene],Assegnazione[[#This Row],[Bene]],B[Imponibile Iva])*Assegnazione[[#This Row],[Quota di assegnazione]]</f>
        <v>0</v>
      </c>
      <c r="E15" s="175">
        <f>+SUMIF(B[Bene],Assegnazione[[#This Row],[Bene]],B[Valore inserito manualmente])*Assegnazione[[#This Row],[Quota di assegnazione]]</f>
        <v>0</v>
      </c>
      <c r="F15" s="176" t="str">
        <f>+IF(A15="","",VLOOKUP(Assegnazione[[#This Row],[Bene]],B[],3,0))</f>
        <v/>
      </c>
      <c r="G15" s="132" t="str">
        <f>+IFERROR(VLOOKUP(Assegnazione[[#This Row],[Bene]],B[],MATCH("Agevolabile",Beni!$A$4:$AC$4,0),0)*VLOOKUP(Assegnazione[[#This Row],[Socio]],A_1[],8,0),"")</f>
        <v/>
      </c>
      <c r="H15" s="175">
        <f>+SUMIF(B[Bene],Assegnazione[[#This Row],[Bene]],B[Valore netto contabile fiscalmente riconosciuto])*Assegnazione[[#This Row],[Quota di assegnazione]]</f>
        <v>0</v>
      </c>
      <c r="I15" s="175">
        <f>+SUMIF(B[Bene],Assegnazione[[#This Row],[Bene]],B[Valore normale])*Assegnazione[[#This Row],[Quota di assegnazione]]</f>
        <v>0</v>
      </c>
      <c r="J15" s="177">
        <f>+IF(Assegnazione[[#This Row],[Bene]]="",0,SUMIF(Assegnazione[Socio],Assegnazione[[#This Row],[Socio]],Assegnazione[Valore Normale])/$I$3)</f>
        <v>0</v>
      </c>
      <c r="K15" s="177" t="str">
        <f>IF(Assegnazione[[#This Row],[Bene]]="","",SUMIF(A_1[Nome],Assegnazione[[#This Row],[Socio]],A_1[Quota partecipazione al momento dell''operazione]))</f>
        <v/>
      </c>
      <c r="L15" s="175">
        <f>+SUMIF(B[Bene],Assegnazione[[#This Row],[Bene]],B[Valore catastale])*Assegnazione[[#This Row],[Quota di assegnazione]]</f>
        <v>0</v>
      </c>
      <c r="M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5">
        <f>+MIN(Assegnazione[[#This Row],[Valore ai fini dell''atto]],Assegnazione[[#This Row],[Valore Fiscalmente riconosciuto]])</f>
        <v>0</v>
      </c>
      <c r="O15" s="149" t="str">
        <f>+IFERROR(VLOOKUP(Assegnazione[[#This Row],[Bene]],B[],MATCH($O$4,Beni!$A$4:$Z$4,0),0),"")</f>
        <v/>
      </c>
      <c r="P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8">
        <f>+SUMIF(B[Bene],Assegnazione[[#This Row],[Bene]],B[Iva se dovuta])*Assegnazione[[#This Row],[Quota di assegnazione]]</f>
        <v>0</v>
      </c>
      <c r="S15" s="178">
        <f>+SUMIF(B[Bene],Assegnazione[[#This Row],[Bene]],B[Imposta di registro (fissa + prop) senza agevolazione])*Assegnazione[[#This Row],[Quota di assegnazione]]</f>
        <v>0</v>
      </c>
      <c r="T15" s="178">
        <f>+SUMIF(B[Bene],Assegnazione[[#This Row],[Bene]],B[Ipotecaria e catastale senza agevolazione])*Assegnazione[[#This Row],[Quota di assegnazione]]</f>
        <v>0</v>
      </c>
      <c r="U15" s="179">
        <f>+SUM(Assegnazione[[#This Row],[Tassazione diretta senza agevolazione]:[Ipotecaria e catastale senza agevolazione]])</f>
        <v>0</v>
      </c>
      <c r="V15" s="178">
        <f>+SUMIF(B[Bene],Assegnazione[[#This Row],[Bene]],B[Imponibile Imposta sostitutiva])*Assegnazione[[#This Row],[Quota di assegnazione]]*DATI!$E$27</f>
        <v>0</v>
      </c>
      <c r="W15" s="178">
        <f>+SUMIF(B[Bene],Assegnazione[[#This Row],[Bene]],B[Imposta di registro in misura fissa agevolata])*Assegnazione[[#This Row],[Quota di assegnazione]]</f>
        <v>0</v>
      </c>
      <c r="X15" s="178">
        <f>+SUMIF(B[Bene],Assegnazione[[#This Row],[Bene]],B[Imposta di registro prop. Agevolata])*Assegnazione[[#This Row],[Quota di assegnazione]]</f>
        <v>0</v>
      </c>
      <c r="Y15" s="178">
        <f>+IFERROR(Assegnazione[[#This Row],[Imposta di registro in misura fissa]]+Assegnazione[[#This Row],[Imposta di registro prop.]],"")</f>
        <v>0</v>
      </c>
      <c r="Z15" s="178">
        <f>+SUMIF(B[Bene],Assegnazione[[#This Row],[Bene]],B[Ipotecaria catastale agevolata])*Assegnazione[[#This Row],[Quota di assegnazione]]</f>
        <v>0</v>
      </c>
    </row>
    <row r="16" spans="1:28" x14ac:dyDescent="0.2">
      <c r="A16" s="126"/>
      <c r="B16" s="135"/>
      <c r="C16" s="126"/>
      <c r="D16" s="175">
        <f>+SUMIF(B[Bene],Assegnazione[[#This Row],[Bene]],B[Imponibile Iva])*Assegnazione[[#This Row],[Quota di assegnazione]]</f>
        <v>0</v>
      </c>
      <c r="E16" s="175">
        <f>+SUMIF(B[Bene],Assegnazione[[#This Row],[Bene]],B[Valore inserito manualmente])*Assegnazione[[#This Row],[Quota di assegnazione]]</f>
        <v>0</v>
      </c>
      <c r="F16" s="176" t="str">
        <f>+IF(A16="","",VLOOKUP(Assegnazione[[#This Row],[Bene]],B[],3,0))</f>
        <v/>
      </c>
      <c r="G16" s="132" t="str">
        <f>+IFERROR(VLOOKUP(Assegnazione[[#This Row],[Bene]],B[],MATCH("Agevolabile",Beni!$A$4:$AC$4,0),0)*VLOOKUP(Assegnazione[[#This Row],[Socio]],A_1[],8,0),"")</f>
        <v/>
      </c>
      <c r="H16" s="175">
        <f>+SUMIF(B[Bene],Assegnazione[[#This Row],[Bene]],B[Valore netto contabile fiscalmente riconosciuto])*Assegnazione[[#This Row],[Quota di assegnazione]]</f>
        <v>0</v>
      </c>
      <c r="I16" s="175">
        <f>+SUMIF(B[Bene],Assegnazione[[#This Row],[Bene]],B[Valore normale])*Assegnazione[[#This Row],[Quota di assegnazione]]</f>
        <v>0</v>
      </c>
      <c r="J16" s="177">
        <f>+IF(Assegnazione[[#This Row],[Bene]]="",0,SUMIF(Assegnazione[Socio],Assegnazione[[#This Row],[Socio]],Assegnazione[Valore Normale])/$I$3)</f>
        <v>0</v>
      </c>
      <c r="K16" s="177" t="str">
        <f>IF(Assegnazione[[#This Row],[Bene]]="","",SUMIF(A_1[Nome],Assegnazione[[#This Row],[Socio]],A_1[Quota partecipazione al momento dell''operazione]))</f>
        <v/>
      </c>
      <c r="L16" s="175">
        <f>+SUMIF(B[Bene],Assegnazione[[#This Row],[Bene]],B[Valore catastale])*Assegnazione[[#This Row],[Quota di assegnazione]]</f>
        <v>0</v>
      </c>
      <c r="M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5">
        <f>+MIN(Assegnazione[[#This Row],[Valore ai fini dell''atto]],Assegnazione[[#This Row],[Valore Fiscalmente riconosciuto]])</f>
        <v>0</v>
      </c>
      <c r="O16" s="149" t="str">
        <f>+IFERROR(VLOOKUP(Assegnazione[[#This Row],[Bene]],B[],MATCH($O$4,Beni!$A$4:$Z$4,0),0),"")</f>
        <v/>
      </c>
      <c r="P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8">
        <f>+SUMIF(B[Bene],Assegnazione[[#This Row],[Bene]],B[Iva se dovuta])*Assegnazione[[#This Row],[Quota di assegnazione]]</f>
        <v>0</v>
      </c>
      <c r="S16" s="178">
        <f>+SUMIF(B[Bene],Assegnazione[[#This Row],[Bene]],B[Imposta di registro (fissa + prop) senza agevolazione])*Assegnazione[[#This Row],[Quota di assegnazione]]</f>
        <v>0</v>
      </c>
      <c r="T16" s="178">
        <f>+SUMIF(B[Bene],Assegnazione[[#This Row],[Bene]],B[Ipotecaria e catastale senza agevolazione])*Assegnazione[[#This Row],[Quota di assegnazione]]</f>
        <v>0</v>
      </c>
      <c r="U16" s="179">
        <f>+SUM(Assegnazione[[#This Row],[Tassazione diretta senza agevolazione]:[Ipotecaria e catastale senza agevolazione]])</f>
        <v>0</v>
      </c>
      <c r="V16" s="178">
        <f>+SUMIF(B[Bene],Assegnazione[[#This Row],[Bene]],B[Imponibile Imposta sostitutiva])*Assegnazione[[#This Row],[Quota di assegnazione]]*DATI!$E$27</f>
        <v>0</v>
      </c>
      <c r="W16" s="178">
        <f>+SUMIF(B[Bene],Assegnazione[[#This Row],[Bene]],B[Imposta di registro in misura fissa agevolata])*Assegnazione[[#This Row],[Quota di assegnazione]]</f>
        <v>0</v>
      </c>
      <c r="X16" s="178">
        <f>+SUMIF(B[Bene],Assegnazione[[#This Row],[Bene]],B[Imposta di registro prop. Agevolata])*Assegnazione[[#This Row],[Quota di assegnazione]]</f>
        <v>0</v>
      </c>
      <c r="Y16" s="178">
        <f>+IFERROR(Assegnazione[[#This Row],[Imposta di registro in misura fissa]]+Assegnazione[[#This Row],[Imposta di registro prop.]],"")</f>
        <v>0</v>
      </c>
      <c r="Z16" s="178">
        <f>+SUMIF(B[Bene],Assegnazione[[#This Row],[Bene]],B[Ipotecaria catastale agevolata])*Assegnazione[[#This Row],[Quota di assegnazione]]</f>
        <v>0</v>
      </c>
    </row>
    <row r="17" spans="1:26" x14ac:dyDescent="0.2">
      <c r="A17" s="126"/>
      <c r="B17" s="135"/>
      <c r="C17" s="126"/>
      <c r="D17" s="175">
        <f>+SUMIF(B[Bene],Assegnazione[[#This Row],[Bene]],B[Imponibile Iva])*Assegnazione[[#This Row],[Quota di assegnazione]]</f>
        <v>0</v>
      </c>
      <c r="E17" s="175">
        <f>+SUMIF(B[Bene],Assegnazione[[#This Row],[Bene]],B[Valore inserito manualmente])*Assegnazione[[#This Row],[Quota di assegnazione]]</f>
        <v>0</v>
      </c>
      <c r="F17" s="176" t="str">
        <f>+IF(A17="","",VLOOKUP(Assegnazione[[#This Row],[Bene]],B[],3,0))</f>
        <v/>
      </c>
      <c r="G17" s="132" t="str">
        <f>+IFERROR(VLOOKUP(Assegnazione[[#This Row],[Bene]],B[],MATCH("Agevolabile",Beni!$A$4:$AC$4,0),0)*VLOOKUP(Assegnazione[[#This Row],[Socio]],A_1[],8,0),"")</f>
        <v/>
      </c>
      <c r="H17" s="175">
        <f>+SUMIF(B[Bene],Assegnazione[[#This Row],[Bene]],B[Valore netto contabile fiscalmente riconosciuto])*Assegnazione[[#This Row],[Quota di assegnazione]]</f>
        <v>0</v>
      </c>
      <c r="I17" s="175">
        <f>+SUMIF(B[Bene],Assegnazione[[#This Row],[Bene]],B[Valore normale])*Assegnazione[[#This Row],[Quota di assegnazione]]</f>
        <v>0</v>
      </c>
      <c r="J17" s="177">
        <f>+IF(Assegnazione[[#This Row],[Bene]]="",0,SUMIF(Assegnazione[Socio],Assegnazione[[#This Row],[Socio]],Assegnazione[Valore Normale])/$I$3)</f>
        <v>0</v>
      </c>
      <c r="K17" s="177" t="str">
        <f>IF(Assegnazione[[#This Row],[Bene]]="","",SUMIF(A_1[Nome],Assegnazione[[#This Row],[Socio]],A_1[Quota partecipazione al momento dell''operazione]))</f>
        <v/>
      </c>
      <c r="L17" s="175">
        <f>+SUMIF(B[Bene],Assegnazione[[#This Row],[Bene]],B[Valore catastale])*Assegnazione[[#This Row],[Quota di assegnazione]]</f>
        <v>0</v>
      </c>
      <c r="M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5">
        <f>+MIN(Assegnazione[[#This Row],[Valore ai fini dell''atto]],Assegnazione[[#This Row],[Valore Fiscalmente riconosciuto]])</f>
        <v>0</v>
      </c>
      <c r="O17" s="149" t="str">
        <f>+IFERROR(VLOOKUP(Assegnazione[[#This Row],[Bene]],B[],MATCH($O$4,Beni!$A$4:$Z$4,0),0),"")</f>
        <v/>
      </c>
      <c r="P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8">
        <f>+SUMIF(B[Bene],Assegnazione[[#This Row],[Bene]],B[Iva se dovuta])*Assegnazione[[#This Row],[Quota di assegnazione]]</f>
        <v>0</v>
      </c>
      <c r="S17" s="178">
        <f>+SUMIF(B[Bene],Assegnazione[[#This Row],[Bene]],B[Imposta di registro (fissa + prop) senza agevolazione])*Assegnazione[[#This Row],[Quota di assegnazione]]</f>
        <v>0</v>
      </c>
      <c r="T17" s="178">
        <f>+SUMIF(B[Bene],Assegnazione[[#This Row],[Bene]],B[Ipotecaria e catastale senza agevolazione])*Assegnazione[[#This Row],[Quota di assegnazione]]</f>
        <v>0</v>
      </c>
      <c r="U17" s="179">
        <f>+SUM(Assegnazione[[#This Row],[Tassazione diretta senza agevolazione]:[Ipotecaria e catastale senza agevolazione]])</f>
        <v>0</v>
      </c>
      <c r="V17" s="178">
        <f>+SUMIF(B[Bene],Assegnazione[[#This Row],[Bene]],B[Imponibile Imposta sostitutiva])*Assegnazione[[#This Row],[Quota di assegnazione]]*DATI!$E$27</f>
        <v>0</v>
      </c>
      <c r="W17" s="178">
        <f>+SUMIF(B[Bene],Assegnazione[[#This Row],[Bene]],B[Imposta di registro in misura fissa agevolata])*Assegnazione[[#This Row],[Quota di assegnazione]]</f>
        <v>0</v>
      </c>
      <c r="X17" s="178">
        <f>+SUMIF(B[Bene],Assegnazione[[#This Row],[Bene]],B[Imposta di registro prop. Agevolata])*Assegnazione[[#This Row],[Quota di assegnazione]]</f>
        <v>0</v>
      </c>
      <c r="Y17" s="178">
        <f>+IFERROR(Assegnazione[[#This Row],[Imposta di registro in misura fissa]]+Assegnazione[[#This Row],[Imposta di registro prop.]],"")</f>
        <v>0</v>
      </c>
      <c r="Z17" s="178">
        <f>+SUMIF(B[Bene],Assegnazione[[#This Row],[Bene]],B[Ipotecaria catastale agevolata])*Assegnazione[[#This Row],[Quota di assegnazione]]</f>
        <v>0</v>
      </c>
    </row>
    <row r="18" spans="1:26" x14ac:dyDescent="0.2">
      <c r="A18" s="126"/>
      <c r="B18" s="135"/>
      <c r="C18" s="126"/>
      <c r="D18" s="175">
        <f>+SUMIF(B[Bene],Assegnazione[[#This Row],[Bene]],B[Imponibile Iva])*Assegnazione[[#This Row],[Quota di assegnazione]]</f>
        <v>0</v>
      </c>
      <c r="E18" s="175">
        <f>+SUMIF(B[Bene],Assegnazione[[#This Row],[Bene]],B[Valore inserito manualmente])*Assegnazione[[#This Row],[Quota di assegnazione]]</f>
        <v>0</v>
      </c>
      <c r="F18" s="176" t="str">
        <f>+IF(A18="","",VLOOKUP(Assegnazione[[#This Row],[Bene]],B[],3,0))</f>
        <v/>
      </c>
      <c r="G18" s="132" t="str">
        <f>+IFERROR(VLOOKUP(Assegnazione[[#This Row],[Bene]],B[],MATCH("Agevolabile",Beni!$A$4:$AC$4,0),0)*VLOOKUP(Assegnazione[[#This Row],[Socio]],A_1[],8,0),"")</f>
        <v/>
      </c>
      <c r="H18" s="175">
        <f>+SUMIF(B[Bene],Assegnazione[[#This Row],[Bene]],B[Valore netto contabile fiscalmente riconosciuto])*Assegnazione[[#This Row],[Quota di assegnazione]]</f>
        <v>0</v>
      </c>
      <c r="I18" s="175">
        <f>+SUMIF(B[Bene],Assegnazione[[#This Row],[Bene]],B[Valore normale])*Assegnazione[[#This Row],[Quota di assegnazione]]</f>
        <v>0</v>
      </c>
      <c r="J18" s="177">
        <f>+IF(Assegnazione[[#This Row],[Bene]]="",0,SUMIF(Assegnazione[Socio],Assegnazione[[#This Row],[Socio]],Assegnazione[Valore Normale])/$I$3)</f>
        <v>0</v>
      </c>
      <c r="K18" s="177" t="str">
        <f>IF(Assegnazione[[#This Row],[Bene]]="","",SUMIF(A_1[Nome],Assegnazione[[#This Row],[Socio]],A_1[Quota partecipazione al momento dell''operazione]))</f>
        <v/>
      </c>
      <c r="L18" s="175">
        <f>+SUMIF(B[Bene],Assegnazione[[#This Row],[Bene]],B[Valore catastale])*Assegnazione[[#This Row],[Quota di assegnazione]]</f>
        <v>0</v>
      </c>
      <c r="M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5">
        <f>+MIN(Assegnazione[[#This Row],[Valore ai fini dell''atto]],Assegnazione[[#This Row],[Valore Fiscalmente riconosciuto]])</f>
        <v>0</v>
      </c>
      <c r="O18" s="149" t="str">
        <f>+IFERROR(VLOOKUP(Assegnazione[[#This Row],[Bene]],B[],MATCH($O$4,Beni!$A$4:$Z$4,0),0),"")</f>
        <v/>
      </c>
      <c r="P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8">
        <f>+SUMIF(B[Bene],Assegnazione[[#This Row],[Bene]],B[Iva se dovuta])*Assegnazione[[#This Row],[Quota di assegnazione]]</f>
        <v>0</v>
      </c>
      <c r="S18" s="178">
        <f>+SUMIF(B[Bene],Assegnazione[[#This Row],[Bene]],B[Imposta di registro (fissa + prop) senza agevolazione])*Assegnazione[[#This Row],[Quota di assegnazione]]</f>
        <v>0</v>
      </c>
      <c r="T18" s="178">
        <f>+SUMIF(B[Bene],Assegnazione[[#This Row],[Bene]],B[Ipotecaria e catastale senza agevolazione])*Assegnazione[[#This Row],[Quota di assegnazione]]</f>
        <v>0</v>
      </c>
      <c r="U18" s="179">
        <f>+SUM(Assegnazione[[#This Row],[Tassazione diretta senza agevolazione]:[Ipotecaria e catastale senza agevolazione]])</f>
        <v>0</v>
      </c>
      <c r="V18" s="178">
        <f>+SUMIF(B[Bene],Assegnazione[[#This Row],[Bene]],B[Imponibile Imposta sostitutiva])*Assegnazione[[#This Row],[Quota di assegnazione]]*DATI!$E$27</f>
        <v>0</v>
      </c>
      <c r="W18" s="178">
        <f>+SUMIF(B[Bene],Assegnazione[[#This Row],[Bene]],B[Imposta di registro in misura fissa agevolata])*Assegnazione[[#This Row],[Quota di assegnazione]]</f>
        <v>0</v>
      </c>
      <c r="X18" s="178">
        <f>+SUMIF(B[Bene],Assegnazione[[#This Row],[Bene]],B[Imposta di registro prop. Agevolata])*Assegnazione[[#This Row],[Quota di assegnazione]]</f>
        <v>0</v>
      </c>
      <c r="Y18" s="178">
        <f>+IFERROR(Assegnazione[[#This Row],[Imposta di registro in misura fissa]]+Assegnazione[[#This Row],[Imposta di registro prop.]],"")</f>
        <v>0</v>
      </c>
      <c r="Z18" s="178">
        <f>+SUMIF(B[Bene],Assegnazione[[#This Row],[Bene]],B[Ipotecaria catastale agevolata])*Assegnazione[[#This Row],[Quota di assegnazione]]</f>
        <v>0</v>
      </c>
    </row>
    <row r="19" spans="1:26" x14ac:dyDescent="0.2">
      <c r="A19" s="126"/>
      <c r="B19" s="135"/>
      <c r="C19" s="126"/>
      <c r="D19" s="175">
        <f>+SUMIF(B[Bene],Assegnazione[[#This Row],[Bene]],B[Imponibile Iva])*Assegnazione[[#This Row],[Quota di assegnazione]]</f>
        <v>0</v>
      </c>
      <c r="E19" s="175">
        <f>+SUMIF(B[Bene],Assegnazione[[#This Row],[Bene]],B[Valore inserito manualmente])*Assegnazione[[#This Row],[Quota di assegnazione]]</f>
        <v>0</v>
      </c>
      <c r="F19" s="176" t="str">
        <f>+IF(A19="","",VLOOKUP(Assegnazione[[#This Row],[Bene]],B[],3,0))</f>
        <v/>
      </c>
      <c r="G19" s="132" t="str">
        <f>+IFERROR(VLOOKUP(Assegnazione[[#This Row],[Bene]],B[],MATCH("Agevolabile",Beni!$A$4:$AC$4,0),0)*VLOOKUP(Assegnazione[[#This Row],[Socio]],A_1[],8,0),"")</f>
        <v/>
      </c>
      <c r="H19" s="175">
        <f>+SUMIF(B[Bene],Assegnazione[[#This Row],[Bene]],B[Valore netto contabile fiscalmente riconosciuto])*Assegnazione[[#This Row],[Quota di assegnazione]]</f>
        <v>0</v>
      </c>
      <c r="I19" s="175">
        <f>+SUMIF(B[Bene],Assegnazione[[#This Row],[Bene]],B[Valore normale])*Assegnazione[[#This Row],[Quota di assegnazione]]</f>
        <v>0</v>
      </c>
      <c r="J19" s="177">
        <f>+IF(Assegnazione[[#This Row],[Bene]]="",0,SUMIF(Assegnazione[Socio],Assegnazione[[#This Row],[Socio]],Assegnazione[Valore Normale])/$I$3)</f>
        <v>0</v>
      </c>
      <c r="K19" s="177" t="str">
        <f>IF(Assegnazione[[#This Row],[Bene]]="","",SUMIF(A_1[Nome],Assegnazione[[#This Row],[Socio]],A_1[Quota partecipazione al momento dell''operazione]))</f>
        <v/>
      </c>
      <c r="L19" s="175">
        <f>+SUMIF(B[Bene],Assegnazione[[#This Row],[Bene]],B[Valore catastale])*Assegnazione[[#This Row],[Quota di assegnazione]]</f>
        <v>0</v>
      </c>
      <c r="M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5">
        <f>+MIN(Assegnazione[[#This Row],[Valore ai fini dell''atto]],Assegnazione[[#This Row],[Valore Fiscalmente riconosciuto]])</f>
        <v>0</v>
      </c>
      <c r="O19" s="149" t="str">
        <f>+IFERROR(VLOOKUP(Assegnazione[[#This Row],[Bene]],B[],MATCH($O$4,Beni!$A$4:$Z$4,0),0),"")</f>
        <v/>
      </c>
      <c r="P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8">
        <f>+SUMIF(B[Bene],Assegnazione[[#This Row],[Bene]],B[Iva se dovuta])*Assegnazione[[#This Row],[Quota di assegnazione]]</f>
        <v>0</v>
      </c>
      <c r="S19" s="178">
        <f>+SUMIF(B[Bene],Assegnazione[[#This Row],[Bene]],B[Imposta di registro (fissa + prop) senza agevolazione])*Assegnazione[[#This Row],[Quota di assegnazione]]</f>
        <v>0</v>
      </c>
      <c r="T19" s="178">
        <f>+SUMIF(B[Bene],Assegnazione[[#This Row],[Bene]],B[Ipotecaria e catastale senza agevolazione])*Assegnazione[[#This Row],[Quota di assegnazione]]</f>
        <v>0</v>
      </c>
      <c r="U19" s="179">
        <f>+SUM(Assegnazione[[#This Row],[Tassazione diretta senza agevolazione]:[Ipotecaria e catastale senza agevolazione]])</f>
        <v>0</v>
      </c>
      <c r="V19" s="178">
        <f>+SUMIF(B[Bene],Assegnazione[[#This Row],[Bene]],B[Imponibile Imposta sostitutiva])*Assegnazione[[#This Row],[Quota di assegnazione]]*DATI!$E$27</f>
        <v>0</v>
      </c>
      <c r="W19" s="178">
        <f>+SUMIF(B[Bene],Assegnazione[[#This Row],[Bene]],B[Imposta di registro in misura fissa agevolata])*Assegnazione[[#This Row],[Quota di assegnazione]]</f>
        <v>0</v>
      </c>
      <c r="X19" s="178">
        <f>+SUMIF(B[Bene],Assegnazione[[#This Row],[Bene]],B[Imposta di registro prop. Agevolata])*Assegnazione[[#This Row],[Quota di assegnazione]]</f>
        <v>0</v>
      </c>
      <c r="Y19" s="178">
        <f>+IFERROR(Assegnazione[[#This Row],[Imposta di registro in misura fissa]]+Assegnazione[[#This Row],[Imposta di registro prop.]],"")</f>
        <v>0</v>
      </c>
      <c r="Z19" s="178">
        <f>+SUMIF(B[Bene],Assegnazione[[#This Row],[Bene]],B[Ipotecaria catastale agevolata])*Assegnazione[[#This Row],[Quota di assegnazione]]</f>
        <v>0</v>
      </c>
    </row>
    <row r="20" spans="1:26" x14ac:dyDescent="0.2">
      <c r="A20" s="126"/>
      <c r="B20" s="135"/>
      <c r="C20" s="126"/>
      <c r="D20" s="175">
        <f>+SUMIF(B[Bene],Assegnazione[[#This Row],[Bene]],B[Imponibile Iva])*Assegnazione[[#This Row],[Quota di assegnazione]]</f>
        <v>0</v>
      </c>
      <c r="E20" s="175">
        <f>+SUMIF(B[Bene],Assegnazione[[#This Row],[Bene]],B[Valore inserito manualmente])*Assegnazione[[#This Row],[Quota di assegnazione]]</f>
        <v>0</v>
      </c>
      <c r="F20" s="176" t="str">
        <f>+IF(A20="","",VLOOKUP(Assegnazione[[#This Row],[Bene]],B[],3,0))</f>
        <v/>
      </c>
      <c r="G20" s="132" t="str">
        <f>+IFERROR(VLOOKUP(Assegnazione[[#This Row],[Bene]],B[],MATCH("Agevolabile",Beni!$A$4:$AC$4,0),0)*VLOOKUP(Assegnazione[[#This Row],[Socio]],A_1[],8,0),"")</f>
        <v/>
      </c>
      <c r="H20" s="175">
        <f>+SUMIF(B[Bene],Assegnazione[[#This Row],[Bene]],B[Valore netto contabile fiscalmente riconosciuto])*Assegnazione[[#This Row],[Quota di assegnazione]]</f>
        <v>0</v>
      </c>
      <c r="I20" s="175">
        <f>+SUMIF(B[Bene],Assegnazione[[#This Row],[Bene]],B[Valore normale])*Assegnazione[[#This Row],[Quota di assegnazione]]</f>
        <v>0</v>
      </c>
      <c r="J20" s="177">
        <f>+IF(Assegnazione[[#This Row],[Bene]]="",0,SUMIF(Assegnazione[Socio],Assegnazione[[#This Row],[Socio]],Assegnazione[Valore Normale])/$I$3)</f>
        <v>0</v>
      </c>
      <c r="K20" s="177" t="str">
        <f>IF(Assegnazione[[#This Row],[Bene]]="","",SUMIF(A_1[Nome],Assegnazione[[#This Row],[Socio]],A_1[Quota partecipazione al momento dell''operazione]))</f>
        <v/>
      </c>
      <c r="L20" s="175">
        <f>+SUMIF(B[Bene],Assegnazione[[#This Row],[Bene]],B[Valore catastale])*Assegnazione[[#This Row],[Quota di assegnazione]]</f>
        <v>0</v>
      </c>
      <c r="M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5">
        <f>+MIN(Assegnazione[[#This Row],[Valore ai fini dell''atto]],Assegnazione[[#This Row],[Valore Fiscalmente riconosciuto]])</f>
        <v>0</v>
      </c>
      <c r="O20" s="149" t="str">
        <f>+IFERROR(VLOOKUP(Assegnazione[[#This Row],[Bene]],B[],MATCH($O$4,Beni!$A$4:$Z$4,0),0),"")</f>
        <v/>
      </c>
      <c r="P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8">
        <f>+SUMIF(B[Bene],Assegnazione[[#This Row],[Bene]],B[Iva se dovuta])*Assegnazione[[#This Row],[Quota di assegnazione]]</f>
        <v>0</v>
      </c>
      <c r="S20" s="178">
        <f>+SUMIF(B[Bene],Assegnazione[[#This Row],[Bene]],B[Imposta di registro (fissa + prop) senza agevolazione])*Assegnazione[[#This Row],[Quota di assegnazione]]</f>
        <v>0</v>
      </c>
      <c r="T20" s="178">
        <f>+SUMIF(B[Bene],Assegnazione[[#This Row],[Bene]],B[Ipotecaria e catastale senza agevolazione])*Assegnazione[[#This Row],[Quota di assegnazione]]</f>
        <v>0</v>
      </c>
      <c r="U20" s="179">
        <f>+SUM(Assegnazione[[#This Row],[Tassazione diretta senza agevolazione]:[Ipotecaria e catastale senza agevolazione]])</f>
        <v>0</v>
      </c>
      <c r="V20" s="178">
        <f>+SUMIF(B[Bene],Assegnazione[[#This Row],[Bene]],B[Imponibile Imposta sostitutiva])*Assegnazione[[#This Row],[Quota di assegnazione]]*DATI!$E$27</f>
        <v>0</v>
      </c>
      <c r="W20" s="178">
        <f>+SUMIF(B[Bene],Assegnazione[[#This Row],[Bene]],B[Imposta di registro in misura fissa agevolata])*Assegnazione[[#This Row],[Quota di assegnazione]]</f>
        <v>0</v>
      </c>
      <c r="X20" s="178">
        <f>+SUMIF(B[Bene],Assegnazione[[#This Row],[Bene]],B[Imposta di registro prop. Agevolata])*Assegnazione[[#This Row],[Quota di assegnazione]]</f>
        <v>0</v>
      </c>
      <c r="Y20" s="178">
        <f>+IFERROR(Assegnazione[[#This Row],[Imposta di registro in misura fissa]]+Assegnazione[[#This Row],[Imposta di registro prop.]],"")</f>
        <v>0</v>
      </c>
      <c r="Z20" s="178">
        <f>+SUMIF(B[Bene],Assegnazione[[#This Row],[Bene]],B[Ipotecaria catastale agevolata])*Assegnazione[[#This Row],[Quota di assegnazione]]</f>
        <v>0</v>
      </c>
    </row>
    <row r="21" spans="1:26" x14ac:dyDescent="0.2">
      <c r="A21" s="126"/>
      <c r="B21" s="135"/>
      <c r="C21" s="126"/>
      <c r="D21" s="175">
        <f>+SUMIF(B[Bene],Assegnazione[[#This Row],[Bene]],B[Imponibile Iva])*Assegnazione[[#This Row],[Quota di assegnazione]]</f>
        <v>0</v>
      </c>
      <c r="E21" s="175">
        <f>+SUMIF(B[Bene],Assegnazione[[#This Row],[Bene]],B[Valore inserito manualmente])*Assegnazione[[#This Row],[Quota di assegnazione]]</f>
        <v>0</v>
      </c>
      <c r="F21" s="176" t="str">
        <f>+IF(A21="","",VLOOKUP(Assegnazione[[#This Row],[Bene]],B[],3,0))</f>
        <v/>
      </c>
      <c r="G21" s="132" t="str">
        <f>+IFERROR(VLOOKUP(Assegnazione[[#This Row],[Bene]],B[],MATCH("Agevolabile",Beni!$A$4:$AC$4,0),0)*VLOOKUP(Assegnazione[[#This Row],[Socio]],A_1[],8,0),"")</f>
        <v/>
      </c>
      <c r="H21" s="175">
        <f>+SUMIF(B[Bene],Assegnazione[[#This Row],[Bene]],B[Valore netto contabile fiscalmente riconosciuto])*Assegnazione[[#This Row],[Quota di assegnazione]]</f>
        <v>0</v>
      </c>
      <c r="I21" s="175">
        <f>+SUMIF(B[Bene],Assegnazione[[#This Row],[Bene]],B[Valore normale])*Assegnazione[[#This Row],[Quota di assegnazione]]</f>
        <v>0</v>
      </c>
      <c r="J21" s="177">
        <f>+IF(Assegnazione[[#This Row],[Bene]]="",0,SUMIF(Assegnazione[Socio],Assegnazione[[#This Row],[Socio]],Assegnazione[Valore Normale])/$I$3)</f>
        <v>0</v>
      </c>
      <c r="K21" s="177" t="str">
        <f>IF(Assegnazione[[#This Row],[Bene]]="","",SUMIF(A_1[Nome],Assegnazione[[#This Row],[Socio]],A_1[Quota partecipazione al momento dell''operazione]))</f>
        <v/>
      </c>
      <c r="L21" s="175">
        <f>+SUMIF(B[Bene],Assegnazione[[#This Row],[Bene]],B[Valore catastale])*Assegnazione[[#This Row],[Quota di assegnazione]]</f>
        <v>0</v>
      </c>
      <c r="M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5">
        <f>+MIN(Assegnazione[[#This Row],[Valore ai fini dell''atto]],Assegnazione[[#This Row],[Valore Fiscalmente riconosciuto]])</f>
        <v>0</v>
      </c>
      <c r="O21" s="149" t="str">
        <f>+IFERROR(VLOOKUP(Assegnazione[[#This Row],[Bene]],B[],MATCH($O$4,Beni!$A$4:$Z$4,0),0),"")</f>
        <v/>
      </c>
      <c r="P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8">
        <f>+SUMIF(B[Bene],Assegnazione[[#This Row],[Bene]],B[Iva se dovuta])*Assegnazione[[#This Row],[Quota di assegnazione]]</f>
        <v>0</v>
      </c>
      <c r="S21" s="178">
        <f>+SUMIF(B[Bene],Assegnazione[[#This Row],[Bene]],B[Imposta di registro (fissa + prop) senza agevolazione])*Assegnazione[[#This Row],[Quota di assegnazione]]</f>
        <v>0</v>
      </c>
      <c r="T21" s="178">
        <f>+SUMIF(B[Bene],Assegnazione[[#This Row],[Bene]],B[Ipotecaria e catastale senza agevolazione])*Assegnazione[[#This Row],[Quota di assegnazione]]</f>
        <v>0</v>
      </c>
      <c r="U21" s="179">
        <f>+SUM(Assegnazione[[#This Row],[Tassazione diretta senza agevolazione]:[Ipotecaria e catastale senza agevolazione]])</f>
        <v>0</v>
      </c>
      <c r="V21" s="178">
        <f>+SUMIF(B[Bene],Assegnazione[[#This Row],[Bene]],B[Imponibile Imposta sostitutiva])*Assegnazione[[#This Row],[Quota di assegnazione]]*DATI!$E$27</f>
        <v>0</v>
      </c>
      <c r="W21" s="178">
        <f>+SUMIF(B[Bene],Assegnazione[[#This Row],[Bene]],B[Imposta di registro in misura fissa agevolata])*Assegnazione[[#This Row],[Quota di assegnazione]]</f>
        <v>0</v>
      </c>
      <c r="X21" s="178">
        <f>+SUMIF(B[Bene],Assegnazione[[#This Row],[Bene]],B[Imposta di registro prop. Agevolata])*Assegnazione[[#This Row],[Quota di assegnazione]]</f>
        <v>0</v>
      </c>
      <c r="Y21" s="178">
        <f>+IFERROR(Assegnazione[[#This Row],[Imposta di registro in misura fissa]]+Assegnazione[[#This Row],[Imposta di registro prop.]],"")</f>
        <v>0</v>
      </c>
      <c r="Z21" s="178">
        <f>+SUMIF(B[Bene],Assegnazione[[#This Row],[Bene]],B[Ipotecaria catastale agevolata])*Assegnazione[[#This Row],[Quota di assegnazione]]</f>
        <v>0</v>
      </c>
    </row>
    <row r="22" spans="1:26" x14ac:dyDescent="0.2">
      <c r="A22" s="126"/>
      <c r="B22" s="135"/>
      <c r="C22" s="126"/>
      <c r="D22" s="175">
        <f>+SUMIF(B[Bene],Assegnazione[[#This Row],[Bene]],B[Imponibile Iva])*Assegnazione[[#This Row],[Quota di assegnazione]]</f>
        <v>0</v>
      </c>
      <c r="E22" s="175">
        <f>+SUMIF(B[Bene],Assegnazione[[#This Row],[Bene]],B[Valore inserito manualmente])*Assegnazione[[#This Row],[Quota di assegnazione]]</f>
        <v>0</v>
      </c>
      <c r="F22" s="176" t="str">
        <f>+IF(A22="","",VLOOKUP(Assegnazione[[#This Row],[Bene]],B[],3,0))</f>
        <v/>
      </c>
      <c r="G22" s="132" t="str">
        <f>+IFERROR(VLOOKUP(Assegnazione[[#This Row],[Bene]],B[],MATCH("Agevolabile",Beni!$A$4:$AC$4,0),0)*VLOOKUP(Assegnazione[[#This Row],[Socio]],A_1[],8,0),"")</f>
        <v/>
      </c>
      <c r="H22" s="175">
        <f>+SUMIF(B[Bene],Assegnazione[[#This Row],[Bene]],B[Valore netto contabile fiscalmente riconosciuto])*Assegnazione[[#This Row],[Quota di assegnazione]]</f>
        <v>0</v>
      </c>
      <c r="I22" s="175">
        <f>+SUMIF(B[Bene],Assegnazione[[#This Row],[Bene]],B[Valore normale])*Assegnazione[[#This Row],[Quota di assegnazione]]</f>
        <v>0</v>
      </c>
      <c r="J22" s="177">
        <f>+IF(Assegnazione[[#This Row],[Bene]]="",0,SUMIF(Assegnazione[Socio],Assegnazione[[#This Row],[Socio]],Assegnazione[Valore Normale])/$I$3)</f>
        <v>0</v>
      </c>
      <c r="K22" s="177" t="str">
        <f>IF(Assegnazione[[#This Row],[Bene]]="","",SUMIF(A_1[Nome],Assegnazione[[#This Row],[Socio]],A_1[Quota partecipazione al momento dell''operazione]))</f>
        <v/>
      </c>
      <c r="L22" s="175">
        <f>+SUMIF(B[Bene],Assegnazione[[#This Row],[Bene]],B[Valore catastale])*Assegnazione[[#This Row],[Quota di assegnazione]]</f>
        <v>0</v>
      </c>
      <c r="M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5">
        <f>+MIN(Assegnazione[[#This Row],[Valore ai fini dell''atto]],Assegnazione[[#This Row],[Valore Fiscalmente riconosciuto]])</f>
        <v>0</v>
      </c>
      <c r="O22" s="149" t="str">
        <f>+IFERROR(VLOOKUP(Assegnazione[[#This Row],[Bene]],B[],MATCH($O$4,Beni!$A$4:$Z$4,0),0),"")</f>
        <v/>
      </c>
      <c r="P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8">
        <f>+SUMIF(B[Bene],Assegnazione[[#This Row],[Bene]],B[Iva se dovuta])*Assegnazione[[#This Row],[Quota di assegnazione]]</f>
        <v>0</v>
      </c>
      <c r="S22" s="178">
        <f>+SUMIF(B[Bene],Assegnazione[[#This Row],[Bene]],B[Imposta di registro (fissa + prop) senza agevolazione])*Assegnazione[[#This Row],[Quota di assegnazione]]</f>
        <v>0</v>
      </c>
      <c r="T22" s="178">
        <f>+SUMIF(B[Bene],Assegnazione[[#This Row],[Bene]],B[Ipotecaria e catastale senza agevolazione])*Assegnazione[[#This Row],[Quota di assegnazione]]</f>
        <v>0</v>
      </c>
      <c r="U22" s="179">
        <f>+SUM(Assegnazione[[#This Row],[Tassazione diretta senza agevolazione]:[Ipotecaria e catastale senza agevolazione]])</f>
        <v>0</v>
      </c>
      <c r="V22" s="178">
        <f>+SUMIF(B[Bene],Assegnazione[[#This Row],[Bene]],B[Imponibile Imposta sostitutiva])*Assegnazione[[#This Row],[Quota di assegnazione]]*DATI!$E$27</f>
        <v>0</v>
      </c>
      <c r="W22" s="178">
        <f>+SUMIF(B[Bene],Assegnazione[[#This Row],[Bene]],B[Imposta di registro in misura fissa agevolata])*Assegnazione[[#This Row],[Quota di assegnazione]]</f>
        <v>0</v>
      </c>
      <c r="X22" s="178">
        <f>+SUMIF(B[Bene],Assegnazione[[#This Row],[Bene]],B[Imposta di registro prop. Agevolata])*Assegnazione[[#This Row],[Quota di assegnazione]]</f>
        <v>0</v>
      </c>
      <c r="Y22" s="178">
        <f>+IFERROR(Assegnazione[[#This Row],[Imposta di registro in misura fissa]]+Assegnazione[[#This Row],[Imposta di registro prop.]],"")</f>
        <v>0</v>
      </c>
      <c r="Z22" s="178">
        <f>+SUMIF(B[Bene],Assegnazione[[#This Row],[Bene]],B[Ipotecaria catastale agevolata])*Assegnazione[[#This Row],[Quota di assegnazione]]</f>
        <v>0</v>
      </c>
    </row>
    <row r="23" spans="1:26" x14ac:dyDescent="0.2">
      <c r="A23" s="126"/>
      <c r="B23" s="135"/>
      <c r="C23" s="126"/>
      <c r="D23" s="175">
        <f>+SUMIF(B[Bene],Assegnazione[[#This Row],[Bene]],B[Imponibile Iva])*Assegnazione[[#This Row],[Quota di assegnazione]]</f>
        <v>0</v>
      </c>
      <c r="E23" s="175">
        <f>+SUMIF(B[Bene],Assegnazione[[#This Row],[Bene]],B[Valore inserito manualmente])*Assegnazione[[#This Row],[Quota di assegnazione]]</f>
        <v>0</v>
      </c>
      <c r="F23" s="176" t="str">
        <f>+IF(A23="","",VLOOKUP(Assegnazione[[#This Row],[Bene]],B[],3,0))</f>
        <v/>
      </c>
      <c r="G23" s="132" t="str">
        <f>+IFERROR(VLOOKUP(Assegnazione[[#This Row],[Bene]],B[],MATCH("Agevolabile",Beni!$A$4:$AC$4,0),0)*VLOOKUP(Assegnazione[[#This Row],[Socio]],A_1[],8,0),"")</f>
        <v/>
      </c>
      <c r="H23" s="175">
        <f>+SUMIF(B[Bene],Assegnazione[[#This Row],[Bene]],B[Valore netto contabile fiscalmente riconosciuto])*Assegnazione[[#This Row],[Quota di assegnazione]]</f>
        <v>0</v>
      </c>
      <c r="I23" s="175">
        <f>+SUMIF(B[Bene],Assegnazione[[#This Row],[Bene]],B[Valore normale])*Assegnazione[[#This Row],[Quota di assegnazione]]</f>
        <v>0</v>
      </c>
      <c r="J23" s="177">
        <f>+IF(Assegnazione[[#This Row],[Bene]]="",0,SUMIF(Assegnazione[Socio],Assegnazione[[#This Row],[Socio]],Assegnazione[Valore Normale])/$I$3)</f>
        <v>0</v>
      </c>
      <c r="K23" s="177" t="str">
        <f>IF(Assegnazione[[#This Row],[Bene]]="","",SUMIF(A_1[Nome],Assegnazione[[#This Row],[Socio]],A_1[Quota partecipazione al momento dell''operazione]))</f>
        <v/>
      </c>
      <c r="L23" s="175">
        <f>+SUMIF(B[Bene],Assegnazione[[#This Row],[Bene]],B[Valore catastale])*Assegnazione[[#This Row],[Quota di assegnazione]]</f>
        <v>0</v>
      </c>
      <c r="M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5">
        <f>+MIN(Assegnazione[[#This Row],[Valore ai fini dell''atto]],Assegnazione[[#This Row],[Valore Fiscalmente riconosciuto]])</f>
        <v>0</v>
      </c>
      <c r="O23" s="149" t="str">
        <f>+IFERROR(VLOOKUP(Assegnazione[[#This Row],[Bene]],B[],MATCH($O$4,Beni!$A$4:$Z$4,0),0),"")</f>
        <v/>
      </c>
      <c r="P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8">
        <f>+SUMIF(B[Bene],Assegnazione[[#This Row],[Bene]],B[Iva se dovuta])*Assegnazione[[#This Row],[Quota di assegnazione]]</f>
        <v>0</v>
      </c>
      <c r="S23" s="178">
        <f>+SUMIF(B[Bene],Assegnazione[[#This Row],[Bene]],B[Imposta di registro (fissa + prop) senza agevolazione])*Assegnazione[[#This Row],[Quota di assegnazione]]</f>
        <v>0</v>
      </c>
      <c r="T23" s="178">
        <f>+SUMIF(B[Bene],Assegnazione[[#This Row],[Bene]],B[Ipotecaria e catastale senza agevolazione])*Assegnazione[[#This Row],[Quota di assegnazione]]</f>
        <v>0</v>
      </c>
      <c r="U23" s="179">
        <f>+SUM(Assegnazione[[#This Row],[Tassazione diretta senza agevolazione]:[Ipotecaria e catastale senza agevolazione]])</f>
        <v>0</v>
      </c>
      <c r="V23" s="178">
        <f>+SUMIF(B[Bene],Assegnazione[[#This Row],[Bene]],B[Imponibile Imposta sostitutiva])*Assegnazione[[#This Row],[Quota di assegnazione]]*DATI!$E$27</f>
        <v>0</v>
      </c>
      <c r="W23" s="178">
        <f>+SUMIF(B[Bene],Assegnazione[[#This Row],[Bene]],B[Imposta di registro in misura fissa agevolata])*Assegnazione[[#This Row],[Quota di assegnazione]]</f>
        <v>0</v>
      </c>
      <c r="X23" s="178">
        <f>+SUMIF(B[Bene],Assegnazione[[#This Row],[Bene]],B[Imposta di registro prop. Agevolata])*Assegnazione[[#This Row],[Quota di assegnazione]]</f>
        <v>0</v>
      </c>
      <c r="Y23" s="178">
        <f>+IFERROR(Assegnazione[[#This Row],[Imposta di registro in misura fissa]]+Assegnazione[[#This Row],[Imposta di registro prop.]],"")</f>
        <v>0</v>
      </c>
      <c r="Z23" s="178">
        <f>+SUMIF(B[Bene],Assegnazione[[#This Row],[Bene]],B[Ipotecaria catastale agevolata])*Assegnazione[[#This Row],[Quota di assegnazione]]</f>
        <v>0</v>
      </c>
    </row>
    <row r="24" spans="1:26" x14ac:dyDescent="0.2">
      <c r="A24" s="126"/>
      <c r="B24" s="135"/>
      <c r="C24" s="126"/>
      <c r="D24" s="175">
        <f>+SUMIF(B[Bene],Assegnazione[[#This Row],[Bene]],B[Imponibile Iva])*Assegnazione[[#This Row],[Quota di assegnazione]]</f>
        <v>0</v>
      </c>
      <c r="E24" s="175">
        <f>+SUMIF(B[Bene],Assegnazione[[#This Row],[Bene]],B[Valore inserito manualmente])*Assegnazione[[#This Row],[Quota di assegnazione]]</f>
        <v>0</v>
      </c>
      <c r="F24" s="176" t="str">
        <f>+IF(A24="","",VLOOKUP(Assegnazione[[#This Row],[Bene]],B[],3,0))</f>
        <v/>
      </c>
      <c r="G24" s="132" t="str">
        <f>+IFERROR(VLOOKUP(Assegnazione[[#This Row],[Bene]],B[],MATCH("Agevolabile",Beni!$A$4:$AC$4,0),0)*VLOOKUP(Assegnazione[[#This Row],[Socio]],A_1[],8,0),"")</f>
        <v/>
      </c>
      <c r="H24" s="175">
        <f>+SUMIF(B[Bene],Assegnazione[[#This Row],[Bene]],B[Valore netto contabile fiscalmente riconosciuto])*Assegnazione[[#This Row],[Quota di assegnazione]]</f>
        <v>0</v>
      </c>
      <c r="I24" s="175">
        <f>+SUMIF(B[Bene],Assegnazione[[#This Row],[Bene]],B[Valore normale])*Assegnazione[[#This Row],[Quota di assegnazione]]</f>
        <v>0</v>
      </c>
      <c r="J24" s="177">
        <f>+IF(Assegnazione[[#This Row],[Bene]]="",0,SUMIF(Assegnazione[Socio],Assegnazione[[#This Row],[Socio]],Assegnazione[Valore Normale])/$I$3)</f>
        <v>0</v>
      </c>
      <c r="K24" s="177" t="str">
        <f>IF(Assegnazione[[#This Row],[Bene]]="","",SUMIF(A_1[Nome],Assegnazione[[#This Row],[Socio]],A_1[Quota partecipazione al momento dell''operazione]))</f>
        <v/>
      </c>
      <c r="L24" s="175">
        <f>+SUMIF(B[Bene],Assegnazione[[#This Row],[Bene]],B[Valore catastale])*Assegnazione[[#This Row],[Quota di assegnazione]]</f>
        <v>0</v>
      </c>
      <c r="M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5">
        <f>+MIN(Assegnazione[[#This Row],[Valore ai fini dell''atto]],Assegnazione[[#This Row],[Valore Fiscalmente riconosciuto]])</f>
        <v>0</v>
      </c>
      <c r="O24" s="149" t="str">
        <f>+IFERROR(VLOOKUP(Assegnazione[[#This Row],[Bene]],B[],MATCH($O$4,Beni!$A$4:$Z$4,0),0),"")</f>
        <v/>
      </c>
      <c r="P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8">
        <f>+SUMIF(B[Bene],Assegnazione[[#This Row],[Bene]],B[Iva se dovuta])*Assegnazione[[#This Row],[Quota di assegnazione]]</f>
        <v>0</v>
      </c>
      <c r="S24" s="178">
        <f>+SUMIF(B[Bene],Assegnazione[[#This Row],[Bene]],B[Imposta di registro (fissa + prop) senza agevolazione])*Assegnazione[[#This Row],[Quota di assegnazione]]</f>
        <v>0</v>
      </c>
      <c r="T24" s="178">
        <f>+SUMIF(B[Bene],Assegnazione[[#This Row],[Bene]],B[Ipotecaria e catastale senza agevolazione])*Assegnazione[[#This Row],[Quota di assegnazione]]</f>
        <v>0</v>
      </c>
      <c r="U24" s="179">
        <f>+SUM(Assegnazione[[#This Row],[Tassazione diretta senza agevolazione]:[Ipotecaria e catastale senza agevolazione]])</f>
        <v>0</v>
      </c>
      <c r="V24" s="178">
        <f>+SUMIF(B[Bene],Assegnazione[[#This Row],[Bene]],B[Imponibile Imposta sostitutiva])*Assegnazione[[#This Row],[Quota di assegnazione]]*DATI!$E$27</f>
        <v>0</v>
      </c>
      <c r="W24" s="178">
        <f>+SUMIF(B[Bene],Assegnazione[[#This Row],[Bene]],B[Imposta di registro in misura fissa agevolata])*Assegnazione[[#This Row],[Quota di assegnazione]]</f>
        <v>0</v>
      </c>
      <c r="X24" s="178">
        <f>+SUMIF(B[Bene],Assegnazione[[#This Row],[Bene]],B[Imposta di registro prop. Agevolata])*Assegnazione[[#This Row],[Quota di assegnazione]]</f>
        <v>0</v>
      </c>
      <c r="Y24" s="178">
        <f>+IFERROR(Assegnazione[[#This Row],[Imposta di registro in misura fissa]]+Assegnazione[[#This Row],[Imposta di registro prop.]],"")</f>
        <v>0</v>
      </c>
      <c r="Z24" s="178">
        <f>+SUMIF(B[Bene],Assegnazione[[#This Row],[Bene]],B[Ipotecaria catastale agevolata])*Assegnazione[[#This Row],[Quota di assegnazione]]</f>
        <v>0</v>
      </c>
    </row>
    <row r="25" spans="1:26" x14ac:dyDescent="0.2">
      <c r="A25" s="126"/>
      <c r="B25" s="135"/>
      <c r="C25" s="126"/>
      <c r="D25" s="175">
        <f>+SUMIF(B[Bene],Assegnazione[[#This Row],[Bene]],B[Imponibile Iva])*Assegnazione[[#This Row],[Quota di assegnazione]]</f>
        <v>0</v>
      </c>
      <c r="E25" s="175">
        <f>+SUMIF(B[Bene],Assegnazione[[#This Row],[Bene]],B[Valore inserito manualmente])*Assegnazione[[#This Row],[Quota di assegnazione]]</f>
        <v>0</v>
      </c>
      <c r="F25" s="176" t="str">
        <f>+IF(A25="","",VLOOKUP(Assegnazione[[#This Row],[Bene]],B[],3,0))</f>
        <v/>
      </c>
      <c r="G25" s="132" t="str">
        <f>+IFERROR(VLOOKUP(Assegnazione[[#This Row],[Bene]],B[],MATCH("Agevolabile",Beni!$A$4:$AC$4,0),0)*VLOOKUP(Assegnazione[[#This Row],[Socio]],A_1[],8,0),"")</f>
        <v/>
      </c>
      <c r="H25" s="175">
        <f>+SUMIF(B[Bene],Assegnazione[[#This Row],[Bene]],B[Valore netto contabile fiscalmente riconosciuto])*Assegnazione[[#This Row],[Quota di assegnazione]]</f>
        <v>0</v>
      </c>
      <c r="I25" s="175">
        <f>+SUMIF(B[Bene],Assegnazione[[#This Row],[Bene]],B[Valore normale])*Assegnazione[[#This Row],[Quota di assegnazione]]</f>
        <v>0</v>
      </c>
      <c r="J25" s="177">
        <f>+IF(Assegnazione[[#This Row],[Bene]]="",0,SUMIF(Assegnazione[Socio],Assegnazione[[#This Row],[Socio]],Assegnazione[Valore Normale])/$I$3)</f>
        <v>0</v>
      </c>
      <c r="K25" s="177" t="str">
        <f>IF(Assegnazione[[#This Row],[Bene]]="","",SUMIF(A_1[Nome],Assegnazione[[#This Row],[Socio]],A_1[Quota partecipazione al momento dell''operazione]))</f>
        <v/>
      </c>
      <c r="L25" s="175">
        <f>+SUMIF(B[Bene],Assegnazione[[#This Row],[Bene]],B[Valore catastale])*Assegnazione[[#This Row],[Quota di assegnazione]]</f>
        <v>0</v>
      </c>
      <c r="M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5">
        <f>+MIN(Assegnazione[[#This Row],[Valore ai fini dell''atto]],Assegnazione[[#This Row],[Valore Fiscalmente riconosciuto]])</f>
        <v>0</v>
      </c>
      <c r="O25" s="149" t="str">
        <f>+IFERROR(VLOOKUP(Assegnazione[[#This Row],[Bene]],B[],MATCH($O$4,Beni!$A$4:$Z$4,0),0),"")</f>
        <v/>
      </c>
      <c r="P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8">
        <f>+SUMIF(B[Bene],Assegnazione[[#This Row],[Bene]],B[Iva se dovuta])*Assegnazione[[#This Row],[Quota di assegnazione]]</f>
        <v>0</v>
      </c>
      <c r="S25" s="178">
        <f>+SUMIF(B[Bene],Assegnazione[[#This Row],[Bene]],B[Imposta di registro (fissa + prop) senza agevolazione])*Assegnazione[[#This Row],[Quota di assegnazione]]</f>
        <v>0</v>
      </c>
      <c r="T25" s="178">
        <f>+SUMIF(B[Bene],Assegnazione[[#This Row],[Bene]],B[Ipotecaria e catastale senza agevolazione])*Assegnazione[[#This Row],[Quota di assegnazione]]</f>
        <v>0</v>
      </c>
      <c r="U25" s="179">
        <f>+SUM(Assegnazione[[#This Row],[Tassazione diretta senza agevolazione]:[Ipotecaria e catastale senza agevolazione]])</f>
        <v>0</v>
      </c>
      <c r="V25" s="178">
        <f>+SUMIF(B[Bene],Assegnazione[[#This Row],[Bene]],B[Imponibile Imposta sostitutiva])*Assegnazione[[#This Row],[Quota di assegnazione]]*DATI!$E$27</f>
        <v>0</v>
      </c>
      <c r="W25" s="178">
        <f>+SUMIF(B[Bene],Assegnazione[[#This Row],[Bene]],B[Imposta di registro in misura fissa agevolata])*Assegnazione[[#This Row],[Quota di assegnazione]]</f>
        <v>0</v>
      </c>
      <c r="X25" s="178">
        <f>+SUMIF(B[Bene],Assegnazione[[#This Row],[Bene]],B[Imposta di registro prop. Agevolata])*Assegnazione[[#This Row],[Quota di assegnazione]]</f>
        <v>0</v>
      </c>
      <c r="Y25" s="178">
        <f>+IFERROR(Assegnazione[[#This Row],[Imposta di registro in misura fissa]]+Assegnazione[[#This Row],[Imposta di registro prop.]],"")</f>
        <v>0</v>
      </c>
      <c r="Z25" s="178">
        <f>+SUMIF(B[Bene],Assegnazione[[#This Row],[Bene]],B[Ipotecaria catastale agevolata])*Assegnazione[[#This Row],[Quota di assegnazione]]</f>
        <v>0</v>
      </c>
    </row>
    <row r="26" spans="1:26" x14ac:dyDescent="0.2">
      <c r="A26" s="126"/>
      <c r="B26" s="135"/>
      <c r="C26" s="126"/>
      <c r="D26" s="175">
        <f>+SUMIF(B[Bene],Assegnazione[[#This Row],[Bene]],B[Imponibile Iva])*Assegnazione[[#This Row],[Quota di assegnazione]]</f>
        <v>0</v>
      </c>
      <c r="E26" s="175">
        <f>+SUMIF(B[Bene],Assegnazione[[#This Row],[Bene]],B[Valore inserito manualmente])*Assegnazione[[#This Row],[Quota di assegnazione]]</f>
        <v>0</v>
      </c>
      <c r="F26" s="176" t="str">
        <f>+IF(A26="","",VLOOKUP(Assegnazione[[#This Row],[Bene]],B[],3,0))</f>
        <v/>
      </c>
      <c r="G26" s="132" t="str">
        <f>+IFERROR(VLOOKUP(Assegnazione[[#This Row],[Bene]],B[],MATCH("Agevolabile",Beni!$A$4:$AC$4,0),0)*VLOOKUP(Assegnazione[[#This Row],[Socio]],A_1[],8,0),"")</f>
        <v/>
      </c>
      <c r="H26" s="175">
        <f>+SUMIF(B[Bene],Assegnazione[[#This Row],[Bene]],B[Valore netto contabile fiscalmente riconosciuto])*Assegnazione[[#This Row],[Quota di assegnazione]]</f>
        <v>0</v>
      </c>
      <c r="I26" s="175">
        <f>+SUMIF(B[Bene],Assegnazione[[#This Row],[Bene]],B[Valore normale])*Assegnazione[[#This Row],[Quota di assegnazione]]</f>
        <v>0</v>
      </c>
      <c r="J26" s="177">
        <f>+IF(Assegnazione[[#This Row],[Bene]]="",0,SUMIF(Assegnazione[Socio],Assegnazione[[#This Row],[Socio]],Assegnazione[Valore Normale])/$I$3)</f>
        <v>0</v>
      </c>
      <c r="K26" s="177" t="str">
        <f>IF(Assegnazione[[#This Row],[Bene]]="","",SUMIF(A_1[Nome],Assegnazione[[#This Row],[Socio]],A_1[Quota partecipazione al momento dell''operazione]))</f>
        <v/>
      </c>
      <c r="L26" s="175">
        <f>+SUMIF(B[Bene],Assegnazione[[#This Row],[Bene]],B[Valore catastale])*Assegnazione[[#This Row],[Quota di assegnazione]]</f>
        <v>0</v>
      </c>
      <c r="M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5">
        <f>+MIN(Assegnazione[[#This Row],[Valore ai fini dell''atto]],Assegnazione[[#This Row],[Valore Fiscalmente riconosciuto]])</f>
        <v>0</v>
      </c>
      <c r="O26" s="149" t="str">
        <f>+IFERROR(VLOOKUP(Assegnazione[[#This Row],[Bene]],B[],MATCH($O$4,Beni!$A$4:$Z$4,0),0),"")</f>
        <v/>
      </c>
      <c r="P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8">
        <f>+SUMIF(B[Bene],Assegnazione[[#This Row],[Bene]],B[Iva se dovuta])*Assegnazione[[#This Row],[Quota di assegnazione]]</f>
        <v>0</v>
      </c>
      <c r="S26" s="178">
        <f>+SUMIF(B[Bene],Assegnazione[[#This Row],[Bene]],B[Imposta di registro (fissa + prop) senza agevolazione])*Assegnazione[[#This Row],[Quota di assegnazione]]</f>
        <v>0</v>
      </c>
      <c r="T26" s="178">
        <f>+SUMIF(B[Bene],Assegnazione[[#This Row],[Bene]],B[Ipotecaria e catastale senza agevolazione])*Assegnazione[[#This Row],[Quota di assegnazione]]</f>
        <v>0</v>
      </c>
      <c r="U26" s="179">
        <f>+SUM(Assegnazione[[#This Row],[Tassazione diretta senza agevolazione]:[Ipotecaria e catastale senza agevolazione]])</f>
        <v>0</v>
      </c>
      <c r="V26" s="178">
        <f>+SUMIF(B[Bene],Assegnazione[[#This Row],[Bene]],B[Imponibile Imposta sostitutiva])*Assegnazione[[#This Row],[Quota di assegnazione]]*DATI!$E$27</f>
        <v>0</v>
      </c>
      <c r="W26" s="178">
        <f>+SUMIF(B[Bene],Assegnazione[[#This Row],[Bene]],B[Imposta di registro in misura fissa agevolata])*Assegnazione[[#This Row],[Quota di assegnazione]]</f>
        <v>0</v>
      </c>
      <c r="X26" s="178">
        <f>+SUMIF(B[Bene],Assegnazione[[#This Row],[Bene]],B[Imposta di registro prop. Agevolata])*Assegnazione[[#This Row],[Quota di assegnazione]]</f>
        <v>0</v>
      </c>
      <c r="Y26" s="178">
        <f>+IFERROR(Assegnazione[[#This Row],[Imposta di registro in misura fissa]]+Assegnazione[[#This Row],[Imposta di registro prop.]],"")</f>
        <v>0</v>
      </c>
      <c r="Z26" s="178">
        <f>+SUMIF(B[Bene],Assegnazione[[#This Row],[Bene]],B[Ipotecaria catastale agevolata])*Assegnazione[[#This Row],[Quota di assegnazione]]</f>
        <v>0</v>
      </c>
    </row>
    <row r="27" spans="1:26" x14ac:dyDescent="0.2">
      <c r="A27" s="126"/>
      <c r="B27" s="135"/>
      <c r="C27" s="126"/>
      <c r="D27" s="175">
        <f>+SUMIF(B[Bene],Assegnazione[[#This Row],[Bene]],B[Imponibile Iva])*Assegnazione[[#This Row],[Quota di assegnazione]]</f>
        <v>0</v>
      </c>
      <c r="E27" s="175">
        <f>+SUMIF(B[Bene],Assegnazione[[#This Row],[Bene]],B[Valore inserito manualmente])*Assegnazione[[#This Row],[Quota di assegnazione]]</f>
        <v>0</v>
      </c>
      <c r="F27" s="176" t="str">
        <f>+IF(A27="","",VLOOKUP(Assegnazione[[#This Row],[Bene]],B[],3,0))</f>
        <v/>
      </c>
      <c r="G27" s="132" t="str">
        <f>+IFERROR(VLOOKUP(Assegnazione[[#This Row],[Bene]],B[],MATCH("Agevolabile",Beni!$A$4:$AC$4,0),0)*VLOOKUP(Assegnazione[[#This Row],[Socio]],A_1[],8,0),"")</f>
        <v/>
      </c>
      <c r="H27" s="175">
        <f>+SUMIF(B[Bene],Assegnazione[[#This Row],[Bene]],B[Valore netto contabile fiscalmente riconosciuto])*Assegnazione[[#This Row],[Quota di assegnazione]]</f>
        <v>0</v>
      </c>
      <c r="I27" s="175">
        <f>+SUMIF(B[Bene],Assegnazione[[#This Row],[Bene]],B[Valore normale])*Assegnazione[[#This Row],[Quota di assegnazione]]</f>
        <v>0</v>
      </c>
      <c r="J27" s="177">
        <f>+IF(Assegnazione[[#This Row],[Bene]]="",0,SUMIF(Assegnazione[Socio],Assegnazione[[#This Row],[Socio]],Assegnazione[Valore Normale])/$I$3)</f>
        <v>0</v>
      </c>
      <c r="K27" s="177" t="str">
        <f>IF(Assegnazione[[#This Row],[Bene]]="","",SUMIF(A_1[Nome],Assegnazione[[#This Row],[Socio]],A_1[Quota partecipazione al momento dell''operazione]))</f>
        <v/>
      </c>
      <c r="L27" s="175">
        <f>+SUMIF(B[Bene],Assegnazione[[#This Row],[Bene]],B[Valore catastale])*Assegnazione[[#This Row],[Quota di assegnazione]]</f>
        <v>0</v>
      </c>
      <c r="M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5">
        <f>+MIN(Assegnazione[[#This Row],[Valore ai fini dell''atto]],Assegnazione[[#This Row],[Valore Fiscalmente riconosciuto]])</f>
        <v>0</v>
      </c>
      <c r="O27" s="149" t="str">
        <f>+IFERROR(VLOOKUP(Assegnazione[[#This Row],[Bene]],B[],MATCH($O$4,Beni!$A$4:$Z$4,0),0),"")</f>
        <v/>
      </c>
      <c r="P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8">
        <f>+SUMIF(B[Bene],Assegnazione[[#This Row],[Bene]],B[Iva se dovuta])*Assegnazione[[#This Row],[Quota di assegnazione]]</f>
        <v>0</v>
      </c>
      <c r="S27" s="178">
        <f>+SUMIF(B[Bene],Assegnazione[[#This Row],[Bene]],B[Imposta di registro (fissa + prop) senza agevolazione])*Assegnazione[[#This Row],[Quota di assegnazione]]</f>
        <v>0</v>
      </c>
      <c r="T27" s="178">
        <f>+SUMIF(B[Bene],Assegnazione[[#This Row],[Bene]],B[Ipotecaria e catastale senza agevolazione])*Assegnazione[[#This Row],[Quota di assegnazione]]</f>
        <v>0</v>
      </c>
      <c r="U27" s="179">
        <f>+SUM(Assegnazione[[#This Row],[Tassazione diretta senza agevolazione]:[Ipotecaria e catastale senza agevolazione]])</f>
        <v>0</v>
      </c>
      <c r="V27" s="178">
        <f>+SUMIF(B[Bene],Assegnazione[[#This Row],[Bene]],B[Imponibile Imposta sostitutiva])*Assegnazione[[#This Row],[Quota di assegnazione]]*DATI!$E$27</f>
        <v>0</v>
      </c>
      <c r="W27" s="178">
        <f>+SUMIF(B[Bene],Assegnazione[[#This Row],[Bene]],B[Imposta di registro in misura fissa agevolata])*Assegnazione[[#This Row],[Quota di assegnazione]]</f>
        <v>0</v>
      </c>
      <c r="X27" s="178">
        <f>+SUMIF(B[Bene],Assegnazione[[#This Row],[Bene]],B[Imposta di registro prop. Agevolata])*Assegnazione[[#This Row],[Quota di assegnazione]]</f>
        <v>0</v>
      </c>
      <c r="Y27" s="178">
        <f>+IFERROR(Assegnazione[[#This Row],[Imposta di registro in misura fissa]]+Assegnazione[[#This Row],[Imposta di registro prop.]],"")</f>
        <v>0</v>
      </c>
      <c r="Z27" s="178">
        <f>+SUMIF(B[Bene],Assegnazione[[#This Row],[Bene]],B[Ipotecaria catastale agevolata])*Assegnazione[[#This Row],[Quota di assegnazione]]</f>
        <v>0</v>
      </c>
    </row>
    <row r="28" spans="1:26" x14ac:dyDescent="0.2">
      <c r="A28" s="126"/>
      <c r="B28" s="135"/>
      <c r="C28" s="126"/>
      <c r="D28" s="175">
        <f>+SUMIF(B[Bene],Assegnazione[[#This Row],[Bene]],B[Imponibile Iva])*Assegnazione[[#This Row],[Quota di assegnazione]]</f>
        <v>0</v>
      </c>
      <c r="E28" s="175">
        <f>+SUMIF(B[Bene],Assegnazione[[#This Row],[Bene]],B[Valore inserito manualmente])*Assegnazione[[#This Row],[Quota di assegnazione]]</f>
        <v>0</v>
      </c>
      <c r="F28" s="176" t="str">
        <f>+IF(A28="","",VLOOKUP(Assegnazione[[#This Row],[Bene]],B[],3,0))</f>
        <v/>
      </c>
      <c r="G28" s="132" t="str">
        <f>+IFERROR(VLOOKUP(Assegnazione[[#This Row],[Bene]],B[],MATCH("Agevolabile",Beni!$A$4:$AC$4,0),0)*VLOOKUP(Assegnazione[[#This Row],[Socio]],A_1[],8,0),"")</f>
        <v/>
      </c>
      <c r="H28" s="175">
        <f>+SUMIF(B[Bene],Assegnazione[[#This Row],[Bene]],B[Valore netto contabile fiscalmente riconosciuto])*Assegnazione[[#This Row],[Quota di assegnazione]]</f>
        <v>0</v>
      </c>
      <c r="I28" s="175">
        <f>+SUMIF(B[Bene],Assegnazione[[#This Row],[Bene]],B[Valore normale])*Assegnazione[[#This Row],[Quota di assegnazione]]</f>
        <v>0</v>
      </c>
      <c r="J28" s="177">
        <f>+IF(Assegnazione[[#This Row],[Bene]]="",0,SUMIF(Assegnazione[Socio],Assegnazione[[#This Row],[Socio]],Assegnazione[Valore Normale])/$I$3)</f>
        <v>0</v>
      </c>
      <c r="K28" s="177" t="str">
        <f>IF(Assegnazione[[#This Row],[Bene]]="","",SUMIF(A_1[Nome],Assegnazione[[#This Row],[Socio]],A_1[Quota partecipazione al momento dell''operazione]))</f>
        <v/>
      </c>
      <c r="L28" s="175">
        <f>+SUMIF(B[Bene],Assegnazione[[#This Row],[Bene]],B[Valore catastale])*Assegnazione[[#This Row],[Quota di assegnazione]]</f>
        <v>0</v>
      </c>
      <c r="M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5">
        <f>+MIN(Assegnazione[[#This Row],[Valore ai fini dell''atto]],Assegnazione[[#This Row],[Valore Fiscalmente riconosciuto]])</f>
        <v>0</v>
      </c>
      <c r="O28" s="149" t="str">
        <f>+IFERROR(VLOOKUP(Assegnazione[[#This Row],[Bene]],B[],MATCH($O$4,Beni!$A$4:$Z$4,0),0),"")</f>
        <v/>
      </c>
      <c r="P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8">
        <f>+SUMIF(B[Bene],Assegnazione[[#This Row],[Bene]],B[Iva se dovuta])*Assegnazione[[#This Row],[Quota di assegnazione]]</f>
        <v>0</v>
      </c>
      <c r="S28" s="178">
        <f>+SUMIF(B[Bene],Assegnazione[[#This Row],[Bene]],B[Imposta di registro (fissa + prop) senza agevolazione])*Assegnazione[[#This Row],[Quota di assegnazione]]</f>
        <v>0</v>
      </c>
      <c r="T28" s="178">
        <f>+SUMIF(B[Bene],Assegnazione[[#This Row],[Bene]],B[Ipotecaria e catastale senza agevolazione])*Assegnazione[[#This Row],[Quota di assegnazione]]</f>
        <v>0</v>
      </c>
      <c r="U28" s="179">
        <f>+SUM(Assegnazione[[#This Row],[Tassazione diretta senza agevolazione]:[Ipotecaria e catastale senza agevolazione]])</f>
        <v>0</v>
      </c>
      <c r="V28" s="178">
        <f>+SUMIF(B[Bene],Assegnazione[[#This Row],[Bene]],B[Imponibile Imposta sostitutiva])*Assegnazione[[#This Row],[Quota di assegnazione]]*DATI!$E$27</f>
        <v>0</v>
      </c>
      <c r="W28" s="178">
        <f>+SUMIF(B[Bene],Assegnazione[[#This Row],[Bene]],B[Imposta di registro in misura fissa agevolata])*Assegnazione[[#This Row],[Quota di assegnazione]]</f>
        <v>0</v>
      </c>
      <c r="X28" s="178">
        <f>+SUMIF(B[Bene],Assegnazione[[#This Row],[Bene]],B[Imposta di registro prop. Agevolata])*Assegnazione[[#This Row],[Quota di assegnazione]]</f>
        <v>0</v>
      </c>
      <c r="Y28" s="178">
        <f>+IFERROR(Assegnazione[[#This Row],[Imposta di registro in misura fissa]]+Assegnazione[[#This Row],[Imposta di registro prop.]],"")</f>
        <v>0</v>
      </c>
      <c r="Z28" s="178">
        <f>+SUMIF(B[Bene],Assegnazione[[#This Row],[Bene]],B[Ipotecaria catastale agevolata])*Assegnazione[[#This Row],[Quota di assegnazione]]</f>
        <v>0</v>
      </c>
    </row>
    <row r="29" spans="1:26" x14ac:dyDescent="0.2">
      <c r="A29" s="126"/>
      <c r="B29" s="135"/>
      <c r="C29" s="126"/>
      <c r="D29" s="175">
        <f>+SUMIF(B[Bene],Assegnazione[[#This Row],[Bene]],B[Imponibile Iva])*Assegnazione[[#This Row],[Quota di assegnazione]]</f>
        <v>0</v>
      </c>
      <c r="E29" s="175">
        <f>+SUMIF(B[Bene],Assegnazione[[#This Row],[Bene]],B[Valore inserito manualmente])*Assegnazione[[#This Row],[Quota di assegnazione]]</f>
        <v>0</v>
      </c>
      <c r="F29" s="176" t="str">
        <f>+IF(A29="","",VLOOKUP(Assegnazione[[#This Row],[Bene]],B[],3,0))</f>
        <v/>
      </c>
      <c r="G29" s="132" t="str">
        <f>+IFERROR(VLOOKUP(Assegnazione[[#This Row],[Bene]],B[],MATCH("Agevolabile",Beni!$A$4:$AC$4,0),0)*VLOOKUP(Assegnazione[[#This Row],[Socio]],A_1[],8,0),"")</f>
        <v/>
      </c>
      <c r="H29" s="175">
        <f>+SUMIF(B[Bene],Assegnazione[[#This Row],[Bene]],B[Valore netto contabile fiscalmente riconosciuto])*Assegnazione[[#This Row],[Quota di assegnazione]]</f>
        <v>0</v>
      </c>
      <c r="I29" s="175">
        <f>+SUMIF(B[Bene],Assegnazione[[#This Row],[Bene]],B[Valore normale])*Assegnazione[[#This Row],[Quota di assegnazione]]</f>
        <v>0</v>
      </c>
      <c r="J29" s="177">
        <f>+IF(Assegnazione[[#This Row],[Bene]]="",0,SUMIF(Assegnazione[Socio],Assegnazione[[#This Row],[Socio]],Assegnazione[Valore Normale])/$I$3)</f>
        <v>0</v>
      </c>
      <c r="K29" s="177" t="str">
        <f>IF(Assegnazione[[#This Row],[Bene]]="","",SUMIF(A_1[Nome],Assegnazione[[#This Row],[Socio]],A_1[Quota partecipazione al momento dell''operazione]))</f>
        <v/>
      </c>
      <c r="L29" s="175">
        <f>+SUMIF(B[Bene],Assegnazione[[#This Row],[Bene]],B[Valore catastale])*Assegnazione[[#This Row],[Quota di assegnazione]]</f>
        <v>0</v>
      </c>
      <c r="M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5">
        <f>+MIN(Assegnazione[[#This Row],[Valore ai fini dell''atto]],Assegnazione[[#This Row],[Valore Fiscalmente riconosciuto]])</f>
        <v>0</v>
      </c>
      <c r="O29" s="149" t="str">
        <f>+IFERROR(VLOOKUP(Assegnazione[[#This Row],[Bene]],B[],MATCH($O$4,Beni!$A$4:$Z$4,0),0),"")</f>
        <v/>
      </c>
      <c r="P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8">
        <f>+SUMIF(B[Bene],Assegnazione[[#This Row],[Bene]],B[Iva se dovuta])*Assegnazione[[#This Row],[Quota di assegnazione]]</f>
        <v>0</v>
      </c>
      <c r="S29" s="178">
        <f>+SUMIF(B[Bene],Assegnazione[[#This Row],[Bene]],B[Imposta di registro (fissa + prop) senza agevolazione])*Assegnazione[[#This Row],[Quota di assegnazione]]</f>
        <v>0</v>
      </c>
      <c r="T29" s="178">
        <f>+SUMIF(B[Bene],Assegnazione[[#This Row],[Bene]],B[Ipotecaria e catastale senza agevolazione])*Assegnazione[[#This Row],[Quota di assegnazione]]</f>
        <v>0</v>
      </c>
      <c r="U29" s="179">
        <f>+SUM(Assegnazione[[#This Row],[Tassazione diretta senza agevolazione]:[Ipotecaria e catastale senza agevolazione]])</f>
        <v>0</v>
      </c>
      <c r="V29" s="178">
        <f>+SUMIF(B[Bene],Assegnazione[[#This Row],[Bene]],B[Imponibile Imposta sostitutiva])*Assegnazione[[#This Row],[Quota di assegnazione]]*DATI!$E$27</f>
        <v>0</v>
      </c>
      <c r="W29" s="178">
        <f>+SUMIF(B[Bene],Assegnazione[[#This Row],[Bene]],B[Imposta di registro in misura fissa agevolata])*Assegnazione[[#This Row],[Quota di assegnazione]]</f>
        <v>0</v>
      </c>
      <c r="X29" s="178">
        <f>+SUMIF(B[Bene],Assegnazione[[#This Row],[Bene]],B[Imposta di registro prop. Agevolata])*Assegnazione[[#This Row],[Quota di assegnazione]]</f>
        <v>0</v>
      </c>
      <c r="Y29" s="178">
        <f>+IFERROR(Assegnazione[[#This Row],[Imposta di registro in misura fissa]]+Assegnazione[[#This Row],[Imposta di registro prop.]],"")</f>
        <v>0</v>
      </c>
      <c r="Z29" s="178">
        <f>+SUMIF(B[Bene],Assegnazione[[#This Row],[Bene]],B[Ipotecaria catastale agevolata])*Assegnazione[[#This Row],[Quota di assegnazione]]</f>
        <v>0</v>
      </c>
    </row>
    <row r="30" spans="1:26" x14ac:dyDescent="0.2">
      <c r="A30" s="126"/>
      <c r="B30" s="135"/>
      <c r="C30" s="126"/>
      <c r="D30" s="175">
        <f>+SUMIF(B[Bene],Assegnazione[[#This Row],[Bene]],B[Imponibile Iva])*Assegnazione[[#This Row],[Quota di assegnazione]]</f>
        <v>0</v>
      </c>
      <c r="E30" s="175">
        <f>+SUMIF(B[Bene],Assegnazione[[#This Row],[Bene]],B[Valore inserito manualmente])*Assegnazione[[#This Row],[Quota di assegnazione]]</f>
        <v>0</v>
      </c>
      <c r="F30" s="176" t="str">
        <f>+IF(A30="","",VLOOKUP(Assegnazione[[#This Row],[Bene]],B[],3,0))</f>
        <v/>
      </c>
      <c r="G30" s="132" t="str">
        <f>+IFERROR(VLOOKUP(Assegnazione[[#This Row],[Bene]],B[],MATCH("Agevolabile",Beni!$A$4:$AC$4,0),0)*VLOOKUP(Assegnazione[[#This Row],[Socio]],A_1[],8,0),"")</f>
        <v/>
      </c>
      <c r="H30" s="175">
        <f>+SUMIF(B[Bene],Assegnazione[[#This Row],[Bene]],B[Valore netto contabile fiscalmente riconosciuto])*Assegnazione[[#This Row],[Quota di assegnazione]]</f>
        <v>0</v>
      </c>
      <c r="I30" s="175">
        <f>+SUMIF(B[Bene],Assegnazione[[#This Row],[Bene]],B[Valore normale])*Assegnazione[[#This Row],[Quota di assegnazione]]</f>
        <v>0</v>
      </c>
      <c r="J30" s="177">
        <f>+IF(Assegnazione[[#This Row],[Bene]]="",0,SUMIF(Assegnazione[Socio],Assegnazione[[#This Row],[Socio]],Assegnazione[Valore Normale])/$I$3)</f>
        <v>0</v>
      </c>
      <c r="K30" s="177" t="str">
        <f>IF(Assegnazione[[#This Row],[Bene]]="","",SUMIF(A_1[Nome],Assegnazione[[#This Row],[Socio]],A_1[Quota partecipazione al momento dell''operazione]))</f>
        <v/>
      </c>
      <c r="L30" s="175">
        <f>+SUMIF(B[Bene],Assegnazione[[#This Row],[Bene]],B[Valore catastale])*Assegnazione[[#This Row],[Quota di assegnazione]]</f>
        <v>0</v>
      </c>
      <c r="M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5">
        <f>+MIN(Assegnazione[[#This Row],[Valore ai fini dell''atto]],Assegnazione[[#This Row],[Valore Fiscalmente riconosciuto]])</f>
        <v>0</v>
      </c>
      <c r="O30" s="149" t="str">
        <f>+IFERROR(VLOOKUP(Assegnazione[[#This Row],[Bene]],B[],MATCH($O$4,Beni!$A$4:$Z$4,0),0),"")</f>
        <v/>
      </c>
      <c r="P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8">
        <f>+SUMIF(B[Bene],Assegnazione[[#This Row],[Bene]],B[Iva se dovuta])*Assegnazione[[#This Row],[Quota di assegnazione]]</f>
        <v>0</v>
      </c>
      <c r="S30" s="178">
        <f>+SUMIF(B[Bene],Assegnazione[[#This Row],[Bene]],B[Imposta di registro (fissa + prop) senza agevolazione])*Assegnazione[[#This Row],[Quota di assegnazione]]</f>
        <v>0</v>
      </c>
      <c r="T30" s="178">
        <f>+SUMIF(B[Bene],Assegnazione[[#This Row],[Bene]],B[Ipotecaria e catastale senza agevolazione])*Assegnazione[[#This Row],[Quota di assegnazione]]</f>
        <v>0</v>
      </c>
      <c r="U30" s="179">
        <f>+SUM(Assegnazione[[#This Row],[Tassazione diretta senza agevolazione]:[Ipotecaria e catastale senza agevolazione]])</f>
        <v>0</v>
      </c>
      <c r="V30" s="178">
        <f>+SUMIF(B[Bene],Assegnazione[[#This Row],[Bene]],B[Imponibile Imposta sostitutiva])*Assegnazione[[#This Row],[Quota di assegnazione]]*DATI!$E$27</f>
        <v>0</v>
      </c>
      <c r="W30" s="178">
        <f>+SUMIF(B[Bene],Assegnazione[[#This Row],[Bene]],B[Imposta di registro in misura fissa agevolata])*Assegnazione[[#This Row],[Quota di assegnazione]]</f>
        <v>0</v>
      </c>
      <c r="X30" s="178">
        <f>+SUMIF(B[Bene],Assegnazione[[#This Row],[Bene]],B[Imposta di registro prop. Agevolata])*Assegnazione[[#This Row],[Quota di assegnazione]]</f>
        <v>0</v>
      </c>
      <c r="Y30" s="178">
        <f>+IFERROR(Assegnazione[[#This Row],[Imposta di registro in misura fissa]]+Assegnazione[[#This Row],[Imposta di registro prop.]],"")</f>
        <v>0</v>
      </c>
      <c r="Z30" s="178">
        <f>+SUMIF(B[Bene],Assegnazione[[#This Row],[Bene]],B[Ipotecaria catastale agevolata])*Assegnazione[[#This Row],[Quota di assegnazione]]</f>
        <v>0</v>
      </c>
    </row>
    <row r="31" spans="1:26" x14ac:dyDescent="0.2">
      <c r="A31" s="126"/>
      <c r="B31" s="135"/>
      <c r="C31" s="126"/>
      <c r="D31" s="175">
        <f>+SUMIF(B[Bene],Assegnazione[[#This Row],[Bene]],B[Imponibile Iva])*Assegnazione[[#This Row],[Quota di assegnazione]]</f>
        <v>0</v>
      </c>
      <c r="E31" s="175">
        <f>+SUMIF(B[Bene],Assegnazione[[#This Row],[Bene]],B[Valore inserito manualmente])*Assegnazione[[#This Row],[Quota di assegnazione]]</f>
        <v>0</v>
      </c>
      <c r="F31" s="176" t="str">
        <f>+IF(A31="","",VLOOKUP(Assegnazione[[#This Row],[Bene]],B[],3,0))</f>
        <v/>
      </c>
      <c r="G31" s="132" t="str">
        <f>+IFERROR(VLOOKUP(Assegnazione[[#This Row],[Bene]],B[],MATCH("Agevolabile",Beni!$A$4:$AC$4,0),0)*VLOOKUP(Assegnazione[[#This Row],[Socio]],A_1[],8,0),"")</f>
        <v/>
      </c>
      <c r="H31" s="175">
        <f>+SUMIF(B[Bene],Assegnazione[[#This Row],[Bene]],B[Valore netto contabile fiscalmente riconosciuto])*Assegnazione[[#This Row],[Quota di assegnazione]]</f>
        <v>0</v>
      </c>
      <c r="I31" s="175">
        <f>+SUMIF(B[Bene],Assegnazione[[#This Row],[Bene]],B[Valore normale])*Assegnazione[[#This Row],[Quota di assegnazione]]</f>
        <v>0</v>
      </c>
      <c r="J31" s="177">
        <f>+IF(Assegnazione[[#This Row],[Bene]]="",0,SUMIF(Assegnazione[Socio],Assegnazione[[#This Row],[Socio]],Assegnazione[Valore Normale])/$I$3)</f>
        <v>0</v>
      </c>
      <c r="K31" s="177" t="str">
        <f>IF(Assegnazione[[#This Row],[Bene]]="","",SUMIF(A_1[Nome],Assegnazione[[#This Row],[Socio]],A_1[Quota partecipazione al momento dell''operazione]))</f>
        <v/>
      </c>
      <c r="L31" s="175">
        <f>+SUMIF(B[Bene],Assegnazione[[#This Row],[Bene]],B[Valore catastale])*Assegnazione[[#This Row],[Quota di assegnazione]]</f>
        <v>0</v>
      </c>
      <c r="M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5">
        <f>+MIN(Assegnazione[[#This Row],[Valore ai fini dell''atto]],Assegnazione[[#This Row],[Valore Fiscalmente riconosciuto]])</f>
        <v>0</v>
      </c>
      <c r="O31" s="149" t="str">
        <f>+IFERROR(VLOOKUP(Assegnazione[[#This Row],[Bene]],B[],MATCH($O$4,Beni!$A$4:$Z$4,0),0),"")</f>
        <v/>
      </c>
      <c r="P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8">
        <f>+SUMIF(B[Bene],Assegnazione[[#This Row],[Bene]],B[Iva se dovuta])*Assegnazione[[#This Row],[Quota di assegnazione]]</f>
        <v>0</v>
      </c>
      <c r="S31" s="178">
        <f>+SUMIF(B[Bene],Assegnazione[[#This Row],[Bene]],B[Imposta di registro (fissa + prop) senza agevolazione])*Assegnazione[[#This Row],[Quota di assegnazione]]</f>
        <v>0</v>
      </c>
      <c r="T31" s="178">
        <f>+SUMIF(B[Bene],Assegnazione[[#This Row],[Bene]],B[Ipotecaria e catastale senza agevolazione])*Assegnazione[[#This Row],[Quota di assegnazione]]</f>
        <v>0</v>
      </c>
      <c r="U31" s="179">
        <f>+SUM(Assegnazione[[#This Row],[Tassazione diretta senza agevolazione]:[Ipotecaria e catastale senza agevolazione]])</f>
        <v>0</v>
      </c>
      <c r="V31" s="178">
        <f>+SUMIF(B[Bene],Assegnazione[[#This Row],[Bene]],B[Imponibile Imposta sostitutiva])*Assegnazione[[#This Row],[Quota di assegnazione]]*DATI!$E$27</f>
        <v>0</v>
      </c>
      <c r="W31" s="178">
        <f>+SUMIF(B[Bene],Assegnazione[[#This Row],[Bene]],B[Imposta di registro in misura fissa agevolata])*Assegnazione[[#This Row],[Quota di assegnazione]]</f>
        <v>0</v>
      </c>
      <c r="X31" s="178">
        <f>+SUMIF(B[Bene],Assegnazione[[#This Row],[Bene]],B[Imposta di registro prop. Agevolata])*Assegnazione[[#This Row],[Quota di assegnazione]]</f>
        <v>0</v>
      </c>
      <c r="Y31" s="178">
        <f>+IFERROR(Assegnazione[[#This Row],[Imposta di registro in misura fissa]]+Assegnazione[[#This Row],[Imposta di registro prop.]],"")</f>
        <v>0</v>
      </c>
      <c r="Z31" s="178">
        <f>+SUMIF(B[Bene],Assegnazione[[#This Row],[Bene]],B[Ipotecaria catastale agevolata])*Assegnazione[[#This Row],[Quota di assegnazione]]</f>
        <v>0</v>
      </c>
    </row>
    <row r="32" spans="1:26" x14ac:dyDescent="0.2">
      <c r="A32" s="126"/>
      <c r="B32" s="135"/>
      <c r="C32" s="126"/>
      <c r="D32" s="175">
        <f>+SUMIF(B[Bene],Assegnazione[[#This Row],[Bene]],B[Imponibile Iva])*Assegnazione[[#This Row],[Quota di assegnazione]]</f>
        <v>0</v>
      </c>
      <c r="E32" s="175">
        <f>+SUMIF(B[Bene],Assegnazione[[#This Row],[Bene]],B[Valore inserito manualmente])*Assegnazione[[#This Row],[Quota di assegnazione]]</f>
        <v>0</v>
      </c>
      <c r="F32" s="176" t="str">
        <f>+IF(A32="","",VLOOKUP(Assegnazione[[#This Row],[Bene]],B[],3,0))</f>
        <v/>
      </c>
      <c r="G32" s="132" t="str">
        <f>+IFERROR(VLOOKUP(Assegnazione[[#This Row],[Bene]],B[],MATCH("Agevolabile",Beni!$A$4:$AC$4,0),0)*VLOOKUP(Assegnazione[[#This Row],[Socio]],A_1[],8,0),"")</f>
        <v/>
      </c>
      <c r="H32" s="175">
        <f>+SUMIF(B[Bene],Assegnazione[[#This Row],[Bene]],B[Valore netto contabile fiscalmente riconosciuto])*Assegnazione[[#This Row],[Quota di assegnazione]]</f>
        <v>0</v>
      </c>
      <c r="I32" s="175">
        <f>+SUMIF(B[Bene],Assegnazione[[#This Row],[Bene]],B[Valore normale])*Assegnazione[[#This Row],[Quota di assegnazione]]</f>
        <v>0</v>
      </c>
      <c r="J32" s="177">
        <f>+IF(Assegnazione[[#This Row],[Bene]]="",0,SUMIF(Assegnazione[Socio],Assegnazione[[#This Row],[Socio]],Assegnazione[Valore Normale])/$I$3)</f>
        <v>0</v>
      </c>
      <c r="K32" s="177" t="str">
        <f>IF(Assegnazione[[#This Row],[Bene]]="","",SUMIF(A_1[Nome],Assegnazione[[#This Row],[Socio]],A_1[Quota partecipazione al momento dell''operazione]))</f>
        <v/>
      </c>
      <c r="L32" s="175">
        <f>+SUMIF(B[Bene],Assegnazione[[#This Row],[Bene]],B[Valore catastale])*Assegnazione[[#This Row],[Quota di assegnazione]]</f>
        <v>0</v>
      </c>
      <c r="M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5">
        <f>+MIN(Assegnazione[[#This Row],[Valore ai fini dell''atto]],Assegnazione[[#This Row],[Valore Fiscalmente riconosciuto]])</f>
        <v>0</v>
      </c>
      <c r="O32" s="149" t="str">
        <f>+IFERROR(VLOOKUP(Assegnazione[[#This Row],[Bene]],B[],MATCH($O$4,Beni!$A$4:$Z$4,0),0),"")</f>
        <v/>
      </c>
      <c r="P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8">
        <f>+SUMIF(B[Bene],Assegnazione[[#This Row],[Bene]],B[Iva se dovuta])*Assegnazione[[#This Row],[Quota di assegnazione]]</f>
        <v>0</v>
      </c>
      <c r="S32" s="178">
        <f>+SUMIF(B[Bene],Assegnazione[[#This Row],[Bene]],B[Imposta di registro (fissa + prop) senza agevolazione])*Assegnazione[[#This Row],[Quota di assegnazione]]</f>
        <v>0</v>
      </c>
      <c r="T32" s="178">
        <f>+SUMIF(B[Bene],Assegnazione[[#This Row],[Bene]],B[Ipotecaria e catastale senza agevolazione])*Assegnazione[[#This Row],[Quota di assegnazione]]</f>
        <v>0</v>
      </c>
      <c r="U32" s="179">
        <f>+SUM(Assegnazione[[#This Row],[Tassazione diretta senza agevolazione]:[Ipotecaria e catastale senza agevolazione]])</f>
        <v>0</v>
      </c>
      <c r="V32" s="178">
        <f>+SUMIF(B[Bene],Assegnazione[[#This Row],[Bene]],B[Imponibile Imposta sostitutiva])*Assegnazione[[#This Row],[Quota di assegnazione]]*DATI!$E$27</f>
        <v>0</v>
      </c>
      <c r="W32" s="178">
        <f>+SUMIF(B[Bene],Assegnazione[[#This Row],[Bene]],B[Imposta di registro in misura fissa agevolata])*Assegnazione[[#This Row],[Quota di assegnazione]]</f>
        <v>0</v>
      </c>
      <c r="X32" s="178">
        <f>+SUMIF(B[Bene],Assegnazione[[#This Row],[Bene]],B[Imposta di registro prop. Agevolata])*Assegnazione[[#This Row],[Quota di assegnazione]]</f>
        <v>0</v>
      </c>
      <c r="Y32" s="178">
        <f>+IFERROR(Assegnazione[[#This Row],[Imposta di registro in misura fissa]]+Assegnazione[[#This Row],[Imposta di registro prop.]],"")</f>
        <v>0</v>
      </c>
      <c r="Z32" s="178">
        <f>+SUMIF(B[Bene],Assegnazione[[#This Row],[Bene]],B[Ipotecaria catastale agevolata])*Assegnazione[[#This Row],[Quota di assegnazione]]</f>
        <v>0</v>
      </c>
    </row>
    <row r="33" spans="1:26" x14ac:dyDescent="0.2">
      <c r="A33" s="126"/>
      <c r="B33" s="135"/>
      <c r="C33" s="126"/>
      <c r="D33" s="175">
        <f>+SUMIF(B[Bene],Assegnazione[[#This Row],[Bene]],B[Imponibile Iva])*Assegnazione[[#This Row],[Quota di assegnazione]]</f>
        <v>0</v>
      </c>
      <c r="E33" s="175">
        <f>+SUMIF(B[Bene],Assegnazione[[#This Row],[Bene]],B[Valore inserito manualmente])*Assegnazione[[#This Row],[Quota di assegnazione]]</f>
        <v>0</v>
      </c>
      <c r="F33" s="176" t="str">
        <f>+IF(A33="","",VLOOKUP(Assegnazione[[#This Row],[Bene]],B[],3,0))</f>
        <v/>
      </c>
      <c r="G33" s="132" t="str">
        <f>+IFERROR(VLOOKUP(Assegnazione[[#This Row],[Bene]],B[],MATCH("Agevolabile",Beni!$A$4:$AC$4,0),0)*VLOOKUP(Assegnazione[[#This Row],[Socio]],A_1[],8,0),"")</f>
        <v/>
      </c>
      <c r="H33" s="175">
        <f>+SUMIF(B[Bene],Assegnazione[[#This Row],[Bene]],B[Valore netto contabile fiscalmente riconosciuto])*Assegnazione[[#This Row],[Quota di assegnazione]]</f>
        <v>0</v>
      </c>
      <c r="I33" s="175">
        <f>+SUMIF(B[Bene],Assegnazione[[#This Row],[Bene]],B[Valore normale])*Assegnazione[[#This Row],[Quota di assegnazione]]</f>
        <v>0</v>
      </c>
      <c r="J33" s="177">
        <f>+IF(Assegnazione[[#This Row],[Bene]]="",0,SUMIF(Assegnazione[Socio],Assegnazione[[#This Row],[Socio]],Assegnazione[Valore Normale])/$I$3)</f>
        <v>0</v>
      </c>
      <c r="K33" s="177" t="str">
        <f>IF(Assegnazione[[#This Row],[Bene]]="","",SUMIF(A_1[Nome],Assegnazione[[#This Row],[Socio]],A_1[Quota partecipazione al momento dell''operazione]))</f>
        <v/>
      </c>
      <c r="L33" s="175">
        <f>+SUMIF(B[Bene],Assegnazione[[#This Row],[Bene]],B[Valore catastale])*Assegnazione[[#This Row],[Quota di assegnazione]]</f>
        <v>0</v>
      </c>
      <c r="M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5">
        <f>+MIN(Assegnazione[[#This Row],[Valore ai fini dell''atto]],Assegnazione[[#This Row],[Valore Fiscalmente riconosciuto]])</f>
        <v>0</v>
      </c>
      <c r="O33" s="149" t="str">
        <f>+IFERROR(VLOOKUP(Assegnazione[[#This Row],[Bene]],B[],MATCH($O$4,Beni!$A$4:$Z$4,0),0),"")</f>
        <v/>
      </c>
      <c r="P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8">
        <f>+SUMIF(B[Bene],Assegnazione[[#This Row],[Bene]],B[Iva se dovuta])*Assegnazione[[#This Row],[Quota di assegnazione]]</f>
        <v>0</v>
      </c>
      <c r="S33" s="178">
        <f>+SUMIF(B[Bene],Assegnazione[[#This Row],[Bene]],B[Imposta di registro (fissa + prop) senza agevolazione])*Assegnazione[[#This Row],[Quota di assegnazione]]</f>
        <v>0</v>
      </c>
      <c r="T33" s="178">
        <f>+SUMIF(B[Bene],Assegnazione[[#This Row],[Bene]],B[Ipotecaria e catastale senza agevolazione])*Assegnazione[[#This Row],[Quota di assegnazione]]</f>
        <v>0</v>
      </c>
      <c r="U33" s="179">
        <f>+SUM(Assegnazione[[#This Row],[Tassazione diretta senza agevolazione]:[Ipotecaria e catastale senza agevolazione]])</f>
        <v>0</v>
      </c>
      <c r="V33" s="178">
        <f>+SUMIF(B[Bene],Assegnazione[[#This Row],[Bene]],B[Imponibile Imposta sostitutiva])*Assegnazione[[#This Row],[Quota di assegnazione]]*DATI!$E$27</f>
        <v>0</v>
      </c>
      <c r="W33" s="178">
        <f>+SUMIF(B[Bene],Assegnazione[[#This Row],[Bene]],B[Imposta di registro in misura fissa agevolata])*Assegnazione[[#This Row],[Quota di assegnazione]]</f>
        <v>0</v>
      </c>
      <c r="X33" s="178">
        <f>+SUMIF(B[Bene],Assegnazione[[#This Row],[Bene]],B[Imposta di registro prop. Agevolata])*Assegnazione[[#This Row],[Quota di assegnazione]]</f>
        <v>0</v>
      </c>
      <c r="Y33" s="178">
        <f>+IFERROR(Assegnazione[[#This Row],[Imposta di registro in misura fissa]]+Assegnazione[[#This Row],[Imposta di registro prop.]],"")</f>
        <v>0</v>
      </c>
      <c r="Z33" s="178">
        <f>+SUMIF(B[Bene],Assegnazione[[#This Row],[Bene]],B[Ipotecaria catastale agevolata])*Assegnazione[[#This Row],[Quota di assegnazione]]</f>
        <v>0</v>
      </c>
    </row>
    <row r="34" spans="1:26" x14ac:dyDescent="0.2">
      <c r="A34" s="126"/>
      <c r="B34" s="135"/>
      <c r="C34" s="126"/>
      <c r="D34" s="175">
        <f>+SUMIF(B[Bene],Assegnazione[[#This Row],[Bene]],B[Imponibile Iva])*Assegnazione[[#This Row],[Quota di assegnazione]]</f>
        <v>0</v>
      </c>
      <c r="E34" s="175">
        <f>+SUMIF(B[Bene],Assegnazione[[#This Row],[Bene]],B[Valore inserito manualmente])*Assegnazione[[#This Row],[Quota di assegnazione]]</f>
        <v>0</v>
      </c>
      <c r="F34" s="176" t="str">
        <f>+IF(A34="","",VLOOKUP(Assegnazione[[#This Row],[Bene]],B[],3,0))</f>
        <v/>
      </c>
      <c r="G34" s="132" t="str">
        <f>+IFERROR(VLOOKUP(Assegnazione[[#This Row],[Bene]],B[],MATCH("Agevolabile",Beni!$A$4:$AC$4,0),0)*VLOOKUP(Assegnazione[[#This Row],[Socio]],A_1[],8,0),"")</f>
        <v/>
      </c>
      <c r="H34" s="175">
        <f>+SUMIF(B[Bene],Assegnazione[[#This Row],[Bene]],B[Valore netto contabile fiscalmente riconosciuto])*Assegnazione[[#This Row],[Quota di assegnazione]]</f>
        <v>0</v>
      </c>
      <c r="I34" s="175">
        <f>+SUMIF(B[Bene],Assegnazione[[#This Row],[Bene]],B[Valore normale])*Assegnazione[[#This Row],[Quota di assegnazione]]</f>
        <v>0</v>
      </c>
      <c r="J34" s="177">
        <f>+IF(Assegnazione[[#This Row],[Bene]]="",0,SUMIF(Assegnazione[Socio],Assegnazione[[#This Row],[Socio]],Assegnazione[Valore Normale])/$I$3)</f>
        <v>0</v>
      </c>
      <c r="K34" s="177" t="str">
        <f>IF(Assegnazione[[#This Row],[Bene]]="","",SUMIF(A_1[Nome],Assegnazione[[#This Row],[Socio]],A_1[Quota partecipazione al momento dell''operazione]))</f>
        <v/>
      </c>
      <c r="L34" s="175">
        <f>+SUMIF(B[Bene],Assegnazione[[#This Row],[Bene]],B[Valore catastale])*Assegnazione[[#This Row],[Quota di assegnazione]]</f>
        <v>0</v>
      </c>
      <c r="M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5">
        <f>+MIN(Assegnazione[[#This Row],[Valore ai fini dell''atto]],Assegnazione[[#This Row],[Valore Fiscalmente riconosciuto]])</f>
        <v>0</v>
      </c>
      <c r="O34" s="149" t="str">
        <f>+IFERROR(VLOOKUP(Assegnazione[[#This Row],[Bene]],B[],MATCH($O$4,Beni!$A$4:$Z$4,0),0),"")</f>
        <v/>
      </c>
      <c r="P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8">
        <f>+SUMIF(B[Bene],Assegnazione[[#This Row],[Bene]],B[Iva se dovuta])*Assegnazione[[#This Row],[Quota di assegnazione]]</f>
        <v>0</v>
      </c>
      <c r="S34" s="178">
        <f>+SUMIF(B[Bene],Assegnazione[[#This Row],[Bene]],B[Imposta di registro (fissa + prop) senza agevolazione])*Assegnazione[[#This Row],[Quota di assegnazione]]</f>
        <v>0</v>
      </c>
      <c r="T34" s="178">
        <f>+SUMIF(B[Bene],Assegnazione[[#This Row],[Bene]],B[Ipotecaria e catastale senza agevolazione])*Assegnazione[[#This Row],[Quota di assegnazione]]</f>
        <v>0</v>
      </c>
      <c r="U34" s="179">
        <f>+SUM(Assegnazione[[#This Row],[Tassazione diretta senza agevolazione]:[Ipotecaria e catastale senza agevolazione]])</f>
        <v>0</v>
      </c>
      <c r="V34" s="178">
        <f>+SUMIF(B[Bene],Assegnazione[[#This Row],[Bene]],B[Imponibile Imposta sostitutiva])*Assegnazione[[#This Row],[Quota di assegnazione]]*DATI!$E$27</f>
        <v>0</v>
      </c>
      <c r="W34" s="178">
        <f>+SUMIF(B[Bene],Assegnazione[[#This Row],[Bene]],B[Imposta di registro in misura fissa agevolata])*Assegnazione[[#This Row],[Quota di assegnazione]]</f>
        <v>0</v>
      </c>
      <c r="X34" s="178">
        <f>+SUMIF(B[Bene],Assegnazione[[#This Row],[Bene]],B[Imposta di registro prop. Agevolata])*Assegnazione[[#This Row],[Quota di assegnazione]]</f>
        <v>0</v>
      </c>
      <c r="Y34" s="178">
        <f>+IFERROR(Assegnazione[[#This Row],[Imposta di registro in misura fissa]]+Assegnazione[[#This Row],[Imposta di registro prop.]],"")</f>
        <v>0</v>
      </c>
      <c r="Z34" s="178">
        <f>+SUMIF(B[Bene],Assegnazione[[#This Row],[Bene]],B[Ipotecaria catastale agevolata])*Assegnazione[[#This Row],[Quota di assegnazione]]</f>
        <v>0</v>
      </c>
    </row>
    <row r="35" spans="1:26" x14ac:dyDescent="0.2">
      <c r="A35" s="126"/>
      <c r="B35" s="135"/>
      <c r="C35" s="126"/>
      <c r="D35" s="175">
        <f>+SUMIF(B[Bene],Assegnazione[[#This Row],[Bene]],B[Imponibile Iva])*Assegnazione[[#This Row],[Quota di assegnazione]]</f>
        <v>0</v>
      </c>
      <c r="E35" s="175">
        <f>+SUMIF(B[Bene],Assegnazione[[#This Row],[Bene]],B[Valore inserito manualmente])*Assegnazione[[#This Row],[Quota di assegnazione]]</f>
        <v>0</v>
      </c>
      <c r="F35" s="176" t="str">
        <f>+IF(A35="","",VLOOKUP(Assegnazione[[#This Row],[Bene]],B[],3,0))</f>
        <v/>
      </c>
      <c r="G35" s="132" t="str">
        <f>+IFERROR(VLOOKUP(Assegnazione[[#This Row],[Bene]],B[],MATCH("Agevolabile",Beni!$A$4:$AC$4,0),0)*VLOOKUP(Assegnazione[[#This Row],[Socio]],A_1[],8,0),"")</f>
        <v/>
      </c>
      <c r="H35" s="175">
        <f>+SUMIF(B[Bene],Assegnazione[[#This Row],[Bene]],B[Valore netto contabile fiscalmente riconosciuto])*Assegnazione[[#This Row],[Quota di assegnazione]]</f>
        <v>0</v>
      </c>
      <c r="I35" s="175">
        <f>+SUMIF(B[Bene],Assegnazione[[#This Row],[Bene]],B[Valore normale])*Assegnazione[[#This Row],[Quota di assegnazione]]</f>
        <v>0</v>
      </c>
      <c r="J35" s="177">
        <f>+IF(Assegnazione[[#This Row],[Bene]]="",0,SUMIF(Assegnazione[Socio],Assegnazione[[#This Row],[Socio]],Assegnazione[Valore Normale])/$I$3)</f>
        <v>0</v>
      </c>
      <c r="K35" s="177" t="str">
        <f>IF(Assegnazione[[#This Row],[Bene]]="","",SUMIF(A_1[Nome],Assegnazione[[#This Row],[Socio]],A_1[Quota partecipazione al momento dell''operazione]))</f>
        <v/>
      </c>
      <c r="L35" s="175">
        <f>+SUMIF(B[Bene],Assegnazione[[#This Row],[Bene]],B[Valore catastale])*Assegnazione[[#This Row],[Quota di assegnazione]]</f>
        <v>0</v>
      </c>
      <c r="M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5">
        <f>+MIN(Assegnazione[[#This Row],[Valore ai fini dell''atto]],Assegnazione[[#This Row],[Valore Fiscalmente riconosciuto]])</f>
        <v>0</v>
      </c>
      <c r="O35" s="149" t="str">
        <f>+IFERROR(VLOOKUP(Assegnazione[[#This Row],[Bene]],B[],MATCH($O$4,Beni!$A$4:$Z$4,0),0),"")</f>
        <v/>
      </c>
      <c r="P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8">
        <f>+SUMIF(B[Bene],Assegnazione[[#This Row],[Bene]],B[Iva se dovuta])*Assegnazione[[#This Row],[Quota di assegnazione]]</f>
        <v>0</v>
      </c>
      <c r="S35" s="178">
        <f>+SUMIF(B[Bene],Assegnazione[[#This Row],[Bene]],B[Imposta di registro (fissa + prop) senza agevolazione])*Assegnazione[[#This Row],[Quota di assegnazione]]</f>
        <v>0</v>
      </c>
      <c r="T35" s="178">
        <f>+SUMIF(B[Bene],Assegnazione[[#This Row],[Bene]],B[Ipotecaria e catastale senza agevolazione])*Assegnazione[[#This Row],[Quota di assegnazione]]</f>
        <v>0</v>
      </c>
      <c r="U35" s="179">
        <f>+SUM(Assegnazione[[#This Row],[Tassazione diretta senza agevolazione]:[Ipotecaria e catastale senza agevolazione]])</f>
        <v>0</v>
      </c>
      <c r="V35" s="178">
        <f>+SUMIF(B[Bene],Assegnazione[[#This Row],[Bene]],B[Imponibile Imposta sostitutiva])*Assegnazione[[#This Row],[Quota di assegnazione]]*DATI!$E$27</f>
        <v>0</v>
      </c>
      <c r="W35" s="178">
        <f>+SUMIF(B[Bene],Assegnazione[[#This Row],[Bene]],B[Imposta di registro in misura fissa agevolata])*Assegnazione[[#This Row],[Quota di assegnazione]]</f>
        <v>0</v>
      </c>
      <c r="X35" s="178">
        <f>+SUMIF(B[Bene],Assegnazione[[#This Row],[Bene]],B[Imposta di registro prop. Agevolata])*Assegnazione[[#This Row],[Quota di assegnazione]]</f>
        <v>0</v>
      </c>
      <c r="Y35" s="178">
        <f>+IFERROR(Assegnazione[[#This Row],[Imposta di registro in misura fissa]]+Assegnazione[[#This Row],[Imposta di registro prop.]],"")</f>
        <v>0</v>
      </c>
      <c r="Z35" s="178">
        <f>+SUMIF(B[Bene],Assegnazione[[#This Row],[Bene]],B[Ipotecaria catastale agevolata])*Assegnazione[[#This Row],[Quota di assegnazione]]</f>
        <v>0</v>
      </c>
    </row>
    <row r="36" spans="1:26" x14ac:dyDescent="0.2">
      <c r="A36" s="126"/>
      <c r="B36" s="135"/>
      <c r="C36" s="126"/>
      <c r="D36" s="175">
        <f>+SUMIF(B[Bene],Assegnazione[[#This Row],[Bene]],B[Imponibile Iva])*Assegnazione[[#This Row],[Quota di assegnazione]]</f>
        <v>0</v>
      </c>
      <c r="E36" s="175">
        <f>+SUMIF(B[Bene],Assegnazione[[#This Row],[Bene]],B[Valore inserito manualmente])*Assegnazione[[#This Row],[Quota di assegnazione]]</f>
        <v>0</v>
      </c>
      <c r="F36" s="176" t="str">
        <f>+IF(A36="","",VLOOKUP(Assegnazione[[#This Row],[Bene]],B[],3,0))</f>
        <v/>
      </c>
      <c r="G36" s="132" t="str">
        <f>+IFERROR(VLOOKUP(Assegnazione[[#This Row],[Bene]],B[],MATCH("Agevolabile",Beni!$A$4:$AC$4,0),0)*VLOOKUP(Assegnazione[[#This Row],[Socio]],A_1[],8,0),"")</f>
        <v/>
      </c>
      <c r="H36" s="175">
        <f>+SUMIF(B[Bene],Assegnazione[[#This Row],[Bene]],B[Valore netto contabile fiscalmente riconosciuto])*Assegnazione[[#This Row],[Quota di assegnazione]]</f>
        <v>0</v>
      </c>
      <c r="I36" s="175">
        <f>+SUMIF(B[Bene],Assegnazione[[#This Row],[Bene]],B[Valore normale])*Assegnazione[[#This Row],[Quota di assegnazione]]</f>
        <v>0</v>
      </c>
      <c r="J36" s="177">
        <f>+IF(Assegnazione[[#This Row],[Bene]]="",0,SUMIF(Assegnazione[Socio],Assegnazione[[#This Row],[Socio]],Assegnazione[Valore Normale])/$I$3)</f>
        <v>0</v>
      </c>
      <c r="K36" s="177" t="str">
        <f>IF(Assegnazione[[#This Row],[Bene]]="","",SUMIF(A_1[Nome],Assegnazione[[#This Row],[Socio]],A_1[Quota partecipazione al momento dell''operazione]))</f>
        <v/>
      </c>
      <c r="L36" s="175">
        <f>+SUMIF(B[Bene],Assegnazione[[#This Row],[Bene]],B[Valore catastale])*Assegnazione[[#This Row],[Quota di assegnazione]]</f>
        <v>0</v>
      </c>
      <c r="M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5">
        <f>+MIN(Assegnazione[[#This Row],[Valore ai fini dell''atto]],Assegnazione[[#This Row],[Valore Fiscalmente riconosciuto]])</f>
        <v>0</v>
      </c>
      <c r="O36" s="149" t="str">
        <f>+IFERROR(VLOOKUP(Assegnazione[[#This Row],[Bene]],B[],MATCH($O$4,Beni!$A$4:$Z$4,0),0),"")</f>
        <v/>
      </c>
      <c r="P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8">
        <f>+SUMIF(B[Bene],Assegnazione[[#This Row],[Bene]],B[Iva se dovuta])*Assegnazione[[#This Row],[Quota di assegnazione]]</f>
        <v>0</v>
      </c>
      <c r="S36" s="178">
        <f>+SUMIF(B[Bene],Assegnazione[[#This Row],[Bene]],B[Imposta di registro (fissa + prop) senza agevolazione])*Assegnazione[[#This Row],[Quota di assegnazione]]</f>
        <v>0</v>
      </c>
      <c r="T36" s="178">
        <f>+SUMIF(B[Bene],Assegnazione[[#This Row],[Bene]],B[Ipotecaria e catastale senza agevolazione])*Assegnazione[[#This Row],[Quota di assegnazione]]</f>
        <v>0</v>
      </c>
      <c r="U36" s="179">
        <f>+SUM(Assegnazione[[#This Row],[Tassazione diretta senza agevolazione]:[Ipotecaria e catastale senza agevolazione]])</f>
        <v>0</v>
      </c>
      <c r="V36" s="178">
        <f>+SUMIF(B[Bene],Assegnazione[[#This Row],[Bene]],B[Imponibile Imposta sostitutiva])*Assegnazione[[#This Row],[Quota di assegnazione]]*DATI!$E$27</f>
        <v>0</v>
      </c>
      <c r="W36" s="178">
        <f>+SUMIF(B[Bene],Assegnazione[[#This Row],[Bene]],B[Imposta di registro in misura fissa agevolata])*Assegnazione[[#This Row],[Quota di assegnazione]]</f>
        <v>0</v>
      </c>
      <c r="X36" s="178">
        <f>+SUMIF(B[Bene],Assegnazione[[#This Row],[Bene]],B[Imposta di registro prop. Agevolata])*Assegnazione[[#This Row],[Quota di assegnazione]]</f>
        <v>0</v>
      </c>
      <c r="Y36" s="178">
        <f>+IFERROR(Assegnazione[[#This Row],[Imposta di registro in misura fissa]]+Assegnazione[[#This Row],[Imposta di registro prop.]],"")</f>
        <v>0</v>
      </c>
      <c r="Z36" s="178">
        <f>+SUMIF(B[Bene],Assegnazione[[#This Row],[Bene]],B[Ipotecaria catastale agevolata])*Assegnazione[[#This Row],[Quota di assegnazione]]</f>
        <v>0</v>
      </c>
    </row>
    <row r="37" spans="1:26" x14ac:dyDescent="0.2">
      <c r="A37" s="126"/>
      <c r="B37" s="135"/>
      <c r="C37" s="126"/>
      <c r="D37" s="175">
        <f>+SUMIF(B[Bene],Assegnazione[[#This Row],[Bene]],B[Imponibile Iva])*Assegnazione[[#This Row],[Quota di assegnazione]]</f>
        <v>0</v>
      </c>
      <c r="E37" s="175">
        <f>+SUMIF(B[Bene],Assegnazione[[#This Row],[Bene]],B[Valore inserito manualmente])*Assegnazione[[#This Row],[Quota di assegnazione]]</f>
        <v>0</v>
      </c>
      <c r="F37" s="176" t="str">
        <f>+IF(A37="","",VLOOKUP(Assegnazione[[#This Row],[Bene]],B[],3,0))</f>
        <v/>
      </c>
      <c r="G37" s="132" t="str">
        <f>+IFERROR(VLOOKUP(Assegnazione[[#This Row],[Bene]],B[],MATCH("Agevolabile",Beni!$A$4:$AC$4,0),0)*VLOOKUP(Assegnazione[[#This Row],[Socio]],A_1[],8,0),"")</f>
        <v/>
      </c>
      <c r="H37" s="175">
        <f>+SUMIF(B[Bene],Assegnazione[[#This Row],[Bene]],B[Valore netto contabile fiscalmente riconosciuto])*Assegnazione[[#This Row],[Quota di assegnazione]]</f>
        <v>0</v>
      </c>
      <c r="I37" s="175">
        <f>+SUMIF(B[Bene],Assegnazione[[#This Row],[Bene]],B[Valore normale])*Assegnazione[[#This Row],[Quota di assegnazione]]</f>
        <v>0</v>
      </c>
      <c r="J37" s="177">
        <f>+IF(Assegnazione[[#This Row],[Bene]]="",0,SUMIF(Assegnazione[Socio],Assegnazione[[#This Row],[Socio]],Assegnazione[Valore Normale])/$I$3)</f>
        <v>0</v>
      </c>
      <c r="K37" s="177" t="str">
        <f>IF(Assegnazione[[#This Row],[Bene]]="","",SUMIF(A_1[Nome],Assegnazione[[#This Row],[Socio]],A_1[Quota partecipazione al momento dell''operazione]))</f>
        <v/>
      </c>
      <c r="L37" s="175">
        <f>+SUMIF(B[Bene],Assegnazione[[#This Row],[Bene]],B[Valore catastale])*Assegnazione[[#This Row],[Quota di assegnazione]]</f>
        <v>0</v>
      </c>
      <c r="M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5">
        <f>+MIN(Assegnazione[[#This Row],[Valore ai fini dell''atto]],Assegnazione[[#This Row],[Valore Fiscalmente riconosciuto]])</f>
        <v>0</v>
      </c>
      <c r="O37" s="149" t="str">
        <f>+IFERROR(VLOOKUP(Assegnazione[[#This Row],[Bene]],B[],MATCH($O$4,Beni!$A$4:$Z$4,0),0),"")</f>
        <v/>
      </c>
      <c r="P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8">
        <f>+SUMIF(B[Bene],Assegnazione[[#This Row],[Bene]],B[Iva se dovuta])*Assegnazione[[#This Row],[Quota di assegnazione]]</f>
        <v>0</v>
      </c>
      <c r="S37" s="178">
        <f>+SUMIF(B[Bene],Assegnazione[[#This Row],[Bene]],B[Imposta di registro (fissa + prop) senza agevolazione])*Assegnazione[[#This Row],[Quota di assegnazione]]</f>
        <v>0</v>
      </c>
      <c r="T37" s="178">
        <f>+SUMIF(B[Bene],Assegnazione[[#This Row],[Bene]],B[Ipotecaria e catastale senza agevolazione])*Assegnazione[[#This Row],[Quota di assegnazione]]</f>
        <v>0</v>
      </c>
      <c r="U37" s="179">
        <f>+SUM(Assegnazione[[#This Row],[Tassazione diretta senza agevolazione]:[Ipotecaria e catastale senza agevolazione]])</f>
        <v>0</v>
      </c>
      <c r="V37" s="178">
        <f>+SUMIF(B[Bene],Assegnazione[[#This Row],[Bene]],B[Imponibile Imposta sostitutiva])*Assegnazione[[#This Row],[Quota di assegnazione]]*DATI!$E$27</f>
        <v>0</v>
      </c>
      <c r="W37" s="178">
        <f>+SUMIF(B[Bene],Assegnazione[[#This Row],[Bene]],B[Imposta di registro in misura fissa agevolata])*Assegnazione[[#This Row],[Quota di assegnazione]]</f>
        <v>0</v>
      </c>
      <c r="X37" s="178">
        <f>+SUMIF(B[Bene],Assegnazione[[#This Row],[Bene]],B[Imposta di registro prop. Agevolata])*Assegnazione[[#This Row],[Quota di assegnazione]]</f>
        <v>0</v>
      </c>
      <c r="Y37" s="178">
        <f>+IFERROR(Assegnazione[[#This Row],[Imposta di registro in misura fissa]]+Assegnazione[[#This Row],[Imposta di registro prop.]],"")</f>
        <v>0</v>
      </c>
      <c r="Z37" s="178">
        <f>+SUMIF(B[Bene],Assegnazione[[#This Row],[Bene]],B[Ipotecaria catastale agevolata])*Assegnazione[[#This Row],[Quota di assegnazione]]</f>
        <v>0</v>
      </c>
    </row>
    <row r="38" spans="1:26" x14ac:dyDescent="0.2">
      <c r="A38" s="126"/>
      <c r="B38" s="135"/>
      <c r="C38" s="126"/>
      <c r="D38" s="175">
        <f>+SUMIF(B[Bene],Assegnazione[[#This Row],[Bene]],B[Imponibile Iva])*Assegnazione[[#This Row],[Quota di assegnazione]]</f>
        <v>0</v>
      </c>
      <c r="E38" s="175">
        <f>+SUMIF(B[Bene],Assegnazione[[#This Row],[Bene]],B[Valore inserito manualmente])*Assegnazione[[#This Row],[Quota di assegnazione]]</f>
        <v>0</v>
      </c>
      <c r="F38" s="176" t="str">
        <f>+IF(A38="","",VLOOKUP(Assegnazione[[#This Row],[Bene]],B[],3,0))</f>
        <v/>
      </c>
      <c r="G38" s="132" t="str">
        <f>+IFERROR(VLOOKUP(Assegnazione[[#This Row],[Bene]],B[],MATCH("Agevolabile",Beni!$A$4:$AC$4,0),0)*VLOOKUP(Assegnazione[[#This Row],[Socio]],A_1[],8,0),"")</f>
        <v/>
      </c>
      <c r="H38" s="175">
        <f>+SUMIF(B[Bene],Assegnazione[[#This Row],[Bene]],B[Valore netto contabile fiscalmente riconosciuto])*Assegnazione[[#This Row],[Quota di assegnazione]]</f>
        <v>0</v>
      </c>
      <c r="I38" s="175">
        <f>+SUMIF(B[Bene],Assegnazione[[#This Row],[Bene]],B[Valore normale])*Assegnazione[[#This Row],[Quota di assegnazione]]</f>
        <v>0</v>
      </c>
      <c r="J38" s="177">
        <f>+IF(Assegnazione[[#This Row],[Bene]]="",0,SUMIF(Assegnazione[Socio],Assegnazione[[#This Row],[Socio]],Assegnazione[Valore Normale])/$I$3)</f>
        <v>0</v>
      </c>
      <c r="K38" s="177" t="str">
        <f>IF(Assegnazione[[#This Row],[Bene]]="","",SUMIF(A_1[Nome],Assegnazione[[#This Row],[Socio]],A_1[Quota partecipazione al momento dell''operazione]))</f>
        <v/>
      </c>
      <c r="L38" s="175">
        <f>+SUMIF(B[Bene],Assegnazione[[#This Row],[Bene]],B[Valore catastale])*Assegnazione[[#This Row],[Quota di assegnazione]]</f>
        <v>0</v>
      </c>
      <c r="M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5">
        <f>+MIN(Assegnazione[[#This Row],[Valore ai fini dell''atto]],Assegnazione[[#This Row],[Valore Fiscalmente riconosciuto]])</f>
        <v>0</v>
      </c>
      <c r="O38" s="149" t="str">
        <f>+IFERROR(VLOOKUP(Assegnazione[[#This Row],[Bene]],B[],MATCH($O$4,Beni!$A$4:$Z$4,0),0),"")</f>
        <v/>
      </c>
      <c r="P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8">
        <f>+SUMIF(B[Bene],Assegnazione[[#This Row],[Bene]],B[Iva se dovuta])*Assegnazione[[#This Row],[Quota di assegnazione]]</f>
        <v>0</v>
      </c>
      <c r="S38" s="178">
        <f>+SUMIF(B[Bene],Assegnazione[[#This Row],[Bene]],B[Imposta di registro (fissa + prop) senza agevolazione])*Assegnazione[[#This Row],[Quota di assegnazione]]</f>
        <v>0</v>
      </c>
      <c r="T38" s="178">
        <f>+SUMIF(B[Bene],Assegnazione[[#This Row],[Bene]],B[Ipotecaria e catastale senza agevolazione])*Assegnazione[[#This Row],[Quota di assegnazione]]</f>
        <v>0</v>
      </c>
      <c r="U38" s="179">
        <f>+SUM(Assegnazione[[#This Row],[Tassazione diretta senza agevolazione]:[Ipotecaria e catastale senza agevolazione]])</f>
        <v>0</v>
      </c>
      <c r="V38" s="178">
        <f>+SUMIF(B[Bene],Assegnazione[[#This Row],[Bene]],B[Imponibile Imposta sostitutiva])*Assegnazione[[#This Row],[Quota di assegnazione]]*DATI!$E$27</f>
        <v>0</v>
      </c>
      <c r="W38" s="178">
        <f>+SUMIF(B[Bene],Assegnazione[[#This Row],[Bene]],B[Imposta di registro in misura fissa agevolata])*Assegnazione[[#This Row],[Quota di assegnazione]]</f>
        <v>0</v>
      </c>
      <c r="X38" s="178">
        <f>+SUMIF(B[Bene],Assegnazione[[#This Row],[Bene]],B[Imposta di registro prop. Agevolata])*Assegnazione[[#This Row],[Quota di assegnazione]]</f>
        <v>0</v>
      </c>
      <c r="Y38" s="178">
        <f>+IFERROR(Assegnazione[[#This Row],[Imposta di registro in misura fissa]]+Assegnazione[[#This Row],[Imposta di registro prop.]],"")</f>
        <v>0</v>
      </c>
      <c r="Z38" s="178">
        <f>+SUMIF(B[Bene],Assegnazione[[#This Row],[Bene]],B[Ipotecaria catastale agevolata])*Assegnazione[[#This Row],[Quota di assegnazione]]</f>
        <v>0</v>
      </c>
    </row>
    <row r="39" spans="1:26" x14ac:dyDescent="0.2">
      <c r="A39" s="126"/>
      <c r="B39" s="135"/>
      <c r="C39" s="126"/>
      <c r="D39" s="175">
        <f>+SUMIF(B[Bene],Assegnazione[[#This Row],[Bene]],B[Imponibile Iva])*Assegnazione[[#This Row],[Quota di assegnazione]]</f>
        <v>0</v>
      </c>
      <c r="E39" s="175">
        <f>+SUMIF(B[Bene],Assegnazione[[#This Row],[Bene]],B[Valore inserito manualmente])*Assegnazione[[#This Row],[Quota di assegnazione]]</f>
        <v>0</v>
      </c>
      <c r="F39" s="176" t="str">
        <f>+IF(A39="","",VLOOKUP(Assegnazione[[#This Row],[Bene]],B[],3,0))</f>
        <v/>
      </c>
      <c r="G39" s="132" t="str">
        <f>+IFERROR(VLOOKUP(Assegnazione[[#This Row],[Bene]],B[],MATCH("Agevolabile",Beni!$A$4:$AC$4,0),0)*VLOOKUP(Assegnazione[[#This Row],[Socio]],A_1[],8,0),"")</f>
        <v/>
      </c>
      <c r="H39" s="175">
        <f>+SUMIF(B[Bene],Assegnazione[[#This Row],[Bene]],B[Valore netto contabile fiscalmente riconosciuto])*Assegnazione[[#This Row],[Quota di assegnazione]]</f>
        <v>0</v>
      </c>
      <c r="I39" s="175">
        <f>+SUMIF(B[Bene],Assegnazione[[#This Row],[Bene]],B[Valore normale])*Assegnazione[[#This Row],[Quota di assegnazione]]</f>
        <v>0</v>
      </c>
      <c r="J39" s="177">
        <f>+IF(Assegnazione[[#This Row],[Bene]]="",0,SUMIF(Assegnazione[Socio],Assegnazione[[#This Row],[Socio]],Assegnazione[Valore Normale])/$I$3)</f>
        <v>0</v>
      </c>
      <c r="K39" s="177" t="str">
        <f>IF(Assegnazione[[#This Row],[Bene]]="","",SUMIF(A_1[Nome],Assegnazione[[#This Row],[Socio]],A_1[Quota partecipazione al momento dell''operazione]))</f>
        <v/>
      </c>
      <c r="L39" s="175">
        <f>+SUMIF(B[Bene],Assegnazione[[#This Row],[Bene]],B[Valore catastale])*Assegnazione[[#This Row],[Quota di assegnazione]]</f>
        <v>0</v>
      </c>
      <c r="M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5">
        <f>+MIN(Assegnazione[[#This Row],[Valore ai fini dell''atto]],Assegnazione[[#This Row],[Valore Fiscalmente riconosciuto]])</f>
        <v>0</v>
      </c>
      <c r="O39" s="149" t="str">
        <f>+IFERROR(VLOOKUP(Assegnazione[[#This Row],[Bene]],B[],MATCH($O$4,Beni!$A$4:$Z$4,0),0),"")</f>
        <v/>
      </c>
      <c r="P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8">
        <f>+SUMIF(B[Bene],Assegnazione[[#This Row],[Bene]],B[Iva se dovuta])*Assegnazione[[#This Row],[Quota di assegnazione]]</f>
        <v>0</v>
      </c>
      <c r="S39" s="178">
        <f>+SUMIF(B[Bene],Assegnazione[[#This Row],[Bene]],B[Imposta di registro (fissa + prop) senza agevolazione])*Assegnazione[[#This Row],[Quota di assegnazione]]</f>
        <v>0</v>
      </c>
      <c r="T39" s="178">
        <f>+SUMIF(B[Bene],Assegnazione[[#This Row],[Bene]],B[Ipotecaria e catastale senza agevolazione])*Assegnazione[[#This Row],[Quota di assegnazione]]</f>
        <v>0</v>
      </c>
      <c r="U39" s="179">
        <f>+SUM(Assegnazione[[#This Row],[Tassazione diretta senza agevolazione]:[Ipotecaria e catastale senza agevolazione]])</f>
        <v>0</v>
      </c>
      <c r="V39" s="178">
        <f>+SUMIF(B[Bene],Assegnazione[[#This Row],[Bene]],B[Imponibile Imposta sostitutiva])*Assegnazione[[#This Row],[Quota di assegnazione]]*DATI!$E$27</f>
        <v>0</v>
      </c>
      <c r="W39" s="178">
        <f>+SUMIF(B[Bene],Assegnazione[[#This Row],[Bene]],B[Imposta di registro in misura fissa agevolata])*Assegnazione[[#This Row],[Quota di assegnazione]]</f>
        <v>0</v>
      </c>
      <c r="X39" s="178">
        <f>+SUMIF(B[Bene],Assegnazione[[#This Row],[Bene]],B[Imposta di registro prop. Agevolata])*Assegnazione[[#This Row],[Quota di assegnazione]]</f>
        <v>0</v>
      </c>
      <c r="Y39" s="178">
        <f>+IFERROR(Assegnazione[[#This Row],[Imposta di registro in misura fissa]]+Assegnazione[[#This Row],[Imposta di registro prop.]],"")</f>
        <v>0</v>
      </c>
      <c r="Z39" s="178">
        <f>+SUMIF(B[Bene],Assegnazione[[#This Row],[Bene]],B[Ipotecaria catastale agevolata])*Assegnazione[[#This Row],[Quota di assegnazione]]</f>
        <v>0</v>
      </c>
    </row>
    <row r="40" spans="1:26" x14ac:dyDescent="0.2">
      <c r="A40" s="126"/>
      <c r="B40" s="135"/>
      <c r="C40" s="126"/>
      <c r="D40" s="175">
        <f>+SUMIF(B[Bene],Assegnazione[[#This Row],[Bene]],B[Imponibile Iva])*Assegnazione[[#This Row],[Quota di assegnazione]]</f>
        <v>0</v>
      </c>
      <c r="E40" s="175">
        <f>+SUMIF(B[Bene],Assegnazione[[#This Row],[Bene]],B[Valore inserito manualmente])*Assegnazione[[#This Row],[Quota di assegnazione]]</f>
        <v>0</v>
      </c>
      <c r="F40" s="176" t="str">
        <f>+IF(A40="","",VLOOKUP(Assegnazione[[#This Row],[Bene]],B[],3,0))</f>
        <v/>
      </c>
      <c r="G40" s="132" t="str">
        <f>+IFERROR(VLOOKUP(Assegnazione[[#This Row],[Bene]],B[],MATCH("Agevolabile",Beni!$A$4:$AC$4,0),0)*VLOOKUP(Assegnazione[[#This Row],[Socio]],A_1[],8,0),"")</f>
        <v/>
      </c>
      <c r="H40" s="175">
        <f>+SUMIF(B[Bene],Assegnazione[[#This Row],[Bene]],B[Valore netto contabile fiscalmente riconosciuto])*Assegnazione[[#This Row],[Quota di assegnazione]]</f>
        <v>0</v>
      </c>
      <c r="I40" s="175">
        <f>+SUMIF(B[Bene],Assegnazione[[#This Row],[Bene]],B[Valore normale])*Assegnazione[[#This Row],[Quota di assegnazione]]</f>
        <v>0</v>
      </c>
      <c r="J40" s="177">
        <f>+IF(Assegnazione[[#This Row],[Bene]]="",0,SUMIF(Assegnazione[Socio],Assegnazione[[#This Row],[Socio]],Assegnazione[Valore Normale])/$I$3)</f>
        <v>0</v>
      </c>
      <c r="K40" s="177" t="str">
        <f>IF(Assegnazione[[#This Row],[Bene]]="","",SUMIF(A_1[Nome],Assegnazione[[#This Row],[Socio]],A_1[Quota partecipazione al momento dell''operazione]))</f>
        <v/>
      </c>
      <c r="L40" s="175">
        <f>+SUMIF(B[Bene],Assegnazione[[#This Row],[Bene]],B[Valore catastale])*Assegnazione[[#This Row],[Quota di assegnazione]]</f>
        <v>0</v>
      </c>
      <c r="M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5">
        <f>+MIN(Assegnazione[[#This Row],[Valore ai fini dell''atto]],Assegnazione[[#This Row],[Valore Fiscalmente riconosciuto]])</f>
        <v>0</v>
      </c>
      <c r="O40" s="149" t="str">
        <f>+IFERROR(VLOOKUP(Assegnazione[[#This Row],[Bene]],B[],MATCH($O$4,Beni!$A$4:$Z$4,0),0),"")</f>
        <v/>
      </c>
      <c r="P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8">
        <f>+SUMIF(B[Bene],Assegnazione[[#This Row],[Bene]],B[Iva se dovuta])*Assegnazione[[#This Row],[Quota di assegnazione]]</f>
        <v>0</v>
      </c>
      <c r="S40" s="178">
        <f>+SUMIF(B[Bene],Assegnazione[[#This Row],[Bene]],B[Imposta di registro (fissa + prop) senza agevolazione])*Assegnazione[[#This Row],[Quota di assegnazione]]</f>
        <v>0</v>
      </c>
      <c r="T40" s="178">
        <f>+SUMIF(B[Bene],Assegnazione[[#This Row],[Bene]],B[Ipotecaria e catastale senza agevolazione])*Assegnazione[[#This Row],[Quota di assegnazione]]</f>
        <v>0</v>
      </c>
      <c r="U40" s="179">
        <f>+SUM(Assegnazione[[#This Row],[Tassazione diretta senza agevolazione]:[Ipotecaria e catastale senza agevolazione]])</f>
        <v>0</v>
      </c>
      <c r="V40" s="178">
        <f>+SUMIF(B[Bene],Assegnazione[[#This Row],[Bene]],B[Imponibile Imposta sostitutiva])*Assegnazione[[#This Row],[Quota di assegnazione]]*DATI!$E$27</f>
        <v>0</v>
      </c>
      <c r="W40" s="178">
        <f>+SUMIF(B[Bene],Assegnazione[[#This Row],[Bene]],B[Imposta di registro in misura fissa agevolata])*Assegnazione[[#This Row],[Quota di assegnazione]]</f>
        <v>0</v>
      </c>
      <c r="X40" s="178">
        <f>+SUMIF(B[Bene],Assegnazione[[#This Row],[Bene]],B[Imposta di registro prop. Agevolata])*Assegnazione[[#This Row],[Quota di assegnazione]]</f>
        <v>0</v>
      </c>
      <c r="Y40" s="178">
        <f>+IFERROR(Assegnazione[[#This Row],[Imposta di registro in misura fissa]]+Assegnazione[[#This Row],[Imposta di registro prop.]],"")</f>
        <v>0</v>
      </c>
      <c r="Z40" s="178">
        <f>+SUMIF(B[Bene],Assegnazione[[#This Row],[Bene]],B[Ipotecaria catastale agevolata])*Assegnazione[[#This Row],[Quota di assegnazione]]</f>
        <v>0</v>
      </c>
    </row>
    <row r="41" spans="1:26" x14ac:dyDescent="0.2">
      <c r="A41" s="126"/>
      <c r="B41" s="135"/>
      <c r="C41" s="126"/>
      <c r="D41" s="175">
        <f>+SUMIF(B[Bene],Assegnazione[[#This Row],[Bene]],B[Imponibile Iva])*Assegnazione[[#This Row],[Quota di assegnazione]]</f>
        <v>0</v>
      </c>
      <c r="E41" s="175">
        <f>+SUMIF(B[Bene],Assegnazione[[#This Row],[Bene]],B[Valore inserito manualmente])*Assegnazione[[#This Row],[Quota di assegnazione]]</f>
        <v>0</v>
      </c>
      <c r="F41" s="176" t="str">
        <f>+IF(A41="","",VLOOKUP(Assegnazione[[#This Row],[Bene]],B[],3,0))</f>
        <v/>
      </c>
      <c r="G41" s="132" t="str">
        <f>+IFERROR(VLOOKUP(Assegnazione[[#This Row],[Bene]],B[],MATCH("Agevolabile",Beni!$A$4:$AC$4,0),0)*VLOOKUP(Assegnazione[[#This Row],[Socio]],A_1[],8,0),"")</f>
        <v/>
      </c>
      <c r="H41" s="175">
        <f>+SUMIF(B[Bene],Assegnazione[[#This Row],[Bene]],B[Valore netto contabile fiscalmente riconosciuto])*Assegnazione[[#This Row],[Quota di assegnazione]]</f>
        <v>0</v>
      </c>
      <c r="I41" s="175">
        <f>+SUMIF(B[Bene],Assegnazione[[#This Row],[Bene]],B[Valore normale])*Assegnazione[[#This Row],[Quota di assegnazione]]</f>
        <v>0</v>
      </c>
      <c r="J41" s="177">
        <f>+IF(Assegnazione[[#This Row],[Bene]]="",0,SUMIF(Assegnazione[Socio],Assegnazione[[#This Row],[Socio]],Assegnazione[Valore Normale])/$I$3)</f>
        <v>0</v>
      </c>
      <c r="K41" s="177" t="str">
        <f>IF(Assegnazione[[#This Row],[Bene]]="","",SUMIF(A_1[Nome],Assegnazione[[#This Row],[Socio]],A_1[Quota partecipazione al momento dell''operazione]))</f>
        <v/>
      </c>
      <c r="L41" s="175">
        <f>+SUMIF(B[Bene],Assegnazione[[#This Row],[Bene]],B[Valore catastale])*Assegnazione[[#This Row],[Quota di assegnazione]]</f>
        <v>0</v>
      </c>
      <c r="M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5">
        <f>+MIN(Assegnazione[[#This Row],[Valore ai fini dell''atto]],Assegnazione[[#This Row],[Valore Fiscalmente riconosciuto]])</f>
        <v>0</v>
      </c>
      <c r="O41" s="149" t="str">
        <f>+IFERROR(VLOOKUP(Assegnazione[[#This Row],[Bene]],B[],MATCH($O$4,Beni!$A$4:$Z$4,0),0),"")</f>
        <v/>
      </c>
      <c r="P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8">
        <f>+SUMIF(B[Bene],Assegnazione[[#This Row],[Bene]],B[Iva se dovuta])*Assegnazione[[#This Row],[Quota di assegnazione]]</f>
        <v>0</v>
      </c>
      <c r="S41" s="178">
        <f>+SUMIF(B[Bene],Assegnazione[[#This Row],[Bene]],B[Imposta di registro (fissa + prop) senza agevolazione])*Assegnazione[[#This Row],[Quota di assegnazione]]</f>
        <v>0</v>
      </c>
      <c r="T41" s="178">
        <f>+SUMIF(B[Bene],Assegnazione[[#This Row],[Bene]],B[Ipotecaria e catastale senza agevolazione])*Assegnazione[[#This Row],[Quota di assegnazione]]</f>
        <v>0</v>
      </c>
      <c r="U41" s="179">
        <f>+SUM(Assegnazione[[#This Row],[Tassazione diretta senza agevolazione]:[Ipotecaria e catastale senza agevolazione]])</f>
        <v>0</v>
      </c>
      <c r="V41" s="178">
        <f>+SUMIF(B[Bene],Assegnazione[[#This Row],[Bene]],B[Imponibile Imposta sostitutiva])*Assegnazione[[#This Row],[Quota di assegnazione]]*DATI!$E$27</f>
        <v>0</v>
      </c>
      <c r="W41" s="178">
        <f>+SUMIF(B[Bene],Assegnazione[[#This Row],[Bene]],B[Imposta di registro in misura fissa agevolata])*Assegnazione[[#This Row],[Quota di assegnazione]]</f>
        <v>0</v>
      </c>
      <c r="X41" s="178">
        <f>+SUMIF(B[Bene],Assegnazione[[#This Row],[Bene]],B[Imposta di registro prop. Agevolata])*Assegnazione[[#This Row],[Quota di assegnazione]]</f>
        <v>0</v>
      </c>
      <c r="Y41" s="178">
        <f>+IFERROR(Assegnazione[[#This Row],[Imposta di registro in misura fissa]]+Assegnazione[[#This Row],[Imposta di registro prop.]],"")</f>
        <v>0</v>
      </c>
      <c r="Z41" s="178">
        <f>+SUMIF(B[Bene],Assegnazione[[#This Row],[Bene]],B[Ipotecaria catastale agevolata])*Assegnazione[[#This Row],[Quota di assegnazione]]</f>
        <v>0</v>
      </c>
    </row>
    <row r="42" spans="1:26" x14ac:dyDescent="0.2">
      <c r="A42" s="126"/>
      <c r="B42" s="135"/>
      <c r="C42" s="126"/>
      <c r="D42" s="175">
        <f>+SUMIF(B[Bene],Assegnazione[[#This Row],[Bene]],B[Imponibile Iva])*Assegnazione[[#This Row],[Quota di assegnazione]]</f>
        <v>0</v>
      </c>
      <c r="E42" s="175">
        <f>+SUMIF(B[Bene],Assegnazione[[#This Row],[Bene]],B[Valore inserito manualmente])*Assegnazione[[#This Row],[Quota di assegnazione]]</f>
        <v>0</v>
      </c>
      <c r="F42" s="176" t="str">
        <f>+IF(A42="","",VLOOKUP(Assegnazione[[#This Row],[Bene]],B[],3,0))</f>
        <v/>
      </c>
      <c r="G42" s="132" t="str">
        <f>+IFERROR(VLOOKUP(Assegnazione[[#This Row],[Bene]],B[],MATCH("Agevolabile",Beni!$A$4:$AC$4,0),0)*VLOOKUP(Assegnazione[[#This Row],[Socio]],A_1[],8,0),"")</f>
        <v/>
      </c>
      <c r="H42" s="175">
        <f>+SUMIF(B[Bene],Assegnazione[[#This Row],[Bene]],B[Valore netto contabile fiscalmente riconosciuto])*Assegnazione[[#This Row],[Quota di assegnazione]]</f>
        <v>0</v>
      </c>
      <c r="I42" s="175">
        <f>+SUMIF(B[Bene],Assegnazione[[#This Row],[Bene]],B[Valore normale])*Assegnazione[[#This Row],[Quota di assegnazione]]</f>
        <v>0</v>
      </c>
      <c r="J42" s="177">
        <f>+IF(Assegnazione[[#This Row],[Bene]]="",0,SUMIF(Assegnazione[Socio],Assegnazione[[#This Row],[Socio]],Assegnazione[Valore Normale])/$I$3)</f>
        <v>0</v>
      </c>
      <c r="K42" s="177" t="str">
        <f>IF(Assegnazione[[#This Row],[Bene]]="","",SUMIF(A_1[Nome],Assegnazione[[#This Row],[Socio]],A_1[Quota partecipazione al momento dell''operazione]))</f>
        <v/>
      </c>
      <c r="L42" s="175">
        <f>+SUMIF(B[Bene],Assegnazione[[#This Row],[Bene]],B[Valore catastale])*Assegnazione[[#This Row],[Quota di assegnazione]]</f>
        <v>0</v>
      </c>
      <c r="M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5">
        <f>+MIN(Assegnazione[[#This Row],[Valore ai fini dell''atto]],Assegnazione[[#This Row],[Valore Fiscalmente riconosciuto]])</f>
        <v>0</v>
      </c>
      <c r="O42" s="149" t="str">
        <f>+IFERROR(VLOOKUP(Assegnazione[[#This Row],[Bene]],B[],MATCH($O$4,Beni!$A$4:$Z$4,0),0),"")</f>
        <v/>
      </c>
      <c r="P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8">
        <f>+SUMIF(B[Bene],Assegnazione[[#This Row],[Bene]],B[Iva se dovuta])*Assegnazione[[#This Row],[Quota di assegnazione]]</f>
        <v>0</v>
      </c>
      <c r="S42" s="178">
        <f>+SUMIF(B[Bene],Assegnazione[[#This Row],[Bene]],B[Imposta di registro (fissa + prop) senza agevolazione])*Assegnazione[[#This Row],[Quota di assegnazione]]</f>
        <v>0</v>
      </c>
      <c r="T42" s="178">
        <f>+SUMIF(B[Bene],Assegnazione[[#This Row],[Bene]],B[Ipotecaria e catastale senza agevolazione])*Assegnazione[[#This Row],[Quota di assegnazione]]</f>
        <v>0</v>
      </c>
      <c r="U42" s="179">
        <f>+SUM(Assegnazione[[#This Row],[Tassazione diretta senza agevolazione]:[Ipotecaria e catastale senza agevolazione]])</f>
        <v>0</v>
      </c>
      <c r="V42" s="178">
        <f>+SUMIF(B[Bene],Assegnazione[[#This Row],[Bene]],B[Imponibile Imposta sostitutiva])*Assegnazione[[#This Row],[Quota di assegnazione]]*DATI!$E$27</f>
        <v>0</v>
      </c>
      <c r="W42" s="178">
        <f>+SUMIF(B[Bene],Assegnazione[[#This Row],[Bene]],B[Imposta di registro in misura fissa agevolata])*Assegnazione[[#This Row],[Quota di assegnazione]]</f>
        <v>0</v>
      </c>
      <c r="X42" s="178">
        <f>+SUMIF(B[Bene],Assegnazione[[#This Row],[Bene]],B[Imposta di registro prop. Agevolata])*Assegnazione[[#This Row],[Quota di assegnazione]]</f>
        <v>0</v>
      </c>
      <c r="Y42" s="178">
        <f>+IFERROR(Assegnazione[[#This Row],[Imposta di registro in misura fissa]]+Assegnazione[[#This Row],[Imposta di registro prop.]],"")</f>
        <v>0</v>
      </c>
      <c r="Z42" s="178">
        <f>+SUMIF(B[Bene],Assegnazione[[#This Row],[Bene]],B[Ipotecaria catastale agevolata])*Assegnazione[[#This Row],[Quota di assegnazione]]</f>
        <v>0</v>
      </c>
    </row>
    <row r="43" spans="1:26" x14ac:dyDescent="0.2">
      <c r="A43" s="126"/>
      <c r="B43" s="135"/>
      <c r="C43" s="126"/>
      <c r="D43" s="175">
        <f>+SUMIF(B[Bene],Assegnazione[[#This Row],[Bene]],B[Imponibile Iva])*Assegnazione[[#This Row],[Quota di assegnazione]]</f>
        <v>0</v>
      </c>
      <c r="E43" s="175">
        <f>+SUMIF(B[Bene],Assegnazione[[#This Row],[Bene]],B[Valore inserito manualmente])*Assegnazione[[#This Row],[Quota di assegnazione]]</f>
        <v>0</v>
      </c>
      <c r="F43" s="176" t="str">
        <f>+IF(A43="","",VLOOKUP(Assegnazione[[#This Row],[Bene]],B[],3,0))</f>
        <v/>
      </c>
      <c r="G43" s="132" t="str">
        <f>+IFERROR(VLOOKUP(Assegnazione[[#This Row],[Bene]],B[],MATCH("Agevolabile",Beni!$A$4:$AC$4,0),0)*VLOOKUP(Assegnazione[[#This Row],[Socio]],A_1[],8,0),"")</f>
        <v/>
      </c>
      <c r="H43" s="175">
        <f>+SUMIF(B[Bene],Assegnazione[[#This Row],[Bene]],B[Valore netto contabile fiscalmente riconosciuto])*Assegnazione[[#This Row],[Quota di assegnazione]]</f>
        <v>0</v>
      </c>
      <c r="I43" s="175">
        <f>+SUMIF(B[Bene],Assegnazione[[#This Row],[Bene]],B[Valore normale])*Assegnazione[[#This Row],[Quota di assegnazione]]</f>
        <v>0</v>
      </c>
      <c r="J43" s="177">
        <f>+IF(Assegnazione[[#This Row],[Bene]]="",0,SUMIF(Assegnazione[Socio],Assegnazione[[#This Row],[Socio]],Assegnazione[Valore Normale])/$I$3)</f>
        <v>0</v>
      </c>
      <c r="K43" s="177" t="str">
        <f>IF(Assegnazione[[#This Row],[Bene]]="","",SUMIF(A_1[Nome],Assegnazione[[#This Row],[Socio]],A_1[Quota partecipazione al momento dell''operazione]))</f>
        <v/>
      </c>
      <c r="L43" s="175">
        <f>+SUMIF(B[Bene],Assegnazione[[#This Row],[Bene]],B[Valore catastale])*Assegnazione[[#This Row],[Quota di assegnazione]]</f>
        <v>0</v>
      </c>
      <c r="M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5">
        <f>+MIN(Assegnazione[[#This Row],[Valore ai fini dell''atto]],Assegnazione[[#This Row],[Valore Fiscalmente riconosciuto]])</f>
        <v>0</v>
      </c>
      <c r="O43" s="149" t="str">
        <f>+IFERROR(VLOOKUP(Assegnazione[[#This Row],[Bene]],B[],MATCH($O$4,Beni!$A$4:$Z$4,0),0),"")</f>
        <v/>
      </c>
      <c r="P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8">
        <f>+SUMIF(B[Bene],Assegnazione[[#This Row],[Bene]],B[Iva se dovuta])*Assegnazione[[#This Row],[Quota di assegnazione]]</f>
        <v>0</v>
      </c>
      <c r="S43" s="178">
        <f>+SUMIF(B[Bene],Assegnazione[[#This Row],[Bene]],B[Imposta di registro (fissa + prop) senza agevolazione])*Assegnazione[[#This Row],[Quota di assegnazione]]</f>
        <v>0</v>
      </c>
      <c r="T43" s="178">
        <f>+SUMIF(B[Bene],Assegnazione[[#This Row],[Bene]],B[Ipotecaria e catastale senza agevolazione])*Assegnazione[[#This Row],[Quota di assegnazione]]</f>
        <v>0</v>
      </c>
      <c r="U43" s="179">
        <f>+SUM(Assegnazione[[#This Row],[Tassazione diretta senza agevolazione]:[Ipotecaria e catastale senza agevolazione]])</f>
        <v>0</v>
      </c>
      <c r="V43" s="178">
        <f>+SUMIF(B[Bene],Assegnazione[[#This Row],[Bene]],B[Imponibile Imposta sostitutiva])*Assegnazione[[#This Row],[Quota di assegnazione]]*DATI!$E$27</f>
        <v>0</v>
      </c>
      <c r="W43" s="178">
        <f>+SUMIF(B[Bene],Assegnazione[[#This Row],[Bene]],B[Imposta di registro in misura fissa agevolata])*Assegnazione[[#This Row],[Quota di assegnazione]]</f>
        <v>0</v>
      </c>
      <c r="X43" s="178">
        <f>+SUMIF(B[Bene],Assegnazione[[#This Row],[Bene]],B[Imposta di registro prop. Agevolata])*Assegnazione[[#This Row],[Quota di assegnazione]]</f>
        <v>0</v>
      </c>
      <c r="Y43" s="178">
        <f>+IFERROR(Assegnazione[[#This Row],[Imposta di registro in misura fissa]]+Assegnazione[[#This Row],[Imposta di registro prop.]],"")</f>
        <v>0</v>
      </c>
      <c r="Z43" s="178">
        <f>+SUMIF(B[Bene],Assegnazione[[#This Row],[Bene]],B[Ipotecaria catastale agevolata])*Assegnazione[[#This Row],[Quota di assegnazione]]</f>
        <v>0</v>
      </c>
    </row>
    <row r="44" spans="1:26" x14ac:dyDescent="0.2">
      <c r="A44" s="126"/>
      <c r="B44" s="135"/>
      <c r="C44" s="126"/>
      <c r="D44" s="175">
        <f>+SUMIF(B[Bene],Assegnazione[[#This Row],[Bene]],B[Imponibile Iva])*Assegnazione[[#This Row],[Quota di assegnazione]]</f>
        <v>0</v>
      </c>
      <c r="E44" s="175">
        <f>+SUMIF(B[Bene],Assegnazione[[#This Row],[Bene]],B[Valore inserito manualmente])*Assegnazione[[#This Row],[Quota di assegnazione]]</f>
        <v>0</v>
      </c>
      <c r="F44" s="176" t="str">
        <f>+IF(A44="","",VLOOKUP(Assegnazione[[#This Row],[Bene]],B[],3,0))</f>
        <v/>
      </c>
      <c r="G44" s="132" t="str">
        <f>+IFERROR(VLOOKUP(Assegnazione[[#This Row],[Bene]],B[],MATCH("Agevolabile",Beni!$A$4:$AC$4,0),0)*VLOOKUP(Assegnazione[[#This Row],[Socio]],A_1[],8,0),"")</f>
        <v/>
      </c>
      <c r="H44" s="175">
        <f>+SUMIF(B[Bene],Assegnazione[[#This Row],[Bene]],B[Valore netto contabile fiscalmente riconosciuto])*Assegnazione[[#This Row],[Quota di assegnazione]]</f>
        <v>0</v>
      </c>
      <c r="I44" s="175">
        <f>+SUMIF(B[Bene],Assegnazione[[#This Row],[Bene]],B[Valore normale])*Assegnazione[[#This Row],[Quota di assegnazione]]</f>
        <v>0</v>
      </c>
      <c r="J44" s="177">
        <f>+IF(Assegnazione[[#This Row],[Bene]]="",0,SUMIF(Assegnazione[Socio],Assegnazione[[#This Row],[Socio]],Assegnazione[Valore Normale])/$I$3)</f>
        <v>0</v>
      </c>
      <c r="K44" s="177" t="str">
        <f>IF(Assegnazione[[#This Row],[Bene]]="","",SUMIF(A_1[Nome],Assegnazione[[#This Row],[Socio]],A_1[Quota partecipazione al momento dell''operazione]))</f>
        <v/>
      </c>
      <c r="L44" s="175">
        <f>+SUMIF(B[Bene],Assegnazione[[#This Row],[Bene]],B[Valore catastale])*Assegnazione[[#This Row],[Quota di assegnazione]]</f>
        <v>0</v>
      </c>
      <c r="M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5">
        <f>+MIN(Assegnazione[[#This Row],[Valore ai fini dell''atto]],Assegnazione[[#This Row],[Valore Fiscalmente riconosciuto]])</f>
        <v>0</v>
      </c>
      <c r="O44" s="149" t="str">
        <f>+IFERROR(VLOOKUP(Assegnazione[[#This Row],[Bene]],B[],MATCH($O$4,Beni!$A$4:$Z$4,0),0),"")</f>
        <v/>
      </c>
      <c r="P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8">
        <f>+SUMIF(B[Bene],Assegnazione[[#This Row],[Bene]],B[Iva se dovuta])*Assegnazione[[#This Row],[Quota di assegnazione]]</f>
        <v>0</v>
      </c>
      <c r="S44" s="178">
        <f>+SUMIF(B[Bene],Assegnazione[[#This Row],[Bene]],B[Imposta di registro (fissa + prop) senza agevolazione])*Assegnazione[[#This Row],[Quota di assegnazione]]</f>
        <v>0</v>
      </c>
      <c r="T44" s="178">
        <f>+SUMIF(B[Bene],Assegnazione[[#This Row],[Bene]],B[Ipotecaria e catastale senza agevolazione])*Assegnazione[[#This Row],[Quota di assegnazione]]</f>
        <v>0</v>
      </c>
      <c r="U44" s="179">
        <f>+SUM(Assegnazione[[#This Row],[Tassazione diretta senza agevolazione]:[Ipotecaria e catastale senza agevolazione]])</f>
        <v>0</v>
      </c>
      <c r="V44" s="178">
        <f>+SUMIF(B[Bene],Assegnazione[[#This Row],[Bene]],B[Imponibile Imposta sostitutiva])*Assegnazione[[#This Row],[Quota di assegnazione]]*DATI!$E$27</f>
        <v>0</v>
      </c>
      <c r="W44" s="178">
        <f>+SUMIF(B[Bene],Assegnazione[[#This Row],[Bene]],B[Imposta di registro in misura fissa agevolata])*Assegnazione[[#This Row],[Quota di assegnazione]]</f>
        <v>0</v>
      </c>
      <c r="X44" s="178">
        <f>+SUMIF(B[Bene],Assegnazione[[#This Row],[Bene]],B[Imposta di registro prop. Agevolata])*Assegnazione[[#This Row],[Quota di assegnazione]]</f>
        <v>0</v>
      </c>
      <c r="Y44" s="178">
        <f>+IFERROR(Assegnazione[[#This Row],[Imposta di registro in misura fissa]]+Assegnazione[[#This Row],[Imposta di registro prop.]],"")</f>
        <v>0</v>
      </c>
      <c r="Z44" s="178">
        <f>+SUMIF(B[Bene],Assegnazione[[#This Row],[Bene]],B[Ipotecaria catastale agevolata])*Assegnazione[[#This Row],[Quota di assegnazione]]</f>
        <v>0</v>
      </c>
    </row>
    <row r="45" spans="1:26" x14ac:dyDescent="0.2">
      <c r="A45" s="126"/>
      <c r="B45" s="135"/>
      <c r="C45" s="126"/>
      <c r="D45" s="175">
        <f>+SUMIF(B[Bene],Assegnazione[[#This Row],[Bene]],B[Imponibile Iva])*Assegnazione[[#This Row],[Quota di assegnazione]]</f>
        <v>0</v>
      </c>
      <c r="E45" s="175">
        <f>+SUMIF(B[Bene],Assegnazione[[#This Row],[Bene]],B[Valore inserito manualmente])*Assegnazione[[#This Row],[Quota di assegnazione]]</f>
        <v>0</v>
      </c>
      <c r="F45" s="176" t="str">
        <f>+IF(A45="","",VLOOKUP(Assegnazione[[#This Row],[Bene]],B[],3,0))</f>
        <v/>
      </c>
      <c r="G45" s="132" t="str">
        <f>+IFERROR(VLOOKUP(Assegnazione[[#This Row],[Bene]],B[],MATCH("Agevolabile",Beni!$A$4:$AC$4,0),0)*VLOOKUP(Assegnazione[[#This Row],[Socio]],A_1[],8,0),"")</f>
        <v/>
      </c>
      <c r="H45" s="175">
        <f>+SUMIF(B[Bene],Assegnazione[[#This Row],[Bene]],B[Valore netto contabile fiscalmente riconosciuto])*Assegnazione[[#This Row],[Quota di assegnazione]]</f>
        <v>0</v>
      </c>
      <c r="I45" s="175">
        <f>+SUMIF(B[Bene],Assegnazione[[#This Row],[Bene]],B[Valore normale])*Assegnazione[[#This Row],[Quota di assegnazione]]</f>
        <v>0</v>
      </c>
      <c r="J45" s="177">
        <f>+IF(Assegnazione[[#This Row],[Bene]]="",0,SUMIF(Assegnazione[Socio],Assegnazione[[#This Row],[Socio]],Assegnazione[Valore Normale])/$I$3)</f>
        <v>0</v>
      </c>
      <c r="K45" s="177" t="str">
        <f>IF(Assegnazione[[#This Row],[Bene]]="","",SUMIF(A_1[Nome],Assegnazione[[#This Row],[Socio]],A_1[Quota partecipazione al momento dell''operazione]))</f>
        <v/>
      </c>
      <c r="L45" s="175">
        <f>+SUMIF(B[Bene],Assegnazione[[#This Row],[Bene]],B[Valore catastale])*Assegnazione[[#This Row],[Quota di assegnazione]]</f>
        <v>0</v>
      </c>
      <c r="M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5">
        <f>+MIN(Assegnazione[[#This Row],[Valore ai fini dell''atto]],Assegnazione[[#This Row],[Valore Fiscalmente riconosciuto]])</f>
        <v>0</v>
      </c>
      <c r="O45" s="149" t="str">
        <f>+IFERROR(VLOOKUP(Assegnazione[[#This Row],[Bene]],B[],MATCH($O$4,Beni!$A$4:$Z$4,0),0),"")</f>
        <v/>
      </c>
      <c r="P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8">
        <f>+SUMIF(B[Bene],Assegnazione[[#This Row],[Bene]],B[Iva se dovuta])*Assegnazione[[#This Row],[Quota di assegnazione]]</f>
        <v>0</v>
      </c>
      <c r="S45" s="178">
        <f>+SUMIF(B[Bene],Assegnazione[[#This Row],[Bene]],B[Imposta di registro (fissa + prop) senza agevolazione])*Assegnazione[[#This Row],[Quota di assegnazione]]</f>
        <v>0</v>
      </c>
      <c r="T45" s="178">
        <f>+SUMIF(B[Bene],Assegnazione[[#This Row],[Bene]],B[Ipotecaria e catastale senza agevolazione])*Assegnazione[[#This Row],[Quota di assegnazione]]</f>
        <v>0</v>
      </c>
      <c r="U45" s="179">
        <f>+SUM(Assegnazione[[#This Row],[Tassazione diretta senza agevolazione]:[Ipotecaria e catastale senza agevolazione]])</f>
        <v>0</v>
      </c>
      <c r="V45" s="178">
        <f>+SUMIF(B[Bene],Assegnazione[[#This Row],[Bene]],B[Imponibile Imposta sostitutiva])*Assegnazione[[#This Row],[Quota di assegnazione]]*DATI!$E$27</f>
        <v>0</v>
      </c>
      <c r="W45" s="178">
        <f>+SUMIF(B[Bene],Assegnazione[[#This Row],[Bene]],B[Imposta di registro in misura fissa agevolata])*Assegnazione[[#This Row],[Quota di assegnazione]]</f>
        <v>0</v>
      </c>
      <c r="X45" s="178">
        <f>+SUMIF(B[Bene],Assegnazione[[#This Row],[Bene]],B[Imposta di registro prop. Agevolata])*Assegnazione[[#This Row],[Quota di assegnazione]]</f>
        <v>0</v>
      </c>
      <c r="Y45" s="178">
        <f>+IFERROR(Assegnazione[[#This Row],[Imposta di registro in misura fissa]]+Assegnazione[[#This Row],[Imposta di registro prop.]],"")</f>
        <v>0</v>
      </c>
      <c r="Z45" s="178">
        <f>+SUMIF(B[Bene],Assegnazione[[#This Row],[Bene]],B[Ipotecaria catastale agevolata])*Assegnazione[[#This Row],[Quota di assegnazione]]</f>
        <v>0</v>
      </c>
    </row>
    <row r="46" spans="1:26" x14ac:dyDescent="0.2">
      <c r="A46" s="126"/>
      <c r="B46" s="135"/>
      <c r="C46" s="126"/>
      <c r="D46" s="175">
        <f>+SUMIF(B[Bene],Assegnazione[[#This Row],[Bene]],B[Imponibile Iva])*Assegnazione[[#This Row],[Quota di assegnazione]]</f>
        <v>0</v>
      </c>
      <c r="E46" s="175">
        <f>+SUMIF(B[Bene],Assegnazione[[#This Row],[Bene]],B[Valore inserito manualmente])*Assegnazione[[#This Row],[Quota di assegnazione]]</f>
        <v>0</v>
      </c>
      <c r="F46" s="176" t="str">
        <f>+IF(A46="","",VLOOKUP(Assegnazione[[#This Row],[Bene]],B[],3,0))</f>
        <v/>
      </c>
      <c r="G46" s="132" t="str">
        <f>+IFERROR(VLOOKUP(Assegnazione[[#This Row],[Bene]],B[],MATCH("Agevolabile",Beni!$A$4:$AC$4,0),0)*VLOOKUP(Assegnazione[[#This Row],[Socio]],A_1[],8,0),"")</f>
        <v/>
      </c>
      <c r="H46" s="175">
        <f>+SUMIF(B[Bene],Assegnazione[[#This Row],[Bene]],B[Valore netto contabile fiscalmente riconosciuto])*Assegnazione[[#This Row],[Quota di assegnazione]]</f>
        <v>0</v>
      </c>
      <c r="I46" s="175">
        <f>+SUMIF(B[Bene],Assegnazione[[#This Row],[Bene]],B[Valore normale])*Assegnazione[[#This Row],[Quota di assegnazione]]</f>
        <v>0</v>
      </c>
      <c r="J46" s="177">
        <f>+IF(Assegnazione[[#This Row],[Bene]]="",0,SUMIF(Assegnazione[Socio],Assegnazione[[#This Row],[Socio]],Assegnazione[Valore Normale])/$I$3)</f>
        <v>0</v>
      </c>
      <c r="K46" s="177" t="str">
        <f>IF(Assegnazione[[#This Row],[Bene]]="","",SUMIF(A_1[Nome],Assegnazione[[#This Row],[Socio]],A_1[Quota partecipazione al momento dell''operazione]))</f>
        <v/>
      </c>
      <c r="L46" s="175">
        <f>+SUMIF(B[Bene],Assegnazione[[#This Row],[Bene]],B[Valore catastale])*Assegnazione[[#This Row],[Quota di assegnazione]]</f>
        <v>0</v>
      </c>
      <c r="M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5">
        <f>+MIN(Assegnazione[[#This Row],[Valore ai fini dell''atto]],Assegnazione[[#This Row],[Valore Fiscalmente riconosciuto]])</f>
        <v>0</v>
      </c>
      <c r="O46" s="149" t="str">
        <f>+IFERROR(VLOOKUP(Assegnazione[[#This Row],[Bene]],B[],MATCH($O$4,Beni!$A$4:$Z$4,0),0),"")</f>
        <v/>
      </c>
      <c r="P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8">
        <f>+SUMIF(B[Bene],Assegnazione[[#This Row],[Bene]],B[Iva se dovuta])*Assegnazione[[#This Row],[Quota di assegnazione]]</f>
        <v>0</v>
      </c>
      <c r="S46" s="178">
        <f>+SUMIF(B[Bene],Assegnazione[[#This Row],[Bene]],B[Imposta di registro (fissa + prop) senza agevolazione])*Assegnazione[[#This Row],[Quota di assegnazione]]</f>
        <v>0</v>
      </c>
      <c r="T46" s="178">
        <f>+SUMIF(B[Bene],Assegnazione[[#This Row],[Bene]],B[Ipotecaria e catastale senza agevolazione])*Assegnazione[[#This Row],[Quota di assegnazione]]</f>
        <v>0</v>
      </c>
      <c r="U46" s="179">
        <f>+SUM(Assegnazione[[#This Row],[Tassazione diretta senza agevolazione]:[Ipotecaria e catastale senza agevolazione]])</f>
        <v>0</v>
      </c>
      <c r="V46" s="178">
        <f>+SUMIF(B[Bene],Assegnazione[[#This Row],[Bene]],B[Imponibile Imposta sostitutiva])*Assegnazione[[#This Row],[Quota di assegnazione]]*DATI!$E$27</f>
        <v>0</v>
      </c>
      <c r="W46" s="178">
        <f>+SUMIF(B[Bene],Assegnazione[[#This Row],[Bene]],B[Imposta di registro in misura fissa agevolata])*Assegnazione[[#This Row],[Quota di assegnazione]]</f>
        <v>0</v>
      </c>
      <c r="X46" s="178">
        <f>+SUMIF(B[Bene],Assegnazione[[#This Row],[Bene]],B[Imposta di registro prop. Agevolata])*Assegnazione[[#This Row],[Quota di assegnazione]]</f>
        <v>0</v>
      </c>
      <c r="Y46" s="178">
        <f>+IFERROR(Assegnazione[[#This Row],[Imposta di registro in misura fissa]]+Assegnazione[[#This Row],[Imposta di registro prop.]],"")</f>
        <v>0</v>
      </c>
      <c r="Z46" s="178">
        <f>+SUMIF(B[Bene],Assegnazione[[#This Row],[Bene]],B[Ipotecaria catastale agevolata])*Assegnazione[[#This Row],[Quota di assegnazione]]</f>
        <v>0</v>
      </c>
    </row>
    <row r="47" spans="1:26" x14ac:dyDescent="0.2">
      <c r="A47" s="126"/>
      <c r="B47" s="135"/>
      <c r="C47" s="126"/>
      <c r="D47" s="175">
        <f>+SUMIF(B[Bene],Assegnazione[[#This Row],[Bene]],B[Imponibile Iva])*Assegnazione[[#This Row],[Quota di assegnazione]]</f>
        <v>0</v>
      </c>
      <c r="E47" s="175">
        <f>+SUMIF(B[Bene],Assegnazione[[#This Row],[Bene]],B[Valore inserito manualmente])*Assegnazione[[#This Row],[Quota di assegnazione]]</f>
        <v>0</v>
      </c>
      <c r="F47" s="176" t="str">
        <f>+IF(A47="","",VLOOKUP(Assegnazione[[#This Row],[Bene]],B[],3,0))</f>
        <v/>
      </c>
      <c r="G47" s="132" t="str">
        <f>+IFERROR(VLOOKUP(Assegnazione[[#This Row],[Bene]],B[],MATCH("Agevolabile",Beni!$A$4:$AC$4,0),0)*VLOOKUP(Assegnazione[[#This Row],[Socio]],A_1[],8,0),"")</f>
        <v/>
      </c>
      <c r="H47" s="175">
        <f>+SUMIF(B[Bene],Assegnazione[[#This Row],[Bene]],B[Valore netto contabile fiscalmente riconosciuto])*Assegnazione[[#This Row],[Quota di assegnazione]]</f>
        <v>0</v>
      </c>
      <c r="I47" s="175">
        <f>+SUMIF(B[Bene],Assegnazione[[#This Row],[Bene]],B[Valore normale])*Assegnazione[[#This Row],[Quota di assegnazione]]</f>
        <v>0</v>
      </c>
      <c r="J47" s="177">
        <f>+IF(Assegnazione[[#This Row],[Bene]]="",0,SUMIF(Assegnazione[Socio],Assegnazione[[#This Row],[Socio]],Assegnazione[Valore Normale])/$I$3)</f>
        <v>0</v>
      </c>
      <c r="K47" s="177" t="str">
        <f>IF(Assegnazione[[#This Row],[Bene]]="","",SUMIF(A_1[Nome],Assegnazione[[#This Row],[Socio]],A_1[Quota partecipazione al momento dell''operazione]))</f>
        <v/>
      </c>
      <c r="L47" s="175">
        <f>+SUMIF(B[Bene],Assegnazione[[#This Row],[Bene]],B[Valore catastale])*Assegnazione[[#This Row],[Quota di assegnazione]]</f>
        <v>0</v>
      </c>
      <c r="M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5">
        <f>+MIN(Assegnazione[[#This Row],[Valore ai fini dell''atto]],Assegnazione[[#This Row],[Valore Fiscalmente riconosciuto]])</f>
        <v>0</v>
      </c>
      <c r="O47" s="149" t="str">
        <f>+IFERROR(VLOOKUP(Assegnazione[[#This Row],[Bene]],B[],MATCH($O$4,Beni!$A$4:$Z$4,0),0),"")</f>
        <v/>
      </c>
      <c r="P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8">
        <f>+SUMIF(B[Bene],Assegnazione[[#This Row],[Bene]],B[Iva se dovuta])*Assegnazione[[#This Row],[Quota di assegnazione]]</f>
        <v>0</v>
      </c>
      <c r="S47" s="178">
        <f>+SUMIF(B[Bene],Assegnazione[[#This Row],[Bene]],B[Imposta di registro (fissa + prop) senza agevolazione])*Assegnazione[[#This Row],[Quota di assegnazione]]</f>
        <v>0</v>
      </c>
      <c r="T47" s="178">
        <f>+SUMIF(B[Bene],Assegnazione[[#This Row],[Bene]],B[Ipotecaria e catastale senza agevolazione])*Assegnazione[[#This Row],[Quota di assegnazione]]</f>
        <v>0</v>
      </c>
      <c r="U47" s="179">
        <f>+SUM(Assegnazione[[#This Row],[Tassazione diretta senza agevolazione]:[Ipotecaria e catastale senza agevolazione]])</f>
        <v>0</v>
      </c>
      <c r="V47" s="178">
        <f>+SUMIF(B[Bene],Assegnazione[[#This Row],[Bene]],B[Imponibile Imposta sostitutiva])*Assegnazione[[#This Row],[Quota di assegnazione]]*DATI!$E$27</f>
        <v>0</v>
      </c>
      <c r="W47" s="178">
        <f>+SUMIF(B[Bene],Assegnazione[[#This Row],[Bene]],B[Imposta di registro in misura fissa agevolata])*Assegnazione[[#This Row],[Quota di assegnazione]]</f>
        <v>0</v>
      </c>
      <c r="X47" s="178">
        <f>+SUMIF(B[Bene],Assegnazione[[#This Row],[Bene]],B[Imposta di registro prop. Agevolata])*Assegnazione[[#This Row],[Quota di assegnazione]]</f>
        <v>0</v>
      </c>
      <c r="Y47" s="178">
        <f>+IFERROR(Assegnazione[[#This Row],[Imposta di registro in misura fissa]]+Assegnazione[[#This Row],[Imposta di registro prop.]],"")</f>
        <v>0</v>
      </c>
      <c r="Z47" s="178">
        <f>+SUMIF(B[Bene],Assegnazione[[#This Row],[Bene]],B[Ipotecaria catastale agevolata])*Assegnazione[[#This Row],[Quota di assegnazione]]</f>
        <v>0</v>
      </c>
    </row>
    <row r="48" spans="1:26" x14ac:dyDescent="0.2">
      <c r="A48" s="126"/>
      <c r="B48" s="135"/>
      <c r="C48" s="126"/>
      <c r="D48" s="175">
        <f>+SUMIF(B[Bene],Assegnazione[[#This Row],[Bene]],B[Imponibile Iva])*Assegnazione[[#This Row],[Quota di assegnazione]]</f>
        <v>0</v>
      </c>
      <c r="E48" s="175">
        <f>+SUMIF(B[Bene],Assegnazione[[#This Row],[Bene]],B[Valore inserito manualmente])*Assegnazione[[#This Row],[Quota di assegnazione]]</f>
        <v>0</v>
      </c>
      <c r="F48" s="176" t="str">
        <f>+IF(A48="","",VLOOKUP(Assegnazione[[#This Row],[Bene]],B[],3,0))</f>
        <v/>
      </c>
      <c r="G48" s="132" t="str">
        <f>+IFERROR(VLOOKUP(Assegnazione[[#This Row],[Bene]],B[],MATCH("Agevolabile",Beni!$A$4:$AC$4,0),0)*VLOOKUP(Assegnazione[[#This Row],[Socio]],A_1[],8,0),"")</f>
        <v/>
      </c>
      <c r="H48" s="175">
        <f>+SUMIF(B[Bene],Assegnazione[[#This Row],[Bene]],B[Valore netto contabile fiscalmente riconosciuto])*Assegnazione[[#This Row],[Quota di assegnazione]]</f>
        <v>0</v>
      </c>
      <c r="I48" s="175">
        <f>+SUMIF(B[Bene],Assegnazione[[#This Row],[Bene]],B[Valore normale])*Assegnazione[[#This Row],[Quota di assegnazione]]</f>
        <v>0</v>
      </c>
      <c r="J48" s="177">
        <f>+IF(Assegnazione[[#This Row],[Bene]]="",0,SUMIF(Assegnazione[Socio],Assegnazione[[#This Row],[Socio]],Assegnazione[Valore Normale])/$I$3)</f>
        <v>0</v>
      </c>
      <c r="K48" s="177" t="str">
        <f>IF(Assegnazione[[#This Row],[Bene]]="","",SUMIF(A_1[Nome],Assegnazione[[#This Row],[Socio]],A_1[Quota partecipazione al momento dell''operazione]))</f>
        <v/>
      </c>
      <c r="L48" s="175">
        <f>+SUMIF(B[Bene],Assegnazione[[#This Row],[Bene]],B[Valore catastale])*Assegnazione[[#This Row],[Quota di assegnazione]]</f>
        <v>0</v>
      </c>
      <c r="M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5">
        <f>+MIN(Assegnazione[[#This Row],[Valore ai fini dell''atto]],Assegnazione[[#This Row],[Valore Fiscalmente riconosciuto]])</f>
        <v>0</v>
      </c>
      <c r="O48" s="149" t="str">
        <f>+IFERROR(VLOOKUP(Assegnazione[[#This Row],[Bene]],B[],MATCH($O$4,Beni!$A$4:$Z$4,0),0),"")</f>
        <v/>
      </c>
      <c r="P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8">
        <f>+SUMIF(B[Bene],Assegnazione[[#This Row],[Bene]],B[Iva se dovuta])*Assegnazione[[#This Row],[Quota di assegnazione]]</f>
        <v>0</v>
      </c>
      <c r="S48" s="178">
        <f>+SUMIF(B[Bene],Assegnazione[[#This Row],[Bene]],B[Imposta di registro (fissa + prop) senza agevolazione])*Assegnazione[[#This Row],[Quota di assegnazione]]</f>
        <v>0</v>
      </c>
      <c r="T48" s="178">
        <f>+SUMIF(B[Bene],Assegnazione[[#This Row],[Bene]],B[Ipotecaria e catastale senza agevolazione])*Assegnazione[[#This Row],[Quota di assegnazione]]</f>
        <v>0</v>
      </c>
      <c r="U48" s="179">
        <f>+SUM(Assegnazione[[#This Row],[Tassazione diretta senza agevolazione]:[Ipotecaria e catastale senza agevolazione]])</f>
        <v>0</v>
      </c>
      <c r="V48" s="178">
        <f>+SUMIF(B[Bene],Assegnazione[[#This Row],[Bene]],B[Imponibile Imposta sostitutiva])*Assegnazione[[#This Row],[Quota di assegnazione]]*DATI!$E$27</f>
        <v>0</v>
      </c>
      <c r="W48" s="178">
        <f>+SUMIF(B[Bene],Assegnazione[[#This Row],[Bene]],B[Imposta di registro in misura fissa agevolata])*Assegnazione[[#This Row],[Quota di assegnazione]]</f>
        <v>0</v>
      </c>
      <c r="X48" s="178">
        <f>+SUMIF(B[Bene],Assegnazione[[#This Row],[Bene]],B[Imposta di registro prop. Agevolata])*Assegnazione[[#This Row],[Quota di assegnazione]]</f>
        <v>0</v>
      </c>
      <c r="Y48" s="178">
        <f>+IFERROR(Assegnazione[[#This Row],[Imposta di registro in misura fissa]]+Assegnazione[[#This Row],[Imposta di registro prop.]],"")</f>
        <v>0</v>
      </c>
      <c r="Z48" s="178">
        <f>+SUMIF(B[Bene],Assegnazione[[#This Row],[Bene]],B[Ipotecaria catastale agevolata])*Assegnazione[[#This Row],[Quota di assegnazione]]</f>
        <v>0</v>
      </c>
    </row>
    <row r="49" spans="1:26" x14ac:dyDescent="0.2">
      <c r="A49" s="126"/>
      <c r="B49" s="135"/>
      <c r="C49" s="126"/>
      <c r="D49" s="175">
        <f>+SUMIF(B[Bene],Assegnazione[[#This Row],[Bene]],B[Imponibile Iva])*Assegnazione[[#This Row],[Quota di assegnazione]]</f>
        <v>0</v>
      </c>
      <c r="E49" s="175">
        <f>+SUMIF(B[Bene],Assegnazione[[#This Row],[Bene]],B[Valore inserito manualmente])*Assegnazione[[#This Row],[Quota di assegnazione]]</f>
        <v>0</v>
      </c>
      <c r="F49" s="176" t="str">
        <f>+IF(A49="","",VLOOKUP(Assegnazione[[#This Row],[Bene]],B[],3,0))</f>
        <v/>
      </c>
      <c r="G49" s="132" t="str">
        <f>+IFERROR(VLOOKUP(Assegnazione[[#This Row],[Bene]],B[],MATCH("Agevolabile",Beni!$A$4:$AC$4,0),0)*VLOOKUP(Assegnazione[[#This Row],[Socio]],A_1[],8,0),"")</f>
        <v/>
      </c>
      <c r="H49" s="175">
        <f>+SUMIF(B[Bene],Assegnazione[[#This Row],[Bene]],B[Valore netto contabile fiscalmente riconosciuto])*Assegnazione[[#This Row],[Quota di assegnazione]]</f>
        <v>0</v>
      </c>
      <c r="I49" s="175">
        <f>+SUMIF(B[Bene],Assegnazione[[#This Row],[Bene]],B[Valore normale])*Assegnazione[[#This Row],[Quota di assegnazione]]</f>
        <v>0</v>
      </c>
      <c r="J49" s="177">
        <f>+IF(Assegnazione[[#This Row],[Bene]]="",0,SUMIF(Assegnazione[Socio],Assegnazione[[#This Row],[Socio]],Assegnazione[Valore Normale])/$I$3)</f>
        <v>0</v>
      </c>
      <c r="K49" s="177" t="str">
        <f>IF(Assegnazione[[#This Row],[Bene]]="","",SUMIF(A_1[Nome],Assegnazione[[#This Row],[Socio]],A_1[Quota partecipazione al momento dell''operazione]))</f>
        <v/>
      </c>
      <c r="L49" s="175">
        <f>+SUMIF(B[Bene],Assegnazione[[#This Row],[Bene]],B[Valore catastale])*Assegnazione[[#This Row],[Quota di assegnazione]]</f>
        <v>0</v>
      </c>
      <c r="M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5">
        <f>+MIN(Assegnazione[[#This Row],[Valore ai fini dell''atto]],Assegnazione[[#This Row],[Valore Fiscalmente riconosciuto]])</f>
        <v>0</v>
      </c>
      <c r="O49" s="149" t="str">
        <f>+IFERROR(VLOOKUP(Assegnazione[[#This Row],[Bene]],B[],MATCH($O$4,Beni!$A$4:$Z$4,0),0),"")</f>
        <v/>
      </c>
      <c r="P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8">
        <f>+SUMIF(B[Bene],Assegnazione[[#This Row],[Bene]],B[Iva se dovuta])*Assegnazione[[#This Row],[Quota di assegnazione]]</f>
        <v>0</v>
      </c>
      <c r="S49" s="178">
        <f>+SUMIF(B[Bene],Assegnazione[[#This Row],[Bene]],B[Imposta di registro (fissa + prop) senza agevolazione])*Assegnazione[[#This Row],[Quota di assegnazione]]</f>
        <v>0</v>
      </c>
      <c r="T49" s="178">
        <f>+SUMIF(B[Bene],Assegnazione[[#This Row],[Bene]],B[Ipotecaria e catastale senza agevolazione])*Assegnazione[[#This Row],[Quota di assegnazione]]</f>
        <v>0</v>
      </c>
      <c r="U49" s="179">
        <f>+SUM(Assegnazione[[#This Row],[Tassazione diretta senza agevolazione]:[Ipotecaria e catastale senza agevolazione]])</f>
        <v>0</v>
      </c>
      <c r="V49" s="178">
        <f>+SUMIF(B[Bene],Assegnazione[[#This Row],[Bene]],B[Imponibile Imposta sostitutiva])*Assegnazione[[#This Row],[Quota di assegnazione]]*DATI!$E$27</f>
        <v>0</v>
      </c>
      <c r="W49" s="178">
        <f>+SUMIF(B[Bene],Assegnazione[[#This Row],[Bene]],B[Imposta di registro in misura fissa agevolata])*Assegnazione[[#This Row],[Quota di assegnazione]]</f>
        <v>0</v>
      </c>
      <c r="X49" s="178">
        <f>+SUMIF(B[Bene],Assegnazione[[#This Row],[Bene]],B[Imposta di registro prop. Agevolata])*Assegnazione[[#This Row],[Quota di assegnazione]]</f>
        <v>0</v>
      </c>
      <c r="Y49" s="178">
        <f>+IFERROR(Assegnazione[[#This Row],[Imposta di registro in misura fissa]]+Assegnazione[[#This Row],[Imposta di registro prop.]],"")</f>
        <v>0</v>
      </c>
      <c r="Z49" s="178">
        <f>+SUMIF(B[Bene],Assegnazione[[#This Row],[Bene]],B[Ipotecaria catastale agevolata])*Assegnazione[[#This Row],[Quota di assegnazione]]</f>
        <v>0</v>
      </c>
    </row>
    <row r="50" spans="1:26" x14ac:dyDescent="0.2">
      <c r="A50" s="126"/>
      <c r="B50" s="135"/>
      <c r="C50" s="126"/>
      <c r="D50" s="175">
        <f>+SUMIF(B[Bene],Assegnazione[[#This Row],[Bene]],B[Imponibile Iva])*Assegnazione[[#This Row],[Quota di assegnazione]]</f>
        <v>0</v>
      </c>
      <c r="E50" s="175">
        <f>+SUMIF(B[Bene],Assegnazione[[#This Row],[Bene]],B[Valore inserito manualmente])*Assegnazione[[#This Row],[Quota di assegnazione]]</f>
        <v>0</v>
      </c>
      <c r="F50" s="176" t="str">
        <f>+IF(A50="","",VLOOKUP(Assegnazione[[#This Row],[Bene]],B[],3,0))</f>
        <v/>
      </c>
      <c r="G50" s="132" t="str">
        <f>+IFERROR(VLOOKUP(Assegnazione[[#This Row],[Bene]],B[],MATCH("Agevolabile",Beni!$A$4:$AC$4,0),0)*VLOOKUP(Assegnazione[[#This Row],[Socio]],A_1[],8,0),"")</f>
        <v/>
      </c>
      <c r="H50" s="175">
        <f>+SUMIF(B[Bene],Assegnazione[[#This Row],[Bene]],B[Valore netto contabile fiscalmente riconosciuto])*Assegnazione[[#This Row],[Quota di assegnazione]]</f>
        <v>0</v>
      </c>
      <c r="I50" s="175">
        <f>+SUMIF(B[Bene],Assegnazione[[#This Row],[Bene]],B[Valore normale])*Assegnazione[[#This Row],[Quota di assegnazione]]</f>
        <v>0</v>
      </c>
      <c r="J50" s="177">
        <f>+IF(Assegnazione[[#This Row],[Bene]]="",0,SUMIF(Assegnazione[Socio],Assegnazione[[#This Row],[Socio]],Assegnazione[Valore Normale])/$I$3)</f>
        <v>0</v>
      </c>
      <c r="K50" s="177" t="str">
        <f>IF(Assegnazione[[#This Row],[Bene]]="","",SUMIF(A_1[Nome],Assegnazione[[#This Row],[Socio]],A_1[Quota partecipazione al momento dell''operazione]))</f>
        <v/>
      </c>
      <c r="L50" s="175">
        <f>+SUMIF(B[Bene],Assegnazione[[#This Row],[Bene]],B[Valore catastale])*Assegnazione[[#This Row],[Quota di assegnazione]]</f>
        <v>0</v>
      </c>
      <c r="M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5">
        <f>+MIN(Assegnazione[[#This Row],[Valore ai fini dell''atto]],Assegnazione[[#This Row],[Valore Fiscalmente riconosciuto]])</f>
        <v>0</v>
      </c>
      <c r="O50" s="149" t="str">
        <f>+IFERROR(VLOOKUP(Assegnazione[[#This Row],[Bene]],B[],MATCH($O$4,Beni!$A$4:$Z$4,0),0),"")</f>
        <v/>
      </c>
      <c r="P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8">
        <f>+SUMIF(B[Bene],Assegnazione[[#This Row],[Bene]],B[Iva se dovuta])*Assegnazione[[#This Row],[Quota di assegnazione]]</f>
        <v>0</v>
      </c>
      <c r="S50" s="178">
        <f>+SUMIF(B[Bene],Assegnazione[[#This Row],[Bene]],B[Imposta di registro (fissa + prop) senza agevolazione])*Assegnazione[[#This Row],[Quota di assegnazione]]</f>
        <v>0</v>
      </c>
      <c r="T50" s="178">
        <f>+SUMIF(B[Bene],Assegnazione[[#This Row],[Bene]],B[Ipotecaria e catastale senza agevolazione])*Assegnazione[[#This Row],[Quota di assegnazione]]</f>
        <v>0</v>
      </c>
      <c r="U50" s="179">
        <f>+SUM(Assegnazione[[#This Row],[Tassazione diretta senza agevolazione]:[Ipotecaria e catastale senza agevolazione]])</f>
        <v>0</v>
      </c>
      <c r="V50" s="178">
        <f>+SUMIF(B[Bene],Assegnazione[[#This Row],[Bene]],B[Imponibile Imposta sostitutiva])*Assegnazione[[#This Row],[Quota di assegnazione]]*DATI!$E$27</f>
        <v>0</v>
      </c>
      <c r="W50" s="178">
        <f>+SUMIF(B[Bene],Assegnazione[[#This Row],[Bene]],B[Imposta di registro in misura fissa agevolata])*Assegnazione[[#This Row],[Quota di assegnazione]]</f>
        <v>0</v>
      </c>
      <c r="X50" s="178">
        <f>+SUMIF(B[Bene],Assegnazione[[#This Row],[Bene]],B[Imposta di registro prop. Agevolata])*Assegnazione[[#This Row],[Quota di assegnazione]]</f>
        <v>0</v>
      </c>
      <c r="Y50" s="178">
        <f>+IFERROR(Assegnazione[[#This Row],[Imposta di registro in misura fissa]]+Assegnazione[[#This Row],[Imposta di registro prop.]],"")</f>
        <v>0</v>
      </c>
      <c r="Z50" s="178">
        <f>+SUMIF(B[Bene],Assegnazione[[#This Row],[Bene]],B[Ipotecaria catastale agevolata])*Assegnazione[[#This Row],[Quota di assegnazione]]</f>
        <v>0</v>
      </c>
    </row>
    <row r="51" spans="1:26" x14ac:dyDescent="0.2">
      <c r="A51" s="126"/>
      <c r="B51" s="135"/>
      <c r="C51" s="126"/>
      <c r="D51" s="175">
        <f>+SUMIF(B[Bene],Assegnazione[[#This Row],[Bene]],B[Imponibile Iva])*Assegnazione[[#This Row],[Quota di assegnazione]]</f>
        <v>0</v>
      </c>
      <c r="E51" s="175">
        <f>+SUMIF(B[Bene],Assegnazione[[#This Row],[Bene]],B[Valore inserito manualmente])*Assegnazione[[#This Row],[Quota di assegnazione]]</f>
        <v>0</v>
      </c>
      <c r="F51" s="176" t="str">
        <f>+IF(A51="","",VLOOKUP(Assegnazione[[#This Row],[Bene]],B[],3,0))</f>
        <v/>
      </c>
      <c r="G51" s="132" t="str">
        <f>+IFERROR(VLOOKUP(Assegnazione[[#This Row],[Bene]],B[],MATCH("Agevolabile",Beni!$A$4:$AC$4,0),0)*VLOOKUP(Assegnazione[[#This Row],[Socio]],A_1[],8,0),"")</f>
        <v/>
      </c>
      <c r="H51" s="175">
        <f>+SUMIF(B[Bene],Assegnazione[[#This Row],[Bene]],B[Valore netto contabile fiscalmente riconosciuto])*Assegnazione[[#This Row],[Quota di assegnazione]]</f>
        <v>0</v>
      </c>
      <c r="I51" s="175">
        <f>+SUMIF(B[Bene],Assegnazione[[#This Row],[Bene]],B[Valore normale])*Assegnazione[[#This Row],[Quota di assegnazione]]</f>
        <v>0</v>
      </c>
      <c r="J51" s="177">
        <f>+IF(Assegnazione[[#This Row],[Bene]]="",0,SUMIF(Assegnazione[Socio],Assegnazione[[#This Row],[Socio]],Assegnazione[Valore Normale])/$I$3)</f>
        <v>0</v>
      </c>
      <c r="K51" s="177" t="str">
        <f>IF(Assegnazione[[#This Row],[Bene]]="","",SUMIF(A_1[Nome],Assegnazione[[#This Row],[Socio]],A_1[Quota partecipazione al momento dell''operazione]))</f>
        <v/>
      </c>
      <c r="L51" s="175">
        <f>+SUMIF(B[Bene],Assegnazione[[#This Row],[Bene]],B[Valore catastale])*Assegnazione[[#This Row],[Quota di assegnazione]]</f>
        <v>0</v>
      </c>
      <c r="M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5">
        <f>+MIN(Assegnazione[[#This Row],[Valore ai fini dell''atto]],Assegnazione[[#This Row],[Valore Fiscalmente riconosciuto]])</f>
        <v>0</v>
      </c>
      <c r="O51" s="149" t="str">
        <f>+IFERROR(VLOOKUP(Assegnazione[[#This Row],[Bene]],B[],MATCH($O$4,Beni!$A$4:$Z$4,0),0),"")</f>
        <v/>
      </c>
      <c r="P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8">
        <f>+SUMIF(B[Bene],Assegnazione[[#This Row],[Bene]],B[Iva se dovuta])*Assegnazione[[#This Row],[Quota di assegnazione]]</f>
        <v>0</v>
      </c>
      <c r="S51" s="178">
        <f>+SUMIF(B[Bene],Assegnazione[[#This Row],[Bene]],B[Imposta di registro (fissa + prop) senza agevolazione])*Assegnazione[[#This Row],[Quota di assegnazione]]</f>
        <v>0</v>
      </c>
      <c r="T51" s="178">
        <f>+SUMIF(B[Bene],Assegnazione[[#This Row],[Bene]],B[Ipotecaria e catastale senza agevolazione])*Assegnazione[[#This Row],[Quota di assegnazione]]</f>
        <v>0</v>
      </c>
      <c r="U51" s="179">
        <f>+SUM(Assegnazione[[#This Row],[Tassazione diretta senza agevolazione]:[Ipotecaria e catastale senza agevolazione]])</f>
        <v>0</v>
      </c>
      <c r="V51" s="178">
        <f>+SUMIF(B[Bene],Assegnazione[[#This Row],[Bene]],B[Imponibile Imposta sostitutiva])*Assegnazione[[#This Row],[Quota di assegnazione]]*DATI!$E$27</f>
        <v>0</v>
      </c>
      <c r="W51" s="178">
        <f>+SUMIF(B[Bene],Assegnazione[[#This Row],[Bene]],B[Imposta di registro in misura fissa agevolata])*Assegnazione[[#This Row],[Quota di assegnazione]]</f>
        <v>0</v>
      </c>
      <c r="X51" s="178">
        <f>+SUMIF(B[Bene],Assegnazione[[#This Row],[Bene]],B[Imposta di registro prop. Agevolata])*Assegnazione[[#This Row],[Quota di assegnazione]]</f>
        <v>0</v>
      </c>
      <c r="Y51" s="178">
        <f>+IFERROR(Assegnazione[[#This Row],[Imposta di registro in misura fissa]]+Assegnazione[[#This Row],[Imposta di registro prop.]],"")</f>
        <v>0</v>
      </c>
      <c r="Z51" s="178">
        <f>+SUMIF(B[Bene],Assegnazione[[#This Row],[Bene]],B[Ipotecaria catastale agevolata])*Assegnazione[[#This Row],[Quota di assegnazione]]</f>
        <v>0</v>
      </c>
    </row>
    <row r="52" spans="1:26" x14ac:dyDescent="0.2">
      <c r="A52" s="126"/>
      <c r="B52" s="135"/>
      <c r="C52" s="126"/>
      <c r="D52" s="175">
        <f>+SUMIF(B[Bene],Assegnazione[[#This Row],[Bene]],B[Imponibile Iva])*Assegnazione[[#This Row],[Quota di assegnazione]]</f>
        <v>0</v>
      </c>
      <c r="E52" s="175">
        <f>+SUMIF(B[Bene],Assegnazione[[#This Row],[Bene]],B[Valore inserito manualmente])*Assegnazione[[#This Row],[Quota di assegnazione]]</f>
        <v>0</v>
      </c>
      <c r="F52" s="176" t="str">
        <f>+IF(A52="","",VLOOKUP(Assegnazione[[#This Row],[Bene]],B[],3,0))</f>
        <v/>
      </c>
      <c r="G52" s="132" t="str">
        <f>+IFERROR(VLOOKUP(Assegnazione[[#This Row],[Bene]],B[],MATCH("Agevolabile",Beni!$A$4:$AC$4,0),0)*VLOOKUP(Assegnazione[[#This Row],[Socio]],A_1[],8,0),"")</f>
        <v/>
      </c>
      <c r="H52" s="175">
        <f>+SUMIF(B[Bene],Assegnazione[[#This Row],[Bene]],B[Valore netto contabile fiscalmente riconosciuto])*Assegnazione[[#This Row],[Quota di assegnazione]]</f>
        <v>0</v>
      </c>
      <c r="I52" s="175">
        <f>+SUMIF(B[Bene],Assegnazione[[#This Row],[Bene]],B[Valore normale])*Assegnazione[[#This Row],[Quota di assegnazione]]</f>
        <v>0</v>
      </c>
      <c r="J52" s="177">
        <f>+IF(Assegnazione[[#This Row],[Bene]]="",0,SUMIF(Assegnazione[Socio],Assegnazione[[#This Row],[Socio]],Assegnazione[Valore Normale])/$I$3)</f>
        <v>0</v>
      </c>
      <c r="K52" s="177" t="str">
        <f>IF(Assegnazione[[#This Row],[Bene]]="","",SUMIF(A_1[Nome],Assegnazione[[#This Row],[Socio]],A_1[Quota partecipazione al momento dell''operazione]))</f>
        <v/>
      </c>
      <c r="L52" s="175">
        <f>+SUMIF(B[Bene],Assegnazione[[#This Row],[Bene]],B[Valore catastale])*Assegnazione[[#This Row],[Quota di assegnazione]]</f>
        <v>0</v>
      </c>
      <c r="M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5">
        <f>+MIN(Assegnazione[[#This Row],[Valore ai fini dell''atto]],Assegnazione[[#This Row],[Valore Fiscalmente riconosciuto]])</f>
        <v>0</v>
      </c>
      <c r="O52" s="149" t="str">
        <f>+IFERROR(VLOOKUP(Assegnazione[[#This Row],[Bene]],B[],MATCH($O$4,Beni!$A$4:$Z$4,0),0),"")</f>
        <v/>
      </c>
      <c r="P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8">
        <f>+SUMIF(B[Bene],Assegnazione[[#This Row],[Bene]],B[Iva se dovuta])*Assegnazione[[#This Row],[Quota di assegnazione]]</f>
        <v>0</v>
      </c>
      <c r="S52" s="178">
        <f>+SUMIF(B[Bene],Assegnazione[[#This Row],[Bene]],B[Imposta di registro (fissa + prop) senza agevolazione])*Assegnazione[[#This Row],[Quota di assegnazione]]</f>
        <v>0</v>
      </c>
      <c r="T52" s="178">
        <f>+SUMIF(B[Bene],Assegnazione[[#This Row],[Bene]],B[Ipotecaria e catastale senza agevolazione])*Assegnazione[[#This Row],[Quota di assegnazione]]</f>
        <v>0</v>
      </c>
      <c r="U52" s="179">
        <f>+SUM(Assegnazione[[#This Row],[Tassazione diretta senza agevolazione]:[Ipotecaria e catastale senza agevolazione]])</f>
        <v>0</v>
      </c>
      <c r="V52" s="178">
        <f>+SUMIF(B[Bene],Assegnazione[[#This Row],[Bene]],B[Imponibile Imposta sostitutiva])*Assegnazione[[#This Row],[Quota di assegnazione]]*DATI!$E$27</f>
        <v>0</v>
      </c>
      <c r="W52" s="178">
        <f>+SUMIF(B[Bene],Assegnazione[[#This Row],[Bene]],B[Imposta di registro in misura fissa agevolata])*Assegnazione[[#This Row],[Quota di assegnazione]]</f>
        <v>0</v>
      </c>
      <c r="X52" s="178">
        <f>+SUMIF(B[Bene],Assegnazione[[#This Row],[Bene]],B[Imposta di registro prop. Agevolata])*Assegnazione[[#This Row],[Quota di assegnazione]]</f>
        <v>0</v>
      </c>
      <c r="Y52" s="178">
        <f>+IFERROR(Assegnazione[[#This Row],[Imposta di registro in misura fissa]]+Assegnazione[[#This Row],[Imposta di registro prop.]],"")</f>
        <v>0</v>
      </c>
      <c r="Z52" s="178">
        <f>+SUMIF(B[Bene],Assegnazione[[#This Row],[Bene]],B[Ipotecaria catastale agevolata])*Assegnazione[[#This Row],[Quota di assegnazione]]</f>
        <v>0</v>
      </c>
    </row>
    <row r="53" spans="1:26" x14ac:dyDescent="0.2">
      <c r="A53" s="126"/>
      <c r="B53" s="135"/>
      <c r="C53" s="126"/>
      <c r="D53" s="175">
        <f>+SUMIF(B[Bene],Assegnazione[[#This Row],[Bene]],B[Imponibile Iva])*Assegnazione[[#This Row],[Quota di assegnazione]]</f>
        <v>0</v>
      </c>
      <c r="E53" s="175">
        <f>+SUMIF(B[Bene],Assegnazione[[#This Row],[Bene]],B[Valore inserito manualmente])*Assegnazione[[#This Row],[Quota di assegnazione]]</f>
        <v>0</v>
      </c>
      <c r="F53" s="176" t="str">
        <f>+IF(A53="","",VLOOKUP(Assegnazione[[#This Row],[Bene]],B[],3,0))</f>
        <v/>
      </c>
      <c r="G53" s="132" t="str">
        <f>+IFERROR(VLOOKUP(Assegnazione[[#This Row],[Bene]],B[],MATCH("Agevolabile",Beni!$A$4:$AC$4,0),0)*VLOOKUP(Assegnazione[[#This Row],[Socio]],A_1[],8,0),"")</f>
        <v/>
      </c>
      <c r="H53" s="175">
        <f>+SUMIF(B[Bene],Assegnazione[[#This Row],[Bene]],B[Valore netto contabile fiscalmente riconosciuto])*Assegnazione[[#This Row],[Quota di assegnazione]]</f>
        <v>0</v>
      </c>
      <c r="I53" s="175">
        <f>+SUMIF(B[Bene],Assegnazione[[#This Row],[Bene]],B[Valore normale])*Assegnazione[[#This Row],[Quota di assegnazione]]</f>
        <v>0</v>
      </c>
      <c r="J53" s="177">
        <f>+IF(Assegnazione[[#This Row],[Bene]]="",0,SUMIF(Assegnazione[Socio],Assegnazione[[#This Row],[Socio]],Assegnazione[Valore Normale])/$I$3)</f>
        <v>0</v>
      </c>
      <c r="K53" s="177" t="str">
        <f>IF(Assegnazione[[#This Row],[Bene]]="","",SUMIF(A_1[Nome],Assegnazione[[#This Row],[Socio]],A_1[Quota partecipazione al momento dell''operazione]))</f>
        <v/>
      </c>
      <c r="L53" s="175">
        <f>+SUMIF(B[Bene],Assegnazione[[#This Row],[Bene]],B[Valore catastale])*Assegnazione[[#This Row],[Quota di assegnazione]]</f>
        <v>0</v>
      </c>
      <c r="M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5">
        <f>+MIN(Assegnazione[[#This Row],[Valore ai fini dell''atto]],Assegnazione[[#This Row],[Valore Fiscalmente riconosciuto]])</f>
        <v>0</v>
      </c>
      <c r="O53" s="149" t="str">
        <f>+IFERROR(VLOOKUP(Assegnazione[[#This Row],[Bene]],B[],MATCH($O$4,Beni!$A$4:$Z$4,0),0),"")</f>
        <v/>
      </c>
      <c r="P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8">
        <f>+SUMIF(B[Bene],Assegnazione[[#This Row],[Bene]],B[Iva se dovuta])*Assegnazione[[#This Row],[Quota di assegnazione]]</f>
        <v>0</v>
      </c>
      <c r="S53" s="178">
        <f>+SUMIF(B[Bene],Assegnazione[[#This Row],[Bene]],B[Imposta di registro (fissa + prop) senza agevolazione])*Assegnazione[[#This Row],[Quota di assegnazione]]</f>
        <v>0</v>
      </c>
      <c r="T53" s="178">
        <f>+SUMIF(B[Bene],Assegnazione[[#This Row],[Bene]],B[Ipotecaria e catastale senza agevolazione])*Assegnazione[[#This Row],[Quota di assegnazione]]</f>
        <v>0</v>
      </c>
      <c r="U53" s="179">
        <f>+SUM(Assegnazione[[#This Row],[Tassazione diretta senza agevolazione]:[Ipotecaria e catastale senza agevolazione]])</f>
        <v>0</v>
      </c>
      <c r="V53" s="178">
        <f>+SUMIF(B[Bene],Assegnazione[[#This Row],[Bene]],B[Imponibile Imposta sostitutiva])*Assegnazione[[#This Row],[Quota di assegnazione]]*DATI!$E$27</f>
        <v>0</v>
      </c>
      <c r="W53" s="178">
        <f>+SUMIF(B[Bene],Assegnazione[[#This Row],[Bene]],B[Imposta di registro in misura fissa agevolata])*Assegnazione[[#This Row],[Quota di assegnazione]]</f>
        <v>0</v>
      </c>
      <c r="X53" s="178">
        <f>+SUMIF(B[Bene],Assegnazione[[#This Row],[Bene]],B[Imposta di registro prop. Agevolata])*Assegnazione[[#This Row],[Quota di assegnazione]]</f>
        <v>0</v>
      </c>
      <c r="Y53" s="178">
        <f>+IFERROR(Assegnazione[[#This Row],[Imposta di registro in misura fissa]]+Assegnazione[[#This Row],[Imposta di registro prop.]],"")</f>
        <v>0</v>
      </c>
      <c r="Z53" s="178">
        <f>+SUMIF(B[Bene],Assegnazione[[#This Row],[Bene]],B[Ipotecaria catastale agevolata])*Assegnazione[[#This Row],[Quota di assegnazione]]</f>
        <v>0</v>
      </c>
    </row>
    <row r="54" spans="1:26" x14ac:dyDescent="0.2">
      <c r="A54" s="126"/>
      <c r="B54" s="135"/>
      <c r="C54" s="126"/>
      <c r="D54" s="175">
        <f>+SUMIF(B[Bene],Assegnazione[[#This Row],[Bene]],B[Imponibile Iva])*Assegnazione[[#This Row],[Quota di assegnazione]]</f>
        <v>0</v>
      </c>
      <c r="E54" s="175">
        <f>+SUMIF(B[Bene],Assegnazione[[#This Row],[Bene]],B[Valore inserito manualmente])*Assegnazione[[#This Row],[Quota di assegnazione]]</f>
        <v>0</v>
      </c>
      <c r="F54" s="176" t="str">
        <f>+IF(A54="","",VLOOKUP(Assegnazione[[#This Row],[Bene]],B[],3,0))</f>
        <v/>
      </c>
      <c r="G54" s="132" t="str">
        <f>+IFERROR(VLOOKUP(Assegnazione[[#This Row],[Bene]],B[],MATCH("Agevolabile",Beni!$A$4:$AC$4,0),0)*VLOOKUP(Assegnazione[[#This Row],[Socio]],A_1[],8,0),"")</f>
        <v/>
      </c>
      <c r="H54" s="175">
        <f>+SUMIF(B[Bene],Assegnazione[[#This Row],[Bene]],B[Valore netto contabile fiscalmente riconosciuto])*Assegnazione[[#This Row],[Quota di assegnazione]]</f>
        <v>0</v>
      </c>
      <c r="I54" s="175">
        <f>+SUMIF(B[Bene],Assegnazione[[#This Row],[Bene]],B[Valore normale])*Assegnazione[[#This Row],[Quota di assegnazione]]</f>
        <v>0</v>
      </c>
      <c r="J54" s="177">
        <f>+IF(Assegnazione[[#This Row],[Bene]]="",0,SUMIF(Assegnazione[Socio],Assegnazione[[#This Row],[Socio]],Assegnazione[Valore Normale])/$I$3)</f>
        <v>0</v>
      </c>
      <c r="K54" s="177" t="str">
        <f>IF(Assegnazione[[#This Row],[Bene]]="","",SUMIF(A_1[Nome],Assegnazione[[#This Row],[Socio]],A_1[Quota partecipazione al momento dell''operazione]))</f>
        <v/>
      </c>
      <c r="L54" s="175">
        <f>+SUMIF(B[Bene],Assegnazione[[#This Row],[Bene]],B[Valore catastale])*Assegnazione[[#This Row],[Quota di assegnazione]]</f>
        <v>0</v>
      </c>
      <c r="M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5">
        <f>+MIN(Assegnazione[[#This Row],[Valore ai fini dell''atto]],Assegnazione[[#This Row],[Valore Fiscalmente riconosciuto]])</f>
        <v>0</v>
      </c>
      <c r="O54" s="149" t="str">
        <f>+IFERROR(VLOOKUP(Assegnazione[[#This Row],[Bene]],B[],MATCH($O$4,Beni!$A$4:$Z$4,0),0),"")</f>
        <v/>
      </c>
      <c r="P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8">
        <f>+SUMIF(B[Bene],Assegnazione[[#This Row],[Bene]],B[Iva se dovuta])*Assegnazione[[#This Row],[Quota di assegnazione]]</f>
        <v>0</v>
      </c>
      <c r="S54" s="178">
        <f>+SUMIF(B[Bene],Assegnazione[[#This Row],[Bene]],B[Imposta di registro (fissa + prop) senza agevolazione])*Assegnazione[[#This Row],[Quota di assegnazione]]</f>
        <v>0</v>
      </c>
      <c r="T54" s="178">
        <f>+SUMIF(B[Bene],Assegnazione[[#This Row],[Bene]],B[Ipotecaria e catastale senza agevolazione])*Assegnazione[[#This Row],[Quota di assegnazione]]</f>
        <v>0</v>
      </c>
      <c r="U54" s="179">
        <f>+SUM(Assegnazione[[#This Row],[Tassazione diretta senza agevolazione]:[Ipotecaria e catastale senza agevolazione]])</f>
        <v>0</v>
      </c>
      <c r="V54" s="178">
        <f>+SUMIF(B[Bene],Assegnazione[[#This Row],[Bene]],B[Imponibile Imposta sostitutiva])*Assegnazione[[#This Row],[Quota di assegnazione]]*DATI!$E$27</f>
        <v>0</v>
      </c>
      <c r="W54" s="178">
        <f>+SUMIF(B[Bene],Assegnazione[[#This Row],[Bene]],B[Imposta di registro in misura fissa agevolata])*Assegnazione[[#This Row],[Quota di assegnazione]]</f>
        <v>0</v>
      </c>
      <c r="X54" s="178">
        <f>+SUMIF(B[Bene],Assegnazione[[#This Row],[Bene]],B[Imposta di registro prop. Agevolata])*Assegnazione[[#This Row],[Quota di assegnazione]]</f>
        <v>0</v>
      </c>
      <c r="Y54" s="178">
        <f>+IFERROR(Assegnazione[[#This Row],[Imposta di registro in misura fissa]]+Assegnazione[[#This Row],[Imposta di registro prop.]],"")</f>
        <v>0</v>
      </c>
      <c r="Z54" s="178">
        <f>+SUMIF(B[Bene],Assegnazione[[#This Row],[Bene]],B[Ipotecaria catastale agevolata])*Assegnazione[[#This Row],[Quota di assegnazione]]</f>
        <v>0</v>
      </c>
    </row>
    <row r="55" spans="1:26" x14ac:dyDescent="0.2">
      <c r="A55" s="126"/>
      <c r="B55" s="135"/>
      <c r="C55" s="126"/>
      <c r="D55" s="175">
        <f>+SUMIF(B[Bene],Assegnazione[[#This Row],[Bene]],B[Imponibile Iva])*Assegnazione[[#This Row],[Quota di assegnazione]]</f>
        <v>0</v>
      </c>
      <c r="E55" s="175">
        <f>+SUMIF(B[Bene],Assegnazione[[#This Row],[Bene]],B[Valore inserito manualmente])*Assegnazione[[#This Row],[Quota di assegnazione]]</f>
        <v>0</v>
      </c>
      <c r="F55" s="176" t="str">
        <f>+IF(A55="","",VLOOKUP(Assegnazione[[#This Row],[Bene]],B[],3,0))</f>
        <v/>
      </c>
      <c r="G55" s="132" t="str">
        <f>+IFERROR(VLOOKUP(Assegnazione[[#This Row],[Bene]],B[],MATCH("Agevolabile",Beni!$A$4:$AC$4,0),0)*VLOOKUP(Assegnazione[[#This Row],[Socio]],A_1[],8,0),"")</f>
        <v/>
      </c>
      <c r="H55" s="175">
        <f>+SUMIF(B[Bene],Assegnazione[[#This Row],[Bene]],B[Valore netto contabile fiscalmente riconosciuto])*Assegnazione[[#This Row],[Quota di assegnazione]]</f>
        <v>0</v>
      </c>
      <c r="I55" s="175">
        <f>+SUMIF(B[Bene],Assegnazione[[#This Row],[Bene]],B[Valore normale])*Assegnazione[[#This Row],[Quota di assegnazione]]</f>
        <v>0</v>
      </c>
      <c r="J55" s="177">
        <f>+IF(Assegnazione[[#This Row],[Bene]]="",0,SUMIF(Assegnazione[Socio],Assegnazione[[#This Row],[Socio]],Assegnazione[Valore Normale])/$I$3)</f>
        <v>0</v>
      </c>
      <c r="K55" s="177" t="str">
        <f>IF(Assegnazione[[#This Row],[Bene]]="","",SUMIF(A_1[Nome],Assegnazione[[#This Row],[Socio]],A_1[Quota partecipazione al momento dell''operazione]))</f>
        <v/>
      </c>
      <c r="L55" s="175">
        <f>+SUMIF(B[Bene],Assegnazione[[#This Row],[Bene]],B[Valore catastale])*Assegnazione[[#This Row],[Quota di assegnazione]]</f>
        <v>0</v>
      </c>
      <c r="M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5">
        <f>+MIN(Assegnazione[[#This Row],[Valore ai fini dell''atto]],Assegnazione[[#This Row],[Valore Fiscalmente riconosciuto]])</f>
        <v>0</v>
      </c>
      <c r="O55" s="149" t="str">
        <f>+IFERROR(VLOOKUP(Assegnazione[[#This Row],[Bene]],B[],MATCH($O$4,Beni!$A$4:$Z$4,0),0),"")</f>
        <v/>
      </c>
      <c r="P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8">
        <f>+SUMIF(B[Bene],Assegnazione[[#This Row],[Bene]],B[Iva se dovuta])*Assegnazione[[#This Row],[Quota di assegnazione]]</f>
        <v>0</v>
      </c>
      <c r="S55" s="178">
        <f>+SUMIF(B[Bene],Assegnazione[[#This Row],[Bene]],B[Imposta di registro (fissa + prop) senza agevolazione])*Assegnazione[[#This Row],[Quota di assegnazione]]</f>
        <v>0</v>
      </c>
      <c r="T55" s="178">
        <f>+SUMIF(B[Bene],Assegnazione[[#This Row],[Bene]],B[Ipotecaria e catastale senza agevolazione])*Assegnazione[[#This Row],[Quota di assegnazione]]</f>
        <v>0</v>
      </c>
      <c r="U55" s="179">
        <f>+SUM(Assegnazione[[#This Row],[Tassazione diretta senza agevolazione]:[Ipotecaria e catastale senza agevolazione]])</f>
        <v>0</v>
      </c>
      <c r="V55" s="178">
        <f>+SUMIF(B[Bene],Assegnazione[[#This Row],[Bene]],B[Imponibile Imposta sostitutiva])*Assegnazione[[#This Row],[Quota di assegnazione]]*DATI!$E$27</f>
        <v>0</v>
      </c>
      <c r="W55" s="178">
        <f>+SUMIF(B[Bene],Assegnazione[[#This Row],[Bene]],B[Imposta di registro in misura fissa agevolata])*Assegnazione[[#This Row],[Quota di assegnazione]]</f>
        <v>0</v>
      </c>
      <c r="X55" s="178">
        <f>+SUMIF(B[Bene],Assegnazione[[#This Row],[Bene]],B[Imposta di registro prop. Agevolata])*Assegnazione[[#This Row],[Quota di assegnazione]]</f>
        <v>0</v>
      </c>
      <c r="Y55" s="178">
        <f>+IFERROR(Assegnazione[[#This Row],[Imposta di registro in misura fissa]]+Assegnazione[[#This Row],[Imposta di registro prop.]],"")</f>
        <v>0</v>
      </c>
      <c r="Z55" s="178">
        <f>+SUMIF(B[Bene],Assegnazione[[#This Row],[Bene]],B[Ipotecaria catastale agevolata])*Assegnazione[[#This Row],[Quota di assegnazione]]</f>
        <v>0</v>
      </c>
    </row>
    <row r="56" spans="1:26" x14ac:dyDescent="0.2">
      <c r="A56" s="126"/>
      <c r="B56" s="135"/>
      <c r="C56" s="126"/>
      <c r="D56" s="175">
        <f>+SUMIF(B[Bene],Assegnazione[[#This Row],[Bene]],B[Imponibile Iva])*Assegnazione[[#This Row],[Quota di assegnazione]]</f>
        <v>0</v>
      </c>
      <c r="E56" s="175">
        <f>+SUMIF(B[Bene],Assegnazione[[#This Row],[Bene]],B[Valore inserito manualmente])*Assegnazione[[#This Row],[Quota di assegnazione]]</f>
        <v>0</v>
      </c>
      <c r="F56" s="176" t="str">
        <f>+IF(A56="","",VLOOKUP(Assegnazione[[#This Row],[Bene]],B[],3,0))</f>
        <v/>
      </c>
      <c r="G56" s="132" t="str">
        <f>+IFERROR(VLOOKUP(Assegnazione[[#This Row],[Bene]],B[],MATCH("Agevolabile",Beni!$A$4:$AC$4,0),0)*VLOOKUP(Assegnazione[[#This Row],[Socio]],A_1[],8,0),"")</f>
        <v/>
      </c>
      <c r="H56" s="175">
        <f>+SUMIF(B[Bene],Assegnazione[[#This Row],[Bene]],B[Valore netto contabile fiscalmente riconosciuto])*Assegnazione[[#This Row],[Quota di assegnazione]]</f>
        <v>0</v>
      </c>
      <c r="I56" s="175">
        <f>+SUMIF(B[Bene],Assegnazione[[#This Row],[Bene]],B[Valore normale])*Assegnazione[[#This Row],[Quota di assegnazione]]</f>
        <v>0</v>
      </c>
      <c r="J56" s="177">
        <f>+IF(Assegnazione[[#This Row],[Bene]]="",0,SUMIF(Assegnazione[Socio],Assegnazione[[#This Row],[Socio]],Assegnazione[Valore Normale])/$I$3)</f>
        <v>0</v>
      </c>
      <c r="K56" s="177" t="str">
        <f>IF(Assegnazione[[#This Row],[Bene]]="","",SUMIF(A_1[Nome],Assegnazione[[#This Row],[Socio]],A_1[Quota partecipazione al momento dell''operazione]))</f>
        <v/>
      </c>
      <c r="L56" s="175">
        <f>+SUMIF(B[Bene],Assegnazione[[#This Row],[Bene]],B[Valore catastale])*Assegnazione[[#This Row],[Quota di assegnazione]]</f>
        <v>0</v>
      </c>
      <c r="M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5">
        <f>+MIN(Assegnazione[[#This Row],[Valore ai fini dell''atto]],Assegnazione[[#This Row],[Valore Fiscalmente riconosciuto]])</f>
        <v>0</v>
      </c>
      <c r="O56" s="149" t="str">
        <f>+IFERROR(VLOOKUP(Assegnazione[[#This Row],[Bene]],B[],MATCH($O$4,Beni!$A$4:$Z$4,0),0),"")</f>
        <v/>
      </c>
      <c r="P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8">
        <f>+SUMIF(B[Bene],Assegnazione[[#This Row],[Bene]],B[Iva se dovuta])*Assegnazione[[#This Row],[Quota di assegnazione]]</f>
        <v>0</v>
      </c>
      <c r="S56" s="178">
        <f>+SUMIF(B[Bene],Assegnazione[[#This Row],[Bene]],B[Imposta di registro (fissa + prop) senza agevolazione])*Assegnazione[[#This Row],[Quota di assegnazione]]</f>
        <v>0</v>
      </c>
      <c r="T56" s="178">
        <f>+SUMIF(B[Bene],Assegnazione[[#This Row],[Bene]],B[Ipotecaria e catastale senza agevolazione])*Assegnazione[[#This Row],[Quota di assegnazione]]</f>
        <v>0</v>
      </c>
      <c r="U56" s="179">
        <f>+SUM(Assegnazione[[#This Row],[Tassazione diretta senza agevolazione]:[Ipotecaria e catastale senza agevolazione]])</f>
        <v>0</v>
      </c>
      <c r="V56" s="178">
        <f>+SUMIF(B[Bene],Assegnazione[[#This Row],[Bene]],B[Imponibile Imposta sostitutiva])*Assegnazione[[#This Row],[Quota di assegnazione]]*DATI!$E$27</f>
        <v>0</v>
      </c>
      <c r="W56" s="178">
        <f>+SUMIF(B[Bene],Assegnazione[[#This Row],[Bene]],B[Imposta di registro in misura fissa agevolata])*Assegnazione[[#This Row],[Quota di assegnazione]]</f>
        <v>0</v>
      </c>
      <c r="X56" s="178">
        <f>+SUMIF(B[Bene],Assegnazione[[#This Row],[Bene]],B[Imposta di registro prop. Agevolata])*Assegnazione[[#This Row],[Quota di assegnazione]]</f>
        <v>0</v>
      </c>
      <c r="Y56" s="178">
        <f>+IFERROR(Assegnazione[[#This Row],[Imposta di registro in misura fissa]]+Assegnazione[[#This Row],[Imposta di registro prop.]],"")</f>
        <v>0</v>
      </c>
      <c r="Z56" s="178">
        <f>+SUMIF(B[Bene],Assegnazione[[#This Row],[Bene]],B[Ipotecaria catastale agevolata])*Assegnazione[[#This Row],[Quota di assegnazione]]</f>
        <v>0</v>
      </c>
    </row>
    <row r="57" spans="1:26" x14ac:dyDescent="0.2">
      <c r="A57" s="126"/>
      <c r="B57" s="135"/>
      <c r="C57" s="126"/>
      <c r="D57" s="175">
        <f>+SUMIF(B[Bene],Assegnazione[[#This Row],[Bene]],B[Imponibile Iva])*Assegnazione[[#This Row],[Quota di assegnazione]]</f>
        <v>0</v>
      </c>
      <c r="E57" s="175">
        <f>+SUMIF(B[Bene],Assegnazione[[#This Row],[Bene]],B[Valore inserito manualmente])*Assegnazione[[#This Row],[Quota di assegnazione]]</f>
        <v>0</v>
      </c>
      <c r="F57" s="176" t="str">
        <f>+IF(A57="","",VLOOKUP(Assegnazione[[#This Row],[Bene]],B[],3,0))</f>
        <v/>
      </c>
      <c r="G57" s="132" t="str">
        <f>+IFERROR(VLOOKUP(Assegnazione[[#This Row],[Bene]],B[],MATCH("Agevolabile",Beni!$A$4:$AC$4,0),0)*VLOOKUP(Assegnazione[[#This Row],[Socio]],A_1[],8,0),"")</f>
        <v/>
      </c>
      <c r="H57" s="175">
        <f>+SUMIF(B[Bene],Assegnazione[[#This Row],[Bene]],B[Valore netto contabile fiscalmente riconosciuto])*Assegnazione[[#This Row],[Quota di assegnazione]]</f>
        <v>0</v>
      </c>
      <c r="I57" s="175">
        <f>+SUMIF(B[Bene],Assegnazione[[#This Row],[Bene]],B[Valore normale])*Assegnazione[[#This Row],[Quota di assegnazione]]</f>
        <v>0</v>
      </c>
      <c r="J57" s="177">
        <f>+IF(Assegnazione[[#This Row],[Bene]]="",0,SUMIF(Assegnazione[Socio],Assegnazione[[#This Row],[Socio]],Assegnazione[Valore Normale])/$I$3)</f>
        <v>0</v>
      </c>
      <c r="K57" s="177" t="str">
        <f>IF(Assegnazione[[#This Row],[Bene]]="","",SUMIF(A_1[Nome],Assegnazione[[#This Row],[Socio]],A_1[Quota partecipazione al momento dell''operazione]))</f>
        <v/>
      </c>
      <c r="L57" s="175">
        <f>+SUMIF(B[Bene],Assegnazione[[#This Row],[Bene]],B[Valore catastale])*Assegnazione[[#This Row],[Quota di assegnazione]]</f>
        <v>0</v>
      </c>
      <c r="M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5">
        <f>+MIN(Assegnazione[[#This Row],[Valore ai fini dell''atto]],Assegnazione[[#This Row],[Valore Fiscalmente riconosciuto]])</f>
        <v>0</v>
      </c>
      <c r="O57" s="149" t="str">
        <f>+IFERROR(VLOOKUP(Assegnazione[[#This Row],[Bene]],B[],MATCH($O$4,Beni!$A$4:$Z$4,0),0),"")</f>
        <v/>
      </c>
      <c r="P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8">
        <f>+SUMIF(B[Bene],Assegnazione[[#This Row],[Bene]],B[Iva se dovuta])*Assegnazione[[#This Row],[Quota di assegnazione]]</f>
        <v>0</v>
      </c>
      <c r="S57" s="178">
        <f>+SUMIF(B[Bene],Assegnazione[[#This Row],[Bene]],B[Imposta di registro (fissa + prop) senza agevolazione])*Assegnazione[[#This Row],[Quota di assegnazione]]</f>
        <v>0</v>
      </c>
      <c r="T57" s="178">
        <f>+SUMIF(B[Bene],Assegnazione[[#This Row],[Bene]],B[Ipotecaria e catastale senza agevolazione])*Assegnazione[[#This Row],[Quota di assegnazione]]</f>
        <v>0</v>
      </c>
      <c r="U57" s="179">
        <f>+SUM(Assegnazione[[#This Row],[Tassazione diretta senza agevolazione]:[Ipotecaria e catastale senza agevolazione]])</f>
        <v>0</v>
      </c>
      <c r="V57" s="178">
        <f>+SUMIF(B[Bene],Assegnazione[[#This Row],[Bene]],B[Imponibile Imposta sostitutiva])*Assegnazione[[#This Row],[Quota di assegnazione]]*DATI!$E$27</f>
        <v>0</v>
      </c>
      <c r="W57" s="178">
        <f>+SUMIF(B[Bene],Assegnazione[[#This Row],[Bene]],B[Imposta di registro in misura fissa agevolata])*Assegnazione[[#This Row],[Quota di assegnazione]]</f>
        <v>0</v>
      </c>
      <c r="X57" s="178">
        <f>+SUMIF(B[Bene],Assegnazione[[#This Row],[Bene]],B[Imposta di registro prop. Agevolata])*Assegnazione[[#This Row],[Quota di assegnazione]]</f>
        <v>0</v>
      </c>
      <c r="Y57" s="178">
        <f>+IFERROR(Assegnazione[[#This Row],[Imposta di registro in misura fissa]]+Assegnazione[[#This Row],[Imposta di registro prop.]],"")</f>
        <v>0</v>
      </c>
      <c r="Z57" s="178">
        <f>+SUMIF(B[Bene],Assegnazione[[#This Row],[Bene]],B[Ipotecaria catastale agevolata])*Assegnazione[[#This Row],[Quota di assegnazione]]</f>
        <v>0</v>
      </c>
    </row>
    <row r="58" spans="1:26" x14ac:dyDescent="0.2">
      <c r="A58" s="126"/>
      <c r="B58" s="135"/>
      <c r="C58" s="126"/>
      <c r="D58" s="175">
        <f>+SUMIF(B[Bene],Assegnazione[[#This Row],[Bene]],B[Imponibile Iva])*Assegnazione[[#This Row],[Quota di assegnazione]]</f>
        <v>0</v>
      </c>
      <c r="E58" s="175">
        <f>+SUMIF(B[Bene],Assegnazione[[#This Row],[Bene]],B[Valore inserito manualmente])*Assegnazione[[#This Row],[Quota di assegnazione]]</f>
        <v>0</v>
      </c>
      <c r="F58" s="176" t="str">
        <f>+IF(A58="","",VLOOKUP(Assegnazione[[#This Row],[Bene]],B[],3,0))</f>
        <v/>
      </c>
      <c r="G58" s="132" t="str">
        <f>+IFERROR(VLOOKUP(Assegnazione[[#This Row],[Bene]],B[],MATCH("Agevolabile",Beni!$A$4:$AC$4,0),0)*VLOOKUP(Assegnazione[[#This Row],[Socio]],A_1[],8,0),"")</f>
        <v/>
      </c>
      <c r="H58" s="175">
        <f>+SUMIF(B[Bene],Assegnazione[[#This Row],[Bene]],B[Valore netto contabile fiscalmente riconosciuto])*Assegnazione[[#This Row],[Quota di assegnazione]]</f>
        <v>0</v>
      </c>
      <c r="I58" s="175">
        <f>+SUMIF(B[Bene],Assegnazione[[#This Row],[Bene]],B[Valore normale])*Assegnazione[[#This Row],[Quota di assegnazione]]</f>
        <v>0</v>
      </c>
      <c r="J58" s="177">
        <f>+IF(Assegnazione[[#This Row],[Bene]]="",0,SUMIF(Assegnazione[Socio],Assegnazione[[#This Row],[Socio]],Assegnazione[Valore Normale])/$I$3)</f>
        <v>0</v>
      </c>
      <c r="K58" s="177" t="str">
        <f>IF(Assegnazione[[#This Row],[Bene]]="","",SUMIF(A_1[Nome],Assegnazione[[#This Row],[Socio]],A_1[Quota partecipazione al momento dell''operazione]))</f>
        <v/>
      </c>
      <c r="L58" s="175">
        <f>+SUMIF(B[Bene],Assegnazione[[#This Row],[Bene]],B[Valore catastale])*Assegnazione[[#This Row],[Quota di assegnazione]]</f>
        <v>0</v>
      </c>
      <c r="M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5">
        <f>+MIN(Assegnazione[[#This Row],[Valore ai fini dell''atto]],Assegnazione[[#This Row],[Valore Fiscalmente riconosciuto]])</f>
        <v>0</v>
      </c>
      <c r="O58" s="149" t="str">
        <f>+IFERROR(VLOOKUP(Assegnazione[[#This Row],[Bene]],B[],MATCH($O$4,Beni!$A$4:$Z$4,0),0),"")</f>
        <v/>
      </c>
      <c r="P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8">
        <f>+SUMIF(B[Bene],Assegnazione[[#This Row],[Bene]],B[Iva se dovuta])*Assegnazione[[#This Row],[Quota di assegnazione]]</f>
        <v>0</v>
      </c>
      <c r="S58" s="178">
        <f>+SUMIF(B[Bene],Assegnazione[[#This Row],[Bene]],B[Imposta di registro (fissa + prop) senza agevolazione])*Assegnazione[[#This Row],[Quota di assegnazione]]</f>
        <v>0</v>
      </c>
      <c r="T58" s="178">
        <f>+SUMIF(B[Bene],Assegnazione[[#This Row],[Bene]],B[Ipotecaria e catastale senza agevolazione])*Assegnazione[[#This Row],[Quota di assegnazione]]</f>
        <v>0</v>
      </c>
      <c r="U58" s="179">
        <f>+SUM(Assegnazione[[#This Row],[Tassazione diretta senza agevolazione]:[Ipotecaria e catastale senza agevolazione]])</f>
        <v>0</v>
      </c>
      <c r="V58" s="178">
        <f>+SUMIF(B[Bene],Assegnazione[[#This Row],[Bene]],B[Imponibile Imposta sostitutiva])*Assegnazione[[#This Row],[Quota di assegnazione]]*DATI!$E$27</f>
        <v>0</v>
      </c>
      <c r="W58" s="178">
        <f>+SUMIF(B[Bene],Assegnazione[[#This Row],[Bene]],B[Imposta di registro in misura fissa agevolata])*Assegnazione[[#This Row],[Quota di assegnazione]]</f>
        <v>0</v>
      </c>
      <c r="X58" s="178">
        <f>+SUMIF(B[Bene],Assegnazione[[#This Row],[Bene]],B[Imposta di registro prop. Agevolata])*Assegnazione[[#This Row],[Quota di assegnazione]]</f>
        <v>0</v>
      </c>
      <c r="Y58" s="178">
        <f>+IFERROR(Assegnazione[[#This Row],[Imposta di registro in misura fissa]]+Assegnazione[[#This Row],[Imposta di registro prop.]],"")</f>
        <v>0</v>
      </c>
      <c r="Z58" s="178">
        <f>+SUMIF(B[Bene],Assegnazione[[#This Row],[Bene]],B[Ipotecaria catastale agevolata])*Assegnazione[[#This Row],[Quota di assegnazione]]</f>
        <v>0</v>
      </c>
    </row>
    <row r="59" spans="1:26" x14ac:dyDescent="0.2">
      <c r="A59" s="126"/>
      <c r="B59" s="135"/>
      <c r="C59" s="126"/>
      <c r="D59" s="175">
        <f>+SUMIF(B[Bene],Assegnazione[[#This Row],[Bene]],B[Imponibile Iva])*Assegnazione[[#This Row],[Quota di assegnazione]]</f>
        <v>0</v>
      </c>
      <c r="E59" s="175">
        <f>+SUMIF(B[Bene],Assegnazione[[#This Row],[Bene]],B[Valore inserito manualmente])*Assegnazione[[#This Row],[Quota di assegnazione]]</f>
        <v>0</v>
      </c>
      <c r="F59" s="176" t="str">
        <f>+IF(A59="","",VLOOKUP(Assegnazione[[#This Row],[Bene]],B[],3,0))</f>
        <v/>
      </c>
      <c r="G59" s="132" t="str">
        <f>+IFERROR(VLOOKUP(Assegnazione[[#This Row],[Bene]],B[],MATCH("Agevolabile",Beni!$A$4:$AC$4,0),0)*VLOOKUP(Assegnazione[[#This Row],[Socio]],A_1[],8,0),"")</f>
        <v/>
      </c>
      <c r="H59" s="175">
        <f>+SUMIF(B[Bene],Assegnazione[[#This Row],[Bene]],B[Valore netto contabile fiscalmente riconosciuto])*Assegnazione[[#This Row],[Quota di assegnazione]]</f>
        <v>0</v>
      </c>
      <c r="I59" s="175">
        <f>+SUMIF(B[Bene],Assegnazione[[#This Row],[Bene]],B[Valore normale])*Assegnazione[[#This Row],[Quota di assegnazione]]</f>
        <v>0</v>
      </c>
      <c r="J59" s="177">
        <f>+IF(Assegnazione[[#This Row],[Bene]]="",0,SUMIF(Assegnazione[Socio],Assegnazione[[#This Row],[Socio]],Assegnazione[Valore Normale])/$I$3)</f>
        <v>0</v>
      </c>
      <c r="K59" s="177" t="str">
        <f>IF(Assegnazione[[#This Row],[Bene]]="","",SUMIF(A_1[Nome],Assegnazione[[#This Row],[Socio]],A_1[Quota partecipazione al momento dell''operazione]))</f>
        <v/>
      </c>
      <c r="L59" s="175">
        <f>+SUMIF(B[Bene],Assegnazione[[#This Row],[Bene]],B[Valore catastale])*Assegnazione[[#This Row],[Quota di assegnazione]]</f>
        <v>0</v>
      </c>
      <c r="M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5">
        <f>+MIN(Assegnazione[[#This Row],[Valore ai fini dell''atto]],Assegnazione[[#This Row],[Valore Fiscalmente riconosciuto]])</f>
        <v>0</v>
      </c>
      <c r="O59" s="149" t="str">
        <f>+IFERROR(VLOOKUP(Assegnazione[[#This Row],[Bene]],B[],MATCH($O$4,Beni!$A$4:$Z$4,0),0),"")</f>
        <v/>
      </c>
      <c r="P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8">
        <f>+SUMIF(B[Bene],Assegnazione[[#This Row],[Bene]],B[Iva se dovuta])*Assegnazione[[#This Row],[Quota di assegnazione]]</f>
        <v>0</v>
      </c>
      <c r="S59" s="178">
        <f>+SUMIF(B[Bene],Assegnazione[[#This Row],[Bene]],B[Imposta di registro (fissa + prop) senza agevolazione])*Assegnazione[[#This Row],[Quota di assegnazione]]</f>
        <v>0</v>
      </c>
      <c r="T59" s="178">
        <f>+SUMIF(B[Bene],Assegnazione[[#This Row],[Bene]],B[Ipotecaria e catastale senza agevolazione])*Assegnazione[[#This Row],[Quota di assegnazione]]</f>
        <v>0</v>
      </c>
      <c r="U59" s="179">
        <f>+SUM(Assegnazione[[#This Row],[Tassazione diretta senza agevolazione]:[Ipotecaria e catastale senza agevolazione]])</f>
        <v>0</v>
      </c>
      <c r="V59" s="178">
        <f>+SUMIF(B[Bene],Assegnazione[[#This Row],[Bene]],B[Imponibile Imposta sostitutiva])*Assegnazione[[#This Row],[Quota di assegnazione]]*DATI!$E$27</f>
        <v>0</v>
      </c>
      <c r="W59" s="178">
        <f>+SUMIF(B[Bene],Assegnazione[[#This Row],[Bene]],B[Imposta di registro in misura fissa agevolata])*Assegnazione[[#This Row],[Quota di assegnazione]]</f>
        <v>0</v>
      </c>
      <c r="X59" s="178">
        <f>+SUMIF(B[Bene],Assegnazione[[#This Row],[Bene]],B[Imposta di registro prop. Agevolata])*Assegnazione[[#This Row],[Quota di assegnazione]]</f>
        <v>0</v>
      </c>
      <c r="Y59" s="178">
        <f>+IFERROR(Assegnazione[[#This Row],[Imposta di registro in misura fissa]]+Assegnazione[[#This Row],[Imposta di registro prop.]],"")</f>
        <v>0</v>
      </c>
      <c r="Z59" s="178">
        <f>+SUMIF(B[Bene],Assegnazione[[#This Row],[Bene]],B[Ipotecaria catastale agevolata])*Assegnazione[[#This Row],[Quota di assegnazione]]</f>
        <v>0</v>
      </c>
    </row>
    <row r="60" spans="1:26" x14ac:dyDescent="0.2">
      <c r="A60" s="126"/>
      <c r="B60" s="135"/>
      <c r="C60" s="126"/>
      <c r="D60" s="175">
        <f>+SUMIF(B[Bene],Assegnazione[[#This Row],[Bene]],B[Imponibile Iva])*Assegnazione[[#This Row],[Quota di assegnazione]]</f>
        <v>0</v>
      </c>
      <c r="E60" s="175">
        <f>+SUMIF(B[Bene],Assegnazione[[#This Row],[Bene]],B[Valore inserito manualmente])*Assegnazione[[#This Row],[Quota di assegnazione]]</f>
        <v>0</v>
      </c>
      <c r="F60" s="176" t="str">
        <f>+IF(A60="","",VLOOKUP(Assegnazione[[#This Row],[Bene]],B[],3,0))</f>
        <v/>
      </c>
      <c r="G60" s="132" t="str">
        <f>+IFERROR(VLOOKUP(Assegnazione[[#This Row],[Bene]],B[],MATCH("Agevolabile",Beni!$A$4:$AC$4,0),0)*VLOOKUP(Assegnazione[[#This Row],[Socio]],A_1[],8,0),"")</f>
        <v/>
      </c>
      <c r="H60" s="175">
        <f>+SUMIF(B[Bene],Assegnazione[[#This Row],[Bene]],B[Valore netto contabile fiscalmente riconosciuto])*Assegnazione[[#This Row],[Quota di assegnazione]]</f>
        <v>0</v>
      </c>
      <c r="I60" s="175">
        <f>+SUMIF(B[Bene],Assegnazione[[#This Row],[Bene]],B[Valore normale])*Assegnazione[[#This Row],[Quota di assegnazione]]</f>
        <v>0</v>
      </c>
      <c r="J60" s="177">
        <f>+IF(Assegnazione[[#This Row],[Bene]]="",0,SUMIF(Assegnazione[Socio],Assegnazione[[#This Row],[Socio]],Assegnazione[Valore Normale])/$I$3)</f>
        <v>0</v>
      </c>
      <c r="K60" s="177" t="str">
        <f>IF(Assegnazione[[#This Row],[Bene]]="","",SUMIF(A_1[Nome],Assegnazione[[#This Row],[Socio]],A_1[Quota partecipazione al momento dell''operazione]))</f>
        <v/>
      </c>
      <c r="L60" s="175">
        <f>+SUMIF(B[Bene],Assegnazione[[#This Row],[Bene]],B[Valore catastale])*Assegnazione[[#This Row],[Quota di assegnazione]]</f>
        <v>0</v>
      </c>
      <c r="M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5">
        <f>+MIN(Assegnazione[[#This Row],[Valore ai fini dell''atto]],Assegnazione[[#This Row],[Valore Fiscalmente riconosciuto]])</f>
        <v>0</v>
      </c>
      <c r="O60" s="149" t="str">
        <f>+IFERROR(VLOOKUP(Assegnazione[[#This Row],[Bene]],B[],MATCH($O$4,Beni!$A$4:$Z$4,0),0),"")</f>
        <v/>
      </c>
      <c r="P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8">
        <f>+SUMIF(B[Bene],Assegnazione[[#This Row],[Bene]],B[Iva se dovuta])*Assegnazione[[#This Row],[Quota di assegnazione]]</f>
        <v>0</v>
      </c>
      <c r="S60" s="178">
        <f>+SUMIF(B[Bene],Assegnazione[[#This Row],[Bene]],B[Imposta di registro (fissa + prop) senza agevolazione])*Assegnazione[[#This Row],[Quota di assegnazione]]</f>
        <v>0</v>
      </c>
      <c r="T60" s="178">
        <f>+SUMIF(B[Bene],Assegnazione[[#This Row],[Bene]],B[Ipotecaria e catastale senza agevolazione])*Assegnazione[[#This Row],[Quota di assegnazione]]</f>
        <v>0</v>
      </c>
      <c r="U60" s="179">
        <f>+SUM(Assegnazione[[#This Row],[Tassazione diretta senza agevolazione]:[Ipotecaria e catastale senza agevolazione]])</f>
        <v>0</v>
      </c>
      <c r="V60" s="178">
        <f>+SUMIF(B[Bene],Assegnazione[[#This Row],[Bene]],B[Imponibile Imposta sostitutiva])*Assegnazione[[#This Row],[Quota di assegnazione]]*DATI!$E$27</f>
        <v>0</v>
      </c>
      <c r="W60" s="178">
        <f>+SUMIF(B[Bene],Assegnazione[[#This Row],[Bene]],B[Imposta di registro in misura fissa agevolata])*Assegnazione[[#This Row],[Quota di assegnazione]]</f>
        <v>0</v>
      </c>
      <c r="X60" s="178">
        <f>+SUMIF(B[Bene],Assegnazione[[#This Row],[Bene]],B[Imposta di registro prop. Agevolata])*Assegnazione[[#This Row],[Quota di assegnazione]]</f>
        <v>0</v>
      </c>
      <c r="Y60" s="178">
        <f>+IFERROR(Assegnazione[[#This Row],[Imposta di registro in misura fissa]]+Assegnazione[[#This Row],[Imposta di registro prop.]],"")</f>
        <v>0</v>
      </c>
      <c r="Z60" s="178">
        <f>+SUMIF(B[Bene],Assegnazione[[#This Row],[Bene]],B[Ipotecaria catastale agevolata])*Assegnazione[[#This Row],[Quota di assegnazione]]</f>
        <v>0</v>
      </c>
    </row>
    <row r="61" spans="1:26" x14ac:dyDescent="0.2">
      <c r="A61" s="126"/>
      <c r="B61" s="135"/>
      <c r="C61" s="126"/>
      <c r="D61" s="175">
        <f>+SUMIF(B[Bene],Assegnazione[[#This Row],[Bene]],B[Imponibile Iva])*Assegnazione[[#This Row],[Quota di assegnazione]]</f>
        <v>0</v>
      </c>
      <c r="E61" s="175">
        <f>+SUMIF(B[Bene],Assegnazione[[#This Row],[Bene]],B[Valore inserito manualmente])*Assegnazione[[#This Row],[Quota di assegnazione]]</f>
        <v>0</v>
      </c>
      <c r="F61" s="176" t="str">
        <f>+IF(A61="","",VLOOKUP(Assegnazione[[#This Row],[Bene]],B[],3,0))</f>
        <v/>
      </c>
      <c r="G61" s="132" t="str">
        <f>+IFERROR(VLOOKUP(Assegnazione[[#This Row],[Bene]],B[],MATCH("Agevolabile",Beni!$A$4:$AC$4,0),0)*VLOOKUP(Assegnazione[[#This Row],[Socio]],A_1[],8,0),"")</f>
        <v/>
      </c>
      <c r="H61" s="175">
        <f>+SUMIF(B[Bene],Assegnazione[[#This Row],[Bene]],B[Valore netto contabile fiscalmente riconosciuto])*Assegnazione[[#This Row],[Quota di assegnazione]]</f>
        <v>0</v>
      </c>
      <c r="I61" s="175">
        <f>+SUMIF(B[Bene],Assegnazione[[#This Row],[Bene]],B[Valore normale])*Assegnazione[[#This Row],[Quota di assegnazione]]</f>
        <v>0</v>
      </c>
      <c r="J61" s="177">
        <f>+IF(Assegnazione[[#This Row],[Bene]]="",0,SUMIF(Assegnazione[Socio],Assegnazione[[#This Row],[Socio]],Assegnazione[Valore Normale])/$I$3)</f>
        <v>0</v>
      </c>
      <c r="K61" s="177" t="str">
        <f>IF(Assegnazione[[#This Row],[Bene]]="","",SUMIF(A_1[Nome],Assegnazione[[#This Row],[Socio]],A_1[Quota partecipazione al momento dell''operazione]))</f>
        <v/>
      </c>
      <c r="L61" s="175">
        <f>+SUMIF(B[Bene],Assegnazione[[#This Row],[Bene]],B[Valore catastale])*Assegnazione[[#This Row],[Quota di assegnazione]]</f>
        <v>0</v>
      </c>
      <c r="M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5">
        <f>+MIN(Assegnazione[[#This Row],[Valore ai fini dell''atto]],Assegnazione[[#This Row],[Valore Fiscalmente riconosciuto]])</f>
        <v>0</v>
      </c>
      <c r="O61" s="149" t="str">
        <f>+IFERROR(VLOOKUP(Assegnazione[[#This Row],[Bene]],B[],MATCH($O$4,Beni!$A$4:$Z$4,0),0),"")</f>
        <v/>
      </c>
      <c r="P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8">
        <f>+SUMIF(B[Bene],Assegnazione[[#This Row],[Bene]],B[Iva se dovuta])*Assegnazione[[#This Row],[Quota di assegnazione]]</f>
        <v>0</v>
      </c>
      <c r="S61" s="178">
        <f>+SUMIF(B[Bene],Assegnazione[[#This Row],[Bene]],B[Imposta di registro (fissa + prop) senza agevolazione])*Assegnazione[[#This Row],[Quota di assegnazione]]</f>
        <v>0</v>
      </c>
      <c r="T61" s="178">
        <f>+SUMIF(B[Bene],Assegnazione[[#This Row],[Bene]],B[Ipotecaria e catastale senza agevolazione])*Assegnazione[[#This Row],[Quota di assegnazione]]</f>
        <v>0</v>
      </c>
      <c r="U61" s="179">
        <f>+SUM(Assegnazione[[#This Row],[Tassazione diretta senza agevolazione]:[Ipotecaria e catastale senza agevolazione]])</f>
        <v>0</v>
      </c>
      <c r="V61" s="178">
        <f>+SUMIF(B[Bene],Assegnazione[[#This Row],[Bene]],B[Imponibile Imposta sostitutiva])*Assegnazione[[#This Row],[Quota di assegnazione]]*DATI!$E$27</f>
        <v>0</v>
      </c>
      <c r="W61" s="178">
        <f>+SUMIF(B[Bene],Assegnazione[[#This Row],[Bene]],B[Imposta di registro in misura fissa agevolata])*Assegnazione[[#This Row],[Quota di assegnazione]]</f>
        <v>0</v>
      </c>
      <c r="X61" s="178">
        <f>+SUMIF(B[Bene],Assegnazione[[#This Row],[Bene]],B[Imposta di registro prop. Agevolata])*Assegnazione[[#This Row],[Quota di assegnazione]]</f>
        <v>0</v>
      </c>
      <c r="Y61" s="178">
        <f>+IFERROR(Assegnazione[[#This Row],[Imposta di registro in misura fissa]]+Assegnazione[[#This Row],[Imposta di registro prop.]],"")</f>
        <v>0</v>
      </c>
      <c r="Z61" s="178">
        <f>+SUMIF(B[Bene],Assegnazione[[#This Row],[Bene]],B[Ipotecaria catastale agevolata])*Assegnazione[[#This Row],[Quota di assegnazione]]</f>
        <v>0</v>
      </c>
    </row>
    <row r="62" spans="1:26" x14ac:dyDescent="0.2">
      <c r="A62" s="126"/>
      <c r="B62" s="135"/>
      <c r="C62" s="126"/>
      <c r="D62" s="175">
        <f>+SUMIF(B[Bene],Assegnazione[[#This Row],[Bene]],B[Imponibile Iva])*Assegnazione[[#This Row],[Quota di assegnazione]]</f>
        <v>0</v>
      </c>
      <c r="E62" s="175">
        <f>+SUMIF(B[Bene],Assegnazione[[#This Row],[Bene]],B[Valore inserito manualmente])*Assegnazione[[#This Row],[Quota di assegnazione]]</f>
        <v>0</v>
      </c>
      <c r="F62" s="176" t="str">
        <f>+IF(A62="","",VLOOKUP(Assegnazione[[#This Row],[Bene]],B[],3,0))</f>
        <v/>
      </c>
      <c r="G62" s="132" t="str">
        <f>+IFERROR(VLOOKUP(Assegnazione[[#This Row],[Bene]],B[],MATCH("Agevolabile",Beni!$A$4:$AC$4,0),0)*VLOOKUP(Assegnazione[[#This Row],[Socio]],A_1[],8,0),"")</f>
        <v/>
      </c>
      <c r="H62" s="175">
        <f>+SUMIF(B[Bene],Assegnazione[[#This Row],[Bene]],B[Valore netto contabile fiscalmente riconosciuto])*Assegnazione[[#This Row],[Quota di assegnazione]]</f>
        <v>0</v>
      </c>
      <c r="I62" s="175">
        <f>+SUMIF(B[Bene],Assegnazione[[#This Row],[Bene]],B[Valore normale])*Assegnazione[[#This Row],[Quota di assegnazione]]</f>
        <v>0</v>
      </c>
      <c r="J62" s="177">
        <f>+IF(Assegnazione[[#This Row],[Bene]]="",0,SUMIF(Assegnazione[Socio],Assegnazione[[#This Row],[Socio]],Assegnazione[Valore Normale])/$I$3)</f>
        <v>0</v>
      </c>
      <c r="K62" s="177" t="str">
        <f>IF(Assegnazione[[#This Row],[Bene]]="","",SUMIF(A_1[Nome],Assegnazione[[#This Row],[Socio]],A_1[Quota partecipazione al momento dell''operazione]))</f>
        <v/>
      </c>
      <c r="L62" s="175">
        <f>+SUMIF(B[Bene],Assegnazione[[#This Row],[Bene]],B[Valore catastale])*Assegnazione[[#This Row],[Quota di assegnazione]]</f>
        <v>0</v>
      </c>
      <c r="M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5">
        <f>+MIN(Assegnazione[[#This Row],[Valore ai fini dell''atto]],Assegnazione[[#This Row],[Valore Fiscalmente riconosciuto]])</f>
        <v>0</v>
      </c>
      <c r="O62" s="149" t="str">
        <f>+IFERROR(VLOOKUP(Assegnazione[[#This Row],[Bene]],B[],MATCH($O$4,Beni!$A$4:$Z$4,0),0),"")</f>
        <v/>
      </c>
      <c r="P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8">
        <f>+SUMIF(B[Bene],Assegnazione[[#This Row],[Bene]],B[Iva se dovuta])*Assegnazione[[#This Row],[Quota di assegnazione]]</f>
        <v>0</v>
      </c>
      <c r="S62" s="178">
        <f>+SUMIF(B[Bene],Assegnazione[[#This Row],[Bene]],B[Imposta di registro (fissa + prop) senza agevolazione])*Assegnazione[[#This Row],[Quota di assegnazione]]</f>
        <v>0</v>
      </c>
      <c r="T62" s="178">
        <f>+SUMIF(B[Bene],Assegnazione[[#This Row],[Bene]],B[Ipotecaria e catastale senza agevolazione])*Assegnazione[[#This Row],[Quota di assegnazione]]</f>
        <v>0</v>
      </c>
      <c r="U62" s="179">
        <f>+SUM(Assegnazione[[#This Row],[Tassazione diretta senza agevolazione]:[Ipotecaria e catastale senza agevolazione]])</f>
        <v>0</v>
      </c>
      <c r="V62" s="178">
        <f>+SUMIF(B[Bene],Assegnazione[[#This Row],[Bene]],B[Imponibile Imposta sostitutiva])*Assegnazione[[#This Row],[Quota di assegnazione]]*DATI!$E$27</f>
        <v>0</v>
      </c>
      <c r="W62" s="178">
        <f>+SUMIF(B[Bene],Assegnazione[[#This Row],[Bene]],B[Imposta di registro in misura fissa agevolata])*Assegnazione[[#This Row],[Quota di assegnazione]]</f>
        <v>0</v>
      </c>
      <c r="X62" s="178">
        <f>+SUMIF(B[Bene],Assegnazione[[#This Row],[Bene]],B[Imposta di registro prop. Agevolata])*Assegnazione[[#This Row],[Quota di assegnazione]]</f>
        <v>0</v>
      </c>
      <c r="Y62" s="178">
        <f>+IFERROR(Assegnazione[[#This Row],[Imposta di registro in misura fissa]]+Assegnazione[[#This Row],[Imposta di registro prop.]],"")</f>
        <v>0</v>
      </c>
      <c r="Z62" s="178">
        <f>+SUMIF(B[Bene],Assegnazione[[#This Row],[Bene]],B[Ipotecaria catastale agevolata])*Assegnazione[[#This Row],[Quota di assegnazione]]</f>
        <v>0</v>
      </c>
    </row>
    <row r="63" spans="1:26" x14ac:dyDescent="0.2">
      <c r="A63" s="126"/>
      <c r="B63" s="135"/>
      <c r="C63" s="126"/>
      <c r="D63" s="175">
        <f>+SUMIF(B[Bene],Assegnazione[[#This Row],[Bene]],B[Imponibile Iva])*Assegnazione[[#This Row],[Quota di assegnazione]]</f>
        <v>0</v>
      </c>
      <c r="E63" s="175">
        <f>+SUMIF(B[Bene],Assegnazione[[#This Row],[Bene]],B[Valore inserito manualmente])*Assegnazione[[#This Row],[Quota di assegnazione]]</f>
        <v>0</v>
      </c>
      <c r="F63" s="176" t="str">
        <f>+IF(A63="","",VLOOKUP(Assegnazione[[#This Row],[Bene]],B[],3,0))</f>
        <v/>
      </c>
      <c r="G63" s="132" t="str">
        <f>+IFERROR(VLOOKUP(Assegnazione[[#This Row],[Bene]],B[],MATCH("Agevolabile",Beni!$A$4:$AC$4,0),0)*VLOOKUP(Assegnazione[[#This Row],[Socio]],A_1[],8,0),"")</f>
        <v/>
      </c>
      <c r="H63" s="175">
        <f>+SUMIF(B[Bene],Assegnazione[[#This Row],[Bene]],B[Valore netto contabile fiscalmente riconosciuto])*Assegnazione[[#This Row],[Quota di assegnazione]]</f>
        <v>0</v>
      </c>
      <c r="I63" s="175">
        <f>+SUMIF(B[Bene],Assegnazione[[#This Row],[Bene]],B[Valore normale])*Assegnazione[[#This Row],[Quota di assegnazione]]</f>
        <v>0</v>
      </c>
      <c r="J63" s="177">
        <f>+IF(Assegnazione[[#This Row],[Bene]]="",0,SUMIF(Assegnazione[Socio],Assegnazione[[#This Row],[Socio]],Assegnazione[Valore Normale])/$I$3)</f>
        <v>0</v>
      </c>
      <c r="K63" s="177" t="str">
        <f>IF(Assegnazione[[#This Row],[Bene]]="","",SUMIF(A_1[Nome],Assegnazione[[#This Row],[Socio]],A_1[Quota partecipazione al momento dell''operazione]))</f>
        <v/>
      </c>
      <c r="L63" s="175">
        <f>+SUMIF(B[Bene],Assegnazione[[#This Row],[Bene]],B[Valore catastale])*Assegnazione[[#This Row],[Quota di assegnazione]]</f>
        <v>0</v>
      </c>
      <c r="M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5">
        <f>+MIN(Assegnazione[[#This Row],[Valore ai fini dell''atto]],Assegnazione[[#This Row],[Valore Fiscalmente riconosciuto]])</f>
        <v>0</v>
      </c>
      <c r="O63" s="149" t="str">
        <f>+IFERROR(VLOOKUP(Assegnazione[[#This Row],[Bene]],B[],MATCH($O$4,Beni!$A$4:$Z$4,0),0),"")</f>
        <v/>
      </c>
      <c r="P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8">
        <f>+SUMIF(B[Bene],Assegnazione[[#This Row],[Bene]],B[Iva se dovuta])*Assegnazione[[#This Row],[Quota di assegnazione]]</f>
        <v>0</v>
      </c>
      <c r="S63" s="178">
        <f>+SUMIF(B[Bene],Assegnazione[[#This Row],[Bene]],B[Imposta di registro (fissa + prop) senza agevolazione])*Assegnazione[[#This Row],[Quota di assegnazione]]</f>
        <v>0</v>
      </c>
      <c r="T63" s="178">
        <f>+SUMIF(B[Bene],Assegnazione[[#This Row],[Bene]],B[Ipotecaria e catastale senza agevolazione])*Assegnazione[[#This Row],[Quota di assegnazione]]</f>
        <v>0</v>
      </c>
      <c r="U63" s="179">
        <f>+SUM(Assegnazione[[#This Row],[Tassazione diretta senza agevolazione]:[Ipotecaria e catastale senza agevolazione]])</f>
        <v>0</v>
      </c>
      <c r="V63" s="178">
        <f>+SUMIF(B[Bene],Assegnazione[[#This Row],[Bene]],B[Imponibile Imposta sostitutiva])*Assegnazione[[#This Row],[Quota di assegnazione]]*DATI!$E$27</f>
        <v>0</v>
      </c>
      <c r="W63" s="178">
        <f>+SUMIF(B[Bene],Assegnazione[[#This Row],[Bene]],B[Imposta di registro in misura fissa agevolata])*Assegnazione[[#This Row],[Quota di assegnazione]]</f>
        <v>0</v>
      </c>
      <c r="X63" s="178">
        <f>+SUMIF(B[Bene],Assegnazione[[#This Row],[Bene]],B[Imposta di registro prop. Agevolata])*Assegnazione[[#This Row],[Quota di assegnazione]]</f>
        <v>0</v>
      </c>
      <c r="Y63" s="178">
        <f>+IFERROR(Assegnazione[[#This Row],[Imposta di registro in misura fissa]]+Assegnazione[[#This Row],[Imposta di registro prop.]],"")</f>
        <v>0</v>
      </c>
      <c r="Z63" s="178">
        <f>+SUMIF(B[Bene],Assegnazione[[#This Row],[Bene]],B[Ipotecaria catastale agevolata])*Assegnazione[[#This Row],[Quota di assegnazione]]</f>
        <v>0</v>
      </c>
    </row>
    <row r="64" spans="1:26" x14ac:dyDescent="0.2">
      <c r="A64" s="126"/>
      <c r="B64" s="135"/>
      <c r="C64" s="126"/>
      <c r="D64" s="175">
        <f>+SUMIF(B[Bene],Assegnazione[[#This Row],[Bene]],B[Imponibile Iva])*Assegnazione[[#This Row],[Quota di assegnazione]]</f>
        <v>0</v>
      </c>
      <c r="E64" s="175">
        <f>+SUMIF(B[Bene],Assegnazione[[#This Row],[Bene]],B[Valore inserito manualmente])*Assegnazione[[#This Row],[Quota di assegnazione]]</f>
        <v>0</v>
      </c>
      <c r="F64" s="176" t="str">
        <f>+IF(A64="","",VLOOKUP(Assegnazione[[#This Row],[Bene]],B[],3,0))</f>
        <v/>
      </c>
      <c r="G64" s="132" t="str">
        <f>+IFERROR(VLOOKUP(Assegnazione[[#This Row],[Bene]],B[],MATCH("Agevolabile",Beni!$A$4:$AC$4,0),0)*VLOOKUP(Assegnazione[[#This Row],[Socio]],A_1[],8,0),"")</f>
        <v/>
      </c>
      <c r="H64" s="175">
        <f>+SUMIF(B[Bene],Assegnazione[[#This Row],[Bene]],B[Valore netto contabile fiscalmente riconosciuto])*Assegnazione[[#This Row],[Quota di assegnazione]]</f>
        <v>0</v>
      </c>
      <c r="I64" s="175">
        <f>+SUMIF(B[Bene],Assegnazione[[#This Row],[Bene]],B[Valore normale])*Assegnazione[[#This Row],[Quota di assegnazione]]</f>
        <v>0</v>
      </c>
      <c r="J64" s="177">
        <f>+IF(Assegnazione[[#This Row],[Bene]]="",0,SUMIF(Assegnazione[Socio],Assegnazione[[#This Row],[Socio]],Assegnazione[Valore Normale])/$I$3)</f>
        <v>0</v>
      </c>
      <c r="K64" s="177" t="str">
        <f>IF(Assegnazione[[#This Row],[Bene]]="","",SUMIF(A_1[Nome],Assegnazione[[#This Row],[Socio]],A_1[Quota partecipazione al momento dell''operazione]))</f>
        <v/>
      </c>
      <c r="L64" s="175">
        <f>+SUMIF(B[Bene],Assegnazione[[#This Row],[Bene]],B[Valore catastale])*Assegnazione[[#This Row],[Quota di assegnazione]]</f>
        <v>0</v>
      </c>
      <c r="M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5">
        <f>+MIN(Assegnazione[[#This Row],[Valore ai fini dell''atto]],Assegnazione[[#This Row],[Valore Fiscalmente riconosciuto]])</f>
        <v>0</v>
      </c>
      <c r="O64" s="149" t="str">
        <f>+IFERROR(VLOOKUP(Assegnazione[[#This Row],[Bene]],B[],MATCH($O$4,Beni!$A$4:$Z$4,0),0),"")</f>
        <v/>
      </c>
      <c r="P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8">
        <f>+SUMIF(B[Bene],Assegnazione[[#This Row],[Bene]],B[Iva se dovuta])*Assegnazione[[#This Row],[Quota di assegnazione]]</f>
        <v>0</v>
      </c>
      <c r="S64" s="178">
        <f>+SUMIF(B[Bene],Assegnazione[[#This Row],[Bene]],B[Imposta di registro (fissa + prop) senza agevolazione])*Assegnazione[[#This Row],[Quota di assegnazione]]</f>
        <v>0</v>
      </c>
      <c r="T64" s="178">
        <f>+SUMIF(B[Bene],Assegnazione[[#This Row],[Bene]],B[Ipotecaria e catastale senza agevolazione])*Assegnazione[[#This Row],[Quota di assegnazione]]</f>
        <v>0</v>
      </c>
      <c r="U64" s="179">
        <f>+SUM(Assegnazione[[#This Row],[Tassazione diretta senza agevolazione]:[Ipotecaria e catastale senza agevolazione]])</f>
        <v>0</v>
      </c>
      <c r="V64" s="178">
        <f>+SUMIF(B[Bene],Assegnazione[[#This Row],[Bene]],B[Imponibile Imposta sostitutiva])*Assegnazione[[#This Row],[Quota di assegnazione]]*DATI!$E$27</f>
        <v>0</v>
      </c>
      <c r="W64" s="178">
        <f>+SUMIF(B[Bene],Assegnazione[[#This Row],[Bene]],B[Imposta di registro in misura fissa agevolata])*Assegnazione[[#This Row],[Quota di assegnazione]]</f>
        <v>0</v>
      </c>
      <c r="X64" s="178">
        <f>+SUMIF(B[Bene],Assegnazione[[#This Row],[Bene]],B[Imposta di registro prop. Agevolata])*Assegnazione[[#This Row],[Quota di assegnazione]]</f>
        <v>0</v>
      </c>
      <c r="Y64" s="178">
        <f>+IFERROR(Assegnazione[[#This Row],[Imposta di registro in misura fissa]]+Assegnazione[[#This Row],[Imposta di registro prop.]],"")</f>
        <v>0</v>
      </c>
      <c r="Z64" s="178">
        <f>+SUMIF(B[Bene],Assegnazione[[#This Row],[Bene]],B[Ipotecaria catastale agevolata])*Assegnazione[[#This Row],[Quota di assegnazione]]</f>
        <v>0</v>
      </c>
    </row>
    <row r="65" spans="1:26" x14ac:dyDescent="0.2">
      <c r="A65" s="126"/>
      <c r="B65" s="135"/>
      <c r="C65" s="126"/>
      <c r="D65" s="175">
        <f>+SUMIF(B[Bene],Assegnazione[[#This Row],[Bene]],B[Imponibile Iva])*Assegnazione[[#This Row],[Quota di assegnazione]]</f>
        <v>0</v>
      </c>
      <c r="E65" s="175">
        <f>+SUMIF(B[Bene],Assegnazione[[#This Row],[Bene]],B[Valore inserito manualmente])*Assegnazione[[#This Row],[Quota di assegnazione]]</f>
        <v>0</v>
      </c>
      <c r="F65" s="176" t="str">
        <f>+IF(A65="","",VLOOKUP(Assegnazione[[#This Row],[Bene]],B[],3,0))</f>
        <v/>
      </c>
      <c r="G65" s="132" t="str">
        <f>+IFERROR(VLOOKUP(Assegnazione[[#This Row],[Bene]],B[],MATCH("Agevolabile",Beni!$A$4:$AC$4,0),0)*VLOOKUP(Assegnazione[[#This Row],[Socio]],A_1[],8,0),"")</f>
        <v/>
      </c>
      <c r="H65" s="175">
        <f>+SUMIF(B[Bene],Assegnazione[[#This Row],[Bene]],B[Valore netto contabile fiscalmente riconosciuto])*Assegnazione[[#This Row],[Quota di assegnazione]]</f>
        <v>0</v>
      </c>
      <c r="I65" s="175">
        <f>+SUMIF(B[Bene],Assegnazione[[#This Row],[Bene]],B[Valore normale])*Assegnazione[[#This Row],[Quota di assegnazione]]</f>
        <v>0</v>
      </c>
      <c r="J65" s="177">
        <f>+IF(Assegnazione[[#This Row],[Bene]]="",0,SUMIF(Assegnazione[Socio],Assegnazione[[#This Row],[Socio]],Assegnazione[Valore Normale])/$I$3)</f>
        <v>0</v>
      </c>
      <c r="K65" s="177" t="str">
        <f>IF(Assegnazione[[#This Row],[Bene]]="","",SUMIF(A_1[Nome],Assegnazione[[#This Row],[Socio]],A_1[Quota partecipazione al momento dell''operazione]))</f>
        <v/>
      </c>
      <c r="L65" s="175">
        <f>+SUMIF(B[Bene],Assegnazione[[#This Row],[Bene]],B[Valore catastale])*Assegnazione[[#This Row],[Quota di assegnazione]]</f>
        <v>0</v>
      </c>
      <c r="M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5">
        <f>+MIN(Assegnazione[[#This Row],[Valore ai fini dell''atto]],Assegnazione[[#This Row],[Valore Fiscalmente riconosciuto]])</f>
        <v>0</v>
      </c>
      <c r="O65" s="149" t="str">
        <f>+IFERROR(VLOOKUP(Assegnazione[[#This Row],[Bene]],B[],MATCH($O$4,Beni!$A$4:$Z$4,0),0),"")</f>
        <v/>
      </c>
      <c r="P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8">
        <f>+SUMIF(B[Bene],Assegnazione[[#This Row],[Bene]],B[Iva se dovuta])*Assegnazione[[#This Row],[Quota di assegnazione]]</f>
        <v>0</v>
      </c>
      <c r="S65" s="178">
        <f>+SUMIF(B[Bene],Assegnazione[[#This Row],[Bene]],B[Imposta di registro (fissa + prop) senza agevolazione])*Assegnazione[[#This Row],[Quota di assegnazione]]</f>
        <v>0</v>
      </c>
      <c r="T65" s="178">
        <f>+SUMIF(B[Bene],Assegnazione[[#This Row],[Bene]],B[Ipotecaria e catastale senza agevolazione])*Assegnazione[[#This Row],[Quota di assegnazione]]</f>
        <v>0</v>
      </c>
      <c r="U65" s="179">
        <f>+SUM(Assegnazione[[#This Row],[Tassazione diretta senza agevolazione]:[Ipotecaria e catastale senza agevolazione]])</f>
        <v>0</v>
      </c>
      <c r="V65" s="178">
        <f>+SUMIF(B[Bene],Assegnazione[[#This Row],[Bene]],B[Imponibile Imposta sostitutiva])*Assegnazione[[#This Row],[Quota di assegnazione]]*DATI!$E$27</f>
        <v>0</v>
      </c>
      <c r="W65" s="178">
        <f>+SUMIF(B[Bene],Assegnazione[[#This Row],[Bene]],B[Imposta di registro in misura fissa agevolata])*Assegnazione[[#This Row],[Quota di assegnazione]]</f>
        <v>0</v>
      </c>
      <c r="X65" s="178">
        <f>+SUMIF(B[Bene],Assegnazione[[#This Row],[Bene]],B[Imposta di registro prop. Agevolata])*Assegnazione[[#This Row],[Quota di assegnazione]]</f>
        <v>0</v>
      </c>
      <c r="Y65" s="178">
        <f>+IFERROR(Assegnazione[[#This Row],[Imposta di registro in misura fissa]]+Assegnazione[[#This Row],[Imposta di registro prop.]],"")</f>
        <v>0</v>
      </c>
      <c r="Z65" s="178">
        <f>+SUMIF(B[Bene],Assegnazione[[#This Row],[Bene]],B[Ipotecaria catastale agevolata])*Assegnazione[[#This Row],[Quota di assegnazione]]</f>
        <v>0</v>
      </c>
    </row>
    <row r="66" spans="1:26" x14ac:dyDescent="0.2">
      <c r="A66" s="126"/>
      <c r="B66" s="135"/>
      <c r="C66" s="126"/>
      <c r="D66" s="175">
        <f>+SUMIF(B[Bene],Assegnazione[[#This Row],[Bene]],B[Imponibile Iva])*Assegnazione[[#This Row],[Quota di assegnazione]]</f>
        <v>0</v>
      </c>
      <c r="E66" s="175">
        <f>+SUMIF(B[Bene],Assegnazione[[#This Row],[Bene]],B[Valore inserito manualmente])*Assegnazione[[#This Row],[Quota di assegnazione]]</f>
        <v>0</v>
      </c>
      <c r="F66" s="176" t="str">
        <f>+IF(A66="","",VLOOKUP(Assegnazione[[#This Row],[Bene]],B[],3,0))</f>
        <v/>
      </c>
      <c r="G66" s="132" t="str">
        <f>+IFERROR(VLOOKUP(Assegnazione[[#This Row],[Bene]],B[],MATCH("Agevolabile",Beni!$A$4:$AC$4,0),0)*VLOOKUP(Assegnazione[[#This Row],[Socio]],A_1[],8,0),"")</f>
        <v/>
      </c>
      <c r="H66" s="175">
        <f>+SUMIF(B[Bene],Assegnazione[[#This Row],[Bene]],B[Valore netto contabile fiscalmente riconosciuto])*Assegnazione[[#This Row],[Quota di assegnazione]]</f>
        <v>0</v>
      </c>
      <c r="I66" s="175">
        <f>+SUMIF(B[Bene],Assegnazione[[#This Row],[Bene]],B[Valore normale])*Assegnazione[[#This Row],[Quota di assegnazione]]</f>
        <v>0</v>
      </c>
      <c r="J66" s="177">
        <f>+IF(Assegnazione[[#This Row],[Bene]]="",0,SUMIF(Assegnazione[Socio],Assegnazione[[#This Row],[Socio]],Assegnazione[Valore Normale])/$I$3)</f>
        <v>0</v>
      </c>
      <c r="K66" s="177" t="str">
        <f>IF(Assegnazione[[#This Row],[Bene]]="","",SUMIF(A_1[Nome],Assegnazione[[#This Row],[Socio]],A_1[Quota partecipazione al momento dell''operazione]))</f>
        <v/>
      </c>
      <c r="L66" s="175">
        <f>+SUMIF(B[Bene],Assegnazione[[#This Row],[Bene]],B[Valore catastale])*Assegnazione[[#This Row],[Quota di assegnazione]]</f>
        <v>0</v>
      </c>
      <c r="M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5">
        <f>+MIN(Assegnazione[[#This Row],[Valore ai fini dell''atto]],Assegnazione[[#This Row],[Valore Fiscalmente riconosciuto]])</f>
        <v>0</v>
      </c>
      <c r="O66" s="149" t="str">
        <f>+IFERROR(VLOOKUP(Assegnazione[[#This Row],[Bene]],B[],MATCH($O$4,Beni!$A$4:$Z$4,0),0),"")</f>
        <v/>
      </c>
      <c r="P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8">
        <f>+SUMIF(B[Bene],Assegnazione[[#This Row],[Bene]],B[Iva se dovuta])*Assegnazione[[#This Row],[Quota di assegnazione]]</f>
        <v>0</v>
      </c>
      <c r="S66" s="178">
        <f>+SUMIF(B[Bene],Assegnazione[[#This Row],[Bene]],B[Imposta di registro (fissa + prop) senza agevolazione])*Assegnazione[[#This Row],[Quota di assegnazione]]</f>
        <v>0</v>
      </c>
      <c r="T66" s="178">
        <f>+SUMIF(B[Bene],Assegnazione[[#This Row],[Bene]],B[Ipotecaria e catastale senza agevolazione])*Assegnazione[[#This Row],[Quota di assegnazione]]</f>
        <v>0</v>
      </c>
      <c r="U66" s="179">
        <f>+SUM(Assegnazione[[#This Row],[Tassazione diretta senza agevolazione]:[Ipotecaria e catastale senza agevolazione]])</f>
        <v>0</v>
      </c>
      <c r="V66" s="178">
        <f>+SUMIF(B[Bene],Assegnazione[[#This Row],[Bene]],B[Imponibile Imposta sostitutiva])*Assegnazione[[#This Row],[Quota di assegnazione]]*DATI!$E$27</f>
        <v>0</v>
      </c>
      <c r="W66" s="178">
        <f>+SUMIF(B[Bene],Assegnazione[[#This Row],[Bene]],B[Imposta di registro in misura fissa agevolata])*Assegnazione[[#This Row],[Quota di assegnazione]]</f>
        <v>0</v>
      </c>
      <c r="X66" s="178">
        <f>+SUMIF(B[Bene],Assegnazione[[#This Row],[Bene]],B[Imposta di registro prop. Agevolata])*Assegnazione[[#This Row],[Quota di assegnazione]]</f>
        <v>0</v>
      </c>
      <c r="Y66" s="178">
        <f>+IFERROR(Assegnazione[[#This Row],[Imposta di registro in misura fissa]]+Assegnazione[[#This Row],[Imposta di registro prop.]],"")</f>
        <v>0</v>
      </c>
      <c r="Z66" s="178">
        <f>+SUMIF(B[Bene],Assegnazione[[#This Row],[Bene]],B[Ipotecaria catastale agevolata])*Assegnazione[[#This Row],[Quota di assegnazione]]</f>
        <v>0</v>
      </c>
    </row>
    <row r="67" spans="1:26" x14ac:dyDescent="0.2">
      <c r="A67" s="126"/>
      <c r="B67" s="135"/>
      <c r="C67" s="126"/>
      <c r="D67" s="175">
        <f>+SUMIF(B[Bene],Assegnazione[[#This Row],[Bene]],B[Imponibile Iva])*Assegnazione[[#This Row],[Quota di assegnazione]]</f>
        <v>0</v>
      </c>
      <c r="E67" s="175">
        <f>+SUMIF(B[Bene],Assegnazione[[#This Row],[Bene]],B[Valore inserito manualmente])*Assegnazione[[#This Row],[Quota di assegnazione]]</f>
        <v>0</v>
      </c>
      <c r="F67" s="176" t="str">
        <f>+IF(A67="","",VLOOKUP(Assegnazione[[#This Row],[Bene]],B[],3,0))</f>
        <v/>
      </c>
      <c r="G67" s="132" t="str">
        <f>+IFERROR(VLOOKUP(Assegnazione[[#This Row],[Bene]],B[],MATCH("Agevolabile",Beni!$A$4:$AC$4,0),0)*VLOOKUP(Assegnazione[[#This Row],[Socio]],A_1[],8,0),"")</f>
        <v/>
      </c>
      <c r="H67" s="175">
        <f>+SUMIF(B[Bene],Assegnazione[[#This Row],[Bene]],B[Valore netto contabile fiscalmente riconosciuto])*Assegnazione[[#This Row],[Quota di assegnazione]]</f>
        <v>0</v>
      </c>
      <c r="I67" s="175">
        <f>+SUMIF(B[Bene],Assegnazione[[#This Row],[Bene]],B[Valore normale])*Assegnazione[[#This Row],[Quota di assegnazione]]</f>
        <v>0</v>
      </c>
      <c r="J67" s="177">
        <f>+IF(Assegnazione[[#This Row],[Bene]]="",0,SUMIF(Assegnazione[Socio],Assegnazione[[#This Row],[Socio]],Assegnazione[Valore Normale])/$I$3)</f>
        <v>0</v>
      </c>
      <c r="K67" s="177" t="str">
        <f>IF(Assegnazione[[#This Row],[Bene]]="","",SUMIF(A_1[Nome],Assegnazione[[#This Row],[Socio]],A_1[Quota partecipazione al momento dell''operazione]))</f>
        <v/>
      </c>
      <c r="L67" s="175">
        <f>+SUMIF(B[Bene],Assegnazione[[#This Row],[Bene]],B[Valore catastale])*Assegnazione[[#This Row],[Quota di assegnazione]]</f>
        <v>0</v>
      </c>
      <c r="M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5">
        <f>+MIN(Assegnazione[[#This Row],[Valore ai fini dell''atto]],Assegnazione[[#This Row],[Valore Fiscalmente riconosciuto]])</f>
        <v>0</v>
      </c>
      <c r="O67" s="149" t="str">
        <f>+IFERROR(VLOOKUP(Assegnazione[[#This Row],[Bene]],B[],MATCH($O$4,Beni!$A$4:$Z$4,0),0),"")</f>
        <v/>
      </c>
      <c r="P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8">
        <f>+SUMIF(B[Bene],Assegnazione[[#This Row],[Bene]],B[Iva se dovuta])*Assegnazione[[#This Row],[Quota di assegnazione]]</f>
        <v>0</v>
      </c>
      <c r="S67" s="178">
        <f>+SUMIF(B[Bene],Assegnazione[[#This Row],[Bene]],B[Imposta di registro (fissa + prop) senza agevolazione])*Assegnazione[[#This Row],[Quota di assegnazione]]</f>
        <v>0</v>
      </c>
      <c r="T67" s="178">
        <f>+SUMIF(B[Bene],Assegnazione[[#This Row],[Bene]],B[Ipotecaria e catastale senza agevolazione])*Assegnazione[[#This Row],[Quota di assegnazione]]</f>
        <v>0</v>
      </c>
      <c r="U67" s="179">
        <f>+SUM(Assegnazione[[#This Row],[Tassazione diretta senza agevolazione]:[Ipotecaria e catastale senza agevolazione]])</f>
        <v>0</v>
      </c>
      <c r="V67" s="178">
        <f>+SUMIF(B[Bene],Assegnazione[[#This Row],[Bene]],B[Imponibile Imposta sostitutiva])*Assegnazione[[#This Row],[Quota di assegnazione]]*DATI!$E$27</f>
        <v>0</v>
      </c>
      <c r="W67" s="178">
        <f>+SUMIF(B[Bene],Assegnazione[[#This Row],[Bene]],B[Imposta di registro in misura fissa agevolata])*Assegnazione[[#This Row],[Quota di assegnazione]]</f>
        <v>0</v>
      </c>
      <c r="X67" s="178">
        <f>+SUMIF(B[Bene],Assegnazione[[#This Row],[Bene]],B[Imposta di registro prop. Agevolata])*Assegnazione[[#This Row],[Quota di assegnazione]]</f>
        <v>0</v>
      </c>
      <c r="Y67" s="178">
        <f>+IFERROR(Assegnazione[[#This Row],[Imposta di registro in misura fissa]]+Assegnazione[[#This Row],[Imposta di registro prop.]],"")</f>
        <v>0</v>
      </c>
      <c r="Z67" s="178">
        <f>+SUMIF(B[Bene],Assegnazione[[#This Row],[Bene]],B[Ipotecaria catastale agevolata])*Assegnazione[[#This Row],[Quota di assegnazione]]</f>
        <v>0</v>
      </c>
    </row>
    <row r="68" spans="1:26" x14ac:dyDescent="0.2">
      <c r="A68" s="126"/>
      <c r="B68" s="135"/>
      <c r="C68" s="126"/>
      <c r="D68" s="175">
        <f>+SUMIF(B[Bene],Assegnazione[[#This Row],[Bene]],B[Imponibile Iva])*Assegnazione[[#This Row],[Quota di assegnazione]]</f>
        <v>0</v>
      </c>
      <c r="E68" s="175">
        <f>+SUMIF(B[Bene],Assegnazione[[#This Row],[Bene]],B[Valore inserito manualmente])*Assegnazione[[#This Row],[Quota di assegnazione]]</f>
        <v>0</v>
      </c>
      <c r="F68" s="176" t="str">
        <f>+IF(A68="","",VLOOKUP(Assegnazione[[#This Row],[Bene]],B[],3,0))</f>
        <v/>
      </c>
      <c r="G68" s="132" t="str">
        <f>+IFERROR(VLOOKUP(Assegnazione[[#This Row],[Bene]],B[],MATCH("Agevolabile",Beni!$A$4:$AC$4,0),0)*VLOOKUP(Assegnazione[[#This Row],[Socio]],A_1[],8,0),"")</f>
        <v/>
      </c>
      <c r="H68" s="175">
        <f>+SUMIF(B[Bene],Assegnazione[[#This Row],[Bene]],B[Valore netto contabile fiscalmente riconosciuto])*Assegnazione[[#This Row],[Quota di assegnazione]]</f>
        <v>0</v>
      </c>
      <c r="I68" s="175">
        <f>+SUMIF(B[Bene],Assegnazione[[#This Row],[Bene]],B[Valore normale])*Assegnazione[[#This Row],[Quota di assegnazione]]</f>
        <v>0</v>
      </c>
      <c r="J68" s="177">
        <f>+IF(Assegnazione[[#This Row],[Bene]]="",0,SUMIF(Assegnazione[Socio],Assegnazione[[#This Row],[Socio]],Assegnazione[Valore Normale])/$I$3)</f>
        <v>0</v>
      </c>
      <c r="K68" s="177" t="str">
        <f>IF(Assegnazione[[#This Row],[Bene]]="","",SUMIF(A_1[Nome],Assegnazione[[#This Row],[Socio]],A_1[Quota partecipazione al momento dell''operazione]))</f>
        <v/>
      </c>
      <c r="L68" s="175">
        <f>+SUMIF(B[Bene],Assegnazione[[#This Row],[Bene]],B[Valore catastale])*Assegnazione[[#This Row],[Quota di assegnazione]]</f>
        <v>0</v>
      </c>
      <c r="M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5">
        <f>+MIN(Assegnazione[[#This Row],[Valore ai fini dell''atto]],Assegnazione[[#This Row],[Valore Fiscalmente riconosciuto]])</f>
        <v>0</v>
      </c>
      <c r="O68" s="149" t="str">
        <f>+IFERROR(VLOOKUP(Assegnazione[[#This Row],[Bene]],B[],MATCH($O$4,Beni!$A$4:$Z$4,0),0),"")</f>
        <v/>
      </c>
      <c r="P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8">
        <f>+SUMIF(B[Bene],Assegnazione[[#This Row],[Bene]],B[Iva se dovuta])*Assegnazione[[#This Row],[Quota di assegnazione]]</f>
        <v>0</v>
      </c>
      <c r="S68" s="178">
        <f>+SUMIF(B[Bene],Assegnazione[[#This Row],[Bene]],B[Imposta di registro (fissa + prop) senza agevolazione])*Assegnazione[[#This Row],[Quota di assegnazione]]</f>
        <v>0</v>
      </c>
      <c r="T68" s="178">
        <f>+SUMIF(B[Bene],Assegnazione[[#This Row],[Bene]],B[Ipotecaria e catastale senza agevolazione])*Assegnazione[[#This Row],[Quota di assegnazione]]</f>
        <v>0</v>
      </c>
      <c r="U68" s="179">
        <f>+SUM(Assegnazione[[#This Row],[Tassazione diretta senza agevolazione]:[Ipotecaria e catastale senza agevolazione]])</f>
        <v>0</v>
      </c>
      <c r="V68" s="178">
        <f>+SUMIF(B[Bene],Assegnazione[[#This Row],[Bene]],B[Imponibile Imposta sostitutiva])*Assegnazione[[#This Row],[Quota di assegnazione]]*DATI!$E$27</f>
        <v>0</v>
      </c>
      <c r="W68" s="178">
        <f>+SUMIF(B[Bene],Assegnazione[[#This Row],[Bene]],B[Imposta di registro in misura fissa agevolata])*Assegnazione[[#This Row],[Quota di assegnazione]]</f>
        <v>0</v>
      </c>
      <c r="X68" s="178">
        <f>+SUMIF(B[Bene],Assegnazione[[#This Row],[Bene]],B[Imposta di registro prop. Agevolata])*Assegnazione[[#This Row],[Quota di assegnazione]]</f>
        <v>0</v>
      </c>
      <c r="Y68" s="178">
        <f>+IFERROR(Assegnazione[[#This Row],[Imposta di registro in misura fissa]]+Assegnazione[[#This Row],[Imposta di registro prop.]],"")</f>
        <v>0</v>
      </c>
      <c r="Z68" s="178">
        <f>+SUMIF(B[Bene],Assegnazione[[#This Row],[Bene]],B[Ipotecaria catastale agevolata])*Assegnazione[[#This Row],[Quota di assegnazione]]</f>
        <v>0</v>
      </c>
    </row>
    <row r="69" spans="1:26" x14ac:dyDescent="0.2">
      <c r="A69" s="126"/>
      <c r="B69" s="135"/>
      <c r="C69" s="126"/>
      <c r="D69" s="175">
        <f>+SUMIF(B[Bene],Assegnazione[[#This Row],[Bene]],B[Imponibile Iva])*Assegnazione[[#This Row],[Quota di assegnazione]]</f>
        <v>0</v>
      </c>
      <c r="E69" s="175">
        <f>+SUMIF(B[Bene],Assegnazione[[#This Row],[Bene]],B[Valore inserito manualmente])*Assegnazione[[#This Row],[Quota di assegnazione]]</f>
        <v>0</v>
      </c>
      <c r="F69" s="176" t="str">
        <f>+IF(A69="","",VLOOKUP(Assegnazione[[#This Row],[Bene]],B[],3,0))</f>
        <v/>
      </c>
      <c r="G69" s="132" t="str">
        <f>+IFERROR(VLOOKUP(Assegnazione[[#This Row],[Bene]],B[],MATCH("Agevolabile",Beni!$A$4:$AC$4,0),0)*VLOOKUP(Assegnazione[[#This Row],[Socio]],A_1[],8,0),"")</f>
        <v/>
      </c>
      <c r="H69" s="175">
        <f>+SUMIF(B[Bene],Assegnazione[[#This Row],[Bene]],B[Valore netto contabile fiscalmente riconosciuto])*Assegnazione[[#This Row],[Quota di assegnazione]]</f>
        <v>0</v>
      </c>
      <c r="I69" s="175">
        <f>+SUMIF(B[Bene],Assegnazione[[#This Row],[Bene]],B[Valore normale])*Assegnazione[[#This Row],[Quota di assegnazione]]</f>
        <v>0</v>
      </c>
      <c r="J69" s="177">
        <f>+IF(Assegnazione[[#This Row],[Bene]]="",0,SUMIF(Assegnazione[Socio],Assegnazione[[#This Row],[Socio]],Assegnazione[Valore Normale])/$I$3)</f>
        <v>0</v>
      </c>
      <c r="K69" s="177" t="str">
        <f>IF(Assegnazione[[#This Row],[Bene]]="","",SUMIF(A_1[Nome],Assegnazione[[#This Row],[Socio]],A_1[Quota partecipazione al momento dell''operazione]))</f>
        <v/>
      </c>
      <c r="L69" s="175">
        <f>+SUMIF(B[Bene],Assegnazione[[#This Row],[Bene]],B[Valore catastale])*Assegnazione[[#This Row],[Quota di assegnazione]]</f>
        <v>0</v>
      </c>
      <c r="M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5">
        <f>+MIN(Assegnazione[[#This Row],[Valore ai fini dell''atto]],Assegnazione[[#This Row],[Valore Fiscalmente riconosciuto]])</f>
        <v>0</v>
      </c>
      <c r="O69" s="149" t="str">
        <f>+IFERROR(VLOOKUP(Assegnazione[[#This Row],[Bene]],B[],MATCH($O$4,Beni!$A$4:$Z$4,0),0),"")</f>
        <v/>
      </c>
      <c r="P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8">
        <f>+SUMIF(B[Bene],Assegnazione[[#This Row],[Bene]],B[Iva se dovuta])*Assegnazione[[#This Row],[Quota di assegnazione]]</f>
        <v>0</v>
      </c>
      <c r="S69" s="178">
        <f>+SUMIF(B[Bene],Assegnazione[[#This Row],[Bene]],B[Imposta di registro (fissa + prop) senza agevolazione])*Assegnazione[[#This Row],[Quota di assegnazione]]</f>
        <v>0</v>
      </c>
      <c r="T69" s="178">
        <f>+SUMIF(B[Bene],Assegnazione[[#This Row],[Bene]],B[Ipotecaria e catastale senza agevolazione])*Assegnazione[[#This Row],[Quota di assegnazione]]</f>
        <v>0</v>
      </c>
      <c r="U69" s="179">
        <f>+SUM(Assegnazione[[#This Row],[Tassazione diretta senza agevolazione]:[Ipotecaria e catastale senza agevolazione]])</f>
        <v>0</v>
      </c>
      <c r="V69" s="178">
        <f>+SUMIF(B[Bene],Assegnazione[[#This Row],[Bene]],B[Imponibile Imposta sostitutiva])*Assegnazione[[#This Row],[Quota di assegnazione]]*DATI!$E$27</f>
        <v>0</v>
      </c>
      <c r="W69" s="178">
        <f>+SUMIF(B[Bene],Assegnazione[[#This Row],[Bene]],B[Imposta di registro in misura fissa agevolata])*Assegnazione[[#This Row],[Quota di assegnazione]]</f>
        <v>0</v>
      </c>
      <c r="X69" s="178">
        <f>+SUMIF(B[Bene],Assegnazione[[#This Row],[Bene]],B[Imposta di registro prop. Agevolata])*Assegnazione[[#This Row],[Quota di assegnazione]]</f>
        <v>0</v>
      </c>
      <c r="Y69" s="178">
        <f>+IFERROR(Assegnazione[[#This Row],[Imposta di registro in misura fissa]]+Assegnazione[[#This Row],[Imposta di registro prop.]],"")</f>
        <v>0</v>
      </c>
      <c r="Z69" s="178">
        <f>+SUMIF(B[Bene],Assegnazione[[#This Row],[Bene]],B[Ipotecaria catastale agevolata])*Assegnazione[[#This Row],[Quota di assegnazione]]</f>
        <v>0</v>
      </c>
    </row>
    <row r="70" spans="1:26" x14ac:dyDescent="0.2">
      <c r="A70" s="126"/>
      <c r="B70" s="135"/>
      <c r="C70" s="126"/>
      <c r="D70" s="175">
        <f>+SUMIF(B[Bene],Assegnazione[[#This Row],[Bene]],B[Imponibile Iva])*Assegnazione[[#This Row],[Quota di assegnazione]]</f>
        <v>0</v>
      </c>
      <c r="E70" s="175">
        <f>+SUMIF(B[Bene],Assegnazione[[#This Row],[Bene]],B[Valore inserito manualmente])*Assegnazione[[#This Row],[Quota di assegnazione]]</f>
        <v>0</v>
      </c>
      <c r="F70" s="176" t="str">
        <f>+IF(A70="","",VLOOKUP(Assegnazione[[#This Row],[Bene]],B[],3,0))</f>
        <v/>
      </c>
      <c r="G70" s="132" t="str">
        <f>+IFERROR(VLOOKUP(Assegnazione[[#This Row],[Bene]],B[],MATCH("Agevolabile",Beni!$A$4:$AC$4,0),0)*VLOOKUP(Assegnazione[[#This Row],[Socio]],A_1[],8,0),"")</f>
        <v/>
      </c>
      <c r="H70" s="175">
        <f>+SUMIF(B[Bene],Assegnazione[[#This Row],[Bene]],B[Valore netto contabile fiscalmente riconosciuto])*Assegnazione[[#This Row],[Quota di assegnazione]]</f>
        <v>0</v>
      </c>
      <c r="I70" s="175">
        <f>+SUMIF(B[Bene],Assegnazione[[#This Row],[Bene]],B[Valore normale])*Assegnazione[[#This Row],[Quota di assegnazione]]</f>
        <v>0</v>
      </c>
      <c r="J70" s="177">
        <f>+IF(Assegnazione[[#This Row],[Bene]]="",0,SUMIF(Assegnazione[Socio],Assegnazione[[#This Row],[Socio]],Assegnazione[Valore Normale])/$I$3)</f>
        <v>0</v>
      </c>
      <c r="K70" s="177" t="str">
        <f>IF(Assegnazione[[#This Row],[Bene]]="","",SUMIF(A_1[Nome],Assegnazione[[#This Row],[Socio]],A_1[Quota partecipazione al momento dell''operazione]))</f>
        <v/>
      </c>
      <c r="L70" s="175">
        <f>+SUMIF(B[Bene],Assegnazione[[#This Row],[Bene]],B[Valore catastale])*Assegnazione[[#This Row],[Quota di assegnazione]]</f>
        <v>0</v>
      </c>
      <c r="M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5">
        <f>+MIN(Assegnazione[[#This Row],[Valore ai fini dell''atto]],Assegnazione[[#This Row],[Valore Fiscalmente riconosciuto]])</f>
        <v>0</v>
      </c>
      <c r="O70" s="149" t="str">
        <f>+IFERROR(VLOOKUP(Assegnazione[[#This Row],[Bene]],B[],MATCH($O$4,Beni!$A$4:$Z$4,0),0),"")</f>
        <v/>
      </c>
      <c r="P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8">
        <f>+SUMIF(B[Bene],Assegnazione[[#This Row],[Bene]],B[Iva se dovuta])*Assegnazione[[#This Row],[Quota di assegnazione]]</f>
        <v>0</v>
      </c>
      <c r="S70" s="178">
        <f>+SUMIF(B[Bene],Assegnazione[[#This Row],[Bene]],B[Imposta di registro (fissa + prop) senza agevolazione])*Assegnazione[[#This Row],[Quota di assegnazione]]</f>
        <v>0</v>
      </c>
      <c r="T70" s="178">
        <f>+SUMIF(B[Bene],Assegnazione[[#This Row],[Bene]],B[Ipotecaria e catastale senza agevolazione])*Assegnazione[[#This Row],[Quota di assegnazione]]</f>
        <v>0</v>
      </c>
      <c r="U70" s="179">
        <f>+SUM(Assegnazione[[#This Row],[Tassazione diretta senza agevolazione]:[Ipotecaria e catastale senza agevolazione]])</f>
        <v>0</v>
      </c>
      <c r="V70" s="178">
        <f>+SUMIF(B[Bene],Assegnazione[[#This Row],[Bene]],B[Imponibile Imposta sostitutiva])*Assegnazione[[#This Row],[Quota di assegnazione]]*DATI!$E$27</f>
        <v>0</v>
      </c>
      <c r="W70" s="178">
        <f>+SUMIF(B[Bene],Assegnazione[[#This Row],[Bene]],B[Imposta di registro in misura fissa agevolata])*Assegnazione[[#This Row],[Quota di assegnazione]]</f>
        <v>0</v>
      </c>
      <c r="X70" s="178">
        <f>+SUMIF(B[Bene],Assegnazione[[#This Row],[Bene]],B[Imposta di registro prop. Agevolata])*Assegnazione[[#This Row],[Quota di assegnazione]]</f>
        <v>0</v>
      </c>
      <c r="Y70" s="178">
        <f>+IFERROR(Assegnazione[[#This Row],[Imposta di registro in misura fissa]]+Assegnazione[[#This Row],[Imposta di registro prop.]],"")</f>
        <v>0</v>
      </c>
      <c r="Z70" s="178">
        <f>+SUMIF(B[Bene],Assegnazione[[#This Row],[Bene]],B[Ipotecaria catastale agevolata])*Assegnazione[[#This Row],[Quota di assegnazione]]</f>
        <v>0</v>
      </c>
    </row>
    <row r="71" spans="1:26" x14ac:dyDescent="0.2">
      <c r="A71" s="126"/>
      <c r="B71" s="135"/>
      <c r="C71" s="126"/>
      <c r="D71" s="175">
        <f>+SUMIF(B[Bene],Assegnazione[[#This Row],[Bene]],B[Imponibile Iva])*Assegnazione[[#This Row],[Quota di assegnazione]]</f>
        <v>0</v>
      </c>
      <c r="E71" s="175">
        <f>+SUMIF(B[Bene],Assegnazione[[#This Row],[Bene]],B[Valore inserito manualmente])*Assegnazione[[#This Row],[Quota di assegnazione]]</f>
        <v>0</v>
      </c>
      <c r="F71" s="176" t="str">
        <f>+IF(A71="","",VLOOKUP(Assegnazione[[#This Row],[Bene]],B[],3,0))</f>
        <v/>
      </c>
      <c r="G71" s="132" t="str">
        <f>+IFERROR(VLOOKUP(Assegnazione[[#This Row],[Bene]],B[],MATCH("Agevolabile",Beni!$A$4:$AC$4,0),0)*VLOOKUP(Assegnazione[[#This Row],[Socio]],A_1[],8,0),"")</f>
        <v/>
      </c>
      <c r="H71" s="175">
        <f>+SUMIF(B[Bene],Assegnazione[[#This Row],[Bene]],B[Valore netto contabile fiscalmente riconosciuto])*Assegnazione[[#This Row],[Quota di assegnazione]]</f>
        <v>0</v>
      </c>
      <c r="I71" s="175">
        <f>+SUMIF(B[Bene],Assegnazione[[#This Row],[Bene]],B[Valore normale])*Assegnazione[[#This Row],[Quota di assegnazione]]</f>
        <v>0</v>
      </c>
      <c r="J71" s="177">
        <f>+IF(Assegnazione[[#This Row],[Bene]]="",0,SUMIF(Assegnazione[Socio],Assegnazione[[#This Row],[Socio]],Assegnazione[Valore Normale])/$I$3)</f>
        <v>0</v>
      </c>
      <c r="K71" s="177" t="str">
        <f>IF(Assegnazione[[#This Row],[Bene]]="","",SUMIF(A_1[Nome],Assegnazione[[#This Row],[Socio]],A_1[Quota partecipazione al momento dell''operazione]))</f>
        <v/>
      </c>
      <c r="L71" s="175">
        <f>+SUMIF(B[Bene],Assegnazione[[#This Row],[Bene]],B[Valore catastale])*Assegnazione[[#This Row],[Quota di assegnazione]]</f>
        <v>0</v>
      </c>
      <c r="M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5">
        <f>+MIN(Assegnazione[[#This Row],[Valore ai fini dell''atto]],Assegnazione[[#This Row],[Valore Fiscalmente riconosciuto]])</f>
        <v>0</v>
      </c>
      <c r="O71" s="149" t="str">
        <f>+IFERROR(VLOOKUP(Assegnazione[[#This Row],[Bene]],B[],MATCH($O$4,Beni!$A$4:$Z$4,0),0),"")</f>
        <v/>
      </c>
      <c r="P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8">
        <f>+SUMIF(B[Bene],Assegnazione[[#This Row],[Bene]],B[Iva se dovuta])*Assegnazione[[#This Row],[Quota di assegnazione]]</f>
        <v>0</v>
      </c>
      <c r="S71" s="178">
        <f>+SUMIF(B[Bene],Assegnazione[[#This Row],[Bene]],B[Imposta di registro (fissa + prop) senza agevolazione])*Assegnazione[[#This Row],[Quota di assegnazione]]</f>
        <v>0</v>
      </c>
      <c r="T71" s="178">
        <f>+SUMIF(B[Bene],Assegnazione[[#This Row],[Bene]],B[Ipotecaria e catastale senza agevolazione])*Assegnazione[[#This Row],[Quota di assegnazione]]</f>
        <v>0</v>
      </c>
      <c r="U71" s="179">
        <f>+SUM(Assegnazione[[#This Row],[Tassazione diretta senza agevolazione]:[Ipotecaria e catastale senza agevolazione]])</f>
        <v>0</v>
      </c>
      <c r="V71" s="178">
        <f>+SUMIF(B[Bene],Assegnazione[[#This Row],[Bene]],B[Imponibile Imposta sostitutiva])*Assegnazione[[#This Row],[Quota di assegnazione]]*DATI!$E$27</f>
        <v>0</v>
      </c>
      <c r="W71" s="178">
        <f>+SUMIF(B[Bene],Assegnazione[[#This Row],[Bene]],B[Imposta di registro in misura fissa agevolata])*Assegnazione[[#This Row],[Quota di assegnazione]]</f>
        <v>0</v>
      </c>
      <c r="X71" s="178">
        <f>+SUMIF(B[Bene],Assegnazione[[#This Row],[Bene]],B[Imposta di registro prop. Agevolata])*Assegnazione[[#This Row],[Quota di assegnazione]]</f>
        <v>0</v>
      </c>
      <c r="Y71" s="178">
        <f>+IFERROR(Assegnazione[[#This Row],[Imposta di registro in misura fissa]]+Assegnazione[[#This Row],[Imposta di registro prop.]],"")</f>
        <v>0</v>
      </c>
      <c r="Z71" s="178">
        <f>+SUMIF(B[Bene],Assegnazione[[#This Row],[Bene]],B[Ipotecaria catastale agevolata])*Assegnazione[[#This Row],[Quota di assegnazione]]</f>
        <v>0</v>
      </c>
    </row>
    <row r="72" spans="1:26" x14ac:dyDescent="0.2">
      <c r="A72" s="126"/>
      <c r="B72" s="135"/>
      <c r="C72" s="126"/>
      <c r="D72" s="175">
        <f>+SUMIF(B[Bene],Assegnazione[[#This Row],[Bene]],B[Imponibile Iva])*Assegnazione[[#This Row],[Quota di assegnazione]]</f>
        <v>0</v>
      </c>
      <c r="E72" s="175">
        <f>+SUMIF(B[Bene],Assegnazione[[#This Row],[Bene]],B[Valore inserito manualmente])*Assegnazione[[#This Row],[Quota di assegnazione]]</f>
        <v>0</v>
      </c>
      <c r="F72" s="176" t="str">
        <f>+IF(A72="","",VLOOKUP(Assegnazione[[#This Row],[Bene]],B[],3,0))</f>
        <v/>
      </c>
      <c r="G72" s="132" t="str">
        <f>+IFERROR(VLOOKUP(Assegnazione[[#This Row],[Bene]],B[],MATCH("Agevolabile",Beni!$A$4:$AC$4,0),0)*VLOOKUP(Assegnazione[[#This Row],[Socio]],A_1[],8,0),"")</f>
        <v/>
      </c>
      <c r="H72" s="175">
        <f>+SUMIF(B[Bene],Assegnazione[[#This Row],[Bene]],B[Valore netto contabile fiscalmente riconosciuto])*Assegnazione[[#This Row],[Quota di assegnazione]]</f>
        <v>0</v>
      </c>
      <c r="I72" s="175">
        <f>+SUMIF(B[Bene],Assegnazione[[#This Row],[Bene]],B[Valore normale])*Assegnazione[[#This Row],[Quota di assegnazione]]</f>
        <v>0</v>
      </c>
      <c r="J72" s="177">
        <f>+IF(Assegnazione[[#This Row],[Bene]]="",0,SUMIF(Assegnazione[Socio],Assegnazione[[#This Row],[Socio]],Assegnazione[Valore Normale])/$I$3)</f>
        <v>0</v>
      </c>
      <c r="K72" s="177" t="str">
        <f>IF(Assegnazione[[#This Row],[Bene]]="","",SUMIF(A_1[Nome],Assegnazione[[#This Row],[Socio]],A_1[Quota partecipazione al momento dell''operazione]))</f>
        <v/>
      </c>
      <c r="L72" s="175">
        <f>+SUMIF(B[Bene],Assegnazione[[#This Row],[Bene]],B[Valore catastale])*Assegnazione[[#This Row],[Quota di assegnazione]]</f>
        <v>0</v>
      </c>
      <c r="M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5">
        <f>+MIN(Assegnazione[[#This Row],[Valore ai fini dell''atto]],Assegnazione[[#This Row],[Valore Fiscalmente riconosciuto]])</f>
        <v>0</v>
      </c>
      <c r="O72" s="149" t="str">
        <f>+IFERROR(VLOOKUP(Assegnazione[[#This Row],[Bene]],B[],MATCH($O$4,Beni!$A$4:$Z$4,0),0),"")</f>
        <v/>
      </c>
      <c r="P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8">
        <f>+SUMIF(B[Bene],Assegnazione[[#This Row],[Bene]],B[Iva se dovuta])*Assegnazione[[#This Row],[Quota di assegnazione]]</f>
        <v>0</v>
      </c>
      <c r="S72" s="178">
        <f>+SUMIF(B[Bene],Assegnazione[[#This Row],[Bene]],B[Imposta di registro (fissa + prop) senza agevolazione])*Assegnazione[[#This Row],[Quota di assegnazione]]</f>
        <v>0</v>
      </c>
      <c r="T72" s="178">
        <f>+SUMIF(B[Bene],Assegnazione[[#This Row],[Bene]],B[Ipotecaria e catastale senza agevolazione])*Assegnazione[[#This Row],[Quota di assegnazione]]</f>
        <v>0</v>
      </c>
      <c r="U72" s="179">
        <f>+SUM(Assegnazione[[#This Row],[Tassazione diretta senza agevolazione]:[Ipotecaria e catastale senza agevolazione]])</f>
        <v>0</v>
      </c>
      <c r="V72" s="178">
        <f>+SUMIF(B[Bene],Assegnazione[[#This Row],[Bene]],B[Imponibile Imposta sostitutiva])*Assegnazione[[#This Row],[Quota di assegnazione]]*DATI!$E$27</f>
        <v>0</v>
      </c>
      <c r="W72" s="178">
        <f>+SUMIF(B[Bene],Assegnazione[[#This Row],[Bene]],B[Imposta di registro in misura fissa agevolata])*Assegnazione[[#This Row],[Quota di assegnazione]]</f>
        <v>0</v>
      </c>
      <c r="X72" s="178">
        <f>+SUMIF(B[Bene],Assegnazione[[#This Row],[Bene]],B[Imposta di registro prop. Agevolata])*Assegnazione[[#This Row],[Quota di assegnazione]]</f>
        <v>0</v>
      </c>
      <c r="Y72" s="178">
        <f>+IFERROR(Assegnazione[[#This Row],[Imposta di registro in misura fissa]]+Assegnazione[[#This Row],[Imposta di registro prop.]],"")</f>
        <v>0</v>
      </c>
      <c r="Z72" s="178">
        <f>+SUMIF(B[Bene],Assegnazione[[#This Row],[Bene]],B[Ipotecaria catastale agevolata])*Assegnazione[[#This Row],[Quota di assegnazione]]</f>
        <v>0</v>
      </c>
    </row>
    <row r="73" spans="1:26" x14ac:dyDescent="0.2">
      <c r="A73" s="126"/>
      <c r="B73" s="135"/>
      <c r="C73" s="126"/>
      <c r="D73" s="175">
        <f>+SUMIF(B[Bene],Assegnazione[[#This Row],[Bene]],B[Imponibile Iva])*Assegnazione[[#This Row],[Quota di assegnazione]]</f>
        <v>0</v>
      </c>
      <c r="E73" s="175">
        <f>+SUMIF(B[Bene],Assegnazione[[#This Row],[Bene]],B[Valore inserito manualmente])*Assegnazione[[#This Row],[Quota di assegnazione]]</f>
        <v>0</v>
      </c>
      <c r="F73" s="176" t="str">
        <f>+IF(A73="","",VLOOKUP(Assegnazione[[#This Row],[Bene]],B[],3,0))</f>
        <v/>
      </c>
      <c r="G73" s="132" t="str">
        <f>+IFERROR(VLOOKUP(Assegnazione[[#This Row],[Bene]],B[],MATCH("Agevolabile",Beni!$A$4:$AC$4,0),0)*VLOOKUP(Assegnazione[[#This Row],[Socio]],A_1[],8,0),"")</f>
        <v/>
      </c>
      <c r="H73" s="175">
        <f>+SUMIF(B[Bene],Assegnazione[[#This Row],[Bene]],B[Valore netto contabile fiscalmente riconosciuto])*Assegnazione[[#This Row],[Quota di assegnazione]]</f>
        <v>0</v>
      </c>
      <c r="I73" s="175">
        <f>+SUMIF(B[Bene],Assegnazione[[#This Row],[Bene]],B[Valore normale])*Assegnazione[[#This Row],[Quota di assegnazione]]</f>
        <v>0</v>
      </c>
      <c r="J73" s="177">
        <f>+IF(Assegnazione[[#This Row],[Bene]]="",0,SUMIF(Assegnazione[Socio],Assegnazione[[#This Row],[Socio]],Assegnazione[Valore Normale])/$I$3)</f>
        <v>0</v>
      </c>
      <c r="K73" s="177" t="str">
        <f>IF(Assegnazione[[#This Row],[Bene]]="","",SUMIF(A_1[Nome],Assegnazione[[#This Row],[Socio]],A_1[Quota partecipazione al momento dell''operazione]))</f>
        <v/>
      </c>
      <c r="L73" s="175">
        <f>+SUMIF(B[Bene],Assegnazione[[#This Row],[Bene]],B[Valore catastale])*Assegnazione[[#This Row],[Quota di assegnazione]]</f>
        <v>0</v>
      </c>
      <c r="M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5">
        <f>+MIN(Assegnazione[[#This Row],[Valore ai fini dell''atto]],Assegnazione[[#This Row],[Valore Fiscalmente riconosciuto]])</f>
        <v>0</v>
      </c>
      <c r="O73" s="149" t="str">
        <f>+IFERROR(VLOOKUP(Assegnazione[[#This Row],[Bene]],B[],MATCH($O$4,Beni!$A$4:$Z$4,0),0),"")</f>
        <v/>
      </c>
      <c r="P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8">
        <f>+SUMIF(B[Bene],Assegnazione[[#This Row],[Bene]],B[Iva se dovuta])*Assegnazione[[#This Row],[Quota di assegnazione]]</f>
        <v>0</v>
      </c>
      <c r="S73" s="178">
        <f>+SUMIF(B[Bene],Assegnazione[[#This Row],[Bene]],B[Imposta di registro (fissa + prop) senza agevolazione])*Assegnazione[[#This Row],[Quota di assegnazione]]</f>
        <v>0</v>
      </c>
      <c r="T73" s="178">
        <f>+SUMIF(B[Bene],Assegnazione[[#This Row],[Bene]],B[Ipotecaria e catastale senza agevolazione])*Assegnazione[[#This Row],[Quota di assegnazione]]</f>
        <v>0</v>
      </c>
      <c r="U73" s="179">
        <f>+SUM(Assegnazione[[#This Row],[Tassazione diretta senza agevolazione]:[Ipotecaria e catastale senza agevolazione]])</f>
        <v>0</v>
      </c>
      <c r="V73" s="178">
        <f>+SUMIF(B[Bene],Assegnazione[[#This Row],[Bene]],B[Imponibile Imposta sostitutiva])*Assegnazione[[#This Row],[Quota di assegnazione]]*DATI!$E$27</f>
        <v>0</v>
      </c>
      <c r="W73" s="178">
        <f>+SUMIF(B[Bene],Assegnazione[[#This Row],[Bene]],B[Imposta di registro in misura fissa agevolata])*Assegnazione[[#This Row],[Quota di assegnazione]]</f>
        <v>0</v>
      </c>
      <c r="X73" s="178">
        <f>+SUMIF(B[Bene],Assegnazione[[#This Row],[Bene]],B[Imposta di registro prop. Agevolata])*Assegnazione[[#This Row],[Quota di assegnazione]]</f>
        <v>0</v>
      </c>
      <c r="Y73" s="178">
        <f>+IFERROR(Assegnazione[[#This Row],[Imposta di registro in misura fissa]]+Assegnazione[[#This Row],[Imposta di registro prop.]],"")</f>
        <v>0</v>
      </c>
      <c r="Z73" s="178">
        <f>+SUMIF(B[Bene],Assegnazione[[#This Row],[Bene]],B[Ipotecaria catastale agevolata])*Assegnazione[[#This Row],[Quota di assegnazione]]</f>
        <v>0</v>
      </c>
    </row>
    <row r="74" spans="1:26" x14ac:dyDescent="0.2">
      <c r="A74" s="126"/>
      <c r="B74" s="135"/>
      <c r="C74" s="126"/>
      <c r="D74" s="175">
        <f>+SUMIF(B[Bene],Assegnazione[[#This Row],[Bene]],B[Imponibile Iva])*Assegnazione[[#This Row],[Quota di assegnazione]]</f>
        <v>0</v>
      </c>
      <c r="E74" s="175">
        <f>+SUMIF(B[Bene],Assegnazione[[#This Row],[Bene]],B[Valore inserito manualmente])*Assegnazione[[#This Row],[Quota di assegnazione]]</f>
        <v>0</v>
      </c>
      <c r="F74" s="176" t="str">
        <f>+IF(A74="","",VLOOKUP(Assegnazione[[#This Row],[Bene]],B[],3,0))</f>
        <v/>
      </c>
      <c r="G74" s="132" t="str">
        <f>+IFERROR(VLOOKUP(Assegnazione[[#This Row],[Bene]],B[],MATCH("Agevolabile",Beni!$A$4:$AC$4,0),0)*VLOOKUP(Assegnazione[[#This Row],[Socio]],A_1[],8,0),"")</f>
        <v/>
      </c>
      <c r="H74" s="175">
        <f>+SUMIF(B[Bene],Assegnazione[[#This Row],[Bene]],B[Valore netto contabile fiscalmente riconosciuto])*Assegnazione[[#This Row],[Quota di assegnazione]]</f>
        <v>0</v>
      </c>
      <c r="I74" s="175">
        <f>+SUMIF(B[Bene],Assegnazione[[#This Row],[Bene]],B[Valore normale])*Assegnazione[[#This Row],[Quota di assegnazione]]</f>
        <v>0</v>
      </c>
      <c r="J74" s="177">
        <f>+IF(Assegnazione[[#This Row],[Bene]]="",0,SUMIF(Assegnazione[Socio],Assegnazione[[#This Row],[Socio]],Assegnazione[Valore Normale])/$I$3)</f>
        <v>0</v>
      </c>
      <c r="K74" s="177" t="str">
        <f>IF(Assegnazione[[#This Row],[Bene]]="","",SUMIF(A_1[Nome],Assegnazione[[#This Row],[Socio]],A_1[Quota partecipazione al momento dell''operazione]))</f>
        <v/>
      </c>
      <c r="L74" s="175">
        <f>+SUMIF(B[Bene],Assegnazione[[#This Row],[Bene]],B[Valore catastale])*Assegnazione[[#This Row],[Quota di assegnazione]]</f>
        <v>0</v>
      </c>
      <c r="M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5">
        <f>+MIN(Assegnazione[[#This Row],[Valore ai fini dell''atto]],Assegnazione[[#This Row],[Valore Fiscalmente riconosciuto]])</f>
        <v>0</v>
      </c>
      <c r="O74" s="149" t="str">
        <f>+IFERROR(VLOOKUP(Assegnazione[[#This Row],[Bene]],B[],MATCH($O$4,Beni!$A$4:$Z$4,0),0),"")</f>
        <v/>
      </c>
      <c r="P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8">
        <f>+SUMIF(B[Bene],Assegnazione[[#This Row],[Bene]],B[Iva se dovuta])*Assegnazione[[#This Row],[Quota di assegnazione]]</f>
        <v>0</v>
      </c>
      <c r="S74" s="178">
        <f>+SUMIF(B[Bene],Assegnazione[[#This Row],[Bene]],B[Imposta di registro (fissa + prop) senza agevolazione])*Assegnazione[[#This Row],[Quota di assegnazione]]</f>
        <v>0</v>
      </c>
      <c r="T74" s="178">
        <f>+SUMIF(B[Bene],Assegnazione[[#This Row],[Bene]],B[Ipotecaria e catastale senza agevolazione])*Assegnazione[[#This Row],[Quota di assegnazione]]</f>
        <v>0</v>
      </c>
      <c r="U74" s="179">
        <f>+SUM(Assegnazione[[#This Row],[Tassazione diretta senza agevolazione]:[Ipotecaria e catastale senza agevolazione]])</f>
        <v>0</v>
      </c>
      <c r="V74" s="178">
        <f>+SUMIF(B[Bene],Assegnazione[[#This Row],[Bene]],B[Imponibile Imposta sostitutiva])*Assegnazione[[#This Row],[Quota di assegnazione]]*DATI!$E$27</f>
        <v>0</v>
      </c>
      <c r="W74" s="178">
        <f>+SUMIF(B[Bene],Assegnazione[[#This Row],[Bene]],B[Imposta di registro in misura fissa agevolata])*Assegnazione[[#This Row],[Quota di assegnazione]]</f>
        <v>0</v>
      </c>
      <c r="X74" s="178">
        <f>+SUMIF(B[Bene],Assegnazione[[#This Row],[Bene]],B[Imposta di registro prop. Agevolata])*Assegnazione[[#This Row],[Quota di assegnazione]]</f>
        <v>0</v>
      </c>
      <c r="Y74" s="178">
        <f>+IFERROR(Assegnazione[[#This Row],[Imposta di registro in misura fissa]]+Assegnazione[[#This Row],[Imposta di registro prop.]],"")</f>
        <v>0</v>
      </c>
      <c r="Z74" s="178">
        <f>+SUMIF(B[Bene],Assegnazione[[#This Row],[Bene]],B[Ipotecaria catastale agevolata])*Assegnazione[[#This Row],[Quota di assegnazione]]</f>
        <v>0</v>
      </c>
    </row>
    <row r="75" spans="1:26" x14ac:dyDescent="0.2">
      <c r="A75" s="126"/>
      <c r="B75" s="135"/>
      <c r="C75" s="126"/>
      <c r="D75" s="175">
        <f>+SUMIF(B[Bene],Assegnazione[[#This Row],[Bene]],B[Imponibile Iva])*Assegnazione[[#This Row],[Quota di assegnazione]]</f>
        <v>0</v>
      </c>
      <c r="E75" s="175">
        <f>+SUMIF(B[Bene],Assegnazione[[#This Row],[Bene]],B[Valore inserito manualmente])*Assegnazione[[#This Row],[Quota di assegnazione]]</f>
        <v>0</v>
      </c>
      <c r="F75" s="176" t="str">
        <f>+IF(A75="","",VLOOKUP(Assegnazione[[#This Row],[Bene]],B[],3,0))</f>
        <v/>
      </c>
      <c r="G75" s="132" t="str">
        <f>+IFERROR(VLOOKUP(Assegnazione[[#This Row],[Bene]],B[],MATCH("Agevolabile",Beni!$A$4:$AC$4,0),0)*VLOOKUP(Assegnazione[[#This Row],[Socio]],A_1[],8,0),"")</f>
        <v/>
      </c>
      <c r="H75" s="175">
        <f>+SUMIF(B[Bene],Assegnazione[[#This Row],[Bene]],B[Valore netto contabile fiscalmente riconosciuto])*Assegnazione[[#This Row],[Quota di assegnazione]]</f>
        <v>0</v>
      </c>
      <c r="I75" s="175">
        <f>+SUMIF(B[Bene],Assegnazione[[#This Row],[Bene]],B[Valore normale])*Assegnazione[[#This Row],[Quota di assegnazione]]</f>
        <v>0</v>
      </c>
      <c r="J75" s="177">
        <f>+IF(Assegnazione[[#This Row],[Bene]]="",0,SUMIF(Assegnazione[Socio],Assegnazione[[#This Row],[Socio]],Assegnazione[Valore Normale])/$I$3)</f>
        <v>0</v>
      </c>
      <c r="K75" s="177" t="str">
        <f>IF(Assegnazione[[#This Row],[Bene]]="","",SUMIF(A_1[Nome],Assegnazione[[#This Row],[Socio]],A_1[Quota partecipazione al momento dell''operazione]))</f>
        <v/>
      </c>
      <c r="L75" s="175">
        <f>+SUMIF(B[Bene],Assegnazione[[#This Row],[Bene]],B[Valore catastale])*Assegnazione[[#This Row],[Quota di assegnazione]]</f>
        <v>0</v>
      </c>
      <c r="M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5">
        <f>+MIN(Assegnazione[[#This Row],[Valore ai fini dell''atto]],Assegnazione[[#This Row],[Valore Fiscalmente riconosciuto]])</f>
        <v>0</v>
      </c>
      <c r="O75" s="149" t="str">
        <f>+IFERROR(VLOOKUP(Assegnazione[[#This Row],[Bene]],B[],MATCH($O$4,Beni!$A$4:$Z$4,0),0),"")</f>
        <v/>
      </c>
      <c r="P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8">
        <f>+SUMIF(B[Bene],Assegnazione[[#This Row],[Bene]],B[Iva se dovuta])*Assegnazione[[#This Row],[Quota di assegnazione]]</f>
        <v>0</v>
      </c>
      <c r="S75" s="178">
        <f>+SUMIF(B[Bene],Assegnazione[[#This Row],[Bene]],B[Imposta di registro (fissa + prop) senza agevolazione])*Assegnazione[[#This Row],[Quota di assegnazione]]</f>
        <v>0</v>
      </c>
      <c r="T75" s="178">
        <f>+SUMIF(B[Bene],Assegnazione[[#This Row],[Bene]],B[Ipotecaria e catastale senza agevolazione])*Assegnazione[[#This Row],[Quota di assegnazione]]</f>
        <v>0</v>
      </c>
      <c r="U75" s="179">
        <f>+SUM(Assegnazione[[#This Row],[Tassazione diretta senza agevolazione]:[Ipotecaria e catastale senza agevolazione]])</f>
        <v>0</v>
      </c>
      <c r="V75" s="178">
        <f>+SUMIF(B[Bene],Assegnazione[[#This Row],[Bene]],B[Imponibile Imposta sostitutiva])*Assegnazione[[#This Row],[Quota di assegnazione]]*DATI!$E$27</f>
        <v>0</v>
      </c>
      <c r="W75" s="178">
        <f>+SUMIF(B[Bene],Assegnazione[[#This Row],[Bene]],B[Imposta di registro in misura fissa agevolata])*Assegnazione[[#This Row],[Quota di assegnazione]]</f>
        <v>0</v>
      </c>
      <c r="X75" s="178">
        <f>+SUMIF(B[Bene],Assegnazione[[#This Row],[Bene]],B[Imposta di registro prop. Agevolata])*Assegnazione[[#This Row],[Quota di assegnazione]]</f>
        <v>0</v>
      </c>
      <c r="Y75" s="178">
        <f>+IFERROR(Assegnazione[[#This Row],[Imposta di registro in misura fissa]]+Assegnazione[[#This Row],[Imposta di registro prop.]],"")</f>
        <v>0</v>
      </c>
      <c r="Z75" s="178">
        <f>+SUMIF(B[Bene],Assegnazione[[#This Row],[Bene]],B[Ipotecaria catastale agevolata])*Assegnazione[[#This Row],[Quota di assegnazione]]</f>
        <v>0</v>
      </c>
    </row>
    <row r="76" spans="1:26" x14ac:dyDescent="0.2">
      <c r="A76" s="126"/>
      <c r="B76" s="135"/>
      <c r="C76" s="126"/>
      <c r="D76" s="175">
        <f>+SUMIF(B[Bene],Assegnazione[[#This Row],[Bene]],B[Imponibile Iva])*Assegnazione[[#This Row],[Quota di assegnazione]]</f>
        <v>0</v>
      </c>
      <c r="E76" s="175">
        <f>+SUMIF(B[Bene],Assegnazione[[#This Row],[Bene]],B[Valore inserito manualmente])*Assegnazione[[#This Row],[Quota di assegnazione]]</f>
        <v>0</v>
      </c>
      <c r="F76" s="176" t="str">
        <f>+IF(A76="","",VLOOKUP(Assegnazione[[#This Row],[Bene]],B[],3,0))</f>
        <v/>
      </c>
      <c r="G76" s="132" t="str">
        <f>+IFERROR(VLOOKUP(Assegnazione[[#This Row],[Bene]],B[],MATCH("Agevolabile",Beni!$A$4:$AC$4,0),0)*VLOOKUP(Assegnazione[[#This Row],[Socio]],A_1[],8,0),"")</f>
        <v/>
      </c>
      <c r="H76" s="175">
        <f>+SUMIF(B[Bene],Assegnazione[[#This Row],[Bene]],B[Valore netto contabile fiscalmente riconosciuto])*Assegnazione[[#This Row],[Quota di assegnazione]]</f>
        <v>0</v>
      </c>
      <c r="I76" s="175">
        <f>+SUMIF(B[Bene],Assegnazione[[#This Row],[Bene]],B[Valore normale])*Assegnazione[[#This Row],[Quota di assegnazione]]</f>
        <v>0</v>
      </c>
      <c r="J76" s="177">
        <f>+IF(Assegnazione[[#This Row],[Bene]]="",0,SUMIF(Assegnazione[Socio],Assegnazione[[#This Row],[Socio]],Assegnazione[Valore Normale])/$I$3)</f>
        <v>0</v>
      </c>
      <c r="K76" s="177" t="str">
        <f>IF(Assegnazione[[#This Row],[Bene]]="","",SUMIF(A_1[Nome],Assegnazione[[#This Row],[Socio]],A_1[Quota partecipazione al momento dell''operazione]))</f>
        <v/>
      </c>
      <c r="L76" s="175">
        <f>+SUMIF(B[Bene],Assegnazione[[#This Row],[Bene]],B[Valore catastale])*Assegnazione[[#This Row],[Quota di assegnazione]]</f>
        <v>0</v>
      </c>
      <c r="M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5">
        <f>+MIN(Assegnazione[[#This Row],[Valore ai fini dell''atto]],Assegnazione[[#This Row],[Valore Fiscalmente riconosciuto]])</f>
        <v>0</v>
      </c>
      <c r="O76" s="149" t="str">
        <f>+IFERROR(VLOOKUP(Assegnazione[[#This Row],[Bene]],B[],MATCH($O$4,Beni!$A$4:$Z$4,0),0),"")</f>
        <v/>
      </c>
      <c r="P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8">
        <f>+SUMIF(B[Bene],Assegnazione[[#This Row],[Bene]],B[Iva se dovuta])*Assegnazione[[#This Row],[Quota di assegnazione]]</f>
        <v>0</v>
      </c>
      <c r="S76" s="178">
        <f>+SUMIF(B[Bene],Assegnazione[[#This Row],[Bene]],B[Imposta di registro (fissa + prop) senza agevolazione])*Assegnazione[[#This Row],[Quota di assegnazione]]</f>
        <v>0</v>
      </c>
      <c r="T76" s="178">
        <f>+SUMIF(B[Bene],Assegnazione[[#This Row],[Bene]],B[Ipotecaria e catastale senza agevolazione])*Assegnazione[[#This Row],[Quota di assegnazione]]</f>
        <v>0</v>
      </c>
      <c r="U76" s="179">
        <f>+SUM(Assegnazione[[#This Row],[Tassazione diretta senza agevolazione]:[Ipotecaria e catastale senza agevolazione]])</f>
        <v>0</v>
      </c>
      <c r="V76" s="178">
        <f>+SUMIF(B[Bene],Assegnazione[[#This Row],[Bene]],B[Imponibile Imposta sostitutiva])*Assegnazione[[#This Row],[Quota di assegnazione]]*DATI!$E$27</f>
        <v>0</v>
      </c>
      <c r="W76" s="178">
        <f>+SUMIF(B[Bene],Assegnazione[[#This Row],[Bene]],B[Imposta di registro in misura fissa agevolata])*Assegnazione[[#This Row],[Quota di assegnazione]]</f>
        <v>0</v>
      </c>
      <c r="X76" s="178">
        <f>+SUMIF(B[Bene],Assegnazione[[#This Row],[Bene]],B[Imposta di registro prop. Agevolata])*Assegnazione[[#This Row],[Quota di assegnazione]]</f>
        <v>0</v>
      </c>
      <c r="Y76" s="178">
        <f>+IFERROR(Assegnazione[[#This Row],[Imposta di registro in misura fissa]]+Assegnazione[[#This Row],[Imposta di registro prop.]],"")</f>
        <v>0</v>
      </c>
      <c r="Z76" s="178">
        <f>+SUMIF(B[Bene],Assegnazione[[#This Row],[Bene]],B[Ipotecaria catastale agevolata])*Assegnazione[[#This Row],[Quota di assegnazione]]</f>
        <v>0</v>
      </c>
    </row>
    <row r="77" spans="1:26" x14ac:dyDescent="0.2">
      <c r="A77" s="126"/>
      <c r="B77" s="135"/>
      <c r="C77" s="126"/>
      <c r="D77" s="175">
        <f>+SUMIF(B[Bene],Assegnazione[[#This Row],[Bene]],B[Imponibile Iva])*Assegnazione[[#This Row],[Quota di assegnazione]]</f>
        <v>0</v>
      </c>
      <c r="E77" s="175">
        <f>+SUMIF(B[Bene],Assegnazione[[#This Row],[Bene]],B[Valore inserito manualmente])*Assegnazione[[#This Row],[Quota di assegnazione]]</f>
        <v>0</v>
      </c>
      <c r="F77" s="176" t="str">
        <f>+IF(A77="","",VLOOKUP(Assegnazione[[#This Row],[Bene]],B[],3,0))</f>
        <v/>
      </c>
      <c r="G77" s="132" t="str">
        <f>+IFERROR(VLOOKUP(Assegnazione[[#This Row],[Bene]],B[],MATCH("Agevolabile",Beni!$A$4:$AC$4,0),0)*VLOOKUP(Assegnazione[[#This Row],[Socio]],A_1[],8,0),"")</f>
        <v/>
      </c>
      <c r="H77" s="175">
        <f>+SUMIF(B[Bene],Assegnazione[[#This Row],[Bene]],B[Valore netto contabile fiscalmente riconosciuto])*Assegnazione[[#This Row],[Quota di assegnazione]]</f>
        <v>0</v>
      </c>
      <c r="I77" s="175">
        <f>+SUMIF(B[Bene],Assegnazione[[#This Row],[Bene]],B[Valore normale])*Assegnazione[[#This Row],[Quota di assegnazione]]</f>
        <v>0</v>
      </c>
      <c r="J77" s="177">
        <f>+IF(Assegnazione[[#This Row],[Bene]]="",0,SUMIF(Assegnazione[Socio],Assegnazione[[#This Row],[Socio]],Assegnazione[Valore Normale])/$I$3)</f>
        <v>0</v>
      </c>
      <c r="K77" s="177" t="str">
        <f>IF(Assegnazione[[#This Row],[Bene]]="","",SUMIF(A_1[Nome],Assegnazione[[#This Row],[Socio]],A_1[Quota partecipazione al momento dell''operazione]))</f>
        <v/>
      </c>
      <c r="L77" s="175">
        <f>+SUMIF(B[Bene],Assegnazione[[#This Row],[Bene]],B[Valore catastale])*Assegnazione[[#This Row],[Quota di assegnazione]]</f>
        <v>0</v>
      </c>
      <c r="M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5">
        <f>+MIN(Assegnazione[[#This Row],[Valore ai fini dell''atto]],Assegnazione[[#This Row],[Valore Fiscalmente riconosciuto]])</f>
        <v>0</v>
      </c>
      <c r="O77" s="149" t="str">
        <f>+IFERROR(VLOOKUP(Assegnazione[[#This Row],[Bene]],B[],MATCH($O$4,Beni!$A$4:$Z$4,0),0),"")</f>
        <v/>
      </c>
      <c r="P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8">
        <f>+SUMIF(B[Bene],Assegnazione[[#This Row],[Bene]],B[Iva se dovuta])*Assegnazione[[#This Row],[Quota di assegnazione]]</f>
        <v>0</v>
      </c>
      <c r="S77" s="178">
        <f>+SUMIF(B[Bene],Assegnazione[[#This Row],[Bene]],B[Imposta di registro (fissa + prop) senza agevolazione])*Assegnazione[[#This Row],[Quota di assegnazione]]</f>
        <v>0</v>
      </c>
      <c r="T77" s="178">
        <f>+SUMIF(B[Bene],Assegnazione[[#This Row],[Bene]],B[Ipotecaria e catastale senza agevolazione])*Assegnazione[[#This Row],[Quota di assegnazione]]</f>
        <v>0</v>
      </c>
      <c r="U77" s="179">
        <f>+SUM(Assegnazione[[#This Row],[Tassazione diretta senza agevolazione]:[Ipotecaria e catastale senza agevolazione]])</f>
        <v>0</v>
      </c>
      <c r="V77" s="178">
        <f>+SUMIF(B[Bene],Assegnazione[[#This Row],[Bene]],B[Imponibile Imposta sostitutiva])*Assegnazione[[#This Row],[Quota di assegnazione]]*DATI!$E$27</f>
        <v>0</v>
      </c>
      <c r="W77" s="178">
        <f>+SUMIF(B[Bene],Assegnazione[[#This Row],[Bene]],B[Imposta di registro in misura fissa agevolata])*Assegnazione[[#This Row],[Quota di assegnazione]]</f>
        <v>0</v>
      </c>
      <c r="X77" s="178">
        <f>+SUMIF(B[Bene],Assegnazione[[#This Row],[Bene]],B[Imposta di registro prop. Agevolata])*Assegnazione[[#This Row],[Quota di assegnazione]]</f>
        <v>0</v>
      </c>
      <c r="Y77" s="178">
        <f>+IFERROR(Assegnazione[[#This Row],[Imposta di registro in misura fissa]]+Assegnazione[[#This Row],[Imposta di registro prop.]],"")</f>
        <v>0</v>
      </c>
      <c r="Z77" s="178">
        <f>+SUMIF(B[Bene],Assegnazione[[#This Row],[Bene]],B[Ipotecaria catastale agevolata])*Assegnazione[[#This Row],[Quota di assegnazione]]</f>
        <v>0</v>
      </c>
    </row>
    <row r="78" spans="1:26" x14ac:dyDescent="0.2">
      <c r="A78" s="126"/>
      <c r="B78" s="135"/>
      <c r="C78" s="126"/>
      <c r="D78" s="175">
        <f>+SUMIF(B[Bene],Assegnazione[[#This Row],[Bene]],B[Imponibile Iva])*Assegnazione[[#This Row],[Quota di assegnazione]]</f>
        <v>0</v>
      </c>
      <c r="E78" s="175">
        <f>+SUMIF(B[Bene],Assegnazione[[#This Row],[Bene]],B[Valore inserito manualmente])*Assegnazione[[#This Row],[Quota di assegnazione]]</f>
        <v>0</v>
      </c>
      <c r="F78" s="176" t="str">
        <f>+IF(A78="","",VLOOKUP(Assegnazione[[#This Row],[Bene]],B[],3,0))</f>
        <v/>
      </c>
      <c r="G78" s="132" t="str">
        <f>+IFERROR(VLOOKUP(Assegnazione[[#This Row],[Bene]],B[],MATCH("Agevolabile",Beni!$A$4:$AC$4,0),0)*VLOOKUP(Assegnazione[[#This Row],[Socio]],A_1[],8,0),"")</f>
        <v/>
      </c>
      <c r="H78" s="175">
        <f>+SUMIF(B[Bene],Assegnazione[[#This Row],[Bene]],B[Valore netto contabile fiscalmente riconosciuto])*Assegnazione[[#This Row],[Quota di assegnazione]]</f>
        <v>0</v>
      </c>
      <c r="I78" s="175">
        <f>+SUMIF(B[Bene],Assegnazione[[#This Row],[Bene]],B[Valore normale])*Assegnazione[[#This Row],[Quota di assegnazione]]</f>
        <v>0</v>
      </c>
      <c r="J78" s="177">
        <f>+IF(Assegnazione[[#This Row],[Bene]]="",0,SUMIF(Assegnazione[Socio],Assegnazione[[#This Row],[Socio]],Assegnazione[Valore Normale])/$I$3)</f>
        <v>0</v>
      </c>
      <c r="K78" s="177" t="str">
        <f>IF(Assegnazione[[#This Row],[Bene]]="","",SUMIF(A_1[Nome],Assegnazione[[#This Row],[Socio]],A_1[Quota partecipazione al momento dell''operazione]))</f>
        <v/>
      </c>
      <c r="L78" s="175">
        <f>+SUMIF(B[Bene],Assegnazione[[#This Row],[Bene]],B[Valore catastale])*Assegnazione[[#This Row],[Quota di assegnazione]]</f>
        <v>0</v>
      </c>
      <c r="M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5">
        <f>+MIN(Assegnazione[[#This Row],[Valore ai fini dell''atto]],Assegnazione[[#This Row],[Valore Fiscalmente riconosciuto]])</f>
        <v>0</v>
      </c>
      <c r="O78" s="149" t="str">
        <f>+IFERROR(VLOOKUP(Assegnazione[[#This Row],[Bene]],B[],MATCH($O$4,Beni!$A$4:$Z$4,0),0),"")</f>
        <v/>
      </c>
      <c r="P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8">
        <f>+SUMIF(B[Bene],Assegnazione[[#This Row],[Bene]],B[Iva se dovuta])*Assegnazione[[#This Row],[Quota di assegnazione]]</f>
        <v>0</v>
      </c>
      <c r="S78" s="178">
        <f>+SUMIF(B[Bene],Assegnazione[[#This Row],[Bene]],B[Imposta di registro (fissa + prop) senza agevolazione])*Assegnazione[[#This Row],[Quota di assegnazione]]</f>
        <v>0</v>
      </c>
      <c r="T78" s="178">
        <f>+SUMIF(B[Bene],Assegnazione[[#This Row],[Bene]],B[Ipotecaria e catastale senza agevolazione])*Assegnazione[[#This Row],[Quota di assegnazione]]</f>
        <v>0</v>
      </c>
      <c r="U78" s="179">
        <f>+SUM(Assegnazione[[#This Row],[Tassazione diretta senza agevolazione]:[Ipotecaria e catastale senza agevolazione]])</f>
        <v>0</v>
      </c>
      <c r="V78" s="178">
        <f>+SUMIF(B[Bene],Assegnazione[[#This Row],[Bene]],B[Imponibile Imposta sostitutiva])*Assegnazione[[#This Row],[Quota di assegnazione]]*DATI!$E$27</f>
        <v>0</v>
      </c>
      <c r="W78" s="178">
        <f>+SUMIF(B[Bene],Assegnazione[[#This Row],[Bene]],B[Imposta di registro in misura fissa agevolata])*Assegnazione[[#This Row],[Quota di assegnazione]]</f>
        <v>0</v>
      </c>
      <c r="X78" s="178">
        <f>+SUMIF(B[Bene],Assegnazione[[#This Row],[Bene]],B[Imposta di registro prop. Agevolata])*Assegnazione[[#This Row],[Quota di assegnazione]]</f>
        <v>0</v>
      </c>
      <c r="Y78" s="178">
        <f>+IFERROR(Assegnazione[[#This Row],[Imposta di registro in misura fissa]]+Assegnazione[[#This Row],[Imposta di registro prop.]],"")</f>
        <v>0</v>
      </c>
      <c r="Z78" s="178">
        <f>+SUMIF(B[Bene],Assegnazione[[#This Row],[Bene]],B[Ipotecaria catastale agevolata])*Assegnazione[[#This Row],[Quota di assegnazione]]</f>
        <v>0</v>
      </c>
    </row>
    <row r="79" spans="1:26" x14ac:dyDescent="0.2">
      <c r="A79" s="126"/>
      <c r="B79" s="135"/>
      <c r="C79" s="126"/>
      <c r="D79" s="175">
        <f>+SUMIF(B[Bene],Assegnazione[[#This Row],[Bene]],B[Imponibile Iva])*Assegnazione[[#This Row],[Quota di assegnazione]]</f>
        <v>0</v>
      </c>
      <c r="E79" s="175">
        <f>+SUMIF(B[Bene],Assegnazione[[#This Row],[Bene]],B[Valore inserito manualmente])*Assegnazione[[#This Row],[Quota di assegnazione]]</f>
        <v>0</v>
      </c>
      <c r="F79" s="176" t="str">
        <f>+IF(A79="","",VLOOKUP(Assegnazione[[#This Row],[Bene]],B[],3,0))</f>
        <v/>
      </c>
      <c r="G79" s="132" t="str">
        <f>+IFERROR(VLOOKUP(Assegnazione[[#This Row],[Bene]],B[],MATCH("Agevolabile",Beni!$A$4:$AC$4,0),0)*VLOOKUP(Assegnazione[[#This Row],[Socio]],A_1[],8,0),"")</f>
        <v/>
      </c>
      <c r="H79" s="175">
        <f>+SUMIF(B[Bene],Assegnazione[[#This Row],[Bene]],B[Valore netto contabile fiscalmente riconosciuto])*Assegnazione[[#This Row],[Quota di assegnazione]]</f>
        <v>0</v>
      </c>
      <c r="I79" s="175">
        <f>+SUMIF(B[Bene],Assegnazione[[#This Row],[Bene]],B[Valore normale])*Assegnazione[[#This Row],[Quota di assegnazione]]</f>
        <v>0</v>
      </c>
      <c r="J79" s="177">
        <f>+IF(Assegnazione[[#This Row],[Bene]]="",0,SUMIF(Assegnazione[Socio],Assegnazione[[#This Row],[Socio]],Assegnazione[Valore Normale])/$I$3)</f>
        <v>0</v>
      </c>
      <c r="K79" s="177" t="str">
        <f>IF(Assegnazione[[#This Row],[Bene]]="","",SUMIF(A_1[Nome],Assegnazione[[#This Row],[Socio]],A_1[Quota partecipazione al momento dell''operazione]))</f>
        <v/>
      </c>
      <c r="L79" s="175">
        <f>+SUMIF(B[Bene],Assegnazione[[#This Row],[Bene]],B[Valore catastale])*Assegnazione[[#This Row],[Quota di assegnazione]]</f>
        <v>0</v>
      </c>
      <c r="M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5">
        <f>+MIN(Assegnazione[[#This Row],[Valore ai fini dell''atto]],Assegnazione[[#This Row],[Valore Fiscalmente riconosciuto]])</f>
        <v>0</v>
      </c>
      <c r="O79" s="149" t="str">
        <f>+IFERROR(VLOOKUP(Assegnazione[[#This Row],[Bene]],B[],MATCH($O$4,Beni!$A$4:$Z$4,0),0),"")</f>
        <v/>
      </c>
      <c r="P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8">
        <f>+SUMIF(B[Bene],Assegnazione[[#This Row],[Bene]],B[Iva se dovuta])*Assegnazione[[#This Row],[Quota di assegnazione]]</f>
        <v>0</v>
      </c>
      <c r="S79" s="178">
        <f>+SUMIF(B[Bene],Assegnazione[[#This Row],[Bene]],B[Imposta di registro (fissa + prop) senza agevolazione])*Assegnazione[[#This Row],[Quota di assegnazione]]</f>
        <v>0</v>
      </c>
      <c r="T79" s="178">
        <f>+SUMIF(B[Bene],Assegnazione[[#This Row],[Bene]],B[Ipotecaria e catastale senza agevolazione])*Assegnazione[[#This Row],[Quota di assegnazione]]</f>
        <v>0</v>
      </c>
      <c r="U79" s="179">
        <f>+SUM(Assegnazione[[#This Row],[Tassazione diretta senza agevolazione]:[Ipotecaria e catastale senza agevolazione]])</f>
        <v>0</v>
      </c>
      <c r="V79" s="178">
        <f>+SUMIF(B[Bene],Assegnazione[[#This Row],[Bene]],B[Imponibile Imposta sostitutiva])*Assegnazione[[#This Row],[Quota di assegnazione]]*DATI!$E$27</f>
        <v>0</v>
      </c>
      <c r="W79" s="178">
        <f>+SUMIF(B[Bene],Assegnazione[[#This Row],[Bene]],B[Imposta di registro in misura fissa agevolata])*Assegnazione[[#This Row],[Quota di assegnazione]]</f>
        <v>0</v>
      </c>
      <c r="X79" s="178">
        <f>+SUMIF(B[Bene],Assegnazione[[#This Row],[Bene]],B[Imposta di registro prop. Agevolata])*Assegnazione[[#This Row],[Quota di assegnazione]]</f>
        <v>0</v>
      </c>
      <c r="Y79" s="178">
        <f>+IFERROR(Assegnazione[[#This Row],[Imposta di registro in misura fissa]]+Assegnazione[[#This Row],[Imposta di registro prop.]],"")</f>
        <v>0</v>
      </c>
      <c r="Z79" s="178">
        <f>+SUMIF(B[Bene],Assegnazione[[#This Row],[Bene]],B[Ipotecaria catastale agevolata])*Assegnazione[[#This Row],[Quota di assegnazione]]</f>
        <v>0</v>
      </c>
    </row>
    <row r="80" spans="1:26" x14ac:dyDescent="0.2">
      <c r="A80" s="126"/>
      <c r="B80" s="135"/>
      <c r="C80" s="126"/>
      <c r="D80" s="175">
        <f>+SUMIF(B[Bene],Assegnazione[[#This Row],[Bene]],B[Imponibile Iva])*Assegnazione[[#This Row],[Quota di assegnazione]]</f>
        <v>0</v>
      </c>
      <c r="E80" s="175">
        <f>+SUMIF(B[Bene],Assegnazione[[#This Row],[Bene]],B[Valore inserito manualmente])*Assegnazione[[#This Row],[Quota di assegnazione]]</f>
        <v>0</v>
      </c>
      <c r="F80" s="176" t="str">
        <f>+IF(A80="","",VLOOKUP(Assegnazione[[#This Row],[Bene]],B[],3,0))</f>
        <v/>
      </c>
      <c r="G80" s="132" t="str">
        <f>+IFERROR(VLOOKUP(Assegnazione[[#This Row],[Bene]],B[],MATCH("Agevolabile",Beni!$A$4:$AC$4,0),0)*VLOOKUP(Assegnazione[[#This Row],[Socio]],A_1[],8,0),"")</f>
        <v/>
      </c>
      <c r="H80" s="175">
        <f>+SUMIF(B[Bene],Assegnazione[[#This Row],[Bene]],B[Valore netto contabile fiscalmente riconosciuto])*Assegnazione[[#This Row],[Quota di assegnazione]]</f>
        <v>0</v>
      </c>
      <c r="I80" s="175">
        <f>+SUMIF(B[Bene],Assegnazione[[#This Row],[Bene]],B[Valore normale])*Assegnazione[[#This Row],[Quota di assegnazione]]</f>
        <v>0</v>
      </c>
      <c r="J80" s="177">
        <f>+IF(Assegnazione[[#This Row],[Bene]]="",0,SUMIF(Assegnazione[Socio],Assegnazione[[#This Row],[Socio]],Assegnazione[Valore Normale])/$I$3)</f>
        <v>0</v>
      </c>
      <c r="K80" s="177" t="str">
        <f>IF(Assegnazione[[#This Row],[Bene]]="","",SUMIF(A_1[Nome],Assegnazione[[#This Row],[Socio]],A_1[Quota partecipazione al momento dell''operazione]))</f>
        <v/>
      </c>
      <c r="L80" s="175">
        <f>+SUMIF(B[Bene],Assegnazione[[#This Row],[Bene]],B[Valore catastale])*Assegnazione[[#This Row],[Quota di assegnazione]]</f>
        <v>0</v>
      </c>
      <c r="M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5">
        <f>+MIN(Assegnazione[[#This Row],[Valore ai fini dell''atto]],Assegnazione[[#This Row],[Valore Fiscalmente riconosciuto]])</f>
        <v>0</v>
      </c>
      <c r="O80" s="149" t="str">
        <f>+IFERROR(VLOOKUP(Assegnazione[[#This Row],[Bene]],B[],MATCH($O$4,Beni!$A$4:$Z$4,0),0),"")</f>
        <v/>
      </c>
      <c r="P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8">
        <f>+SUMIF(B[Bene],Assegnazione[[#This Row],[Bene]],B[Iva se dovuta])*Assegnazione[[#This Row],[Quota di assegnazione]]</f>
        <v>0</v>
      </c>
      <c r="S80" s="178">
        <f>+SUMIF(B[Bene],Assegnazione[[#This Row],[Bene]],B[Imposta di registro (fissa + prop) senza agevolazione])*Assegnazione[[#This Row],[Quota di assegnazione]]</f>
        <v>0</v>
      </c>
      <c r="T80" s="178">
        <f>+SUMIF(B[Bene],Assegnazione[[#This Row],[Bene]],B[Ipotecaria e catastale senza agevolazione])*Assegnazione[[#This Row],[Quota di assegnazione]]</f>
        <v>0</v>
      </c>
      <c r="U80" s="179">
        <f>+SUM(Assegnazione[[#This Row],[Tassazione diretta senza agevolazione]:[Ipotecaria e catastale senza agevolazione]])</f>
        <v>0</v>
      </c>
      <c r="V80" s="178">
        <f>+SUMIF(B[Bene],Assegnazione[[#This Row],[Bene]],B[Imponibile Imposta sostitutiva])*Assegnazione[[#This Row],[Quota di assegnazione]]*DATI!$E$27</f>
        <v>0</v>
      </c>
      <c r="W80" s="178">
        <f>+SUMIF(B[Bene],Assegnazione[[#This Row],[Bene]],B[Imposta di registro in misura fissa agevolata])*Assegnazione[[#This Row],[Quota di assegnazione]]</f>
        <v>0</v>
      </c>
      <c r="X80" s="178">
        <f>+SUMIF(B[Bene],Assegnazione[[#This Row],[Bene]],B[Imposta di registro prop. Agevolata])*Assegnazione[[#This Row],[Quota di assegnazione]]</f>
        <v>0</v>
      </c>
      <c r="Y80" s="178">
        <f>+IFERROR(Assegnazione[[#This Row],[Imposta di registro in misura fissa]]+Assegnazione[[#This Row],[Imposta di registro prop.]],"")</f>
        <v>0</v>
      </c>
      <c r="Z80" s="178">
        <f>+SUMIF(B[Bene],Assegnazione[[#This Row],[Bene]],B[Ipotecaria catastale agevolata])*Assegnazione[[#This Row],[Quota di assegnazione]]</f>
        <v>0</v>
      </c>
    </row>
    <row r="81" spans="1:26" x14ac:dyDescent="0.2">
      <c r="A81" s="126"/>
      <c r="B81" s="135"/>
      <c r="C81" s="126"/>
      <c r="D81" s="175">
        <f>+SUMIF(B[Bene],Assegnazione[[#This Row],[Bene]],B[Imponibile Iva])*Assegnazione[[#This Row],[Quota di assegnazione]]</f>
        <v>0</v>
      </c>
      <c r="E81" s="175">
        <f>+SUMIF(B[Bene],Assegnazione[[#This Row],[Bene]],B[Valore inserito manualmente])*Assegnazione[[#This Row],[Quota di assegnazione]]</f>
        <v>0</v>
      </c>
      <c r="F81" s="176" t="str">
        <f>+IF(A81="","",VLOOKUP(Assegnazione[[#This Row],[Bene]],B[],3,0))</f>
        <v/>
      </c>
      <c r="G81" s="132" t="str">
        <f>+IFERROR(VLOOKUP(Assegnazione[[#This Row],[Bene]],B[],MATCH("Agevolabile",Beni!$A$4:$AC$4,0),0)*VLOOKUP(Assegnazione[[#This Row],[Socio]],A_1[],8,0),"")</f>
        <v/>
      </c>
      <c r="H81" s="175">
        <f>+SUMIF(B[Bene],Assegnazione[[#This Row],[Bene]],B[Valore netto contabile fiscalmente riconosciuto])*Assegnazione[[#This Row],[Quota di assegnazione]]</f>
        <v>0</v>
      </c>
      <c r="I81" s="175">
        <f>+SUMIF(B[Bene],Assegnazione[[#This Row],[Bene]],B[Valore normale])*Assegnazione[[#This Row],[Quota di assegnazione]]</f>
        <v>0</v>
      </c>
      <c r="J81" s="177">
        <f>+IF(Assegnazione[[#This Row],[Bene]]="",0,SUMIF(Assegnazione[Socio],Assegnazione[[#This Row],[Socio]],Assegnazione[Valore Normale])/$I$3)</f>
        <v>0</v>
      </c>
      <c r="K81" s="177" t="str">
        <f>IF(Assegnazione[[#This Row],[Bene]]="","",SUMIF(A_1[Nome],Assegnazione[[#This Row],[Socio]],A_1[Quota partecipazione al momento dell''operazione]))</f>
        <v/>
      </c>
      <c r="L81" s="175">
        <f>+SUMIF(B[Bene],Assegnazione[[#This Row],[Bene]],B[Valore catastale])*Assegnazione[[#This Row],[Quota di assegnazione]]</f>
        <v>0</v>
      </c>
      <c r="M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5">
        <f>+MIN(Assegnazione[[#This Row],[Valore ai fini dell''atto]],Assegnazione[[#This Row],[Valore Fiscalmente riconosciuto]])</f>
        <v>0</v>
      </c>
      <c r="O81" s="149" t="str">
        <f>+IFERROR(VLOOKUP(Assegnazione[[#This Row],[Bene]],B[],MATCH($O$4,Beni!$A$4:$Z$4,0),0),"")</f>
        <v/>
      </c>
      <c r="P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8">
        <f>+SUMIF(B[Bene],Assegnazione[[#This Row],[Bene]],B[Iva se dovuta])*Assegnazione[[#This Row],[Quota di assegnazione]]</f>
        <v>0</v>
      </c>
      <c r="S81" s="178">
        <f>+SUMIF(B[Bene],Assegnazione[[#This Row],[Bene]],B[Imposta di registro (fissa + prop) senza agevolazione])*Assegnazione[[#This Row],[Quota di assegnazione]]</f>
        <v>0</v>
      </c>
      <c r="T81" s="178">
        <f>+SUMIF(B[Bene],Assegnazione[[#This Row],[Bene]],B[Ipotecaria e catastale senza agevolazione])*Assegnazione[[#This Row],[Quota di assegnazione]]</f>
        <v>0</v>
      </c>
      <c r="U81" s="179">
        <f>+SUM(Assegnazione[[#This Row],[Tassazione diretta senza agevolazione]:[Ipotecaria e catastale senza agevolazione]])</f>
        <v>0</v>
      </c>
      <c r="V81" s="178">
        <f>+SUMIF(B[Bene],Assegnazione[[#This Row],[Bene]],B[Imponibile Imposta sostitutiva])*Assegnazione[[#This Row],[Quota di assegnazione]]*DATI!$E$27</f>
        <v>0</v>
      </c>
      <c r="W81" s="178">
        <f>+SUMIF(B[Bene],Assegnazione[[#This Row],[Bene]],B[Imposta di registro in misura fissa agevolata])*Assegnazione[[#This Row],[Quota di assegnazione]]</f>
        <v>0</v>
      </c>
      <c r="X81" s="178">
        <f>+SUMIF(B[Bene],Assegnazione[[#This Row],[Bene]],B[Imposta di registro prop. Agevolata])*Assegnazione[[#This Row],[Quota di assegnazione]]</f>
        <v>0</v>
      </c>
      <c r="Y81" s="178">
        <f>+IFERROR(Assegnazione[[#This Row],[Imposta di registro in misura fissa]]+Assegnazione[[#This Row],[Imposta di registro prop.]],"")</f>
        <v>0</v>
      </c>
      <c r="Z81" s="178">
        <f>+SUMIF(B[Bene],Assegnazione[[#This Row],[Bene]],B[Ipotecaria catastale agevolata])*Assegnazione[[#This Row],[Quota di assegnazione]]</f>
        <v>0</v>
      </c>
    </row>
    <row r="82" spans="1:26" x14ac:dyDescent="0.2">
      <c r="A82" s="126"/>
      <c r="B82" s="135"/>
      <c r="C82" s="126"/>
      <c r="D82" s="175">
        <f>+SUMIF(B[Bene],Assegnazione[[#This Row],[Bene]],B[Imponibile Iva])*Assegnazione[[#This Row],[Quota di assegnazione]]</f>
        <v>0</v>
      </c>
      <c r="E82" s="175">
        <f>+SUMIF(B[Bene],Assegnazione[[#This Row],[Bene]],B[Valore inserito manualmente])*Assegnazione[[#This Row],[Quota di assegnazione]]</f>
        <v>0</v>
      </c>
      <c r="F82" s="176" t="str">
        <f>+IF(A82="","",VLOOKUP(Assegnazione[[#This Row],[Bene]],B[],3,0))</f>
        <v/>
      </c>
      <c r="G82" s="132" t="str">
        <f>+IFERROR(VLOOKUP(Assegnazione[[#This Row],[Bene]],B[],MATCH("Agevolabile",Beni!$A$4:$AC$4,0),0)*VLOOKUP(Assegnazione[[#This Row],[Socio]],A_1[],8,0),"")</f>
        <v/>
      </c>
      <c r="H82" s="175">
        <f>+SUMIF(B[Bene],Assegnazione[[#This Row],[Bene]],B[Valore netto contabile fiscalmente riconosciuto])*Assegnazione[[#This Row],[Quota di assegnazione]]</f>
        <v>0</v>
      </c>
      <c r="I82" s="175">
        <f>+SUMIF(B[Bene],Assegnazione[[#This Row],[Bene]],B[Valore normale])*Assegnazione[[#This Row],[Quota di assegnazione]]</f>
        <v>0</v>
      </c>
      <c r="J82" s="177">
        <f>+IF(Assegnazione[[#This Row],[Bene]]="",0,SUMIF(Assegnazione[Socio],Assegnazione[[#This Row],[Socio]],Assegnazione[Valore Normale])/$I$3)</f>
        <v>0</v>
      </c>
      <c r="K82" s="177" t="str">
        <f>IF(Assegnazione[[#This Row],[Bene]]="","",SUMIF(A_1[Nome],Assegnazione[[#This Row],[Socio]],A_1[Quota partecipazione al momento dell''operazione]))</f>
        <v/>
      </c>
      <c r="L82" s="175">
        <f>+SUMIF(B[Bene],Assegnazione[[#This Row],[Bene]],B[Valore catastale])*Assegnazione[[#This Row],[Quota di assegnazione]]</f>
        <v>0</v>
      </c>
      <c r="M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5">
        <f>+MIN(Assegnazione[[#This Row],[Valore ai fini dell''atto]],Assegnazione[[#This Row],[Valore Fiscalmente riconosciuto]])</f>
        <v>0</v>
      </c>
      <c r="O82" s="149" t="str">
        <f>+IFERROR(VLOOKUP(Assegnazione[[#This Row],[Bene]],B[],MATCH($O$4,Beni!$A$4:$Z$4,0),0),"")</f>
        <v/>
      </c>
      <c r="P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8">
        <f>+SUMIF(B[Bene],Assegnazione[[#This Row],[Bene]],B[Iva se dovuta])*Assegnazione[[#This Row],[Quota di assegnazione]]</f>
        <v>0</v>
      </c>
      <c r="S82" s="178">
        <f>+SUMIF(B[Bene],Assegnazione[[#This Row],[Bene]],B[Imposta di registro (fissa + prop) senza agevolazione])*Assegnazione[[#This Row],[Quota di assegnazione]]</f>
        <v>0</v>
      </c>
      <c r="T82" s="178">
        <f>+SUMIF(B[Bene],Assegnazione[[#This Row],[Bene]],B[Ipotecaria e catastale senza agevolazione])*Assegnazione[[#This Row],[Quota di assegnazione]]</f>
        <v>0</v>
      </c>
      <c r="U82" s="179">
        <f>+SUM(Assegnazione[[#This Row],[Tassazione diretta senza agevolazione]:[Ipotecaria e catastale senza agevolazione]])</f>
        <v>0</v>
      </c>
      <c r="V82" s="178">
        <f>+SUMIF(B[Bene],Assegnazione[[#This Row],[Bene]],B[Imponibile Imposta sostitutiva])*Assegnazione[[#This Row],[Quota di assegnazione]]*DATI!$E$27</f>
        <v>0</v>
      </c>
      <c r="W82" s="178">
        <f>+SUMIF(B[Bene],Assegnazione[[#This Row],[Bene]],B[Imposta di registro in misura fissa agevolata])*Assegnazione[[#This Row],[Quota di assegnazione]]</f>
        <v>0</v>
      </c>
      <c r="X82" s="178">
        <f>+SUMIF(B[Bene],Assegnazione[[#This Row],[Bene]],B[Imposta di registro prop. Agevolata])*Assegnazione[[#This Row],[Quota di assegnazione]]</f>
        <v>0</v>
      </c>
      <c r="Y82" s="178">
        <f>+IFERROR(Assegnazione[[#This Row],[Imposta di registro in misura fissa]]+Assegnazione[[#This Row],[Imposta di registro prop.]],"")</f>
        <v>0</v>
      </c>
      <c r="Z82" s="178">
        <f>+SUMIF(B[Bene],Assegnazione[[#This Row],[Bene]],B[Ipotecaria catastale agevolata])*Assegnazione[[#This Row],[Quota di assegnazione]]</f>
        <v>0</v>
      </c>
    </row>
    <row r="83" spans="1:26" x14ac:dyDescent="0.2">
      <c r="A83" s="126"/>
      <c r="B83" s="135"/>
      <c r="C83" s="126"/>
      <c r="D83" s="175">
        <f>+SUMIF(B[Bene],Assegnazione[[#This Row],[Bene]],B[Imponibile Iva])*Assegnazione[[#This Row],[Quota di assegnazione]]</f>
        <v>0</v>
      </c>
      <c r="E83" s="175">
        <f>+SUMIF(B[Bene],Assegnazione[[#This Row],[Bene]],B[Valore inserito manualmente])*Assegnazione[[#This Row],[Quota di assegnazione]]</f>
        <v>0</v>
      </c>
      <c r="F83" s="176" t="str">
        <f>+IF(A83="","",VLOOKUP(Assegnazione[[#This Row],[Bene]],B[],3,0))</f>
        <v/>
      </c>
      <c r="G83" s="132" t="str">
        <f>+IFERROR(VLOOKUP(Assegnazione[[#This Row],[Bene]],B[],MATCH("Agevolabile",Beni!$A$4:$AC$4,0),0)*VLOOKUP(Assegnazione[[#This Row],[Socio]],A_1[],8,0),"")</f>
        <v/>
      </c>
      <c r="H83" s="175">
        <f>+SUMIF(B[Bene],Assegnazione[[#This Row],[Bene]],B[Valore netto contabile fiscalmente riconosciuto])*Assegnazione[[#This Row],[Quota di assegnazione]]</f>
        <v>0</v>
      </c>
      <c r="I83" s="175">
        <f>+SUMIF(B[Bene],Assegnazione[[#This Row],[Bene]],B[Valore normale])*Assegnazione[[#This Row],[Quota di assegnazione]]</f>
        <v>0</v>
      </c>
      <c r="J83" s="177">
        <f>+IF(Assegnazione[[#This Row],[Bene]]="",0,SUMIF(Assegnazione[Socio],Assegnazione[[#This Row],[Socio]],Assegnazione[Valore Normale])/$I$3)</f>
        <v>0</v>
      </c>
      <c r="K83" s="177" t="str">
        <f>IF(Assegnazione[[#This Row],[Bene]]="","",SUMIF(A_1[Nome],Assegnazione[[#This Row],[Socio]],A_1[Quota partecipazione al momento dell''operazione]))</f>
        <v/>
      </c>
      <c r="L83" s="175">
        <f>+SUMIF(B[Bene],Assegnazione[[#This Row],[Bene]],B[Valore catastale])*Assegnazione[[#This Row],[Quota di assegnazione]]</f>
        <v>0</v>
      </c>
      <c r="M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5">
        <f>+MIN(Assegnazione[[#This Row],[Valore ai fini dell''atto]],Assegnazione[[#This Row],[Valore Fiscalmente riconosciuto]])</f>
        <v>0</v>
      </c>
      <c r="O83" s="149" t="str">
        <f>+IFERROR(VLOOKUP(Assegnazione[[#This Row],[Bene]],B[],MATCH($O$4,Beni!$A$4:$Z$4,0),0),"")</f>
        <v/>
      </c>
      <c r="P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8">
        <f>+SUMIF(B[Bene],Assegnazione[[#This Row],[Bene]],B[Iva se dovuta])*Assegnazione[[#This Row],[Quota di assegnazione]]</f>
        <v>0</v>
      </c>
      <c r="S83" s="178">
        <f>+SUMIF(B[Bene],Assegnazione[[#This Row],[Bene]],B[Imposta di registro (fissa + prop) senza agevolazione])*Assegnazione[[#This Row],[Quota di assegnazione]]</f>
        <v>0</v>
      </c>
      <c r="T83" s="178">
        <f>+SUMIF(B[Bene],Assegnazione[[#This Row],[Bene]],B[Ipotecaria e catastale senza agevolazione])*Assegnazione[[#This Row],[Quota di assegnazione]]</f>
        <v>0</v>
      </c>
      <c r="U83" s="179">
        <f>+SUM(Assegnazione[[#This Row],[Tassazione diretta senza agevolazione]:[Ipotecaria e catastale senza agevolazione]])</f>
        <v>0</v>
      </c>
      <c r="V83" s="178">
        <f>+SUMIF(B[Bene],Assegnazione[[#This Row],[Bene]],B[Imponibile Imposta sostitutiva])*Assegnazione[[#This Row],[Quota di assegnazione]]*DATI!$E$27</f>
        <v>0</v>
      </c>
      <c r="W83" s="178">
        <f>+SUMIF(B[Bene],Assegnazione[[#This Row],[Bene]],B[Imposta di registro in misura fissa agevolata])*Assegnazione[[#This Row],[Quota di assegnazione]]</f>
        <v>0</v>
      </c>
      <c r="X83" s="178">
        <f>+SUMIF(B[Bene],Assegnazione[[#This Row],[Bene]],B[Imposta di registro prop. Agevolata])*Assegnazione[[#This Row],[Quota di assegnazione]]</f>
        <v>0</v>
      </c>
      <c r="Y83" s="178">
        <f>+IFERROR(Assegnazione[[#This Row],[Imposta di registro in misura fissa]]+Assegnazione[[#This Row],[Imposta di registro prop.]],"")</f>
        <v>0</v>
      </c>
      <c r="Z83" s="178">
        <f>+SUMIF(B[Bene],Assegnazione[[#This Row],[Bene]],B[Ipotecaria catastale agevolata])*Assegnazione[[#This Row],[Quota di assegnazione]]</f>
        <v>0</v>
      </c>
    </row>
    <row r="84" spans="1:26" x14ac:dyDescent="0.2">
      <c r="A84" s="126"/>
      <c r="B84" s="135"/>
      <c r="C84" s="126"/>
      <c r="D84" s="175">
        <f>+SUMIF(B[Bene],Assegnazione[[#This Row],[Bene]],B[Imponibile Iva])*Assegnazione[[#This Row],[Quota di assegnazione]]</f>
        <v>0</v>
      </c>
      <c r="E84" s="175">
        <f>+SUMIF(B[Bene],Assegnazione[[#This Row],[Bene]],B[Valore inserito manualmente])*Assegnazione[[#This Row],[Quota di assegnazione]]</f>
        <v>0</v>
      </c>
      <c r="F84" s="176" t="str">
        <f>+IF(A84="","",VLOOKUP(Assegnazione[[#This Row],[Bene]],B[],3,0))</f>
        <v/>
      </c>
      <c r="G84" s="132" t="str">
        <f>+IFERROR(VLOOKUP(Assegnazione[[#This Row],[Bene]],B[],MATCH("Agevolabile",Beni!$A$4:$AC$4,0),0)*VLOOKUP(Assegnazione[[#This Row],[Socio]],A_1[],8,0),"")</f>
        <v/>
      </c>
      <c r="H84" s="175">
        <f>+SUMIF(B[Bene],Assegnazione[[#This Row],[Bene]],B[Valore netto contabile fiscalmente riconosciuto])*Assegnazione[[#This Row],[Quota di assegnazione]]</f>
        <v>0</v>
      </c>
      <c r="I84" s="175">
        <f>+SUMIF(B[Bene],Assegnazione[[#This Row],[Bene]],B[Valore normale])*Assegnazione[[#This Row],[Quota di assegnazione]]</f>
        <v>0</v>
      </c>
      <c r="J84" s="177">
        <f>+IF(Assegnazione[[#This Row],[Bene]]="",0,SUMIF(Assegnazione[Socio],Assegnazione[[#This Row],[Socio]],Assegnazione[Valore Normale])/$I$3)</f>
        <v>0</v>
      </c>
      <c r="K84" s="177" t="str">
        <f>IF(Assegnazione[[#This Row],[Bene]]="","",SUMIF(A_1[Nome],Assegnazione[[#This Row],[Socio]],A_1[Quota partecipazione al momento dell''operazione]))</f>
        <v/>
      </c>
      <c r="L84" s="175">
        <f>+SUMIF(B[Bene],Assegnazione[[#This Row],[Bene]],B[Valore catastale])*Assegnazione[[#This Row],[Quota di assegnazione]]</f>
        <v>0</v>
      </c>
      <c r="M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5">
        <f>+MIN(Assegnazione[[#This Row],[Valore ai fini dell''atto]],Assegnazione[[#This Row],[Valore Fiscalmente riconosciuto]])</f>
        <v>0</v>
      </c>
      <c r="O84" s="149" t="str">
        <f>+IFERROR(VLOOKUP(Assegnazione[[#This Row],[Bene]],B[],MATCH($O$4,Beni!$A$4:$Z$4,0),0),"")</f>
        <v/>
      </c>
      <c r="P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8">
        <f>+SUMIF(B[Bene],Assegnazione[[#This Row],[Bene]],B[Iva se dovuta])*Assegnazione[[#This Row],[Quota di assegnazione]]</f>
        <v>0</v>
      </c>
      <c r="S84" s="178">
        <f>+SUMIF(B[Bene],Assegnazione[[#This Row],[Bene]],B[Imposta di registro (fissa + prop) senza agevolazione])*Assegnazione[[#This Row],[Quota di assegnazione]]</f>
        <v>0</v>
      </c>
      <c r="T84" s="178">
        <f>+SUMIF(B[Bene],Assegnazione[[#This Row],[Bene]],B[Ipotecaria e catastale senza agevolazione])*Assegnazione[[#This Row],[Quota di assegnazione]]</f>
        <v>0</v>
      </c>
      <c r="U84" s="179">
        <f>+SUM(Assegnazione[[#This Row],[Tassazione diretta senza agevolazione]:[Ipotecaria e catastale senza agevolazione]])</f>
        <v>0</v>
      </c>
      <c r="V84" s="178">
        <f>+SUMIF(B[Bene],Assegnazione[[#This Row],[Bene]],B[Imponibile Imposta sostitutiva])*Assegnazione[[#This Row],[Quota di assegnazione]]*DATI!$E$27</f>
        <v>0</v>
      </c>
      <c r="W84" s="178">
        <f>+SUMIF(B[Bene],Assegnazione[[#This Row],[Bene]],B[Imposta di registro in misura fissa agevolata])*Assegnazione[[#This Row],[Quota di assegnazione]]</f>
        <v>0</v>
      </c>
      <c r="X84" s="178">
        <f>+SUMIF(B[Bene],Assegnazione[[#This Row],[Bene]],B[Imposta di registro prop. Agevolata])*Assegnazione[[#This Row],[Quota di assegnazione]]</f>
        <v>0</v>
      </c>
      <c r="Y84" s="178">
        <f>+IFERROR(Assegnazione[[#This Row],[Imposta di registro in misura fissa]]+Assegnazione[[#This Row],[Imposta di registro prop.]],"")</f>
        <v>0</v>
      </c>
      <c r="Z84" s="178">
        <f>+SUMIF(B[Bene],Assegnazione[[#This Row],[Bene]],B[Ipotecaria catastale agevolata])*Assegnazione[[#This Row],[Quota di assegnazione]]</f>
        <v>0</v>
      </c>
    </row>
    <row r="85" spans="1:26" x14ac:dyDescent="0.2">
      <c r="A85" s="126"/>
      <c r="B85" s="135"/>
      <c r="C85" s="126"/>
      <c r="D85" s="175">
        <f>+SUMIF(B[Bene],Assegnazione[[#This Row],[Bene]],B[Imponibile Iva])*Assegnazione[[#This Row],[Quota di assegnazione]]</f>
        <v>0</v>
      </c>
      <c r="E85" s="175">
        <f>+SUMIF(B[Bene],Assegnazione[[#This Row],[Bene]],B[Valore inserito manualmente])*Assegnazione[[#This Row],[Quota di assegnazione]]</f>
        <v>0</v>
      </c>
      <c r="F85" s="176" t="str">
        <f>+IF(A85="","",VLOOKUP(Assegnazione[[#This Row],[Bene]],B[],3,0))</f>
        <v/>
      </c>
      <c r="G85" s="132" t="str">
        <f>+IFERROR(VLOOKUP(Assegnazione[[#This Row],[Bene]],B[],MATCH("Agevolabile",Beni!$A$4:$AC$4,0),0)*VLOOKUP(Assegnazione[[#This Row],[Socio]],A_1[],8,0),"")</f>
        <v/>
      </c>
      <c r="H85" s="175">
        <f>+SUMIF(B[Bene],Assegnazione[[#This Row],[Bene]],B[Valore netto contabile fiscalmente riconosciuto])*Assegnazione[[#This Row],[Quota di assegnazione]]</f>
        <v>0</v>
      </c>
      <c r="I85" s="175">
        <f>+SUMIF(B[Bene],Assegnazione[[#This Row],[Bene]],B[Valore normale])*Assegnazione[[#This Row],[Quota di assegnazione]]</f>
        <v>0</v>
      </c>
      <c r="J85" s="177">
        <f>+IF(Assegnazione[[#This Row],[Bene]]="",0,SUMIF(Assegnazione[Socio],Assegnazione[[#This Row],[Socio]],Assegnazione[Valore Normale])/$I$3)</f>
        <v>0</v>
      </c>
      <c r="K85" s="177" t="str">
        <f>IF(Assegnazione[[#This Row],[Bene]]="","",SUMIF(A_1[Nome],Assegnazione[[#This Row],[Socio]],A_1[Quota partecipazione al momento dell''operazione]))</f>
        <v/>
      </c>
      <c r="L85" s="175">
        <f>+SUMIF(B[Bene],Assegnazione[[#This Row],[Bene]],B[Valore catastale])*Assegnazione[[#This Row],[Quota di assegnazione]]</f>
        <v>0</v>
      </c>
      <c r="M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5">
        <f>+MIN(Assegnazione[[#This Row],[Valore ai fini dell''atto]],Assegnazione[[#This Row],[Valore Fiscalmente riconosciuto]])</f>
        <v>0</v>
      </c>
      <c r="O85" s="149" t="str">
        <f>+IFERROR(VLOOKUP(Assegnazione[[#This Row],[Bene]],B[],MATCH($O$4,Beni!$A$4:$Z$4,0),0),"")</f>
        <v/>
      </c>
      <c r="P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8">
        <f>+SUMIF(B[Bene],Assegnazione[[#This Row],[Bene]],B[Iva se dovuta])*Assegnazione[[#This Row],[Quota di assegnazione]]</f>
        <v>0</v>
      </c>
      <c r="S85" s="178">
        <f>+SUMIF(B[Bene],Assegnazione[[#This Row],[Bene]],B[Imposta di registro (fissa + prop) senza agevolazione])*Assegnazione[[#This Row],[Quota di assegnazione]]</f>
        <v>0</v>
      </c>
      <c r="T85" s="178">
        <f>+SUMIF(B[Bene],Assegnazione[[#This Row],[Bene]],B[Ipotecaria e catastale senza agevolazione])*Assegnazione[[#This Row],[Quota di assegnazione]]</f>
        <v>0</v>
      </c>
      <c r="U85" s="179">
        <f>+SUM(Assegnazione[[#This Row],[Tassazione diretta senza agevolazione]:[Ipotecaria e catastale senza agevolazione]])</f>
        <v>0</v>
      </c>
      <c r="V85" s="178">
        <f>+SUMIF(B[Bene],Assegnazione[[#This Row],[Bene]],B[Imponibile Imposta sostitutiva])*Assegnazione[[#This Row],[Quota di assegnazione]]*DATI!$E$27</f>
        <v>0</v>
      </c>
      <c r="W85" s="178">
        <f>+SUMIF(B[Bene],Assegnazione[[#This Row],[Bene]],B[Imposta di registro in misura fissa agevolata])*Assegnazione[[#This Row],[Quota di assegnazione]]</f>
        <v>0</v>
      </c>
      <c r="X85" s="178">
        <f>+SUMIF(B[Bene],Assegnazione[[#This Row],[Bene]],B[Imposta di registro prop. Agevolata])*Assegnazione[[#This Row],[Quota di assegnazione]]</f>
        <v>0</v>
      </c>
      <c r="Y85" s="178">
        <f>+IFERROR(Assegnazione[[#This Row],[Imposta di registro in misura fissa]]+Assegnazione[[#This Row],[Imposta di registro prop.]],"")</f>
        <v>0</v>
      </c>
      <c r="Z85" s="178">
        <f>+SUMIF(B[Bene],Assegnazione[[#This Row],[Bene]],B[Ipotecaria catastale agevolata])*Assegnazione[[#This Row],[Quota di assegnazione]]</f>
        <v>0</v>
      </c>
    </row>
    <row r="86" spans="1:26" x14ac:dyDescent="0.2">
      <c r="A86" s="126"/>
      <c r="B86" s="135"/>
      <c r="C86" s="126"/>
      <c r="D86" s="175">
        <f>+SUMIF(B[Bene],Assegnazione[[#This Row],[Bene]],B[Imponibile Iva])*Assegnazione[[#This Row],[Quota di assegnazione]]</f>
        <v>0</v>
      </c>
      <c r="E86" s="175">
        <f>+SUMIF(B[Bene],Assegnazione[[#This Row],[Bene]],B[Valore inserito manualmente])*Assegnazione[[#This Row],[Quota di assegnazione]]</f>
        <v>0</v>
      </c>
      <c r="F86" s="176" t="str">
        <f>+IF(A86="","",VLOOKUP(Assegnazione[[#This Row],[Bene]],B[],3,0))</f>
        <v/>
      </c>
      <c r="G86" s="132" t="str">
        <f>+IFERROR(VLOOKUP(Assegnazione[[#This Row],[Bene]],B[],MATCH("Agevolabile",Beni!$A$4:$AC$4,0),0)*VLOOKUP(Assegnazione[[#This Row],[Socio]],A_1[],8,0),"")</f>
        <v/>
      </c>
      <c r="H86" s="175">
        <f>+SUMIF(B[Bene],Assegnazione[[#This Row],[Bene]],B[Valore netto contabile fiscalmente riconosciuto])*Assegnazione[[#This Row],[Quota di assegnazione]]</f>
        <v>0</v>
      </c>
      <c r="I86" s="175">
        <f>+SUMIF(B[Bene],Assegnazione[[#This Row],[Bene]],B[Valore normale])*Assegnazione[[#This Row],[Quota di assegnazione]]</f>
        <v>0</v>
      </c>
      <c r="J86" s="177">
        <f>+IF(Assegnazione[[#This Row],[Bene]]="",0,SUMIF(Assegnazione[Socio],Assegnazione[[#This Row],[Socio]],Assegnazione[Valore Normale])/$I$3)</f>
        <v>0</v>
      </c>
      <c r="K86" s="177" t="str">
        <f>IF(Assegnazione[[#This Row],[Bene]]="","",SUMIF(A_1[Nome],Assegnazione[[#This Row],[Socio]],A_1[Quota partecipazione al momento dell''operazione]))</f>
        <v/>
      </c>
      <c r="L86" s="175">
        <f>+SUMIF(B[Bene],Assegnazione[[#This Row],[Bene]],B[Valore catastale])*Assegnazione[[#This Row],[Quota di assegnazione]]</f>
        <v>0</v>
      </c>
      <c r="M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5">
        <f>+MIN(Assegnazione[[#This Row],[Valore ai fini dell''atto]],Assegnazione[[#This Row],[Valore Fiscalmente riconosciuto]])</f>
        <v>0</v>
      </c>
      <c r="O86" s="149" t="str">
        <f>+IFERROR(VLOOKUP(Assegnazione[[#This Row],[Bene]],B[],MATCH($O$4,Beni!$A$4:$Z$4,0),0),"")</f>
        <v/>
      </c>
      <c r="P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8">
        <f>+SUMIF(B[Bene],Assegnazione[[#This Row],[Bene]],B[Iva se dovuta])*Assegnazione[[#This Row],[Quota di assegnazione]]</f>
        <v>0</v>
      </c>
      <c r="S86" s="178">
        <f>+SUMIF(B[Bene],Assegnazione[[#This Row],[Bene]],B[Imposta di registro (fissa + prop) senza agevolazione])*Assegnazione[[#This Row],[Quota di assegnazione]]</f>
        <v>0</v>
      </c>
      <c r="T86" s="178">
        <f>+SUMIF(B[Bene],Assegnazione[[#This Row],[Bene]],B[Ipotecaria e catastale senza agevolazione])*Assegnazione[[#This Row],[Quota di assegnazione]]</f>
        <v>0</v>
      </c>
      <c r="U86" s="179">
        <f>+SUM(Assegnazione[[#This Row],[Tassazione diretta senza agevolazione]:[Ipotecaria e catastale senza agevolazione]])</f>
        <v>0</v>
      </c>
      <c r="V86" s="178">
        <f>+SUMIF(B[Bene],Assegnazione[[#This Row],[Bene]],B[Imponibile Imposta sostitutiva])*Assegnazione[[#This Row],[Quota di assegnazione]]*DATI!$E$27</f>
        <v>0</v>
      </c>
      <c r="W86" s="178">
        <f>+SUMIF(B[Bene],Assegnazione[[#This Row],[Bene]],B[Imposta di registro in misura fissa agevolata])*Assegnazione[[#This Row],[Quota di assegnazione]]</f>
        <v>0</v>
      </c>
      <c r="X86" s="178">
        <f>+SUMIF(B[Bene],Assegnazione[[#This Row],[Bene]],B[Imposta di registro prop. Agevolata])*Assegnazione[[#This Row],[Quota di assegnazione]]</f>
        <v>0</v>
      </c>
      <c r="Y86" s="178">
        <f>+IFERROR(Assegnazione[[#This Row],[Imposta di registro in misura fissa]]+Assegnazione[[#This Row],[Imposta di registro prop.]],"")</f>
        <v>0</v>
      </c>
      <c r="Z86" s="178">
        <f>+SUMIF(B[Bene],Assegnazione[[#This Row],[Bene]],B[Ipotecaria catastale agevolata])*Assegnazione[[#This Row],[Quota di assegnazione]]</f>
        <v>0</v>
      </c>
    </row>
    <row r="87" spans="1:26" x14ac:dyDescent="0.2">
      <c r="A87" s="126"/>
      <c r="B87" s="135"/>
      <c r="C87" s="126"/>
      <c r="D87" s="175">
        <f>+SUMIF(B[Bene],Assegnazione[[#This Row],[Bene]],B[Imponibile Iva])*Assegnazione[[#This Row],[Quota di assegnazione]]</f>
        <v>0</v>
      </c>
      <c r="E87" s="175">
        <f>+SUMIF(B[Bene],Assegnazione[[#This Row],[Bene]],B[Valore inserito manualmente])*Assegnazione[[#This Row],[Quota di assegnazione]]</f>
        <v>0</v>
      </c>
      <c r="F87" s="176" t="str">
        <f>+IF(A87="","",VLOOKUP(Assegnazione[[#This Row],[Bene]],B[],3,0))</f>
        <v/>
      </c>
      <c r="G87" s="132" t="str">
        <f>+IFERROR(VLOOKUP(Assegnazione[[#This Row],[Bene]],B[],MATCH("Agevolabile",Beni!$A$4:$AC$4,0),0)*VLOOKUP(Assegnazione[[#This Row],[Socio]],A_1[],8,0),"")</f>
        <v/>
      </c>
      <c r="H87" s="175">
        <f>+SUMIF(B[Bene],Assegnazione[[#This Row],[Bene]],B[Valore netto contabile fiscalmente riconosciuto])*Assegnazione[[#This Row],[Quota di assegnazione]]</f>
        <v>0</v>
      </c>
      <c r="I87" s="175">
        <f>+SUMIF(B[Bene],Assegnazione[[#This Row],[Bene]],B[Valore normale])*Assegnazione[[#This Row],[Quota di assegnazione]]</f>
        <v>0</v>
      </c>
      <c r="J87" s="177">
        <f>+IF(Assegnazione[[#This Row],[Bene]]="",0,SUMIF(Assegnazione[Socio],Assegnazione[[#This Row],[Socio]],Assegnazione[Valore Normale])/$I$3)</f>
        <v>0</v>
      </c>
      <c r="K87" s="177" t="str">
        <f>IF(Assegnazione[[#This Row],[Bene]]="","",SUMIF(A_1[Nome],Assegnazione[[#This Row],[Socio]],A_1[Quota partecipazione al momento dell''operazione]))</f>
        <v/>
      </c>
      <c r="L87" s="175">
        <f>+SUMIF(B[Bene],Assegnazione[[#This Row],[Bene]],B[Valore catastale])*Assegnazione[[#This Row],[Quota di assegnazione]]</f>
        <v>0</v>
      </c>
      <c r="M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5">
        <f>+MIN(Assegnazione[[#This Row],[Valore ai fini dell''atto]],Assegnazione[[#This Row],[Valore Fiscalmente riconosciuto]])</f>
        <v>0</v>
      </c>
      <c r="O87" s="149" t="str">
        <f>+IFERROR(VLOOKUP(Assegnazione[[#This Row],[Bene]],B[],MATCH($O$4,Beni!$A$4:$Z$4,0),0),"")</f>
        <v/>
      </c>
      <c r="P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8">
        <f>+SUMIF(B[Bene],Assegnazione[[#This Row],[Bene]],B[Iva se dovuta])*Assegnazione[[#This Row],[Quota di assegnazione]]</f>
        <v>0</v>
      </c>
      <c r="S87" s="178">
        <f>+SUMIF(B[Bene],Assegnazione[[#This Row],[Bene]],B[Imposta di registro (fissa + prop) senza agevolazione])*Assegnazione[[#This Row],[Quota di assegnazione]]</f>
        <v>0</v>
      </c>
      <c r="T87" s="178">
        <f>+SUMIF(B[Bene],Assegnazione[[#This Row],[Bene]],B[Ipotecaria e catastale senza agevolazione])*Assegnazione[[#This Row],[Quota di assegnazione]]</f>
        <v>0</v>
      </c>
      <c r="U87" s="179">
        <f>+SUM(Assegnazione[[#This Row],[Tassazione diretta senza agevolazione]:[Ipotecaria e catastale senza agevolazione]])</f>
        <v>0</v>
      </c>
      <c r="V87" s="178">
        <f>+SUMIF(B[Bene],Assegnazione[[#This Row],[Bene]],B[Imponibile Imposta sostitutiva])*Assegnazione[[#This Row],[Quota di assegnazione]]*DATI!$E$27</f>
        <v>0</v>
      </c>
      <c r="W87" s="178">
        <f>+SUMIF(B[Bene],Assegnazione[[#This Row],[Bene]],B[Imposta di registro in misura fissa agevolata])*Assegnazione[[#This Row],[Quota di assegnazione]]</f>
        <v>0</v>
      </c>
      <c r="X87" s="178">
        <f>+SUMIF(B[Bene],Assegnazione[[#This Row],[Bene]],B[Imposta di registro prop. Agevolata])*Assegnazione[[#This Row],[Quota di assegnazione]]</f>
        <v>0</v>
      </c>
      <c r="Y87" s="178">
        <f>+IFERROR(Assegnazione[[#This Row],[Imposta di registro in misura fissa]]+Assegnazione[[#This Row],[Imposta di registro prop.]],"")</f>
        <v>0</v>
      </c>
      <c r="Z87" s="178">
        <f>+SUMIF(B[Bene],Assegnazione[[#This Row],[Bene]],B[Ipotecaria catastale agevolata])*Assegnazione[[#This Row],[Quota di assegnazione]]</f>
        <v>0</v>
      </c>
    </row>
    <row r="88" spans="1:26" x14ac:dyDescent="0.2">
      <c r="A88" s="126"/>
      <c r="B88" s="135"/>
      <c r="C88" s="126"/>
      <c r="D88" s="175">
        <f>+SUMIF(B[Bene],Assegnazione[[#This Row],[Bene]],B[Imponibile Iva])*Assegnazione[[#This Row],[Quota di assegnazione]]</f>
        <v>0</v>
      </c>
      <c r="E88" s="175">
        <f>+SUMIF(B[Bene],Assegnazione[[#This Row],[Bene]],B[Valore inserito manualmente])*Assegnazione[[#This Row],[Quota di assegnazione]]</f>
        <v>0</v>
      </c>
      <c r="F88" s="176" t="str">
        <f>+IF(A88="","",VLOOKUP(Assegnazione[[#This Row],[Bene]],B[],3,0))</f>
        <v/>
      </c>
      <c r="G88" s="132" t="str">
        <f>+IFERROR(VLOOKUP(Assegnazione[[#This Row],[Bene]],B[],MATCH("Agevolabile",Beni!$A$4:$AC$4,0),0)*VLOOKUP(Assegnazione[[#This Row],[Socio]],A_1[],8,0),"")</f>
        <v/>
      </c>
      <c r="H88" s="175">
        <f>+SUMIF(B[Bene],Assegnazione[[#This Row],[Bene]],B[Valore netto contabile fiscalmente riconosciuto])*Assegnazione[[#This Row],[Quota di assegnazione]]</f>
        <v>0</v>
      </c>
      <c r="I88" s="175">
        <f>+SUMIF(B[Bene],Assegnazione[[#This Row],[Bene]],B[Valore normale])*Assegnazione[[#This Row],[Quota di assegnazione]]</f>
        <v>0</v>
      </c>
      <c r="J88" s="177">
        <f>+IF(Assegnazione[[#This Row],[Bene]]="",0,SUMIF(Assegnazione[Socio],Assegnazione[[#This Row],[Socio]],Assegnazione[Valore Normale])/$I$3)</f>
        <v>0</v>
      </c>
      <c r="K88" s="177" t="str">
        <f>IF(Assegnazione[[#This Row],[Bene]]="","",SUMIF(A_1[Nome],Assegnazione[[#This Row],[Socio]],A_1[Quota partecipazione al momento dell''operazione]))</f>
        <v/>
      </c>
      <c r="L88" s="175">
        <f>+SUMIF(B[Bene],Assegnazione[[#This Row],[Bene]],B[Valore catastale])*Assegnazione[[#This Row],[Quota di assegnazione]]</f>
        <v>0</v>
      </c>
      <c r="M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5">
        <f>+MIN(Assegnazione[[#This Row],[Valore ai fini dell''atto]],Assegnazione[[#This Row],[Valore Fiscalmente riconosciuto]])</f>
        <v>0</v>
      </c>
      <c r="O88" s="149" t="str">
        <f>+IFERROR(VLOOKUP(Assegnazione[[#This Row],[Bene]],B[],MATCH($O$4,Beni!$A$4:$Z$4,0),0),"")</f>
        <v/>
      </c>
      <c r="P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8">
        <f>+SUMIF(B[Bene],Assegnazione[[#This Row],[Bene]],B[Iva se dovuta])*Assegnazione[[#This Row],[Quota di assegnazione]]</f>
        <v>0</v>
      </c>
      <c r="S88" s="178">
        <f>+SUMIF(B[Bene],Assegnazione[[#This Row],[Bene]],B[Imposta di registro (fissa + prop) senza agevolazione])*Assegnazione[[#This Row],[Quota di assegnazione]]</f>
        <v>0</v>
      </c>
      <c r="T88" s="178">
        <f>+SUMIF(B[Bene],Assegnazione[[#This Row],[Bene]],B[Ipotecaria e catastale senza agevolazione])*Assegnazione[[#This Row],[Quota di assegnazione]]</f>
        <v>0</v>
      </c>
      <c r="U88" s="179">
        <f>+SUM(Assegnazione[[#This Row],[Tassazione diretta senza agevolazione]:[Ipotecaria e catastale senza agevolazione]])</f>
        <v>0</v>
      </c>
      <c r="V88" s="178">
        <f>+SUMIF(B[Bene],Assegnazione[[#This Row],[Bene]],B[Imponibile Imposta sostitutiva])*Assegnazione[[#This Row],[Quota di assegnazione]]*DATI!$E$27</f>
        <v>0</v>
      </c>
      <c r="W88" s="178">
        <f>+SUMIF(B[Bene],Assegnazione[[#This Row],[Bene]],B[Imposta di registro in misura fissa agevolata])*Assegnazione[[#This Row],[Quota di assegnazione]]</f>
        <v>0</v>
      </c>
      <c r="X88" s="178">
        <f>+SUMIF(B[Bene],Assegnazione[[#This Row],[Bene]],B[Imposta di registro prop. Agevolata])*Assegnazione[[#This Row],[Quota di assegnazione]]</f>
        <v>0</v>
      </c>
      <c r="Y88" s="178">
        <f>+IFERROR(Assegnazione[[#This Row],[Imposta di registro in misura fissa]]+Assegnazione[[#This Row],[Imposta di registro prop.]],"")</f>
        <v>0</v>
      </c>
      <c r="Z88" s="178">
        <f>+SUMIF(B[Bene],Assegnazione[[#This Row],[Bene]],B[Ipotecaria catastale agevolata])*Assegnazione[[#This Row],[Quota di assegnazione]]</f>
        <v>0</v>
      </c>
    </row>
    <row r="89" spans="1:26" x14ac:dyDescent="0.2">
      <c r="A89" s="126"/>
      <c r="B89" s="135"/>
      <c r="C89" s="126"/>
      <c r="D89" s="175">
        <f>+SUMIF(B[Bene],Assegnazione[[#This Row],[Bene]],B[Imponibile Iva])*Assegnazione[[#This Row],[Quota di assegnazione]]</f>
        <v>0</v>
      </c>
      <c r="E89" s="175">
        <f>+SUMIF(B[Bene],Assegnazione[[#This Row],[Bene]],B[Valore inserito manualmente])*Assegnazione[[#This Row],[Quota di assegnazione]]</f>
        <v>0</v>
      </c>
      <c r="F89" s="176" t="str">
        <f>+IF(A89="","",VLOOKUP(Assegnazione[[#This Row],[Bene]],B[],3,0))</f>
        <v/>
      </c>
      <c r="G89" s="132" t="str">
        <f>+IFERROR(VLOOKUP(Assegnazione[[#This Row],[Bene]],B[],MATCH("Agevolabile",Beni!$A$4:$AC$4,0),0)*VLOOKUP(Assegnazione[[#This Row],[Socio]],A_1[],8,0),"")</f>
        <v/>
      </c>
      <c r="H89" s="175">
        <f>+SUMIF(B[Bene],Assegnazione[[#This Row],[Bene]],B[Valore netto contabile fiscalmente riconosciuto])*Assegnazione[[#This Row],[Quota di assegnazione]]</f>
        <v>0</v>
      </c>
      <c r="I89" s="175">
        <f>+SUMIF(B[Bene],Assegnazione[[#This Row],[Bene]],B[Valore normale])*Assegnazione[[#This Row],[Quota di assegnazione]]</f>
        <v>0</v>
      </c>
      <c r="J89" s="177">
        <f>+IF(Assegnazione[[#This Row],[Bene]]="",0,SUMIF(Assegnazione[Socio],Assegnazione[[#This Row],[Socio]],Assegnazione[Valore Normale])/$I$3)</f>
        <v>0</v>
      </c>
      <c r="K89" s="177" t="str">
        <f>IF(Assegnazione[[#This Row],[Bene]]="","",SUMIF(A_1[Nome],Assegnazione[[#This Row],[Socio]],A_1[Quota partecipazione al momento dell''operazione]))</f>
        <v/>
      </c>
      <c r="L89" s="175">
        <f>+SUMIF(B[Bene],Assegnazione[[#This Row],[Bene]],B[Valore catastale])*Assegnazione[[#This Row],[Quota di assegnazione]]</f>
        <v>0</v>
      </c>
      <c r="M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5">
        <f>+MIN(Assegnazione[[#This Row],[Valore ai fini dell''atto]],Assegnazione[[#This Row],[Valore Fiscalmente riconosciuto]])</f>
        <v>0</v>
      </c>
      <c r="O89" s="149" t="str">
        <f>+IFERROR(VLOOKUP(Assegnazione[[#This Row],[Bene]],B[],MATCH($O$4,Beni!$A$4:$Z$4,0),0),"")</f>
        <v/>
      </c>
      <c r="P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8">
        <f>+SUMIF(B[Bene],Assegnazione[[#This Row],[Bene]],B[Iva se dovuta])*Assegnazione[[#This Row],[Quota di assegnazione]]</f>
        <v>0</v>
      </c>
      <c r="S89" s="178">
        <f>+SUMIF(B[Bene],Assegnazione[[#This Row],[Bene]],B[Imposta di registro (fissa + prop) senza agevolazione])*Assegnazione[[#This Row],[Quota di assegnazione]]</f>
        <v>0</v>
      </c>
      <c r="T89" s="178">
        <f>+SUMIF(B[Bene],Assegnazione[[#This Row],[Bene]],B[Ipotecaria e catastale senza agevolazione])*Assegnazione[[#This Row],[Quota di assegnazione]]</f>
        <v>0</v>
      </c>
      <c r="U89" s="179">
        <f>+SUM(Assegnazione[[#This Row],[Tassazione diretta senza agevolazione]:[Ipotecaria e catastale senza agevolazione]])</f>
        <v>0</v>
      </c>
      <c r="V89" s="178">
        <f>+SUMIF(B[Bene],Assegnazione[[#This Row],[Bene]],B[Imponibile Imposta sostitutiva])*Assegnazione[[#This Row],[Quota di assegnazione]]*DATI!$E$27</f>
        <v>0</v>
      </c>
      <c r="W89" s="178">
        <f>+SUMIF(B[Bene],Assegnazione[[#This Row],[Bene]],B[Imposta di registro in misura fissa agevolata])*Assegnazione[[#This Row],[Quota di assegnazione]]</f>
        <v>0</v>
      </c>
      <c r="X89" s="178">
        <f>+SUMIF(B[Bene],Assegnazione[[#This Row],[Bene]],B[Imposta di registro prop. Agevolata])*Assegnazione[[#This Row],[Quota di assegnazione]]</f>
        <v>0</v>
      </c>
      <c r="Y89" s="178">
        <f>+IFERROR(Assegnazione[[#This Row],[Imposta di registro in misura fissa]]+Assegnazione[[#This Row],[Imposta di registro prop.]],"")</f>
        <v>0</v>
      </c>
      <c r="Z89" s="178">
        <f>+SUMIF(B[Bene],Assegnazione[[#This Row],[Bene]],B[Ipotecaria catastale agevolata])*Assegnazione[[#This Row],[Quota di assegnazione]]</f>
        <v>0</v>
      </c>
    </row>
    <row r="90" spans="1:26" x14ac:dyDescent="0.2">
      <c r="A90" s="126"/>
      <c r="B90" s="135"/>
      <c r="C90" s="126"/>
      <c r="D90" s="175">
        <f>+SUMIF(B[Bene],Assegnazione[[#This Row],[Bene]],B[Imponibile Iva])*Assegnazione[[#This Row],[Quota di assegnazione]]</f>
        <v>0</v>
      </c>
      <c r="E90" s="175">
        <f>+SUMIF(B[Bene],Assegnazione[[#This Row],[Bene]],B[Valore inserito manualmente])*Assegnazione[[#This Row],[Quota di assegnazione]]</f>
        <v>0</v>
      </c>
      <c r="F90" s="176" t="str">
        <f>+IF(A90="","",VLOOKUP(Assegnazione[[#This Row],[Bene]],B[],3,0))</f>
        <v/>
      </c>
      <c r="G90" s="132" t="str">
        <f>+IFERROR(VLOOKUP(Assegnazione[[#This Row],[Bene]],B[],MATCH("Agevolabile",Beni!$A$4:$AC$4,0),0)*VLOOKUP(Assegnazione[[#This Row],[Socio]],A_1[],8,0),"")</f>
        <v/>
      </c>
      <c r="H90" s="175">
        <f>+SUMIF(B[Bene],Assegnazione[[#This Row],[Bene]],B[Valore netto contabile fiscalmente riconosciuto])*Assegnazione[[#This Row],[Quota di assegnazione]]</f>
        <v>0</v>
      </c>
      <c r="I90" s="175">
        <f>+SUMIF(B[Bene],Assegnazione[[#This Row],[Bene]],B[Valore normale])*Assegnazione[[#This Row],[Quota di assegnazione]]</f>
        <v>0</v>
      </c>
      <c r="J90" s="177">
        <f>+IF(Assegnazione[[#This Row],[Bene]]="",0,SUMIF(Assegnazione[Socio],Assegnazione[[#This Row],[Socio]],Assegnazione[Valore Normale])/$I$3)</f>
        <v>0</v>
      </c>
      <c r="K90" s="177" t="str">
        <f>IF(Assegnazione[[#This Row],[Bene]]="","",SUMIF(A_1[Nome],Assegnazione[[#This Row],[Socio]],A_1[Quota partecipazione al momento dell''operazione]))</f>
        <v/>
      </c>
      <c r="L90" s="175">
        <f>+SUMIF(B[Bene],Assegnazione[[#This Row],[Bene]],B[Valore catastale])*Assegnazione[[#This Row],[Quota di assegnazione]]</f>
        <v>0</v>
      </c>
      <c r="M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5">
        <f>+MIN(Assegnazione[[#This Row],[Valore ai fini dell''atto]],Assegnazione[[#This Row],[Valore Fiscalmente riconosciuto]])</f>
        <v>0</v>
      </c>
      <c r="O90" s="149" t="str">
        <f>+IFERROR(VLOOKUP(Assegnazione[[#This Row],[Bene]],B[],MATCH($O$4,Beni!$A$4:$Z$4,0),0),"")</f>
        <v/>
      </c>
      <c r="P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8">
        <f>+SUMIF(B[Bene],Assegnazione[[#This Row],[Bene]],B[Iva se dovuta])*Assegnazione[[#This Row],[Quota di assegnazione]]</f>
        <v>0</v>
      </c>
      <c r="S90" s="178">
        <f>+SUMIF(B[Bene],Assegnazione[[#This Row],[Bene]],B[Imposta di registro (fissa + prop) senza agevolazione])*Assegnazione[[#This Row],[Quota di assegnazione]]</f>
        <v>0</v>
      </c>
      <c r="T90" s="178">
        <f>+SUMIF(B[Bene],Assegnazione[[#This Row],[Bene]],B[Ipotecaria e catastale senza agevolazione])*Assegnazione[[#This Row],[Quota di assegnazione]]</f>
        <v>0</v>
      </c>
      <c r="U90" s="179">
        <f>+SUM(Assegnazione[[#This Row],[Tassazione diretta senza agevolazione]:[Ipotecaria e catastale senza agevolazione]])</f>
        <v>0</v>
      </c>
      <c r="V90" s="178">
        <f>+SUMIF(B[Bene],Assegnazione[[#This Row],[Bene]],B[Imponibile Imposta sostitutiva])*Assegnazione[[#This Row],[Quota di assegnazione]]*DATI!$E$27</f>
        <v>0</v>
      </c>
      <c r="W90" s="178">
        <f>+SUMIF(B[Bene],Assegnazione[[#This Row],[Bene]],B[Imposta di registro in misura fissa agevolata])*Assegnazione[[#This Row],[Quota di assegnazione]]</f>
        <v>0</v>
      </c>
      <c r="X90" s="178">
        <f>+SUMIF(B[Bene],Assegnazione[[#This Row],[Bene]],B[Imposta di registro prop. Agevolata])*Assegnazione[[#This Row],[Quota di assegnazione]]</f>
        <v>0</v>
      </c>
      <c r="Y90" s="178">
        <f>+IFERROR(Assegnazione[[#This Row],[Imposta di registro in misura fissa]]+Assegnazione[[#This Row],[Imposta di registro prop.]],"")</f>
        <v>0</v>
      </c>
      <c r="Z90" s="178">
        <f>+SUMIF(B[Bene],Assegnazione[[#This Row],[Bene]],B[Ipotecaria catastale agevolata])*Assegnazione[[#This Row],[Quota di assegnazione]]</f>
        <v>0</v>
      </c>
    </row>
    <row r="91" spans="1:26" x14ac:dyDescent="0.2">
      <c r="A91" s="126"/>
      <c r="B91" s="135"/>
      <c r="C91" s="126"/>
      <c r="D91" s="175">
        <f>+SUMIF(B[Bene],Assegnazione[[#This Row],[Bene]],B[Imponibile Iva])*Assegnazione[[#This Row],[Quota di assegnazione]]</f>
        <v>0</v>
      </c>
      <c r="E91" s="175">
        <f>+SUMIF(B[Bene],Assegnazione[[#This Row],[Bene]],B[Valore inserito manualmente])*Assegnazione[[#This Row],[Quota di assegnazione]]</f>
        <v>0</v>
      </c>
      <c r="F91" s="176" t="str">
        <f>+IF(A91="","",VLOOKUP(Assegnazione[[#This Row],[Bene]],B[],3,0))</f>
        <v/>
      </c>
      <c r="G91" s="132" t="str">
        <f>+IFERROR(VLOOKUP(Assegnazione[[#This Row],[Bene]],B[],MATCH("Agevolabile",Beni!$A$4:$AC$4,0),0)*VLOOKUP(Assegnazione[[#This Row],[Socio]],A_1[],8,0),"")</f>
        <v/>
      </c>
      <c r="H91" s="175">
        <f>+SUMIF(B[Bene],Assegnazione[[#This Row],[Bene]],B[Valore netto contabile fiscalmente riconosciuto])*Assegnazione[[#This Row],[Quota di assegnazione]]</f>
        <v>0</v>
      </c>
      <c r="I91" s="175">
        <f>+SUMIF(B[Bene],Assegnazione[[#This Row],[Bene]],B[Valore normale])*Assegnazione[[#This Row],[Quota di assegnazione]]</f>
        <v>0</v>
      </c>
      <c r="J91" s="177">
        <f>+IF(Assegnazione[[#This Row],[Bene]]="",0,SUMIF(Assegnazione[Socio],Assegnazione[[#This Row],[Socio]],Assegnazione[Valore Normale])/$I$3)</f>
        <v>0</v>
      </c>
      <c r="K91" s="177" t="str">
        <f>IF(Assegnazione[[#This Row],[Bene]]="","",SUMIF(A_1[Nome],Assegnazione[[#This Row],[Socio]],A_1[Quota partecipazione al momento dell''operazione]))</f>
        <v/>
      </c>
      <c r="L91" s="175">
        <f>+SUMIF(B[Bene],Assegnazione[[#This Row],[Bene]],B[Valore catastale])*Assegnazione[[#This Row],[Quota di assegnazione]]</f>
        <v>0</v>
      </c>
      <c r="M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5">
        <f>+MIN(Assegnazione[[#This Row],[Valore ai fini dell''atto]],Assegnazione[[#This Row],[Valore Fiscalmente riconosciuto]])</f>
        <v>0</v>
      </c>
      <c r="O91" s="149" t="str">
        <f>+IFERROR(VLOOKUP(Assegnazione[[#This Row],[Bene]],B[],MATCH($O$4,Beni!$A$4:$Z$4,0),0),"")</f>
        <v/>
      </c>
      <c r="P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8">
        <f>+SUMIF(B[Bene],Assegnazione[[#This Row],[Bene]],B[Iva se dovuta])*Assegnazione[[#This Row],[Quota di assegnazione]]</f>
        <v>0</v>
      </c>
      <c r="S91" s="178">
        <f>+SUMIF(B[Bene],Assegnazione[[#This Row],[Bene]],B[Imposta di registro (fissa + prop) senza agevolazione])*Assegnazione[[#This Row],[Quota di assegnazione]]</f>
        <v>0</v>
      </c>
      <c r="T91" s="178">
        <f>+SUMIF(B[Bene],Assegnazione[[#This Row],[Bene]],B[Ipotecaria e catastale senza agevolazione])*Assegnazione[[#This Row],[Quota di assegnazione]]</f>
        <v>0</v>
      </c>
      <c r="U91" s="179">
        <f>+SUM(Assegnazione[[#This Row],[Tassazione diretta senza agevolazione]:[Ipotecaria e catastale senza agevolazione]])</f>
        <v>0</v>
      </c>
      <c r="V91" s="178">
        <f>+SUMIF(B[Bene],Assegnazione[[#This Row],[Bene]],B[Imponibile Imposta sostitutiva])*Assegnazione[[#This Row],[Quota di assegnazione]]*DATI!$E$27</f>
        <v>0</v>
      </c>
      <c r="W91" s="178">
        <f>+SUMIF(B[Bene],Assegnazione[[#This Row],[Bene]],B[Imposta di registro in misura fissa agevolata])*Assegnazione[[#This Row],[Quota di assegnazione]]</f>
        <v>0</v>
      </c>
      <c r="X91" s="178">
        <f>+SUMIF(B[Bene],Assegnazione[[#This Row],[Bene]],B[Imposta di registro prop. Agevolata])*Assegnazione[[#This Row],[Quota di assegnazione]]</f>
        <v>0</v>
      </c>
      <c r="Y91" s="178">
        <f>+IFERROR(Assegnazione[[#This Row],[Imposta di registro in misura fissa]]+Assegnazione[[#This Row],[Imposta di registro prop.]],"")</f>
        <v>0</v>
      </c>
      <c r="Z91" s="178">
        <f>+SUMIF(B[Bene],Assegnazione[[#This Row],[Bene]],B[Ipotecaria catastale agevolata])*Assegnazione[[#This Row],[Quota di assegnazione]]</f>
        <v>0</v>
      </c>
    </row>
    <row r="92" spans="1:26" x14ac:dyDescent="0.2">
      <c r="A92" s="126"/>
      <c r="B92" s="135"/>
      <c r="C92" s="126"/>
      <c r="D92" s="175">
        <f>+SUMIF(B[Bene],Assegnazione[[#This Row],[Bene]],B[Imponibile Iva])*Assegnazione[[#This Row],[Quota di assegnazione]]</f>
        <v>0</v>
      </c>
      <c r="E92" s="175">
        <f>+SUMIF(B[Bene],Assegnazione[[#This Row],[Bene]],B[Valore inserito manualmente])*Assegnazione[[#This Row],[Quota di assegnazione]]</f>
        <v>0</v>
      </c>
      <c r="F92" s="176" t="str">
        <f>+IF(A92="","",VLOOKUP(Assegnazione[[#This Row],[Bene]],B[],3,0))</f>
        <v/>
      </c>
      <c r="G92" s="132" t="str">
        <f>+IFERROR(VLOOKUP(Assegnazione[[#This Row],[Bene]],B[],MATCH("Agevolabile",Beni!$A$4:$AC$4,0),0)*VLOOKUP(Assegnazione[[#This Row],[Socio]],A_1[],8,0),"")</f>
        <v/>
      </c>
      <c r="H92" s="175">
        <f>+SUMIF(B[Bene],Assegnazione[[#This Row],[Bene]],B[Valore netto contabile fiscalmente riconosciuto])*Assegnazione[[#This Row],[Quota di assegnazione]]</f>
        <v>0</v>
      </c>
      <c r="I92" s="175">
        <f>+SUMIF(B[Bene],Assegnazione[[#This Row],[Bene]],B[Valore normale])*Assegnazione[[#This Row],[Quota di assegnazione]]</f>
        <v>0</v>
      </c>
      <c r="J92" s="177">
        <f>+IF(Assegnazione[[#This Row],[Bene]]="",0,SUMIF(Assegnazione[Socio],Assegnazione[[#This Row],[Socio]],Assegnazione[Valore Normale])/$I$3)</f>
        <v>0</v>
      </c>
      <c r="K92" s="177" t="str">
        <f>IF(Assegnazione[[#This Row],[Bene]]="","",SUMIF(A_1[Nome],Assegnazione[[#This Row],[Socio]],A_1[Quota partecipazione al momento dell''operazione]))</f>
        <v/>
      </c>
      <c r="L92" s="175">
        <f>+SUMIF(B[Bene],Assegnazione[[#This Row],[Bene]],B[Valore catastale])*Assegnazione[[#This Row],[Quota di assegnazione]]</f>
        <v>0</v>
      </c>
      <c r="M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5">
        <f>+MIN(Assegnazione[[#This Row],[Valore ai fini dell''atto]],Assegnazione[[#This Row],[Valore Fiscalmente riconosciuto]])</f>
        <v>0</v>
      </c>
      <c r="O92" s="149" t="str">
        <f>+IFERROR(VLOOKUP(Assegnazione[[#This Row],[Bene]],B[],MATCH($O$4,Beni!$A$4:$Z$4,0),0),"")</f>
        <v/>
      </c>
      <c r="P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8">
        <f>+SUMIF(B[Bene],Assegnazione[[#This Row],[Bene]],B[Iva se dovuta])*Assegnazione[[#This Row],[Quota di assegnazione]]</f>
        <v>0</v>
      </c>
      <c r="S92" s="178">
        <f>+SUMIF(B[Bene],Assegnazione[[#This Row],[Bene]],B[Imposta di registro (fissa + prop) senza agevolazione])*Assegnazione[[#This Row],[Quota di assegnazione]]</f>
        <v>0</v>
      </c>
      <c r="T92" s="178">
        <f>+SUMIF(B[Bene],Assegnazione[[#This Row],[Bene]],B[Ipotecaria e catastale senza agevolazione])*Assegnazione[[#This Row],[Quota di assegnazione]]</f>
        <v>0</v>
      </c>
      <c r="U92" s="179">
        <f>+SUM(Assegnazione[[#This Row],[Tassazione diretta senza agevolazione]:[Ipotecaria e catastale senza agevolazione]])</f>
        <v>0</v>
      </c>
      <c r="V92" s="178">
        <f>+SUMIF(B[Bene],Assegnazione[[#This Row],[Bene]],B[Imponibile Imposta sostitutiva])*Assegnazione[[#This Row],[Quota di assegnazione]]*DATI!$E$27</f>
        <v>0</v>
      </c>
      <c r="W92" s="178">
        <f>+SUMIF(B[Bene],Assegnazione[[#This Row],[Bene]],B[Imposta di registro in misura fissa agevolata])*Assegnazione[[#This Row],[Quota di assegnazione]]</f>
        <v>0</v>
      </c>
      <c r="X92" s="178">
        <f>+SUMIF(B[Bene],Assegnazione[[#This Row],[Bene]],B[Imposta di registro prop. Agevolata])*Assegnazione[[#This Row],[Quota di assegnazione]]</f>
        <v>0</v>
      </c>
      <c r="Y92" s="178">
        <f>+IFERROR(Assegnazione[[#This Row],[Imposta di registro in misura fissa]]+Assegnazione[[#This Row],[Imposta di registro prop.]],"")</f>
        <v>0</v>
      </c>
      <c r="Z92" s="178">
        <f>+SUMIF(B[Bene],Assegnazione[[#This Row],[Bene]],B[Ipotecaria catastale agevolata])*Assegnazione[[#This Row],[Quota di assegnazione]]</f>
        <v>0</v>
      </c>
    </row>
    <row r="93" spans="1:26" x14ac:dyDescent="0.2">
      <c r="A93" s="126"/>
      <c r="B93" s="135"/>
      <c r="C93" s="126"/>
      <c r="D93" s="175">
        <f>+SUMIF(B[Bene],Assegnazione[[#This Row],[Bene]],B[Imponibile Iva])*Assegnazione[[#This Row],[Quota di assegnazione]]</f>
        <v>0</v>
      </c>
      <c r="E93" s="175">
        <f>+SUMIF(B[Bene],Assegnazione[[#This Row],[Bene]],B[Valore inserito manualmente])*Assegnazione[[#This Row],[Quota di assegnazione]]</f>
        <v>0</v>
      </c>
      <c r="F93" s="176" t="str">
        <f>+IF(A93="","",VLOOKUP(Assegnazione[[#This Row],[Bene]],B[],3,0))</f>
        <v/>
      </c>
      <c r="G93" s="132" t="str">
        <f>+IFERROR(VLOOKUP(Assegnazione[[#This Row],[Bene]],B[],MATCH("Agevolabile",Beni!$A$4:$AC$4,0),0)*VLOOKUP(Assegnazione[[#This Row],[Socio]],A_1[],8,0),"")</f>
        <v/>
      </c>
      <c r="H93" s="175">
        <f>+SUMIF(B[Bene],Assegnazione[[#This Row],[Bene]],B[Valore netto contabile fiscalmente riconosciuto])*Assegnazione[[#This Row],[Quota di assegnazione]]</f>
        <v>0</v>
      </c>
      <c r="I93" s="175">
        <f>+SUMIF(B[Bene],Assegnazione[[#This Row],[Bene]],B[Valore normale])*Assegnazione[[#This Row],[Quota di assegnazione]]</f>
        <v>0</v>
      </c>
      <c r="J93" s="177">
        <f>+IF(Assegnazione[[#This Row],[Bene]]="",0,SUMIF(Assegnazione[Socio],Assegnazione[[#This Row],[Socio]],Assegnazione[Valore Normale])/$I$3)</f>
        <v>0</v>
      </c>
      <c r="K93" s="177" t="str">
        <f>IF(Assegnazione[[#This Row],[Bene]]="","",SUMIF(A_1[Nome],Assegnazione[[#This Row],[Socio]],A_1[Quota partecipazione al momento dell''operazione]))</f>
        <v/>
      </c>
      <c r="L93" s="175">
        <f>+SUMIF(B[Bene],Assegnazione[[#This Row],[Bene]],B[Valore catastale])*Assegnazione[[#This Row],[Quota di assegnazione]]</f>
        <v>0</v>
      </c>
      <c r="M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5">
        <f>+MIN(Assegnazione[[#This Row],[Valore ai fini dell''atto]],Assegnazione[[#This Row],[Valore Fiscalmente riconosciuto]])</f>
        <v>0</v>
      </c>
      <c r="O93" s="149" t="str">
        <f>+IFERROR(VLOOKUP(Assegnazione[[#This Row],[Bene]],B[],MATCH($O$4,Beni!$A$4:$Z$4,0),0),"")</f>
        <v/>
      </c>
      <c r="P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8">
        <f>+SUMIF(B[Bene],Assegnazione[[#This Row],[Bene]],B[Iva se dovuta])*Assegnazione[[#This Row],[Quota di assegnazione]]</f>
        <v>0</v>
      </c>
      <c r="S93" s="178">
        <f>+SUMIF(B[Bene],Assegnazione[[#This Row],[Bene]],B[Imposta di registro (fissa + prop) senza agevolazione])*Assegnazione[[#This Row],[Quota di assegnazione]]</f>
        <v>0</v>
      </c>
      <c r="T93" s="178">
        <f>+SUMIF(B[Bene],Assegnazione[[#This Row],[Bene]],B[Ipotecaria e catastale senza agevolazione])*Assegnazione[[#This Row],[Quota di assegnazione]]</f>
        <v>0</v>
      </c>
      <c r="U93" s="179">
        <f>+SUM(Assegnazione[[#This Row],[Tassazione diretta senza agevolazione]:[Ipotecaria e catastale senza agevolazione]])</f>
        <v>0</v>
      </c>
      <c r="V93" s="178">
        <f>+SUMIF(B[Bene],Assegnazione[[#This Row],[Bene]],B[Imponibile Imposta sostitutiva])*Assegnazione[[#This Row],[Quota di assegnazione]]*DATI!$E$27</f>
        <v>0</v>
      </c>
      <c r="W93" s="178">
        <f>+SUMIF(B[Bene],Assegnazione[[#This Row],[Bene]],B[Imposta di registro in misura fissa agevolata])*Assegnazione[[#This Row],[Quota di assegnazione]]</f>
        <v>0</v>
      </c>
      <c r="X93" s="178">
        <f>+SUMIF(B[Bene],Assegnazione[[#This Row],[Bene]],B[Imposta di registro prop. Agevolata])*Assegnazione[[#This Row],[Quota di assegnazione]]</f>
        <v>0</v>
      </c>
      <c r="Y93" s="178">
        <f>+IFERROR(Assegnazione[[#This Row],[Imposta di registro in misura fissa]]+Assegnazione[[#This Row],[Imposta di registro prop.]],"")</f>
        <v>0</v>
      </c>
      <c r="Z93" s="178">
        <f>+SUMIF(B[Bene],Assegnazione[[#This Row],[Bene]],B[Ipotecaria catastale agevolata])*Assegnazione[[#This Row],[Quota di assegnazione]]</f>
        <v>0</v>
      </c>
    </row>
    <row r="94" spans="1:26" x14ac:dyDescent="0.2">
      <c r="A94" s="126"/>
      <c r="B94" s="135"/>
      <c r="C94" s="126"/>
      <c r="D94" s="175">
        <f>+SUMIF(B[Bene],Assegnazione[[#This Row],[Bene]],B[Imponibile Iva])*Assegnazione[[#This Row],[Quota di assegnazione]]</f>
        <v>0</v>
      </c>
      <c r="E94" s="175">
        <f>+SUMIF(B[Bene],Assegnazione[[#This Row],[Bene]],B[Valore inserito manualmente])*Assegnazione[[#This Row],[Quota di assegnazione]]</f>
        <v>0</v>
      </c>
      <c r="F94" s="176" t="str">
        <f>+IF(A94="","",VLOOKUP(Assegnazione[[#This Row],[Bene]],B[],3,0))</f>
        <v/>
      </c>
      <c r="G94" s="132" t="str">
        <f>+IFERROR(VLOOKUP(Assegnazione[[#This Row],[Bene]],B[],MATCH("Agevolabile",Beni!$A$4:$AC$4,0),0)*VLOOKUP(Assegnazione[[#This Row],[Socio]],A_1[],8,0),"")</f>
        <v/>
      </c>
      <c r="H94" s="175">
        <f>+SUMIF(B[Bene],Assegnazione[[#This Row],[Bene]],B[Valore netto contabile fiscalmente riconosciuto])*Assegnazione[[#This Row],[Quota di assegnazione]]</f>
        <v>0</v>
      </c>
      <c r="I94" s="175">
        <f>+SUMIF(B[Bene],Assegnazione[[#This Row],[Bene]],B[Valore normale])*Assegnazione[[#This Row],[Quota di assegnazione]]</f>
        <v>0</v>
      </c>
      <c r="J94" s="177">
        <f>+IF(Assegnazione[[#This Row],[Bene]]="",0,SUMIF(Assegnazione[Socio],Assegnazione[[#This Row],[Socio]],Assegnazione[Valore Normale])/$I$3)</f>
        <v>0</v>
      </c>
      <c r="K94" s="177" t="str">
        <f>IF(Assegnazione[[#This Row],[Bene]]="","",SUMIF(A_1[Nome],Assegnazione[[#This Row],[Socio]],A_1[Quota partecipazione al momento dell''operazione]))</f>
        <v/>
      </c>
      <c r="L94" s="175">
        <f>+SUMIF(B[Bene],Assegnazione[[#This Row],[Bene]],B[Valore catastale])*Assegnazione[[#This Row],[Quota di assegnazione]]</f>
        <v>0</v>
      </c>
      <c r="M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5">
        <f>+MIN(Assegnazione[[#This Row],[Valore ai fini dell''atto]],Assegnazione[[#This Row],[Valore Fiscalmente riconosciuto]])</f>
        <v>0</v>
      </c>
      <c r="O94" s="149" t="str">
        <f>+IFERROR(VLOOKUP(Assegnazione[[#This Row],[Bene]],B[],MATCH($O$4,Beni!$A$4:$Z$4,0),0),"")</f>
        <v/>
      </c>
      <c r="P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8">
        <f>+SUMIF(B[Bene],Assegnazione[[#This Row],[Bene]],B[Iva se dovuta])*Assegnazione[[#This Row],[Quota di assegnazione]]</f>
        <v>0</v>
      </c>
      <c r="S94" s="178">
        <f>+SUMIF(B[Bene],Assegnazione[[#This Row],[Bene]],B[Imposta di registro (fissa + prop) senza agevolazione])*Assegnazione[[#This Row],[Quota di assegnazione]]</f>
        <v>0</v>
      </c>
      <c r="T94" s="178">
        <f>+SUMIF(B[Bene],Assegnazione[[#This Row],[Bene]],B[Ipotecaria e catastale senza agevolazione])*Assegnazione[[#This Row],[Quota di assegnazione]]</f>
        <v>0</v>
      </c>
      <c r="U94" s="179">
        <f>+SUM(Assegnazione[[#This Row],[Tassazione diretta senza agevolazione]:[Ipotecaria e catastale senza agevolazione]])</f>
        <v>0</v>
      </c>
      <c r="V94" s="178">
        <f>+SUMIF(B[Bene],Assegnazione[[#This Row],[Bene]],B[Imponibile Imposta sostitutiva])*Assegnazione[[#This Row],[Quota di assegnazione]]*DATI!$E$27</f>
        <v>0</v>
      </c>
      <c r="W94" s="178">
        <f>+SUMIF(B[Bene],Assegnazione[[#This Row],[Bene]],B[Imposta di registro in misura fissa agevolata])*Assegnazione[[#This Row],[Quota di assegnazione]]</f>
        <v>0</v>
      </c>
      <c r="X94" s="178">
        <f>+SUMIF(B[Bene],Assegnazione[[#This Row],[Bene]],B[Imposta di registro prop. Agevolata])*Assegnazione[[#This Row],[Quota di assegnazione]]</f>
        <v>0</v>
      </c>
      <c r="Y94" s="178">
        <f>+IFERROR(Assegnazione[[#This Row],[Imposta di registro in misura fissa]]+Assegnazione[[#This Row],[Imposta di registro prop.]],"")</f>
        <v>0</v>
      </c>
      <c r="Z94" s="178">
        <f>+SUMIF(B[Bene],Assegnazione[[#This Row],[Bene]],B[Ipotecaria catastale agevolata])*Assegnazione[[#This Row],[Quota di assegnazione]]</f>
        <v>0</v>
      </c>
    </row>
    <row r="95" spans="1:26" x14ac:dyDescent="0.2">
      <c r="A95" s="126"/>
      <c r="B95" s="135"/>
      <c r="C95" s="126"/>
      <c r="D95" s="175">
        <f>+SUMIF(B[Bene],Assegnazione[[#This Row],[Bene]],B[Imponibile Iva])*Assegnazione[[#This Row],[Quota di assegnazione]]</f>
        <v>0</v>
      </c>
      <c r="E95" s="175">
        <f>+SUMIF(B[Bene],Assegnazione[[#This Row],[Bene]],B[Valore inserito manualmente])*Assegnazione[[#This Row],[Quota di assegnazione]]</f>
        <v>0</v>
      </c>
      <c r="F95" s="176" t="str">
        <f>+IF(A95="","",VLOOKUP(Assegnazione[[#This Row],[Bene]],B[],3,0))</f>
        <v/>
      </c>
      <c r="G95" s="132" t="str">
        <f>+IFERROR(VLOOKUP(Assegnazione[[#This Row],[Bene]],B[],MATCH("Agevolabile",Beni!$A$4:$AC$4,0),0)*VLOOKUP(Assegnazione[[#This Row],[Socio]],A_1[],8,0),"")</f>
        <v/>
      </c>
      <c r="H95" s="175">
        <f>+SUMIF(B[Bene],Assegnazione[[#This Row],[Bene]],B[Valore netto contabile fiscalmente riconosciuto])*Assegnazione[[#This Row],[Quota di assegnazione]]</f>
        <v>0</v>
      </c>
      <c r="I95" s="175">
        <f>+SUMIF(B[Bene],Assegnazione[[#This Row],[Bene]],B[Valore normale])*Assegnazione[[#This Row],[Quota di assegnazione]]</f>
        <v>0</v>
      </c>
      <c r="J95" s="177">
        <f>+IF(Assegnazione[[#This Row],[Bene]]="",0,SUMIF(Assegnazione[Socio],Assegnazione[[#This Row],[Socio]],Assegnazione[Valore Normale])/$I$3)</f>
        <v>0</v>
      </c>
      <c r="K95" s="177" t="str">
        <f>IF(Assegnazione[[#This Row],[Bene]]="","",SUMIF(A_1[Nome],Assegnazione[[#This Row],[Socio]],A_1[Quota partecipazione al momento dell''operazione]))</f>
        <v/>
      </c>
      <c r="L95" s="175">
        <f>+SUMIF(B[Bene],Assegnazione[[#This Row],[Bene]],B[Valore catastale])*Assegnazione[[#This Row],[Quota di assegnazione]]</f>
        <v>0</v>
      </c>
      <c r="M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5">
        <f>+MIN(Assegnazione[[#This Row],[Valore ai fini dell''atto]],Assegnazione[[#This Row],[Valore Fiscalmente riconosciuto]])</f>
        <v>0</v>
      </c>
      <c r="O95" s="149" t="str">
        <f>+IFERROR(VLOOKUP(Assegnazione[[#This Row],[Bene]],B[],MATCH($O$4,Beni!$A$4:$Z$4,0),0),"")</f>
        <v/>
      </c>
      <c r="P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8">
        <f>+SUMIF(B[Bene],Assegnazione[[#This Row],[Bene]],B[Iva se dovuta])*Assegnazione[[#This Row],[Quota di assegnazione]]</f>
        <v>0</v>
      </c>
      <c r="S95" s="178">
        <f>+SUMIF(B[Bene],Assegnazione[[#This Row],[Bene]],B[Imposta di registro (fissa + prop) senza agevolazione])*Assegnazione[[#This Row],[Quota di assegnazione]]</f>
        <v>0</v>
      </c>
      <c r="T95" s="178">
        <f>+SUMIF(B[Bene],Assegnazione[[#This Row],[Bene]],B[Ipotecaria e catastale senza agevolazione])*Assegnazione[[#This Row],[Quota di assegnazione]]</f>
        <v>0</v>
      </c>
      <c r="U95" s="179">
        <f>+SUM(Assegnazione[[#This Row],[Tassazione diretta senza agevolazione]:[Ipotecaria e catastale senza agevolazione]])</f>
        <v>0</v>
      </c>
      <c r="V95" s="178">
        <f>+SUMIF(B[Bene],Assegnazione[[#This Row],[Bene]],B[Imponibile Imposta sostitutiva])*Assegnazione[[#This Row],[Quota di assegnazione]]*DATI!$E$27</f>
        <v>0</v>
      </c>
      <c r="W95" s="178">
        <f>+SUMIF(B[Bene],Assegnazione[[#This Row],[Bene]],B[Imposta di registro in misura fissa agevolata])*Assegnazione[[#This Row],[Quota di assegnazione]]</f>
        <v>0</v>
      </c>
      <c r="X95" s="178">
        <f>+SUMIF(B[Bene],Assegnazione[[#This Row],[Bene]],B[Imposta di registro prop. Agevolata])*Assegnazione[[#This Row],[Quota di assegnazione]]</f>
        <v>0</v>
      </c>
      <c r="Y95" s="178">
        <f>+IFERROR(Assegnazione[[#This Row],[Imposta di registro in misura fissa]]+Assegnazione[[#This Row],[Imposta di registro prop.]],"")</f>
        <v>0</v>
      </c>
      <c r="Z95" s="178">
        <f>+SUMIF(B[Bene],Assegnazione[[#This Row],[Bene]],B[Ipotecaria catastale agevolata])*Assegnazione[[#This Row],[Quota di assegnazione]]</f>
        <v>0</v>
      </c>
    </row>
    <row r="96" spans="1:26" x14ac:dyDescent="0.2">
      <c r="A96" s="126"/>
      <c r="B96" s="135"/>
      <c r="C96" s="126"/>
      <c r="D96" s="175">
        <f>+SUMIF(B[Bene],Assegnazione[[#This Row],[Bene]],B[Imponibile Iva])*Assegnazione[[#This Row],[Quota di assegnazione]]</f>
        <v>0</v>
      </c>
      <c r="E96" s="175">
        <f>+SUMIF(B[Bene],Assegnazione[[#This Row],[Bene]],B[Valore inserito manualmente])*Assegnazione[[#This Row],[Quota di assegnazione]]</f>
        <v>0</v>
      </c>
      <c r="F96" s="176" t="str">
        <f>+IF(A96="","",VLOOKUP(Assegnazione[[#This Row],[Bene]],B[],3,0))</f>
        <v/>
      </c>
      <c r="G96" s="132" t="str">
        <f>+IFERROR(VLOOKUP(Assegnazione[[#This Row],[Bene]],B[],MATCH("Agevolabile",Beni!$A$4:$AC$4,0),0)*VLOOKUP(Assegnazione[[#This Row],[Socio]],A_1[],8,0),"")</f>
        <v/>
      </c>
      <c r="H96" s="175">
        <f>+SUMIF(B[Bene],Assegnazione[[#This Row],[Bene]],B[Valore netto contabile fiscalmente riconosciuto])*Assegnazione[[#This Row],[Quota di assegnazione]]</f>
        <v>0</v>
      </c>
      <c r="I96" s="175">
        <f>+SUMIF(B[Bene],Assegnazione[[#This Row],[Bene]],B[Valore normale])*Assegnazione[[#This Row],[Quota di assegnazione]]</f>
        <v>0</v>
      </c>
      <c r="J96" s="177">
        <f>+IF(Assegnazione[[#This Row],[Bene]]="",0,SUMIF(Assegnazione[Socio],Assegnazione[[#This Row],[Socio]],Assegnazione[Valore Normale])/$I$3)</f>
        <v>0</v>
      </c>
      <c r="K96" s="177" t="str">
        <f>IF(Assegnazione[[#This Row],[Bene]]="","",SUMIF(A_1[Nome],Assegnazione[[#This Row],[Socio]],A_1[Quota partecipazione al momento dell''operazione]))</f>
        <v/>
      </c>
      <c r="L96" s="175">
        <f>+SUMIF(B[Bene],Assegnazione[[#This Row],[Bene]],B[Valore catastale])*Assegnazione[[#This Row],[Quota di assegnazione]]</f>
        <v>0</v>
      </c>
      <c r="M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5">
        <f>+MIN(Assegnazione[[#This Row],[Valore ai fini dell''atto]],Assegnazione[[#This Row],[Valore Fiscalmente riconosciuto]])</f>
        <v>0</v>
      </c>
      <c r="O96" s="149" t="str">
        <f>+IFERROR(VLOOKUP(Assegnazione[[#This Row],[Bene]],B[],MATCH($O$4,Beni!$A$4:$Z$4,0),0),"")</f>
        <v/>
      </c>
      <c r="P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8">
        <f>+SUMIF(B[Bene],Assegnazione[[#This Row],[Bene]],B[Iva se dovuta])*Assegnazione[[#This Row],[Quota di assegnazione]]</f>
        <v>0</v>
      </c>
      <c r="S96" s="178">
        <f>+SUMIF(B[Bene],Assegnazione[[#This Row],[Bene]],B[Imposta di registro (fissa + prop) senza agevolazione])*Assegnazione[[#This Row],[Quota di assegnazione]]</f>
        <v>0</v>
      </c>
      <c r="T96" s="178">
        <f>+SUMIF(B[Bene],Assegnazione[[#This Row],[Bene]],B[Ipotecaria e catastale senza agevolazione])*Assegnazione[[#This Row],[Quota di assegnazione]]</f>
        <v>0</v>
      </c>
      <c r="U96" s="179">
        <f>+SUM(Assegnazione[[#This Row],[Tassazione diretta senza agevolazione]:[Ipotecaria e catastale senza agevolazione]])</f>
        <v>0</v>
      </c>
      <c r="V96" s="178">
        <f>+SUMIF(B[Bene],Assegnazione[[#This Row],[Bene]],B[Imponibile Imposta sostitutiva])*Assegnazione[[#This Row],[Quota di assegnazione]]*DATI!$E$27</f>
        <v>0</v>
      </c>
      <c r="W96" s="178">
        <f>+SUMIF(B[Bene],Assegnazione[[#This Row],[Bene]],B[Imposta di registro in misura fissa agevolata])*Assegnazione[[#This Row],[Quota di assegnazione]]</f>
        <v>0</v>
      </c>
      <c r="X96" s="178">
        <f>+SUMIF(B[Bene],Assegnazione[[#This Row],[Bene]],B[Imposta di registro prop. Agevolata])*Assegnazione[[#This Row],[Quota di assegnazione]]</f>
        <v>0</v>
      </c>
      <c r="Y96" s="178">
        <f>+IFERROR(Assegnazione[[#This Row],[Imposta di registro in misura fissa]]+Assegnazione[[#This Row],[Imposta di registro prop.]],"")</f>
        <v>0</v>
      </c>
      <c r="Z96" s="178">
        <f>+SUMIF(B[Bene],Assegnazione[[#This Row],[Bene]],B[Ipotecaria catastale agevolata])*Assegnazione[[#This Row],[Quota di assegnazione]]</f>
        <v>0</v>
      </c>
    </row>
    <row r="97" spans="1:26" x14ac:dyDescent="0.2">
      <c r="A97" s="126"/>
      <c r="B97" s="135"/>
      <c r="C97" s="126"/>
      <c r="D97" s="175">
        <f>+SUMIF(B[Bene],Assegnazione[[#This Row],[Bene]],B[Imponibile Iva])*Assegnazione[[#This Row],[Quota di assegnazione]]</f>
        <v>0</v>
      </c>
      <c r="E97" s="175">
        <f>+SUMIF(B[Bene],Assegnazione[[#This Row],[Bene]],B[Valore inserito manualmente])*Assegnazione[[#This Row],[Quota di assegnazione]]</f>
        <v>0</v>
      </c>
      <c r="F97" s="176" t="str">
        <f>+IF(A97="","",VLOOKUP(Assegnazione[[#This Row],[Bene]],B[],3,0))</f>
        <v/>
      </c>
      <c r="G97" s="132" t="str">
        <f>+IFERROR(VLOOKUP(Assegnazione[[#This Row],[Bene]],B[],MATCH("Agevolabile",Beni!$A$4:$AC$4,0),0)*VLOOKUP(Assegnazione[[#This Row],[Socio]],A_1[],8,0),"")</f>
        <v/>
      </c>
      <c r="H97" s="175">
        <f>+SUMIF(B[Bene],Assegnazione[[#This Row],[Bene]],B[Valore netto contabile fiscalmente riconosciuto])*Assegnazione[[#This Row],[Quota di assegnazione]]</f>
        <v>0</v>
      </c>
      <c r="I97" s="175">
        <f>+SUMIF(B[Bene],Assegnazione[[#This Row],[Bene]],B[Valore normale])*Assegnazione[[#This Row],[Quota di assegnazione]]</f>
        <v>0</v>
      </c>
      <c r="J97" s="177">
        <f>+IF(Assegnazione[[#This Row],[Bene]]="",0,SUMIF(Assegnazione[Socio],Assegnazione[[#This Row],[Socio]],Assegnazione[Valore Normale])/$I$3)</f>
        <v>0</v>
      </c>
      <c r="K97" s="177" t="str">
        <f>IF(Assegnazione[[#This Row],[Bene]]="","",SUMIF(A_1[Nome],Assegnazione[[#This Row],[Socio]],A_1[Quota partecipazione al momento dell''operazione]))</f>
        <v/>
      </c>
      <c r="L97" s="175">
        <f>+SUMIF(B[Bene],Assegnazione[[#This Row],[Bene]],B[Valore catastale])*Assegnazione[[#This Row],[Quota di assegnazione]]</f>
        <v>0</v>
      </c>
      <c r="M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5">
        <f>+MIN(Assegnazione[[#This Row],[Valore ai fini dell''atto]],Assegnazione[[#This Row],[Valore Fiscalmente riconosciuto]])</f>
        <v>0</v>
      </c>
      <c r="O97" s="149" t="str">
        <f>+IFERROR(VLOOKUP(Assegnazione[[#This Row],[Bene]],B[],MATCH($O$4,Beni!$A$4:$Z$4,0),0),"")</f>
        <v/>
      </c>
      <c r="P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8">
        <f>+SUMIF(B[Bene],Assegnazione[[#This Row],[Bene]],B[Iva se dovuta])*Assegnazione[[#This Row],[Quota di assegnazione]]</f>
        <v>0</v>
      </c>
      <c r="S97" s="178">
        <f>+SUMIF(B[Bene],Assegnazione[[#This Row],[Bene]],B[Imposta di registro (fissa + prop) senza agevolazione])*Assegnazione[[#This Row],[Quota di assegnazione]]</f>
        <v>0</v>
      </c>
      <c r="T97" s="178">
        <f>+SUMIF(B[Bene],Assegnazione[[#This Row],[Bene]],B[Ipotecaria e catastale senza agevolazione])*Assegnazione[[#This Row],[Quota di assegnazione]]</f>
        <v>0</v>
      </c>
      <c r="U97" s="179">
        <f>+SUM(Assegnazione[[#This Row],[Tassazione diretta senza agevolazione]:[Ipotecaria e catastale senza agevolazione]])</f>
        <v>0</v>
      </c>
      <c r="V97" s="178">
        <f>+SUMIF(B[Bene],Assegnazione[[#This Row],[Bene]],B[Imponibile Imposta sostitutiva])*Assegnazione[[#This Row],[Quota di assegnazione]]*DATI!$E$27</f>
        <v>0</v>
      </c>
      <c r="W97" s="178">
        <f>+SUMIF(B[Bene],Assegnazione[[#This Row],[Bene]],B[Imposta di registro in misura fissa agevolata])*Assegnazione[[#This Row],[Quota di assegnazione]]</f>
        <v>0</v>
      </c>
      <c r="X97" s="178">
        <f>+SUMIF(B[Bene],Assegnazione[[#This Row],[Bene]],B[Imposta di registro prop. Agevolata])*Assegnazione[[#This Row],[Quota di assegnazione]]</f>
        <v>0</v>
      </c>
      <c r="Y97" s="178">
        <f>+IFERROR(Assegnazione[[#This Row],[Imposta di registro in misura fissa]]+Assegnazione[[#This Row],[Imposta di registro prop.]],"")</f>
        <v>0</v>
      </c>
      <c r="Z97" s="178">
        <f>+SUMIF(B[Bene],Assegnazione[[#This Row],[Bene]],B[Ipotecaria catastale agevolata])*Assegnazione[[#This Row],[Quota di assegnazione]]</f>
        <v>0</v>
      </c>
    </row>
    <row r="98" spans="1:26" x14ac:dyDescent="0.2">
      <c r="A98" s="126"/>
      <c r="B98" s="135"/>
      <c r="C98" s="126"/>
      <c r="D98" s="175">
        <f>+SUMIF(B[Bene],Assegnazione[[#This Row],[Bene]],B[Imponibile Iva])*Assegnazione[[#This Row],[Quota di assegnazione]]</f>
        <v>0</v>
      </c>
      <c r="E98" s="175">
        <f>+SUMIF(B[Bene],Assegnazione[[#This Row],[Bene]],B[Valore inserito manualmente])*Assegnazione[[#This Row],[Quota di assegnazione]]</f>
        <v>0</v>
      </c>
      <c r="F98" s="176" t="str">
        <f>+IF(A98="","",VLOOKUP(Assegnazione[[#This Row],[Bene]],B[],3,0))</f>
        <v/>
      </c>
      <c r="G98" s="132" t="str">
        <f>+IFERROR(VLOOKUP(Assegnazione[[#This Row],[Bene]],B[],MATCH("Agevolabile",Beni!$A$4:$AC$4,0),0)*VLOOKUP(Assegnazione[[#This Row],[Socio]],A_1[],8,0),"")</f>
        <v/>
      </c>
      <c r="H98" s="175">
        <f>+SUMIF(B[Bene],Assegnazione[[#This Row],[Bene]],B[Valore netto contabile fiscalmente riconosciuto])*Assegnazione[[#This Row],[Quota di assegnazione]]</f>
        <v>0</v>
      </c>
      <c r="I98" s="175">
        <f>+SUMIF(B[Bene],Assegnazione[[#This Row],[Bene]],B[Valore normale])*Assegnazione[[#This Row],[Quota di assegnazione]]</f>
        <v>0</v>
      </c>
      <c r="J98" s="177">
        <f>+IF(Assegnazione[[#This Row],[Bene]]="",0,SUMIF(Assegnazione[Socio],Assegnazione[[#This Row],[Socio]],Assegnazione[Valore Normale])/$I$3)</f>
        <v>0</v>
      </c>
      <c r="K98" s="177" t="str">
        <f>IF(Assegnazione[[#This Row],[Bene]]="","",SUMIF(A_1[Nome],Assegnazione[[#This Row],[Socio]],A_1[Quota partecipazione al momento dell''operazione]))</f>
        <v/>
      </c>
      <c r="L98" s="175">
        <f>+SUMIF(B[Bene],Assegnazione[[#This Row],[Bene]],B[Valore catastale])*Assegnazione[[#This Row],[Quota di assegnazione]]</f>
        <v>0</v>
      </c>
      <c r="M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5">
        <f>+MIN(Assegnazione[[#This Row],[Valore ai fini dell''atto]],Assegnazione[[#This Row],[Valore Fiscalmente riconosciuto]])</f>
        <v>0</v>
      </c>
      <c r="O98" s="149" t="str">
        <f>+IFERROR(VLOOKUP(Assegnazione[[#This Row],[Bene]],B[],MATCH($O$4,Beni!$A$4:$Z$4,0),0),"")</f>
        <v/>
      </c>
      <c r="P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8">
        <f>+SUMIF(B[Bene],Assegnazione[[#This Row],[Bene]],B[Iva se dovuta])*Assegnazione[[#This Row],[Quota di assegnazione]]</f>
        <v>0</v>
      </c>
      <c r="S98" s="178">
        <f>+SUMIF(B[Bene],Assegnazione[[#This Row],[Bene]],B[Imposta di registro (fissa + prop) senza agevolazione])*Assegnazione[[#This Row],[Quota di assegnazione]]</f>
        <v>0</v>
      </c>
      <c r="T98" s="178">
        <f>+SUMIF(B[Bene],Assegnazione[[#This Row],[Bene]],B[Ipotecaria e catastale senza agevolazione])*Assegnazione[[#This Row],[Quota di assegnazione]]</f>
        <v>0</v>
      </c>
      <c r="U98" s="179">
        <f>+SUM(Assegnazione[[#This Row],[Tassazione diretta senza agevolazione]:[Ipotecaria e catastale senza agevolazione]])</f>
        <v>0</v>
      </c>
      <c r="V98" s="178">
        <f>+SUMIF(B[Bene],Assegnazione[[#This Row],[Bene]],B[Imponibile Imposta sostitutiva])*Assegnazione[[#This Row],[Quota di assegnazione]]*DATI!$E$27</f>
        <v>0</v>
      </c>
      <c r="W98" s="178">
        <f>+SUMIF(B[Bene],Assegnazione[[#This Row],[Bene]],B[Imposta di registro in misura fissa agevolata])*Assegnazione[[#This Row],[Quota di assegnazione]]</f>
        <v>0</v>
      </c>
      <c r="X98" s="178">
        <f>+SUMIF(B[Bene],Assegnazione[[#This Row],[Bene]],B[Imposta di registro prop. Agevolata])*Assegnazione[[#This Row],[Quota di assegnazione]]</f>
        <v>0</v>
      </c>
      <c r="Y98" s="178">
        <f>+IFERROR(Assegnazione[[#This Row],[Imposta di registro in misura fissa]]+Assegnazione[[#This Row],[Imposta di registro prop.]],"")</f>
        <v>0</v>
      </c>
      <c r="Z98" s="178">
        <f>+SUMIF(B[Bene],Assegnazione[[#This Row],[Bene]],B[Ipotecaria catastale agevolata])*Assegnazione[[#This Row],[Quota di assegnazione]]</f>
        <v>0</v>
      </c>
    </row>
    <row r="99" spans="1:26" x14ac:dyDescent="0.2">
      <c r="A99" s="126"/>
      <c r="B99" s="135"/>
      <c r="C99" s="126"/>
      <c r="D99" s="175">
        <f>+SUMIF(B[Bene],Assegnazione[[#This Row],[Bene]],B[Imponibile Iva])*Assegnazione[[#This Row],[Quota di assegnazione]]</f>
        <v>0</v>
      </c>
      <c r="E99" s="175">
        <f>+SUMIF(B[Bene],Assegnazione[[#This Row],[Bene]],B[Valore inserito manualmente])*Assegnazione[[#This Row],[Quota di assegnazione]]</f>
        <v>0</v>
      </c>
      <c r="F99" s="176" t="str">
        <f>+IF(A99="","",VLOOKUP(Assegnazione[[#This Row],[Bene]],B[],3,0))</f>
        <v/>
      </c>
      <c r="G99" s="132" t="str">
        <f>+IFERROR(VLOOKUP(Assegnazione[[#This Row],[Bene]],B[],MATCH("Agevolabile",Beni!$A$4:$AC$4,0),0)*VLOOKUP(Assegnazione[[#This Row],[Socio]],A_1[],8,0),"")</f>
        <v/>
      </c>
      <c r="H99" s="175">
        <f>+SUMIF(B[Bene],Assegnazione[[#This Row],[Bene]],B[Valore netto contabile fiscalmente riconosciuto])*Assegnazione[[#This Row],[Quota di assegnazione]]</f>
        <v>0</v>
      </c>
      <c r="I99" s="175">
        <f>+SUMIF(B[Bene],Assegnazione[[#This Row],[Bene]],B[Valore normale])*Assegnazione[[#This Row],[Quota di assegnazione]]</f>
        <v>0</v>
      </c>
      <c r="J99" s="177">
        <f>+IF(Assegnazione[[#This Row],[Bene]]="",0,SUMIF(Assegnazione[Socio],Assegnazione[[#This Row],[Socio]],Assegnazione[Valore Normale])/$I$3)</f>
        <v>0</v>
      </c>
      <c r="K99" s="177" t="str">
        <f>IF(Assegnazione[[#This Row],[Bene]]="","",SUMIF(A_1[Nome],Assegnazione[[#This Row],[Socio]],A_1[Quota partecipazione al momento dell''operazione]))</f>
        <v/>
      </c>
      <c r="L99" s="175">
        <f>+SUMIF(B[Bene],Assegnazione[[#This Row],[Bene]],B[Valore catastale])*Assegnazione[[#This Row],[Quota di assegnazione]]</f>
        <v>0</v>
      </c>
      <c r="M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5">
        <f>+MIN(Assegnazione[[#This Row],[Valore ai fini dell''atto]],Assegnazione[[#This Row],[Valore Fiscalmente riconosciuto]])</f>
        <v>0</v>
      </c>
      <c r="O99" s="149" t="str">
        <f>+IFERROR(VLOOKUP(Assegnazione[[#This Row],[Bene]],B[],MATCH($O$4,Beni!$A$4:$Z$4,0),0),"")</f>
        <v/>
      </c>
      <c r="P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8">
        <f>+SUMIF(B[Bene],Assegnazione[[#This Row],[Bene]],B[Iva se dovuta])*Assegnazione[[#This Row],[Quota di assegnazione]]</f>
        <v>0</v>
      </c>
      <c r="S99" s="178">
        <f>+SUMIF(B[Bene],Assegnazione[[#This Row],[Bene]],B[Imposta di registro (fissa + prop) senza agevolazione])*Assegnazione[[#This Row],[Quota di assegnazione]]</f>
        <v>0</v>
      </c>
      <c r="T99" s="178">
        <f>+SUMIF(B[Bene],Assegnazione[[#This Row],[Bene]],B[Ipotecaria e catastale senza agevolazione])*Assegnazione[[#This Row],[Quota di assegnazione]]</f>
        <v>0</v>
      </c>
      <c r="U99" s="179">
        <f>+SUM(Assegnazione[[#This Row],[Tassazione diretta senza agevolazione]:[Ipotecaria e catastale senza agevolazione]])</f>
        <v>0</v>
      </c>
      <c r="V99" s="178">
        <f>+SUMIF(B[Bene],Assegnazione[[#This Row],[Bene]],B[Imponibile Imposta sostitutiva])*Assegnazione[[#This Row],[Quota di assegnazione]]*DATI!$E$27</f>
        <v>0</v>
      </c>
      <c r="W99" s="178">
        <f>+SUMIF(B[Bene],Assegnazione[[#This Row],[Bene]],B[Imposta di registro in misura fissa agevolata])*Assegnazione[[#This Row],[Quota di assegnazione]]</f>
        <v>0</v>
      </c>
      <c r="X99" s="178">
        <f>+SUMIF(B[Bene],Assegnazione[[#This Row],[Bene]],B[Imposta di registro prop. Agevolata])*Assegnazione[[#This Row],[Quota di assegnazione]]</f>
        <v>0</v>
      </c>
      <c r="Y99" s="178">
        <f>+IFERROR(Assegnazione[[#This Row],[Imposta di registro in misura fissa]]+Assegnazione[[#This Row],[Imposta di registro prop.]],"")</f>
        <v>0</v>
      </c>
      <c r="Z99" s="178">
        <f>+SUMIF(B[Bene],Assegnazione[[#This Row],[Bene]],B[Ipotecaria catastale agevolata])*Assegnazione[[#This Row],[Quota di assegnazione]]</f>
        <v>0</v>
      </c>
    </row>
    <row r="100" spans="1:26" x14ac:dyDescent="0.2">
      <c r="A100" s="126"/>
      <c r="B100" s="135"/>
      <c r="C100" s="126"/>
      <c r="D100" s="175">
        <f>+SUMIF(B[Bene],Assegnazione[[#This Row],[Bene]],B[Imponibile Iva])*Assegnazione[[#This Row],[Quota di assegnazione]]</f>
        <v>0</v>
      </c>
      <c r="E100" s="175">
        <f>+SUMIF(B[Bene],Assegnazione[[#This Row],[Bene]],B[Valore inserito manualmente])*Assegnazione[[#This Row],[Quota di assegnazione]]</f>
        <v>0</v>
      </c>
      <c r="F100" s="176" t="str">
        <f>+IF(A100="","",VLOOKUP(Assegnazione[[#This Row],[Bene]],B[],3,0))</f>
        <v/>
      </c>
      <c r="G100" s="132" t="str">
        <f>+IFERROR(VLOOKUP(Assegnazione[[#This Row],[Bene]],B[],MATCH("Agevolabile",Beni!$A$4:$AC$4,0),0)*VLOOKUP(Assegnazione[[#This Row],[Socio]],A_1[],8,0),"")</f>
        <v/>
      </c>
      <c r="H100" s="175">
        <f>+SUMIF(B[Bene],Assegnazione[[#This Row],[Bene]],B[Valore netto contabile fiscalmente riconosciuto])*Assegnazione[[#This Row],[Quota di assegnazione]]</f>
        <v>0</v>
      </c>
      <c r="I100" s="175">
        <f>+SUMIF(B[Bene],Assegnazione[[#This Row],[Bene]],B[Valore normale])*Assegnazione[[#This Row],[Quota di assegnazione]]</f>
        <v>0</v>
      </c>
      <c r="J100" s="177">
        <f>+IF(Assegnazione[[#This Row],[Bene]]="",0,SUMIF(Assegnazione[Socio],Assegnazione[[#This Row],[Socio]],Assegnazione[Valore Normale])/$I$3)</f>
        <v>0</v>
      </c>
      <c r="K100" s="177" t="str">
        <f>IF(Assegnazione[[#This Row],[Bene]]="","",SUMIF(A_1[Nome],Assegnazione[[#This Row],[Socio]],A_1[Quota partecipazione al momento dell''operazione]))</f>
        <v/>
      </c>
      <c r="L100" s="175">
        <f>+SUMIF(B[Bene],Assegnazione[[#This Row],[Bene]],B[Valore catastale])*Assegnazione[[#This Row],[Quota di assegnazione]]</f>
        <v>0</v>
      </c>
      <c r="M1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5">
        <f>+MIN(Assegnazione[[#This Row],[Valore ai fini dell''atto]],Assegnazione[[#This Row],[Valore Fiscalmente riconosciuto]])</f>
        <v>0</v>
      </c>
      <c r="O100" s="149" t="str">
        <f>+IFERROR(VLOOKUP(Assegnazione[[#This Row],[Bene]],B[],MATCH($O$4,Beni!$A$4:$Z$4,0),0),"")</f>
        <v/>
      </c>
      <c r="P1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8">
        <f>+SUMIF(B[Bene],Assegnazione[[#This Row],[Bene]],B[Iva se dovuta])*Assegnazione[[#This Row],[Quota di assegnazione]]</f>
        <v>0</v>
      </c>
      <c r="S100" s="178">
        <f>+SUMIF(B[Bene],Assegnazione[[#This Row],[Bene]],B[Imposta di registro (fissa + prop) senza agevolazione])*Assegnazione[[#This Row],[Quota di assegnazione]]</f>
        <v>0</v>
      </c>
      <c r="T100" s="178">
        <f>+SUMIF(B[Bene],Assegnazione[[#This Row],[Bene]],B[Ipotecaria e catastale senza agevolazione])*Assegnazione[[#This Row],[Quota di assegnazione]]</f>
        <v>0</v>
      </c>
      <c r="U100" s="179">
        <f>+SUM(Assegnazione[[#This Row],[Tassazione diretta senza agevolazione]:[Ipotecaria e catastale senza agevolazione]])</f>
        <v>0</v>
      </c>
      <c r="V100" s="178">
        <f>+SUMIF(B[Bene],Assegnazione[[#This Row],[Bene]],B[Imponibile Imposta sostitutiva])*Assegnazione[[#This Row],[Quota di assegnazione]]*DATI!$E$27</f>
        <v>0</v>
      </c>
      <c r="W100" s="178">
        <f>+SUMIF(B[Bene],Assegnazione[[#This Row],[Bene]],B[Imposta di registro in misura fissa agevolata])*Assegnazione[[#This Row],[Quota di assegnazione]]</f>
        <v>0</v>
      </c>
      <c r="X100" s="178">
        <f>+SUMIF(B[Bene],Assegnazione[[#This Row],[Bene]],B[Imposta di registro prop. Agevolata])*Assegnazione[[#This Row],[Quota di assegnazione]]</f>
        <v>0</v>
      </c>
      <c r="Y100" s="178">
        <f>+IFERROR(Assegnazione[[#This Row],[Imposta di registro in misura fissa]]+Assegnazione[[#This Row],[Imposta di registro prop.]],"")</f>
        <v>0</v>
      </c>
      <c r="Z100" s="178">
        <f>+SUMIF(B[Bene],Assegnazione[[#This Row],[Bene]],B[Ipotecaria catastale agevolata])*Assegnazione[[#This Row],[Quota di assegnazione]]</f>
        <v>0</v>
      </c>
    </row>
    <row r="101" spans="1:26" x14ac:dyDescent="0.2">
      <c r="A101" s="126"/>
      <c r="B101" s="135"/>
      <c r="C101" s="126"/>
      <c r="D101" s="175">
        <f>+SUMIF(B[Bene],Assegnazione[[#This Row],[Bene]],B[Imponibile Iva])*Assegnazione[[#This Row],[Quota di assegnazione]]</f>
        <v>0</v>
      </c>
      <c r="E101" s="175">
        <f>+SUMIF(B[Bene],Assegnazione[[#This Row],[Bene]],B[Valore inserito manualmente])*Assegnazione[[#This Row],[Quota di assegnazione]]</f>
        <v>0</v>
      </c>
      <c r="F101" s="176" t="str">
        <f>+IF(A101="","",VLOOKUP(Assegnazione[[#This Row],[Bene]],B[],3,0))</f>
        <v/>
      </c>
      <c r="G101" s="132" t="str">
        <f>+IFERROR(VLOOKUP(Assegnazione[[#This Row],[Bene]],B[],MATCH("Agevolabile",Beni!$A$4:$AC$4,0),0)*VLOOKUP(Assegnazione[[#This Row],[Socio]],A_1[],8,0),"")</f>
        <v/>
      </c>
      <c r="H101" s="175">
        <f>+SUMIF(B[Bene],Assegnazione[[#This Row],[Bene]],B[Valore netto contabile fiscalmente riconosciuto])*Assegnazione[[#This Row],[Quota di assegnazione]]</f>
        <v>0</v>
      </c>
      <c r="I101" s="175">
        <f>+SUMIF(B[Bene],Assegnazione[[#This Row],[Bene]],B[Valore normale])*Assegnazione[[#This Row],[Quota di assegnazione]]</f>
        <v>0</v>
      </c>
      <c r="J101" s="177">
        <f>+IF(Assegnazione[[#This Row],[Bene]]="",0,SUMIF(Assegnazione[Socio],Assegnazione[[#This Row],[Socio]],Assegnazione[Valore Normale])/$I$3)</f>
        <v>0</v>
      </c>
      <c r="K101" s="177" t="str">
        <f>IF(Assegnazione[[#This Row],[Bene]]="","",SUMIF(A_1[Nome],Assegnazione[[#This Row],[Socio]],A_1[Quota partecipazione al momento dell''operazione]))</f>
        <v/>
      </c>
      <c r="L101" s="175">
        <f>+SUMIF(B[Bene],Assegnazione[[#This Row],[Bene]],B[Valore catastale])*Assegnazione[[#This Row],[Quota di assegnazione]]</f>
        <v>0</v>
      </c>
      <c r="M1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5">
        <f>+MIN(Assegnazione[[#This Row],[Valore ai fini dell''atto]],Assegnazione[[#This Row],[Valore Fiscalmente riconosciuto]])</f>
        <v>0</v>
      </c>
      <c r="O101" s="149" t="str">
        <f>+IFERROR(VLOOKUP(Assegnazione[[#This Row],[Bene]],B[],MATCH($O$4,Beni!$A$4:$Z$4,0),0),"")</f>
        <v/>
      </c>
      <c r="P1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8">
        <f>+SUMIF(B[Bene],Assegnazione[[#This Row],[Bene]],B[Iva se dovuta])*Assegnazione[[#This Row],[Quota di assegnazione]]</f>
        <v>0</v>
      </c>
      <c r="S101" s="178">
        <f>+SUMIF(B[Bene],Assegnazione[[#This Row],[Bene]],B[Imposta di registro (fissa + prop) senza agevolazione])*Assegnazione[[#This Row],[Quota di assegnazione]]</f>
        <v>0</v>
      </c>
      <c r="T101" s="178">
        <f>+SUMIF(B[Bene],Assegnazione[[#This Row],[Bene]],B[Ipotecaria e catastale senza agevolazione])*Assegnazione[[#This Row],[Quota di assegnazione]]</f>
        <v>0</v>
      </c>
      <c r="U101" s="179">
        <f>+SUM(Assegnazione[[#This Row],[Tassazione diretta senza agevolazione]:[Ipotecaria e catastale senza agevolazione]])</f>
        <v>0</v>
      </c>
      <c r="V101" s="178">
        <f>+SUMIF(B[Bene],Assegnazione[[#This Row],[Bene]],B[Imponibile Imposta sostitutiva])*Assegnazione[[#This Row],[Quota di assegnazione]]*DATI!$E$27</f>
        <v>0</v>
      </c>
      <c r="W101" s="178">
        <f>+SUMIF(B[Bene],Assegnazione[[#This Row],[Bene]],B[Imposta di registro in misura fissa agevolata])*Assegnazione[[#This Row],[Quota di assegnazione]]</f>
        <v>0</v>
      </c>
      <c r="X101" s="178">
        <f>+SUMIF(B[Bene],Assegnazione[[#This Row],[Bene]],B[Imposta di registro prop. Agevolata])*Assegnazione[[#This Row],[Quota di assegnazione]]</f>
        <v>0</v>
      </c>
      <c r="Y101" s="178">
        <f>+IFERROR(Assegnazione[[#This Row],[Imposta di registro in misura fissa]]+Assegnazione[[#This Row],[Imposta di registro prop.]],"")</f>
        <v>0</v>
      </c>
      <c r="Z101" s="178">
        <f>+SUMIF(B[Bene],Assegnazione[[#This Row],[Bene]],B[Ipotecaria catastale agevolata])*Assegnazione[[#This Row],[Quota di assegnazione]]</f>
        <v>0</v>
      </c>
    </row>
    <row r="102" spans="1:26" x14ac:dyDescent="0.2">
      <c r="A102" s="126"/>
      <c r="B102" s="135"/>
      <c r="C102" s="126"/>
      <c r="D102" s="175">
        <f>+SUMIF(B[Bene],Assegnazione[[#This Row],[Bene]],B[Imponibile Iva])*Assegnazione[[#This Row],[Quota di assegnazione]]</f>
        <v>0</v>
      </c>
      <c r="E102" s="175">
        <f>+SUMIF(B[Bene],Assegnazione[[#This Row],[Bene]],B[Valore inserito manualmente])*Assegnazione[[#This Row],[Quota di assegnazione]]</f>
        <v>0</v>
      </c>
      <c r="F102" s="176" t="str">
        <f>+IF(A102="","",VLOOKUP(Assegnazione[[#This Row],[Bene]],B[],3,0))</f>
        <v/>
      </c>
      <c r="G102" s="132" t="str">
        <f>+IFERROR(VLOOKUP(Assegnazione[[#This Row],[Bene]],B[],MATCH("Agevolabile",Beni!$A$4:$AC$4,0),0)*VLOOKUP(Assegnazione[[#This Row],[Socio]],A_1[],8,0),"")</f>
        <v/>
      </c>
      <c r="H102" s="175">
        <f>+SUMIF(B[Bene],Assegnazione[[#This Row],[Bene]],B[Valore netto contabile fiscalmente riconosciuto])*Assegnazione[[#This Row],[Quota di assegnazione]]</f>
        <v>0</v>
      </c>
      <c r="I102" s="175">
        <f>+SUMIF(B[Bene],Assegnazione[[#This Row],[Bene]],B[Valore normale])*Assegnazione[[#This Row],[Quota di assegnazione]]</f>
        <v>0</v>
      </c>
      <c r="J102" s="177">
        <f>+IF(Assegnazione[[#This Row],[Bene]]="",0,SUMIF(Assegnazione[Socio],Assegnazione[[#This Row],[Socio]],Assegnazione[Valore Normale])/$I$3)</f>
        <v>0</v>
      </c>
      <c r="K102" s="177" t="str">
        <f>IF(Assegnazione[[#This Row],[Bene]]="","",SUMIF(A_1[Nome],Assegnazione[[#This Row],[Socio]],A_1[Quota partecipazione al momento dell''operazione]))</f>
        <v/>
      </c>
      <c r="L102" s="175">
        <f>+SUMIF(B[Bene],Assegnazione[[#This Row],[Bene]],B[Valore catastale])*Assegnazione[[#This Row],[Quota di assegnazione]]</f>
        <v>0</v>
      </c>
      <c r="M1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5">
        <f>+MIN(Assegnazione[[#This Row],[Valore ai fini dell''atto]],Assegnazione[[#This Row],[Valore Fiscalmente riconosciuto]])</f>
        <v>0</v>
      </c>
      <c r="O102" s="149" t="str">
        <f>+IFERROR(VLOOKUP(Assegnazione[[#This Row],[Bene]],B[],MATCH($O$4,Beni!$A$4:$Z$4,0),0),"")</f>
        <v/>
      </c>
      <c r="P1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8">
        <f>+SUMIF(B[Bene],Assegnazione[[#This Row],[Bene]],B[Iva se dovuta])*Assegnazione[[#This Row],[Quota di assegnazione]]</f>
        <v>0</v>
      </c>
      <c r="S102" s="178">
        <f>+SUMIF(B[Bene],Assegnazione[[#This Row],[Bene]],B[Imposta di registro (fissa + prop) senza agevolazione])*Assegnazione[[#This Row],[Quota di assegnazione]]</f>
        <v>0</v>
      </c>
      <c r="T102" s="178">
        <f>+SUMIF(B[Bene],Assegnazione[[#This Row],[Bene]],B[Ipotecaria e catastale senza agevolazione])*Assegnazione[[#This Row],[Quota di assegnazione]]</f>
        <v>0</v>
      </c>
      <c r="U102" s="179">
        <f>+SUM(Assegnazione[[#This Row],[Tassazione diretta senza agevolazione]:[Ipotecaria e catastale senza agevolazione]])</f>
        <v>0</v>
      </c>
      <c r="V102" s="178">
        <f>+SUMIF(B[Bene],Assegnazione[[#This Row],[Bene]],B[Imponibile Imposta sostitutiva])*Assegnazione[[#This Row],[Quota di assegnazione]]*DATI!$E$27</f>
        <v>0</v>
      </c>
      <c r="W102" s="178">
        <f>+SUMIF(B[Bene],Assegnazione[[#This Row],[Bene]],B[Imposta di registro in misura fissa agevolata])*Assegnazione[[#This Row],[Quota di assegnazione]]</f>
        <v>0</v>
      </c>
      <c r="X102" s="178">
        <f>+SUMIF(B[Bene],Assegnazione[[#This Row],[Bene]],B[Imposta di registro prop. Agevolata])*Assegnazione[[#This Row],[Quota di assegnazione]]</f>
        <v>0</v>
      </c>
      <c r="Y102" s="178">
        <f>+IFERROR(Assegnazione[[#This Row],[Imposta di registro in misura fissa]]+Assegnazione[[#This Row],[Imposta di registro prop.]],"")</f>
        <v>0</v>
      </c>
      <c r="Z102" s="178">
        <f>+SUMIF(B[Bene],Assegnazione[[#This Row],[Bene]],B[Ipotecaria catastale agevolata])*Assegnazione[[#This Row],[Quota di assegnazione]]</f>
        <v>0</v>
      </c>
    </row>
    <row r="103" spans="1:26" x14ac:dyDescent="0.2">
      <c r="A103" s="126"/>
      <c r="B103" s="135"/>
      <c r="C103" s="126"/>
      <c r="D103" s="175">
        <f>+SUMIF(B[Bene],Assegnazione[[#This Row],[Bene]],B[Imponibile Iva])*Assegnazione[[#This Row],[Quota di assegnazione]]</f>
        <v>0</v>
      </c>
      <c r="E103" s="175">
        <f>+SUMIF(B[Bene],Assegnazione[[#This Row],[Bene]],B[Valore inserito manualmente])*Assegnazione[[#This Row],[Quota di assegnazione]]</f>
        <v>0</v>
      </c>
      <c r="F103" s="176" t="str">
        <f>+IF(A103="","",VLOOKUP(Assegnazione[[#This Row],[Bene]],B[],3,0))</f>
        <v/>
      </c>
      <c r="G103" s="132" t="str">
        <f>+IFERROR(VLOOKUP(Assegnazione[[#This Row],[Bene]],B[],MATCH("Agevolabile",Beni!$A$4:$AC$4,0),0)*VLOOKUP(Assegnazione[[#This Row],[Socio]],A_1[],8,0),"")</f>
        <v/>
      </c>
      <c r="H103" s="175">
        <f>+SUMIF(B[Bene],Assegnazione[[#This Row],[Bene]],B[Valore netto contabile fiscalmente riconosciuto])*Assegnazione[[#This Row],[Quota di assegnazione]]</f>
        <v>0</v>
      </c>
      <c r="I103" s="175">
        <f>+SUMIF(B[Bene],Assegnazione[[#This Row],[Bene]],B[Valore normale])*Assegnazione[[#This Row],[Quota di assegnazione]]</f>
        <v>0</v>
      </c>
      <c r="J103" s="177">
        <f>+IF(Assegnazione[[#This Row],[Bene]]="",0,SUMIF(Assegnazione[Socio],Assegnazione[[#This Row],[Socio]],Assegnazione[Valore Normale])/$I$3)</f>
        <v>0</v>
      </c>
      <c r="K103" s="177" t="str">
        <f>IF(Assegnazione[[#This Row],[Bene]]="","",SUMIF(A_1[Nome],Assegnazione[[#This Row],[Socio]],A_1[Quota partecipazione al momento dell''operazione]))</f>
        <v/>
      </c>
      <c r="L103" s="175">
        <f>+SUMIF(B[Bene],Assegnazione[[#This Row],[Bene]],B[Valore catastale])*Assegnazione[[#This Row],[Quota di assegnazione]]</f>
        <v>0</v>
      </c>
      <c r="M1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5">
        <f>+MIN(Assegnazione[[#This Row],[Valore ai fini dell''atto]],Assegnazione[[#This Row],[Valore Fiscalmente riconosciuto]])</f>
        <v>0</v>
      </c>
      <c r="O103" s="149" t="str">
        <f>+IFERROR(VLOOKUP(Assegnazione[[#This Row],[Bene]],B[],MATCH($O$4,Beni!$A$4:$Z$4,0),0),"")</f>
        <v/>
      </c>
      <c r="P1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8">
        <f>+SUMIF(B[Bene],Assegnazione[[#This Row],[Bene]],B[Iva se dovuta])*Assegnazione[[#This Row],[Quota di assegnazione]]</f>
        <v>0</v>
      </c>
      <c r="S103" s="178">
        <f>+SUMIF(B[Bene],Assegnazione[[#This Row],[Bene]],B[Imposta di registro (fissa + prop) senza agevolazione])*Assegnazione[[#This Row],[Quota di assegnazione]]</f>
        <v>0</v>
      </c>
      <c r="T103" s="178">
        <f>+SUMIF(B[Bene],Assegnazione[[#This Row],[Bene]],B[Ipotecaria e catastale senza agevolazione])*Assegnazione[[#This Row],[Quota di assegnazione]]</f>
        <v>0</v>
      </c>
      <c r="U103" s="179">
        <f>+SUM(Assegnazione[[#This Row],[Tassazione diretta senza agevolazione]:[Ipotecaria e catastale senza agevolazione]])</f>
        <v>0</v>
      </c>
      <c r="V103" s="178">
        <f>+SUMIF(B[Bene],Assegnazione[[#This Row],[Bene]],B[Imponibile Imposta sostitutiva])*Assegnazione[[#This Row],[Quota di assegnazione]]*DATI!$E$27</f>
        <v>0</v>
      </c>
      <c r="W103" s="178">
        <f>+SUMIF(B[Bene],Assegnazione[[#This Row],[Bene]],B[Imposta di registro in misura fissa agevolata])*Assegnazione[[#This Row],[Quota di assegnazione]]</f>
        <v>0</v>
      </c>
      <c r="X103" s="178">
        <f>+SUMIF(B[Bene],Assegnazione[[#This Row],[Bene]],B[Imposta di registro prop. Agevolata])*Assegnazione[[#This Row],[Quota di assegnazione]]</f>
        <v>0</v>
      </c>
      <c r="Y103" s="178">
        <f>+IFERROR(Assegnazione[[#This Row],[Imposta di registro in misura fissa]]+Assegnazione[[#This Row],[Imposta di registro prop.]],"")</f>
        <v>0</v>
      </c>
      <c r="Z103" s="178">
        <f>+SUMIF(B[Bene],Assegnazione[[#This Row],[Bene]],B[Ipotecaria catastale agevolata])*Assegnazione[[#This Row],[Quota di assegnazione]]</f>
        <v>0</v>
      </c>
    </row>
    <row r="104" spans="1:26" x14ac:dyDescent="0.2">
      <c r="A104" s="126"/>
      <c r="B104" s="135"/>
      <c r="C104" s="126"/>
      <c r="D104" s="175">
        <f>+SUMIF(B[Bene],Assegnazione[[#This Row],[Bene]],B[Imponibile Iva])*Assegnazione[[#This Row],[Quota di assegnazione]]</f>
        <v>0</v>
      </c>
      <c r="E104" s="175">
        <f>+SUMIF(B[Bene],Assegnazione[[#This Row],[Bene]],B[Valore inserito manualmente])*Assegnazione[[#This Row],[Quota di assegnazione]]</f>
        <v>0</v>
      </c>
      <c r="F104" s="176" t="str">
        <f>+IF(A104="","",VLOOKUP(Assegnazione[[#This Row],[Bene]],B[],3,0))</f>
        <v/>
      </c>
      <c r="G104" s="132" t="str">
        <f>+IFERROR(VLOOKUP(Assegnazione[[#This Row],[Bene]],B[],MATCH("Agevolabile",Beni!$A$4:$AC$4,0),0)*VLOOKUP(Assegnazione[[#This Row],[Socio]],A_1[],8,0),"")</f>
        <v/>
      </c>
      <c r="H104" s="175">
        <f>+SUMIF(B[Bene],Assegnazione[[#This Row],[Bene]],B[Valore netto contabile fiscalmente riconosciuto])*Assegnazione[[#This Row],[Quota di assegnazione]]</f>
        <v>0</v>
      </c>
      <c r="I104" s="175">
        <f>+SUMIF(B[Bene],Assegnazione[[#This Row],[Bene]],B[Valore normale])*Assegnazione[[#This Row],[Quota di assegnazione]]</f>
        <v>0</v>
      </c>
      <c r="J104" s="177">
        <f>+IF(Assegnazione[[#This Row],[Bene]]="",0,SUMIF(Assegnazione[Socio],Assegnazione[[#This Row],[Socio]],Assegnazione[Valore Normale])/$I$3)</f>
        <v>0</v>
      </c>
      <c r="K104" s="177" t="str">
        <f>IF(Assegnazione[[#This Row],[Bene]]="","",SUMIF(A_1[Nome],Assegnazione[[#This Row],[Socio]],A_1[Quota partecipazione al momento dell''operazione]))</f>
        <v/>
      </c>
      <c r="L104" s="175">
        <f>+SUMIF(B[Bene],Assegnazione[[#This Row],[Bene]],B[Valore catastale])*Assegnazione[[#This Row],[Quota di assegnazione]]</f>
        <v>0</v>
      </c>
      <c r="M1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5">
        <f>+MIN(Assegnazione[[#This Row],[Valore ai fini dell''atto]],Assegnazione[[#This Row],[Valore Fiscalmente riconosciuto]])</f>
        <v>0</v>
      </c>
      <c r="O104" s="149" t="str">
        <f>+IFERROR(VLOOKUP(Assegnazione[[#This Row],[Bene]],B[],MATCH($O$4,Beni!$A$4:$Z$4,0),0),"")</f>
        <v/>
      </c>
      <c r="P1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8">
        <f>+SUMIF(B[Bene],Assegnazione[[#This Row],[Bene]],B[Iva se dovuta])*Assegnazione[[#This Row],[Quota di assegnazione]]</f>
        <v>0</v>
      </c>
      <c r="S104" s="178">
        <f>+SUMIF(B[Bene],Assegnazione[[#This Row],[Bene]],B[Imposta di registro (fissa + prop) senza agevolazione])*Assegnazione[[#This Row],[Quota di assegnazione]]</f>
        <v>0</v>
      </c>
      <c r="T104" s="178">
        <f>+SUMIF(B[Bene],Assegnazione[[#This Row],[Bene]],B[Ipotecaria e catastale senza agevolazione])*Assegnazione[[#This Row],[Quota di assegnazione]]</f>
        <v>0</v>
      </c>
      <c r="U104" s="179">
        <f>+SUM(Assegnazione[[#This Row],[Tassazione diretta senza agevolazione]:[Ipotecaria e catastale senza agevolazione]])</f>
        <v>0</v>
      </c>
      <c r="V104" s="178">
        <f>+SUMIF(B[Bene],Assegnazione[[#This Row],[Bene]],B[Imponibile Imposta sostitutiva])*Assegnazione[[#This Row],[Quota di assegnazione]]*DATI!$E$27</f>
        <v>0</v>
      </c>
      <c r="W104" s="178">
        <f>+SUMIF(B[Bene],Assegnazione[[#This Row],[Bene]],B[Imposta di registro in misura fissa agevolata])*Assegnazione[[#This Row],[Quota di assegnazione]]</f>
        <v>0</v>
      </c>
      <c r="X104" s="178">
        <f>+SUMIF(B[Bene],Assegnazione[[#This Row],[Bene]],B[Imposta di registro prop. Agevolata])*Assegnazione[[#This Row],[Quota di assegnazione]]</f>
        <v>0</v>
      </c>
      <c r="Y104" s="178">
        <f>+IFERROR(Assegnazione[[#This Row],[Imposta di registro in misura fissa]]+Assegnazione[[#This Row],[Imposta di registro prop.]],"")</f>
        <v>0</v>
      </c>
      <c r="Z104" s="178">
        <f>+SUMIF(B[Bene],Assegnazione[[#This Row],[Bene]],B[Ipotecaria catastale agevolata])*Assegnazione[[#This Row],[Quota di assegnazione]]</f>
        <v>0</v>
      </c>
    </row>
    <row r="105" spans="1:26" x14ac:dyDescent="0.2">
      <c r="A105" s="126"/>
      <c r="B105" s="135"/>
      <c r="C105" s="126"/>
      <c r="D105" s="175">
        <f>+SUMIF(B[Bene],Assegnazione[[#This Row],[Bene]],B[Imponibile Iva])*Assegnazione[[#This Row],[Quota di assegnazione]]</f>
        <v>0</v>
      </c>
      <c r="E105" s="175">
        <f>+SUMIF(B[Bene],Assegnazione[[#This Row],[Bene]],B[Valore inserito manualmente])*Assegnazione[[#This Row],[Quota di assegnazione]]</f>
        <v>0</v>
      </c>
      <c r="F105" s="176" t="str">
        <f>+IF(A105="","",VLOOKUP(Assegnazione[[#This Row],[Bene]],B[],3,0))</f>
        <v/>
      </c>
      <c r="G105" s="132" t="str">
        <f>+IFERROR(VLOOKUP(Assegnazione[[#This Row],[Bene]],B[],MATCH("Agevolabile",Beni!$A$4:$AC$4,0),0)*VLOOKUP(Assegnazione[[#This Row],[Socio]],A_1[],8,0),"")</f>
        <v/>
      </c>
      <c r="H105" s="175">
        <f>+SUMIF(B[Bene],Assegnazione[[#This Row],[Bene]],B[Valore netto contabile fiscalmente riconosciuto])*Assegnazione[[#This Row],[Quota di assegnazione]]</f>
        <v>0</v>
      </c>
      <c r="I105" s="175">
        <f>+SUMIF(B[Bene],Assegnazione[[#This Row],[Bene]],B[Valore normale])*Assegnazione[[#This Row],[Quota di assegnazione]]</f>
        <v>0</v>
      </c>
      <c r="J105" s="177">
        <f>+IF(Assegnazione[[#This Row],[Bene]]="",0,SUMIF(Assegnazione[Socio],Assegnazione[[#This Row],[Socio]],Assegnazione[Valore Normale])/$I$3)</f>
        <v>0</v>
      </c>
      <c r="K105" s="177" t="str">
        <f>IF(Assegnazione[[#This Row],[Bene]]="","",SUMIF(A_1[Nome],Assegnazione[[#This Row],[Socio]],A_1[Quota partecipazione al momento dell''operazione]))</f>
        <v/>
      </c>
      <c r="L105" s="175">
        <f>+SUMIF(B[Bene],Assegnazione[[#This Row],[Bene]],B[Valore catastale])*Assegnazione[[#This Row],[Quota di assegnazione]]</f>
        <v>0</v>
      </c>
      <c r="M10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5">
        <f>+MIN(Assegnazione[[#This Row],[Valore ai fini dell''atto]],Assegnazione[[#This Row],[Valore Fiscalmente riconosciuto]])</f>
        <v>0</v>
      </c>
      <c r="O105" s="149" t="str">
        <f>+IFERROR(VLOOKUP(Assegnazione[[#This Row],[Bene]],B[],MATCH($O$4,Beni!$A$4:$Z$4,0),0),"")</f>
        <v/>
      </c>
      <c r="P10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8">
        <f>+SUMIF(B[Bene],Assegnazione[[#This Row],[Bene]],B[Iva se dovuta])*Assegnazione[[#This Row],[Quota di assegnazione]]</f>
        <v>0</v>
      </c>
      <c r="S105" s="178">
        <f>+SUMIF(B[Bene],Assegnazione[[#This Row],[Bene]],B[Imposta di registro (fissa + prop) senza agevolazione])*Assegnazione[[#This Row],[Quota di assegnazione]]</f>
        <v>0</v>
      </c>
      <c r="T105" s="178">
        <f>+SUMIF(B[Bene],Assegnazione[[#This Row],[Bene]],B[Ipotecaria e catastale senza agevolazione])*Assegnazione[[#This Row],[Quota di assegnazione]]</f>
        <v>0</v>
      </c>
      <c r="U105" s="179">
        <f>+SUM(Assegnazione[[#This Row],[Tassazione diretta senza agevolazione]:[Ipotecaria e catastale senza agevolazione]])</f>
        <v>0</v>
      </c>
      <c r="V105" s="178">
        <f>+SUMIF(B[Bene],Assegnazione[[#This Row],[Bene]],B[Imponibile Imposta sostitutiva])*Assegnazione[[#This Row],[Quota di assegnazione]]*DATI!$E$27</f>
        <v>0</v>
      </c>
      <c r="W105" s="178">
        <f>+SUMIF(B[Bene],Assegnazione[[#This Row],[Bene]],B[Imposta di registro in misura fissa agevolata])*Assegnazione[[#This Row],[Quota di assegnazione]]</f>
        <v>0</v>
      </c>
      <c r="X105" s="178">
        <f>+SUMIF(B[Bene],Assegnazione[[#This Row],[Bene]],B[Imposta di registro prop. Agevolata])*Assegnazione[[#This Row],[Quota di assegnazione]]</f>
        <v>0</v>
      </c>
      <c r="Y105" s="178">
        <f>+IFERROR(Assegnazione[[#This Row],[Imposta di registro in misura fissa]]+Assegnazione[[#This Row],[Imposta di registro prop.]],"")</f>
        <v>0</v>
      </c>
      <c r="Z105" s="178">
        <f>+SUMIF(B[Bene],Assegnazione[[#This Row],[Bene]],B[Ipotecaria catastale agevolata])*Assegnazione[[#This Row],[Quota di assegnazione]]</f>
        <v>0</v>
      </c>
    </row>
    <row r="106" spans="1:26" x14ac:dyDescent="0.2">
      <c r="A106" s="126"/>
      <c r="B106" s="135"/>
      <c r="C106" s="126"/>
      <c r="D106" s="175">
        <f>+SUMIF(B[Bene],Assegnazione[[#This Row],[Bene]],B[Imponibile Iva])*Assegnazione[[#This Row],[Quota di assegnazione]]</f>
        <v>0</v>
      </c>
      <c r="E106" s="175">
        <f>+SUMIF(B[Bene],Assegnazione[[#This Row],[Bene]],B[Valore inserito manualmente])*Assegnazione[[#This Row],[Quota di assegnazione]]</f>
        <v>0</v>
      </c>
      <c r="F106" s="176" t="str">
        <f>+IF(A106="","",VLOOKUP(Assegnazione[[#This Row],[Bene]],B[],3,0))</f>
        <v/>
      </c>
      <c r="G106" s="132" t="str">
        <f>+IFERROR(VLOOKUP(Assegnazione[[#This Row],[Bene]],B[],MATCH("Agevolabile",Beni!$A$4:$AC$4,0),0)*VLOOKUP(Assegnazione[[#This Row],[Socio]],A_1[],8,0),"")</f>
        <v/>
      </c>
      <c r="H106" s="175">
        <f>+SUMIF(B[Bene],Assegnazione[[#This Row],[Bene]],B[Valore netto contabile fiscalmente riconosciuto])*Assegnazione[[#This Row],[Quota di assegnazione]]</f>
        <v>0</v>
      </c>
      <c r="I106" s="175">
        <f>+SUMIF(B[Bene],Assegnazione[[#This Row],[Bene]],B[Valore normale])*Assegnazione[[#This Row],[Quota di assegnazione]]</f>
        <v>0</v>
      </c>
      <c r="J106" s="177">
        <f>+IF(Assegnazione[[#This Row],[Bene]]="",0,SUMIF(Assegnazione[Socio],Assegnazione[[#This Row],[Socio]],Assegnazione[Valore Normale])/$I$3)</f>
        <v>0</v>
      </c>
      <c r="K106" s="177" t="str">
        <f>IF(Assegnazione[[#This Row],[Bene]]="","",SUMIF(A_1[Nome],Assegnazione[[#This Row],[Socio]],A_1[Quota partecipazione al momento dell''operazione]))</f>
        <v/>
      </c>
      <c r="L106" s="175">
        <f>+SUMIF(B[Bene],Assegnazione[[#This Row],[Bene]],B[Valore catastale])*Assegnazione[[#This Row],[Quota di assegnazione]]</f>
        <v>0</v>
      </c>
      <c r="M10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5">
        <f>+MIN(Assegnazione[[#This Row],[Valore ai fini dell''atto]],Assegnazione[[#This Row],[Valore Fiscalmente riconosciuto]])</f>
        <v>0</v>
      </c>
      <c r="O106" s="149" t="str">
        <f>+IFERROR(VLOOKUP(Assegnazione[[#This Row],[Bene]],B[],MATCH($O$4,Beni!$A$4:$Z$4,0),0),"")</f>
        <v/>
      </c>
      <c r="P10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8">
        <f>+SUMIF(B[Bene],Assegnazione[[#This Row],[Bene]],B[Iva se dovuta])*Assegnazione[[#This Row],[Quota di assegnazione]]</f>
        <v>0</v>
      </c>
      <c r="S106" s="178">
        <f>+SUMIF(B[Bene],Assegnazione[[#This Row],[Bene]],B[Imposta di registro (fissa + prop) senza agevolazione])*Assegnazione[[#This Row],[Quota di assegnazione]]</f>
        <v>0</v>
      </c>
      <c r="T106" s="178">
        <f>+SUMIF(B[Bene],Assegnazione[[#This Row],[Bene]],B[Ipotecaria e catastale senza agevolazione])*Assegnazione[[#This Row],[Quota di assegnazione]]</f>
        <v>0</v>
      </c>
      <c r="U106" s="179">
        <f>+SUM(Assegnazione[[#This Row],[Tassazione diretta senza agevolazione]:[Ipotecaria e catastale senza agevolazione]])</f>
        <v>0</v>
      </c>
      <c r="V106" s="178">
        <f>+SUMIF(B[Bene],Assegnazione[[#This Row],[Bene]],B[Imponibile Imposta sostitutiva])*Assegnazione[[#This Row],[Quota di assegnazione]]*DATI!$E$27</f>
        <v>0</v>
      </c>
      <c r="W106" s="178">
        <f>+SUMIF(B[Bene],Assegnazione[[#This Row],[Bene]],B[Imposta di registro in misura fissa agevolata])*Assegnazione[[#This Row],[Quota di assegnazione]]</f>
        <v>0</v>
      </c>
      <c r="X106" s="178">
        <f>+SUMIF(B[Bene],Assegnazione[[#This Row],[Bene]],B[Imposta di registro prop. Agevolata])*Assegnazione[[#This Row],[Quota di assegnazione]]</f>
        <v>0</v>
      </c>
      <c r="Y106" s="178">
        <f>+IFERROR(Assegnazione[[#This Row],[Imposta di registro in misura fissa]]+Assegnazione[[#This Row],[Imposta di registro prop.]],"")</f>
        <v>0</v>
      </c>
      <c r="Z106" s="178">
        <f>+SUMIF(B[Bene],Assegnazione[[#This Row],[Bene]],B[Ipotecaria catastale agevolata])*Assegnazione[[#This Row],[Quota di assegnazione]]</f>
        <v>0</v>
      </c>
    </row>
    <row r="107" spans="1:26" x14ac:dyDescent="0.2">
      <c r="A107" s="126"/>
      <c r="B107" s="135"/>
      <c r="C107" s="126"/>
      <c r="D107" s="175">
        <f>+SUMIF(B[Bene],Assegnazione[[#This Row],[Bene]],B[Imponibile Iva])*Assegnazione[[#This Row],[Quota di assegnazione]]</f>
        <v>0</v>
      </c>
      <c r="E107" s="175">
        <f>+SUMIF(B[Bene],Assegnazione[[#This Row],[Bene]],B[Valore inserito manualmente])*Assegnazione[[#This Row],[Quota di assegnazione]]</f>
        <v>0</v>
      </c>
      <c r="F107" s="176" t="str">
        <f>+IF(A107="","",VLOOKUP(Assegnazione[[#This Row],[Bene]],B[],3,0))</f>
        <v/>
      </c>
      <c r="G107" s="132" t="str">
        <f>+IFERROR(VLOOKUP(Assegnazione[[#This Row],[Bene]],B[],MATCH("Agevolabile",Beni!$A$4:$AC$4,0),0)*VLOOKUP(Assegnazione[[#This Row],[Socio]],A_1[],8,0),"")</f>
        <v/>
      </c>
      <c r="H107" s="175">
        <f>+SUMIF(B[Bene],Assegnazione[[#This Row],[Bene]],B[Valore netto contabile fiscalmente riconosciuto])*Assegnazione[[#This Row],[Quota di assegnazione]]</f>
        <v>0</v>
      </c>
      <c r="I107" s="175">
        <f>+SUMIF(B[Bene],Assegnazione[[#This Row],[Bene]],B[Valore normale])*Assegnazione[[#This Row],[Quota di assegnazione]]</f>
        <v>0</v>
      </c>
      <c r="J107" s="177">
        <f>+IF(Assegnazione[[#This Row],[Bene]]="",0,SUMIF(Assegnazione[Socio],Assegnazione[[#This Row],[Socio]],Assegnazione[Valore Normale])/$I$3)</f>
        <v>0</v>
      </c>
      <c r="K107" s="177" t="str">
        <f>IF(Assegnazione[[#This Row],[Bene]]="","",SUMIF(A_1[Nome],Assegnazione[[#This Row],[Socio]],A_1[Quota partecipazione al momento dell''operazione]))</f>
        <v/>
      </c>
      <c r="L107" s="175">
        <f>+SUMIF(B[Bene],Assegnazione[[#This Row],[Bene]],B[Valore catastale])*Assegnazione[[#This Row],[Quota di assegnazione]]</f>
        <v>0</v>
      </c>
      <c r="M10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5">
        <f>+MIN(Assegnazione[[#This Row],[Valore ai fini dell''atto]],Assegnazione[[#This Row],[Valore Fiscalmente riconosciuto]])</f>
        <v>0</v>
      </c>
      <c r="O107" s="149" t="str">
        <f>+IFERROR(VLOOKUP(Assegnazione[[#This Row],[Bene]],B[],MATCH($O$4,Beni!$A$4:$Z$4,0),0),"")</f>
        <v/>
      </c>
      <c r="P10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8">
        <f>+SUMIF(B[Bene],Assegnazione[[#This Row],[Bene]],B[Iva se dovuta])*Assegnazione[[#This Row],[Quota di assegnazione]]</f>
        <v>0</v>
      </c>
      <c r="S107" s="178">
        <f>+SUMIF(B[Bene],Assegnazione[[#This Row],[Bene]],B[Imposta di registro (fissa + prop) senza agevolazione])*Assegnazione[[#This Row],[Quota di assegnazione]]</f>
        <v>0</v>
      </c>
      <c r="T107" s="178">
        <f>+SUMIF(B[Bene],Assegnazione[[#This Row],[Bene]],B[Ipotecaria e catastale senza agevolazione])*Assegnazione[[#This Row],[Quota di assegnazione]]</f>
        <v>0</v>
      </c>
      <c r="U107" s="179">
        <f>+SUM(Assegnazione[[#This Row],[Tassazione diretta senza agevolazione]:[Ipotecaria e catastale senza agevolazione]])</f>
        <v>0</v>
      </c>
      <c r="V107" s="178">
        <f>+SUMIF(B[Bene],Assegnazione[[#This Row],[Bene]],B[Imponibile Imposta sostitutiva])*Assegnazione[[#This Row],[Quota di assegnazione]]*DATI!$E$27</f>
        <v>0</v>
      </c>
      <c r="W107" s="178">
        <f>+SUMIF(B[Bene],Assegnazione[[#This Row],[Bene]],B[Imposta di registro in misura fissa agevolata])*Assegnazione[[#This Row],[Quota di assegnazione]]</f>
        <v>0</v>
      </c>
      <c r="X107" s="178">
        <f>+SUMIF(B[Bene],Assegnazione[[#This Row],[Bene]],B[Imposta di registro prop. Agevolata])*Assegnazione[[#This Row],[Quota di assegnazione]]</f>
        <v>0</v>
      </c>
      <c r="Y107" s="178">
        <f>+IFERROR(Assegnazione[[#This Row],[Imposta di registro in misura fissa]]+Assegnazione[[#This Row],[Imposta di registro prop.]],"")</f>
        <v>0</v>
      </c>
      <c r="Z107" s="178">
        <f>+SUMIF(B[Bene],Assegnazione[[#This Row],[Bene]],B[Ipotecaria catastale agevolata])*Assegnazione[[#This Row],[Quota di assegnazione]]</f>
        <v>0</v>
      </c>
    </row>
    <row r="108" spans="1:26" x14ac:dyDescent="0.2">
      <c r="A108" s="126"/>
      <c r="B108" s="135"/>
      <c r="C108" s="126"/>
      <c r="D108" s="175">
        <f>+SUMIF(B[Bene],Assegnazione[[#This Row],[Bene]],B[Imponibile Iva])*Assegnazione[[#This Row],[Quota di assegnazione]]</f>
        <v>0</v>
      </c>
      <c r="E108" s="175">
        <f>+SUMIF(B[Bene],Assegnazione[[#This Row],[Bene]],B[Valore inserito manualmente])*Assegnazione[[#This Row],[Quota di assegnazione]]</f>
        <v>0</v>
      </c>
      <c r="F108" s="176" t="str">
        <f>+IF(A108="","",VLOOKUP(Assegnazione[[#This Row],[Bene]],B[],3,0))</f>
        <v/>
      </c>
      <c r="G108" s="132" t="str">
        <f>+IFERROR(VLOOKUP(Assegnazione[[#This Row],[Bene]],B[],MATCH("Agevolabile",Beni!$A$4:$AC$4,0),0)*VLOOKUP(Assegnazione[[#This Row],[Socio]],A_1[],8,0),"")</f>
        <v/>
      </c>
      <c r="H108" s="175">
        <f>+SUMIF(B[Bene],Assegnazione[[#This Row],[Bene]],B[Valore netto contabile fiscalmente riconosciuto])*Assegnazione[[#This Row],[Quota di assegnazione]]</f>
        <v>0</v>
      </c>
      <c r="I108" s="175">
        <f>+SUMIF(B[Bene],Assegnazione[[#This Row],[Bene]],B[Valore normale])*Assegnazione[[#This Row],[Quota di assegnazione]]</f>
        <v>0</v>
      </c>
      <c r="J108" s="177">
        <f>+IF(Assegnazione[[#This Row],[Bene]]="",0,SUMIF(Assegnazione[Socio],Assegnazione[[#This Row],[Socio]],Assegnazione[Valore Normale])/$I$3)</f>
        <v>0</v>
      </c>
      <c r="K108" s="177" t="str">
        <f>IF(Assegnazione[[#This Row],[Bene]]="","",SUMIF(A_1[Nome],Assegnazione[[#This Row],[Socio]],A_1[Quota partecipazione al momento dell''operazione]))</f>
        <v/>
      </c>
      <c r="L108" s="175">
        <f>+SUMIF(B[Bene],Assegnazione[[#This Row],[Bene]],B[Valore catastale])*Assegnazione[[#This Row],[Quota di assegnazione]]</f>
        <v>0</v>
      </c>
      <c r="M10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5">
        <f>+MIN(Assegnazione[[#This Row],[Valore ai fini dell''atto]],Assegnazione[[#This Row],[Valore Fiscalmente riconosciuto]])</f>
        <v>0</v>
      </c>
      <c r="O108" s="149" t="str">
        <f>+IFERROR(VLOOKUP(Assegnazione[[#This Row],[Bene]],B[],MATCH($O$4,Beni!$A$4:$Z$4,0),0),"")</f>
        <v/>
      </c>
      <c r="P10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8">
        <f>+SUMIF(B[Bene],Assegnazione[[#This Row],[Bene]],B[Iva se dovuta])*Assegnazione[[#This Row],[Quota di assegnazione]]</f>
        <v>0</v>
      </c>
      <c r="S108" s="178">
        <f>+SUMIF(B[Bene],Assegnazione[[#This Row],[Bene]],B[Imposta di registro (fissa + prop) senza agevolazione])*Assegnazione[[#This Row],[Quota di assegnazione]]</f>
        <v>0</v>
      </c>
      <c r="T108" s="178">
        <f>+SUMIF(B[Bene],Assegnazione[[#This Row],[Bene]],B[Ipotecaria e catastale senza agevolazione])*Assegnazione[[#This Row],[Quota di assegnazione]]</f>
        <v>0</v>
      </c>
      <c r="U108" s="179">
        <f>+SUM(Assegnazione[[#This Row],[Tassazione diretta senza agevolazione]:[Ipotecaria e catastale senza agevolazione]])</f>
        <v>0</v>
      </c>
      <c r="V108" s="178">
        <f>+SUMIF(B[Bene],Assegnazione[[#This Row],[Bene]],B[Imponibile Imposta sostitutiva])*Assegnazione[[#This Row],[Quota di assegnazione]]*DATI!$E$27</f>
        <v>0</v>
      </c>
      <c r="W108" s="178">
        <f>+SUMIF(B[Bene],Assegnazione[[#This Row],[Bene]],B[Imposta di registro in misura fissa agevolata])*Assegnazione[[#This Row],[Quota di assegnazione]]</f>
        <v>0</v>
      </c>
      <c r="X108" s="178">
        <f>+SUMIF(B[Bene],Assegnazione[[#This Row],[Bene]],B[Imposta di registro prop. Agevolata])*Assegnazione[[#This Row],[Quota di assegnazione]]</f>
        <v>0</v>
      </c>
      <c r="Y108" s="178">
        <f>+IFERROR(Assegnazione[[#This Row],[Imposta di registro in misura fissa]]+Assegnazione[[#This Row],[Imposta di registro prop.]],"")</f>
        <v>0</v>
      </c>
      <c r="Z108" s="178">
        <f>+SUMIF(B[Bene],Assegnazione[[#This Row],[Bene]],B[Ipotecaria catastale agevolata])*Assegnazione[[#This Row],[Quota di assegnazione]]</f>
        <v>0</v>
      </c>
    </row>
    <row r="109" spans="1:26" x14ac:dyDescent="0.2">
      <c r="A109" s="126"/>
      <c r="B109" s="135"/>
      <c r="C109" s="126"/>
      <c r="D109" s="175">
        <f>+SUMIF(B[Bene],Assegnazione[[#This Row],[Bene]],B[Imponibile Iva])*Assegnazione[[#This Row],[Quota di assegnazione]]</f>
        <v>0</v>
      </c>
      <c r="E109" s="175">
        <f>+SUMIF(B[Bene],Assegnazione[[#This Row],[Bene]],B[Valore inserito manualmente])*Assegnazione[[#This Row],[Quota di assegnazione]]</f>
        <v>0</v>
      </c>
      <c r="F109" s="176" t="str">
        <f>+IF(A109="","",VLOOKUP(Assegnazione[[#This Row],[Bene]],B[],3,0))</f>
        <v/>
      </c>
      <c r="G109" s="132" t="str">
        <f>+IFERROR(VLOOKUP(Assegnazione[[#This Row],[Bene]],B[],MATCH("Agevolabile",Beni!$A$4:$AC$4,0),0)*VLOOKUP(Assegnazione[[#This Row],[Socio]],A_1[],8,0),"")</f>
        <v/>
      </c>
      <c r="H109" s="175">
        <f>+SUMIF(B[Bene],Assegnazione[[#This Row],[Bene]],B[Valore netto contabile fiscalmente riconosciuto])*Assegnazione[[#This Row],[Quota di assegnazione]]</f>
        <v>0</v>
      </c>
      <c r="I109" s="175">
        <f>+SUMIF(B[Bene],Assegnazione[[#This Row],[Bene]],B[Valore normale])*Assegnazione[[#This Row],[Quota di assegnazione]]</f>
        <v>0</v>
      </c>
      <c r="J109" s="177">
        <f>+IF(Assegnazione[[#This Row],[Bene]]="",0,SUMIF(Assegnazione[Socio],Assegnazione[[#This Row],[Socio]],Assegnazione[Valore Normale])/$I$3)</f>
        <v>0</v>
      </c>
      <c r="K109" s="177" t="str">
        <f>IF(Assegnazione[[#This Row],[Bene]]="","",SUMIF(A_1[Nome],Assegnazione[[#This Row],[Socio]],A_1[Quota partecipazione al momento dell''operazione]))</f>
        <v/>
      </c>
      <c r="L109" s="175">
        <f>+SUMIF(B[Bene],Assegnazione[[#This Row],[Bene]],B[Valore catastale])*Assegnazione[[#This Row],[Quota di assegnazione]]</f>
        <v>0</v>
      </c>
      <c r="M10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5">
        <f>+MIN(Assegnazione[[#This Row],[Valore ai fini dell''atto]],Assegnazione[[#This Row],[Valore Fiscalmente riconosciuto]])</f>
        <v>0</v>
      </c>
      <c r="O109" s="149" t="str">
        <f>+IFERROR(VLOOKUP(Assegnazione[[#This Row],[Bene]],B[],MATCH($O$4,Beni!$A$4:$Z$4,0),0),"")</f>
        <v/>
      </c>
      <c r="P10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8">
        <f>+SUMIF(B[Bene],Assegnazione[[#This Row],[Bene]],B[Iva se dovuta])*Assegnazione[[#This Row],[Quota di assegnazione]]</f>
        <v>0</v>
      </c>
      <c r="S109" s="178">
        <f>+SUMIF(B[Bene],Assegnazione[[#This Row],[Bene]],B[Imposta di registro (fissa + prop) senza agevolazione])*Assegnazione[[#This Row],[Quota di assegnazione]]</f>
        <v>0</v>
      </c>
      <c r="T109" s="178">
        <f>+SUMIF(B[Bene],Assegnazione[[#This Row],[Bene]],B[Ipotecaria e catastale senza agevolazione])*Assegnazione[[#This Row],[Quota di assegnazione]]</f>
        <v>0</v>
      </c>
      <c r="U109" s="179">
        <f>+SUM(Assegnazione[[#This Row],[Tassazione diretta senza agevolazione]:[Ipotecaria e catastale senza agevolazione]])</f>
        <v>0</v>
      </c>
      <c r="V109" s="178">
        <f>+SUMIF(B[Bene],Assegnazione[[#This Row],[Bene]],B[Imponibile Imposta sostitutiva])*Assegnazione[[#This Row],[Quota di assegnazione]]*DATI!$E$27</f>
        <v>0</v>
      </c>
      <c r="W109" s="178">
        <f>+SUMIF(B[Bene],Assegnazione[[#This Row],[Bene]],B[Imposta di registro in misura fissa agevolata])*Assegnazione[[#This Row],[Quota di assegnazione]]</f>
        <v>0</v>
      </c>
      <c r="X109" s="178">
        <f>+SUMIF(B[Bene],Assegnazione[[#This Row],[Bene]],B[Imposta di registro prop. Agevolata])*Assegnazione[[#This Row],[Quota di assegnazione]]</f>
        <v>0</v>
      </c>
      <c r="Y109" s="178">
        <f>+IFERROR(Assegnazione[[#This Row],[Imposta di registro in misura fissa]]+Assegnazione[[#This Row],[Imposta di registro prop.]],"")</f>
        <v>0</v>
      </c>
      <c r="Z109" s="178">
        <f>+SUMIF(B[Bene],Assegnazione[[#This Row],[Bene]],B[Ipotecaria catastale agevolata])*Assegnazione[[#This Row],[Quota di assegnazione]]</f>
        <v>0</v>
      </c>
    </row>
    <row r="110" spans="1:26" x14ac:dyDescent="0.2">
      <c r="A110" s="126"/>
      <c r="B110" s="135"/>
      <c r="C110" s="126"/>
      <c r="D110" s="175">
        <f>+SUMIF(B[Bene],Assegnazione[[#This Row],[Bene]],B[Imponibile Iva])*Assegnazione[[#This Row],[Quota di assegnazione]]</f>
        <v>0</v>
      </c>
      <c r="E110" s="175">
        <f>+SUMIF(B[Bene],Assegnazione[[#This Row],[Bene]],B[Valore inserito manualmente])*Assegnazione[[#This Row],[Quota di assegnazione]]</f>
        <v>0</v>
      </c>
      <c r="F110" s="176" t="str">
        <f>+IF(A110="","",VLOOKUP(Assegnazione[[#This Row],[Bene]],B[],3,0))</f>
        <v/>
      </c>
      <c r="G110" s="132" t="str">
        <f>+IFERROR(VLOOKUP(Assegnazione[[#This Row],[Bene]],B[],MATCH("Agevolabile",Beni!$A$4:$AC$4,0),0)*VLOOKUP(Assegnazione[[#This Row],[Socio]],A_1[],8,0),"")</f>
        <v/>
      </c>
      <c r="H110" s="175">
        <f>+SUMIF(B[Bene],Assegnazione[[#This Row],[Bene]],B[Valore netto contabile fiscalmente riconosciuto])*Assegnazione[[#This Row],[Quota di assegnazione]]</f>
        <v>0</v>
      </c>
      <c r="I110" s="175">
        <f>+SUMIF(B[Bene],Assegnazione[[#This Row],[Bene]],B[Valore normale])*Assegnazione[[#This Row],[Quota di assegnazione]]</f>
        <v>0</v>
      </c>
      <c r="J110" s="177">
        <f>+IF(Assegnazione[[#This Row],[Bene]]="",0,SUMIF(Assegnazione[Socio],Assegnazione[[#This Row],[Socio]],Assegnazione[Valore Normale])/$I$3)</f>
        <v>0</v>
      </c>
      <c r="K110" s="177" t="str">
        <f>IF(Assegnazione[[#This Row],[Bene]]="","",SUMIF(A_1[Nome],Assegnazione[[#This Row],[Socio]],A_1[Quota partecipazione al momento dell''operazione]))</f>
        <v/>
      </c>
      <c r="L110" s="175">
        <f>+SUMIF(B[Bene],Assegnazione[[#This Row],[Bene]],B[Valore catastale])*Assegnazione[[#This Row],[Quota di assegnazione]]</f>
        <v>0</v>
      </c>
      <c r="M1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5">
        <f>+MIN(Assegnazione[[#This Row],[Valore ai fini dell''atto]],Assegnazione[[#This Row],[Valore Fiscalmente riconosciuto]])</f>
        <v>0</v>
      </c>
      <c r="O110" s="149" t="str">
        <f>+IFERROR(VLOOKUP(Assegnazione[[#This Row],[Bene]],B[],MATCH($O$4,Beni!$A$4:$Z$4,0),0),"")</f>
        <v/>
      </c>
      <c r="P1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8">
        <f>+SUMIF(B[Bene],Assegnazione[[#This Row],[Bene]],B[Iva se dovuta])*Assegnazione[[#This Row],[Quota di assegnazione]]</f>
        <v>0</v>
      </c>
      <c r="S110" s="178">
        <f>+SUMIF(B[Bene],Assegnazione[[#This Row],[Bene]],B[Imposta di registro (fissa + prop) senza agevolazione])*Assegnazione[[#This Row],[Quota di assegnazione]]</f>
        <v>0</v>
      </c>
      <c r="T110" s="178">
        <f>+SUMIF(B[Bene],Assegnazione[[#This Row],[Bene]],B[Ipotecaria e catastale senza agevolazione])*Assegnazione[[#This Row],[Quota di assegnazione]]</f>
        <v>0</v>
      </c>
      <c r="U110" s="179">
        <f>+SUM(Assegnazione[[#This Row],[Tassazione diretta senza agevolazione]:[Ipotecaria e catastale senza agevolazione]])</f>
        <v>0</v>
      </c>
      <c r="V110" s="178">
        <f>+SUMIF(B[Bene],Assegnazione[[#This Row],[Bene]],B[Imponibile Imposta sostitutiva])*Assegnazione[[#This Row],[Quota di assegnazione]]*DATI!$E$27</f>
        <v>0</v>
      </c>
      <c r="W110" s="178">
        <f>+SUMIF(B[Bene],Assegnazione[[#This Row],[Bene]],B[Imposta di registro in misura fissa agevolata])*Assegnazione[[#This Row],[Quota di assegnazione]]</f>
        <v>0</v>
      </c>
      <c r="X110" s="178">
        <f>+SUMIF(B[Bene],Assegnazione[[#This Row],[Bene]],B[Imposta di registro prop. Agevolata])*Assegnazione[[#This Row],[Quota di assegnazione]]</f>
        <v>0</v>
      </c>
      <c r="Y110" s="178">
        <f>+IFERROR(Assegnazione[[#This Row],[Imposta di registro in misura fissa]]+Assegnazione[[#This Row],[Imposta di registro prop.]],"")</f>
        <v>0</v>
      </c>
      <c r="Z110" s="178">
        <f>+SUMIF(B[Bene],Assegnazione[[#This Row],[Bene]],B[Ipotecaria catastale agevolata])*Assegnazione[[#This Row],[Quota di assegnazione]]</f>
        <v>0</v>
      </c>
    </row>
    <row r="111" spans="1:26" x14ac:dyDescent="0.2">
      <c r="A111" s="126"/>
      <c r="B111" s="135"/>
      <c r="C111" s="126"/>
      <c r="D111" s="175">
        <f>+SUMIF(B[Bene],Assegnazione[[#This Row],[Bene]],B[Imponibile Iva])*Assegnazione[[#This Row],[Quota di assegnazione]]</f>
        <v>0</v>
      </c>
      <c r="E111" s="175">
        <f>+SUMIF(B[Bene],Assegnazione[[#This Row],[Bene]],B[Valore inserito manualmente])*Assegnazione[[#This Row],[Quota di assegnazione]]</f>
        <v>0</v>
      </c>
      <c r="F111" s="176" t="str">
        <f>+IF(A111="","",VLOOKUP(Assegnazione[[#This Row],[Bene]],B[],3,0))</f>
        <v/>
      </c>
      <c r="G111" s="132" t="str">
        <f>+IFERROR(VLOOKUP(Assegnazione[[#This Row],[Bene]],B[],MATCH("Agevolabile",Beni!$A$4:$AC$4,0),0)*VLOOKUP(Assegnazione[[#This Row],[Socio]],A_1[],8,0),"")</f>
        <v/>
      </c>
      <c r="H111" s="175">
        <f>+SUMIF(B[Bene],Assegnazione[[#This Row],[Bene]],B[Valore netto contabile fiscalmente riconosciuto])*Assegnazione[[#This Row],[Quota di assegnazione]]</f>
        <v>0</v>
      </c>
      <c r="I111" s="175">
        <f>+SUMIF(B[Bene],Assegnazione[[#This Row],[Bene]],B[Valore normale])*Assegnazione[[#This Row],[Quota di assegnazione]]</f>
        <v>0</v>
      </c>
      <c r="J111" s="177">
        <f>+IF(Assegnazione[[#This Row],[Bene]]="",0,SUMIF(Assegnazione[Socio],Assegnazione[[#This Row],[Socio]],Assegnazione[Valore Normale])/$I$3)</f>
        <v>0</v>
      </c>
      <c r="K111" s="177" t="str">
        <f>IF(Assegnazione[[#This Row],[Bene]]="","",SUMIF(A_1[Nome],Assegnazione[[#This Row],[Socio]],A_1[Quota partecipazione al momento dell''operazione]))</f>
        <v/>
      </c>
      <c r="L111" s="175">
        <f>+SUMIF(B[Bene],Assegnazione[[#This Row],[Bene]],B[Valore catastale])*Assegnazione[[#This Row],[Quota di assegnazione]]</f>
        <v>0</v>
      </c>
      <c r="M1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5">
        <f>+MIN(Assegnazione[[#This Row],[Valore ai fini dell''atto]],Assegnazione[[#This Row],[Valore Fiscalmente riconosciuto]])</f>
        <v>0</v>
      </c>
      <c r="O111" s="149" t="str">
        <f>+IFERROR(VLOOKUP(Assegnazione[[#This Row],[Bene]],B[],MATCH($O$4,Beni!$A$4:$Z$4,0),0),"")</f>
        <v/>
      </c>
      <c r="P1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8">
        <f>+SUMIF(B[Bene],Assegnazione[[#This Row],[Bene]],B[Iva se dovuta])*Assegnazione[[#This Row],[Quota di assegnazione]]</f>
        <v>0</v>
      </c>
      <c r="S111" s="178">
        <f>+SUMIF(B[Bene],Assegnazione[[#This Row],[Bene]],B[Imposta di registro (fissa + prop) senza agevolazione])*Assegnazione[[#This Row],[Quota di assegnazione]]</f>
        <v>0</v>
      </c>
      <c r="T111" s="178">
        <f>+SUMIF(B[Bene],Assegnazione[[#This Row],[Bene]],B[Ipotecaria e catastale senza agevolazione])*Assegnazione[[#This Row],[Quota di assegnazione]]</f>
        <v>0</v>
      </c>
      <c r="U111" s="179">
        <f>+SUM(Assegnazione[[#This Row],[Tassazione diretta senza agevolazione]:[Ipotecaria e catastale senza agevolazione]])</f>
        <v>0</v>
      </c>
      <c r="V111" s="178">
        <f>+SUMIF(B[Bene],Assegnazione[[#This Row],[Bene]],B[Imponibile Imposta sostitutiva])*Assegnazione[[#This Row],[Quota di assegnazione]]*DATI!$E$27</f>
        <v>0</v>
      </c>
      <c r="W111" s="178">
        <f>+SUMIF(B[Bene],Assegnazione[[#This Row],[Bene]],B[Imposta di registro in misura fissa agevolata])*Assegnazione[[#This Row],[Quota di assegnazione]]</f>
        <v>0</v>
      </c>
      <c r="X111" s="178">
        <f>+SUMIF(B[Bene],Assegnazione[[#This Row],[Bene]],B[Imposta di registro prop. Agevolata])*Assegnazione[[#This Row],[Quota di assegnazione]]</f>
        <v>0</v>
      </c>
      <c r="Y111" s="178">
        <f>+IFERROR(Assegnazione[[#This Row],[Imposta di registro in misura fissa]]+Assegnazione[[#This Row],[Imposta di registro prop.]],"")</f>
        <v>0</v>
      </c>
      <c r="Z111" s="178">
        <f>+SUMIF(B[Bene],Assegnazione[[#This Row],[Bene]],B[Ipotecaria catastale agevolata])*Assegnazione[[#This Row],[Quota di assegnazione]]</f>
        <v>0</v>
      </c>
    </row>
    <row r="112" spans="1:26" x14ac:dyDescent="0.2">
      <c r="A112" s="126"/>
      <c r="B112" s="135"/>
      <c r="C112" s="126"/>
      <c r="D112" s="175">
        <f>+SUMIF(B[Bene],Assegnazione[[#This Row],[Bene]],B[Imponibile Iva])*Assegnazione[[#This Row],[Quota di assegnazione]]</f>
        <v>0</v>
      </c>
      <c r="E112" s="175">
        <f>+SUMIF(B[Bene],Assegnazione[[#This Row],[Bene]],B[Valore inserito manualmente])*Assegnazione[[#This Row],[Quota di assegnazione]]</f>
        <v>0</v>
      </c>
      <c r="F112" s="176" t="str">
        <f>+IF(A112="","",VLOOKUP(Assegnazione[[#This Row],[Bene]],B[],3,0))</f>
        <v/>
      </c>
      <c r="G112" s="132" t="str">
        <f>+IFERROR(VLOOKUP(Assegnazione[[#This Row],[Bene]],B[],MATCH("Agevolabile",Beni!$A$4:$AC$4,0),0)*VLOOKUP(Assegnazione[[#This Row],[Socio]],A_1[],8,0),"")</f>
        <v/>
      </c>
      <c r="H112" s="175">
        <f>+SUMIF(B[Bene],Assegnazione[[#This Row],[Bene]],B[Valore netto contabile fiscalmente riconosciuto])*Assegnazione[[#This Row],[Quota di assegnazione]]</f>
        <v>0</v>
      </c>
      <c r="I112" s="175">
        <f>+SUMIF(B[Bene],Assegnazione[[#This Row],[Bene]],B[Valore normale])*Assegnazione[[#This Row],[Quota di assegnazione]]</f>
        <v>0</v>
      </c>
      <c r="J112" s="177">
        <f>+IF(Assegnazione[[#This Row],[Bene]]="",0,SUMIF(Assegnazione[Socio],Assegnazione[[#This Row],[Socio]],Assegnazione[Valore Normale])/$I$3)</f>
        <v>0</v>
      </c>
      <c r="K112" s="177" t="str">
        <f>IF(Assegnazione[[#This Row],[Bene]]="","",SUMIF(A_1[Nome],Assegnazione[[#This Row],[Socio]],A_1[Quota partecipazione al momento dell''operazione]))</f>
        <v/>
      </c>
      <c r="L112" s="175">
        <f>+SUMIF(B[Bene],Assegnazione[[#This Row],[Bene]],B[Valore catastale])*Assegnazione[[#This Row],[Quota di assegnazione]]</f>
        <v>0</v>
      </c>
      <c r="M1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5">
        <f>+MIN(Assegnazione[[#This Row],[Valore ai fini dell''atto]],Assegnazione[[#This Row],[Valore Fiscalmente riconosciuto]])</f>
        <v>0</v>
      </c>
      <c r="O112" s="149" t="str">
        <f>+IFERROR(VLOOKUP(Assegnazione[[#This Row],[Bene]],B[],MATCH($O$4,Beni!$A$4:$Z$4,0),0),"")</f>
        <v/>
      </c>
      <c r="P1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8">
        <f>+SUMIF(B[Bene],Assegnazione[[#This Row],[Bene]],B[Iva se dovuta])*Assegnazione[[#This Row],[Quota di assegnazione]]</f>
        <v>0</v>
      </c>
      <c r="S112" s="178">
        <f>+SUMIF(B[Bene],Assegnazione[[#This Row],[Bene]],B[Imposta di registro (fissa + prop) senza agevolazione])*Assegnazione[[#This Row],[Quota di assegnazione]]</f>
        <v>0</v>
      </c>
      <c r="T112" s="178">
        <f>+SUMIF(B[Bene],Assegnazione[[#This Row],[Bene]],B[Ipotecaria e catastale senza agevolazione])*Assegnazione[[#This Row],[Quota di assegnazione]]</f>
        <v>0</v>
      </c>
      <c r="U112" s="179">
        <f>+SUM(Assegnazione[[#This Row],[Tassazione diretta senza agevolazione]:[Ipotecaria e catastale senza agevolazione]])</f>
        <v>0</v>
      </c>
      <c r="V112" s="178">
        <f>+SUMIF(B[Bene],Assegnazione[[#This Row],[Bene]],B[Imponibile Imposta sostitutiva])*Assegnazione[[#This Row],[Quota di assegnazione]]*DATI!$E$27</f>
        <v>0</v>
      </c>
      <c r="W112" s="178">
        <f>+SUMIF(B[Bene],Assegnazione[[#This Row],[Bene]],B[Imposta di registro in misura fissa agevolata])*Assegnazione[[#This Row],[Quota di assegnazione]]</f>
        <v>0</v>
      </c>
      <c r="X112" s="178">
        <f>+SUMIF(B[Bene],Assegnazione[[#This Row],[Bene]],B[Imposta di registro prop. Agevolata])*Assegnazione[[#This Row],[Quota di assegnazione]]</f>
        <v>0</v>
      </c>
      <c r="Y112" s="178">
        <f>+IFERROR(Assegnazione[[#This Row],[Imposta di registro in misura fissa]]+Assegnazione[[#This Row],[Imposta di registro prop.]],"")</f>
        <v>0</v>
      </c>
      <c r="Z112" s="178">
        <f>+SUMIF(B[Bene],Assegnazione[[#This Row],[Bene]],B[Ipotecaria catastale agevolata])*Assegnazione[[#This Row],[Quota di assegnazione]]</f>
        <v>0</v>
      </c>
    </row>
    <row r="113" spans="1:26" x14ac:dyDescent="0.2">
      <c r="A113" s="126"/>
      <c r="B113" s="135"/>
      <c r="C113" s="126"/>
      <c r="D113" s="175">
        <f>+SUMIF(B[Bene],Assegnazione[[#This Row],[Bene]],B[Imponibile Iva])*Assegnazione[[#This Row],[Quota di assegnazione]]</f>
        <v>0</v>
      </c>
      <c r="E113" s="175">
        <f>+SUMIF(B[Bene],Assegnazione[[#This Row],[Bene]],B[Valore inserito manualmente])*Assegnazione[[#This Row],[Quota di assegnazione]]</f>
        <v>0</v>
      </c>
      <c r="F113" s="176" t="str">
        <f>+IF(A113="","",VLOOKUP(Assegnazione[[#This Row],[Bene]],B[],3,0))</f>
        <v/>
      </c>
      <c r="G113" s="132" t="str">
        <f>+IFERROR(VLOOKUP(Assegnazione[[#This Row],[Bene]],B[],MATCH("Agevolabile",Beni!$A$4:$AC$4,0),0)*VLOOKUP(Assegnazione[[#This Row],[Socio]],A_1[],8,0),"")</f>
        <v/>
      </c>
      <c r="H113" s="175">
        <f>+SUMIF(B[Bene],Assegnazione[[#This Row],[Bene]],B[Valore netto contabile fiscalmente riconosciuto])*Assegnazione[[#This Row],[Quota di assegnazione]]</f>
        <v>0</v>
      </c>
      <c r="I113" s="175">
        <f>+SUMIF(B[Bene],Assegnazione[[#This Row],[Bene]],B[Valore normale])*Assegnazione[[#This Row],[Quota di assegnazione]]</f>
        <v>0</v>
      </c>
      <c r="J113" s="177">
        <f>+IF(Assegnazione[[#This Row],[Bene]]="",0,SUMIF(Assegnazione[Socio],Assegnazione[[#This Row],[Socio]],Assegnazione[Valore Normale])/$I$3)</f>
        <v>0</v>
      </c>
      <c r="K113" s="177" t="str">
        <f>IF(Assegnazione[[#This Row],[Bene]]="","",SUMIF(A_1[Nome],Assegnazione[[#This Row],[Socio]],A_1[Quota partecipazione al momento dell''operazione]))</f>
        <v/>
      </c>
      <c r="L113" s="175">
        <f>+SUMIF(B[Bene],Assegnazione[[#This Row],[Bene]],B[Valore catastale])*Assegnazione[[#This Row],[Quota di assegnazione]]</f>
        <v>0</v>
      </c>
      <c r="M1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5">
        <f>+MIN(Assegnazione[[#This Row],[Valore ai fini dell''atto]],Assegnazione[[#This Row],[Valore Fiscalmente riconosciuto]])</f>
        <v>0</v>
      </c>
      <c r="O113" s="149" t="str">
        <f>+IFERROR(VLOOKUP(Assegnazione[[#This Row],[Bene]],B[],MATCH($O$4,Beni!$A$4:$Z$4,0),0),"")</f>
        <v/>
      </c>
      <c r="P1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8">
        <f>+SUMIF(B[Bene],Assegnazione[[#This Row],[Bene]],B[Iva se dovuta])*Assegnazione[[#This Row],[Quota di assegnazione]]</f>
        <v>0</v>
      </c>
      <c r="S113" s="178">
        <f>+SUMIF(B[Bene],Assegnazione[[#This Row],[Bene]],B[Imposta di registro (fissa + prop) senza agevolazione])*Assegnazione[[#This Row],[Quota di assegnazione]]</f>
        <v>0</v>
      </c>
      <c r="T113" s="178">
        <f>+SUMIF(B[Bene],Assegnazione[[#This Row],[Bene]],B[Ipotecaria e catastale senza agevolazione])*Assegnazione[[#This Row],[Quota di assegnazione]]</f>
        <v>0</v>
      </c>
      <c r="U113" s="179">
        <f>+SUM(Assegnazione[[#This Row],[Tassazione diretta senza agevolazione]:[Ipotecaria e catastale senza agevolazione]])</f>
        <v>0</v>
      </c>
      <c r="V113" s="178">
        <f>+SUMIF(B[Bene],Assegnazione[[#This Row],[Bene]],B[Imponibile Imposta sostitutiva])*Assegnazione[[#This Row],[Quota di assegnazione]]*DATI!$E$27</f>
        <v>0</v>
      </c>
      <c r="W113" s="178">
        <f>+SUMIF(B[Bene],Assegnazione[[#This Row],[Bene]],B[Imposta di registro in misura fissa agevolata])*Assegnazione[[#This Row],[Quota di assegnazione]]</f>
        <v>0</v>
      </c>
      <c r="X113" s="178">
        <f>+SUMIF(B[Bene],Assegnazione[[#This Row],[Bene]],B[Imposta di registro prop. Agevolata])*Assegnazione[[#This Row],[Quota di assegnazione]]</f>
        <v>0</v>
      </c>
      <c r="Y113" s="178">
        <f>+IFERROR(Assegnazione[[#This Row],[Imposta di registro in misura fissa]]+Assegnazione[[#This Row],[Imposta di registro prop.]],"")</f>
        <v>0</v>
      </c>
      <c r="Z113" s="178">
        <f>+SUMIF(B[Bene],Assegnazione[[#This Row],[Bene]],B[Ipotecaria catastale agevolata])*Assegnazione[[#This Row],[Quota di assegnazione]]</f>
        <v>0</v>
      </c>
    </row>
    <row r="114" spans="1:26" x14ac:dyDescent="0.2">
      <c r="A114" s="126"/>
      <c r="B114" s="135"/>
      <c r="C114" s="126"/>
      <c r="D114" s="175">
        <f>+SUMIF(B[Bene],Assegnazione[[#This Row],[Bene]],B[Imponibile Iva])*Assegnazione[[#This Row],[Quota di assegnazione]]</f>
        <v>0</v>
      </c>
      <c r="E114" s="175">
        <f>+SUMIF(B[Bene],Assegnazione[[#This Row],[Bene]],B[Valore inserito manualmente])*Assegnazione[[#This Row],[Quota di assegnazione]]</f>
        <v>0</v>
      </c>
      <c r="F114" s="176" t="str">
        <f>+IF(A114="","",VLOOKUP(Assegnazione[[#This Row],[Bene]],B[],3,0))</f>
        <v/>
      </c>
      <c r="G114" s="132" t="str">
        <f>+IFERROR(VLOOKUP(Assegnazione[[#This Row],[Bene]],B[],MATCH("Agevolabile",Beni!$A$4:$AC$4,0),0)*VLOOKUP(Assegnazione[[#This Row],[Socio]],A_1[],8,0),"")</f>
        <v/>
      </c>
      <c r="H114" s="175">
        <f>+SUMIF(B[Bene],Assegnazione[[#This Row],[Bene]],B[Valore netto contabile fiscalmente riconosciuto])*Assegnazione[[#This Row],[Quota di assegnazione]]</f>
        <v>0</v>
      </c>
      <c r="I114" s="175">
        <f>+SUMIF(B[Bene],Assegnazione[[#This Row],[Bene]],B[Valore normale])*Assegnazione[[#This Row],[Quota di assegnazione]]</f>
        <v>0</v>
      </c>
      <c r="J114" s="177">
        <f>+IF(Assegnazione[[#This Row],[Bene]]="",0,SUMIF(Assegnazione[Socio],Assegnazione[[#This Row],[Socio]],Assegnazione[Valore Normale])/$I$3)</f>
        <v>0</v>
      </c>
      <c r="K114" s="177" t="str">
        <f>IF(Assegnazione[[#This Row],[Bene]]="","",SUMIF(A_1[Nome],Assegnazione[[#This Row],[Socio]],A_1[Quota partecipazione al momento dell''operazione]))</f>
        <v/>
      </c>
      <c r="L114" s="175">
        <f>+SUMIF(B[Bene],Assegnazione[[#This Row],[Bene]],B[Valore catastale])*Assegnazione[[#This Row],[Quota di assegnazione]]</f>
        <v>0</v>
      </c>
      <c r="M1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5">
        <f>+MIN(Assegnazione[[#This Row],[Valore ai fini dell''atto]],Assegnazione[[#This Row],[Valore Fiscalmente riconosciuto]])</f>
        <v>0</v>
      </c>
      <c r="O114" s="149" t="str">
        <f>+IFERROR(VLOOKUP(Assegnazione[[#This Row],[Bene]],B[],MATCH($O$4,Beni!$A$4:$Z$4,0),0),"")</f>
        <v/>
      </c>
      <c r="P1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8">
        <f>+SUMIF(B[Bene],Assegnazione[[#This Row],[Bene]],B[Iva se dovuta])*Assegnazione[[#This Row],[Quota di assegnazione]]</f>
        <v>0</v>
      </c>
      <c r="S114" s="178">
        <f>+SUMIF(B[Bene],Assegnazione[[#This Row],[Bene]],B[Imposta di registro (fissa + prop) senza agevolazione])*Assegnazione[[#This Row],[Quota di assegnazione]]</f>
        <v>0</v>
      </c>
      <c r="T114" s="178">
        <f>+SUMIF(B[Bene],Assegnazione[[#This Row],[Bene]],B[Ipotecaria e catastale senza agevolazione])*Assegnazione[[#This Row],[Quota di assegnazione]]</f>
        <v>0</v>
      </c>
      <c r="U114" s="179">
        <f>+SUM(Assegnazione[[#This Row],[Tassazione diretta senza agevolazione]:[Ipotecaria e catastale senza agevolazione]])</f>
        <v>0</v>
      </c>
      <c r="V114" s="178">
        <f>+SUMIF(B[Bene],Assegnazione[[#This Row],[Bene]],B[Imponibile Imposta sostitutiva])*Assegnazione[[#This Row],[Quota di assegnazione]]*DATI!$E$27</f>
        <v>0</v>
      </c>
      <c r="W114" s="178">
        <f>+SUMIF(B[Bene],Assegnazione[[#This Row],[Bene]],B[Imposta di registro in misura fissa agevolata])*Assegnazione[[#This Row],[Quota di assegnazione]]</f>
        <v>0</v>
      </c>
      <c r="X114" s="178">
        <f>+SUMIF(B[Bene],Assegnazione[[#This Row],[Bene]],B[Imposta di registro prop. Agevolata])*Assegnazione[[#This Row],[Quota di assegnazione]]</f>
        <v>0</v>
      </c>
      <c r="Y114" s="178">
        <f>+IFERROR(Assegnazione[[#This Row],[Imposta di registro in misura fissa]]+Assegnazione[[#This Row],[Imposta di registro prop.]],"")</f>
        <v>0</v>
      </c>
      <c r="Z114" s="178">
        <f>+SUMIF(B[Bene],Assegnazione[[#This Row],[Bene]],B[Ipotecaria catastale agevolata])*Assegnazione[[#This Row],[Quota di assegnazione]]</f>
        <v>0</v>
      </c>
    </row>
    <row r="115" spans="1:26" x14ac:dyDescent="0.2">
      <c r="A115" s="126"/>
      <c r="B115" s="135"/>
      <c r="C115" s="126"/>
      <c r="D115" s="175">
        <f>+SUMIF(B[Bene],Assegnazione[[#This Row],[Bene]],B[Imponibile Iva])*Assegnazione[[#This Row],[Quota di assegnazione]]</f>
        <v>0</v>
      </c>
      <c r="E115" s="175">
        <f>+SUMIF(B[Bene],Assegnazione[[#This Row],[Bene]],B[Valore inserito manualmente])*Assegnazione[[#This Row],[Quota di assegnazione]]</f>
        <v>0</v>
      </c>
      <c r="F115" s="176" t="str">
        <f>+IF(A115="","",VLOOKUP(Assegnazione[[#This Row],[Bene]],B[],3,0))</f>
        <v/>
      </c>
      <c r="G115" s="132" t="str">
        <f>+IFERROR(VLOOKUP(Assegnazione[[#This Row],[Bene]],B[],MATCH("Agevolabile",Beni!$A$4:$AC$4,0),0)*VLOOKUP(Assegnazione[[#This Row],[Socio]],A_1[],8,0),"")</f>
        <v/>
      </c>
      <c r="H115" s="175">
        <f>+SUMIF(B[Bene],Assegnazione[[#This Row],[Bene]],B[Valore netto contabile fiscalmente riconosciuto])*Assegnazione[[#This Row],[Quota di assegnazione]]</f>
        <v>0</v>
      </c>
      <c r="I115" s="175">
        <f>+SUMIF(B[Bene],Assegnazione[[#This Row],[Bene]],B[Valore normale])*Assegnazione[[#This Row],[Quota di assegnazione]]</f>
        <v>0</v>
      </c>
      <c r="J115" s="177">
        <f>+IF(Assegnazione[[#This Row],[Bene]]="",0,SUMIF(Assegnazione[Socio],Assegnazione[[#This Row],[Socio]],Assegnazione[Valore Normale])/$I$3)</f>
        <v>0</v>
      </c>
      <c r="K115" s="177" t="str">
        <f>IF(Assegnazione[[#This Row],[Bene]]="","",SUMIF(A_1[Nome],Assegnazione[[#This Row],[Socio]],A_1[Quota partecipazione al momento dell''operazione]))</f>
        <v/>
      </c>
      <c r="L115" s="175">
        <f>+SUMIF(B[Bene],Assegnazione[[#This Row],[Bene]],B[Valore catastale])*Assegnazione[[#This Row],[Quota di assegnazione]]</f>
        <v>0</v>
      </c>
      <c r="M1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5">
        <f>+MIN(Assegnazione[[#This Row],[Valore ai fini dell''atto]],Assegnazione[[#This Row],[Valore Fiscalmente riconosciuto]])</f>
        <v>0</v>
      </c>
      <c r="O115" s="149" t="str">
        <f>+IFERROR(VLOOKUP(Assegnazione[[#This Row],[Bene]],B[],MATCH($O$4,Beni!$A$4:$Z$4,0),0),"")</f>
        <v/>
      </c>
      <c r="P1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8">
        <f>+SUMIF(B[Bene],Assegnazione[[#This Row],[Bene]],B[Iva se dovuta])*Assegnazione[[#This Row],[Quota di assegnazione]]</f>
        <v>0</v>
      </c>
      <c r="S115" s="178">
        <f>+SUMIF(B[Bene],Assegnazione[[#This Row],[Bene]],B[Imposta di registro (fissa + prop) senza agevolazione])*Assegnazione[[#This Row],[Quota di assegnazione]]</f>
        <v>0</v>
      </c>
      <c r="T115" s="178">
        <f>+SUMIF(B[Bene],Assegnazione[[#This Row],[Bene]],B[Ipotecaria e catastale senza agevolazione])*Assegnazione[[#This Row],[Quota di assegnazione]]</f>
        <v>0</v>
      </c>
      <c r="U115" s="179">
        <f>+SUM(Assegnazione[[#This Row],[Tassazione diretta senza agevolazione]:[Ipotecaria e catastale senza agevolazione]])</f>
        <v>0</v>
      </c>
      <c r="V115" s="178">
        <f>+SUMIF(B[Bene],Assegnazione[[#This Row],[Bene]],B[Imponibile Imposta sostitutiva])*Assegnazione[[#This Row],[Quota di assegnazione]]*DATI!$E$27</f>
        <v>0</v>
      </c>
      <c r="W115" s="178">
        <f>+SUMIF(B[Bene],Assegnazione[[#This Row],[Bene]],B[Imposta di registro in misura fissa agevolata])*Assegnazione[[#This Row],[Quota di assegnazione]]</f>
        <v>0</v>
      </c>
      <c r="X115" s="178">
        <f>+SUMIF(B[Bene],Assegnazione[[#This Row],[Bene]],B[Imposta di registro prop. Agevolata])*Assegnazione[[#This Row],[Quota di assegnazione]]</f>
        <v>0</v>
      </c>
      <c r="Y115" s="178">
        <f>+IFERROR(Assegnazione[[#This Row],[Imposta di registro in misura fissa]]+Assegnazione[[#This Row],[Imposta di registro prop.]],"")</f>
        <v>0</v>
      </c>
      <c r="Z115" s="178">
        <f>+SUMIF(B[Bene],Assegnazione[[#This Row],[Bene]],B[Ipotecaria catastale agevolata])*Assegnazione[[#This Row],[Quota di assegnazione]]</f>
        <v>0</v>
      </c>
    </row>
    <row r="116" spans="1:26" x14ac:dyDescent="0.2">
      <c r="A116" s="126"/>
      <c r="B116" s="135"/>
      <c r="C116" s="126"/>
      <c r="D116" s="175">
        <f>+SUMIF(B[Bene],Assegnazione[[#This Row],[Bene]],B[Imponibile Iva])*Assegnazione[[#This Row],[Quota di assegnazione]]</f>
        <v>0</v>
      </c>
      <c r="E116" s="175">
        <f>+SUMIF(B[Bene],Assegnazione[[#This Row],[Bene]],B[Valore inserito manualmente])*Assegnazione[[#This Row],[Quota di assegnazione]]</f>
        <v>0</v>
      </c>
      <c r="F116" s="176" t="str">
        <f>+IF(A116="","",VLOOKUP(Assegnazione[[#This Row],[Bene]],B[],3,0))</f>
        <v/>
      </c>
      <c r="G116" s="132" t="str">
        <f>+IFERROR(VLOOKUP(Assegnazione[[#This Row],[Bene]],B[],MATCH("Agevolabile",Beni!$A$4:$AC$4,0),0)*VLOOKUP(Assegnazione[[#This Row],[Socio]],A_1[],8,0),"")</f>
        <v/>
      </c>
      <c r="H116" s="175">
        <f>+SUMIF(B[Bene],Assegnazione[[#This Row],[Bene]],B[Valore netto contabile fiscalmente riconosciuto])*Assegnazione[[#This Row],[Quota di assegnazione]]</f>
        <v>0</v>
      </c>
      <c r="I116" s="175">
        <f>+SUMIF(B[Bene],Assegnazione[[#This Row],[Bene]],B[Valore normale])*Assegnazione[[#This Row],[Quota di assegnazione]]</f>
        <v>0</v>
      </c>
      <c r="J116" s="177">
        <f>+IF(Assegnazione[[#This Row],[Bene]]="",0,SUMIF(Assegnazione[Socio],Assegnazione[[#This Row],[Socio]],Assegnazione[Valore Normale])/$I$3)</f>
        <v>0</v>
      </c>
      <c r="K116" s="177" t="str">
        <f>IF(Assegnazione[[#This Row],[Bene]]="","",SUMIF(A_1[Nome],Assegnazione[[#This Row],[Socio]],A_1[Quota partecipazione al momento dell''operazione]))</f>
        <v/>
      </c>
      <c r="L116" s="175">
        <f>+SUMIF(B[Bene],Assegnazione[[#This Row],[Bene]],B[Valore catastale])*Assegnazione[[#This Row],[Quota di assegnazione]]</f>
        <v>0</v>
      </c>
      <c r="M1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5">
        <f>+MIN(Assegnazione[[#This Row],[Valore ai fini dell''atto]],Assegnazione[[#This Row],[Valore Fiscalmente riconosciuto]])</f>
        <v>0</v>
      </c>
      <c r="O116" s="149" t="str">
        <f>+IFERROR(VLOOKUP(Assegnazione[[#This Row],[Bene]],B[],MATCH($O$4,Beni!$A$4:$Z$4,0),0),"")</f>
        <v/>
      </c>
      <c r="P1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8">
        <f>+SUMIF(B[Bene],Assegnazione[[#This Row],[Bene]],B[Iva se dovuta])*Assegnazione[[#This Row],[Quota di assegnazione]]</f>
        <v>0</v>
      </c>
      <c r="S116" s="178">
        <f>+SUMIF(B[Bene],Assegnazione[[#This Row],[Bene]],B[Imposta di registro (fissa + prop) senza agevolazione])*Assegnazione[[#This Row],[Quota di assegnazione]]</f>
        <v>0</v>
      </c>
      <c r="T116" s="178">
        <f>+SUMIF(B[Bene],Assegnazione[[#This Row],[Bene]],B[Ipotecaria e catastale senza agevolazione])*Assegnazione[[#This Row],[Quota di assegnazione]]</f>
        <v>0</v>
      </c>
      <c r="U116" s="179">
        <f>+SUM(Assegnazione[[#This Row],[Tassazione diretta senza agevolazione]:[Ipotecaria e catastale senza agevolazione]])</f>
        <v>0</v>
      </c>
      <c r="V116" s="178">
        <f>+SUMIF(B[Bene],Assegnazione[[#This Row],[Bene]],B[Imponibile Imposta sostitutiva])*Assegnazione[[#This Row],[Quota di assegnazione]]*DATI!$E$27</f>
        <v>0</v>
      </c>
      <c r="W116" s="178">
        <f>+SUMIF(B[Bene],Assegnazione[[#This Row],[Bene]],B[Imposta di registro in misura fissa agevolata])*Assegnazione[[#This Row],[Quota di assegnazione]]</f>
        <v>0</v>
      </c>
      <c r="X116" s="178">
        <f>+SUMIF(B[Bene],Assegnazione[[#This Row],[Bene]],B[Imposta di registro prop. Agevolata])*Assegnazione[[#This Row],[Quota di assegnazione]]</f>
        <v>0</v>
      </c>
      <c r="Y116" s="178">
        <f>+IFERROR(Assegnazione[[#This Row],[Imposta di registro in misura fissa]]+Assegnazione[[#This Row],[Imposta di registro prop.]],"")</f>
        <v>0</v>
      </c>
      <c r="Z116" s="178">
        <f>+SUMIF(B[Bene],Assegnazione[[#This Row],[Bene]],B[Ipotecaria catastale agevolata])*Assegnazione[[#This Row],[Quota di assegnazione]]</f>
        <v>0</v>
      </c>
    </row>
    <row r="117" spans="1:26" x14ac:dyDescent="0.2">
      <c r="A117" s="126"/>
      <c r="B117" s="135"/>
      <c r="C117" s="126"/>
      <c r="D117" s="175">
        <f>+SUMIF(B[Bene],Assegnazione[[#This Row],[Bene]],B[Imponibile Iva])*Assegnazione[[#This Row],[Quota di assegnazione]]</f>
        <v>0</v>
      </c>
      <c r="E117" s="175">
        <f>+SUMIF(B[Bene],Assegnazione[[#This Row],[Bene]],B[Valore inserito manualmente])*Assegnazione[[#This Row],[Quota di assegnazione]]</f>
        <v>0</v>
      </c>
      <c r="F117" s="176" t="str">
        <f>+IF(A117="","",VLOOKUP(Assegnazione[[#This Row],[Bene]],B[],3,0))</f>
        <v/>
      </c>
      <c r="G117" s="132" t="str">
        <f>+IFERROR(VLOOKUP(Assegnazione[[#This Row],[Bene]],B[],MATCH("Agevolabile",Beni!$A$4:$AC$4,0),0)*VLOOKUP(Assegnazione[[#This Row],[Socio]],A_1[],8,0),"")</f>
        <v/>
      </c>
      <c r="H117" s="175">
        <f>+SUMIF(B[Bene],Assegnazione[[#This Row],[Bene]],B[Valore netto contabile fiscalmente riconosciuto])*Assegnazione[[#This Row],[Quota di assegnazione]]</f>
        <v>0</v>
      </c>
      <c r="I117" s="175">
        <f>+SUMIF(B[Bene],Assegnazione[[#This Row],[Bene]],B[Valore normale])*Assegnazione[[#This Row],[Quota di assegnazione]]</f>
        <v>0</v>
      </c>
      <c r="J117" s="177">
        <f>+IF(Assegnazione[[#This Row],[Bene]]="",0,SUMIF(Assegnazione[Socio],Assegnazione[[#This Row],[Socio]],Assegnazione[Valore Normale])/$I$3)</f>
        <v>0</v>
      </c>
      <c r="K117" s="177" t="str">
        <f>IF(Assegnazione[[#This Row],[Bene]]="","",SUMIF(A_1[Nome],Assegnazione[[#This Row],[Socio]],A_1[Quota partecipazione al momento dell''operazione]))</f>
        <v/>
      </c>
      <c r="L117" s="175">
        <f>+SUMIF(B[Bene],Assegnazione[[#This Row],[Bene]],B[Valore catastale])*Assegnazione[[#This Row],[Quota di assegnazione]]</f>
        <v>0</v>
      </c>
      <c r="M1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5">
        <f>+MIN(Assegnazione[[#This Row],[Valore ai fini dell''atto]],Assegnazione[[#This Row],[Valore Fiscalmente riconosciuto]])</f>
        <v>0</v>
      </c>
      <c r="O117" s="149" t="str">
        <f>+IFERROR(VLOOKUP(Assegnazione[[#This Row],[Bene]],B[],MATCH($O$4,Beni!$A$4:$Z$4,0),0),"")</f>
        <v/>
      </c>
      <c r="P1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8">
        <f>+SUMIF(B[Bene],Assegnazione[[#This Row],[Bene]],B[Iva se dovuta])*Assegnazione[[#This Row],[Quota di assegnazione]]</f>
        <v>0</v>
      </c>
      <c r="S117" s="178">
        <f>+SUMIF(B[Bene],Assegnazione[[#This Row],[Bene]],B[Imposta di registro (fissa + prop) senza agevolazione])*Assegnazione[[#This Row],[Quota di assegnazione]]</f>
        <v>0</v>
      </c>
      <c r="T117" s="178">
        <f>+SUMIF(B[Bene],Assegnazione[[#This Row],[Bene]],B[Ipotecaria e catastale senza agevolazione])*Assegnazione[[#This Row],[Quota di assegnazione]]</f>
        <v>0</v>
      </c>
      <c r="U117" s="179">
        <f>+SUM(Assegnazione[[#This Row],[Tassazione diretta senza agevolazione]:[Ipotecaria e catastale senza agevolazione]])</f>
        <v>0</v>
      </c>
      <c r="V117" s="178">
        <f>+SUMIF(B[Bene],Assegnazione[[#This Row],[Bene]],B[Imponibile Imposta sostitutiva])*Assegnazione[[#This Row],[Quota di assegnazione]]*DATI!$E$27</f>
        <v>0</v>
      </c>
      <c r="W117" s="178">
        <f>+SUMIF(B[Bene],Assegnazione[[#This Row],[Bene]],B[Imposta di registro in misura fissa agevolata])*Assegnazione[[#This Row],[Quota di assegnazione]]</f>
        <v>0</v>
      </c>
      <c r="X117" s="178">
        <f>+SUMIF(B[Bene],Assegnazione[[#This Row],[Bene]],B[Imposta di registro prop. Agevolata])*Assegnazione[[#This Row],[Quota di assegnazione]]</f>
        <v>0</v>
      </c>
      <c r="Y117" s="178">
        <f>+IFERROR(Assegnazione[[#This Row],[Imposta di registro in misura fissa]]+Assegnazione[[#This Row],[Imposta di registro prop.]],"")</f>
        <v>0</v>
      </c>
      <c r="Z117" s="178">
        <f>+SUMIF(B[Bene],Assegnazione[[#This Row],[Bene]],B[Ipotecaria catastale agevolata])*Assegnazione[[#This Row],[Quota di assegnazione]]</f>
        <v>0</v>
      </c>
    </row>
    <row r="118" spans="1:26" x14ac:dyDescent="0.2">
      <c r="A118" s="126"/>
      <c r="B118" s="135"/>
      <c r="C118" s="126"/>
      <c r="D118" s="175">
        <f>+SUMIF(B[Bene],Assegnazione[[#This Row],[Bene]],B[Imponibile Iva])*Assegnazione[[#This Row],[Quota di assegnazione]]</f>
        <v>0</v>
      </c>
      <c r="E118" s="175">
        <f>+SUMIF(B[Bene],Assegnazione[[#This Row],[Bene]],B[Valore inserito manualmente])*Assegnazione[[#This Row],[Quota di assegnazione]]</f>
        <v>0</v>
      </c>
      <c r="F118" s="176" t="str">
        <f>+IF(A118="","",VLOOKUP(Assegnazione[[#This Row],[Bene]],B[],3,0))</f>
        <v/>
      </c>
      <c r="G118" s="132" t="str">
        <f>+IFERROR(VLOOKUP(Assegnazione[[#This Row],[Bene]],B[],MATCH("Agevolabile",Beni!$A$4:$AC$4,0),0)*VLOOKUP(Assegnazione[[#This Row],[Socio]],A_1[],8,0),"")</f>
        <v/>
      </c>
      <c r="H118" s="175">
        <f>+SUMIF(B[Bene],Assegnazione[[#This Row],[Bene]],B[Valore netto contabile fiscalmente riconosciuto])*Assegnazione[[#This Row],[Quota di assegnazione]]</f>
        <v>0</v>
      </c>
      <c r="I118" s="175">
        <f>+SUMIF(B[Bene],Assegnazione[[#This Row],[Bene]],B[Valore normale])*Assegnazione[[#This Row],[Quota di assegnazione]]</f>
        <v>0</v>
      </c>
      <c r="J118" s="177">
        <f>+IF(Assegnazione[[#This Row],[Bene]]="",0,SUMIF(Assegnazione[Socio],Assegnazione[[#This Row],[Socio]],Assegnazione[Valore Normale])/$I$3)</f>
        <v>0</v>
      </c>
      <c r="K118" s="177" t="str">
        <f>IF(Assegnazione[[#This Row],[Bene]]="","",SUMIF(A_1[Nome],Assegnazione[[#This Row],[Socio]],A_1[Quota partecipazione al momento dell''operazione]))</f>
        <v/>
      </c>
      <c r="L118" s="175">
        <f>+SUMIF(B[Bene],Assegnazione[[#This Row],[Bene]],B[Valore catastale])*Assegnazione[[#This Row],[Quota di assegnazione]]</f>
        <v>0</v>
      </c>
      <c r="M1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5">
        <f>+MIN(Assegnazione[[#This Row],[Valore ai fini dell''atto]],Assegnazione[[#This Row],[Valore Fiscalmente riconosciuto]])</f>
        <v>0</v>
      </c>
      <c r="O118" s="149" t="str">
        <f>+IFERROR(VLOOKUP(Assegnazione[[#This Row],[Bene]],B[],MATCH($O$4,Beni!$A$4:$Z$4,0),0),"")</f>
        <v/>
      </c>
      <c r="P1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8">
        <f>+SUMIF(B[Bene],Assegnazione[[#This Row],[Bene]],B[Iva se dovuta])*Assegnazione[[#This Row],[Quota di assegnazione]]</f>
        <v>0</v>
      </c>
      <c r="S118" s="178">
        <f>+SUMIF(B[Bene],Assegnazione[[#This Row],[Bene]],B[Imposta di registro (fissa + prop) senza agevolazione])*Assegnazione[[#This Row],[Quota di assegnazione]]</f>
        <v>0</v>
      </c>
      <c r="T118" s="178">
        <f>+SUMIF(B[Bene],Assegnazione[[#This Row],[Bene]],B[Ipotecaria e catastale senza agevolazione])*Assegnazione[[#This Row],[Quota di assegnazione]]</f>
        <v>0</v>
      </c>
      <c r="U118" s="179">
        <f>+SUM(Assegnazione[[#This Row],[Tassazione diretta senza agevolazione]:[Ipotecaria e catastale senza agevolazione]])</f>
        <v>0</v>
      </c>
      <c r="V118" s="178">
        <f>+SUMIF(B[Bene],Assegnazione[[#This Row],[Bene]],B[Imponibile Imposta sostitutiva])*Assegnazione[[#This Row],[Quota di assegnazione]]*DATI!$E$27</f>
        <v>0</v>
      </c>
      <c r="W118" s="178">
        <f>+SUMIF(B[Bene],Assegnazione[[#This Row],[Bene]],B[Imposta di registro in misura fissa agevolata])*Assegnazione[[#This Row],[Quota di assegnazione]]</f>
        <v>0</v>
      </c>
      <c r="X118" s="178">
        <f>+SUMIF(B[Bene],Assegnazione[[#This Row],[Bene]],B[Imposta di registro prop. Agevolata])*Assegnazione[[#This Row],[Quota di assegnazione]]</f>
        <v>0</v>
      </c>
      <c r="Y118" s="178">
        <f>+IFERROR(Assegnazione[[#This Row],[Imposta di registro in misura fissa]]+Assegnazione[[#This Row],[Imposta di registro prop.]],"")</f>
        <v>0</v>
      </c>
      <c r="Z118" s="178">
        <f>+SUMIF(B[Bene],Assegnazione[[#This Row],[Bene]],B[Ipotecaria catastale agevolata])*Assegnazione[[#This Row],[Quota di assegnazione]]</f>
        <v>0</v>
      </c>
    </row>
    <row r="119" spans="1:26" x14ac:dyDescent="0.2">
      <c r="A119" s="126"/>
      <c r="B119" s="135"/>
      <c r="C119" s="126"/>
      <c r="D119" s="175">
        <f>+SUMIF(B[Bene],Assegnazione[[#This Row],[Bene]],B[Imponibile Iva])*Assegnazione[[#This Row],[Quota di assegnazione]]</f>
        <v>0</v>
      </c>
      <c r="E119" s="175">
        <f>+SUMIF(B[Bene],Assegnazione[[#This Row],[Bene]],B[Valore inserito manualmente])*Assegnazione[[#This Row],[Quota di assegnazione]]</f>
        <v>0</v>
      </c>
      <c r="F119" s="176" t="str">
        <f>+IF(A119="","",VLOOKUP(Assegnazione[[#This Row],[Bene]],B[],3,0))</f>
        <v/>
      </c>
      <c r="G119" s="132" t="str">
        <f>+IFERROR(VLOOKUP(Assegnazione[[#This Row],[Bene]],B[],MATCH("Agevolabile",Beni!$A$4:$AC$4,0),0)*VLOOKUP(Assegnazione[[#This Row],[Socio]],A_1[],8,0),"")</f>
        <v/>
      </c>
      <c r="H119" s="175">
        <f>+SUMIF(B[Bene],Assegnazione[[#This Row],[Bene]],B[Valore netto contabile fiscalmente riconosciuto])*Assegnazione[[#This Row],[Quota di assegnazione]]</f>
        <v>0</v>
      </c>
      <c r="I119" s="175">
        <f>+SUMIF(B[Bene],Assegnazione[[#This Row],[Bene]],B[Valore normale])*Assegnazione[[#This Row],[Quota di assegnazione]]</f>
        <v>0</v>
      </c>
      <c r="J119" s="177">
        <f>+IF(Assegnazione[[#This Row],[Bene]]="",0,SUMIF(Assegnazione[Socio],Assegnazione[[#This Row],[Socio]],Assegnazione[Valore Normale])/$I$3)</f>
        <v>0</v>
      </c>
      <c r="K119" s="177" t="str">
        <f>IF(Assegnazione[[#This Row],[Bene]]="","",SUMIF(A_1[Nome],Assegnazione[[#This Row],[Socio]],A_1[Quota partecipazione al momento dell''operazione]))</f>
        <v/>
      </c>
      <c r="L119" s="175">
        <f>+SUMIF(B[Bene],Assegnazione[[#This Row],[Bene]],B[Valore catastale])*Assegnazione[[#This Row],[Quota di assegnazione]]</f>
        <v>0</v>
      </c>
      <c r="M1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5">
        <f>+MIN(Assegnazione[[#This Row],[Valore ai fini dell''atto]],Assegnazione[[#This Row],[Valore Fiscalmente riconosciuto]])</f>
        <v>0</v>
      </c>
      <c r="O119" s="149" t="str">
        <f>+IFERROR(VLOOKUP(Assegnazione[[#This Row],[Bene]],B[],MATCH($O$4,Beni!$A$4:$Z$4,0),0),"")</f>
        <v/>
      </c>
      <c r="P1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8">
        <f>+SUMIF(B[Bene],Assegnazione[[#This Row],[Bene]],B[Iva se dovuta])*Assegnazione[[#This Row],[Quota di assegnazione]]</f>
        <v>0</v>
      </c>
      <c r="S119" s="178">
        <f>+SUMIF(B[Bene],Assegnazione[[#This Row],[Bene]],B[Imposta di registro (fissa + prop) senza agevolazione])*Assegnazione[[#This Row],[Quota di assegnazione]]</f>
        <v>0</v>
      </c>
      <c r="T119" s="178">
        <f>+SUMIF(B[Bene],Assegnazione[[#This Row],[Bene]],B[Ipotecaria e catastale senza agevolazione])*Assegnazione[[#This Row],[Quota di assegnazione]]</f>
        <v>0</v>
      </c>
      <c r="U119" s="179">
        <f>+SUM(Assegnazione[[#This Row],[Tassazione diretta senza agevolazione]:[Ipotecaria e catastale senza agevolazione]])</f>
        <v>0</v>
      </c>
      <c r="V119" s="178">
        <f>+SUMIF(B[Bene],Assegnazione[[#This Row],[Bene]],B[Imponibile Imposta sostitutiva])*Assegnazione[[#This Row],[Quota di assegnazione]]*DATI!$E$27</f>
        <v>0</v>
      </c>
      <c r="W119" s="178">
        <f>+SUMIF(B[Bene],Assegnazione[[#This Row],[Bene]],B[Imposta di registro in misura fissa agevolata])*Assegnazione[[#This Row],[Quota di assegnazione]]</f>
        <v>0</v>
      </c>
      <c r="X119" s="178">
        <f>+SUMIF(B[Bene],Assegnazione[[#This Row],[Bene]],B[Imposta di registro prop. Agevolata])*Assegnazione[[#This Row],[Quota di assegnazione]]</f>
        <v>0</v>
      </c>
      <c r="Y119" s="178">
        <f>+IFERROR(Assegnazione[[#This Row],[Imposta di registro in misura fissa]]+Assegnazione[[#This Row],[Imposta di registro prop.]],"")</f>
        <v>0</v>
      </c>
      <c r="Z119" s="178">
        <f>+SUMIF(B[Bene],Assegnazione[[#This Row],[Bene]],B[Ipotecaria catastale agevolata])*Assegnazione[[#This Row],[Quota di assegnazione]]</f>
        <v>0</v>
      </c>
    </row>
    <row r="120" spans="1:26" x14ac:dyDescent="0.2">
      <c r="A120" s="126"/>
      <c r="B120" s="135"/>
      <c r="C120" s="126"/>
      <c r="D120" s="175">
        <f>+SUMIF(B[Bene],Assegnazione[[#This Row],[Bene]],B[Imponibile Iva])*Assegnazione[[#This Row],[Quota di assegnazione]]</f>
        <v>0</v>
      </c>
      <c r="E120" s="175">
        <f>+SUMIF(B[Bene],Assegnazione[[#This Row],[Bene]],B[Valore inserito manualmente])*Assegnazione[[#This Row],[Quota di assegnazione]]</f>
        <v>0</v>
      </c>
      <c r="F120" s="176" t="str">
        <f>+IF(A120="","",VLOOKUP(Assegnazione[[#This Row],[Bene]],B[],3,0))</f>
        <v/>
      </c>
      <c r="G120" s="132" t="str">
        <f>+IFERROR(VLOOKUP(Assegnazione[[#This Row],[Bene]],B[],MATCH("Agevolabile",Beni!$A$4:$AC$4,0),0)*VLOOKUP(Assegnazione[[#This Row],[Socio]],A_1[],8,0),"")</f>
        <v/>
      </c>
      <c r="H120" s="175">
        <f>+SUMIF(B[Bene],Assegnazione[[#This Row],[Bene]],B[Valore netto contabile fiscalmente riconosciuto])*Assegnazione[[#This Row],[Quota di assegnazione]]</f>
        <v>0</v>
      </c>
      <c r="I120" s="175">
        <f>+SUMIF(B[Bene],Assegnazione[[#This Row],[Bene]],B[Valore normale])*Assegnazione[[#This Row],[Quota di assegnazione]]</f>
        <v>0</v>
      </c>
      <c r="J120" s="177">
        <f>+IF(Assegnazione[[#This Row],[Bene]]="",0,SUMIF(Assegnazione[Socio],Assegnazione[[#This Row],[Socio]],Assegnazione[Valore Normale])/$I$3)</f>
        <v>0</v>
      </c>
      <c r="K120" s="177" t="str">
        <f>IF(Assegnazione[[#This Row],[Bene]]="","",SUMIF(A_1[Nome],Assegnazione[[#This Row],[Socio]],A_1[Quota partecipazione al momento dell''operazione]))</f>
        <v/>
      </c>
      <c r="L120" s="175">
        <f>+SUMIF(B[Bene],Assegnazione[[#This Row],[Bene]],B[Valore catastale])*Assegnazione[[#This Row],[Quota di assegnazione]]</f>
        <v>0</v>
      </c>
      <c r="M1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5">
        <f>+MIN(Assegnazione[[#This Row],[Valore ai fini dell''atto]],Assegnazione[[#This Row],[Valore Fiscalmente riconosciuto]])</f>
        <v>0</v>
      </c>
      <c r="O120" s="149" t="str">
        <f>+IFERROR(VLOOKUP(Assegnazione[[#This Row],[Bene]],B[],MATCH($O$4,Beni!$A$4:$Z$4,0),0),"")</f>
        <v/>
      </c>
      <c r="P1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8">
        <f>+SUMIF(B[Bene],Assegnazione[[#This Row],[Bene]],B[Iva se dovuta])*Assegnazione[[#This Row],[Quota di assegnazione]]</f>
        <v>0</v>
      </c>
      <c r="S120" s="178">
        <f>+SUMIF(B[Bene],Assegnazione[[#This Row],[Bene]],B[Imposta di registro (fissa + prop) senza agevolazione])*Assegnazione[[#This Row],[Quota di assegnazione]]</f>
        <v>0</v>
      </c>
      <c r="T120" s="178">
        <f>+SUMIF(B[Bene],Assegnazione[[#This Row],[Bene]],B[Ipotecaria e catastale senza agevolazione])*Assegnazione[[#This Row],[Quota di assegnazione]]</f>
        <v>0</v>
      </c>
      <c r="U120" s="179">
        <f>+SUM(Assegnazione[[#This Row],[Tassazione diretta senza agevolazione]:[Ipotecaria e catastale senza agevolazione]])</f>
        <v>0</v>
      </c>
      <c r="V120" s="178">
        <f>+SUMIF(B[Bene],Assegnazione[[#This Row],[Bene]],B[Imponibile Imposta sostitutiva])*Assegnazione[[#This Row],[Quota di assegnazione]]*DATI!$E$27</f>
        <v>0</v>
      </c>
      <c r="W120" s="178">
        <f>+SUMIF(B[Bene],Assegnazione[[#This Row],[Bene]],B[Imposta di registro in misura fissa agevolata])*Assegnazione[[#This Row],[Quota di assegnazione]]</f>
        <v>0</v>
      </c>
      <c r="X120" s="178">
        <f>+SUMIF(B[Bene],Assegnazione[[#This Row],[Bene]],B[Imposta di registro prop. Agevolata])*Assegnazione[[#This Row],[Quota di assegnazione]]</f>
        <v>0</v>
      </c>
      <c r="Y120" s="178">
        <f>+IFERROR(Assegnazione[[#This Row],[Imposta di registro in misura fissa]]+Assegnazione[[#This Row],[Imposta di registro prop.]],"")</f>
        <v>0</v>
      </c>
      <c r="Z120" s="178">
        <f>+SUMIF(B[Bene],Assegnazione[[#This Row],[Bene]],B[Ipotecaria catastale agevolata])*Assegnazione[[#This Row],[Quota di assegnazione]]</f>
        <v>0</v>
      </c>
    </row>
    <row r="121" spans="1:26" x14ac:dyDescent="0.2">
      <c r="A121" s="126"/>
      <c r="B121" s="135"/>
      <c r="C121" s="126"/>
      <c r="D121" s="175">
        <f>+SUMIF(B[Bene],Assegnazione[[#This Row],[Bene]],B[Imponibile Iva])*Assegnazione[[#This Row],[Quota di assegnazione]]</f>
        <v>0</v>
      </c>
      <c r="E121" s="175">
        <f>+SUMIF(B[Bene],Assegnazione[[#This Row],[Bene]],B[Valore inserito manualmente])*Assegnazione[[#This Row],[Quota di assegnazione]]</f>
        <v>0</v>
      </c>
      <c r="F121" s="176" t="str">
        <f>+IF(A121="","",VLOOKUP(Assegnazione[[#This Row],[Bene]],B[],3,0))</f>
        <v/>
      </c>
      <c r="G121" s="132" t="str">
        <f>+IFERROR(VLOOKUP(Assegnazione[[#This Row],[Bene]],B[],MATCH("Agevolabile",Beni!$A$4:$AC$4,0),0)*VLOOKUP(Assegnazione[[#This Row],[Socio]],A_1[],8,0),"")</f>
        <v/>
      </c>
      <c r="H121" s="175">
        <f>+SUMIF(B[Bene],Assegnazione[[#This Row],[Bene]],B[Valore netto contabile fiscalmente riconosciuto])*Assegnazione[[#This Row],[Quota di assegnazione]]</f>
        <v>0</v>
      </c>
      <c r="I121" s="175">
        <f>+SUMIF(B[Bene],Assegnazione[[#This Row],[Bene]],B[Valore normale])*Assegnazione[[#This Row],[Quota di assegnazione]]</f>
        <v>0</v>
      </c>
      <c r="J121" s="177">
        <f>+IF(Assegnazione[[#This Row],[Bene]]="",0,SUMIF(Assegnazione[Socio],Assegnazione[[#This Row],[Socio]],Assegnazione[Valore Normale])/$I$3)</f>
        <v>0</v>
      </c>
      <c r="K121" s="177" t="str">
        <f>IF(Assegnazione[[#This Row],[Bene]]="","",SUMIF(A_1[Nome],Assegnazione[[#This Row],[Socio]],A_1[Quota partecipazione al momento dell''operazione]))</f>
        <v/>
      </c>
      <c r="L121" s="175">
        <f>+SUMIF(B[Bene],Assegnazione[[#This Row],[Bene]],B[Valore catastale])*Assegnazione[[#This Row],[Quota di assegnazione]]</f>
        <v>0</v>
      </c>
      <c r="M1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5">
        <f>+MIN(Assegnazione[[#This Row],[Valore ai fini dell''atto]],Assegnazione[[#This Row],[Valore Fiscalmente riconosciuto]])</f>
        <v>0</v>
      </c>
      <c r="O121" s="149" t="str">
        <f>+IFERROR(VLOOKUP(Assegnazione[[#This Row],[Bene]],B[],MATCH($O$4,Beni!$A$4:$Z$4,0),0),"")</f>
        <v/>
      </c>
      <c r="P1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8">
        <f>+SUMIF(B[Bene],Assegnazione[[#This Row],[Bene]],B[Iva se dovuta])*Assegnazione[[#This Row],[Quota di assegnazione]]</f>
        <v>0</v>
      </c>
      <c r="S121" s="178">
        <f>+SUMIF(B[Bene],Assegnazione[[#This Row],[Bene]],B[Imposta di registro (fissa + prop) senza agevolazione])*Assegnazione[[#This Row],[Quota di assegnazione]]</f>
        <v>0</v>
      </c>
      <c r="T121" s="178">
        <f>+SUMIF(B[Bene],Assegnazione[[#This Row],[Bene]],B[Ipotecaria e catastale senza agevolazione])*Assegnazione[[#This Row],[Quota di assegnazione]]</f>
        <v>0</v>
      </c>
      <c r="U121" s="179">
        <f>+SUM(Assegnazione[[#This Row],[Tassazione diretta senza agevolazione]:[Ipotecaria e catastale senza agevolazione]])</f>
        <v>0</v>
      </c>
      <c r="V121" s="178">
        <f>+SUMIF(B[Bene],Assegnazione[[#This Row],[Bene]],B[Imponibile Imposta sostitutiva])*Assegnazione[[#This Row],[Quota di assegnazione]]*DATI!$E$27</f>
        <v>0</v>
      </c>
      <c r="W121" s="178">
        <f>+SUMIF(B[Bene],Assegnazione[[#This Row],[Bene]],B[Imposta di registro in misura fissa agevolata])*Assegnazione[[#This Row],[Quota di assegnazione]]</f>
        <v>0</v>
      </c>
      <c r="X121" s="178">
        <f>+SUMIF(B[Bene],Assegnazione[[#This Row],[Bene]],B[Imposta di registro prop. Agevolata])*Assegnazione[[#This Row],[Quota di assegnazione]]</f>
        <v>0</v>
      </c>
      <c r="Y121" s="178">
        <f>+IFERROR(Assegnazione[[#This Row],[Imposta di registro in misura fissa]]+Assegnazione[[#This Row],[Imposta di registro prop.]],"")</f>
        <v>0</v>
      </c>
      <c r="Z121" s="178">
        <f>+SUMIF(B[Bene],Assegnazione[[#This Row],[Bene]],B[Ipotecaria catastale agevolata])*Assegnazione[[#This Row],[Quota di assegnazione]]</f>
        <v>0</v>
      </c>
    </row>
    <row r="122" spans="1:26" x14ac:dyDescent="0.2">
      <c r="A122" s="126"/>
      <c r="B122" s="135"/>
      <c r="C122" s="126"/>
      <c r="D122" s="175">
        <f>+SUMIF(B[Bene],Assegnazione[[#This Row],[Bene]],B[Imponibile Iva])*Assegnazione[[#This Row],[Quota di assegnazione]]</f>
        <v>0</v>
      </c>
      <c r="E122" s="175">
        <f>+SUMIF(B[Bene],Assegnazione[[#This Row],[Bene]],B[Valore inserito manualmente])*Assegnazione[[#This Row],[Quota di assegnazione]]</f>
        <v>0</v>
      </c>
      <c r="F122" s="176" t="str">
        <f>+IF(A122="","",VLOOKUP(Assegnazione[[#This Row],[Bene]],B[],3,0))</f>
        <v/>
      </c>
      <c r="G122" s="132" t="str">
        <f>+IFERROR(VLOOKUP(Assegnazione[[#This Row],[Bene]],B[],MATCH("Agevolabile",Beni!$A$4:$AC$4,0),0)*VLOOKUP(Assegnazione[[#This Row],[Socio]],A_1[],8,0),"")</f>
        <v/>
      </c>
      <c r="H122" s="175">
        <f>+SUMIF(B[Bene],Assegnazione[[#This Row],[Bene]],B[Valore netto contabile fiscalmente riconosciuto])*Assegnazione[[#This Row],[Quota di assegnazione]]</f>
        <v>0</v>
      </c>
      <c r="I122" s="175">
        <f>+SUMIF(B[Bene],Assegnazione[[#This Row],[Bene]],B[Valore normale])*Assegnazione[[#This Row],[Quota di assegnazione]]</f>
        <v>0</v>
      </c>
      <c r="J122" s="177">
        <f>+IF(Assegnazione[[#This Row],[Bene]]="",0,SUMIF(Assegnazione[Socio],Assegnazione[[#This Row],[Socio]],Assegnazione[Valore Normale])/$I$3)</f>
        <v>0</v>
      </c>
      <c r="K122" s="177" t="str">
        <f>IF(Assegnazione[[#This Row],[Bene]]="","",SUMIF(A_1[Nome],Assegnazione[[#This Row],[Socio]],A_1[Quota partecipazione al momento dell''operazione]))</f>
        <v/>
      </c>
      <c r="L122" s="175">
        <f>+SUMIF(B[Bene],Assegnazione[[#This Row],[Bene]],B[Valore catastale])*Assegnazione[[#This Row],[Quota di assegnazione]]</f>
        <v>0</v>
      </c>
      <c r="M1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5">
        <f>+MIN(Assegnazione[[#This Row],[Valore ai fini dell''atto]],Assegnazione[[#This Row],[Valore Fiscalmente riconosciuto]])</f>
        <v>0</v>
      </c>
      <c r="O122" s="149" t="str">
        <f>+IFERROR(VLOOKUP(Assegnazione[[#This Row],[Bene]],B[],MATCH($O$4,Beni!$A$4:$Z$4,0),0),"")</f>
        <v/>
      </c>
      <c r="P1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8">
        <f>+SUMIF(B[Bene],Assegnazione[[#This Row],[Bene]],B[Iva se dovuta])*Assegnazione[[#This Row],[Quota di assegnazione]]</f>
        <v>0</v>
      </c>
      <c r="S122" s="178">
        <f>+SUMIF(B[Bene],Assegnazione[[#This Row],[Bene]],B[Imposta di registro (fissa + prop) senza agevolazione])*Assegnazione[[#This Row],[Quota di assegnazione]]</f>
        <v>0</v>
      </c>
      <c r="T122" s="178">
        <f>+SUMIF(B[Bene],Assegnazione[[#This Row],[Bene]],B[Ipotecaria e catastale senza agevolazione])*Assegnazione[[#This Row],[Quota di assegnazione]]</f>
        <v>0</v>
      </c>
      <c r="U122" s="179">
        <f>+SUM(Assegnazione[[#This Row],[Tassazione diretta senza agevolazione]:[Ipotecaria e catastale senza agevolazione]])</f>
        <v>0</v>
      </c>
      <c r="V122" s="178">
        <f>+SUMIF(B[Bene],Assegnazione[[#This Row],[Bene]],B[Imponibile Imposta sostitutiva])*Assegnazione[[#This Row],[Quota di assegnazione]]*DATI!$E$27</f>
        <v>0</v>
      </c>
      <c r="W122" s="178">
        <f>+SUMIF(B[Bene],Assegnazione[[#This Row],[Bene]],B[Imposta di registro in misura fissa agevolata])*Assegnazione[[#This Row],[Quota di assegnazione]]</f>
        <v>0</v>
      </c>
      <c r="X122" s="178">
        <f>+SUMIF(B[Bene],Assegnazione[[#This Row],[Bene]],B[Imposta di registro prop. Agevolata])*Assegnazione[[#This Row],[Quota di assegnazione]]</f>
        <v>0</v>
      </c>
      <c r="Y122" s="178">
        <f>+IFERROR(Assegnazione[[#This Row],[Imposta di registro in misura fissa]]+Assegnazione[[#This Row],[Imposta di registro prop.]],"")</f>
        <v>0</v>
      </c>
      <c r="Z122" s="178">
        <f>+SUMIF(B[Bene],Assegnazione[[#This Row],[Bene]],B[Ipotecaria catastale agevolata])*Assegnazione[[#This Row],[Quota di assegnazione]]</f>
        <v>0</v>
      </c>
    </row>
    <row r="123" spans="1:26" x14ac:dyDescent="0.2">
      <c r="A123" s="126"/>
      <c r="B123" s="135"/>
      <c r="C123" s="126"/>
      <c r="D123" s="175">
        <f>+SUMIF(B[Bene],Assegnazione[[#This Row],[Bene]],B[Imponibile Iva])*Assegnazione[[#This Row],[Quota di assegnazione]]</f>
        <v>0</v>
      </c>
      <c r="E123" s="175">
        <f>+SUMIF(B[Bene],Assegnazione[[#This Row],[Bene]],B[Valore inserito manualmente])*Assegnazione[[#This Row],[Quota di assegnazione]]</f>
        <v>0</v>
      </c>
      <c r="F123" s="176" t="str">
        <f>+IF(A123="","",VLOOKUP(Assegnazione[[#This Row],[Bene]],B[],3,0))</f>
        <v/>
      </c>
      <c r="G123" s="132" t="str">
        <f>+IFERROR(VLOOKUP(Assegnazione[[#This Row],[Bene]],B[],MATCH("Agevolabile",Beni!$A$4:$AC$4,0),0)*VLOOKUP(Assegnazione[[#This Row],[Socio]],A_1[],8,0),"")</f>
        <v/>
      </c>
      <c r="H123" s="175">
        <f>+SUMIF(B[Bene],Assegnazione[[#This Row],[Bene]],B[Valore netto contabile fiscalmente riconosciuto])*Assegnazione[[#This Row],[Quota di assegnazione]]</f>
        <v>0</v>
      </c>
      <c r="I123" s="175">
        <f>+SUMIF(B[Bene],Assegnazione[[#This Row],[Bene]],B[Valore normale])*Assegnazione[[#This Row],[Quota di assegnazione]]</f>
        <v>0</v>
      </c>
      <c r="J123" s="177">
        <f>+IF(Assegnazione[[#This Row],[Bene]]="",0,SUMIF(Assegnazione[Socio],Assegnazione[[#This Row],[Socio]],Assegnazione[Valore Normale])/$I$3)</f>
        <v>0</v>
      </c>
      <c r="K123" s="177" t="str">
        <f>IF(Assegnazione[[#This Row],[Bene]]="","",SUMIF(A_1[Nome],Assegnazione[[#This Row],[Socio]],A_1[Quota partecipazione al momento dell''operazione]))</f>
        <v/>
      </c>
      <c r="L123" s="175">
        <f>+SUMIF(B[Bene],Assegnazione[[#This Row],[Bene]],B[Valore catastale])*Assegnazione[[#This Row],[Quota di assegnazione]]</f>
        <v>0</v>
      </c>
      <c r="M1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5">
        <f>+MIN(Assegnazione[[#This Row],[Valore ai fini dell''atto]],Assegnazione[[#This Row],[Valore Fiscalmente riconosciuto]])</f>
        <v>0</v>
      </c>
      <c r="O123" s="149" t="str">
        <f>+IFERROR(VLOOKUP(Assegnazione[[#This Row],[Bene]],B[],MATCH($O$4,Beni!$A$4:$Z$4,0),0),"")</f>
        <v/>
      </c>
      <c r="P1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8">
        <f>+SUMIF(B[Bene],Assegnazione[[#This Row],[Bene]],B[Iva se dovuta])*Assegnazione[[#This Row],[Quota di assegnazione]]</f>
        <v>0</v>
      </c>
      <c r="S123" s="178">
        <f>+SUMIF(B[Bene],Assegnazione[[#This Row],[Bene]],B[Imposta di registro (fissa + prop) senza agevolazione])*Assegnazione[[#This Row],[Quota di assegnazione]]</f>
        <v>0</v>
      </c>
      <c r="T123" s="178">
        <f>+SUMIF(B[Bene],Assegnazione[[#This Row],[Bene]],B[Ipotecaria e catastale senza agevolazione])*Assegnazione[[#This Row],[Quota di assegnazione]]</f>
        <v>0</v>
      </c>
      <c r="U123" s="179">
        <f>+SUM(Assegnazione[[#This Row],[Tassazione diretta senza agevolazione]:[Ipotecaria e catastale senza agevolazione]])</f>
        <v>0</v>
      </c>
      <c r="V123" s="178">
        <f>+SUMIF(B[Bene],Assegnazione[[#This Row],[Bene]],B[Imponibile Imposta sostitutiva])*Assegnazione[[#This Row],[Quota di assegnazione]]*DATI!$E$27</f>
        <v>0</v>
      </c>
      <c r="W123" s="178">
        <f>+SUMIF(B[Bene],Assegnazione[[#This Row],[Bene]],B[Imposta di registro in misura fissa agevolata])*Assegnazione[[#This Row],[Quota di assegnazione]]</f>
        <v>0</v>
      </c>
      <c r="X123" s="178">
        <f>+SUMIF(B[Bene],Assegnazione[[#This Row],[Bene]],B[Imposta di registro prop. Agevolata])*Assegnazione[[#This Row],[Quota di assegnazione]]</f>
        <v>0</v>
      </c>
      <c r="Y123" s="178">
        <f>+IFERROR(Assegnazione[[#This Row],[Imposta di registro in misura fissa]]+Assegnazione[[#This Row],[Imposta di registro prop.]],"")</f>
        <v>0</v>
      </c>
      <c r="Z123" s="178">
        <f>+SUMIF(B[Bene],Assegnazione[[#This Row],[Bene]],B[Ipotecaria catastale agevolata])*Assegnazione[[#This Row],[Quota di assegnazione]]</f>
        <v>0</v>
      </c>
    </row>
    <row r="124" spans="1:26" x14ac:dyDescent="0.2">
      <c r="A124" s="126"/>
      <c r="B124" s="135"/>
      <c r="C124" s="126"/>
      <c r="D124" s="175">
        <f>+SUMIF(B[Bene],Assegnazione[[#This Row],[Bene]],B[Imponibile Iva])*Assegnazione[[#This Row],[Quota di assegnazione]]</f>
        <v>0</v>
      </c>
      <c r="E124" s="175">
        <f>+SUMIF(B[Bene],Assegnazione[[#This Row],[Bene]],B[Valore inserito manualmente])*Assegnazione[[#This Row],[Quota di assegnazione]]</f>
        <v>0</v>
      </c>
      <c r="F124" s="176" t="str">
        <f>+IF(A124="","",VLOOKUP(Assegnazione[[#This Row],[Bene]],B[],3,0))</f>
        <v/>
      </c>
      <c r="G124" s="132" t="str">
        <f>+IFERROR(VLOOKUP(Assegnazione[[#This Row],[Bene]],B[],MATCH("Agevolabile",Beni!$A$4:$AC$4,0),0)*VLOOKUP(Assegnazione[[#This Row],[Socio]],A_1[],8,0),"")</f>
        <v/>
      </c>
      <c r="H124" s="175">
        <f>+SUMIF(B[Bene],Assegnazione[[#This Row],[Bene]],B[Valore netto contabile fiscalmente riconosciuto])*Assegnazione[[#This Row],[Quota di assegnazione]]</f>
        <v>0</v>
      </c>
      <c r="I124" s="175">
        <f>+SUMIF(B[Bene],Assegnazione[[#This Row],[Bene]],B[Valore normale])*Assegnazione[[#This Row],[Quota di assegnazione]]</f>
        <v>0</v>
      </c>
      <c r="J124" s="177">
        <f>+IF(Assegnazione[[#This Row],[Bene]]="",0,SUMIF(Assegnazione[Socio],Assegnazione[[#This Row],[Socio]],Assegnazione[Valore Normale])/$I$3)</f>
        <v>0</v>
      </c>
      <c r="K124" s="177" t="str">
        <f>IF(Assegnazione[[#This Row],[Bene]]="","",SUMIF(A_1[Nome],Assegnazione[[#This Row],[Socio]],A_1[Quota partecipazione al momento dell''operazione]))</f>
        <v/>
      </c>
      <c r="L124" s="175">
        <f>+SUMIF(B[Bene],Assegnazione[[#This Row],[Bene]],B[Valore catastale])*Assegnazione[[#This Row],[Quota di assegnazione]]</f>
        <v>0</v>
      </c>
      <c r="M1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5">
        <f>+MIN(Assegnazione[[#This Row],[Valore ai fini dell''atto]],Assegnazione[[#This Row],[Valore Fiscalmente riconosciuto]])</f>
        <v>0</v>
      </c>
      <c r="O124" s="149" t="str">
        <f>+IFERROR(VLOOKUP(Assegnazione[[#This Row],[Bene]],B[],MATCH($O$4,Beni!$A$4:$Z$4,0),0),"")</f>
        <v/>
      </c>
      <c r="P1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8">
        <f>+SUMIF(B[Bene],Assegnazione[[#This Row],[Bene]],B[Iva se dovuta])*Assegnazione[[#This Row],[Quota di assegnazione]]</f>
        <v>0</v>
      </c>
      <c r="S124" s="178">
        <f>+SUMIF(B[Bene],Assegnazione[[#This Row],[Bene]],B[Imposta di registro (fissa + prop) senza agevolazione])*Assegnazione[[#This Row],[Quota di assegnazione]]</f>
        <v>0</v>
      </c>
      <c r="T124" s="178">
        <f>+SUMIF(B[Bene],Assegnazione[[#This Row],[Bene]],B[Ipotecaria e catastale senza agevolazione])*Assegnazione[[#This Row],[Quota di assegnazione]]</f>
        <v>0</v>
      </c>
      <c r="U124" s="179">
        <f>+SUM(Assegnazione[[#This Row],[Tassazione diretta senza agevolazione]:[Ipotecaria e catastale senza agevolazione]])</f>
        <v>0</v>
      </c>
      <c r="V124" s="178">
        <f>+SUMIF(B[Bene],Assegnazione[[#This Row],[Bene]],B[Imponibile Imposta sostitutiva])*Assegnazione[[#This Row],[Quota di assegnazione]]*DATI!$E$27</f>
        <v>0</v>
      </c>
      <c r="W124" s="178">
        <f>+SUMIF(B[Bene],Assegnazione[[#This Row],[Bene]],B[Imposta di registro in misura fissa agevolata])*Assegnazione[[#This Row],[Quota di assegnazione]]</f>
        <v>0</v>
      </c>
      <c r="X124" s="178">
        <f>+SUMIF(B[Bene],Assegnazione[[#This Row],[Bene]],B[Imposta di registro prop. Agevolata])*Assegnazione[[#This Row],[Quota di assegnazione]]</f>
        <v>0</v>
      </c>
      <c r="Y124" s="178">
        <f>+IFERROR(Assegnazione[[#This Row],[Imposta di registro in misura fissa]]+Assegnazione[[#This Row],[Imposta di registro prop.]],"")</f>
        <v>0</v>
      </c>
      <c r="Z124" s="178">
        <f>+SUMIF(B[Bene],Assegnazione[[#This Row],[Bene]],B[Ipotecaria catastale agevolata])*Assegnazione[[#This Row],[Quota di assegnazione]]</f>
        <v>0</v>
      </c>
    </row>
    <row r="125" spans="1:26" x14ac:dyDescent="0.2">
      <c r="A125" s="126"/>
      <c r="B125" s="135"/>
      <c r="C125" s="126"/>
      <c r="D125" s="175">
        <f>+SUMIF(B[Bene],Assegnazione[[#This Row],[Bene]],B[Imponibile Iva])*Assegnazione[[#This Row],[Quota di assegnazione]]</f>
        <v>0</v>
      </c>
      <c r="E125" s="175">
        <f>+SUMIF(B[Bene],Assegnazione[[#This Row],[Bene]],B[Valore inserito manualmente])*Assegnazione[[#This Row],[Quota di assegnazione]]</f>
        <v>0</v>
      </c>
      <c r="F125" s="176" t="str">
        <f>+IF(A125="","",VLOOKUP(Assegnazione[[#This Row],[Bene]],B[],3,0))</f>
        <v/>
      </c>
      <c r="G125" s="132" t="str">
        <f>+IFERROR(VLOOKUP(Assegnazione[[#This Row],[Bene]],B[],MATCH("Agevolabile",Beni!$A$4:$AC$4,0),0)*VLOOKUP(Assegnazione[[#This Row],[Socio]],A_1[],8,0),"")</f>
        <v/>
      </c>
      <c r="H125" s="175">
        <f>+SUMIF(B[Bene],Assegnazione[[#This Row],[Bene]],B[Valore netto contabile fiscalmente riconosciuto])*Assegnazione[[#This Row],[Quota di assegnazione]]</f>
        <v>0</v>
      </c>
      <c r="I125" s="175">
        <f>+SUMIF(B[Bene],Assegnazione[[#This Row],[Bene]],B[Valore normale])*Assegnazione[[#This Row],[Quota di assegnazione]]</f>
        <v>0</v>
      </c>
      <c r="J125" s="177">
        <f>+IF(Assegnazione[[#This Row],[Bene]]="",0,SUMIF(Assegnazione[Socio],Assegnazione[[#This Row],[Socio]],Assegnazione[Valore Normale])/$I$3)</f>
        <v>0</v>
      </c>
      <c r="K125" s="177" t="str">
        <f>IF(Assegnazione[[#This Row],[Bene]]="","",SUMIF(A_1[Nome],Assegnazione[[#This Row],[Socio]],A_1[Quota partecipazione al momento dell''operazione]))</f>
        <v/>
      </c>
      <c r="L125" s="175">
        <f>+SUMIF(B[Bene],Assegnazione[[#This Row],[Bene]],B[Valore catastale])*Assegnazione[[#This Row],[Quota di assegnazione]]</f>
        <v>0</v>
      </c>
      <c r="M1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5">
        <f>+MIN(Assegnazione[[#This Row],[Valore ai fini dell''atto]],Assegnazione[[#This Row],[Valore Fiscalmente riconosciuto]])</f>
        <v>0</v>
      </c>
      <c r="O125" s="149" t="str">
        <f>+IFERROR(VLOOKUP(Assegnazione[[#This Row],[Bene]],B[],MATCH($O$4,Beni!$A$4:$Z$4,0),0),"")</f>
        <v/>
      </c>
      <c r="P1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8">
        <f>+SUMIF(B[Bene],Assegnazione[[#This Row],[Bene]],B[Iva se dovuta])*Assegnazione[[#This Row],[Quota di assegnazione]]</f>
        <v>0</v>
      </c>
      <c r="S125" s="178">
        <f>+SUMIF(B[Bene],Assegnazione[[#This Row],[Bene]],B[Imposta di registro (fissa + prop) senza agevolazione])*Assegnazione[[#This Row],[Quota di assegnazione]]</f>
        <v>0</v>
      </c>
      <c r="T125" s="178">
        <f>+SUMIF(B[Bene],Assegnazione[[#This Row],[Bene]],B[Ipotecaria e catastale senza agevolazione])*Assegnazione[[#This Row],[Quota di assegnazione]]</f>
        <v>0</v>
      </c>
      <c r="U125" s="179">
        <f>+SUM(Assegnazione[[#This Row],[Tassazione diretta senza agevolazione]:[Ipotecaria e catastale senza agevolazione]])</f>
        <v>0</v>
      </c>
      <c r="V125" s="178">
        <f>+SUMIF(B[Bene],Assegnazione[[#This Row],[Bene]],B[Imponibile Imposta sostitutiva])*Assegnazione[[#This Row],[Quota di assegnazione]]*DATI!$E$27</f>
        <v>0</v>
      </c>
      <c r="W125" s="178">
        <f>+SUMIF(B[Bene],Assegnazione[[#This Row],[Bene]],B[Imposta di registro in misura fissa agevolata])*Assegnazione[[#This Row],[Quota di assegnazione]]</f>
        <v>0</v>
      </c>
      <c r="X125" s="178">
        <f>+SUMIF(B[Bene],Assegnazione[[#This Row],[Bene]],B[Imposta di registro prop. Agevolata])*Assegnazione[[#This Row],[Quota di assegnazione]]</f>
        <v>0</v>
      </c>
      <c r="Y125" s="178">
        <f>+IFERROR(Assegnazione[[#This Row],[Imposta di registro in misura fissa]]+Assegnazione[[#This Row],[Imposta di registro prop.]],"")</f>
        <v>0</v>
      </c>
      <c r="Z125" s="178">
        <f>+SUMIF(B[Bene],Assegnazione[[#This Row],[Bene]],B[Ipotecaria catastale agevolata])*Assegnazione[[#This Row],[Quota di assegnazione]]</f>
        <v>0</v>
      </c>
    </row>
    <row r="126" spans="1:26" x14ac:dyDescent="0.2">
      <c r="A126" s="126"/>
      <c r="B126" s="135"/>
      <c r="C126" s="126"/>
      <c r="D126" s="175">
        <f>+SUMIF(B[Bene],Assegnazione[[#This Row],[Bene]],B[Imponibile Iva])*Assegnazione[[#This Row],[Quota di assegnazione]]</f>
        <v>0</v>
      </c>
      <c r="E126" s="175">
        <f>+SUMIF(B[Bene],Assegnazione[[#This Row],[Bene]],B[Valore inserito manualmente])*Assegnazione[[#This Row],[Quota di assegnazione]]</f>
        <v>0</v>
      </c>
      <c r="F126" s="176" t="str">
        <f>+IF(A126="","",VLOOKUP(Assegnazione[[#This Row],[Bene]],B[],3,0))</f>
        <v/>
      </c>
      <c r="G126" s="132" t="str">
        <f>+IFERROR(VLOOKUP(Assegnazione[[#This Row],[Bene]],B[],MATCH("Agevolabile",Beni!$A$4:$AC$4,0),0)*VLOOKUP(Assegnazione[[#This Row],[Socio]],A_1[],8,0),"")</f>
        <v/>
      </c>
      <c r="H126" s="175">
        <f>+SUMIF(B[Bene],Assegnazione[[#This Row],[Bene]],B[Valore netto contabile fiscalmente riconosciuto])*Assegnazione[[#This Row],[Quota di assegnazione]]</f>
        <v>0</v>
      </c>
      <c r="I126" s="175">
        <f>+SUMIF(B[Bene],Assegnazione[[#This Row],[Bene]],B[Valore normale])*Assegnazione[[#This Row],[Quota di assegnazione]]</f>
        <v>0</v>
      </c>
      <c r="J126" s="177">
        <f>+IF(Assegnazione[[#This Row],[Bene]]="",0,SUMIF(Assegnazione[Socio],Assegnazione[[#This Row],[Socio]],Assegnazione[Valore Normale])/$I$3)</f>
        <v>0</v>
      </c>
      <c r="K126" s="177" t="str">
        <f>IF(Assegnazione[[#This Row],[Bene]]="","",SUMIF(A_1[Nome],Assegnazione[[#This Row],[Socio]],A_1[Quota partecipazione al momento dell''operazione]))</f>
        <v/>
      </c>
      <c r="L126" s="175">
        <f>+SUMIF(B[Bene],Assegnazione[[#This Row],[Bene]],B[Valore catastale])*Assegnazione[[#This Row],[Quota di assegnazione]]</f>
        <v>0</v>
      </c>
      <c r="M1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5">
        <f>+MIN(Assegnazione[[#This Row],[Valore ai fini dell''atto]],Assegnazione[[#This Row],[Valore Fiscalmente riconosciuto]])</f>
        <v>0</v>
      </c>
      <c r="O126" s="149" t="str">
        <f>+IFERROR(VLOOKUP(Assegnazione[[#This Row],[Bene]],B[],MATCH($O$4,Beni!$A$4:$Z$4,0),0),"")</f>
        <v/>
      </c>
      <c r="P1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8">
        <f>+SUMIF(B[Bene],Assegnazione[[#This Row],[Bene]],B[Iva se dovuta])*Assegnazione[[#This Row],[Quota di assegnazione]]</f>
        <v>0</v>
      </c>
      <c r="S126" s="178">
        <f>+SUMIF(B[Bene],Assegnazione[[#This Row],[Bene]],B[Imposta di registro (fissa + prop) senza agevolazione])*Assegnazione[[#This Row],[Quota di assegnazione]]</f>
        <v>0</v>
      </c>
      <c r="T126" s="178">
        <f>+SUMIF(B[Bene],Assegnazione[[#This Row],[Bene]],B[Ipotecaria e catastale senza agevolazione])*Assegnazione[[#This Row],[Quota di assegnazione]]</f>
        <v>0</v>
      </c>
      <c r="U126" s="179">
        <f>+SUM(Assegnazione[[#This Row],[Tassazione diretta senza agevolazione]:[Ipotecaria e catastale senza agevolazione]])</f>
        <v>0</v>
      </c>
      <c r="V126" s="178">
        <f>+SUMIF(B[Bene],Assegnazione[[#This Row],[Bene]],B[Imponibile Imposta sostitutiva])*Assegnazione[[#This Row],[Quota di assegnazione]]*DATI!$E$27</f>
        <v>0</v>
      </c>
      <c r="W126" s="178">
        <f>+SUMIF(B[Bene],Assegnazione[[#This Row],[Bene]],B[Imposta di registro in misura fissa agevolata])*Assegnazione[[#This Row],[Quota di assegnazione]]</f>
        <v>0</v>
      </c>
      <c r="X126" s="178">
        <f>+SUMIF(B[Bene],Assegnazione[[#This Row],[Bene]],B[Imposta di registro prop. Agevolata])*Assegnazione[[#This Row],[Quota di assegnazione]]</f>
        <v>0</v>
      </c>
      <c r="Y126" s="178">
        <f>+IFERROR(Assegnazione[[#This Row],[Imposta di registro in misura fissa]]+Assegnazione[[#This Row],[Imposta di registro prop.]],"")</f>
        <v>0</v>
      </c>
      <c r="Z126" s="178">
        <f>+SUMIF(B[Bene],Assegnazione[[#This Row],[Bene]],B[Ipotecaria catastale agevolata])*Assegnazione[[#This Row],[Quota di assegnazione]]</f>
        <v>0</v>
      </c>
    </row>
    <row r="127" spans="1:26" x14ac:dyDescent="0.2">
      <c r="A127" s="126"/>
      <c r="B127" s="135"/>
      <c r="C127" s="126"/>
      <c r="D127" s="175">
        <f>+SUMIF(B[Bene],Assegnazione[[#This Row],[Bene]],B[Imponibile Iva])*Assegnazione[[#This Row],[Quota di assegnazione]]</f>
        <v>0</v>
      </c>
      <c r="E127" s="175">
        <f>+SUMIF(B[Bene],Assegnazione[[#This Row],[Bene]],B[Valore inserito manualmente])*Assegnazione[[#This Row],[Quota di assegnazione]]</f>
        <v>0</v>
      </c>
      <c r="F127" s="176" t="str">
        <f>+IF(A127="","",VLOOKUP(Assegnazione[[#This Row],[Bene]],B[],3,0))</f>
        <v/>
      </c>
      <c r="G127" s="132" t="str">
        <f>+IFERROR(VLOOKUP(Assegnazione[[#This Row],[Bene]],B[],MATCH("Agevolabile",Beni!$A$4:$AC$4,0),0)*VLOOKUP(Assegnazione[[#This Row],[Socio]],A_1[],8,0),"")</f>
        <v/>
      </c>
      <c r="H127" s="175">
        <f>+SUMIF(B[Bene],Assegnazione[[#This Row],[Bene]],B[Valore netto contabile fiscalmente riconosciuto])*Assegnazione[[#This Row],[Quota di assegnazione]]</f>
        <v>0</v>
      </c>
      <c r="I127" s="175">
        <f>+SUMIF(B[Bene],Assegnazione[[#This Row],[Bene]],B[Valore normale])*Assegnazione[[#This Row],[Quota di assegnazione]]</f>
        <v>0</v>
      </c>
      <c r="J127" s="177">
        <f>+IF(Assegnazione[[#This Row],[Bene]]="",0,SUMIF(Assegnazione[Socio],Assegnazione[[#This Row],[Socio]],Assegnazione[Valore Normale])/$I$3)</f>
        <v>0</v>
      </c>
      <c r="K127" s="177" t="str">
        <f>IF(Assegnazione[[#This Row],[Bene]]="","",SUMIF(A_1[Nome],Assegnazione[[#This Row],[Socio]],A_1[Quota partecipazione al momento dell''operazione]))</f>
        <v/>
      </c>
      <c r="L127" s="175">
        <f>+SUMIF(B[Bene],Assegnazione[[#This Row],[Bene]],B[Valore catastale])*Assegnazione[[#This Row],[Quota di assegnazione]]</f>
        <v>0</v>
      </c>
      <c r="M1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5">
        <f>+MIN(Assegnazione[[#This Row],[Valore ai fini dell''atto]],Assegnazione[[#This Row],[Valore Fiscalmente riconosciuto]])</f>
        <v>0</v>
      </c>
      <c r="O127" s="149" t="str">
        <f>+IFERROR(VLOOKUP(Assegnazione[[#This Row],[Bene]],B[],MATCH($O$4,Beni!$A$4:$Z$4,0),0),"")</f>
        <v/>
      </c>
      <c r="P1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8">
        <f>+SUMIF(B[Bene],Assegnazione[[#This Row],[Bene]],B[Iva se dovuta])*Assegnazione[[#This Row],[Quota di assegnazione]]</f>
        <v>0</v>
      </c>
      <c r="S127" s="178">
        <f>+SUMIF(B[Bene],Assegnazione[[#This Row],[Bene]],B[Imposta di registro (fissa + prop) senza agevolazione])*Assegnazione[[#This Row],[Quota di assegnazione]]</f>
        <v>0</v>
      </c>
      <c r="T127" s="178">
        <f>+SUMIF(B[Bene],Assegnazione[[#This Row],[Bene]],B[Ipotecaria e catastale senza agevolazione])*Assegnazione[[#This Row],[Quota di assegnazione]]</f>
        <v>0</v>
      </c>
      <c r="U127" s="179">
        <f>+SUM(Assegnazione[[#This Row],[Tassazione diretta senza agevolazione]:[Ipotecaria e catastale senza agevolazione]])</f>
        <v>0</v>
      </c>
      <c r="V127" s="178">
        <f>+SUMIF(B[Bene],Assegnazione[[#This Row],[Bene]],B[Imponibile Imposta sostitutiva])*Assegnazione[[#This Row],[Quota di assegnazione]]*DATI!$E$27</f>
        <v>0</v>
      </c>
      <c r="W127" s="178">
        <f>+SUMIF(B[Bene],Assegnazione[[#This Row],[Bene]],B[Imposta di registro in misura fissa agevolata])*Assegnazione[[#This Row],[Quota di assegnazione]]</f>
        <v>0</v>
      </c>
      <c r="X127" s="178">
        <f>+SUMIF(B[Bene],Assegnazione[[#This Row],[Bene]],B[Imposta di registro prop. Agevolata])*Assegnazione[[#This Row],[Quota di assegnazione]]</f>
        <v>0</v>
      </c>
      <c r="Y127" s="178">
        <f>+IFERROR(Assegnazione[[#This Row],[Imposta di registro in misura fissa]]+Assegnazione[[#This Row],[Imposta di registro prop.]],"")</f>
        <v>0</v>
      </c>
      <c r="Z127" s="178">
        <f>+SUMIF(B[Bene],Assegnazione[[#This Row],[Bene]],B[Ipotecaria catastale agevolata])*Assegnazione[[#This Row],[Quota di assegnazione]]</f>
        <v>0</v>
      </c>
    </row>
    <row r="128" spans="1:26" x14ac:dyDescent="0.2">
      <c r="A128" s="126"/>
      <c r="B128" s="135"/>
      <c r="C128" s="126"/>
      <c r="D128" s="175">
        <f>+SUMIF(B[Bene],Assegnazione[[#This Row],[Bene]],B[Imponibile Iva])*Assegnazione[[#This Row],[Quota di assegnazione]]</f>
        <v>0</v>
      </c>
      <c r="E128" s="175">
        <f>+SUMIF(B[Bene],Assegnazione[[#This Row],[Bene]],B[Valore inserito manualmente])*Assegnazione[[#This Row],[Quota di assegnazione]]</f>
        <v>0</v>
      </c>
      <c r="F128" s="176" t="str">
        <f>+IF(A128="","",VLOOKUP(Assegnazione[[#This Row],[Bene]],B[],3,0))</f>
        <v/>
      </c>
      <c r="G128" s="132" t="str">
        <f>+IFERROR(VLOOKUP(Assegnazione[[#This Row],[Bene]],B[],MATCH("Agevolabile",Beni!$A$4:$AC$4,0),0)*VLOOKUP(Assegnazione[[#This Row],[Socio]],A_1[],8,0),"")</f>
        <v/>
      </c>
      <c r="H128" s="175">
        <f>+SUMIF(B[Bene],Assegnazione[[#This Row],[Bene]],B[Valore netto contabile fiscalmente riconosciuto])*Assegnazione[[#This Row],[Quota di assegnazione]]</f>
        <v>0</v>
      </c>
      <c r="I128" s="175">
        <f>+SUMIF(B[Bene],Assegnazione[[#This Row],[Bene]],B[Valore normale])*Assegnazione[[#This Row],[Quota di assegnazione]]</f>
        <v>0</v>
      </c>
      <c r="J128" s="177">
        <f>+IF(Assegnazione[[#This Row],[Bene]]="",0,SUMIF(Assegnazione[Socio],Assegnazione[[#This Row],[Socio]],Assegnazione[Valore Normale])/$I$3)</f>
        <v>0</v>
      </c>
      <c r="K128" s="177" t="str">
        <f>IF(Assegnazione[[#This Row],[Bene]]="","",SUMIF(A_1[Nome],Assegnazione[[#This Row],[Socio]],A_1[Quota partecipazione al momento dell''operazione]))</f>
        <v/>
      </c>
      <c r="L128" s="175">
        <f>+SUMIF(B[Bene],Assegnazione[[#This Row],[Bene]],B[Valore catastale])*Assegnazione[[#This Row],[Quota di assegnazione]]</f>
        <v>0</v>
      </c>
      <c r="M1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5">
        <f>+MIN(Assegnazione[[#This Row],[Valore ai fini dell''atto]],Assegnazione[[#This Row],[Valore Fiscalmente riconosciuto]])</f>
        <v>0</v>
      </c>
      <c r="O128" s="149" t="str">
        <f>+IFERROR(VLOOKUP(Assegnazione[[#This Row],[Bene]],B[],MATCH($O$4,Beni!$A$4:$Z$4,0),0),"")</f>
        <v/>
      </c>
      <c r="P1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8">
        <f>+SUMIF(B[Bene],Assegnazione[[#This Row],[Bene]],B[Iva se dovuta])*Assegnazione[[#This Row],[Quota di assegnazione]]</f>
        <v>0</v>
      </c>
      <c r="S128" s="178">
        <f>+SUMIF(B[Bene],Assegnazione[[#This Row],[Bene]],B[Imposta di registro (fissa + prop) senza agevolazione])*Assegnazione[[#This Row],[Quota di assegnazione]]</f>
        <v>0</v>
      </c>
      <c r="T128" s="178">
        <f>+SUMIF(B[Bene],Assegnazione[[#This Row],[Bene]],B[Ipotecaria e catastale senza agevolazione])*Assegnazione[[#This Row],[Quota di assegnazione]]</f>
        <v>0</v>
      </c>
      <c r="U128" s="179">
        <f>+SUM(Assegnazione[[#This Row],[Tassazione diretta senza agevolazione]:[Ipotecaria e catastale senza agevolazione]])</f>
        <v>0</v>
      </c>
      <c r="V128" s="178">
        <f>+SUMIF(B[Bene],Assegnazione[[#This Row],[Bene]],B[Imponibile Imposta sostitutiva])*Assegnazione[[#This Row],[Quota di assegnazione]]*DATI!$E$27</f>
        <v>0</v>
      </c>
      <c r="W128" s="178">
        <f>+SUMIF(B[Bene],Assegnazione[[#This Row],[Bene]],B[Imposta di registro in misura fissa agevolata])*Assegnazione[[#This Row],[Quota di assegnazione]]</f>
        <v>0</v>
      </c>
      <c r="X128" s="178">
        <f>+SUMIF(B[Bene],Assegnazione[[#This Row],[Bene]],B[Imposta di registro prop. Agevolata])*Assegnazione[[#This Row],[Quota di assegnazione]]</f>
        <v>0</v>
      </c>
      <c r="Y128" s="178">
        <f>+IFERROR(Assegnazione[[#This Row],[Imposta di registro in misura fissa]]+Assegnazione[[#This Row],[Imposta di registro prop.]],"")</f>
        <v>0</v>
      </c>
      <c r="Z128" s="178">
        <f>+SUMIF(B[Bene],Assegnazione[[#This Row],[Bene]],B[Ipotecaria catastale agevolata])*Assegnazione[[#This Row],[Quota di assegnazione]]</f>
        <v>0</v>
      </c>
    </row>
    <row r="129" spans="1:26" x14ac:dyDescent="0.2">
      <c r="A129" s="126"/>
      <c r="B129" s="135"/>
      <c r="C129" s="126"/>
      <c r="D129" s="175">
        <f>+SUMIF(B[Bene],Assegnazione[[#This Row],[Bene]],B[Imponibile Iva])*Assegnazione[[#This Row],[Quota di assegnazione]]</f>
        <v>0</v>
      </c>
      <c r="E129" s="175">
        <f>+SUMIF(B[Bene],Assegnazione[[#This Row],[Bene]],B[Valore inserito manualmente])*Assegnazione[[#This Row],[Quota di assegnazione]]</f>
        <v>0</v>
      </c>
      <c r="F129" s="176" t="str">
        <f>+IF(A129="","",VLOOKUP(Assegnazione[[#This Row],[Bene]],B[],3,0))</f>
        <v/>
      </c>
      <c r="G129" s="132" t="str">
        <f>+IFERROR(VLOOKUP(Assegnazione[[#This Row],[Bene]],B[],MATCH("Agevolabile",Beni!$A$4:$AC$4,0),0)*VLOOKUP(Assegnazione[[#This Row],[Socio]],A_1[],8,0),"")</f>
        <v/>
      </c>
      <c r="H129" s="175">
        <f>+SUMIF(B[Bene],Assegnazione[[#This Row],[Bene]],B[Valore netto contabile fiscalmente riconosciuto])*Assegnazione[[#This Row],[Quota di assegnazione]]</f>
        <v>0</v>
      </c>
      <c r="I129" s="175">
        <f>+SUMIF(B[Bene],Assegnazione[[#This Row],[Bene]],B[Valore normale])*Assegnazione[[#This Row],[Quota di assegnazione]]</f>
        <v>0</v>
      </c>
      <c r="J129" s="177">
        <f>+IF(Assegnazione[[#This Row],[Bene]]="",0,SUMIF(Assegnazione[Socio],Assegnazione[[#This Row],[Socio]],Assegnazione[Valore Normale])/$I$3)</f>
        <v>0</v>
      </c>
      <c r="K129" s="177" t="str">
        <f>IF(Assegnazione[[#This Row],[Bene]]="","",SUMIF(A_1[Nome],Assegnazione[[#This Row],[Socio]],A_1[Quota partecipazione al momento dell''operazione]))</f>
        <v/>
      </c>
      <c r="L129" s="175">
        <f>+SUMIF(B[Bene],Assegnazione[[#This Row],[Bene]],B[Valore catastale])*Assegnazione[[#This Row],[Quota di assegnazione]]</f>
        <v>0</v>
      </c>
      <c r="M1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5">
        <f>+MIN(Assegnazione[[#This Row],[Valore ai fini dell''atto]],Assegnazione[[#This Row],[Valore Fiscalmente riconosciuto]])</f>
        <v>0</v>
      </c>
      <c r="O129" s="149" t="str">
        <f>+IFERROR(VLOOKUP(Assegnazione[[#This Row],[Bene]],B[],MATCH($O$4,Beni!$A$4:$Z$4,0),0),"")</f>
        <v/>
      </c>
      <c r="P1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8">
        <f>+SUMIF(B[Bene],Assegnazione[[#This Row],[Bene]],B[Iva se dovuta])*Assegnazione[[#This Row],[Quota di assegnazione]]</f>
        <v>0</v>
      </c>
      <c r="S129" s="178">
        <f>+SUMIF(B[Bene],Assegnazione[[#This Row],[Bene]],B[Imposta di registro (fissa + prop) senza agevolazione])*Assegnazione[[#This Row],[Quota di assegnazione]]</f>
        <v>0</v>
      </c>
      <c r="T129" s="178">
        <f>+SUMIF(B[Bene],Assegnazione[[#This Row],[Bene]],B[Ipotecaria e catastale senza agevolazione])*Assegnazione[[#This Row],[Quota di assegnazione]]</f>
        <v>0</v>
      </c>
      <c r="U129" s="179">
        <f>+SUM(Assegnazione[[#This Row],[Tassazione diretta senza agevolazione]:[Ipotecaria e catastale senza agevolazione]])</f>
        <v>0</v>
      </c>
      <c r="V129" s="178">
        <f>+SUMIF(B[Bene],Assegnazione[[#This Row],[Bene]],B[Imponibile Imposta sostitutiva])*Assegnazione[[#This Row],[Quota di assegnazione]]*DATI!$E$27</f>
        <v>0</v>
      </c>
      <c r="W129" s="178">
        <f>+SUMIF(B[Bene],Assegnazione[[#This Row],[Bene]],B[Imposta di registro in misura fissa agevolata])*Assegnazione[[#This Row],[Quota di assegnazione]]</f>
        <v>0</v>
      </c>
      <c r="X129" s="178">
        <f>+SUMIF(B[Bene],Assegnazione[[#This Row],[Bene]],B[Imposta di registro prop. Agevolata])*Assegnazione[[#This Row],[Quota di assegnazione]]</f>
        <v>0</v>
      </c>
      <c r="Y129" s="178">
        <f>+IFERROR(Assegnazione[[#This Row],[Imposta di registro in misura fissa]]+Assegnazione[[#This Row],[Imposta di registro prop.]],"")</f>
        <v>0</v>
      </c>
      <c r="Z129" s="178">
        <f>+SUMIF(B[Bene],Assegnazione[[#This Row],[Bene]],B[Ipotecaria catastale agevolata])*Assegnazione[[#This Row],[Quota di assegnazione]]</f>
        <v>0</v>
      </c>
    </row>
    <row r="130" spans="1:26" x14ac:dyDescent="0.2">
      <c r="A130" s="126"/>
      <c r="B130" s="135"/>
      <c r="C130" s="126"/>
      <c r="D130" s="175">
        <f>+SUMIF(B[Bene],Assegnazione[[#This Row],[Bene]],B[Imponibile Iva])*Assegnazione[[#This Row],[Quota di assegnazione]]</f>
        <v>0</v>
      </c>
      <c r="E130" s="175">
        <f>+SUMIF(B[Bene],Assegnazione[[#This Row],[Bene]],B[Valore inserito manualmente])*Assegnazione[[#This Row],[Quota di assegnazione]]</f>
        <v>0</v>
      </c>
      <c r="F130" s="176" t="str">
        <f>+IF(A130="","",VLOOKUP(Assegnazione[[#This Row],[Bene]],B[],3,0))</f>
        <v/>
      </c>
      <c r="G130" s="132" t="str">
        <f>+IFERROR(VLOOKUP(Assegnazione[[#This Row],[Bene]],B[],MATCH("Agevolabile",Beni!$A$4:$AC$4,0),0)*VLOOKUP(Assegnazione[[#This Row],[Socio]],A_1[],8,0),"")</f>
        <v/>
      </c>
      <c r="H130" s="175">
        <f>+SUMIF(B[Bene],Assegnazione[[#This Row],[Bene]],B[Valore netto contabile fiscalmente riconosciuto])*Assegnazione[[#This Row],[Quota di assegnazione]]</f>
        <v>0</v>
      </c>
      <c r="I130" s="175">
        <f>+SUMIF(B[Bene],Assegnazione[[#This Row],[Bene]],B[Valore normale])*Assegnazione[[#This Row],[Quota di assegnazione]]</f>
        <v>0</v>
      </c>
      <c r="J130" s="177">
        <f>+IF(Assegnazione[[#This Row],[Bene]]="",0,SUMIF(Assegnazione[Socio],Assegnazione[[#This Row],[Socio]],Assegnazione[Valore Normale])/$I$3)</f>
        <v>0</v>
      </c>
      <c r="K130" s="177" t="str">
        <f>IF(Assegnazione[[#This Row],[Bene]]="","",SUMIF(A_1[Nome],Assegnazione[[#This Row],[Socio]],A_1[Quota partecipazione al momento dell''operazione]))</f>
        <v/>
      </c>
      <c r="L130" s="175">
        <f>+SUMIF(B[Bene],Assegnazione[[#This Row],[Bene]],B[Valore catastale])*Assegnazione[[#This Row],[Quota di assegnazione]]</f>
        <v>0</v>
      </c>
      <c r="M1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5">
        <f>+MIN(Assegnazione[[#This Row],[Valore ai fini dell''atto]],Assegnazione[[#This Row],[Valore Fiscalmente riconosciuto]])</f>
        <v>0</v>
      </c>
      <c r="O130" s="149" t="str">
        <f>+IFERROR(VLOOKUP(Assegnazione[[#This Row],[Bene]],B[],MATCH($O$4,Beni!$A$4:$Z$4,0),0),"")</f>
        <v/>
      </c>
      <c r="P1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8">
        <f>+SUMIF(B[Bene],Assegnazione[[#This Row],[Bene]],B[Iva se dovuta])*Assegnazione[[#This Row],[Quota di assegnazione]]</f>
        <v>0</v>
      </c>
      <c r="S130" s="178">
        <f>+SUMIF(B[Bene],Assegnazione[[#This Row],[Bene]],B[Imposta di registro (fissa + prop) senza agevolazione])*Assegnazione[[#This Row],[Quota di assegnazione]]</f>
        <v>0</v>
      </c>
      <c r="T130" s="178">
        <f>+SUMIF(B[Bene],Assegnazione[[#This Row],[Bene]],B[Ipotecaria e catastale senza agevolazione])*Assegnazione[[#This Row],[Quota di assegnazione]]</f>
        <v>0</v>
      </c>
      <c r="U130" s="179">
        <f>+SUM(Assegnazione[[#This Row],[Tassazione diretta senza agevolazione]:[Ipotecaria e catastale senza agevolazione]])</f>
        <v>0</v>
      </c>
      <c r="V130" s="178">
        <f>+SUMIF(B[Bene],Assegnazione[[#This Row],[Bene]],B[Imponibile Imposta sostitutiva])*Assegnazione[[#This Row],[Quota di assegnazione]]*DATI!$E$27</f>
        <v>0</v>
      </c>
      <c r="W130" s="178">
        <f>+SUMIF(B[Bene],Assegnazione[[#This Row],[Bene]],B[Imposta di registro in misura fissa agevolata])*Assegnazione[[#This Row],[Quota di assegnazione]]</f>
        <v>0</v>
      </c>
      <c r="X130" s="178">
        <f>+SUMIF(B[Bene],Assegnazione[[#This Row],[Bene]],B[Imposta di registro prop. Agevolata])*Assegnazione[[#This Row],[Quota di assegnazione]]</f>
        <v>0</v>
      </c>
      <c r="Y130" s="178">
        <f>+IFERROR(Assegnazione[[#This Row],[Imposta di registro in misura fissa]]+Assegnazione[[#This Row],[Imposta di registro prop.]],"")</f>
        <v>0</v>
      </c>
      <c r="Z130" s="178">
        <f>+SUMIF(B[Bene],Assegnazione[[#This Row],[Bene]],B[Ipotecaria catastale agevolata])*Assegnazione[[#This Row],[Quota di assegnazione]]</f>
        <v>0</v>
      </c>
    </row>
    <row r="131" spans="1:26" x14ac:dyDescent="0.2">
      <c r="A131" s="126"/>
      <c r="B131" s="135"/>
      <c r="C131" s="126"/>
      <c r="D131" s="175">
        <f>+SUMIF(B[Bene],Assegnazione[[#This Row],[Bene]],B[Imponibile Iva])*Assegnazione[[#This Row],[Quota di assegnazione]]</f>
        <v>0</v>
      </c>
      <c r="E131" s="175">
        <f>+SUMIF(B[Bene],Assegnazione[[#This Row],[Bene]],B[Valore inserito manualmente])*Assegnazione[[#This Row],[Quota di assegnazione]]</f>
        <v>0</v>
      </c>
      <c r="F131" s="176" t="str">
        <f>+IF(A131="","",VLOOKUP(Assegnazione[[#This Row],[Bene]],B[],3,0))</f>
        <v/>
      </c>
      <c r="G131" s="132" t="str">
        <f>+IFERROR(VLOOKUP(Assegnazione[[#This Row],[Bene]],B[],MATCH("Agevolabile",Beni!$A$4:$AC$4,0),0)*VLOOKUP(Assegnazione[[#This Row],[Socio]],A_1[],8,0),"")</f>
        <v/>
      </c>
      <c r="H131" s="175">
        <f>+SUMIF(B[Bene],Assegnazione[[#This Row],[Bene]],B[Valore netto contabile fiscalmente riconosciuto])*Assegnazione[[#This Row],[Quota di assegnazione]]</f>
        <v>0</v>
      </c>
      <c r="I131" s="175">
        <f>+SUMIF(B[Bene],Assegnazione[[#This Row],[Bene]],B[Valore normale])*Assegnazione[[#This Row],[Quota di assegnazione]]</f>
        <v>0</v>
      </c>
      <c r="J131" s="177">
        <f>+IF(Assegnazione[[#This Row],[Bene]]="",0,SUMIF(Assegnazione[Socio],Assegnazione[[#This Row],[Socio]],Assegnazione[Valore Normale])/$I$3)</f>
        <v>0</v>
      </c>
      <c r="K131" s="177" t="str">
        <f>IF(Assegnazione[[#This Row],[Bene]]="","",SUMIF(A_1[Nome],Assegnazione[[#This Row],[Socio]],A_1[Quota partecipazione al momento dell''operazione]))</f>
        <v/>
      </c>
      <c r="L131" s="175">
        <f>+SUMIF(B[Bene],Assegnazione[[#This Row],[Bene]],B[Valore catastale])*Assegnazione[[#This Row],[Quota di assegnazione]]</f>
        <v>0</v>
      </c>
      <c r="M1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5">
        <f>+MIN(Assegnazione[[#This Row],[Valore ai fini dell''atto]],Assegnazione[[#This Row],[Valore Fiscalmente riconosciuto]])</f>
        <v>0</v>
      </c>
      <c r="O131" s="149" t="str">
        <f>+IFERROR(VLOOKUP(Assegnazione[[#This Row],[Bene]],B[],MATCH($O$4,Beni!$A$4:$Z$4,0),0),"")</f>
        <v/>
      </c>
      <c r="P1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8">
        <f>+SUMIF(B[Bene],Assegnazione[[#This Row],[Bene]],B[Iva se dovuta])*Assegnazione[[#This Row],[Quota di assegnazione]]</f>
        <v>0</v>
      </c>
      <c r="S131" s="178">
        <f>+SUMIF(B[Bene],Assegnazione[[#This Row],[Bene]],B[Imposta di registro (fissa + prop) senza agevolazione])*Assegnazione[[#This Row],[Quota di assegnazione]]</f>
        <v>0</v>
      </c>
      <c r="T131" s="178">
        <f>+SUMIF(B[Bene],Assegnazione[[#This Row],[Bene]],B[Ipotecaria e catastale senza agevolazione])*Assegnazione[[#This Row],[Quota di assegnazione]]</f>
        <v>0</v>
      </c>
      <c r="U131" s="179">
        <f>+SUM(Assegnazione[[#This Row],[Tassazione diretta senza agevolazione]:[Ipotecaria e catastale senza agevolazione]])</f>
        <v>0</v>
      </c>
      <c r="V131" s="178">
        <f>+SUMIF(B[Bene],Assegnazione[[#This Row],[Bene]],B[Imponibile Imposta sostitutiva])*Assegnazione[[#This Row],[Quota di assegnazione]]*DATI!$E$27</f>
        <v>0</v>
      </c>
      <c r="W131" s="178">
        <f>+SUMIF(B[Bene],Assegnazione[[#This Row],[Bene]],B[Imposta di registro in misura fissa agevolata])*Assegnazione[[#This Row],[Quota di assegnazione]]</f>
        <v>0</v>
      </c>
      <c r="X131" s="178">
        <f>+SUMIF(B[Bene],Assegnazione[[#This Row],[Bene]],B[Imposta di registro prop. Agevolata])*Assegnazione[[#This Row],[Quota di assegnazione]]</f>
        <v>0</v>
      </c>
      <c r="Y131" s="178">
        <f>+IFERROR(Assegnazione[[#This Row],[Imposta di registro in misura fissa]]+Assegnazione[[#This Row],[Imposta di registro prop.]],"")</f>
        <v>0</v>
      </c>
      <c r="Z131" s="178">
        <f>+SUMIF(B[Bene],Assegnazione[[#This Row],[Bene]],B[Ipotecaria catastale agevolata])*Assegnazione[[#This Row],[Quota di assegnazione]]</f>
        <v>0</v>
      </c>
    </row>
    <row r="132" spans="1:26" x14ac:dyDescent="0.2">
      <c r="A132" s="126"/>
      <c r="B132" s="135"/>
      <c r="C132" s="126"/>
      <c r="D132" s="175">
        <f>+SUMIF(B[Bene],Assegnazione[[#This Row],[Bene]],B[Imponibile Iva])*Assegnazione[[#This Row],[Quota di assegnazione]]</f>
        <v>0</v>
      </c>
      <c r="E132" s="175">
        <f>+SUMIF(B[Bene],Assegnazione[[#This Row],[Bene]],B[Valore inserito manualmente])*Assegnazione[[#This Row],[Quota di assegnazione]]</f>
        <v>0</v>
      </c>
      <c r="F132" s="176" t="str">
        <f>+IF(A132="","",VLOOKUP(Assegnazione[[#This Row],[Bene]],B[],3,0))</f>
        <v/>
      </c>
      <c r="G132" s="132" t="str">
        <f>+IFERROR(VLOOKUP(Assegnazione[[#This Row],[Bene]],B[],MATCH("Agevolabile",Beni!$A$4:$AC$4,0),0)*VLOOKUP(Assegnazione[[#This Row],[Socio]],A_1[],8,0),"")</f>
        <v/>
      </c>
      <c r="H132" s="175">
        <f>+SUMIF(B[Bene],Assegnazione[[#This Row],[Bene]],B[Valore netto contabile fiscalmente riconosciuto])*Assegnazione[[#This Row],[Quota di assegnazione]]</f>
        <v>0</v>
      </c>
      <c r="I132" s="175">
        <f>+SUMIF(B[Bene],Assegnazione[[#This Row],[Bene]],B[Valore normale])*Assegnazione[[#This Row],[Quota di assegnazione]]</f>
        <v>0</v>
      </c>
      <c r="J132" s="177">
        <f>+IF(Assegnazione[[#This Row],[Bene]]="",0,SUMIF(Assegnazione[Socio],Assegnazione[[#This Row],[Socio]],Assegnazione[Valore Normale])/$I$3)</f>
        <v>0</v>
      </c>
      <c r="K132" s="177" t="str">
        <f>IF(Assegnazione[[#This Row],[Bene]]="","",SUMIF(A_1[Nome],Assegnazione[[#This Row],[Socio]],A_1[Quota partecipazione al momento dell''operazione]))</f>
        <v/>
      </c>
      <c r="L132" s="175">
        <f>+SUMIF(B[Bene],Assegnazione[[#This Row],[Bene]],B[Valore catastale])*Assegnazione[[#This Row],[Quota di assegnazione]]</f>
        <v>0</v>
      </c>
      <c r="M1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5">
        <f>+MIN(Assegnazione[[#This Row],[Valore ai fini dell''atto]],Assegnazione[[#This Row],[Valore Fiscalmente riconosciuto]])</f>
        <v>0</v>
      </c>
      <c r="O132" s="149" t="str">
        <f>+IFERROR(VLOOKUP(Assegnazione[[#This Row],[Bene]],B[],MATCH($O$4,Beni!$A$4:$Z$4,0),0),"")</f>
        <v/>
      </c>
      <c r="P1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8">
        <f>+SUMIF(B[Bene],Assegnazione[[#This Row],[Bene]],B[Iva se dovuta])*Assegnazione[[#This Row],[Quota di assegnazione]]</f>
        <v>0</v>
      </c>
      <c r="S132" s="178">
        <f>+SUMIF(B[Bene],Assegnazione[[#This Row],[Bene]],B[Imposta di registro (fissa + prop) senza agevolazione])*Assegnazione[[#This Row],[Quota di assegnazione]]</f>
        <v>0</v>
      </c>
      <c r="T132" s="178">
        <f>+SUMIF(B[Bene],Assegnazione[[#This Row],[Bene]],B[Ipotecaria e catastale senza agevolazione])*Assegnazione[[#This Row],[Quota di assegnazione]]</f>
        <v>0</v>
      </c>
      <c r="U132" s="179">
        <f>+SUM(Assegnazione[[#This Row],[Tassazione diretta senza agevolazione]:[Ipotecaria e catastale senza agevolazione]])</f>
        <v>0</v>
      </c>
      <c r="V132" s="178">
        <f>+SUMIF(B[Bene],Assegnazione[[#This Row],[Bene]],B[Imponibile Imposta sostitutiva])*Assegnazione[[#This Row],[Quota di assegnazione]]*DATI!$E$27</f>
        <v>0</v>
      </c>
      <c r="W132" s="178">
        <f>+SUMIF(B[Bene],Assegnazione[[#This Row],[Bene]],B[Imposta di registro in misura fissa agevolata])*Assegnazione[[#This Row],[Quota di assegnazione]]</f>
        <v>0</v>
      </c>
      <c r="X132" s="178">
        <f>+SUMIF(B[Bene],Assegnazione[[#This Row],[Bene]],B[Imposta di registro prop. Agevolata])*Assegnazione[[#This Row],[Quota di assegnazione]]</f>
        <v>0</v>
      </c>
      <c r="Y132" s="178">
        <f>+IFERROR(Assegnazione[[#This Row],[Imposta di registro in misura fissa]]+Assegnazione[[#This Row],[Imposta di registro prop.]],"")</f>
        <v>0</v>
      </c>
      <c r="Z132" s="178">
        <f>+SUMIF(B[Bene],Assegnazione[[#This Row],[Bene]],B[Ipotecaria catastale agevolata])*Assegnazione[[#This Row],[Quota di assegnazione]]</f>
        <v>0</v>
      </c>
    </row>
    <row r="133" spans="1:26" x14ac:dyDescent="0.2">
      <c r="A133" s="126"/>
      <c r="B133" s="135"/>
      <c r="C133" s="126"/>
      <c r="D133" s="175">
        <f>+SUMIF(B[Bene],Assegnazione[[#This Row],[Bene]],B[Imponibile Iva])*Assegnazione[[#This Row],[Quota di assegnazione]]</f>
        <v>0</v>
      </c>
      <c r="E133" s="175">
        <f>+SUMIF(B[Bene],Assegnazione[[#This Row],[Bene]],B[Valore inserito manualmente])*Assegnazione[[#This Row],[Quota di assegnazione]]</f>
        <v>0</v>
      </c>
      <c r="F133" s="176" t="str">
        <f>+IF(A133="","",VLOOKUP(Assegnazione[[#This Row],[Bene]],B[],3,0))</f>
        <v/>
      </c>
      <c r="G133" s="132" t="str">
        <f>+IFERROR(VLOOKUP(Assegnazione[[#This Row],[Bene]],B[],MATCH("Agevolabile",Beni!$A$4:$AC$4,0),0)*VLOOKUP(Assegnazione[[#This Row],[Socio]],A_1[],8,0),"")</f>
        <v/>
      </c>
      <c r="H133" s="175">
        <f>+SUMIF(B[Bene],Assegnazione[[#This Row],[Bene]],B[Valore netto contabile fiscalmente riconosciuto])*Assegnazione[[#This Row],[Quota di assegnazione]]</f>
        <v>0</v>
      </c>
      <c r="I133" s="175">
        <f>+SUMIF(B[Bene],Assegnazione[[#This Row],[Bene]],B[Valore normale])*Assegnazione[[#This Row],[Quota di assegnazione]]</f>
        <v>0</v>
      </c>
      <c r="J133" s="177">
        <f>+IF(Assegnazione[[#This Row],[Bene]]="",0,SUMIF(Assegnazione[Socio],Assegnazione[[#This Row],[Socio]],Assegnazione[Valore Normale])/$I$3)</f>
        <v>0</v>
      </c>
      <c r="K133" s="177" t="str">
        <f>IF(Assegnazione[[#This Row],[Bene]]="","",SUMIF(A_1[Nome],Assegnazione[[#This Row],[Socio]],A_1[Quota partecipazione al momento dell''operazione]))</f>
        <v/>
      </c>
      <c r="L133" s="175">
        <f>+SUMIF(B[Bene],Assegnazione[[#This Row],[Bene]],B[Valore catastale])*Assegnazione[[#This Row],[Quota di assegnazione]]</f>
        <v>0</v>
      </c>
      <c r="M1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5">
        <f>+MIN(Assegnazione[[#This Row],[Valore ai fini dell''atto]],Assegnazione[[#This Row],[Valore Fiscalmente riconosciuto]])</f>
        <v>0</v>
      </c>
      <c r="O133" s="149" t="str">
        <f>+IFERROR(VLOOKUP(Assegnazione[[#This Row],[Bene]],B[],MATCH($O$4,Beni!$A$4:$Z$4,0),0),"")</f>
        <v/>
      </c>
      <c r="P1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8">
        <f>+SUMIF(B[Bene],Assegnazione[[#This Row],[Bene]],B[Iva se dovuta])*Assegnazione[[#This Row],[Quota di assegnazione]]</f>
        <v>0</v>
      </c>
      <c r="S133" s="178">
        <f>+SUMIF(B[Bene],Assegnazione[[#This Row],[Bene]],B[Imposta di registro (fissa + prop) senza agevolazione])*Assegnazione[[#This Row],[Quota di assegnazione]]</f>
        <v>0</v>
      </c>
      <c r="T133" s="178">
        <f>+SUMIF(B[Bene],Assegnazione[[#This Row],[Bene]],B[Ipotecaria e catastale senza agevolazione])*Assegnazione[[#This Row],[Quota di assegnazione]]</f>
        <v>0</v>
      </c>
      <c r="U133" s="179">
        <f>+SUM(Assegnazione[[#This Row],[Tassazione diretta senza agevolazione]:[Ipotecaria e catastale senza agevolazione]])</f>
        <v>0</v>
      </c>
      <c r="V133" s="178">
        <f>+SUMIF(B[Bene],Assegnazione[[#This Row],[Bene]],B[Imponibile Imposta sostitutiva])*Assegnazione[[#This Row],[Quota di assegnazione]]*DATI!$E$27</f>
        <v>0</v>
      </c>
      <c r="W133" s="178">
        <f>+SUMIF(B[Bene],Assegnazione[[#This Row],[Bene]],B[Imposta di registro in misura fissa agevolata])*Assegnazione[[#This Row],[Quota di assegnazione]]</f>
        <v>0</v>
      </c>
      <c r="X133" s="178">
        <f>+SUMIF(B[Bene],Assegnazione[[#This Row],[Bene]],B[Imposta di registro prop. Agevolata])*Assegnazione[[#This Row],[Quota di assegnazione]]</f>
        <v>0</v>
      </c>
      <c r="Y133" s="178">
        <f>+IFERROR(Assegnazione[[#This Row],[Imposta di registro in misura fissa]]+Assegnazione[[#This Row],[Imposta di registro prop.]],"")</f>
        <v>0</v>
      </c>
      <c r="Z133" s="178">
        <f>+SUMIF(B[Bene],Assegnazione[[#This Row],[Bene]],B[Ipotecaria catastale agevolata])*Assegnazione[[#This Row],[Quota di assegnazione]]</f>
        <v>0</v>
      </c>
    </row>
    <row r="134" spans="1:26" x14ac:dyDescent="0.2">
      <c r="A134" s="126"/>
      <c r="B134" s="135"/>
      <c r="C134" s="126"/>
      <c r="D134" s="175">
        <f>+SUMIF(B[Bene],Assegnazione[[#This Row],[Bene]],B[Imponibile Iva])*Assegnazione[[#This Row],[Quota di assegnazione]]</f>
        <v>0</v>
      </c>
      <c r="E134" s="175">
        <f>+SUMIF(B[Bene],Assegnazione[[#This Row],[Bene]],B[Valore inserito manualmente])*Assegnazione[[#This Row],[Quota di assegnazione]]</f>
        <v>0</v>
      </c>
      <c r="F134" s="176" t="str">
        <f>+IF(A134="","",VLOOKUP(Assegnazione[[#This Row],[Bene]],B[],3,0))</f>
        <v/>
      </c>
      <c r="G134" s="132" t="str">
        <f>+IFERROR(VLOOKUP(Assegnazione[[#This Row],[Bene]],B[],MATCH("Agevolabile",Beni!$A$4:$AC$4,0),0)*VLOOKUP(Assegnazione[[#This Row],[Socio]],A_1[],8,0),"")</f>
        <v/>
      </c>
      <c r="H134" s="175">
        <f>+SUMIF(B[Bene],Assegnazione[[#This Row],[Bene]],B[Valore netto contabile fiscalmente riconosciuto])*Assegnazione[[#This Row],[Quota di assegnazione]]</f>
        <v>0</v>
      </c>
      <c r="I134" s="175">
        <f>+SUMIF(B[Bene],Assegnazione[[#This Row],[Bene]],B[Valore normale])*Assegnazione[[#This Row],[Quota di assegnazione]]</f>
        <v>0</v>
      </c>
      <c r="J134" s="177">
        <f>+IF(Assegnazione[[#This Row],[Bene]]="",0,SUMIF(Assegnazione[Socio],Assegnazione[[#This Row],[Socio]],Assegnazione[Valore Normale])/$I$3)</f>
        <v>0</v>
      </c>
      <c r="K134" s="177" t="str">
        <f>IF(Assegnazione[[#This Row],[Bene]]="","",SUMIF(A_1[Nome],Assegnazione[[#This Row],[Socio]],A_1[Quota partecipazione al momento dell''operazione]))</f>
        <v/>
      </c>
      <c r="L134" s="175">
        <f>+SUMIF(B[Bene],Assegnazione[[#This Row],[Bene]],B[Valore catastale])*Assegnazione[[#This Row],[Quota di assegnazione]]</f>
        <v>0</v>
      </c>
      <c r="M1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5">
        <f>+MIN(Assegnazione[[#This Row],[Valore ai fini dell''atto]],Assegnazione[[#This Row],[Valore Fiscalmente riconosciuto]])</f>
        <v>0</v>
      </c>
      <c r="O134" s="149" t="str">
        <f>+IFERROR(VLOOKUP(Assegnazione[[#This Row],[Bene]],B[],MATCH($O$4,Beni!$A$4:$Z$4,0),0),"")</f>
        <v/>
      </c>
      <c r="P1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8">
        <f>+SUMIF(B[Bene],Assegnazione[[#This Row],[Bene]],B[Iva se dovuta])*Assegnazione[[#This Row],[Quota di assegnazione]]</f>
        <v>0</v>
      </c>
      <c r="S134" s="178">
        <f>+SUMIF(B[Bene],Assegnazione[[#This Row],[Bene]],B[Imposta di registro (fissa + prop) senza agevolazione])*Assegnazione[[#This Row],[Quota di assegnazione]]</f>
        <v>0</v>
      </c>
      <c r="T134" s="178">
        <f>+SUMIF(B[Bene],Assegnazione[[#This Row],[Bene]],B[Ipotecaria e catastale senza agevolazione])*Assegnazione[[#This Row],[Quota di assegnazione]]</f>
        <v>0</v>
      </c>
      <c r="U134" s="179">
        <f>+SUM(Assegnazione[[#This Row],[Tassazione diretta senza agevolazione]:[Ipotecaria e catastale senza agevolazione]])</f>
        <v>0</v>
      </c>
      <c r="V134" s="178">
        <f>+SUMIF(B[Bene],Assegnazione[[#This Row],[Bene]],B[Imponibile Imposta sostitutiva])*Assegnazione[[#This Row],[Quota di assegnazione]]*DATI!$E$27</f>
        <v>0</v>
      </c>
      <c r="W134" s="178">
        <f>+SUMIF(B[Bene],Assegnazione[[#This Row],[Bene]],B[Imposta di registro in misura fissa agevolata])*Assegnazione[[#This Row],[Quota di assegnazione]]</f>
        <v>0</v>
      </c>
      <c r="X134" s="178">
        <f>+SUMIF(B[Bene],Assegnazione[[#This Row],[Bene]],B[Imposta di registro prop. Agevolata])*Assegnazione[[#This Row],[Quota di assegnazione]]</f>
        <v>0</v>
      </c>
      <c r="Y134" s="178">
        <f>+IFERROR(Assegnazione[[#This Row],[Imposta di registro in misura fissa]]+Assegnazione[[#This Row],[Imposta di registro prop.]],"")</f>
        <v>0</v>
      </c>
      <c r="Z134" s="178">
        <f>+SUMIF(B[Bene],Assegnazione[[#This Row],[Bene]],B[Ipotecaria catastale agevolata])*Assegnazione[[#This Row],[Quota di assegnazione]]</f>
        <v>0</v>
      </c>
    </row>
    <row r="135" spans="1:26" x14ac:dyDescent="0.2">
      <c r="A135" s="126"/>
      <c r="B135" s="135"/>
      <c r="C135" s="126"/>
      <c r="D135" s="175">
        <f>+SUMIF(B[Bene],Assegnazione[[#This Row],[Bene]],B[Imponibile Iva])*Assegnazione[[#This Row],[Quota di assegnazione]]</f>
        <v>0</v>
      </c>
      <c r="E135" s="175">
        <f>+SUMIF(B[Bene],Assegnazione[[#This Row],[Bene]],B[Valore inserito manualmente])*Assegnazione[[#This Row],[Quota di assegnazione]]</f>
        <v>0</v>
      </c>
      <c r="F135" s="176" t="str">
        <f>+IF(A135="","",VLOOKUP(Assegnazione[[#This Row],[Bene]],B[],3,0))</f>
        <v/>
      </c>
      <c r="G135" s="132" t="str">
        <f>+IFERROR(VLOOKUP(Assegnazione[[#This Row],[Bene]],B[],MATCH("Agevolabile",Beni!$A$4:$AC$4,0),0)*VLOOKUP(Assegnazione[[#This Row],[Socio]],A_1[],8,0),"")</f>
        <v/>
      </c>
      <c r="H135" s="175">
        <f>+SUMIF(B[Bene],Assegnazione[[#This Row],[Bene]],B[Valore netto contabile fiscalmente riconosciuto])*Assegnazione[[#This Row],[Quota di assegnazione]]</f>
        <v>0</v>
      </c>
      <c r="I135" s="175">
        <f>+SUMIF(B[Bene],Assegnazione[[#This Row],[Bene]],B[Valore normale])*Assegnazione[[#This Row],[Quota di assegnazione]]</f>
        <v>0</v>
      </c>
      <c r="J135" s="177">
        <f>+IF(Assegnazione[[#This Row],[Bene]]="",0,SUMIF(Assegnazione[Socio],Assegnazione[[#This Row],[Socio]],Assegnazione[Valore Normale])/$I$3)</f>
        <v>0</v>
      </c>
      <c r="K135" s="177" t="str">
        <f>IF(Assegnazione[[#This Row],[Bene]]="","",SUMIF(A_1[Nome],Assegnazione[[#This Row],[Socio]],A_1[Quota partecipazione al momento dell''operazione]))</f>
        <v/>
      </c>
      <c r="L135" s="175">
        <f>+SUMIF(B[Bene],Assegnazione[[#This Row],[Bene]],B[Valore catastale])*Assegnazione[[#This Row],[Quota di assegnazione]]</f>
        <v>0</v>
      </c>
      <c r="M1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5">
        <f>+MIN(Assegnazione[[#This Row],[Valore ai fini dell''atto]],Assegnazione[[#This Row],[Valore Fiscalmente riconosciuto]])</f>
        <v>0</v>
      </c>
      <c r="O135" s="149" t="str">
        <f>+IFERROR(VLOOKUP(Assegnazione[[#This Row],[Bene]],B[],MATCH($O$4,Beni!$A$4:$Z$4,0),0),"")</f>
        <v/>
      </c>
      <c r="P1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8">
        <f>+SUMIF(B[Bene],Assegnazione[[#This Row],[Bene]],B[Iva se dovuta])*Assegnazione[[#This Row],[Quota di assegnazione]]</f>
        <v>0</v>
      </c>
      <c r="S135" s="178">
        <f>+SUMIF(B[Bene],Assegnazione[[#This Row],[Bene]],B[Imposta di registro (fissa + prop) senza agevolazione])*Assegnazione[[#This Row],[Quota di assegnazione]]</f>
        <v>0</v>
      </c>
      <c r="T135" s="178">
        <f>+SUMIF(B[Bene],Assegnazione[[#This Row],[Bene]],B[Ipotecaria e catastale senza agevolazione])*Assegnazione[[#This Row],[Quota di assegnazione]]</f>
        <v>0</v>
      </c>
      <c r="U135" s="179">
        <f>+SUM(Assegnazione[[#This Row],[Tassazione diretta senza agevolazione]:[Ipotecaria e catastale senza agevolazione]])</f>
        <v>0</v>
      </c>
      <c r="V135" s="178">
        <f>+SUMIF(B[Bene],Assegnazione[[#This Row],[Bene]],B[Imponibile Imposta sostitutiva])*Assegnazione[[#This Row],[Quota di assegnazione]]*DATI!$E$27</f>
        <v>0</v>
      </c>
      <c r="W135" s="178">
        <f>+SUMIF(B[Bene],Assegnazione[[#This Row],[Bene]],B[Imposta di registro in misura fissa agevolata])*Assegnazione[[#This Row],[Quota di assegnazione]]</f>
        <v>0</v>
      </c>
      <c r="X135" s="178">
        <f>+SUMIF(B[Bene],Assegnazione[[#This Row],[Bene]],B[Imposta di registro prop. Agevolata])*Assegnazione[[#This Row],[Quota di assegnazione]]</f>
        <v>0</v>
      </c>
      <c r="Y135" s="178">
        <f>+IFERROR(Assegnazione[[#This Row],[Imposta di registro in misura fissa]]+Assegnazione[[#This Row],[Imposta di registro prop.]],"")</f>
        <v>0</v>
      </c>
      <c r="Z135" s="178">
        <f>+SUMIF(B[Bene],Assegnazione[[#This Row],[Bene]],B[Ipotecaria catastale agevolata])*Assegnazione[[#This Row],[Quota di assegnazione]]</f>
        <v>0</v>
      </c>
    </row>
    <row r="136" spans="1:26" x14ac:dyDescent="0.2">
      <c r="A136" s="126"/>
      <c r="B136" s="135"/>
      <c r="C136" s="126"/>
      <c r="D136" s="175">
        <f>+SUMIF(B[Bene],Assegnazione[[#This Row],[Bene]],B[Imponibile Iva])*Assegnazione[[#This Row],[Quota di assegnazione]]</f>
        <v>0</v>
      </c>
      <c r="E136" s="175">
        <f>+SUMIF(B[Bene],Assegnazione[[#This Row],[Bene]],B[Valore inserito manualmente])*Assegnazione[[#This Row],[Quota di assegnazione]]</f>
        <v>0</v>
      </c>
      <c r="F136" s="176" t="str">
        <f>+IF(A136="","",VLOOKUP(Assegnazione[[#This Row],[Bene]],B[],3,0))</f>
        <v/>
      </c>
      <c r="G136" s="132" t="str">
        <f>+IFERROR(VLOOKUP(Assegnazione[[#This Row],[Bene]],B[],MATCH("Agevolabile",Beni!$A$4:$AC$4,0),0)*VLOOKUP(Assegnazione[[#This Row],[Socio]],A_1[],8,0),"")</f>
        <v/>
      </c>
      <c r="H136" s="175">
        <f>+SUMIF(B[Bene],Assegnazione[[#This Row],[Bene]],B[Valore netto contabile fiscalmente riconosciuto])*Assegnazione[[#This Row],[Quota di assegnazione]]</f>
        <v>0</v>
      </c>
      <c r="I136" s="175">
        <f>+SUMIF(B[Bene],Assegnazione[[#This Row],[Bene]],B[Valore normale])*Assegnazione[[#This Row],[Quota di assegnazione]]</f>
        <v>0</v>
      </c>
      <c r="J136" s="177">
        <f>+IF(Assegnazione[[#This Row],[Bene]]="",0,SUMIF(Assegnazione[Socio],Assegnazione[[#This Row],[Socio]],Assegnazione[Valore Normale])/$I$3)</f>
        <v>0</v>
      </c>
      <c r="K136" s="177" t="str">
        <f>IF(Assegnazione[[#This Row],[Bene]]="","",SUMIF(A_1[Nome],Assegnazione[[#This Row],[Socio]],A_1[Quota partecipazione al momento dell''operazione]))</f>
        <v/>
      </c>
      <c r="L136" s="175">
        <f>+SUMIF(B[Bene],Assegnazione[[#This Row],[Bene]],B[Valore catastale])*Assegnazione[[#This Row],[Quota di assegnazione]]</f>
        <v>0</v>
      </c>
      <c r="M1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5">
        <f>+MIN(Assegnazione[[#This Row],[Valore ai fini dell''atto]],Assegnazione[[#This Row],[Valore Fiscalmente riconosciuto]])</f>
        <v>0</v>
      </c>
      <c r="O136" s="149" t="str">
        <f>+IFERROR(VLOOKUP(Assegnazione[[#This Row],[Bene]],B[],MATCH($O$4,Beni!$A$4:$Z$4,0),0),"")</f>
        <v/>
      </c>
      <c r="P1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8">
        <f>+SUMIF(B[Bene],Assegnazione[[#This Row],[Bene]],B[Iva se dovuta])*Assegnazione[[#This Row],[Quota di assegnazione]]</f>
        <v>0</v>
      </c>
      <c r="S136" s="178">
        <f>+SUMIF(B[Bene],Assegnazione[[#This Row],[Bene]],B[Imposta di registro (fissa + prop) senza agevolazione])*Assegnazione[[#This Row],[Quota di assegnazione]]</f>
        <v>0</v>
      </c>
      <c r="T136" s="178">
        <f>+SUMIF(B[Bene],Assegnazione[[#This Row],[Bene]],B[Ipotecaria e catastale senza agevolazione])*Assegnazione[[#This Row],[Quota di assegnazione]]</f>
        <v>0</v>
      </c>
      <c r="U136" s="179">
        <f>+SUM(Assegnazione[[#This Row],[Tassazione diretta senza agevolazione]:[Ipotecaria e catastale senza agevolazione]])</f>
        <v>0</v>
      </c>
      <c r="V136" s="178">
        <f>+SUMIF(B[Bene],Assegnazione[[#This Row],[Bene]],B[Imponibile Imposta sostitutiva])*Assegnazione[[#This Row],[Quota di assegnazione]]*DATI!$E$27</f>
        <v>0</v>
      </c>
      <c r="W136" s="178">
        <f>+SUMIF(B[Bene],Assegnazione[[#This Row],[Bene]],B[Imposta di registro in misura fissa agevolata])*Assegnazione[[#This Row],[Quota di assegnazione]]</f>
        <v>0</v>
      </c>
      <c r="X136" s="178">
        <f>+SUMIF(B[Bene],Assegnazione[[#This Row],[Bene]],B[Imposta di registro prop. Agevolata])*Assegnazione[[#This Row],[Quota di assegnazione]]</f>
        <v>0</v>
      </c>
      <c r="Y136" s="178">
        <f>+IFERROR(Assegnazione[[#This Row],[Imposta di registro in misura fissa]]+Assegnazione[[#This Row],[Imposta di registro prop.]],"")</f>
        <v>0</v>
      </c>
      <c r="Z136" s="178">
        <f>+SUMIF(B[Bene],Assegnazione[[#This Row],[Bene]],B[Ipotecaria catastale agevolata])*Assegnazione[[#This Row],[Quota di assegnazione]]</f>
        <v>0</v>
      </c>
    </row>
    <row r="137" spans="1:26" x14ac:dyDescent="0.2">
      <c r="A137" s="126"/>
      <c r="B137" s="135"/>
      <c r="C137" s="126"/>
      <c r="D137" s="175">
        <f>+SUMIF(B[Bene],Assegnazione[[#This Row],[Bene]],B[Imponibile Iva])*Assegnazione[[#This Row],[Quota di assegnazione]]</f>
        <v>0</v>
      </c>
      <c r="E137" s="175">
        <f>+SUMIF(B[Bene],Assegnazione[[#This Row],[Bene]],B[Valore inserito manualmente])*Assegnazione[[#This Row],[Quota di assegnazione]]</f>
        <v>0</v>
      </c>
      <c r="F137" s="176" t="str">
        <f>+IF(A137="","",VLOOKUP(Assegnazione[[#This Row],[Bene]],B[],3,0))</f>
        <v/>
      </c>
      <c r="G137" s="132" t="str">
        <f>+IFERROR(VLOOKUP(Assegnazione[[#This Row],[Bene]],B[],MATCH("Agevolabile",Beni!$A$4:$AC$4,0),0)*VLOOKUP(Assegnazione[[#This Row],[Socio]],A_1[],8,0),"")</f>
        <v/>
      </c>
      <c r="H137" s="175">
        <f>+SUMIF(B[Bene],Assegnazione[[#This Row],[Bene]],B[Valore netto contabile fiscalmente riconosciuto])*Assegnazione[[#This Row],[Quota di assegnazione]]</f>
        <v>0</v>
      </c>
      <c r="I137" s="175">
        <f>+SUMIF(B[Bene],Assegnazione[[#This Row],[Bene]],B[Valore normale])*Assegnazione[[#This Row],[Quota di assegnazione]]</f>
        <v>0</v>
      </c>
      <c r="J137" s="177">
        <f>+IF(Assegnazione[[#This Row],[Bene]]="",0,SUMIF(Assegnazione[Socio],Assegnazione[[#This Row],[Socio]],Assegnazione[Valore Normale])/$I$3)</f>
        <v>0</v>
      </c>
      <c r="K137" s="177" t="str">
        <f>IF(Assegnazione[[#This Row],[Bene]]="","",SUMIF(A_1[Nome],Assegnazione[[#This Row],[Socio]],A_1[Quota partecipazione al momento dell''operazione]))</f>
        <v/>
      </c>
      <c r="L137" s="175">
        <f>+SUMIF(B[Bene],Assegnazione[[#This Row],[Bene]],B[Valore catastale])*Assegnazione[[#This Row],[Quota di assegnazione]]</f>
        <v>0</v>
      </c>
      <c r="M1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5">
        <f>+MIN(Assegnazione[[#This Row],[Valore ai fini dell''atto]],Assegnazione[[#This Row],[Valore Fiscalmente riconosciuto]])</f>
        <v>0</v>
      </c>
      <c r="O137" s="149" t="str">
        <f>+IFERROR(VLOOKUP(Assegnazione[[#This Row],[Bene]],B[],MATCH($O$4,Beni!$A$4:$Z$4,0),0),"")</f>
        <v/>
      </c>
      <c r="P1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8">
        <f>+SUMIF(B[Bene],Assegnazione[[#This Row],[Bene]],B[Iva se dovuta])*Assegnazione[[#This Row],[Quota di assegnazione]]</f>
        <v>0</v>
      </c>
      <c r="S137" s="178">
        <f>+SUMIF(B[Bene],Assegnazione[[#This Row],[Bene]],B[Imposta di registro (fissa + prop) senza agevolazione])*Assegnazione[[#This Row],[Quota di assegnazione]]</f>
        <v>0</v>
      </c>
      <c r="T137" s="178">
        <f>+SUMIF(B[Bene],Assegnazione[[#This Row],[Bene]],B[Ipotecaria e catastale senza agevolazione])*Assegnazione[[#This Row],[Quota di assegnazione]]</f>
        <v>0</v>
      </c>
      <c r="U137" s="179">
        <f>+SUM(Assegnazione[[#This Row],[Tassazione diretta senza agevolazione]:[Ipotecaria e catastale senza agevolazione]])</f>
        <v>0</v>
      </c>
      <c r="V137" s="178">
        <f>+SUMIF(B[Bene],Assegnazione[[#This Row],[Bene]],B[Imponibile Imposta sostitutiva])*Assegnazione[[#This Row],[Quota di assegnazione]]*DATI!$E$27</f>
        <v>0</v>
      </c>
      <c r="W137" s="178">
        <f>+SUMIF(B[Bene],Assegnazione[[#This Row],[Bene]],B[Imposta di registro in misura fissa agevolata])*Assegnazione[[#This Row],[Quota di assegnazione]]</f>
        <v>0</v>
      </c>
      <c r="X137" s="178">
        <f>+SUMIF(B[Bene],Assegnazione[[#This Row],[Bene]],B[Imposta di registro prop. Agevolata])*Assegnazione[[#This Row],[Quota di assegnazione]]</f>
        <v>0</v>
      </c>
      <c r="Y137" s="178">
        <f>+IFERROR(Assegnazione[[#This Row],[Imposta di registro in misura fissa]]+Assegnazione[[#This Row],[Imposta di registro prop.]],"")</f>
        <v>0</v>
      </c>
      <c r="Z137" s="178">
        <f>+SUMIF(B[Bene],Assegnazione[[#This Row],[Bene]],B[Ipotecaria catastale agevolata])*Assegnazione[[#This Row],[Quota di assegnazione]]</f>
        <v>0</v>
      </c>
    </row>
    <row r="138" spans="1:26" x14ac:dyDescent="0.2">
      <c r="A138" s="126"/>
      <c r="B138" s="135"/>
      <c r="C138" s="126"/>
      <c r="D138" s="175">
        <f>+SUMIF(B[Bene],Assegnazione[[#This Row],[Bene]],B[Imponibile Iva])*Assegnazione[[#This Row],[Quota di assegnazione]]</f>
        <v>0</v>
      </c>
      <c r="E138" s="175">
        <f>+SUMIF(B[Bene],Assegnazione[[#This Row],[Bene]],B[Valore inserito manualmente])*Assegnazione[[#This Row],[Quota di assegnazione]]</f>
        <v>0</v>
      </c>
      <c r="F138" s="176" t="str">
        <f>+IF(A138="","",VLOOKUP(Assegnazione[[#This Row],[Bene]],B[],3,0))</f>
        <v/>
      </c>
      <c r="G138" s="132" t="str">
        <f>+IFERROR(VLOOKUP(Assegnazione[[#This Row],[Bene]],B[],MATCH("Agevolabile",Beni!$A$4:$AC$4,0),0)*VLOOKUP(Assegnazione[[#This Row],[Socio]],A_1[],8,0),"")</f>
        <v/>
      </c>
      <c r="H138" s="175">
        <f>+SUMIF(B[Bene],Assegnazione[[#This Row],[Bene]],B[Valore netto contabile fiscalmente riconosciuto])*Assegnazione[[#This Row],[Quota di assegnazione]]</f>
        <v>0</v>
      </c>
      <c r="I138" s="175">
        <f>+SUMIF(B[Bene],Assegnazione[[#This Row],[Bene]],B[Valore normale])*Assegnazione[[#This Row],[Quota di assegnazione]]</f>
        <v>0</v>
      </c>
      <c r="J138" s="177">
        <f>+IF(Assegnazione[[#This Row],[Bene]]="",0,SUMIF(Assegnazione[Socio],Assegnazione[[#This Row],[Socio]],Assegnazione[Valore Normale])/$I$3)</f>
        <v>0</v>
      </c>
      <c r="K138" s="177" t="str">
        <f>IF(Assegnazione[[#This Row],[Bene]]="","",SUMIF(A_1[Nome],Assegnazione[[#This Row],[Socio]],A_1[Quota partecipazione al momento dell''operazione]))</f>
        <v/>
      </c>
      <c r="L138" s="175">
        <f>+SUMIF(B[Bene],Assegnazione[[#This Row],[Bene]],B[Valore catastale])*Assegnazione[[#This Row],[Quota di assegnazione]]</f>
        <v>0</v>
      </c>
      <c r="M1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5">
        <f>+MIN(Assegnazione[[#This Row],[Valore ai fini dell''atto]],Assegnazione[[#This Row],[Valore Fiscalmente riconosciuto]])</f>
        <v>0</v>
      </c>
      <c r="O138" s="149" t="str">
        <f>+IFERROR(VLOOKUP(Assegnazione[[#This Row],[Bene]],B[],MATCH($O$4,Beni!$A$4:$Z$4,0),0),"")</f>
        <v/>
      </c>
      <c r="P1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8">
        <f>+SUMIF(B[Bene],Assegnazione[[#This Row],[Bene]],B[Iva se dovuta])*Assegnazione[[#This Row],[Quota di assegnazione]]</f>
        <v>0</v>
      </c>
      <c r="S138" s="178">
        <f>+SUMIF(B[Bene],Assegnazione[[#This Row],[Bene]],B[Imposta di registro (fissa + prop) senza agevolazione])*Assegnazione[[#This Row],[Quota di assegnazione]]</f>
        <v>0</v>
      </c>
      <c r="T138" s="178">
        <f>+SUMIF(B[Bene],Assegnazione[[#This Row],[Bene]],B[Ipotecaria e catastale senza agevolazione])*Assegnazione[[#This Row],[Quota di assegnazione]]</f>
        <v>0</v>
      </c>
      <c r="U138" s="179">
        <f>+SUM(Assegnazione[[#This Row],[Tassazione diretta senza agevolazione]:[Ipotecaria e catastale senza agevolazione]])</f>
        <v>0</v>
      </c>
      <c r="V138" s="178">
        <f>+SUMIF(B[Bene],Assegnazione[[#This Row],[Bene]],B[Imponibile Imposta sostitutiva])*Assegnazione[[#This Row],[Quota di assegnazione]]*DATI!$E$27</f>
        <v>0</v>
      </c>
      <c r="W138" s="178">
        <f>+SUMIF(B[Bene],Assegnazione[[#This Row],[Bene]],B[Imposta di registro in misura fissa agevolata])*Assegnazione[[#This Row],[Quota di assegnazione]]</f>
        <v>0</v>
      </c>
      <c r="X138" s="178">
        <f>+SUMIF(B[Bene],Assegnazione[[#This Row],[Bene]],B[Imposta di registro prop. Agevolata])*Assegnazione[[#This Row],[Quota di assegnazione]]</f>
        <v>0</v>
      </c>
      <c r="Y138" s="178">
        <f>+IFERROR(Assegnazione[[#This Row],[Imposta di registro in misura fissa]]+Assegnazione[[#This Row],[Imposta di registro prop.]],"")</f>
        <v>0</v>
      </c>
      <c r="Z138" s="178">
        <f>+SUMIF(B[Bene],Assegnazione[[#This Row],[Bene]],B[Ipotecaria catastale agevolata])*Assegnazione[[#This Row],[Quota di assegnazione]]</f>
        <v>0</v>
      </c>
    </row>
    <row r="139" spans="1:26" x14ac:dyDescent="0.2">
      <c r="A139" s="126"/>
      <c r="B139" s="135"/>
      <c r="C139" s="126"/>
      <c r="D139" s="175">
        <f>+SUMIF(B[Bene],Assegnazione[[#This Row],[Bene]],B[Imponibile Iva])*Assegnazione[[#This Row],[Quota di assegnazione]]</f>
        <v>0</v>
      </c>
      <c r="E139" s="175">
        <f>+SUMIF(B[Bene],Assegnazione[[#This Row],[Bene]],B[Valore inserito manualmente])*Assegnazione[[#This Row],[Quota di assegnazione]]</f>
        <v>0</v>
      </c>
      <c r="F139" s="176" t="str">
        <f>+IF(A139="","",VLOOKUP(Assegnazione[[#This Row],[Bene]],B[],3,0))</f>
        <v/>
      </c>
      <c r="G139" s="132" t="str">
        <f>+IFERROR(VLOOKUP(Assegnazione[[#This Row],[Bene]],B[],MATCH("Agevolabile",Beni!$A$4:$AC$4,0),0)*VLOOKUP(Assegnazione[[#This Row],[Socio]],A_1[],8,0),"")</f>
        <v/>
      </c>
      <c r="H139" s="175">
        <f>+SUMIF(B[Bene],Assegnazione[[#This Row],[Bene]],B[Valore netto contabile fiscalmente riconosciuto])*Assegnazione[[#This Row],[Quota di assegnazione]]</f>
        <v>0</v>
      </c>
      <c r="I139" s="175">
        <f>+SUMIF(B[Bene],Assegnazione[[#This Row],[Bene]],B[Valore normale])*Assegnazione[[#This Row],[Quota di assegnazione]]</f>
        <v>0</v>
      </c>
      <c r="J139" s="177">
        <f>+IF(Assegnazione[[#This Row],[Bene]]="",0,SUMIF(Assegnazione[Socio],Assegnazione[[#This Row],[Socio]],Assegnazione[Valore Normale])/$I$3)</f>
        <v>0</v>
      </c>
      <c r="K139" s="177" t="str">
        <f>IF(Assegnazione[[#This Row],[Bene]]="","",SUMIF(A_1[Nome],Assegnazione[[#This Row],[Socio]],A_1[Quota partecipazione al momento dell''operazione]))</f>
        <v/>
      </c>
      <c r="L139" s="175">
        <f>+SUMIF(B[Bene],Assegnazione[[#This Row],[Bene]],B[Valore catastale])*Assegnazione[[#This Row],[Quota di assegnazione]]</f>
        <v>0</v>
      </c>
      <c r="M1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5">
        <f>+MIN(Assegnazione[[#This Row],[Valore ai fini dell''atto]],Assegnazione[[#This Row],[Valore Fiscalmente riconosciuto]])</f>
        <v>0</v>
      </c>
      <c r="O139" s="149" t="str">
        <f>+IFERROR(VLOOKUP(Assegnazione[[#This Row],[Bene]],B[],MATCH($O$4,Beni!$A$4:$Z$4,0),0),"")</f>
        <v/>
      </c>
      <c r="P1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8">
        <f>+SUMIF(B[Bene],Assegnazione[[#This Row],[Bene]],B[Iva se dovuta])*Assegnazione[[#This Row],[Quota di assegnazione]]</f>
        <v>0</v>
      </c>
      <c r="S139" s="178">
        <f>+SUMIF(B[Bene],Assegnazione[[#This Row],[Bene]],B[Imposta di registro (fissa + prop) senza agevolazione])*Assegnazione[[#This Row],[Quota di assegnazione]]</f>
        <v>0</v>
      </c>
      <c r="T139" s="178">
        <f>+SUMIF(B[Bene],Assegnazione[[#This Row],[Bene]],B[Ipotecaria e catastale senza agevolazione])*Assegnazione[[#This Row],[Quota di assegnazione]]</f>
        <v>0</v>
      </c>
      <c r="U139" s="179">
        <f>+SUM(Assegnazione[[#This Row],[Tassazione diretta senza agevolazione]:[Ipotecaria e catastale senza agevolazione]])</f>
        <v>0</v>
      </c>
      <c r="V139" s="178">
        <f>+SUMIF(B[Bene],Assegnazione[[#This Row],[Bene]],B[Imponibile Imposta sostitutiva])*Assegnazione[[#This Row],[Quota di assegnazione]]*DATI!$E$27</f>
        <v>0</v>
      </c>
      <c r="W139" s="178">
        <f>+SUMIF(B[Bene],Assegnazione[[#This Row],[Bene]],B[Imposta di registro in misura fissa agevolata])*Assegnazione[[#This Row],[Quota di assegnazione]]</f>
        <v>0</v>
      </c>
      <c r="X139" s="178">
        <f>+SUMIF(B[Bene],Assegnazione[[#This Row],[Bene]],B[Imposta di registro prop. Agevolata])*Assegnazione[[#This Row],[Quota di assegnazione]]</f>
        <v>0</v>
      </c>
      <c r="Y139" s="178">
        <f>+IFERROR(Assegnazione[[#This Row],[Imposta di registro in misura fissa]]+Assegnazione[[#This Row],[Imposta di registro prop.]],"")</f>
        <v>0</v>
      </c>
      <c r="Z139" s="178">
        <f>+SUMIF(B[Bene],Assegnazione[[#This Row],[Bene]],B[Ipotecaria catastale agevolata])*Assegnazione[[#This Row],[Quota di assegnazione]]</f>
        <v>0</v>
      </c>
    </row>
    <row r="140" spans="1:26" x14ac:dyDescent="0.2">
      <c r="A140" s="126"/>
      <c r="B140" s="135"/>
      <c r="C140" s="126"/>
      <c r="D140" s="175">
        <f>+SUMIF(B[Bene],Assegnazione[[#This Row],[Bene]],B[Imponibile Iva])*Assegnazione[[#This Row],[Quota di assegnazione]]</f>
        <v>0</v>
      </c>
      <c r="E140" s="175">
        <f>+SUMIF(B[Bene],Assegnazione[[#This Row],[Bene]],B[Valore inserito manualmente])*Assegnazione[[#This Row],[Quota di assegnazione]]</f>
        <v>0</v>
      </c>
      <c r="F140" s="176" t="str">
        <f>+IF(A140="","",VLOOKUP(Assegnazione[[#This Row],[Bene]],B[],3,0))</f>
        <v/>
      </c>
      <c r="G140" s="132" t="str">
        <f>+IFERROR(VLOOKUP(Assegnazione[[#This Row],[Bene]],B[],MATCH("Agevolabile",Beni!$A$4:$AC$4,0),0)*VLOOKUP(Assegnazione[[#This Row],[Socio]],A_1[],8,0),"")</f>
        <v/>
      </c>
      <c r="H140" s="175">
        <f>+SUMIF(B[Bene],Assegnazione[[#This Row],[Bene]],B[Valore netto contabile fiscalmente riconosciuto])*Assegnazione[[#This Row],[Quota di assegnazione]]</f>
        <v>0</v>
      </c>
      <c r="I140" s="175">
        <f>+SUMIF(B[Bene],Assegnazione[[#This Row],[Bene]],B[Valore normale])*Assegnazione[[#This Row],[Quota di assegnazione]]</f>
        <v>0</v>
      </c>
      <c r="J140" s="177">
        <f>+IF(Assegnazione[[#This Row],[Bene]]="",0,SUMIF(Assegnazione[Socio],Assegnazione[[#This Row],[Socio]],Assegnazione[Valore Normale])/$I$3)</f>
        <v>0</v>
      </c>
      <c r="K140" s="177" t="str">
        <f>IF(Assegnazione[[#This Row],[Bene]]="","",SUMIF(A_1[Nome],Assegnazione[[#This Row],[Socio]],A_1[Quota partecipazione al momento dell''operazione]))</f>
        <v/>
      </c>
      <c r="L140" s="175">
        <f>+SUMIF(B[Bene],Assegnazione[[#This Row],[Bene]],B[Valore catastale])*Assegnazione[[#This Row],[Quota di assegnazione]]</f>
        <v>0</v>
      </c>
      <c r="M1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5">
        <f>+MIN(Assegnazione[[#This Row],[Valore ai fini dell''atto]],Assegnazione[[#This Row],[Valore Fiscalmente riconosciuto]])</f>
        <v>0</v>
      </c>
      <c r="O140" s="149" t="str">
        <f>+IFERROR(VLOOKUP(Assegnazione[[#This Row],[Bene]],B[],MATCH($O$4,Beni!$A$4:$Z$4,0),0),"")</f>
        <v/>
      </c>
      <c r="P1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8">
        <f>+SUMIF(B[Bene],Assegnazione[[#This Row],[Bene]],B[Iva se dovuta])*Assegnazione[[#This Row],[Quota di assegnazione]]</f>
        <v>0</v>
      </c>
      <c r="S140" s="178">
        <f>+SUMIF(B[Bene],Assegnazione[[#This Row],[Bene]],B[Imposta di registro (fissa + prop) senza agevolazione])*Assegnazione[[#This Row],[Quota di assegnazione]]</f>
        <v>0</v>
      </c>
      <c r="T140" s="178">
        <f>+SUMIF(B[Bene],Assegnazione[[#This Row],[Bene]],B[Ipotecaria e catastale senza agevolazione])*Assegnazione[[#This Row],[Quota di assegnazione]]</f>
        <v>0</v>
      </c>
      <c r="U140" s="179">
        <f>+SUM(Assegnazione[[#This Row],[Tassazione diretta senza agevolazione]:[Ipotecaria e catastale senza agevolazione]])</f>
        <v>0</v>
      </c>
      <c r="V140" s="178">
        <f>+SUMIF(B[Bene],Assegnazione[[#This Row],[Bene]],B[Imponibile Imposta sostitutiva])*Assegnazione[[#This Row],[Quota di assegnazione]]*DATI!$E$27</f>
        <v>0</v>
      </c>
      <c r="W140" s="178">
        <f>+SUMIF(B[Bene],Assegnazione[[#This Row],[Bene]],B[Imposta di registro in misura fissa agevolata])*Assegnazione[[#This Row],[Quota di assegnazione]]</f>
        <v>0</v>
      </c>
      <c r="X140" s="178">
        <f>+SUMIF(B[Bene],Assegnazione[[#This Row],[Bene]],B[Imposta di registro prop. Agevolata])*Assegnazione[[#This Row],[Quota di assegnazione]]</f>
        <v>0</v>
      </c>
      <c r="Y140" s="178">
        <f>+IFERROR(Assegnazione[[#This Row],[Imposta di registro in misura fissa]]+Assegnazione[[#This Row],[Imposta di registro prop.]],"")</f>
        <v>0</v>
      </c>
      <c r="Z140" s="178">
        <f>+SUMIF(B[Bene],Assegnazione[[#This Row],[Bene]],B[Ipotecaria catastale agevolata])*Assegnazione[[#This Row],[Quota di assegnazione]]</f>
        <v>0</v>
      </c>
    </row>
    <row r="141" spans="1:26" x14ac:dyDescent="0.2">
      <c r="A141" s="126"/>
      <c r="B141" s="135"/>
      <c r="C141" s="126"/>
      <c r="D141" s="175">
        <f>+SUMIF(B[Bene],Assegnazione[[#This Row],[Bene]],B[Imponibile Iva])*Assegnazione[[#This Row],[Quota di assegnazione]]</f>
        <v>0</v>
      </c>
      <c r="E141" s="175">
        <f>+SUMIF(B[Bene],Assegnazione[[#This Row],[Bene]],B[Valore inserito manualmente])*Assegnazione[[#This Row],[Quota di assegnazione]]</f>
        <v>0</v>
      </c>
      <c r="F141" s="176" t="str">
        <f>+IF(A141="","",VLOOKUP(Assegnazione[[#This Row],[Bene]],B[],3,0))</f>
        <v/>
      </c>
      <c r="G141" s="132" t="str">
        <f>+IFERROR(VLOOKUP(Assegnazione[[#This Row],[Bene]],B[],MATCH("Agevolabile",Beni!$A$4:$AC$4,0),0)*VLOOKUP(Assegnazione[[#This Row],[Socio]],A_1[],8,0),"")</f>
        <v/>
      </c>
      <c r="H141" s="175">
        <f>+SUMIF(B[Bene],Assegnazione[[#This Row],[Bene]],B[Valore netto contabile fiscalmente riconosciuto])*Assegnazione[[#This Row],[Quota di assegnazione]]</f>
        <v>0</v>
      </c>
      <c r="I141" s="175">
        <f>+SUMIF(B[Bene],Assegnazione[[#This Row],[Bene]],B[Valore normale])*Assegnazione[[#This Row],[Quota di assegnazione]]</f>
        <v>0</v>
      </c>
      <c r="J141" s="177">
        <f>+IF(Assegnazione[[#This Row],[Bene]]="",0,SUMIF(Assegnazione[Socio],Assegnazione[[#This Row],[Socio]],Assegnazione[Valore Normale])/$I$3)</f>
        <v>0</v>
      </c>
      <c r="K141" s="177" t="str">
        <f>IF(Assegnazione[[#This Row],[Bene]]="","",SUMIF(A_1[Nome],Assegnazione[[#This Row],[Socio]],A_1[Quota partecipazione al momento dell''operazione]))</f>
        <v/>
      </c>
      <c r="L141" s="175">
        <f>+SUMIF(B[Bene],Assegnazione[[#This Row],[Bene]],B[Valore catastale])*Assegnazione[[#This Row],[Quota di assegnazione]]</f>
        <v>0</v>
      </c>
      <c r="M1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5">
        <f>+MIN(Assegnazione[[#This Row],[Valore ai fini dell''atto]],Assegnazione[[#This Row],[Valore Fiscalmente riconosciuto]])</f>
        <v>0</v>
      </c>
      <c r="O141" s="149" t="str">
        <f>+IFERROR(VLOOKUP(Assegnazione[[#This Row],[Bene]],B[],MATCH($O$4,Beni!$A$4:$Z$4,0),0),"")</f>
        <v/>
      </c>
      <c r="P1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8">
        <f>+SUMIF(B[Bene],Assegnazione[[#This Row],[Bene]],B[Iva se dovuta])*Assegnazione[[#This Row],[Quota di assegnazione]]</f>
        <v>0</v>
      </c>
      <c r="S141" s="178">
        <f>+SUMIF(B[Bene],Assegnazione[[#This Row],[Bene]],B[Imposta di registro (fissa + prop) senza agevolazione])*Assegnazione[[#This Row],[Quota di assegnazione]]</f>
        <v>0</v>
      </c>
      <c r="T141" s="178">
        <f>+SUMIF(B[Bene],Assegnazione[[#This Row],[Bene]],B[Ipotecaria e catastale senza agevolazione])*Assegnazione[[#This Row],[Quota di assegnazione]]</f>
        <v>0</v>
      </c>
      <c r="U141" s="179">
        <f>+SUM(Assegnazione[[#This Row],[Tassazione diretta senza agevolazione]:[Ipotecaria e catastale senza agevolazione]])</f>
        <v>0</v>
      </c>
      <c r="V141" s="178">
        <f>+SUMIF(B[Bene],Assegnazione[[#This Row],[Bene]],B[Imponibile Imposta sostitutiva])*Assegnazione[[#This Row],[Quota di assegnazione]]*DATI!$E$27</f>
        <v>0</v>
      </c>
      <c r="W141" s="178">
        <f>+SUMIF(B[Bene],Assegnazione[[#This Row],[Bene]],B[Imposta di registro in misura fissa agevolata])*Assegnazione[[#This Row],[Quota di assegnazione]]</f>
        <v>0</v>
      </c>
      <c r="X141" s="178">
        <f>+SUMIF(B[Bene],Assegnazione[[#This Row],[Bene]],B[Imposta di registro prop. Agevolata])*Assegnazione[[#This Row],[Quota di assegnazione]]</f>
        <v>0</v>
      </c>
      <c r="Y141" s="178">
        <f>+IFERROR(Assegnazione[[#This Row],[Imposta di registro in misura fissa]]+Assegnazione[[#This Row],[Imposta di registro prop.]],"")</f>
        <v>0</v>
      </c>
      <c r="Z141" s="178">
        <f>+SUMIF(B[Bene],Assegnazione[[#This Row],[Bene]],B[Ipotecaria catastale agevolata])*Assegnazione[[#This Row],[Quota di assegnazione]]</f>
        <v>0</v>
      </c>
    </row>
    <row r="142" spans="1:26" x14ac:dyDescent="0.2">
      <c r="A142" s="126"/>
      <c r="B142" s="135"/>
      <c r="C142" s="126"/>
      <c r="D142" s="175">
        <f>+SUMIF(B[Bene],Assegnazione[[#This Row],[Bene]],B[Imponibile Iva])*Assegnazione[[#This Row],[Quota di assegnazione]]</f>
        <v>0</v>
      </c>
      <c r="E142" s="175">
        <f>+SUMIF(B[Bene],Assegnazione[[#This Row],[Bene]],B[Valore inserito manualmente])*Assegnazione[[#This Row],[Quota di assegnazione]]</f>
        <v>0</v>
      </c>
      <c r="F142" s="176" t="str">
        <f>+IF(A142="","",VLOOKUP(Assegnazione[[#This Row],[Bene]],B[],3,0))</f>
        <v/>
      </c>
      <c r="G142" s="132" t="str">
        <f>+IFERROR(VLOOKUP(Assegnazione[[#This Row],[Bene]],B[],MATCH("Agevolabile",Beni!$A$4:$AC$4,0),0)*VLOOKUP(Assegnazione[[#This Row],[Socio]],A_1[],8,0),"")</f>
        <v/>
      </c>
      <c r="H142" s="175">
        <f>+SUMIF(B[Bene],Assegnazione[[#This Row],[Bene]],B[Valore netto contabile fiscalmente riconosciuto])*Assegnazione[[#This Row],[Quota di assegnazione]]</f>
        <v>0</v>
      </c>
      <c r="I142" s="175">
        <f>+SUMIF(B[Bene],Assegnazione[[#This Row],[Bene]],B[Valore normale])*Assegnazione[[#This Row],[Quota di assegnazione]]</f>
        <v>0</v>
      </c>
      <c r="J142" s="177">
        <f>+IF(Assegnazione[[#This Row],[Bene]]="",0,SUMIF(Assegnazione[Socio],Assegnazione[[#This Row],[Socio]],Assegnazione[Valore Normale])/$I$3)</f>
        <v>0</v>
      </c>
      <c r="K142" s="177" t="str">
        <f>IF(Assegnazione[[#This Row],[Bene]]="","",SUMIF(A_1[Nome],Assegnazione[[#This Row],[Socio]],A_1[Quota partecipazione al momento dell''operazione]))</f>
        <v/>
      </c>
      <c r="L142" s="175">
        <f>+SUMIF(B[Bene],Assegnazione[[#This Row],[Bene]],B[Valore catastale])*Assegnazione[[#This Row],[Quota di assegnazione]]</f>
        <v>0</v>
      </c>
      <c r="M1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5">
        <f>+MIN(Assegnazione[[#This Row],[Valore ai fini dell''atto]],Assegnazione[[#This Row],[Valore Fiscalmente riconosciuto]])</f>
        <v>0</v>
      </c>
      <c r="O142" s="149" t="str">
        <f>+IFERROR(VLOOKUP(Assegnazione[[#This Row],[Bene]],B[],MATCH($O$4,Beni!$A$4:$Z$4,0),0),"")</f>
        <v/>
      </c>
      <c r="P1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8">
        <f>+SUMIF(B[Bene],Assegnazione[[#This Row],[Bene]],B[Iva se dovuta])*Assegnazione[[#This Row],[Quota di assegnazione]]</f>
        <v>0</v>
      </c>
      <c r="S142" s="178">
        <f>+SUMIF(B[Bene],Assegnazione[[#This Row],[Bene]],B[Imposta di registro (fissa + prop) senza agevolazione])*Assegnazione[[#This Row],[Quota di assegnazione]]</f>
        <v>0</v>
      </c>
      <c r="T142" s="178">
        <f>+SUMIF(B[Bene],Assegnazione[[#This Row],[Bene]],B[Ipotecaria e catastale senza agevolazione])*Assegnazione[[#This Row],[Quota di assegnazione]]</f>
        <v>0</v>
      </c>
      <c r="U142" s="179">
        <f>+SUM(Assegnazione[[#This Row],[Tassazione diretta senza agevolazione]:[Ipotecaria e catastale senza agevolazione]])</f>
        <v>0</v>
      </c>
      <c r="V142" s="178">
        <f>+SUMIF(B[Bene],Assegnazione[[#This Row],[Bene]],B[Imponibile Imposta sostitutiva])*Assegnazione[[#This Row],[Quota di assegnazione]]*DATI!$E$27</f>
        <v>0</v>
      </c>
      <c r="W142" s="178">
        <f>+SUMIF(B[Bene],Assegnazione[[#This Row],[Bene]],B[Imposta di registro in misura fissa agevolata])*Assegnazione[[#This Row],[Quota di assegnazione]]</f>
        <v>0</v>
      </c>
      <c r="X142" s="178">
        <f>+SUMIF(B[Bene],Assegnazione[[#This Row],[Bene]],B[Imposta di registro prop. Agevolata])*Assegnazione[[#This Row],[Quota di assegnazione]]</f>
        <v>0</v>
      </c>
      <c r="Y142" s="178">
        <f>+IFERROR(Assegnazione[[#This Row],[Imposta di registro in misura fissa]]+Assegnazione[[#This Row],[Imposta di registro prop.]],"")</f>
        <v>0</v>
      </c>
      <c r="Z142" s="178">
        <f>+SUMIF(B[Bene],Assegnazione[[#This Row],[Bene]],B[Ipotecaria catastale agevolata])*Assegnazione[[#This Row],[Quota di assegnazione]]</f>
        <v>0</v>
      </c>
    </row>
    <row r="143" spans="1:26" x14ac:dyDescent="0.2">
      <c r="A143" s="126"/>
      <c r="B143" s="135"/>
      <c r="C143" s="126"/>
      <c r="D143" s="175">
        <f>+SUMIF(B[Bene],Assegnazione[[#This Row],[Bene]],B[Imponibile Iva])*Assegnazione[[#This Row],[Quota di assegnazione]]</f>
        <v>0</v>
      </c>
      <c r="E143" s="175">
        <f>+SUMIF(B[Bene],Assegnazione[[#This Row],[Bene]],B[Valore inserito manualmente])*Assegnazione[[#This Row],[Quota di assegnazione]]</f>
        <v>0</v>
      </c>
      <c r="F143" s="176" t="str">
        <f>+IF(A143="","",VLOOKUP(Assegnazione[[#This Row],[Bene]],B[],3,0))</f>
        <v/>
      </c>
      <c r="G143" s="132" t="str">
        <f>+IFERROR(VLOOKUP(Assegnazione[[#This Row],[Bene]],B[],MATCH("Agevolabile",Beni!$A$4:$AC$4,0),0)*VLOOKUP(Assegnazione[[#This Row],[Socio]],A_1[],8,0),"")</f>
        <v/>
      </c>
      <c r="H143" s="175">
        <f>+SUMIF(B[Bene],Assegnazione[[#This Row],[Bene]],B[Valore netto contabile fiscalmente riconosciuto])*Assegnazione[[#This Row],[Quota di assegnazione]]</f>
        <v>0</v>
      </c>
      <c r="I143" s="175">
        <f>+SUMIF(B[Bene],Assegnazione[[#This Row],[Bene]],B[Valore normale])*Assegnazione[[#This Row],[Quota di assegnazione]]</f>
        <v>0</v>
      </c>
      <c r="J143" s="177">
        <f>+IF(Assegnazione[[#This Row],[Bene]]="",0,SUMIF(Assegnazione[Socio],Assegnazione[[#This Row],[Socio]],Assegnazione[Valore Normale])/$I$3)</f>
        <v>0</v>
      </c>
      <c r="K143" s="177" t="str">
        <f>IF(Assegnazione[[#This Row],[Bene]]="","",SUMIF(A_1[Nome],Assegnazione[[#This Row],[Socio]],A_1[Quota partecipazione al momento dell''operazione]))</f>
        <v/>
      </c>
      <c r="L143" s="175">
        <f>+SUMIF(B[Bene],Assegnazione[[#This Row],[Bene]],B[Valore catastale])*Assegnazione[[#This Row],[Quota di assegnazione]]</f>
        <v>0</v>
      </c>
      <c r="M1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5">
        <f>+MIN(Assegnazione[[#This Row],[Valore ai fini dell''atto]],Assegnazione[[#This Row],[Valore Fiscalmente riconosciuto]])</f>
        <v>0</v>
      </c>
      <c r="O143" s="149" t="str">
        <f>+IFERROR(VLOOKUP(Assegnazione[[#This Row],[Bene]],B[],MATCH($O$4,Beni!$A$4:$Z$4,0),0),"")</f>
        <v/>
      </c>
      <c r="P1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8">
        <f>+SUMIF(B[Bene],Assegnazione[[#This Row],[Bene]],B[Iva se dovuta])*Assegnazione[[#This Row],[Quota di assegnazione]]</f>
        <v>0</v>
      </c>
      <c r="S143" s="178">
        <f>+SUMIF(B[Bene],Assegnazione[[#This Row],[Bene]],B[Imposta di registro (fissa + prop) senza agevolazione])*Assegnazione[[#This Row],[Quota di assegnazione]]</f>
        <v>0</v>
      </c>
      <c r="T143" s="178">
        <f>+SUMIF(B[Bene],Assegnazione[[#This Row],[Bene]],B[Ipotecaria e catastale senza agevolazione])*Assegnazione[[#This Row],[Quota di assegnazione]]</f>
        <v>0</v>
      </c>
      <c r="U143" s="179">
        <f>+SUM(Assegnazione[[#This Row],[Tassazione diretta senza agevolazione]:[Ipotecaria e catastale senza agevolazione]])</f>
        <v>0</v>
      </c>
      <c r="V143" s="178">
        <f>+SUMIF(B[Bene],Assegnazione[[#This Row],[Bene]],B[Imponibile Imposta sostitutiva])*Assegnazione[[#This Row],[Quota di assegnazione]]*DATI!$E$27</f>
        <v>0</v>
      </c>
      <c r="W143" s="178">
        <f>+SUMIF(B[Bene],Assegnazione[[#This Row],[Bene]],B[Imposta di registro in misura fissa agevolata])*Assegnazione[[#This Row],[Quota di assegnazione]]</f>
        <v>0</v>
      </c>
      <c r="X143" s="178">
        <f>+SUMIF(B[Bene],Assegnazione[[#This Row],[Bene]],B[Imposta di registro prop. Agevolata])*Assegnazione[[#This Row],[Quota di assegnazione]]</f>
        <v>0</v>
      </c>
      <c r="Y143" s="178">
        <f>+IFERROR(Assegnazione[[#This Row],[Imposta di registro in misura fissa]]+Assegnazione[[#This Row],[Imposta di registro prop.]],"")</f>
        <v>0</v>
      </c>
      <c r="Z143" s="178">
        <f>+SUMIF(B[Bene],Assegnazione[[#This Row],[Bene]],B[Ipotecaria catastale agevolata])*Assegnazione[[#This Row],[Quota di assegnazione]]</f>
        <v>0</v>
      </c>
    </row>
    <row r="144" spans="1:26" x14ac:dyDescent="0.2">
      <c r="A144" s="126"/>
      <c r="B144" s="135"/>
      <c r="C144" s="126"/>
      <c r="D144" s="175">
        <f>+SUMIF(B[Bene],Assegnazione[[#This Row],[Bene]],B[Imponibile Iva])*Assegnazione[[#This Row],[Quota di assegnazione]]</f>
        <v>0</v>
      </c>
      <c r="E144" s="175">
        <f>+SUMIF(B[Bene],Assegnazione[[#This Row],[Bene]],B[Valore inserito manualmente])*Assegnazione[[#This Row],[Quota di assegnazione]]</f>
        <v>0</v>
      </c>
      <c r="F144" s="176" t="str">
        <f>+IF(A144="","",VLOOKUP(Assegnazione[[#This Row],[Bene]],B[],3,0))</f>
        <v/>
      </c>
      <c r="G144" s="132" t="str">
        <f>+IFERROR(VLOOKUP(Assegnazione[[#This Row],[Bene]],B[],MATCH("Agevolabile",Beni!$A$4:$AC$4,0),0)*VLOOKUP(Assegnazione[[#This Row],[Socio]],A_1[],8,0),"")</f>
        <v/>
      </c>
      <c r="H144" s="175">
        <f>+SUMIF(B[Bene],Assegnazione[[#This Row],[Bene]],B[Valore netto contabile fiscalmente riconosciuto])*Assegnazione[[#This Row],[Quota di assegnazione]]</f>
        <v>0</v>
      </c>
      <c r="I144" s="175">
        <f>+SUMIF(B[Bene],Assegnazione[[#This Row],[Bene]],B[Valore normale])*Assegnazione[[#This Row],[Quota di assegnazione]]</f>
        <v>0</v>
      </c>
      <c r="J144" s="177">
        <f>+IF(Assegnazione[[#This Row],[Bene]]="",0,SUMIF(Assegnazione[Socio],Assegnazione[[#This Row],[Socio]],Assegnazione[Valore Normale])/$I$3)</f>
        <v>0</v>
      </c>
      <c r="K144" s="177" t="str">
        <f>IF(Assegnazione[[#This Row],[Bene]]="","",SUMIF(A_1[Nome],Assegnazione[[#This Row],[Socio]],A_1[Quota partecipazione al momento dell''operazione]))</f>
        <v/>
      </c>
      <c r="L144" s="175">
        <f>+SUMIF(B[Bene],Assegnazione[[#This Row],[Bene]],B[Valore catastale])*Assegnazione[[#This Row],[Quota di assegnazione]]</f>
        <v>0</v>
      </c>
      <c r="M1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5">
        <f>+MIN(Assegnazione[[#This Row],[Valore ai fini dell''atto]],Assegnazione[[#This Row],[Valore Fiscalmente riconosciuto]])</f>
        <v>0</v>
      </c>
      <c r="O144" s="149" t="str">
        <f>+IFERROR(VLOOKUP(Assegnazione[[#This Row],[Bene]],B[],MATCH($O$4,Beni!$A$4:$Z$4,0),0),"")</f>
        <v/>
      </c>
      <c r="P1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8">
        <f>+SUMIF(B[Bene],Assegnazione[[#This Row],[Bene]],B[Iva se dovuta])*Assegnazione[[#This Row],[Quota di assegnazione]]</f>
        <v>0</v>
      </c>
      <c r="S144" s="178">
        <f>+SUMIF(B[Bene],Assegnazione[[#This Row],[Bene]],B[Imposta di registro (fissa + prop) senza agevolazione])*Assegnazione[[#This Row],[Quota di assegnazione]]</f>
        <v>0</v>
      </c>
      <c r="T144" s="178">
        <f>+SUMIF(B[Bene],Assegnazione[[#This Row],[Bene]],B[Ipotecaria e catastale senza agevolazione])*Assegnazione[[#This Row],[Quota di assegnazione]]</f>
        <v>0</v>
      </c>
      <c r="U144" s="179">
        <f>+SUM(Assegnazione[[#This Row],[Tassazione diretta senza agevolazione]:[Ipotecaria e catastale senza agevolazione]])</f>
        <v>0</v>
      </c>
      <c r="V144" s="178">
        <f>+SUMIF(B[Bene],Assegnazione[[#This Row],[Bene]],B[Imponibile Imposta sostitutiva])*Assegnazione[[#This Row],[Quota di assegnazione]]*DATI!$E$27</f>
        <v>0</v>
      </c>
      <c r="W144" s="178">
        <f>+SUMIF(B[Bene],Assegnazione[[#This Row],[Bene]],B[Imposta di registro in misura fissa agevolata])*Assegnazione[[#This Row],[Quota di assegnazione]]</f>
        <v>0</v>
      </c>
      <c r="X144" s="178">
        <f>+SUMIF(B[Bene],Assegnazione[[#This Row],[Bene]],B[Imposta di registro prop. Agevolata])*Assegnazione[[#This Row],[Quota di assegnazione]]</f>
        <v>0</v>
      </c>
      <c r="Y144" s="178">
        <f>+IFERROR(Assegnazione[[#This Row],[Imposta di registro in misura fissa]]+Assegnazione[[#This Row],[Imposta di registro prop.]],"")</f>
        <v>0</v>
      </c>
      <c r="Z144" s="178">
        <f>+SUMIF(B[Bene],Assegnazione[[#This Row],[Bene]],B[Ipotecaria catastale agevolata])*Assegnazione[[#This Row],[Quota di assegnazione]]</f>
        <v>0</v>
      </c>
    </row>
    <row r="145" spans="1:26" x14ac:dyDescent="0.2">
      <c r="A145" s="126"/>
      <c r="B145" s="135"/>
      <c r="C145" s="126"/>
      <c r="D145" s="175">
        <f>+SUMIF(B[Bene],Assegnazione[[#This Row],[Bene]],B[Imponibile Iva])*Assegnazione[[#This Row],[Quota di assegnazione]]</f>
        <v>0</v>
      </c>
      <c r="E145" s="175">
        <f>+SUMIF(B[Bene],Assegnazione[[#This Row],[Bene]],B[Valore inserito manualmente])*Assegnazione[[#This Row],[Quota di assegnazione]]</f>
        <v>0</v>
      </c>
      <c r="F145" s="176" t="str">
        <f>+IF(A145="","",VLOOKUP(Assegnazione[[#This Row],[Bene]],B[],3,0))</f>
        <v/>
      </c>
      <c r="G145" s="132" t="str">
        <f>+IFERROR(VLOOKUP(Assegnazione[[#This Row],[Bene]],B[],MATCH("Agevolabile",Beni!$A$4:$AC$4,0),0)*VLOOKUP(Assegnazione[[#This Row],[Socio]],A_1[],8,0),"")</f>
        <v/>
      </c>
      <c r="H145" s="175">
        <f>+SUMIF(B[Bene],Assegnazione[[#This Row],[Bene]],B[Valore netto contabile fiscalmente riconosciuto])*Assegnazione[[#This Row],[Quota di assegnazione]]</f>
        <v>0</v>
      </c>
      <c r="I145" s="175">
        <f>+SUMIF(B[Bene],Assegnazione[[#This Row],[Bene]],B[Valore normale])*Assegnazione[[#This Row],[Quota di assegnazione]]</f>
        <v>0</v>
      </c>
      <c r="J145" s="177">
        <f>+IF(Assegnazione[[#This Row],[Bene]]="",0,SUMIF(Assegnazione[Socio],Assegnazione[[#This Row],[Socio]],Assegnazione[Valore Normale])/$I$3)</f>
        <v>0</v>
      </c>
      <c r="K145" s="177" t="str">
        <f>IF(Assegnazione[[#This Row],[Bene]]="","",SUMIF(A_1[Nome],Assegnazione[[#This Row],[Socio]],A_1[Quota partecipazione al momento dell''operazione]))</f>
        <v/>
      </c>
      <c r="L145" s="175">
        <f>+SUMIF(B[Bene],Assegnazione[[#This Row],[Bene]],B[Valore catastale])*Assegnazione[[#This Row],[Quota di assegnazione]]</f>
        <v>0</v>
      </c>
      <c r="M1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5">
        <f>+MIN(Assegnazione[[#This Row],[Valore ai fini dell''atto]],Assegnazione[[#This Row],[Valore Fiscalmente riconosciuto]])</f>
        <v>0</v>
      </c>
      <c r="O145" s="149" t="str">
        <f>+IFERROR(VLOOKUP(Assegnazione[[#This Row],[Bene]],B[],MATCH($O$4,Beni!$A$4:$Z$4,0),0),"")</f>
        <v/>
      </c>
      <c r="P1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8">
        <f>+SUMIF(B[Bene],Assegnazione[[#This Row],[Bene]],B[Iva se dovuta])*Assegnazione[[#This Row],[Quota di assegnazione]]</f>
        <v>0</v>
      </c>
      <c r="S145" s="178">
        <f>+SUMIF(B[Bene],Assegnazione[[#This Row],[Bene]],B[Imposta di registro (fissa + prop) senza agevolazione])*Assegnazione[[#This Row],[Quota di assegnazione]]</f>
        <v>0</v>
      </c>
      <c r="T145" s="178">
        <f>+SUMIF(B[Bene],Assegnazione[[#This Row],[Bene]],B[Ipotecaria e catastale senza agevolazione])*Assegnazione[[#This Row],[Quota di assegnazione]]</f>
        <v>0</v>
      </c>
      <c r="U145" s="179">
        <f>+SUM(Assegnazione[[#This Row],[Tassazione diretta senza agevolazione]:[Ipotecaria e catastale senza agevolazione]])</f>
        <v>0</v>
      </c>
      <c r="V145" s="178">
        <f>+SUMIF(B[Bene],Assegnazione[[#This Row],[Bene]],B[Imponibile Imposta sostitutiva])*Assegnazione[[#This Row],[Quota di assegnazione]]*DATI!$E$27</f>
        <v>0</v>
      </c>
      <c r="W145" s="178">
        <f>+SUMIF(B[Bene],Assegnazione[[#This Row],[Bene]],B[Imposta di registro in misura fissa agevolata])*Assegnazione[[#This Row],[Quota di assegnazione]]</f>
        <v>0</v>
      </c>
      <c r="X145" s="178">
        <f>+SUMIF(B[Bene],Assegnazione[[#This Row],[Bene]],B[Imposta di registro prop. Agevolata])*Assegnazione[[#This Row],[Quota di assegnazione]]</f>
        <v>0</v>
      </c>
      <c r="Y145" s="178">
        <f>+IFERROR(Assegnazione[[#This Row],[Imposta di registro in misura fissa]]+Assegnazione[[#This Row],[Imposta di registro prop.]],"")</f>
        <v>0</v>
      </c>
      <c r="Z145" s="178">
        <f>+SUMIF(B[Bene],Assegnazione[[#This Row],[Bene]],B[Ipotecaria catastale agevolata])*Assegnazione[[#This Row],[Quota di assegnazione]]</f>
        <v>0</v>
      </c>
    </row>
    <row r="146" spans="1:26" x14ac:dyDescent="0.2">
      <c r="A146" s="126"/>
      <c r="B146" s="135"/>
      <c r="C146" s="126"/>
      <c r="D146" s="175">
        <f>+SUMIF(B[Bene],Assegnazione[[#This Row],[Bene]],B[Imponibile Iva])*Assegnazione[[#This Row],[Quota di assegnazione]]</f>
        <v>0</v>
      </c>
      <c r="E146" s="175">
        <f>+SUMIF(B[Bene],Assegnazione[[#This Row],[Bene]],B[Valore inserito manualmente])*Assegnazione[[#This Row],[Quota di assegnazione]]</f>
        <v>0</v>
      </c>
      <c r="F146" s="176" t="str">
        <f>+IF(A146="","",VLOOKUP(Assegnazione[[#This Row],[Bene]],B[],3,0))</f>
        <v/>
      </c>
      <c r="G146" s="132" t="str">
        <f>+IFERROR(VLOOKUP(Assegnazione[[#This Row],[Bene]],B[],MATCH("Agevolabile",Beni!$A$4:$AC$4,0),0)*VLOOKUP(Assegnazione[[#This Row],[Socio]],A_1[],8,0),"")</f>
        <v/>
      </c>
      <c r="H146" s="175">
        <f>+SUMIF(B[Bene],Assegnazione[[#This Row],[Bene]],B[Valore netto contabile fiscalmente riconosciuto])*Assegnazione[[#This Row],[Quota di assegnazione]]</f>
        <v>0</v>
      </c>
      <c r="I146" s="175">
        <f>+SUMIF(B[Bene],Assegnazione[[#This Row],[Bene]],B[Valore normale])*Assegnazione[[#This Row],[Quota di assegnazione]]</f>
        <v>0</v>
      </c>
      <c r="J146" s="177">
        <f>+IF(Assegnazione[[#This Row],[Bene]]="",0,SUMIF(Assegnazione[Socio],Assegnazione[[#This Row],[Socio]],Assegnazione[Valore Normale])/$I$3)</f>
        <v>0</v>
      </c>
      <c r="K146" s="177" t="str">
        <f>IF(Assegnazione[[#This Row],[Bene]]="","",SUMIF(A_1[Nome],Assegnazione[[#This Row],[Socio]],A_1[Quota partecipazione al momento dell''operazione]))</f>
        <v/>
      </c>
      <c r="L146" s="175">
        <f>+SUMIF(B[Bene],Assegnazione[[#This Row],[Bene]],B[Valore catastale])*Assegnazione[[#This Row],[Quota di assegnazione]]</f>
        <v>0</v>
      </c>
      <c r="M1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5">
        <f>+MIN(Assegnazione[[#This Row],[Valore ai fini dell''atto]],Assegnazione[[#This Row],[Valore Fiscalmente riconosciuto]])</f>
        <v>0</v>
      </c>
      <c r="O146" s="149" t="str">
        <f>+IFERROR(VLOOKUP(Assegnazione[[#This Row],[Bene]],B[],MATCH($O$4,Beni!$A$4:$Z$4,0),0),"")</f>
        <v/>
      </c>
      <c r="P1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8">
        <f>+SUMIF(B[Bene],Assegnazione[[#This Row],[Bene]],B[Iva se dovuta])*Assegnazione[[#This Row],[Quota di assegnazione]]</f>
        <v>0</v>
      </c>
      <c r="S146" s="178">
        <f>+SUMIF(B[Bene],Assegnazione[[#This Row],[Bene]],B[Imposta di registro (fissa + prop) senza agevolazione])*Assegnazione[[#This Row],[Quota di assegnazione]]</f>
        <v>0</v>
      </c>
      <c r="T146" s="178">
        <f>+SUMIF(B[Bene],Assegnazione[[#This Row],[Bene]],B[Ipotecaria e catastale senza agevolazione])*Assegnazione[[#This Row],[Quota di assegnazione]]</f>
        <v>0</v>
      </c>
      <c r="U146" s="179">
        <f>+SUM(Assegnazione[[#This Row],[Tassazione diretta senza agevolazione]:[Ipotecaria e catastale senza agevolazione]])</f>
        <v>0</v>
      </c>
      <c r="V146" s="178">
        <f>+SUMIF(B[Bene],Assegnazione[[#This Row],[Bene]],B[Imponibile Imposta sostitutiva])*Assegnazione[[#This Row],[Quota di assegnazione]]*DATI!$E$27</f>
        <v>0</v>
      </c>
      <c r="W146" s="178">
        <f>+SUMIF(B[Bene],Assegnazione[[#This Row],[Bene]],B[Imposta di registro in misura fissa agevolata])*Assegnazione[[#This Row],[Quota di assegnazione]]</f>
        <v>0</v>
      </c>
      <c r="X146" s="178">
        <f>+SUMIF(B[Bene],Assegnazione[[#This Row],[Bene]],B[Imposta di registro prop. Agevolata])*Assegnazione[[#This Row],[Quota di assegnazione]]</f>
        <v>0</v>
      </c>
      <c r="Y146" s="178">
        <f>+IFERROR(Assegnazione[[#This Row],[Imposta di registro in misura fissa]]+Assegnazione[[#This Row],[Imposta di registro prop.]],"")</f>
        <v>0</v>
      </c>
      <c r="Z146" s="178">
        <f>+SUMIF(B[Bene],Assegnazione[[#This Row],[Bene]],B[Ipotecaria catastale agevolata])*Assegnazione[[#This Row],[Quota di assegnazione]]</f>
        <v>0</v>
      </c>
    </row>
    <row r="147" spans="1:26" x14ac:dyDescent="0.2">
      <c r="A147" s="126"/>
      <c r="B147" s="135"/>
      <c r="C147" s="126"/>
      <c r="D147" s="175">
        <f>+SUMIF(B[Bene],Assegnazione[[#This Row],[Bene]],B[Imponibile Iva])*Assegnazione[[#This Row],[Quota di assegnazione]]</f>
        <v>0</v>
      </c>
      <c r="E147" s="175">
        <f>+SUMIF(B[Bene],Assegnazione[[#This Row],[Bene]],B[Valore inserito manualmente])*Assegnazione[[#This Row],[Quota di assegnazione]]</f>
        <v>0</v>
      </c>
      <c r="F147" s="176" t="str">
        <f>+IF(A147="","",VLOOKUP(Assegnazione[[#This Row],[Bene]],B[],3,0))</f>
        <v/>
      </c>
      <c r="G147" s="132" t="str">
        <f>+IFERROR(VLOOKUP(Assegnazione[[#This Row],[Bene]],B[],MATCH("Agevolabile",Beni!$A$4:$AC$4,0),0)*VLOOKUP(Assegnazione[[#This Row],[Socio]],A_1[],8,0),"")</f>
        <v/>
      </c>
      <c r="H147" s="175">
        <f>+SUMIF(B[Bene],Assegnazione[[#This Row],[Bene]],B[Valore netto contabile fiscalmente riconosciuto])*Assegnazione[[#This Row],[Quota di assegnazione]]</f>
        <v>0</v>
      </c>
      <c r="I147" s="175">
        <f>+SUMIF(B[Bene],Assegnazione[[#This Row],[Bene]],B[Valore normale])*Assegnazione[[#This Row],[Quota di assegnazione]]</f>
        <v>0</v>
      </c>
      <c r="J147" s="177">
        <f>+IF(Assegnazione[[#This Row],[Bene]]="",0,SUMIF(Assegnazione[Socio],Assegnazione[[#This Row],[Socio]],Assegnazione[Valore Normale])/$I$3)</f>
        <v>0</v>
      </c>
      <c r="K147" s="177" t="str">
        <f>IF(Assegnazione[[#This Row],[Bene]]="","",SUMIF(A_1[Nome],Assegnazione[[#This Row],[Socio]],A_1[Quota partecipazione al momento dell''operazione]))</f>
        <v/>
      </c>
      <c r="L147" s="175">
        <f>+SUMIF(B[Bene],Assegnazione[[#This Row],[Bene]],B[Valore catastale])*Assegnazione[[#This Row],[Quota di assegnazione]]</f>
        <v>0</v>
      </c>
      <c r="M1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5">
        <f>+MIN(Assegnazione[[#This Row],[Valore ai fini dell''atto]],Assegnazione[[#This Row],[Valore Fiscalmente riconosciuto]])</f>
        <v>0</v>
      </c>
      <c r="O147" s="149" t="str">
        <f>+IFERROR(VLOOKUP(Assegnazione[[#This Row],[Bene]],B[],MATCH($O$4,Beni!$A$4:$Z$4,0),0),"")</f>
        <v/>
      </c>
      <c r="P1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8">
        <f>+SUMIF(B[Bene],Assegnazione[[#This Row],[Bene]],B[Iva se dovuta])*Assegnazione[[#This Row],[Quota di assegnazione]]</f>
        <v>0</v>
      </c>
      <c r="S147" s="178">
        <f>+SUMIF(B[Bene],Assegnazione[[#This Row],[Bene]],B[Imposta di registro (fissa + prop) senza agevolazione])*Assegnazione[[#This Row],[Quota di assegnazione]]</f>
        <v>0</v>
      </c>
      <c r="T147" s="178">
        <f>+SUMIF(B[Bene],Assegnazione[[#This Row],[Bene]],B[Ipotecaria e catastale senza agevolazione])*Assegnazione[[#This Row],[Quota di assegnazione]]</f>
        <v>0</v>
      </c>
      <c r="U147" s="179">
        <f>+SUM(Assegnazione[[#This Row],[Tassazione diretta senza agevolazione]:[Ipotecaria e catastale senza agevolazione]])</f>
        <v>0</v>
      </c>
      <c r="V147" s="178">
        <f>+SUMIF(B[Bene],Assegnazione[[#This Row],[Bene]],B[Imponibile Imposta sostitutiva])*Assegnazione[[#This Row],[Quota di assegnazione]]*DATI!$E$27</f>
        <v>0</v>
      </c>
      <c r="W147" s="178">
        <f>+SUMIF(B[Bene],Assegnazione[[#This Row],[Bene]],B[Imposta di registro in misura fissa agevolata])*Assegnazione[[#This Row],[Quota di assegnazione]]</f>
        <v>0</v>
      </c>
      <c r="X147" s="178">
        <f>+SUMIF(B[Bene],Assegnazione[[#This Row],[Bene]],B[Imposta di registro prop. Agevolata])*Assegnazione[[#This Row],[Quota di assegnazione]]</f>
        <v>0</v>
      </c>
      <c r="Y147" s="178">
        <f>+IFERROR(Assegnazione[[#This Row],[Imposta di registro in misura fissa]]+Assegnazione[[#This Row],[Imposta di registro prop.]],"")</f>
        <v>0</v>
      </c>
      <c r="Z147" s="178">
        <f>+SUMIF(B[Bene],Assegnazione[[#This Row],[Bene]],B[Ipotecaria catastale agevolata])*Assegnazione[[#This Row],[Quota di assegnazione]]</f>
        <v>0</v>
      </c>
    </row>
    <row r="148" spans="1:26" x14ac:dyDescent="0.2">
      <c r="A148" s="126"/>
      <c r="B148" s="135"/>
      <c r="C148" s="126"/>
      <c r="D148" s="175">
        <f>+SUMIF(B[Bene],Assegnazione[[#This Row],[Bene]],B[Imponibile Iva])*Assegnazione[[#This Row],[Quota di assegnazione]]</f>
        <v>0</v>
      </c>
      <c r="E148" s="175">
        <f>+SUMIF(B[Bene],Assegnazione[[#This Row],[Bene]],B[Valore inserito manualmente])*Assegnazione[[#This Row],[Quota di assegnazione]]</f>
        <v>0</v>
      </c>
      <c r="F148" s="176" t="str">
        <f>+IF(A148="","",VLOOKUP(Assegnazione[[#This Row],[Bene]],B[],3,0))</f>
        <v/>
      </c>
      <c r="G148" s="132" t="str">
        <f>+IFERROR(VLOOKUP(Assegnazione[[#This Row],[Bene]],B[],MATCH("Agevolabile",Beni!$A$4:$AC$4,0),0)*VLOOKUP(Assegnazione[[#This Row],[Socio]],A_1[],8,0),"")</f>
        <v/>
      </c>
      <c r="H148" s="175">
        <f>+SUMIF(B[Bene],Assegnazione[[#This Row],[Bene]],B[Valore netto contabile fiscalmente riconosciuto])*Assegnazione[[#This Row],[Quota di assegnazione]]</f>
        <v>0</v>
      </c>
      <c r="I148" s="175">
        <f>+SUMIF(B[Bene],Assegnazione[[#This Row],[Bene]],B[Valore normale])*Assegnazione[[#This Row],[Quota di assegnazione]]</f>
        <v>0</v>
      </c>
      <c r="J148" s="177">
        <f>+IF(Assegnazione[[#This Row],[Bene]]="",0,SUMIF(Assegnazione[Socio],Assegnazione[[#This Row],[Socio]],Assegnazione[Valore Normale])/$I$3)</f>
        <v>0</v>
      </c>
      <c r="K148" s="177" t="str">
        <f>IF(Assegnazione[[#This Row],[Bene]]="","",SUMIF(A_1[Nome],Assegnazione[[#This Row],[Socio]],A_1[Quota partecipazione al momento dell''operazione]))</f>
        <v/>
      </c>
      <c r="L148" s="175">
        <f>+SUMIF(B[Bene],Assegnazione[[#This Row],[Bene]],B[Valore catastale])*Assegnazione[[#This Row],[Quota di assegnazione]]</f>
        <v>0</v>
      </c>
      <c r="M1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5">
        <f>+MIN(Assegnazione[[#This Row],[Valore ai fini dell''atto]],Assegnazione[[#This Row],[Valore Fiscalmente riconosciuto]])</f>
        <v>0</v>
      </c>
      <c r="O148" s="149" t="str">
        <f>+IFERROR(VLOOKUP(Assegnazione[[#This Row],[Bene]],B[],MATCH($O$4,Beni!$A$4:$Z$4,0),0),"")</f>
        <v/>
      </c>
      <c r="P1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8">
        <f>+SUMIF(B[Bene],Assegnazione[[#This Row],[Bene]],B[Iva se dovuta])*Assegnazione[[#This Row],[Quota di assegnazione]]</f>
        <v>0</v>
      </c>
      <c r="S148" s="178">
        <f>+SUMIF(B[Bene],Assegnazione[[#This Row],[Bene]],B[Imposta di registro (fissa + prop) senza agevolazione])*Assegnazione[[#This Row],[Quota di assegnazione]]</f>
        <v>0</v>
      </c>
      <c r="T148" s="178">
        <f>+SUMIF(B[Bene],Assegnazione[[#This Row],[Bene]],B[Ipotecaria e catastale senza agevolazione])*Assegnazione[[#This Row],[Quota di assegnazione]]</f>
        <v>0</v>
      </c>
      <c r="U148" s="179">
        <f>+SUM(Assegnazione[[#This Row],[Tassazione diretta senza agevolazione]:[Ipotecaria e catastale senza agevolazione]])</f>
        <v>0</v>
      </c>
      <c r="V148" s="178">
        <f>+SUMIF(B[Bene],Assegnazione[[#This Row],[Bene]],B[Imponibile Imposta sostitutiva])*Assegnazione[[#This Row],[Quota di assegnazione]]*DATI!$E$27</f>
        <v>0</v>
      </c>
      <c r="W148" s="178">
        <f>+SUMIF(B[Bene],Assegnazione[[#This Row],[Bene]],B[Imposta di registro in misura fissa agevolata])*Assegnazione[[#This Row],[Quota di assegnazione]]</f>
        <v>0</v>
      </c>
      <c r="X148" s="178">
        <f>+SUMIF(B[Bene],Assegnazione[[#This Row],[Bene]],B[Imposta di registro prop. Agevolata])*Assegnazione[[#This Row],[Quota di assegnazione]]</f>
        <v>0</v>
      </c>
      <c r="Y148" s="178">
        <f>+IFERROR(Assegnazione[[#This Row],[Imposta di registro in misura fissa]]+Assegnazione[[#This Row],[Imposta di registro prop.]],"")</f>
        <v>0</v>
      </c>
      <c r="Z148" s="178">
        <f>+SUMIF(B[Bene],Assegnazione[[#This Row],[Bene]],B[Ipotecaria catastale agevolata])*Assegnazione[[#This Row],[Quota di assegnazione]]</f>
        <v>0</v>
      </c>
    </row>
    <row r="149" spans="1:26" x14ac:dyDescent="0.2">
      <c r="A149" s="126"/>
      <c r="B149" s="135"/>
      <c r="C149" s="126"/>
      <c r="D149" s="175">
        <f>+SUMIF(B[Bene],Assegnazione[[#This Row],[Bene]],B[Imponibile Iva])*Assegnazione[[#This Row],[Quota di assegnazione]]</f>
        <v>0</v>
      </c>
      <c r="E149" s="175">
        <f>+SUMIF(B[Bene],Assegnazione[[#This Row],[Bene]],B[Valore inserito manualmente])*Assegnazione[[#This Row],[Quota di assegnazione]]</f>
        <v>0</v>
      </c>
      <c r="F149" s="176" t="str">
        <f>+IF(A149="","",VLOOKUP(Assegnazione[[#This Row],[Bene]],B[],3,0))</f>
        <v/>
      </c>
      <c r="G149" s="132" t="str">
        <f>+IFERROR(VLOOKUP(Assegnazione[[#This Row],[Bene]],B[],MATCH("Agevolabile",Beni!$A$4:$AC$4,0),0)*VLOOKUP(Assegnazione[[#This Row],[Socio]],A_1[],8,0),"")</f>
        <v/>
      </c>
      <c r="H149" s="175">
        <f>+SUMIF(B[Bene],Assegnazione[[#This Row],[Bene]],B[Valore netto contabile fiscalmente riconosciuto])*Assegnazione[[#This Row],[Quota di assegnazione]]</f>
        <v>0</v>
      </c>
      <c r="I149" s="175">
        <f>+SUMIF(B[Bene],Assegnazione[[#This Row],[Bene]],B[Valore normale])*Assegnazione[[#This Row],[Quota di assegnazione]]</f>
        <v>0</v>
      </c>
      <c r="J149" s="177">
        <f>+IF(Assegnazione[[#This Row],[Bene]]="",0,SUMIF(Assegnazione[Socio],Assegnazione[[#This Row],[Socio]],Assegnazione[Valore Normale])/$I$3)</f>
        <v>0</v>
      </c>
      <c r="K149" s="177" t="str">
        <f>IF(Assegnazione[[#This Row],[Bene]]="","",SUMIF(A_1[Nome],Assegnazione[[#This Row],[Socio]],A_1[Quota partecipazione al momento dell''operazione]))</f>
        <v/>
      </c>
      <c r="L149" s="175">
        <f>+SUMIF(B[Bene],Assegnazione[[#This Row],[Bene]],B[Valore catastale])*Assegnazione[[#This Row],[Quota di assegnazione]]</f>
        <v>0</v>
      </c>
      <c r="M1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5">
        <f>+MIN(Assegnazione[[#This Row],[Valore ai fini dell''atto]],Assegnazione[[#This Row],[Valore Fiscalmente riconosciuto]])</f>
        <v>0</v>
      </c>
      <c r="O149" s="149" t="str">
        <f>+IFERROR(VLOOKUP(Assegnazione[[#This Row],[Bene]],B[],MATCH($O$4,Beni!$A$4:$Z$4,0),0),"")</f>
        <v/>
      </c>
      <c r="P1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8">
        <f>+SUMIF(B[Bene],Assegnazione[[#This Row],[Bene]],B[Iva se dovuta])*Assegnazione[[#This Row],[Quota di assegnazione]]</f>
        <v>0</v>
      </c>
      <c r="S149" s="178">
        <f>+SUMIF(B[Bene],Assegnazione[[#This Row],[Bene]],B[Imposta di registro (fissa + prop) senza agevolazione])*Assegnazione[[#This Row],[Quota di assegnazione]]</f>
        <v>0</v>
      </c>
      <c r="T149" s="178">
        <f>+SUMIF(B[Bene],Assegnazione[[#This Row],[Bene]],B[Ipotecaria e catastale senza agevolazione])*Assegnazione[[#This Row],[Quota di assegnazione]]</f>
        <v>0</v>
      </c>
      <c r="U149" s="179">
        <f>+SUM(Assegnazione[[#This Row],[Tassazione diretta senza agevolazione]:[Ipotecaria e catastale senza agevolazione]])</f>
        <v>0</v>
      </c>
      <c r="V149" s="178">
        <f>+SUMIF(B[Bene],Assegnazione[[#This Row],[Bene]],B[Imponibile Imposta sostitutiva])*Assegnazione[[#This Row],[Quota di assegnazione]]*DATI!$E$27</f>
        <v>0</v>
      </c>
      <c r="W149" s="178">
        <f>+SUMIF(B[Bene],Assegnazione[[#This Row],[Bene]],B[Imposta di registro in misura fissa agevolata])*Assegnazione[[#This Row],[Quota di assegnazione]]</f>
        <v>0</v>
      </c>
      <c r="X149" s="178">
        <f>+SUMIF(B[Bene],Assegnazione[[#This Row],[Bene]],B[Imposta di registro prop. Agevolata])*Assegnazione[[#This Row],[Quota di assegnazione]]</f>
        <v>0</v>
      </c>
      <c r="Y149" s="178">
        <f>+IFERROR(Assegnazione[[#This Row],[Imposta di registro in misura fissa]]+Assegnazione[[#This Row],[Imposta di registro prop.]],"")</f>
        <v>0</v>
      </c>
      <c r="Z149" s="178">
        <f>+SUMIF(B[Bene],Assegnazione[[#This Row],[Bene]],B[Ipotecaria catastale agevolata])*Assegnazione[[#This Row],[Quota di assegnazione]]</f>
        <v>0</v>
      </c>
    </row>
    <row r="150" spans="1:26" x14ac:dyDescent="0.2">
      <c r="A150" s="126"/>
      <c r="B150" s="135"/>
      <c r="C150" s="126"/>
      <c r="D150" s="175">
        <f>+SUMIF(B[Bene],Assegnazione[[#This Row],[Bene]],B[Imponibile Iva])*Assegnazione[[#This Row],[Quota di assegnazione]]</f>
        <v>0</v>
      </c>
      <c r="E150" s="175">
        <f>+SUMIF(B[Bene],Assegnazione[[#This Row],[Bene]],B[Valore inserito manualmente])*Assegnazione[[#This Row],[Quota di assegnazione]]</f>
        <v>0</v>
      </c>
      <c r="F150" s="176" t="str">
        <f>+IF(A150="","",VLOOKUP(Assegnazione[[#This Row],[Bene]],B[],3,0))</f>
        <v/>
      </c>
      <c r="G150" s="132" t="str">
        <f>+IFERROR(VLOOKUP(Assegnazione[[#This Row],[Bene]],B[],MATCH("Agevolabile",Beni!$A$4:$AC$4,0),0)*VLOOKUP(Assegnazione[[#This Row],[Socio]],A_1[],8,0),"")</f>
        <v/>
      </c>
      <c r="H150" s="175">
        <f>+SUMIF(B[Bene],Assegnazione[[#This Row],[Bene]],B[Valore netto contabile fiscalmente riconosciuto])*Assegnazione[[#This Row],[Quota di assegnazione]]</f>
        <v>0</v>
      </c>
      <c r="I150" s="175">
        <f>+SUMIF(B[Bene],Assegnazione[[#This Row],[Bene]],B[Valore normale])*Assegnazione[[#This Row],[Quota di assegnazione]]</f>
        <v>0</v>
      </c>
      <c r="J150" s="177">
        <f>+IF(Assegnazione[[#This Row],[Bene]]="",0,SUMIF(Assegnazione[Socio],Assegnazione[[#This Row],[Socio]],Assegnazione[Valore Normale])/$I$3)</f>
        <v>0</v>
      </c>
      <c r="K150" s="177" t="str">
        <f>IF(Assegnazione[[#This Row],[Bene]]="","",SUMIF(A_1[Nome],Assegnazione[[#This Row],[Socio]],A_1[Quota partecipazione al momento dell''operazione]))</f>
        <v/>
      </c>
      <c r="L150" s="175">
        <f>+SUMIF(B[Bene],Assegnazione[[#This Row],[Bene]],B[Valore catastale])*Assegnazione[[#This Row],[Quota di assegnazione]]</f>
        <v>0</v>
      </c>
      <c r="M1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5">
        <f>+MIN(Assegnazione[[#This Row],[Valore ai fini dell''atto]],Assegnazione[[#This Row],[Valore Fiscalmente riconosciuto]])</f>
        <v>0</v>
      </c>
      <c r="O150" s="149" t="str">
        <f>+IFERROR(VLOOKUP(Assegnazione[[#This Row],[Bene]],B[],MATCH($O$4,Beni!$A$4:$Z$4,0),0),"")</f>
        <v/>
      </c>
      <c r="P1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8">
        <f>+SUMIF(B[Bene],Assegnazione[[#This Row],[Bene]],B[Iva se dovuta])*Assegnazione[[#This Row],[Quota di assegnazione]]</f>
        <v>0</v>
      </c>
      <c r="S150" s="178">
        <f>+SUMIF(B[Bene],Assegnazione[[#This Row],[Bene]],B[Imposta di registro (fissa + prop) senza agevolazione])*Assegnazione[[#This Row],[Quota di assegnazione]]</f>
        <v>0</v>
      </c>
      <c r="T150" s="178">
        <f>+SUMIF(B[Bene],Assegnazione[[#This Row],[Bene]],B[Ipotecaria e catastale senza agevolazione])*Assegnazione[[#This Row],[Quota di assegnazione]]</f>
        <v>0</v>
      </c>
      <c r="U150" s="179">
        <f>+SUM(Assegnazione[[#This Row],[Tassazione diretta senza agevolazione]:[Ipotecaria e catastale senza agevolazione]])</f>
        <v>0</v>
      </c>
      <c r="V150" s="178">
        <f>+SUMIF(B[Bene],Assegnazione[[#This Row],[Bene]],B[Imponibile Imposta sostitutiva])*Assegnazione[[#This Row],[Quota di assegnazione]]*DATI!$E$27</f>
        <v>0</v>
      </c>
      <c r="W150" s="178">
        <f>+SUMIF(B[Bene],Assegnazione[[#This Row],[Bene]],B[Imposta di registro in misura fissa agevolata])*Assegnazione[[#This Row],[Quota di assegnazione]]</f>
        <v>0</v>
      </c>
      <c r="X150" s="178">
        <f>+SUMIF(B[Bene],Assegnazione[[#This Row],[Bene]],B[Imposta di registro prop. Agevolata])*Assegnazione[[#This Row],[Quota di assegnazione]]</f>
        <v>0</v>
      </c>
      <c r="Y150" s="178">
        <f>+IFERROR(Assegnazione[[#This Row],[Imposta di registro in misura fissa]]+Assegnazione[[#This Row],[Imposta di registro prop.]],"")</f>
        <v>0</v>
      </c>
      <c r="Z150" s="178">
        <f>+SUMIF(B[Bene],Assegnazione[[#This Row],[Bene]],B[Ipotecaria catastale agevolata])*Assegnazione[[#This Row],[Quota di assegnazione]]</f>
        <v>0</v>
      </c>
    </row>
    <row r="151" spans="1:26" x14ac:dyDescent="0.2">
      <c r="A151" s="126"/>
      <c r="B151" s="135"/>
      <c r="C151" s="126"/>
      <c r="D151" s="175">
        <f>+SUMIF(B[Bene],Assegnazione[[#This Row],[Bene]],B[Imponibile Iva])*Assegnazione[[#This Row],[Quota di assegnazione]]</f>
        <v>0</v>
      </c>
      <c r="E151" s="175">
        <f>+SUMIF(B[Bene],Assegnazione[[#This Row],[Bene]],B[Valore inserito manualmente])*Assegnazione[[#This Row],[Quota di assegnazione]]</f>
        <v>0</v>
      </c>
      <c r="F151" s="176" t="str">
        <f>+IF(A151="","",VLOOKUP(Assegnazione[[#This Row],[Bene]],B[],3,0))</f>
        <v/>
      </c>
      <c r="G151" s="132" t="str">
        <f>+IFERROR(VLOOKUP(Assegnazione[[#This Row],[Bene]],B[],MATCH("Agevolabile",Beni!$A$4:$AC$4,0),0)*VLOOKUP(Assegnazione[[#This Row],[Socio]],A_1[],8,0),"")</f>
        <v/>
      </c>
      <c r="H151" s="175">
        <f>+SUMIF(B[Bene],Assegnazione[[#This Row],[Bene]],B[Valore netto contabile fiscalmente riconosciuto])*Assegnazione[[#This Row],[Quota di assegnazione]]</f>
        <v>0</v>
      </c>
      <c r="I151" s="175">
        <f>+SUMIF(B[Bene],Assegnazione[[#This Row],[Bene]],B[Valore normale])*Assegnazione[[#This Row],[Quota di assegnazione]]</f>
        <v>0</v>
      </c>
      <c r="J151" s="177">
        <f>+IF(Assegnazione[[#This Row],[Bene]]="",0,SUMIF(Assegnazione[Socio],Assegnazione[[#This Row],[Socio]],Assegnazione[Valore Normale])/$I$3)</f>
        <v>0</v>
      </c>
      <c r="K151" s="177" t="str">
        <f>IF(Assegnazione[[#This Row],[Bene]]="","",SUMIF(A_1[Nome],Assegnazione[[#This Row],[Socio]],A_1[Quota partecipazione al momento dell''operazione]))</f>
        <v/>
      </c>
      <c r="L151" s="175">
        <f>+SUMIF(B[Bene],Assegnazione[[#This Row],[Bene]],B[Valore catastale])*Assegnazione[[#This Row],[Quota di assegnazione]]</f>
        <v>0</v>
      </c>
      <c r="M1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5">
        <f>+MIN(Assegnazione[[#This Row],[Valore ai fini dell''atto]],Assegnazione[[#This Row],[Valore Fiscalmente riconosciuto]])</f>
        <v>0</v>
      </c>
      <c r="O151" s="149" t="str">
        <f>+IFERROR(VLOOKUP(Assegnazione[[#This Row],[Bene]],B[],MATCH($O$4,Beni!$A$4:$Z$4,0),0),"")</f>
        <v/>
      </c>
      <c r="P1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8">
        <f>+SUMIF(B[Bene],Assegnazione[[#This Row],[Bene]],B[Iva se dovuta])*Assegnazione[[#This Row],[Quota di assegnazione]]</f>
        <v>0</v>
      </c>
      <c r="S151" s="178">
        <f>+SUMIF(B[Bene],Assegnazione[[#This Row],[Bene]],B[Imposta di registro (fissa + prop) senza agevolazione])*Assegnazione[[#This Row],[Quota di assegnazione]]</f>
        <v>0</v>
      </c>
      <c r="T151" s="178">
        <f>+SUMIF(B[Bene],Assegnazione[[#This Row],[Bene]],B[Ipotecaria e catastale senza agevolazione])*Assegnazione[[#This Row],[Quota di assegnazione]]</f>
        <v>0</v>
      </c>
      <c r="U151" s="179">
        <f>+SUM(Assegnazione[[#This Row],[Tassazione diretta senza agevolazione]:[Ipotecaria e catastale senza agevolazione]])</f>
        <v>0</v>
      </c>
      <c r="V151" s="178">
        <f>+SUMIF(B[Bene],Assegnazione[[#This Row],[Bene]],B[Imponibile Imposta sostitutiva])*Assegnazione[[#This Row],[Quota di assegnazione]]*DATI!$E$27</f>
        <v>0</v>
      </c>
      <c r="W151" s="178">
        <f>+SUMIF(B[Bene],Assegnazione[[#This Row],[Bene]],B[Imposta di registro in misura fissa agevolata])*Assegnazione[[#This Row],[Quota di assegnazione]]</f>
        <v>0</v>
      </c>
      <c r="X151" s="178">
        <f>+SUMIF(B[Bene],Assegnazione[[#This Row],[Bene]],B[Imposta di registro prop. Agevolata])*Assegnazione[[#This Row],[Quota di assegnazione]]</f>
        <v>0</v>
      </c>
      <c r="Y151" s="178">
        <f>+IFERROR(Assegnazione[[#This Row],[Imposta di registro in misura fissa]]+Assegnazione[[#This Row],[Imposta di registro prop.]],"")</f>
        <v>0</v>
      </c>
      <c r="Z151" s="178">
        <f>+SUMIF(B[Bene],Assegnazione[[#This Row],[Bene]],B[Ipotecaria catastale agevolata])*Assegnazione[[#This Row],[Quota di assegnazione]]</f>
        <v>0</v>
      </c>
    </row>
    <row r="152" spans="1:26" x14ac:dyDescent="0.2">
      <c r="A152" s="126"/>
      <c r="B152" s="135"/>
      <c r="C152" s="126"/>
      <c r="D152" s="175">
        <f>+SUMIF(B[Bene],Assegnazione[[#This Row],[Bene]],B[Imponibile Iva])*Assegnazione[[#This Row],[Quota di assegnazione]]</f>
        <v>0</v>
      </c>
      <c r="E152" s="175">
        <f>+SUMIF(B[Bene],Assegnazione[[#This Row],[Bene]],B[Valore inserito manualmente])*Assegnazione[[#This Row],[Quota di assegnazione]]</f>
        <v>0</v>
      </c>
      <c r="F152" s="176" t="str">
        <f>+IF(A152="","",VLOOKUP(Assegnazione[[#This Row],[Bene]],B[],3,0))</f>
        <v/>
      </c>
      <c r="G152" s="132" t="str">
        <f>+IFERROR(VLOOKUP(Assegnazione[[#This Row],[Bene]],B[],MATCH("Agevolabile",Beni!$A$4:$AC$4,0),0)*VLOOKUP(Assegnazione[[#This Row],[Socio]],A_1[],8,0),"")</f>
        <v/>
      </c>
      <c r="H152" s="175">
        <f>+SUMIF(B[Bene],Assegnazione[[#This Row],[Bene]],B[Valore netto contabile fiscalmente riconosciuto])*Assegnazione[[#This Row],[Quota di assegnazione]]</f>
        <v>0</v>
      </c>
      <c r="I152" s="175">
        <f>+SUMIF(B[Bene],Assegnazione[[#This Row],[Bene]],B[Valore normale])*Assegnazione[[#This Row],[Quota di assegnazione]]</f>
        <v>0</v>
      </c>
      <c r="J152" s="177">
        <f>+IF(Assegnazione[[#This Row],[Bene]]="",0,SUMIF(Assegnazione[Socio],Assegnazione[[#This Row],[Socio]],Assegnazione[Valore Normale])/$I$3)</f>
        <v>0</v>
      </c>
      <c r="K152" s="177" t="str">
        <f>IF(Assegnazione[[#This Row],[Bene]]="","",SUMIF(A_1[Nome],Assegnazione[[#This Row],[Socio]],A_1[Quota partecipazione al momento dell''operazione]))</f>
        <v/>
      </c>
      <c r="L152" s="175">
        <f>+SUMIF(B[Bene],Assegnazione[[#This Row],[Bene]],B[Valore catastale])*Assegnazione[[#This Row],[Quota di assegnazione]]</f>
        <v>0</v>
      </c>
      <c r="M1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5">
        <f>+MIN(Assegnazione[[#This Row],[Valore ai fini dell''atto]],Assegnazione[[#This Row],[Valore Fiscalmente riconosciuto]])</f>
        <v>0</v>
      </c>
      <c r="O152" s="149" t="str">
        <f>+IFERROR(VLOOKUP(Assegnazione[[#This Row],[Bene]],B[],MATCH($O$4,Beni!$A$4:$Z$4,0),0),"")</f>
        <v/>
      </c>
      <c r="P1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8">
        <f>+SUMIF(B[Bene],Assegnazione[[#This Row],[Bene]],B[Iva se dovuta])*Assegnazione[[#This Row],[Quota di assegnazione]]</f>
        <v>0</v>
      </c>
      <c r="S152" s="178">
        <f>+SUMIF(B[Bene],Assegnazione[[#This Row],[Bene]],B[Imposta di registro (fissa + prop) senza agevolazione])*Assegnazione[[#This Row],[Quota di assegnazione]]</f>
        <v>0</v>
      </c>
      <c r="T152" s="178">
        <f>+SUMIF(B[Bene],Assegnazione[[#This Row],[Bene]],B[Ipotecaria e catastale senza agevolazione])*Assegnazione[[#This Row],[Quota di assegnazione]]</f>
        <v>0</v>
      </c>
      <c r="U152" s="179">
        <f>+SUM(Assegnazione[[#This Row],[Tassazione diretta senza agevolazione]:[Ipotecaria e catastale senza agevolazione]])</f>
        <v>0</v>
      </c>
      <c r="V152" s="178">
        <f>+SUMIF(B[Bene],Assegnazione[[#This Row],[Bene]],B[Imponibile Imposta sostitutiva])*Assegnazione[[#This Row],[Quota di assegnazione]]*DATI!$E$27</f>
        <v>0</v>
      </c>
      <c r="W152" s="178">
        <f>+SUMIF(B[Bene],Assegnazione[[#This Row],[Bene]],B[Imposta di registro in misura fissa agevolata])*Assegnazione[[#This Row],[Quota di assegnazione]]</f>
        <v>0</v>
      </c>
      <c r="X152" s="178">
        <f>+SUMIF(B[Bene],Assegnazione[[#This Row],[Bene]],B[Imposta di registro prop. Agevolata])*Assegnazione[[#This Row],[Quota di assegnazione]]</f>
        <v>0</v>
      </c>
      <c r="Y152" s="178">
        <f>+IFERROR(Assegnazione[[#This Row],[Imposta di registro in misura fissa]]+Assegnazione[[#This Row],[Imposta di registro prop.]],"")</f>
        <v>0</v>
      </c>
      <c r="Z152" s="178">
        <f>+SUMIF(B[Bene],Assegnazione[[#This Row],[Bene]],B[Ipotecaria catastale agevolata])*Assegnazione[[#This Row],[Quota di assegnazione]]</f>
        <v>0</v>
      </c>
    </row>
    <row r="153" spans="1:26" x14ac:dyDescent="0.2">
      <c r="A153" s="126"/>
      <c r="B153" s="135"/>
      <c r="C153" s="126"/>
      <c r="D153" s="175">
        <f>+SUMIF(B[Bene],Assegnazione[[#This Row],[Bene]],B[Imponibile Iva])*Assegnazione[[#This Row],[Quota di assegnazione]]</f>
        <v>0</v>
      </c>
      <c r="E153" s="175">
        <f>+SUMIF(B[Bene],Assegnazione[[#This Row],[Bene]],B[Valore inserito manualmente])*Assegnazione[[#This Row],[Quota di assegnazione]]</f>
        <v>0</v>
      </c>
      <c r="F153" s="176" t="str">
        <f>+IF(A153="","",VLOOKUP(Assegnazione[[#This Row],[Bene]],B[],3,0))</f>
        <v/>
      </c>
      <c r="G153" s="132" t="str">
        <f>+IFERROR(VLOOKUP(Assegnazione[[#This Row],[Bene]],B[],MATCH("Agevolabile",Beni!$A$4:$AC$4,0),0)*VLOOKUP(Assegnazione[[#This Row],[Socio]],A_1[],8,0),"")</f>
        <v/>
      </c>
      <c r="H153" s="175">
        <f>+SUMIF(B[Bene],Assegnazione[[#This Row],[Bene]],B[Valore netto contabile fiscalmente riconosciuto])*Assegnazione[[#This Row],[Quota di assegnazione]]</f>
        <v>0</v>
      </c>
      <c r="I153" s="175">
        <f>+SUMIF(B[Bene],Assegnazione[[#This Row],[Bene]],B[Valore normale])*Assegnazione[[#This Row],[Quota di assegnazione]]</f>
        <v>0</v>
      </c>
      <c r="J153" s="177">
        <f>+IF(Assegnazione[[#This Row],[Bene]]="",0,SUMIF(Assegnazione[Socio],Assegnazione[[#This Row],[Socio]],Assegnazione[Valore Normale])/$I$3)</f>
        <v>0</v>
      </c>
      <c r="K153" s="177" t="str">
        <f>IF(Assegnazione[[#This Row],[Bene]]="","",SUMIF(A_1[Nome],Assegnazione[[#This Row],[Socio]],A_1[Quota partecipazione al momento dell''operazione]))</f>
        <v/>
      </c>
      <c r="L153" s="175">
        <f>+SUMIF(B[Bene],Assegnazione[[#This Row],[Bene]],B[Valore catastale])*Assegnazione[[#This Row],[Quota di assegnazione]]</f>
        <v>0</v>
      </c>
      <c r="M1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5">
        <f>+MIN(Assegnazione[[#This Row],[Valore ai fini dell''atto]],Assegnazione[[#This Row],[Valore Fiscalmente riconosciuto]])</f>
        <v>0</v>
      </c>
      <c r="O153" s="149" t="str">
        <f>+IFERROR(VLOOKUP(Assegnazione[[#This Row],[Bene]],B[],MATCH($O$4,Beni!$A$4:$Z$4,0),0),"")</f>
        <v/>
      </c>
      <c r="P1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8">
        <f>+SUMIF(B[Bene],Assegnazione[[#This Row],[Bene]],B[Iva se dovuta])*Assegnazione[[#This Row],[Quota di assegnazione]]</f>
        <v>0</v>
      </c>
      <c r="S153" s="178">
        <f>+SUMIF(B[Bene],Assegnazione[[#This Row],[Bene]],B[Imposta di registro (fissa + prop) senza agevolazione])*Assegnazione[[#This Row],[Quota di assegnazione]]</f>
        <v>0</v>
      </c>
      <c r="T153" s="178">
        <f>+SUMIF(B[Bene],Assegnazione[[#This Row],[Bene]],B[Ipotecaria e catastale senza agevolazione])*Assegnazione[[#This Row],[Quota di assegnazione]]</f>
        <v>0</v>
      </c>
      <c r="U153" s="179">
        <f>+SUM(Assegnazione[[#This Row],[Tassazione diretta senza agevolazione]:[Ipotecaria e catastale senza agevolazione]])</f>
        <v>0</v>
      </c>
      <c r="V153" s="178">
        <f>+SUMIF(B[Bene],Assegnazione[[#This Row],[Bene]],B[Imponibile Imposta sostitutiva])*Assegnazione[[#This Row],[Quota di assegnazione]]*DATI!$E$27</f>
        <v>0</v>
      </c>
      <c r="W153" s="178">
        <f>+SUMIF(B[Bene],Assegnazione[[#This Row],[Bene]],B[Imposta di registro in misura fissa agevolata])*Assegnazione[[#This Row],[Quota di assegnazione]]</f>
        <v>0</v>
      </c>
      <c r="X153" s="178">
        <f>+SUMIF(B[Bene],Assegnazione[[#This Row],[Bene]],B[Imposta di registro prop. Agevolata])*Assegnazione[[#This Row],[Quota di assegnazione]]</f>
        <v>0</v>
      </c>
      <c r="Y153" s="178">
        <f>+IFERROR(Assegnazione[[#This Row],[Imposta di registro in misura fissa]]+Assegnazione[[#This Row],[Imposta di registro prop.]],"")</f>
        <v>0</v>
      </c>
      <c r="Z153" s="178">
        <f>+SUMIF(B[Bene],Assegnazione[[#This Row],[Bene]],B[Ipotecaria catastale agevolata])*Assegnazione[[#This Row],[Quota di assegnazione]]</f>
        <v>0</v>
      </c>
    </row>
    <row r="154" spans="1:26" x14ac:dyDescent="0.2">
      <c r="A154" s="126"/>
      <c r="B154" s="135"/>
      <c r="C154" s="126"/>
      <c r="D154" s="175">
        <f>+SUMIF(B[Bene],Assegnazione[[#This Row],[Bene]],B[Imponibile Iva])*Assegnazione[[#This Row],[Quota di assegnazione]]</f>
        <v>0</v>
      </c>
      <c r="E154" s="175">
        <f>+SUMIF(B[Bene],Assegnazione[[#This Row],[Bene]],B[Valore inserito manualmente])*Assegnazione[[#This Row],[Quota di assegnazione]]</f>
        <v>0</v>
      </c>
      <c r="F154" s="176" t="str">
        <f>+IF(A154="","",VLOOKUP(Assegnazione[[#This Row],[Bene]],B[],3,0))</f>
        <v/>
      </c>
      <c r="G154" s="132" t="str">
        <f>+IFERROR(VLOOKUP(Assegnazione[[#This Row],[Bene]],B[],MATCH("Agevolabile",Beni!$A$4:$AC$4,0),0)*VLOOKUP(Assegnazione[[#This Row],[Socio]],A_1[],8,0),"")</f>
        <v/>
      </c>
      <c r="H154" s="175">
        <f>+SUMIF(B[Bene],Assegnazione[[#This Row],[Bene]],B[Valore netto contabile fiscalmente riconosciuto])*Assegnazione[[#This Row],[Quota di assegnazione]]</f>
        <v>0</v>
      </c>
      <c r="I154" s="175">
        <f>+SUMIF(B[Bene],Assegnazione[[#This Row],[Bene]],B[Valore normale])*Assegnazione[[#This Row],[Quota di assegnazione]]</f>
        <v>0</v>
      </c>
      <c r="J154" s="177">
        <f>+IF(Assegnazione[[#This Row],[Bene]]="",0,SUMIF(Assegnazione[Socio],Assegnazione[[#This Row],[Socio]],Assegnazione[Valore Normale])/$I$3)</f>
        <v>0</v>
      </c>
      <c r="K154" s="177" t="str">
        <f>IF(Assegnazione[[#This Row],[Bene]]="","",SUMIF(A_1[Nome],Assegnazione[[#This Row],[Socio]],A_1[Quota partecipazione al momento dell''operazione]))</f>
        <v/>
      </c>
      <c r="L154" s="175">
        <f>+SUMIF(B[Bene],Assegnazione[[#This Row],[Bene]],B[Valore catastale])*Assegnazione[[#This Row],[Quota di assegnazione]]</f>
        <v>0</v>
      </c>
      <c r="M1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5">
        <f>+MIN(Assegnazione[[#This Row],[Valore ai fini dell''atto]],Assegnazione[[#This Row],[Valore Fiscalmente riconosciuto]])</f>
        <v>0</v>
      </c>
      <c r="O154" s="149" t="str">
        <f>+IFERROR(VLOOKUP(Assegnazione[[#This Row],[Bene]],B[],MATCH($O$4,Beni!$A$4:$Z$4,0),0),"")</f>
        <v/>
      </c>
      <c r="P1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8">
        <f>+SUMIF(B[Bene],Assegnazione[[#This Row],[Bene]],B[Iva se dovuta])*Assegnazione[[#This Row],[Quota di assegnazione]]</f>
        <v>0</v>
      </c>
      <c r="S154" s="178">
        <f>+SUMIF(B[Bene],Assegnazione[[#This Row],[Bene]],B[Imposta di registro (fissa + prop) senza agevolazione])*Assegnazione[[#This Row],[Quota di assegnazione]]</f>
        <v>0</v>
      </c>
      <c r="T154" s="178">
        <f>+SUMIF(B[Bene],Assegnazione[[#This Row],[Bene]],B[Ipotecaria e catastale senza agevolazione])*Assegnazione[[#This Row],[Quota di assegnazione]]</f>
        <v>0</v>
      </c>
      <c r="U154" s="179">
        <f>+SUM(Assegnazione[[#This Row],[Tassazione diretta senza agevolazione]:[Ipotecaria e catastale senza agevolazione]])</f>
        <v>0</v>
      </c>
      <c r="V154" s="178">
        <f>+SUMIF(B[Bene],Assegnazione[[#This Row],[Bene]],B[Imponibile Imposta sostitutiva])*Assegnazione[[#This Row],[Quota di assegnazione]]*DATI!$E$27</f>
        <v>0</v>
      </c>
      <c r="W154" s="178">
        <f>+SUMIF(B[Bene],Assegnazione[[#This Row],[Bene]],B[Imposta di registro in misura fissa agevolata])*Assegnazione[[#This Row],[Quota di assegnazione]]</f>
        <v>0</v>
      </c>
      <c r="X154" s="178">
        <f>+SUMIF(B[Bene],Assegnazione[[#This Row],[Bene]],B[Imposta di registro prop. Agevolata])*Assegnazione[[#This Row],[Quota di assegnazione]]</f>
        <v>0</v>
      </c>
      <c r="Y154" s="178">
        <f>+IFERROR(Assegnazione[[#This Row],[Imposta di registro in misura fissa]]+Assegnazione[[#This Row],[Imposta di registro prop.]],"")</f>
        <v>0</v>
      </c>
      <c r="Z154" s="178">
        <f>+SUMIF(B[Bene],Assegnazione[[#This Row],[Bene]],B[Ipotecaria catastale agevolata])*Assegnazione[[#This Row],[Quota di assegnazione]]</f>
        <v>0</v>
      </c>
    </row>
    <row r="155" spans="1:26" x14ac:dyDescent="0.2">
      <c r="A155" s="126"/>
      <c r="B155" s="135"/>
      <c r="C155" s="126"/>
      <c r="D155" s="175">
        <f>+SUMIF(B[Bene],Assegnazione[[#This Row],[Bene]],B[Imponibile Iva])*Assegnazione[[#This Row],[Quota di assegnazione]]</f>
        <v>0</v>
      </c>
      <c r="E155" s="175">
        <f>+SUMIF(B[Bene],Assegnazione[[#This Row],[Bene]],B[Valore inserito manualmente])*Assegnazione[[#This Row],[Quota di assegnazione]]</f>
        <v>0</v>
      </c>
      <c r="F155" s="176" t="str">
        <f>+IF(A155="","",VLOOKUP(Assegnazione[[#This Row],[Bene]],B[],3,0))</f>
        <v/>
      </c>
      <c r="G155" s="132" t="str">
        <f>+IFERROR(VLOOKUP(Assegnazione[[#This Row],[Bene]],B[],MATCH("Agevolabile",Beni!$A$4:$AC$4,0),0)*VLOOKUP(Assegnazione[[#This Row],[Socio]],A_1[],8,0),"")</f>
        <v/>
      </c>
      <c r="H155" s="175">
        <f>+SUMIF(B[Bene],Assegnazione[[#This Row],[Bene]],B[Valore netto contabile fiscalmente riconosciuto])*Assegnazione[[#This Row],[Quota di assegnazione]]</f>
        <v>0</v>
      </c>
      <c r="I155" s="175">
        <f>+SUMIF(B[Bene],Assegnazione[[#This Row],[Bene]],B[Valore normale])*Assegnazione[[#This Row],[Quota di assegnazione]]</f>
        <v>0</v>
      </c>
      <c r="J155" s="177">
        <f>+IF(Assegnazione[[#This Row],[Bene]]="",0,SUMIF(Assegnazione[Socio],Assegnazione[[#This Row],[Socio]],Assegnazione[Valore Normale])/$I$3)</f>
        <v>0</v>
      </c>
      <c r="K155" s="177" t="str">
        <f>IF(Assegnazione[[#This Row],[Bene]]="","",SUMIF(A_1[Nome],Assegnazione[[#This Row],[Socio]],A_1[Quota partecipazione al momento dell''operazione]))</f>
        <v/>
      </c>
      <c r="L155" s="175">
        <f>+SUMIF(B[Bene],Assegnazione[[#This Row],[Bene]],B[Valore catastale])*Assegnazione[[#This Row],[Quota di assegnazione]]</f>
        <v>0</v>
      </c>
      <c r="M1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5">
        <f>+MIN(Assegnazione[[#This Row],[Valore ai fini dell''atto]],Assegnazione[[#This Row],[Valore Fiscalmente riconosciuto]])</f>
        <v>0</v>
      </c>
      <c r="O155" s="149" t="str">
        <f>+IFERROR(VLOOKUP(Assegnazione[[#This Row],[Bene]],B[],MATCH($O$4,Beni!$A$4:$Z$4,0),0),"")</f>
        <v/>
      </c>
      <c r="P1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8">
        <f>+SUMIF(B[Bene],Assegnazione[[#This Row],[Bene]],B[Iva se dovuta])*Assegnazione[[#This Row],[Quota di assegnazione]]</f>
        <v>0</v>
      </c>
      <c r="S155" s="178">
        <f>+SUMIF(B[Bene],Assegnazione[[#This Row],[Bene]],B[Imposta di registro (fissa + prop) senza agevolazione])*Assegnazione[[#This Row],[Quota di assegnazione]]</f>
        <v>0</v>
      </c>
      <c r="T155" s="178">
        <f>+SUMIF(B[Bene],Assegnazione[[#This Row],[Bene]],B[Ipotecaria e catastale senza agevolazione])*Assegnazione[[#This Row],[Quota di assegnazione]]</f>
        <v>0</v>
      </c>
      <c r="U155" s="179">
        <f>+SUM(Assegnazione[[#This Row],[Tassazione diretta senza agevolazione]:[Ipotecaria e catastale senza agevolazione]])</f>
        <v>0</v>
      </c>
      <c r="V155" s="178">
        <f>+SUMIF(B[Bene],Assegnazione[[#This Row],[Bene]],B[Imponibile Imposta sostitutiva])*Assegnazione[[#This Row],[Quota di assegnazione]]*DATI!$E$27</f>
        <v>0</v>
      </c>
      <c r="W155" s="178">
        <f>+SUMIF(B[Bene],Assegnazione[[#This Row],[Bene]],B[Imposta di registro in misura fissa agevolata])*Assegnazione[[#This Row],[Quota di assegnazione]]</f>
        <v>0</v>
      </c>
      <c r="X155" s="178">
        <f>+SUMIF(B[Bene],Assegnazione[[#This Row],[Bene]],B[Imposta di registro prop. Agevolata])*Assegnazione[[#This Row],[Quota di assegnazione]]</f>
        <v>0</v>
      </c>
      <c r="Y155" s="178">
        <f>+IFERROR(Assegnazione[[#This Row],[Imposta di registro in misura fissa]]+Assegnazione[[#This Row],[Imposta di registro prop.]],"")</f>
        <v>0</v>
      </c>
      <c r="Z155" s="178">
        <f>+SUMIF(B[Bene],Assegnazione[[#This Row],[Bene]],B[Ipotecaria catastale agevolata])*Assegnazione[[#This Row],[Quota di assegnazione]]</f>
        <v>0</v>
      </c>
    </row>
    <row r="156" spans="1:26" x14ac:dyDescent="0.2">
      <c r="A156" s="126"/>
      <c r="B156" s="135"/>
      <c r="C156" s="126"/>
      <c r="D156" s="175">
        <f>+SUMIF(B[Bene],Assegnazione[[#This Row],[Bene]],B[Imponibile Iva])*Assegnazione[[#This Row],[Quota di assegnazione]]</f>
        <v>0</v>
      </c>
      <c r="E156" s="175">
        <f>+SUMIF(B[Bene],Assegnazione[[#This Row],[Bene]],B[Valore inserito manualmente])*Assegnazione[[#This Row],[Quota di assegnazione]]</f>
        <v>0</v>
      </c>
      <c r="F156" s="176" t="str">
        <f>+IF(A156="","",VLOOKUP(Assegnazione[[#This Row],[Bene]],B[],3,0))</f>
        <v/>
      </c>
      <c r="G156" s="132" t="str">
        <f>+IFERROR(VLOOKUP(Assegnazione[[#This Row],[Bene]],B[],MATCH("Agevolabile",Beni!$A$4:$AC$4,0),0)*VLOOKUP(Assegnazione[[#This Row],[Socio]],A_1[],8,0),"")</f>
        <v/>
      </c>
      <c r="H156" s="175">
        <f>+SUMIF(B[Bene],Assegnazione[[#This Row],[Bene]],B[Valore netto contabile fiscalmente riconosciuto])*Assegnazione[[#This Row],[Quota di assegnazione]]</f>
        <v>0</v>
      </c>
      <c r="I156" s="175">
        <f>+SUMIF(B[Bene],Assegnazione[[#This Row],[Bene]],B[Valore normale])*Assegnazione[[#This Row],[Quota di assegnazione]]</f>
        <v>0</v>
      </c>
      <c r="J156" s="177">
        <f>+IF(Assegnazione[[#This Row],[Bene]]="",0,SUMIF(Assegnazione[Socio],Assegnazione[[#This Row],[Socio]],Assegnazione[Valore Normale])/$I$3)</f>
        <v>0</v>
      </c>
      <c r="K156" s="177" t="str">
        <f>IF(Assegnazione[[#This Row],[Bene]]="","",SUMIF(A_1[Nome],Assegnazione[[#This Row],[Socio]],A_1[Quota partecipazione al momento dell''operazione]))</f>
        <v/>
      </c>
      <c r="L156" s="175">
        <f>+SUMIF(B[Bene],Assegnazione[[#This Row],[Bene]],B[Valore catastale])*Assegnazione[[#This Row],[Quota di assegnazione]]</f>
        <v>0</v>
      </c>
      <c r="M1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5">
        <f>+MIN(Assegnazione[[#This Row],[Valore ai fini dell''atto]],Assegnazione[[#This Row],[Valore Fiscalmente riconosciuto]])</f>
        <v>0</v>
      </c>
      <c r="O156" s="149" t="str">
        <f>+IFERROR(VLOOKUP(Assegnazione[[#This Row],[Bene]],B[],MATCH($O$4,Beni!$A$4:$Z$4,0),0),"")</f>
        <v/>
      </c>
      <c r="P1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8">
        <f>+SUMIF(B[Bene],Assegnazione[[#This Row],[Bene]],B[Iva se dovuta])*Assegnazione[[#This Row],[Quota di assegnazione]]</f>
        <v>0</v>
      </c>
      <c r="S156" s="178">
        <f>+SUMIF(B[Bene],Assegnazione[[#This Row],[Bene]],B[Imposta di registro (fissa + prop) senza agevolazione])*Assegnazione[[#This Row],[Quota di assegnazione]]</f>
        <v>0</v>
      </c>
      <c r="T156" s="178">
        <f>+SUMIF(B[Bene],Assegnazione[[#This Row],[Bene]],B[Ipotecaria e catastale senza agevolazione])*Assegnazione[[#This Row],[Quota di assegnazione]]</f>
        <v>0</v>
      </c>
      <c r="U156" s="179">
        <f>+SUM(Assegnazione[[#This Row],[Tassazione diretta senza agevolazione]:[Ipotecaria e catastale senza agevolazione]])</f>
        <v>0</v>
      </c>
      <c r="V156" s="178">
        <f>+SUMIF(B[Bene],Assegnazione[[#This Row],[Bene]],B[Imponibile Imposta sostitutiva])*Assegnazione[[#This Row],[Quota di assegnazione]]*DATI!$E$27</f>
        <v>0</v>
      </c>
      <c r="W156" s="178">
        <f>+SUMIF(B[Bene],Assegnazione[[#This Row],[Bene]],B[Imposta di registro in misura fissa agevolata])*Assegnazione[[#This Row],[Quota di assegnazione]]</f>
        <v>0</v>
      </c>
      <c r="X156" s="178">
        <f>+SUMIF(B[Bene],Assegnazione[[#This Row],[Bene]],B[Imposta di registro prop. Agevolata])*Assegnazione[[#This Row],[Quota di assegnazione]]</f>
        <v>0</v>
      </c>
      <c r="Y156" s="178">
        <f>+IFERROR(Assegnazione[[#This Row],[Imposta di registro in misura fissa]]+Assegnazione[[#This Row],[Imposta di registro prop.]],"")</f>
        <v>0</v>
      </c>
      <c r="Z156" s="178">
        <f>+SUMIF(B[Bene],Assegnazione[[#This Row],[Bene]],B[Ipotecaria catastale agevolata])*Assegnazione[[#This Row],[Quota di assegnazione]]</f>
        <v>0</v>
      </c>
    </row>
    <row r="157" spans="1:26" x14ac:dyDescent="0.2">
      <c r="A157" s="126"/>
      <c r="B157" s="135"/>
      <c r="C157" s="126"/>
      <c r="D157" s="175">
        <f>+SUMIF(B[Bene],Assegnazione[[#This Row],[Bene]],B[Imponibile Iva])*Assegnazione[[#This Row],[Quota di assegnazione]]</f>
        <v>0</v>
      </c>
      <c r="E157" s="175">
        <f>+SUMIF(B[Bene],Assegnazione[[#This Row],[Bene]],B[Valore inserito manualmente])*Assegnazione[[#This Row],[Quota di assegnazione]]</f>
        <v>0</v>
      </c>
      <c r="F157" s="176" t="str">
        <f>+IF(A157="","",VLOOKUP(Assegnazione[[#This Row],[Bene]],B[],3,0))</f>
        <v/>
      </c>
      <c r="G157" s="132" t="str">
        <f>+IFERROR(VLOOKUP(Assegnazione[[#This Row],[Bene]],B[],MATCH("Agevolabile",Beni!$A$4:$AC$4,0),0)*VLOOKUP(Assegnazione[[#This Row],[Socio]],A_1[],8,0),"")</f>
        <v/>
      </c>
      <c r="H157" s="175">
        <f>+SUMIF(B[Bene],Assegnazione[[#This Row],[Bene]],B[Valore netto contabile fiscalmente riconosciuto])*Assegnazione[[#This Row],[Quota di assegnazione]]</f>
        <v>0</v>
      </c>
      <c r="I157" s="175">
        <f>+SUMIF(B[Bene],Assegnazione[[#This Row],[Bene]],B[Valore normale])*Assegnazione[[#This Row],[Quota di assegnazione]]</f>
        <v>0</v>
      </c>
      <c r="J157" s="177">
        <f>+IF(Assegnazione[[#This Row],[Bene]]="",0,SUMIF(Assegnazione[Socio],Assegnazione[[#This Row],[Socio]],Assegnazione[Valore Normale])/$I$3)</f>
        <v>0</v>
      </c>
      <c r="K157" s="177" t="str">
        <f>IF(Assegnazione[[#This Row],[Bene]]="","",SUMIF(A_1[Nome],Assegnazione[[#This Row],[Socio]],A_1[Quota partecipazione al momento dell''operazione]))</f>
        <v/>
      </c>
      <c r="L157" s="175">
        <f>+SUMIF(B[Bene],Assegnazione[[#This Row],[Bene]],B[Valore catastale])*Assegnazione[[#This Row],[Quota di assegnazione]]</f>
        <v>0</v>
      </c>
      <c r="M1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5">
        <f>+MIN(Assegnazione[[#This Row],[Valore ai fini dell''atto]],Assegnazione[[#This Row],[Valore Fiscalmente riconosciuto]])</f>
        <v>0</v>
      </c>
      <c r="O157" s="149" t="str">
        <f>+IFERROR(VLOOKUP(Assegnazione[[#This Row],[Bene]],B[],MATCH($O$4,Beni!$A$4:$Z$4,0),0),"")</f>
        <v/>
      </c>
      <c r="P1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8">
        <f>+SUMIF(B[Bene],Assegnazione[[#This Row],[Bene]],B[Iva se dovuta])*Assegnazione[[#This Row],[Quota di assegnazione]]</f>
        <v>0</v>
      </c>
      <c r="S157" s="178">
        <f>+SUMIF(B[Bene],Assegnazione[[#This Row],[Bene]],B[Imposta di registro (fissa + prop) senza agevolazione])*Assegnazione[[#This Row],[Quota di assegnazione]]</f>
        <v>0</v>
      </c>
      <c r="T157" s="178">
        <f>+SUMIF(B[Bene],Assegnazione[[#This Row],[Bene]],B[Ipotecaria e catastale senza agevolazione])*Assegnazione[[#This Row],[Quota di assegnazione]]</f>
        <v>0</v>
      </c>
      <c r="U157" s="179">
        <f>+SUM(Assegnazione[[#This Row],[Tassazione diretta senza agevolazione]:[Ipotecaria e catastale senza agevolazione]])</f>
        <v>0</v>
      </c>
      <c r="V157" s="178">
        <f>+SUMIF(B[Bene],Assegnazione[[#This Row],[Bene]],B[Imponibile Imposta sostitutiva])*Assegnazione[[#This Row],[Quota di assegnazione]]*DATI!$E$27</f>
        <v>0</v>
      </c>
      <c r="W157" s="178">
        <f>+SUMIF(B[Bene],Assegnazione[[#This Row],[Bene]],B[Imposta di registro in misura fissa agevolata])*Assegnazione[[#This Row],[Quota di assegnazione]]</f>
        <v>0</v>
      </c>
      <c r="X157" s="178">
        <f>+SUMIF(B[Bene],Assegnazione[[#This Row],[Bene]],B[Imposta di registro prop. Agevolata])*Assegnazione[[#This Row],[Quota di assegnazione]]</f>
        <v>0</v>
      </c>
      <c r="Y157" s="178">
        <f>+IFERROR(Assegnazione[[#This Row],[Imposta di registro in misura fissa]]+Assegnazione[[#This Row],[Imposta di registro prop.]],"")</f>
        <v>0</v>
      </c>
      <c r="Z157" s="178">
        <f>+SUMIF(B[Bene],Assegnazione[[#This Row],[Bene]],B[Ipotecaria catastale agevolata])*Assegnazione[[#This Row],[Quota di assegnazione]]</f>
        <v>0</v>
      </c>
    </row>
    <row r="158" spans="1:26" x14ac:dyDescent="0.2">
      <c r="A158" s="126"/>
      <c r="B158" s="135"/>
      <c r="C158" s="126"/>
      <c r="D158" s="175">
        <f>+SUMIF(B[Bene],Assegnazione[[#This Row],[Bene]],B[Imponibile Iva])*Assegnazione[[#This Row],[Quota di assegnazione]]</f>
        <v>0</v>
      </c>
      <c r="E158" s="175">
        <f>+SUMIF(B[Bene],Assegnazione[[#This Row],[Bene]],B[Valore inserito manualmente])*Assegnazione[[#This Row],[Quota di assegnazione]]</f>
        <v>0</v>
      </c>
      <c r="F158" s="176" t="str">
        <f>+IF(A158="","",VLOOKUP(Assegnazione[[#This Row],[Bene]],B[],3,0))</f>
        <v/>
      </c>
      <c r="G158" s="132" t="str">
        <f>+IFERROR(VLOOKUP(Assegnazione[[#This Row],[Bene]],B[],MATCH("Agevolabile",Beni!$A$4:$AC$4,0),0)*VLOOKUP(Assegnazione[[#This Row],[Socio]],A_1[],8,0),"")</f>
        <v/>
      </c>
      <c r="H158" s="175">
        <f>+SUMIF(B[Bene],Assegnazione[[#This Row],[Bene]],B[Valore netto contabile fiscalmente riconosciuto])*Assegnazione[[#This Row],[Quota di assegnazione]]</f>
        <v>0</v>
      </c>
      <c r="I158" s="175">
        <f>+SUMIF(B[Bene],Assegnazione[[#This Row],[Bene]],B[Valore normale])*Assegnazione[[#This Row],[Quota di assegnazione]]</f>
        <v>0</v>
      </c>
      <c r="J158" s="177">
        <f>+IF(Assegnazione[[#This Row],[Bene]]="",0,SUMIF(Assegnazione[Socio],Assegnazione[[#This Row],[Socio]],Assegnazione[Valore Normale])/$I$3)</f>
        <v>0</v>
      </c>
      <c r="K158" s="177" t="str">
        <f>IF(Assegnazione[[#This Row],[Bene]]="","",SUMIF(A_1[Nome],Assegnazione[[#This Row],[Socio]],A_1[Quota partecipazione al momento dell''operazione]))</f>
        <v/>
      </c>
      <c r="L158" s="175">
        <f>+SUMIF(B[Bene],Assegnazione[[#This Row],[Bene]],B[Valore catastale])*Assegnazione[[#This Row],[Quota di assegnazione]]</f>
        <v>0</v>
      </c>
      <c r="M1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5">
        <f>+MIN(Assegnazione[[#This Row],[Valore ai fini dell''atto]],Assegnazione[[#This Row],[Valore Fiscalmente riconosciuto]])</f>
        <v>0</v>
      </c>
      <c r="O158" s="149" t="str">
        <f>+IFERROR(VLOOKUP(Assegnazione[[#This Row],[Bene]],B[],MATCH($O$4,Beni!$A$4:$Z$4,0),0),"")</f>
        <v/>
      </c>
      <c r="P1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8">
        <f>+SUMIF(B[Bene],Assegnazione[[#This Row],[Bene]],B[Iva se dovuta])*Assegnazione[[#This Row],[Quota di assegnazione]]</f>
        <v>0</v>
      </c>
      <c r="S158" s="178">
        <f>+SUMIF(B[Bene],Assegnazione[[#This Row],[Bene]],B[Imposta di registro (fissa + prop) senza agevolazione])*Assegnazione[[#This Row],[Quota di assegnazione]]</f>
        <v>0</v>
      </c>
      <c r="T158" s="178">
        <f>+SUMIF(B[Bene],Assegnazione[[#This Row],[Bene]],B[Ipotecaria e catastale senza agevolazione])*Assegnazione[[#This Row],[Quota di assegnazione]]</f>
        <v>0</v>
      </c>
      <c r="U158" s="179">
        <f>+SUM(Assegnazione[[#This Row],[Tassazione diretta senza agevolazione]:[Ipotecaria e catastale senza agevolazione]])</f>
        <v>0</v>
      </c>
      <c r="V158" s="178">
        <f>+SUMIF(B[Bene],Assegnazione[[#This Row],[Bene]],B[Imponibile Imposta sostitutiva])*Assegnazione[[#This Row],[Quota di assegnazione]]*DATI!$E$27</f>
        <v>0</v>
      </c>
      <c r="W158" s="178">
        <f>+SUMIF(B[Bene],Assegnazione[[#This Row],[Bene]],B[Imposta di registro in misura fissa agevolata])*Assegnazione[[#This Row],[Quota di assegnazione]]</f>
        <v>0</v>
      </c>
      <c r="X158" s="178">
        <f>+SUMIF(B[Bene],Assegnazione[[#This Row],[Bene]],B[Imposta di registro prop. Agevolata])*Assegnazione[[#This Row],[Quota di assegnazione]]</f>
        <v>0</v>
      </c>
      <c r="Y158" s="178">
        <f>+IFERROR(Assegnazione[[#This Row],[Imposta di registro in misura fissa]]+Assegnazione[[#This Row],[Imposta di registro prop.]],"")</f>
        <v>0</v>
      </c>
      <c r="Z158" s="178">
        <f>+SUMIF(B[Bene],Assegnazione[[#This Row],[Bene]],B[Ipotecaria catastale agevolata])*Assegnazione[[#This Row],[Quota di assegnazione]]</f>
        <v>0</v>
      </c>
    </row>
    <row r="159" spans="1:26" x14ac:dyDescent="0.2">
      <c r="A159" s="126"/>
      <c r="B159" s="135"/>
      <c r="C159" s="126"/>
      <c r="D159" s="175">
        <f>+SUMIF(B[Bene],Assegnazione[[#This Row],[Bene]],B[Imponibile Iva])*Assegnazione[[#This Row],[Quota di assegnazione]]</f>
        <v>0</v>
      </c>
      <c r="E159" s="175">
        <f>+SUMIF(B[Bene],Assegnazione[[#This Row],[Bene]],B[Valore inserito manualmente])*Assegnazione[[#This Row],[Quota di assegnazione]]</f>
        <v>0</v>
      </c>
      <c r="F159" s="176" t="str">
        <f>+IF(A159="","",VLOOKUP(Assegnazione[[#This Row],[Bene]],B[],3,0))</f>
        <v/>
      </c>
      <c r="G159" s="132" t="str">
        <f>+IFERROR(VLOOKUP(Assegnazione[[#This Row],[Bene]],B[],MATCH("Agevolabile",Beni!$A$4:$AC$4,0),0)*VLOOKUP(Assegnazione[[#This Row],[Socio]],A_1[],8,0),"")</f>
        <v/>
      </c>
      <c r="H159" s="175">
        <f>+SUMIF(B[Bene],Assegnazione[[#This Row],[Bene]],B[Valore netto contabile fiscalmente riconosciuto])*Assegnazione[[#This Row],[Quota di assegnazione]]</f>
        <v>0</v>
      </c>
      <c r="I159" s="175">
        <f>+SUMIF(B[Bene],Assegnazione[[#This Row],[Bene]],B[Valore normale])*Assegnazione[[#This Row],[Quota di assegnazione]]</f>
        <v>0</v>
      </c>
      <c r="J159" s="177">
        <f>+IF(Assegnazione[[#This Row],[Bene]]="",0,SUMIF(Assegnazione[Socio],Assegnazione[[#This Row],[Socio]],Assegnazione[Valore Normale])/$I$3)</f>
        <v>0</v>
      </c>
      <c r="K159" s="177" t="str">
        <f>IF(Assegnazione[[#This Row],[Bene]]="","",SUMIF(A_1[Nome],Assegnazione[[#This Row],[Socio]],A_1[Quota partecipazione al momento dell''operazione]))</f>
        <v/>
      </c>
      <c r="L159" s="175">
        <f>+SUMIF(B[Bene],Assegnazione[[#This Row],[Bene]],B[Valore catastale])*Assegnazione[[#This Row],[Quota di assegnazione]]</f>
        <v>0</v>
      </c>
      <c r="M1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5">
        <f>+MIN(Assegnazione[[#This Row],[Valore ai fini dell''atto]],Assegnazione[[#This Row],[Valore Fiscalmente riconosciuto]])</f>
        <v>0</v>
      </c>
      <c r="O159" s="149" t="str">
        <f>+IFERROR(VLOOKUP(Assegnazione[[#This Row],[Bene]],B[],MATCH($O$4,Beni!$A$4:$Z$4,0),0),"")</f>
        <v/>
      </c>
      <c r="P1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8">
        <f>+SUMIF(B[Bene],Assegnazione[[#This Row],[Bene]],B[Iva se dovuta])*Assegnazione[[#This Row],[Quota di assegnazione]]</f>
        <v>0</v>
      </c>
      <c r="S159" s="178">
        <f>+SUMIF(B[Bene],Assegnazione[[#This Row],[Bene]],B[Imposta di registro (fissa + prop) senza agevolazione])*Assegnazione[[#This Row],[Quota di assegnazione]]</f>
        <v>0</v>
      </c>
      <c r="T159" s="178">
        <f>+SUMIF(B[Bene],Assegnazione[[#This Row],[Bene]],B[Ipotecaria e catastale senza agevolazione])*Assegnazione[[#This Row],[Quota di assegnazione]]</f>
        <v>0</v>
      </c>
      <c r="U159" s="179">
        <f>+SUM(Assegnazione[[#This Row],[Tassazione diretta senza agevolazione]:[Ipotecaria e catastale senza agevolazione]])</f>
        <v>0</v>
      </c>
      <c r="V159" s="178">
        <f>+SUMIF(B[Bene],Assegnazione[[#This Row],[Bene]],B[Imponibile Imposta sostitutiva])*Assegnazione[[#This Row],[Quota di assegnazione]]*DATI!$E$27</f>
        <v>0</v>
      </c>
      <c r="W159" s="178">
        <f>+SUMIF(B[Bene],Assegnazione[[#This Row],[Bene]],B[Imposta di registro in misura fissa agevolata])*Assegnazione[[#This Row],[Quota di assegnazione]]</f>
        <v>0</v>
      </c>
      <c r="X159" s="178">
        <f>+SUMIF(B[Bene],Assegnazione[[#This Row],[Bene]],B[Imposta di registro prop. Agevolata])*Assegnazione[[#This Row],[Quota di assegnazione]]</f>
        <v>0</v>
      </c>
      <c r="Y159" s="178">
        <f>+IFERROR(Assegnazione[[#This Row],[Imposta di registro in misura fissa]]+Assegnazione[[#This Row],[Imposta di registro prop.]],"")</f>
        <v>0</v>
      </c>
      <c r="Z159" s="178">
        <f>+SUMIF(B[Bene],Assegnazione[[#This Row],[Bene]],B[Ipotecaria catastale agevolata])*Assegnazione[[#This Row],[Quota di assegnazione]]</f>
        <v>0</v>
      </c>
    </row>
    <row r="160" spans="1:26" x14ac:dyDescent="0.2">
      <c r="A160" s="126"/>
      <c r="B160" s="135"/>
      <c r="C160" s="126"/>
      <c r="D160" s="175">
        <f>+SUMIF(B[Bene],Assegnazione[[#This Row],[Bene]],B[Imponibile Iva])*Assegnazione[[#This Row],[Quota di assegnazione]]</f>
        <v>0</v>
      </c>
      <c r="E160" s="175">
        <f>+SUMIF(B[Bene],Assegnazione[[#This Row],[Bene]],B[Valore inserito manualmente])*Assegnazione[[#This Row],[Quota di assegnazione]]</f>
        <v>0</v>
      </c>
      <c r="F160" s="176" t="str">
        <f>+IF(A160="","",VLOOKUP(Assegnazione[[#This Row],[Bene]],B[],3,0))</f>
        <v/>
      </c>
      <c r="G160" s="132" t="str">
        <f>+IFERROR(VLOOKUP(Assegnazione[[#This Row],[Bene]],B[],MATCH("Agevolabile",Beni!$A$4:$AC$4,0),0)*VLOOKUP(Assegnazione[[#This Row],[Socio]],A_1[],8,0),"")</f>
        <v/>
      </c>
      <c r="H160" s="175">
        <f>+SUMIF(B[Bene],Assegnazione[[#This Row],[Bene]],B[Valore netto contabile fiscalmente riconosciuto])*Assegnazione[[#This Row],[Quota di assegnazione]]</f>
        <v>0</v>
      </c>
      <c r="I160" s="175">
        <f>+SUMIF(B[Bene],Assegnazione[[#This Row],[Bene]],B[Valore normale])*Assegnazione[[#This Row],[Quota di assegnazione]]</f>
        <v>0</v>
      </c>
      <c r="J160" s="177">
        <f>+IF(Assegnazione[[#This Row],[Bene]]="",0,SUMIF(Assegnazione[Socio],Assegnazione[[#This Row],[Socio]],Assegnazione[Valore Normale])/$I$3)</f>
        <v>0</v>
      </c>
      <c r="K160" s="177" t="str">
        <f>IF(Assegnazione[[#This Row],[Bene]]="","",SUMIF(A_1[Nome],Assegnazione[[#This Row],[Socio]],A_1[Quota partecipazione al momento dell''operazione]))</f>
        <v/>
      </c>
      <c r="L160" s="175">
        <f>+SUMIF(B[Bene],Assegnazione[[#This Row],[Bene]],B[Valore catastale])*Assegnazione[[#This Row],[Quota di assegnazione]]</f>
        <v>0</v>
      </c>
      <c r="M1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5">
        <f>+MIN(Assegnazione[[#This Row],[Valore ai fini dell''atto]],Assegnazione[[#This Row],[Valore Fiscalmente riconosciuto]])</f>
        <v>0</v>
      </c>
      <c r="O160" s="149" t="str">
        <f>+IFERROR(VLOOKUP(Assegnazione[[#This Row],[Bene]],B[],MATCH($O$4,Beni!$A$4:$Z$4,0),0),"")</f>
        <v/>
      </c>
      <c r="P1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8">
        <f>+SUMIF(B[Bene],Assegnazione[[#This Row],[Bene]],B[Iva se dovuta])*Assegnazione[[#This Row],[Quota di assegnazione]]</f>
        <v>0</v>
      </c>
      <c r="S160" s="178">
        <f>+SUMIF(B[Bene],Assegnazione[[#This Row],[Bene]],B[Imposta di registro (fissa + prop) senza agevolazione])*Assegnazione[[#This Row],[Quota di assegnazione]]</f>
        <v>0</v>
      </c>
      <c r="T160" s="178">
        <f>+SUMIF(B[Bene],Assegnazione[[#This Row],[Bene]],B[Ipotecaria e catastale senza agevolazione])*Assegnazione[[#This Row],[Quota di assegnazione]]</f>
        <v>0</v>
      </c>
      <c r="U160" s="179">
        <f>+SUM(Assegnazione[[#This Row],[Tassazione diretta senza agevolazione]:[Ipotecaria e catastale senza agevolazione]])</f>
        <v>0</v>
      </c>
      <c r="V160" s="178">
        <f>+SUMIF(B[Bene],Assegnazione[[#This Row],[Bene]],B[Imponibile Imposta sostitutiva])*Assegnazione[[#This Row],[Quota di assegnazione]]*DATI!$E$27</f>
        <v>0</v>
      </c>
      <c r="W160" s="178">
        <f>+SUMIF(B[Bene],Assegnazione[[#This Row],[Bene]],B[Imposta di registro in misura fissa agevolata])*Assegnazione[[#This Row],[Quota di assegnazione]]</f>
        <v>0</v>
      </c>
      <c r="X160" s="178">
        <f>+SUMIF(B[Bene],Assegnazione[[#This Row],[Bene]],B[Imposta di registro prop. Agevolata])*Assegnazione[[#This Row],[Quota di assegnazione]]</f>
        <v>0</v>
      </c>
      <c r="Y160" s="178">
        <f>+IFERROR(Assegnazione[[#This Row],[Imposta di registro in misura fissa]]+Assegnazione[[#This Row],[Imposta di registro prop.]],"")</f>
        <v>0</v>
      </c>
      <c r="Z160" s="178">
        <f>+SUMIF(B[Bene],Assegnazione[[#This Row],[Bene]],B[Ipotecaria catastale agevolata])*Assegnazione[[#This Row],[Quota di assegnazione]]</f>
        <v>0</v>
      </c>
    </row>
    <row r="161" spans="1:26" x14ac:dyDescent="0.2">
      <c r="A161" s="126"/>
      <c r="B161" s="135"/>
      <c r="C161" s="126"/>
      <c r="D161" s="175">
        <f>+SUMIF(B[Bene],Assegnazione[[#This Row],[Bene]],B[Imponibile Iva])*Assegnazione[[#This Row],[Quota di assegnazione]]</f>
        <v>0</v>
      </c>
      <c r="E161" s="175">
        <f>+SUMIF(B[Bene],Assegnazione[[#This Row],[Bene]],B[Valore inserito manualmente])*Assegnazione[[#This Row],[Quota di assegnazione]]</f>
        <v>0</v>
      </c>
      <c r="F161" s="176" t="str">
        <f>+IF(A161="","",VLOOKUP(Assegnazione[[#This Row],[Bene]],B[],3,0))</f>
        <v/>
      </c>
      <c r="G161" s="132" t="str">
        <f>+IFERROR(VLOOKUP(Assegnazione[[#This Row],[Bene]],B[],MATCH("Agevolabile",Beni!$A$4:$AC$4,0),0)*VLOOKUP(Assegnazione[[#This Row],[Socio]],A_1[],8,0),"")</f>
        <v/>
      </c>
      <c r="H161" s="175">
        <f>+SUMIF(B[Bene],Assegnazione[[#This Row],[Bene]],B[Valore netto contabile fiscalmente riconosciuto])*Assegnazione[[#This Row],[Quota di assegnazione]]</f>
        <v>0</v>
      </c>
      <c r="I161" s="175">
        <f>+SUMIF(B[Bene],Assegnazione[[#This Row],[Bene]],B[Valore normale])*Assegnazione[[#This Row],[Quota di assegnazione]]</f>
        <v>0</v>
      </c>
      <c r="J161" s="177">
        <f>+IF(Assegnazione[[#This Row],[Bene]]="",0,SUMIF(Assegnazione[Socio],Assegnazione[[#This Row],[Socio]],Assegnazione[Valore Normale])/$I$3)</f>
        <v>0</v>
      </c>
      <c r="K161" s="177" t="str">
        <f>IF(Assegnazione[[#This Row],[Bene]]="","",SUMIF(A_1[Nome],Assegnazione[[#This Row],[Socio]],A_1[Quota partecipazione al momento dell''operazione]))</f>
        <v/>
      </c>
      <c r="L161" s="175">
        <f>+SUMIF(B[Bene],Assegnazione[[#This Row],[Bene]],B[Valore catastale])*Assegnazione[[#This Row],[Quota di assegnazione]]</f>
        <v>0</v>
      </c>
      <c r="M1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5">
        <f>+MIN(Assegnazione[[#This Row],[Valore ai fini dell''atto]],Assegnazione[[#This Row],[Valore Fiscalmente riconosciuto]])</f>
        <v>0</v>
      </c>
      <c r="O161" s="149" t="str">
        <f>+IFERROR(VLOOKUP(Assegnazione[[#This Row],[Bene]],B[],MATCH($O$4,Beni!$A$4:$Z$4,0),0),"")</f>
        <v/>
      </c>
      <c r="P1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8">
        <f>+SUMIF(B[Bene],Assegnazione[[#This Row],[Bene]],B[Iva se dovuta])*Assegnazione[[#This Row],[Quota di assegnazione]]</f>
        <v>0</v>
      </c>
      <c r="S161" s="178">
        <f>+SUMIF(B[Bene],Assegnazione[[#This Row],[Bene]],B[Imposta di registro (fissa + prop) senza agevolazione])*Assegnazione[[#This Row],[Quota di assegnazione]]</f>
        <v>0</v>
      </c>
      <c r="T161" s="178">
        <f>+SUMIF(B[Bene],Assegnazione[[#This Row],[Bene]],B[Ipotecaria e catastale senza agevolazione])*Assegnazione[[#This Row],[Quota di assegnazione]]</f>
        <v>0</v>
      </c>
      <c r="U161" s="179">
        <f>+SUM(Assegnazione[[#This Row],[Tassazione diretta senza agevolazione]:[Ipotecaria e catastale senza agevolazione]])</f>
        <v>0</v>
      </c>
      <c r="V161" s="178">
        <f>+SUMIF(B[Bene],Assegnazione[[#This Row],[Bene]],B[Imponibile Imposta sostitutiva])*Assegnazione[[#This Row],[Quota di assegnazione]]*DATI!$E$27</f>
        <v>0</v>
      </c>
      <c r="W161" s="178">
        <f>+SUMIF(B[Bene],Assegnazione[[#This Row],[Bene]],B[Imposta di registro in misura fissa agevolata])*Assegnazione[[#This Row],[Quota di assegnazione]]</f>
        <v>0</v>
      </c>
      <c r="X161" s="178">
        <f>+SUMIF(B[Bene],Assegnazione[[#This Row],[Bene]],B[Imposta di registro prop. Agevolata])*Assegnazione[[#This Row],[Quota di assegnazione]]</f>
        <v>0</v>
      </c>
      <c r="Y161" s="178">
        <f>+IFERROR(Assegnazione[[#This Row],[Imposta di registro in misura fissa]]+Assegnazione[[#This Row],[Imposta di registro prop.]],"")</f>
        <v>0</v>
      </c>
      <c r="Z161" s="178">
        <f>+SUMIF(B[Bene],Assegnazione[[#This Row],[Bene]],B[Ipotecaria catastale agevolata])*Assegnazione[[#This Row],[Quota di assegnazione]]</f>
        <v>0</v>
      </c>
    </row>
    <row r="162" spans="1:26" x14ac:dyDescent="0.2">
      <c r="A162" s="126"/>
      <c r="B162" s="135"/>
      <c r="C162" s="126"/>
      <c r="D162" s="175">
        <f>+SUMIF(B[Bene],Assegnazione[[#This Row],[Bene]],B[Imponibile Iva])*Assegnazione[[#This Row],[Quota di assegnazione]]</f>
        <v>0</v>
      </c>
      <c r="E162" s="175">
        <f>+SUMIF(B[Bene],Assegnazione[[#This Row],[Bene]],B[Valore inserito manualmente])*Assegnazione[[#This Row],[Quota di assegnazione]]</f>
        <v>0</v>
      </c>
      <c r="F162" s="176" t="str">
        <f>+IF(A162="","",VLOOKUP(Assegnazione[[#This Row],[Bene]],B[],3,0))</f>
        <v/>
      </c>
      <c r="G162" s="132" t="str">
        <f>+IFERROR(VLOOKUP(Assegnazione[[#This Row],[Bene]],B[],MATCH("Agevolabile",Beni!$A$4:$AC$4,0),0)*VLOOKUP(Assegnazione[[#This Row],[Socio]],A_1[],8,0),"")</f>
        <v/>
      </c>
      <c r="H162" s="175">
        <f>+SUMIF(B[Bene],Assegnazione[[#This Row],[Bene]],B[Valore netto contabile fiscalmente riconosciuto])*Assegnazione[[#This Row],[Quota di assegnazione]]</f>
        <v>0</v>
      </c>
      <c r="I162" s="175">
        <f>+SUMIF(B[Bene],Assegnazione[[#This Row],[Bene]],B[Valore normale])*Assegnazione[[#This Row],[Quota di assegnazione]]</f>
        <v>0</v>
      </c>
      <c r="J162" s="177">
        <f>+IF(Assegnazione[[#This Row],[Bene]]="",0,SUMIF(Assegnazione[Socio],Assegnazione[[#This Row],[Socio]],Assegnazione[Valore Normale])/$I$3)</f>
        <v>0</v>
      </c>
      <c r="K162" s="177" t="str">
        <f>IF(Assegnazione[[#This Row],[Bene]]="","",SUMIF(A_1[Nome],Assegnazione[[#This Row],[Socio]],A_1[Quota partecipazione al momento dell''operazione]))</f>
        <v/>
      </c>
      <c r="L162" s="175">
        <f>+SUMIF(B[Bene],Assegnazione[[#This Row],[Bene]],B[Valore catastale])*Assegnazione[[#This Row],[Quota di assegnazione]]</f>
        <v>0</v>
      </c>
      <c r="M1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5">
        <f>+MIN(Assegnazione[[#This Row],[Valore ai fini dell''atto]],Assegnazione[[#This Row],[Valore Fiscalmente riconosciuto]])</f>
        <v>0</v>
      </c>
      <c r="O162" s="149" t="str">
        <f>+IFERROR(VLOOKUP(Assegnazione[[#This Row],[Bene]],B[],MATCH($O$4,Beni!$A$4:$Z$4,0),0),"")</f>
        <v/>
      </c>
      <c r="P1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8">
        <f>+SUMIF(B[Bene],Assegnazione[[#This Row],[Bene]],B[Iva se dovuta])*Assegnazione[[#This Row],[Quota di assegnazione]]</f>
        <v>0</v>
      </c>
      <c r="S162" s="178">
        <f>+SUMIF(B[Bene],Assegnazione[[#This Row],[Bene]],B[Imposta di registro (fissa + prop) senza agevolazione])*Assegnazione[[#This Row],[Quota di assegnazione]]</f>
        <v>0</v>
      </c>
      <c r="T162" s="178">
        <f>+SUMIF(B[Bene],Assegnazione[[#This Row],[Bene]],B[Ipotecaria e catastale senza agevolazione])*Assegnazione[[#This Row],[Quota di assegnazione]]</f>
        <v>0</v>
      </c>
      <c r="U162" s="179">
        <f>+SUM(Assegnazione[[#This Row],[Tassazione diretta senza agevolazione]:[Ipotecaria e catastale senza agevolazione]])</f>
        <v>0</v>
      </c>
      <c r="V162" s="178">
        <f>+SUMIF(B[Bene],Assegnazione[[#This Row],[Bene]],B[Imponibile Imposta sostitutiva])*Assegnazione[[#This Row],[Quota di assegnazione]]*DATI!$E$27</f>
        <v>0</v>
      </c>
      <c r="W162" s="178">
        <f>+SUMIF(B[Bene],Assegnazione[[#This Row],[Bene]],B[Imposta di registro in misura fissa agevolata])*Assegnazione[[#This Row],[Quota di assegnazione]]</f>
        <v>0</v>
      </c>
      <c r="X162" s="178">
        <f>+SUMIF(B[Bene],Assegnazione[[#This Row],[Bene]],B[Imposta di registro prop. Agevolata])*Assegnazione[[#This Row],[Quota di assegnazione]]</f>
        <v>0</v>
      </c>
      <c r="Y162" s="178">
        <f>+IFERROR(Assegnazione[[#This Row],[Imposta di registro in misura fissa]]+Assegnazione[[#This Row],[Imposta di registro prop.]],"")</f>
        <v>0</v>
      </c>
      <c r="Z162" s="178">
        <f>+SUMIF(B[Bene],Assegnazione[[#This Row],[Bene]],B[Ipotecaria catastale agevolata])*Assegnazione[[#This Row],[Quota di assegnazione]]</f>
        <v>0</v>
      </c>
    </row>
    <row r="163" spans="1:26" x14ac:dyDescent="0.2">
      <c r="A163" s="126"/>
      <c r="B163" s="135"/>
      <c r="C163" s="126"/>
      <c r="D163" s="175">
        <f>+SUMIF(B[Bene],Assegnazione[[#This Row],[Bene]],B[Imponibile Iva])*Assegnazione[[#This Row],[Quota di assegnazione]]</f>
        <v>0</v>
      </c>
      <c r="E163" s="175">
        <f>+SUMIF(B[Bene],Assegnazione[[#This Row],[Bene]],B[Valore inserito manualmente])*Assegnazione[[#This Row],[Quota di assegnazione]]</f>
        <v>0</v>
      </c>
      <c r="F163" s="176" t="str">
        <f>+IF(A163="","",VLOOKUP(Assegnazione[[#This Row],[Bene]],B[],3,0))</f>
        <v/>
      </c>
      <c r="G163" s="132" t="str">
        <f>+IFERROR(VLOOKUP(Assegnazione[[#This Row],[Bene]],B[],MATCH("Agevolabile",Beni!$A$4:$AC$4,0),0)*VLOOKUP(Assegnazione[[#This Row],[Socio]],A_1[],8,0),"")</f>
        <v/>
      </c>
      <c r="H163" s="175">
        <f>+SUMIF(B[Bene],Assegnazione[[#This Row],[Bene]],B[Valore netto contabile fiscalmente riconosciuto])*Assegnazione[[#This Row],[Quota di assegnazione]]</f>
        <v>0</v>
      </c>
      <c r="I163" s="175">
        <f>+SUMIF(B[Bene],Assegnazione[[#This Row],[Bene]],B[Valore normale])*Assegnazione[[#This Row],[Quota di assegnazione]]</f>
        <v>0</v>
      </c>
      <c r="J163" s="177">
        <f>+IF(Assegnazione[[#This Row],[Bene]]="",0,SUMIF(Assegnazione[Socio],Assegnazione[[#This Row],[Socio]],Assegnazione[Valore Normale])/$I$3)</f>
        <v>0</v>
      </c>
      <c r="K163" s="177" t="str">
        <f>IF(Assegnazione[[#This Row],[Bene]]="","",SUMIF(A_1[Nome],Assegnazione[[#This Row],[Socio]],A_1[Quota partecipazione al momento dell''operazione]))</f>
        <v/>
      </c>
      <c r="L163" s="175">
        <f>+SUMIF(B[Bene],Assegnazione[[#This Row],[Bene]],B[Valore catastale])*Assegnazione[[#This Row],[Quota di assegnazione]]</f>
        <v>0</v>
      </c>
      <c r="M1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5">
        <f>+MIN(Assegnazione[[#This Row],[Valore ai fini dell''atto]],Assegnazione[[#This Row],[Valore Fiscalmente riconosciuto]])</f>
        <v>0</v>
      </c>
      <c r="O163" s="149" t="str">
        <f>+IFERROR(VLOOKUP(Assegnazione[[#This Row],[Bene]],B[],MATCH($O$4,Beni!$A$4:$Z$4,0),0),"")</f>
        <v/>
      </c>
      <c r="P1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8">
        <f>+SUMIF(B[Bene],Assegnazione[[#This Row],[Bene]],B[Iva se dovuta])*Assegnazione[[#This Row],[Quota di assegnazione]]</f>
        <v>0</v>
      </c>
      <c r="S163" s="178">
        <f>+SUMIF(B[Bene],Assegnazione[[#This Row],[Bene]],B[Imposta di registro (fissa + prop) senza agevolazione])*Assegnazione[[#This Row],[Quota di assegnazione]]</f>
        <v>0</v>
      </c>
      <c r="T163" s="178">
        <f>+SUMIF(B[Bene],Assegnazione[[#This Row],[Bene]],B[Ipotecaria e catastale senza agevolazione])*Assegnazione[[#This Row],[Quota di assegnazione]]</f>
        <v>0</v>
      </c>
      <c r="U163" s="179">
        <f>+SUM(Assegnazione[[#This Row],[Tassazione diretta senza agevolazione]:[Ipotecaria e catastale senza agevolazione]])</f>
        <v>0</v>
      </c>
      <c r="V163" s="178">
        <f>+SUMIF(B[Bene],Assegnazione[[#This Row],[Bene]],B[Imponibile Imposta sostitutiva])*Assegnazione[[#This Row],[Quota di assegnazione]]*DATI!$E$27</f>
        <v>0</v>
      </c>
      <c r="W163" s="178">
        <f>+SUMIF(B[Bene],Assegnazione[[#This Row],[Bene]],B[Imposta di registro in misura fissa agevolata])*Assegnazione[[#This Row],[Quota di assegnazione]]</f>
        <v>0</v>
      </c>
      <c r="X163" s="178">
        <f>+SUMIF(B[Bene],Assegnazione[[#This Row],[Bene]],B[Imposta di registro prop. Agevolata])*Assegnazione[[#This Row],[Quota di assegnazione]]</f>
        <v>0</v>
      </c>
      <c r="Y163" s="178">
        <f>+IFERROR(Assegnazione[[#This Row],[Imposta di registro in misura fissa]]+Assegnazione[[#This Row],[Imposta di registro prop.]],"")</f>
        <v>0</v>
      </c>
      <c r="Z163" s="178">
        <f>+SUMIF(B[Bene],Assegnazione[[#This Row],[Bene]],B[Ipotecaria catastale agevolata])*Assegnazione[[#This Row],[Quota di assegnazione]]</f>
        <v>0</v>
      </c>
    </row>
    <row r="164" spans="1:26" x14ac:dyDescent="0.2">
      <c r="A164" s="126"/>
      <c r="B164" s="135"/>
      <c r="C164" s="126"/>
      <c r="D164" s="175">
        <f>+SUMIF(B[Bene],Assegnazione[[#This Row],[Bene]],B[Imponibile Iva])*Assegnazione[[#This Row],[Quota di assegnazione]]</f>
        <v>0</v>
      </c>
      <c r="E164" s="175">
        <f>+SUMIF(B[Bene],Assegnazione[[#This Row],[Bene]],B[Valore inserito manualmente])*Assegnazione[[#This Row],[Quota di assegnazione]]</f>
        <v>0</v>
      </c>
      <c r="F164" s="176" t="str">
        <f>+IF(A164="","",VLOOKUP(Assegnazione[[#This Row],[Bene]],B[],3,0))</f>
        <v/>
      </c>
      <c r="G164" s="132" t="str">
        <f>+IFERROR(VLOOKUP(Assegnazione[[#This Row],[Bene]],B[],MATCH("Agevolabile",Beni!$A$4:$AC$4,0),0)*VLOOKUP(Assegnazione[[#This Row],[Socio]],A_1[],8,0),"")</f>
        <v/>
      </c>
      <c r="H164" s="175">
        <f>+SUMIF(B[Bene],Assegnazione[[#This Row],[Bene]],B[Valore netto contabile fiscalmente riconosciuto])*Assegnazione[[#This Row],[Quota di assegnazione]]</f>
        <v>0</v>
      </c>
      <c r="I164" s="175">
        <f>+SUMIF(B[Bene],Assegnazione[[#This Row],[Bene]],B[Valore normale])*Assegnazione[[#This Row],[Quota di assegnazione]]</f>
        <v>0</v>
      </c>
      <c r="J164" s="177">
        <f>+IF(Assegnazione[[#This Row],[Bene]]="",0,SUMIF(Assegnazione[Socio],Assegnazione[[#This Row],[Socio]],Assegnazione[Valore Normale])/$I$3)</f>
        <v>0</v>
      </c>
      <c r="K164" s="177" t="str">
        <f>IF(Assegnazione[[#This Row],[Bene]]="","",SUMIF(A_1[Nome],Assegnazione[[#This Row],[Socio]],A_1[Quota partecipazione al momento dell''operazione]))</f>
        <v/>
      </c>
      <c r="L164" s="175">
        <f>+SUMIF(B[Bene],Assegnazione[[#This Row],[Bene]],B[Valore catastale])*Assegnazione[[#This Row],[Quota di assegnazione]]</f>
        <v>0</v>
      </c>
      <c r="M1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5">
        <f>+MIN(Assegnazione[[#This Row],[Valore ai fini dell''atto]],Assegnazione[[#This Row],[Valore Fiscalmente riconosciuto]])</f>
        <v>0</v>
      </c>
      <c r="O164" s="149" t="str">
        <f>+IFERROR(VLOOKUP(Assegnazione[[#This Row],[Bene]],B[],MATCH($O$4,Beni!$A$4:$Z$4,0),0),"")</f>
        <v/>
      </c>
      <c r="P1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8">
        <f>+SUMIF(B[Bene],Assegnazione[[#This Row],[Bene]],B[Iva se dovuta])*Assegnazione[[#This Row],[Quota di assegnazione]]</f>
        <v>0</v>
      </c>
      <c r="S164" s="178">
        <f>+SUMIF(B[Bene],Assegnazione[[#This Row],[Bene]],B[Imposta di registro (fissa + prop) senza agevolazione])*Assegnazione[[#This Row],[Quota di assegnazione]]</f>
        <v>0</v>
      </c>
      <c r="T164" s="178">
        <f>+SUMIF(B[Bene],Assegnazione[[#This Row],[Bene]],B[Ipotecaria e catastale senza agevolazione])*Assegnazione[[#This Row],[Quota di assegnazione]]</f>
        <v>0</v>
      </c>
      <c r="U164" s="179">
        <f>+SUM(Assegnazione[[#This Row],[Tassazione diretta senza agevolazione]:[Ipotecaria e catastale senza agevolazione]])</f>
        <v>0</v>
      </c>
      <c r="V164" s="178">
        <f>+SUMIF(B[Bene],Assegnazione[[#This Row],[Bene]],B[Imponibile Imposta sostitutiva])*Assegnazione[[#This Row],[Quota di assegnazione]]*DATI!$E$27</f>
        <v>0</v>
      </c>
      <c r="W164" s="178">
        <f>+SUMIF(B[Bene],Assegnazione[[#This Row],[Bene]],B[Imposta di registro in misura fissa agevolata])*Assegnazione[[#This Row],[Quota di assegnazione]]</f>
        <v>0</v>
      </c>
      <c r="X164" s="178">
        <f>+SUMIF(B[Bene],Assegnazione[[#This Row],[Bene]],B[Imposta di registro prop. Agevolata])*Assegnazione[[#This Row],[Quota di assegnazione]]</f>
        <v>0</v>
      </c>
      <c r="Y164" s="178">
        <f>+IFERROR(Assegnazione[[#This Row],[Imposta di registro in misura fissa]]+Assegnazione[[#This Row],[Imposta di registro prop.]],"")</f>
        <v>0</v>
      </c>
      <c r="Z164" s="178">
        <f>+SUMIF(B[Bene],Assegnazione[[#This Row],[Bene]],B[Ipotecaria catastale agevolata])*Assegnazione[[#This Row],[Quota di assegnazione]]</f>
        <v>0</v>
      </c>
    </row>
    <row r="165" spans="1:26" x14ac:dyDescent="0.2">
      <c r="A165" s="126"/>
      <c r="B165" s="135"/>
      <c r="C165" s="126"/>
      <c r="D165" s="175">
        <f>+SUMIF(B[Bene],Assegnazione[[#This Row],[Bene]],B[Imponibile Iva])*Assegnazione[[#This Row],[Quota di assegnazione]]</f>
        <v>0</v>
      </c>
      <c r="E165" s="175">
        <f>+SUMIF(B[Bene],Assegnazione[[#This Row],[Bene]],B[Valore inserito manualmente])*Assegnazione[[#This Row],[Quota di assegnazione]]</f>
        <v>0</v>
      </c>
      <c r="F165" s="176" t="str">
        <f>+IF(A165="","",VLOOKUP(Assegnazione[[#This Row],[Bene]],B[],3,0))</f>
        <v/>
      </c>
      <c r="G165" s="132" t="str">
        <f>+IFERROR(VLOOKUP(Assegnazione[[#This Row],[Bene]],B[],MATCH("Agevolabile",Beni!$A$4:$AC$4,0),0)*VLOOKUP(Assegnazione[[#This Row],[Socio]],A_1[],8,0),"")</f>
        <v/>
      </c>
      <c r="H165" s="175">
        <f>+SUMIF(B[Bene],Assegnazione[[#This Row],[Bene]],B[Valore netto contabile fiscalmente riconosciuto])*Assegnazione[[#This Row],[Quota di assegnazione]]</f>
        <v>0</v>
      </c>
      <c r="I165" s="175">
        <f>+SUMIF(B[Bene],Assegnazione[[#This Row],[Bene]],B[Valore normale])*Assegnazione[[#This Row],[Quota di assegnazione]]</f>
        <v>0</v>
      </c>
      <c r="J165" s="177">
        <f>+IF(Assegnazione[[#This Row],[Bene]]="",0,SUMIF(Assegnazione[Socio],Assegnazione[[#This Row],[Socio]],Assegnazione[Valore Normale])/$I$3)</f>
        <v>0</v>
      </c>
      <c r="K165" s="177" t="str">
        <f>IF(Assegnazione[[#This Row],[Bene]]="","",SUMIF(A_1[Nome],Assegnazione[[#This Row],[Socio]],A_1[Quota partecipazione al momento dell''operazione]))</f>
        <v/>
      </c>
      <c r="L165" s="175">
        <f>+SUMIF(B[Bene],Assegnazione[[#This Row],[Bene]],B[Valore catastale])*Assegnazione[[#This Row],[Quota di assegnazione]]</f>
        <v>0</v>
      </c>
      <c r="M1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5">
        <f>+MIN(Assegnazione[[#This Row],[Valore ai fini dell''atto]],Assegnazione[[#This Row],[Valore Fiscalmente riconosciuto]])</f>
        <v>0</v>
      </c>
      <c r="O165" s="149" t="str">
        <f>+IFERROR(VLOOKUP(Assegnazione[[#This Row],[Bene]],B[],MATCH($O$4,Beni!$A$4:$Z$4,0),0),"")</f>
        <v/>
      </c>
      <c r="P1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8">
        <f>+SUMIF(B[Bene],Assegnazione[[#This Row],[Bene]],B[Iva se dovuta])*Assegnazione[[#This Row],[Quota di assegnazione]]</f>
        <v>0</v>
      </c>
      <c r="S165" s="178">
        <f>+SUMIF(B[Bene],Assegnazione[[#This Row],[Bene]],B[Imposta di registro (fissa + prop) senza agevolazione])*Assegnazione[[#This Row],[Quota di assegnazione]]</f>
        <v>0</v>
      </c>
      <c r="T165" s="178">
        <f>+SUMIF(B[Bene],Assegnazione[[#This Row],[Bene]],B[Ipotecaria e catastale senza agevolazione])*Assegnazione[[#This Row],[Quota di assegnazione]]</f>
        <v>0</v>
      </c>
      <c r="U165" s="179">
        <f>+SUM(Assegnazione[[#This Row],[Tassazione diretta senza agevolazione]:[Ipotecaria e catastale senza agevolazione]])</f>
        <v>0</v>
      </c>
      <c r="V165" s="178">
        <f>+SUMIF(B[Bene],Assegnazione[[#This Row],[Bene]],B[Imponibile Imposta sostitutiva])*Assegnazione[[#This Row],[Quota di assegnazione]]*DATI!$E$27</f>
        <v>0</v>
      </c>
      <c r="W165" s="178">
        <f>+SUMIF(B[Bene],Assegnazione[[#This Row],[Bene]],B[Imposta di registro in misura fissa agevolata])*Assegnazione[[#This Row],[Quota di assegnazione]]</f>
        <v>0</v>
      </c>
      <c r="X165" s="178">
        <f>+SUMIF(B[Bene],Assegnazione[[#This Row],[Bene]],B[Imposta di registro prop. Agevolata])*Assegnazione[[#This Row],[Quota di assegnazione]]</f>
        <v>0</v>
      </c>
      <c r="Y165" s="178">
        <f>+IFERROR(Assegnazione[[#This Row],[Imposta di registro in misura fissa]]+Assegnazione[[#This Row],[Imposta di registro prop.]],"")</f>
        <v>0</v>
      </c>
      <c r="Z165" s="178">
        <f>+SUMIF(B[Bene],Assegnazione[[#This Row],[Bene]],B[Ipotecaria catastale agevolata])*Assegnazione[[#This Row],[Quota di assegnazione]]</f>
        <v>0</v>
      </c>
    </row>
    <row r="166" spans="1:26" x14ac:dyDescent="0.2">
      <c r="A166" s="126"/>
      <c r="B166" s="135"/>
      <c r="C166" s="126"/>
      <c r="D166" s="175">
        <f>+SUMIF(B[Bene],Assegnazione[[#This Row],[Bene]],B[Imponibile Iva])*Assegnazione[[#This Row],[Quota di assegnazione]]</f>
        <v>0</v>
      </c>
      <c r="E166" s="175">
        <f>+SUMIF(B[Bene],Assegnazione[[#This Row],[Bene]],B[Valore inserito manualmente])*Assegnazione[[#This Row],[Quota di assegnazione]]</f>
        <v>0</v>
      </c>
      <c r="F166" s="176" t="str">
        <f>+IF(A166="","",VLOOKUP(Assegnazione[[#This Row],[Bene]],B[],3,0))</f>
        <v/>
      </c>
      <c r="G166" s="132" t="str">
        <f>+IFERROR(VLOOKUP(Assegnazione[[#This Row],[Bene]],B[],MATCH("Agevolabile",Beni!$A$4:$AC$4,0),0)*VLOOKUP(Assegnazione[[#This Row],[Socio]],A_1[],8,0),"")</f>
        <v/>
      </c>
      <c r="H166" s="175">
        <f>+SUMIF(B[Bene],Assegnazione[[#This Row],[Bene]],B[Valore netto contabile fiscalmente riconosciuto])*Assegnazione[[#This Row],[Quota di assegnazione]]</f>
        <v>0</v>
      </c>
      <c r="I166" s="175">
        <f>+SUMIF(B[Bene],Assegnazione[[#This Row],[Bene]],B[Valore normale])*Assegnazione[[#This Row],[Quota di assegnazione]]</f>
        <v>0</v>
      </c>
      <c r="J166" s="177">
        <f>+IF(Assegnazione[[#This Row],[Bene]]="",0,SUMIF(Assegnazione[Socio],Assegnazione[[#This Row],[Socio]],Assegnazione[Valore Normale])/$I$3)</f>
        <v>0</v>
      </c>
      <c r="K166" s="177" t="str">
        <f>IF(Assegnazione[[#This Row],[Bene]]="","",SUMIF(A_1[Nome],Assegnazione[[#This Row],[Socio]],A_1[Quota partecipazione al momento dell''operazione]))</f>
        <v/>
      </c>
      <c r="L166" s="175">
        <f>+SUMIF(B[Bene],Assegnazione[[#This Row],[Bene]],B[Valore catastale])*Assegnazione[[#This Row],[Quota di assegnazione]]</f>
        <v>0</v>
      </c>
      <c r="M1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5">
        <f>+MIN(Assegnazione[[#This Row],[Valore ai fini dell''atto]],Assegnazione[[#This Row],[Valore Fiscalmente riconosciuto]])</f>
        <v>0</v>
      </c>
      <c r="O166" s="149" t="str">
        <f>+IFERROR(VLOOKUP(Assegnazione[[#This Row],[Bene]],B[],MATCH($O$4,Beni!$A$4:$Z$4,0),0),"")</f>
        <v/>
      </c>
      <c r="P1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8">
        <f>+SUMIF(B[Bene],Assegnazione[[#This Row],[Bene]],B[Iva se dovuta])*Assegnazione[[#This Row],[Quota di assegnazione]]</f>
        <v>0</v>
      </c>
      <c r="S166" s="178">
        <f>+SUMIF(B[Bene],Assegnazione[[#This Row],[Bene]],B[Imposta di registro (fissa + prop) senza agevolazione])*Assegnazione[[#This Row],[Quota di assegnazione]]</f>
        <v>0</v>
      </c>
      <c r="T166" s="178">
        <f>+SUMIF(B[Bene],Assegnazione[[#This Row],[Bene]],B[Ipotecaria e catastale senza agevolazione])*Assegnazione[[#This Row],[Quota di assegnazione]]</f>
        <v>0</v>
      </c>
      <c r="U166" s="179">
        <f>+SUM(Assegnazione[[#This Row],[Tassazione diretta senza agevolazione]:[Ipotecaria e catastale senza agevolazione]])</f>
        <v>0</v>
      </c>
      <c r="V166" s="178">
        <f>+SUMIF(B[Bene],Assegnazione[[#This Row],[Bene]],B[Imponibile Imposta sostitutiva])*Assegnazione[[#This Row],[Quota di assegnazione]]*DATI!$E$27</f>
        <v>0</v>
      </c>
      <c r="W166" s="178">
        <f>+SUMIF(B[Bene],Assegnazione[[#This Row],[Bene]],B[Imposta di registro in misura fissa agevolata])*Assegnazione[[#This Row],[Quota di assegnazione]]</f>
        <v>0</v>
      </c>
      <c r="X166" s="178">
        <f>+SUMIF(B[Bene],Assegnazione[[#This Row],[Bene]],B[Imposta di registro prop. Agevolata])*Assegnazione[[#This Row],[Quota di assegnazione]]</f>
        <v>0</v>
      </c>
      <c r="Y166" s="178">
        <f>+IFERROR(Assegnazione[[#This Row],[Imposta di registro in misura fissa]]+Assegnazione[[#This Row],[Imposta di registro prop.]],"")</f>
        <v>0</v>
      </c>
      <c r="Z166" s="178">
        <f>+SUMIF(B[Bene],Assegnazione[[#This Row],[Bene]],B[Ipotecaria catastale agevolata])*Assegnazione[[#This Row],[Quota di assegnazione]]</f>
        <v>0</v>
      </c>
    </row>
    <row r="167" spans="1:26" x14ac:dyDescent="0.2">
      <c r="A167" s="126"/>
      <c r="B167" s="135"/>
      <c r="C167" s="126"/>
      <c r="D167" s="175">
        <f>+SUMIF(B[Bene],Assegnazione[[#This Row],[Bene]],B[Imponibile Iva])*Assegnazione[[#This Row],[Quota di assegnazione]]</f>
        <v>0</v>
      </c>
      <c r="E167" s="175">
        <f>+SUMIF(B[Bene],Assegnazione[[#This Row],[Bene]],B[Valore inserito manualmente])*Assegnazione[[#This Row],[Quota di assegnazione]]</f>
        <v>0</v>
      </c>
      <c r="F167" s="176" t="str">
        <f>+IF(A167="","",VLOOKUP(Assegnazione[[#This Row],[Bene]],B[],3,0))</f>
        <v/>
      </c>
      <c r="G167" s="132" t="str">
        <f>+IFERROR(VLOOKUP(Assegnazione[[#This Row],[Bene]],B[],MATCH("Agevolabile",Beni!$A$4:$AC$4,0),0)*VLOOKUP(Assegnazione[[#This Row],[Socio]],A_1[],8,0),"")</f>
        <v/>
      </c>
      <c r="H167" s="175">
        <f>+SUMIF(B[Bene],Assegnazione[[#This Row],[Bene]],B[Valore netto contabile fiscalmente riconosciuto])*Assegnazione[[#This Row],[Quota di assegnazione]]</f>
        <v>0</v>
      </c>
      <c r="I167" s="175">
        <f>+SUMIF(B[Bene],Assegnazione[[#This Row],[Bene]],B[Valore normale])*Assegnazione[[#This Row],[Quota di assegnazione]]</f>
        <v>0</v>
      </c>
      <c r="J167" s="177">
        <f>+IF(Assegnazione[[#This Row],[Bene]]="",0,SUMIF(Assegnazione[Socio],Assegnazione[[#This Row],[Socio]],Assegnazione[Valore Normale])/$I$3)</f>
        <v>0</v>
      </c>
      <c r="K167" s="177" t="str">
        <f>IF(Assegnazione[[#This Row],[Bene]]="","",SUMIF(A_1[Nome],Assegnazione[[#This Row],[Socio]],A_1[Quota partecipazione al momento dell''operazione]))</f>
        <v/>
      </c>
      <c r="L167" s="175">
        <f>+SUMIF(B[Bene],Assegnazione[[#This Row],[Bene]],B[Valore catastale])*Assegnazione[[#This Row],[Quota di assegnazione]]</f>
        <v>0</v>
      </c>
      <c r="M1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5">
        <f>+MIN(Assegnazione[[#This Row],[Valore ai fini dell''atto]],Assegnazione[[#This Row],[Valore Fiscalmente riconosciuto]])</f>
        <v>0</v>
      </c>
      <c r="O167" s="149" t="str">
        <f>+IFERROR(VLOOKUP(Assegnazione[[#This Row],[Bene]],B[],MATCH($O$4,Beni!$A$4:$Z$4,0),0),"")</f>
        <v/>
      </c>
      <c r="P1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8">
        <f>+SUMIF(B[Bene],Assegnazione[[#This Row],[Bene]],B[Iva se dovuta])*Assegnazione[[#This Row],[Quota di assegnazione]]</f>
        <v>0</v>
      </c>
      <c r="S167" s="178">
        <f>+SUMIF(B[Bene],Assegnazione[[#This Row],[Bene]],B[Imposta di registro (fissa + prop) senza agevolazione])*Assegnazione[[#This Row],[Quota di assegnazione]]</f>
        <v>0</v>
      </c>
      <c r="T167" s="178">
        <f>+SUMIF(B[Bene],Assegnazione[[#This Row],[Bene]],B[Ipotecaria e catastale senza agevolazione])*Assegnazione[[#This Row],[Quota di assegnazione]]</f>
        <v>0</v>
      </c>
      <c r="U167" s="179">
        <f>+SUM(Assegnazione[[#This Row],[Tassazione diretta senza agevolazione]:[Ipotecaria e catastale senza agevolazione]])</f>
        <v>0</v>
      </c>
      <c r="V167" s="178">
        <f>+SUMIF(B[Bene],Assegnazione[[#This Row],[Bene]],B[Imponibile Imposta sostitutiva])*Assegnazione[[#This Row],[Quota di assegnazione]]*DATI!$E$27</f>
        <v>0</v>
      </c>
      <c r="W167" s="178">
        <f>+SUMIF(B[Bene],Assegnazione[[#This Row],[Bene]],B[Imposta di registro in misura fissa agevolata])*Assegnazione[[#This Row],[Quota di assegnazione]]</f>
        <v>0</v>
      </c>
      <c r="X167" s="178">
        <f>+SUMIF(B[Bene],Assegnazione[[#This Row],[Bene]],B[Imposta di registro prop. Agevolata])*Assegnazione[[#This Row],[Quota di assegnazione]]</f>
        <v>0</v>
      </c>
      <c r="Y167" s="178">
        <f>+IFERROR(Assegnazione[[#This Row],[Imposta di registro in misura fissa]]+Assegnazione[[#This Row],[Imposta di registro prop.]],"")</f>
        <v>0</v>
      </c>
      <c r="Z167" s="178">
        <f>+SUMIF(B[Bene],Assegnazione[[#This Row],[Bene]],B[Ipotecaria catastale agevolata])*Assegnazione[[#This Row],[Quota di assegnazione]]</f>
        <v>0</v>
      </c>
    </row>
    <row r="168" spans="1:26" x14ac:dyDescent="0.2">
      <c r="A168" s="126"/>
      <c r="B168" s="135"/>
      <c r="C168" s="126"/>
      <c r="D168" s="175">
        <f>+SUMIF(B[Bene],Assegnazione[[#This Row],[Bene]],B[Imponibile Iva])*Assegnazione[[#This Row],[Quota di assegnazione]]</f>
        <v>0</v>
      </c>
      <c r="E168" s="175">
        <f>+SUMIF(B[Bene],Assegnazione[[#This Row],[Bene]],B[Valore inserito manualmente])*Assegnazione[[#This Row],[Quota di assegnazione]]</f>
        <v>0</v>
      </c>
      <c r="F168" s="176" t="str">
        <f>+IF(A168="","",VLOOKUP(Assegnazione[[#This Row],[Bene]],B[],3,0))</f>
        <v/>
      </c>
      <c r="G168" s="132" t="str">
        <f>+IFERROR(VLOOKUP(Assegnazione[[#This Row],[Bene]],B[],MATCH("Agevolabile",Beni!$A$4:$AC$4,0),0)*VLOOKUP(Assegnazione[[#This Row],[Socio]],A_1[],8,0),"")</f>
        <v/>
      </c>
      <c r="H168" s="175">
        <f>+SUMIF(B[Bene],Assegnazione[[#This Row],[Bene]],B[Valore netto contabile fiscalmente riconosciuto])*Assegnazione[[#This Row],[Quota di assegnazione]]</f>
        <v>0</v>
      </c>
      <c r="I168" s="175">
        <f>+SUMIF(B[Bene],Assegnazione[[#This Row],[Bene]],B[Valore normale])*Assegnazione[[#This Row],[Quota di assegnazione]]</f>
        <v>0</v>
      </c>
      <c r="J168" s="177">
        <f>+IF(Assegnazione[[#This Row],[Bene]]="",0,SUMIF(Assegnazione[Socio],Assegnazione[[#This Row],[Socio]],Assegnazione[Valore Normale])/$I$3)</f>
        <v>0</v>
      </c>
      <c r="K168" s="177" t="str">
        <f>IF(Assegnazione[[#This Row],[Bene]]="","",SUMIF(A_1[Nome],Assegnazione[[#This Row],[Socio]],A_1[Quota partecipazione al momento dell''operazione]))</f>
        <v/>
      </c>
      <c r="L168" s="175">
        <f>+SUMIF(B[Bene],Assegnazione[[#This Row],[Bene]],B[Valore catastale])*Assegnazione[[#This Row],[Quota di assegnazione]]</f>
        <v>0</v>
      </c>
      <c r="M1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5">
        <f>+MIN(Assegnazione[[#This Row],[Valore ai fini dell''atto]],Assegnazione[[#This Row],[Valore Fiscalmente riconosciuto]])</f>
        <v>0</v>
      </c>
      <c r="O168" s="149" t="str">
        <f>+IFERROR(VLOOKUP(Assegnazione[[#This Row],[Bene]],B[],MATCH($O$4,Beni!$A$4:$Z$4,0),0),"")</f>
        <v/>
      </c>
      <c r="P1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8">
        <f>+SUMIF(B[Bene],Assegnazione[[#This Row],[Bene]],B[Iva se dovuta])*Assegnazione[[#This Row],[Quota di assegnazione]]</f>
        <v>0</v>
      </c>
      <c r="S168" s="178">
        <f>+SUMIF(B[Bene],Assegnazione[[#This Row],[Bene]],B[Imposta di registro (fissa + prop) senza agevolazione])*Assegnazione[[#This Row],[Quota di assegnazione]]</f>
        <v>0</v>
      </c>
      <c r="T168" s="178">
        <f>+SUMIF(B[Bene],Assegnazione[[#This Row],[Bene]],B[Ipotecaria e catastale senza agevolazione])*Assegnazione[[#This Row],[Quota di assegnazione]]</f>
        <v>0</v>
      </c>
      <c r="U168" s="179">
        <f>+SUM(Assegnazione[[#This Row],[Tassazione diretta senza agevolazione]:[Ipotecaria e catastale senza agevolazione]])</f>
        <v>0</v>
      </c>
      <c r="V168" s="178">
        <f>+SUMIF(B[Bene],Assegnazione[[#This Row],[Bene]],B[Imponibile Imposta sostitutiva])*Assegnazione[[#This Row],[Quota di assegnazione]]*DATI!$E$27</f>
        <v>0</v>
      </c>
      <c r="W168" s="178">
        <f>+SUMIF(B[Bene],Assegnazione[[#This Row],[Bene]],B[Imposta di registro in misura fissa agevolata])*Assegnazione[[#This Row],[Quota di assegnazione]]</f>
        <v>0</v>
      </c>
      <c r="X168" s="178">
        <f>+SUMIF(B[Bene],Assegnazione[[#This Row],[Bene]],B[Imposta di registro prop. Agevolata])*Assegnazione[[#This Row],[Quota di assegnazione]]</f>
        <v>0</v>
      </c>
      <c r="Y168" s="178">
        <f>+IFERROR(Assegnazione[[#This Row],[Imposta di registro in misura fissa]]+Assegnazione[[#This Row],[Imposta di registro prop.]],"")</f>
        <v>0</v>
      </c>
      <c r="Z168" s="178">
        <f>+SUMIF(B[Bene],Assegnazione[[#This Row],[Bene]],B[Ipotecaria catastale agevolata])*Assegnazione[[#This Row],[Quota di assegnazione]]</f>
        <v>0</v>
      </c>
    </row>
    <row r="169" spans="1:26" x14ac:dyDescent="0.2">
      <c r="A169" s="126"/>
      <c r="B169" s="135"/>
      <c r="C169" s="126"/>
      <c r="D169" s="175">
        <f>+SUMIF(B[Bene],Assegnazione[[#This Row],[Bene]],B[Imponibile Iva])*Assegnazione[[#This Row],[Quota di assegnazione]]</f>
        <v>0</v>
      </c>
      <c r="E169" s="175">
        <f>+SUMIF(B[Bene],Assegnazione[[#This Row],[Bene]],B[Valore inserito manualmente])*Assegnazione[[#This Row],[Quota di assegnazione]]</f>
        <v>0</v>
      </c>
      <c r="F169" s="176" t="str">
        <f>+IF(A169="","",VLOOKUP(Assegnazione[[#This Row],[Bene]],B[],3,0))</f>
        <v/>
      </c>
      <c r="G169" s="132" t="str">
        <f>+IFERROR(VLOOKUP(Assegnazione[[#This Row],[Bene]],B[],MATCH("Agevolabile",Beni!$A$4:$AC$4,0),0)*VLOOKUP(Assegnazione[[#This Row],[Socio]],A_1[],8,0),"")</f>
        <v/>
      </c>
      <c r="H169" s="175">
        <f>+SUMIF(B[Bene],Assegnazione[[#This Row],[Bene]],B[Valore netto contabile fiscalmente riconosciuto])*Assegnazione[[#This Row],[Quota di assegnazione]]</f>
        <v>0</v>
      </c>
      <c r="I169" s="175">
        <f>+SUMIF(B[Bene],Assegnazione[[#This Row],[Bene]],B[Valore normale])*Assegnazione[[#This Row],[Quota di assegnazione]]</f>
        <v>0</v>
      </c>
      <c r="J169" s="177">
        <f>+IF(Assegnazione[[#This Row],[Bene]]="",0,SUMIF(Assegnazione[Socio],Assegnazione[[#This Row],[Socio]],Assegnazione[Valore Normale])/$I$3)</f>
        <v>0</v>
      </c>
      <c r="K169" s="177" t="str">
        <f>IF(Assegnazione[[#This Row],[Bene]]="","",SUMIF(A_1[Nome],Assegnazione[[#This Row],[Socio]],A_1[Quota partecipazione al momento dell''operazione]))</f>
        <v/>
      </c>
      <c r="L169" s="175">
        <f>+SUMIF(B[Bene],Assegnazione[[#This Row],[Bene]],B[Valore catastale])*Assegnazione[[#This Row],[Quota di assegnazione]]</f>
        <v>0</v>
      </c>
      <c r="M1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5">
        <f>+MIN(Assegnazione[[#This Row],[Valore ai fini dell''atto]],Assegnazione[[#This Row],[Valore Fiscalmente riconosciuto]])</f>
        <v>0</v>
      </c>
      <c r="O169" s="149" t="str">
        <f>+IFERROR(VLOOKUP(Assegnazione[[#This Row],[Bene]],B[],MATCH($O$4,Beni!$A$4:$Z$4,0),0),"")</f>
        <v/>
      </c>
      <c r="P1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8">
        <f>+SUMIF(B[Bene],Assegnazione[[#This Row],[Bene]],B[Iva se dovuta])*Assegnazione[[#This Row],[Quota di assegnazione]]</f>
        <v>0</v>
      </c>
      <c r="S169" s="178">
        <f>+SUMIF(B[Bene],Assegnazione[[#This Row],[Bene]],B[Imposta di registro (fissa + prop) senza agevolazione])*Assegnazione[[#This Row],[Quota di assegnazione]]</f>
        <v>0</v>
      </c>
      <c r="T169" s="178">
        <f>+SUMIF(B[Bene],Assegnazione[[#This Row],[Bene]],B[Ipotecaria e catastale senza agevolazione])*Assegnazione[[#This Row],[Quota di assegnazione]]</f>
        <v>0</v>
      </c>
      <c r="U169" s="179">
        <f>+SUM(Assegnazione[[#This Row],[Tassazione diretta senza agevolazione]:[Ipotecaria e catastale senza agevolazione]])</f>
        <v>0</v>
      </c>
      <c r="V169" s="178">
        <f>+SUMIF(B[Bene],Assegnazione[[#This Row],[Bene]],B[Imponibile Imposta sostitutiva])*Assegnazione[[#This Row],[Quota di assegnazione]]*DATI!$E$27</f>
        <v>0</v>
      </c>
      <c r="W169" s="178">
        <f>+SUMIF(B[Bene],Assegnazione[[#This Row],[Bene]],B[Imposta di registro in misura fissa agevolata])*Assegnazione[[#This Row],[Quota di assegnazione]]</f>
        <v>0</v>
      </c>
      <c r="X169" s="178">
        <f>+SUMIF(B[Bene],Assegnazione[[#This Row],[Bene]],B[Imposta di registro prop. Agevolata])*Assegnazione[[#This Row],[Quota di assegnazione]]</f>
        <v>0</v>
      </c>
      <c r="Y169" s="178">
        <f>+IFERROR(Assegnazione[[#This Row],[Imposta di registro in misura fissa]]+Assegnazione[[#This Row],[Imposta di registro prop.]],"")</f>
        <v>0</v>
      </c>
      <c r="Z169" s="178">
        <f>+SUMIF(B[Bene],Assegnazione[[#This Row],[Bene]],B[Ipotecaria catastale agevolata])*Assegnazione[[#This Row],[Quota di assegnazione]]</f>
        <v>0</v>
      </c>
    </row>
    <row r="170" spans="1:26" x14ac:dyDescent="0.2">
      <c r="A170" s="126"/>
      <c r="B170" s="135"/>
      <c r="C170" s="126"/>
      <c r="D170" s="175">
        <f>+SUMIF(B[Bene],Assegnazione[[#This Row],[Bene]],B[Imponibile Iva])*Assegnazione[[#This Row],[Quota di assegnazione]]</f>
        <v>0</v>
      </c>
      <c r="E170" s="175">
        <f>+SUMIF(B[Bene],Assegnazione[[#This Row],[Bene]],B[Valore inserito manualmente])*Assegnazione[[#This Row],[Quota di assegnazione]]</f>
        <v>0</v>
      </c>
      <c r="F170" s="176" t="str">
        <f>+IF(A170="","",VLOOKUP(Assegnazione[[#This Row],[Bene]],B[],3,0))</f>
        <v/>
      </c>
      <c r="G170" s="132" t="str">
        <f>+IFERROR(VLOOKUP(Assegnazione[[#This Row],[Bene]],B[],MATCH("Agevolabile",Beni!$A$4:$AC$4,0),0)*VLOOKUP(Assegnazione[[#This Row],[Socio]],A_1[],8,0),"")</f>
        <v/>
      </c>
      <c r="H170" s="175">
        <f>+SUMIF(B[Bene],Assegnazione[[#This Row],[Bene]],B[Valore netto contabile fiscalmente riconosciuto])*Assegnazione[[#This Row],[Quota di assegnazione]]</f>
        <v>0</v>
      </c>
      <c r="I170" s="175">
        <f>+SUMIF(B[Bene],Assegnazione[[#This Row],[Bene]],B[Valore normale])*Assegnazione[[#This Row],[Quota di assegnazione]]</f>
        <v>0</v>
      </c>
      <c r="J170" s="177">
        <f>+IF(Assegnazione[[#This Row],[Bene]]="",0,SUMIF(Assegnazione[Socio],Assegnazione[[#This Row],[Socio]],Assegnazione[Valore Normale])/$I$3)</f>
        <v>0</v>
      </c>
      <c r="K170" s="177" t="str">
        <f>IF(Assegnazione[[#This Row],[Bene]]="","",SUMIF(A_1[Nome],Assegnazione[[#This Row],[Socio]],A_1[Quota partecipazione al momento dell''operazione]))</f>
        <v/>
      </c>
      <c r="L170" s="175">
        <f>+SUMIF(B[Bene],Assegnazione[[#This Row],[Bene]],B[Valore catastale])*Assegnazione[[#This Row],[Quota di assegnazione]]</f>
        <v>0</v>
      </c>
      <c r="M1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5">
        <f>+MIN(Assegnazione[[#This Row],[Valore ai fini dell''atto]],Assegnazione[[#This Row],[Valore Fiscalmente riconosciuto]])</f>
        <v>0</v>
      </c>
      <c r="O170" s="149" t="str">
        <f>+IFERROR(VLOOKUP(Assegnazione[[#This Row],[Bene]],B[],MATCH($O$4,Beni!$A$4:$Z$4,0),0),"")</f>
        <v/>
      </c>
      <c r="P1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8">
        <f>+SUMIF(B[Bene],Assegnazione[[#This Row],[Bene]],B[Iva se dovuta])*Assegnazione[[#This Row],[Quota di assegnazione]]</f>
        <v>0</v>
      </c>
      <c r="S170" s="178">
        <f>+SUMIF(B[Bene],Assegnazione[[#This Row],[Bene]],B[Imposta di registro (fissa + prop) senza agevolazione])*Assegnazione[[#This Row],[Quota di assegnazione]]</f>
        <v>0</v>
      </c>
      <c r="T170" s="178">
        <f>+SUMIF(B[Bene],Assegnazione[[#This Row],[Bene]],B[Ipotecaria e catastale senza agevolazione])*Assegnazione[[#This Row],[Quota di assegnazione]]</f>
        <v>0</v>
      </c>
      <c r="U170" s="179">
        <f>+SUM(Assegnazione[[#This Row],[Tassazione diretta senza agevolazione]:[Ipotecaria e catastale senza agevolazione]])</f>
        <v>0</v>
      </c>
      <c r="V170" s="178">
        <f>+SUMIF(B[Bene],Assegnazione[[#This Row],[Bene]],B[Imponibile Imposta sostitutiva])*Assegnazione[[#This Row],[Quota di assegnazione]]*DATI!$E$27</f>
        <v>0</v>
      </c>
      <c r="W170" s="178">
        <f>+SUMIF(B[Bene],Assegnazione[[#This Row],[Bene]],B[Imposta di registro in misura fissa agevolata])*Assegnazione[[#This Row],[Quota di assegnazione]]</f>
        <v>0</v>
      </c>
      <c r="X170" s="178">
        <f>+SUMIF(B[Bene],Assegnazione[[#This Row],[Bene]],B[Imposta di registro prop. Agevolata])*Assegnazione[[#This Row],[Quota di assegnazione]]</f>
        <v>0</v>
      </c>
      <c r="Y170" s="178">
        <f>+IFERROR(Assegnazione[[#This Row],[Imposta di registro in misura fissa]]+Assegnazione[[#This Row],[Imposta di registro prop.]],"")</f>
        <v>0</v>
      </c>
      <c r="Z170" s="178">
        <f>+SUMIF(B[Bene],Assegnazione[[#This Row],[Bene]],B[Ipotecaria catastale agevolata])*Assegnazione[[#This Row],[Quota di assegnazione]]</f>
        <v>0</v>
      </c>
    </row>
    <row r="171" spans="1:26" x14ac:dyDescent="0.2">
      <c r="A171" s="126"/>
      <c r="B171" s="135"/>
      <c r="C171" s="126"/>
      <c r="D171" s="175">
        <f>+SUMIF(B[Bene],Assegnazione[[#This Row],[Bene]],B[Imponibile Iva])*Assegnazione[[#This Row],[Quota di assegnazione]]</f>
        <v>0</v>
      </c>
      <c r="E171" s="175">
        <f>+SUMIF(B[Bene],Assegnazione[[#This Row],[Bene]],B[Valore inserito manualmente])*Assegnazione[[#This Row],[Quota di assegnazione]]</f>
        <v>0</v>
      </c>
      <c r="F171" s="176" t="str">
        <f>+IF(A171="","",VLOOKUP(Assegnazione[[#This Row],[Bene]],B[],3,0))</f>
        <v/>
      </c>
      <c r="G171" s="132" t="str">
        <f>+IFERROR(VLOOKUP(Assegnazione[[#This Row],[Bene]],B[],MATCH("Agevolabile",Beni!$A$4:$AC$4,0),0)*VLOOKUP(Assegnazione[[#This Row],[Socio]],A_1[],8,0),"")</f>
        <v/>
      </c>
      <c r="H171" s="175">
        <f>+SUMIF(B[Bene],Assegnazione[[#This Row],[Bene]],B[Valore netto contabile fiscalmente riconosciuto])*Assegnazione[[#This Row],[Quota di assegnazione]]</f>
        <v>0</v>
      </c>
      <c r="I171" s="175">
        <f>+SUMIF(B[Bene],Assegnazione[[#This Row],[Bene]],B[Valore normale])*Assegnazione[[#This Row],[Quota di assegnazione]]</f>
        <v>0</v>
      </c>
      <c r="J171" s="177">
        <f>+IF(Assegnazione[[#This Row],[Bene]]="",0,SUMIF(Assegnazione[Socio],Assegnazione[[#This Row],[Socio]],Assegnazione[Valore Normale])/$I$3)</f>
        <v>0</v>
      </c>
      <c r="K171" s="177" t="str">
        <f>IF(Assegnazione[[#This Row],[Bene]]="","",SUMIF(A_1[Nome],Assegnazione[[#This Row],[Socio]],A_1[Quota partecipazione al momento dell''operazione]))</f>
        <v/>
      </c>
      <c r="L171" s="175">
        <f>+SUMIF(B[Bene],Assegnazione[[#This Row],[Bene]],B[Valore catastale])*Assegnazione[[#This Row],[Quota di assegnazione]]</f>
        <v>0</v>
      </c>
      <c r="M1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5">
        <f>+MIN(Assegnazione[[#This Row],[Valore ai fini dell''atto]],Assegnazione[[#This Row],[Valore Fiscalmente riconosciuto]])</f>
        <v>0</v>
      </c>
      <c r="O171" s="149" t="str">
        <f>+IFERROR(VLOOKUP(Assegnazione[[#This Row],[Bene]],B[],MATCH($O$4,Beni!$A$4:$Z$4,0),0),"")</f>
        <v/>
      </c>
      <c r="P1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8">
        <f>+SUMIF(B[Bene],Assegnazione[[#This Row],[Bene]],B[Iva se dovuta])*Assegnazione[[#This Row],[Quota di assegnazione]]</f>
        <v>0</v>
      </c>
      <c r="S171" s="178">
        <f>+SUMIF(B[Bene],Assegnazione[[#This Row],[Bene]],B[Imposta di registro (fissa + prop) senza agevolazione])*Assegnazione[[#This Row],[Quota di assegnazione]]</f>
        <v>0</v>
      </c>
      <c r="T171" s="178">
        <f>+SUMIF(B[Bene],Assegnazione[[#This Row],[Bene]],B[Ipotecaria e catastale senza agevolazione])*Assegnazione[[#This Row],[Quota di assegnazione]]</f>
        <v>0</v>
      </c>
      <c r="U171" s="179">
        <f>+SUM(Assegnazione[[#This Row],[Tassazione diretta senza agevolazione]:[Ipotecaria e catastale senza agevolazione]])</f>
        <v>0</v>
      </c>
      <c r="V171" s="178">
        <f>+SUMIF(B[Bene],Assegnazione[[#This Row],[Bene]],B[Imponibile Imposta sostitutiva])*Assegnazione[[#This Row],[Quota di assegnazione]]*DATI!$E$27</f>
        <v>0</v>
      </c>
      <c r="W171" s="178">
        <f>+SUMIF(B[Bene],Assegnazione[[#This Row],[Bene]],B[Imposta di registro in misura fissa agevolata])*Assegnazione[[#This Row],[Quota di assegnazione]]</f>
        <v>0</v>
      </c>
      <c r="X171" s="178">
        <f>+SUMIF(B[Bene],Assegnazione[[#This Row],[Bene]],B[Imposta di registro prop. Agevolata])*Assegnazione[[#This Row],[Quota di assegnazione]]</f>
        <v>0</v>
      </c>
      <c r="Y171" s="178">
        <f>+IFERROR(Assegnazione[[#This Row],[Imposta di registro in misura fissa]]+Assegnazione[[#This Row],[Imposta di registro prop.]],"")</f>
        <v>0</v>
      </c>
      <c r="Z171" s="178">
        <f>+SUMIF(B[Bene],Assegnazione[[#This Row],[Bene]],B[Ipotecaria catastale agevolata])*Assegnazione[[#This Row],[Quota di assegnazione]]</f>
        <v>0</v>
      </c>
    </row>
    <row r="172" spans="1:26" x14ac:dyDescent="0.2">
      <c r="A172" s="126"/>
      <c r="B172" s="135"/>
      <c r="C172" s="126"/>
      <c r="D172" s="175">
        <f>+SUMIF(B[Bene],Assegnazione[[#This Row],[Bene]],B[Imponibile Iva])*Assegnazione[[#This Row],[Quota di assegnazione]]</f>
        <v>0</v>
      </c>
      <c r="E172" s="175">
        <f>+SUMIF(B[Bene],Assegnazione[[#This Row],[Bene]],B[Valore inserito manualmente])*Assegnazione[[#This Row],[Quota di assegnazione]]</f>
        <v>0</v>
      </c>
      <c r="F172" s="176" t="str">
        <f>+IF(A172="","",VLOOKUP(Assegnazione[[#This Row],[Bene]],B[],3,0))</f>
        <v/>
      </c>
      <c r="G172" s="132" t="str">
        <f>+IFERROR(VLOOKUP(Assegnazione[[#This Row],[Bene]],B[],MATCH("Agevolabile",Beni!$A$4:$AC$4,0),0)*VLOOKUP(Assegnazione[[#This Row],[Socio]],A_1[],8,0),"")</f>
        <v/>
      </c>
      <c r="H172" s="175">
        <f>+SUMIF(B[Bene],Assegnazione[[#This Row],[Bene]],B[Valore netto contabile fiscalmente riconosciuto])*Assegnazione[[#This Row],[Quota di assegnazione]]</f>
        <v>0</v>
      </c>
      <c r="I172" s="175">
        <f>+SUMIF(B[Bene],Assegnazione[[#This Row],[Bene]],B[Valore normale])*Assegnazione[[#This Row],[Quota di assegnazione]]</f>
        <v>0</v>
      </c>
      <c r="J172" s="177">
        <f>+IF(Assegnazione[[#This Row],[Bene]]="",0,SUMIF(Assegnazione[Socio],Assegnazione[[#This Row],[Socio]],Assegnazione[Valore Normale])/$I$3)</f>
        <v>0</v>
      </c>
      <c r="K172" s="177" t="str">
        <f>IF(Assegnazione[[#This Row],[Bene]]="","",SUMIF(A_1[Nome],Assegnazione[[#This Row],[Socio]],A_1[Quota partecipazione al momento dell''operazione]))</f>
        <v/>
      </c>
      <c r="L172" s="175">
        <f>+SUMIF(B[Bene],Assegnazione[[#This Row],[Bene]],B[Valore catastale])*Assegnazione[[#This Row],[Quota di assegnazione]]</f>
        <v>0</v>
      </c>
      <c r="M1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5">
        <f>+MIN(Assegnazione[[#This Row],[Valore ai fini dell''atto]],Assegnazione[[#This Row],[Valore Fiscalmente riconosciuto]])</f>
        <v>0</v>
      </c>
      <c r="O172" s="149" t="str">
        <f>+IFERROR(VLOOKUP(Assegnazione[[#This Row],[Bene]],B[],MATCH($O$4,Beni!$A$4:$Z$4,0),0),"")</f>
        <v/>
      </c>
      <c r="P1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8">
        <f>+SUMIF(B[Bene],Assegnazione[[#This Row],[Bene]],B[Iva se dovuta])*Assegnazione[[#This Row],[Quota di assegnazione]]</f>
        <v>0</v>
      </c>
      <c r="S172" s="178">
        <f>+SUMIF(B[Bene],Assegnazione[[#This Row],[Bene]],B[Imposta di registro (fissa + prop) senza agevolazione])*Assegnazione[[#This Row],[Quota di assegnazione]]</f>
        <v>0</v>
      </c>
      <c r="T172" s="178">
        <f>+SUMIF(B[Bene],Assegnazione[[#This Row],[Bene]],B[Ipotecaria e catastale senza agevolazione])*Assegnazione[[#This Row],[Quota di assegnazione]]</f>
        <v>0</v>
      </c>
      <c r="U172" s="179">
        <f>+SUM(Assegnazione[[#This Row],[Tassazione diretta senza agevolazione]:[Ipotecaria e catastale senza agevolazione]])</f>
        <v>0</v>
      </c>
      <c r="V172" s="178">
        <f>+SUMIF(B[Bene],Assegnazione[[#This Row],[Bene]],B[Imponibile Imposta sostitutiva])*Assegnazione[[#This Row],[Quota di assegnazione]]*DATI!$E$27</f>
        <v>0</v>
      </c>
      <c r="W172" s="178">
        <f>+SUMIF(B[Bene],Assegnazione[[#This Row],[Bene]],B[Imposta di registro in misura fissa agevolata])*Assegnazione[[#This Row],[Quota di assegnazione]]</f>
        <v>0</v>
      </c>
      <c r="X172" s="178">
        <f>+SUMIF(B[Bene],Assegnazione[[#This Row],[Bene]],B[Imposta di registro prop. Agevolata])*Assegnazione[[#This Row],[Quota di assegnazione]]</f>
        <v>0</v>
      </c>
      <c r="Y172" s="178">
        <f>+IFERROR(Assegnazione[[#This Row],[Imposta di registro in misura fissa]]+Assegnazione[[#This Row],[Imposta di registro prop.]],"")</f>
        <v>0</v>
      </c>
      <c r="Z172" s="178">
        <f>+SUMIF(B[Bene],Assegnazione[[#This Row],[Bene]],B[Ipotecaria catastale agevolata])*Assegnazione[[#This Row],[Quota di assegnazione]]</f>
        <v>0</v>
      </c>
    </row>
    <row r="173" spans="1:26" x14ac:dyDescent="0.2">
      <c r="A173" s="126"/>
      <c r="B173" s="135"/>
      <c r="C173" s="126"/>
      <c r="D173" s="175">
        <f>+SUMIF(B[Bene],Assegnazione[[#This Row],[Bene]],B[Imponibile Iva])*Assegnazione[[#This Row],[Quota di assegnazione]]</f>
        <v>0</v>
      </c>
      <c r="E173" s="175">
        <f>+SUMIF(B[Bene],Assegnazione[[#This Row],[Bene]],B[Valore inserito manualmente])*Assegnazione[[#This Row],[Quota di assegnazione]]</f>
        <v>0</v>
      </c>
      <c r="F173" s="176" t="str">
        <f>+IF(A173="","",VLOOKUP(Assegnazione[[#This Row],[Bene]],B[],3,0))</f>
        <v/>
      </c>
      <c r="G173" s="132" t="str">
        <f>+IFERROR(VLOOKUP(Assegnazione[[#This Row],[Bene]],B[],MATCH("Agevolabile",Beni!$A$4:$AC$4,0),0)*VLOOKUP(Assegnazione[[#This Row],[Socio]],A_1[],8,0),"")</f>
        <v/>
      </c>
      <c r="H173" s="175">
        <f>+SUMIF(B[Bene],Assegnazione[[#This Row],[Bene]],B[Valore netto contabile fiscalmente riconosciuto])*Assegnazione[[#This Row],[Quota di assegnazione]]</f>
        <v>0</v>
      </c>
      <c r="I173" s="175">
        <f>+SUMIF(B[Bene],Assegnazione[[#This Row],[Bene]],B[Valore normale])*Assegnazione[[#This Row],[Quota di assegnazione]]</f>
        <v>0</v>
      </c>
      <c r="J173" s="177">
        <f>+IF(Assegnazione[[#This Row],[Bene]]="",0,SUMIF(Assegnazione[Socio],Assegnazione[[#This Row],[Socio]],Assegnazione[Valore Normale])/$I$3)</f>
        <v>0</v>
      </c>
      <c r="K173" s="177" t="str">
        <f>IF(Assegnazione[[#This Row],[Bene]]="","",SUMIF(A_1[Nome],Assegnazione[[#This Row],[Socio]],A_1[Quota partecipazione al momento dell''operazione]))</f>
        <v/>
      </c>
      <c r="L173" s="175">
        <f>+SUMIF(B[Bene],Assegnazione[[#This Row],[Bene]],B[Valore catastale])*Assegnazione[[#This Row],[Quota di assegnazione]]</f>
        <v>0</v>
      </c>
      <c r="M1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5">
        <f>+MIN(Assegnazione[[#This Row],[Valore ai fini dell''atto]],Assegnazione[[#This Row],[Valore Fiscalmente riconosciuto]])</f>
        <v>0</v>
      </c>
      <c r="O173" s="149" t="str">
        <f>+IFERROR(VLOOKUP(Assegnazione[[#This Row],[Bene]],B[],MATCH($O$4,Beni!$A$4:$Z$4,0),0),"")</f>
        <v/>
      </c>
      <c r="P1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8">
        <f>+SUMIF(B[Bene],Assegnazione[[#This Row],[Bene]],B[Iva se dovuta])*Assegnazione[[#This Row],[Quota di assegnazione]]</f>
        <v>0</v>
      </c>
      <c r="S173" s="178">
        <f>+SUMIF(B[Bene],Assegnazione[[#This Row],[Bene]],B[Imposta di registro (fissa + prop) senza agevolazione])*Assegnazione[[#This Row],[Quota di assegnazione]]</f>
        <v>0</v>
      </c>
      <c r="T173" s="178">
        <f>+SUMIF(B[Bene],Assegnazione[[#This Row],[Bene]],B[Ipotecaria e catastale senza agevolazione])*Assegnazione[[#This Row],[Quota di assegnazione]]</f>
        <v>0</v>
      </c>
      <c r="U173" s="179">
        <f>+SUM(Assegnazione[[#This Row],[Tassazione diretta senza agevolazione]:[Ipotecaria e catastale senza agevolazione]])</f>
        <v>0</v>
      </c>
      <c r="V173" s="178">
        <f>+SUMIF(B[Bene],Assegnazione[[#This Row],[Bene]],B[Imponibile Imposta sostitutiva])*Assegnazione[[#This Row],[Quota di assegnazione]]*DATI!$E$27</f>
        <v>0</v>
      </c>
      <c r="W173" s="178">
        <f>+SUMIF(B[Bene],Assegnazione[[#This Row],[Bene]],B[Imposta di registro in misura fissa agevolata])*Assegnazione[[#This Row],[Quota di assegnazione]]</f>
        <v>0</v>
      </c>
      <c r="X173" s="178">
        <f>+SUMIF(B[Bene],Assegnazione[[#This Row],[Bene]],B[Imposta di registro prop. Agevolata])*Assegnazione[[#This Row],[Quota di assegnazione]]</f>
        <v>0</v>
      </c>
      <c r="Y173" s="178">
        <f>+IFERROR(Assegnazione[[#This Row],[Imposta di registro in misura fissa]]+Assegnazione[[#This Row],[Imposta di registro prop.]],"")</f>
        <v>0</v>
      </c>
      <c r="Z173" s="178">
        <f>+SUMIF(B[Bene],Assegnazione[[#This Row],[Bene]],B[Ipotecaria catastale agevolata])*Assegnazione[[#This Row],[Quota di assegnazione]]</f>
        <v>0</v>
      </c>
    </row>
    <row r="174" spans="1:26" x14ac:dyDescent="0.2">
      <c r="A174" s="126"/>
      <c r="B174" s="135"/>
      <c r="C174" s="126"/>
      <c r="D174" s="175">
        <f>+SUMIF(B[Bene],Assegnazione[[#This Row],[Bene]],B[Imponibile Iva])*Assegnazione[[#This Row],[Quota di assegnazione]]</f>
        <v>0</v>
      </c>
      <c r="E174" s="175">
        <f>+SUMIF(B[Bene],Assegnazione[[#This Row],[Bene]],B[Valore inserito manualmente])*Assegnazione[[#This Row],[Quota di assegnazione]]</f>
        <v>0</v>
      </c>
      <c r="F174" s="176" t="str">
        <f>+IF(A174="","",VLOOKUP(Assegnazione[[#This Row],[Bene]],B[],3,0))</f>
        <v/>
      </c>
      <c r="G174" s="132" t="str">
        <f>+IFERROR(VLOOKUP(Assegnazione[[#This Row],[Bene]],B[],MATCH("Agevolabile",Beni!$A$4:$AC$4,0),0)*VLOOKUP(Assegnazione[[#This Row],[Socio]],A_1[],8,0),"")</f>
        <v/>
      </c>
      <c r="H174" s="175">
        <f>+SUMIF(B[Bene],Assegnazione[[#This Row],[Bene]],B[Valore netto contabile fiscalmente riconosciuto])*Assegnazione[[#This Row],[Quota di assegnazione]]</f>
        <v>0</v>
      </c>
      <c r="I174" s="175">
        <f>+SUMIF(B[Bene],Assegnazione[[#This Row],[Bene]],B[Valore normale])*Assegnazione[[#This Row],[Quota di assegnazione]]</f>
        <v>0</v>
      </c>
      <c r="J174" s="177">
        <f>+IF(Assegnazione[[#This Row],[Bene]]="",0,SUMIF(Assegnazione[Socio],Assegnazione[[#This Row],[Socio]],Assegnazione[Valore Normale])/$I$3)</f>
        <v>0</v>
      </c>
      <c r="K174" s="177" t="str">
        <f>IF(Assegnazione[[#This Row],[Bene]]="","",SUMIF(A_1[Nome],Assegnazione[[#This Row],[Socio]],A_1[Quota partecipazione al momento dell''operazione]))</f>
        <v/>
      </c>
      <c r="L174" s="175">
        <f>+SUMIF(B[Bene],Assegnazione[[#This Row],[Bene]],B[Valore catastale])*Assegnazione[[#This Row],[Quota di assegnazione]]</f>
        <v>0</v>
      </c>
      <c r="M1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5">
        <f>+MIN(Assegnazione[[#This Row],[Valore ai fini dell''atto]],Assegnazione[[#This Row],[Valore Fiscalmente riconosciuto]])</f>
        <v>0</v>
      </c>
      <c r="O174" s="149" t="str">
        <f>+IFERROR(VLOOKUP(Assegnazione[[#This Row],[Bene]],B[],MATCH($O$4,Beni!$A$4:$Z$4,0),0),"")</f>
        <v/>
      </c>
      <c r="P1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8">
        <f>+SUMIF(B[Bene],Assegnazione[[#This Row],[Bene]],B[Iva se dovuta])*Assegnazione[[#This Row],[Quota di assegnazione]]</f>
        <v>0</v>
      </c>
      <c r="S174" s="178">
        <f>+SUMIF(B[Bene],Assegnazione[[#This Row],[Bene]],B[Imposta di registro (fissa + prop) senza agevolazione])*Assegnazione[[#This Row],[Quota di assegnazione]]</f>
        <v>0</v>
      </c>
      <c r="T174" s="178">
        <f>+SUMIF(B[Bene],Assegnazione[[#This Row],[Bene]],B[Ipotecaria e catastale senza agevolazione])*Assegnazione[[#This Row],[Quota di assegnazione]]</f>
        <v>0</v>
      </c>
      <c r="U174" s="179">
        <f>+SUM(Assegnazione[[#This Row],[Tassazione diretta senza agevolazione]:[Ipotecaria e catastale senza agevolazione]])</f>
        <v>0</v>
      </c>
      <c r="V174" s="178">
        <f>+SUMIF(B[Bene],Assegnazione[[#This Row],[Bene]],B[Imponibile Imposta sostitutiva])*Assegnazione[[#This Row],[Quota di assegnazione]]*DATI!$E$27</f>
        <v>0</v>
      </c>
      <c r="W174" s="178">
        <f>+SUMIF(B[Bene],Assegnazione[[#This Row],[Bene]],B[Imposta di registro in misura fissa agevolata])*Assegnazione[[#This Row],[Quota di assegnazione]]</f>
        <v>0</v>
      </c>
      <c r="X174" s="178">
        <f>+SUMIF(B[Bene],Assegnazione[[#This Row],[Bene]],B[Imposta di registro prop. Agevolata])*Assegnazione[[#This Row],[Quota di assegnazione]]</f>
        <v>0</v>
      </c>
      <c r="Y174" s="178">
        <f>+IFERROR(Assegnazione[[#This Row],[Imposta di registro in misura fissa]]+Assegnazione[[#This Row],[Imposta di registro prop.]],"")</f>
        <v>0</v>
      </c>
      <c r="Z174" s="178">
        <f>+SUMIF(B[Bene],Assegnazione[[#This Row],[Bene]],B[Ipotecaria catastale agevolata])*Assegnazione[[#This Row],[Quota di assegnazione]]</f>
        <v>0</v>
      </c>
    </row>
    <row r="175" spans="1:26" x14ac:dyDescent="0.2">
      <c r="A175" s="126"/>
      <c r="B175" s="135"/>
      <c r="C175" s="126"/>
      <c r="D175" s="175">
        <f>+SUMIF(B[Bene],Assegnazione[[#This Row],[Bene]],B[Imponibile Iva])*Assegnazione[[#This Row],[Quota di assegnazione]]</f>
        <v>0</v>
      </c>
      <c r="E175" s="175">
        <f>+SUMIF(B[Bene],Assegnazione[[#This Row],[Bene]],B[Valore inserito manualmente])*Assegnazione[[#This Row],[Quota di assegnazione]]</f>
        <v>0</v>
      </c>
      <c r="F175" s="176" t="str">
        <f>+IF(A175="","",VLOOKUP(Assegnazione[[#This Row],[Bene]],B[],3,0))</f>
        <v/>
      </c>
      <c r="G175" s="132" t="str">
        <f>+IFERROR(VLOOKUP(Assegnazione[[#This Row],[Bene]],B[],MATCH("Agevolabile",Beni!$A$4:$AC$4,0),0)*VLOOKUP(Assegnazione[[#This Row],[Socio]],A_1[],8,0),"")</f>
        <v/>
      </c>
      <c r="H175" s="175">
        <f>+SUMIF(B[Bene],Assegnazione[[#This Row],[Bene]],B[Valore netto contabile fiscalmente riconosciuto])*Assegnazione[[#This Row],[Quota di assegnazione]]</f>
        <v>0</v>
      </c>
      <c r="I175" s="175">
        <f>+SUMIF(B[Bene],Assegnazione[[#This Row],[Bene]],B[Valore normale])*Assegnazione[[#This Row],[Quota di assegnazione]]</f>
        <v>0</v>
      </c>
      <c r="J175" s="177">
        <f>+IF(Assegnazione[[#This Row],[Bene]]="",0,SUMIF(Assegnazione[Socio],Assegnazione[[#This Row],[Socio]],Assegnazione[Valore Normale])/$I$3)</f>
        <v>0</v>
      </c>
      <c r="K175" s="177" t="str">
        <f>IF(Assegnazione[[#This Row],[Bene]]="","",SUMIF(A_1[Nome],Assegnazione[[#This Row],[Socio]],A_1[Quota partecipazione al momento dell''operazione]))</f>
        <v/>
      </c>
      <c r="L175" s="175">
        <f>+SUMIF(B[Bene],Assegnazione[[#This Row],[Bene]],B[Valore catastale])*Assegnazione[[#This Row],[Quota di assegnazione]]</f>
        <v>0</v>
      </c>
      <c r="M1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5">
        <f>+MIN(Assegnazione[[#This Row],[Valore ai fini dell''atto]],Assegnazione[[#This Row],[Valore Fiscalmente riconosciuto]])</f>
        <v>0</v>
      </c>
      <c r="O175" s="149" t="str">
        <f>+IFERROR(VLOOKUP(Assegnazione[[#This Row],[Bene]],B[],MATCH($O$4,Beni!$A$4:$Z$4,0),0),"")</f>
        <v/>
      </c>
      <c r="P1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8">
        <f>+SUMIF(B[Bene],Assegnazione[[#This Row],[Bene]],B[Iva se dovuta])*Assegnazione[[#This Row],[Quota di assegnazione]]</f>
        <v>0</v>
      </c>
      <c r="S175" s="178">
        <f>+SUMIF(B[Bene],Assegnazione[[#This Row],[Bene]],B[Imposta di registro (fissa + prop) senza agevolazione])*Assegnazione[[#This Row],[Quota di assegnazione]]</f>
        <v>0</v>
      </c>
      <c r="T175" s="178">
        <f>+SUMIF(B[Bene],Assegnazione[[#This Row],[Bene]],B[Ipotecaria e catastale senza agevolazione])*Assegnazione[[#This Row],[Quota di assegnazione]]</f>
        <v>0</v>
      </c>
      <c r="U175" s="179">
        <f>+SUM(Assegnazione[[#This Row],[Tassazione diretta senza agevolazione]:[Ipotecaria e catastale senza agevolazione]])</f>
        <v>0</v>
      </c>
      <c r="V175" s="178">
        <f>+SUMIF(B[Bene],Assegnazione[[#This Row],[Bene]],B[Imponibile Imposta sostitutiva])*Assegnazione[[#This Row],[Quota di assegnazione]]*DATI!$E$27</f>
        <v>0</v>
      </c>
      <c r="W175" s="178">
        <f>+SUMIF(B[Bene],Assegnazione[[#This Row],[Bene]],B[Imposta di registro in misura fissa agevolata])*Assegnazione[[#This Row],[Quota di assegnazione]]</f>
        <v>0</v>
      </c>
      <c r="X175" s="178">
        <f>+SUMIF(B[Bene],Assegnazione[[#This Row],[Bene]],B[Imposta di registro prop. Agevolata])*Assegnazione[[#This Row],[Quota di assegnazione]]</f>
        <v>0</v>
      </c>
      <c r="Y175" s="178">
        <f>+IFERROR(Assegnazione[[#This Row],[Imposta di registro in misura fissa]]+Assegnazione[[#This Row],[Imposta di registro prop.]],"")</f>
        <v>0</v>
      </c>
      <c r="Z175" s="178">
        <f>+SUMIF(B[Bene],Assegnazione[[#This Row],[Bene]],B[Ipotecaria catastale agevolata])*Assegnazione[[#This Row],[Quota di assegnazione]]</f>
        <v>0</v>
      </c>
    </row>
    <row r="176" spans="1:26" x14ac:dyDescent="0.2">
      <c r="A176" s="126"/>
      <c r="B176" s="135"/>
      <c r="C176" s="126"/>
      <c r="D176" s="175">
        <f>+SUMIF(B[Bene],Assegnazione[[#This Row],[Bene]],B[Imponibile Iva])*Assegnazione[[#This Row],[Quota di assegnazione]]</f>
        <v>0</v>
      </c>
      <c r="E176" s="175">
        <f>+SUMIF(B[Bene],Assegnazione[[#This Row],[Bene]],B[Valore inserito manualmente])*Assegnazione[[#This Row],[Quota di assegnazione]]</f>
        <v>0</v>
      </c>
      <c r="F176" s="176" t="str">
        <f>+IF(A176="","",VLOOKUP(Assegnazione[[#This Row],[Bene]],B[],3,0))</f>
        <v/>
      </c>
      <c r="G176" s="132" t="str">
        <f>+IFERROR(VLOOKUP(Assegnazione[[#This Row],[Bene]],B[],MATCH("Agevolabile",Beni!$A$4:$AC$4,0),0)*VLOOKUP(Assegnazione[[#This Row],[Socio]],A_1[],8,0),"")</f>
        <v/>
      </c>
      <c r="H176" s="175">
        <f>+SUMIF(B[Bene],Assegnazione[[#This Row],[Bene]],B[Valore netto contabile fiscalmente riconosciuto])*Assegnazione[[#This Row],[Quota di assegnazione]]</f>
        <v>0</v>
      </c>
      <c r="I176" s="175">
        <f>+SUMIF(B[Bene],Assegnazione[[#This Row],[Bene]],B[Valore normale])*Assegnazione[[#This Row],[Quota di assegnazione]]</f>
        <v>0</v>
      </c>
      <c r="J176" s="177">
        <f>+IF(Assegnazione[[#This Row],[Bene]]="",0,SUMIF(Assegnazione[Socio],Assegnazione[[#This Row],[Socio]],Assegnazione[Valore Normale])/$I$3)</f>
        <v>0</v>
      </c>
      <c r="K176" s="177" t="str">
        <f>IF(Assegnazione[[#This Row],[Bene]]="","",SUMIF(A_1[Nome],Assegnazione[[#This Row],[Socio]],A_1[Quota partecipazione al momento dell''operazione]))</f>
        <v/>
      </c>
      <c r="L176" s="175">
        <f>+SUMIF(B[Bene],Assegnazione[[#This Row],[Bene]],B[Valore catastale])*Assegnazione[[#This Row],[Quota di assegnazione]]</f>
        <v>0</v>
      </c>
      <c r="M1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5">
        <f>+MIN(Assegnazione[[#This Row],[Valore ai fini dell''atto]],Assegnazione[[#This Row],[Valore Fiscalmente riconosciuto]])</f>
        <v>0</v>
      </c>
      <c r="O176" s="149" t="str">
        <f>+IFERROR(VLOOKUP(Assegnazione[[#This Row],[Bene]],B[],MATCH($O$4,Beni!$A$4:$Z$4,0),0),"")</f>
        <v/>
      </c>
      <c r="P1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8">
        <f>+SUMIF(B[Bene],Assegnazione[[#This Row],[Bene]],B[Iva se dovuta])*Assegnazione[[#This Row],[Quota di assegnazione]]</f>
        <v>0</v>
      </c>
      <c r="S176" s="178">
        <f>+SUMIF(B[Bene],Assegnazione[[#This Row],[Bene]],B[Imposta di registro (fissa + prop) senza agevolazione])*Assegnazione[[#This Row],[Quota di assegnazione]]</f>
        <v>0</v>
      </c>
      <c r="T176" s="178">
        <f>+SUMIF(B[Bene],Assegnazione[[#This Row],[Bene]],B[Ipotecaria e catastale senza agevolazione])*Assegnazione[[#This Row],[Quota di assegnazione]]</f>
        <v>0</v>
      </c>
      <c r="U176" s="179">
        <f>+SUM(Assegnazione[[#This Row],[Tassazione diretta senza agevolazione]:[Ipotecaria e catastale senza agevolazione]])</f>
        <v>0</v>
      </c>
      <c r="V176" s="178">
        <f>+SUMIF(B[Bene],Assegnazione[[#This Row],[Bene]],B[Imponibile Imposta sostitutiva])*Assegnazione[[#This Row],[Quota di assegnazione]]*DATI!$E$27</f>
        <v>0</v>
      </c>
      <c r="W176" s="178">
        <f>+SUMIF(B[Bene],Assegnazione[[#This Row],[Bene]],B[Imposta di registro in misura fissa agevolata])*Assegnazione[[#This Row],[Quota di assegnazione]]</f>
        <v>0</v>
      </c>
      <c r="X176" s="178">
        <f>+SUMIF(B[Bene],Assegnazione[[#This Row],[Bene]],B[Imposta di registro prop. Agevolata])*Assegnazione[[#This Row],[Quota di assegnazione]]</f>
        <v>0</v>
      </c>
      <c r="Y176" s="178">
        <f>+IFERROR(Assegnazione[[#This Row],[Imposta di registro in misura fissa]]+Assegnazione[[#This Row],[Imposta di registro prop.]],"")</f>
        <v>0</v>
      </c>
      <c r="Z176" s="178">
        <f>+SUMIF(B[Bene],Assegnazione[[#This Row],[Bene]],B[Ipotecaria catastale agevolata])*Assegnazione[[#This Row],[Quota di assegnazione]]</f>
        <v>0</v>
      </c>
    </row>
    <row r="177" spans="1:26" x14ac:dyDescent="0.2">
      <c r="A177" s="126"/>
      <c r="B177" s="135"/>
      <c r="C177" s="126"/>
      <c r="D177" s="175">
        <f>+SUMIF(B[Bene],Assegnazione[[#This Row],[Bene]],B[Imponibile Iva])*Assegnazione[[#This Row],[Quota di assegnazione]]</f>
        <v>0</v>
      </c>
      <c r="E177" s="175">
        <f>+SUMIF(B[Bene],Assegnazione[[#This Row],[Bene]],B[Valore inserito manualmente])*Assegnazione[[#This Row],[Quota di assegnazione]]</f>
        <v>0</v>
      </c>
      <c r="F177" s="176" t="str">
        <f>+IF(A177="","",VLOOKUP(Assegnazione[[#This Row],[Bene]],B[],3,0))</f>
        <v/>
      </c>
      <c r="G177" s="132" t="str">
        <f>+IFERROR(VLOOKUP(Assegnazione[[#This Row],[Bene]],B[],MATCH("Agevolabile",Beni!$A$4:$AC$4,0),0)*VLOOKUP(Assegnazione[[#This Row],[Socio]],A_1[],8,0),"")</f>
        <v/>
      </c>
      <c r="H177" s="175">
        <f>+SUMIF(B[Bene],Assegnazione[[#This Row],[Bene]],B[Valore netto contabile fiscalmente riconosciuto])*Assegnazione[[#This Row],[Quota di assegnazione]]</f>
        <v>0</v>
      </c>
      <c r="I177" s="175">
        <f>+SUMIF(B[Bene],Assegnazione[[#This Row],[Bene]],B[Valore normale])*Assegnazione[[#This Row],[Quota di assegnazione]]</f>
        <v>0</v>
      </c>
      <c r="J177" s="177">
        <f>+IF(Assegnazione[[#This Row],[Bene]]="",0,SUMIF(Assegnazione[Socio],Assegnazione[[#This Row],[Socio]],Assegnazione[Valore Normale])/$I$3)</f>
        <v>0</v>
      </c>
      <c r="K177" s="177" t="str">
        <f>IF(Assegnazione[[#This Row],[Bene]]="","",SUMIF(A_1[Nome],Assegnazione[[#This Row],[Socio]],A_1[Quota partecipazione al momento dell''operazione]))</f>
        <v/>
      </c>
      <c r="L177" s="175">
        <f>+SUMIF(B[Bene],Assegnazione[[#This Row],[Bene]],B[Valore catastale])*Assegnazione[[#This Row],[Quota di assegnazione]]</f>
        <v>0</v>
      </c>
      <c r="M1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5">
        <f>+MIN(Assegnazione[[#This Row],[Valore ai fini dell''atto]],Assegnazione[[#This Row],[Valore Fiscalmente riconosciuto]])</f>
        <v>0</v>
      </c>
      <c r="O177" s="149" t="str">
        <f>+IFERROR(VLOOKUP(Assegnazione[[#This Row],[Bene]],B[],MATCH($O$4,Beni!$A$4:$Z$4,0),0),"")</f>
        <v/>
      </c>
      <c r="P1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8">
        <f>+SUMIF(B[Bene],Assegnazione[[#This Row],[Bene]],B[Iva se dovuta])*Assegnazione[[#This Row],[Quota di assegnazione]]</f>
        <v>0</v>
      </c>
      <c r="S177" s="178">
        <f>+SUMIF(B[Bene],Assegnazione[[#This Row],[Bene]],B[Imposta di registro (fissa + prop) senza agevolazione])*Assegnazione[[#This Row],[Quota di assegnazione]]</f>
        <v>0</v>
      </c>
      <c r="T177" s="178">
        <f>+SUMIF(B[Bene],Assegnazione[[#This Row],[Bene]],B[Ipotecaria e catastale senza agevolazione])*Assegnazione[[#This Row],[Quota di assegnazione]]</f>
        <v>0</v>
      </c>
      <c r="U177" s="179">
        <f>+SUM(Assegnazione[[#This Row],[Tassazione diretta senza agevolazione]:[Ipotecaria e catastale senza agevolazione]])</f>
        <v>0</v>
      </c>
      <c r="V177" s="178">
        <f>+SUMIF(B[Bene],Assegnazione[[#This Row],[Bene]],B[Imponibile Imposta sostitutiva])*Assegnazione[[#This Row],[Quota di assegnazione]]*DATI!$E$27</f>
        <v>0</v>
      </c>
      <c r="W177" s="178">
        <f>+SUMIF(B[Bene],Assegnazione[[#This Row],[Bene]],B[Imposta di registro in misura fissa agevolata])*Assegnazione[[#This Row],[Quota di assegnazione]]</f>
        <v>0</v>
      </c>
      <c r="X177" s="178">
        <f>+SUMIF(B[Bene],Assegnazione[[#This Row],[Bene]],B[Imposta di registro prop. Agevolata])*Assegnazione[[#This Row],[Quota di assegnazione]]</f>
        <v>0</v>
      </c>
      <c r="Y177" s="178">
        <f>+IFERROR(Assegnazione[[#This Row],[Imposta di registro in misura fissa]]+Assegnazione[[#This Row],[Imposta di registro prop.]],"")</f>
        <v>0</v>
      </c>
      <c r="Z177" s="178">
        <f>+SUMIF(B[Bene],Assegnazione[[#This Row],[Bene]],B[Ipotecaria catastale agevolata])*Assegnazione[[#This Row],[Quota di assegnazione]]</f>
        <v>0</v>
      </c>
    </row>
    <row r="178" spans="1:26" x14ac:dyDescent="0.2">
      <c r="A178" s="126"/>
      <c r="B178" s="135"/>
      <c r="C178" s="126"/>
      <c r="D178" s="175">
        <f>+SUMIF(B[Bene],Assegnazione[[#This Row],[Bene]],B[Imponibile Iva])*Assegnazione[[#This Row],[Quota di assegnazione]]</f>
        <v>0</v>
      </c>
      <c r="E178" s="175">
        <f>+SUMIF(B[Bene],Assegnazione[[#This Row],[Bene]],B[Valore inserito manualmente])*Assegnazione[[#This Row],[Quota di assegnazione]]</f>
        <v>0</v>
      </c>
      <c r="F178" s="176" t="str">
        <f>+IF(A178="","",VLOOKUP(Assegnazione[[#This Row],[Bene]],B[],3,0))</f>
        <v/>
      </c>
      <c r="G178" s="132" t="str">
        <f>+IFERROR(VLOOKUP(Assegnazione[[#This Row],[Bene]],B[],MATCH("Agevolabile",Beni!$A$4:$AC$4,0),0)*VLOOKUP(Assegnazione[[#This Row],[Socio]],A_1[],8,0),"")</f>
        <v/>
      </c>
      <c r="H178" s="175">
        <f>+SUMIF(B[Bene],Assegnazione[[#This Row],[Bene]],B[Valore netto contabile fiscalmente riconosciuto])*Assegnazione[[#This Row],[Quota di assegnazione]]</f>
        <v>0</v>
      </c>
      <c r="I178" s="175">
        <f>+SUMIF(B[Bene],Assegnazione[[#This Row],[Bene]],B[Valore normale])*Assegnazione[[#This Row],[Quota di assegnazione]]</f>
        <v>0</v>
      </c>
      <c r="J178" s="177">
        <f>+IF(Assegnazione[[#This Row],[Bene]]="",0,SUMIF(Assegnazione[Socio],Assegnazione[[#This Row],[Socio]],Assegnazione[Valore Normale])/$I$3)</f>
        <v>0</v>
      </c>
      <c r="K178" s="177" t="str">
        <f>IF(Assegnazione[[#This Row],[Bene]]="","",SUMIF(A_1[Nome],Assegnazione[[#This Row],[Socio]],A_1[Quota partecipazione al momento dell''operazione]))</f>
        <v/>
      </c>
      <c r="L178" s="175">
        <f>+SUMIF(B[Bene],Assegnazione[[#This Row],[Bene]],B[Valore catastale])*Assegnazione[[#This Row],[Quota di assegnazione]]</f>
        <v>0</v>
      </c>
      <c r="M1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5">
        <f>+MIN(Assegnazione[[#This Row],[Valore ai fini dell''atto]],Assegnazione[[#This Row],[Valore Fiscalmente riconosciuto]])</f>
        <v>0</v>
      </c>
      <c r="O178" s="149" t="str">
        <f>+IFERROR(VLOOKUP(Assegnazione[[#This Row],[Bene]],B[],MATCH($O$4,Beni!$A$4:$Z$4,0),0),"")</f>
        <v/>
      </c>
      <c r="P1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8">
        <f>+SUMIF(B[Bene],Assegnazione[[#This Row],[Bene]],B[Iva se dovuta])*Assegnazione[[#This Row],[Quota di assegnazione]]</f>
        <v>0</v>
      </c>
      <c r="S178" s="178">
        <f>+SUMIF(B[Bene],Assegnazione[[#This Row],[Bene]],B[Imposta di registro (fissa + prop) senza agevolazione])*Assegnazione[[#This Row],[Quota di assegnazione]]</f>
        <v>0</v>
      </c>
      <c r="T178" s="178">
        <f>+SUMIF(B[Bene],Assegnazione[[#This Row],[Bene]],B[Ipotecaria e catastale senza agevolazione])*Assegnazione[[#This Row],[Quota di assegnazione]]</f>
        <v>0</v>
      </c>
      <c r="U178" s="179">
        <f>+SUM(Assegnazione[[#This Row],[Tassazione diretta senza agevolazione]:[Ipotecaria e catastale senza agevolazione]])</f>
        <v>0</v>
      </c>
      <c r="V178" s="178">
        <f>+SUMIF(B[Bene],Assegnazione[[#This Row],[Bene]],B[Imponibile Imposta sostitutiva])*Assegnazione[[#This Row],[Quota di assegnazione]]*DATI!$E$27</f>
        <v>0</v>
      </c>
      <c r="W178" s="178">
        <f>+SUMIF(B[Bene],Assegnazione[[#This Row],[Bene]],B[Imposta di registro in misura fissa agevolata])*Assegnazione[[#This Row],[Quota di assegnazione]]</f>
        <v>0</v>
      </c>
      <c r="X178" s="178">
        <f>+SUMIF(B[Bene],Assegnazione[[#This Row],[Bene]],B[Imposta di registro prop. Agevolata])*Assegnazione[[#This Row],[Quota di assegnazione]]</f>
        <v>0</v>
      </c>
      <c r="Y178" s="178">
        <f>+IFERROR(Assegnazione[[#This Row],[Imposta di registro in misura fissa]]+Assegnazione[[#This Row],[Imposta di registro prop.]],"")</f>
        <v>0</v>
      </c>
      <c r="Z178" s="178">
        <f>+SUMIF(B[Bene],Assegnazione[[#This Row],[Bene]],B[Ipotecaria catastale agevolata])*Assegnazione[[#This Row],[Quota di assegnazione]]</f>
        <v>0</v>
      </c>
    </row>
    <row r="179" spans="1:26" x14ac:dyDescent="0.2">
      <c r="A179" s="126"/>
      <c r="B179" s="135"/>
      <c r="C179" s="126"/>
      <c r="D179" s="175">
        <f>+SUMIF(B[Bene],Assegnazione[[#This Row],[Bene]],B[Imponibile Iva])*Assegnazione[[#This Row],[Quota di assegnazione]]</f>
        <v>0</v>
      </c>
      <c r="E179" s="175">
        <f>+SUMIF(B[Bene],Assegnazione[[#This Row],[Bene]],B[Valore inserito manualmente])*Assegnazione[[#This Row],[Quota di assegnazione]]</f>
        <v>0</v>
      </c>
      <c r="F179" s="176" t="str">
        <f>+IF(A179="","",VLOOKUP(Assegnazione[[#This Row],[Bene]],B[],3,0))</f>
        <v/>
      </c>
      <c r="G179" s="132" t="str">
        <f>+IFERROR(VLOOKUP(Assegnazione[[#This Row],[Bene]],B[],MATCH("Agevolabile",Beni!$A$4:$AC$4,0),0)*VLOOKUP(Assegnazione[[#This Row],[Socio]],A_1[],8,0),"")</f>
        <v/>
      </c>
      <c r="H179" s="175">
        <f>+SUMIF(B[Bene],Assegnazione[[#This Row],[Bene]],B[Valore netto contabile fiscalmente riconosciuto])*Assegnazione[[#This Row],[Quota di assegnazione]]</f>
        <v>0</v>
      </c>
      <c r="I179" s="175">
        <f>+SUMIF(B[Bene],Assegnazione[[#This Row],[Bene]],B[Valore normale])*Assegnazione[[#This Row],[Quota di assegnazione]]</f>
        <v>0</v>
      </c>
      <c r="J179" s="177">
        <f>+IF(Assegnazione[[#This Row],[Bene]]="",0,SUMIF(Assegnazione[Socio],Assegnazione[[#This Row],[Socio]],Assegnazione[Valore Normale])/$I$3)</f>
        <v>0</v>
      </c>
      <c r="K179" s="177" t="str">
        <f>IF(Assegnazione[[#This Row],[Bene]]="","",SUMIF(A_1[Nome],Assegnazione[[#This Row],[Socio]],A_1[Quota partecipazione al momento dell''operazione]))</f>
        <v/>
      </c>
      <c r="L179" s="175">
        <f>+SUMIF(B[Bene],Assegnazione[[#This Row],[Bene]],B[Valore catastale])*Assegnazione[[#This Row],[Quota di assegnazione]]</f>
        <v>0</v>
      </c>
      <c r="M1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5">
        <f>+MIN(Assegnazione[[#This Row],[Valore ai fini dell''atto]],Assegnazione[[#This Row],[Valore Fiscalmente riconosciuto]])</f>
        <v>0</v>
      </c>
      <c r="O179" s="149" t="str">
        <f>+IFERROR(VLOOKUP(Assegnazione[[#This Row],[Bene]],B[],MATCH($O$4,Beni!$A$4:$Z$4,0),0),"")</f>
        <v/>
      </c>
      <c r="P1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8">
        <f>+SUMIF(B[Bene],Assegnazione[[#This Row],[Bene]],B[Iva se dovuta])*Assegnazione[[#This Row],[Quota di assegnazione]]</f>
        <v>0</v>
      </c>
      <c r="S179" s="178">
        <f>+SUMIF(B[Bene],Assegnazione[[#This Row],[Bene]],B[Imposta di registro (fissa + prop) senza agevolazione])*Assegnazione[[#This Row],[Quota di assegnazione]]</f>
        <v>0</v>
      </c>
      <c r="T179" s="178">
        <f>+SUMIF(B[Bene],Assegnazione[[#This Row],[Bene]],B[Ipotecaria e catastale senza agevolazione])*Assegnazione[[#This Row],[Quota di assegnazione]]</f>
        <v>0</v>
      </c>
      <c r="U179" s="179">
        <f>+SUM(Assegnazione[[#This Row],[Tassazione diretta senza agevolazione]:[Ipotecaria e catastale senza agevolazione]])</f>
        <v>0</v>
      </c>
      <c r="V179" s="178">
        <f>+SUMIF(B[Bene],Assegnazione[[#This Row],[Bene]],B[Imponibile Imposta sostitutiva])*Assegnazione[[#This Row],[Quota di assegnazione]]*DATI!$E$27</f>
        <v>0</v>
      </c>
      <c r="W179" s="178">
        <f>+SUMIF(B[Bene],Assegnazione[[#This Row],[Bene]],B[Imposta di registro in misura fissa agevolata])*Assegnazione[[#This Row],[Quota di assegnazione]]</f>
        <v>0</v>
      </c>
      <c r="X179" s="178">
        <f>+SUMIF(B[Bene],Assegnazione[[#This Row],[Bene]],B[Imposta di registro prop. Agevolata])*Assegnazione[[#This Row],[Quota di assegnazione]]</f>
        <v>0</v>
      </c>
      <c r="Y179" s="178">
        <f>+IFERROR(Assegnazione[[#This Row],[Imposta di registro in misura fissa]]+Assegnazione[[#This Row],[Imposta di registro prop.]],"")</f>
        <v>0</v>
      </c>
      <c r="Z179" s="178">
        <f>+SUMIF(B[Bene],Assegnazione[[#This Row],[Bene]],B[Ipotecaria catastale agevolata])*Assegnazione[[#This Row],[Quota di assegnazione]]</f>
        <v>0</v>
      </c>
    </row>
    <row r="180" spans="1:26" x14ac:dyDescent="0.2">
      <c r="A180" s="126"/>
      <c r="B180" s="135"/>
      <c r="C180" s="126"/>
      <c r="D180" s="175">
        <f>+SUMIF(B[Bene],Assegnazione[[#This Row],[Bene]],B[Imponibile Iva])*Assegnazione[[#This Row],[Quota di assegnazione]]</f>
        <v>0</v>
      </c>
      <c r="E180" s="175">
        <f>+SUMIF(B[Bene],Assegnazione[[#This Row],[Bene]],B[Valore inserito manualmente])*Assegnazione[[#This Row],[Quota di assegnazione]]</f>
        <v>0</v>
      </c>
      <c r="F180" s="176" t="str">
        <f>+IF(A180="","",VLOOKUP(Assegnazione[[#This Row],[Bene]],B[],3,0))</f>
        <v/>
      </c>
      <c r="G180" s="132" t="str">
        <f>+IFERROR(VLOOKUP(Assegnazione[[#This Row],[Bene]],B[],MATCH("Agevolabile",Beni!$A$4:$AC$4,0),0)*VLOOKUP(Assegnazione[[#This Row],[Socio]],A_1[],8,0),"")</f>
        <v/>
      </c>
      <c r="H180" s="175">
        <f>+SUMIF(B[Bene],Assegnazione[[#This Row],[Bene]],B[Valore netto contabile fiscalmente riconosciuto])*Assegnazione[[#This Row],[Quota di assegnazione]]</f>
        <v>0</v>
      </c>
      <c r="I180" s="175">
        <f>+SUMIF(B[Bene],Assegnazione[[#This Row],[Bene]],B[Valore normale])*Assegnazione[[#This Row],[Quota di assegnazione]]</f>
        <v>0</v>
      </c>
      <c r="J180" s="177">
        <f>+IF(Assegnazione[[#This Row],[Bene]]="",0,SUMIF(Assegnazione[Socio],Assegnazione[[#This Row],[Socio]],Assegnazione[Valore Normale])/$I$3)</f>
        <v>0</v>
      </c>
      <c r="K180" s="177" t="str">
        <f>IF(Assegnazione[[#This Row],[Bene]]="","",SUMIF(A_1[Nome],Assegnazione[[#This Row],[Socio]],A_1[Quota partecipazione al momento dell''operazione]))</f>
        <v/>
      </c>
      <c r="L180" s="175">
        <f>+SUMIF(B[Bene],Assegnazione[[#This Row],[Bene]],B[Valore catastale])*Assegnazione[[#This Row],[Quota di assegnazione]]</f>
        <v>0</v>
      </c>
      <c r="M1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5">
        <f>+MIN(Assegnazione[[#This Row],[Valore ai fini dell''atto]],Assegnazione[[#This Row],[Valore Fiscalmente riconosciuto]])</f>
        <v>0</v>
      </c>
      <c r="O180" s="149" t="str">
        <f>+IFERROR(VLOOKUP(Assegnazione[[#This Row],[Bene]],B[],MATCH($O$4,Beni!$A$4:$Z$4,0),0),"")</f>
        <v/>
      </c>
      <c r="P1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8">
        <f>+SUMIF(B[Bene],Assegnazione[[#This Row],[Bene]],B[Iva se dovuta])*Assegnazione[[#This Row],[Quota di assegnazione]]</f>
        <v>0</v>
      </c>
      <c r="S180" s="178">
        <f>+SUMIF(B[Bene],Assegnazione[[#This Row],[Bene]],B[Imposta di registro (fissa + prop) senza agevolazione])*Assegnazione[[#This Row],[Quota di assegnazione]]</f>
        <v>0</v>
      </c>
      <c r="T180" s="178">
        <f>+SUMIF(B[Bene],Assegnazione[[#This Row],[Bene]],B[Ipotecaria e catastale senza agevolazione])*Assegnazione[[#This Row],[Quota di assegnazione]]</f>
        <v>0</v>
      </c>
      <c r="U180" s="179">
        <f>+SUM(Assegnazione[[#This Row],[Tassazione diretta senza agevolazione]:[Ipotecaria e catastale senza agevolazione]])</f>
        <v>0</v>
      </c>
      <c r="V180" s="178">
        <f>+SUMIF(B[Bene],Assegnazione[[#This Row],[Bene]],B[Imponibile Imposta sostitutiva])*Assegnazione[[#This Row],[Quota di assegnazione]]*DATI!$E$27</f>
        <v>0</v>
      </c>
      <c r="W180" s="178">
        <f>+SUMIF(B[Bene],Assegnazione[[#This Row],[Bene]],B[Imposta di registro in misura fissa agevolata])*Assegnazione[[#This Row],[Quota di assegnazione]]</f>
        <v>0</v>
      </c>
      <c r="X180" s="178">
        <f>+SUMIF(B[Bene],Assegnazione[[#This Row],[Bene]],B[Imposta di registro prop. Agevolata])*Assegnazione[[#This Row],[Quota di assegnazione]]</f>
        <v>0</v>
      </c>
      <c r="Y180" s="178">
        <f>+IFERROR(Assegnazione[[#This Row],[Imposta di registro in misura fissa]]+Assegnazione[[#This Row],[Imposta di registro prop.]],"")</f>
        <v>0</v>
      </c>
      <c r="Z180" s="178">
        <f>+SUMIF(B[Bene],Assegnazione[[#This Row],[Bene]],B[Ipotecaria catastale agevolata])*Assegnazione[[#This Row],[Quota di assegnazione]]</f>
        <v>0</v>
      </c>
    </row>
    <row r="181" spans="1:26" x14ac:dyDescent="0.2">
      <c r="A181" s="126"/>
      <c r="B181" s="135"/>
      <c r="C181" s="126"/>
      <c r="D181" s="175">
        <f>+SUMIF(B[Bene],Assegnazione[[#This Row],[Bene]],B[Imponibile Iva])*Assegnazione[[#This Row],[Quota di assegnazione]]</f>
        <v>0</v>
      </c>
      <c r="E181" s="175">
        <f>+SUMIF(B[Bene],Assegnazione[[#This Row],[Bene]],B[Valore inserito manualmente])*Assegnazione[[#This Row],[Quota di assegnazione]]</f>
        <v>0</v>
      </c>
      <c r="F181" s="176" t="str">
        <f>+IF(A181="","",VLOOKUP(Assegnazione[[#This Row],[Bene]],B[],3,0))</f>
        <v/>
      </c>
      <c r="G181" s="132" t="str">
        <f>+IFERROR(VLOOKUP(Assegnazione[[#This Row],[Bene]],B[],MATCH("Agevolabile",Beni!$A$4:$AC$4,0),0)*VLOOKUP(Assegnazione[[#This Row],[Socio]],A_1[],8,0),"")</f>
        <v/>
      </c>
      <c r="H181" s="175">
        <f>+SUMIF(B[Bene],Assegnazione[[#This Row],[Bene]],B[Valore netto contabile fiscalmente riconosciuto])*Assegnazione[[#This Row],[Quota di assegnazione]]</f>
        <v>0</v>
      </c>
      <c r="I181" s="175">
        <f>+SUMIF(B[Bene],Assegnazione[[#This Row],[Bene]],B[Valore normale])*Assegnazione[[#This Row],[Quota di assegnazione]]</f>
        <v>0</v>
      </c>
      <c r="J181" s="177">
        <f>+IF(Assegnazione[[#This Row],[Bene]]="",0,SUMIF(Assegnazione[Socio],Assegnazione[[#This Row],[Socio]],Assegnazione[Valore Normale])/$I$3)</f>
        <v>0</v>
      </c>
      <c r="K181" s="177" t="str">
        <f>IF(Assegnazione[[#This Row],[Bene]]="","",SUMIF(A_1[Nome],Assegnazione[[#This Row],[Socio]],A_1[Quota partecipazione al momento dell''operazione]))</f>
        <v/>
      </c>
      <c r="L181" s="175">
        <f>+SUMIF(B[Bene],Assegnazione[[#This Row],[Bene]],B[Valore catastale])*Assegnazione[[#This Row],[Quota di assegnazione]]</f>
        <v>0</v>
      </c>
      <c r="M1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5">
        <f>+MIN(Assegnazione[[#This Row],[Valore ai fini dell''atto]],Assegnazione[[#This Row],[Valore Fiscalmente riconosciuto]])</f>
        <v>0</v>
      </c>
      <c r="O181" s="149" t="str">
        <f>+IFERROR(VLOOKUP(Assegnazione[[#This Row],[Bene]],B[],MATCH($O$4,Beni!$A$4:$Z$4,0),0),"")</f>
        <v/>
      </c>
      <c r="P1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8">
        <f>+SUMIF(B[Bene],Assegnazione[[#This Row],[Bene]],B[Iva se dovuta])*Assegnazione[[#This Row],[Quota di assegnazione]]</f>
        <v>0</v>
      </c>
      <c r="S181" s="178">
        <f>+SUMIF(B[Bene],Assegnazione[[#This Row],[Bene]],B[Imposta di registro (fissa + prop) senza agevolazione])*Assegnazione[[#This Row],[Quota di assegnazione]]</f>
        <v>0</v>
      </c>
      <c r="T181" s="178">
        <f>+SUMIF(B[Bene],Assegnazione[[#This Row],[Bene]],B[Ipotecaria e catastale senza agevolazione])*Assegnazione[[#This Row],[Quota di assegnazione]]</f>
        <v>0</v>
      </c>
      <c r="U181" s="179">
        <f>+SUM(Assegnazione[[#This Row],[Tassazione diretta senza agevolazione]:[Ipotecaria e catastale senza agevolazione]])</f>
        <v>0</v>
      </c>
      <c r="V181" s="178">
        <f>+SUMIF(B[Bene],Assegnazione[[#This Row],[Bene]],B[Imponibile Imposta sostitutiva])*Assegnazione[[#This Row],[Quota di assegnazione]]*DATI!$E$27</f>
        <v>0</v>
      </c>
      <c r="W181" s="178">
        <f>+SUMIF(B[Bene],Assegnazione[[#This Row],[Bene]],B[Imposta di registro in misura fissa agevolata])*Assegnazione[[#This Row],[Quota di assegnazione]]</f>
        <v>0</v>
      </c>
      <c r="X181" s="178">
        <f>+SUMIF(B[Bene],Assegnazione[[#This Row],[Bene]],B[Imposta di registro prop. Agevolata])*Assegnazione[[#This Row],[Quota di assegnazione]]</f>
        <v>0</v>
      </c>
      <c r="Y181" s="178">
        <f>+IFERROR(Assegnazione[[#This Row],[Imposta di registro in misura fissa]]+Assegnazione[[#This Row],[Imposta di registro prop.]],"")</f>
        <v>0</v>
      </c>
      <c r="Z181" s="178">
        <f>+SUMIF(B[Bene],Assegnazione[[#This Row],[Bene]],B[Ipotecaria catastale agevolata])*Assegnazione[[#This Row],[Quota di assegnazione]]</f>
        <v>0</v>
      </c>
    </row>
    <row r="182" spans="1:26" x14ac:dyDescent="0.2">
      <c r="A182" s="126"/>
      <c r="B182" s="135"/>
      <c r="C182" s="126"/>
      <c r="D182" s="175">
        <f>+SUMIF(B[Bene],Assegnazione[[#This Row],[Bene]],B[Imponibile Iva])*Assegnazione[[#This Row],[Quota di assegnazione]]</f>
        <v>0</v>
      </c>
      <c r="E182" s="175">
        <f>+SUMIF(B[Bene],Assegnazione[[#This Row],[Bene]],B[Valore inserito manualmente])*Assegnazione[[#This Row],[Quota di assegnazione]]</f>
        <v>0</v>
      </c>
      <c r="F182" s="176" t="str">
        <f>+IF(A182="","",VLOOKUP(Assegnazione[[#This Row],[Bene]],B[],3,0))</f>
        <v/>
      </c>
      <c r="G182" s="132" t="str">
        <f>+IFERROR(VLOOKUP(Assegnazione[[#This Row],[Bene]],B[],MATCH("Agevolabile",Beni!$A$4:$AC$4,0),0)*VLOOKUP(Assegnazione[[#This Row],[Socio]],A_1[],8,0),"")</f>
        <v/>
      </c>
      <c r="H182" s="175">
        <f>+SUMIF(B[Bene],Assegnazione[[#This Row],[Bene]],B[Valore netto contabile fiscalmente riconosciuto])*Assegnazione[[#This Row],[Quota di assegnazione]]</f>
        <v>0</v>
      </c>
      <c r="I182" s="175">
        <f>+SUMIF(B[Bene],Assegnazione[[#This Row],[Bene]],B[Valore normale])*Assegnazione[[#This Row],[Quota di assegnazione]]</f>
        <v>0</v>
      </c>
      <c r="J182" s="177">
        <f>+IF(Assegnazione[[#This Row],[Bene]]="",0,SUMIF(Assegnazione[Socio],Assegnazione[[#This Row],[Socio]],Assegnazione[Valore Normale])/$I$3)</f>
        <v>0</v>
      </c>
      <c r="K182" s="177" t="str">
        <f>IF(Assegnazione[[#This Row],[Bene]]="","",SUMIF(A_1[Nome],Assegnazione[[#This Row],[Socio]],A_1[Quota partecipazione al momento dell''operazione]))</f>
        <v/>
      </c>
      <c r="L182" s="175">
        <f>+SUMIF(B[Bene],Assegnazione[[#This Row],[Bene]],B[Valore catastale])*Assegnazione[[#This Row],[Quota di assegnazione]]</f>
        <v>0</v>
      </c>
      <c r="M1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5">
        <f>+MIN(Assegnazione[[#This Row],[Valore ai fini dell''atto]],Assegnazione[[#This Row],[Valore Fiscalmente riconosciuto]])</f>
        <v>0</v>
      </c>
      <c r="O182" s="149" t="str">
        <f>+IFERROR(VLOOKUP(Assegnazione[[#This Row],[Bene]],B[],MATCH($O$4,Beni!$A$4:$Z$4,0),0),"")</f>
        <v/>
      </c>
      <c r="P1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8">
        <f>+SUMIF(B[Bene],Assegnazione[[#This Row],[Bene]],B[Iva se dovuta])*Assegnazione[[#This Row],[Quota di assegnazione]]</f>
        <v>0</v>
      </c>
      <c r="S182" s="178">
        <f>+SUMIF(B[Bene],Assegnazione[[#This Row],[Bene]],B[Imposta di registro (fissa + prop) senza agevolazione])*Assegnazione[[#This Row],[Quota di assegnazione]]</f>
        <v>0</v>
      </c>
      <c r="T182" s="178">
        <f>+SUMIF(B[Bene],Assegnazione[[#This Row],[Bene]],B[Ipotecaria e catastale senza agevolazione])*Assegnazione[[#This Row],[Quota di assegnazione]]</f>
        <v>0</v>
      </c>
      <c r="U182" s="179">
        <f>+SUM(Assegnazione[[#This Row],[Tassazione diretta senza agevolazione]:[Ipotecaria e catastale senza agevolazione]])</f>
        <v>0</v>
      </c>
      <c r="V182" s="178">
        <f>+SUMIF(B[Bene],Assegnazione[[#This Row],[Bene]],B[Imponibile Imposta sostitutiva])*Assegnazione[[#This Row],[Quota di assegnazione]]*DATI!$E$27</f>
        <v>0</v>
      </c>
      <c r="W182" s="178">
        <f>+SUMIF(B[Bene],Assegnazione[[#This Row],[Bene]],B[Imposta di registro in misura fissa agevolata])*Assegnazione[[#This Row],[Quota di assegnazione]]</f>
        <v>0</v>
      </c>
      <c r="X182" s="178">
        <f>+SUMIF(B[Bene],Assegnazione[[#This Row],[Bene]],B[Imposta di registro prop. Agevolata])*Assegnazione[[#This Row],[Quota di assegnazione]]</f>
        <v>0</v>
      </c>
      <c r="Y182" s="178">
        <f>+IFERROR(Assegnazione[[#This Row],[Imposta di registro in misura fissa]]+Assegnazione[[#This Row],[Imposta di registro prop.]],"")</f>
        <v>0</v>
      </c>
      <c r="Z182" s="178">
        <f>+SUMIF(B[Bene],Assegnazione[[#This Row],[Bene]],B[Ipotecaria catastale agevolata])*Assegnazione[[#This Row],[Quota di assegnazione]]</f>
        <v>0</v>
      </c>
    </row>
    <row r="183" spans="1:26" x14ac:dyDescent="0.2">
      <c r="A183" s="126"/>
      <c r="B183" s="135"/>
      <c r="C183" s="126"/>
      <c r="D183" s="175">
        <f>+SUMIF(B[Bene],Assegnazione[[#This Row],[Bene]],B[Imponibile Iva])*Assegnazione[[#This Row],[Quota di assegnazione]]</f>
        <v>0</v>
      </c>
      <c r="E183" s="175">
        <f>+SUMIF(B[Bene],Assegnazione[[#This Row],[Bene]],B[Valore inserito manualmente])*Assegnazione[[#This Row],[Quota di assegnazione]]</f>
        <v>0</v>
      </c>
      <c r="F183" s="176" t="str">
        <f>+IF(A183="","",VLOOKUP(Assegnazione[[#This Row],[Bene]],B[],3,0))</f>
        <v/>
      </c>
      <c r="G183" s="132" t="str">
        <f>+IFERROR(VLOOKUP(Assegnazione[[#This Row],[Bene]],B[],MATCH("Agevolabile",Beni!$A$4:$AC$4,0),0)*VLOOKUP(Assegnazione[[#This Row],[Socio]],A_1[],8,0),"")</f>
        <v/>
      </c>
      <c r="H183" s="175">
        <f>+SUMIF(B[Bene],Assegnazione[[#This Row],[Bene]],B[Valore netto contabile fiscalmente riconosciuto])*Assegnazione[[#This Row],[Quota di assegnazione]]</f>
        <v>0</v>
      </c>
      <c r="I183" s="175">
        <f>+SUMIF(B[Bene],Assegnazione[[#This Row],[Bene]],B[Valore normale])*Assegnazione[[#This Row],[Quota di assegnazione]]</f>
        <v>0</v>
      </c>
      <c r="J183" s="177">
        <f>+IF(Assegnazione[[#This Row],[Bene]]="",0,SUMIF(Assegnazione[Socio],Assegnazione[[#This Row],[Socio]],Assegnazione[Valore Normale])/$I$3)</f>
        <v>0</v>
      </c>
      <c r="K183" s="177" t="str">
        <f>IF(Assegnazione[[#This Row],[Bene]]="","",SUMIF(A_1[Nome],Assegnazione[[#This Row],[Socio]],A_1[Quota partecipazione al momento dell''operazione]))</f>
        <v/>
      </c>
      <c r="L183" s="175">
        <f>+SUMIF(B[Bene],Assegnazione[[#This Row],[Bene]],B[Valore catastale])*Assegnazione[[#This Row],[Quota di assegnazione]]</f>
        <v>0</v>
      </c>
      <c r="M1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5">
        <f>+MIN(Assegnazione[[#This Row],[Valore ai fini dell''atto]],Assegnazione[[#This Row],[Valore Fiscalmente riconosciuto]])</f>
        <v>0</v>
      </c>
      <c r="O183" s="149" t="str">
        <f>+IFERROR(VLOOKUP(Assegnazione[[#This Row],[Bene]],B[],MATCH($O$4,Beni!$A$4:$Z$4,0),0),"")</f>
        <v/>
      </c>
      <c r="P1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8">
        <f>+SUMIF(B[Bene],Assegnazione[[#This Row],[Bene]],B[Iva se dovuta])*Assegnazione[[#This Row],[Quota di assegnazione]]</f>
        <v>0</v>
      </c>
      <c r="S183" s="178">
        <f>+SUMIF(B[Bene],Assegnazione[[#This Row],[Bene]],B[Imposta di registro (fissa + prop) senza agevolazione])*Assegnazione[[#This Row],[Quota di assegnazione]]</f>
        <v>0</v>
      </c>
      <c r="T183" s="178">
        <f>+SUMIF(B[Bene],Assegnazione[[#This Row],[Bene]],B[Ipotecaria e catastale senza agevolazione])*Assegnazione[[#This Row],[Quota di assegnazione]]</f>
        <v>0</v>
      </c>
      <c r="U183" s="179">
        <f>+SUM(Assegnazione[[#This Row],[Tassazione diretta senza agevolazione]:[Ipotecaria e catastale senza agevolazione]])</f>
        <v>0</v>
      </c>
      <c r="V183" s="178">
        <f>+SUMIF(B[Bene],Assegnazione[[#This Row],[Bene]],B[Imponibile Imposta sostitutiva])*Assegnazione[[#This Row],[Quota di assegnazione]]*DATI!$E$27</f>
        <v>0</v>
      </c>
      <c r="W183" s="178">
        <f>+SUMIF(B[Bene],Assegnazione[[#This Row],[Bene]],B[Imposta di registro in misura fissa agevolata])*Assegnazione[[#This Row],[Quota di assegnazione]]</f>
        <v>0</v>
      </c>
      <c r="X183" s="178">
        <f>+SUMIF(B[Bene],Assegnazione[[#This Row],[Bene]],B[Imposta di registro prop. Agevolata])*Assegnazione[[#This Row],[Quota di assegnazione]]</f>
        <v>0</v>
      </c>
      <c r="Y183" s="178">
        <f>+IFERROR(Assegnazione[[#This Row],[Imposta di registro in misura fissa]]+Assegnazione[[#This Row],[Imposta di registro prop.]],"")</f>
        <v>0</v>
      </c>
      <c r="Z183" s="178">
        <f>+SUMIF(B[Bene],Assegnazione[[#This Row],[Bene]],B[Ipotecaria catastale agevolata])*Assegnazione[[#This Row],[Quota di assegnazione]]</f>
        <v>0</v>
      </c>
    </row>
    <row r="184" spans="1:26" x14ac:dyDescent="0.2">
      <c r="A184" s="126"/>
      <c r="B184" s="135"/>
      <c r="C184" s="126"/>
      <c r="D184" s="175">
        <f>+SUMIF(B[Bene],Assegnazione[[#This Row],[Bene]],B[Imponibile Iva])*Assegnazione[[#This Row],[Quota di assegnazione]]</f>
        <v>0</v>
      </c>
      <c r="E184" s="175">
        <f>+SUMIF(B[Bene],Assegnazione[[#This Row],[Bene]],B[Valore inserito manualmente])*Assegnazione[[#This Row],[Quota di assegnazione]]</f>
        <v>0</v>
      </c>
      <c r="F184" s="176" t="str">
        <f>+IF(A184="","",VLOOKUP(Assegnazione[[#This Row],[Bene]],B[],3,0))</f>
        <v/>
      </c>
      <c r="G184" s="132" t="str">
        <f>+IFERROR(VLOOKUP(Assegnazione[[#This Row],[Bene]],B[],MATCH("Agevolabile",Beni!$A$4:$AC$4,0),0)*VLOOKUP(Assegnazione[[#This Row],[Socio]],A_1[],8,0),"")</f>
        <v/>
      </c>
      <c r="H184" s="175">
        <f>+SUMIF(B[Bene],Assegnazione[[#This Row],[Bene]],B[Valore netto contabile fiscalmente riconosciuto])*Assegnazione[[#This Row],[Quota di assegnazione]]</f>
        <v>0</v>
      </c>
      <c r="I184" s="175">
        <f>+SUMIF(B[Bene],Assegnazione[[#This Row],[Bene]],B[Valore normale])*Assegnazione[[#This Row],[Quota di assegnazione]]</f>
        <v>0</v>
      </c>
      <c r="J184" s="177">
        <f>+IF(Assegnazione[[#This Row],[Bene]]="",0,SUMIF(Assegnazione[Socio],Assegnazione[[#This Row],[Socio]],Assegnazione[Valore Normale])/$I$3)</f>
        <v>0</v>
      </c>
      <c r="K184" s="177" t="str">
        <f>IF(Assegnazione[[#This Row],[Bene]]="","",SUMIF(A_1[Nome],Assegnazione[[#This Row],[Socio]],A_1[Quota partecipazione al momento dell''operazione]))</f>
        <v/>
      </c>
      <c r="L184" s="175">
        <f>+SUMIF(B[Bene],Assegnazione[[#This Row],[Bene]],B[Valore catastale])*Assegnazione[[#This Row],[Quota di assegnazione]]</f>
        <v>0</v>
      </c>
      <c r="M1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5">
        <f>+MIN(Assegnazione[[#This Row],[Valore ai fini dell''atto]],Assegnazione[[#This Row],[Valore Fiscalmente riconosciuto]])</f>
        <v>0</v>
      </c>
      <c r="O184" s="149" t="str">
        <f>+IFERROR(VLOOKUP(Assegnazione[[#This Row],[Bene]],B[],MATCH($O$4,Beni!$A$4:$Z$4,0),0),"")</f>
        <v/>
      </c>
      <c r="P1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8">
        <f>+SUMIF(B[Bene],Assegnazione[[#This Row],[Bene]],B[Iva se dovuta])*Assegnazione[[#This Row],[Quota di assegnazione]]</f>
        <v>0</v>
      </c>
      <c r="S184" s="178">
        <f>+SUMIF(B[Bene],Assegnazione[[#This Row],[Bene]],B[Imposta di registro (fissa + prop) senza agevolazione])*Assegnazione[[#This Row],[Quota di assegnazione]]</f>
        <v>0</v>
      </c>
      <c r="T184" s="178">
        <f>+SUMIF(B[Bene],Assegnazione[[#This Row],[Bene]],B[Ipotecaria e catastale senza agevolazione])*Assegnazione[[#This Row],[Quota di assegnazione]]</f>
        <v>0</v>
      </c>
      <c r="U184" s="179">
        <f>+SUM(Assegnazione[[#This Row],[Tassazione diretta senza agevolazione]:[Ipotecaria e catastale senza agevolazione]])</f>
        <v>0</v>
      </c>
      <c r="V184" s="178">
        <f>+SUMIF(B[Bene],Assegnazione[[#This Row],[Bene]],B[Imponibile Imposta sostitutiva])*Assegnazione[[#This Row],[Quota di assegnazione]]*DATI!$E$27</f>
        <v>0</v>
      </c>
      <c r="W184" s="178">
        <f>+SUMIF(B[Bene],Assegnazione[[#This Row],[Bene]],B[Imposta di registro in misura fissa agevolata])*Assegnazione[[#This Row],[Quota di assegnazione]]</f>
        <v>0</v>
      </c>
      <c r="X184" s="178">
        <f>+SUMIF(B[Bene],Assegnazione[[#This Row],[Bene]],B[Imposta di registro prop. Agevolata])*Assegnazione[[#This Row],[Quota di assegnazione]]</f>
        <v>0</v>
      </c>
      <c r="Y184" s="178">
        <f>+IFERROR(Assegnazione[[#This Row],[Imposta di registro in misura fissa]]+Assegnazione[[#This Row],[Imposta di registro prop.]],"")</f>
        <v>0</v>
      </c>
      <c r="Z184" s="178">
        <f>+SUMIF(B[Bene],Assegnazione[[#This Row],[Bene]],B[Ipotecaria catastale agevolata])*Assegnazione[[#This Row],[Quota di assegnazione]]</f>
        <v>0</v>
      </c>
    </row>
    <row r="185" spans="1:26" x14ac:dyDescent="0.2">
      <c r="A185" s="126"/>
      <c r="B185" s="135"/>
      <c r="C185" s="126"/>
      <c r="D185" s="175">
        <f>+SUMIF(B[Bene],Assegnazione[[#This Row],[Bene]],B[Imponibile Iva])*Assegnazione[[#This Row],[Quota di assegnazione]]</f>
        <v>0</v>
      </c>
      <c r="E185" s="175">
        <f>+SUMIF(B[Bene],Assegnazione[[#This Row],[Bene]],B[Valore inserito manualmente])*Assegnazione[[#This Row],[Quota di assegnazione]]</f>
        <v>0</v>
      </c>
      <c r="F185" s="176" t="str">
        <f>+IF(A185="","",VLOOKUP(Assegnazione[[#This Row],[Bene]],B[],3,0))</f>
        <v/>
      </c>
      <c r="G185" s="132" t="str">
        <f>+IFERROR(VLOOKUP(Assegnazione[[#This Row],[Bene]],B[],MATCH("Agevolabile",Beni!$A$4:$AC$4,0),0)*VLOOKUP(Assegnazione[[#This Row],[Socio]],A_1[],8,0),"")</f>
        <v/>
      </c>
      <c r="H185" s="175">
        <f>+SUMIF(B[Bene],Assegnazione[[#This Row],[Bene]],B[Valore netto contabile fiscalmente riconosciuto])*Assegnazione[[#This Row],[Quota di assegnazione]]</f>
        <v>0</v>
      </c>
      <c r="I185" s="175">
        <f>+SUMIF(B[Bene],Assegnazione[[#This Row],[Bene]],B[Valore normale])*Assegnazione[[#This Row],[Quota di assegnazione]]</f>
        <v>0</v>
      </c>
      <c r="J185" s="177">
        <f>+IF(Assegnazione[[#This Row],[Bene]]="",0,SUMIF(Assegnazione[Socio],Assegnazione[[#This Row],[Socio]],Assegnazione[Valore Normale])/$I$3)</f>
        <v>0</v>
      </c>
      <c r="K185" s="177" t="str">
        <f>IF(Assegnazione[[#This Row],[Bene]]="","",SUMIF(A_1[Nome],Assegnazione[[#This Row],[Socio]],A_1[Quota partecipazione al momento dell''operazione]))</f>
        <v/>
      </c>
      <c r="L185" s="175">
        <f>+SUMIF(B[Bene],Assegnazione[[#This Row],[Bene]],B[Valore catastale])*Assegnazione[[#This Row],[Quota di assegnazione]]</f>
        <v>0</v>
      </c>
      <c r="M1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5">
        <f>+MIN(Assegnazione[[#This Row],[Valore ai fini dell''atto]],Assegnazione[[#This Row],[Valore Fiscalmente riconosciuto]])</f>
        <v>0</v>
      </c>
      <c r="O185" s="149" t="str">
        <f>+IFERROR(VLOOKUP(Assegnazione[[#This Row],[Bene]],B[],MATCH($O$4,Beni!$A$4:$Z$4,0),0),"")</f>
        <v/>
      </c>
      <c r="P1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8">
        <f>+SUMIF(B[Bene],Assegnazione[[#This Row],[Bene]],B[Iva se dovuta])*Assegnazione[[#This Row],[Quota di assegnazione]]</f>
        <v>0</v>
      </c>
      <c r="S185" s="178">
        <f>+SUMIF(B[Bene],Assegnazione[[#This Row],[Bene]],B[Imposta di registro (fissa + prop) senza agevolazione])*Assegnazione[[#This Row],[Quota di assegnazione]]</f>
        <v>0</v>
      </c>
      <c r="T185" s="178">
        <f>+SUMIF(B[Bene],Assegnazione[[#This Row],[Bene]],B[Ipotecaria e catastale senza agevolazione])*Assegnazione[[#This Row],[Quota di assegnazione]]</f>
        <v>0</v>
      </c>
      <c r="U185" s="179">
        <f>+SUM(Assegnazione[[#This Row],[Tassazione diretta senza agevolazione]:[Ipotecaria e catastale senza agevolazione]])</f>
        <v>0</v>
      </c>
      <c r="V185" s="178">
        <f>+SUMIF(B[Bene],Assegnazione[[#This Row],[Bene]],B[Imponibile Imposta sostitutiva])*Assegnazione[[#This Row],[Quota di assegnazione]]*DATI!$E$27</f>
        <v>0</v>
      </c>
      <c r="W185" s="178">
        <f>+SUMIF(B[Bene],Assegnazione[[#This Row],[Bene]],B[Imposta di registro in misura fissa agevolata])*Assegnazione[[#This Row],[Quota di assegnazione]]</f>
        <v>0</v>
      </c>
      <c r="X185" s="178">
        <f>+SUMIF(B[Bene],Assegnazione[[#This Row],[Bene]],B[Imposta di registro prop. Agevolata])*Assegnazione[[#This Row],[Quota di assegnazione]]</f>
        <v>0</v>
      </c>
      <c r="Y185" s="178">
        <f>+IFERROR(Assegnazione[[#This Row],[Imposta di registro in misura fissa]]+Assegnazione[[#This Row],[Imposta di registro prop.]],"")</f>
        <v>0</v>
      </c>
      <c r="Z185" s="178">
        <f>+SUMIF(B[Bene],Assegnazione[[#This Row],[Bene]],B[Ipotecaria catastale agevolata])*Assegnazione[[#This Row],[Quota di assegnazione]]</f>
        <v>0</v>
      </c>
    </row>
    <row r="186" spans="1:26" x14ac:dyDescent="0.2">
      <c r="A186" s="126"/>
      <c r="B186" s="135"/>
      <c r="C186" s="126"/>
      <c r="D186" s="175">
        <f>+SUMIF(B[Bene],Assegnazione[[#This Row],[Bene]],B[Imponibile Iva])*Assegnazione[[#This Row],[Quota di assegnazione]]</f>
        <v>0</v>
      </c>
      <c r="E186" s="175">
        <f>+SUMIF(B[Bene],Assegnazione[[#This Row],[Bene]],B[Valore inserito manualmente])*Assegnazione[[#This Row],[Quota di assegnazione]]</f>
        <v>0</v>
      </c>
      <c r="F186" s="176" t="str">
        <f>+IF(A186="","",VLOOKUP(Assegnazione[[#This Row],[Bene]],B[],3,0))</f>
        <v/>
      </c>
      <c r="G186" s="132" t="str">
        <f>+IFERROR(VLOOKUP(Assegnazione[[#This Row],[Bene]],B[],MATCH("Agevolabile",Beni!$A$4:$AC$4,0),0)*VLOOKUP(Assegnazione[[#This Row],[Socio]],A_1[],8,0),"")</f>
        <v/>
      </c>
      <c r="H186" s="175">
        <f>+SUMIF(B[Bene],Assegnazione[[#This Row],[Bene]],B[Valore netto contabile fiscalmente riconosciuto])*Assegnazione[[#This Row],[Quota di assegnazione]]</f>
        <v>0</v>
      </c>
      <c r="I186" s="175">
        <f>+SUMIF(B[Bene],Assegnazione[[#This Row],[Bene]],B[Valore normale])*Assegnazione[[#This Row],[Quota di assegnazione]]</f>
        <v>0</v>
      </c>
      <c r="J186" s="177">
        <f>+IF(Assegnazione[[#This Row],[Bene]]="",0,SUMIF(Assegnazione[Socio],Assegnazione[[#This Row],[Socio]],Assegnazione[Valore Normale])/$I$3)</f>
        <v>0</v>
      </c>
      <c r="K186" s="177" t="str">
        <f>IF(Assegnazione[[#This Row],[Bene]]="","",SUMIF(A_1[Nome],Assegnazione[[#This Row],[Socio]],A_1[Quota partecipazione al momento dell''operazione]))</f>
        <v/>
      </c>
      <c r="L186" s="175">
        <f>+SUMIF(B[Bene],Assegnazione[[#This Row],[Bene]],B[Valore catastale])*Assegnazione[[#This Row],[Quota di assegnazione]]</f>
        <v>0</v>
      </c>
      <c r="M1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5">
        <f>+MIN(Assegnazione[[#This Row],[Valore ai fini dell''atto]],Assegnazione[[#This Row],[Valore Fiscalmente riconosciuto]])</f>
        <v>0</v>
      </c>
      <c r="O186" s="149" t="str">
        <f>+IFERROR(VLOOKUP(Assegnazione[[#This Row],[Bene]],B[],MATCH($O$4,Beni!$A$4:$Z$4,0),0),"")</f>
        <v/>
      </c>
      <c r="P1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8">
        <f>+SUMIF(B[Bene],Assegnazione[[#This Row],[Bene]],B[Iva se dovuta])*Assegnazione[[#This Row],[Quota di assegnazione]]</f>
        <v>0</v>
      </c>
      <c r="S186" s="178">
        <f>+SUMIF(B[Bene],Assegnazione[[#This Row],[Bene]],B[Imposta di registro (fissa + prop) senza agevolazione])*Assegnazione[[#This Row],[Quota di assegnazione]]</f>
        <v>0</v>
      </c>
      <c r="T186" s="178">
        <f>+SUMIF(B[Bene],Assegnazione[[#This Row],[Bene]],B[Ipotecaria e catastale senza agevolazione])*Assegnazione[[#This Row],[Quota di assegnazione]]</f>
        <v>0</v>
      </c>
      <c r="U186" s="179">
        <f>+SUM(Assegnazione[[#This Row],[Tassazione diretta senza agevolazione]:[Ipotecaria e catastale senza agevolazione]])</f>
        <v>0</v>
      </c>
      <c r="V186" s="178">
        <f>+SUMIF(B[Bene],Assegnazione[[#This Row],[Bene]],B[Imponibile Imposta sostitutiva])*Assegnazione[[#This Row],[Quota di assegnazione]]*DATI!$E$27</f>
        <v>0</v>
      </c>
      <c r="W186" s="178">
        <f>+SUMIF(B[Bene],Assegnazione[[#This Row],[Bene]],B[Imposta di registro in misura fissa agevolata])*Assegnazione[[#This Row],[Quota di assegnazione]]</f>
        <v>0</v>
      </c>
      <c r="X186" s="178">
        <f>+SUMIF(B[Bene],Assegnazione[[#This Row],[Bene]],B[Imposta di registro prop. Agevolata])*Assegnazione[[#This Row],[Quota di assegnazione]]</f>
        <v>0</v>
      </c>
      <c r="Y186" s="178">
        <f>+IFERROR(Assegnazione[[#This Row],[Imposta di registro in misura fissa]]+Assegnazione[[#This Row],[Imposta di registro prop.]],"")</f>
        <v>0</v>
      </c>
      <c r="Z186" s="178">
        <f>+SUMIF(B[Bene],Assegnazione[[#This Row],[Bene]],B[Ipotecaria catastale agevolata])*Assegnazione[[#This Row],[Quota di assegnazione]]</f>
        <v>0</v>
      </c>
    </row>
    <row r="187" spans="1:26" x14ac:dyDescent="0.2">
      <c r="A187" s="126"/>
      <c r="B187" s="135"/>
      <c r="C187" s="126"/>
      <c r="D187" s="175">
        <f>+SUMIF(B[Bene],Assegnazione[[#This Row],[Bene]],B[Imponibile Iva])*Assegnazione[[#This Row],[Quota di assegnazione]]</f>
        <v>0</v>
      </c>
      <c r="E187" s="175">
        <f>+SUMIF(B[Bene],Assegnazione[[#This Row],[Bene]],B[Valore inserito manualmente])*Assegnazione[[#This Row],[Quota di assegnazione]]</f>
        <v>0</v>
      </c>
      <c r="F187" s="176" t="str">
        <f>+IF(A187="","",VLOOKUP(Assegnazione[[#This Row],[Bene]],B[],3,0))</f>
        <v/>
      </c>
      <c r="G187" s="132" t="str">
        <f>+IFERROR(VLOOKUP(Assegnazione[[#This Row],[Bene]],B[],MATCH("Agevolabile",Beni!$A$4:$AC$4,0),0)*VLOOKUP(Assegnazione[[#This Row],[Socio]],A_1[],8,0),"")</f>
        <v/>
      </c>
      <c r="H187" s="175">
        <f>+SUMIF(B[Bene],Assegnazione[[#This Row],[Bene]],B[Valore netto contabile fiscalmente riconosciuto])*Assegnazione[[#This Row],[Quota di assegnazione]]</f>
        <v>0</v>
      </c>
      <c r="I187" s="175">
        <f>+SUMIF(B[Bene],Assegnazione[[#This Row],[Bene]],B[Valore normale])*Assegnazione[[#This Row],[Quota di assegnazione]]</f>
        <v>0</v>
      </c>
      <c r="J187" s="177">
        <f>+IF(Assegnazione[[#This Row],[Bene]]="",0,SUMIF(Assegnazione[Socio],Assegnazione[[#This Row],[Socio]],Assegnazione[Valore Normale])/$I$3)</f>
        <v>0</v>
      </c>
      <c r="K187" s="177" t="str">
        <f>IF(Assegnazione[[#This Row],[Bene]]="","",SUMIF(A_1[Nome],Assegnazione[[#This Row],[Socio]],A_1[Quota partecipazione al momento dell''operazione]))</f>
        <v/>
      </c>
      <c r="L187" s="175">
        <f>+SUMIF(B[Bene],Assegnazione[[#This Row],[Bene]],B[Valore catastale])*Assegnazione[[#This Row],[Quota di assegnazione]]</f>
        <v>0</v>
      </c>
      <c r="M1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5">
        <f>+MIN(Assegnazione[[#This Row],[Valore ai fini dell''atto]],Assegnazione[[#This Row],[Valore Fiscalmente riconosciuto]])</f>
        <v>0</v>
      </c>
      <c r="O187" s="149" t="str">
        <f>+IFERROR(VLOOKUP(Assegnazione[[#This Row],[Bene]],B[],MATCH($O$4,Beni!$A$4:$Z$4,0),0),"")</f>
        <v/>
      </c>
      <c r="P1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8">
        <f>+SUMIF(B[Bene],Assegnazione[[#This Row],[Bene]],B[Iva se dovuta])*Assegnazione[[#This Row],[Quota di assegnazione]]</f>
        <v>0</v>
      </c>
      <c r="S187" s="178">
        <f>+SUMIF(B[Bene],Assegnazione[[#This Row],[Bene]],B[Imposta di registro (fissa + prop) senza agevolazione])*Assegnazione[[#This Row],[Quota di assegnazione]]</f>
        <v>0</v>
      </c>
      <c r="T187" s="178">
        <f>+SUMIF(B[Bene],Assegnazione[[#This Row],[Bene]],B[Ipotecaria e catastale senza agevolazione])*Assegnazione[[#This Row],[Quota di assegnazione]]</f>
        <v>0</v>
      </c>
      <c r="U187" s="179">
        <f>+SUM(Assegnazione[[#This Row],[Tassazione diretta senza agevolazione]:[Ipotecaria e catastale senza agevolazione]])</f>
        <v>0</v>
      </c>
      <c r="V187" s="178">
        <f>+SUMIF(B[Bene],Assegnazione[[#This Row],[Bene]],B[Imponibile Imposta sostitutiva])*Assegnazione[[#This Row],[Quota di assegnazione]]*DATI!$E$27</f>
        <v>0</v>
      </c>
      <c r="W187" s="178">
        <f>+SUMIF(B[Bene],Assegnazione[[#This Row],[Bene]],B[Imposta di registro in misura fissa agevolata])*Assegnazione[[#This Row],[Quota di assegnazione]]</f>
        <v>0</v>
      </c>
      <c r="X187" s="178">
        <f>+SUMIF(B[Bene],Assegnazione[[#This Row],[Bene]],B[Imposta di registro prop. Agevolata])*Assegnazione[[#This Row],[Quota di assegnazione]]</f>
        <v>0</v>
      </c>
      <c r="Y187" s="178">
        <f>+IFERROR(Assegnazione[[#This Row],[Imposta di registro in misura fissa]]+Assegnazione[[#This Row],[Imposta di registro prop.]],"")</f>
        <v>0</v>
      </c>
      <c r="Z187" s="178">
        <f>+SUMIF(B[Bene],Assegnazione[[#This Row],[Bene]],B[Ipotecaria catastale agevolata])*Assegnazione[[#This Row],[Quota di assegnazione]]</f>
        <v>0</v>
      </c>
    </row>
    <row r="188" spans="1:26" x14ac:dyDescent="0.2">
      <c r="A188" s="126"/>
      <c r="B188" s="135"/>
      <c r="C188" s="126"/>
      <c r="D188" s="175">
        <f>+SUMIF(B[Bene],Assegnazione[[#This Row],[Bene]],B[Imponibile Iva])*Assegnazione[[#This Row],[Quota di assegnazione]]</f>
        <v>0</v>
      </c>
      <c r="E188" s="175">
        <f>+SUMIF(B[Bene],Assegnazione[[#This Row],[Bene]],B[Valore inserito manualmente])*Assegnazione[[#This Row],[Quota di assegnazione]]</f>
        <v>0</v>
      </c>
      <c r="F188" s="176" t="str">
        <f>+IF(A188="","",VLOOKUP(Assegnazione[[#This Row],[Bene]],B[],3,0))</f>
        <v/>
      </c>
      <c r="G188" s="132" t="str">
        <f>+IFERROR(VLOOKUP(Assegnazione[[#This Row],[Bene]],B[],MATCH("Agevolabile",Beni!$A$4:$AC$4,0),0)*VLOOKUP(Assegnazione[[#This Row],[Socio]],A_1[],8,0),"")</f>
        <v/>
      </c>
      <c r="H188" s="175">
        <f>+SUMIF(B[Bene],Assegnazione[[#This Row],[Bene]],B[Valore netto contabile fiscalmente riconosciuto])*Assegnazione[[#This Row],[Quota di assegnazione]]</f>
        <v>0</v>
      </c>
      <c r="I188" s="175">
        <f>+SUMIF(B[Bene],Assegnazione[[#This Row],[Bene]],B[Valore normale])*Assegnazione[[#This Row],[Quota di assegnazione]]</f>
        <v>0</v>
      </c>
      <c r="J188" s="177">
        <f>+IF(Assegnazione[[#This Row],[Bene]]="",0,SUMIF(Assegnazione[Socio],Assegnazione[[#This Row],[Socio]],Assegnazione[Valore Normale])/$I$3)</f>
        <v>0</v>
      </c>
      <c r="K188" s="177" t="str">
        <f>IF(Assegnazione[[#This Row],[Bene]]="","",SUMIF(A_1[Nome],Assegnazione[[#This Row],[Socio]],A_1[Quota partecipazione al momento dell''operazione]))</f>
        <v/>
      </c>
      <c r="L188" s="175">
        <f>+SUMIF(B[Bene],Assegnazione[[#This Row],[Bene]],B[Valore catastale])*Assegnazione[[#This Row],[Quota di assegnazione]]</f>
        <v>0</v>
      </c>
      <c r="M1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5">
        <f>+MIN(Assegnazione[[#This Row],[Valore ai fini dell''atto]],Assegnazione[[#This Row],[Valore Fiscalmente riconosciuto]])</f>
        <v>0</v>
      </c>
      <c r="O188" s="149" t="str">
        <f>+IFERROR(VLOOKUP(Assegnazione[[#This Row],[Bene]],B[],MATCH($O$4,Beni!$A$4:$Z$4,0),0),"")</f>
        <v/>
      </c>
      <c r="P1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8">
        <f>+SUMIF(B[Bene],Assegnazione[[#This Row],[Bene]],B[Iva se dovuta])*Assegnazione[[#This Row],[Quota di assegnazione]]</f>
        <v>0</v>
      </c>
      <c r="S188" s="178">
        <f>+SUMIF(B[Bene],Assegnazione[[#This Row],[Bene]],B[Imposta di registro (fissa + prop) senza agevolazione])*Assegnazione[[#This Row],[Quota di assegnazione]]</f>
        <v>0</v>
      </c>
      <c r="T188" s="178">
        <f>+SUMIF(B[Bene],Assegnazione[[#This Row],[Bene]],B[Ipotecaria e catastale senza agevolazione])*Assegnazione[[#This Row],[Quota di assegnazione]]</f>
        <v>0</v>
      </c>
      <c r="U188" s="179">
        <f>+SUM(Assegnazione[[#This Row],[Tassazione diretta senza agevolazione]:[Ipotecaria e catastale senza agevolazione]])</f>
        <v>0</v>
      </c>
      <c r="V188" s="178">
        <f>+SUMIF(B[Bene],Assegnazione[[#This Row],[Bene]],B[Imponibile Imposta sostitutiva])*Assegnazione[[#This Row],[Quota di assegnazione]]*DATI!$E$27</f>
        <v>0</v>
      </c>
      <c r="W188" s="178">
        <f>+SUMIF(B[Bene],Assegnazione[[#This Row],[Bene]],B[Imposta di registro in misura fissa agevolata])*Assegnazione[[#This Row],[Quota di assegnazione]]</f>
        <v>0</v>
      </c>
      <c r="X188" s="178">
        <f>+SUMIF(B[Bene],Assegnazione[[#This Row],[Bene]],B[Imposta di registro prop. Agevolata])*Assegnazione[[#This Row],[Quota di assegnazione]]</f>
        <v>0</v>
      </c>
      <c r="Y188" s="178">
        <f>+IFERROR(Assegnazione[[#This Row],[Imposta di registro in misura fissa]]+Assegnazione[[#This Row],[Imposta di registro prop.]],"")</f>
        <v>0</v>
      </c>
      <c r="Z188" s="178">
        <f>+SUMIF(B[Bene],Assegnazione[[#This Row],[Bene]],B[Ipotecaria catastale agevolata])*Assegnazione[[#This Row],[Quota di assegnazione]]</f>
        <v>0</v>
      </c>
    </row>
    <row r="189" spans="1:26" x14ac:dyDescent="0.2">
      <c r="A189" s="126"/>
      <c r="B189" s="135"/>
      <c r="C189" s="126"/>
      <c r="D189" s="175">
        <f>+SUMIF(B[Bene],Assegnazione[[#This Row],[Bene]],B[Imponibile Iva])*Assegnazione[[#This Row],[Quota di assegnazione]]</f>
        <v>0</v>
      </c>
      <c r="E189" s="175">
        <f>+SUMIF(B[Bene],Assegnazione[[#This Row],[Bene]],B[Valore inserito manualmente])*Assegnazione[[#This Row],[Quota di assegnazione]]</f>
        <v>0</v>
      </c>
      <c r="F189" s="176" t="str">
        <f>+IF(A189="","",VLOOKUP(Assegnazione[[#This Row],[Bene]],B[],3,0))</f>
        <v/>
      </c>
      <c r="G189" s="132" t="str">
        <f>+IFERROR(VLOOKUP(Assegnazione[[#This Row],[Bene]],B[],MATCH("Agevolabile",Beni!$A$4:$AC$4,0),0)*VLOOKUP(Assegnazione[[#This Row],[Socio]],A_1[],8,0),"")</f>
        <v/>
      </c>
      <c r="H189" s="175">
        <f>+SUMIF(B[Bene],Assegnazione[[#This Row],[Bene]],B[Valore netto contabile fiscalmente riconosciuto])*Assegnazione[[#This Row],[Quota di assegnazione]]</f>
        <v>0</v>
      </c>
      <c r="I189" s="175">
        <f>+SUMIF(B[Bene],Assegnazione[[#This Row],[Bene]],B[Valore normale])*Assegnazione[[#This Row],[Quota di assegnazione]]</f>
        <v>0</v>
      </c>
      <c r="J189" s="177">
        <f>+IF(Assegnazione[[#This Row],[Bene]]="",0,SUMIF(Assegnazione[Socio],Assegnazione[[#This Row],[Socio]],Assegnazione[Valore Normale])/$I$3)</f>
        <v>0</v>
      </c>
      <c r="K189" s="177" t="str">
        <f>IF(Assegnazione[[#This Row],[Bene]]="","",SUMIF(A_1[Nome],Assegnazione[[#This Row],[Socio]],A_1[Quota partecipazione al momento dell''operazione]))</f>
        <v/>
      </c>
      <c r="L189" s="175">
        <f>+SUMIF(B[Bene],Assegnazione[[#This Row],[Bene]],B[Valore catastale])*Assegnazione[[#This Row],[Quota di assegnazione]]</f>
        <v>0</v>
      </c>
      <c r="M1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5">
        <f>+MIN(Assegnazione[[#This Row],[Valore ai fini dell''atto]],Assegnazione[[#This Row],[Valore Fiscalmente riconosciuto]])</f>
        <v>0</v>
      </c>
      <c r="O189" s="149" t="str">
        <f>+IFERROR(VLOOKUP(Assegnazione[[#This Row],[Bene]],B[],MATCH($O$4,Beni!$A$4:$Z$4,0),0),"")</f>
        <v/>
      </c>
      <c r="P1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8">
        <f>+SUMIF(B[Bene],Assegnazione[[#This Row],[Bene]],B[Iva se dovuta])*Assegnazione[[#This Row],[Quota di assegnazione]]</f>
        <v>0</v>
      </c>
      <c r="S189" s="178">
        <f>+SUMIF(B[Bene],Assegnazione[[#This Row],[Bene]],B[Imposta di registro (fissa + prop) senza agevolazione])*Assegnazione[[#This Row],[Quota di assegnazione]]</f>
        <v>0</v>
      </c>
      <c r="T189" s="178">
        <f>+SUMIF(B[Bene],Assegnazione[[#This Row],[Bene]],B[Ipotecaria e catastale senza agevolazione])*Assegnazione[[#This Row],[Quota di assegnazione]]</f>
        <v>0</v>
      </c>
      <c r="U189" s="179">
        <f>+SUM(Assegnazione[[#This Row],[Tassazione diretta senza agevolazione]:[Ipotecaria e catastale senza agevolazione]])</f>
        <v>0</v>
      </c>
      <c r="V189" s="178">
        <f>+SUMIF(B[Bene],Assegnazione[[#This Row],[Bene]],B[Imponibile Imposta sostitutiva])*Assegnazione[[#This Row],[Quota di assegnazione]]*DATI!$E$27</f>
        <v>0</v>
      </c>
      <c r="W189" s="178">
        <f>+SUMIF(B[Bene],Assegnazione[[#This Row],[Bene]],B[Imposta di registro in misura fissa agevolata])*Assegnazione[[#This Row],[Quota di assegnazione]]</f>
        <v>0</v>
      </c>
      <c r="X189" s="178">
        <f>+SUMIF(B[Bene],Assegnazione[[#This Row],[Bene]],B[Imposta di registro prop. Agevolata])*Assegnazione[[#This Row],[Quota di assegnazione]]</f>
        <v>0</v>
      </c>
      <c r="Y189" s="178">
        <f>+IFERROR(Assegnazione[[#This Row],[Imposta di registro in misura fissa]]+Assegnazione[[#This Row],[Imposta di registro prop.]],"")</f>
        <v>0</v>
      </c>
      <c r="Z189" s="178">
        <f>+SUMIF(B[Bene],Assegnazione[[#This Row],[Bene]],B[Ipotecaria catastale agevolata])*Assegnazione[[#This Row],[Quota di assegnazione]]</f>
        <v>0</v>
      </c>
    </row>
    <row r="190" spans="1:26" x14ac:dyDescent="0.2">
      <c r="A190" s="126"/>
      <c r="B190" s="135"/>
      <c r="C190" s="126"/>
      <c r="D190" s="175">
        <f>+SUMIF(B[Bene],Assegnazione[[#This Row],[Bene]],B[Imponibile Iva])*Assegnazione[[#This Row],[Quota di assegnazione]]</f>
        <v>0</v>
      </c>
      <c r="E190" s="175">
        <f>+SUMIF(B[Bene],Assegnazione[[#This Row],[Bene]],B[Valore inserito manualmente])*Assegnazione[[#This Row],[Quota di assegnazione]]</f>
        <v>0</v>
      </c>
      <c r="F190" s="176" t="str">
        <f>+IF(A190="","",VLOOKUP(Assegnazione[[#This Row],[Bene]],B[],3,0))</f>
        <v/>
      </c>
      <c r="G190" s="132" t="str">
        <f>+IFERROR(VLOOKUP(Assegnazione[[#This Row],[Bene]],B[],MATCH("Agevolabile",Beni!$A$4:$AC$4,0),0)*VLOOKUP(Assegnazione[[#This Row],[Socio]],A_1[],8,0),"")</f>
        <v/>
      </c>
      <c r="H190" s="175">
        <f>+SUMIF(B[Bene],Assegnazione[[#This Row],[Bene]],B[Valore netto contabile fiscalmente riconosciuto])*Assegnazione[[#This Row],[Quota di assegnazione]]</f>
        <v>0</v>
      </c>
      <c r="I190" s="175">
        <f>+SUMIF(B[Bene],Assegnazione[[#This Row],[Bene]],B[Valore normale])*Assegnazione[[#This Row],[Quota di assegnazione]]</f>
        <v>0</v>
      </c>
      <c r="J190" s="177">
        <f>+IF(Assegnazione[[#This Row],[Bene]]="",0,SUMIF(Assegnazione[Socio],Assegnazione[[#This Row],[Socio]],Assegnazione[Valore Normale])/$I$3)</f>
        <v>0</v>
      </c>
      <c r="K190" s="177" t="str">
        <f>IF(Assegnazione[[#This Row],[Bene]]="","",SUMIF(A_1[Nome],Assegnazione[[#This Row],[Socio]],A_1[Quota partecipazione al momento dell''operazione]))</f>
        <v/>
      </c>
      <c r="L190" s="175">
        <f>+SUMIF(B[Bene],Assegnazione[[#This Row],[Bene]],B[Valore catastale])*Assegnazione[[#This Row],[Quota di assegnazione]]</f>
        <v>0</v>
      </c>
      <c r="M1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5">
        <f>+MIN(Assegnazione[[#This Row],[Valore ai fini dell''atto]],Assegnazione[[#This Row],[Valore Fiscalmente riconosciuto]])</f>
        <v>0</v>
      </c>
      <c r="O190" s="149" t="str">
        <f>+IFERROR(VLOOKUP(Assegnazione[[#This Row],[Bene]],B[],MATCH($O$4,Beni!$A$4:$Z$4,0),0),"")</f>
        <v/>
      </c>
      <c r="P1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8">
        <f>+SUMIF(B[Bene],Assegnazione[[#This Row],[Bene]],B[Iva se dovuta])*Assegnazione[[#This Row],[Quota di assegnazione]]</f>
        <v>0</v>
      </c>
      <c r="S190" s="178">
        <f>+SUMIF(B[Bene],Assegnazione[[#This Row],[Bene]],B[Imposta di registro (fissa + prop) senza agevolazione])*Assegnazione[[#This Row],[Quota di assegnazione]]</f>
        <v>0</v>
      </c>
      <c r="T190" s="178">
        <f>+SUMIF(B[Bene],Assegnazione[[#This Row],[Bene]],B[Ipotecaria e catastale senza agevolazione])*Assegnazione[[#This Row],[Quota di assegnazione]]</f>
        <v>0</v>
      </c>
      <c r="U190" s="179">
        <f>+SUM(Assegnazione[[#This Row],[Tassazione diretta senza agevolazione]:[Ipotecaria e catastale senza agevolazione]])</f>
        <v>0</v>
      </c>
      <c r="V190" s="178">
        <f>+SUMIF(B[Bene],Assegnazione[[#This Row],[Bene]],B[Imponibile Imposta sostitutiva])*Assegnazione[[#This Row],[Quota di assegnazione]]*DATI!$E$27</f>
        <v>0</v>
      </c>
      <c r="W190" s="178">
        <f>+SUMIF(B[Bene],Assegnazione[[#This Row],[Bene]],B[Imposta di registro in misura fissa agevolata])*Assegnazione[[#This Row],[Quota di assegnazione]]</f>
        <v>0</v>
      </c>
      <c r="X190" s="178">
        <f>+SUMIF(B[Bene],Assegnazione[[#This Row],[Bene]],B[Imposta di registro prop. Agevolata])*Assegnazione[[#This Row],[Quota di assegnazione]]</f>
        <v>0</v>
      </c>
      <c r="Y190" s="178">
        <f>+IFERROR(Assegnazione[[#This Row],[Imposta di registro in misura fissa]]+Assegnazione[[#This Row],[Imposta di registro prop.]],"")</f>
        <v>0</v>
      </c>
      <c r="Z190" s="178">
        <f>+SUMIF(B[Bene],Assegnazione[[#This Row],[Bene]],B[Ipotecaria catastale agevolata])*Assegnazione[[#This Row],[Quota di assegnazione]]</f>
        <v>0</v>
      </c>
    </row>
    <row r="191" spans="1:26" x14ac:dyDescent="0.2">
      <c r="A191" s="126"/>
      <c r="B191" s="135"/>
      <c r="C191" s="126"/>
      <c r="D191" s="175">
        <f>+SUMIF(B[Bene],Assegnazione[[#This Row],[Bene]],B[Imponibile Iva])*Assegnazione[[#This Row],[Quota di assegnazione]]</f>
        <v>0</v>
      </c>
      <c r="E191" s="175">
        <f>+SUMIF(B[Bene],Assegnazione[[#This Row],[Bene]],B[Valore inserito manualmente])*Assegnazione[[#This Row],[Quota di assegnazione]]</f>
        <v>0</v>
      </c>
      <c r="F191" s="176" t="str">
        <f>+IF(A191="","",VLOOKUP(Assegnazione[[#This Row],[Bene]],B[],3,0))</f>
        <v/>
      </c>
      <c r="G191" s="132" t="str">
        <f>+IFERROR(VLOOKUP(Assegnazione[[#This Row],[Bene]],B[],MATCH("Agevolabile",Beni!$A$4:$AC$4,0),0)*VLOOKUP(Assegnazione[[#This Row],[Socio]],A_1[],8,0),"")</f>
        <v/>
      </c>
      <c r="H191" s="175">
        <f>+SUMIF(B[Bene],Assegnazione[[#This Row],[Bene]],B[Valore netto contabile fiscalmente riconosciuto])*Assegnazione[[#This Row],[Quota di assegnazione]]</f>
        <v>0</v>
      </c>
      <c r="I191" s="175">
        <f>+SUMIF(B[Bene],Assegnazione[[#This Row],[Bene]],B[Valore normale])*Assegnazione[[#This Row],[Quota di assegnazione]]</f>
        <v>0</v>
      </c>
      <c r="J191" s="177">
        <f>+IF(Assegnazione[[#This Row],[Bene]]="",0,SUMIF(Assegnazione[Socio],Assegnazione[[#This Row],[Socio]],Assegnazione[Valore Normale])/$I$3)</f>
        <v>0</v>
      </c>
      <c r="K191" s="177" t="str">
        <f>IF(Assegnazione[[#This Row],[Bene]]="","",SUMIF(A_1[Nome],Assegnazione[[#This Row],[Socio]],A_1[Quota partecipazione al momento dell''operazione]))</f>
        <v/>
      </c>
      <c r="L191" s="175">
        <f>+SUMIF(B[Bene],Assegnazione[[#This Row],[Bene]],B[Valore catastale])*Assegnazione[[#This Row],[Quota di assegnazione]]</f>
        <v>0</v>
      </c>
      <c r="M1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5">
        <f>+MIN(Assegnazione[[#This Row],[Valore ai fini dell''atto]],Assegnazione[[#This Row],[Valore Fiscalmente riconosciuto]])</f>
        <v>0</v>
      </c>
      <c r="O191" s="149" t="str">
        <f>+IFERROR(VLOOKUP(Assegnazione[[#This Row],[Bene]],B[],MATCH($O$4,Beni!$A$4:$Z$4,0),0),"")</f>
        <v/>
      </c>
      <c r="P1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8">
        <f>+SUMIF(B[Bene],Assegnazione[[#This Row],[Bene]],B[Iva se dovuta])*Assegnazione[[#This Row],[Quota di assegnazione]]</f>
        <v>0</v>
      </c>
      <c r="S191" s="178">
        <f>+SUMIF(B[Bene],Assegnazione[[#This Row],[Bene]],B[Imposta di registro (fissa + prop) senza agevolazione])*Assegnazione[[#This Row],[Quota di assegnazione]]</f>
        <v>0</v>
      </c>
      <c r="T191" s="178">
        <f>+SUMIF(B[Bene],Assegnazione[[#This Row],[Bene]],B[Ipotecaria e catastale senza agevolazione])*Assegnazione[[#This Row],[Quota di assegnazione]]</f>
        <v>0</v>
      </c>
      <c r="U191" s="179">
        <f>+SUM(Assegnazione[[#This Row],[Tassazione diretta senza agevolazione]:[Ipotecaria e catastale senza agevolazione]])</f>
        <v>0</v>
      </c>
      <c r="V191" s="178">
        <f>+SUMIF(B[Bene],Assegnazione[[#This Row],[Bene]],B[Imponibile Imposta sostitutiva])*Assegnazione[[#This Row],[Quota di assegnazione]]*DATI!$E$27</f>
        <v>0</v>
      </c>
      <c r="W191" s="178">
        <f>+SUMIF(B[Bene],Assegnazione[[#This Row],[Bene]],B[Imposta di registro in misura fissa agevolata])*Assegnazione[[#This Row],[Quota di assegnazione]]</f>
        <v>0</v>
      </c>
      <c r="X191" s="178">
        <f>+SUMIF(B[Bene],Assegnazione[[#This Row],[Bene]],B[Imposta di registro prop. Agevolata])*Assegnazione[[#This Row],[Quota di assegnazione]]</f>
        <v>0</v>
      </c>
      <c r="Y191" s="178">
        <f>+IFERROR(Assegnazione[[#This Row],[Imposta di registro in misura fissa]]+Assegnazione[[#This Row],[Imposta di registro prop.]],"")</f>
        <v>0</v>
      </c>
      <c r="Z191" s="178">
        <f>+SUMIF(B[Bene],Assegnazione[[#This Row],[Bene]],B[Ipotecaria catastale agevolata])*Assegnazione[[#This Row],[Quota di assegnazione]]</f>
        <v>0</v>
      </c>
    </row>
    <row r="192" spans="1:26" x14ac:dyDescent="0.2">
      <c r="A192" s="126"/>
      <c r="B192" s="135"/>
      <c r="C192" s="126"/>
      <c r="D192" s="175">
        <f>+SUMIF(B[Bene],Assegnazione[[#This Row],[Bene]],B[Imponibile Iva])*Assegnazione[[#This Row],[Quota di assegnazione]]</f>
        <v>0</v>
      </c>
      <c r="E192" s="175">
        <f>+SUMIF(B[Bene],Assegnazione[[#This Row],[Bene]],B[Valore inserito manualmente])*Assegnazione[[#This Row],[Quota di assegnazione]]</f>
        <v>0</v>
      </c>
      <c r="F192" s="176" t="str">
        <f>+IF(A192="","",VLOOKUP(Assegnazione[[#This Row],[Bene]],B[],3,0))</f>
        <v/>
      </c>
      <c r="G192" s="132" t="str">
        <f>+IFERROR(VLOOKUP(Assegnazione[[#This Row],[Bene]],B[],MATCH("Agevolabile",Beni!$A$4:$AC$4,0),0)*VLOOKUP(Assegnazione[[#This Row],[Socio]],A_1[],8,0),"")</f>
        <v/>
      </c>
      <c r="H192" s="175">
        <f>+SUMIF(B[Bene],Assegnazione[[#This Row],[Bene]],B[Valore netto contabile fiscalmente riconosciuto])*Assegnazione[[#This Row],[Quota di assegnazione]]</f>
        <v>0</v>
      </c>
      <c r="I192" s="175">
        <f>+SUMIF(B[Bene],Assegnazione[[#This Row],[Bene]],B[Valore normale])*Assegnazione[[#This Row],[Quota di assegnazione]]</f>
        <v>0</v>
      </c>
      <c r="J192" s="177">
        <f>+IF(Assegnazione[[#This Row],[Bene]]="",0,SUMIF(Assegnazione[Socio],Assegnazione[[#This Row],[Socio]],Assegnazione[Valore Normale])/$I$3)</f>
        <v>0</v>
      </c>
      <c r="K192" s="177" t="str">
        <f>IF(Assegnazione[[#This Row],[Bene]]="","",SUMIF(A_1[Nome],Assegnazione[[#This Row],[Socio]],A_1[Quota partecipazione al momento dell''operazione]))</f>
        <v/>
      </c>
      <c r="L192" s="175">
        <f>+SUMIF(B[Bene],Assegnazione[[#This Row],[Bene]],B[Valore catastale])*Assegnazione[[#This Row],[Quota di assegnazione]]</f>
        <v>0</v>
      </c>
      <c r="M1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5">
        <f>+MIN(Assegnazione[[#This Row],[Valore ai fini dell''atto]],Assegnazione[[#This Row],[Valore Fiscalmente riconosciuto]])</f>
        <v>0</v>
      </c>
      <c r="O192" s="149" t="str">
        <f>+IFERROR(VLOOKUP(Assegnazione[[#This Row],[Bene]],B[],MATCH($O$4,Beni!$A$4:$Z$4,0),0),"")</f>
        <v/>
      </c>
      <c r="P1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8">
        <f>+SUMIF(B[Bene],Assegnazione[[#This Row],[Bene]],B[Iva se dovuta])*Assegnazione[[#This Row],[Quota di assegnazione]]</f>
        <v>0</v>
      </c>
      <c r="S192" s="178">
        <f>+SUMIF(B[Bene],Assegnazione[[#This Row],[Bene]],B[Imposta di registro (fissa + prop) senza agevolazione])*Assegnazione[[#This Row],[Quota di assegnazione]]</f>
        <v>0</v>
      </c>
      <c r="T192" s="178">
        <f>+SUMIF(B[Bene],Assegnazione[[#This Row],[Bene]],B[Ipotecaria e catastale senza agevolazione])*Assegnazione[[#This Row],[Quota di assegnazione]]</f>
        <v>0</v>
      </c>
      <c r="U192" s="179">
        <f>+SUM(Assegnazione[[#This Row],[Tassazione diretta senza agevolazione]:[Ipotecaria e catastale senza agevolazione]])</f>
        <v>0</v>
      </c>
      <c r="V192" s="178">
        <f>+SUMIF(B[Bene],Assegnazione[[#This Row],[Bene]],B[Imponibile Imposta sostitutiva])*Assegnazione[[#This Row],[Quota di assegnazione]]*DATI!$E$27</f>
        <v>0</v>
      </c>
      <c r="W192" s="178">
        <f>+SUMIF(B[Bene],Assegnazione[[#This Row],[Bene]],B[Imposta di registro in misura fissa agevolata])*Assegnazione[[#This Row],[Quota di assegnazione]]</f>
        <v>0</v>
      </c>
      <c r="X192" s="178">
        <f>+SUMIF(B[Bene],Assegnazione[[#This Row],[Bene]],B[Imposta di registro prop. Agevolata])*Assegnazione[[#This Row],[Quota di assegnazione]]</f>
        <v>0</v>
      </c>
      <c r="Y192" s="178">
        <f>+IFERROR(Assegnazione[[#This Row],[Imposta di registro in misura fissa]]+Assegnazione[[#This Row],[Imposta di registro prop.]],"")</f>
        <v>0</v>
      </c>
      <c r="Z192" s="178">
        <f>+SUMIF(B[Bene],Assegnazione[[#This Row],[Bene]],B[Ipotecaria catastale agevolata])*Assegnazione[[#This Row],[Quota di assegnazione]]</f>
        <v>0</v>
      </c>
    </row>
    <row r="193" spans="1:26" x14ac:dyDescent="0.2">
      <c r="A193" s="126"/>
      <c r="B193" s="135"/>
      <c r="C193" s="126"/>
      <c r="D193" s="175">
        <f>+SUMIF(B[Bene],Assegnazione[[#This Row],[Bene]],B[Imponibile Iva])*Assegnazione[[#This Row],[Quota di assegnazione]]</f>
        <v>0</v>
      </c>
      <c r="E193" s="175">
        <f>+SUMIF(B[Bene],Assegnazione[[#This Row],[Bene]],B[Valore inserito manualmente])*Assegnazione[[#This Row],[Quota di assegnazione]]</f>
        <v>0</v>
      </c>
      <c r="F193" s="176" t="str">
        <f>+IF(A193="","",VLOOKUP(Assegnazione[[#This Row],[Bene]],B[],3,0))</f>
        <v/>
      </c>
      <c r="G193" s="132" t="str">
        <f>+IFERROR(VLOOKUP(Assegnazione[[#This Row],[Bene]],B[],MATCH("Agevolabile",Beni!$A$4:$AC$4,0),0)*VLOOKUP(Assegnazione[[#This Row],[Socio]],A_1[],8,0),"")</f>
        <v/>
      </c>
      <c r="H193" s="175">
        <f>+SUMIF(B[Bene],Assegnazione[[#This Row],[Bene]],B[Valore netto contabile fiscalmente riconosciuto])*Assegnazione[[#This Row],[Quota di assegnazione]]</f>
        <v>0</v>
      </c>
      <c r="I193" s="175">
        <f>+SUMIF(B[Bene],Assegnazione[[#This Row],[Bene]],B[Valore normale])*Assegnazione[[#This Row],[Quota di assegnazione]]</f>
        <v>0</v>
      </c>
      <c r="J193" s="177">
        <f>+IF(Assegnazione[[#This Row],[Bene]]="",0,SUMIF(Assegnazione[Socio],Assegnazione[[#This Row],[Socio]],Assegnazione[Valore Normale])/$I$3)</f>
        <v>0</v>
      </c>
      <c r="K193" s="177" t="str">
        <f>IF(Assegnazione[[#This Row],[Bene]]="","",SUMIF(A_1[Nome],Assegnazione[[#This Row],[Socio]],A_1[Quota partecipazione al momento dell''operazione]))</f>
        <v/>
      </c>
      <c r="L193" s="175">
        <f>+SUMIF(B[Bene],Assegnazione[[#This Row],[Bene]],B[Valore catastale])*Assegnazione[[#This Row],[Quota di assegnazione]]</f>
        <v>0</v>
      </c>
      <c r="M1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5">
        <f>+MIN(Assegnazione[[#This Row],[Valore ai fini dell''atto]],Assegnazione[[#This Row],[Valore Fiscalmente riconosciuto]])</f>
        <v>0</v>
      </c>
      <c r="O193" s="149" t="str">
        <f>+IFERROR(VLOOKUP(Assegnazione[[#This Row],[Bene]],B[],MATCH($O$4,Beni!$A$4:$Z$4,0),0),"")</f>
        <v/>
      </c>
      <c r="P1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8">
        <f>+SUMIF(B[Bene],Assegnazione[[#This Row],[Bene]],B[Iva se dovuta])*Assegnazione[[#This Row],[Quota di assegnazione]]</f>
        <v>0</v>
      </c>
      <c r="S193" s="178">
        <f>+SUMIF(B[Bene],Assegnazione[[#This Row],[Bene]],B[Imposta di registro (fissa + prop) senza agevolazione])*Assegnazione[[#This Row],[Quota di assegnazione]]</f>
        <v>0</v>
      </c>
      <c r="T193" s="178">
        <f>+SUMIF(B[Bene],Assegnazione[[#This Row],[Bene]],B[Ipotecaria e catastale senza agevolazione])*Assegnazione[[#This Row],[Quota di assegnazione]]</f>
        <v>0</v>
      </c>
      <c r="U193" s="179">
        <f>+SUM(Assegnazione[[#This Row],[Tassazione diretta senza agevolazione]:[Ipotecaria e catastale senza agevolazione]])</f>
        <v>0</v>
      </c>
      <c r="V193" s="178">
        <f>+SUMIF(B[Bene],Assegnazione[[#This Row],[Bene]],B[Imponibile Imposta sostitutiva])*Assegnazione[[#This Row],[Quota di assegnazione]]*DATI!$E$27</f>
        <v>0</v>
      </c>
      <c r="W193" s="178">
        <f>+SUMIF(B[Bene],Assegnazione[[#This Row],[Bene]],B[Imposta di registro in misura fissa agevolata])*Assegnazione[[#This Row],[Quota di assegnazione]]</f>
        <v>0</v>
      </c>
      <c r="X193" s="178">
        <f>+SUMIF(B[Bene],Assegnazione[[#This Row],[Bene]],B[Imposta di registro prop. Agevolata])*Assegnazione[[#This Row],[Quota di assegnazione]]</f>
        <v>0</v>
      </c>
      <c r="Y193" s="178">
        <f>+IFERROR(Assegnazione[[#This Row],[Imposta di registro in misura fissa]]+Assegnazione[[#This Row],[Imposta di registro prop.]],"")</f>
        <v>0</v>
      </c>
      <c r="Z193" s="178">
        <f>+SUMIF(B[Bene],Assegnazione[[#This Row],[Bene]],B[Ipotecaria catastale agevolata])*Assegnazione[[#This Row],[Quota di assegnazione]]</f>
        <v>0</v>
      </c>
    </row>
    <row r="194" spans="1:26" x14ac:dyDescent="0.2">
      <c r="A194" s="126"/>
      <c r="B194" s="135"/>
      <c r="C194" s="126"/>
      <c r="D194" s="175">
        <f>+SUMIF(B[Bene],Assegnazione[[#This Row],[Bene]],B[Imponibile Iva])*Assegnazione[[#This Row],[Quota di assegnazione]]</f>
        <v>0</v>
      </c>
      <c r="E194" s="175">
        <f>+SUMIF(B[Bene],Assegnazione[[#This Row],[Bene]],B[Valore inserito manualmente])*Assegnazione[[#This Row],[Quota di assegnazione]]</f>
        <v>0</v>
      </c>
      <c r="F194" s="176" t="str">
        <f>+IF(A194="","",VLOOKUP(Assegnazione[[#This Row],[Bene]],B[],3,0))</f>
        <v/>
      </c>
      <c r="G194" s="132" t="str">
        <f>+IFERROR(VLOOKUP(Assegnazione[[#This Row],[Bene]],B[],MATCH("Agevolabile",Beni!$A$4:$AC$4,0),0)*VLOOKUP(Assegnazione[[#This Row],[Socio]],A_1[],8,0),"")</f>
        <v/>
      </c>
      <c r="H194" s="175">
        <f>+SUMIF(B[Bene],Assegnazione[[#This Row],[Bene]],B[Valore netto contabile fiscalmente riconosciuto])*Assegnazione[[#This Row],[Quota di assegnazione]]</f>
        <v>0</v>
      </c>
      <c r="I194" s="175">
        <f>+SUMIF(B[Bene],Assegnazione[[#This Row],[Bene]],B[Valore normale])*Assegnazione[[#This Row],[Quota di assegnazione]]</f>
        <v>0</v>
      </c>
      <c r="J194" s="177">
        <f>+IF(Assegnazione[[#This Row],[Bene]]="",0,SUMIF(Assegnazione[Socio],Assegnazione[[#This Row],[Socio]],Assegnazione[Valore Normale])/$I$3)</f>
        <v>0</v>
      </c>
      <c r="K194" s="177" t="str">
        <f>IF(Assegnazione[[#This Row],[Bene]]="","",SUMIF(A_1[Nome],Assegnazione[[#This Row],[Socio]],A_1[Quota partecipazione al momento dell''operazione]))</f>
        <v/>
      </c>
      <c r="L194" s="175">
        <f>+SUMIF(B[Bene],Assegnazione[[#This Row],[Bene]],B[Valore catastale])*Assegnazione[[#This Row],[Quota di assegnazione]]</f>
        <v>0</v>
      </c>
      <c r="M1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5">
        <f>+MIN(Assegnazione[[#This Row],[Valore ai fini dell''atto]],Assegnazione[[#This Row],[Valore Fiscalmente riconosciuto]])</f>
        <v>0</v>
      </c>
      <c r="O194" s="149" t="str">
        <f>+IFERROR(VLOOKUP(Assegnazione[[#This Row],[Bene]],B[],MATCH($O$4,Beni!$A$4:$Z$4,0),0),"")</f>
        <v/>
      </c>
      <c r="P1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8">
        <f>+SUMIF(B[Bene],Assegnazione[[#This Row],[Bene]],B[Iva se dovuta])*Assegnazione[[#This Row],[Quota di assegnazione]]</f>
        <v>0</v>
      </c>
      <c r="S194" s="178">
        <f>+SUMIF(B[Bene],Assegnazione[[#This Row],[Bene]],B[Imposta di registro (fissa + prop) senza agevolazione])*Assegnazione[[#This Row],[Quota di assegnazione]]</f>
        <v>0</v>
      </c>
      <c r="T194" s="178">
        <f>+SUMIF(B[Bene],Assegnazione[[#This Row],[Bene]],B[Ipotecaria e catastale senza agevolazione])*Assegnazione[[#This Row],[Quota di assegnazione]]</f>
        <v>0</v>
      </c>
      <c r="U194" s="179">
        <f>+SUM(Assegnazione[[#This Row],[Tassazione diretta senza agevolazione]:[Ipotecaria e catastale senza agevolazione]])</f>
        <v>0</v>
      </c>
      <c r="V194" s="178">
        <f>+SUMIF(B[Bene],Assegnazione[[#This Row],[Bene]],B[Imponibile Imposta sostitutiva])*Assegnazione[[#This Row],[Quota di assegnazione]]*DATI!$E$27</f>
        <v>0</v>
      </c>
      <c r="W194" s="178">
        <f>+SUMIF(B[Bene],Assegnazione[[#This Row],[Bene]],B[Imposta di registro in misura fissa agevolata])*Assegnazione[[#This Row],[Quota di assegnazione]]</f>
        <v>0</v>
      </c>
      <c r="X194" s="178">
        <f>+SUMIF(B[Bene],Assegnazione[[#This Row],[Bene]],B[Imposta di registro prop. Agevolata])*Assegnazione[[#This Row],[Quota di assegnazione]]</f>
        <v>0</v>
      </c>
      <c r="Y194" s="178">
        <f>+IFERROR(Assegnazione[[#This Row],[Imposta di registro in misura fissa]]+Assegnazione[[#This Row],[Imposta di registro prop.]],"")</f>
        <v>0</v>
      </c>
      <c r="Z194" s="178">
        <f>+SUMIF(B[Bene],Assegnazione[[#This Row],[Bene]],B[Ipotecaria catastale agevolata])*Assegnazione[[#This Row],[Quota di assegnazione]]</f>
        <v>0</v>
      </c>
    </row>
    <row r="195" spans="1:26" x14ac:dyDescent="0.2">
      <c r="A195" s="126"/>
      <c r="B195" s="135"/>
      <c r="C195" s="126"/>
      <c r="D195" s="175">
        <f>+SUMIF(B[Bene],Assegnazione[[#This Row],[Bene]],B[Imponibile Iva])*Assegnazione[[#This Row],[Quota di assegnazione]]</f>
        <v>0</v>
      </c>
      <c r="E195" s="175">
        <f>+SUMIF(B[Bene],Assegnazione[[#This Row],[Bene]],B[Valore inserito manualmente])*Assegnazione[[#This Row],[Quota di assegnazione]]</f>
        <v>0</v>
      </c>
      <c r="F195" s="176" t="str">
        <f>+IF(A195="","",VLOOKUP(Assegnazione[[#This Row],[Bene]],B[],3,0))</f>
        <v/>
      </c>
      <c r="G195" s="132" t="str">
        <f>+IFERROR(VLOOKUP(Assegnazione[[#This Row],[Bene]],B[],MATCH("Agevolabile",Beni!$A$4:$AC$4,0),0)*VLOOKUP(Assegnazione[[#This Row],[Socio]],A_1[],8,0),"")</f>
        <v/>
      </c>
      <c r="H195" s="175">
        <f>+SUMIF(B[Bene],Assegnazione[[#This Row],[Bene]],B[Valore netto contabile fiscalmente riconosciuto])*Assegnazione[[#This Row],[Quota di assegnazione]]</f>
        <v>0</v>
      </c>
      <c r="I195" s="175">
        <f>+SUMIF(B[Bene],Assegnazione[[#This Row],[Bene]],B[Valore normale])*Assegnazione[[#This Row],[Quota di assegnazione]]</f>
        <v>0</v>
      </c>
      <c r="J195" s="177">
        <f>+IF(Assegnazione[[#This Row],[Bene]]="",0,SUMIF(Assegnazione[Socio],Assegnazione[[#This Row],[Socio]],Assegnazione[Valore Normale])/$I$3)</f>
        <v>0</v>
      </c>
      <c r="K195" s="177" t="str">
        <f>IF(Assegnazione[[#This Row],[Bene]]="","",SUMIF(A_1[Nome],Assegnazione[[#This Row],[Socio]],A_1[Quota partecipazione al momento dell''operazione]))</f>
        <v/>
      </c>
      <c r="L195" s="175">
        <f>+SUMIF(B[Bene],Assegnazione[[#This Row],[Bene]],B[Valore catastale])*Assegnazione[[#This Row],[Quota di assegnazione]]</f>
        <v>0</v>
      </c>
      <c r="M1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5">
        <f>+MIN(Assegnazione[[#This Row],[Valore ai fini dell''atto]],Assegnazione[[#This Row],[Valore Fiscalmente riconosciuto]])</f>
        <v>0</v>
      </c>
      <c r="O195" s="149" t="str">
        <f>+IFERROR(VLOOKUP(Assegnazione[[#This Row],[Bene]],B[],MATCH($O$4,Beni!$A$4:$Z$4,0),0),"")</f>
        <v/>
      </c>
      <c r="P1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8">
        <f>+SUMIF(B[Bene],Assegnazione[[#This Row],[Bene]],B[Iva se dovuta])*Assegnazione[[#This Row],[Quota di assegnazione]]</f>
        <v>0</v>
      </c>
      <c r="S195" s="178">
        <f>+SUMIF(B[Bene],Assegnazione[[#This Row],[Bene]],B[Imposta di registro (fissa + prop) senza agevolazione])*Assegnazione[[#This Row],[Quota di assegnazione]]</f>
        <v>0</v>
      </c>
      <c r="T195" s="178">
        <f>+SUMIF(B[Bene],Assegnazione[[#This Row],[Bene]],B[Ipotecaria e catastale senza agevolazione])*Assegnazione[[#This Row],[Quota di assegnazione]]</f>
        <v>0</v>
      </c>
      <c r="U195" s="179">
        <f>+SUM(Assegnazione[[#This Row],[Tassazione diretta senza agevolazione]:[Ipotecaria e catastale senza agevolazione]])</f>
        <v>0</v>
      </c>
      <c r="V195" s="178">
        <f>+SUMIF(B[Bene],Assegnazione[[#This Row],[Bene]],B[Imponibile Imposta sostitutiva])*Assegnazione[[#This Row],[Quota di assegnazione]]*DATI!$E$27</f>
        <v>0</v>
      </c>
      <c r="W195" s="178">
        <f>+SUMIF(B[Bene],Assegnazione[[#This Row],[Bene]],B[Imposta di registro in misura fissa agevolata])*Assegnazione[[#This Row],[Quota di assegnazione]]</f>
        <v>0</v>
      </c>
      <c r="X195" s="178">
        <f>+SUMIF(B[Bene],Assegnazione[[#This Row],[Bene]],B[Imposta di registro prop. Agevolata])*Assegnazione[[#This Row],[Quota di assegnazione]]</f>
        <v>0</v>
      </c>
      <c r="Y195" s="178">
        <f>+IFERROR(Assegnazione[[#This Row],[Imposta di registro in misura fissa]]+Assegnazione[[#This Row],[Imposta di registro prop.]],"")</f>
        <v>0</v>
      </c>
      <c r="Z195" s="178">
        <f>+SUMIF(B[Bene],Assegnazione[[#This Row],[Bene]],B[Ipotecaria catastale agevolata])*Assegnazione[[#This Row],[Quota di assegnazione]]</f>
        <v>0</v>
      </c>
    </row>
    <row r="196" spans="1:26" x14ac:dyDescent="0.2">
      <c r="A196" s="126"/>
      <c r="B196" s="135"/>
      <c r="C196" s="126"/>
      <c r="D196" s="175">
        <f>+SUMIF(B[Bene],Assegnazione[[#This Row],[Bene]],B[Imponibile Iva])*Assegnazione[[#This Row],[Quota di assegnazione]]</f>
        <v>0</v>
      </c>
      <c r="E196" s="175">
        <f>+SUMIF(B[Bene],Assegnazione[[#This Row],[Bene]],B[Valore inserito manualmente])*Assegnazione[[#This Row],[Quota di assegnazione]]</f>
        <v>0</v>
      </c>
      <c r="F196" s="176" t="str">
        <f>+IF(A196="","",VLOOKUP(Assegnazione[[#This Row],[Bene]],B[],3,0))</f>
        <v/>
      </c>
      <c r="G196" s="132" t="str">
        <f>+IFERROR(VLOOKUP(Assegnazione[[#This Row],[Bene]],B[],MATCH("Agevolabile",Beni!$A$4:$AC$4,0),0)*VLOOKUP(Assegnazione[[#This Row],[Socio]],A_1[],8,0),"")</f>
        <v/>
      </c>
      <c r="H196" s="175">
        <f>+SUMIF(B[Bene],Assegnazione[[#This Row],[Bene]],B[Valore netto contabile fiscalmente riconosciuto])*Assegnazione[[#This Row],[Quota di assegnazione]]</f>
        <v>0</v>
      </c>
      <c r="I196" s="175">
        <f>+SUMIF(B[Bene],Assegnazione[[#This Row],[Bene]],B[Valore normale])*Assegnazione[[#This Row],[Quota di assegnazione]]</f>
        <v>0</v>
      </c>
      <c r="J196" s="177">
        <f>+IF(Assegnazione[[#This Row],[Bene]]="",0,SUMIF(Assegnazione[Socio],Assegnazione[[#This Row],[Socio]],Assegnazione[Valore Normale])/$I$3)</f>
        <v>0</v>
      </c>
      <c r="K196" s="177" t="str">
        <f>IF(Assegnazione[[#This Row],[Bene]]="","",SUMIF(A_1[Nome],Assegnazione[[#This Row],[Socio]],A_1[Quota partecipazione al momento dell''operazione]))</f>
        <v/>
      </c>
      <c r="L196" s="175">
        <f>+SUMIF(B[Bene],Assegnazione[[#This Row],[Bene]],B[Valore catastale])*Assegnazione[[#This Row],[Quota di assegnazione]]</f>
        <v>0</v>
      </c>
      <c r="M1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5">
        <f>+MIN(Assegnazione[[#This Row],[Valore ai fini dell''atto]],Assegnazione[[#This Row],[Valore Fiscalmente riconosciuto]])</f>
        <v>0</v>
      </c>
      <c r="O196" s="149" t="str">
        <f>+IFERROR(VLOOKUP(Assegnazione[[#This Row],[Bene]],B[],MATCH($O$4,Beni!$A$4:$Z$4,0),0),"")</f>
        <v/>
      </c>
      <c r="P1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8">
        <f>+SUMIF(B[Bene],Assegnazione[[#This Row],[Bene]],B[Iva se dovuta])*Assegnazione[[#This Row],[Quota di assegnazione]]</f>
        <v>0</v>
      </c>
      <c r="S196" s="178">
        <f>+SUMIF(B[Bene],Assegnazione[[#This Row],[Bene]],B[Imposta di registro (fissa + prop) senza agevolazione])*Assegnazione[[#This Row],[Quota di assegnazione]]</f>
        <v>0</v>
      </c>
      <c r="T196" s="178">
        <f>+SUMIF(B[Bene],Assegnazione[[#This Row],[Bene]],B[Ipotecaria e catastale senza agevolazione])*Assegnazione[[#This Row],[Quota di assegnazione]]</f>
        <v>0</v>
      </c>
      <c r="U196" s="179">
        <f>+SUM(Assegnazione[[#This Row],[Tassazione diretta senza agevolazione]:[Ipotecaria e catastale senza agevolazione]])</f>
        <v>0</v>
      </c>
      <c r="V196" s="178">
        <f>+SUMIF(B[Bene],Assegnazione[[#This Row],[Bene]],B[Imponibile Imposta sostitutiva])*Assegnazione[[#This Row],[Quota di assegnazione]]*DATI!$E$27</f>
        <v>0</v>
      </c>
      <c r="W196" s="178">
        <f>+SUMIF(B[Bene],Assegnazione[[#This Row],[Bene]],B[Imposta di registro in misura fissa agevolata])*Assegnazione[[#This Row],[Quota di assegnazione]]</f>
        <v>0</v>
      </c>
      <c r="X196" s="178">
        <f>+SUMIF(B[Bene],Assegnazione[[#This Row],[Bene]],B[Imposta di registro prop. Agevolata])*Assegnazione[[#This Row],[Quota di assegnazione]]</f>
        <v>0</v>
      </c>
      <c r="Y196" s="178">
        <f>+IFERROR(Assegnazione[[#This Row],[Imposta di registro in misura fissa]]+Assegnazione[[#This Row],[Imposta di registro prop.]],"")</f>
        <v>0</v>
      </c>
      <c r="Z196" s="178">
        <f>+SUMIF(B[Bene],Assegnazione[[#This Row],[Bene]],B[Ipotecaria catastale agevolata])*Assegnazione[[#This Row],[Quota di assegnazione]]</f>
        <v>0</v>
      </c>
    </row>
    <row r="197" spans="1:26" x14ac:dyDescent="0.2">
      <c r="A197" s="126"/>
      <c r="B197" s="135"/>
      <c r="C197" s="126"/>
      <c r="D197" s="175">
        <f>+SUMIF(B[Bene],Assegnazione[[#This Row],[Bene]],B[Imponibile Iva])*Assegnazione[[#This Row],[Quota di assegnazione]]</f>
        <v>0</v>
      </c>
      <c r="E197" s="175">
        <f>+SUMIF(B[Bene],Assegnazione[[#This Row],[Bene]],B[Valore inserito manualmente])*Assegnazione[[#This Row],[Quota di assegnazione]]</f>
        <v>0</v>
      </c>
      <c r="F197" s="176" t="str">
        <f>+IF(A197="","",VLOOKUP(Assegnazione[[#This Row],[Bene]],B[],3,0))</f>
        <v/>
      </c>
      <c r="G197" s="132" t="str">
        <f>+IFERROR(VLOOKUP(Assegnazione[[#This Row],[Bene]],B[],MATCH("Agevolabile",Beni!$A$4:$AC$4,0),0)*VLOOKUP(Assegnazione[[#This Row],[Socio]],A_1[],8,0),"")</f>
        <v/>
      </c>
      <c r="H197" s="175">
        <f>+SUMIF(B[Bene],Assegnazione[[#This Row],[Bene]],B[Valore netto contabile fiscalmente riconosciuto])*Assegnazione[[#This Row],[Quota di assegnazione]]</f>
        <v>0</v>
      </c>
      <c r="I197" s="175">
        <f>+SUMIF(B[Bene],Assegnazione[[#This Row],[Bene]],B[Valore normale])*Assegnazione[[#This Row],[Quota di assegnazione]]</f>
        <v>0</v>
      </c>
      <c r="J197" s="177">
        <f>+IF(Assegnazione[[#This Row],[Bene]]="",0,SUMIF(Assegnazione[Socio],Assegnazione[[#This Row],[Socio]],Assegnazione[Valore Normale])/$I$3)</f>
        <v>0</v>
      </c>
      <c r="K197" s="177" t="str">
        <f>IF(Assegnazione[[#This Row],[Bene]]="","",SUMIF(A_1[Nome],Assegnazione[[#This Row],[Socio]],A_1[Quota partecipazione al momento dell''operazione]))</f>
        <v/>
      </c>
      <c r="L197" s="175">
        <f>+SUMIF(B[Bene],Assegnazione[[#This Row],[Bene]],B[Valore catastale])*Assegnazione[[#This Row],[Quota di assegnazione]]</f>
        <v>0</v>
      </c>
      <c r="M1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5">
        <f>+MIN(Assegnazione[[#This Row],[Valore ai fini dell''atto]],Assegnazione[[#This Row],[Valore Fiscalmente riconosciuto]])</f>
        <v>0</v>
      </c>
      <c r="O197" s="149" t="str">
        <f>+IFERROR(VLOOKUP(Assegnazione[[#This Row],[Bene]],B[],MATCH($O$4,Beni!$A$4:$Z$4,0),0),"")</f>
        <v/>
      </c>
      <c r="P1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8">
        <f>+SUMIF(B[Bene],Assegnazione[[#This Row],[Bene]],B[Iva se dovuta])*Assegnazione[[#This Row],[Quota di assegnazione]]</f>
        <v>0</v>
      </c>
      <c r="S197" s="178">
        <f>+SUMIF(B[Bene],Assegnazione[[#This Row],[Bene]],B[Imposta di registro (fissa + prop) senza agevolazione])*Assegnazione[[#This Row],[Quota di assegnazione]]</f>
        <v>0</v>
      </c>
      <c r="T197" s="178">
        <f>+SUMIF(B[Bene],Assegnazione[[#This Row],[Bene]],B[Ipotecaria e catastale senza agevolazione])*Assegnazione[[#This Row],[Quota di assegnazione]]</f>
        <v>0</v>
      </c>
      <c r="U197" s="179">
        <f>+SUM(Assegnazione[[#This Row],[Tassazione diretta senza agevolazione]:[Ipotecaria e catastale senza agevolazione]])</f>
        <v>0</v>
      </c>
      <c r="V197" s="178">
        <f>+SUMIF(B[Bene],Assegnazione[[#This Row],[Bene]],B[Imponibile Imposta sostitutiva])*Assegnazione[[#This Row],[Quota di assegnazione]]*DATI!$E$27</f>
        <v>0</v>
      </c>
      <c r="W197" s="178">
        <f>+SUMIF(B[Bene],Assegnazione[[#This Row],[Bene]],B[Imposta di registro in misura fissa agevolata])*Assegnazione[[#This Row],[Quota di assegnazione]]</f>
        <v>0</v>
      </c>
      <c r="X197" s="178">
        <f>+SUMIF(B[Bene],Assegnazione[[#This Row],[Bene]],B[Imposta di registro prop. Agevolata])*Assegnazione[[#This Row],[Quota di assegnazione]]</f>
        <v>0</v>
      </c>
      <c r="Y197" s="178">
        <f>+IFERROR(Assegnazione[[#This Row],[Imposta di registro in misura fissa]]+Assegnazione[[#This Row],[Imposta di registro prop.]],"")</f>
        <v>0</v>
      </c>
      <c r="Z197" s="178">
        <f>+SUMIF(B[Bene],Assegnazione[[#This Row],[Bene]],B[Ipotecaria catastale agevolata])*Assegnazione[[#This Row],[Quota di assegnazione]]</f>
        <v>0</v>
      </c>
    </row>
    <row r="198" spans="1:26" x14ac:dyDescent="0.2">
      <c r="A198" s="126"/>
      <c r="B198" s="135"/>
      <c r="C198" s="126"/>
      <c r="D198" s="175">
        <f>+SUMIF(B[Bene],Assegnazione[[#This Row],[Bene]],B[Imponibile Iva])*Assegnazione[[#This Row],[Quota di assegnazione]]</f>
        <v>0</v>
      </c>
      <c r="E198" s="175">
        <f>+SUMIF(B[Bene],Assegnazione[[#This Row],[Bene]],B[Valore inserito manualmente])*Assegnazione[[#This Row],[Quota di assegnazione]]</f>
        <v>0</v>
      </c>
      <c r="F198" s="176" t="str">
        <f>+IF(A198="","",VLOOKUP(Assegnazione[[#This Row],[Bene]],B[],3,0))</f>
        <v/>
      </c>
      <c r="G198" s="132" t="str">
        <f>+IFERROR(VLOOKUP(Assegnazione[[#This Row],[Bene]],B[],MATCH("Agevolabile",Beni!$A$4:$AC$4,0),0)*VLOOKUP(Assegnazione[[#This Row],[Socio]],A_1[],8,0),"")</f>
        <v/>
      </c>
      <c r="H198" s="175">
        <f>+SUMIF(B[Bene],Assegnazione[[#This Row],[Bene]],B[Valore netto contabile fiscalmente riconosciuto])*Assegnazione[[#This Row],[Quota di assegnazione]]</f>
        <v>0</v>
      </c>
      <c r="I198" s="175">
        <f>+SUMIF(B[Bene],Assegnazione[[#This Row],[Bene]],B[Valore normale])*Assegnazione[[#This Row],[Quota di assegnazione]]</f>
        <v>0</v>
      </c>
      <c r="J198" s="177">
        <f>+IF(Assegnazione[[#This Row],[Bene]]="",0,SUMIF(Assegnazione[Socio],Assegnazione[[#This Row],[Socio]],Assegnazione[Valore Normale])/$I$3)</f>
        <v>0</v>
      </c>
      <c r="K198" s="177" t="str">
        <f>IF(Assegnazione[[#This Row],[Bene]]="","",SUMIF(A_1[Nome],Assegnazione[[#This Row],[Socio]],A_1[Quota partecipazione al momento dell''operazione]))</f>
        <v/>
      </c>
      <c r="L198" s="175">
        <f>+SUMIF(B[Bene],Assegnazione[[#This Row],[Bene]],B[Valore catastale])*Assegnazione[[#This Row],[Quota di assegnazione]]</f>
        <v>0</v>
      </c>
      <c r="M1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5">
        <f>+MIN(Assegnazione[[#This Row],[Valore ai fini dell''atto]],Assegnazione[[#This Row],[Valore Fiscalmente riconosciuto]])</f>
        <v>0</v>
      </c>
      <c r="O198" s="149" t="str">
        <f>+IFERROR(VLOOKUP(Assegnazione[[#This Row],[Bene]],B[],MATCH($O$4,Beni!$A$4:$Z$4,0),0),"")</f>
        <v/>
      </c>
      <c r="P1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8">
        <f>+SUMIF(B[Bene],Assegnazione[[#This Row],[Bene]],B[Iva se dovuta])*Assegnazione[[#This Row],[Quota di assegnazione]]</f>
        <v>0</v>
      </c>
      <c r="S198" s="178">
        <f>+SUMIF(B[Bene],Assegnazione[[#This Row],[Bene]],B[Imposta di registro (fissa + prop) senza agevolazione])*Assegnazione[[#This Row],[Quota di assegnazione]]</f>
        <v>0</v>
      </c>
      <c r="T198" s="178">
        <f>+SUMIF(B[Bene],Assegnazione[[#This Row],[Bene]],B[Ipotecaria e catastale senza agevolazione])*Assegnazione[[#This Row],[Quota di assegnazione]]</f>
        <v>0</v>
      </c>
      <c r="U198" s="179">
        <f>+SUM(Assegnazione[[#This Row],[Tassazione diretta senza agevolazione]:[Ipotecaria e catastale senza agevolazione]])</f>
        <v>0</v>
      </c>
      <c r="V198" s="178">
        <f>+SUMIF(B[Bene],Assegnazione[[#This Row],[Bene]],B[Imponibile Imposta sostitutiva])*Assegnazione[[#This Row],[Quota di assegnazione]]*DATI!$E$27</f>
        <v>0</v>
      </c>
      <c r="W198" s="178">
        <f>+SUMIF(B[Bene],Assegnazione[[#This Row],[Bene]],B[Imposta di registro in misura fissa agevolata])*Assegnazione[[#This Row],[Quota di assegnazione]]</f>
        <v>0</v>
      </c>
      <c r="X198" s="178">
        <f>+SUMIF(B[Bene],Assegnazione[[#This Row],[Bene]],B[Imposta di registro prop. Agevolata])*Assegnazione[[#This Row],[Quota di assegnazione]]</f>
        <v>0</v>
      </c>
      <c r="Y198" s="178">
        <f>+IFERROR(Assegnazione[[#This Row],[Imposta di registro in misura fissa]]+Assegnazione[[#This Row],[Imposta di registro prop.]],"")</f>
        <v>0</v>
      </c>
      <c r="Z198" s="178">
        <f>+SUMIF(B[Bene],Assegnazione[[#This Row],[Bene]],B[Ipotecaria catastale agevolata])*Assegnazione[[#This Row],[Quota di assegnazione]]</f>
        <v>0</v>
      </c>
    </row>
    <row r="199" spans="1:26" x14ac:dyDescent="0.2">
      <c r="A199" s="126"/>
      <c r="B199" s="135"/>
      <c r="C199" s="126"/>
      <c r="D199" s="175">
        <f>+SUMIF(B[Bene],Assegnazione[[#This Row],[Bene]],B[Imponibile Iva])*Assegnazione[[#This Row],[Quota di assegnazione]]</f>
        <v>0</v>
      </c>
      <c r="E199" s="175">
        <f>+SUMIF(B[Bene],Assegnazione[[#This Row],[Bene]],B[Valore inserito manualmente])*Assegnazione[[#This Row],[Quota di assegnazione]]</f>
        <v>0</v>
      </c>
      <c r="F199" s="176" t="str">
        <f>+IF(A199="","",VLOOKUP(Assegnazione[[#This Row],[Bene]],B[],3,0))</f>
        <v/>
      </c>
      <c r="G199" s="132" t="str">
        <f>+IFERROR(VLOOKUP(Assegnazione[[#This Row],[Bene]],B[],MATCH("Agevolabile",Beni!$A$4:$AC$4,0),0)*VLOOKUP(Assegnazione[[#This Row],[Socio]],A_1[],8,0),"")</f>
        <v/>
      </c>
      <c r="H199" s="175">
        <f>+SUMIF(B[Bene],Assegnazione[[#This Row],[Bene]],B[Valore netto contabile fiscalmente riconosciuto])*Assegnazione[[#This Row],[Quota di assegnazione]]</f>
        <v>0</v>
      </c>
      <c r="I199" s="175">
        <f>+SUMIF(B[Bene],Assegnazione[[#This Row],[Bene]],B[Valore normale])*Assegnazione[[#This Row],[Quota di assegnazione]]</f>
        <v>0</v>
      </c>
      <c r="J199" s="177">
        <f>+IF(Assegnazione[[#This Row],[Bene]]="",0,SUMIF(Assegnazione[Socio],Assegnazione[[#This Row],[Socio]],Assegnazione[Valore Normale])/$I$3)</f>
        <v>0</v>
      </c>
      <c r="K199" s="177" t="str">
        <f>IF(Assegnazione[[#This Row],[Bene]]="","",SUMIF(A_1[Nome],Assegnazione[[#This Row],[Socio]],A_1[Quota partecipazione al momento dell''operazione]))</f>
        <v/>
      </c>
      <c r="L199" s="175">
        <f>+SUMIF(B[Bene],Assegnazione[[#This Row],[Bene]],B[Valore catastale])*Assegnazione[[#This Row],[Quota di assegnazione]]</f>
        <v>0</v>
      </c>
      <c r="M1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5">
        <f>+MIN(Assegnazione[[#This Row],[Valore ai fini dell''atto]],Assegnazione[[#This Row],[Valore Fiscalmente riconosciuto]])</f>
        <v>0</v>
      </c>
      <c r="O199" s="149" t="str">
        <f>+IFERROR(VLOOKUP(Assegnazione[[#This Row],[Bene]],B[],MATCH($O$4,Beni!$A$4:$Z$4,0),0),"")</f>
        <v/>
      </c>
      <c r="P1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8">
        <f>+SUMIF(B[Bene],Assegnazione[[#This Row],[Bene]],B[Iva se dovuta])*Assegnazione[[#This Row],[Quota di assegnazione]]</f>
        <v>0</v>
      </c>
      <c r="S199" s="178">
        <f>+SUMIF(B[Bene],Assegnazione[[#This Row],[Bene]],B[Imposta di registro (fissa + prop) senza agevolazione])*Assegnazione[[#This Row],[Quota di assegnazione]]</f>
        <v>0</v>
      </c>
      <c r="T199" s="178">
        <f>+SUMIF(B[Bene],Assegnazione[[#This Row],[Bene]],B[Ipotecaria e catastale senza agevolazione])*Assegnazione[[#This Row],[Quota di assegnazione]]</f>
        <v>0</v>
      </c>
      <c r="U199" s="179">
        <f>+SUM(Assegnazione[[#This Row],[Tassazione diretta senza agevolazione]:[Ipotecaria e catastale senza agevolazione]])</f>
        <v>0</v>
      </c>
      <c r="V199" s="178">
        <f>+SUMIF(B[Bene],Assegnazione[[#This Row],[Bene]],B[Imponibile Imposta sostitutiva])*Assegnazione[[#This Row],[Quota di assegnazione]]*DATI!$E$27</f>
        <v>0</v>
      </c>
      <c r="W199" s="178">
        <f>+SUMIF(B[Bene],Assegnazione[[#This Row],[Bene]],B[Imposta di registro in misura fissa agevolata])*Assegnazione[[#This Row],[Quota di assegnazione]]</f>
        <v>0</v>
      </c>
      <c r="X199" s="178">
        <f>+SUMIF(B[Bene],Assegnazione[[#This Row],[Bene]],B[Imposta di registro prop. Agevolata])*Assegnazione[[#This Row],[Quota di assegnazione]]</f>
        <v>0</v>
      </c>
      <c r="Y199" s="178">
        <f>+IFERROR(Assegnazione[[#This Row],[Imposta di registro in misura fissa]]+Assegnazione[[#This Row],[Imposta di registro prop.]],"")</f>
        <v>0</v>
      </c>
      <c r="Z199" s="178">
        <f>+SUMIF(B[Bene],Assegnazione[[#This Row],[Bene]],B[Ipotecaria catastale agevolata])*Assegnazione[[#This Row],[Quota di assegnazione]]</f>
        <v>0</v>
      </c>
    </row>
    <row r="200" spans="1:26" x14ac:dyDescent="0.2">
      <c r="A200" s="126"/>
      <c r="B200" s="135"/>
      <c r="C200" s="126"/>
      <c r="D200" s="175">
        <f>+SUMIF(B[Bene],Assegnazione[[#This Row],[Bene]],B[Imponibile Iva])*Assegnazione[[#This Row],[Quota di assegnazione]]</f>
        <v>0</v>
      </c>
      <c r="E200" s="175">
        <f>+SUMIF(B[Bene],Assegnazione[[#This Row],[Bene]],B[Valore inserito manualmente])*Assegnazione[[#This Row],[Quota di assegnazione]]</f>
        <v>0</v>
      </c>
      <c r="F200" s="176" t="str">
        <f>+IF(A200="","",VLOOKUP(Assegnazione[[#This Row],[Bene]],B[],3,0))</f>
        <v/>
      </c>
      <c r="G200" s="132" t="str">
        <f>+IFERROR(VLOOKUP(Assegnazione[[#This Row],[Bene]],B[],MATCH("Agevolabile",Beni!$A$4:$AC$4,0),0)*VLOOKUP(Assegnazione[[#This Row],[Socio]],A_1[],8,0),"")</f>
        <v/>
      </c>
      <c r="H200" s="175">
        <f>+SUMIF(B[Bene],Assegnazione[[#This Row],[Bene]],B[Valore netto contabile fiscalmente riconosciuto])*Assegnazione[[#This Row],[Quota di assegnazione]]</f>
        <v>0</v>
      </c>
      <c r="I200" s="175">
        <f>+SUMIF(B[Bene],Assegnazione[[#This Row],[Bene]],B[Valore normale])*Assegnazione[[#This Row],[Quota di assegnazione]]</f>
        <v>0</v>
      </c>
      <c r="J200" s="177">
        <f>+IF(Assegnazione[[#This Row],[Bene]]="",0,SUMIF(Assegnazione[Socio],Assegnazione[[#This Row],[Socio]],Assegnazione[Valore Normale])/$I$3)</f>
        <v>0</v>
      </c>
      <c r="K200" s="177" t="str">
        <f>IF(Assegnazione[[#This Row],[Bene]]="","",SUMIF(A_1[Nome],Assegnazione[[#This Row],[Socio]],A_1[Quota partecipazione al momento dell''operazione]))</f>
        <v/>
      </c>
      <c r="L200" s="175">
        <f>+SUMIF(B[Bene],Assegnazione[[#This Row],[Bene]],B[Valore catastale])*Assegnazione[[#This Row],[Quota di assegnazione]]</f>
        <v>0</v>
      </c>
      <c r="M2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5">
        <f>+MIN(Assegnazione[[#This Row],[Valore ai fini dell''atto]],Assegnazione[[#This Row],[Valore Fiscalmente riconosciuto]])</f>
        <v>0</v>
      </c>
      <c r="O200" s="149" t="str">
        <f>+IFERROR(VLOOKUP(Assegnazione[[#This Row],[Bene]],B[],MATCH($O$4,Beni!$A$4:$Z$4,0),0),"")</f>
        <v/>
      </c>
      <c r="P2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8">
        <f>+SUMIF(B[Bene],Assegnazione[[#This Row],[Bene]],B[Iva se dovuta])*Assegnazione[[#This Row],[Quota di assegnazione]]</f>
        <v>0</v>
      </c>
      <c r="S200" s="178">
        <f>+SUMIF(B[Bene],Assegnazione[[#This Row],[Bene]],B[Imposta di registro (fissa + prop) senza agevolazione])*Assegnazione[[#This Row],[Quota di assegnazione]]</f>
        <v>0</v>
      </c>
      <c r="T200" s="178">
        <f>+SUMIF(B[Bene],Assegnazione[[#This Row],[Bene]],B[Ipotecaria e catastale senza agevolazione])*Assegnazione[[#This Row],[Quota di assegnazione]]</f>
        <v>0</v>
      </c>
      <c r="U200" s="179">
        <f>+SUM(Assegnazione[[#This Row],[Tassazione diretta senza agevolazione]:[Ipotecaria e catastale senza agevolazione]])</f>
        <v>0</v>
      </c>
      <c r="V200" s="178">
        <f>+SUMIF(B[Bene],Assegnazione[[#This Row],[Bene]],B[Imponibile Imposta sostitutiva])*Assegnazione[[#This Row],[Quota di assegnazione]]*DATI!$E$27</f>
        <v>0</v>
      </c>
      <c r="W200" s="178">
        <f>+SUMIF(B[Bene],Assegnazione[[#This Row],[Bene]],B[Imposta di registro in misura fissa agevolata])*Assegnazione[[#This Row],[Quota di assegnazione]]</f>
        <v>0</v>
      </c>
      <c r="X200" s="178">
        <f>+SUMIF(B[Bene],Assegnazione[[#This Row],[Bene]],B[Imposta di registro prop. Agevolata])*Assegnazione[[#This Row],[Quota di assegnazione]]</f>
        <v>0</v>
      </c>
      <c r="Y200" s="178">
        <f>+IFERROR(Assegnazione[[#This Row],[Imposta di registro in misura fissa]]+Assegnazione[[#This Row],[Imposta di registro prop.]],"")</f>
        <v>0</v>
      </c>
      <c r="Z200" s="178">
        <f>+SUMIF(B[Bene],Assegnazione[[#This Row],[Bene]],B[Ipotecaria catastale agevolata])*Assegnazione[[#This Row],[Quota di assegnazione]]</f>
        <v>0</v>
      </c>
    </row>
    <row r="201" spans="1:26" x14ac:dyDescent="0.2">
      <c r="A201" s="126"/>
      <c r="B201" s="135"/>
      <c r="C201" s="126"/>
      <c r="D201" s="175">
        <f>+SUMIF(B[Bene],Assegnazione[[#This Row],[Bene]],B[Imponibile Iva])*Assegnazione[[#This Row],[Quota di assegnazione]]</f>
        <v>0</v>
      </c>
      <c r="E201" s="175">
        <f>+SUMIF(B[Bene],Assegnazione[[#This Row],[Bene]],B[Valore inserito manualmente])*Assegnazione[[#This Row],[Quota di assegnazione]]</f>
        <v>0</v>
      </c>
      <c r="F201" s="176" t="str">
        <f>+IF(A201="","",VLOOKUP(Assegnazione[[#This Row],[Bene]],B[],3,0))</f>
        <v/>
      </c>
      <c r="G201" s="132" t="str">
        <f>+IFERROR(VLOOKUP(Assegnazione[[#This Row],[Bene]],B[],MATCH("Agevolabile",Beni!$A$4:$AC$4,0),0)*VLOOKUP(Assegnazione[[#This Row],[Socio]],A_1[],8,0),"")</f>
        <v/>
      </c>
      <c r="H201" s="175">
        <f>+SUMIF(B[Bene],Assegnazione[[#This Row],[Bene]],B[Valore netto contabile fiscalmente riconosciuto])*Assegnazione[[#This Row],[Quota di assegnazione]]</f>
        <v>0</v>
      </c>
      <c r="I201" s="175">
        <f>+SUMIF(B[Bene],Assegnazione[[#This Row],[Bene]],B[Valore normale])*Assegnazione[[#This Row],[Quota di assegnazione]]</f>
        <v>0</v>
      </c>
      <c r="J201" s="177">
        <f>+IF(Assegnazione[[#This Row],[Bene]]="",0,SUMIF(Assegnazione[Socio],Assegnazione[[#This Row],[Socio]],Assegnazione[Valore Normale])/$I$3)</f>
        <v>0</v>
      </c>
      <c r="K201" s="177" t="str">
        <f>IF(Assegnazione[[#This Row],[Bene]]="","",SUMIF(A_1[Nome],Assegnazione[[#This Row],[Socio]],A_1[Quota partecipazione al momento dell''operazione]))</f>
        <v/>
      </c>
      <c r="L201" s="175">
        <f>+SUMIF(B[Bene],Assegnazione[[#This Row],[Bene]],B[Valore catastale])*Assegnazione[[#This Row],[Quota di assegnazione]]</f>
        <v>0</v>
      </c>
      <c r="M2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5">
        <f>+MIN(Assegnazione[[#This Row],[Valore ai fini dell''atto]],Assegnazione[[#This Row],[Valore Fiscalmente riconosciuto]])</f>
        <v>0</v>
      </c>
      <c r="O201" s="149" t="str">
        <f>+IFERROR(VLOOKUP(Assegnazione[[#This Row],[Bene]],B[],MATCH($O$4,Beni!$A$4:$Z$4,0),0),"")</f>
        <v/>
      </c>
      <c r="P2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8">
        <f>+SUMIF(B[Bene],Assegnazione[[#This Row],[Bene]],B[Iva se dovuta])*Assegnazione[[#This Row],[Quota di assegnazione]]</f>
        <v>0</v>
      </c>
      <c r="S201" s="178">
        <f>+SUMIF(B[Bene],Assegnazione[[#This Row],[Bene]],B[Imposta di registro (fissa + prop) senza agevolazione])*Assegnazione[[#This Row],[Quota di assegnazione]]</f>
        <v>0</v>
      </c>
      <c r="T201" s="178">
        <f>+SUMIF(B[Bene],Assegnazione[[#This Row],[Bene]],B[Ipotecaria e catastale senza agevolazione])*Assegnazione[[#This Row],[Quota di assegnazione]]</f>
        <v>0</v>
      </c>
      <c r="U201" s="179">
        <f>+SUM(Assegnazione[[#This Row],[Tassazione diretta senza agevolazione]:[Ipotecaria e catastale senza agevolazione]])</f>
        <v>0</v>
      </c>
      <c r="V201" s="178">
        <f>+SUMIF(B[Bene],Assegnazione[[#This Row],[Bene]],B[Imponibile Imposta sostitutiva])*Assegnazione[[#This Row],[Quota di assegnazione]]*DATI!$E$27</f>
        <v>0</v>
      </c>
      <c r="W201" s="178">
        <f>+SUMIF(B[Bene],Assegnazione[[#This Row],[Bene]],B[Imposta di registro in misura fissa agevolata])*Assegnazione[[#This Row],[Quota di assegnazione]]</f>
        <v>0</v>
      </c>
      <c r="X201" s="178">
        <f>+SUMIF(B[Bene],Assegnazione[[#This Row],[Bene]],B[Imposta di registro prop. Agevolata])*Assegnazione[[#This Row],[Quota di assegnazione]]</f>
        <v>0</v>
      </c>
      <c r="Y201" s="178">
        <f>+IFERROR(Assegnazione[[#This Row],[Imposta di registro in misura fissa]]+Assegnazione[[#This Row],[Imposta di registro prop.]],"")</f>
        <v>0</v>
      </c>
      <c r="Z201" s="178">
        <f>+SUMIF(B[Bene],Assegnazione[[#This Row],[Bene]],B[Ipotecaria catastale agevolata])*Assegnazione[[#This Row],[Quota di assegnazione]]</f>
        <v>0</v>
      </c>
    </row>
    <row r="202" spans="1:26" x14ac:dyDescent="0.2">
      <c r="A202" s="126"/>
      <c r="B202" s="135"/>
      <c r="C202" s="126"/>
      <c r="D202" s="175">
        <f>+SUMIF(B[Bene],Assegnazione[[#This Row],[Bene]],B[Imponibile Iva])*Assegnazione[[#This Row],[Quota di assegnazione]]</f>
        <v>0</v>
      </c>
      <c r="E202" s="175">
        <f>+SUMIF(B[Bene],Assegnazione[[#This Row],[Bene]],B[Valore inserito manualmente])*Assegnazione[[#This Row],[Quota di assegnazione]]</f>
        <v>0</v>
      </c>
      <c r="F202" s="176" t="str">
        <f>+IF(A202="","",VLOOKUP(Assegnazione[[#This Row],[Bene]],B[],3,0))</f>
        <v/>
      </c>
      <c r="G202" s="132" t="str">
        <f>+IFERROR(VLOOKUP(Assegnazione[[#This Row],[Bene]],B[],MATCH("Agevolabile",Beni!$A$4:$AC$4,0),0)*VLOOKUP(Assegnazione[[#This Row],[Socio]],A_1[],8,0),"")</f>
        <v/>
      </c>
      <c r="H202" s="175">
        <f>+SUMIF(B[Bene],Assegnazione[[#This Row],[Bene]],B[Valore netto contabile fiscalmente riconosciuto])*Assegnazione[[#This Row],[Quota di assegnazione]]</f>
        <v>0</v>
      </c>
      <c r="I202" s="175">
        <f>+SUMIF(B[Bene],Assegnazione[[#This Row],[Bene]],B[Valore normale])*Assegnazione[[#This Row],[Quota di assegnazione]]</f>
        <v>0</v>
      </c>
      <c r="J202" s="177">
        <f>+IF(Assegnazione[[#This Row],[Bene]]="",0,SUMIF(Assegnazione[Socio],Assegnazione[[#This Row],[Socio]],Assegnazione[Valore Normale])/$I$3)</f>
        <v>0</v>
      </c>
      <c r="K202" s="177" t="str">
        <f>IF(Assegnazione[[#This Row],[Bene]]="","",SUMIF(A_1[Nome],Assegnazione[[#This Row],[Socio]],A_1[Quota partecipazione al momento dell''operazione]))</f>
        <v/>
      </c>
      <c r="L202" s="175">
        <f>+SUMIF(B[Bene],Assegnazione[[#This Row],[Bene]],B[Valore catastale])*Assegnazione[[#This Row],[Quota di assegnazione]]</f>
        <v>0</v>
      </c>
      <c r="M2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5">
        <f>+MIN(Assegnazione[[#This Row],[Valore ai fini dell''atto]],Assegnazione[[#This Row],[Valore Fiscalmente riconosciuto]])</f>
        <v>0</v>
      </c>
      <c r="O202" s="149" t="str">
        <f>+IFERROR(VLOOKUP(Assegnazione[[#This Row],[Bene]],B[],MATCH($O$4,Beni!$A$4:$Z$4,0),0),"")</f>
        <v/>
      </c>
      <c r="P2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8">
        <f>+SUMIF(B[Bene],Assegnazione[[#This Row],[Bene]],B[Iva se dovuta])*Assegnazione[[#This Row],[Quota di assegnazione]]</f>
        <v>0</v>
      </c>
      <c r="S202" s="178">
        <f>+SUMIF(B[Bene],Assegnazione[[#This Row],[Bene]],B[Imposta di registro (fissa + prop) senza agevolazione])*Assegnazione[[#This Row],[Quota di assegnazione]]</f>
        <v>0</v>
      </c>
      <c r="T202" s="178">
        <f>+SUMIF(B[Bene],Assegnazione[[#This Row],[Bene]],B[Ipotecaria e catastale senza agevolazione])*Assegnazione[[#This Row],[Quota di assegnazione]]</f>
        <v>0</v>
      </c>
      <c r="U202" s="179">
        <f>+SUM(Assegnazione[[#This Row],[Tassazione diretta senza agevolazione]:[Ipotecaria e catastale senza agevolazione]])</f>
        <v>0</v>
      </c>
      <c r="V202" s="178">
        <f>+SUMIF(B[Bene],Assegnazione[[#This Row],[Bene]],B[Imponibile Imposta sostitutiva])*Assegnazione[[#This Row],[Quota di assegnazione]]*DATI!$E$27</f>
        <v>0</v>
      </c>
      <c r="W202" s="178">
        <f>+SUMIF(B[Bene],Assegnazione[[#This Row],[Bene]],B[Imposta di registro in misura fissa agevolata])*Assegnazione[[#This Row],[Quota di assegnazione]]</f>
        <v>0</v>
      </c>
      <c r="X202" s="178">
        <f>+SUMIF(B[Bene],Assegnazione[[#This Row],[Bene]],B[Imposta di registro prop. Agevolata])*Assegnazione[[#This Row],[Quota di assegnazione]]</f>
        <v>0</v>
      </c>
      <c r="Y202" s="178">
        <f>+IFERROR(Assegnazione[[#This Row],[Imposta di registro in misura fissa]]+Assegnazione[[#This Row],[Imposta di registro prop.]],"")</f>
        <v>0</v>
      </c>
      <c r="Z202" s="178">
        <f>+SUMIF(B[Bene],Assegnazione[[#This Row],[Bene]],B[Ipotecaria catastale agevolata])*Assegnazione[[#This Row],[Quota di assegnazione]]</f>
        <v>0</v>
      </c>
    </row>
    <row r="203" spans="1:26" x14ac:dyDescent="0.2">
      <c r="A203" s="126"/>
      <c r="B203" s="135"/>
      <c r="C203" s="126"/>
      <c r="D203" s="175">
        <f>+SUMIF(B[Bene],Assegnazione[[#This Row],[Bene]],B[Imponibile Iva])*Assegnazione[[#This Row],[Quota di assegnazione]]</f>
        <v>0</v>
      </c>
      <c r="E203" s="175">
        <f>+SUMIF(B[Bene],Assegnazione[[#This Row],[Bene]],B[Valore inserito manualmente])*Assegnazione[[#This Row],[Quota di assegnazione]]</f>
        <v>0</v>
      </c>
      <c r="F203" s="176" t="str">
        <f>+IF(A203="","",VLOOKUP(Assegnazione[[#This Row],[Bene]],B[],3,0))</f>
        <v/>
      </c>
      <c r="G203" s="132" t="str">
        <f>+IFERROR(VLOOKUP(Assegnazione[[#This Row],[Bene]],B[],MATCH("Agevolabile",Beni!$A$4:$AC$4,0),0)*VLOOKUP(Assegnazione[[#This Row],[Socio]],A_1[],8,0),"")</f>
        <v/>
      </c>
      <c r="H203" s="175">
        <f>+SUMIF(B[Bene],Assegnazione[[#This Row],[Bene]],B[Valore netto contabile fiscalmente riconosciuto])*Assegnazione[[#This Row],[Quota di assegnazione]]</f>
        <v>0</v>
      </c>
      <c r="I203" s="175">
        <f>+SUMIF(B[Bene],Assegnazione[[#This Row],[Bene]],B[Valore normale])*Assegnazione[[#This Row],[Quota di assegnazione]]</f>
        <v>0</v>
      </c>
      <c r="J203" s="177">
        <f>+IF(Assegnazione[[#This Row],[Bene]]="",0,SUMIF(Assegnazione[Socio],Assegnazione[[#This Row],[Socio]],Assegnazione[Valore Normale])/$I$3)</f>
        <v>0</v>
      </c>
      <c r="K203" s="177" t="str">
        <f>IF(Assegnazione[[#This Row],[Bene]]="","",SUMIF(A_1[Nome],Assegnazione[[#This Row],[Socio]],A_1[Quota partecipazione al momento dell''operazione]))</f>
        <v/>
      </c>
      <c r="L203" s="175">
        <f>+SUMIF(B[Bene],Assegnazione[[#This Row],[Bene]],B[Valore catastale])*Assegnazione[[#This Row],[Quota di assegnazione]]</f>
        <v>0</v>
      </c>
      <c r="M2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5">
        <f>+MIN(Assegnazione[[#This Row],[Valore ai fini dell''atto]],Assegnazione[[#This Row],[Valore Fiscalmente riconosciuto]])</f>
        <v>0</v>
      </c>
      <c r="O203" s="149" t="str">
        <f>+IFERROR(VLOOKUP(Assegnazione[[#This Row],[Bene]],B[],MATCH($O$4,Beni!$A$4:$Z$4,0),0),"")</f>
        <v/>
      </c>
      <c r="P2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8">
        <f>+SUMIF(B[Bene],Assegnazione[[#This Row],[Bene]],B[Iva se dovuta])*Assegnazione[[#This Row],[Quota di assegnazione]]</f>
        <v>0</v>
      </c>
      <c r="S203" s="178">
        <f>+SUMIF(B[Bene],Assegnazione[[#This Row],[Bene]],B[Imposta di registro (fissa + prop) senza agevolazione])*Assegnazione[[#This Row],[Quota di assegnazione]]</f>
        <v>0</v>
      </c>
      <c r="T203" s="178">
        <f>+SUMIF(B[Bene],Assegnazione[[#This Row],[Bene]],B[Ipotecaria e catastale senza agevolazione])*Assegnazione[[#This Row],[Quota di assegnazione]]</f>
        <v>0</v>
      </c>
      <c r="U203" s="179">
        <f>+SUM(Assegnazione[[#This Row],[Tassazione diretta senza agevolazione]:[Ipotecaria e catastale senza agevolazione]])</f>
        <v>0</v>
      </c>
      <c r="V203" s="178">
        <f>+SUMIF(B[Bene],Assegnazione[[#This Row],[Bene]],B[Imponibile Imposta sostitutiva])*Assegnazione[[#This Row],[Quota di assegnazione]]*DATI!$E$27</f>
        <v>0</v>
      </c>
      <c r="W203" s="178">
        <f>+SUMIF(B[Bene],Assegnazione[[#This Row],[Bene]],B[Imposta di registro in misura fissa agevolata])*Assegnazione[[#This Row],[Quota di assegnazione]]</f>
        <v>0</v>
      </c>
      <c r="X203" s="178">
        <f>+SUMIF(B[Bene],Assegnazione[[#This Row],[Bene]],B[Imposta di registro prop. Agevolata])*Assegnazione[[#This Row],[Quota di assegnazione]]</f>
        <v>0</v>
      </c>
      <c r="Y203" s="178">
        <f>+IFERROR(Assegnazione[[#This Row],[Imposta di registro in misura fissa]]+Assegnazione[[#This Row],[Imposta di registro prop.]],"")</f>
        <v>0</v>
      </c>
      <c r="Z203" s="178">
        <f>+SUMIF(B[Bene],Assegnazione[[#This Row],[Bene]],B[Ipotecaria catastale agevolata])*Assegnazione[[#This Row],[Quota di assegnazione]]</f>
        <v>0</v>
      </c>
    </row>
    <row r="204" spans="1:26" x14ac:dyDescent="0.2">
      <c r="A204" s="126"/>
      <c r="B204" s="130"/>
      <c r="C204" s="126"/>
      <c r="D204" s="180">
        <f>+SUMIF(B[Bene],Assegnazione[[#This Row],[Bene]],B[Imponibile Iva])*Assegnazione[[#This Row],[Quota di assegnazione]]</f>
        <v>0</v>
      </c>
      <c r="E204" s="175">
        <f>+SUMIF(B[Bene],Assegnazione[[#This Row],[Bene]],B[Valore inserito manualmente])*Assegnazione[[#This Row],[Quota di assegnazione]]</f>
        <v>0</v>
      </c>
      <c r="F204" s="119"/>
      <c r="G204" s="132" t="str">
        <f>+IFERROR(VLOOKUP(Assegnazione[[#This Row],[Bene]],B[],MATCH("Agevolabile",Beni!$A$4:$AC$4,0),0)*VLOOKUP(Assegnazione[[#This Row],[Socio]],A_1[],8,0),"")</f>
        <v/>
      </c>
      <c r="H204" s="175">
        <f>+SUMIF(B[Bene],Assegnazione[[#This Row],[Bene]],B[Valore netto contabile fiscalmente riconosciuto])*Assegnazione[[#This Row],[Quota di assegnazione]]</f>
        <v>0</v>
      </c>
      <c r="I204" s="175">
        <f>+SUMIF(B[Bene],Assegnazione[[#This Row],[Bene]],B[Valore normale])*Assegnazione[[#This Row],[Quota di assegnazione]]</f>
        <v>0</v>
      </c>
      <c r="J204" s="177">
        <f>+IF(Assegnazione[[#This Row],[Bene]]="",0,SUMIF(Assegnazione[Socio],Assegnazione[[#This Row],[Socio]],Assegnazione[Valore Normale])/$I$3)</f>
        <v>0</v>
      </c>
      <c r="K204" s="177" t="str">
        <f>IF(Assegnazione[[#This Row],[Bene]]="","",SUMIF(A_1[Nome],Assegnazione[[#This Row],[Socio]],A_1[Quota partecipazione al momento dell''operazione]))</f>
        <v/>
      </c>
      <c r="L204" s="175">
        <f>+SUMIF(B[Bene],Assegnazione[[#This Row],[Bene]],B[Valore catastale])*Assegnazione[[#This Row],[Quota di assegnazione]]</f>
        <v>0</v>
      </c>
      <c r="M2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5">
        <f>+MIN(Assegnazione[[#This Row],[Valore ai fini dell''atto]],Assegnazione[[#This Row],[Valore Fiscalmente riconosciuto]])</f>
        <v>0</v>
      </c>
      <c r="O204" s="149" t="str">
        <f>+IFERROR(VLOOKUP(Assegnazione[[#This Row],[Bene]],B[],MATCH($O$4,Beni!$A$4:$Z$4,0),0),"")</f>
        <v/>
      </c>
      <c r="P2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8">
        <f>+SUMIF(B[Bene],Assegnazione[[#This Row],[Bene]],B[Iva se dovuta])*Assegnazione[[#This Row],[Quota di assegnazione]]</f>
        <v>0</v>
      </c>
      <c r="S204" s="178">
        <f>+SUMIF(B[Bene],Assegnazione[[#This Row],[Bene]],B[Imposta di registro (fissa + prop) senza agevolazione])*Assegnazione[[#This Row],[Quota di assegnazione]]</f>
        <v>0</v>
      </c>
      <c r="T204" s="178">
        <f>+SUMIF(B[Bene],Assegnazione[[#This Row],[Bene]],B[Ipotecaria e catastale senza agevolazione])*Assegnazione[[#This Row],[Quota di assegnazione]]</f>
        <v>0</v>
      </c>
      <c r="U204" s="179">
        <f>+SUM(Assegnazione[[#This Row],[Tassazione diretta senza agevolazione]:[Ipotecaria e catastale senza agevolazione]])</f>
        <v>0</v>
      </c>
      <c r="V204" s="178">
        <f>+SUMIF(B[Bene],Assegnazione[[#This Row],[Bene]],B[Imponibile Imposta sostitutiva])*Assegnazione[[#This Row],[Quota di assegnazione]]*DATI!$E$27</f>
        <v>0</v>
      </c>
      <c r="W204" s="178">
        <f>+SUMIF(B[Bene],Assegnazione[[#This Row],[Bene]],B[Imposta di registro in misura fissa agevolata])*Assegnazione[[#This Row],[Quota di assegnazione]]</f>
        <v>0</v>
      </c>
      <c r="X204" s="178">
        <f>+SUMIF(B[Bene],Assegnazione[[#This Row],[Bene]],B[Imposta di registro prop. Agevolata])*Assegnazione[[#This Row],[Quota di assegnazione]]</f>
        <v>0</v>
      </c>
      <c r="Y204" s="178">
        <f>+IFERROR(Assegnazione[[#This Row],[Imposta di registro in misura fissa]]+Assegnazione[[#This Row],[Imposta di registro prop.]],"")</f>
        <v>0</v>
      </c>
      <c r="Z204" s="178">
        <f>+SUMIF(B[Bene],Assegnazione[[#This Row],[Bene]],B[Ipotecaria catastale agevolata])*Assegnazione[[#This Row],[Quota di assegnazione]]</f>
        <v>0</v>
      </c>
    </row>
  </sheetData>
  <sheetProtection algorithmName="SHA-512" hashValue="7iMo6wbIhpEuIcxUN1hOMprVYuwaNOduXEniPQtlqCz74rOZ3tVKz9y5JCTbxv1cQLxwtf7j7vpLEfG2L/HShA==" saltValue="OUL2uNn/XeRa3wEr0a6Hb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C5:C204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zoomScale="60" zoomScaleNormal="60" workbookViewId="0">
      <selection activeCell="G4" sqref="G4"/>
    </sheetView>
  </sheetViews>
  <sheetFormatPr defaultRowHeight="15" x14ac:dyDescent="0.25"/>
  <cols>
    <col min="1" max="1" width="30.140625" customWidth="1"/>
    <col min="2" max="2" width="15.42578125" customWidth="1"/>
    <col min="3" max="3" width="20.7109375" customWidth="1"/>
    <col min="4" max="4" width="15.42578125" customWidth="1"/>
    <col min="5" max="5" width="15.140625" customWidth="1"/>
    <col min="6" max="6" width="16.42578125" customWidth="1"/>
    <col min="7" max="7" width="15.28515625" bestFit="1" customWidth="1"/>
    <col min="8" max="8" width="14.140625" customWidth="1"/>
    <col min="9" max="9" width="21.42578125" customWidth="1"/>
    <col min="10" max="10" width="17.7109375" customWidth="1"/>
    <col min="11" max="11" width="13.5703125" bestFit="1" customWidth="1"/>
    <col min="12" max="12" width="16.5703125" bestFit="1" customWidth="1"/>
    <col min="13" max="13" width="20.5703125" customWidth="1"/>
    <col min="14" max="14" width="14.5703125" customWidth="1"/>
    <col min="15" max="15" width="14" customWidth="1"/>
    <col min="16" max="16" width="14.85546875" customWidth="1"/>
    <col min="17" max="18" width="12.42578125" customWidth="1"/>
    <col min="19" max="19" width="7.5703125" bestFit="1" customWidth="1"/>
    <col min="20" max="21" width="11.42578125" bestFit="1" customWidth="1"/>
    <col min="22" max="22" width="9.5703125" bestFit="1" customWidth="1"/>
    <col min="23" max="23" width="10.140625" bestFit="1" customWidth="1"/>
  </cols>
  <sheetData>
    <row r="1" spans="1:18" ht="110.25" customHeight="1" x14ac:dyDescent="0.25"/>
    <row r="2" spans="1:18" ht="54.95" customHeight="1" x14ac:dyDescent="0.25"/>
    <row r="3" spans="1:18" ht="64.5" customHeight="1" x14ac:dyDescent="0.25">
      <c r="A3" s="300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L’assegnazione dei beni ai soci comporta la necessità di annullare riserve contabili (di utili e/o di capitale) in misura pari al valore contabile attribuito al bene in sede di assegnazione</v>
      </c>
      <c r="B3" s="300"/>
      <c r="C3" s="300"/>
      <c r="D3" s="300"/>
      <c r="E3" s="300"/>
      <c r="F3" s="300"/>
      <c r="G3" s="300"/>
      <c r="H3" s="300"/>
      <c r="I3" s="181"/>
      <c r="J3" s="182"/>
      <c r="K3" s="182"/>
      <c r="L3" s="302" t="str">
        <f>+DATI!S45</f>
        <v>Costo operazione: 38,8% su valore normale assegnato pari a € 300.000</v>
      </c>
      <c r="M3" s="302"/>
      <c r="N3" s="302"/>
      <c r="O3" s="302"/>
      <c r="P3" s="302"/>
      <c r="Q3" s="302"/>
      <c r="R3" s="52"/>
    </row>
    <row r="4" spans="1:18" x14ac:dyDescent="0.25">
      <c r="A4" s="233" t="s">
        <v>245</v>
      </c>
      <c r="B4" s="234"/>
      <c r="C4" s="235">
        <f>+Beni!I3*(p=1)</f>
        <v>220000</v>
      </c>
      <c r="D4" s="183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4"/>
      <c r="K4" s="185"/>
      <c r="L4" s="66"/>
      <c r="M4" s="66"/>
      <c r="N4" s="66"/>
      <c r="O4" s="66"/>
      <c r="P4" s="66"/>
      <c r="Q4" s="66"/>
      <c r="R4" s="51"/>
    </row>
    <row r="5" spans="1:18" ht="27" customHeight="1" x14ac:dyDescent="0.25">
      <c r="A5" s="301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301"/>
      <c r="C5" s="301"/>
      <c r="D5" s="301"/>
      <c r="E5" s="301"/>
      <c r="F5" s="301"/>
      <c r="G5" s="301"/>
      <c r="H5" s="301"/>
      <c r="I5" s="301"/>
      <c r="J5" s="301"/>
      <c r="K5" s="301"/>
      <c r="M5" s="239"/>
      <c r="N5" s="237" t="s">
        <v>248</v>
      </c>
      <c r="O5" s="210" t="s">
        <v>247</v>
      </c>
      <c r="P5" s="66"/>
      <c r="Q5" s="66"/>
      <c r="R5" s="51"/>
    </row>
    <row r="6" spans="1:18" ht="43.5" thickBot="1" x14ac:dyDescent="0.35">
      <c r="A6" s="198"/>
      <c r="B6" s="199" t="str">
        <f>+IF(IR,"Utili","")</f>
        <v>Utili</v>
      </c>
      <c r="C6" s="199" t="str">
        <f>+IF(IR,"Riserve","Valore normale")</f>
        <v>Riserve</v>
      </c>
      <c r="D6" s="199" t="str">
        <f>+IF(IR,"Riserve in sospensione","")</f>
        <v>Riserve in sospensione</v>
      </c>
      <c r="E6" s="199" t="str">
        <f>+IF(IR,"Capitale sociale","")</f>
        <v>Capitale sociale</v>
      </c>
      <c r="F6" s="200" t="s">
        <v>229</v>
      </c>
      <c r="G6" s="206" t="s">
        <v>142</v>
      </c>
      <c r="H6" s="198"/>
      <c r="I6" s="215" t="s">
        <v>239</v>
      </c>
      <c r="J6" s="186"/>
      <c r="K6" s="66"/>
      <c r="M6" s="238" t="s">
        <v>126</v>
      </c>
      <c r="N6" s="212">
        <f>+B8</f>
        <v>220000</v>
      </c>
      <c r="O6" s="213">
        <f>+IFERROR(N6/SUM(B8:C8,E8),0)</f>
        <v>1</v>
      </c>
      <c r="P6" s="66"/>
      <c r="Q6" s="66"/>
      <c r="R6" s="51"/>
    </row>
    <row r="7" spans="1:18" ht="16.5" thickTop="1" thickBot="1" x14ac:dyDescent="0.3">
      <c r="A7" s="201" t="s">
        <v>128</v>
      </c>
      <c r="B7" s="202">
        <f>+Società!B7</f>
        <v>600000</v>
      </c>
      <c r="C7" s="202">
        <f>+Società!B8</f>
        <v>500000</v>
      </c>
      <c r="D7" s="203">
        <f>+Società!B9</f>
        <v>100000</v>
      </c>
      <c r="E7" s="203">
        <f>+Società!B6</f>
        <v>800000</v>
      </c>
      <c r="F7" s="204"/>
      <c r="G7" s="207">
        <f>SUM(B7:E7)</f>
        <v>2000000</v>
      </c>
      <c r="H7" s="198"/>
      <c r="I7" s="240" t="s">
        <v>238</v>
      </c>
      <c r="J7" s="241">
        <f>+IF(p=3,D7,D8)</f>
        <v>0</v>
      </c>
      <c r="K7" s="66"/>
      <c r="M7" s="211" t="s">
        <v>127</v>
      </c>
      <c r="N7" s="212">
        <f>+C8</f>
        <v>0</v>
      </c>
      <c r="O7" s="213">
        <f>+IFERROR(N7/SUM(B8:C8,E8),0)</f>
        <v>0</v>
      </c>
      <c r="P7" s="66"/>
      <c r="Q7" s="66"/>
      <c r="R7" s="51"/>
    </row>
    <row r="8" spans="1:18" ht="16.5" thickTop="1" thickBot="1" x14ac:dyDescent="0.3">
      <c r="A8" s="201" t="s">
        <v>218</v>
      </c>
      <c r="B8" s="287">
        <v>220000</v>
      </c>
      <c r="C8" s="287"/>
      <c r="D8" s="287"/>
      <c r="E8" s="288"/>
      <c r="F8" s="289">
        <f>+E12</f>
        <v>0</v>
      </c>
      <c r="G8" s="207">
        <f>SUM(B8:F8)</f>
        <v>220000</v>
      </c>
      <c r="H8" s="209">
        <f>+OR($G$8=C4,p&gt;1)*1</f>
        <v>1</v>
      </c>
      <c r="I8" s="65"/>
      <c r="J8" s="65"/>
      <c r="K8" s="66"/>
      <c r="M8" s="211" t="s">
        <v>104</v>
      </c>
      <c r="N8" s="212">
        <f>+E8</f>
        <v>0</v>
      </c>
      <c r="O8" s="213">
        <f>+IFERROR(N8/SUM(B9:C9,E9),0)</f>
        <v>0</v>
      </c>
      <c r="P8" s="66"/>
      <c r="Q8" s="66"/>
      <c r="R8" s="51"/>
    </row>
    <row r="9" spans="1:18" ht="16.5" customHeight="1" thickTop="1" thickBot="1" x14ac:dyDescent="0.3">
      <c r="A9" s="201"/>
      <c r="B9" s="202">
        <f>+B8*(p=1)+B7*(p=3)</f>
        <v>220000</v>
      </c>
      <c r="C9" s="202">
        <f>+C8*(p=1)+C7*(p=3)</f>
        <v>0</v>
      </c>
      <c r="D9" s="202">
        <f>+D8*(p=1)+D7*(p=3)</f>
        <v>0</v>
      </c>
      <c r="E9" s="202">
        <f>+E8</f>
        <v>0</v>
      </c>
      <c r="F9" s="205"/>
      <c r="G9" s="207">
        <f>SUM(C9:D9)</f>
        <v>0</v>
      </c>
      <c r="H9" s="198"/>
      <c r="I9" s="240" t="s">
        <v>240</v>
      </c>
      <c r="J9" s="241">
        <f>+J7*13%</f>
        <v>0</v>
      </c>
      <c r="K9" s="66"/>
      <c r="M9" s="303" t="s">
        <v>312</v>
      </c>
      <c r="N9" s="303"/>
      <c r="O9" s="303"/>
      <c r="P9" s="303"/>
      <c r="Q9" s="303"/>
      <c r="R9" s="51"/>
    </row>
    <row r="10" spans="1:18" ht="16.5" thickTop="1" thickBot="1" x14ac:dyDescent="0.3">
      <c r="A10" s="201" t="s">
        <v>129</v>
      </c>
      <c r="B10" s="202">
        <f>+B7-B8</f>
        <v>380000</v>
      </c>
      <c r="C10" s="202">
        <f>+C7-C8</f>
        <v>500000</v>
      </c>
      <c r="D10" s="202">
        <f>+D7-D8</f>
        <v>100000</v>
      </c>
      <c r="E10" s="202">
        <f>+E7-E8</f>
        <v>800000</v>
      </c>
      <c r="F10" s="205"/>
      <c r="G10" s="208">
        <f>+G7-G9</f>
        <v>2000000</v>
      </c>
      <c r="H10" s="198"/>
      <c r="I10" s="66"/>
      <c r="J10" s="66"/>
      <c r="K10" s="66"/>
      <c r="L10" s="214"/>
      <c r="M10" s="303"/>
      <c r="N10" s="303"/>
      <c r="O10" s="303"/>
      <c r="P10" s="303"/>
      <c r="Q10" s="303"/>
      <c r="R10" s="51"/>
    </row>
    <row r="11" spans="1:18" ht="27.75" customHeight="1" thickTop="1" thickBot="1" x14ac:dyDescent="0.3">
      <c r="A11" s="236" t="b">
        <v>0</v>
      </c>
      <c r="B11" s="65"/>
      <c r="C11" s="65"/>
      <c r="D11" s="65"/>
      <c r="E11" s="65"/>
      <c r="F11" s="65"/>
      <c r="G11" s="65"/>
      <c r="H11" s="65"/>
      <c r="I11" s="242" t="s">
        <v>347</v>
      </c>
      <c r="J11" s="241">
        <f>(A11=TRUE)*SUM(Tabella7[Accollo debiti])*3%</f>
        <v>0</v>
      </c>
      <c r="K11" s="65"/>
      <c r="L11" s="214"/>
      <c r="M11" s="303"/>
      <c r="N11" s="303"/>
      <c r="O11" s="303"/>
      <c r="P11" s="303"/>
      <c r="Q11" s="303"/>
      <c r="R11" s="51"/>
    </row>
    <row r="12" spans="1:18" ht="33.75" customHeight="1" thickTop="1" x14ac:dyDescent="0.25">
      <c r="A12" s="304" t="str">
        <f>+IF(p=1,"","Questa tabella non è significativa in caso di cessione o trasformazione")</f>
        <v/>
      </c>
      <c r="B12" s="304"/>
      <c r="C12" s="187">
        <f>SUM(Tabella7[Netto assegnato (Costo fiscale del bene in capo al socio)])</f>
        <v>302400</v>
      </c>
      <c r="D12" s="65"/>
      <c r="E12" s="188">
        <f>SUM(Tabella7[Accollo debiti])</f>
        <v>0</v>
      </c>
      <c r="F12" s="187">
        <f>SUM(Tabella7[Base netta])</f>
        <v>220000</v>
      </c>
      <c r="G12" s="187">
        <f>SUM(Tabella7[Utili])</f>
        <v>220000</v>
      </c>
      <c r="H12" s="187">
        <f>SUM(Tabella7[Riserve])</f>
        <v>0</v>
      </c>
      <c r="I12" s="187">
        <f>SUM(Tabella7[Capitale sociale])</f>
        <v>0</v>
      </c>
      <c r="J12" s="187">
        <f>SUM(Tabella7[Totale attribuito])</f>
        <v>0</v>
      </c>
      <c r="K12" s="65"/>
      <c r="L12" s="187">
        <f>SUM(Tabella7[Valore Part.])</f>
        <v>200000</v>
      </c>
      <c r="M12" s="187">
        <f>SUM(Tabella7[Dividendi da "Sottozero"])</f>
        <v>0</v>
      </c>
      <c r="N12" s="187">
        <f>SUM(Tabella7[Totale Redditi])</f>
        <v>220000</v>
      </c>
      <c r="O12" s="187">
        <f>SUM(Tabella7[Maggior IRPEF/Sostitutiva])</f>
        <v>57200</v>
      </c>
      <c r="P12" s="187">
        <f>SUM(Tabella7[Valore Normale attribuito])</f>
        <v>300000</v>
      </c>
      <c r="Q12" s="66"/>
      <c r="R12" s="51"/>
    </row>
    <row r="13" spans="1:18" ht="51" customHeight="1" x14ac:dyDescent="0.25">
      <c r="A13" s="223" t="s">
        <v>100</v>
      </c>
      <c r="B13" s="223" t="s">
        <v>140</v>
      </c>
      <c r="C13" s="223" t="s">
        <v>217</v>
      </c>
      <c r="D13" s="223" t="s">
        <v>141</v>
      </c>
      <c r="E13" s="197" t="s">
        <v>229</v>
      </c>
      <c r="F13" s="223" t="s">
        <v>125</v>
      </c>
      <c r="G13" s="223" t="s">
        <v>126</v>
      </c>
      <c r="H13" s="223" t="s">
        <v>127</v>
      </c>
      <c r="I13" s="223" t="s">
        <v>104</v>
      </c>
      <c r="J13" s="223" t="s">
        <v>131</v>
      </c>
      <c r="K13" s="223" t="s">
        <v>136</v>
      </c>
      <c r="L13" s="223" t="s">
        <v>132</v>
      </c>
      <c r="M13" s="223" t="s">
        <v>249</v>
      </c>
      <c r="N13" s="223" t="s">
        <v>130</v>
      </c>
      <c r="O13" s="223" t="s">
        <v>282</v>
      </c>
      <c r="P13" s="223" t="s">
        <v>284</v>
      </c>
      <c r="Q13" s="223" t="s">
        <v>286</v>
      </c>
      <c r="R13" s="223" t="s">
        <v>285</v>
      </c>
    </row>
    <row r="14" spans="1:18" x14ac:dyDescent="0.25">
      <c r="A14" s="33" t="str">
        <f>+IF(Soci!B6="","",Soci!B6)</f>
        <v>Socio X</v>
      </c>
      <c r="B14" s="34">
        <f>+IF(Tabella7[[#This Row],[Socio]]="","",Soci!E6)</f>
        <v>0.5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4" s="36">
        <f>+IF(Tabella7[[#This Row],[Socio]]="","",Tabella7[[#This Row],[Netto assegnato (Costo fiscale del bene in capo al socio)]]/'Tassazione Soci'!$C$12)</f>
        <v>0.5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1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110000</v>
      </c>
      <c r="O14" s="35">
        <f>+Tabella7[[#This Row],[Totale Redditi]]*Soci!G6</f>
        <v>28600</v>
      </c>
      <c r="P14" s="35">
        <f>+SUMIF(Assegnazione[Socio],Tabella7[[#This Row],[Socio]],Assegnazione[Valore Normale])</f>
        <v>150000</v>
      </c>
      <c r="Q14" s="40">
        <f>+IFERROR(Tabella7[[#This Row],[Valore Normale attribuito]]/Tabella7[[#This Row],[% Cap]],0)*(p=1)</f>
        <v>300000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25">
      <c r="A15" s="33" t="str">
        <f>+IF(Soci!B7="","",Soci!B7)</f>
        <v>Socio Y</v>
      </c>
      <c r="B15" s="34">
        <f>+IF(Tabella7[[#This Row],[Socio]]="","",Soci!E7)</f>
        <v>0.5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5" s="36">
        <f>+IF(Tabella7[[#This Row],[Socio]]="","",Tabella7[[#This Row],[Netto assegnato (Costo fiscale del bene in capo al socio)]]/'Tassazione Soci'!$C$12)</f>
        <v>0.5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1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110000</v>
      </c>
      <c r="O15" s="35">
        <f>+Tabella7[[#This Row],[Totale Redditi]]*Soci!G7</f>
        <v>28600</v>
      </c>
      <c r="P15" s="35">
        <f>+SUMIF(Assegnazione[Socio],Tabella7[[#This Row],[Socio]],Assegnazione[Valore Normale])</f>
        <v>150000</v>
      </c>
      <c r="Q15" s="40">
        <f>+IFERROR(Tabella7[[#This Row],[Valore Normale attribuito]]/Tabella7[[#This Row],[% Cap]],0)*(p=1)</f>
        <v>300000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2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2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2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2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2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2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2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2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2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2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2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2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2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2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2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2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2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2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2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2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2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2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2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2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2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2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2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2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2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2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2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2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2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2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2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2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2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2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2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2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2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2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2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2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2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2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2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2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2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2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2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2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2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2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2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2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2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2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2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2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2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2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2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2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2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2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2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2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2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2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2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2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2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2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2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2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2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2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2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2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2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2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2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2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2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2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2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2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2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2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2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2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2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2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2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2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2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2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algorithmName="SHA-512" hashValue="FGuJIC100Nbhw/cC1t38KfWtNVsXACcH6EUV/yXTNRIFnkO3Ek5DmjiRcMRpjMQZ78YRYi6UmEzKcrWGIXEqYQ==" saltValue="GYqhcaK2yRSp4JaaxgOlPQ==" spinCount="100000" sheet="1"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257175</xdr:colOff>
                    <xdr:row>2</xdr:row>
                    <xdr:rowOff>257175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47625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485775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="70" zoomScaleNormal="70" workbookViewId="0">
      <selection activeCell="I7" sqref="I7"/>
    </sheetView>
  </sheetViews>
  <sheetFormatPr defaultColWidth="9.140625" defaultRowHeight="14.25" x14ac:dyDescent="0.2"/>
  <cols>
    <col min="1" max="1" width="9.42578125" style="56" customWidth="1"/>
    <col min="2" max="2" width="17" style="56" bestFit="1" customWidth="1"/>
    <col min="3" max="3" width="25.7109375" style="56" customWidth="1"/>
    <col min="4" max="4" width="22" style="56" customWidth="1"/>
    <col min="5" max="5" width="11.140625" style="56" customWidth="1"/>
    <col min="6" max="6" width="35.42578125" style="56" customWidth="1"/>
    <col min="7" max="16384" width="9.140625" style="56"/>
  </cols>
  <sheetData>
    <row r="1" spans="1:21" ht="127.5" customHeight="1" x14ac:dyDescent="0.2"/>
    <row r="2" spans="1:21" ht="54.95" customHeight="1" x14ac:dyDescent="0.2"/>
    <row r="3" spans="1:21" ht="26.25" customHeight="1" x14ac:dyDescent="0.2">
      <c r="A3" s="275" t="s">
        <v>222</v>
      </c>
      <c r="B3" s="275"/>
      <c r="C3" s="275"/>
      <c r="D3" s="275"/>
      <c r="E3" s="275"/>
      <c r="F3" s="276">
        <f>SUM(Tabella10[Rettifica della detrazione])</f>
        <v>50000</v>
      </c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</row>
    <row r="4" spans="1:21" ht="56.25" customHeight="1" x14ac:dyDescent="0.2">
      <c r="A4" s="224" t="s">
        <v>220</v>
      </c>
      <c r="B4" s="224" t="s">
        <v>13</v>
      </c>
      <c r="C4" s="224" t="s">
        <v>219</v>
      </c>
      <c r="D4" s="225" t="s">
        <v>226</v>
      </c>
      <c r="E4" s="225" t="s">
        <v>223</v>
      </c>
      <c r="F4" s="225" t="s">
        <v>221</v>
      </c>
    </row>
    <row r="5" spans="1:21" x14ac:dyDescent="0.2">
      <c r="A5" s="278">
        <v>2020</v>
      </c>
      <c r="B5" s="126" t="s">
        <v>386</v>
      </c>
      <c r="C5" s="189">
        <v>100000</v>
      </c>
      <c r="D5" s="279">
        <f>+IF(Tabella10[[#This Row],[Anno]]="","",IFERROR(IF(VLOOKUP(Tabella10[[#This Row],[Bene]],B[[Bene]:[Tipologia]],3,0)="Altri Beni",5,10),10))</f>
        <v>10</v>
      </c>
      <c r="E5" s="190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0.5</v>
      </c>
      <c r="F5" s="175">
        <f>+IFERROR(Tabella10[[#This Row],[Iva portata in detrazione]]*Tabella10[[#This Row],[Anni residui]],0)</f>
        <v>50000</v>
      </c>
    </row>
    <row r="6" spans="1:21" x14ac:dyDescent="0.2">
      <c r="A6" s="278"/>
      <c r="B6" s="126"/>
      <c r="C6" s="189"/>
      <c r="D6" s="279" t="str">
        <f>+IF(Tabella10[[#This Row],[Anno]]="","",IFERROR(IF(VLOOKUP(Tabella10[[#This Row],[Bene]],B[[Bene]:[Tipologia]],3,0)="Altri Beni",5,10),10))</f>
        <v/>
      </c>
      <c r="E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5">
        <f>+IFERROR(Tabella10[[#This Row],[Iva portata in detrazione]]*Tabella10[[#This Row],[Anni residui]],0)</f>
        <v>0</v>
      </c>
    </row>
    <row r="7" spans="1:21" x14ac:dyDescent="0.2">
      <c r="A7" s="278"/>
      <c r="B7" s="126"/>
      <c r="C7" s="189"/>
      <c r="D7" s="279" t="str">
        <f>+IF(Tabella10[[#This Row],[Anno]]="","",IFERROR(IF(VLOOKUP(Tabella10[[#This Row],[Bene]],B[[Bene]:[Tipologia]],3,0)="Altri Beni",5,10),10))</f>
        <v/>
      </c>
      <c r="E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5">
        <f>+IFERROR(Tabella10[[#This Row],[Iva portata in detrazione]]*Tabella10[[#This Row],[Anni residui]],0)</f>
        <v>0</v>
      </c>
    </row>
    <row r="8" spans="1:21" x14ac:dyDescent="0.2">
      <c r="A8" s="278"/>
      <c r="B8" s="126"/>
      <c r="C8" s="189"/>
      <c r="D8" s="279" t="str">
        <f>+IF(Tabella10[[#This Row],[Anno]]="","",IFERROR(IF(VLOOKUP(Tabella10[[#This Row],[Bene]],B[[Bene]:[Tipologia]],3,0)="Altri Beni",5,10),10))</f>
        <v/>
      </c>
      <c r="E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5">
        <f>+IFERROR(Tabella10[[#This Row],[Iva portata in detrazione]]*Tabella10[[#This Row],[Anni residui]],0)</f>
        <v>0</v>
      </c>
    </row>
    <row r="9" spans="1:21" x14ac:dyDescent="0.2">
      <c r="A9" s="278"/>
      <c r="B9" s="126"/>
      <c r="C9" s="189"/>
      <c r="D9" s="279" t="str">
        <f>+IF(Tabella10[[#This Row],[Anno]]="","",IFERROR(IF(VLOOKUP(Tabella10[[#This Row],[Bene]],B[[Bene]:[Tipologia]],3,0)="Altri Beni",5,10),10))</f>
        <v/>
      </c>
      <c r="E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5">
        <f>+IFERROR(Tabella10[[#This Row],[Iva portata in detrazione]]*Tabella10[[#This Row],[Anni residui]],0)</f>
        <v>0</v>
      </c>
    </row>
    <row r="10" spans="1:21" x14ac:dyDescent="0.2">
      <c r="A10" s="278"/>
      <c r="B10" s="126"/>
      <c r="C10" s="189"/>
      <c r="D10" s="279" t="str">
        <f>+IF(Tabella10[[#This Row],[Anno]]="","",IFERROR(IF(VLOOKUP(Tabella10[[#This Row],[Bene]],B[[Bene]:[Tipologia]],3,0)="Altri Beni",5,10),10))</f>
        <v/>
      </c>
      <c r="E1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5">
        <f>+IFERROR(Tabella10[[#This Row],[Iva portata in detrazione]]*Tabella10[[#This Row],[Anni residui]],0)</f>
        <v>0</v>
      </c>
    </row>
    <row r="11" spans="1:21" x14ac:dyDescent="0.2">
      <c r="A11" s="278"/>
      <c r="B11" s="126"/>
      <c r="C11" s="189"/>
      <c r="D11" s="279" t="str">
        <f>+IF(Tabella10[[#This Row],[Anno]]="","",IFERROR(IF(VLOOKUP(Tabella10[[#This Row],[Bene]],B[[Bene]:[Tipologia]],3,0)="Altri Beni",5,10),10))</f>
        <v/>
      </c>
      <c r="E1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5">
        <f>+IFERROR(Tabella10[[#This Row],[Iva portata in detrazione]]*Tabella10[[#This Row],[Anni residui]],0)</f>
        <v>0</v>
      </c>
    </row>
    <row r="12" spans="1:21" x14ac:dyDescent="0.2">
      <c r="A12" s="278"/>
      <c r="B12" s="126"/>
      <c r="C12" s="189"/>
      <c r="D12" s="279" t="str">
        <f>+IF(Tabella10[[#This Row],[Anno]]="","",IFERROR(IF(VLOOKUP(Tabella10[[#This Row],[Bene]],B[[Bene]:[Tipologia]],3,0)="Altri Beni",5,10),10))</f>
        <v/>
      </c>
      <c r="E1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5">
        <f>+IFERROR(Tabella10[[#This Row],[Iva portata in detrazione]]*Tabella10[[#This Row],[Anni residui]],0)</f>
        <v>0</v>
      </c>
    </row>
    <row r="13" spans="1:21" x14ac:dyDescent="0.2">
      <c r="A13" s="278"/>
      <c r="B13" s="126"/>
      <c r="C13" s="189"/>
      <c r="D13" s="279" t="str">
        <f>+IF(Tabella10[[#This Row],[Anno]]="","",IFERROR(IF(VLOOKUP(Tabella10[[#This Row],[Bene]],B[[Bene]:[Tipologia]],3,0)="Altri Beni",5,10),10))</f>
        <v/>
      </c>
      <c r="E1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5">
        <f>+IFERROR(Tabella10[[#This Row],[Iva portata in detrazione]]*Tabella10[[#This Row],[Anni residui]],0)</f>
        <v>0</v>
      </c>
    </row>
    <row r="14" spans="1:21" x14ac:dyDescent="0.2">
      <c r="A14" s="278"/>
      <c r="B14" s="126"/>
      <c r="C14" s="191"/>
      <c r="D14" s="279" t="str">
        <f>+IF(Tabella10[[#This Row],[Anno]]="","",IFERROR(IF(VLOOKUP(Tabella10[[#This Row],[Bene]],B[[Bene]:[Tipologia]],3,0)="Altri Beni",5,10),10))</f>
        <v/>
      </c>
      <c r="E1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92">
        <f>+IFERROR(Tabella10[[#This Row],[Iva portata in detrazione]]*Tabella10[[#This Row],[Anni residui]],0)</f>
        <v>0</v>
      </c>
    </row>
    <row r="15" spans="1:21" x14ac:dyDescent="0.2">
      <c r="A15" s="278"/>
      <c r="B15" s="126"/>
      <c r="C15" s="191"/>
      <c r="D15" s="279" t="str">
        <f>+IF(Tabella10[[#This Row],[Anno]]="","",IFERROR(IF(VLOOKUP(Tabella10[[#This Row],[Bene]],B[[Bene]:[Tipologia]],3,0)="Altri Beni",5,10),10))</f>
        <v/>
      </c>
      <c r="E15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92">
        <f>+IFERROR(Tabella10[[#This Row],[Iva portata in detrazione]]*Tabella10[[#This Row],[Anni residui]],0)</f>
        <v>0</v>
      </c>
    </row>
    <row r="16" spans="1:21" x14ac:dyDescent="0.2">
      <c r="A16" s="278"/>
      <c r="B16" s="126"/>
      <c r="C16" s="191"/>
      <c r="D16" s="279" t="str">
        <f>+IF(Tabella10[[#This Row],[Anno]]="","",IFERROR(IF(VLOOKUP(Tabella10[[#This Row],[Bene]],B[[Bene]:[Tipologia]],3,0)="Altri Beni",5,10),10))</f>
        <v/>
      </c>
      <c r="E1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92">
        <f>+IFERROR(Tabella10[[#This Row],[Iva portata in detrazione]]*Tabella10[[#This Row],[Anni residui]],0)</f>
        <v>0</v>
      </c>
    </row>
    <row r="17" spans="1:6" x14ac:dyDescent="0.2">
      <c r="A17" s="278"/>
      <c r="B17" s="126"/>
      <c r="C17" s="191"/>
      <c r="D17" s="279" t="str">
        <f>+IF(Tabella10[[#This Row],[Anno]]="","",IFERROR(IF(VLOOKUP(Tabella10[[#This Row],[Bene]],B[[Bene]:[Tipologia]],3,0)="Altri Beni",5,10),10))</f>
        <v/>
      </c>
      <c r="E1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92">
        <f>+IFERROR(Tabella10[[#This Row],[Iva portata in detrazione]]*Tabella10[[#This Row],[Anni residui]],0)</f>
        <v>0</v>
      </c>
    </row>
    <row r="18" spans="1:6" x14ac:dyDescent="0.2">
      <c r="A18" s="278"/>
      <c r="B18" s="126"/>
      <c r="C18" s="191"/>
      <c r="D18" s="279" t="str">
        <f>+IF(Tabella10[[#This Row],[Anno]]="","",IFERROR(IF(VLOOKUP(Tabella10[[#This Row],[Bene]],B[[Bene]:[Tipologia]],3,0)="Altri Beni",5,10),10))</f>
        <v/>
      </c>
      <c r="E1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92">
        <f>+IFERROR(Tabella10[[#This Row],[Iva portata in detrazione]]*Tabella10[[#This Row],[Anni residui]],0)</f>
        <v>0</v>
      </c>
    </row>
    <row r="19" spans="1:6" x14ac:dyDescent="0.2">
      <c r="A19" s="278"/>
      <c r="B19" s="126"/>
      <c r="C19" s="191"/>
      <c r="D19" s="279" t="str">
        <f>+IF(Tabella10[[#This Row],[Anno]]="","",IFERROR(IF(VLOOKUP(Tabella10[[#This Row],[Bene]],B[[Bene]:[Tipologia]],3,0)="Altri Beni",5,10),10))</f>
        <v/>
      </c>
      <c r="E1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92">
        <f>+IFERROR(Tabella10[[#This Row],[Iva portata in detrazione]]*Tabella10[[#This Row],[Anni residui]],0)</f>
        <v>0</v>
      </c>
    </row>
    <row r="20" spans="1:6" x14ac:dyDescent="0.2">
      <c r="A20" s="278"/>
      <c r="B20" s="126"/>
      <c r="C20" s="191"/>
      <c r="D20" s="279" t="str">
        <f>+IF(Tabella10[[#This Row],[Anno]]="","",IFERROR(IF(VLOOKUP(Tabella10[[#This Row],[Bene]],B[[Bene]:[Tipologia]],3,0)="Altri Beni",5,10),10))</f>
        <v/>
      </c>
      <c r="E2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92">
        <f>+IFERROR(Tabella10[[#This Row],[Iva portata in detrazione]]*Tabella10[[#This Row],[Anni residui]],0)</f>
        <v>0</v>
      </c>
    </row>
    <row r="21" spans="1:6" x14ac:dyDescent="0.2">
      <c r="A21" s="278"/>
      <c r="B21" s="126"/>
      <c r="C21" s="191"/>
      <c r="D21" s="279" t="str">
        <f>+IF(Tabella10[[#This Row],[Anno]]="","",IFERROR(IF(VLOOKUP(Tabella10[[#This Row],[Bene]],B[[Bene]:[Tipologia]],3,0)="Altri Beni",5,10),10))</f>
        <v/>
      </c>
      <c r="E2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92">
        <f>+IFERROR(Tabella10[[#This Row],[Iva portata in detrazione]]*Tabella10[[#This Row],[Anni residui]],0)</f>
        <v>0</v>
      </c>
    </row>
    <row r="22" spans="1:6" x14ac:dyDescent="0.2">
      <c r="A22" s="278"/>
      <c r="B22" s="126"/>
      <c r="C22" s="191"/>
      <c r="D22" s="279" t="str">
        <f>+IF(Tabella10[[#This Row],[Anno]]="","",IFERROR(IF(VLOOKUP(Tabella10[[#This Row],[Bene]],B[[Bene]:[Tipologia]],3,0)="Altri Beni",5,10),10))</f>
        <v/>
      </c>
      <c r="E2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92">
        <f>+IFERROR(Tabella10[[#This Row],[Iva portata in detrazione]]*Tabella10[[#This Row],[Anni residui]],0)</f>
        <v>0</v>
      </c>
    </row>
    <row r="23" spans="1:6" x14ac:dyDescent="0.2">
      <c r="A23" s="278"/>
      <c r="B23" s="126"/>
      <c r="C23" s="191"/>
      <c r="D23" s="279" t="str">
        <f>+IF(Tabella10[[#This Row],[Anno]]="","",IFERROR(IF(VLOOKUP(Tabella10[[#This Row],[Bene]],B[[Bene]:[Tipologia]],3,0)="Altri Beni",5,10),10))</f>
        <v/>
      </c>
      <c r="E2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92">
        <f>+IFERROR(Tabella10[[#This Row],[Iva portata in detrazione]]*Tabella10[[#This Row],[Anni residui]],0)</f>
        <v>0</v>
      </c>
    </row>
    <row r="24" spans="1:6" x14ac:dyDescent="0.2">
      <c r="A24" s="278"/>
      <c r="B24" s="126"/>
      <c r="C24" s="191"/>
      <c r="D24" s="279" t="str">
        <f>+IF(Tabella10[[#This Row],[Anno]]="","",IFERROR(IF(VLOOKUP(Tabella10[[#This Row],[Bene]],B[[Bene]:[Tipologia]],3,0)="Altri Beni",5,10),10))</f>
        <v/>
      </c>
      <c r="E2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92">
        <f>+IFERROR(Tabella10[[#This Row],[Iva portata in detrazione]]*Tabella10[[#This Row],[Anni residui]],0)</f>
        <v>0</v>
      </c>
    </row>
  </sheetData>
  <sheetProtection algorithmName="SHA-512" hashValue="dH1Ga1gBIKrCoER3nOYkUV+2aNW2Qo8U4sL21FDhzUjZpdrRKENN2JWvEshv7MjsKmKX4QXxNQ+sMsMRKXzRnQ==" saltValue="7Er9nTbGJY2EHrWl7k0GT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="70" zoomScaleNormal="70" workbookViewId="0">
      <selection sqref="A1:W16"/>
    </sheetView>
  </sheetViews>
  <sheetFormatPr defaultColWidth="9.140625" defaultRowHeight="14.25" zeroHeight="1" x14ac:dyDescent="0.2"/>
  <cols>
    <col min="1" max="1" width="9.140625" style="56"/>
    <col min="2" max="2" width="49.28515625" style="56" customWidth="1"/>
    <col min="3" max="3" width="16.28515625" style="56" bestFit="1" customWidth="1"/>
    <col min="4" max="4" width="14.7109375" style="56" customWidth="1"/>
    <col min="5" max="7" width="9.140625" style="56"/>
    <col min="8" max="8" width="12.28515625" style="56" bestFit="1" customWidth="1"/>
    <col min="9" max="11" width="9.140625" style="56"/>
    <col min="12" max="12" width="9.140625" style="152"/>
    <col min="13" max="19" width="9.140625" style="56"/>
    <col min="20" max="20" width="9.140625" style="56" customWidth="1"/>
    <col min="21" max="21" width="9" style="56" hidden="1" customWidth="1"/>
    <col min="22" max="16384" width="9.140625" style="56"/>
  </cols>
  <sheetData>
    <row r="1" spans="1:21" ht="115.5" customHeight="1" x14ac:dyDescent="0.2"/>
    <row r="2" spans="1:21" ht="54.95" customHeight="1" x14ac:dyDescent="0.2">
      <c r="L2" s="56"/>
      <c r="U2" s="139"/>
    </row>
    <row r="3" spans="1:21" ht="37.5" customHeight="1" x14ac:dyDescent="0.2">
      <c r="A3" s="243" t="s">
        <v>353</v>
      </c>
      <c r="B3" s="54"/>
      <c r="C3" s="54"/>
      <c r="D3" s="54"/>
      <c r="E3" s="54"/>
      <c r="F3" s="244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193"/>
    </row>
    <row r="4" spans="1:21" ht="16.5" customHeight="1" x14ac:dyDescent="0.2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5" thickBot="1" x14ac:dyDescent="0.25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6"/>
      <c r="M5" s="54"/>
      <c r="N5" s="54"/>
      <c r="O5" s="54"/>
      <c r="P5" s="54"/>
      <c r="Q5" s="54"/>
      <c r="R5" s="54"/>
      <c r="S5" s="54"/>
      <c r="T5" s="54"/>
    </row>
    <row r="6" spans="1:21" ht="15.75" thickTop="1" thickBot="1" x14ac:dyDescent="0.25">
      <c r="A6" s="54"/>
      <c r="B6" s="247" t="s">
        <v>191</v>
      </c>
      <c r="C6" s="248">
        <f>+Beni!G3</f>
        <v>300000</v>
      </c>
      <c r="D6" s="65"/>
      <c r="E6" s="65"/>
      <c r="F6" s="54"/>
      <c r="G6" s="54"/>
      <c r="H6" s="54"/>
      <c r="I6" s="54"/>
      <c r="J6" s="54"/>
      <c r="K6" s="54"/>
      <c r="L6" s="246"/>
      <c r="M6" s="54"/>
      <c r="N6" s="54"/>
      <c r="O6" s="54"/>
      <c r="P6" s="54"/>
      <c r="Q6" s="54"/>
      <c r="R6" s="54"/>
      <c r="S6" s="54"/>
      <c r="T6" s="54"/>
    </row>
    <row r="7" spans="1:21" ht="15.75" thickTop="1" thickBot="1" x14ac:dyDescent="0.25">
      <c r="A7" s="54"/>
      <c r="B7" s="247" t="s">
        <v>354</v>
      </c>
      <c r="C7" s="248">
        <f>+Assegnazione!M3</f>
        <v>302400</v>
      </c>
      <c r="D7" s="65"/>
      <c r="E7" s="65"/>
      <c r="F7" s="54"/>
      <c r="G7" s="54"/>
      <c r="H7" s="54"/>
      <c r="I7" s="54"/>
      <c r="J7" s="54"/>
      <c r="K7" s="54"/>
      <c r="L7" s="246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6"/>
      <c r="M8" s="54"/>
      <c r="N8" s="54"/>
      <c r="O8" s="54"/>
      <c r="P8" s="54"/>
      <c r="Q8" s="54"/>
      <c r="R8" s="54"/>
      <c r="S8" s="54"/>
      <c r="T8" s="54"/>
    </row>
    <row r="9" spans="1:21" x14ac:dyDescent="0.2">
      <c r="A9" s="54"/>
      <c r="B9" s="249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6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6"/>
      <c r="M10" s="54"/>
      <c r="N10" s="54"/>
      <c r="O10" s="54"/>
      <c r="P10" s="54"/>
      <c r="Q10" s="54"/>
      <c r="R10" s="54"/>
      <c r="S10" s="54"/>
      <c r="T10" s="54"/>
    </row>
    <row r="11" spans="1:21" ht="16.5" hidden="1" thickTop="1" thickBot="1" x14ac:dyDescent="0.25">
      <c r="A11" s="54"/>
      <c r="B11" s="250" t="s">
        <v>352</v>
      </c>
      <c r="C11" s="305">
        <f>+C9</f>
        <v>0</v>
      </c>
      <c r="D11" s="306"/>
      <c r="E11" s="65"/>
      <c r="F11" s="54"/>
      <c r="G11" s="54"/>
      <c r="H11" s="54"/>
      <c r="I11" s="54"/>
      <c r="J11" s="54"/>
      <c r="K11" s="54"/>
      <c r="L11" s="246"/>
      <c r="M11" s="54"/>
      <c r="N11" s="54"/>
      <c r="O11" s="54"/>
      <c r="P11" s="54"/>
      <c r="Q11" s="54"/>
      <c r="R11" s="54"/>
      <c r="S11" s="54"/>
      <c r="T11" s="54"/>
    </row>
    <row r="12" spans="1:21" ht="15" thickBot="1" x14ac:dyDescent="0.25">
      <c r="A12" s="54"/>
      <c r="B12" s="105" t="s">
        <v>356</v>
      </c>
      <c r="C12" s="105" t="s">
        <v>348</v>
      </c>
      <c r="D12" s="105" t="s">
        <v>349</v>
      </c>
      <c r="E12" s="65"/>
      <c r="F12" s="54"/>
      <c r="G12" s="54"/>
      <c r="H12" s="54"/>
      <c r="I12" s="54"/>
      <c r="J12" s="54"/>
      <c r="K12" s="54"/>
      <c r="L12" s="246"/>
      <c r="M12" s="54"/>
      <c r="N12" s="54"/>
      <c r="O12" s="54"/>
      <c r="P12" s="54"/>
      <c r="Q12" s="54"/>
      <c r="R12" s="54"/>
      <c r="S12" s="54"/>
      <c r="T12" s="54"/>
    </row>
    <row r="13" spans="1:21" ht="15.75" thickTop="1" thickBot="1" x14ac:dyDescent="0.25">
      <c r="A13" s="54"/>
      <c r="B13" s="247" t="s">
        <v>350</v>
      </c>
      <c r="C13" s="248">
        <f>+MIN(2000000,$C$11)*0.75%</f>
        <v>0</v>
      </c>
      <c r="D13" s="248">
        <f>+MIN(2000000,$C$11)*2%</f>
        <v>0</v>
      </c>
      <c r="E13" s="65"/>
      <c r="F13" s="54"/>
      <c r="G13" s="54"/>
      <c r="H13" s="54"/>
      <c r="I13" s="54"/>
      <c r="J13" s="54"/>
      <c r="K13" s="54"/>
      <c r="L13" s="246"/>
      <c r="M13" s="54"/>
      <c r="N13" s="54"/>
      <c r="O13" s="54"/>
      <c r="P13" s="54"/>
      <c r="Q13" s="54"/>
      <c r="R13" s="54"/>
      <c r="S13" s="54"/>
      <c r="T13" s="54"/>
    </row>
    <row r="14" spans="1:21" ht="15.75" thickTop="1" thickBot="1" x14ac:dyDescent="0.25">
      <c r="A14" s="54"/>
      <c r="B14" s="247" t="s">
        <v>351</v>
      </c>
      <c r="C14" s="248">
        <f>+MAX(C11-2000000,0)*0.5%</f>
        <v>0</v>
      </c>
      <c r="D14" s="248">
        <f>+MAX(C11-2000000,0)*0.75%</f>
        <v>0</v>
      </c>
      <c r="E14" s="65"/>
      <c r="F14" s="54"/>
      <c r="G14" s="54"/>
      <c r="H14" s="54"/>
      <c r="I14" s="54"/>
      <c r="J14" s="54"/>
      <c r="K14" s="54"/>
      <c r="L14" s="246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25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6"/>
      <c r="M15" s="54"/>
      <c r="N15" s="54"/>
      <c r="O15" s="54"/>
      <c r="P15" s="54"/>
      <c r="Q15" s="54"/>
      <c r="R15" s="54"/>
      <c r="S15" s="54"/>
      <c r="T15" s="54"/>
    </row>
    <row r="16" spans="1:21" ht="15.75" thickTop="1" thickBot="1" x14ac:dyDescent="0.25">
      <c r="A16" s="54"/>
      <c r="B16" s="251" t="s">
        <v>142</v>
      </c>
      <c r="C16" s="252">
        <f>+SUM(C13:C14)</f>
        <v>0</v>
      </c>
      <c r="D16" s="252">
        <f>+SUM(D13:D14)</f>
        <v>0</v>
      </c>
      <c r="E16" s="65"/>
      <c r="F16" s="54"/>
      <c r="G16" s="54"/>
      <c r="H16" s="54"/>
      <c r="I16" s="54"/>
      <c r="J16" s="54"/>
      <c r="K16" s="54"/>
      <c r="L16" s="246"/>
      <c r="M16" s="54"/>
      <c r="N16" s="54"/>
      <c r="O16" s="54"/>
      <c r="P16" s="54"/>
      <c r="Q16" s="54"/>
      <c r="R16" s="54"/>
      <c r="S16" s="54"/>
      <c r="T16" s="54"/>
    </row>
    <row r="17" spans="1:20" ht="15" thickTop="1" x14ac:dyDescent="0.2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6"/>
      <c r="M17" s="54"/>
      <c r="N17" s="54"/>
      <c r="O17" s="54"/>
      <c r="P17" s="54"/>
      <c r="Q17" s="54"/>
      <c r="R17" s="54"/>
      <c r="S17" s="54"/>
      <c r="T17" s="54"/>
    </row>
    <row r="18" spans="1:20" x14ac:dyDescent="0.2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6"/>
      <c r="M18" s="54"/>
      <c r="N18" s="54"/>
      <c r="O18" s="54"/>
      <c r="P18" s="54"/>
      <c r="Q18" s="54"/>
      <c r="R18" s="54"/>
      <c r="S18" s="54"/>
      <c r="T18" s="54"/>
    </row>
    <row r="19" spans="1:20" x14ac:dyDescent="0.2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6"/>
      <c r="M19" s="54"/>
      <c r="N19" s="54"/>
      <c r="O19" s="54"/>
      <c r="P19" s="54"/>
      <c r="Q19" s="54"/>
      <c r="R19" s="54"/>
      <c r="S19" s="54"/>
      <c r="T19" s="54"/>
    </row>
    <row r="20" spans="1:20" x14ac:dyDescent="0.2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6"/>
      <c r="M20" s="54"/>
      <c r="N20" s="54"/>
      <c r="O20" s="54"/>
      <c r="P20" s="54"/>
      <c r="Q20" s="54"/>
      <c r="R20" s="54"/>
      <c r="S20" s="54"/>
      <c r="T20" s="54"/>
    </row>
    <row r="21" spans="1:20" x14ac:dyDescent="0.2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6"/>
      <c r="M21" s="54"/>
      <c r="N21" s="54"/>
      <c r="O21" s="54"/>
      <c r="P21" s="54"/>
      <c r="Q21" s="54"/>
      <c r="R21" s="54"/>
      <c r="S21" s="54"/>
      <c r="T21" s="54"/>
    </row>
    <row r="22" spans="1:20" x14ac:dyDescent="0.2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6"/>
      <c r="M22" s="54"/>
      <c r="N22" s="54"/>
      <c r="O22" s="54"/>
      <c r="P22" s="54"/>
      <c r="Q22" s="54"/>
      <c r="R22" s="54"/>
      <c r="S22" s="54"/>
      <c r="T22" s="54"/>
    </row>
    <row r="23" spans="1:20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6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94"/>
      <c r="M24" s="143"/>
      <c r="N24" s="143"/>
      <c r="O24" s="143"/>
      <c r="P24" s="143"/>
      <c r="Q24" s="143"/>
      <c r="R24" s="143"/>
      <c r="S24" s="143"/>
      <c r="T24" s="143"/>
    </row>
    <row r="25" spans="1:20" hidden="1" x14ac:dyDescent="0.2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94"/>
      <c r="M25" s="143"/>
      <c r="N25" s="143"/>
      <c r="O25" s="143"/>
      <c r="P25" s="143"/>
      <c r="Q25" s="143"/>
      <c r="R25" s="143"/>
      <c r="S25" s="143"/>
      <c r="T25" s="143"/>
    </row>
    <row r="26" spans="1:20" x14ac:dyDescent="0.2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tabSelected="1" zoomScale="70" zoomScaleNormal="70" workbookViewId="0">
      <selection sqref="A1:R1048576"/>
    </sheetView>
  </sheetViews>
  <sheetFormatPr defaultColWidth="0" defaultRowHeight="14.25" zeroHeight="1" x14ac:dyDescent="0.2"/>
  <cols>
    <col min="1" max="1" width="5" style="195" customWidth="1"/>
    <col min="2" max="2" width="5.42578125" style="195" bestFit="1" customWidth="1"/>
    <col min="3" max="3" width="1.5703125" style="195" bestFit="1" customWidth="1"/>
    <col min="4" max="4" width="46.28515625" style="195" customWidth="1"/>
    <col min="5" max="5" width="27.7109375" style="195" customWidth="1"/>
    <col min="6" max="9" width="16.28515625" style="195" bestFit="1" customWidth="1"/>
    <col min="10" max="10" width="18.5703125" style="195" bestFit="1" customWidth="1"/>
    <col min="11" max="12" width="16.28515625" style="195" bestFit="1" customWidth="1"/>
    <col min="13" max="17" width="9.140625" style="195" customWidth="1"/>
    <col min="18" max="18" width="15.7109375" style="195" customWidth="1"/>
    <col min="19" max="19" width="27.28515625" style="195" customWidth="1"/>
    <col min="20" max="20" width="9.140625" style="195" customWidth="1"/>
    <col min="21" max="16383" width="9.140625" style="195" hidden="1"/>
    <col min="16384" max="16384" width="55.42578125" style="195" hidden="1" customWidth="1"/>
  </cols>
  <sheetData>
    <row r="1" spans="1:20" s="56" customFormat="1" ht="10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4.9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4.9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2.5" x14ac:dyDescent="0.2">
      <c r="A4" s="255"/>
      <c r="B4" s="256" t="str">
        <f ca="1">"Calcolo rapido "&amp;DATI!B19</f>
        <v>Calcolo rapido Assegnazione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</row>
    <row r="5" spans="1:20" ht="18.75" customHeight="1" x14ac:dyDescent="0.2">
      <c r="A5" s="255"/>
      <c r="B5" s="257" t="s">
        <v>273</v>
      </c>
      <c r="C5" s="258"/>
      <c r="D5" s="258" t="s">
        <v>272</v>
      </c>
      <c r="E5" s="268" t="s">
        <v>271</v>
      </c>
      <c r="F5" s="269" t="s">
        <v>275</v>
      </c>
      <c r="G5" s="270" t="s">
        <v>276</v>
      </c>
      <c r="H5" s="270" t="s">
        <v>277</v>
      </c>
      <c r="I5" s="270" t="s">
        <v>278</v>
      </c>
      <c r="J5" s="270" t="s">
        <v>279</v>
      </c>
      <c r="K5" s="270" t="s">
        <v>280</v>
      </c>
      <c r="L5" s="270" t="s">
        <v>281</v>
      </c>
      <c r="M5" s="253"/>
      <c r="N5" s="253"/>
      <c r="O5" s="253"/>
      <c r="P5" s="253"/>
      <c r="Q5" s="253"/>
      <c r="R5" s="253"/>
      <c r="S5" s="253"/>
      <c r="T5" s="253"/>
    </row>
    <row r="6" spans="1:20" x14ac:dyDescent="0.2">
      <c r="A6" s="254"/>
      <c r="B6" s="259" t="s">
        <v>253</v>
      </c>
      <c r="C6" s="260" t="s">
        <v>254</v>
      </c>
      <c r="D6" s="261" t="s">
        <v>97</v>
      </c>
      <c r="E6" s="282"/>
      <c r="F6" s="271">
        <v>300000</v>
      </c>
      <c r="G6" s="271">
        <v>230000</v>
      </c>
      <c r="H6" s="271">
        <v>140000</v>
      </c>
      <c r="I6" s="271">
        <v>120000</v>
      </c>
      <c r="J6" s="271">
        <v>1170000</v>
      </c>
      <c r="K6" s="271">
        <v>260000</v>
      </c>
      <c r="L6" s="271">
        <v>260000</v>
      </c>
      <c r="M6" s="253"/>
      <c r="N6" s="253"/>
      <c r="O6" s="253"/>
      <c r="P6" s="253"/>
      <c r="Q6" s="253"/>
      <c r="R6" s="253"/>
      <c r="S6" s="253"/>
      <c r="T6" s="253"/>
    </row>
    <row r="7" spans="1:20" x14ac:dyDescent="0.2">
      <c r="A7" s="254"/>
      <c r="B7" s="259" t="s">
        <v>255</v>
      </c>
      <c r="C7" s="260" t="s">
        <v>254</v>
      </c>
      <c r="D7" s="261" t="s">
        <v>203</v>
      </c>
      <c r="E7" s="282"/>
      <c r="F7" s="272">
        <v>277200</v>
      </c>
      <c r="G7" s="272">
        <v>201600</v>
      </c>
      <c r="H7" s="272">
        <v>129780</v>
      </c>
      <c r="I7" s="272">
        <v>113400</v>
      </c>
      <c r="J7" s="272">
        <v>756000</v>
      </c>
      <c r="K7" s="272">
        <v>260000</v>
      </c>
      <c r="L7" s="272">
        <v>260000</v>
      </c>
      <c r="M7" s="253"/>
      <c r="N7" s="253"/>
      <c r="O7" s="253"/>
      <c r="P7" s="253"/>
      <c r="Q7" s="253"/>
      <c r="R7" s="253"/>
      <c r="S7" s="253"/>
      <c r="T7" s="253"/>
    </row>
    <row r="8" spans="1:20" x14ac:dyDescent="0.2">
      <c r="A8" s="254"/>
      <c r="B8" s="262" t="s">
        <v>256</v>
      </c>
      <c r="C8" s="263" t="s">
        <v>254</v>
      </c>
      <c r="D8" s="266" t="s">
        <v>257</v>
      </c>
      <c r="E8" s="282"/>
      <c r="F8" s="272"/>
      <c r="G8" s="272"/>
      <c r="H8" s="272">
        <v>120600</v>
      </c>
      <c r="I8" s="272">
        <v>90000</v>
      </c>
      <c r="J8" s="272">
        <v>127500</v>
      </c>
      <c r="K8" s="272">
        <v>166500</v>
      </c>
      <c r="L8" s="272">
        <v>166500</v>
      </c>
      <c r="M8" s="253"/>
      <c r="N8" s="253"/>
      <c r="O8" s="253"/>
      <c r="P8" s="253"/>
      <c r="Q8" s="253"/>
      <c r="R8" s="253"/>
      <c r="S8" s="253"/>
      <c r="T8" s="253"/>
    </row>
    <row r="9" spans="1:20" x14ac:dyDescent="0.2">
      <c r="A9" s="254"/>
      <c r="B9" s="262" t="s">
        <v>258</v>
      </c>
      <c r="C9" s="263" t="s">
        <v>254</v>
      </c>
      <c r="D9" s="266" t="s">
        <v>268</v>
      </c>
      <c r="E9" s="282"/>
      <c r="F9" s="284"/>
      <c r="G9" s="284"/>
      <c r="H9" s="284"/>
      <c r="I9" s="284"/>
      <c r="J9" s="284"/>
      <c r="K9" s="284">
        <v>200000</v>
      </c>
      <c r="L9" s="284">
        <v>100000</v>
      </c>
      <c r="M9" s="253"/>
      <c r="N9" s="253"/>
      <c r="O9" s="253"/>
      <c r="P9" s="253"/>
      <c r="Q9" s="253"/>
      <c r="R9" s="253"/>
      <c r="S9" s="253"/>
      <c r="T9" s="253"/>
    </row>
    <row r="10" spans="1:20" s="196" customFormat="1" x14ac:dyDescent="0.2">
      <c r="A10" s="254"/>
      <c r="B10" s="262" t="s">
        <v>377</v>
      </c>
      <c r="C10" s="263" t="s">
        <v>254</v>
      </c>
      <c r="D10" s="266" t="s">
        <v>378</v>
      </c>
      <c r="E10" s="283"/>
      <c r="F10" s="284"/>
      <c r="G10" s="284"/>
      <c r="H10" s="284"/>
      <c r="I10" s="284" t="b">
        <v>1</v>
      </c>
      <c r="J10" s="284" t="b">
        <v>1</v>
      </c>
      <c r="K10" s="284" t="b">
        <v>1</v>
      </c>
      <c r="L10" s="284" t="b">
        <v>1</v>
      </c>
      <c r="M10" s="253"/>
      <c r="N10" s="253"/>
      <c r="O10" s="253"/>
      <c r="P10" s="253"/>
      <c r="Q10" s="253"/>
      <c r="R10" s="253"/>
      <c r="S10" s="253"/>
      <c r="T10" s="253"/>
    </row>
    <row r="11" spans="1:20" x14ac:dyDescent="0.2">
      <c r="A11" s="254"/>
      <c r="B11" s="262" t="s">
        <v>379</v>
      </c>
      <c r="C11" s="263" t="s">
        <v>254</v>
      </c>
      <c r="D11" s="266" t="s">
        <v>380</v>
      </c>
      <c r="E11" s="283"/>
      <c r="F11" s="284"/>
      <c r="G11" s="284"/>
      <c r="H11" s="284"/>
      <c r="I11" s="284"/>
      <c r="J11" s="284"/>
      <c r="K11" s="284"/>
      <c r="L11" s="284"/>
      <c r="M11" s="253"/>
      <c r="N11" s="253"/>
      <c r="O11" s="253"/>
      <c r="P11" s="253"/>
      <c r="Q11" s="253"/>
      <c r="R11" s="253"/>
      <c r="S11" s="253"/>
      <c r="T11" s="253"/>
    </row>
    <row r="12" spans="1:20" x14ac:dyDescent="0.2">
      <c r="A12" s="254"/>
      <c r="B12" s="264" t="s">
        <v>274</v>
      </c>
      <c r="C12" s="265" t="s">
        <v>254</v>
      </c>
      <c r="D12" s="267" t="s">
        <v>259</v>
      </c>
      <c r="E12" s="282"/>
      <c r="F12" s="281"/>
      <c r="G12" s="281"/>
      <c r="H12" s="281"/>
      <c r="I12" s="281"/>
      <c r="J12" s="281">
        <v>1</v>
      </c>
      <c r="K12" s="281">
        <v>1</v>
      </c>
      <c r="L12" s="281">
        <v>1</v>
      </c>
      <c r="M12" s="253"/>
      <c r="N12" s="253"/>
      <c r="O12" s="253"/>
      <c r="P12" s="253"/>
      <c r="Q12" s="253"/>
      <c r="R12" s="253"/>
      <c r="S12" s="253"/>
      <c r="T12" s="253"/>
    </row>
    <row r="13" spans="1:20" x14ac:dyDescent="0.2">
      <c r="A13" s="254"/>
      <c r="B13" s="262" t="s">
        <v>260</v>
      </c>
      <c r="C13" s="263" t="s">
        <v>254</v>
      </c>
      <c r="D13" s="266" t="s">
        <v>261</v>
      </c>
      <c r="E13" s="282"/>
      <c r="F13" s="285">
        <f t="shared" ref="F13:L13" si="0">MAX(VC-Valfisc,0)</f>
        <v>277200</v>
      </c>
      <c r="G13" s="285">
        <f t="shared" si="0"/>
        <v>201600</v>
      </c>
      <c r="H13" s="285">
        <f t="shared" si="0"/>
        <v>9180</v>
      </c>
      <c r="I13" s="285">
        <f t="shared" si="0"/>
        <v>23400</v>
      </c>
      <c r="J13" s="285">
        <f t="shared" si="0"/>
        <v>628500</v>
      </c>
      <c r="K13" s="285">
        <f t="shared" si="0"/>
        <v>93500</v>
      </c>
      <c r="L13" s="285">
        <f t="shared" si="0"/>
        <v>93500</v>
      </c>
      <c r="M13" s="253"/>
      <c r="N13" s="253"/>
      <c r="O13" s="253"/>
      <c r="P13" s="253"/>
      <c r="Q13" s="253"/>
      <c r="R13" s="253"/>
      <c r="S13" s="253"/>
      <c r="T13" s="253"/>
    </row>
    <row r="14" spans="1:20" x14ac:dyDescent="0.2">
      <c r="A14" s="254"/>
      <c r="B14" s="262" t="s">
        <v>381</v>
      </c>
      <c r="C14" s="263" t="s">
        <v>254</v>
      </c>
      <c r="D14" s="266" t="s">
        <v>382</v>
      </c>
      <c r="E14" s="282"/>
      <c r="F14" s="285">
        <f>+F13*(0.08+0.02*F11)</f>
        <v>22176</v>
      </c>
      <c r="G14" s="285">
        <f t="shared" ref="G14:L14" si="1">+G13*(0.08+0.02*G11)</f>
        <v>16128</v>
      </c>
      <c r="H14" s="285">
        <f t="shared" si="1"/>
        <v>734.4</v>
      </c>
      <c r="I14" s="285">
        <f t="shared" si="1"/>
        <v>1872</v>
      </c>
      <c r="J14" s="285">
        <f t="shared" si="1"/>
        <v>50280</v>
      </c>
      <c r="K14" s="285">
        <f t="shared" si="1"/>
        <v>7480</v>
      </c>
      <c r="L14" s="285">
        <f t="shared" si="1"/>
        <v>7480</v>
      </c>
      <c r="M14" s="253"/>
      <c r="N14" s="253"/>
      <c r="O14" s="253"/>
      <c r="P14" s="253"/>
      <c r="Q14" s="253"/>
      <c r="R14" s="253"/>
      <c r="S14" s="253"/>
      <c r="T14" s="253"/>
    </row>
    <row r="15" spans="1:20" x14ac:dyDescent="0.2">
      <c r="A15" s="254"/>
      <c r="B15" s="262" t="s">
        <v>262</v>
      </c>
      <c r="C15" s="263" t="s">
        <v>254</v>
      </c>
      <c r="D15" s="266" t="s">
        <v>263</v>
      </c>
      <c r="E15" s="282"/>
      <c r="F15" s="285">
        <f t="shared" ref="F15:L15" si="2">VC</f>
        <v>277200</v>
      </c>
      <c r="G15" s="285">
        <f t="shared" si="2"/>
        <v>201600</v>
      </c>
      <c r="H15" s="285">
        <f t="shared" si="2"/>
        <v>129780</v>
      </c>
      <c r="I15" s="285">
        <f t="shared" si="2"/>
        <v>113400</v>
      </c>
      <c r="J15" s="285">
        <f t="shared" si="2"/>
        <v>756000</v>
      </c>
      <c r="K15" s="285">
        <f t="shared" si="2"/>
        <v>260000</v>
      </c>
      <c r="L15" s="285">
        <f t="shared" si="2"/>
        <v>260000</v>
      </c>
      <c r="M15" s="253"/>
      <c r="N15" s="253"/>
      <c r="O15" s="253"/>
      <c r="P15" s="253"/>
      <c r="Q15" s="253"/>
      <c r="R15" s="253"/>
      <c r="S15" s="253"/>
      <c r="T15" s="253"/>
    </row>
    <row r="16" spans="1:20" x14ac:dyDescent="0.2">
      <c r="A16" s="65"/>
      <c r="B16" s="262" t="s">
        <v>264</v>
      </c>
      <c r="C16" s="263" t="s">
        <v>254</v>
      </c>
      <c r="D16" s="266" t="s">
        <v>267</v>
      </c>
      <c r="E16" s="282"/>
      <c r="F16" s="285">
        <f t="shared" ref="F16:L16" si="3">MAX(VP_1-MIN(VC,Valfisc)*Ris,0)*(p&lt;&gt;2)+F9*(p=2)</f>
        <v>0</v>
      </c>
      <c r="G16" s="285">
        <f t="shared" si="3"/>
        <v>0</v>
      </c>
      <c r="H16" s="285">
        <f t="shared" si="3"/>
        <v>0</v>
      </c>
      <c r="I16" s="285">
        <f t="shared" si="3"/>
        <v>0</v>
      </c>
      <c r="J16" s="285">
        <f t="shared" si="3"/>
        <v>0</v>
      </c>
      <c r="K16" s="285">
        <f t="shared" si="3"/>
        <v>33500</v>
      </c>
      <c r="L16" s="285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">
      <c r="B17" s="262" t="s">
        <v>265</v>
      </c>
      <c r="C17" s="263" t="s">
        <v>254</v>
      </c>
      <c r="D17" s="266" t="s">
        <v>266</v>
      </c>
      <c r="E17" s="282"/>
      <c r="F17" s="285">
        <f t="shared" ref="F17:L17" si="4">MAX(0,MIN(VC,Valfisc)*Ris-VP_1,0)*(p=1)*F10</f>
        <v>0</v>
      </c>
      <c r="G17" s="285">
        <f t="shared" si="4"/>
        <v>0</v>
      </c>
      <c r="H17" s="285">
        <f t="shared" si="4"/>
        <v>0</v>
      </c>
      <c r="I17" s="285">
        <f t="shared" si="4"/>
        <v>0</v>
      </c>
      <c r="J17" s="285">
        <f t="shared" si="4"/>
        <v>127500</v>
      </c>
      <c r="K17" s="285">
        <f t="shared" si="4"/>
        <v>0</v>
      </c>
      <c r="L17" s="285">
        <f t="shared" si="4"/>
        <v>66500</v>
      </c>
    </row>
    <row r="18" spans="2:12" x14ac:dyDescent="0.2">
      <c r="B18" s="262" t="s">
        <v>269</v>
      </c>
      <c r="C18" s="263" t="s">
        <v>254</v>
      </c>
      <c r="D18" s="266" t="s">
        <v>270</v>
      </c>
      <c r="E18" s="282"/>
      <c r="F18" s="285">
        <f t="shared" ref="F18:L18" si="5">(1-Ris)*MIN(VC,Valfisc)*(p=1)*F10</f>
        <v>0</v>
      </c>
      <c r="G18" s="285">
        <f t="shared" si="5"/>
        <v>0</v>
      </c>
      <c r="H18" s="285">
        <f t="shared" si="5"/>
        <v>0</v>
      </c>
      <c r="I18" s="285">
        <f>(1-Ris)*MIN(VC,Valfisc)*(p=1)*I10</f>
        <v>90000</v>
      </c>
      <c r="J18" s="285">
        <f t="shared" si="5"/>
        <v>0</v>
      </c>
      <c r="K18" s="285">
        <f t="shared" si="5"/>
        <v>0</v>
      </c>
      <c r="L18" s="285">
        <f t="shared" si="5"/>
        <v>0</v>
      </c>
    </row>
    <row r="19" spans="2:12" x14ac:dyDescent="0.2"/>
    <row r="20" spans="2:12" x14ac:dyDescent="0.2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161925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B03E77-BA09-42A6-8EE7-E5F222907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30</vt:i4>
      </vt:variant>
    </vt:vector>
  </HeadingPairs>
  <TitlesOfParts>
    <vt:vector size="39" baseType="lpstr">
      <vt:lpstr>DATI</vt:lpstr>
      <vt:lpstr>Società</vt:lpstr>
      <vt:lpstr>Soci</vt:lpstr>
      <vt:lpstr>Beni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Gabriele Musazzi</cp:lastModifiedBy>
  <cp:lastPrinted>2023-09-21T15:50:36Z</cp:lastPrinted>
  <dcterms:created xsi:type="dcterms:W3CDTF">2016-01-27T14:05:52Z</dcterms:created>
  <dcterms:modified xsi:type="dcterms:W3CDTF">2026-03-06T16:26:20Z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