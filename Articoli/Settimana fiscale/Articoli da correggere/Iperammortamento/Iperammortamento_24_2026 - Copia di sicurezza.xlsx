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Y:\Clienti\IL Sole24ore\Settimana fiscale\Articoli da correggere\Iperammortamento\"/>
    </mc:Choice>
  </mc:AlternateContent>
  <xr:revisionPtr revIDLastSave="0" documentId="13_ncr:1_{E78AEAE2-809B-482F-B314-A6972DFF542C}" xr6:coauthVersionLast="47" xr6:coauthVersionMax="47" xr10:uidLastSave="{00000000-0000-0000-0000-000000000000}"/>
  <bookViews>
    <workbookView xWindow="-120" yWindow="-120" windowWidth="29040" windowHeight="17640" tabRatio="711" xr2:uid="{0824E760-3651-4156-B66E-1045EC667B58}"/>
  </bookViews>
  <sheets>
    <sheet name="INPUT DATI" sheetId="1" r:id="rId1"/>
    <sheet name="DOCUMENTAZIONE" sheetId="5" r:id="rId2"/>
    <sheet name="CALCOLO MAGGIORAZIONI" sheetId="2" r:id="rId3"/>
    <sheet name="PIANO AMMORTAMENTO" sheetId="3" r:id="rId4"/>
    <sheet name="RIEPILOGO BENEFICI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1" l="1"/>
  <c r="G20" i="1"/>
  <c r="B6" i="3" a="1"/>
  <c r="B6" i="3" s="1"/>
  <c r="E7" i="3"/>
  <c r="I7" i="3" s="1"/>
  <c r="J20" i="1"/>
  <c r="B8" i="3"/>
  <c r="L21" i="1"/>
  <c r="L22" i="1"/>
  <c r="L23" i="1"/>
  <c r="L24" i="1"/>
  <c r="L25" i="1"/>
  <c r="L26" i="1"/>
  <c r="L27" i="1"/>
  <c r="L28" i="1"/>
  <c r="L19" i="1"/>
  <c r="J21" i="1"/>
  <c r="J22" i="1"/>
  <c r="J23" i="1"/>
  <c r="J24" i="1"/>
  <c r="J25" i="1"/>
  <c r="J26" i="1"/>
  <c r="J27" i="1"/>
  <c r="J28" i="1"/>
  <c r="J19" i="1"/>
  <c r="C15" i="1"/>
  <c r="B7" i="3" l="1"/>
  <c r="D8" i="4"/>
  <c r="C8" i="4"/>
  <c r="B8" i="4"/>
  <c r="D7" i="4"/>
  <c r="C7" i="4"/>
  <c r="B7" i="4"/>
  <c r="D6" i="4"/>
  <c r="C6" i="4"/>
  <c r="B6" i="4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I5" i="3" a="1"/>
  <c r="I5" i="3" s="1"/>
  <c r="E5" i="3" a="1"/>
  <c r="E5" i="3" s="1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F29" i="1"/>
  <c r="D29" i="1"/>
  <c r="G28" i="1"/>
  <c r="F14" i="2" s="1"/>
  <c r="G27" i="1"/>
  <c r="F13" i="2" s="1"/>
  <c r="G26" i="1"/>
  <c r="F12" i="2" s="1"/>
  <c r="G25" i="1"/>
  <c r="F11" i="2" s="1"/>
  <c r="G24" i="1"/>
  <c r="F10" i="2" s="1"/>
  <c r="G23" i="1"/>
  <c r="F9" i="2" s="1"/>
  <c r="G22" i="1"/>
  <c r="F8" i="2" s="1"/>
  <c r="F7" i="2"/>
  <c r="F6" i="2"/>
  <c r="I6" i="2" s="1"/>
  <c r="G19" i="1"/>
  <c r="E13" i="1"/>
  <c r="E12" i="1"/>
  <c r="E11" i="1"/>
  <c r="E10" i="1"/>
  <c r="J6" i="2" l="1"/>
  <c r="D15" i="2"/>
  <c r="E8" i="4"/>
  <c r="R5" i="2" a="1"/>
  <c r="E7" i="4"/>
  <c r="E6" i="3" a="1"/>
  <c r="E6" i="3" s="1"/>
  <c r="E6" i="4"/>
  <c r="E15" i="2"/>
  <c r="F5" i="2"/>
  <c r="G29" i="1"/>
  <c r="D9" i="4"/>
  <c r="C13" i="4" s="1"/>
  <c r="B9" i="4"/>
  <c r="C9" i="4"/>
  <c r="C12" i="4" s="1"/>
  <c r="K14" i="2"/>
  <c r="L14" i="2" s="1"/>
  <c r="I14" i="2"/>
  <c r="J14" i="2" s="1"/>
  <c r="M14" i="2"/>
  <c r="N14" i="2" s="1"/>
  <c r="G14" i="2"/>
  <c r="H14" i="2" s="1"/>
  <c r="M13" i="2"/>
  <c r="N13" i="2" s="1"/>
  <c r="K13" i="2"/>
  <c r="L13" i="2" s="1"/>
  <c r="I13" i="2"/>
  <c r="J13" i="2" s="1"/>
  <c r="G13" i="2"/>
  <c r="H13" i="2" s="1"/>
  <c r="M12" i="2"/>
  <c r="N12" i="2" s="1"/>
  <c r="K12" i="2"/>
  <c r="L12" i="2" s="1"/>
  <c r="I12" i="2"/>
  <c r="J12" i="2" s="1"/>
  <c r="G12" i="2"/>
  <c r="H12" i="2" s="1"/>
  <c r="M11" i="2"/>
  <c r="N11" i="2" s="1"/>
  <c r="K11" i="2"/>
  <c r="L11" i="2" s="1"/>
  <c r="I11" i="2"/>
  <c r="J11" i="2" s="1"/>
  <c r="G11" i="2"/>
  <c r="H11" i="2" s="1"/>
  <c r="M10" i="2"/>
  <c r="N10" i="2" s="1"/>
  <c r="K10" i="2"/>
  <c r="L10" i="2" s="1"/>
  <c r="I10" i="2"/>
  <c r="J10" i="2" s="1"/>
  <c r="G10" i="2"/>
  <c r="H10" i="2" s="1"/>
  <c r="M9" i="2"/>
  <c r="N9" i="2" s="1"/>
  <c r="K9" i="2"/>
  <c r="L9" i="2" s="1"/>
  <c r="I9" i="2"/>
  <c r="J9" i="2" s="1"/>
  <c r="G9" i="2"/>
  <c r="H9" i="2" s="1"/>
  <c r="M8" i="2"/>
  <c r="N8" i="2" s="1"/>
  <c r="K8" i="2"/>
  <c r="L8" i="2" s="1"/>
  <c r="I8" i="2"/>
  <c r="J8" i="2" s="1"/>
  <c r="G8" i="2"/>
  <c r="H8" i="2" s="1"/>
  <c r="M7" i="2"/>
  <c r="N7" i="2" s="1"/>
  <c r="K7" i="2"/>
  <c r="L7" i="2" s="1"/>
  <c r="I7" i="2"/>
  <c r="J7" i="2" s="1"/>
  <c r="G7" i="2"/>
  <c r="H7" i="2" s="1"/>
  <c r="M6" i="2"/>
  <c r="N6" i="2" s="1"/>
  <c r="K6" i="2"/>
  <c r="L6" i="2" s="1"/>
  <c r="G6" i="2"/>
  <c r="H6" i="2" s="1"/>
  <c r="O7" i="2" l="1"/>
  <c r="O11" i="2"/>
  <c r="F8" i="4" s="1"/>
  <c r="O13" i="2"/>
  <c r="O12" i="2"/>
  <c r="O14" i="2"/>
  <c r="Q14" i="2" s="1"/>
  <c r="P14" i="2"/>
  <c r="Q13" i="2"/>
  <c r="P13" i="2"/>
  <c r="Q12" i="2"/>
  <c r="P12" i="2"/>
  <c r="P11" i="2"/>
  <c r="R5" i="2"/>
  <c r="R15" i="2" s="1"/>
  <c r="C20" i="4" s="1"/>
  <c r="O9" i="2"/>
  <c r="P9" i="2" s="1"/>
  <c r="O8" i="2"/>
  <c r="Q8" i="2" s="1"/>
  <c r="O10" i="2"/>
  <c r="P10" i="2" s="1"/>
  <c r="E9" i="4"/>
  <c r="C14" i="4" s="1"/>
  <c r="F15" i="2"/>
  <c r="C12" i="3"/>
  <c r="D12" i="3" s="1"/>
  <c r="B12" i="3"/>
  <c r="B19" i="3"/>
  <c r="B22" i="3"/>
  <c r="B29" i="3"/>
  <c r="O6" i="2"/>
  <c r="P6" i="2" s="1"/>
  <c r="B18" i="3"/>
  <c r="B20" i="3"/>
  <c r="B17" i="3"/>
  <c r="B23" i="3"/>
  <c r="B21" i="3"/>
  <c r="K5" i="2"/>
  <c r="B26" i="3"/>
  <c r="B31" i="3"/>
  <c r="B24" i="3"/>
  <c r="B25" i="3"/>
  <c r="B15" i="3"/>
  <c r="B13" i="3"/>
  <c r="B28" i="3"/>
  <c r="B30" i="3"/>
  <c r="B14" i="3"/>
  <c r="B27" i="3"/>
  <c r="B16" i="3"/>
  <c r="G5" i="2"/>
  <c r="H5" i="2" s="1"/>
  <c r="M5" i="2"/>
  <c r="N5" i="2" s="1"/>
  <c r="N15" i="2" s="1"/>
  <c r="I5" i="2"/>
  <c r="L5" i="2" l="1"/>
  <c r="L15" i="2" s="1"/>
  <c r="J5" i="2"/>
  <c r="Q9" i="2"/>
  <c r="P8" i="2"/>
  <c r="Q11" i="2"/>
  <c r="Q10" i="2"/>
  <c r="Q6" i="2"/>
  <c r="P7" i="2"/>
  <c r="G15" i="2"/>
  <c r="C13" i="3"/>
  <c r="E12" i="3"/>
  <c r="K15" i="2"/>
  <c r="I15" i="2"/>
  <c r="M15" i="2"/>
  <c r="Q7" i="2"/>
  <c r="H15" i="2"/>
  <c r="O5" i="2" l="1"/>
  <c r="F6" i="4" s="1"/>
  <c r="J15" i="2"/>
  <c r="Q5" i="2"/>
  <c r="D13" i="3"/>
  <c r="O15" i="2"/>
  <c r="Q15" i="2" s="1"/>
  <c r="P5" i="2"/>
  <c r="I6" i="3" s="1" a="1"/>
  <c r="I6" i="3" s="1"/>
  <c r="F7" i="4"/>
  <c r="I8" i="3" l="1" a="1"/>
  <c r="I8" i="3" s="1"/>
  <c r="F12" i="3"/>
  <c r="G12" i="3"/>
  <c r="G13" i="3" s="1"/>
  <c r="F9" i="4"/>
  <c r="C17" i="4" s="1"/>
  <c r="P15" i="2"/>
  <c r="C14" i="3"/>
  <c r="E13" i="3"/>
  <c r="C16" i="4" l="1"/>
  <c r="C15" i="4"/>
  <c r="C18" i="4"/>
  <c r="C19" i="4" s="1"/>
  <c r="D14" i="3"/>
  <c r="F20" i="3"/>
  <c r="F25" i="3"/>
  <c r="F27" i="3"/>
  <c r="H12" i="3"/>
  <c r="F18" i="3"/>
  <c r="F23" i="3"/>
  <c r="F21" i="3"/>
  <c r="F16" i="3"/>
  <c r="F17" i="3"/>
  <c r="F30" i="3"/>
  <c r="F14" i="3"/>
  <c r="F19" i="3"/>
  <c r="F28" i="3"/>
  <c r="F26" i="3"/>
  <c r="F15" i="3"/>
  <c r="F13" i="3"/>
  <c r="F24" i="3"/>
  <c r="F31" i="3"/>
  <c r="F22" i="3"/>
  <c r="F29" i="3"/>
  <c r="G14" i="3" l="1"/>
  <c r="H14" i="3" s="1"/>
  <c r="C15" i="3"/>
  <c r="E14" i="3"/>
  <c r="H13" i="3" l="1"/>
  <c r="I12" i="3"/>
  <c r="J12" i="3" s="1"/>
  <c r="G15" i="3"/>
  <c r="I14" i="3"/>
  <c r="J14" i="3" s="1"/>
  <c r="D15" i="3"/>
  <c r="I13" i="3" l="1"/>
  <c r="J13" i="3" s="1"/>
  <c r="C16" i="3"/>
  <c r="D16" i="3" s="1"/>
  <c r="E15" i="3"/>
  <c r="H15" i="3"/>
  <c r="G16" i="3"/>
  <c r="H16" i="3" l="1"/>
  <c r="C17" i="3"/>
  <c r="D17" i="3" s="1"/>
  <c r="E16" i="3"/>
  <c r="G17" i="3"/>
  <c r="I15" i="3"/>
  <c r="J15" i="3" s="1"/>
  <c r="H17" i="3" l="1"/>
  <c r="I17" i="3" s="1"/>
  <c r="C18" i="3"/>
  <c r="D18" i="3" s="1"/>
  <c r="E17" i="3"/>
  <c r="I16" i="3"/>
  <c r="J16" i="3" s="1"/>
  <c r="G18" i="3"/>
  <c r="J17" i="3" l="1"/>
  <c r="H18" i="3"/>
  <c r="G19" i="3"/>
  <c r="G20" i="3" s="1"/>
  <c r="C19" i="3"/>
  <c r="E18" i="3"/>
  <c r="I18" i="3" l="1"/>
  <c r="J18" i="3" s="1"/>
  <c r="G21" i="3"/>
  <c r="G22" i="3" s="1"/>
  <c r="H19" i="3"/>
  <c r="D19" i="3"/>
  <c r="I19" i="3" l="1"/>
  <c r="J19" i="3" s="1"/>
  <c r="E19" i="3"/>
  <c r="C20" i="3"/>
  <c r="H20" i="3" s="1"/>
  <c r="G23" i="3"/>
  <c r="G24" i="3" l="1"/>
  <c r="I20" i="3"/>
  <c r="J20" i="3" s="1"/>
  <c r="D20" i="3"/>
  <c r="E20" i="3" l="1"/>
  <c r="C21" i="3"/>
  <c r="H21" i="3" s="1"/>
  <c r="G25" i="3"/>
  <c r="D21" i="3" l="1"/>
  <c r="G26" i="3"/>
  <c r="I21" i="3"/>
  <c r="J21" i="3" s="1"/>
  <c r="E21" i="3" l="1"/>
  <c r="C22" i="3"/>
  <c r="H22" i="3" s="1"/>
  <c r="G27" i="3"/>
  <c r="G28" i="3" l="1"/>
  <c r="I22" i="3"/>
  <c r="J22" i="3" s="1"/>
  <c r="D22" i="3"/>
  <c r="C23" i="3" l="1"/>
  <c r="H23" i="3" s="1"/>
  <c r="E22" i="3"/>
  <c r="G29" i="3"/>
  <c r="G30" i="3" l="1"/>
  <c r="I23" i="3"/>
  <c r="J23" i="3" s="1"/>
  <c r="D23" i="3"/>
  <c r="C24" i="3" l="1"/>
  <c r="H24" i="3" s="1"/>
  <c r="E23" i="3"/>
  <c r="G31" i="3"/>
  <c r="G32" i="3" l="1"/>
  <c r="I24" i="3"/>
  <c r="J24" i="3" s="1"/>
  <c r="D24" i="3"/>
  <c r="C25" i="3" l="1"/>
  <c r="H25" i="3" s="1"/>
  <c r="E24" i="3"/>
  <c r="I25" i="3" l="1"/>
  <c r="J25" i="3" s="1"/>
  <c r="D25" i="3"/>
  <c r="C26" i="3" l="1"/>
  <c r="H26" i="3" s="1"/>
  <c r="E25" i="3"/>
  <c r="I26" i="3" l="1"/>
  <c r="J26" i="3" s="1"/>
  <c r="D26" i="3"/>
  <c r="E26" i="3" l="1"/>
  <c r="C27" i="3"/>
  <c r="H27" i="3" s="1"/>
  <c r="I27" i="3" l="1"/>
  <c r="J27" i="3" s="1"/>
  <c r="D27" i="3"/>
  <c r="C28" i="3" l="1"/>
  <c r="H28" i="3" s="1"/>
  <c r="E27" i="3"/>
  <c r="I28" i="3" l="1"/>
  <c r="J28" i="3" s="1"/>
  <c r="D28" i="3"/>
  <c r="E28" i="3" l="1"/>
  <c r="C29" i="3"/>
  <c r="H29" i="3" s="1"/>
  <c r="I29" i="3" l="1"/>
  <c r="J29" i="3" s="1"/>
  <c r="D29" i="3"/>
  <c r="C30" i="3" l="1"/>
  <c r="H30" i="3" s="1"/>
  <c r="E29" i="3"/>
  <c r="I30" i="3" l="1"/>
  <c r="J30" i="3" s="1"/>
  <c r="D30" i="3"/>
  <c r="C31" i="3" l="1"/>
  <c r="E30" i="3"/>
  <c r="C32" i="3" l="1"/>
  <c r="H31" i="3"/>
  <c r="D31" i="3"/>
  <c r="E31" i="3" s="1"/>
  <c r="I31" i="3" l="1"/>
  <c r="J31" i="3" s="1"/>
  <c r="J32" i="3" s="1"/>
  <c r="H32" i="3"/>
  <c r="I32" i="3" l="1"/>
  <c r="C3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<sst xmlns="http://schemas.openxmlformats.org/spreadsheetml/2006/main" count="198" uniqueCount="161">
  <si>
    <t>Descrizione</t>
  </si>
  <si>
    <t>Beni materiali 4.0 - All. IV</t>
  </si>
  <si>
    <t>Beni immateriali 4.0 - All. V</t>
  </si>
  <si>
    <t>Impianti energie rinnovabili</t>
  </si>
  <si>
    <t>SEZIONE A - DATI IDENTIFICATIVI IMPRESA</t>
  </si>
  <si>
    <t>Denominazione impresa:</t>
  </si>
  <si>
    <t>Forma giuridica:</t>
  </si>
  <si>
    <t>Partita IVA:</t>
  </si>
  <si>
    <t>Codice fiscale:</t>
  </si>
  <si>
    <t>Settore attività:</t>
  </si>
  <si>
    <t>Codice ATECO:</t>
  </si>
  <si>
    <t>Rispetto normative sicurezza luoghi di lavoro (D.Lgs. 81/2008):</t>
  </si>
  <si>
    <t>SI</t>
  </si>
  <si>
    <t>Esito:</t>
  </si>
  <si>
    <t>Corretto versamento contributi previdenziali e assistenziali:</t>
  </si>
  <si>
    <t>Impresa NON in liquidazione/fallimento/concordato s. continuità:</t>
  </si>
  <si>
    <t>Impresa NON destinataria sanzioni interdittive D.Lgs. 231/2001:</t>
  </si>
  <si>
    <t>VERIFICA COMPLESSIVA REQUISITI:</t>
  </si>
  <si>
    <t>N.</t>
  </si>
  <si>
    <t>Descrizione bene</t>
  </si>
  <si>
    <t>Categoria bene</t>
  </si>
  <si>
    <t>Costo acquisizione (€)</t>
  </si>
  <si>
    <t>Contributi/Sovvenzioni (€)</t>
  </si>
  <si>
    <t>Base imponibile netta (€)</t>
  </si>
  <si>
    <t>Origine UE/SEE</t>
  </si>
  <si>
    <t>TOTALE</t>
  </si>
  <si>
    <t>Aliquota IRES:</t>
  </si>
  <si>
    <t>(standard 24%)</t>
  </si>
  <si>
    <t>(per calcolo VAN beneficio)</t>
  </si>
  <si>
    <t>Anno inizio ammortamento:</t>
  </si>
  <si>
    <t>(anno entrata in funzione bene)</t>
  </si>
  <si>
    <t>NOTA: Le celle con sfondo giallo sono celle di input modificabili.</t>
  </si>
  <si>
    <t>I valori in BLU sono dati inseriti dall'utente. I valori in NERO sono formule calcolate.</t>
  </si>
  <si>
    <t>Riferimento normativo: L. 199/2025, art. 1, commi 427-436</t>
  </si>
  <si>
    <t>CALCOLO MAGGIORAZIONI - IPERAMMORTAMENTO L. 199/2025</t>
  </si>
  <si>
    <t>Calcolo automatico degli scaglioni e delle maggiorazioni per ciascun investimento</t>
  </si>
  <si>
    <t>Categoria</t>
  </si>
  <si>
    <t>Costo acquis. (€)</t>
  </si>
  <si>
    <t>Contributi (€)</t>
  </si>
  <si>
    <t>Base netta (€)</t>
  </si>
  <si>
    <t>Scagl. 1 Base (€)</t>
  </si>
  <si>
    <t>Scagl. 1 Magg. (€)</t>
  </si>
  <si>
    <t>Scagl. 2 Base (€)</t>
  </si>
  <si>
    <t>Scagl. 2 Magg. (€)</t>
  </si>
  <si>
    <t>Scagl. 3 Base (€)</t>
  </si>
  <si>
    <t>Scagl. 3 Magg. (€)</t>
  </si>
  <si>
    <t>Scagl. 4 Base (€)</t>
  </si>
  <si>
    <t>Scagl. 4 Magg. (€)</t>
  </si>
  <si>
    <t>Tot. Maggioraz. (€)</t>
  </si>
  <si>
    <t>Costo fiscale tot. (€)</t>
  </si>
  <si>
    <t>% Magg. effettiva</t>
  </si>
  <si>
    <t>PIANO DI AMMORTAMENTO FISCALE MAGGIORATO</t>
  </si>
  <si>
    <t>Calcolo ammortamento civilistico e fiscale con deduzione aggiuntiva e risparmio d'imposta</t>
  </si>
  <si>
    <t>PARAMETRI AMMORTAMENTO INVESTIMENTO</t>
  </si>
  <si>
    <t>Seleziona investimento (N.):</t>
  </si>
  <si>
    <t>Descrizione:</t>
  </si>
  <si>
    <t>Categoria:</t>
  </si>
  <si>
    <t>Costo storico:</t>
  </si>
  <si>
    <t>Base netta (al netto contributi):</t>
  </si>
  <si>
    <t>Costo fiscale maggiorato:</t>
  </si>
  <si>
    <t>Aliquota ammortamento civilistico:</t>
  </si>
  <si>
    <t>Coefficiente fiscale:</t>
  </si>
  <si>
    <t>Vita utile (anni):</t>
  </si>
  <si>
    <t>Totale maggiorazione:</t>
  </si>
  <si>
    <t>PIANO DI AMMORTAMENTO DETTAGLIATO</t>
  </si>
  <si>
    <t>Anno</t>
  </si>
  <si>
    <t>Costo storico</t>
  </si>
  <si>
    <t>Quota amm. civilist.</t>
  </si>
  <si>
    <t>Fondo amm. civilist.</t>
  </si>
  <si>
    <t>Valore netto cont.</t>
  </si>
  <si>
    <t>Costo fiscale magg.</t>
  </si>
  <si>
    <t>Quota amm. fiscale</t>
  </si>
  <si>
    <t>Deduzione aggiuntiva</t>
  </si>
  <si>
    <t>Risparmio IRES (€)</t>
  </si>
  <si>
    <t>RIEPILOGO BENEFICIO FISCALE - IPERAMMORTAMENTO</t>
  </si>
  <si>
    <t>Dashboard riassuntiva dei benefici fiscali derivanti dall'iperammortamento</t>
  </si>
  <si>
    <t>RIEPILOGO INVESTIMENTI PER CATEGORIA</t>
  </si>
  <si>
    <t>N. investimenti</t>
  </si>
  <si>
    <t>Costo acquisizione</t>
  </si>
  <si>
    <t>Contributi</t>
  </si>
  <si>
    <t>Base netta</t>
  </si>
  <si>
    <t>Totale maggioraz.</t>
  </si>
  <si>
    <t>SINTESI BENEFICIO FISCALE</t>
  </si>
  <si>
    <t>Totale costi acquisizione:</t>
  </si>
  <si>
    <t>Totale contributi/sovvenzioni:</t>
  </si>
  <si>
    <t>Totale base netta:</t>
  </si>
  <si>
    <t>Totale maggiorazioni ottenute:</t>
  </si>
  <si>
    <t>Totale costi fiscalmente deducibili:</t>
  </si>
  <si>
    <t>% Maggiorazione media effettiva:</t>
  </si>
  <si>
    <t>Risparmio IRES stimato (totale vita utile):</t>
  </si>
  <si>
    <t>RISPARMIO FISCALE COMPLESSIVO:</t>
  </si>
  <si>
    <t>DOCUMENTAZIONE E CHECKLIST ADEMPIMENTI</t>
  </si>
  <si>
    <t>Checklist completa degli adempimenti per l'accesso al beneficio - L. 199/2025</t>
  </si>
  <si>
    <t>CHECKLIST ADEMPIMENTI OBBLIGATORI</t>
  </si>
  <si>
    <t>Adempimento</t>
  </si>
  <si>
    <t>Stato</t>
  </si>
  <si>
    <t>Note / Riferimento</t>
  </si>
  <si>
    <t>Verifica origine UE/SEE beni (certificato CCIAA / dichiarazione produttore DPR 445/2000)</t>
  </si>
  <si>
    <t>Perizia tecnica giurata per beni interconnessi (se costo &gt; €300.000)</t>
  </si>
  <si>
    <t>Conservazione ordine fornitore con data certa</t>
  </si>
  <si>
    <t>Conservazione fattura/e di acquisto</t>
  </si>
  <si>
    <t>Conservazione documenti di pagamento (bonifico, assegno, ecc.)</t>
  </si>
  <si>
    <t>Verbale di consegna e messa in funzione del bene</t>
  </si>
  <si>
    <t>Documentazione interconnessione bene al sistema aziendale</t>
  </si>
  <si>
    <t>Per software: documentazione funzionale e prova interconnessione</t>
  </si>
  <si>
    <t>Comunicazione/certificazione GSE (da definire con decreto attuativo)</t>
  </si>
  <si>
    <t>DURC (Documento Unico di Regolarità Contributiva) in corso di validità</t>
  </si>
  <si>
    <t>DVR (Documento Valutazione Rischi) aggiornato e conforme D.Lgs. 81/2008</t>
  </si>
  <si>
    <t>Modello autocertificazione requisiti (da predisporre entro fine periodo d'imposta)</t>
  </si>
  <si>
    <t>DOCUMENTI DA CONSERVARE PER 10 ANNI</t>
  </si>
  <si>
    <t>1. Ordini di acquisto con data certa e conferma d'ordine</t>
  </si>
  <si>
    <t>2. Fatture di acquisto (originali o copie conformi)</t>
  </si>
  <si>
    <t>3. Documenti di pagamento (estratti conto, bonifici)</t>
  </si>
  <si>
    <t>4. Perizia tecnica giurata / dichiarazione resa dal legale rappresentante</t>
  </si>
  <si>
    <t>5. Certificazione di interconnessione al sistema aziendale</t>
  </si>
  <si>
    <t>6. DVR e DURC validi al momento dell'investimento</t>
  </si>
  <si>
    <t>7. Dichiarazioni dei redditi relative ai periodi di fruizione</t>
  </si>
  <si>
    <t>8. Documentazione attestante origine UE/SEE dei beni</t>
  </si>
  <si>
    <t>9. Eventuale certificazione GSE per impianti rinnovabili</t>
  </si>
  <si>
    <t>10. Contratti di fornitura e condizioni generali</t>
  </si>
  <si>
    <t>Data Investimento</t>
  </si>
  <si>
    <t>Validazione</t>
  </si>
  <si>
    <t>Anno d'Imposta Investimento</t>
  </si>
  <si>
    <t>Risparmio totale Attuallizzato(€)</t>
  </si>
  <si>
    <t>Tasso di attualizzazione:</t>
  </si>
  <si>
    <t>RISPARMIO COMPLESSIVO ATTUALIZZATO</t>
  </si>
  <si>
    <t>Aliquota Fiscale</t>
  </si>
  <si>
    <t>Tot.Risparmio Attualizzato</t>
  </si>
  <si>
    <t>Inv.1</t>
  </si>
  <si>
    <t>Inv.2</t>
  </si>
  <si>
    <t>Inv.3</t>
  </si>
  <si>
    <t>Inv.4</t>
  </si>
  <si>
    <t>Inv.5</t>
  </si>
  <si>
    <t>Inv.6</t>
  </si>
  <si>
    <t>Inv.7</t>
  </si>
  <si>
    <t>Inv.8</t>
  </si>
  <si>
    <t>Inv.9</t>
  </si>
  <si>
    <t>Inv.10</t>
  </si>
  <si>
    <t>SEZIONE B- REQUISITI SOGGETTIVI (tutti obbligatori)</t>
  </si>
  <si>
    <t>SEZIONE C - TABELLA INVESTIMENTI</t>
  </si>
  <si>
    <t>SEZIONE D - PARAMETRI FISCALI</t>
  </si>
  <si>
    <t>IPERAMMORTAMENTO</t>
  </si>
  <si>
    <t>Alfa S.r.l.</t>
  </si>
  <si>
    <t>Costruzioni e ristrutturazioni</t>
  </si>
  <si>
    <t>Macchinario interconnesso industria 4.0</t>
  </si>
  <si>
    <t>Sistema di visione artificiale controllo qualità</t>
  </si>
  <si>
    <t>N/A</t>
  </si>
  <si>
    <t>FATTO</t>
  </si>
  <si>
    <t>Dichiarazione produttore</t>
  </si>
  <si>
    <t>Perizia Ing.</t>
  </si>
  <si>
    <t>Ordini firmati digitalmente</t>
  </si>
  <si>
    <t>Fatture elettroniche</t>
  </si>
  <si>
    <t>Bonifico bancario</t>
  </si>
  <si>
    <t>Verbali interni</t>
  </si>
  <si>
    <t>Report tecnico IT</t>
  </si>
  <si>
    <t>Software MES e analytics</t>
  </si>
  <si>
    <t>Non applicabile</t>
  </si>
  <si>
    <t>DURC regolare</t>
  </si>
  <si>
    <t>Aggiornato 2026</t>
  </si>
  <si>
    <t>Dichiarazione legale rappresentante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</si>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</sst>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€#,##0"/>
    <numFmt numFmtId="165" formatCode="0.0%"/>
  </numFmts>
  <fonts count="3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1F4E79"/>
      <name val="Georgia"/>
      <family val="1"/>
    </font>
    <font>
      <sz val="11"/>
      <color theme="1"/>
      <name val="Colibri"/>
    </font>
    <font>
      <b/>
      <sz val="14"/>
      <color rgb="FF1F4E79"/>
      <name val="Calibri"/>
      <family val="2"/>
    </font>
    <font>
      <sz val="11"/>
      <color theme="1"/>
      <name val="Calibri"/>
      <family val="2"/>
    </font>
    <font>
      <i/>
      <sz val="11"/>
      <color rgb="FF80808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rgb="FF333333"/>
      <name val="Calibri"/>
      <family val="2"/>
    </font>
    <font>
      <i/>
      <sz val="10"/>
      <color rgb="FF808080"/>
      <name val="Calibri"/>
      <family val="2"/>
    </font>
    <font>
      <b/>
      <sz val="11"/>
      <color rgb="FF808080"/>
      <name val="Calibri"/>
      <family val="2"/>
    </font>
    <font>
      <b/>
      <i/>
      <sz val="11"/>
      <color rgb="FF808080"/>
      <name val="Calibri"/>
      <family val="2"/>
    </font>
    <font>
      <b/>
      <sz val="9"/>
      <color rgb="FFFFFFFF"/>
      <name val="Calibri"/>
      <family val="2"/>
    </font>
    <font>
      <b/>
      <sz val="9"/>
      <color rgb="FF1F4E79"/>
      <name val="Calibri"/>
      <family val="2"/>
    </font>
    <font>
      <sz val="11"/>
      <color rgb="FF1F4E79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sz val="14"/>
      <color rgb="FF00B050"/>
      <name val="Calibri"/>
      <family val="2"/>
    </font>
    <font>
      <b/>
      <sz val="12"/>
      <color rgb="FF00B050"/>
      <name val="Calibri"/>
      <family val="2"/>
    </font>
    <font>
      <b/>
      <sz val="14"/>
      <color theme="6" tint="0.3999755851924192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D2B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34" fillId="0" borderId="0" applyFont="0" applyFill="0" applyBorder="0" applyAlignment="0" applyProtection="0"/>
  </cellStyleXfs>
  <cellXfs count="98">
    <xf numFmtId="0" fontId="0" fillId="0" borderId="0" xfId="0"/>
    <xf numFmtId="164" fontId="0" fillId="0" borderId="0" xfId="0" applyNumberFormat="1"/>
    <xf numFmtId="165" fontId="4" fillId="12" borderId="1" xfId="0" applyNumberFormat="1" applyFont="1" applyFill="1" applyBorder="1"/>
    <xf numFmtId="0" fontId="0" fillId="12" borderId="1" xfId="0" applyFill="1" applyBorder="1"/>
    <xf numFmtId="0" fontId="1" fillId="12" borderId="1" xfId="0" applyFont="1" applyFill="1" applyBorder="1"/>
    <xf numFmtId="164" fontId="2" fillId="12" borderId="0" xfId="0" applyNumberFormat="1" applyFont="1" applyFill="1"/>
    <xf numFmtId="0" fontId="3" fillId="12" borderId="1" xfId="0" applyFont="1" applyFill="1" applyBorder="1"/>
    <xf numFmtId="9" fontId="0" fillId="12" borderId="1" xfId="0" applyNumberFormat="1" applyFill="1" applyBorder="1"/>
    <xf numFmtId="0" fontId="2" fillId="12" borderId="1" xfId="0" applyFon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3" fontId="0" fillId="12" borderId="1" xfId="0" applyNumberFormat="1" applyFill="1" applyBorder="1"/>
    <xf numFmtId="3" fontId="5" fillId="12" borderId="1" xfId="0" applyNumberFormat="1" applyFont="1" applyFill="1" applyBorder="1"/>
    <xf numFmtId="4" fontId="6" fillId="12" borderId="1" xfId="0" applyNumberFormat="1" applyFont="1" applyFill="1" applyBorder="1"/>
    <xf numFmtId="0" fontId="2" fillId="12" borderId="1" xfId="0" applyFont="1" applyFill="1" applyBorder="1"/>
    <xf numFmtId="164" fontId="2" fillId="12" borderId="1" xfId="0" applyNumberFormat="1" applyFont="1" applyFill="1" applyBorder="1"/>
    <xf numFmtId="4" fontId="0" fillId="0" borderId="0" xfId="0" applyNumberFormat="1"/>
    <xf numFmtId="0" fontId="7" fillId="12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0" fontId="15" fillId="4" borderId="0" xfId="0" applyFont="1" applyFill="1" applyAlignment="1">
      <alignment horizontal="center"/>
    </xf>
    <xf numFmtId="0" fontId="15" fillId="4" borderId="0" xfId="0" applyFont="1" applyFill="1"/>
    <xf numFmtId="0" fontId="12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4" fillId="11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2" fillId="5" borderId="0" xfId="0" applyFont="1" applyFill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12" fillId="2" borderId="0" xfId="0" applyFont="1" applyFill="1"/>
    <xf numFmtId="0" fontId="15" fillId="2" borderId="0" xfId="0" applyFont="1" applyFill="1"/>
    <xf numFmtId="164" fontId="15" fillId="2" borderId="0" xfId="0" applyNumberFormat="1" applyFont="1" applyFill="1"/>
    <xf numFmtId="0" fontId="22" fillId="0" borderId="0" xfId="0" applyFont="1"/>
    <xf numFmtId="0" fontId="23" fillId="4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3" fontId="12" fillId="0" borderId="0" xfId="0" applyNumberFormat="1" applyFont="1"/>
    <xf numFmtId="3" fontId="18" fillId="0" borderId="0" xfId="0" applyNumberFormat="1" applyFont="1"/>
    <xf numFmtId="165" fontId="18" fillId="0" borderId="0" xfId="0" applyNumberFormat="1" applyFont="1"/>
    <xf numFmtId="4" fontId="12" fillId="0" borderId="0" xfId="0" applyNumberFormat="1" applyFont="1"/>
    <xf numFmtId="165" fontId="15" fillId="2" borderId="0" xfId="0" applyNumberFormat="1" applyFont="1" applyFill="1"/>
    <xf numFmtId="4" fontId="15" fillId="2" borderId="0" xfId="0" applyNumberFormat="1" applyFont="1" applyFill="1"/>
    <xf numFmtId="0" fontId="25" fillId="0" borderId="0" xfId="0" applyFont="1"/>
    <xf numFmtId="164" fontId="18" fillId="0" borderId="0" xfId="0" applyNumberFormat="1" applyFont="1"/>
    <xf numFmtId="164" fontId="16" fillId="0" borderId="0" xfId="0" applyNumberFormat="1" applyFont="1"/>
    <xf numFmtId="165" fontId="26" fillId="12" borderId="1" xfId="0" applyNumberFormat="1" applyFont="1" applyFill="1" applyBorder="1"/>
    <xf numFmtId="165" fontId="12" fillId="0" borderId="0" xfId="0" applyNumberFormat="1" applyFont="1"/>
    <xf numFmtId="10" fontId="12" fillId="0" borderId="0" xfId="0" applyNumberFormat="1" applyFont="1"/>
    <xf numFmtId="164" fontId="27" fillId="0" borderId="0" xfId="0" applyNumberFormat="1" applyFont="1"/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3" fontId="28" fillId="0" borderId="0" xfId="0" applyNumberFormat="1" applyFont="1"/>
    <xf numFmtId="4" fontId="27" fillId="0" borderId="0" xfId="0" applyNumberFormat="1" applyFont="1"/>
    <xf numFmtId="164" fontId="12" fillId="0" borderId="0" xfId="0" applyNumberFormat="1" applyFont="1"/>
    <xf numFmtId="0" fontId="15" fillId="2" borderId="0" xfId="0" applyFont="1" applyFill="1" applyAlignment="1">
      <alignment horizontal="center"/>
    </xf>
    <xf numFmtId="164" fontId="29" fillId="0" borderId="0" xfId="0" applyNumberFormat="1" applyFont="1"/>
    <xf numFmtId="164" fontId="30" fillId="0" borderId="0" xfId="0" applyNumberFormat="1" applyFont="1"/>
    <xf numFmtId="164" fontId="31" fillId="0" borderId="0" xfId="0" applyNumberFormat="1" applyFont="1"/>
    <xf numFmtId="164" fontId="11" fillId="0" borderId="0" xfId="0" applyNumberFormat="1" applyFont="1"/>
    <xf numFmtId="165" fontId="29" fillId="0" borderId="0" xfId="0" applyNumberFormat="1" applyFont="1"/>
    <xf numFmtId="164" fontId="32" fillId="0" borderId="0" xfId="0" applyNumberFormat="1" applyFont="1"/>
    <xf numFmtId="0" fontId="29" fillId="6" borderId="0" xfId="0" applyFont="1" applyFill="1"/>
    <xf numFmtId="164" fontId="31" fillId="6" borderId="0" xfId="0" applyNumberFormat="1" applyFont="1" applyFill="1"/>
    <xf numFmtId="164" fontId="33" fillId="12" borderId="0" xfId="0" applyNumberFormat="1" applyFont="1" applyFill="1"/>
    <xf numFmtId="0" fontId="17" fillId="13" borderId="0" xfId="0" applyFont="1" applyFill="1"/>
    <xf numFmtId="0" fontId="17" fillId="13" borderId="0" xfId="0" applyFont="1" applyFill="1" applyAlignment="1">
      <alignment horizontal="center"/>
    </xf>
    <xf numFmtId="0" fontId="17" fillId="13" borderId="0" xfId="0" applyFont="1" applyFill="1" applyProtection="1">
      <protection locked="0"/>
    </xf>
    <xf numFmtId="165" fontId="17" fillId="13" borderId="0" xfId="0" applyNumberFormat="1" applyFont="1" applyFill="1" applyProtection="1">
      <protection locked="0"/>
    </xf>
    <xf numFmtId="1" fontId="17" fillId="13" borderId="0" xfId="0" applyNumberFormat="1" applyFont="1" applyFill="1" applyProtection="1">
      <protection locked="0"/>
    </xf>
    <xf numFmtId="0" fontId="17" fillId="13" borderId="0" xfId="0" applyFont="1" applyFill="1" applyAlignment="1" applyProtection="1">
      <alignment horizontal="center" vertical="center"/>
      <protection locked="0"/>
    </xf>
    <xf numFmtId="3" fontId="17" fillId="13" borderId="0" xfId="0" applyNumberFormat="1" applyFont="1" applyFill="1" applyAlignment="1" applyProtection="1">
      <alignment horizontal="center" vertical="center"/>
      <protection locked="0"/>
    </xf>
    <xf numFmtId="10" fontId="17" fillId="13" borderId="0" xfId="0" applyNumberFormat="1" applyFont="1" applyFill="1" applyAlignment="1" applyProtection="1">
      <alignment horizontal="center" vertical="center"/>
      <protection locked="0"/>
    </xf>
    <xf numFmtId="14" fontId="17" fillId="13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" fontId="0" fillId="0" borderId="0" xfId="1" applyNumberFormat="1" applyFont="1"/>
    <xf numFmtId="1" fontId="12" fillId="0" borderId="0" xfId="1" applyNumberFormat="1" applyFont="1"/>
    <xf numFmtId="1" fontId="15" fillId="4" borderId="0" xfId="1" applyNumberFormat="1" applyFont="1" applyFill="1" applyAlignment="1">
      <alignment horizontal="center"/>
    </xf>
    <xf numFmtId="1" fontId="17" fillId="13" borderId="0" xfId="1" applyNumberFormat="1" applyFont="1" applyFill="1" applyAlignment="1" applyProtection="1">
      <alignment horizontal="center" vertical="center"/>
      <protection locked="0"/>
    </xf>
    <xf numFmtId="1" fontId="12" fillId="2" borderId="0" xfId="1" applyNumberFormat="1" applyFont="1" applyFill="1"/>
    <xf numFmtId="1" fontId="10" fillId="0" borderId="0" xfId="1" applyNumberFormat="1" applyFont="1"/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3" fontId="35" fillId="0" borderId="0" xfId="0" applyNumberFormat="1" applyFont="1" applyAlignment="1">
      <alignment horizontal="left" vertical="center" wrapText="1"/>
    </xf>
    <xf numFmtId="9" fontId="35" fillId="0" borderId="0" xfId="0" applyNumberFormat="1" applyFont="1" applyAlignment="1">
      <alignment horizontal="left" vertical="center" wrapText="1"/>
    </xf>
    <xf numFmtId="14" fontId="36" fillId="0" borderId="0" xfId="0" applyNumberFormat="1" applyFont="1" applyAlignment="1">
      <alignment horizontal="left" vertical="center" wrapText="1"/>
    </xf>
    <xf numFmtId="3" fontId="36" fillId="0" borderId="0" xfId="0" applyNumberFormat="1" applyFont="1" applyAlignment="1">
      <alignment horizontal="left" vertical="center" wrapText="1"/>
    </xf>
    <xf numFmtId="0" fontId="17" fillId="13" borderId="0" xfId="0" applyFont="1" applyFill="1" applyAlignment="1" applyProtection="1">
      <alignment horizontal="center"/>
      <protection locked="0"/>
    </xf>
    <xf numFmtId="0" fontId="17" fillId="13" borderId="0" xfId="0" applyFont="1" applyFill="1" applyAlignment="1" applyProtection="1">
      <alignment horizontal="left"/>
      <protection locked="0"/>
    </xf>
    <xf numFmtId="0" fontId="17" fillId="13" borderId="0" xfId="0" applyFont="1" applyFill="1" applyAlignment="1">
      <alignment wrapText="1"/>
    </xf>
  </cellXfs>
  <cellStyles count="2">
    <cellStyle name="Migliaia" xfId="1" builtinId="3"/>
    <cellStyle name="Normale" xfId="0" builtinId="0"/>
  </cellStyles>
  <dxfs count="3"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FF0000"/>
      </font>
      <fill>
        <patternFill patternType="solid">
          <fgColor indexed="64"/>
          <bgColor rgb="FFFFE0E0"/>
        </patternFill>
      </fill>
    </dxf>
    <dxf>
      <font>
        <color rgb="FFFF0000"/>
      </font>
      <fill>
        <patternFill patternType="solid">
          <fgColor indexed="64"/>
          <bgColor rgb="FFFFE0E0"/>
        </patternFill>
      </fill>
    </dxf>
  </dxfs>
  <tableStyles count="0" defaultTableStyle="TableStyleMedium2" defaultPivotStyle="PivotStyleLight16"/>
  <colors>
    <mruColors>
      <color rgb="FF0000FF"/>
      <color rgb="FFF6D2B0"/>
      <color rgb="FFA9F5AB"/>
      <color rgb="FFC3EAB4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0</xdr:row>
      <xdr:rowOff>0</xdr:rowOff>
    </xdr:from>
    <xdr:to>
      <xdr:col>2</xdr:col>
      <xdr:colOff>61752</xdr:colOff>
      <xdr:row>3</xdr:row>
      <xdr:rowOff>15401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723332F-D7A6-1B9C-5AB5-73812DEA9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0"/>
          <a:ext cx="2023902" cy="653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4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D1AE2E-DA29-4960-8321-F51A7C8CA38C}">
  <we:reference id="wa200009404" version="1.0.0.5" store="it-IT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D74F-1956-473D-934A-5F214C6E8464}">
  <sheetPr codeName="Foglio1"/>
  <dimension ref="A1:N230"/>
  <sheetViews>
    <sheetView showGridLines="0" tabSelected="1" zoomScale="60" zoomScaleNormal="60" zoomScaleSheetLayoutView="90" workbookViewId="0">
      <selection sqref="A1:L38"/>
    </sheetView>
  </sheetViews>
  <sheetFormatPr defaultRowHeight="15"/>
  <cols>
    <col min="1" max="1" width="87.5703125" bestFit="1" customWidth="1"/>
    <col min="2" max="2" width="45.42578125" customWidth="1"/>
    <col min="3" max="3" width="25.140625" customWidth="1"/>
    <col min="4" max="7" width="27.28515625" customWidth="1"/>
    <col min="8" max="8" width="18.140625" customWidth="1"/>
    <col min="9" max="9" width="36.28515625" customWidth="1"/>
    <col min="10" max="10" width="41.85546875" bestFit="1" customWidth="1"/>
    <col min="11" max="11" width="27.85546875" style="83" bestFit="1" customWidth="1"/>
    <col min="12" max="12" width="41.85546875" bestFit="1" customWidth="1"/>
  </cols>
  <sheetData>
    <row r="1" spans="1:14" ht="20.25">
      <c r="A1" s="18" t="s">
        <v>141</v>
      </c>
    </row>
    <row r="2" spans="1:14">
      <c r="A2" s="30"/>
      <c r="B2" s="20"/>
      <c r="C2" s="20"/>
      <c r="D2" s="20"/>
      <c r="E2" s="20"/>
      <c r="F2" s="20"/>
      <c r="G2" s="20"/>
      <c r="H2" s="20"/>
      <c r="I2" s="20"/>
      <c r="J2" s="20"/>
      <c r="K2" s="84"/>
      <c r="L2" s="20"/>
      <c r="M2" s="20"/>
      <c r="N2" s="20"/>
    </row>
    <row r="3" spans="1:14">
      <c r="A3" s="20"/>
      <c r="B3" s="20"/>
      <c r="C3" s="20"/>
      <c r="D3" s="20"/>
      <c r="E3" s="20"/>
      <c r="F3" s="20"/>
      <c r="G3" s="20"/>
      <c r="H3" s="20"/>
      <c r="I3" s="20"/>
      <c r="J3" s="20"/>
      <c r="K3" s="84"/>
      <c r="L3" s="20"/>
      <c r="M3" s="20"/>
      <c r="N3" s="20"/>
    </row>
    <row r="4" spans="1:14" ht="15.75">
      <c r="A4" s="22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84"/>
      <c r="L4" s="20"/>
      <c r="M4" s="20"/>
      <c r="N4" s="20"/>
    </row>
    <row r="5" spans="1:14">
      <c r="A5" s="27" t="s">
        <v>5</v>
      </c>
      <c r="B5" s="75" t="s">
        <v>142</v>
      </c>
      <c r="C5" s="20"/>
      <c r="D5" s="20"/>
      <c r="E5" s="20"/>
      <c r="F5" s="27" t="s">
        <v>6</v>
      </c>
      <c r="G5" s="75"/>
      <c r="H5" s="20"/>
      <c r="I5" s="20"/>
      <c r="J5" s="20"/>
      <c r="K5" s="84"/>
      <c r="L5" s="20"/>
      <c r="M5" s="20"/>
      <c r="N5" s="20"/>
    </row>
    <row r="6" spans="1:14">
      <c r="A6" s="27" t="s">
        <v>7</v>
      </c>
      <c r="B6" s="96">
        <v>3456780123</v>
      </c>
      <c r="C6" s="20"/>
      <c r="D6" s="20"/>
      <c r="E6" s="20"/>
      <c r="F6" s="27" t="s">
        <v>8</v>
      </c>
      <c r="G6" s="75"/>
      <c r="H6" s="20"/>
      <c r="I6" s="20"/>
      <c r="J6" s="20"/>
      <c r="K6" s="84"/>
      <c r="L6" s="20"/>
      <c r="M6" s="20"/>
      <c r="N6" s="20"/>
    </row>
    <row r="7" spans="1:14">
      <c r="A7" s="27" t="s">
        <v>9</v>
      </c>
      <c r="B7" s="75" t="s">
        <v>143</v>
      </c>
      <c r="C7" s="20"/>
      <c r="D7" s="20"/>
      <c r="E7" s="20"/>
      <c r="F7" s="27" t="s">
        <v>10</v>
      </c>
      <c r="G7" s="75"/>
      <c r="H7" s="20"/>
      <c r="I7" s="20"/>
      <c r="J7" s="20"/>
      <c r="K7" s="84"/>
      <c r="L7" s="20"/>
      <c r="M7" s="20"/>
      <c r="N7" s="20"/>
    </row>
    <row r="8" spans="1:14">
      <c r="A8" s="20"/>
      <c r="B8" s="20"/>
      <c r="C8" s="20"/>
      <c r="D8" s="20"/>
      <c r="E8" s="20"/>
      <c r="F8" s="20"/>
      <c r="G8" s="20"/>
      <c r="H8" s="20"/>
      <c r="I8" s="20"/>
      <c r="J8" s="20"/>
      <c r="K8" s="84"/>
      <c r="L8" s="20"/>
      <c r="M8" s="20"/>
      <c r="N8" s="20"/>
    </row>
    <row r="9" spans="1:14" ht="15.75">
      <c r="A9" s="22" t="s">
        <v>138</v>
      </c>
      <c r="B9" s="20"/>
      <c r="C9" s="20"/>
      <c r="D9" s="20"/>
      <c r="E9" s="20"/>
      <c r="F9" s="20"/>
      <c r="G9" s="20"/>
      <c r="H9" s="20"/>
      <c r="I9" s="20"/>
      <c r="J9" s="20"/>
      <c r="K9" s="84"/>
      <c r="L9" s="20"/>
      <c r="M9" s="20"/>
      <c r="N9" s="20"/>
    </row>
    <row r="10" spans="1:14">
      <c r="A10" s="27" t="s">
        <v>11</v>
      </c>
      <c r="B10" s="75" t="s">
        <v>12</v>
      </c>
      <c r="C10" s="20"/>
      <c r="D10" s="31" t="s">
        <v>13</v>
      </c>
      <c r="E10" s="20" t="str">
        <f>IF(B10="SI","✓ Requisito soddisfatto","✗ REQUISITO NON SODDISFATTO")</f>
        <v>✓ Requisito soddisfatto</v>
      </c>
      <c r="F10" s="20"/>
      <c r="G10" s="20"/>
      <c r="H10" s="20"/>
      <c r="I10" s="20"/>
      <c r="J10" s="20"/>
      <c r="K10" s="84"/>
      <c r="L10" s="20"/>
      <c r="M10" s="20"/>
      <c r="N10" s="20"/>
    </row>
    <row r="11" spans="1:14">
      <c r="A11" s="27" t="s">
        <v>14</v>
      </c>
      <c r="B11" s="75" t="s">
        <v>12</v>
      </c>
      <c r="C11" s="20"/>
      <c r="D11" s="31" t="s">
        <v>13</v>
      </c>
      <c r="E11" s="20" t="str">
        <f>IF(B11="SI","✓ Requisito soddisfatto","✗ REQUISITO NON SODDISFATTO")</f>
        <v>✓ Requisito soddisfatto</v>
      </c>
      <c r="F11" s="20"/>
      <c r="G11" s="20"/>
      <c r="H11" s="20"/>
      <c r="I11" s="20"/>
      <c r="J11" s="20"/>
      <c r="K11" s="84"/>
      <c r="L11" s="20"/>
      <c r="M11" s="20"/>
      <c r="N11" s="20"/>
    </row>
    <row r="12" spans="1:14">
      <c r="A12" s="27" t="s">
        <v>15</v>
      </c>
      <c r="B12" s="75" t="s">
        <v>12</v>
      </c>
      <c r="C12" s="20"/>
      <c r="D12" s="31" t="s">
        <v>13</v>
      </c>
      <c r="E12" s="20" t="str">
        <f>IF(B12="SI","✓ Requisito soddisfatto","✗ REQUISITO NON SODDISFATTO")</f>
        <v>✓ Requisito soddisfatto</v>
      </c>
      <c r="F12" s="20"/>
      <c r="G12" s="20"/>
      <c r="H12" s="20"/>
      <c r="I12" s="20"/>
      <c r="J12" s="20"/>
      <c r="K12" s="84"/>
      <c r="L12" s="20"/>
      <c r="M12" s="20"/>
      <c r="N12" s="20"/>
    </row>
    <row r="13" spans="1:14">
      <c r="A13" s="27" t="s">
        <v>16</v>
      </c>
      <c r="B13" s="75" t="s">
        <v>12</v>
      </c>
      <c r="C13" s="20"/>
      <c r="D13" s="31" t="s">
        <v>13</v>
      </c>
      <c r="E13" s="20" t="str">
        <f>IF(B13="SI","✓ Requisito soddisfatto","✗ REQUISITO NON SODDISFATTO")</f>
        <v>✓ Requisito soddisfatto</v>
      </c>
      <c r="F13" s="20"/>
      <c r="G13" s="20"/>
      <c r="H13" s="20"/>
      <c r="I13" s="20"/>
      <c r="J13" s="20"/>
      <c r="K13" s="84"/>
      <c r="L13" s="20"/>
      <c r="M13" s="20"/>
      <c r="N13" s="20"/>
    </row>
    <row r="14" spans="1: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84"/>
      <c r="L14" s="20"/>
      <c r="M14" s="20"/>
      <c r="N14" s="20"/>
    </row>
    <row r="15" spans="1:14">
      <c r="A15" s="27" t="s">
        <v>17</v>
      </c>
      <c r="B15" s="20"/>
      <c r="C15" s="27" t="str">
        <f>IF(AND(B10="SI",B11="SI",B12="SI",B13="SI"),"✓ TUTTI I REQUISITI SODDISFATTI - IMPRESA AMMISSIBILE","✗ REQUISITI NON SODDISFATTI - VERIFICARE ANOMALIE")</f>
        <v>✓ TUTTI I REQUISITI SODDISFATTI - IMPRESA AMMISSIBILE</v>
      </c>
      <c r="D15" s="20"/>
      <c r="E15" s="20"/>
      <c r="F15" s="20"/>
      <c r="G15" s="20"/>
      <c r="H15" s="20"/>
      <c r="I15" s="20"/>
      <c r="J15" s="20"/>
      <c r="K15" s="84"/>
      <c r="L15" s="20"/>
      <c r="M15" s="20"/>
      <c r="N15" s="20"/>
    </row>
    <row r="16" spans="1:1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84"/>
      <c r="L16" s="20"/>
      <c r="M16" s="20"/>
      <c r="N16" s="20"/>
    </row>
    <row r="17" spans="1:14" ht="15.75">
      <c r="A17" s="22" t="s">
        <v>139</v>
      </c>
      <c r="B17" s="20"/>
      <c r="C17" s="20"/>
      <c r="D17" s="20"/>
      <c r="E17" s="20"/>
      <c r="F17" s="20"/>
      <c r="G17" s="20"/>
      <c r="H17" s="20"/>
      <c r="I17" s="20"/>
      <c r="J17" s="20"/>
      <c r="K17" s="84"/>
      <c r="L17" s="20"/>
      <c r="M17" s="20"/>
      <c r="N17" s="20"/>
    </row>
    <row r="18" spans="1:14">
      <c r="A18" s="23" t="s">
        <v>18</v>
      </c>
      <c r="B18" s="23" t="s">
        <v>19</v>
      </c>
      <c r="C18" s="23" t="s">
        <v>20</v>
      </c>
      <c r="D18" s="23" t="s">
        <v>21</v>
      </c>
      <c r="E18" s="23" t="s">
        <v>126</v>
      </c>
      <c r="F18" s="23" t="s">
        <v>22</v>
      </c>
      <c r="G18" s="23" t="s">
        <v>23</v>
      </c>
      <c r="H18" s="23" t="s">
        <v>24</v>
      </c>
      <c r="I18" s="23" t="s">
        <v>120</v>
      </c>
      <c r="J18" s="23" t="s">
        <v>121</v>
      </c>
      <c r="K18" s="85" t="s">
        <v>122</v>
      </c>
      <c r="L18" s="23" t="s">
        <v>121</v>
      </c>
      <c r="M18" s="20"/>
      <c r="N18" s="20"/>
    </row>
    <row r="19" spans="1:14">
      <c r="A19" s="32">
        <v>1</v>
      </c>
      <c r="B19" s="78" t="s">
        <v>144</v>
      </c>
      <c r="C19" s="78" t="s">
        <v>1</v>
      </c>
      <c r="D19" s="79">
        <v>480000</v>
      </c>
      <c r="E19" s="80">
        <v>0.1</v>
      </c>
      <c r="F19" s="79">
        <v>0</v>
      </c>
      <c r="G19" s="33">
        <f>IF(D19="","",D19-IF(F19="",0,F19))</f>
        <v>480000</v>
      </c>
      <c r="H19" s="78" t="s">
        <v>12</v>
      </c>
      <c r="I19" s="81">
        <v>46063</v>
      </c>
      <c r="J19" s="82" t="str">
        <f>IF(I19="","-",IF(AND(I19&gt;=DATE(2026,1,1),I19&lt;=DATE(2028,9,30)),"✓ Data nel periodo agevolato","✗ Data fuori periodo (01.01.2026 - 30.09.2028)"))</f>
        <v>✓ Data nel periodo agevolato</v>
      </c>
      <c r="K19" s="86">
        <v>2026</v>
      </c>
      <c r="L19" s="82" t="str">
        <f>IF(K19="","-",IF(AND(K19&gt;=2026,K19&lt;=2028),"✓ Anno valido","✗ Anno non valido"))</f>
        <v>✓ Anno valido</v>
      </c>
      <c r="M19" s="20"/>
      <c r="N19" s="20"/>
    </row>
    <row r="20" spans="1:14">
      <c r="A20" s="32">
        <v>2</v>
      </c>
      <c r="B20" s="78" t="s">
        <v>145</v>
      </c>
      <c r="C20" s="78" t="s">
        <v>1</v>
      </c>
      <c r="D20" s="79">
        <v>95000</v>
      </c>
      <c r="E20" s="80">
        <v>0.12</v>
      </c>
      <c r="F20" s="79">
        <v>0</v>
      </c>
      <c r="G20" s="33">
        <f>IF(D20="","",D20-IF(F20="",0,F20))</f>
        <v>95000</v>
      </c>
      <c r="H20" s="78" t="s">
        <v>12</v>
      </c>
      <c r="I20" s="81">
        <v>46109</v>
      </c>
      <c r="J20" s="82" t="str">
        <f t="shared" ref="J20:J28" si="0">IF(I20="","-",IF(AND(I20&gt;=DATE(2026,1,1),I20&lt;=DATE(2028,9,30)),"✓ Data nel periodo agevolato","✗ Data fuori periodo (01.01.2026 - 30.09.2028)"))</f>
        <v>✓ Data nel periodo agevolato</v>
      </c>
      <c r="K20" s="86">
        <v>2026</v>
      </c>
      <c r="L20" s="82" t="s">
        <v>160</v>
      </c>
      <c r="M20" s="20"/>
      <c r="N20" s="20"/>
    </row>
    <row r="21" spans="1:14">
      <c r="A21" s="32">
        <v>3</v>
      </c>
      <c r="B21" s="78"/>
      <c r="C21" s="78"/>
      <c r="D21" s="79"/>
      <c r="E21" s="80"/>
      <c r="F21" s="79"/>
      <c r="G21" s="33" t="str">
        <f>IF(D21="","",D21-IF(F21="",0,F21))</f>
        <v/>
      </c>
      <c r="H21" s="78"/>
      <c r="I21" s="81"/>
      <c r="J21" s="82" t="str">
        <f t="shared" si="0"/>
        <v>-</v>
      </c>
      <c r="K21" s="86"/>
      <c r="L21" s="82" t="str">
        <f t="shared" ref="L20:L28" si="1">IF(K21="","-",IF(AND(K21&gt;=2026,K21&lt;=2028),"✓ Anno valido","✗ Anno non valido"))</f>
        <v>-</v>
      </c>
      <c r="M21" s="20"/>
      <c r="N21" s="20"/>
    </row>
    <row r="22" spans="1:14">
      <c r="A22" s="32">
        <v>4</v>
      </c>
      <c r="B22" s="78"/>
      <c r="C22" s="78"/>
      <c r="D22" s="79"/>
      <c r="E22" s="80"/>
      <c r="F22" s="79"/>
      <c r="G22" s="33" t="str">
        <f t="shared" ref="G22:G28" si="2">IF(D22="","",D22-IF(F22="",0,F22))</f>
        <v/>
      </c>
      <c r="H22" s="78"/>
      <c r="I22" s="81"/>
      <c r="J22" s="82" t="str">
        <f t="shared" si="0"/>
        <v>-</v>
      </c>
      <c r="K22" s="86"/>
      <c r="L22" s="82" t="str">
        <f t="shared" si="1"/>
        <v>-</v>
      </c>
      <c r="M22" s="20"/>
      <c r="N22" s="20"/>
    </row>
    <row r="23" spans="1:14">
      <c r="A23" s="32">
        <v>5</v>
      </c>
      <c r="B23" s="78"/>
      <c r="C23" s="78"/>
      <c r="D23" s="79"/>
      <c r="E23" s="80"/>
      <c r="F23" s="79"/>
      <c r="G23" s="33" t="str">
        <f t="shared" si="2"/>
        <v/>
      </c>
      <c r="H23" s="78"/>
      <c r="I23" s="81"/>
      <c r="J23" s="82" t="str">
        <f t="shared" si="0"/>
        <v>-</v>
      </c>
      <c r="K23" s="86"/>
      <c r="L23" s="82" t="str">
        <f t="shared" si="1"/>
        <v>-</v>
      </c>
      <c r="M23" s="20"/>
      <c r="N23" s="20"/>
    </row>
    <row r="24" spans="1:14">
      <c r="A24" s="32">
        <v>6</v>
      </c>
      <c r="B24" s="78"/>
      <c r="C24" s="78"/>
      <c r="D24" s="79"/>
      <c r="E24" s="80"/>
      <c r="F24" s="79"/>
      <c r="G24" s="33" t="str">
        <f t="shared" si="2"/>
        <v/>
      </c>
      <c r="H24" s="78"/>
      <c r="I24" s="81"/>
      <c r="J24" s="82" t="str">
        <f t="shared" si="0"/>
        <v>-</v>
      </c>
      <c r="K24" s="86"/>
      <c r="L24" s="82" t="str">
        <f t="shared" si="1"/>
        <v>-</v>
      </c>
      <c r="M24" s="20"/>
      <c r="N24" s="20"/>
    </row>
    <row r="25" spans="1:14">
      <c r="A25" s="32">
        <v>7</v>
      </c>
      <c r="B25" s="78"/>
      <c r="C25" s="78"/>
      <c r="D25" s="79"/>
      <c r="E25" s="80"/>
      <c r="F25" s="79"/>
      <c r="G25" s="33" t="str">
        <f t="shared" si="2"/>
        <v/>
      </c>
      <c r="H25" s="78"/>
      <c r="I25" s="81"/>
      <c r="J25" s="82" t="str">
        <f t="shared" si="0"/>
        <v>-</v>
      </c>
      <c r="K25" s="86"/>
      <c r="L25" s="82" t="str">
        <f t="shared" si="1"/>
        <v>-</v>
      </c>
      <c r="M25" s="20"/>
      <c r="N25" s="20"/>
    </row>
    <row r="26" spans="1:14">
      <c r="A26" s="32">
        <v>8</v>
      </c>
      <c r="B26" s="78"/>
      <c r="C26" s="78"/>
      <c r="D26" s="79"/>
      <c r="E26" s="80"/>
      <c r="F26" s="79"/>
      <c r="G26" s="33" t="str">
        <f t="shared" si="2"/>
        <v/>
      </c>
      <c r="H26" s="78"/>
      <c r="I26" s="81"/>
      <c r="J26" s="82" t="str">
        <f t="shared" si="0"/>
        <v>-</v>
      </c>
      <c r="K26" s="86"/>
      <c r="L26" s="82" t="str">
        <f t="shared" si="1"/>
        <v>-</v>
      </c>
      <c r="M26" s="20"/>
      <c r="N26" s="20"/>
    </row>
    <row r="27" spans="1:14">
      <c r="A27" s="32">
        <v>9</v>
      </c>
      <c r="B27" s="78"/>
      <c r="C27" s="78"/>
      <c r="D27" s="79"/>
      <c r="E27" s="80"/>
      <c r="F27" s="79"/>
      <c r="G27" s="33" t="str">
        <f t="shared" si="2"/>
        <v/>
      </c>
      <c r="H27" s="78"/>
      <c r="I27" s="81"/>
      <c r="J27" s="82" t="str">
        <f t="shared" si="0"/>
        <v>-</v>
      </c>
      <c r="K27" s="86"/>
      <c r="L27" s="82" t="str">
        <f t="shared" si="1"/>
        <v>-</v>
      </c>
      <c r="M27" s="20"/>
      <c r="N27" s="20"/>
    </row>
    <row r="28" spans="1:14">
      <c r="A28" s="32">
        <v>10</v>
      </c>
      <c r="B28" s="78"/>
      <c r="C28" s="78"/>
      <c r="D28" s="79"/>
      <c r="E28" s="80"/>
      <c r="F28" s="79"/>
      <c r="G28" s="33" t="str">
        <f t="shared" si="2"/>
        <v/>
      </c>
      <c r="H28" s="78"/>
      <c r="I28" s="81"/>
      <c r="J28" s="82" t="str">
        <f t="shared" si="0"/>
        <v>-</v>
      </c>
      <c r="K28" s="86"/>
      <c r="L28" s="82" t="str">
        <f t="shared" si="1"/>
        <v>-</v>
      </c>
      <c r="M28" s="20"/>
      <c r="N28" s="20"/>
    </row>
    <row r="29" spans="1:14">
      <c r="A29" s="34"/>
      <c r="B29" s="35" t="s">
        <v>25</v>
      </c>
      <c r="C29" s="34"/>
      <c r="D29" s="36">
        <f>SUM(D19:D28)</f>
        <v>575000</v>
      </c>
      <c r="E29" s="36"/>
      <c r="F29" s="36">
        <f>SUM(F19:F28)</f>
        <v>0</v>
      </c>
      <c r="G29" s="36">
        <f>SUM(G19:G28)</f>
        <v>575000</v>
      </c>
      <c r="H29" s="34"/>
      <c r="I29" s="34"/>
      <c r="J29" s="34"/>
      <c r="K29" s="87"/>
      <c r="L29" s="34"/>
      <c r="M29" s="20"/>
      <c r="N29" s="20"/>
    </row>
    <row r="30" spans="1:1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84"/>
      <c r="L30" s="20"/>
      <c r="M30" s="20"/>
      <c r="N30" s="20"/>
    </row>
    <row r="31" spans="1:14" ht="15.75">
      <c r="A31" s="22" t="s">
        <v>140</v>
      </c>
      <c r="B31" s="20"/>
      <c r="C31" s="20"/>
      <c r="D31" s="20"/>
      <c r="E31" s="20"/>
      <c r="F31" s="20"/>
      <c r="G31" s="20"/>
      <c r="H31" s="20"/>
      <c r="I31" s="20"/>
      <c r="J31" s="20"/>
      <c r="K31" s="84"/>
      <c r="L31" s="20"/>
      <c r="M31" s="20"/>
      <c r="N31" s="20"/>
    </row>
    <row r="32" spans="1:14">
      <c r="A32" s="27" t="s">
        <v>26</v>
      </c>
      <c r="B32" s="76">
        <v>0.24</v>
      </c>
      <c r="C32" s="20"/>
      <c r="D32" s="21" t="s">
        <v>27</v>
      </c>
      <c r="E32" s="21"/>
      <c r="F32" s="20"/>
      <c r="G32" s="20"/>
      <c r="H32" s="20"/>
      <c r="I32" s="20"/>
      <c r="J32" s="20"/>
      <c r="K32" s="84"/>
      <c r="L32" s="20"/>
      <c r="M32" s="20"/>
      <c r="N32" s="20"/>
    </row>
    <row r="33" spans="1:14">
      <c r="A33" s="27" t="s">
        <v>124</v>
      </c>
      <c r="B33" s="76">
        <v>0.05</v>
      </c>
      <c r="C33" s="20"/>
      <c r="D33" s="21" t="s">
        <v>28</v>
      </c>
      <c r="E33" s="21"/>
      <c r="F33" s="20"/>
      <c r="G33" s="20"/>
      <c r="H33" s="20"/>
      <c r="I33" s="20"/>
      <c r="J33" s="20"/>
      <c r="K33" s="84"/>
      <c r="L33" s="20"/>
      <c r="M33" s="20"/>
      <c r="N33" s="20"/>
    </row>
    <row r="34" spans="1:14">
      <c r="A34" s="27" t="s">
        <v>29</v>
      </c>
      <c r="B34" s="77">
        <v>2026</v>
      </c>
      <c r="C34" s="20"/>
      <c r="D34" s="21" t="s">
        <v>30</v>
      </c>
      <c r="E34" s="21"/>
      <c r="F34" s="20"/>
      <c r="G34" s="20"/>
      <c r="H34" s="20"/>
      <c r="I34" s="20"/>
      <c r="J34" s="20"/>
      <c r="K34" s="84"/>
      <c r="L34" s="20"/>
      <c r="M34" s="20"/>
      <c r="N34" s="20"/>
    </row>
    <row r="35" spans="1:1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84"/>
      <c r="L35" s="20"/>
      <c r="M35" s="20"/>
      <c r="N35" s="20"/>
    </row>
    <row r="36" spans="1:14">
      <c r="A36" s="37" t="s">
        <v>31</v>
      </c>
      <c r="B36" s="20"/>
      <c r="C36" s="20"/>
      <c r="D36" s="20"/>
      <c r="E36" s="20"/>
      <c r="F36" s="20"/>
      <c r="G36" s="20"/>
      <c r="H36" s="20"/>
      <c r="I36" s="20"/>
      <c r="J36" s="20"/>
      <c r="K36" s="84"/>
      <c r="L36" s="20"/>
      <c r="M36" s="20"/>
      <c r="N36" s="20"/>
    </row>
    <row r="37" spans="1:14">
      <c r="A37" s="37" t="s">
        <v>32</v>
      </c>
      <c r="B37" s="20"/>
      <c r="C37" s="20"/>
      <c r="D37" s="20"/>
      <c r="E37" s="20"/>
      <c r="F37" s="20"/>
      <c r="G37" s="20"/>
      <c r="H37" s="20"/>
      <c r="I37" s="20"/>
      <c r="J37" s="20"/>
      <c r="K37" s="84"/>
      <c r="L37" s="20"/>
      <c r="M37" s="20"/>
      <c r="N37" s="20"/>
    </row>
    <row r="38" spans="1:14">
      <c r="A38" s="21" t="s">
        <v>33</v>
      </c>
      <c r="B38" s="20"/>
      <c r="C38" s="20"/>
      <c r="D38" s="20"/>
      <c r="E38" s="20"/>
      <c r="F38" s="20"/>
      <c r="G38" s="20"/>
      <c r="H38" s="20"/>
      <c r="I38" s="20"/>
      <c r="J38" s="20"/>
      <c r="K38" s="84"/>
      <c r="L38" s="20"/>
      <c r="M38" s="20"/>
      <c r="N38" s="20"/>
    </row>
    <row r="39" spans="1:1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84"/>
      <c r="L39" s="20"/>
      <c r="M39" s="20"/>
      <c r="N39" s="20"/>
    </row>
    <row r="40" spans="1:14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84"/>
      <c r="L40" s="20"/>
      <c r="M40" s="20"/>
      <c r="N40" s="20"/>
    </row>
    <row r="41" spans="1:14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84"/>
      <c r="L41" s="20"/>
      <c r="M41" s="20"/>
      <c r="N41" s="20"/>
    </row>
    <row r="42" spans="1:1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84"/>
      <c r="L42" s="20"/>
      <c r="M42" s="20"/>
      <c r="N42" s="20"/>
    </row>
    <row r="43" spans="1:1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84"/>
      <c r="L43" s="20"/>
      <c r="M43" s="20"/>
      <c r="N43" s="20"/>
    </row>
    <row r="44" spans="1:1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84"/>
      <c r="L44" s="20"/>
      <c r="M44" s="20"/>
      <c r="N44" s="20"/>
    </row>
    <row r="45" spans="1:1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84"/>
      <c r="L45" s="20"/>
      <c r="M45" s="20"/>
      <c r="N45" s="20"/>
    </row>
    <row r="46" spans="1:1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84"/>
      <c r="L46" s="20"/>
      <c r="M46" s="20"/>
      <c r="N46" s="20"/>
    </row>
    <row r="47" spans="1:14" s="20" customFormat="1"/>
    <row r="48" spans="1:14">
      <c r="A48" s="20"/>
      <c r="B48" s="89"/>
      <c r="C48" s="90"/>
      <c r="D48" s="90"/>
      <c r="E48" s="91"/>
      <c r="F48" s="92"/>
      <c r="G48" s="90"/>
      <c r="H48" s="90"/>
      <c r="I48" s="93"/>
      <c r="J48" s="90"/>
      <c r="K48" s="84"/>
      <c r="L48" s="20"/>
      <c r="M48" s="20"/>
      <c r="N48" s="20"/>
    </row>
    <row r="49" spans="1:14">
      <c r="A49" s="20"/>
      <c r="B49" s="89"/>
      <c r="C49" s="90"/>
      <c r="D49" s="90"/>
      <c r="E49" s="91"/>
      <c r="F49" s="92"/>
      <c r="G49" s="94"/>
      <c r="H49" s="90"/>
      <c r="I49" s="93"/>
      <c r="J49" s="90"/>
      <c r="K49" s="84"/>
      <c r="L49" s="20"/>
      <c r="M49" s="20"/>
      <c r="N49" s="20"/>
    </row>
    <row r="50" spans="1:14">
      <c r="A50" s="20"/>
      <c r="B50" s="89"/>
      <c r="C50" s="90"/>
      <c r="D50" s="90"/>
      <c r="E50" s="91"/>
      <c r="F50" s="92"/>
      <c r="G50" s="94"/>
      <c r="H50" s="90"/>
      <c r="I50" s="93"/>
      <c r="J50" s="90"/>
      <c r="K50" s="84"/>
      <c r="L50" s="20"/>
      <c r="M50" s="20"/>
      <c r="N50" s="20"/>
    </row>
    <row r="51" spans="1:14">
      <c r="A51" s="20"/>
      <c r="B51" s="89"/>
      <c r="C51" s="90"/>
      <c r="D51" s="90"/>
      <c r="E51" s="91"/>
      <c r="F51" s="92"/>
      <c r="G51" s="90"/>
      <c r="H51" s="90"/>
      <c r="I51" s="93"/>
      <c r="J51" s="90"/>
      <c r="K51" s="84"/>
      <c r="L51" s="20"/>
      <c r="M51" s="20"/>
      <c r="N51" s="20"/>
    </row>
    <row r="52" spans="1:14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84"/>
      <c r="L52" s="20"/>
      <c r="M52" s="20"/>
      <c r="N52" s="20"/>
    </row>
    <row r="53" spans="1:14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84"/>
      <c r="L53" s="20"/>
      <c r="M53" s="20"/>
      <c r="N53" s="20"/>
    </row>
    <row r="54" spans="1:1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84"/>
      <c r="L54" s="20"/>
      <c r="M54" s="20"/>
      <c r="N54" s="20"/>
    </row>
    <row r="55" spans="1:14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84"/>
      <c r="L55" s="20"/>
      <c r="M55" s="20"/>
      <c r="N55" s="20"/>
    </row>
    <row r="56" spans="1:14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84"/>
      <c r="L56" s="20"/>
      <c r="M56" s="20"/>
      <c r="N56" s="20"/>
    </row>
    <row r="57" spans="1:14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84"/>
      <c r="L57" s="20"/>
      <c r="M57" s="20"/>
      <c r="N57" s="20"/>
    </row>
    <row r="58" spans="1:14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84"/>
      <c r="L58" s="20"/>
      <c r="M58" s="20"/>
      <c r="N58" s="20"/>
    </row>
    <row r="59" spans="1:14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84"/>
      <c r="L59" s="20"/>
      <c r="M59" s="20"/>
      <c r="N59" s="20"/>
    </row>
    <row r="60" spans="1:1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84"/>
      <c r="L60" s="20"/>
      <c r="M60" s="20"/>
      <c r="N60" s="20"/>
    </row>
    <row r="61" spans="1:14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88"/>
      <c r="L61" s="19"/>
    </row>
    <row r="62" spans="1:14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88"/>
      <c r="L62" s="19"/>
    </row>
    <row r="63" spans="1:1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88"/>
      <c r="L63" s="19"/>
    </row>
    <row r="64" spans="1:1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88"/>
      <c r="L64" s="19"/>
    </row>
    <row r="65" spans="1:1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88"/>
      <c r="L65" s="19"/>
    </row>
    <row r="66" spans="1:1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88"/>
      <c r="L66" s="19"/>
    </row>
    <row r="67" spans="1:1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88"/>
      <c r="L67" s="19"/>
    </row>
    <row r="68" spans="1:1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88"/>
      <c r="L68" s="19"/>
    </row>
    <row r="69" spans="1:1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88"/>
      <c r="L69" s="19"/>
    </row>
    <row r="70" spans="1:1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88"/>
      <c r="L70" s="19"/>
    </row>
    <row r="71" spans="1:1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88"/>
      <c r="L71" s="19"/>
    </row>
    <row r="72" spans="1:1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88"/>
      <c r="L72" s="19"/>
    </row>
    <row r="73" spans="1:1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88"/>
      <c r="L73" s="19"/>
    </row>
    <row r="74" spans="1:1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88"/>
      <c r="L74" s="19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88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88"/>
      <c r="L76" s="19"/>
    </row>
    <row r="77" spans="1:1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88"/>
      <c r="L77" s="19"/>
    </row>
    <row r="78" spans="1:1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88"/>
      <c r="L78" s="19"/>
    </row>
    <row r="79" spans="1:1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88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88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88"/>
      <c r="L81" s="19"/>
    </row>
    <row r="82" spans="1:1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88"/>
      <c r="L82" s="19"/>
    </row>
    <row r="83" spans="1:1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88"/>
      <c r="L83" s="19"/>
    </row>
    <row r="84" spans="1:1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88"/>
      <c r="L84" s="19"/>
    </row>
    <row r="85" spans="1:1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88"/>
      <c r="L85" s="19"/>
    </row>
    <row r="86" spans="1:1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88"/>
      <c r="L86" s="19"/>
    </row>
    <row r="87" spans="1:1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88"/>
      <c r="L87" s="19"/>
    </row>
    <row r="88" spans="1:1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88"/>
      <c r="L88" s="19"/>
    </row>
    <row r="89" spans="1:1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88"/>
      <c r="L89" s="19"/>
    </row>
    <row r="90" spans="1:1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88"/>
      <c r="L90" s="19"/>
    </row>
    <row r="91" spans="1:1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88"/>
      <c r="L91" s="19"/>
    </row>
    <row r="92" spans="1:1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88"/>
      <c r="L92" s="19"/>
    </row>
    <row r="93" spans="1:1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88"/>
      <c r="L93" s="19"/>
    </row>
    <row r="94" spans="1:1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88"/>
      <c r="L94" s="19"/>
    </row>
    <row r="95" spans="1:1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88"/>
      <c r="L95" s="19"/>
    </row>
    <row r="96" spans="1:1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88"/>
      <c r="L96" s="19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88"/>
      <c r="L97" s="19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88"/>
      <c r="L98" s="19"/>
    </row>
    <row r="99" spans="1:1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88"/>
      <c r="L99" s="19"/>
    </row>
    <row r="100" spans="1:1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88"/>
      <c r="L100" s="19"/>
    </row>
    <row r="101" spans="1:1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88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88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88"/>
      <c r="L103" s="19"/>
    </row>
    <row r="104" spans="1:1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88"/>
      <c r="L104" s="19"/>
    </row>
    <row r="105" spans="1:1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88"/>
      <c r="L105" s="19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88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88"/>
      <c r="L107" s="19"/>
    </row>
    <row r="108" spans="1:1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88"/>
      <c r="L108" s="19"/>
    </row>
    <row r="109" spans="1:1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88"/>
      <c r="L109" s="19"/>
    </row>
    <row r="110" spans="1:1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88"/>
      <c r="L110" s="19"/>
    </row>
    <row r="111" spans="1:1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88"/>
      <c r="L111" s="19"/>
    </row>
    <row r="112" spans="1: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88"/>
      <c r="L112" s="19"/>
    </row>
    <row r="113" spans="1:1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88"/>
      <c r="L113" s="19"/>
    </row>
    <row r="114" spans="1:1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88"/>
      <c r="L114" s="19"/>
    </row>
    <row r="115" spans="1:1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88"/>
      <c r="L115" s="19"/>
    </row>
    <row r="116" spans="1:1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88"/>
      <c r="L116" s="19"/>
    </row>
    <row r="117" spans="1:1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88"/>
      <c r="L117" s="19"/>
    </row>
    <row r="118" spans="1:1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88"/>
      <c r="L118" s="19"/>
    </row>
    <row r="119" spans="1:1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88"/>
      <c r="L119" s="19"/>
    </row>
    <row r="120" spans="1:1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88"/>
      <c r="L120" s="19"/>
    </row>
    <row r="121" spans="1:1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88"/>
      <c r="L121" s="19"/>
    </row>
    <row r="122" spans="1:1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88"/>
      <c r="L122" s="19"/>
    </row>
    <row r="123" spans="1:1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88"/>
      <c r="L123" s="19"/>
    </row>
    <row r="124" spans="1:1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88"/>
      <c r="L124" s="19"/>
    </row>
    <row r="125" spans="1:1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88"/>
      <c r="L125" s="19"/>
    </row>
    <row r="126" spans="1:1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88"/>
      <c r="L126" s="19"/>
    </row>
    <row r="127" spans="1:1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88"/>
      <c r="L127" s="19"/>
    </row>
    <row r="128" spans="1:1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88"/>
      <c r="L128" s="19"/>
    </row>
    <row r="129" spans="1:1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88"/>
      <c r="L129" s="19"/>
    </row>
    <row r="130" spans="1:1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88"/>
      <c r="L130" s="19"/>
    </row>
    <row r="131" spans="1:1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88"/>
      <c r="L131" s="19"/>
    </row>
    <row r="132" spans="1:1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88"/>
      <c r="L132" s="19"/>
    </row>
    <row r="133" spans="1:1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88"/>
      <c r="L133" s="19"/>
    </row>
    <row r="134" spans="1:1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88"/>
      <c r="L134" s="19"/>
    </row>
    <row r="135" spans="1:1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88"/>
      <c r="L135" s="19"/>
    </row>
    <row r="136" spans="1:1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88"/>
      <c r="L136" s="19"/>
    </row>
    <row r="137" spans="1:1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88"/>
      <c r="L137" s="19"/>
    </row>
    <row r="138" spans="1:1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88"/>
      <c r="L138" s="19"/>
    </row>
    <row r="139" spans="1:1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88"/>
      <c r="L139" s="19"/>
    </row>
    <row r="140" spans="1:1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88"/>
      <c r="L140" s="19"/>
    </row>
    <row r="141" spans="1:1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88"/>
      <c r="L141" s="19"/>
    </row>
    <row r="142" spans="1:1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88"/>
      <c r="L142" s="19"/>
    </row>
    <row r="143" spans="1:1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88"/>
      <c r="L143" s="19"/>
    </row>
    <row r="144" spans="1:1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88"/>
      <c r="L144" s="19"/>
    </row>
    <row r="145" spans="1:1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88"/>
      <c r="L145" s="19"/>
    </row>
    <row r="146" spans="1:1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88"/>
      <c r="L146" s="19"/>
    </row>
    <row r="147" spans="1:1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88"/>
      <c r="L147" s="19"/>
    </row>
    <row r="148" spans="1:1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88"/>
      <c r="L148" s="19"/>
    </row>
    <row r="149" spans="1:1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88"/>
      <c r="L149" s="19"/>
    </row>
    <row r="150" spans="1:1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88"/>
      <c r="L150" s="19"/>
    </row>
    <row r="151" spans="1:1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88"/>
      <c r="L151" s="19"/>
    </row>
    <row r="152" spans="1:1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88"/>
      <c r="L152" s="19"/>
    </row>
    <row r="153" spans="1:1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88"/>
      <c r="L153" s="19"/>
    </row>
    <row r="154" spans="1:1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88"/>
      <c r="L154" s="19"/>
    </row>
    <row r="155" spans="1:1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88"/>
      <c r="L155" s="19"/>
    </row>
    <row r="156" spans="1:1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88"/>
      <c r="L156" s="19"/>
    </row>
    <row r="157" spans="1:1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88"/>
      <c r="L157" s="19"/>
    </row>
    <row r="158" spans="1:1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88"/>
      <c r="L158" s="19"/>
    </row>
    <row r="159" spans="1:1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88"/>
      <c r="L159" s="19"/>
    </row>
    <row r="160" spans="1:1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88"/>
      <c r="L160" s="19"/>
    </row>
    <row r="161" spans="1:1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88"/>
      <c r="L161" s="19"/>
    </row>
    <row r="162" spans="1:1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88"/>
      <c r="L162" s="19"/>
    </row>
    <row r="163" spans="1:1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88"/>
      <c r="L163" s="19"/>
    </row>
    <row r="164" spans="1:1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88"/>
      <c r="L164" s="19"/>
    </row>
    <row r="165" spans="1:1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88"/>
      <c r="L165" s="19"/>
    </row>
    <row r="166" spans="1:1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88"/>
      <c r="L166" s="19"/>
    </row>
    <row r="167" spans="1:1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88"/>
      <c r="L167" s="19"/>
    </row>
    <row r="168" spans="1:1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88"/>
      <c r="L168" s="19"/>
    </row>
    <row r="169" spans="1:1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88"/>
      <c r="L169" s="19"/>
    </row>
    <row r="170" spans="1:1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88"/>
      <c r="L170" s="19"/>
    </row>
    <row r="171" spans="1:1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88"/>
      <c r="L171" s="19"/>
    </row>
    <row r="172" spans="1:1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88"/>
      <c r="L172" s="19"/>
    </row>
    <row r="173" spans="1:1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88"/>
      <c r="L173" s="19"/>
    </row>
    <row r="174" spans="1:1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88"/>
      <c r="L174" s="19"/>
    </row>
    <row r="175" spans="1:1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88"/>
      <c r="L175" s="19"/>
    </row>
    <row r="176" spans="1:1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88"/>
      <c r="L176" s="19"/>
    </row>
    <row r="177" spans="1:1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88"/>
      <c r="L177" s="19"/>
    </row>
    <row r="178" spans="1:1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88"/>
      <c r="L178" s="19"/>
    </row>
    <row r="179" spans="1:1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88"/>
      <c r="L179" s="19"/>
    </row>
    <row r="180" spans="1:1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88"/>
      <c r="L180" s="19"/>
    </row>
    <row r="181" spans="1:1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88"/>
      <c r="L181" s="19"/>
    </row>
    <row r="182" spans="1:1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88"/>
      <c r="L182" s="19"/>
    </row>
    <row r="183" spans="1:1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88"/>
      <c r="L183" s="19"/>
    </row>
    <row r="184" spans="1:1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88"/>
      <c r="L184" s="19"/>
    </row>
    <row r="185" spans="1:1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88"/>
      <c r="L185" s="19"/>
    </row>
    <row r="186" spans="1:1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88"/>
      <c r="L186" s="19"/>
    </row>
    <row r="187" spans="1:1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88"/>
      <c r="L187" s="19"/>
    </row>
    <row r="188" spans="1:1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88"/>
      <c r="L188" s="19"/>
    </row>
    <row r="189" spans="1:1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88"/>
      <c r="L189" s="19"/>
    </row>
    <row r="190" spans="1:1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88"/>
      <c r="L190" s="19"/>
    </row>
    <row r="191" spans="1:1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88"/>
      <c r="L191" s="19"/>
    </row>
    <row r="192" spans="1:1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88"/>
      <c r="L192" s="19"/>
    </row>
    <row r="193" spans="1:1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88"/>
      <c r="L193" s="19"/>
    </row>
    <row r="194" spans="1:1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88"/>
      <c r="L194" s="19"/>
    </row>
    <row r="195" spans="1:1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88"/>
      <c r="L195" s="19"/>
    </row>
    <row r="196" spans="1:1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88"/>
      <c r="L196" s="19"/>
    </row>
    <row r="197" spans="1:1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88"/>
      <c r="L197" s="19"/>
    </row>
    <row r="198" spans="1:1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88"/>
      <c r="L198" s="19"/>
    </row>
    <row r="199" spans="1:1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88"/>
      <c r="L199" s="19"/>
    </row>
    <row r="200" spans="1:1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88"/>
      <c r="L200" s="19"/>
    </row>
    <row r="201" spans="1:1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88"/>
      <c r="L201" s="19"/>
    </row>
    <row r="202" spans="1:1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88"/>
      <c r="L202" s="19"/>
    </row>
    <row r="203" spans="1:1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88"/>
      <c r="L203" s="19"/>
    </row>
    <row r="204" spans="1:1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88"/>
      <c r="L204" s="19"/>
    </row>
    <row r="205" spans="1:1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88"/>
      <c r="L205" s="19"/>
    </row>
    <row r="206" spans="1:1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88"/>
      <c r="L206" s="19"/>
    </row>
    <row r="207" spans="1:1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88"/>
      <c r="L207" s="19"/>
    </row>
    <row r="208" spans="1:1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88"/>
      <c r="L208" s="19"/>
    </row>
    <row r="209" spans="1:1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88"/>
      <c r="L209" s="19"/>
    </row>
    <row r="210" spans="1:1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88"/>
      <c r="L210" s="19"/>
    </row>
    <row r="211" spans="1:1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88"/>
      <c r="L211" s="19"/>
    </row>
    <row r="212" spans="1: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88"/>
      <c r="L212" s="19"/>
    </row>
    <row r="213" spans="1:1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88"/>
      <c r="L213" s="19"/>
    </row>
    <row r="214" spans="1:1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88"/>
      <c r="L214" s="19"/>
    </row>
    <row r="215" spans="1:1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88"/>
      <c r="L215" s="19"/>
    </row>
    <row r="216" spans="1:1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88"/>
      <c r="L216" s="19"/>
    </row>
    <row r="217" spans="1:1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88"/>
      <c r="L217" s="19"/>
    </row>
    <row r="218" spans="1:1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88"/>
      <c r="L218" s="19"/>
    </row>
    <row r="219" spans="1:1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88"/>
      <c r="L219" s="19"/>
    </row>
    <row r="220" spans="1:1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88"/>
      <c r="L220" s="19"/>
    </row>
    <row r="221" spans="1:1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88"/>
      <c r="L221" s="19"/>
    </row>
    <row r="222" spans="1:1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88"/>
      <c r="L222" s="19"/>
    </row>
    <row r="223" spans="1:1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88"/>
      <c r="L223" s="19"/>
    </row>
    <row r="224" spans="1:1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88"/>
      <c r="L224" s="19"/>
    </row>
    <row r="225" spans="1:1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88"/>
      <c r="L225" s="19"/>
    </row>
    <row r="226" spans="1:1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88"/>
      <c r="L226" s="19"/>
    </row>
    <row r="227" spans="1:1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88"/>
      <c r="L227" s="19"/>
    </row>
    <row r="228" spans="1:1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88"/>
      <c r="L228" s="19"/>
    </row>
    <row r="229" spans="1:1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88"/>
      <c r="L229" s="19"/>
    </row>
    <row r="230" spans="1:1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88"/>
      <c r="L230" s="19"/>
    </row>
  </sheetData>
  <sheetProtection algorithmName="SHA-512" hashValue="fpRrmDiQSWGDOaqy9PiLjIna26TZnEbZl7JeDyKjVxgjKiw8hHPX7a4/yxtiBZiquENwsc6+DbNZkUwpk3bXbw==" saltValue="ggwHQBNw4kXS5bZnYQNKIw==" spinCount="100000" sheet="1" objects="1" scenarios="1" formatCells="0" formatColumns="0" formatRows="0"/>
  <conditionalFormatting sqref="C15">
    <cfRule type="containsText" dxfId="2" priority="3" operator="containsText" text="ANOMALIE">
      <formula>NOT(ISERROR(SEARCH("ANOMALIE",C15)))</formula>
    </cfRule>
    <cfRule type="containsText" priority="4" operator="containsText" text="Text">
      <formula>NOT(ISERROR(SEARCH("Text",C15)))</formula>
    </cfRule>
  </conditionalFormatting>
  <conditionalFormatting sqref="E10:E13">
    <cfRule type="containsText" dxfId="1" priority="1" operator="containsText" text="✗">
      <formula>NOT(ISERROR(SEARCH("✗",E10)))</formula>
    </cfRule>
    <cfRule type="containsText" priority="2" operator="containsText" text="Text">
      <formula>NOT(ISERROR(SEARCH("Text",E10)))</formula>
    </cfRule>
  </conditionalFormatting>
  <dataValidations count="2">
    <dataValidation type="list" allowBlank="1" showInputMessage="1" showErrorMessage="1" errorTitle="Categoria non valida" error="Selezionare una categoria dal menu a tendina." sqref="C19:C28" xr:uid="{F16A79C2-465D-4479-9FE7-E95A1D851798}">
      <formula1>"Beni materiali 4.0 - All. IV,Beni immateriali 4.0 - All. V,Impianti energie rinnovabili"</formula1>
    </dataValidation>
    <dataValidation type="list" allowBlank="1" showInputMessage="1" showErrorMessage="1" sqref="H19:H28 B10:B13" xr:uid="{91D4D3B4-36BD-4C07-8EC0-C8302EDF5FE5}">
      <formula1>"SI,NO"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1118-70CE-4531-ACE6-E7929BCCDB97}">
  <sheetPr codeName="Foglio5">
    <tabColor rgb="FF7030A0"/>
  </sheetPr>
  <dimension ref="A1:N33"/>
  <sheetViews>
    <sheetView showGridLines="0" zoomScale="85" zoomScaleNormal="85" workbookViewId="0">
      <selection sqref="A1:N31"/>
    </sheetView>
  </sheetViews>
  <sheetFormatPr defaultRowHeight="15"/>
  <cols>
    <col min="1" max="1" width="42.85546875" customWidth="1"/>
    <col min="2" max="2" width="81.85546875" customWidth="1"/>
    <col min="3" max="13" width="14.5703125" customWidth="1"/>
    <col min="14" max="14" width="25.140625" customWidth="1"/>
  </cols>
  <sheetData>
    <row r="1" spans="1:14" ht="20.25">
      <c r="A1" s="18" t="s">
        <v>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21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5.75">
      <c r="A4" s="22" t="s">
        <v>93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>
      <c r="A5" s="23" t="s">
        <v>18</v>
      </c>
      <c r="B5" s="24" t="s">
        <v>94</v>
      </c>
      <c r="C5" s="23" t="s">
        <v>95</v>
      </c>
      <c r="D5" s="23" t="s">
        <v>128</v>
      </c>
      <c r="E5" s="23" t="s">
        <v>129</v>
      </c>
      <c r="F5" s="23" t="s">
        <v>130</v>
      </c>
      <c r="G5" s="23" t="s">
        <v>131</v>
      </c>
      <c r="H5" s="23" t="s">
        <v>132</v>
      </c>
      <c r="I5" s="23" t="s">
        <v>133</v>
      </c>
      <c r="J5" s="23" t="s">
        <v>134</v>
      </c>
      <c r="K5" s="23" t="s">
        <v>135</v>
      </c>
      <c r="L5" s="23" t="s">
        <v>136</v>
      </c>
      <c r="M5" s="23" t="s">
        <v>137</v>
      </c>
      <c r="N5" s="24" t="s">
        <v>96</v>
      </c>
    </row>
    <row r="6" spans="1:14">
      <c r="A6" s="25">
        <v>1</v>
      </c>
      <c r="B6" s="20" t="s">
        <v>97</v>
      </c>
      <c r="C6" s="26"/>
      <c r="D6" s="74" t="s">
        <v>147</v>
      </c>
      <c r="E6" s="74" t="s">
        <v>147</v>
      </c>
      <c r="F6" s="74"/>
      <c r="G6" s="74"/>
      <c r="H6" s="74"/>
      <c r="I6" s="74"/>
      <c r="J6" s="74"/>
      <c r="K6" s="74"/>
      <c r="L6" s="74"/>
      <c r="M6" s="74"/>
      <c r="N6" s="73" t="s">
        <v>148</v>
      </c>
    </row>
    <row r="7" spans="1:14">
      <c r="A7" s="25">
        <v>2</v>
      </c>
      <c r="B7" s="20" t="s">
        <v>98</v>
      </c>
      <c r="C7" s="26"/>
      <c r="D7" s="74" t="s">
        <v>147</v>
      </c>
      <c r="E7" s="74" t="s">
        <v>146</v>
      </c>
      <c r="F7" s="74"/>
      <c r="G7" s="74"/>
      <c r="H7" s="74"/>
      <c r="I7" s="74"/>
      <c r="J7" s="74"/>
      <c r="K7" s="74"/>
      <c r="L7" s="74"/>
      <c r="M7" s="74"/>
      <c r="N7" s="73" t="s">
        <v>149</v>
      </c>
    </row>
    <row r="8" spans="1:14">
      <c r="A8" s="25">
        <v>3</v>
      </c>
      <c r="B8" s="20" t="s">
        <v>99</v>
      </c>
      <c r="C8" s="26"/>
      <c r="D8" s="74" t="s">
        <v>147</v>
      </c>
      <c r="E8" s="74" t="s">
        <v>147</v>
      </c>
      <c r="F8" s="74"/>
      <c r="G8" s="74"/>
      <c r="H8" s="74"/>
      <c r="I8" s="74"/>
      <c r="J8" s="74"/>
      <c r="K8" s="74"/>
      <c r="L8" s="74"/>
      <c r="M8" s="74"/>
      <c r="N8" s="73" t="s">
        <v>150</v>
      </c>
    </row>
    <row r="9" spans="1:14">
      <c r="A9" s="25">
        <v>4</v>
      </c>
      <c r="B9" s="20" t="s">
        <v>100</v>
      </c>
      <c r="C9" s="26"/>
      <c r="D9" s="74" t="s">
        <v>147</v>
      </c>
      <c r="E9" s="74" t="s">
        <v>147</v>
      </c>
      <c r="F9" s="74"/>
      <c r="G9" s="74"/>
      <c r="H9" s="74"/>
      <c r="I9" s="74"/>
      <c r="J9" s="74"/>
      <c r="K9" s="74"/>
      <c r="L9" s="74"/>
      <c r="M9" s="74"/>
      <c r="N9" s="73" t="s">
        <v>151</v>
      </c>
    </row>
    <row r="10" spans="1:14">
      <c r="A10" s="25">
        <v>5</v>
      </c>
      <c r="B10" s="20" t="s">
        <v>101</v>
      </c>
      <c r="C10" s="26"/>
      <c r="D10" s="74" t="s">
        <v>147</v>
      </c>
      <c r="E10" s="74" t="s">
        <v>147</v>
      </c>
      <c r="F10" s="74"/>
      <c r="G10" s="74"/>
      <c r="H10" s="74"/>
      <c r="I10" s="74"/>
      <c r="J10" s="74"/>
      <c r="K10" s="74"/>
      <c r="L10" s="74"/>
      <c r="M10" s="74"/>
      <c r="N10" s="73" t="s">
        <v>152</v>
      </c>
    </row>
    <row r="11" spans="1:14">
      <c r="A11" s="25">
        <v>6</v>
      </c>
      <c r="B11" s="20" t="s">
        <v>102</v>
      </c>
      <c r="C11" s="26"/>
      <c r="D11" s="74" t="s">
        <v>147</v>
      </c>
      <c r="E11" s="74" t="s">
        <v>147</v>
      </c>
      <c r="F11" s="74"/>
      <c r="G11" s="74"/>
      <c r="H11" s="74"/>
      <c r="I11" s="74"/>
      <c r="J11" s="74"/>
      <c r="K11" s="74"/>
      <c r="L11" s="74"/>
      <c r="M11" s="74"/>
      <c r="N11" s="73" t="s">
        <v>153</v>
      </c>
    </row>
    <row r="12" spans="1:14">
      <c r="A12" s="25">
        <v>7</v>
      </c>
      <c r="B12" s="20" t="s">
        <v>103</v>
      </c>
      <c r="C12" s="26"/>
      <c r="D12" s="74" t="s">
        <v>147</v>
      </c>
      <c r="E12" s="74" t="s">
        <v>147</v>
      </c>
      <c r="F12" s="74"/>
      <c r="G12" s="74"/>
      <c r="H12" s="74"/>
      <c r="I12" s="74"/>
      <c r="J12" s="74"/>
      <c r="K12" s="74"/>
      <c r="L12" s="74"/>
      <c r="M12" s="74"/>
      <c r="N12" s="73" t="s">
        <v>154</v>
      </c>
    </row>
    <row r="13" spans="1:14">
      <c r="A13" s="25">
        <v>8</v>
      </c>
      <c r="B13" s="20" t="s">
        <v>104</v>
      </c>
      <c r="C13" s="26"/>
      <c r="D13" s="74" t="s">
        <v>146</v>
      </c>
      <c r="E13" s="74" t="s">
        <v>146</v>
      </c>
      <c r="F13" s="74"/>
      <c r="G13" s="74"/>
      <c r="H13" s="74"/>
      <c r="I13" s="74"/>
      <c r="J13" s="74"/>
      <c r="K13" s="74"/>
      <c r="L13" s="74"/>
      <c r="M13" s="74"/>
      <c r="N13" s="73" t="s">
        <v>155</v>
      </c>
    </row>
    <row r="14" spans="1:14">
      <c r="A14" s="25">
        <v>9</v>
      </c>
      <c r="B14" s="20" t="s">
        <v>105</v>
      </c>
      <c r="C14" s="20"/>
      <c r="D14" s="74" t="s">
        <v>146</v>
      </c>
      <c r="E14" s="74" t="s">
        <v>146</v>
      </c>
      <c r="F14" s="74"/>
      <c r="G14" s="74"/>
      <c r="H14" s="74"/>
      <c r="I14" s="74"/>
      <c r="J14" s="74"/>
      <c r="K14" s="74"/>
      <c r="L14" s="74"/>
      <c r="M14" s="74"/>
      <c r="N14" s="73" t="s">
        <v>156</v>
      </c>
    </row>
    <row r="15" spans="1:14">
      <c r="A15" s="25">
        <v>10</v>
      </c>
      <c r="B15" s="20" t="s">
        <v>106</v>
      </c>
      <c r="C15" s="74" t="s">
        <v>147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73" t="s">
        <v>157</v>
      </c>
    </row>
    <row r="16" spans="1:14">
      <c r="A16" s="25">
        <v>11</v>
      </c>
      <c r="B16" s="20" t="s">
        <v>107</v>
      </c>
      <c r="C16" s="74" t="s">
        <v>147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73" t="s">
        <v>158</v>
      </c>
    </row>
    <row r="17" spans="1:14" ht="30">
      <c r="A17" s="25">
        <v>12</v>
      </c>
      <c r="B17" s="20" t="s">
        <v>108</v>
      </c>
      <c r="C17" s="74" t="s">
        <v>147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97" t="s">
        <v>159</v>
      </c>
    </row>
    <row r="18" spans="1:1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>
      <c r="A19" s="27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0"/>
    </row>
    <row r="20" spans="1:14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ht="15.75">
      <c r="A21" s="28" t="s">
        <v>109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>
      <c r="A22" s="29" t="s">
        <v>110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>
      <c r="A23" s="29" t="s">
        <v>111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>
      <c r="A24" s="29" t="s">
        <v>112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>
      <c r="A25" s="29" t="s">
        <v>113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>
      <c r="A26" s="29" t="s">
        <v>114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>
      <c r="A27" s="29" t="s">
        <v>115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>
      <c r="A28" s="29" t="s">
        <v>116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>
      <c r="A29" s="29" t="s">
        <v>117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>
      <c r="A30" s="29" t="s">
        <v>118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>
      <c r="A31" s="29" t="s">
        <v>119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</sheetData>
  <sheetProtection formatCells="0" formatColumns="0" formatRows="0"/>
  <phoneticPr fontId="8" type="noConversion"/>
  <conditionalFormatting sqref="D6:M14 C15:C17">
    <cfRule type="containsText" dxfId="0" priority="1" operator="containsText" text="N/A">
      <formula>NOT(ISERROR(SEARCH("N/A",C6)))</formula>
    </cfRule>
    <cfRule type="containsText" priority="2" operator="containsText" text="Text">
      <formula>NOT(ISERROR(SEARCH("Text",C6)))</formula>
    </cfRule>
  </conditionalFormatting>
  <dataValidations count="1">
    <dataValidation type="list" allowBlank="1" showInputMessage="1" showErrorMessage="1" sqref="D6:M14 C15:C17" xr:uid="{EDA8548D-9C53-4147-BB73-A80BC00B19B3}">
      <formula1>"FATTO,DA FARE,N/A"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FC25-0C02-46BF-94E6-C57556E00529}">
  <sheetPr codeName="Foglio2">
    <tabColor rgb="FF0070C0"/>
  </sheetPr>
  <dimension ref="A1:S27"/>
  <sheetViews>
    <sheetView showGridLines="0" topLeftCell="A12" workbookViewId="0">
      <selection sqref="A1:R15"/>
    </sheetView>
  </sheetViews>
  <sheetFormatPr defaultRowHeight="15" outlineLevelCol="1"/>
  <cols>
    <col min="1" max="1" width="5.42578125" customWidth="1"/>
    <col min="2" max="2" width="32.7109375" customWidth="1"/>
    <col min="3" max="3" width="27.28515625" customWidth="1"/>
    <col min="4" max="8" width="20" customWidth="1"/>
    <col min="9" max="14" width="20" hidden="1" customWidth="1" outlineLevel="1"/>
    <col min="15" max="15" width="20" customWidth="1" collapsed="1"/>
    <col min="16" max="17" width="20" customWidth="1"/>
    <col min="18" max="18" width="19.85546875" bestFit="1" customWidth="1"/>
  </cols>
  <sheetData>
    <row r="1" spans="1:19" ht="20.25">
      <c r="A1" s="18" t="s">
        <v>34</v>
      </c>
      <c r="B1" s="18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>
      <c r="A2" s="21" t="s">
        <v>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>
      <c r="A4" s="38" t="s">
        <v>18</v>
      </c>
      <c r="B4" s="38" t="s">
        <v>0</v>
      </c>
      <c r="C4" s="38" t="s">
        <v>36</v>
      </c>
      <c r="D4" s="38" t="s">
        <v>37</v>
      </c>
      <c r="E4" s="38" t="s">
        <v>38</v>
      </c>
      <c r="F4" s="38" t="s">
        <v>39</v>
      </c>
      <c r="G4" s="39" t="s">
        <v>40</v>
      </c>
      <c r="H4" s="39" t="s">
        <v>41</v>
      </c>
      <c r="I4" s="40" t="s">
        <v>42</v>
      </c>
      <c r="J4" s="40" t="s">
        <v>43</v>
      </c>
      <c r="K4" s="41" t="s">
        <v>44</v>
      </c>
      <c r="L4" s="41" t="s">
        <v>45</v>
      </c>
      <c r="M4" s="42" t="s">
        <v>46</v>
      </c>
      <c r="N4" s="42" t="s">
        <v>47</v>
      </c>
      <c r="O4" s="43" t="s">
        <v>48</v>
      </c>
      <c r="P4" s="43" t="s">
        <v>49</v>
      </c>
      <c r="Q4" s="43" t="s">
        <v>50</v>
      </c>
      <c r="R4" s="43" t="s">
        <v>127</v>
      </c>
      <c r="S4" s="20"/>
    </row>
    <row r="5" spans="1:19">
      <c r="A5" s="20">
        <f>'INPUT DATI'!A19</f>
        <v>1</v>
      </c>
      <c r="B5" s="20" t="str">
        <f>'INPUT DATI'!B19</f>
        <v>Macchinario interconnesso industria 4.0</v>
      </c>
      <c r="C5" s="20" t="str">
        <f>'INPUT DATI'!C19</f>
        <v>Beni materiali 4.0 - All. IV</v>
      </c>
      <c r="D5" s="44">
        <f>'INPUT DATI'!D19</f>
        <v>480000</v>
      </c>
      <c r="E5" s="44">
        <f>'INPUT DATI'!F19</f>
        <v>0</v>
      </c>
      <c r="F5" s="44">
        <f>'INPUT DATI'!G19</f>
        <v>480000</v>
      </c>
      <c r="G5" s="44">
        <f>IF(F5="","",MIN(F5,2500000))</f>
        <v>480000</v>
      </c>
      <c r="H5" s="44">
        <f t="shared" ref="H5:H14" si="0">IF(G5="","",G5*IF(OR(C5="Beni materiali 4.0 - All. IV",C5="Beni immateriali 4.0 - All. V",C5="Impianti energie rinnovabili"),1.8,0))</f>
        <v>864000</v>
      </c>
      <c r="I5" s="44">
        <f>IF(F5="","",MAX(0,MIN(F5,10000000)-2500000))</f>
        <v>0</v>
      </c>
      <c r="J5" s="44">
        <f t="shared" ref="J5:J14" si="1">IF(I5="","",I5*IF(OR(C5="Beni materiali 4.0 - All. IV",C5="Beni immateriali 4.0 - All. V",C5="Impianti energie rinnovabili"),1,0))</f>
        <v>0</v>
      </c>
      <c r="K5" s="44">
        <f>IF(F5="","",MAX(0,MIN(F5,20000000)-10000000))</f>
        <v>0</v>
      </c>
      <c r="L5" s="44">
        <f t="shared" ref="L5:L14" si="2">IF(K5="","",K5*IF(OR(C5="Beni materiali 4.0 - All. IV",C5="Beni immateriali 4.0 - All. V",C5="Impianti energie rinnovabili"),0.5,0))</f>
        <v>0</v>
      </c>
      <c r="M5" s="44">
        <f>IF(F5="","",MAX(0,F5-20000000))</f>
        <v>0</v>
      </c>
      <c r="N5" s="44">
        <f>IF(M5="","",M5*0)</f>
        <v>0</v>
      </c>
      <c r="O5" s="45">
        <f>IF(F5="","",H5+J5+L5+N5)</f>
        <v>864000</v>
      </c>
      <c r="P5" s="45">
        <f>IF(F5="","",F5+O5)</f>
        <v>1344000</v>
      </c>
      <c r="Q5" s="46">
        <f>IF(F5="","",IF(F5=0,0,O5/F5))</f>
        <v>1.8</v>
      </c>
      <c r="R5" s="47" cm="1">
        <f t="array" ref="R5:R14">+_xlfn.XLOOKUP(A5:A14,'PIANO AMMORTAMENTO'!B38:B47,'PIANO AMMORTAMENTO'!C38:C47,,0,1)</f>
        <v>164120.84287886566</v>
      </c>
      <c r="S5" s="20"/>
    </row>
    <row r="6" spans="1:19">
      <c r="A6" s="20">
        <f>'INPUT DATI'!A20</f>
        <v>2</v>
      </c>
      <c r="B6" s="20" t="str">
        <f>'INPUT DATI'!B20</f>
        <v>Sistema di visione artificiale controllo qualità</v>
      </c>
      <c r="C6" s="20" t="str">
        <f>'INPUT DATI'!C20</f>
        <v>Beni materiali 4.0 - All. IV</v>
      </c>
      <c r="D6" s="44">
        <f>'INPUT DATI'!D20</f>
        <v>95000</v>
      </c>
      <c r="E6" s="44">
        <f>'INPUT DATI'!F20</f>
        <v>0</v>
      </c>
      <c r="F6" s="44">
        <f>'INPUT DATI'!G20</f>
        <v>95000</v>
      </c>
      <c r="G6" s="44">
        <f t="shared" ref="G6:G14" si="3">IF(F6="","",MIN(F6,2500000))</f>
        <v>95000</v>
      </c>
      <c r="H6" s="44">
        <f t="shared" si="0"/>
        <v>171000</v>
      </c>
      <c r="I6" s="44">
        <f t="shared" ref="I6:I14" si="4">IF(F6="","",MAX(0,MIN(F6,10000000)-2500000))</f>
        <v>0</v>
      </c>
      <c r="J6" s="44">
        <f t="shared" si="1"/>
        <v>0</v>
      </c>
      <c r="K6" s="44">
        <f t="shared" ref="K6:K14" si="5">IF(F6="","",MAX(0,MIN(F6,20000000)-10000000))</f>
        <v>0</v>
      </c>
      <c r="L6" s="44">
        <f t="shared" si="2"/>
        <v>0</v>
      </c>
      <c r="M6" s="44">
        <f t="shared" ref="M6:M14" si="6">IF(F6="","",MAX(0,F6-20000000))</f>
        <v>0</v>
      </c>
      <c r="N6" s="44">
        <f t="shared" ref="N6:N14" si="7">IF(M6="","",M6*0)</f>
        <v>0</v>
      </c>
      <c r="O6" s="45">
        <f t="shared" ref="O6:O14" si="8">IF(F6="","",H6+J6+L6+N6)</f>
        <v>171000</v>
      </c>
      <c r="P6" s="45">
        <f t="shared" ref="P6:P14" si="9">IF(F6="","",F6+O6)</f>
        <v>266000</v>
      </c>
      <c r="Q6" s="46">
        <f t="shared" ref="Q6:Q14" si="10">IF(F6="","",IF(F6=0,0,O6/F6))</f>
        <v>1.8</v>
      </c>
      <c r="R6" s="47">
        <v>33736.880449269273</v>
      </c>
      <c r="S6" s="20"/>
    </row>
    <row r="7" spans="1:19">
      <c r="A7" s="20">
        <f>'INPUT DATI'!A21</f>
        <v>3</v>
      </c>
      <c r="B7" s="20">
        <f>'INPUT DATI'!B21</f>
        <v>0</v>
      </c>
      <c r="C7" s="20">
        <f>'INPUT DATI'!C21</f>
        <v>0</v>
      </c>
      <c r="D7" s="44">
        <f>'INPUT DATI'!D21</f>
        <v>0</v>
      </c>
      <c r="E7" s="44">
        <f>'INPUT DATI'!F21</f>
        <v>0</v>
      </c>
      <c r="F7" s="44" t="str">
        <f>'INPUT DATI'!G21</f>
        <v/>
      </c>
      <c r="G7" s="44" t="str">
        <f t="shared" si="3"/>
        <v/>
      </c>
      <c r="H7" s="44" t="str">
        <f t="shared" si="0"/>
        <v/>
      </c>
      <c r="I7" s="44" t="str">
        <f t="shared" si="4"/>
        <v/>
      </c>
      <c r="J7" s="44" t="str">
        <f t="shared" si="1"/>
        <v/>
      </c>
      <c r="K7" s="44" t="str">
        <f t="shared" si="5"/>
        <v/>
      </c>
      <c r="L7" s="44" t="str">
        <f t="shared" si="2"/>
        <v/>
      </c>
      <c r="M7" s="44" t="str">
        <f t="shared" si="6"/>
        <v/>
      </c>
      <c r="N7" s="44" t="str">
        <f t="shared" si="7"/>
        <v/>
      </c>
      <c r="O7" s="45" t="str">
        <f>IF(F7="","",H7+J7+L7+N7)</f>
        <v/>
      </c>
      <c r="P7" s="45" t="str">
        <f t="shared" si="9"/>
        <v/>
      </c>
      <c r="Q7" s="46" t="str">
        <f t="shared" si="10"/>
        <v/>
      </c>
      <c r="R7" s="47">
        <v>0</v>
      </c>
      <c r="S7" s="20"/>
    </row>
    <row r="8" spans="1:19">
      <c r="A8" s="20">
        <f>'INPUT DATI'!A22</f>
        <v>4</v>
      </c>
      <c r="B8" s="20">
        <f>'INPUT DATI'!B22</f>
        <v>0</v>
      </c>
      <c r="C8" s="20">
        <f>'INPUT DATI'!C22</f>
        <v>0</v>
      </c>
      <c r="D8" s="44">
        <f>'INPUT DATI'!D22</f>
        <v>0</v>
      </c>
      <c r="E8" s="44">
        <f>'INPUT DATI'!F22</f>
        <v>0</v>
      </c>
      <c r="F8" s="44" t="str">
        <f>'INPUT DATI'!G22</f>
        <v/>
      </c>
      <c r="G8" s="44" t="str">
        <f t="shared" si="3"/>
        <v/>
      </c>
      <c r="H8" s="44" t="str">
        <f t="shared" si="0"/>
        <v/>
      </c>
      <c r="I8" s="44" t="str">
        <f t="shared" si="4"/>
        <v/>
      </c>
      <c r="J8" s="44" t="str">
        <f t="shared" si="1"/>
        <v/>
      </c>
      <c r="K8" s="44" t="str">
        <f t="shared" si="5"/>
        <v/>
      </c>
      <c r="L8" s="44" t="str">
        <f t="shared" si="2"/>
        <v/>
      </c>
      <c r="M8" s="44" t="str">
        <f t="shared" si="6"/>
        <v/>
      </c>
      <c r="N8" s="44" t="str">
        <f t="shared" si="7"/>
        <v/>
      </c>
      <c r="O8" s="45" t="str">
        <f t="shared" si="8"/>
        <v/>
      </c>
      <c r="P8" s="45" t="str">
        <f t="shared" si="9"/>
        <v/>
      </c>
      <c r="Q8" s="46" t="str">
        <f t="shared" si="10"/>
        <v/>
      </c>
      <c r="R8" s="47">
        <v>0</v>
      </c>
      <c r="S8" s="20"/>
    </row>
    <row r="9" spans="1:19">
      <c r="A9" s="20">
        <f>'INPUT DATI'!A23</f>
        <v>5</v>
      </c>
      <c r="B9" s="20">
        <f>'INPUT DATI'!B23</f>
        <v>0</v>
      </c>
      <c r="C9" s="20">
        <f>'INPUT DATI'!C23</f>
        <v>0</v>
      </c>
      <c r="D9" s="44">
        <f>'INPUT DATI'!D23</f>
        <v>0</v>
      </c>
      <c r="E9" s="44">
        <f>'INPUT DATI'!F23</f>
        <v>0</v>
      </c>
      <c r="F9" s="44" t="str">
        <f>'INPUT DATI'!G23</f>
        <v/>
      </c>
      <c r="G9" s="44" t="str">
        <f t="shared" si="3"/>
        <v/>
      </c>
      <c r="H9" s="44" t="str">
        <f t="shared" si="0"/>
        <v/>
      </c>
      <c r="I9" s="44" t="str">
        <f t="shared" si="4"/>
        <v/>
      </c>
      <c r="J9" s="44" t="str">
        <f t="shared" si="1"/>
        <v/>
      </c>
      <c r="K9" s="44" t="str">
        <f t="shared" si="5"/>
        <v/>
      </c>
      <c r="L9" s="44" t="str">
        <f t="shared" si="2"/>
        <v/>
      </c>
      <c r="M9" s="44" t="str">
        <f t="shared" si="6"/>
        <v/>
      </c>
      <c r="N9" s="44" t="str">
        <f t="shared" si="7"/>
        <v/>
      </c>
      <c r="O9" s="45" t="str">
        <f t="shared" si="8"/>
        <v/>
      </c>
      <c r="P9" s="45" t="str">
        <f t="shared" si="9"/>
        <v/>
      </c>
      <c r="Q9" s="46" t="str">
        <f t="shared" si="10"/>
        <v/>
      </c>
      <c r="R9" s="47">
        <v>0</v>
      </c>
      <c r="S9" s="20"/>
    </row>
    <row r="10" spans="1:19">
      <c r="A10" s="20">
        <f>'INPUT DATI'!A24</f>
        <v>6</v>
      </c>
      <c r="B10" s="20">
        <f>'INPUT DATI'!B24</f>
        <v>0</v>
      </c>
      <c r="C10" s="20">
        <f>'INPUT DATI'!C24</f>
        <v>0</v>
      </c>
      <c r="D10" s="44">
        <f>'INPUT DATI'!D24</f>
        <v>0</v>
      </c>
      <c r="E10" s="44">
        <f>'INPUT DATI'!F24</f>
        <v>0</v>
      </c>
      <c r="F10" s="44" t="str">
        <f>'INPUT DATI'!G24</f>
        <v/>
      </c>
      <c r="G10" s="44" t="str">
        <f t="shared" si="3"/>
        <v/>
      </c>
      <c r="H10" s="44" t="str">
        <f t="shared" si="0"/>
        <v/>
      </c>
      <c r="I10" s="44" t="str">
        <f t="shared" si="4"/>
        <v/>
      </c>
      <c r="J10" s="44" t="str">
        <f t="shared" si="1"/>
        <v/>
      </c>
      <c r="K10" s="44" t="str">
        <f t="shared" si="5"/>
        <v/>
      </c>
      <c r="L10" s="44" t="str">
        <f t="shared" si="2"/>
        <v/>
      </c>
      <c r="M10" s="44" t="str">
        <f t="shared" si="6"/>
        <v/>
      </c>
      <c r="N10" s="44" t="str">
        <f t="shared" si="7"/>
        <v/>
      </c>
      <c r="O10" s="45" t="str">
        <f t="shared" si="8"/>
        <v/>
      </c>
      <c r="P10" s="45" t="str">
        <f t="shared" si="9"/>
        <v/>
      </c>
      <c r="Q10" s="46" t="str">
        <f t="shared" si="10"/>
        <v/>
      </c>
      <c r="R10" s="47">
        <v>0</v>
      </c>
      <c r="S10" s="20"/>
    </row>
    <row r="11" spans="1:19">
      <c r="A11" s="20">
        <f>'INPUT DATI'!A25</f>
        <v>7</v>
      </c>
      <c r="B11" s="20">
        <f>'INPUT DATI'!B25</f>
        <v>0</v>
      </c>
      <c r="C11" s="20">
        <f>'INPUT DATI'!C25</f>
        <v>0</v>
      </c>
      <c r="D11" s="44">
        <f>'INPUT DATI'!D25</f>
        <v>0</v>
      </c>
      <c r="E11" s="44">
        <f>'INPUT DATI'!F25</f>
        <v>0</v>
      </c>
      <c r="F11" s="44" t="str">
        <f>'INPUT DATI'!G25</f>
        <v/>
      </c>
      <c r="G11" s="44" t="str">
        <f t="shared" si="3"/>
        <v/>
      </c>
      <c r="H11" s="44" t="str">
        <f t="shared" si="0"/>
        <v/>
      </c>
      <c r="I11" s="44" t="str">
        <f t="shared" si="4"/>
        <v/>
      </c>
      <c r="J11" s="44" t="str">
        <f t="shared" si="1"/>
        <v/>
      </c>
      <c r="K11" s="44" t="str">
        <f t="shared" si="5"/>
        <v/>
      </c>
      <c r="L11" s="44" t="str">
        <f t="shared" si="2"/>
        <v/>
      </c>
      <c r="M11" s="44" t="str">
        <f t="shared" si="6"/>
        <v/>
      </c>
      <c r="N11" s="44" t="str">
        <f t="shared" si="7"/>
        <v/>
      </c>
      <c r="O11" s="45" t="str">
        <f t="shared" si="8"/>
        <v/>
      </c>
      <c r="P11" s="45" t="str">
        <f t="shared" si="9"/>
        <v/>
      </c>
      <c r="Q11" s="46" t="str">
        <f t="shared" si="10"/>
        <v/>
      </c>
      <c r="R11" s="47">
        <v>0</v>
      </c>
      <c r="S11" s="20"/>
    </row>
    <row r="12" spans="1:19">
      <c r="A12" s="20">
        <f>'INPUT DATI'!A26</f>
        <v>8</v>
      </c>
      <c r="B12" s="20">
        <f>'INPUT DATI'!B26</f>
        <v>0</v>
      </c>
      <c r="C12" s="20">
        <f>'INPUT DATI'!C26</f>
        <v>0</v>
      </c>
      <c r="D12" s="44">
        <f>'INPUT DATI'!D26</f>
        <v>0</v>
      </c>
      <c r="E12" s="44">
        <f>'INPUT DATI'!F26</f>
        <v>0</v>
      </c>
      <c r="F12" s="44" t="str">
        <f>'INPUT DATI'!G26</f>
        <v/>
      </c>
      <c r="G12" s="44" t="str">
        <f t="shared" si="3"/>
        <v/>
      </c>
      <c r="H12" s="44" t="str">
        <f t="shared" si="0"/>
        <v/>
      </c>
      <c r="I12" s="44" t="str">
        <f t="shared" si="4"/>
        <v/>
      </c>
      <c r="J12" s="44" t="str">
        <f t="shared" si="1"/>
        <v/>
      </c>
      <c r="K12" s="44" t="str">
        <f t="shared" si="5"/>
        <v/>
      </c>
      <c r="L12" s="44" t="str">
        <f t="shared" si="2"/>
        <v/>
      </c>
      <c r="M12" s="44" t="str">
        <f t="shared" si="6"/>
        <v/>
      </c>
      <c r="N12" s="44" t="str">
        <f t="shared" si="7"/>
        <v/>
      </c>
      <c r="O12" s="45" t="str">
        <f t="shared" si="8"/>
        <v/>
      </c>
      <c r="P12" s="45" t="str">
        <f t="shared" si="9"/>
        <v/>
      </c>
      <c r="Q12" s="46" t="str">
        <f t="shared" si="10"/>
        <v/>
      </c>
      <c r="R12" s="47">
        <v>0</v>
      </c>
      <c r="S12" s="20"/>
    </row>
    <row r="13" spans="1:19">
      <c r="A13" s="20">
        <f>'INPUT DATI'!A27</f>
        <v>9</v>
      </c>
      <c r="B13" s="20">
        <f>'INPUT DATI'!B27</f>
        <v>0</v>
      </c>
      <c r="C13" s="20">
        <f>'INPUT DATI'!C27</f>
        <v>0</v>
      </c>
      <c r="D13" s="44">
        <f>'INPUT DATI'!D27</f>
        <v>0</v>
      </c>
      <c r="E13" s="44">
        <f>'INPUT DATI'!F27</f>
        <v>0</v>
      </c>
      <c r="F13" s="44" t="str">
        <f>'INPUT DATI'!G27</f>
        <v/>
      </c>
      <c r="G13" s="44" t="str">
        <f t="shared" si="3"/>
        <v/>
      </c>
      <c r="H13" s="44" t="str">
        <f t="shared" si="0"/>
        <v/>
      </c>
      <c r="I13" s="44" t="str">
        <f t="shared" si="4"/>
        <v/>
      </c>
      <c r="J13" s="44" t="str">
        <f t="shared" si="1"/>
        <v/>
      </c>
      <c r="K13" s="44" t="str">
        <f t="shared" si="5"/>
        <v/>
      </c>
      <c r="L13" s="44" t="str">
        <f t="shared" si="2"/>
        <v/>
      </c>
      <c r="M13" s="44" t="str">
        <f t="shared" si="6"/>
        <v/>
      </c>
      <c r="N13" s="44" t="str">
        <f t="shared" si="7"/>
        <v/>
      </c>
      <c r="O13" s="45" t="str">
        <f t="shared" si="8"/>
        <v/>
      </c>
      <c r="P13" s="45" t="str">
        <f t="shared" si="9"/>
        <v/>
      </c>
      <c r="Q13" s="46" t="str">
        <f t="shared" si="10"/>
        <v/>
      </c>
      <c r="R13" s="47">
        <v>0</v>
      </c>
      <c r="S13" s="20"/>
    </row>
    <row r="14" spans="1:19">
      <c r="A14" s="20">
        <f>'INPUT DATI'!A28</f>
        <v>10</v>
      </c>
      <c r="B14" s="20">
        <f>'INPUT DATI'!B28</f>
        <v>0</v>
      </c>
      <c r="C14" s="20">
        <f>'INPUT DATI'!C28</f>
        <v>0</v>
      </c>
      <c r="D14" s="44">
        <f>'INPUT DATI'!D28</f>
        <v>0</v>
      </c>
      <c r="E14" s="44">
        <f>'INPUT DATI'!F28</f>
        <v>0</v>
      </c>
      <c r="F14" s="44" t="str">
        <f>'INPUT DATI'!G28</f>
        <v/>
      </c>
      <c r="G14" s="44" t="str">
        <f t="shared" si="3"/>
        <v/>
      </c>
      <c r="H14" s="44" t="str">
        <f t="shared" si="0"/>
        <v/>
      </c>
      <c r="I14" s="44" t="str">
        <f t="shared" si="4"/>
        <v/>
      </c>
      <c r="J14" s="44" t="str">
        <f t="shared" si="1"/>
        <v/>
      </c>
      <c r="K14" s="44" t="str">
        <f t="shared" si="5"/>
        <v/>
      </c>
      <c r="L14" s="44" t="str">
        <f t="shared" si="2"/>
        <v/>
      </c>
      <c r="M14" s="44" t="str">
        <f t="shared" si="6"/>
        <v/>
      </c>
      <c r="N14" s="44" t="str">
        <f t="shared" si="7"/>
        <v/>
      </c>
      <c r="O14" s="45" t="str">
        <f t="shared" si="8"/>
        <v/>
      </c>
      <c r="P14" s="45" t="str">
        <f t="shared" si="9"/>
        <v/>
      </c>
      <c r="Q14" s="46" t="str">
        <f t="shared" si="10"/>
        <v/>
      </c>
      <c r="R14" s="47">
        <v>0</v>
      </c>
      <c r="S14" s="20"/>
    </row>
    <row r="15" spans="1:19">
      <c r="A15" s="34"/>
      <c r="B15" s="35" t="s">
        <v>25</v>
      </c>
      <c r="C15" s="34"/>
      <c r="D15" s="36">
        <f>SUM(D5:D14)</f>
        <v>575000</v>
      </c>
      <c r="E15" s="36">
        <f t="shared" ref="E15:P15" si="11">SUM(E5:E14)</f>
        <v>0</v>
      </c>
      <c r="F15" s="36">
        <f t="shared" si="11"/>
        <v>575000</v>
      </c>
      <c r="G15" s="36">
        <f t="shared" si="11"/>
        <v>575000</v>
      </c>
      <c r="H15" s="36">
        <f t="shared" si="11"/>
        <v>1035000</v>
      </c>
      <c r="I15" s="36">
        <f t="shared" si="11"/>
        <v>0</v>
      </c>
      <c r="J15" s="36">
        <f t="shared" si="11"/>
        <v>0</v>
      </c>
      <c r="K15" s="36">
        <f t="shared" si="11"/>
        <v>0</v>
      </c>
      <c r="L15" s="36">
        <f t="shared" si="11"/>
        <v>0</v>
      </c>
      <c r="M15" s="36">
        <f t="shared" si="11"/>
        <v>0</v>
      </c>
      <c r="N15" s="36">
        <f t="shared" si="11"/>
        <v>0</v>
      </c>
      <c r="O15" s="36">
        <f t="shared" si="11"/>
        <v>1035000</v>
      </c>
      <c r="P15" s="36">
        <f t="shared" si="11"/>
        <v>1610000</v>
      </c>
      <c r="Q15" s="48">
        <f>IF(F15=0,0,O15/F15)</f>
        <v>1.8</v>
      </c>
      <c r="R15" s="49">
        <f>+SUM(_xlfn.ANCHORARRAY(R5))</f>
        <v>197857.72332813492</v>
      </c>
      <c r="S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>
      <c r="A19" s="20"/>
      <c r="B19" s="20"/>
      <c r="C19" s="4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</sheetData>
  <sheetProtection formatCells="0" formatColumns="0" formatRow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FB82-82AA-400E-9A95-8D3D11E63598}">
  <sheetPr codeName="Foglio3">
    <tabColor rgb="FF00B050"/>
  </sheetPr>
  <dimension ref="A1:K57"/>
  <sheetViews>
    <sheetView showGridLines="0" zoomScaleNormal="100" workbookViewId="0">
      <selection sqref="A1:J32"/>
    </sheetView>
  </sheetViews>
  <sheetFormatPr defaultRowHeight="15"/>
  <cols>
    <col min="1" max="1" width="47" customWidth="1"/>
    <col min="2" max="2" width="24.42578125" bestFit="1" customWidth="1"/>
    <col min="3" max="3" width="21.85546875" customWidth="1"/>
    <col min="4" max="4" width="29.140625" customWidth="1"/>
    <col min="5" max="8" width="21.85546875" customWidth="1"/>
    <col min="9" max="9" width="23.140625" customWidth="1"/>
    <col min="10" max="10" width="30.42578125" bestFit="1" customWidth="1"/>
    <col min="11" max="11" width="22.7109375" customWidth="1"/>
  </cols>
  <sheetData>
    <row r="1" spans="1:10" ht="20.25">
      <c r="A1" s="18" t="s">
        <v>51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52</v>
      </c>
      <c r="B2" s="20"/>
      <c r="C2" s="20"/>
      <c r="D2" s="20"/>
      <c r="E2" s="20"/>
      <c r="F2" s="20"/>
      <c r="G2" s="20"/>
      <c r="H2" s="20"/>
      <c r="I2" s="20"/>
      <c r="J2" s="20"/>
    </row>
    <row r="3" spans="1:10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15.75">
      <c r="A4" s="22" t="s">
        <v>53</v>
      </c>
      <c r="B4" s="20"/>
      <c r="C4" s="20"/>
      <c r="D4" s="20"/>
      <c r="E4" s="20"/>
      <c r="F4" s="20"/>
      <c r="G4" s="20"/>
      <c r="H4" s="20"/>
      <c r="I4" s="20"/>
      <c r="J4" s="20"/>
    </row>
    <row r="5" spans="1:10">
      <c r="A5" s="27" t="s">
        <v>54</v>
      </c>
      <c r="B5" s="95">
        <v>2</v>
      </c>
      <c r="C5" s="20"/>
      <c r="D5" s="27" t="s">
        <v>55</v>
      </c>
      <c r="E5" s="26" t="str" cm="1">
        <f t="array" ref="E5">IF(B5="","",INDEX('INPUT DATI'!B19:B28,B5))</f>
        <v>Sistema di visione artificiale controllo qualità</v>
      </c>
      <c r="F5" s="20"/>
      <c r="G5" s="20"/>
      <c r="H5" s="27" t="s">
        <v>56</v>
      </c>
      <c r="I5" s="50" t="str" cm="1">
        <f t="array" ref="I5">IF(B5="","",INDEX('INPUT DATI'!C19:C28,B5))</f>
        <v>Beni materiali 4.0 - All. IV</v>
      </c>
      <c r="J5" s="20"/>
    </row>
    <row r="6" spans="1:10">
      <c r="A6" s="27" t="s">
        <v>57</v>
      </c>
      <c r="B6" s="51" cm="1">
        <f t="array" ref="B6">IF(B5="",0,IFERROR(INDEX('INPUT DATI'!D19:D28,B5),0))</f>
        <v>95000</v>
      </c>
      <c r="C6" s="20"/>
      <c r="D6" s="27" t="s">
        <v>58</v>
      </c>
      <c r="E6" s="51" cm="1">
        <f t="array" ref="E6">IFERROR(IF(B5="",0,INDEX('INPUT DATI'!G19:G28,B5)+0),0)</f>
        <v>95000</v>
      </c>
      <c r="F6" s="20"/>
      <c r="G6" s="20"/>
      <c r="H6" s="27" t="s">
        <v>59</v>
      </c>
      <c r="I6" s="52" cm="1">
        <f t="array" ref="I6">IFERROR(IF(B5="",0,INDEX('CALCOLO MAGGIORAZIONI'!P5:P14,B5)+0),0)</f>
        <v>266000</v>
      </c>
      <c r="J6" s="20"/>
    </row>
    <row r="7" spans="1:10">
      <c r="A7" s="27" t="s">
        <v>60</v>
      </c>
      <c r="B7" s="76">
        <f>E7</f>
        <v>0.12</v>
      </c>
      <c r="C7" s="20"/>
      <c r="D7" s="27" t="s">
        <v>61</v>
      </c>
      <c r="E7" s="53">
        <f>_xlfn.XLOOKUP(B5,'INPUT DATI'!A19:A28,'INPUT DATI'!E19:E28,,0,1)</f>
        <v>0.12</v>
      </c>
      <c r="F7" s="20"/>
      <c r="G7" s="20"/>
      <c r="H7" s="27" t="s">
        <v>62</v>
      </c>
      <c r="I7" s="27">
        <f>IF(E7=0,0,ROUNDUP(1/E7,0))</f>
        <v>9</v>
      </c>
      <c r="J7" s="20"/>
    </row>
    <row r="8" spans="1:10">
      <c r="A8" s="27" t="s">
        <v>26</v>
      </c>
      <c r="B8" s="54">
        <f>'INPUT DATI'!B32</f>
        <v>0.24</v>
      </c>
      <c r="C8" s="20"/>
      <c r="D8" s="27"/>
      <c r="E8" s="55"/>
      <c r="F8" s="20"/>
      <c r="G8" s="20"/>
      <c r="H8" s="27" t="s">
        <v>63</v>
      </c>
      <c r="I8" s="56" cm="1">
        <f t="array" ref="I8">IFERROR(IF(B5="",0,INDEX('CALCOLO MAGGIORAZIONI'!O5:O14,B5)+0),0)</f>
        <v>171000</v>
      </c>
      <c r="J8" s="20"/>
    </row>
    <row r="9" spans="1:10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5.75">
      <c r="A10" s="22" t="s">
        <v>64</v>
      </c>
      <c r="B10" s="20"/>
      <c r="C10" s="20"/>
      <c r="D10" s="20"/>
      <c r="E10" s="20"/>
      <c r="F10" s="20"/>
      <c r="G10" s="20"/>
      <c r="H10" s="20"/>
      <c r="I10" s="20"/>
      <c r="J10" s="20"/>
    </row>
    <row r="11" spans="1:10">
      <c r="A11" s="23" t="s">
        <v>65</v>
      </c>
      <c r="B11" s="23" t="s">
        <v>66</v>
      </c>
      <c r="C11" s="23" t="s">
        <v>67</v>
      </c>
      <c r="D11" s="23" t="s">
        <v>68</v>
      </c>
      <c r="E11" s="23" t="s">
        <v>69</v>
      </c>
      <c r="F11" s="23" t="s">
        <v>70</v>
      </c>
      <c r="G11" s="23" t="s">
        <v>71</v>
      </c>
      <c r="H11" s="23" t="s">
        <v>72</v>
      </c>
      <c r="I11" s="57" t="s">
        <v>73</v>
      </c>
      <c r="J11" s="58" t="s">
        <v>123</v>
      </c>
    </row>
    <row r="12" spans="1:10">
      <c r="A12" s="59">
        <f>'INPUT DATI'!B34</f>
        <v>2026</v>
      </c>
      <c r="B12" s="44">
        <f>$E$6</f>
        <v>95000</v>
      </c>
      <c r="C12" s="44">
        <f>IF($E$6=0,0,$E$6*$B$7/2)</f>
        <v>5700</v>
      </c>
      <c r="D12" s="44">
        <f>C12</f>
        <v>5700</v>
      </c>
      <c r="E12" s="44">
        <f>MAX(0,B12-D12)</f>
        <v>89300</v>
      </c>
      <c r="F12" s="44">
        <f>$I$6</f>
        <v>266000</v>
      </c>
      <c r="G12" s="44">
        <f>IF($I$6=0,0,$I$6*$E$7/2)</f>
        <v>15960</v>
      </c>
      <c r="H12" s="44">
        <f>MAX(0,G12-C12)</f>
        <v>10260</v>
      </c>
      <c r="I12" s="60">
        <f>H12*$B$8</f>
        <v>2462.4</v>
      </c>
      <c r="J12" s="61">
        <f>I12</f>
        <v>2462.4</v>
      </c>
    </row>
    <row r="13" spans="1:10">
      <c r="A13" s="59">
        <f>A12+1</f>
        <v>2027</v>
      </c>
      <c r="B13" s="44">
        <f>$E$6</f>
        <v>95000</v>
      </c>
      <c r="C13" s="44">
        <f>IF($E$6=0,0,MIN($E$6*$B$7,MAX(0,$E$6-D12)))</f>
        <v>11400</v>
      </c>
      <c r="D13" s="44">
        <f>D12+C13</f>
        <v>17100</v>
      </c>
      <c r="E13" s="44">
        <f>MAX(0,B13-D13)</f>
        <v>77900</v>
      </c>
      <c r="F13" s="44">
        <f>$I$6</f>
        <v>266000</v>
      </c>
      <c r="G13" s="44">
        <f>IF($I$6=0,0,MIN($I$6*$E$7,MAX(0,$I$6-SUM($G$12:G12))))</f>
        <v>31920</v>
      </c>
      <c r="H13" s="44">
        <f>MAX(0,G13-C13)</f>
        <v>20520</v>
      </c>
      <c r="I13" s="60">
        <f>H13*$B$8</f>
        <v>4924.8</v>
      </c>
      <c r="J13" s="61">
        <f>I13*(1+'INPUT DATI'!$B$33)^-('PIANO AMMORTAMENTO'!A13-'PIANO AMMORTAMENTO'!$A$12)</f>
        <v>4690.2857142857138</v>
      </c>
    </row>
    <row r="14" spans="1:10">
      <c r="A14" s="59">
        <f t="shared" ref="A14:A31" si="0">A13+1</f>
        <v>2028</v>
      </c>
      <c r="B14" s="44">
        <f t="shared" ref="B14:B31" si="1">$E$6</f>
        <v>95000</v>
      </c>
      <c r="C14" s="44">
        <f t="shared" ref="C14:C31" si="2">IF($E$6=0,0,MIN($E$6*$B$7,MAX(0,$E$6-D13)))</f>
        <v>11400</v>
      </c>
      <c r="D14" s="44">
        <f t="shared" ref="D14:D31" si="3">D13+C14</f>
        <v>28500</v>
      </c>
      <c r="E14" s="44">
        <f t="shared" ref="E14:E31" si="4">MAX(0,B14-D14)</f>
        <v>66500</v>
      </c>
      <c r="F14" s="44">
        <f t="shared" ref="F14:F31" si="5">$I$6</f>
        <v>266000</v>
      </c>
      <c r="G14" s="44">
        <f>IF($I$6=0,0,MIN($I$6*$E$7,MAX(0,$I$6-SUM($G$12:G13))))</f>
        <v>31920</v>
      </c>
      <c r="H14" s="44">
        <f t="shared" ref="H14:H31" si="6">MAX(0,G14-C14)</f>
        <v>20520</v>
      </c>
      <c r="I14" s="60">
        <f t="shared" ref="I14:I31" si="7">H14*$B$8</f>
        <v>4924.8</v>
      </c>
      <c r="J14" s="61">
        <f>I14*(1+'INPUT DATI'!$B$33)^-('PIANO AMMORTAMENTO'!A14-'PIANO AMMORTAMENTO'!$A$12)</f>
        <v>4466.9387755102043</v>
      </c>
    </row>
    <row r="15" spans="1:10">
      <c r="A15" s="59">
        <f t="shared" si="0"/>
        <v>2029</v>
      </c>
      <c r="B15" s="44">
        <f t="shared" si="1"/>
        <v>95000</v>
      </c>
      <c r="C15" s="44">
        <f t="shared" si="2"/>
        <v>11400</v>
      </c>
      <c r="D15" s="44">
        <f t="shared" si="3"/>
        <v>39900</v>
      </c>
      <c r="E15" s="44">
        <f t="shared" si="4"/>
        <v>55100</v>
      </c>
      <c r="F15" s="44">
        <f t="shared" si="5"/>
        <v>266000</v>
      </c>
      <c r="G15" s="44">
        <f>IF($I$6=0,0,MIN($I$6*$E$7,MAX(0,$I$6-SUM($G$12:G14))))</f>
        <v>31920</v>
      </c>
      <c r="H15" s="44">
        <f t="shared" si="6"/>
        <v>20520</v>
      </c>
      <c r="I15" s="60">
        <f t="shared" si="7"/>
        <v>4924.8</v>
      </c>
      <c r="J15" s="61">
        <f>I15*(1+'INPUT DATI'!$B$33)^-('PIANO AMMORTAMENTO'!A15-'PIANO AMMORTAMENTO'!$A$12)</f>
        <v>4254.2274052478133</v>
      </c>
    </row>
    <row r="16" spans="1:10">
      <c r="A16" s="59">
        <f t="shared" si="0"/>
        <v>2030</v>
      </c>
      <c r="B16" s="44">
        <f t="shared" si="1"/>
        <v>95000</v>
      </c>
      <c r="C16" s="44">
        <f t="shared" si="2"/>
        <v>11400</v>
      </c>
      <c r="D16" s="44">
        <f t="shared" si="3"/>
        <v>51300</v>
      </c>
      <c r="E16" s="44">
        <f t="shared" si="4"/>
        <v>43700</v>
      </c>
      <c r="F16" s="44">
        <f t="shared" si="5"/>
        <v>266000</v>
      </c>
      <c r="G16" s="44">
        <f>IF($I$6=0,0,MIN($I$6*$E$7,MAX(0,$I$6-SUM($G$12:G15))))</f>
        <v>31920</v>
      </c>
      <c r="H16" s="44">
        <f>MAX(0,G16-C16)</f>
        <v>20520</v>
      </c>
      <c r="I16" s="60">
        <f t="shared" si="7"/>
        <v>4924.8</v>
      </c>
      <c r="J16" s="61">
        <f>I16*(1+'INPUT DATI'!$B$33)^-('PIANO AMMORTAMENTO'!A16-'PIANO AMMORTAMENTO'!$A$12)</f>
        <v>4051.6451478550603</v>
      </c>
    </row>
    <row r="17" spans="1:11">
      <c r="A17" s="59">
        <f t="shared" si="0"/>
        <v>2031</v>
      </c>
      <c r="B17" s="44">
        <f t="shared" si="1"/>
        <v>95000</v>
      </c>
      <c r="C17" s="44">
        <f t="shared" si="2"/>
        <v>11400</v>
      </c>
      <c r="D17" s="44">
        <f t="shared" si="3"/>
        <v>62700</v>
      </c>
      <c r="E17" s="44">
        <f t="shared" si="4"/>
        <v>32300</v>
      </c>
      <c r="F17" s="44">
        <f t="shared" si="5"/>
        <v>266000</v>
      </c>
      <c r="G17" s="44">
        <f>IF($I$6=0,0,MIN($I$6*$E$7,MAX(0,$I$6-SUM($G$12:G16))))</f>
        <v>31920</v>
      </c>
      <c r="H17" s="44">
        <f t="shared" si="6"/>
        <v>20520</v>
      </c>
      <c r="I17" s="60">
        <f>H17*$B$8</f>
        <v>4924.8</v>
      </c>
      <c r="J17" s="61">
        <f>I17*(1+'INPUT DATI'!$B$33)^-('PIANO AMMORTAMENTO'!A17-'PIANO AMMORTAMENTO'!$A$12)</f>
        <v>3858.709664623867</v>
      </c>
    </row>
    <row r="18" spans="1:11">
      <c r="A18" s="59">
        <f t="shared" si="0"/>
        <v>2032</v>
      </c>
      <c r="B18" s="44">
        <f t="shared" si="1"/>
        <v>95000</v>
      </c>
      <c r="C18" s="44">
        <f t="shared" si="2"/>
        <v>11400</v>
      </c>
      <c r="D18" s="44">
        <f t="shared" si="3"/>
        <v>74100</v>
      </c>
      <c r="E18" s="44">
        <f t="shared" si="4"/>
        <v>20900</v>
      </c>
      <c r="F18" s="44">
        <f t="shared" si="5"/>
        <v>266000</v>
      </c>
      <c r="G18" s="44">
        <f>IF($I$6=0,0,MIN($I$6*$E$7,MAX(0,$I$6-SUM($G$12:G17))))</f>
        <v>31920</v>
      </c>
      <c r="H18" s="44">
        <f t="shared" si="6"/>
        <v>20520</v>
      </c>
      <c r="I18" s="60">
        <f t="shared" si="7"/>
        <v>4924.8</v>
      </c>
      <c r="J18" s="61">
        <f>I18*(1+'INPUT DATI'!$B$33)^-('PIANO AMMORTAMENTO'!A18-'PIANO AMMORTAMENTO'!$A$12)</f>
        <v>3674.961585356064</v>
      </c>
    </row>
    <row r="19" spans="1:11">
      <c r="A19" s="59">
        <f t="shared" si="0"/>
        <v>2033</v>
      </c>
      <c r="B19" s="44">
        <f>$E$6</f>
        <v>95000</v>
      </c>
      <c r="C19" s="44">
        <f t="shared" si="2"/>
        <v>11400</v>
      </c>
      <c r="D19" s="44">
        <f t="shared" si="3"/>
        <v>85500</v>
      </c>
      <c r="E19" s="44">
        <f t="shared" si="4"/>
        <v>9500</v>
      </c>
      <c r="F19" s="44">
        <f t="shared" si="5"/>
        <v>266000</v>
      </c>
      <c r="G19" s="44">
        <f>IF($I$6=0,0,MIN($I$6*$E$7,MAX(0,$I$6-SUM($G$12:G18))))</f>
        <v>31920</v>
      </c>
      <c r="H19" s="44">
        <f t="shared" si="6"/>
        <v>20520</v>
      </c>
      <c r="I19" s="60">
        <f t="shared" si="7"/>
        <v>4924.8</v>
      </c>
      <c r="J19" s="61">
        <f>I19*(1+'INPUT DATI'!$B$33)^-('PIANO AMMORTAMENTO'!A19-'PIANO AMMORTAMENTO'!$A$12)</f>
        <v>3499.9634146248222</v>
      </c>
    </row>
    <row r="20" spans="1:11">
      <c r="A20" s="59">
        <f t="shared" si="0"/>
        <v>2034</v>
      </c>
      <c r="B20" s="44">
        <f t="shared" si="1"/>
        <v>95000</v>
      </c>
      <c r="C20" s="44">
        <f t="shared" si="2"/>
        <v>9500</v>
      </c>
      <c r="D20" s="44">
        <f t="shared" si="3"/>
        <v>95000</v>
      </c>
      <c r="E20" s="44">
        <f t="shared" si="4"/>
        <v>0</v>
      </c>
      <c r="F20" s="44">
        <f t="shared" si="5"/>
        <v>266000</v>
      </c>
      <c r="G20" s="44">
        <f>IF($I$6=0,0,MIN($I$6*$E$7,MAX(0,$I$6-SUM($G$12:G19))))</f>
        <v>26600</v>
      </c>
      <c r="H20" s="44">
        <f t="shared" si="6"/>
        <v>17100</v>
      </c>
      <c r="I20" s="60">
        <f t="shared" si="7"/>
        <v>4104</v>
      </c>
      <c r="J20" s="61">
        <f>I20*(1+'INPUT DATI'!$B$33)^-('PIANO AMMORTAMENTO'!A20-'PIANO AMMORTAMENTO'!$A$12)</f>
        <v>2777.7487417657321</v>
      </c>
    </row>
    <row r="21" spans="1:11">
      <c r="A21" s="59">
        <f t="shared" si="0"/>
        <v>2035</v>
      </c>
      <c r="B21" s="44">
        <f t="shared" si="1"/>
        <v>95000</v>
      </c>
      <c r="C21" s="44">
        <f t="shared" si="2"/>
        <v>0</v>
      </c>
      <c r="D21" s="44">
        <f>D20+C21</f>
        <v>95000</v>
      </c>
      <c r="E21" s="44">
        <f t="shared" si="4"/>
        <v>0</v>
      </c>
      <c r="F21" s="44">
        <f t="shared" si="5"/>
        <v>266000</v>
      </c>
      <c r="G21" s="44">
        <f>IF($I$6=0,0,MIN($I$6*$E$7,MAX(0,$I$6-SUM($G$12:G20))))</f>
        <v>0</v>
      </c>
      <c r="H21" s="44">
        <f t="shared" si="6"/>
        <v>0</v>
      </c>
      <c r="I21" s="60">
        <f t="shared" si="7"/>
        <v>0</v>
      </c>
      <c r="J21" s="61">
        <f>I21*(1+'INPUT DATI'!$B$33)^-('PIANO AMMORTAMENTO'!A21-'PIANO AMMORTAMENTO'!$A$12)</f>
        <v>0</v>
      </c>
    </row>
    <row r="22" spans="1:11">
      <c r="A22" s="59">
        <f t="shared" si="0"/>
        <v>2036</v>
      </c>
      <c r="B22" s="44">
        <f t="shared" si="1"/>
        <v>95000</v>
      </c>
      <c r="C22" s="44">
        <f t="shared" si="2"/>
        <v>0</v>
      </c>
      <c r="D22" s="44">
        <f t="shared" si="3"/>
        <v>95000</v>
      </c>
      <c r="E22" s="44">
        <f t="shared" si="4"/>
        <v>0</v>
      </c>
      <c r="F22" s="44">
        <f t="shared" si="5"/>
        <v>266000</v>
      </c>
      <c r="G22" s="44">
        <f>IF($I$6=0,0,MIN($I$6*$E$7,MAX(0,$I$6-SUM($G$12:G21))))</f>
        <v>0</v>
      </c>
      <c r="H22" s="44">
        <f t="shared" si="6"/>
        <v>0</v>
      </c>
      <c r="I22" s="60">
        <f t="shared" si="7"/>
        <v>0</v>
      </c>
      <c r="J22" s="61">
        <f>I22*(1+'INPUT DATI'!$B$33)^-('PIANO AMMORTAMENTO'!A22-'PIANO AMMORTAMENTO'!$A$12)</f>
        <v>0</v>
      </c>
    </row>
    <row r="23" spans="1:11">
      <c r="A23" s="59">
        <f t="shared" si="0"/>
        <v>2037</v>
      </c>
      <c r="B23" s="44">
        <f t="shared" si="1"/>
        <v>95000</v>
      </c>
      <c r="C23" s="44">
        <f t="shared" si="2"/>
        <v>0</v>
      </c>
      <c r="D23" s="44">
        <f t="shared" si="3"/>
        <v>95000</v>
      </c>
      <c r="E23" s="44">
        <f t="shared" si="4"/>
        <v>0</v>
      </c>
      <c r="F23" s="44">
        <f t="shared" si="5"/>
        <v>266000</v>
      </c>
      <c r="G23" s="44">
        <f>IF($I$6=0,0,MIN($I$6*$E$7,MAX(0,$I$6-SUM($G$12:G22))))</f>
        <v>0</v>
      </c>
      <c r="H23" s="44">
        <f t="shared" si="6"/>
        <v>0</v>
      </c>
      <c r="I23" s="60">
        <f t="shared" si="7"/>
        <v>0</v>
      </c>
      <c r="J23" s="61">
        <f>I23*(1+'INPUT DATI'!$B$33)^-('PIANO AMMORTAMENTO'!A23-'PIANO AMMORTAMENTO'!$A$12)</f>
        <v>0</v>
      </c>
    </row>
    <row r="24" spans="1:11">
      <c r="A24" s="59">
        <f t="shared" si="0"/>
        <v>2038</v>
      </c>
      <c r="B24" s="44">
        <f t="shared" si="1"/>
        <v>95000</v>
      </c>
      <c r="C24" s="44">
        <f t="shared" si="2"/>
        <v>0</v>
      </c>
      <c r="D24" s="44">
        <f t="shared" si="3"/>
        <v>95000</v>
      </c>
      <c r="E24" s="44">
        <f t="shared" si="4"/>
        <v>0</v>
      </c>
      <c r="F24" s="44">
        <f t="shared" si="5"/>
        <v>266000</v>
      </c>
      <c r="G24" s="44">
        <f>IF($I$6=0,0,MIN($I$6*$E$7,MAX(0,$I$6-SUM($G$12:G23))))</f>
        <v>0</v>
      </c>
      <c r="H24" s="44">
        <f t="shared" si="6"/>
        <v>0</v>
      </c>
      <c r="I24" s="60">
        <f t="shared" si="7"/>
        <v>0</v>
      </c>
      <c r="J24" s="61">
        <f>I24*(1+'INPUT DATI'!$B$33)^-('PIANO AMMORTAMENTO'!A24-'PIANO AMMORTAMENTO'!$A$12)</f>
        <v>0</v>
      </c>
    </row>
    <row r="25" spans="1:11">
      <c r="A25" s="59">
        <f t="shared" si="0"/>
        <v>2039</v>
      </c>
      <c r="B25" s="44">
        <f t="shared" si="1"/>
        <v>95000</v>
      </c>
      <c r="C25" s="44">
        <f t="shared" si="2"/>
        <v>0</v>
      </c>
      <c r="D25" s="44">
        <f t="shared" si="3"/>
        <v>95000</v>
      </c>
      <c r="E25" s="44">
        <f t="shared" si="4"/>
        <v>0</v>
      </c>
      <c r="F25" s="44">
        <f t="shared" si="5"/>
        <v>266000</v>
      </c>
      <c r="G25" s="44">
        <f>IF($I$6=0,0,MIN($I$6*$E$7,MAX(0,$I$6-SUM($G$12:G24))))</f>
        <v>0</v>
      </c>
      <c r="H25" s="44">
        <f t="shared" si="6"/>
        <v>0</v>
      </c>
      <c r="I25" s="60">
        <f t="shared" si="7"/>
        <v>0</v>
      </c>
      <c r="J25" s="61">
        <f>I25*(1+'INPUT DATI'!$B$33)^-('PIANO AMMORTAMENTO'!A25-'PIANO AMMORTAMENTO'!$A$12)</f>
        <v>0</v>
      </c>
    </row>
    <row r="26" spans="1:11">
      <c r="A26" s="59">
        <f t="shared" si="0"/>
        <v>2040</v>
      </c>
      <c r="B26" s="44">
        <f t="shared" si="1"/>
        <v>95000</v>
      </c>
      <c r="C26" s="44">
        <f t="shared" si="2"/>
        <v>0</v>
      </c>
      <c r="D26" s="44">
        <f t="shared" si="3"/>
        <v>95000</v>
      </c>
      <c r="E26" s="44">
        <f t="shared" si="4"/>
        <v>0</v>
      </c>
      <c r="F26" s="44">
        <f t="shared" si="5"/>
        <v>266000</v>
      </c>
      <c r="G26" s="44">
        <f>IF($I$6=0,0,MIN($I$6*$E$7,MAX(0,$I$6-SUM($G$12:G25))))</f>
        <v>0</v>
      </c>
      <c r="H26" s="44">
        <f t="shared" si="6"/>
        <v>0</v>
      </c>
      <c r="I26" s="60">
        <f t="shared" si="7"/>
        <v>0</v>
      </c>
      <c r="J26" s="61">
        <f>I26*(1+'INPUT DATI'!$B$33)^-('PIANO AMMORTAMENTO'!A26-'PIANO AMMORTAMENTO'!$A$12)</f>
        <v>0</v>
      </c>
    </row>
    <row r="27" spans="1:11">
      <c r="A27" s="59">
        <f t="shared" si="0"/>
        <v>2041</v>
      </c>
      <c r="B27" s="44">
        <f t="shared" si="1"/>
        <v>95000</v>
      </c>
      <c r="C27" s="44">
        <f t="shared" si="2"/>
        <v>0</v>
      </c>
      <c r="D27" s="44">
        <f t="shared" si="3"/>
        <v>95000</v>
      </c>
      <c r="E27" s="44">
        <f t="shared" si="4"/>
        <v>0</v>
      </c>
      <c r="F27" s="44">
        <f t="shared" si="5"/>
        <v>266000</v>
      </c>
      <c r="G27" s="44">
        <f>IF($I$6=0,0,MIN($I$6*$E$7,MAX(0,$I$6-SUM($G$12:G26))))</f>
        <v>0</v>
      </c>
      <c r="H27" s="44">
        <f t="shared" si="6"/>
        <v>0</v>
      </c>
      <c r="I27" s="60">
        <f t="shared" si="7"/>
        <v>0</v>
      </c>
      <c r="J27" s="61">
        <f>I27*(1+'INPUT DATI'!$B$33)^-('PIANO AMMORTAMENTO'!A27-'PIANO AMMORTAMENTO'!$A$12)</f>
        <v>0</v>
      </c>
    </row>
    <row r="28" spans="1:11">
      <c r="A28" s="59">
        <f t="shared" si="0"/>
        <v>2042</v>
      </c>
      <c r="B28" s="44">
        <f t="shared" si="1"/>
        <v>95000</v>
      </c>
      <c r="C28" s="44">
        <f t="shared" si="2"/>
        <v>0</v>
      </c>
      <c r="D28" s="44">
        <f t="shared" si="3"/>
        <v>95000</v>
      </c>
      <c r="E28" s="44">
        <f t="shared" si="4"/>
        <v>0</v>
      </c>
      <c r="F28" s="44">
        <f t="shared" si="5"/>
        <v>266000</v>
      </c>
      <c r="G28" s="44">
        <f>IF($I$6=0,0,MIN($I$6*$E$7,MAX(0,$I$6-SUM($G$12:G27))))</f>
        <v>0</v>
      </c>
      <c r="H28" s="44">
        <f t="shared" si="6"/>
        <v>0</v>
      </c>
      <c r="I28" s="60">
        <f t="shared" si="7"/>
        <v>0</v>
      </c>
      <c r="J28" s="61">
        <f>I28*(1+'INPUT DATI'!$B$33)^-('PIANO AMMORTAMENTO'!A28-'PIANO AMMORTAMENTO'!$A$12)</f>
        <v>0</v>
      </c>
    </row>
    <row r="29" spans="1:11">
      <c r="A29" s="59">
        <f t="shared" si="0"/>
        <v>2043</v>
      </c>
      <c r="B29" s="44">
        <f t="shared" si="1"/>
        <v>95000</v>
      </c>
      <c r="C29" s="44">
        <f t="shared" si="2"/>
        <v>0</v>
      </c>
      <c r="D29" s="44">
        <f t="shared" si="3"/>
        <v>95000</v>
      </c>
      <c r="E29" s="44">
        <f t="shared" si="4"/>
        <v>0</v>
      </c>
      <c r="F29" s="44">
        <f t="shared" si="5"/>
        <v>266000</v>
      </c>
      <c r="G29" s="44">
        <f>IF($I$6=0,0,MIN($I$6*$E$7,MAX(0,$I$6-SUM($G$12:G28))))</f>
        <v>0</v>
      </c>
      <c r="H29" s="44">
        <f t="shared" si="6"/>
        <v>0</v>
      </c>
      <c r="I29" s="60">
        <f t="shared" si="7"/>
        <v>0</v>
      </c>
      <c r="J29" s="61">
        <f>I29*(1+'INPUT DATI'!$B$33)^-('PIANO AMMORTAMENTO'!A29-'PIANO AMMORTAMENTO'!$A$12)</f>
        <v>0</v>
      </c>
    </row>
    <row r="30" spans="1:11">
      <c r="A30" s="59">
        <f t="shared" si="0"/>
        <v>2044</v>
      </c>
      <c r="B30" s="44">
        <f t="shared" si="1"/>
        <v>95000</v>
      </c>
      <c r="C30" s="44">
        <f t="shared" si="2"/>
        <v>0</v>
      </c>
      <c r="D30" s="44">
        <f t="shared" si="3"/>
        <v>95000</v>
      </c>
      <c r="E30" s="44">
        <f t="shared" si="4"/>
        <v>0</v>
      </c>
      <c r="F30" s="44">
        <f t="shared" si="5"/>
        <v>266000</v>
      </c>
      <c r="G30" s="44">
        <f>IF($I$6=0,0,MIN($I$6*$E$7,MAX(0,$I$6-SUM($G$12:G29))))</f>
        <v>0</v>
      </c>
      <c r="H30" s="44">
        <f t="shared" si="6"/>
        <v>0</v>
      </c>
      <c r="I30" s="60">
        <f t="shared" si="7"/>
        <v>0</v>
      </c>
      <c r="J30" s="61">
        <f>I30*(1+'INPUT DATI'!$B$33)^-('PIANO AMMORTAMENTO'!A30-'PIANO AMMORTAMENTO'!$A$12)</f>
        <v>0</v>
      </c>
    </row>
    <row r="31" spans="1:11">
      <c r="A31" s="59">
        <f t="shared" si="0"/>
        <v>2045</v>
      </c>
      <c r="B31" s="44">
        <f t="shared" si="1"/>
        <v>95000</v>
      </c>
      <c r="C31" s="44">
        <f t="shared" si="2"/>
        <v>0</v>
      </c>
      <c r="D31" s="44">
        <f t="shared" si="3"/>
        <v>95000</v>
      </c>
      <c r="E31" s="44">
        <f t="shared" si="4"/>
        <v>0</v>
      </c>
      <c r="F31" s="44">
        <f t="shared" si="5"/>
        <v>266000</v>
      </c>
      <c r="G31" s="44">
        <f>IF($I$6=0,0,MIN($I$6*$E$7,MAX(0,$I$6-SUM($G$12:G30))))</f>
        <v>0</v>
      </c>
      <c r="H31" s="44">
        <f t="shared" si="6"/>
        <v>0</v>
      </c>
      <c r="I31" s="60">
        <f t="shared" si="7"/>
        <v>0</v>
      </c>
      <c r="J31" s="61">
        <f>I31*(1+'INPUT DATI'!$B$33)^-('PIANO AMMORTAMENTO'!A31-'PIANO AMMORTAMENTO'!$A$12)</f>
        <v>0</v>
      </c>
    </row>
    <row r="32" spans="1:11">
      <c r="A32" s="35" t="s">
        <v>25</v>
      </c>
      <c r="B32" s="34"/>
      <c r="C32" s="36">
        <f>SUM(C12:C31)</f>
        <v>95000</v>
      </c>
      <c r="D32" s="34"/>
      <c r="E32" s="34"/>
      <c r="F32" s="34"/>
      <c r="G32" s="36">
        <f>SUM(G12:G31)</f>
        <v>266000</v>
      </c>
      <c r="H32" s="36">
        <f>SUM(H12:H31)</f>
        <v>171000</v>
      </c>
      <c r="I32" s="36">
        <f>SUM(I12:I31)</f>
        <v>41040</v>
      </c>
      <c r="J32" s="36">
        <f>SUM(J12:J31)</f>
        <v>33736.880449269273</v>
      </c>
      <c r="K32" s="5"/>
    </row>
    <row r="33" spans="1:10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0">
      <c r="I34" s="16"/>
    </row>
    <row r="35" spans="1:10" ht="12.75" customHeight="1">
      <c r="A35" s="6"/>
      <c r="B35" s="4"/>
      <c r="C35" s="7"/>
      <c r="D35" s="4"/>
      <c r="E35" s="2"/>
      <c r="F35" s="3"/>
      <c r="G35" s="3"/>
      <c r="H35" s="3"/>
      <c r="I35" s="16"/>
      <c r="J35" s="3"/>
    </row>
    <row r="36" spans="1:10" ht="14.25" customHeight="1">
      <c r="A36" s="8"/>
      <c r="B36" s="8"/>
      <c r="C36" s="8"/>
      <c r="D36" s="8"/>
      <c r="E36" s="8"/>
      <c r="F36" s="8"/>
      <c r="G36" s="8"/>
      <c r="H36" s="8"/>
      <c r="I36" s="17"/>
      <c r="J36" s="9"/>
    </row>
    <row r="37" spans="1:10" hidden="1">
      <c r="A37" s="10"/>
      <c r="C37" s="1">
        <f>J32</f>
        <v>33736.880449269273</v>
      </c>
      <c r="D37" s="11"/>
      <c r="E37" s="11"/>
      <c r="F37" s="11"/>
      <c r="G37" s="11"/>
      <c r="H37" s="11"/>
      <c r="I37" s="12"/>
      <c r="J37" s="13"/>
    </row>
    <row r="38" spans="1:10" hidden="1">
      <c r="A38" s="10"/>
      <c r="B38">
        <v>1</v>
      </c>
      <c r="C38" s="16">
        <f t="dataTable" ref="C38:C47" dt2D="0" dtr="0" r1="B5"/>
        <v>164120.84287886566</v>
      </c>
      <c r="D38" s="11"/>
      <c r="F38" s="11"/>
      <c r="G38" s="11"/>
      <c r="H38" s="11"/>
      <c r="I38" s="12"/>
      <c r="J38" s="13"/>
    </row>
    <row r="39" spans="1:10" hidden="1">
      <c r="A39" s="10"/>
      <c r="B39">
        <v>2</v>
      </c>
      <c r="C39" s="16">
        <v>33736.880449269273</v>
      </c>
      <c r="D39" s="11"/>
      <c r="F39" s="11"/>
      <c r="G39" s="11"/>
      <c r="H39" s="11"/>
      <c r="I39" s="12"/>
      <c r="J39" s="13"/>
    </row>
    <row r="40" spans="1:10" hidden="1">
      <c r="A40" s="10"/>
      <c r="B40">
        <v>3</v>
      </c>
      <c r="C40" s="16">
        <v>0</v>
      </c>
      <c r="D40" s="11"/>
      <c r="F40" s="11"/>
      <c r="G40" s="11"/>
      <c r="H40" s="11"/>
      <c r="I40" s="12"/>
      <c r="J40" s="13"/>
    </row>
    <row r="41" spans="1:10" hidden="1">
      <c r="A41" s="10"/>
      <c r="B41">
        <v>4</v>
      </c>
      <c r="C41" s="16">
        <v>0</v>
      </c>
      <c r="D41" s="11"/>
      <c r="F41" s="11"/>
      <c r="G41" s="11"/>
      <c r="H41" s="11"/>
      <c r="I41" s="12"/>
      <c r="J41" s="13"/>
    </row>
    <row r="42" spans="1:10" hidden="1">
      <c r="A42" s="10"/>
      <c r="B42">
        <v>5</v>
      </c>
      <c r="C42" s="16">
        <v>0</v>
      </c>
      <c r="D42" s="11"/>
      <c r="F42" s="11"/>
      <c r="G42" s="11"/>
      <c r="H42" s="11"/>
      <c r="I42" s="12"/>
      <c r="J42" s="13"/>
    </row>
    <row r="43" spans="1:10" hidden="1">
      <c r="A43" s="10"/>
      <c r="B43">
        <v>6</v>
      </c>
      <c r="C43" s="16">
        <v>0</v>
      </c>
      <c r="D43" s="11"/>
      <c r="F43" s="11"/>
      <c r="G43" s="11"/>
      <c r="H43" s="11"/>
      <c r="I43" s="12"/>
      <c r="J43" s="13"/>
    </row>
    <row r="44" spans="1:10" hidden="1">
      <c r="A44" s="10"/>
      <c r="B44">
        <v>7</v>
      </c>
      <c r="C44" s="16">
        <v>0</v>
      </c>
      <c r="D44" s="11"/>
      <c r="F44" s="11"/>
      <c r="G44" s="11"/>
      <c r="H44" s="11"/>
      <c r="I44" s="12"/>
      <c r="J44" s="13"/>
    </row>
    <row r="45" spans="1:10" hidden="1">
      <c r="A45" s="10"/>
      <c r="B45">
        <v>8</v>
      </c>
      <c r="C45" s="16">
        <v>0</v>
      </c>
      <c r="D45" s="11"/>
      <c r="F45" s="11"/>
      <c r="G45" s="11"/>
      <c r="H45" s="11"/>
      <c r="I45" s="12"/>
      <c r="J45" s="13"/>
    </row>
    <row r="46" spans="1:10" hidden="1">
      <c r="A46" s="10"/>
      <c r="B46">
        <v>9</v>
      </c>
      <c r="C46" s="16">
        <v>0</v>
      </c>
      <c r="D46" s="11"/>
      <c r="F46" s="11"/>
      <c r="G46" s="11"/>
      <c r="H46" s="11"/>
      <c r="I46" s="12"/>
      <c r="J46" s="13"/>
    </row>
    <row r="47" spans="1:10" hidden="1">
      <c r="A47" s="10"/>
      <c r="B47">
        <v>10</v>
      </c>
      <c r="C47" s="16">
        <v>0</v>
      </c>
      <c r="D47" s="11"/>
      <c r="F47" s="11"/>
      <c r="G47" s="11"/>
      <c r="H47" s="11"/>
      <c r="I47" s="12"/>
      <c r="J47" s="13"/>
    </row>
    <row r="48" spans="1:10">
      <c r="A48" s="10"/>
      <c r="B48" s="11"/>
      <c r="C48" s="11"/>
      <c r="D48" s="11"/>
      <c r="E48" s="11"/>
      <c r="F48" s="11"/>
      <c r="G48" s="11"/>
      <c r="H48" s="11"/>
      <c r="I48" s="12"/>
      <c r="J48" s="13"/>
    </row>
    <row r="49" spans="1:10">
      <c r="A49" s="10"/>
      <c r="B49" s="11"/>
      <c r="C49" s="11"/>
      <c r="D49" s="11"/>
      <c r="E49" s="11"/>
      <c r="F49" s="11"/>
      <c r="G49" s="11"/>
      <c r="H49" s="11"/>
      <c r="I49" s="12"/>
      <c r="J49" s="13"/>
    </row>
    <row r="50" spans="1:10">
      <c r="A50" s="10"/>
      <c r="B50" s="11"/>
      <c r="C50" s="11"/>
      <c r="D50" s="11"/>
      <c r="E50" s="11"/>
      <c r="F50" s="11"/>
      <c r="G50" s="11"/>
      <c r="H50" s="11"/>
      <c r="I50" s="12"/>
      <c r="J50" s="13"/>
    </row>
    <row r="51" spans="1:10">
      <c r="A51" s="10"/>
      <c r="B51" s="11"/>
      <c r="C51" s="11"/>
      <c r="D51" s="11"/>
      <c r="E51" s="11"/>
      <c r="F51" s="11"/>
      <c r="G51" s="11"/>
      <c r="H51" s="11"/>
      <c r="I51" s="12"/>
      <c r="J51" s="13"/>
    </row>
    <row r="52" spans="1:10">
      <c r="A52" s="10"/>
      <c r="B52" s="11"/>
      <c r="C52" s="11"/>
      <c r="D52" s="11"/>
      <c r="E52" s="11"/>
      <c r="F52" s="11"/>
      <c r="G52" s="11"/>
      <c r="H52" s="11"/>
      <c r="I52" s="12"/>
      <c r="J52" s="13"/>
    </row>
    <row r="53" spans="1:10">
      <c r="A53" s="10"/>
      <c r="B53" s="11"/>
      <c r="C53" s="11"/>
      <c r="D53" s="11"/>
      <c r="E53" s="11"/>
      <c r="F53" s="11"/>
      <c r="G53" s="11"/>
      <c r="H53" s="11"/>
      <c r="I53" s="12"/>
      <c r="J53" s="13"/>
    </row>
    <row r="54" spans="1:10">
      <c r="A54" s="10"/>
      <c r="B54" s="11"/>
      <c r="C54" s="11"/>
      <c r="D54" s="11"/>
      <c r="E54" s="11"/>
      <c r="F54" s="11"/>
      <c r="G54" s="11"/>
      <c r="H54" s="11"/>
      <c r="I54" s="12"/>
      <c r="J54" s="13"/>
    </row>
    <row r="55" spans="1:10">
      <c r="A55" s="10"/>
      <c r="B55" s="11"/>
      <c r="C55" s="11"/>
      <c r="D55" s="11"/>
      <c r="E55" s="11"/>
      <c r="F55" s="11"/>
      <c r="G55" s="11"/>
      <c r="H55" s="11"/>
      <c r="I55" s="12"/>
      <c r="J55" s="13"/>
    </row>
    <row r="56" spans="1:10">
      <c r="A56" s="10"/>
      <c r="B56" s="11"/>
      <c r="C56" s="11"/>
      <c r="D56" s="11"/>
      <c r="E56" s="11"/>
      <c r="F56" s="11"/>
      <c r="G56" s="11"/>
      <c r="H56" s="11"/>
      <c r="I56" s="12"/>
      <c r="J56" s="13"/>
    </row>
    <row r="57" spans="1:10">
      <c r="A57" s="14"/>
      <c r="B57" s="3"/>
      <c r="C57" s="15"/>
      <c r="D57" s="3"/>
      <c r="E57" s="3"/>
      <c r="F57" s="3"/>
      <c r="G57" s="15"/>
      <c r="H57" s="15"/>
      <c r="I57" s="15"/>
      <c r="J57" s="15"/>
    </row>
  </sheetData>
  <sheetProtection algorithmName="SHA-512" hashValue="GINYr7NffToFY86Rk2cIKpMOlRtn6Zik2GkJzxUNscLcoqGMhGhk6M2yOolNZj5rzKr4craec1ULXhDFga5mGQ==" saltValue="X+RwIOcKJSSkopk6nirdPQ==" spinCount="100000" sheet="1" objects="1" scenarios="1"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7D01-B2CB-4171-A1D3-3BFA3E30D3F8}">
  <sheetPr codeName="Foglio4">
    <tabColor rgb="FFFFC000"/>
  </sheetPr>
  <dimension ref="A1:F21"/>
  <sheetViews>
    <sheetView showGridLines="0" workbookViewId="0">
      <selection sqref="A1:F20"/>
    </sheetView>
  </sheetViews>
  <sheetFormatPr defaultRowHeight="15"/>
  <cols>
    <col min="1" max="1" width="54.5703125" customWidth="1"/>
    <col min="2" max="6" width="23.5703125" customWidth="1"/>
    <col min="7" max="7" width="16.7109375" customWidth="1"/>
  </cols>
  <sheetData>
    <row r="1" spans="1:6" ht="20.25">
      <c r="A1" s="18" t="s">
        <v>74</v>
      </c>
      <c r="B1" s="20"/>
      <c r="C1" s="20"/>
      <c r="D1" s="20"/>
      <c r="E1" s="20"/>
      <c r="F1" s="20"/>
    </row>
    <row r="2" spans="1:6">
      <c r="A2" s="21" t="s">
        <v>75</v>
      </c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 ht="15.75">
      <c r="A4" s="22" t="s">
        <v>76</v>
      </c>
      <c r="B4" s="20"/>
      <c r="C4" s="20"/>
      <c r="D4" s="20"/>
      <c r="E4" s="20"/>
      <c r="F4" s="20"/>
    </row>
    <row r="5" spans="1:6">
      <c r="A5" s="24" t="s">
        <v>36</v>
      </c>
      <c r="B5" s="23" t="s">
        <v>77</v>
      </c>
      <c r="C5" s="24" t="s">
        <v>78</v>
      </c>
      <c r="D5" s="24" t="s">
        <v>79</v>
      </c>
      <c r="E5" s="24" t="s">
        <v>80</v>
      </c>
      <c r="F5" s="24" t="s">
        <v>81</v>
      </c>
    </row>
    <row r="6" spans="1:6">
      <c r="A6" s="27" t="s">
        <v>1</v>
      </c>
      <c r="B6" s="25">
        <f>COUNTIF('INPUT DATI'!C19:C28,"Beni materiali 4.0 - All. IV")</f>
        <v>2</v>
      </c>
      <c r="C6" s="62">
        <f>SUMIF('INPUT DATI'!C19:C28,"Beni materiali 4.0 - All. IV",'INPUT DATI'!D19:D28)</f>
        <v>575000</v>
      </c>
      <c r="D6" s="62">
        <f>SUMIF('INPUT DATI'!C19:C28,"Beni materiali 4.0 - All. IV",'INPUT DATI'!F19:F28)</f>
        <v>0</v>
      </c>
      <c r="E6" s="62">
        <f>SUMIF('INPUT DATI'!C19:C28,"Beni materiali 4.0 - All. IV",'INPUT DATI'!G19:G28)</f>
        <v>575000</v>
      </c>
      <c r="F6" s="62">
        <f>SUMIF('CALCOLO MAGGIORAZIONI'!C5:C14,"Beni materiali 4.0 - All. IV",'CALCOLO MAGGIORAZIONI'!O5:O14)</f>
        <v>1035000</v>
      </c>
    </row>
    <row r="7" spans="1:6">
      <c r="A7" s="27" t="s">
        <v>2</v>
      </c>
      <c r="B7" s="25">
        <f>COUNTIF('INPUT DATI'!C19:C28,"Beni immateriali 4.0 - All. V")</f>
        <v>0</v>
      </c>
      <c r="C7" s="62">
        <f>SUMIF('INPUT DATI'!C19:C28,"Beni immateriali 4.0 - All. V",'INPUT DATI'!D19:D28)</f>
        <v>0</v>
      </c>
      <c r="D7" s="62">
        <f>SUMIF('INPUT DATI'!C19:C28,"Beni immateriali 4.0 - All. V",'INPUT DATI'!F19:F28)</f>
        <v>0</v>
      </c>
      <c r="E7" s="62">
        <f>SUMIF('INPUT DATI'!C19:C28,"Beni immateriali 4.0 - All. V",'INPUT DATI'!G19:G28)</f>
        <v>0</v>
      </c>
      <c r="F7" s="62">
        <f>SUMIF('CALCOLO MAGGIORAZIONI'!C5:C14,"Beni immateriali 4.0 - All. V",'CALCOLO MAGGIORAZIONI'!O5:O14)</f>
        <v>0</v>
      </c>
    </row>
    <row r="8" spans="1:6">
      <c r="A8" s="27" t="s">
        <v>3</v>
      </c>
      <c r="B8" s="25">
        <f>COUNTIF('INPUT DATI'!C19:C28,"Impianti energie rinnovabili")</f>
        <v>0</v>
      </c>
      <c r="C8" s="62">
        <f>SUMIF('INPUT DATI'!C19:C28,"Impianti energie rinnovabili",'INPUT DATI'!D19:D28)</f>
        <v>0</v>
      </c>
      <c r="D8" s="62">
        <f>SUMIF('INPUT DATI'!C19:C28,"Impianti energie rinnovabili",'INPUT DATI'!F19:F28)</f>
        <v>0</v>
      </c>
      <c r="E8" s="62">
        <f>SUMIF('INPUT DATI'!C19:C28,"Impianti energie rinnovabili",'INPUT DATI'!G19:G28)</f>
        <v>0</v>
      </c>
      <c r="F8" s="62">
        <f>SUMIF('CALCOLO MAGGIORAZIONI'!C5:C14,"Impianti energie rinnovabili",'CALCOLO MAGGIORAZIONI'!O5:O14)</f>
        <v>0</v>
      </c>
    </row>
    <row r="9" spans="1:6">
      <c r="A9" s="35" t="s">
        <v>25</v>
      </c>
      <c r="B9" s="63">
        <f>SUM(B6:B8)</f>
        <v>2</v>
      </c>
      <c r="C9" s="36">
        <f>SUM(C6:C8)</f>
        <v>575000</v>
      </c>
      <c r="D9" s="36">
        <f>SUM(D6:D8)</f>
        <v>0</v>
      </c>
      <c r="E9" s="36">
        <f>SUM(E6:E8)</f>
        <v>575000</v>
      </c>
      <c r="F9" s="36">
        <f>SUM(F6:F8)</f>
        <v>1035000</v>
      </c>
    </row>
    <row r="10" spans="1:6">
      <c r="A10" s="20"/>
      <c r="B10" s="20"/>
      <c r="C10" s="20"/>
      <c r="D10" s="20"/>
      <c r="E10" s="20"/>
      <c r="F10" s="20"/>
    </row>
    <row r="11" spans="1:6" ht="15.75">
      <c r="A11" s="22" t="s">
        <v>82</v>
      </c>
      <c r="B11" s="20"/>
      <c r="C11" s="20"/>
      <c r="D11" s="20"/>
      <c r="E11" s="20"/>
      <c r="F11" s="20"/>
    </row>
    <row r="12" spans="1:6" ht="15.75">
      <c r="A12" s="27" t="s">
        <v>83</v>
      </c>
      <c r="B12" s="20"/>
      <c r="C12" s="64">
        <f>C9</f>
        <v>575000</v>
      </c>
      <c r="D12" s="20"/>
      <c r="E12" s="20"/>
      <c r="F12" s="20"/>
    </row>
    <row r="13" spans="1:6">
      <c r="A13" s="27" t="s">
        <v>84</v>
      </c>
      <c r="B13" s="20"/>
      <c r="C13" s="65">
        <f>D9</f>
        <v>0</v>
      </c>
      <c r="D13" s="20"/>
      <c r="E13" s="20"/>
      <c r="F13" s="20"/>
    </row>
    <row r="14" spans="1:6">
      <c r="A14" s="27" t="s">
        <v>85</v>
      </c>
      <c r="B14" s="20"/>
      <c r="C14" s="51">
        <f>E9</f>
        <v>575000</v>
      </c>
      <c r="D14" s="20"/>
      <c r="E14" s="20"/>
      <c r="F14" s="20"/>
    </row>
    <row r="15" spans="1:6" ht="18.75">
      <c r="A15" s="27" t="s">
        <v>86</v>
      </c>
      <c r="B15" s="20"/>
      <c r="C15" s="66">
        <f>F9</f>
        <v>1035000</v>
      </c>
      <c r="D15" s="20"/>
      <c r="E15" s="20"/>
      <c r="F15" s="20"/>
    </row>
    <row r="16" spans="1:6" ht="18.75">
      <c r="A16" s="27" t="s">
        <v>87</v>
      </c>
      <c r="B16" s="20"/>
      <c r="C16" s="67">
        <f>E9+F9</f>
        <v>1610000</v>
      </c>
      <c r="D16" s="20"/>
      <c r="E16" s="20"/>
      <c r="F16" s="20"/>
    </row>
    <row r="17" spans="1:6" ht="15.75">
      <c r="A17" s="27" t="s">
        <v>88</v>
      </c>
      <c r="B17" s="20"/>
      <c r="C17" s="68">
        <f>IF(E9=0,0,F9/E9)</f>
        <v>1.8</v>
      </c>
      <c r="D17" s="20"/>
      <c r="E17" s="20"/>
      <c r="F17" s="20"/>
    </row>
    <row r="18" spans="1:6" ht="15.75">
      <c r="A18" s="27" t="s">
        <v>89</v>
      </c>
      <c r="B18" s="20"/>
      <c r="C18" s="69">
        <f>F9*'INPUT DATI'!B32</f>
        <v>248400</v>
      </c>
      <c r="D18" s="20"/>
      <c r="E18" s="20"/>
      <c r="F18" s="20"/>
    </row>
    <row r="19" spans="1:6" ht="18.75">
      <c r="A19" s="70" t="s">
        <v>90</v>
      </c>
      <c r="B19" s="20"/>
      <c r="C19" s="71">
        <f>C18</f>
        <v>248400</v>
      </c>
      <c r="D19" s="20"/>
      <c r="E19" s="20"/>
      <c r="F19" s="20"/>
    </row>
    <row r="20" spans="1:6" ht="18.75">
      <c r="A20" s="70" t="s">
        <v>125</v>
      </c>
      <c r="B20" s="20"/>
      <c r="C20" s="71">
        <f>'CALCOLO MAGGIORAZIONI'!$R$15</f>
        <v>197857.72332813492</v>
      </c>
      <c r="D20" s="20"/>
      <c r="E20" s="20"/>
      <c r="F20" s="20"/>
    </row>
    <row r="21" spans="1:6" ht="15.75" customHeight="1">
      <c r="A21" s="27"/>
      <c r="B21" s="20"/>
      <c r="C21" s="72"/>
      <c r="D21" s="20"/>
      <c r="E21" s="20"/>
      <c r="F21" s="20"/>
    </row>
  </sheetData>
  <sheetProtection algorithmName="SHA-512" hashValue="OJrDi+5/BmWAjADZFUhKJsBXTTr2G4zNg4jSqKgAGZRErZoLbLCINQh7DOeXamO1F/11th0vbB17maF5dkdHDg==" saltValue="SBLdijVWMNbC1270w11IgQ==" spinCount="100000" sheet="1" objects="1" scenarios="1" formatCells="0" formatColumns="0" formatRow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A0559-F8FA-4D58-B5C5-73FCB2F893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2F9E52-7FEF-48AF-ABC3-90E71538C261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3.xml><?xml version="1.0" encoding="utf-8"?>
<ds:datastoreItem xmlns:ds="http://schemas.openxmlformats.org/officeDocument/2006/customXml" ds:itemID="{A062A34E-EEF5-4666-9511-2CD26B3FE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INPUT DATI</vt:lpstr>
      <vt:lpstr>DOCUMENTAZIONE</vt:lpstr>
      <vt:lpstr>CALCOLO MAGGIORAZIONI</vt:lpstr>
      <vt:lpstr>PIANO AMMORTAMENTO</vt:lpstr>
      <vt:lpstr>RIEPILOGO BENEFICIO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Gabriele Musazzi</cp:lastModifiedBy>
  <dcterms:created xsi:type="dcterms:W3CDTF">2026-02-09T12:09:30Z</dcterms:created>
  <dcterms:modified xsi:type="dcterms:W3CDTF">2026-03-04T16:25:34Z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