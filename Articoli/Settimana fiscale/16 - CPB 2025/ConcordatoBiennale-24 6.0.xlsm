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Questa_cartella_di_lavoro" defaultThemeVersion="202300"/>
  <mc:AlternateContent xmlns:mc="http://schemas.openxmlformats.org/markup-compatibility/2006">
    <mc:Choice Requires="x15">
      <x15ac:absPath xmlns:x15ac="http://schemas.microsoft.com/office/spreadsheetml/2010/11/ac" url="https://mattavelliassociati.sharepoint.com/Documenti condivisi/Clienti/IL Sole24ore/Settimana fiscale/16 - CPB 2025/"/>
    </mc:Choice>
  </mc:AlternateContent>
  <xr:revisionPtr revIDLastSave="8" documentId="13_ncr:1_{0064350B-1FFD-47BA-A8EF-6322F63BB403}" xr6:coauthVersionLast="47" xr6:coauthVersionMax="47" xr10:uidLastSave="{EF0F0424-07EA-4D7B-AE68-9B04827EBBEB}"/>
  <bookViews>
    <workbookView xWindow="-120" yWindow="-120" windowWidth="30960" windowHeight="16800" activeTab="1" xr2:uid="{01556969-C846-4BF4-97C3-3FEC84A58793}"/>
  </bookViews>
  <sheets>
    <sheet name="Foglio1" sheetId="1" r:id="rId1"/>
    <sheet name="ConcordatoBiennale" sheetId="2" r:id="rId2"/>
    <sheet name="Ateco" sheetId="5" state="veryHidden" r:id="rId3"/>
    <sheet name="Foglio3" sheetId="3" r:id="rId4"/>
    <sheet name="Allegato1" sheetId="4" r:id="rId5"/>
  </sheets>
  <functionGroups builtInGroupCount="19"/>
  <definedNames>
    <definedName name="_xleta.AND" hidden="1" xlm="1">#NAME?</definedName>
    <definedName name="_xlpm.accum" hidden="1" xlm="1">#NAME?</definedName>
    <definedName name="_xlpm.MAGGIRAP" hidden="1" xlm="1">#NAME?</definedName>
    <definedName name="_xlpm.MAGGREDD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DatiEsterni_1" localSheetId="3" hidden="1">Foglio3!$A$3:$G$205</definedName>
    <definedName name="Requisiti">IF(ConcordatoBiennale!$B$16=FALSE,"X","")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21" i="2" l="1"/>
  <c r="L7" i="2"/>
  <c r="G31" i="2"/>
  <c r="C30" i="2"/>
  <c r="I5" i="2"/>
  <c r="AD39" i="2" l="1"/>
  <c r="AD34" i="2"/>
  <c r="J10" i="2" l="1"/>
  <c r="J14" i="2" l="1"/>
  <c r="I60" i="2"/>
  <c r="H60" i="2"/>
  <c r="J17" i="2"/>
  <c r="F32" i="2"/>
  <c r="AD31" i="2"/>
  <c r="AD7" i="2"/>
  <c r="AD5" i="2"/>
  <c r="L4" i="2"/>
  <c r="J20" i="2"/>
  <c r="AD26" i="2"/>
  <c r="J53" i="2"/>
  <c r="I73" i="2" s="1"/>
  <c r="E53" i="2"/>
  <c r="E55" i="2" s="1"/>
  <c r="E50" i="2"/>
  <c r="J50" i="2"/>
  <c r="I53" i="2"/>
  <c r="H73" i="2" s="1"/>
  <c r="D53" i="2"/>
  <c r="D55" i="2" s="1"/>
  <c r="I50" i="2"/>
  <c r="D50" i="2"/>
  <c r="H72" i="2"/>
  <c r="H66" i="2"/>
  <c r="H59" i="2"/>
  <c r="I72" i="2"/>
  <c r="I66" i="2"/>
  <c r="I59" i="2"/>
  <c r="H65" i="2" l="1" a="1"/>
  <c r="H65" i="2" s="1"/>
  <c r="H71" i="2" a="1"/>
  <c r="H71" i="2" s="1"/>
  <c r="I65" i="2" a="1"/>
  <c r="I65" i="2" s="1"/>
  <c r="I71" i="2" a="1"/>
  <c r="I71" i="2" s="1"/>
  <c r="H30" i="2"/>
  <c r="H31" i="2" s="1"/>
  <c r="I30" i="2"/>
  <c r="I31" i="2" s="1"/>
  <c r="J72" i="2"/>
  <c r="J73" i="2"/>
  <c r="J55" i="2"/>
  <c r="I67" i="2" s="1"/>
  <c r="I55" i="2"/>
  <c r="H67" i="2" s="1"/>
  <c r="I58" i="2"/>
  <c r="H58" i="2"/>
  <c r="J60" i="2"/>
  <c r="J59" i="2"/>
  <c r="J66" i="2"/>
  <c r="J58" i="2" l="1"/>
  <c r="J61" i="2" s="1"/>
  <c r="J65" i="2"/>
  <c r="J74" i="2"/>
  <c r="J67" i="2"/>
  <c r="J68" i="2" l="1"/>
  <c r="C76" i="2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5E55B0C-72D9-4DDA-9DC4-B07FF9798554}" keepAlive="1" name="Query - Limiti" description="Connessione alla query 'Limiti' nella cartella di lavoro." type="5" refreshedVersion="8" background="1" saveData="1">
    <dbPr connection="Provider=Microsoft.Mashup.OleDb.1;Data Source=$Workbook$;Location=Limiti;Extended Properties=&quot;&quot;" command="SELECT * FROM [Limiti]"/>
  </connection>
  <connection id="2" xr16:uid="{ECE694A8-1B03-4197-B76E-29E20F995A26}" keepAlive="1" name="Query - Studi" description="Connessione alla query 'Studi' nella cartella di lavoro." type="5" refreshedVersion="0" background="1">
    <dbPr connection="Provider=Microsoft.Mashup.OleDb.1;Data Source=$Workbook$;Location=Studi;Extended Properties=&quot;&quot;" command="SELECT * FROM [Studi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<sst xmlns="http://schemas.openxmlformats.org/spreadsheetml/2006/main" count="3540" uniqueCount="2716">
  <si>
    <t>i soggetti che applicano gli ISA, ossia soggetti con ricavi e compensi pari o inferiore a 5.164.569,00 euro;</t>
  </si>
  <si>
    <t>i contribuenti in regime forfetario di cui alla L. 190/2014.</t>
  </si>
  <si>
    <t>i soggetti a cui non sono applicabili né gli ISA, né il regime forfetario non sono considerati "contribuenti minori" e, pertanto, non possono beneficiare del nuovo istituto.</t>
  </si>
  <si>
    <t>Di conseguenza, i contribuenti che potenzialmente sarebbero soggetti alla disciplina ISA, ma che concretamente la disapplicano, per effetto di una o più cause di esclusione, non possono accedere al concordato preventivo biennale.</t>
  </si>
  <si>
    <t>Secondo quanto previsto dall'art. 10 co. 2 del DLgs. 13/2024, il concordato preventivo biennale non è applicabile se il contribuente (ISA o forfetario) ha debiti tributari con riferimento al periodo di imposta precedente a quelli a cui si riferisce la proposta di concordato (ossia, in sede di prima applicazione, il 2023).</t>
  </si>
  <si>
    <t>A parziale deroga di quanto sopra, l'adesione al concordato è consentita se, entro il termine per l'accettazione della proposta, il contribuente ha estinto i debiti d'importo complessivamente pari o superiore a 5.000,00 euro derivanti da tributi amministrati dall'Agenzia delle Entrate o da contributi previdenziali definitivamente accertati.</t>
  </si>
  <si>
    <t>I debiti oggetto di rateazione o sospensione non concorrono al limite di 5.000,00 euro, fino a decadenza dei relativi benefici (art. 10 co. 2 ultimo periodo del DLgs. 13/2024).</t>
  </si>
  <si>
    <t>Per effetto di quanto previsto dall'art. 11 co. 1 lett. b) del DLgs. 13/2024, non possono accedere al concordato preventivo i contribuenti che sono stati condannati per uno dei seguenti reati commessi negli ultimi tre periodi di imposta precedenti a quelli di applicazione del concordato:</t>
  </si>
  <si>
    <t>I contribuenti che iniziano l'attività nel periodo d'imposta precedente a quelli di applicazione del concordato preventivo biennale non possono accedere al nuovo istituto; tale conclusione è esplicita per quanto riguarda i contribuenti forfetari e si ricava in modo indiretto relativamente ai soggetti ISA.</t>
  </si>
  <si>
    <t>I contribuenti che aderiscono al regime forfetario accedono al concordato preventivo in via sperimentale, per il solo periodo d'imposta 2024 (art. 7 co. 2 del DLgs. 13/2024).</t>
  </si>
  <si>
    <t>A decorrere dal 2025, la definizione del reddito coprirà un biennio, al pari di quanto previsto per i soggetti ISA.</t>
  </si>
  <si>
    <t>Per quanto riguarda gli adempimenti contabili, è previsto l'esonero dagli obblighi di registrazione e di tenuta delle scritture contabili, fermo restando l'obbligo di conservare i documenti ricevuti ed emessi (art. 1 co. 69 della L. 190/2014). Ai fini dichiarativi, dev'essere presentato esclusivamente il modello REDDITI PF.</t>
  </si>
  <si>
    <t>Per effetto di quanto previsto dall'art. 15 co. 2 del DLgs. 13/2024, in ogni caso, il reddito concordato non potrà essere inferiore a 2.000,00 euro.</t>
  </si>
  <si>
    <t>esonero dall'apposizione del visto di conformità per la compensazione di crediti per un importo non superiore a 70.000,00 euro annui relativamente all'IVA e per un importo non superiore a 50.000,00 euro annui relativamente alle imposte dirette e IRAP;</t>
  </si>
  <si>
    <t>esonero dall'apposizione del visto di conformità ovvero dalla prestazione della garanzia per i rimborsi IVA per un importo non superiore a 70.000,00 euro annui;</t>
  </si>
  <si>
    <t>esclusione dell'applicazione della disciplina delle società non operative;</t>
  </si>
  <si>
    <t>esclusione degli accertamenti basati sulle presunzioni semplici di cui all'art. 39 co. 1 lett. d) secondo periodo del DPR 600/73 e all'art. 54 co. 2 secondo periodo del DPR 633/72;</t>
  </si>
  <si>
    <t>anticipazione di un anno dei termini di decadenza per l'attività di accertamento;</t>
  </si>
  <si>
    <t>esclusione della determinazione sintetica del reddito complessivo di cui all'art. 38 del DPR 600/73, a condizione che il reddito complessivo accertabile non ecceda di due terzi il reddito dichiarato26.</t>
  </si>
  <si>
    <t>Il contribuente dichiara di non avere debiti tributari superiori a Euro 5.000, al di fuori di quelli sospesi o rateizzati.</t>
  </si>
  <si>
    <t>Assenza di debiti tributari</t>
  </si>
  <si>
    <t>Nessuna violazione</t>
  </si>
  <si>
    <t xml:space="preserve">Nominativo </t>
  </si>
  <si>
    <t>Tipologia</t>
  </si>
  <si>
    <t>Proposta CPB</t>
  </si>
  <si>
    <t xml:space="preserve">Valore della produzione proposto </t>
  </si>
  <si>
    <t>Maggiori imposte sostitutive</t>
  </si>
  <si>
    <t>Maggiori imposte dirette</t>
  </si>
  <si>
    <t>Maggior IRAP</t>
  </si>
  <si>
    <t>Totale</t>
  </si>
  <si>
    <t>Ipotesi di reddito</t>
  </si>
  <si>
    <t>Imposte dirette</t>
  </si>
  <si>
    <t>IRAP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</si>
  <si>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</si>
  <si>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</si>
  <si>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</si>
  <si>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</si>
  <si>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</si>
  <si>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</si>
  <si>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</si>
  <si>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</si>
  <si>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</si>
  <si>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P10</t>
  </si>
  <si>
    <t>LM60</t>
  </si>
  <si>
    <t>LM61</t>
  </si>
  <si>
    <t>LM62</t>
  </si>
  <si>
    <t>LM63</t>
  </si>
  <si>
    <t>LM64</t>
  </si>
  <si>
    <t>Studi.Data.Column2</t>
  </si>
  <si>
    <t>Tipologia reddito</t>
  </si>
  <si>
    <t>b_bench</t>
  </si>
  <si>
    <t>limite_sett</t>
  </si>
  <si>
    <t>rif_redd</t>
  </si>
  <si>
    <t>Indice</t>
  </si>
  <si>
    <t>CA01U-Coltivazioni agricole, silvicoltura ed utilizzo di aree forestali</t>
  </si>
  <si>
    <t>Imprese</t>
  </si>
  <si>
    <t>CA02U-Produzione di prodotti animali, caccia e servizi connessi</t>
  </si>
  <si>
    <t>CD03U-Molitoria dei cereali</t>
  </si>
  <si>
    <t>CD04U-Estrazione e lavorazione di pietra, ghiaia, sabbia e altri minerali</t>
  </si>
  <si>
    <t>CD07U-Produzione su misura e in serie di abbigliamento, accessori, biancheria per la casa e lavorazioni connesse</t>
  </si>
  <si>
    <t>CD09U-Produzione di legno e fabbricazione del mobile</t>
  </si>
  <si>
    <t>CD18U-Fabbricazione prodotti in ceramica e terracotta</t>
  </si>
  <si>
    <t>CD20U-Fabbricazione e lavorazione di prodotti in metallo</t>
  </si>
  <si>
    <t>CD21U-Produzione di occhialeria e strumenti ottici</t>
  </si>
  <si>
    <t>CD24U-Produzione e commercio al dettaglio di pellicceria e di abbigliamento in pelle</t>
  </si>
  <si>
    <t>CD25U-Concia delle pelli e del cuoio</t>
  </si>
  <si>
    <t>CD29U-Produzione di calcestruzzo e di altri prodotti per l'edilizia</t>
  </si>
  <si>
    <t>CD30U-Recupero e preparazione per riciclaggio e commercio all'ingrosso di rottami metallici</t>
  </si>
  <si>
    <t>CD32U-Fabbricazione, installazione e riparazione di macchine e apparecchi meccanici</t>
  </si>
  <si>
    <t>CD35U-Editoria, prestampa, stampa e legatoria</t>
  </si>
  <si>
    <t>CD40U-Fabbricazione di prodotti elettrotecnici ed elettronici</t>
  </si>
  <si>
    <t>CD45U-Lavorazione di tè, lavorazione e commercio all'ingrosso di caffè</t>
  </si>
  <si>
    <t>CD46U-Fabbricazione di prodotti chimici</t>
  </si>
  <si>
    <t>CD47U-Fabbricazione di articoli in carta e cartone</t>
  </si>
  <si>
    <t>CD48U-Produzione di prodotti alimentari nca</t>
  </si>
  <si>
    <t>CD49U-Industria delle bevande</t>
  </si>
  <si>
    <t>CD50U-Produzione tessile nca</t>
  </si>
  <si>
    <t>CD51U-Attività manifatturiere ed estrattive nca</t>
  </si>
  <si>
    <t>CD52U-Fornitura di energia elettrica, gas, acqua, vapore e aria condizionata e gestione di reti fognarie, attività di risanamento e altre attività di gestione dei rifiuti</t>
  </si>
  <si>
    <t>CG01U-Attività relative ai trasporti nca</t>
  </si>
  <si>
    <t>CG02U-Attività agrituristiche</t>
  </si>
  <si>
    <t>CG03U-Servizi di informazione e comunicazione nca</t>
  </si>
  <si>
    <t>CG04U-Gestione di spazi culturali, sportivi e ricreativi nca</t>
  </si>
  <si>
    <t>Professionisti</t>
  </si>
  <si>
    <t>CG05U-Servizi di telecomunicazioni e attività connesse nca</t>
  </si>
  <si>
    <t>CG06U-Attività finanziarie e assicurative nca</t>
  </si>
  <si>
    <t>CG07U-Attività di associazioni e organizzazioni</t>
  </si>
  <si>
    <t>CG08U-Ricerca e sviluppo</t>
  </si>
  <si>
    <t>CG09U-Noleggio nca</t>
  </si>
  <si>
    <t>CG10U-Servizi di istruzione nca</t>
  </si>
  <si>
    <t>CG11U-Servizi sanitari nca</t>
  </si>
  <si>
    <t>CG12U-Servizi di assistenza residenziale</t>
  </si>
  <si>
    <t>CG13U-Servizi di assistenza non residenziale</t>
  </si>
  <si>
    <t>CG15U-Servizi nca</t>
  </si>
  <si>
    <t>CG33U-Servizi estetici e per il benessere fisico</t>
  </si>
  <si>
    <t>CG41U-Ricerche di mercato e sondaggi di opinione</t>
  </si>
  <si>
    <t>CG48U-Riparazione di elettrodomestici e di prodotti di consumo audio e video</t>
  </si>
  <si>
    <t>CG51U-Conservazione e restauro di opere d'arte</t>
  </si>
  <si>
    <t>CG53U-Servizi linguistici e organizzazione di convegni e fiere</t>
  </si>
  <si>
    <t>CG57U-Laboratori di analisi cliniche e ambulatori</t>
  </si>
  <si>
    <t>CG66U-Software house, riparazione di macchine per ufficio ed altri servizi connessi all'Information Technology</t>
  </si>
  <si>
    <t>CG67U-Tintorie e lavanderie</t>
  </si>
  <si>
    <t>CG70U-Servizi di pulizia e di cura e manutenzione delle aree verdi</t>
  </si>
  <si>
    <t>CG72U-Trasporto terrestre di passeggeri</t>
  </si>
  <si>
    <t>CG73U-Magazzinaggio, movimentazione merci e altre attività connesse al trasporto</t>
  </si>
  <si>
    <t>CG76U-Servizi di ristorazione collettiva</t>
  </si>
  <si>
    <t>CG81U-Noleggio di macchine e attrezzature per l'edilizia</t>
  </si>
  <si>
    <t>CG82U-Servizi pubblicitari, relazioni pubbliche e comunicazione</t>
  </si>
  <si>
    <t>CG87U-Consulenza finanziaria, amministrativo-gestionale e agenzie di informazioni commerciali</t>
  </si>
  <si>
    <t>CG90U-Attività di pesca e acquacoltura</t>
  </si>
  <si>
    <t>CG91U-Attività ausiliarie dei servizi finanziari e assicurativi</t>
  </si>
  <si>
    <t>CG92U-Servizi forniti da revisori contabili, periti, consulenti ed altri soggetti che svolgono attività in materia di amministrazione, contabilità e tributi (attività di impresa)</t>
  </si>
  <si>
    <t>CG93U-Attività degli studi di design</t>
  </si>
  <si>
    <t>CG94U-Produzioni e distribuzioni cinematografiche e di video, attività radiotelevisive</t>
  </si>
  <si>
    <t>CG98U-Riparazione beni consumo nca</t>
  </si>
  <si>
    <t>CG99U-Altri servizi a imprese e famiglie</t>
  </si>
  <si>
    <t>CK10U-Studi medici e laboratori di analisi cliniche</t>
  </si>
  <si>
    <t>CK26U-Attività delle guide turistiche, degli accompagnatori turistici e delle guide alpine</t>
  </si>
  <si>
    <t>CK27U-Attività professionali relative all'informatica</t>
  </si>
  <si>
    <t>CK28U-Attività nel campo della recitazione, della regia e altre creazioni artistiche e letterarie</t>
  </si>
  <si>
    <t>CK30U-Altre attività tecniche</t>
  </si>
  <si>
    <t>CM01U-Commercio al dettaglio alimentare</t>
  </si>
  <si>
    <t>CM03U-Commercio al dettaglio ambulante</t>
  </si>
  <si>
    <t>CM04U-Farmacie</t>
  </si>
  <si>
    <t>CM09U-Commercio di autoveicoli, motocicli e ciclomotori</t>
  </si>
  <si>
    <t>CM10U-Commercio di parti e accessori di autoveicoli e motoveicoli</t>
  </si>
  <si>
    <t>CM18B-Commercio all'ingrosso di animali vivi</t>
  </si>
  <si>
    <t>CM19U-Commercio all'ingrosso di abbigliamento, calzature, pelletteria e pelli</t>
  </si>
  <si>
    <t>CM21U-Commercio all'ingrosso alimentare</t>
  </si>
  <si>
    <t>CM22A-Commercio all'ingrosso di elettrodomestici e casalinghi</t>
  </si>
  <si>
    <t>CM25U-Commercio all'ingrosso di giochi, giocattoli, articoli sportivi</t>
  </si>
  <si>
    <t>CM46U-Commercio all'ingrosso di articoli per fotografia, cinematografia, ottica e strumenti scientifici</t>
  </si>
  <si>
    <t>CM47U-Commercio al dettaglio di natanti e forniture di bordo</t>
  </si>
  <si>
    <t>CM80U-Commercio al dettaglio di carburanti per autotrazione</t>
  </si>
  <si>
    <t>CM82U-Commercio all'ingrosso di metalli</t>
  </si>
  <si>
    <t>CM83U-Commercio all'ingrosso di prodotti chimici</t>
  </si>
  <si>
    <t>CM90U-Commercio al dettaglio al di fuori di negozi, banchi, mercati e distributori automatici</t>
  </si>
  <si>
    <t>DD02U-Produzione di paste alimentari</t>
  </si>
  <si>
    <t>DD05U-Produzione e conservazione di carne</t>
  </si>
  <si>
    <t>DD08U-Fabbricazione di calzature, parti e accessori</t>
  </si>
  <si>
    <t>DD11U-Produzione di olio di oliva e di semi</t>
  </si>
  <si>
    <t>DD12U-Produzione e commercio al dettaglio di prodotti di panetteria</t>
  </si>
  <si>
    <t>DD14U-Produzione tessile</t>
  </si>
  <si>
    <t>DD15U-Trattamento igienico e confezionamento di latte e derivati</t>
  </si>
  <si>
    <t>DD17U-Fabbricazione di prodotti in gomma e plastica</t>
  </si>
  <si>
    <t>DD23U-Laboratori di corniciai</t>
  </si>
  <si>
    <t>DD27U-Fabbricazione di articoli da viaggio, borse, marocchineria e selleria</t>
  </si>
  <si>
    <t>DD28U-Fabbricazione, lavorazione e trasformazione del vetro</t>
  </si>
  <si>
    <t>DD33U-Produzione e lavorazione di oggetti di gioielleria, oreficeria e bigiotteria</t>
  </si>
  <si>
    <t>DD34U-Fabbricazione e riparazione di protesi dentarie</t>
  </si>
  <si>
    <t>DD36U-Fusione di metalli, prima trasformazione del ferro e dell'acciaio</t>
  </si>
  <si>
    <t>DD37U-Costruzione e riparazione di imbarcazioni</t>
  </si>
  <si>
    <t>DG14U-Attività sportive e di intrattenimento nca</t>
  </si>
  <si>
    <t>DG31U-Manutenzione e riparazione di autoveicoli, motocicli e ciclomotori</t>
  </si>
  <si>
    <t>DG34U-Servizi di acconciatura</t>
  </si>
  <si>
    <t>DG36U-Servizi di ristorazione commerciale</t>
  </si>
  <si>
    <t>DG37U-Attività di bar, gelateria, pasticceria e produzione dolciaria</t>
  </si>
  <si>
    <t>DG39U-Agenzie di mediazione immobiliare</t>
  </si>
  <si>
    <t>DG40U-Locazione, valorizzazione, compravendita di beni immobili</t>
  </si>
  <si>
    <t>DG44U-Strutture ricettive alberghiere ed extralberghiere</t>
  </si>
  <si>
    <t>DG50U-Intonacatura, rivestimento, tinteggiatura ed altri lavori di completamento e finitura degli edifici</t>
  </si>
  <si>
    <t>DG54U-Sale giochi e biliardi, gestione di apparecchi automatici da intrattenimento</t>
  </si>
  <si>
    <t>DG55U-Servizi di pompe funebri e attività connesse</t>
  </si>
  <si>
    <t>DG58U-Strutture ricettive all'aperto</t>
  </si>
  <si>
    <t>DG60U-Stabilimenti balneari</t>
  </si>
  <si>
    <t>DG61U-Intermediari del commercio</t>
  </si>
  <si>
    <t>DG68U-Trasporto di merci su strada e servizi di trasloco</t>
  </si>
  <si>
    <t>DG69U-Costruzioni</t>
  </si>
  <si>
    <t>DG74U-Attività fotografiche</t>
  </si>
  <si>
    <t>DG75U-Installazione di impianti elettrici, idraulico-sanitari e altri impianti</t>
  </si>
  <si>
    <t>DG77U-Trasporti marittimi e per vie d'acqua interne, noleggio di imbarcazioni e servizi connessi</t>
  </si>
  <si>
    <t>DG96U-Altre attività di manutenzione autoveicoli e di soccorso stradale</t>
  </si>
  <si>
    <t>DK01U-Studi notarili</t>
  </si>
  <si>
    <t>DK02U-Attività degli studi di ingegneria</t>
  </si>
  <si>
    <t>DK03U-Attività tecniche svolte da geometri</t>
  </si>
  <si>
    <t>DK04U-Attività degli studi legali</t>
  </si>
  <si>
    <t>DK05U-Servizi forniti da dottori commercialisti, ragionieri, periti commerciali e consulenti del lavoro</t>
  </si>
  <si>
    <t>DK06U-Servizi forniti da revisori contabili, periti, consulenti ed altri soggetti che svolgono attività</t>
  </si>
  <si>
    <t>DK08U-Attività dei disegnatori tecnici</t>
  </si>
  <si>
    <t>DK16U-Amministrazione di condomini, gestione di beni immobili per conto terzi e servizi integrati di gestione agli edifici</t>
  </si>
  <si>
    <t>DK17U-Periti industriali</t>
  </si>
  <si>
    <t>DK18U-Attività degli studi di architettura</t>
  </si>
  <si>
    <t>DK19U-Attività professionali paramediche indipendenti</t>
  </si>
  <si>
    <t>DK20U-Attività professionale svolta da psicologi</t>
  </si>
  <si>
    <t>DK21U-Attività degli studi odontoiatrici e delle imprese operanti in ambito odontoiatrico</t>
  </si>
  <si>
    <t>DK22U-Servizi veterinari</t>
  </si>
  <si>
    <t>DK23U-Servizi di ingegneria integrata</t>
  </si>
  <si>
    <t>DK24U-Consulenza agraria fornita da agrotecnici e periti agrari</t>
  </si>
  <si>
    <t>DK25U-Consulenza agraria fornita da agronomi</t>
  </si>
  <si>
    <t>DK29U-Studi di geologia</t>
  </si>
  <si>
    <t>DM02U-Commercio al dettaglio di carni</t>
  </si>
  <si>
    <t>DM05U-Commercio al dettaglio di abbigliamento, calzature, pelletterie ed accessori</t>
  </si>
  <si>
    <t>DM06A-Commercio al dettaglio di elettrodomestici e casalinghi</t>
  </si>
  <si>
    <t>DM08U-Commercio al dettaglio di giochi, giocattoli, articoli sportivi</t>
  </si>
  <si>
    <t>DM11U-Commercio all'ingrosso e al dettaglio di ferramenta ed utensileria, termoidraulica, legname, materiali da costruzione, piastrelle, pavimenti e prodotti vernicianti</t>
  </si>
  <si>
    <t>DM12U-Commercio al dettaglio di libri nuovi in esercizi specializzati</t>
  </si>
  <si>
    <t>DM13U-Commercio al dettaglio di giornali, riviste e periodici</t>
  </si>
  <si>
    <t>DM15A-Commercio al dettaglio e riparazione di orologi e gioielli</t>
  </si>
  <si>
    <t>DM15B-Commercio al dettaglio di materiale per ottica, fotografia, cinematografia, strumenti di precisione</t>
  </si>
  <si>
    <t>DM16U-Commercio al dettaglio di articoli di profumeria, per l'igiene personale e della casa</t>
  </si>
  <si>
    <t>DM17U-Commercio all'ingrosso di cereali, legumi secchi e sementi</t>
  </si>
  <si>
    <t>DM18A-Commercio all'ingrosso di fiori e piante</t>
  </si>
  <si>
    <t>DM20U-Commercio al dettaglio di articoli di cartoleria e forniture per ufficio</t>
  </si>
  <si>
    <t>DM22C-Commercio all'ingrosso di mobili di qualsiasi materiale</t>
  </si>
  <si>
    <t>DM23U-Commercio all'ingrosso di medicinali, di articoli medicali e ortopedici</t>
  </si>
  <si>
    <t>DM24U-Commercio all'ingrosso di carta, cartone e articoli di cartoleria</t>
  </si>
  <si>
    <t>DM31U-Commercio all'ingrosso di orologi e di gioielleria</t>
  </si>
  <si>
    <t>DM35U-Erboristerie</t>
  </si>
  <si>
    <t>DM37U-Commercio all'ingrosso di saponi, detersivi, profumi e cosmetici</t>
  </si>
  <si>
    <t>DM39U-Commercio al dettaglio di combustibili per uso domestico e per riscaldamento</t>
  </si>
  <si>
    <t>DM40A-Commercio al dettaglio di fiori e piante</t>
  </si>
  <si>
    <t>DM42U-Commercio al dettaglio di articoli medicali e ortopedici</t>
  </si>
  <si>
    <t>DM43U-Commercio all'ingrosso e al dettaglio di macchine e attrezzature agricole e per il giardinaggio</t>
  </si>
  <si>
    <t>DM44U-Commercio al dettaglio di macchine e attrezzature per ufficio</t>
  </si>
  <si>
    <t>DM48U-Commercio al dettaglio di piccoli animali domestici</t>
  </si>
  <si>
    <t>DM81U-Commercio all'ingrosso di combustibili</t>
  </si>
  <si>
    <t>DM84U-Commercio all'ingrosso di macchine utensili</t>
  </si>
  <si>
    <t>DM85U-Commercio al dettaglio di prodotti del tabacco</t>
  </si>
  <si>
    <t>DM86U-Commercio effettuato per mezzo di distributori automatici</t>
  </si>
  <si>
    <t>DM87U-Commercio al dettaglio di altri prodotti nca</t>
  </si>
  <si>
    <t>DM88U-Commercio all'ingrosso di altri prodotti nca</t>
  </si>
  <si>
    <t>Studi.Personalizzato</t>
  </si>
  <si>
    <t>Colonna1</t>
  </si>
  <si>
    <t>X</t>
  </si>
  <si>
    <t>CM28U-Commercio al dettaglio di tessuti, filati e articoli di merceria</t>
  </si>
  <si>
    <t>CM29U-Commercio al dettaglio di mobili e articoli in legno, sughero, vimini e plastica</t>
  </si>
  <si>
    <t>CM32U-Commercio al dettaglio di oggetti d'arte e di antiquariato, di culto e di decorazione, chincaglieria, bigiotteria, bomboniere, articoli da regalo e per fumatori e strumenti musical</t>
  </si>
  <si>
    <t>CM36U-Commercio all'ingrosso di libri, riviste e giornali</t>
  </si>
  <si>
    <t>CM41U-Commercio all'ingrosso di macchine e attrezzature per ufficio</t>
  </si>
  <si>
    <t>DG78U-Attività delle agenzie di viaggio e turismo e dei tour operator</t>
  </si>
  <si>
    <t>DG79U-Noleggio di autovetture e altri mezzi di trasporto terrestre</t>
  </si>
  <si>
    <t>DG83U-Gestione di impianti sportivi</t>
  </si>
  <si>
    <t>DG85U-Discoteche, sale da ballo, night club e scuole di danza</t>
  </si>
  <si>
    <t>DG88U-Autoscuole, scuole nautiche e agenzie di disbrigo pratiche</t>
  </si>
  <si>
    <t>DK06U-Servizi forniti da revisori contabili, periti, consulenti ed altri soggetti che svolgono attività in materia di amministrazione, contabilità e tributi (lavoro autonomo)</t>
  </si>
  <si>
    <t>DK20U-Attività professionale svolta da psicolog</t>
  </si>
  <si>
    <t>Probabilità 2025</t>
  </si>
  <si>
    <t>Ateco</t>
  </si>
  <si>
    <t>Descrizione</t>
  </si>
  <si>
    <t>Limite 1</t>
  </si>
  <si>
    <t>Limite 2</t>
  </si>
  <si>
    <t>Coefficiente</t>
  </si>
  <si>
    <t>01.11.10</t>
  </si>
  <si>
    <t>Coltivazione di cereali (escluso il riso)</t>
  </si>
  <si>
    <t>01.11.20</t>
  </si>
  <si>
    <t>Coltivazione di semi oleosi</t>
  </si>
  <si>
    <t>01.11.30</t>
  </si>
  <si>
    <t>Coltivazione di legumi da granella</t>
  </si>
  <si>
    <t>01.11.40</t>
  </si>
  <si>
    <t>Coltivazioni miste di cereali, legumi da granella e semi oleosi</t>
  </si>
  <si>
    <t>01.12.00</t>
  </si>
  <si>
    <t>Coltivazione di riso</t>
  </si>
  <si>
    <t>01.13.10</t>
  </si>
  <si>
    <t>Coltivazione di ortaggi (inclusi i meloni) in foglia, a fusto, a frutto, in radici, bulbi e
tuberi in piena aria (escluse barbabietola da zucchero e patate)</t>
  </si>
  <si>
    <t>01.13.20</t>
  </si>
  <si>
    <t>Coltivazione di ortaggi (inclusi i meloni) in foglia, a fusto, a frutto, in radici, bulbi e
tuberi in colture protette (escluse barbabietola da zucchero e patate)</t>
  </si>
  <si>
    <t>01.13.30</t>
  </si>
  <si>
    <t>Coltivazione di barbabietola da zucchero</t>
  </si>
  <si>
    <t>01.13.40</t>
  </si>
  <si>
    <t>Coltivazione di patate</t>
  </si>
  <si>
    <t>01.14.00</t>
  </si>
  <si>
    <t>Coltivazione di canna da zucchero</t>
  </si>
  <si>
    <t>01.15.00</t>
  </si>
  <si>
    <t>Coltivazione di tabacco</t>
  </si>
  <si>
    <t>01.16.00</t>
  </si>
  <si>
    <t>Coltivazione di piante per la preparazione di fibre tessili</t>
  </si>
  <si>
    <t>01.19.10</t>
  </si>
  <si>
    <t>Coltivazione di fiori in piena aria</t>
  </si>
  <si>
    <t>01.19.20</t>
  </si>
  <si>
    <t>Coltivazione di fiori in colture protette</t>
  </si>
  <si>
    <t>01.19.90</t>
  </si>
  <si>
    <t>Coltivazione di piante da foraggio e di altre colture non permanenti</t>
  </si>
  <si>
    <t>01.21.00</t>
  </si>
  <si>
    <t>Coltivazione di uva</t>
  </si>
  <si>
    <t>01.22.00</t>
  </si>
  <si>
    <t>Coltivazione di frutta di origine tropicale e subtropicale</t>
  </si>
  <si>
    <t>01.23.00</t>
  </si>
  <si>
    <t>Coltivazione di agrumi</t>
  </si>
  <si>
    <t>01.24.00</t>
  </si>
  <si>
    <t>Coltivazione di pomacee e frutta a nocciolo</t>
  </si>
  <si>
    <t>01.25.00</t>
  </si>
  <si>
    <t>Coltivazione di altri alberi da frutta, frutti di bosco e frutta in guscio</t>
  </si>
  <si>
    <t>01.26.00</t>
  </si>
  <si>
    <t>Coltivazione di frutti oleosi</t>
  </si>
  <si>
    <t>01.27.00</t>
  </si>
  <si>
    <t>Coltivazione di piante per la produzione di bevande</t>
  </si>
  <si>
    <t>01.28.00</t>
  </si>
  <si>
    <t>Coltivazione di spezie, piante aromatiche e farmaceutiche</t>
  </si>
  <si>
    <t>01.29.00</t>
  </si>
  <si>
    <t>Coltivazione di altre colture permanenti (inclusi alberi di Natale)</t>
  </si>
  <si>
    <t>01.30.00</t>
  </si>
  <si>
    <t>Riproduzione delle piante</t>
  </si>
  <si>
    <t>01.41.00</t>
  </si>
  <si>
    <t>Allevamento di bovini e bufale da latte, produzione di latte crudo</t>
  </si>
  <si>
    <t>01.42.00</t>
  </si>
  <si>
    <t>Allevamento di bovini e bufalini da carne</t>
  </si>
  <si>
    <t>01.43.00</t>
  </si>
  <si>
    <t>Allevamento di cavalli e altri equini</t>
  </si>
  <si>
    <t>01.44.00</t>
  </si>
  <si>
    <t>Allevamento di cammelli e camelidi</t>
  </si>
  <si>
    <t>01.45.00</t>
  </si>
  <si>
    <t>Allevamento di ovini e caprini</t>
  </si>
  <si>
    <t>01.46.00</t>
  </si>
  <si>
    <t>Allevamento di suini</t>
  </si>
  <si>
    <t>01.47.00</t>
  </si>
  <si>
    <t>Allevamento di pollame</t>
  </si>
  <si>
    <t>01.49.10</t>
  </si>
  <si>
    <t>Allevamento di conigli</t>
  </si>
  <si>
    <t>01.49.20</t>
  </si>
  <si>
    <t>Allevamento di animali da pelliccia</t>
  </si>
  <si>
    <t>01.49.30</t>
  </si>
  <si>
    <t>Apicoltura</t>
  </si>
  <si>
    <t>01.49.40</t>
  </si>
  <si>
    <t>Bachicoltura</t>
  </si>
  <si>
    <t>01.49.90</t>
  </si>
  <si>
    <t>Allevamento di altri animali nca</t>
  </si>
  <si>
    <t>01.50.00</t>
  </si>
  <si>
    <t>Coltivazioni agricole associate all'allevamento di animali: attività mista</t>
  </si>
  <si>
    <t>01.61.00</t>
  </si>
  <si>
    <t>Attività di supporto alla produzione vegetale</t>
  </si>
  <si>
    <t>01.62.01</t>
  </si>
  <si>
    <t>Attività dei maniscalchi</t>
  </si>
  <si>
    <t>01.62.09</t>
  </si>
  <si>
    <t>Altre attività di supporto alla produzione animale (esclusi i servizi veterinari)</t>
  </si>
  <si>
    <t>01.63.00</t>
  </si>
  <si>
    <t>Attività che seguono la raccolta</t>
  </si>
  <si>
    <t>01.64.01</t>
  </si>
  <si>
    <t>Pulitura e cernita di semi e granaglie</t>
  </si>
  <si>
    <t>01.64.09</t>
  </si>
  <si>
    <t>Altre lavorazioni delle sementi per la semina</t>
  </si>
  <si>
    <t>01.70.00</t>
  </si>
  <si>
    <t>Caccia, cattura di animali e servizi connessi</t>
  </si>
  <si>
    <t>02.10.00</t>
  </si>
  <si>
    <t>Silvicoltura e altre attività forestali</t>
  </si>
  <si>
    <t>02.20.00</t>
  </si>
  <si>
    <t>Utilizzo di aree forestali</t>
  </si>
  <si>
    <t>02.30.00</t>
  </si>
  <si>
    <t>Raccolta di prodotti selvatici non legnosi</t>
  </si>
  <si>
    <t>02.40.00</t>
  </si>
  <si>
    <t>Servizi di supporto per la silvicoltura</t>
  </si>
  <si>
    <t>03.11.00</t>
  </si>
  <si>
    <t>Pesca in acque marine e lagunari e servizi connessi</t>
  </si>
  <si>
    <t>03.12.00</t>
  </si>
  <si>
    <t>Pesca in acque dolci e servizi connessi</t>
  </si>
  <si>
    <t>03.21.00</t>
  </si>
  <si>
    <t>Acquacoltura in acqua di mare, salmastra o lagunare e servizi connessi</t>
  </si>
  <si>
    <t>03.22.00</t>
  </si>
  <si>
    <t>Acquacoltura in acque dolci e servizi connessi</t>
  </si>
  <si>
    <t>05.10.00</t>
  </si>
  <si>
    <t>Estrazione di antracite e litantrace</t>
  </si>
  <si>
    <t>05.20.00</t>
  </si>
  <si>
    <t>Estrazione di lignite</t>
  </si>
  <si>
    <t>06.10.00</t>
  </si>
  <si>
    <t>Estrazione di petrolio greggio</t>
  </si>
  <si>
    <t>06.20.00</t>
  </si>
  <si>
    <t>Estrazione di gas naturale</t>
  </si>
  <si>
    <t>07.10.00</t>
  </si>
  <si>
    <t>Estrazione di minerali metalliferi ferrosi</t>
  </si>
  <si>
    <t>07.21.00</t>
  </si>
  <si>
    <t>Estrazione di minerali di uranio e di torio</t>
  </si>
  <si>
    <t>07.29.00</t>
  </si>
  <si>
    <t>Estrazione di altri minerali metalliferi non ferrosi</t>
  </si>
  <si>
    <t>08.11.00</t>
  </si>
  <si>
    <t>Estrazione di pietre ornamentali e da costruzione, calcare, pietra da gesso, creta
e ardesia</t>
  </si>
  <si>
    <t>08.12.00</t>
  </si>
  <si>
    <t>Estrazione di ghiaia, sabbia; estrazione di argille e caolino</t>
  </si>
  <si>
    <t>08.91.00</t>
  </si>
  <si>
    <t>Estrazione di minerali per l'industria chimica e per la produzione di fertilizzanti</t>
  </si>
  <si>
    <t>08.92.00</t>
  </si>
  <si>
    <t>Estrazione di torba</t>
  </si>
  <si>
    <t>08.93.00</t>
  </si>
  <si>
    <t>Estrazione di sale</t>
  </si>
  <si>
    <t>08.99.01</t>
  </si>
  <si>
    <t>Estrazione di asfalto e bitume naturale</t>
  </si>
  <si>
    <t>08.99.09</t>
  </si>
  <si>
    <t>Estrazione di pomice e di altri minerali nca</t>
  </si>
  <si>
    <t>09.10.00</t>
  </si>
  <si>
    <t>Attività di supporto all'estrazione di petrolio e di gas naturale</t>
  </si>
  <si>
    <t>09.90.01</t>
  </si>
  <si>
    <t>Attività di supporto all'estrazione di pietre ornamentali, da costruzione, da gesso,
di anidrite, per calce e cementi, di dolomite, di ardesia, di ghiaia e sabbia, di
argilla, di caolino, di pomice</t>
  </si>
  <si>
    <t>09.90.09</t>
  </si>
  <si>
    <t>Attività di supporto all'estrazione di altri minerali nca</t>
  </si>
  <si>
    <t>10.11.00</t>
  </si>
  <si>
    <t>Produzione di carne non di volatili e di prodotti della macellazione (attività dei
mattatoi)</t>
  </si>
  <si>
    <t>10.12.00</t>
  </si>
  <si>
    <t>Produzione di carne di volatili e prodotti della loro macellazione (attività dei
mattatoi)</t>
  </si>
  <si>
    <t>10.13.00</t>
  </si>
  <si>
    <t>Produzione di prodotti a base di carne (inclusa la carne di volatili)</t>
  </si>
  <si>
    <t>10.20.00</t>
  </si>
  <si>
    <t>Lavorazione e conservazione di pesce, crostacei e molluschi mediante
surgelamento, salatura eccetera</t>
  </si>
  <si>
    <t>10.31.00</t>
  </si>
  <si>
    <t>Lavorazione e conservazione delle patate</t>
  </si>
  <si>
    <t>10.32.00</t>
  </si>
  <si>
    <t>Produzione di succhi di frutta e di ortaggi</t>
  </si>
  <si>
    <t>10.39.00</t>
  </si>
  <si>
    <t>Lavorazione e conservazione di frutta e di ortaggi (esclusi i succhi di frutta e di
ortaggi)</t>
  </si>
  <si>
    <t>10.41.10</t>
  </si>
  <si>
    <t>Produzione di olio di oliva da olive prevalentemente non di produzione propria</t>
  </si>
  <si>
    <t>10.41.20</t>
  </si>
  <si>
    <t>Produzione di olio raffinato o grezzo da semi oleosi o frutti oleosi
prevalentemente non di produzione propria</t>
  </si>
  <si>
    <t>10.41.30</t>
  </si>
  <si>
    <t>Produzione di oli e grassi animali grezzi o raffinati</t>
  </si>
  <si>
    <t>10.42.00</t>
  </si>
  <si>
    <t>Produzione di margarina e di grassi commestibili simili</t>
  </si>
  <si>
    <t>10.51.10</t>
  </si>
  <si>
    <t>Trattamento igienico del latte</t>
  </si>
  <si>
    <t>10.51.20</t>
  </si>
  <si>
    <t>Produzione dei derivati del latte</t>
  </si>
  <si>
    <t>10.52.00</t>
  </si>
  <si>
    <t>Produzione di gelati senza vendita diretta al pubblico</t>
  </si>
  <si>
    <t>10.61.10</t>
  </si>
  <si>
    <t>Molitura del frumento</t>
  </si>
  <si>
    <t>10.61.20</t>
  </si>
  <si>
    <t>Molitura di altri cereali</t>
  </si>
  <si>
    <t>10.61.30</t>
  </si>
  <si>
    <t>Lavorazione del riso</t>
  </si>
  <si>
    <t>10.61.40</t>
  </si>
  <si>
    <t>Altre lavorazioni di semi e granaglie</t>
  </si>
  <si>
    <t>10.62.00</t>
  </si>
  <si>
    <t>Produzione di amidi e di prodotti amidacei (inclusa produzione di olio di mais)</t>
  </si>
  <si>
    <t>10.71.10</t>
  </si>
  <si>
    <t>Produzione di prodotti di panetteria freschi</t>
  </si>
  <si>
    <t>10.71.20</t>
  </si>
  <si>
    <t>Produzione di pasticceria fresca</t>
  </si>
  <si>
    <t>10.72.00</t>
  </si>
  <si>
    <t>Produzione di fette biscottate, biscotti; prodotti di pasticceria conservati</t>
  </si>
  <si>
    <t>10.73.00</t>
  </si>
  <si>
    <t>Produzione di paste alimentari, di cuscus e di prodotti farinacei simili</t>
  </si>
  <si>
    <t>10.81.00</t>
  </si>
  <si>
    <t>Produzione di zucchero</t>
  </si>
  <si>
    <t>10.82.00</t>
  </si>
  <si>
    <t>Produzione di cacao in polvere, cioccolato, caramelle e confetterie</t>
  </si>
  <si>
    <t>10.83.01</t>
  </si>
  <si>
    <t>Lavorazione del caffè</t>
  </si>
  <si>
    <t>10.83.02</t>
  </si>
  <si>
    <t>Lavorazione del tè e di altri preparati per infusi</t>
  </si>
  <si>
    <t>10.84.00</t>
  </si>
  <si>
    <t>Produzione di condimenti e spezie</t>
  </si>
  <si>
    <t>10.85.01</t>
  </si>
  <si>
    <t>Produzione di piatti pronti a base di carne e pollame</t>
  </si>
  <si>
    <t>10.85.02</t>
  </si>
  <si>
    <t>Produzione di piatti pronti a base di pesce, inclusi fish and chips</t>
  </si>
  <si>
    <t>10.85.03</t>
  </si>
  <si>
    <t>Produzione di piatti pronti a base di ortaggi</t>
  </si>
  <si>
    <t>10.85.04</t>
  </si>
  <si>
    <t>Produzione di pizza confezionata</t>
  </si>
  <si>
    <t>10.85.05</t>
  </si>
  <si>
    <t>Produzione di piatti pronti a base di pasta</t>
  </si>
  <si>
    <t>10.85.09</t>
  </si>
  <si>
    <t>Produzione di pasti e piatti pronti di altri prodotti alimentari</t>
  </si>
  <si>
    <t>10.86.00</t>
  </si>
  <si>
    <t>Produzione di preparati omogeneizzati e di alimenti dietetici</t>
  </si>
  <si>
    <t>10.89.01</t>
  </si>
  <si>
    <t>Produzione di estratti e succhi di carne</t>
  </si>
  <si>
    <t>10.89.09</t>
  </si>
  <si>
    <t>Produzione di altri prodotti alimentari nca</t>
  </si>
  <si>
    <t>10.91.00</t>
  </si>
  <si>
    <t>Produzione di mangimi per l'alimentazione degli animali da allevamento</t>
  </si>
  <si>
    <t>10.92.00</t>
  </si>
  <si>
    <t>Produzione di prodotti per l'alimentazione degli animali da compagnia</t>
  </si>
  <si>
    <t>11.01.00</t>
  </si>
  <si>
    <t>Distillazione, rettifica e miscelatura degli alcolici</t>
  </si>
  <si>
    <t>11.02.10</t>
  </si>
  <si>
    <t>Produzione di vini da tavola e v.q.p.r.d.</t>
  </si>
  <si>
    <t>11.02.20</t>
  </si>
  <si>
    <t>Produzione di vino spumante e altri vini speciali</t>
  </si>
  <si>
    <t>11.03.00</t>
  </si>
  <si>
    <t>Produzione di sidro e di altri vini a base di frutta</t>
  </si>
  <si>
    <t>11.04.00</t>
  </si>
  <si>
    <t>Produzione di altre bevande fermentate non distillate</t>
  </si>
  <si>
    <t>11.05.00</t>
  </si>
  <si>
    <t>Produzione di birra</t>
  </si>
  <si>
    <t>11.06.00</t>
  </si>
  <si>
    <t>Produzione di malto</t>
  </si>
  <si>
    <t>11.07.00</t>
  </si>
  <si>
    <t>Industria delle bibite analcoliche, delle acque minerali e di altre acque in bottiglia</t>
  </si>
  <si>
    <t>12.00.00</t>
  </si>
  <si>
    <t>Industria del tabacco</t>
  </si>
  <si>
    <t>13.10.00</t>
  </si>
  <si>
    <t>Preparazione e filatura di fibre tessili</t>
  </si>
  <si>
    <t>13.20.00</t>
  </si>
  <si>
    <t>Tessitura</t>
  </si>
  <si>
    <t>13.30.00</t>
  </si>
  <si>
    <t>Finissaggio dei tessili, degli articoli di vestiario e attività similari</t>
  </si>
  <si>
    <t>13.91.00</t>
  </si>
  <si>
    <t>Fabbricazione di tessuti a maglia</t>
  </si>
  <si>
    <t>13.92.10</t>
  </si>
  <si>
    <t>Confezionamento di biancheria da letto, da tavola e per l'arredamento</t>
  </si>
  <si>
    <t>13.92.20</t>
  </si>
  <si>
    <t>Fabbricazione di articoli in materie tessili nca</t>
  </si>
  <si>
    <t>13.93.00</t>
  </si>
  <si>
    <t>Fabbricazione di tappeti e moquette</t>
  </si>
  <si>
    <t>13.94.00</t>
  </si>
  <si>
    <t>Fabbricazione di spago, corde, funi e reti</t>
  </si>
  <si>
    <t>13.95.00</t>
  </si>
  <si>
    <t>Fabbricazione di tessuti non tessuti e di articoli in tali materie (esclusi gli articoli di
abbigliamento)</t>
  </si>
  <si>
    <t>13.96.10</t>
  </si>
  <si>
    <t>Fabbricazione di nastri, etichette e passamanerie di fibre tessili</t>
  </si>
  <si>
    <t>13.96.20</t>
  </si>
  <si>
    <t>Fabbricazione di altri articoli tessili tecnici ed industriali</t>
  </si>
  <si>
    <t>13.99.10</t>
  </si>
  <si>
    <t>Fabbricazione di ricami</t>
  </si>
  <si>
    <t>13.99.20</t>
  </si>
  <si>
    <t>Fabbricazione di tulle, pizzi e merletti</t>
  </si>
  <si>
    <t>13.99.90</t>
  </si>
  <si>
    <t>Fabbricazione di feltro e articoli tessili diversi</t>
  </si>
  <si>
    <t>14.11.00</t>
  </si>
  <si>
    <t>Confezione di abbigliamento in pelle e similpelle</t>
  </si>
  <si>
    <t>14.12.00</t>
  </si>
  <si>
    <t>Confezione di camici, divise ed altri indumenti da lavoro</t>
  </si>
  <si>
    <t>14.13.10</t>
  </si>
  <si>
    <t>Confezione in serie di abbigliamento esterno</t>
  </si>
  <si>
    <t>14.13.20</t>
  </si>
  <si>
    <t>Sartoria e confezione su misura di abbigliamento esterno</t>
  </si>
  <si>
    <t>14.14.00</t>
  </si>
  <si>
    <t>Confezione di camicie, T-shirt, corsetteria e altra biancheria intima</t>
  </si>
  <si>
    <t>14.19.10</t>
  </si>
  <si>
    <t>Confezioni varie e accessori per l'abbigliamento</t>
  </si>
  <si>
    <t>14.19.21</t>
  </si>
  <si>
    <t>Fabbricazione di calzature realizzate in materiale tessile senza suole applicate</t>
  </si>
  <si>
    <t>14.19.29</t>
  </si>
  <si>
    <t>Confezioni di abbigliamento sportivo o di altri indumenti particolari</t>
  </si>
  <si>
    <t>14.20.00</t>
  </si>
  <si>
    <t>Confezione di articoli in pelliccia</t>
  </si>
  <si>
    <t>14.31.00</t>
  </si>
  <si>
    <t>Fabbricazione di articoli di calzetteria in maglia</t>
  </si>
  <si>
    <t>14.39.00</t>
  </si>
  <si>
    <t>Fabbricazione di pullover, cardigan ed altri articoli simili a maglia</t>
  </si>
  <si>
    <t>15.11.00</t>
  </si>
  <si>
    <t>Preparazione e concia del cuoio e pelle; preparazione e tintura di pellicce</t>
  </si>
  <si>
    <t>15.12.01</t>
  </si>
  <si>
    <t>Fabbricazione di frustini e scudisci per equitazione</t>
  </si>
  <si>
    <t>15.12.09</t>
  </si>
  <si>
    <t>Fabbricazione di altri articoli da viaggio, borse e simili, pelletteria e selleria</t>
  </si>
  <si>
    <t>15.20.10</t>
  </si>
  <si>
    <t>Fabbricazione di calzature</t>
  </si>
  <si>
    <t>15.20.20</t>
  </si>
  <si>
    <t>Fabbricazione di parti in cuoio per calzature</t>
  </si>
  <si>
    <t>16.10.00</t>
  </si>
  <si>
    <t>Taglio e piallatura del legno</t>
  </si>
  <si>
    <t>16.21.00</t>
  </si>
  <si>
    <t>Fabbricazione di fogli da impiallacciatura e di pannelli a base di legno</t>
  </si>
  <si>
    <t>16.22.00</t>
  </si>
  <si>
    <t>Fabbricazione di pavimenti in parquet assemblato</t>
  </si>
  <si>
    <t>16.23.10</t>
  </si>
  <si>
    <t>Fabbricazione di porte e finestre in legno (escluse porte blindate)</t>
  </si>
  <si>
    <t>16.23.20</t>
  </si>
  <si>
    <t>Fabbricazione di altri elementi in legno e di falegnameria per l'edilizia</t>
  </si>
  <si>
    <t>16.24.00</t>
  </si>
  <si>
    <t>Fabbricazione di imballaggi in legno</t>
  </si>
  <si>
    <t>16.29.11</t>
  </si>
  <si>
    <t>Fabbricazione di parti in legno per calzature</t>
  </si>
  <si>
    <t>16.29.12</t>
  </si>
  <si>
    <t>Fabbricazione di manici di ombrelli, bastoni e simili</t>
  </si>
  <si>
    <t>16.29.19</t>
  </si>
  <si>
    <t>Fabbricazione di altri prodotti vari in legno (esclusi i mobili)</t>
  </si>
  <si>
    <t>16.29.20</t>
  </si>
  <si>
    <t>Fabbricazione dei prodotti della lavorazione del sughero</t>
  </si>
  <si>
    <t>16.29.30</t>
  </si>
  <si>
    <t>Fabbricazione di articoli in paglia e materiali da intreccio</t>
  </si>
  <si>
    <t>16.29.40</t>
  </si>
  <si>
    <t>Laboratori di corniciai</t>
  </si>
  <si>
    <t>17.11.00</t>
  </si>
  <si>
    <t>Fabbricazione di pasta-carta</t>
  </si>
  <si>
    <t>17.12.00</t>
  </si>
  <si>
    <t>Fabbricazione di carta e cartone</t>
  </si>
  <si>
    <t>17.21.00</t>
  </si>
  <si>
    <t>Fabbricazione di carta e cartone ondulato e di imballaggi di carta e cartone
(esclusi quelli in carta pressata)</t>
  </si>
  <si>
    <t>17.22.00</t>
  </si>
  <si>
    <t>Fabbricazione di prodotti igienico-sanitari e per uso domestico in carta e ovatta di
cellulosa</t>
  </si>
  <si>
    <t>17.23.01</t>
  </si>
  <si>
    <t>Fabbricazione di prodotti cartotecnici scolastici e commerciali quando l'attività di
stampa non è la principale caratteristica</t>
  </si>
  <si>
    <t>17.23.09</t>
  </si>
  <si>
    <t>Fabbricazione di altri prodotti cartotecnici</t>
  </si>
  <si>
    <t>17.24.00</t>
  </si>
  <si>
    <t>Fabbricazione di carta da parati</t>
  </si>
  <si>
    <t>17.29.00</t>
  </si>
  <si>
    <t>Fabbricazione di altri articoli di carta e cartone</t>
  </si>
  <si>
    <t>18.11.00</t>
  </si>
  <si>
    <t>Stampa di giornali</t>
  </si>
  <si>
    <t>18.12.00</t>
  </si>
  <si>
    <t>Altra stampa</t>
  </si>
  <si>
    <t>18.13.00</t>
  </si>
  <si>
    <t>Lavorazioni preliminari alla stampa e ai media</t>
  </si>
  <si>
    <t>18.14.00</t>
  </si>
  <si>
    <t>Legatoria e servizi connessi</t>
  </si>
  <si>
    <t>18.20.00</t>
  </si>
  <si>
    <t>Riproduzione di supporti registrati</t>
  </si>
  <si>
    <t>19.10.01</t>
  </si>
  <si>
    <t>Fabbricazione di pece e coke di pece</t>
  </si>
  <si>
    <t>19.10.09</t>
  </si>
  <si>
    <t>Fabbricazione di altri prodotti di cokeria</t>
  </si>
  <si>
    <t>19.20.10</t>
  </si>
  <si>
    <t>Raffinerie di petrolio</t>
  </si>
  <si>
    <t>19.20.20</t>
  </si>
  <si>
    <t>Preparazione o miscelazione di derivati del petrolio (esclusa la petrolchimica)</t>
  </si>
  <si>
    <t>19.20.30</t>
  </si>
  <si>
    <t>Miscelazione di gas petroliferi liquefatti (GPL) e loro imbottigliamento</t>
  </si>
  <si>
    <t>19.20.40</t>
  </si>
  <si>
    <t>Fabbricazione di emulsioni di bitume, di catrame e di leganti per uso stradale</t>
  </si>
  <si>
    <t>19.20.90</t>
  </si>
  <si>
    <t>Fabbricazione di altri prodotti petroliferi raffinati</t>
  </si>
  <si>
    <t>20.11.00</t>
  </si>
  <si>
    <t>Fabbricazione di gas industriali</t>
  </si>
  <si>
    <t>20.12.00</t>
  </si>
  <si>
    <t>Fabbricazione di coloranti e pigmenti</t>
  </si>
  <si>
    <t>20.13.01</t>
  </si>
  <si>
    <t>Fabbricazione di uranio e torio arricchito</t>
  </si>
  <si>
    <t>20.13.09</t>
  </si>
  <si>
    <t>Fabbricazione di altri prodotti chimici di base inorganici</t>
  </si>
  <si>
    <t>20.14.01</t>
  </si>
  <si>
    <t>Fabbricazione di alcol etilico da materiali fermentati</t>
  </si>
  <si>
    <t>20.14.09</t>
  </si>
  <si>
    <t>Fabbricazione di altri prodotti chimici di base organici nca</t>
  </si>
  <si>
    <t>20.15.00</t>
  </si>
  <si>
    <t>Fabbricazione di fertilizzanti e composti azotati (esclusa la fabbricazione di
compost)</t>
  </si>
  <si>
    <t>20.16.00</t>
  </si>
  <si>
    <t>Fabbricazione di materie plastiche in forme primarie</t>
  </si>
  <si>
    <t>20.17.00</t>
  </si>
  <si>
    <t>Fabbricazione di gomma sintetica in forme primarie</t>
  </si>
  <si>
    <t>20.20.00</t>
  </si>
  <si>
    <t>Fabbricazione di agrofarmaci e di altri prodotti chimici per l'agricoltura (esclusi i
concimi)</t>
  </si>
  <si>
    <t>20.30.00</t>
  </si>
  <si>
    <t>Fabbricazione di pitture, vernici e smalti, inchiostri da stampa e adesivi sintetici
(mastici)</t>
  </si>
  <si>
    <t>20.41.10</t>
  </si>
  <si>
    <t>Fabbricazione di saponi, detergenti e di agenti organici tensioattivi (esclusi i
prodotti per toletta)</t>
  </si>
  <si>
    <t>20.41.20</t>
  </si>
  <si>
    <t>Fabbricazione di specialità chimiche per uso domestico e per manutenzione</t>
  </si>
  <si>
    <t>20.42.00</t>
  </si>
  <si>
    <t>Fabbricazione di prodotti per toletta: profumi, cosmetici, saponi e simili</t>
  </si>
  <si>
    <t>20.51.01</t>
  </si>
  <si>
    <t>Fabbricazione di fiammiferi</t>
  </si>
  <si>
    <t>20.51.02</t>
  </si>
  <si>
    <t>Fabbricazione di articoli esplosivi</t>
  </si>
  <si>
    <t>20.52.00</t>
  </si>
  <si>
    <t>Fabbricazione di colle</t>
  </si>
  <si>
    <t>20.53.00</t>
  </si>
  <si>
    <t>Fabbricazione di oli essenziali</t>
  </si>
  <si>
    <t>20.59.10</t>
  </si>
  <si>
    <t>Fabbricazione di prodotti chimici per uso fotografico</t>
  </si>
  <si>
    <t>20.59.20</t>
  </si>
  <si>
    <t>Fabbricazione di prodotti chimici organici ottenuti da prodotti di base derivati da
processi di fermentazione o da materie prime vegetali</t>
  </si>
  <si>
    <t>20.59.30</t>
  </si>
  <si>
    <t>Trattamento chimico degli acidi grassi</t>
  </si>
  <si>
    <t>20.59.40</t>
  </si>
  <si>
    <t>Fabbricazione di prodotti chimici vari per uso industriale (inclusi i preparati
antidetonanti e antigelo)</t>
  </si>
  <si>
    <t>20.59.50</t>
  </si>
  <si>
    <t>Fabbricazione di prodotti chimici impiegati per ufficio e per il consumo non
industriale</t>
  </si>
  <si>
    <t>20.59.60</t>
  </si>
  <si>
    <t>Fabbricazione di prodotti ausiliari per le industrie tessili e del cuoio</t>
  </si>
  <si>
    <t>20.59.70</t>
  </si>
  <si>
    <t>Fabbricazione di prodotti elettrochimici (esclusa produzione di cloro, soda e
potassa) ed elettrotermici</t>
  </si>
  <si>
    <t>20.59.90</t>
  </si>
  <si>
    <t>Fabbricazione di altri prodotti chimici nca</t>
  </si>
  <si>
    <t>20.60.00</t>
  </si>
  <si>
    <t>Fabbricazione di fibre sintetiche e artificiali</t>
  </si>
  <si>
    <t>21.10.00</t>
  </si>
  <si>
    <t>Fabbricazione di prodotti farmaceutici di base</t>
  </si>
  <si>
    <t>21.20.01</t>
  </si>
  <si>
    <t>Fabbricazione di sostanze diagnostiche radioattive in vivo</t>
  </si>
  <si>
    <t>21.20.09</t>
  </si>
  <si>
    <t>Fabbricazione di medicinali ed altri preparati farmaceutici</t>
  </si>
  <si>
    <t>22.11.10</t>
  </si>
  <si>
    <t>Fabbricazione di pneumatici e di camere d'aria</t>
  </si>
  <si>
    <t>22.11.20</t>
  </si>
  <si>
    <t>Rigenerazione e ricostruzione di pneumatici</t>
  </si>
  <si>
    <t>22.19.01</t>
  </si>
  <si>
    <t>Fabbricazione di suole di gomma e altre parti in gomma per calzature</t>
  </si>
  <si>
    <t>22.19.09</t>
  </si>
  <si>
    <t>Fabbricazione di altri prodotti in gomma nca</t>
  </si>
  <si>
    <t>22.21.00</t>
  </si>
  <si>
    <t>Fabbricazione di lastre, fogli, tubi e profilati in materie plastiche</t>
  </si>
  <si>
    <t>22.22.00</t>
  </si>
  <si>
    <t>Fabbricazione di imballaggi in materie plastiche</t>
  </si>
  <si>
    <t>22.23.01</t>
  </si>
  <si>
    <t>Fabbricazione di rivestimenti elastici per pavimenti (vinile, linoleum eccetera)</t>
  </si>
  <si>
    <t>22.23.02</t>
  </si>
  <si>
    <t>Fabbricazione di porte, finestre, intelaiature eccetera in plastica per l'edilizia</t>
  </si>
  <si>
    <t>22.23.09</t>
  </si>
  <si>
    <t>Fabbricazione di altri articoli in plastica per l'edilizia</t>
  </si>
  <si>
    <t>22.29.01</t>
  </si>
  <si>
    <t>Fabbricazione di parti in plastica per calzature</t>
  </si>
  <si>
    <t>22.29.02</t>
  </si>
  <si>
    <t>Fabbricazione di oggetti per l'ufficio e la scuola in plastica</t>
  </si>
  <si>
    <t>22.29.09</t>
  </si>
  <si>
    <t>Fabbricazione di altri articoli in materie plastiche nca</t>
  </si>
  <si>
    <t>23.11.00</t>
  </si>
  <si>
    <t>Fabbricazione di vetro piano</t>
  </si>
  <si>
    <t>23.12.00</t>
  </si>
  <si>
    <t>Lavorazione e trasformazione del vetro piano</t>
  </si>
  <si>
    <t>23.13.00</t>
  </si>
  <si>
    <t>Fabbricazione di vetro cavo</t>
  </si>
  <si>
    <t>23.14.00</t>
  </si>
  <si>
    <t>Fabbricazione di fibre di vetro</t>
  </si>
  <si>
    <t>23.19.10</t>
  </si>
  <si>
    <t>Fabbricazione di vetrerie per laboratori, per uso igienico, per farmacia</t>
  </si>
  <si>
    <t>23.19.20</t>
  </si>
  <si>
    <t>Lavorazione di vetro a mano e a soffio artistico</t>
  </si>
  <si>
    <t>23.19.90</t>
  </si>
  <si>
    <t>Fabbricazione di altri prodotti in vetro (inclusa la vetreria tecnica)</t>
  </si>
  <si>
    <t>23.20.00</t>
  </si>
  <si>
    <t>Fabbricazione di prodotti refrattari</t>
  </si>
  <si>
    <t>23.31.00</t>
  </si>
  <si>
    <t>Fabbricazione di piastrelle in ceramica per pavimenti e rivestimenti</t>
  </si>
  <si>
    <t>23.32.00</t>
  </si>
  <si>
    <t>Fabbricazione di mattoni, tegole ed altri prodotti per l'edilizia in terracotta</t>
  </si>
  <si>
    <t>23.41.00</t>
  </si>
  <si>
    <t>Fabbricazione di prodotti in ceramica per usi domestici e ornamentali</t>
  </si>
  <si>
    <t>23.42.00</t>
  </si>
  <si>
    <t>Fabbricazione di articoli sanitari in ceramica</t>
  </si>
  <si>
    <t>23.43.00</t>
  </si>
  <si>
    <t>Fabbricazione di isolatori e di pezzi isolanti in ceramica</t>
  </si>
  <si>
    <t>23.44.00</t>
  </si>
  <si>
    <t>Fabbricazione di altri prodotti in ceramica per uso tecnico e industriale</t>
  </si>
  <si>
    <t>23.49.00</t>
  </si>
  <si>
    <t>Fabbricazione di altri prodotti in ceramica</t>
  </si>
  <si>
    <t>23.51.00</t>
  </si>
  <si>
    <t>Produzione di cemento</t>
  </si>
  <si>
    <t>23.52.10</t>
  </si>
  <si>
    <t>Produzione di calce</t>
  </si>
  <si>
    <t>23.52.20</t>
  </si>
  <si>
    <t>Produzione di gesso</t>
  </si>
  <si>
    <t>23.61.00</t>
  </si>
  <si>
    <t>Fabbricazione di prodotti in calcestruzzo per l'edilizia</t>
  </si>
  <si>
    <t>23.62.00</t>
  </si>
  <si>
    <t>Fabbricazione di prodotti in gesso per l'edilizia</t>
  </si>
  <si>
    <t>23.63.00</t>
  </si>
  <si>
    <t>Produzione di calcestruzzo pronto per l'uso</t>
  </si>
  <si>
    <t>23.64.00</t>
  </si>
  <si>
    <t>Produzione di malta</t>
  </si>
  <si>
    <t>23.65.00</t>
  </si>
  <si>
    <t>Fabbricazione di prodotti in fibrocemento</t>
  </si>
  <si>
    <t>23.69.00</t>
  </si>
  <si>
    <t>Fabbricazione di altri prodotti in calcestruzzo, gesso e cemento</t>
  </si>
  <si>
    <t>23.70.10</t>
  </si>
  <si>
    <t>Segagione e lavorazione delle pietre e del marmo</t>
  </si>
  <si>
    <t>23.70.20</t>
  </si>
  <si>
    <t>Lavorazione artistica del marmo e di altre pietre affini, lavori in mosaico</t>
  </si>
  <si>
    <t>23.70.30</t>
  </si>
  <si>
    <t>Frantumazione di pietre e minerali vari non in connessione con l'estrazione</t>
  </si>
  <si>
    <t>23.91.00</t>
  </si>
  <si>
    <t>Produzione di prodotti abrasivi</t>
  </si>
  <si>
    <t>23.99.00</t>
  </si>
  <si>
    <t>Fabbricazione di altri prodotti in minerali non metalliferi nca</t>
  </si>
  <si>
    <t>24.10.00</t>
  </si>
  <si>
    <t>Siderurgia - Fabbricazione di ferro, acciaio e ferroleghe</t>
  </si>
  <si>
    <t>24.20.10</t>
  </si>
  <si>
    <t>Fabbricazione di tubi e condotti senza saldatura</t>
  </si>
  <si>
    <t>24.20.20</t>
  </si>
  <si>
    <t>Fabbricazione di tubi e condotti saldati e simili</t>
  </si>
  <si>
    <t>24.31.00</t>
  </si>
  <si>
    <t>Stiratura a freddo di barre</t>
  </si>
  <si>
    <t>24.32.00</t>
  </si>
  <si>
    <t>Laminazione a freddo di nastri</t>
  </si>
  <si>
    <t>24.33.01</t>
  </si>
  <si>
    <t>Fabbricazione di pannelli stratificati in acciaio</t>
  </si>
  <si>
    <t>24.33.02</t>
  </si>
  <si>
    <t>Profilatura mediante formatura o piegatura a freddo</t>
  </si>
  <si>
    <t>24.34.00</t>
  </si>
  <si>
    <t>Trafilatura a freddo</t>
  </si>
  <si>
    <t>24.41.00</t>
  </si>
  <si>
    <t>Produzione di metalli preziosi e semilavorati</t>
  </si>
  <si>
    <t>24.42.00</t>
  </si>
  <si>
    <t>Produzione di alluminio e semilavorati</t>
  </si>
  <si>
    <t>24.43.00</t>
  </si>
  <si>
    <t>Produzione di piombo, zinco e stagno e semilavorati</t>
  </si>
  <si>
    <t>24.44.00</t>
  </si>
  <si>
    <t>Produzione di rame e semilavorati</t>
  </si>
  <si>
    <t>24.45.00</t>
  </si>
  <si>
    <t>Produzione di altri metalli non ferrosi e semilavorati</t>
  </si>
  <si>
    <t>24.46.00</t>
  </si>
  <si>
    <t>Trattamento dei combustibili nucleari (escluso l'arricchimento di uranio e torio)</t>
  </si>
  <si>
    <t>24.51.00</t>
  </si>
  <si>
    <t>Fusione di ghisa e produzione di tubi e raccordi in ghisa</t>
  </si>
  <si>
    <t>24.52.00</t>
  </si>
  <si>
    <t>Fusione di acciaio</t>
  </si>
  <si>
    <t>24.53.00</t>
  </si>
  <si>
    <t>Fusione di metalli leggeri</t>
  </si>
  <si>
    <t>24.54.00</t>
  </si>
  <si>
    <t>Fusione di altri metalli non ferrosi</t>
  </si>
  <si>
    <t>25.11.00</t>
  </si>
  <si>
    <t>Fabbricazione di strutture metalliche e parti assemblate di strutture</t>
  </si>
  <si>
    <t>25.12.10</t>
  </si>
  <si>
    <t>Fabbricazione di porte, finestre e loro telai, imposte e cancelli metallici</t>
  </si>
  <si>
    <t>25.12.20</t>
  </si>
  <si>
    <t>Fabbricazione di strutture metalliche per tende da sole, tende alla veneziana e
simili</t>
  </si>
  <si>
    <t>25.21.00</t>
  </si>
  <si>
    <t>Fabbricazione di radiatori e contenitori in metallo per caldaie per il riscaldamento
centrale</t>
  </si>
  <si>
    <t>25.29.00</t>
  </si>
  <si>
    <t>Fabbricazione di cisterne, serbatoi e contenitori in metallo per impieghi di
stoccaggio o di produzione</t>
  </si>
  <si>
    <t>25.30.00</t>
  </si>
  <si>
    <t>Fabbricazione di generatori di vapore (esclusi i contenitori in metallo per caldaie
per il riscaldamento centrale ad acqua calda)</t>
  </si>
  <si>
    <t>25.40.00</t>
  </si>
  <si>
    <t>Fabbricazione di armi e munizioni</t>
  </si>
  <si>
    <t>25.50.00</t>
  </si>
  <si>
    <t>Fucinatura, imbutitura, stampaggio e profilatura dei metalli; metallurgia delle
polveri</t>
  </si>
  <si>
    <t>25.61.00</t>
  </si>
  <si>
    <t>Trattamento e rivestimento dei metalli</t>
  </si>
  <si>
    <t>25.62.00</t>
  </si>
  <si>
    <t>Lavori di meccanica generale</t>
  </si>
  <si>
    <t>25.71.00</t>
  </si>
  <si>
    <t>Fabbricazione di articoli di coltelleria, posateria ed armi bianche</t>
  </si>
  <si>
    <t>25.72.00</t>
  </si>
  <si>
    <t>Fabbricazione di serrature e cerniere e ferramenta simili</t>
  </si>
  <si>
    <t>25.73.11</t>
  </si>
  <si>
    <t>Fabbricazione di utensileria ad azionamento manuale</t>
  </si>
  <si>
    <t>25.73.12</t>
  </si>
  <si>
    <t>Fabbricazione di parti intercambiabili per macchine utensili</t>
  </si>
  <si>
    <t>25.73.20</t>
  </si>
  <si>
    <t>Fabbricazione di stampi, portastampi, sagome, forme per macchine</t>
  </si>
  <si>
    <t>25.91.00</t>
  </si>
  <si>
    <t>Fabbricazione di bidoni in acciaio e contenitori analoghi per il trasporto e
l'imballaggio</t>
  </si>
  <si>
    <t>25.92.00</t>
  </si>
  <si>
    <t>Fabbricazione di imballaggi leggeri in metallo</t>
  </si>
  <si>
    <t>25.93.10</t>
  </si>
  <si>
    <t>Fabbricazione di prodotti fabbricati con fili metallici</t>
  </si>
  <si>
    <t>25.93.20</t>
  </si>
  <si>
    <t>Fabbricazione di molle</t>
  </si>
  <si>
    <t>25.93.30</t>
  </si>
  <si>
    <t>Fabbricazione di catene fucinate senza saldatura e stampate</t>
  </si>
  <si>
    <t>25.94.00</t>
  </si>
  <si>
    <t>Fabbricazione di articoli di bulloneria</t>
  </si>
  <si>
    <t>25.99.11</t>
  </si>
  <si>
    <t>Fabbricazione di caraffe e bottiglie isolate in metallo</t>
  </si>
  <si>
    <t>25.99.19</t>
  </si>
  <si>
    <t>Fabbricazione di stoviglie, pentolame, vasellame, attrezzi da cucina e altri
accessori casalinghi non elettrici, articoli metallici per l'arredamento di stanze da
bagno</t>
  </si>
  <si>
    <t>25.99.20</t>
  </si>
  <si>
    <t>Fabbricazione di casseforti, forzieri e porte metalliche blindate</t>
  </si>
  <si>
    <t>25.99.30</t>
  </si>
  <si>
    <t>Fabbricazione di oggetti in ferro, in rame ed altri metalli</t>
  </si>
  <si>
    <t>25.99.91</t>
  </si>
  <si>
    <t>Fabbricazione di magneti metallici permanenti</t>
  </si>
  <si>
    <t>25.99.99</t>
  </si>
  <si>
    <t>Fabbricazione di altri articoli metallici e minuteria metallica nca</t>
  </si>
  <si>
    <t>26.11.01</t>
  </si>
  <si>
    <t>Fabbricazione di diodi, transistor e relativi congegni elettronici</t>
  </si>
  <si>
    <t>26.11.09</t>
  </si>
  <si>
    <t>Fabbricazione di altri componenti elettronici</t>
  </si>
  <si>
    <t>26.12.00</t>
  </si>
  <si>
    <t>Fabbricazione di schede elettroniche assemblate</t>
  </si>
  <si>
    <t>26.20.00</t>
  </si>
  <si>
    <t>Fabbricazione di computer e unità periferiche</t>
  </si>
  <si>
    <t>26.30.10</t>
  </si>
  <si>
    <t>Fabbricazione di apparecchi trasmittenti radiotelevisivi (incluse le telecamere)</t>
  </si>
  <si>
    <t>26.30.21</t>
  </si>
  <si>
    <t>Fabbricazione di sistemi antifurto e antincendio</t>
  </si>
  <si>
    <t>26.30.29</t>
  </si>
  <si>
    <t>Fabbricazione di altri apparecchi elettrici ed elettronici per telecomunicazioni</t>
  </si>
  <si>
    <t>26.40.01</t>
  </si>
  <si>
    <t>Fabbricazione di apparecchi per la riproduzione e registrazione del suono e delle
immagini</t>
  </si>
  <si>
    <t>26.40.02</t>
  </si>
  <si>
    <t>Fabbricazione di console per videogiochi (esclusi i giochi elettronici)</t>
  </si>
  <si>
    <t>26.51.10</t>
  </si>
  <si>
    <t>Fabbricazione di strumenti per navigazione, idrologia, geofisica e meteorologia</t>
  </si>
  <si>
    <t>26.51.21</t>
  </si>
  <si>
    <t>Fabbricazione di rilevatori di fiamma e combustione, di mine, di movimento,
generatori d'impulso e metal detector</t>
  </si>
  <si>
    <t>26.51.29</t>
  </si>
  <si>
    <t>Fabbricazione di altri apparecchi di misura e regolazione, strumenti da disegno, di
contatori di elettricità, gas, acqua ed altri liquidi, di bilance analitiche di precisione
(incluse parti staccate ed accessori)</t>
  </si>
  <si>
    <t>26.52.00</t>
  </si>
  <si>
    <t>Fabbricazione di orologi</t>
  </si>
  <si>
    <t>26.60.01</t>
  </si>
  <si>
    <t>Fabbricazione di apparecchiature di irradiazione per alimenti e latte</t>
  </si>
  <si>
    <t>26.60.02</t>
  </si>
  <si>
    <t>Fabbricazione di apparecchi elettromedicali (incluse parti staccate e accessori)</t>
  </si>
  <si>
    <t>26.60.09</t>
  </si>
  <si>
    <t>Fabbricazione di altri strumenti per irradiazione ed altre apparecchiature
elettroterapeutiche</t>
  </si>
  <si>
    <t>26.70.11</t>
  </si>
  <si>
    <t>Fabbricazione di elementi ottici e strumenti ottici di precisione</t>
  </si>
  <si>
    <t>26.70.12</t>
  </si>
  <si>
    <t>Fabbricazione di attrezzature ottiche di misurazione e controllo</t>
  </si>
  <si>
    <t>26.70.20</t>
  </si>
  <si>
    <t>Fabbricazione di apparecchiature fotografiche e cinematografiche</t>
  </si>
  <si>
    <t>26.80.00</t>
  </si>
  <si>
    <t>Fabbricazione di supporti magnetici ed ottici</t>
  </si>
  <si>
    <t>27.11.00</t>
  </si>
  <si>
    <t>Fabbricazione di motori, generatori e trasformatori elettrici</t>
  </si>
  <si>
    <t>27.12.00</t>
  </si>
  <si>
    <t>Fabbricazione di apparecchiature per le reti di distribuzione e il controllo
dell'elettricità</t>
  </si>
  <si>
    <t>27.20.00</t>
  </si>
  <si>
    <t>Fabbricazione di batterie di pile ed accumulatori elettrici</t>
  </si>
  <si>
    <t>27.31.01</t>
  </si>
  <si>
    <t>Fabbricazione di cavi a fibra ottica per la trasmissione di dati o di immagini</t>
  </si>
  <si>
    <t>27.31.02</t>
  </si>
  <si>
    <t>Fabbricazione di fibre ottiche</t>
  </si>
  <si>
    <t>27.32.00</t>
  </si>
  <si>
    <t>Fabbricazione di altri fili e cavi elettrici ed elettronici</t>
  </si>
  <si>
    <t>27.33.01</t>
  </si>
  <si>
    <t>Fabbricazione di apparecchiature in plastica non conduttiva</t>
  </si>
  <si>
    <t>27.33.09</t>
  </si>
  <si>
    <t>Fabbricazione di altre attrezzature per cablaggio</t>
  </si>
  <si>
    <t>27.40.01</t>
  </si>
  <si>
    <t>Fabbricazione di apparecchiature di illuminazione e segnalazione per mezzi di
trasporto</t>
  </si>
  <si>
    <t>27.40.09</t>
  </si>
  <si>
    <t>Fabbricazione di altre apparecchiature per illuminazione</t>
  </si>
  <si>
    <t>27.51.00</t>
  </si>
  <si>
    <t>Fabbricazione di elettrodomestici</t>
  </si>
  <si>
    <t>27.52.00</t>
  </si>
  <si>
    <t>Fabbricazione di apparecchi per uso domestico non elettrici</t>
  </si>
  <si>
    <t>27.90.01</t>
  </si>
  <si>
    <t>Fabbricazione di apparecchiature elettriche per saldature e brasature</t>
  </si>
  <si>
    <t>27.90.02</t>
  </si>
  <si>
    <t>Fabbricazione di insegne elettriche e apparecchiature elettriche di segnalazione</t>
  </si>
  <si>
    <t>27.90.03</t>
  </si>
  <si>
    <t>Fabbricazione di capacitori elettrici, resistenze, condensatori e simili, acceleratori</t>
  </si>
  <si>
    <t>27.90.09</t>
  </si>
  <si>
    <t>Fabbricazione di altre apparecchiature elettriche nca</t>
  </si>
  <si>
    <t>28.11.11</t>
  </si>
  <si>
    <t>Fabbricazione di motori a combustione interna (esclusi i motori destinati ai mezzi
di trasporto su strada e ad aeromobili)</t>
  </si>
  <si>
    <t>28.11.12</t>
  </si>
  <si>
    <t>Fabbricazione di pistoni, fasce elastiche, carburatori e parti simili di motori a
combustione interna</t>
  </si>
  <si>
    <t>28.11.20</t>
  </si>
  <si>
    <t>Fabbricazione di turbine e turboalternatori (incluse parti e accessori)</t>
  </si>
  <si>
    <t>28.12.00</t>
  </si>
  <si>
    <t>Fabbricazione di apparecchiature fluidodinamiche</t>
  </si>
  <si>
    <t>28.13.00</t>
  </si>
  <si>
    <t>Fabbricazione di altre pompe e compressori</t>
  </si>
  <si>
    <t>28.14.00</t>
  </si>
  <si>
    <t>Fabbricazione di altri rubinetti e valvole</t>
  </si>
  <si>
    <t>28.15.10</t>
  </si>
  <si>
    <t>Fabbricazione di organi di trasmissione (esclusi quelli idraulici e quelli per
autoveicoli, aeromobili e motocicli)</t>
  </si>
  <si>
    <t>28.15.20</t>
  </si>
  <si>
    <t>Fabbricazione di cuscinetti a sfere</t>
  </si>
  <si>
    <t>28.21.10</t>
  </si>
  <si>
    <t>Fabbricazione di forni, fornaci e bruciatori</t>
  </si>
  <si>
    <t>28.21.21</t>
  </si>
  <si>
    <t>Fabbricazione di caldaie per riscaldamento</t>
  </si>
  <si>
    <t>28.21.29</t>
  </si>
  <si>
    <t>Fabbricazione di altri sistemi per riscaldamento</t>
  </si>
  <si>
    <t>28.22.01</t>
  </si>
  <si>
    <t>Fabbricazione di ascensori, montacarichi e scale mobili</t>
  </si>
  <si>
    <t>28.22.02</t>
  </si>
  <si>
    <t>Fabbricazione di gru, argani, verricelli a mano e a motore, carrelli trasbordatori,
carrelli elevatori e piattaforme girevoli</t>
  </si>
  <si>
    <t>28.22.03</t>
  </si>
  <si>
    <t>Fabbricazione di carriole</t>
  </si>
  <si>
    <t>28.22.09</t>
  </si>
  <si>
    <t>Fabbricazione di altre macchine e apparecchi di sollevamento e movimentazione</t>
  </si>
  <si>
    <t>28.23.01</t>
  </si>
  <si>
    <t>Fabbricazione di cartucce toner</t>
  </si>
  <si>
    <t>28.23.09</t>
  </si>
  <si>
    <t>Fabbricazione di macchine ed altre attrezzature per ufficio (esclusi computer e
periferiche)</t>
  </si>
  <si>
    <t>28.24.00</t>
  </si>
  <si>
    <t>Fabbricazione di utensili portatili a motore</t>
  </si>
  <si>
    <t>28.25.00</t>
  </si>
  <si>
    <t>Fabbricazione di attrezzature di uso non domestico per la refrigerazione e la
ventilazione; fabbricazione di condizionatori domestici fissi</t>
  </si>
  <si>
    <t>28.29.10</t>
  </si>
  <si>
    <t>Fabbricazione di bilance e di macchine automatiche per la vendita e la
distribuzione (incluse parti staccate e accessori)</t>
  </si>
  <si>
    <t>28.29.20</t>
  </si>
  <si>
    <t>Fabbricazione di macchine e apparecchi per le industrie chimiche, petrolchimiche
e petrolifere (incluse parti e accessori)</t>
  </si>
  <si>
    <t>28.29.30</t>
  </si>
  <si>
    <t>Fabbricazione di macchine automatiche per la dosatura, la confezione e per
l'imballaggio (incluse parti e accessori)</t>
  </si>
  <si>
    <t>28.29.91</t>
  </si>
  <si>
    <t>Fabbricazione di apparecchi per depurare e filtrare liquidi e gas per uso non
domestico</t>
  </si>
  <si>
    <t>28.29.92</t>
  </si>
  <si>
    <t>Fabbricazione di macchine per la pulizia (incluse le lavastoviglie) per uso non
domestico</t>
  </si>
  <si>
    <t>28.29.93</t>
  </si>
  <si>
    <t>Fabbricazione di livelle, metri doppi a nastro e utensili simili, strumenti di
precisione per meccanica (esclusi quelli ottici)</t>
  </si>
  <si>
    <t>28.29.99</t>
  </si>
  <si>
    <t>Fabbricazione di altro materiale meccanico e di altre macchine di impiego
generale nca</t>
  </si>
  <si>
    <t>28.30.10</t>
  </si>
  <si>
    <t>Fabbricazione di trattori agricoli</t>
  </si>
  <si>
    <t>28.30.90</t>
  </si>
  <si>
    <t>Fabbricazione di altre macchine per l'agricoltura, la silvicoltura e la zootecnia</t>
  </si>
  <si>
    <t>28.41.00</t>
  </si>
  <si>
    <t>Fabbricazione di macchine utensili per la formatura dei metalli (incluse parti e
accessori ed escluse le parti intercambiabili)</t>
  </si>
  <si>
    <t>28.49.01</t>
  </si>
  <si>
    <t>Fabbricazione di macchine per la galvanostegia</t>
  </si>
  <si>
    <t>28.49.09</t>
  </si>
  <si>
    <t>Fabbricazione di altre macchine utensili (incluse parti e accessori) nca</t>
  </si>
  <si>
    <t>28.91.00</t>
  </si>
  <si>
    <t>Fabbricazione di macchine per la metallurgia (incluse parti e accessori)</t>
  </si>
  <si>
    <t>28.92.01</t>
  </si>
  <si>
    <t>Fabbricazione di macchine per il trasporto a cassone ribaltabile per impiego
specifico in miniere, cave e cantieri</t>
  </si>
  <si>
    <t>28.92.09</t>
  </si>
  <si>
    <t>Fabbricazione di altre macchine da miniera, cava e cantiere (incluse parti e
accessori)</t>
  </si>
  <si>
    <t>28.93.00</t>
  </si>
  <si>
    <t>Fabbricazione di macchine per l'industria alimentare, delle bevande e del tabacco
(incluse parti e accessori)</t>
  </si>
  <si>
    <t>28.94.10</t>
  </si>
  <si>
    <t>Fabbricazione di macchine tessili, di macchine e di impianti per il trattamento
ausiliario dei tessili, di macchine per cucire e per maglieria (incluse parti e
accessori)</t>
  </si>
  <si>
    <t>28.94.20</t>
  </si>
  <si>
    <t>Fabbricazione di macchine e apparecchi per l'industria delle pelli, del cuoio e
delle calzature (incluse parti e accessori)</t>
  </si>
  <si>
    <t>28.94.30</t>
  </si>
  <si>
    <t>Fabbricazione di apparecchiature e di macchine per lavanderie e stirerie (incluse
parti e accessori)</t>
  </si>
  <si>
    <t>28.95.00</t>
  </si>
  <si>
    <t>Fabbricazione di macchine per l'industria della carta e del cartone (incluse parti e
accessori)</t>
  </si>
  <si>
    <t>28.96.00</t>
  </si>
  <si>
    <t>Fabbricazione di macchine per l'industria delle materie plastiche e della gomma
(incluse parti e accessori)</t>
  </si>
  <si>
    <t>28.99.10</t>
  </si>
  <si>
    <t>Fabbricazione di macchine per la stampa e la legatoria (incluse parti e accessori)</t>
  </si>
  <si>
    <t>28.99.20</t>
  </si>
  <si>
    <t>Fabbricazione di robot industriali per usi molteplici (incluse parti e accessori)</t>
  </si>
  <si>
    <t>28.99.30</t>
  </si>
  <si>
    <t>Fabbricazione di apparecchi per istituti di bellezza e centri di benessere</t>
  </si>
  <si>
    <t>28.99.91</t>
  </si>
  <si>
    <t>Fabbricazione di apparecchiature per il lancio di aeromobili, catapulte per
portaerei e apparecchiature simili</t>
  </si>
  <si>
    <t>28.99.92</t>
  </si>
  <si>
    <t>Fabbricazione di giostre, altalene ed altre attrezzature per parchi di divertimento</t>
  </si>
  <si>
    <t>28.99.93</t>
  </si>
  <si>
    <t>Fabbricazione di apparecchiature per l'allineamento e il bilanciamento delle ruote;
altre apparecchiature per il bilanciamento</t>
  </si>
  <si>
    <t>28.99.99</t>
  </si>
  <si>
    <t>Fabbricazione di altre macchine ed attrezzature per impieghi speciali nca (incluse
parti e accessori)</t>
  </si>
  <si>
    <t>29.10.00</t>
  </si>
  <si>
    <t>Fabbricazione di autoveicoli</t>
  </si>
  <si>
    <t>29.20.00</t>
  </si>
  <si>
    <t>Fabbricazione di carrozzerie per autoveicoli, rimorchi e semirimorchi</t>
  </si>
  <si>
    <t>29.31.00</t>
  </si>
  <si>
    <t>Fabbricazione di apparecchiature elettriche ed elettroniche per autoveicoli e loro
motori</t>
  </si>
  <si>
    <t>29.32.01</t>
  </si>
  <si>
    <t>Fabbricazione di sedili per autoveicoli</t>
  </si>
  <si>
    <t>29.32.09</t>
  </si>
  <si>
    <t>Fabbricazione di altre parti ed accessori per autoveicoli e loro motori nca</t>
  </si>
  <si>
    <t>30.11.01</t>
  </si>
  <si>
    <t>Fabbricazione di sedili per navi</t>
  </si>
  <si>
    <t>30.11.02</t>
  </si>
  <si>
    <t>Cantieri navali per costruzioni metalliche e non metalliche (esclusi i sedili per
navi)</t>
  </si>
  <si>
    <t>30.12.00</t>
  </si>
  <si>
    <t>Costruzione di imbarcazioni da diporto e sportive</t>
  </si>
  <si>
    <t>30.20.01</t>
  </si>
  <si>
    <t>Fabbricazione di sedili per tram, filovie e metropolitane</t>
  </si>
  <si>
    <t>30.20.02</t>
  </si>
  <si>
    <t>Costruzione di altro materiale rotabile ferroviario, tranviario, filoviario, per
metropolitane e per miniere</t>
  </si>
  <si>
    <t>30.30.01</t>
  </si>
  <si>
    <t>Fabbricazione di sedili per aeromobili</t>
  </si>
  <si>
    <t>30.30.02</t>
  </si>
  <si>
    <t>Fabbricazione di missili balistici</t>
  </si>
  <si>
    <t>30.30.09</t>
  </si>
  <si>
    <t>Fabbricazione di aeromobili, di veicoli spaziali e dei relativi dispositivi nca</t>
  </si>
  <si>
    <t>30.40.00</t>
  </si>
  <si>
    <t>Fabbricazione di veicoli militari da combattimento</t>
  </si>
  <si>
    <t>30.91.11</t>
  </si>
  <si>
    <t>Fabbricazione di motori per motocicli</t>
  </si>
  <si>
    <t>30.91.12</t>
  </si>
  <si>
    <t>Fabbricazione di motocicli</t>
  </si>
  <si>
    <t>30.91.20</t>
  </si>
  <si>
    <t>Fabbricazione di accessori e pezzi staccati per motocicli e ciclomotori</t>
  </si>
  <si>
    <t>30.92.10</t>
  </si>
  <si>
    <t>Fabbricazione e montaggio di biciclette</t>
  </si>
  <si>
    <t>30.92.20</t>
  </si>
  <si>
    <t>Fabbricazione di parti ed accessori per biciclette</t>
  </si>
  <si>
    <t>30.92.30</t>
  </si>
  <si>
    <t>Fabbricazione di veicoli per invalidi (incluse parti e accessori)</t>
  </si>
  <si>
    <t>30.92.40</t>
  </si>
  <si>
    <t>Fabbricazione di carrozzine e passeggini per neonati</t>
  </si>
  <si>
    <t>30.99.00</t>
  </si>
  <si>
    <t>Fabbricazione di veicoli a trazione manuale o animale</t>
  </si>
  <si>
    <t>31.01.10</t>
  </si>
  <si>
    <t>Fabbricazione di sedie e poltrone per ufficio e negozi</t>
  </si>
  <si>
    <t>31.01.21</t>
  </si>
  <si>
    <t>Fabbricazione di altri mobili metallici per ufficio e negozi</t>
  </si>
  <si>
    <t>31.01.22</t>
  </si>
  <si>
    <t>Fabbricazione di altri mobili non metallici per ufficio e negozi</t>
  </si>
  <si>
    <t>31.02.00</t>
  </si>
  <si>
    <t>Fabbricazione di mobili per cucina</t>
  </si>
  <si>
    <t>31.03.00</t>
  </si>
  <si>
    <t>Fabbricazione di materassi</t>
  </si>
  <si>
    <t>31.09.10</t>
  </si>
  <si>
    <t>Fabbricazione di mobili per arredo domestico</t>
  </si>
  <si>
    <t>31.09.20</t>
  </si>
  <si>
    <t>Fabbricazione di sedie e sedili (esclusi quelli per aeromobili, autoveicoli, navi,
treni, ufficio e negozi)</t>
  </si>
  <si>
    <t>31.09.30</t>
  </si>
  <si>
    <t>Fabbricazione di poltrone e divani</t>
  </si>
  <si>
    <t>31.09.40</t>
  </si>
  <si>
    <t>Fabbricazione di parti e accessori di mobili</t>
  </si>
  <si>
    <t>31.09.50</t>
  </si>
  <si>
    <t>Finitura di mobili</t>
  </si>
  <si>
    <t>31.09.90</t>
  </si>
  <si>
    <t>Fabbricazione di altri mobili (inclusi quelli per arredo esterno)</t>
  </si>
  <si>
    <t>32.11.00</t>
  </si>
  <si>
    <t>Coniazione di monete</t>
  </si>
  <si>
    <t>32.12.10</t>
  </si>
  <si>
    <t>Fabbricazione di oggetti di gioielleria ed oreficeria in metalli preziosi o rivestiti di
metalli preziosi</t>
  </si>
  <si>
    <t>32.12.20</t>
  </si>
  <si>
    <t>Lavorazione di pietre preziose e semipreziose per gioielleria e per uso industriale</t>
  </si>
  <si>
    <t>32.13.01</t>
  </si>
  <si>
    <t>Fabbricazione di cinturini metallici per orologi (esclusi quelli in metalli preziosi)</t>
  </si>
  <si>
    <t>32.13.09</t>
  </si>
  <si>
    <t>Fabbricazione di bigiotteria e articoli simili nca</t>
  </si>
  <si>
    <t>32.20.00</t>
  </si>
  <si>
    <t>Fabbricazione di strumenti musicali (incluse parti e accessori)</t>
  </si>
  <si>
    <t>32.30.00</t>
  </si>
  <si>
    <t>Fabbricazione di articoli sportivi</t>
  </si>
  <si>
    <t>32.40.10</t>
  </si>
  <si>
    <t>Fabbricazione di giochi (inclusi i giochi elettronici)</t>
  </si>
  <si>
    <t>32.40.20</t>
  </si>
  <si>
    <t>Fabbricazione di giocattoli (inclusi i tricicli e gli strumenti musicali giocattolo)</t>
  </si>
  <si>
    <t>32.50.11</t>
  </si>
  <si>
    <t>Fabbricazione di materiale medico-chirurgico e veterinario</t>
  </si>
  <si>
    <t>32.50.12</t>
  </si>
  <si>
    <t>Fabbricazione di apparecchi e strumenti per odontoiatria e di apparecchi medicali
(incluse parti staccate e accessori)</t>
  </si>
  <si>
    <t>32.50.13</t>
  </si>
  <si>
    <t>Fabbricazione di mobili per uso medico, chirurgico, odontoiatrico e veterinario</t>
  </si>
  <si>
    <t>32.50.14</t>
  </si>
  <si>
    <t>Fabbricazione di centrifughe per laboratori</t>
  </si>
  <si>
    <t>32.50.20</t>
  </si>
  <si>
    <t>Fabbricazione di protesi dentarie (inclusa riparazione)</t>
  </si>
  <si>
    <t>32.50.30</t>
  </si>
  <si>
    <t>Fabbricazione di protesi ortopediche, altre protesi ed ausili (inclusa riparazione)</t>
  </si>
  <si>
    <t>32.50.40</t>
  </si>
  <si>
    <t>Fabbricazione di lenti oftalmiche</t>
  </si>
  <si>
    <t>32.50.50</t>
  </si>
  <si>
    <t>Fabbricazione di armature per occhiali di qualsiasi tipo; montatura in serie di
occhiali comuni</t>
  </si>
  <si>
    <t>32.91.00</t>
  </si>
  <si>
    <t>Fabbricazione di scope e spazzole</t>
  </si>
  <si>
    <t>32.99.11</t>
  </si>
  <si>
    <t>Fabbricazione di articoli di vestiario ignifughi e protettivi di sicurezza</t>
  </si>
  <si>
    <t>32.99.12</t>
  </si>
  <si>
    <t>Fabbricazione di articoli in plastica per la sicurezza personale</t>
  </si>
  <si>
    <t>32.99.13</t>
  </si>
  <si>
    <t>Fabbricazione di articoli in metallo per la sicurezza personale</t>
  </si>
  <si>
    <t>32.99.14</t>
  </si>
  <si>
    <t>Fabbricazione di maschere antigas</t>
  </si>
  <si>
    <t>32.99.19</t>
  </si>
  <si>
    <t>Fabbricazione di altre attrezzature ed altri articoli protettivi di sicurezza</t>
  </si>
  <si>
    <t>32.99.20</t>
  </si>
  <si>
    <t>Fabbricazione di ombrelli, bottoni, chiusure lampo, parrucche e affini</t>
  </si>
  <si>
    <t>32.99.30</t>
  </si>
  <si>
    <t>Fabbricazione di oggetti di cancelleria</t>
  </si>
  <si>
    <t>32.99.40</t>
  </si>
  <si>
    <t>Fabbricazione di casse funebri</t>
  </si>
  <si>
    <t>32.99.90</t>
  </si>
  <si>
    <t>Fabbricazione di altri articoli nca</t>
  </si>
  <si>
    <t>33.11.01</t>
  </si>
  <si>
    <t>Riparazione e manutenzione di stampi, portastampi, sagome, forme per
macchine</t>
  </si>
  <si>
    <t>33.11.02</t>
  </si>
  <si>
    <t>Riparazione e manutenzione di utensileria ad azionamento manuale</t>
  </si>
  <si>
    <t>33.11.03</t>
  </si>
  <si>
    <t>Riparazione e manutenzione di armi, sistemi d'arma e munizioni</t>
  </si>
  <si>
    <t>33.11.04</t>
  </si>
  <si>
    <t>Riparazione e manutenzione di casseforti, forzieri, porte metalliche blindate</t>
  </si>
  <si>
    <t>33.11.05</t>
  </si>
  <si>
    <t>Riparazione e manutenzione di armi bianche</t>
  </si>
  <si>
    <t>33.11.06</t>
  </si>
  <si>
    <t>Riparazione e manutenzione di container</t>
  </si>
  <si>
    <t>33.11.07</t>
  </si>
  <si>
    <t>Riparazione e manutenzione di carrelli per la spesa</t>
  </si>
  <si>
    <t>33.11.09</t>
  </si>
  <si>
    <t>Riparazione e manutenzione di altri prodotti in metallo</t>
  </si>
  <si>
    <t>33.12.10</t>
  </si>
  <si>
    <t>Riparazione e manutenzione di macchine di impiego generale</t>
  </si>
  <si>
    <t>33.12.20</t>
  </si>
  <si>
    <t>Riparazione e manutenzione di forni, fornaci e bruciatori</t>
  </si>
  <si>
    <t>33.12.30</t>
  </si>
  <si>
    <t>Riparazione e manutenzione di macchine e apparecchi di sollevamento e
movimentazione (esclusi ascensori)</t>
  </si>
  <si>
    <t>33.12.40</t>
  </si>
  <si>
    <t>Riparazione e manutenzione di attrezzature di uso non domestico per la
refrigerazione e la ventilazione</t>
  </si>
  <si>
    <t>33.12.51</t>
  </si>
  <si>
    <t>Riparazione e manutenzione di macchine ed attrezzature per ufficio (esclusi
computer, periferiche, fax)</t>
  </si>
  <si>
    <t>33.12.52</t>
  </si>
  <si>
    <t>Riparazione e manutenzione di bilance e macchine automatiche per la vendita e
la distribuzione</t>
  </si>
  <si>
    <t>33.12.53</t>
  </si>
  <si>
    <t>Riparazione e manutenzione di macchine per le industrie chimiche,
petrolchimiche e petrolifere</t>
  </si>
  <si>
    <t>33.12.54</t>
  </si>
  <si>
    <t>Riparazione e manutenzione di macchine per la dosatura, la confezione e
l'imballaggio</t>
  </si>
  <si>
    <t>33.12.55</t>
  </si>
  <si>
    <t>Riparazione e manutenzione di estintori (inclusa la ricarica)</t>
  </si>
  <si>
    <t>33.12.59</t>
  </si>
  <si>
    <t>Riparazione e manutenzione di altre macchine di impiego generale nca</t>
  </si>
  <si>
    <t>33.12.60</t>
  </si>
  <si>
    <t>Riparazione e manutenzione di trattori agricoli</t>
  </si>
  <si>
    <t>33.12.70</t>
  </si>
  <si>
    <t>Riparazione e manutenzione di altre macchine per l'agricoltura, la silvicoltura e la
zootecnia</t>
  </si>
  <si>
    <t>33.12.91</t>
  </si>
  <si>
    <t>Riparazione e manutenzione di parti intercambiabili per macchine utensili</t>
  </si>
  <si>
    <t>33.12.92</t>
  </si>
  <si>
    <t>Riparazione e manutenzione di giostre, altalene, padiglioni da tiro al bersaglio ed
altre attrezzature per parchi di divertimento</t>
  </si>
  <si>
    <t>33.12.99</t>
  </si>
  <si>
    <t>Riparazione e manutenzione di altre macchine per impieghi speciali nca (incluse
le macchine utensili)</t>
  </si>
  <si>
    <t>33.13.01</t>
  </si>
  <si>
    <t>Riparazione e manutenzione di apparecchiature ottiche, fotografiche e
cinematografiche (escluse videocamere)</t>
  </si>
  <si>
    <t>33.13.03</t>
  </si>
  <si>
    <t>Riparazione e manutenzione di apparecchi elettromedicali, di materiale medico-chirurgico e veterinario, di apparecchi e strumenti per odontoiatria</t>
  </si>
  <si>
    <t>33.13.04</t>
  </si>
  <si>
    <t>Riparazione e manutenzione di apparati di distillazione per laboratori, di
centrifughe per laboratori e di macchinari per pulizia ad ultrasuoni per laboratori</t>
  </si>
  <si>
    <t>33.13.09</t>
  </si>
  <si>
    <t>Riparazione e manutenzione di altre apparecchiature elettroniche (escluse quelle
per le telecomunicazioni ed i computer)</t>
  </si>
  <si>
    <t>33.14.00</t>
  </si>
  <si>
    <t>Riparazione e manutenzione di apparecchiature elettriche (esclusi gli
elettrodomestici)</t>
  </si>
  <si>
    <t>33.15.00</t>
  </si>
  <si>
    <t>Riparazione e manutenzione di navi commerciali e imbarcazioni da diporto
(esclusi i loro motori)</t>
  </si>
  <si>
    <t>33.16.00</t>
  </si>
  <si>
    <t>Riparazione e manutenzione di aeromobili e di veicoli spaziali</t>
  </si>
  <si>
    <t>33.17.00</t>
  </si>
  <si>
    <t>Riparazione e manutenzione di materiale rotabile ferroviario, tranviario, filoviario e
per metropolitane (esclusi i loro motori)</t>
  </si>
  <si>
    <t>33.19.01</t>
  </si>
  <si>
    <t>Riparazioni di pallets e contenitori in legno per trasporto</t>
  </si>
  <si>
    <t>33.19.02</t>
  </si>
  <si>
    <t>Riparazione di prodotti in gomma</t>
  </si>
  <si>
    <t>33.19.03</t>
  </si>
  <si>
    <t>Riparazione di articoli in vetro</t>
  </si>
  <si>
    <t>33.19.04</t>
  </si>
  <si>
    <t>Riparazioni di altri prodotti in legno nca</t>
  </si>
  <si>
    <t>33.19.09</t>
  </si>
  <si>
    <t>Riparazione di altre apparecchiature nca</t>
  </si>
  <si>
    <t>33.20.01</t>
  </si>
  <si>
    <t>Installazione di motori, generatori e trasformatori elettrici; di apparecchiature per
la distribuzione e il controllo dell'elettricità (esclusa l'installazione all'interno degli
edifici)</t>
  </si>
  <si>
    <t>33.20.02</t>
  </si>
  <si>
    <t>Installazione di apparecchi elettrici ed elettronici per telecomunicazioni, di
apparecchi trasmittenti radiotelevisivi, di impianti di apparecchiature elettriche ed
elettroniche (esclusa l'installazione all'interno degli edifici)</t>
  </si>
  <si>
    <t>33.20.03</t>
  </si>
  <si>
    <t>Installazione di strumenti ed apparecchi di misurazione, controllo, prova,
navigazione e simili (incluse le apparecchiature di controllo dei processi
industriali)</t>
  </si>
  <si>
    <t>33.20.04</t>
  </si>
  <si>
    <t>Installazione di cisterne, serbatoi e contenitori in metallo</t>
  </si>
  <si>
    <t>33.20.05</t>
  </si>
  <si>
    <t>Installazione di generatori di vapore (escluse le caldaie per il riscaldamento
centrale ad acqua calda)</t>
  </si>
  <si>
    <t>33.20.06</t>
  </si>
  <si>
    <t>Installazione di macchine per ufficio, di mainframe e computer simili</t>
  </si>
  <si>
    <t>33.20.07</t>
  </si>
  <si>
    <t>Installazione di apparecchi medicali, di apparecchi e strumenti per odontoiatria</t>
  </si>
  <si>
    <t>33.20.08</t>
  </si>
  <si>
    <t>Installazione di apparecchi elettromedicali</t>
  </si>
  <si>
    <t>33.20.09</t>
  </si>
  <si>
    <t>Installazione di altre macchine ed apparecchiature industriali</t>
  </si>
  <si>
    <t>35.11.00</t>
  </si>
  <si>
    <t>Produzione di energia elettrica</t>
  </si>
  <si>
    <t>35.12.00</t>
  </si>
  <si>
    <t>Trasmissione di energia elettrica</t>
  </si>
  <si>
    <t>35.13.00</t>
  </si>
  <si>
    <t>Distribuzione di energia elettrica</t>
  </si>
  <si>
    <t>35.14.00</t>
  </si>
  <si>
    <t>Commercio di energia elettrica</t>
  </si>
  <si>
    <t>35.21.00</t>
  </si>
  <si>
    <t>Produzione di gas</t>
  </si>
  <si>
    <t>35.22.00</t>
  </si>
  <si>
    <t>Distribuzione di combustibili gassosi mediante condotte</t>
  </si>
  <si>
    <t>35.23.00</t>
  </si>
  <si>
    <t>Commercio di gas distribuito mediante condotte</t>
  </si>
  <si>
    <t>35.30.00</t>
  </si>
  <si>
    <t>Fornitura di vapore e aria condizionata</t>
  </si>
  <si>
    <t>36.00.00</t>
  </si>
  <si>
    <t>Raccolta, trattamento e fornitura di acqua</t>
  </si>
  <si>
    <t>37.00.00</t>
  </si>
  <si>
    <t>Raccolta e depurazione delle acque di scarico</t>
  </si>
  <si>
    <t>38.11.00</t>
  </si>
  <si>
    <t>Raccolta di rifiuti solidi non pericolosi</t>
  </si>
  <si>
    <t>38.12.00</t>
  </si>
  <si>
    <t>Raccolta di rifiuti pericolosi solidi e non solidi</t>
  </si>
  <si>
    <t>38.21.01</t>
  </si>
  <si>
    <t>Produzione di compost</t>
  </si>
  <si>
    <t>38.21.09</t>
  </si>
  <si>
    <t>Trattamento e smaltimento di altri rifiuti non pericolosi</t>
  </si>
  <si>
    <t>38.22.00</t>
  </si>
  <si>
    <t>Trattamento e smaltimento di rifiuti pericolosi</t>
  </si>
  <si>
    <t>38.31.10</t>
  </si>
  <si>
    <t>Demolizione di carcasse</t>
  </si>
  <si>
    <t>38.31.20</t>
  </si>
  <si>
    <t>Cantieri di demolizione navali</t>
  </si>
  <si>
    <t>38.32.10</t>
  </si>
  <si>
    <t>Recupero e preparazione per il riciclaggio di cascami e rottami metallici</t>
  </si>
  <si>
    <t>38.32.20</t>
  </si>
  <si>
    <t>Recupero e preparazione per il riciclaggio di materiale plastico per produzione di
materie prime plastiche, resine sintetiche</t>
  </si>
  <si>
    <t>38.32.30</t>
  </si>
  <si>
    <t>Recupero e preparazione per il riciclaggio dei rifiuti solidi urbani, industriali e
biomasse</t>
  </si>
  <si>
    <t>39.00.01</t>
  </si>
  <si>
    <t>Attività di rimozione di strutture ed elementi in amianto specializzata per l'edilizia</t>
  </si>
  <si>
    <t>39.00.09</t>
  </si>
  <si>
    <t>Altre attività di risanamento e altri servizi di gestione dei rifiuti</t>
  </si>
  <si>
    <t>41.10.00</t>
  </si>
  <si>
    <t>Sviluppo di progetti immobiliari senza costruzione</t>
  </si>
  <si>
    <t>41.20.00</t>
  </si>
  <si>
    <t>Costruzione di edifici residenziali e non residenziali</t>
  </si>
  <si>
    <t>42.11.00</t>
  </si>
  <si>
    <t>Costruzione di strade, autostrade e piste aeroportuali</t>
  </si>
  <si>
    <t>42.12.00</t>
  </si>
  <si>
    <t>Costruzione di linee ferroviarie e metropolitane</t>
  </si>
  <si>
    <t>42.13.00</t>
  </si>
  <si>
    <t>Costruzione di ponti e gallerie</t>
  </si>
  <si>
    <t>42.21.00</t>
  </si>
  <si>
    <t>Costruzione di opere di pubblica utilità per il trasporto di fluidi</t>
  </si>
  <si>
    <t>42.22.00</t>
  </si>
  <si>
    <t>Costruzione di opere di pubblica utilità per l'energia elettrica e le
telecomunicazioni</t>
  </si>
  <si>
    <t>42.91.00</t>
  </si>
  <si>
    <t>Costruzione di opere idrauliche</t>
  </si>
  <si>
    <t>42.99.01</t>
  </si>
  <si>
    <t>Lottizzazione dei terreni connessa con l'urbanizzazione</t>
  </si>
  <si>
    <t>42.99.09</t>
  </si>
  <si>
    <t>Altre attività di costruzione di altre opere di ingegneria civile nca</t>
  </si>
  <si>
    <t>43.11.00</t>
  </si>
  <si>
    <t>Demolizione</t>
  </si>
  <si>
    <t>43.12.00</t>
  </si>
  <si>
    <t>Preparazione del cantiere edile e sistemazione del terreno</t>
  </si>
  <si>
    <t>43.13.00</t>
  </si>
  <si>
    <t>Trivellazioni e perforazioni</t>
  </si>
  <si>
    <t>43.21.01</t>
  </si>
  <si>
    <t>Installazione di impianti elettrici in edifici o in altre opere di costruzione (inclusa
manutenzione e riparazione)</t>
  </si>
  <si>
    <t>43.21.02</t>
  </si>
  <si>
    <t>Installazione di impianti elettronici (inclusa manutenzione e riparazione)</t>
  </si>
  <si>
    <t>43.21.03</t>
  </si>
  <si>
    <t>Installazione impianti di illuminazione stradale e dispositivi elettrici di
segnalazione, illuminazione delle piste degli aeroporti (inclusa manutenzione e
riparazione)</t>
  </si>
  <si>
    <t>43.22.01</t>
  </si>
  <si>
    <t>Installazione di impianti idraulici, di riscaldamento e di condizionamento dell'aria
(inclusa manutenzione e riparazione) in edifici o in altre opere di costruzione</t>
  </si>
  <si>
    <t>43.22.02</t>
  </si>
  <si>
    <t>Installazione di impianti per la distribuzione del gas (inclusa manutenzione e
riparazione)</t>
  </si>
  <si>
    <t>43.22.03</t>
  </si>
  <si>
    <t>Installazione di impianti di spegnimento antincendio (inclusi quelli integrati e la
manutenzione e riparazione)</t>
  </si>
  <si>
    <t>43.22.04</t>
  </si>
  <si>
    <t>Installazione di impianti di depurazione per piscine (inclusa manutenzione e
riparazione)</t>
  </si>
  <si>
    <t>43.22.05</t>
  </si>
  <si>
    <t>Installazione di impianti di irrigazione per giardini (inclusa manutenzione e
riparazione)</t>
  </si>
  <si>
    <t>43.29.01</t>
  </si>
  <si>
    <t>Installazione, riparazione e manutenzione di ascensori e scale mobili</t>
  </si>
  <si>
    <t>43.29.02</t>
  </si>
  <si>
    <t>Lavori di isolamento termico, acustico o antivibrazioni</t>
  </si>
  <si>
    <t>43.29.09</t>
  </si>
  <si>
    <t>Altri lavori di costruzione e installazione nca</t>
  </si>
  <si>
    <t>43.31.00</t>
  </si>
  <si>
    <t>Intonacatura e stuccatura</t>
  </si>
  <si>
    <t>43.32.01</t>
  </si>
  <si>
    <t>Posa in opera di casseforti, forzieri, porte blindate</t>
  </si>
  <si>
    <t>43.32.02</t>
  </si>
  <si>
    <t>Posa in opera di infissi, arredi, controsoffitti, pareti mobili e simili</t>
  </si>
  <si>
    <t>43.33.00</t>
  </si>
  <si>
    <t>Rivestimento di pavimenti e di muri</t>
  </si>
  <si>
    <t>43.34.00</t>
  </si>
  <si>
    <t>Tinteggiatura e posa in opera di vetri</t>
  </si>
  <si>
    <t>43.39.01</t>
  </si>
  <si>
    <t>Attività non specializzate di lavori edili (muratori)</t>
  </si>
  <si>
    <t>43.39.09</t>
  </si>
  <si>
    <t>Altri lavori di completamento e di finitura degli edifici nca</t>
  </si>
  <si>
    <t>43.91.00</t>
  </si>
  <si>
    <t>Realizzazione di coperture</t>
  </si>
  <si>
    <t>43.99.01</t>
  </si>
  <si>
    <t>Pulizia a vapore, sabbiatura e attività simili per pareti esterne di edifici</t>
  </si>
  <si>
    <t>43.99.02</t>
  </si>
  <si>
    <t>Noleggio di gru ed altre attrezzature con operatore per la costruzione o la
demolizione</t>
  </si>
  <si>
    <t>43.99.09</t>
  </si>
  <si>
    <t>Altre attività di lavori specializzati di costruzione nca</t>
  </si>
  <si>
    <t>45.11.01</t>
  </si>
  <si>
    <t>Commercio all'ingrosso e al dettaglio di autovetture e di autoveicoli leggeri</t>
  </si>
  <si>
    <t>45.11.02</t>
  </si>
  <si>
    <t>Intermediari del commercio di autovetture e di autoveicoli leggeri (incluse le
agenzie di compravendita)</t>
  </si>
  <si>
    <t>45.19.01</t>
  </si>
  <si>
    <t>Commercio all'ingrosso e al dettaglio di altri autoveicoli</t>
  </si>
  <si>
    <t>45.19.02</t>
  </si>
  <si>
    <t>Intermediari del commercio di altri autoveicoli (incluse le agenzie di
compravendita)</t>
  </si>
  <si>
    <t>45.20.10</t>
  </si>
  <si>
    <t>Riparazioni meccaniche di autoveicoli</t>
  </si>
  <si>
    <t>45.20.20</t>
  </si>
  <si>
    <t>Riparazione di carrozzerie di autoveicoli</t>
  </si>
  <si>
    <t>45.20.30</t>
  </si>
  <si>
    <t>Riparazione di impianti elettrici e di alimentazione per autoveicoli</t>
  </si>
  <si>
    <t>45.20.40</t>
  </si>
  <si>
    <t>Riparazione e sostituzione di pneumatici per autoveicoli</t>
  </si>
  <si>
    <t>45.20.91</t>
  </si>
  <si>
    <t>Lavaggio auto</t>
  </si>
  <si>
    <t>45.20.99</t>
  </si>
  <si>
    <t>Altre attività di manutenzione e di riparazione di autoveicoli</t>
  </si>
  <si>
    <t>45.31.01</t>
  </si>
  <si>
    <t>Commercio all'ingrosso di parti e accessori di autoveicoli</t>
  </si>
  <si>
    <t>45.31.02</t>
  </si>
  <si>
    <t>Intermediari del commercio di parti ed accessori di autoveicoli</t>
  </si>
  <si>
    <t>45.32.00</t>
  </si>
  <si>
    <t>Commercio al dettaglio di parti e accessori di autoveicoli</t>
  </si>
  <si>
    <t>45.40.11</t>
  </si>
  <si>
    <t>Commercio all'ingrosso e al dettaglio di motocicli e ciclomotori</t>
  </si>
  <si>
    <t>45.40.12</t>
  </si>
  <si>
    <t>Intermediari del commercio di motocicli e ciclomotori</t>
  </si>
  <si>
    <t>45.40.21</t>
  </si>
  <si>
    <t>Commercio all'ingrosso e al dettaglio di parti e accessori per motocicli e
ciclomotori</t>
  </si>
  <si>
    <t>45.40.22</t>
  </si>
  <si>
    <t>Intermediari del commercio di parti ed accessori di motocicli e ciclomotori</t>
  </si>
  <si>
    <t>45.40.30</t>
  </si>
  <si>
    <t>Manutenzione e riparazione di motocicli e ciclomotori (inclusi i pneumatici)</t>
  </si>
  <si>
    <t>46.11.01</t>
  </si>
  <si>
    <t>Agenti e rappresentanti di materie prime agricole</t>
  </si>
  <si>
    <t>46.11.02</t>
  </si>
  <si>
    <t>Agenti e rappresentanti di fiori e piante</t>
  </si>
  <si>
    <t>46.11.03</t>
  </si>
  <si>
    <t>Agenti e rappresentanti di animali vivi</t>
  </si>
  <si>
    <t>46.11.04</t>
  </si>
  <si>
    <t>Agenti e rappresentanti di fibre tessili gregge e semilavorate; pelli grezze</t>
  </si>
  <si>
    <t>46.11.05</t>
  </si>
  <si>
    <t>Procacciatori d'affari di materie prime agricole, animali vivi, materie prime e
semilavorati tessili; pelli grezze</t>
  </si>
  <si>
    <t>46.11.06</t>
  </si>
  <si>
    <t>Mediatori in materie prime agricole, materie prime e semilavorati tessili; pelli
grezze</t>
  </si>
  <si>
    <t>46.11.07</t>
  </si>
  <si>
    <t>Mediatori in animali vivi</t>
  </si>
  <si>
    <t>46.12.01</t>
  </si>
  <si>
    <t>Agenti e rappresentanti di carburanti, gpl, gas in bombole e simili; lubrificanti</t>
  </si>
  <si>
    <t>46.12.02</t>
  </si>
  <si>
    <t>Agenti e rappresentanti di combustibili solidi</t>
  </si>
  <si>
    <t>46.12.03</t>
  </si>
  <si>
    <t>Agenti e rappresentanti di minerali, metalli e prodotti semilavorati</t>
  </si>
  <si>
    <t>46.12.04</t>
  </si>
  <si>
    <t>Agenti e rappresentanti di prodotti chimici per l'industria</t>
  </si>
  <si>
    <t>46.12.05</t>
  </si>
  <si>
    <t>Agenti e rappresentanti di prodotti chimici per l'agricoltura (inclusi i fertilizzanti)</t>
  </si>
  <si>
    <t>46.12.06</t>
  </si>
  <si>
    <t>Procacciatori d'affari di combustibili, minerali, metalli e prodotti chimici</t>
  </si>
  <si>
    <t>46.12.07</t>
  </si>
  <si>
    <t>Mediatori in combustibili, minerali, metalli e prodotti chimici</t>
  </si>
  <si>
    <t>46.13.01</t>
  </si>
  <si>
    <t>Agenti e rappresentanti di legname, semilavorati in legno e legno artificiale</t>
  </si>
  <si>
    <t>46.13.02</t>
  </si>
  <si>
    <t>Agenti e rappresentanti di materiale da costruzione (inclusi gli infissi e gli articoli
igienico-sanitari); vetro piano</t>
  </si>
  <si>
    <t>46.13.03</t>
  </si>
  <si>
    <t>Agenti e rappresentanti di apparecchi ed accessori per riscaldamento e
condizionamento e altri prodotti similari</t>
  </si>
  <si>
    <t>46.13.04</t>
  </si>
  <si>
    <t>Procacciatori d'affari di legname e materiali da costruzione</t>
  </si>
  <si>
    <t>46.13.05</t>
  </si>
  <si>
    <t>Mediatori in legname e materiali da costruzione</t>
  </si>
  <si>
    <t>46.14.01</t>
  </si>
  <si>
    <t>Agenti e rappresentanti di macchine, attrezzature ed impianti per l'industria ed il
commercio; materiale e apparecchi elettrici ed elettronici per uso non domestico</t>
  </si>
  <si>
    <t>46.14.02</t>
  </si>
  <si>
    <t>Agenti e rappresentanti di macchine per costruzioni edili e stradali</t>
  </si>
  <si>
    <t>46.14.03</t>
  </si>
  <si>
    <t>Agenti e rappresentanti di macchine, attrezzature per ufficio, attrezzature per le
telecomunicazioni, computer e loro periferiche</t>
  </si>
  <si>
    <t>46.14.04</t>
  </si>
  <si>
    <t>Agenti e rappresentanti di macchine ed attrezzature per uso agricolo (inclusi i
trattori)</t>
  </si>
  <si>
    <t>46.14.05</t>
  </si>
  <si>
    <t>Agenti e rappresentanti di navi, aeromobili e altri veicoli (esclusi autoveicoli,
motocicli, ciclomotori e biciclette)</t>
  </si>
  <si>
    <t>46.14.06</t>
  </si>
  <si>
    <t>Procacciatori d'affari di macchinari, impianti industriali, navi e aeromobili,
macchine agricole, macchine per ufficio, attrezzature per le telecomunicazioni,
computer e loro periferiche</t>
  </si>
  <si>
    <t>46.14.07</t>
  </si>
  <si>
    <t>Mediatori in macchinari, impianti industriali, navi e aeromobili, macchine agricole,
macchine per ufficio, attrezzature per le telecomunicazioni, computer e loro
periferiche</t>
  </si>
  <si>
    <t>46.15.01</t>
  </si>
  <si>
    <t>Agenti e rappresentanti di mobili in legno, metallo e materie plastiche</t>
  </si>
  <si>
    <t>46.15.02</t>
  </si>
  <si>
    <t>Agenti e rappresentanti di articoli di ferramenta e di bricolage</t>
  </si>
  <si>
    <t>46.15.03</t>
  </si>
  <si>
    <t>Agenti e rappresentanti di articoli casalinghi, porcellane, articoli in vetro eccetera</t>
  </si>
  <si>
    <t>46.15.04</t>
  </si>
  <si>
    <t>Agenti e rappresentanti di vernici, carte da parati, stucchi e cornici decorativi</t>
  </si>
  <si>
    <t>46.15.05</t>
  </si>
  <si>
    <t>Agenti e rappresentanti di mobili e oggetti di arredamento per la casa in canna,
vimini, giunco, sughero, paglia; scope, spazzole, cesti e simili</t>
  </si>
  <si>
    <t>46.15.06</t>
  </si>
  <si>
    <t>Procacciatori d'affari di mobili, articoli per la casa e ferramenta</t>
  </si>
  <si>
    <t>46.15.07</t>
  </si>
  <si>
    <t>Mediatori in mobili, articoli per la casa e ferramenta</t>
  </si>
  <si>
    <t>46.16.01</t>
  </si>
  <si>
    <t>Agenti e rappresentanti di vestiario ed accessori di abbigliamento</t>
  </si>
  <si>
    <t>46.16.02</t>
  </si>
  <si>
    <t>Agenti e rappresentanti di pellicce</t>
  </si>
  <si>
    <t>46.16.03</t>
  </si>
  <si>
    <t>Agenti e rappresentanti di tessuti per abbigliamento ed arredamento (incluse
merceria e passamaneria)</t>
  </si>
  <si>
    <t>46.16.04</t>
  </si>
  <si>
    <t>Agenti e rappresentanti di camicie, biancheria e maglieria intima</t>
  </si>
  <si>
    <t>46.16.05</t>
  </si>
  <si>
    <t>Agenti e rappresentanti di calzature ed accessori</t>
  </si>
  <si>
    <t>46.16.06</t>
  </si>
  <si>
    <t>Agenti e rappresentanti di pelletteria, valige ed articoli da viaggio</t>
  </si>
  <si>
    <t>46.16.07</t>
  </si>
  <si>
    <t>Agenti e rappresentanti di articoli tessili per la casa, tappeti, stuoie e materassi</t>
  </si>
  <si>
    <t>46.16.08</t>
  </si>
  <si>
    <t>Procacciatori d'affari di prodotti tessili, abbigliamento, pellicce, calzature e articoli
in pelle</t>
  </si>
  <si>
    <t>46.16.09</t>
  </si>
  <si>
    <t>Mediatori in prodotti tessili, abbigliamento, pellicce, calzature e articoli in pelle</t>
  </si>
  <si>
    <t>46.17.01</t>
  </si>
  <si>
    <t>Agenti e rappresentanti di prodotti ortofrutticoli freschi, congelati e surgelati</t>
  </si>
  <si>
    <t>46.17.02</t>
  </si>
  <si>
    <t>Agenti e rappresentanti di carni fresche, congelate, surgelate, conservate e
secche; salumi</t>
  </si>
  <si>
    <t>46.17.03</t>
  </si>
  <si>
    <t>Agenti e rappresentanti di latte, burro e formaggi</t>
  </si>
  <si>
    <t>46.17.04</t>
  </si>
  <si>
    <t>Agenti e rappresentanti di oli e grassi alimentari: olio d'oliva e di semi, margarina
ed altri prodotti similari</t>
  </si>
  <si>
    <t>46.17.05</t>
  </si>
  <si>
    <t>Agenti e rappresentanti di bevande e prodotti similari</t>
  </si>
  <si>
    <t>46.17.06</t>
  </si>
  <si>
    <t>Agenti e rappresentanti di prodotti ittici freschi, congelati, surgelati e conservati e
secchi</t>
  </si>
  <si>
    <t>46.17.07</t>
  </si>
  <si>
    <t>Agenti e rappresentanti di altri prodotti alimentari (incluse le uova e gli alimenti
per gli animali domestici); tabacco</t>
  </si>
  <si>
    <t>46.17.08</t>
  </si>
  <si>
    <t>Procacciatori d'affari di prodotti alimentari, bevande e tabacco</t>
  </si>
  <si>
    <t>46.17.09</t>
  </si>
  <si>
    <t>Mediatori in prodotti alimentari, bevande e tabacco</t>
  </si>
  <si>
    <t>46.18.11</t>
  </si>
  <si>
    <t>Agenti e rappresentanti di carta e cartone (esclusi gli imballaggi); articoli di
cartoleria e cancelleria</t>
  </si>
  <si>
    <t>46.18.12</t>
  </si>
  <si>
    <t>Agenti e rappresentanti di libri e altre pubblicazioni (incluso i relativi abbonamenti)</t>
  </si>
  <si>
    <t>46.18.13</t>
  </si>
  <si>
    <t>Procacciatori d'affari di prodotti di carta, cancelleria, libri</t>
  </si>
  <si>
    <t>46.18.14</t>
  </si>
  <si>
    <t>Mediatori in prodotti di carta, cancelleria, libri</t>
  </si>
  <si>
    <t>46.18.21</t>
  </si>
  <si>
    <t>Agenti e rappresentanti di elettronica di consumo audio e video, materiale
elettrico per uso domestico</t>
  </si>
  <si>
    <t>46.18.22</t>
  </si>
  <si>
    <t>Agenti e rappresentanti di apparecchi elettrodomestici</t>
  </si>
  <si>
    <t>46.18.23</t>
  </si>
  <si>
    <t>Procacciatori d'affari di elettronica di consumo audio e video, materiale elettrico
per uso domestico, elettrodomestici</t>
  </si>
  <si>
    <t>46.18.24</t>
  </si>
  <si>
    <t>Mediatori in elettronica di consumo audio e video, materiale elettrico per uso
domestico, elettrodomestici</t>
  </si>
  <si>
    <t>46.18.31</t>
  </si>
  <si>
    <t>Agenti e rappresentanti di prodotti farmaceutici; prodotti di erboristeria per uso
medico</t>
  </si>
  <si>
    <t>46.18.32</t>
  </si>
  <si>
    <t>Agenti e rappresentanti di prodotti sanitari ed apparecchi medicali, chirurgici e
ortopedici; apparecchi per centri di estetica</t>
  </si>
  <si>
    <t>46.18.33</t>
  </si>
  <si>
    <t>Agenti e rappresentanti di prodotti di profumeria e di cosmetica (inclusi articoli per
parrucchieri); prodotti di erboristeria per uso cosmetico</t>
  </si>
  <si>
    <t>46.18.34</t>
  </si>
  <si>
    <t>Procacciatori d'affari di prodotti farmaceutici e di cosmetici</t>
  </si>
  <si>
    <t>46.18.35</t>
  </si>
  <si>
    <t>Mediatori in prodotti farmaceutici e cosmetici</t>
  </si>
  <si>
    <t>46.18.91</t>
  </si>
  <si>
    <t>Agenti e rappresentanti di attrezzature sportive; biciclette</t>
  </si>
  <si>
    <t>46.18.92</t>
  </si>
  <si>
    <t>Agenti e rappresentanti di orologi, oggetti e semilavorati per gioielleria e oreficeria</t>
  </si>
  <si>
    <t>46.18.93</t>
  </si>
  <si>
    <t>Agenti e rappresentanti di articoli fotografici, ottici e prodotti simili; strumenti
scientifici e per laboratori di analisi</t>
  </si>
  <si>
    <t>46.18.94</t>
  </si>
  <si>
    <t>Agenti e rappresentanti di saponi, detersivi, candele e prodotti simili</t>
  </si>
  <si>
    <t>46.18.95</t>
  </si>
  <si>
    <t>Agenti e rappresentanti di giocattoli</t>
  </si>
  <si>
    <t>46.18.96</t>
  </si>
  <si>
    <t>Agenti e rappresentanti di chincaglieria e bigiotteria</t>
  </si>
  <si>
    <t>46.18.97</t>
  </si>
  <si>
    <t>Agenti e rappresentanti di altri prodotti non alimentari nca (inclusi gli imballaggi e
gli articoli antinfortunistici, antincendio e pubblicitari)</t>
  </si>
  <si>
    <t>46.18.98</t>
  </si>
  <si>
    <t>Procacciatori d'affari di attrezzature sportive, biciclette e altri prodotti nca</t>
  </si>
  <si>
    <t>46.18.99</t>
  </si>
  <si>
    <t>Mediatori in attrezzature sportive, biciclette e altri prodotti nca</t>
  </si>
  <si>
    <t>46.19.01</t>
  </si>
  <si>
    <t>Agenti e rappresentanti di vari prodotti senza prevalenza di alcuno</t>
  </si>
  <si>
    <t>46.19.02</t>
  </si>
  <si>
    <t>Procacciatori d'affari di vari prodotti senza prevalenza di alcuno</t>
  </si>
  <si>
    <t>46.19.03</t>
  </si>
  <si>
    <t>Mediatori in vari prodotti senza prevalenza di alcuno</t>
  </si>
  <si>
    <t>46.19.04</t>
  </si>
  <si>
    <t>Gruppi di acquisto; mandatari agli acquisti; buyer</t>
  </si>
  <si>
    <t>46.21.10</t>
  </si>
  <si>
    <t>Commercio all'ingrosso di cereali e legumi secchi</t>
  </si>
  <si>
    <t>46.21.21</t>
  </si>
  <si>
    <t>Commercio all'ingrosso di tabacco grezzo</t>
  </si>
  <si>
    <t>46.21.22</t>
  </si>
  <si>
    <t>Commercio all'ingrosso di sementi e alimenti per il bestiame (mangimi), piante
officinali, semi oleosi, patate da semina</t>
  </si>
  <si>
    <t>46.22.00</t>
  </si>
  <si>
    <t>Commercio all'ingrosso di fiori e piante</t>
  </si>
  <si>
    <t>46.23.00</t>
  </si>
  <si>
    <t>Commercio all'ingrosso di animali vivi</t>
  </si>
  <si>
    <t>46.24.10</t>
  </si>
  <si>
    <t>Commercio all'ingrosso di cuoio e pelli gregge e lavorate (escluse le pelli per
pellicceria)</t>
  </si>
  <si>
    <t>46.24.20</t>
  </si>
  <si>
    <t>Commercio all'ingrosso di pelli gregge e lavorate per pellicceria</t>
  </si>
  <si>
    <t>46.31.10</t>
  </si>
  <si>
    <t>Commercio all'ingrosso di frutta e ortaggi freschi</t>
  </si>
  <si>
    <t>46.31.20</t>
  </si>
  <si>
    <t>Commercio all'ingrosso di frutta e ortaggi conservati</t>
  </si>
  <si>
    <t>46.32.10</t>
  </si>
  <si>
    <t>Commercio all'ingrosso di carne fresca, congelata e surgelata</t>
  </si>
  <si>
    <t>46.32.20</t>
  </si>
  <si>
    <t>Commercio all'ingrosso di prodotti di salumeria</t>
  </si>
  <si>
    <t>46.33.10</t>
  </si>
  <si>
    <t>Commercio all'ingrosso di prodotti lattiero-caseari e di uova</t>
  </si>
  <si>
    <t>46.33.20</t>
  </si>
  <si>
    <t>Commercio all'ingrosso di oli e grassi alimentari di origine vegetale o animale</t>
  </si>
  <si>
    <t>46.34.10</t>
  </si>
  <si>
    <t>Commercio all'ingrosso di bevande alcoliche</t>
  </si>
  <si>
    <t>46.34.20</t>
  </si>
  <si>
    <t>Commercio all'ingrosso di bevande non alcoliche</t>
  </si>
  <si>
    <t>46.35.00</t>
  </si>
  <si>
    <t>Commercio all'ingrosso di prodotti del tabacco</t>
  </si>
  <si>
    <t>46.36.00</t>
  </si>
  <si>
    <t>Commercio all'ingrosso di zucchero, cioccolato, dolciumi e prodotti da forno</t>
  </si>
  <si>
    <t>46.37.01</t>
  </si>
  <si>
    <t>Commercio all'ingrosso di caffè</t>
  </si>
  <si>
    <t>46.37.02</t>
  </si>
  <si>
    <t>Commercio all'ingrosso di tè, cacao e spezie</t>
  </si>
  <si>
    <t>46.38.10</t>
  </si>
  <si>
    <t>Commercio all'ingrosso di prodotti della pesca freschi</t>
  </si>
  <si>
    <t>46.38.20</t>
  </si>
  <si>
    <t>Commercio all'ingrosso di prodotti della pesca congelati, surgelati, conservati,
secchi</t>
  </si>
  <si>
    <t>46.38.30</t>
  </si>
  <si>
    <t>Commercio all'ingrosso di pasti e piatti pronti</t>
  </si>
  <si>
    <t>46.38.90</t>
  </si>
  <si>
    <t>Commercio all'ingrosso di altri prodotti alimentari</t>
  </si>
  <si>
    <t>46.39.10</t>
  </si>
  <si>
    <t>Commercio all'ingrosso non specializzato di prodotti surgelati</t>
  </si>
  <si>
    <t>46.39.20</t>
  </si>
  <si>
    <t>Commercio all'ingrosso non specializzato di altri prodotti alimentari, bevande e
tabacco</t>
  </si>
  <si>
    <t>46.41.10</t>
  </si>
  <si>
    <t>Commercio all'ingrosso di tessuti</t>
  </si>
  <si>
    <t>46.41.20</t>
  </si>
  <si>
    <t>Commercio all'ingrosso di articoli di merceria, filati e passamaneria</t>
  </si>
  <si>
    <t>46.41.90</t>
  </si>
  <si>
    <t>Commercio all'ingrosso di altri articoli tessili</t>
  </si>
  <si>
    <t>46.42.10</t>
  </si>
  <si>
    <t>Commercio all'ingrosso di abbigliamento e accessori</t>
  </si>
  <si>
    <t>46.42.20</t>
  </si>
  <si>
    <t>Commercio all'ingrosso di articoli in pelliccia</t>
  </si>
  <si>
    <t>46.42.30</t>
  </si>
  <si>
    <t>Commercio all'ingrosso di camicie, biancheria intima, maglieria e simili</t>
  </si>
  <si>
    <t>46.42.40</t>
  </si>
  <si>
    <t>Commercio all'ingrosso di calzature e accessori</t>
  </si>
  <si>
    <t>46.43.10</t>
  </si>
  <si>
    <t>Commercio all'ingrosso di elettrodomestici, di elettronica di consumo audio e
video</t>
  </si>
  <si>
    <t>46.43.20</t>
  </si>
  <si>
    <t>Commercio all'ingrosso di supporti registrati, audio, video (Cd, Dvd e altri
supporti)</t>
  </si>
  <si>
    <t>46.43.30</t>
  </si>
  <si>
    <t>Commercio all'ingrosso di articoli per fotografia, cinematografia e ottica</t>
  </si>
  <si>
    <t>46.44.10</t>
  </si>
  <si>
    <t>Commercio all'ingrosso di vetreria e cristalleria</t>
  </si>
  <si>
    <t>46.44.20</t>
  </si>
  <si>
    <t>Commercio all'ingrosso di ceramiche e porcellana</t>
  </si>
  <si>
    <t>46.44.30</t>
  </si>
  <si>
    <t>Commercio all'ingrosso di saponi, detersivi e altri prodotti per la pulizia</t>
  </si>
  <si>
    <t>46.44.40</t>
  </si>
  <si>
    <t>Commercio all'ingrosso di coltelleria, posateria e pentolame</t>
  </si>
  <si>
    <t>46.45.00</t>
  </si>
  <si>
    <t>Commercio all'ingrosso di profumi e cosmetici</t>
  </si>
  <si>
    <t>46.46.10</t>
  </si>
  <si>
    <t>Commercio all'ingrosso di medicinali</t>
  </si>
  <si>
    <t>46.46.20</t>
  </si>
  <si>
    <t>Commercio all'ingrosso di prodotti botanici per uso farmaceutico</t>
  </si>
  <si>
    <t>46.46.30</t>
  </si>
  <si>
    <t>Commercio all'ingrosso di articoli medicali ed ortopedici</t>
  </si>
  <si>
    <t>46.47.10</t>
  </si>
  <si>
    <t>Commercio all'ingrosso di mobili di qualsiasi materiale</t>
  </si>
  <si>
    <t>46.47.20</t>
  </si>
  <si>
    <t>Commercio all'ingrosso di tappeti</t>
  </si>
  <si>
    <t>46.47.30</t>
  </si>
  <si>
    <t>Commercio all'ingrosso di articoli per l'illuminazione; materiale elettrico vario per
uso domestico</t>
  </si>
  <si>
    <t>46.48.00</t>
  </si>
  <si>
    <t>Commercio all'ingrosso di orologi e di gioielleria</t>
  </si>
  <si>
    <t>46.49.10</t>
  </si>
  <si>
    <t>Commercio all'ingrosso di carta, cartone e articoli di cartoleria</t>
  </si>
  <si>
    <t>46.49.20</t>
  </si>
  <si>
    <t>Commercio all'ingrosso di libri, riviste e giornali</t>
  </si>
  <si>
    <t>46.49.30</t>
  </si>
  <si>
    <t>Commercio all'ingrosso di giochi e giocattoli</t>
  </si>
  <si>
    <t>46.49.40</t>
  </si>
  <si>
    <t>Commercio all'ingrosso di articoli sportivi (incluse le biciclette)</t>
  </si>
  <si>
    <t>46.49.50</t>
  </si>
  <si>
    <t>Commercio all'ingrosso di articoli in pelle; articoli da viaggio in qualsiasi materiale</t>
  </si>
  <si>
    <t>46.49.90</t>
  </si>
  <si>
    <t>Commercio all'ingrosso di vari prodotti di consumo non alimentare nca</t>
  </si>
  <si>
    <t>46.51.00</t>
  </si>
  <si>
    <t>Commercio all'ingrosso di computer, apparecchiature informatiche periferiche e di
software</t>
  </si>
  <si>
    <t>46.52.01</t>
  </si>
  <si>
    <t>Commercio all'ingrosso di apparecchi e materiali telefonici</t>
  </si>
  <si>
    <t>46.52.02</t>
  </si>
  <si>
    <t>Commercio all'ingrosso di nastri non registrati</t>
  </si>
  <si>
    <t>46.52.09</t>
  </si>
  <si>
    <t>Commercio all'ingrosso di altre apparecchiature elettroniche per
telecomunicazioni e di altri componenti elettronici</t>
  </si>
  <si>
    <t>46.61.00</t>
  </si>
  <si>
    <t>Commercio all'ingrosso di macchine, accessori e utensili agricoli, inclusi i trattori</t>
  </si>
  <si>
    <t>46.62.00</t>
  </si>
  <si>
    <t>Commercio all'ingrosso di macchine utensili (incluse le relative parti
intercambiabili)</t>
  </si>
  <si>
    <t>46.63.00</t>
  </si>
  <si>
    <t>Commercio all'ingrosso di macchine per le miniere, l'edilizia e l'ingegneria civile</t>
  </si>
  <si>
    <t>46.64.00</t>
  </si>
  <si>
    <t>Commercio all'ingrosso di macchine per l'industria tessile, di macchine per cucire
e per maglieria</t>
  </si>
  <si>
    <t>46.65.00</t>
  </si>
  <si>
    <t>Commercio all'ingrosso di mobili per ufficio e negozi</t>
  </si>
  <si>
    <t>46.66.00</t>
  </si>
  <si>
    <t>Commercio all'ingrosso di altre macchine e attrezzature per ufficio</t>
  </si>
  <si>
    <t>46.69.11</t>
  </si>
  <si>
    <t>Commercio all'ingrosso di imbarcazioni da diporto</t>
  </si>
  <si>
    <t>46.69.19</t>
  </si>
  <si>
    <t>Commercio all'ingrosso di altri mezzi ed attrezzature di trasporto</t>
  </si>
  <si>
    <t>46.69.20</t>
  </si>
  <si>
    <t>Commercio all'ingrosso di materiale elettrico per impianti di uso industriale</t>
  </si>
  <si>
    <t>46.69.30</t>
  </si>
  <si>
    <t>Commercio all'ingrosso di apparecchiature per parrucchieri, palestre, solarium e
centri estetici</t>
  </si>
  <si>
    <t>46.69.91</t>
  </si>
  <si>
    <t>Commercio all'ingrosso di strumenti e attrezzature di misurazione per uso
scientifico</t>
  </si>
  <si>
    <t>46.69.92</t>
  </si>
  <si>
    <t>Commercio all'ingrosso di strumenti e attrezzature di misurazione per uso non
scientifico</t>
  </si>
  <si>
    <t>46.69.93</t>
  </si>
  <si>
    <t>Commercio all'ingrosso di giochi per luna-park e videogiochi per pubblici esercizi</t>
  </si>
  <si>
    <t>46.69.94</t>
  </si>
  <si>
    <t>Commercio all'ingrosso di articoli antincendio e antinfortunistici</t>
  </si>
  <si>
    <t>46.69.99</t>
  </si>
  <si>
    <t>Commercio all'ingrosso di altre macchine ed attrezzature per l'industria, il
commercio e la navigazione nca</t>
  </si>
  <si>
    <t>46.71.00</t>
  </si>
  <si>
    <t>Commercio all'ingrosso di prodotti petroliferi e lubrificanti per autotrazione, di
combustibili per riscaldamento</t>
  </si>
  <si>
    <t>46.72.10</t>
  </si>
  <si>
    <t>Commercio all'ingrosso di minerali metalliferi, di metalli ferrosi e prodotti
semilavorati</t>
  </si>
  <si>
    <t>46.72.20</t>
  </si>
  <si>
    <t>Commercio all'ingrosso di metalli non ferrosi e prodotti semilavorati</t>
  </si>
  <si>
    <t>46.73.10</t>
  </si>
  <si>
    <t>Commercio all'ingrosso di legname, semilavorati in legno e legno artificiale</t>
  </si>
  <si>
    <t>46.73.21</t>
  </si>
  <si>
    <t>Commercio all'ingrosso di moquette e linoleum</t>
  </si>
  <si>
    <t>46.73.22</t>
  </si>
  <si>
    <t>Commercio all'ingrosso di altri materiali per rivestimenti (inclusi gli apparecchi
igienico-sanitari)</t>
  </si>
  <si>
    <t>46.73.23</t>
  </si>
  <si>
    <t>Commercio all'ingrosso di infissi</t>
  </si>
  <si>
    <t>46.73.29</t>
  </si>
  <si>
    <t>Commercio all'ingrosso di altri materiali da costruzione</t>
  </si>
  <si>
    <t>46.73.30</t>
  </si>
  <si>
    <t>Commercio all'ingrosso di vetro piano</t>
  </si>
  <si>
    <t>46.73.40</t>
  </si>
  <si>
    <t>Commercio all'ingrosso di carta da parati, colori e vernici</t>
  </si>
  <si>
    <t>46.74.10</t>
  </si>
  <si>
    <t>Commercio all'ingrosso di articoli in ferro e in altri metalli (ferramenta)</t>
  </si>
  <si>
    <t>46.74.20</t>
  </si>
  <si>
    <t>Commercio all'ingrosso di apparecchi e accessori per impianti idraulici, di
riscaldamento e di condizionamento</t>
  </si>
  <si>
    <t>46.75.01</t>
  </si>
  <si>
    <t>Commercio all'ingrosso di fertilizzanti e di altri prodotti chimici per l'agricoltura</t>
  </si>
  <si>
    <t>46.75.02</t>
  </si>
  <si>
    <t>Commercio all'ingrosso di prodotti chimici per l'industria</t>
  </si>
  <si>
    <t>46.76.10</t>
  </si>
  <si>
    <t>Commercio all'ingrosso di fibre tessili gregge e semilavorate</t>
  </si>
  <si>
    <t>46.76.20</t>
  </si>
  <si>
    <t>Commercio all'ingrosso di gomma greggia, materie plastiche in forme primarie e
semilavorati</t>
  </si>
  <si>
    <t>46.76.30</t>
  </si>
  <si>
    <t>Commercio all'ingrosso di imballaggi</t>
  </si>
  <si>
    <t>46.76.90</t>
  </si>
  <si>
    <t>Commercio all'ingrosso di altri prodotti intermedi nca</t>
  </si>
  <si>
    <t>46.77.10</t>
  </si>
  <si>
    <t>Commercio all'ingrosso di rottami e sottoprodotti della lavorazione industriale
metallici</t>
  </si>
  <si>
    <t>46.77.20</t>
  </si>
  <si>
    <t>Commercio all'ingrosso di altri materiali di recupero non metallici (vetro, carta,
cartoni eccetera); sottoprodotti non metallici della lavorazione industriale
(cascami)</t>
  </si>
  <si>
    <t>46.90.00</t>
  </si>
  <si>
    <t>Commercio all'ingrosso non specializzato</t>
  </si>
  <si>
    <t>47.11.10</t>
  </si>
  <si>
    <t>Ipermercati</t>
  </si>
  <si>
    <t>47.11.20</t>
  </si>
  <si>
    <t>Supermercati</t>
  </si>
  <si>
    <t>47.11.30</t>
  </si>
  <si>
    <t>Discount di alimentari</t>
  </si>
  <si>
    <t>47.11.40</t>
  </si>
  <si>
    <t>Minimercati ed altri esercizi non specializzati di alimentari vari</t>
  </si>
  <si>
    <t>47.11.50</t>
  </si>
  <si>
    <t>Commercio al dettaglio di prodotti surgelati</t>
  </si>
  <si>
    <t>47.19.10</t>
  </si>
  <si>
    <t>Grandi magazzini</t>
  </si>
  <si>
    <t>47.19.20</t>
  </si>
  <si>
    <t>Commercio al dettaglio in esercizi non specializzati di computer, periferiche,
attrezzature per le telecomunicazioni, elettronica di consumo audio e video,
elettrodomestici</t>
  </si>
  <si>
    <t>47.19.90</t>
  </si>
  <si>
    <t>Empori ed altri negozi non specializzati di vari prodotti non alimentari</t>
  </si>
  <si>
    <t>47.21.01</t>
  </si>
  <si>
    <t>Commercio al dettaglio di frutta e verdura fresca</t>
  </si>
  <si>
    <t>47.21.02</t>
  </si>
  <si>
    <t>Commercio al dettaglio di frutta e verdura preparata e conservata</t>
  </si>
  <si>
    <t>47.22.00</t>
  </si>
  <si>
    <t>Commercio al dettaglio di carni e di prodotti a base di carne</t>
  </si>
  <si>
    <t>47.23.00</t>
  </si>
  <si>
    <t>Commercio al dettaglio di pesci, crostacei e molluschi</t>
  </si>
  <si>
    <t>47.24.10</t>
  </si>
  <si>
    <t>Commercio al dettaglio di pane</t>
  </si>
  <si>
    <t>47.24.20</t>
  </si>
  <si>
    <t>Commercio al dettaglio di torte, dolciumi, confetteria</t>
  </si>
  <si>
    <t>47.25.00</t>
  </si>
  <si>
    <t>Commercio al dettaglio di bevande</t>
  </si>
  <si>
    <t>47.26.00</t>
  </si>
  <si>
    <t>Commercio al dettaglio di generi di monopolio (tabaccherie)</t>
  </si>
  <si>
    <t>47.29.10</t>
  </si>
  <si>
    <t>Commercio al dettaglio di latte e di prodotti lattiero-caseari</t>
  </si>
  <si>
    <t>47.29.20</t>
  </si>
  <si>
    <t>Commercio al dettaglio di caffè torrefatto</t>
  </si>
  <si>
    <t>47.29.30</t>
  </si>
  <si>
    <t>Commercio al dettaglio di prodotti macrobiotici e dietetici</t>
  </si>
  <si>
    <t>47.29.90</t>
  </si>
  <si>
    <t>Commercio al dettaglio di altri prodotti alimentari in esercizi specializzati nca</t>
  </si>
  <si>
    <t>47.30.00</t>
  </si>
  <si>
    <t>Commercio al dettaglio di carburante per autotrazione</t>
  </si>
  <si>
    <t>47.41.00</t>
  </si>
  <si>
    <t>Commercio al dettaglio di computer, unità periferiche, software e attrezzature per
ufficio in esercizi specializzati</t>
  </si>
  <si>
    <t>47.42.00</t>
  </si>
  <si>
    <t>Commercio al dettaglio di apparecchiature per le telecomunicazioni e la telefonia
in esercizi specializzati</t>
  </si>
  <si>
    <t>47.43.00</t>
  </si>
  <si>
    <t>Commercio al dettaglio di apparecchi audio e video in esercizi specializzati</t>
  </si>
  <si>
    <t>47.51.10</t>
  </si>
  <si>
    <t>Commercio al dettaglio di tessuti per l'abbigliamento, l'arredamento e di
biancheria per la casa</t>
  </si>
  <si>
    <t>47.51.20</t>
  </si>
  <si>
    <t>Commercio al dettaglio di filati per maglieria e merceria</t>
  </si>
  <si>
    <t>47.52.10</t>
  </si>
  <si>
    <t>Commercio al dettaglio di ferramenta, vernici, vetro piano e materiale elettrico e
termoidraulico</t>
  </si>
  <si>
    <t>47.52.20</t>
  </si>
  <si>
    <t>Commercio al dettaglio di articoli igienico-sanitari</t>
  </si>
  <si>
    <t>47.52.30</t>
  </si>
  <si>
    <t>Commercio al dettaglio di materiali da costruzione, ceramiche e piastrelle</t>
  </si>
  <si>
    <t>47.52.40</t>
  </si>
  <si>
    <t>Commercio al dettaglio di macchine, attrezzature e prodotti per l'agricoltura;
macchine e attrezzature per il giardinaggio</t>
  </si>
  <si>
    <t>47.53.11</t>
  </si>
  <si>
    <t>Commercio al dettaglio di tende e tendine</t>
  </si>
  <si>
    <t>47.53.12</t>
  </si>
  <si>
    <t>Commercio al dettaglio di tappeti</t>
  </si>
  <si>
    <t>47.53.20</t>
  </si>
  <si>
    <t>Commercio al dettaglio di carta da parati e rivestimenti per pavimenti (moquette e
linoleum)</t>
  </si>
  <si>
    <t>47.54.00</t>
  </si>
  <si>
    <t>Commercio al dettaglio di elettrodomestici in esercizi specializzati</t>
  </si>
  <si>
    <t>47.59.10</t>
  </si>
  <si>
    <t>Commercio al dettaglio di mobili per la casa</t>
  </si>
  <si>
    <t>47.59.20</t>
  </si>
  <si>
    <t>Commercio al dettaglio di utensili per la casa, di cristallerie e vasellame</t>
  </si>
  <si>
    <t>47.59.30</t>
  </si>
  <si>
    <t>Commercio al dettaglio di articoli per l'illuminazione</t>
  </si>
  <si>
    <t>47.59.40</t>
  </si>
  <si>
    <t>Commercio al dettaglio di macchine per cucire e per maglieria per uso domestico</t>
  </si>
  <si>
    <t>47.59.50</t>
  </si>
  <si>
    <t>Commercio al dettaglio di sistemi di sicurezza</t>
  </si>
  <si>
    <t>47.59.60</t>
  </si>
  <si>
    <t>Commercio al dettaglio di strumenti musicali e spartiti</t>
  </si>
  <si>
    <t>47.59.91</t>
  </si>
  <si>
    <t>Commercio al dettaglio di articoli in legno, sughero, vimini e articoli in plastica per
uso domestico</t>
  </si>
  <si>
    <t>47.59.99</t>
  </si>
  <si>
    <t>Commercio al dettaglio di altri articoli per uso domestico nca</t>
  </si>
  <si>
    <t>47.61.00</t>
  </si>
  <si>
    <t>Commercio al dettaglio di libri nuovi in esercizi specializzati</t>
  </si>
  <si>
    <t>47.62.10</t>
  </si>
  <si>
    <t>Commercio al dettaglio di giornali, riviste e periodici</t>
  </si>
  <si>
    <t>47.62.20</t>
  </si>
  <si>
    <t>Commercio al dettaglio di articoli di cartoleria e forniture per ufficio</t>
  </si>
  <si>
    <t>47.63.00</t>
  </si>
  <si>
    <t>Commercio al dettaglio di registrazioni musicali e video in esercizi specializzati</t>
  </si>
  <si>
    <t>47.64.10</t>
  </si>
  <si>
    <t>Commercio al dettaglio di articoli sportivi, biciclette e articoli per il tempo libero</t>
  </si>
  <si>
    <t>47.64.20</t>
  </si>
  <si>
    <t>Commercio al dettaglio di natanti e accessori</t>
  </si>
  <si>
    <t>47.65.00</t>
  </si>
  <si>
    <t>Commercio al dettaglio di giochi e giocattoli (inclusi quelli elettronici)</t>
  </si>
  <si>
    <t>47.71.10</t>
  </si>
  <si>
    <t>Commercio al dettaglio di confezioni per adulti</t>
  </si>
  <si>
    <t>47.71.20</t>
  </si>
  <si>
    <t>Commercio al dettaglio di confezioni per bambini e neonati</t>
  </si>
  <si>
    <t>47.71.30</t>
  </si>
  <si>
    <t>Commercio al dettaglio di biancheria personale, maglieria, camicie</t>
  </si>
  <si>
    <t>47.71.40</t>
  </si>
  <si>
    <t>Commercio al dettaglio di pellicce e di abbigliamento in pelle</t>
  </si>
  <si>
    <t>47.71.50</t>
  </si>
  <si>
    <t>Commercio al dettaglio di cappelli, ombrelli, guanti e cravatte</t>
  </si>
  <si>
    <t>47.72.10</t>
  </si>
  <si>
    <t>Commercio al dettaglio di calzature e accessori</t>
  </si>
  <si>
    <t>47.72.20</t>
  </si>
  <si>
    <t>Commercio al dettaglio di articoli di pelletteria e da viaggio</t>
  </si>
  <si>
    <t>47.73.10</t>
  </si>
  <si>
    <t>Farmacie</t>
  </si>
  <si>
    <t>47.73.20</t>
  </si>
  <si>
    <t>Commercio al dettaglio in altri esercizi specializzati di medicinali non soggetti a
prescrizione medica</t>
  </si>
  <si>
    <t>47.74.00</t>
  </si>
  <si>
    <t>Commercio al dettaglio di articoli medicali e ortopedici in esercizi specializzati</t>
  </si>
  <si>
    <t>47.75.10</t>
  </si>
  <si>
    <t>Commercio al dettaglio di articoli di profumeria, prodotti per toletta e per l'igiene
personale</t>
  </si>
  <si>
    <t>47.75.20</t>
  </si>
  <si>
    <t>Erboristerie</t>
  </si>
  <si>
    <t>47.76.10</t>
  </si>
  <si>
    <t>Commercio al dettaglio di fiori e piante</t>
  </si>
  <si>
    <t>47.76.20</t>
  </si>
  <si>
    <t>Commercio al dettaglio di piccoli animali domestici</t>
  </si>
  <si>
    <t>47.77.00</t>
  </si>
  <si>
    <t>Commercio al dettaglio di orologi, articoli di gioielleria e argenteria</t>
  </si>
  <si>
    <t>47.78.10</t>
  </si>
  <si>
    <t>Commercio al dettaglio di mobili per ufficio</t>
  </si>
  <si>
    <t>47.78.20</t>
  </si>
  <si>
    <t>Commercio al dettaglio di materiale per ottica e fotografia</t>
  </si>
  <si>
    <t>47.78.31</t>
  </si>
  <si>
    <t>Commercio al dettaglio di oggetti d'arte (incluse le gallerie d'arte)</t>
  </si>
  <si>
    <t>47.78.32</t>
  </si>
  <si>
    <t>Commercio al dettaglio di oggetti d'artigianato</t>
  </si>
  <si>
    <t>47.78.33</t>
  </si>
  <si>
    <t>Commercio al dettaglio di arredi sacri ed articoli religiosi</t>
  </si>
  <si>
    <t>47.78.34</t>
  </si>
  <si>
    <t>Commercio al dettaglio di articoli da regalo e per fumatori</t>
  </si>
  <si>
    <t>47.78.35</t>
  </si>
  <si>
    <t>Commercio al dettaglio di bomboniere</t>
  </si>
  <si>
    <t>47.78.36</t>
  </si>
  <si>
    <t>Commercio al dettaglio di chincaglieria e bigiotteria (inclusi gli oggetti ricordo e gli
articoli di promozione pubblicitaria)</t>
  </si>
  <si>
    <t>47.78.37</t>
  </si>
  <si>
    <t>Commercio al dettaglio di articoli per le belle arti</t>
  </si>
  <si>
    <t>47.78.40</t>
  </si>
  <si>
    <t>Commercio al dettaglio di combustibile per uso domestico e per riscaldamento</t>
  </si>
  <si>
    <t>47.78.50</t>
  </si>
  <si>
    <t>Commercio al dettaglio di armi e munizioni, articoli militari</t>
  </si>
  <si>
    <t>47.78.60</t>
  </si>
  <si>
    <t>Commercio al dettaglio di saponi, detersivi, prodotti per la lucidatura e affini</t>
  </si>
  <si>
    <t>47.78.91</t>
  </si>
  <si>
    <t>Commercio al dettaglio di filatelia, numismatica e articoli da collezionismo</t>
  </si>
  <si>
    <t>47.78.92</t>
  </si>
  <si>
    <t>Commercio al dettaglio di spaghi, cordami, tele e sacchi di juta e prodotti per
l'imballaggio (esclusi quelli in carta e cartone)</t>
  </si>
  <si>
    <t>47.78.93</t>
  </si>
  <si>
    <t>Commercio al dettaglio di articoli funerari e cimiteriali</t>
  </si>
  <si>
    <t>47.78.94</t>
  </si>
  <si>
    <t>Commercio al dettaglio di articoli per adulti (sexy shop)</t>
  </si>
  <si>
    <t>47.78.99</t>
  </si>
  <si>
    <t>Commercio al dettaglio di altri prodotti non alimentari nca</t>
  </si>
  <si>
    <t>47.79.10</t>
  </si>
  <si>
    <t>Commercio al dettaglio di libri di seconda mano</t>
  </si>
  <si>
    <t>47.79.20</t>
  </si>
  <si>
    <t>Commercio al dettaglio di mobili usati e oggetti di antiquariato</t>
  </si>
  <si>
    <t>47.79.30</t>
  </si>
  <si>
    <t>Commercio al dettaglio di indumenti e altri oggetti usati</t>
  </si>
  <si>
    <t>47.79.40</t>
  </si>
  <si>
    <t>Case d'asta al dettaglio (escluse aste via internet)</t>
  </si>
  <si>
    <t>47.81.01</t>
  </si>
  <si>
    <t>Commercio al dettaglio ambulante di prodotti ortofrutticoli</t>
  </si>
  <si>
    <t>47.81.02</t>
  </si>
  <si>
    <t>Commercio al dettaglio ambulante di prodotti ittici</t>
  </si>
  <si>
    <t>47.81.03</t>
  </si>
  <si>
    <t>Commercio al dettaglio ambulante di carne</t>
  </si>
  <si>
    <t>47.81.09</t>
  </si>
  <si>
    <t>Commercio al dettaglio ambulante di altri prodotti alimentari e bevande nca</t>
  </si>
  <si>
    <t>47.82.01</t>
  </si>
  <si>
    <t>Commercio al dettaglio ambulante di tessuti, articoli tessili per la casa, articoli di
abbigliamento</t>
  </si>
  <si>
    <t>47.82.02</t>
  </si>
  <si>
    <t>Commercio al dettaglio ambulante di calzature e pelletterie</t>
  </si>
  <si>
    <t>47.89.01</t>
  </si>
  <si>
    <t>Commercio al dettaglio ambulante di fiori, piante, bulbi, semi e fertilizzanti</t>
  </si>
  <si>
    <t>47.89.02</t>
  </si>
  <si>
    <t>Commercio al dettaglio ambulante di macchine, attrezzature e prodotti per
l'agricoltura; attrezzature per il giardinaggio</t>
  </si>
  <si>
    <t>47.89.03</t>
  </si>
  <si>
    <t>Commercio al dettaglio ambulante di profumi e cosmetici; saponi, detersivi ed altri
detergenti per qualsiasi uso</t>
  </si>
  <si>
    <t>47.89.04</t>
  </si>
  <si>
    <t>Commercio al dettaglio ambulante di chincaglieria e bigiotteria</t>
  </si>
  <si>
    <t>47.89.05</t>
  </si>
  <si>
    <t>Commercio al dettaglio ambulante di arredamenti per giardino; mobili; tappeti e
stuoie; articoli casalinghi; elettrodomestici; materiale elettrico</t>
  </si>
  <si>
    <t>47.89.09</t>
  </si>
  <si>
    <t>Commercio al dettaglio ambulante di altri prodotti nca</t>
  </si>
  <si>
    <t>47.91.10</t>
  </si>
  <si>
    <t>Commercio al dettaglio di qualsiasi tipo di prodotto effettuato via internet</t>
  </si>
  <si>
    <t>47.91.20</t>
  </si>
  <si>
    <t>Commercio al dettaglio di qualsiasi tipo di prodotto effettuato per televisione</t>
  </si>
  <si>
    <t>47.91.30</t>
  </si>
  <si>
    <t>Commercio al dettaglio di qualsiasi tipo di prodotto per corrispondenza, radio,
telefono</t>
  </si>
  <si>
    <t>47.99.10</t>
  </si>
  <si>
    <t>Commercio al dettaglio di prodotti vari, mediante l'intervento di un dimostratore o
di un incaricato alla vendita (porta a porta)</t>
  </si>
  <si>
    <t>47.99.20</t>
  </si>
  <si>
    <t>Commercio effettuato per mezzo di distributori automatici</t>
  </si>
  <si>
    <t>49.10.00</t>
  </si>
  <si>
    <t>Trasporto ferroviario di passeggeri (interurbano)</t>
  </si>
  <si>
    <t>49.20.00</t>
  </si>
  <si>
    <t>Trasporto ferroviario di merci</t>
  </si>
  <si>
    <t>49.31.00</t>
  </si>
  <si>
    <t>Trasporto terrestre di passeggeri in aree urbane e suburbane</t>
  </si>
  <si>
    <t>49.32.10</t>
  </si>
  <si>
    <t>Trasporto con taxi</t>
  </si>
  <si>
    <t>49.32.20</t>
  </si>
  <si>
    <t>Trasporto mediante noleggio di autovetture da rimessa con conducente</t>
  </si>
  <si>
    <t>49.39.01</t>
  </si>
  <si>
    <t>Gestioni di funicolari, ski-lift e seggiovie se non facenti parte dei sistemi di transito
urbano o suburbano</t>
  </si>
  <si>
    <t>49.39.09</t>
  </si>
  <si>
    <t>Altre attività di trasporti terrestri di passeggeri nca</t>
  </si>
  <si>
    <t>49.41.00</t>
  </si>
  <si>
    <t>Trasporto di merci su strada</t>
  </si>
  <si>
    <t>49.42.00</t>
  </si>
  <si>
    <t>Servizi di trasloco</t>
  </si>
  <si>
    <t>49.50.10</t>
  </si>
  <si>
    <t>Trasporto mediante condotte di gas</t>
  </si>
  <si>
    <t>49.50.20</t>
  </si>
  <si>
    <t>Trasporto mediante condotte di liquidi</t>
  </si>
  <si>
    <t>50.10.00</t>
  </si>
  <si>
    <t>Trasporto marittimo e costiero di passeggeri</t>
  </si>
  <si>
    <t>50.20.00</t>
  </si>
  <si>
    <t>Trasporto marittimo e costiero di merci</t>
  </si>
  <si>
    <t>50.30.00</t>
  </si>
  <si>
    <t>Trasporto di passeggeri per vie d'acqua interne (inclusi i trasporti lagunari)</t>
  </si>
  <si>
    <t>50.40.00</t>
  </si>
  <si>
    <t>Trasporto di merci per vie d'acqua interne</t>
  </si>
  <si>
    <t>51.10.10</t>
  </si>
  <si>
    <t>Trasporto aereo di linea di passeggeri</t>
  </si>
  <si>
    <t>51.10.20</t>
  </si>
  <si>
    <t>Trasporto aereo non di linea di passeggeri; voli charter</t>
  </si>
  <si>
    <t>51.21.00</t>
  </si>
  <si>
    <t>Trasporto aereo di merci</t>
  </si>
  <si>
    <t>51.22.00</t>
  </si>
  <si>
    <t>Trasporto spaziale</t>
  </si>
  <si>
    <t>52.10.10</t>
  </si>
  <si>
    <t>Magazzini di custodia e deposito per conto terzi</t>
  </si>
  <si>
    <t>52.10.20</t>
  </si>
  <si>
    <t>Magazzini frigoriferi per conto terzi</t>
  </si>
  <si>
    <t>52.21.10</t>
  </si>
  <si>
    <t>Gestione di infrastrutture ferroviarie</t>
  </si>
  <si>
    <t>52.21.20</t>
  </si>
  <si>
    <t>Gestione di strade, ponti, gallerie</t>
  </si>
  <si>
    <t>52.21.30</t>
  </si>
  <si>
    <t>Gestione di stazioni per autobus</t>
  </si>
  <si>
    <t>52.21.40</t>
  </si>
  <si>
    <t>Gestione di centri di movimentazione merci (interporti)</t>
  </si>
  <si>
    <t>52.21.50</t>
  </si>
  <si>
    <t>Gestione di parcheggi e autorimesse</t>
  </si>
  <si>
    <t>52.21.60</t>
  </si>
  <si>
    <t>Attività di traino e soccorso stradale</t>
  </si>
  <si>
    <t>52.21.90</t>
  </si>
  <si>
    <t>Altre attività connesse ai trasporti terrestri nca</t>
  </si>
  <si>
    <t>52.22.01</t>
  </si>
  <si>
    <t>Liquefazione e rigassificazione di gas a scopo di trasporto marittimo e per vie
d'acqua effettuata al di fuori del sito di estrazione</t>
  </si>
  <si>
    <t>52.22.09</t>
  </si>
  <si>
    <t>Altre attività dei servizi connessi al trasporto marittimo e per vie d'acqua</t>
  </si>
  <si>
    <t>52.23.00</t>
  </si>
  <si>
    <t>Attività dei servizi connessi al trasporto aereo</t>
  </si>
  <si>
    <t>52.24.10</t>
  </si>
  <si>
    <t>Movimento merci relativo a trasporti aerei</t>
  </si>
  <si>
    <t>52.24.20</t>
  </si>
  <si>
    <t>Movimento merci relativo a trasporti marittimi e fluviali</t>
  </si>
  <si>
    <t>52.24.30</t>
  </si>
  <si>
    <t>Movimento merci relativo a trasporti ferroviari</t>
  </si>
  <si>
    <t>52.24.40</t>
  </si>
  <si>
    <t>Movimento merci relativo ad altri trasporti terrestri</t>
  </si>
  <si>
    <t>52.29.10</t>
  </si>
  <si>
    <t>Spedizionieri e agenzie di operazioni doganali</t>
  </si>
  <si>
    <t>52.29.21</t>
  </si>
  <si>
    <t>Intermediari dei trasporti</t>
  </si>
  <si>
    <t>52.29.22</t>
  </si>
  <si>
    <t>Servizi logistici relativi alla distribuzione delle merci</t>
  </si>
  <si>
    <t>53.10.00</t>
  </si>
  <si>
    <t>Attività postali con obbligo di servizio universale</t>
  </si>
  <si>
    <t>53.20.00</t>
  </si>
  <si>
    <t>Altre attività postali e di corriere senza obbligo di servizio universale</t>
  </si>
  <si>
    <t>55.10.00</t>
  </si>
  <si>
    <t>Alberghi</t>
  </si>
  <si>
    <t>55.20.10</t>
  </si>
  <si>
    <t>Villaggi turistici</t>
  </si>
  <si>
    <t>55.20.20</t>
  </si>
  <si>
    <t>Ostelli della gioventù</t>
  </si>
  <si>
    <t>55.20.30</t>
  </si>
  <si>
    <t>Rifugi di montagna</t>
  </si>
  <si>
    <t>55.20.40</t>
  </si>
  <si>
    <t>Colonie marine e montane</t>
  </si>
  <si>
    <t>55.20.51</t>
  </si>
  <si>
    <t>Affittacamere per brevi soggiorni, case ed appartamenti per vacanze, bed and
breakfast, residence</t>
  </si>
  <si>
    <t>55.20.52</t>
  </si>
  <si>
    <t>Attività di alloggio connesse alle aziende agricole</t>
  </si>
  <si>
    <t>55.30.00</t>
  </si>
  <si>
    <t>Aree di campeggio e aree attrezzate per camper e roulotte</t>
  </si>
  <si>
    <t>55.90.10</t>
  </si>
  <si>
    <t>Gestione di vagoni letto</t>
  </si>
  <si>
    <t>55.90.20</t>
  </si>
  <si>
    <t>Alloggi per studenti e lavoratori con servizi accessori di tipo alberghiero</t>
  </si>
  <si>
    <t>56.10.11</t>
  </si>
  <si>
    <t>Ristorazione con somministrazione</t>
  </si>
  <si>
    <t>56.10.12</t>
  </si>
  <si>
    <t>Attività di ristorazione connesse alle aziende agricole</t>
  </si>
  <si>
    <t>56.10.20</t>
  </si>
  <si>
    <t>Ristorazione senza somministrazione con preparazione di cibi da asporto</t>
  </si>
  <si>
    <t>56.10.30</t>
  </si>
  <si>
    <t>Gelaterie e pasticcerie</t>
  </si>
  <si>
    <t>56.10.41</t>
  </si>
  <si>
    <t>Gelaterie e pasticcerie ambulanti</t>
  </si>
  <si>
    <t>56.10.42</t>
  </si>
  <si>
    <t>Ristorazione ambulante</t>
  </si>
  <si>
    <t>56.10.50</t>
  </si>
  <si>
    <t>Ristorazione su treni e navi</t>
  </si>
  <si>
    <t>56.21.00</t>
  </si>
  <si>
    <t>Catering per eventi, banqueting</t>
  </si>
  <si>
    <t>56.29.10</t>
  </si>
  <si>
    <t>Mense</t>
  </si>
  <si>
    <t>56.29.20</t>
  </si>
  <si>
    <t>Catering continuativo su base contrattuale</t>
  </si>
  <si>
    <t>56.30.00</t>
  </si>
  <si>
    <t>Bar e altri esercizi simili senza cucina</t>
  </si>
  <si>
    <t>58.11.00</t>
  </si>
  <si>
    <t>Edizione di libri</t>
  </si>
  <si>
    <t>58.12.01</t>
  </si>
  <si>
    <t>Pubblicazione di elenchi</t>
  </si>
  <si>
    <t>58.12.02</t>
  </si>
  <si>
    <t>Pubblicazione di mailing list</t>
  </si>
  <si>
    <t>58.13.00</t>
  </si>
  <si>
    <t>Edizione di quotidiani</t>
  </si>
  <si>
    <t>58.14.00</t>
  </si>
  <si>
    <t>Edizione di riviste e periodici</t>
  </si>
  <si>
    <t>58.19.00</t>
  </si>
  <si>
    <t>Altre attività editoriali</t>
  </si>
  <si>
    <t>58.21.00</t>
  </si>
  <si>
    <t>Edizione di giochi per computer</t>
  </si>
  <si>
    <t>58.29.00</t>
  </si>
  <si>
    <t>Edizione di altri software a pacchetto (esclusi giochi per computer)</t>
  </si>
  <si>
    <t>59.11.00</t>
  </si>
  <si>
    <t>Attività di produzione cinematografica, di video e di programmi televisivi</t>
  </si>
  <si>
    <t>59.12.00</t>
  </si>
  <si>
    <t>Attività di post-produzione cinematografica, di video e di programmi televisivi</t>
  </si>
  <si>
    <t>59.13.00</t>
  </si>
  <si>
    <t>Attività di distribuzione cinematografica, di video e di programmi televisivi</t>
  </si>
  <si>
    <t>59.14.00</t>
  </si>
  <si>
    <t>Attività di proiezione cinematografica</t>
  </si>
  <si>
    <t>59.20.10</t>
  </si>
  <si>
    <t>Edizione di registrazioni sonore</t>
  </si>
  <si>
    <t>59.20.20</t>
  </si>
  <si>
    <t>Edizione di musica stampata</t>
  </si>
  <si>
    <t>59.20.30</t>
  </si>
  <si>
    <t>Studi di registrazione sonora</t>
  </si>
  <si>
    <t>60.10.00</t>
  </si>
  <si>
    <t>Trasmissioni radiofoniche</t>
  </si>
  <si>
    <t>60.20.00</t>
  </si>
  <si>
    <t>Programmazione e trasmissioni televisive</t>
  </si>
  <si>
    <t>61.10.00</t>
  </si>
  <si>
    <t>Telecomunicazioni fisse</t>
  </si>
  <si>
    <t>61.20.00</t>
  </si>
  <si>
    <t>Telecomunicazioni mobili</t>
  </si>
  <si>
    <t>61.30.00</t>
  </si>
  <si>
    <t>Telecomunicazioni satellitari</t>
  </si>
  <si>
    <t>61.90.10</t>
  </si>
  <si>
    <t>Erogazione di servizi di accesso ad internet (ISP)</t>
  </si>
  <si>
    <t>61.90.20</t>
  </si>
  <si>
    <t>Posto telefonico pubblico ed Internet Point</t>
  </si>
  <si>
    <t>61.90.91</t>
  </si>
  <si>
    <t>Intermediazione in servizi di telecomunicazione e trasmissione dati</t>
  </si>
  <si>
    <t>61.90.99</t>
  </si>
  <si>
    <t>Altre attività connesse alle telecomunicazioni nca</t>
  </si>
  <si>
    <t>62.01.00</t>
  </si>
  <si>
    <t>Produzione di software non connesso all'edizione</t>
  </si>
  <si>
    <t>62.02.00</t>
  </si>
  <si>
    <t>Consulenza nel settore delle tecnologie dell'informatica</t>
  </si>
  <si>
    <t>62.03.00</t>
  </si>
  <si>
    <t>Gestione di strutture e apparecchiature informatiche hardware - housing (esclusa
la riparazione)</t>
  </si>
  <si>
    <t>62.09.01</t>
  </si>
  <si>
    <t>Configurazione di personal computer</t>
  </si>
  <si>
    <t>62.09.09</t>
  </si>
  <si>
    <t>Altre attività dei servizi connessi alle tecnologie dell'informatica nca</t>
  </si>
  <si>
    <t>63.11.11</t>
  </si>
  <si>
    <t>Elaborazione elettronica di dati contabili (esclusi i Centri di assistenza fiscale -Caf)</t>
  </si>
  <si>
    <t>63.11.19</t>
  </si>
  <si>
    <t>Altre elaborazioni elettroniche di dati</t>
  </si>
  <si>
    <t>63.11.20</t>
  </si>
  <si>
    <t>Gestione database (attività delle banche dati)</t>
  </si>
  <si>
    <t>63.11.30</t>
  </si>
  <si>
    <t>Hosting e fornitura di servizi applicativi (ASP)</t>
  </si>
  <si>
    <t>63.12.00</t>
  </si>
  <si>
    <t>Portali web</t>
  </si>
  <si>
    <t>63.91.00</t>
  </si>
  <si>
    <t>Attività delle agenzie di stampa</t>
  </si>
  <si>
    <t>63.99.00</t>
  </si>
  <si>
    <t>Altre attività dei servizi di informazione nca</t>
  </si>
  <si>
    <t>64.11.00</t>
  </si>
  <si>
    <t>Attività della Banca Centrale</t>
  </si>
  <si>
    <t>64.19.10</t>
  </si>
  <si>
    <t>Intermediazione monetaria di istituti monetari diverse dalle Banche centrali</t>
  </si>
  <si>
    <t>64.19.20</t>
  </si>
  <si>
    <t>Fondi comuni di investimento monetario</t>
  </si>
  <si>
    <t>64.19.30</t>
  </si>
  <si>
    <t>Istituti di moneta elettronica (Imel)</t>
  </si>
  <si>
    <t>64.19.40</t>
  </si>
  <si>
    <t>Cassa Depositi e Prestiti</t>
  </si>
  <si>
    <t>64.20.00</t>
  </si>
  <si>
    <t>Attività delle società di partecipazione (holding)</t>
  </si>
  <si>
    <t>64.30.10</t>
  </si>
  <si>
    <t>Fondi comuni di investimento (aperti e chiusi, immobiliari, di mercato mobiliare)</t>
  </si>
  <si>
    <t>64.30.20</t>
  </si>
  <si>
    <t>Sicav (Società di investimento a capitale variabile)</t>
  </si>
  <si>
    <t>64.91.00</t>
  </si>
  <si>
    <t>Leasing finanziario</t>
  </si>
  <si>
    <t>64.92.01</t>
  </si>
  <si>
    <t>Attività dei consorzi di garanzia collettiva fidi</t>
  </si>
  <si>
    <t>64.92.09</t>
  </si>
  <si>
    <t>Altre attività creditizie nca</t>
  </si>
  <si>
    <t>64.99.10</t>
  </si>
  <si>
    <t>Attività di intermediazione mobiliare</t>
  </si>
  <si>
    <t>64.99.20</t>
  </si>
  <si>
    <t>Attività di factoring</t>
  </si>
  <si>
    <t>64.99.30</t>
  </si>
  <si>
    <t>Attività di merchant bank</t>
  </si>
  <si>
    <t>64.99.40</t>
  </si>
  <si>
    <t>Attività delle società veicolo</t>
  </si>
  <si>
    <t>64.99.50</t>
  </si>
  <si>
    <t>Attività di intermediazione in cambi</t>
  </si>
  <si>
    <t>64.99.60</t>
  </si>
  <si>
    <t>Altre intermediazioni finanziarie nca</t>
  </si>
  <si>
    <t>65.11.00</t>
  </si>
  <si>
    <t>Assicurazioni sulla vita</t>
  </si>
  <si>
    <t>65.12.00</t>
  </si>
  <si>
    <t>Assicurazioni diverse da quelle sulla vita</t>
  </si>
  <si>
    <t>65.20.00</t>
  </si>
  <si>
    <t>Attività di riassicurazione</t>
  </si>
  <si>
    <t>65.30.10</t>
  </si>
  <si>
    <t>Attività dei fondi pensione aperti</t>
  </si>
  <si>
    <t>65.30.20</t>
  </si>
  <si>
    <t>Attività dei fondi pensione negoziali</t>
  </si>
  <si>
    <t>65.30.30</t>
  </si>
  <si>
    <t>Attività dei fondi pensione preesistenti</t>
  </si>
  <si>
    <t>66.11.00</t>
  </si>
  <si>
    <t>Amministrazione di mercati finanziari</t>
  </si>
  <si>
    <t>66.12.00</t>
  </si>
  <si>
    <t>Attività di negoziazione di contratti relativi a titoli e merci</t>
  </si>
  <si>
    <t>66.19.10</t>
  </si>
  <si>
    <t>Attività di gestione ed elaborazione di pagamenti tramite carta di credito</t>
  </si>
  <si>
    <t>66.19.21</t>
  </si>
  <si>
    <t>Promotori finanziari</t>
  </si>
  <si>
    <t>66.19.22</t>
  </si>
  <si>
    <t>Agenti, mediatori e procacciatori in prodotti finanziari</t>
  </si>
  <si>
    <t>66.19.30</t>
  </si>
  <si>
    <t>Attività delle società fiduciarie di amministrazione</t>
  </si>
  <si>
    <t>66.19.40</t>
  </si>
  <si>
    <t>Attività di Bancoposta</t>
  </si>
  <si>
    <t>66.19.50</t>
  </si>
  <si>
    <t>Servizi di trasferimento di denaro (money transfer)</t>
  </si>
  <si>
    <t>66.21.00</t>
  </si>
  <si>
    <t>Attività dei periti e liquidatori indipendenti delle assicurazioni</t>
  </si>
  <si>
    <t>66.22.01</t>
  </si>
  <si>
    <t>Broker di assicurazioni</t>
  </si>
  <si>
    <t>66.22.02</t>
  </si>
  <si>
    <t>Agenti di assicurazioni</t>
  </si>
  <si>
    <t>66.22.03</t>
  </si>
  <si>
    <t>Sub-agenti di assicurazioni</t>
  </si>
  <si>
    <t>66.22.04</t>
  </si>
  <si>
    <t>Produttori, procacciatori ed altri intermediari delle assicurazioni</t>
  </si>
  <si>
    <t>66.29.01</t>
  </si>
  <si>
    <t>Autorità centrali di vigilanza su assicurazioni e fondi pensione</t>
  </si>
  <si>
    <t>66.29.09</t>
  </si>
  <si>
    <t>Altre attività ausiliarie delle assicurazioni e dei fondi pensione nca</t>
  </si>
  <si>
    <t>66.30.00</t>
  </si>
  <si>
    <t>Gestione di fondi comuni di investimento e dei fondi pensione</t>
  </si>
  <si>
    <t>68.10.00</t>
  </si>
  <si>
    <t>Compravendita di beni immobili effettuata su beni propri</t>
  </si>
  <si>
    <t>68.20.01</t>
  </si>
  <si>
    <t>Locazione immobiliare di beni propri o in leasing (affitto)</t>
  </si>
  <si>
    <t>68.20.02</t>
  </si>
  <si>
    <t>Affitto di aziende</t>
  </si>
  <si>
    <t>68.31.00</t>
  </si>
  <si>
    <t>Attività di mediazione immobiliare</t>
  </si>
  <si>
    <t>68.32.00</t>
  </si>
  <si>
    <t>Amministrazione di condomini e gestione di beni immobili per conto terzi</t>
  </si>
  <si>
    <t>69.20.30</t>
  </si>
  <si>
    <t>Attività dei consulenti del lavoro</t>
  </si>
  <si>
    <t>70.10.00</t>
  </si>
  <si>
    <t>Attività delle holding impegnate nelle attività gestionali (holding operative)</t>
  </si>
  <si>
    <t>70.21.00</t>
  </si>
  <si>
    <t>Pubbliche relazioni e comunicazione</t>
  </si>
  <si>
    <t>70.22.01</t>
  </si>
  <si>
    <t>Attività di consulenza per la gestione della logistica aziendale</t>
  </si>
  <si>
    <t>70.22.09</t>
  </si>
  <si>
    <t>Altre attività di consulenza imprenditoriale e altra consulenza amministrativo-gestionale e pianificazione aziendale</t>
  </si>
  <si>
    <t>71.11.00</t>
  </si>
  <si>
    <t>Attività degli studi di architettura</t>
  </si>
  <si>
    <t>71.12.10</t>
  </si>
  <si>
    <t>Attività degli studi di ingegneria</t>
  </si>
  <si>
    <t>71.12.20</t>
  </si>
  <si>
    <t>Servizi di progettazione di ingegneria integrata</t>
  </si>
  <si>
    <t>71.12.30</t>
  </si>
  <si>
    <t>Attività tecniche svolte da geometri</t>
  </si>
  <si>
    <t>71.12.40</t>
  </si>
  <si>
    <t>Attività di cartografia e aerofotogrammetria</t>
  </si>
  <si>
    <t>71.12.50</t>
  </si>
  <si>
    <t>Attività di studio geologico e di prospezione geognostica e mineraria</t>
  </si>
  <si>
    <t>71.20.10</t>
  </si>
  <si>
    <t>Collaudi e analisi tecniche di prodotti</t>
  </si>
  <si>
    <t>71.20.21</t>
  </si>
  <si>
    <t>Controllo di qualità e certificazione di prodotti, processi e sistemi</t>
  </si>
  <si>
    <t>71.20.22</t>
  </si>
  <si>
    <t>Attività per la tutela di beni di produzione controllata</t>
  </si>
  <si>
    <t>72.11.00</t>
  </si>
  <si>
    <t>Ricerca e sviluppo sperimentale nel campo delle biotecnologie</t>
  </si>
  <si>
    <t>72.19.01</t>
  </si>
  <si>
    <t>Ricerca e sviluppo sperimentale nel campo della geologia</t>
  </si>
  <si>
    <t>72.19.09</t>
  </si>
  <si>
    <t>Ricerca e sviluppo sperimentale nel campo delle altre scienze naturali e
dell'ingegneria</t>
  </si>
  <si>
    <t>72.20.00</t>
  </si>
  <si>
    <t>Ricerca e sviluppo sperimentale nel campo delle scienze sociali e umanistiche</t>
  </si>
  <si>
    <t>73.11.01</t>
  </si>
  <si>
    <t>Ideazione di campagne pubblicitarie</t>
  </si>
  <si>
    <t>73.11.02</t>
  </si>
  <si>
    <t>Conduzione di campagne di marketing e altri servizi pubblicitari</t>
  </si>
  <si>
    <t>73.12.00</t>
  </si>
  <si>
    <t>Attività delle concessionarie e degli altri intermediari di servizi pubblicitari</t>
  </si>
  <si>
    <t>73.20.00</t>
  </si>
  <si>
    <t>Ricerche di mercato e sondaggi di opinione</t>
  </si>
  <si>
    <t>74.10.10</t>
  </si>
  <si>
    <t>Attività di design di moda e design industriale</t>
  </si>
  <si>
    <t>74.10.21</t>
  </si>
  <si>
    <t>Attività dei disegnatori grafici di pagine web</t>
  </si>
  <si>
    <t>74.10.29</t>
  </si>
  <si>
    <t>Altre attività dei disegnatori grafici</t>
  </si>
  <si>
    <t>74.10.30</t>
  </si>
  <si>
    <t>Attività dei disegnatori tecnici</t>
  </si>
  <si>
    <t>74.10.90</t>
  </si>
  <si>
    <t>Altre attività di design</t>
  </si>
  <si>
    <t>74.20.11</t>
  </si>
  <si>
    <t>Attività di fotoreporter</t>
  </si>
  <si>
    <t>74.20.12</t>
  </si>
  <si>
    <t>Attività di riprese aeree nel campo della fotografia</t>
  </si>
  <si>
    <t>74.20.19</t>
  </si>
  <si>
    <t>Altre attività di riprese fotografiche</t>
  </si>
  <si>
    <t>74.20.20</t>
  </si>
  <si>
    <t>Laboratori fotografici per lo sviluppo e la stampa</t>
  </si>
  <si>
    <t>74.30.00</t>
  </si>
  <si>
    <t>Traduzione e interpretariato</t>
  </si>
  <si>
    <t>74.90.11</t>
  </si>
  <si>
    <t>Consulenza agraria fornita da agronomi</t>
  </si>
  <si>
    <t>74.90.12</t>
  </si>
  <si>
    <t>Consulenza agraria fornita da agrotecnici e periti agrari</t>
  </si>
  <si>
    <t>74.90.21</t>
  </si>
  <si>
    <t>Consulenza sulla sicurezza ed igiene dei posti di lavoro</t>
  </si>
  <si>
    <t>74.90.29</t>
  </si>
  <si>
    <t>Altra attività di consulenza in materia di sicurezza</t>
  </si>
  <si>
    <t>74.90.91</t>
  </si>
  <si>
    <t>Attività tecniche svolte da periti industriali</t>
  </si>
  <si>
    <t>74.90.92</t>
  </si>
  <si>
    <t>Attività riguardanti le previsioni meteorologiche</t>
  </si>
  <si>
    <t>74.90.93</t>
  </si>
  <si>
    <t>Altre attività di consulenza tecnica nca</t>
  </si>
  <si>
    <t>74.90.94</t>
  </si>
  <si>
    <t>Agenzie ed agenti o procuratori per lo spettacolo e lo sport</t>
  </si>
  <si>
    <t>74.90.99</t>
  </si>
  <si>
    <t>Altre attività professionali nca</t>
  </si>
  <si>
    <t>75.00.00</t>
  </si>
  <si>
    <t>Servizi veterinari</t>
  </si>
  <si>
    <t>77.11.00</t>
  </si>
  <si>
    <t>Noleggio di autovetture ed autoveicoli leggeri</t>
  </si>
  <si>
    <t>77.12.00</t>
  </si>
  <si>
    <t>Noleggio di autocarri e di altri veicoli pesanti</t>
  </si>
  <si>
    <t>77.21.01</t>
  </si>
  <si>
    <t>Noleggio di biciclette</t>
  </si>
  <si>
    <t>77.21.02</t>
  </si>
  <si>
    <t>Noleggio senza equipaggio di imbarcazioni da diporto (inclusi i pedalò)</t>
  </si>
  <si>
    <t>77.21.09</t>
  </si>
  <si>
    <t>Noleggio di altre attrezzature sportive e ricreative</t>
  </si>
  <si>
    <t>77.22.00</t>
  </si>
  <si>
    <t>Noleggio di videocassette, Cd, Dvd e dischi contenenti audiovisivi o videogame</t>
  </si>
  <si>
    <t>77.29.10</t>
  </si>
  <si>
    <t>Noleggio di biancheria da tavola, da letto, da bagno e di articoli di vestiario</t>
  </si>
  <si>
    <t>77.29.90</t>
  </si>
  <si>
    <t>Noleggio di altri beni per uso personale e domestico nca (escluse le attrezzature
sportive e ricreative)</t>
  </si>
  <si>
    <t>77.31.00</t>
  </si>
  <si>
    <t>Noleggio di macchine e attrezzature agricole</t>
  </si>
  <si>
    <t>77.32.00</t>
  </si>
  <si>
    <t>Noleggio di macchine e attrezzature per lavori edili e di genio civile</t>
  </si>
  <si>
    <t>77.33.00</t>
  </si>
  <si>
    <t>Noleggio di macchine e attrezzature per ufficio (inclusi i computer)</t>
  </si>
  <si>
    <t>77.34.00</t>
  </si>
  <si>
    <t>Noleggio di mezzi di trasporto marittimo e fluviale</t>
  </si>
  <si>
    <t>77.35.00</t>
  </si>
  <si>
    <t>Noleggio di mezzi di trasporto aereo</t>
  </si>
  <si>
    <t>77.39.10</t>
  </si>
  <si>
    <t>Noleggio di altri mezzi di trasporto terrestri</t>
  </si>
  <si>
    <t>77.39.91</t>
  </si>
  <si>
    <t>Noleggio di container adibiti ad alloggi o ad uffici</t>
  </si>
  <si>
    <t>77.39.92</t>
  </si>
  <si>
    <t>Noleggio di container per diverse modalità di trasporto</t>
  </si>
  <si>
    <t>77.39.93</t>
  </si>
  <si>
    <t>Noleggio senza operatore di attrezzature di sollevamento e movimentazione
merci: carrelli elevatori, pallet eccetera</t>
  </si>
  <si>
    <t>77.39.94</t>
  </si>
  <si>
    <t>Noleggio di strutture ed attrezzature per manifestazioni e spettacoli: impianti luce
ed audio senza operatore, palchi, stand ed addobbi luminosi</t>
  </si>
  <si>
    <t>77.39.99</t>
  </si>
  <si>
    <t>Noleggio senza operatore di altre macchine ed attrezzature nca</t>
  </si>
  <si>
    <t>77.40.00</t>
  </si>
  <si>
    <t>Concessione dei diritti di sfruttamento di proprietà intellettuale e prodotti simili
(escluse le opere protette dal copyright)</t>
  </si>
  <si>
    <t>78.10.00</t>
  </si>
  <si>
    <t>Servizi di ricerca, selezione, collocamento e supporto per il ricollocamento di
personale</t>
  </si>
  <si>
    <t>78.20.00</t>
  </si>
  <si>
    <t>Attività delle agenzie di fornitura di lavoro temporaneo (interinale)</t>
  </si>
  <si>
    <t>78.30.00</t>
  </si>
  <si>
    <t>Altre attività di fornitura e gestione di risorse umane (staff leasing)</t>
  </si>
  <si>
    <t>79.11.00</t>
  </si>
  <si>
    <t>Attività delle agenzie di viaggio</t>
  </si>
  <si>
    <t>79.12.00</t>
  </si>
  <si>
    <t>Attività dei tour operator</t>
  </si>
  <si>
    <t>79.90.11</t>
  </si>
  <si>
    <t>Servizi di biglietteria per eventi teatrali, sportivi ed altri eventi ricreativi e
d'intrattenimento</t>
  </si>
  <si>
    <t>79.90.19</t>
  </si>
  <si>
    <t>Altri servizi di prenotazione e altre attività di assistenza turistica non svolte dalle
agenzie di viaggio nca</t>
  </si>
  <si>
    <t>79.90.20</t>
  </si>
  <si>
    <t>Attività delle guide e degli accompagnatori turistici</t>
  </si>
  <si>
    <t>80.10.00</t>
  </si>
  <si>
    <t>Servizi di vigilanza privata</t>
  </si>
  <si>
    <t>80.20.00</t>
  </si>
  <si>
    <t>Servizi connessi ai sistemi di vigilanza</t>
  </si>
  <si>
    <t>80.30.00</t>
  </si>
  <si>
    <t>Servizi di investigazione privata</t>
  </si>
  <si>
    <t>81.10.00</t>
  </si>
  <si>
    <t>Servizi integrati di gestione agli edifici</t>
  </si>
  <si>
    <t>81.21.00</t>
  </si>
  <si>
    <t>Pulizia generale (non specializzata) di edifici</t>
  </si>
  <si>
    <t>81.22.01</t>
  </si>
  <si>
    <t>Attività di sterilizzazione di attrezzature medico sanitarie</t>
  </si>
  <si>
    <t>81.22.02</t>
  </si>
  <si>
    <t>Altre attività di pulizia specializzata di edifici e di impianti e macchinari industriali</t>
  </si>
  <si>
    <t>81.29.10</t>
  </si>
  <si>
    <t>Servizi di disinfestazione</t>
  </si>
  <si>
    <t>81.29.91</t>
  </si>
  <si>
    <t>Pulizia e lavaggio di aree pubbliche, rimozione di neve e ghiaccio</t>
  </si>
  <si>
    <t>81.29.99</t>
  </si>
  <si>
    <t>Altre attività di pulizia nca</t>
  </si>
  <si>
    <t>81.30.00</t>
  </si>
  <si>
    <t>Cura e manutenzione del paesaggio (inclusi parchi, giardini e aiuole)</t>
  </si>
  <si>
    <t>82.11.01</t>
  </si>
  <si>
    <t>Servizi integrati di supporto per le funzioni d'ufficio</t>
  </si>
  <si>
    <t>82.11.02</t>
  </si>
  <si>
    <t>Gestione di uffici temporanei, uffici residence</t>
  </si>
  <si>
    <t>82.19.01</t>
  </si>
  <si>
    <t>Spedizione di materiale propagandistico, compilazione e gestione di indirizzi</t>
  </si>
  <si>
    <t>82.19.09</t>
  </si>
  <si>
    <t>Servizi di fotocopiatura, preparazione di documenti e altre attività di supporto
specializzate per le funzioni d'ufficio</t>
  </si>
  <si>
    <t>82.20.00</t>
  </si>
  <si>
    <t>Attività dei call center</t>
  </si>
  <si>
    <t>82.30.00</t>
  </si>
  <si>
    <t>Organizzazione di convegni e fiere</t>
  </si>
  <si>
    <t>82.91.10</t>
  </si>
  <si>
    <t>Attività di agenzie di recupero crediti</t>
  </si>
  <si>
    <t>82.91.20</t>
  </si>
  <si>
    <t>Agenzie di informazioni commerciali</t>
  </si>
  <si>
    <t>82.92.10</t>
  </si>
  <si>
    <t>Imballaggio e confezionamento di generi alimentari</t>
  </si>
  <si>
    <t>82.92.20</t>
  </si>
  <si>
    <t>Imballaggio e confezionamento di generi non alimentari</t>
  </si>
  <si>
    <t>82.99.10</t>
  </si>
  <si>
    <t>Imprese di gestione esattoriale</t>
  </si>
  <si>
    <t>82.99.20</t>
  </si>
  <si>
    <t>Agenzie di distribuzione di libri, giornali e riviste</t>
  </si>
  <si>
    <t>82.99.30</t>
  </si>
  <si>
    <t>Servizi di gestione di pubblici mercati e pese pubbliche</t>
  </si>
  <si>
    <t>82.99.40</t>
  </si>
  <si>
    <t>Richiesta certificati e disbrigo pratiche</t>
  </si>
  <si>
    <t>82.99.91</t>
  </si>
  <si>
    <t>Servizi di stenotipia</t>
  </si>
  <si>
    <t>82.99.99</t>
  </si>
  <si>
    <t>Altri servizi di sostegno alle imprese nca</t>
  </si>
  <si>
    <t>84.11.10</t>
  </si>
  <si>
    <t>Attività degli organi legislativi ed esecutivi, centrali e locali; amministrazione
finanziaria; amministrazioni regionali, provinciali e comunali</t>
  </si>
  <si>
    <t>84.11.20</t>
  </si>
  <si>
    <t>Attività di pianificazione generale e servizi statistici generali</t>
  </si>
  <si>
    <t>84.12.10</t>
  </si>
  <si>
    <t>Regolamentazione dell'attività degli organismi preposti alla sanità</t>
  </si>
  <si>
    <t>84.12.20</t>
  </si>
  <si>
    <t>Regolamentazione dell'attività degli organismi preposti all'istruzione</t>
  </si>
  <si>
    <t>84.12.30</t>
  </si>
  <si>
    <t>Regolamentazione dell'attività degli organismi preposti alla gestione di progetti
per l'edilizia abitativa e l'assetto del territorio e per la tutela dell'ambiente</t>
  </si>
  <si>
    <t>84.12.40</t>
  </si>
  <si>
    <t>Regolamentazione dell'attività degli organismi preposti ai servizi ricreativi,
culturali e sociali vari</t>
  </si>
  <si>
    <t>84.13.10</t>
  </si>
  <si>
    <t>Regolamentazione degli affari concernenti i combustibili e l'energia</t>
  </si>
  <si>
    <t>84.13.20</t>
  </si>
  <si>
    <t>Regolamentazione degli affari e servizi concernenti l'agricoltura, silvicoltura,
caccia e pesca</t>
  </si>
  <si>
    <t>84.13.30</t>
  </si>
  <si>
    <t>Regolamentazione degli affari e dei servizi concernenti le industrie estrattive e le
risorse minerarie (eccetto i combustibili) le industrie manifatturiere, le costruzioni
e le opere pubbliche ad eccezione delle strade e opere per la navigazione</t>
  </si>
  <si>
    <t>84.13.40</t>
  </si>
  <si>
    <t>Regolamentazione degli affari e servizi concernenti la costruzione di strade</t>
  </si>
  <si>
    <t>84.13.50</t>
  </si>
  <si>
    <t>Regolamentazione degli affari e servizi concernenti la costruzione di opere per la
navigazione interna e marittima</t>
  </si>
  <si>
    <t>84.13.60</t>
  </si>
  <si>
    <t>Regolamentazione degli affari e servizi concernenti i trasporti e le comunicazioni</t>
  </si>
  <si>
    <t>84.13.70</t>
  </si>
  <si>
    <t>Regolamentazione degli affari e servizi concernenti il commercio interno</t>
  </si>
  <si>
    <t>84.13.80</t>
  </si>
  <si>
    <t>Regolamentazione degli affari e servizi concernenti il turismo</t>
  </si>
  <si>
    <t>84.13.90</t>
  </si>
  <si>
    <t>Regolamentazione di altri affari e servizi economici</t>
  </si>
  <si>
    <t>84.21.00</t>
  </si>
  <si>
    <t>Affari esteri</t>
  </si>
  <si>
    <t>84.22.00</t>
  </si>
  <si>
    <t>Difesa nazionale</t>
  </si>
  <si>
    <t>84.23.00</t>
  </si>
  <si>
    <t>Giustizia ed attività giudiziarie</t>
  </si>
  <si>
    <t>84.24.00</t>
  </si>
  <si>
    <t>Ordine pubblico e sicurezza nazionale</t>
  </si>
  <si>
    <t>84.25.10</t>
  </si>
  <si>
    <t>Attività dei vigili del fuoco</t>
  </si>
  <si>
    <t>84.25.20</t>
  </si>
  <si>
    <t>Attività di protezione civile</t>
  </si>
  <si>
    <t>84.30.00</t>
  </si>
  <si>
    <t>Assicurazione sociale obbligatoria</t>
  </si>
  <si>
    <t>85.10.00</t>
  </si>
  <si>
    <t>Istruzione di grado preparatorio: scuole dell'infanzia, scuole speciali collegate a
quelle primarie</t>
  </si>
  <si>
    <t>85.20.00</t>
  </si>
  <si>
    <t>Istruzione primaria: scuole elementari</t>
  </si>
  <si>
    <t>85.31.10</t>
  </si>
  <si>
    <t>Istruzione secondaria di primo grado: scuole medie</t>
  </si>
  <si>
    <t>85.31.20</t>
  </si>
  <si>
    <t>Istruzione secondaria di secondo grado di formazione generale: licei</t>
  </si>
  <si>
    <t>85.32.01</t>
  </si>
  <si>
    <t>Scuole di vela e navigazione che rilasciano brevetti o patenti commerciali</t>
  </si>
  <si>
    <t>85.32.02</t>
  </si>
  <si>
    <t>Scuole di volo che rilasciano brevetti o patenti commerciali</t>
  </si>
  <si>
    <t>85.32.03</t>
  </si>
  <si>
    <t>Scuole di guida professionale per autisti, ad esempio di autocarri, di autobus e di
pullman</t>
  </si>
  <si>
    <t>85.32.09</t>
  </si>
  <si>
    <t>Altra istruzione secondaria di secondo grado di formazione tecnica, professionale
e artistica</t>
  </si>
  <si>
    <t>85.41.00</t>
  </si>
  <si>
    <t>Istruzione e formazione tecnica superiore (IFTS)</t>
  </si>
  <si>
    <t>85.42.00</t>
  </si>
  <si>
    <t>Istruzione universitaria e post-universitaria; accademie e conservatori</t>
  </si>
  <si>
    <t>85.51.00</t>
  </si>
  <si>
    <t>Corsi sportivi e ricreativi</t>
  </si>
  <si>
    <t>85.52.01</t>
  </si>
  <si>
    <t>Corsi di danza</t>
  </si>
  <si>
    <t>85.52.09</t>
  </si>
  <si>
    <t>Altra formazione culturale</t>
  </si>
  <si>
    <t>85.53.00</t>
  </si>
  <si>
    <t>Autoscuole, scuole di pilotaggio e nautiche</t>
  </si>
  <si>
    <t>85.59.10</t>
  </si>
  <si>
    <t>Università popolare</t>
  </si>
  <si>
    <t>85.59.20</t>
  </si>
  <si>
    <t>Corsi di formazione e corsi di aggiornamento professionale</t>
  </si>
  <si>
    <t>85.59.30</t>
  </si>
  <si>
    <t>Scuole e corsi di lingua</t>
  </si>
  <si>
    <t>85.59.90</t>
  </si>
  <si>
    <t>Altri servizi di istruzione nca</t>
  </si>
  <si>
    <t>85.60.01</t>
  </si>
  <si>
    <t>Consulenza scolastica e servizi di orientamento scolastico</t>
  </si>
  <si>
    <t>85.60.09</t>
  </si>
  <si>
    <t>Altre attività di supporto all'istruzione</t>
  </si>
  <si>
    <t>86.10.10</t>
  </si>
  <si>
    <t>Ospedali e case di cura generici</t>
  </si>
  <si>
    <t>86.10.20</t>
  </si>
  <si>
    <t>Ospedali e case di cura specialistici</t>
  </si>
  <si>
    <t>86.10.30</t>
  </si>
  <si>
    <t>Istituti, cliniche e policlinici universitari</t>
  </si>
  <si>
    <t>86.10.40</t>
  </si>
  <si>
    <t>Ospedali e case di cura per lunga degenza</t>
  </si>
  <si>
    <t>86.21.00</t>
  </si>
  <si>
    <t>Servizi degli studi medici di medicina generale</t>
  </si>
  <si>
    <t>86.22.01</t>
  </si>
  <si>
    <t>Prestazioni sanitarie svolte da chirurghi</t>
  </si>
  <si>
    <t>86.22.02</t>
  </si>
  <si>
    <t>Ambulatori e poliambulatori del Servizio Sanitario Nazionale</t>
  </si>
  <si>
    <t>86.22.03</t>
  </si>
  <si>
    <t>Attività dei centri di radioterapia</t>
  </si>
  <si>
    <t>86.22.04</t>
  </si>
  <si>
    <t>Attività dei centri di dialisi</t>
  </si>
  <si>
    <t>86.22.05</t>
  </si>
  <si>
    <t>Studi di omeopatia e di agopuntura</t>
  </si>
  <si>
    <t>86.22.06</t>
  </si>
  <si>
    <t>Centri di medicina estetica</t>
  </si>
  <si>
    <t>86.22.09</t>
  </si>
  <si>
    <t>Altri studi medici specialistici e poliambulatori</t>
  </si>
  <si>
    <t>86.23.00</t>
  </si>
  <si>
    <t>Attività degli studi odontoiatrici</t>
  </si>
  <si>
    <t>86.90.11</t>
  </si>
  <si>
    <t>Laboratori radiografici</t>
  </si>
  <si>
    <t>86.90.12</t>
  </si>
  <si>
    <t>Laboratori di analisi cliniche</t>
  </si>
  <si>
    <t>86.90.13</t>
  </si>
  <si>
    <t>Laboratori di igiene e profilassi</t>
  </si>
  <si>
    <t>86.90.21</t>
  </si>
  <si>
    <t>Fisioterapia</t>
  </si>
  <si>
    <t>86.90.29</t>
  </si>
  <si>
    <t>Altre attività paramediche indipendenti nca</t>
  </si>
  <si>
    <t>86.90.30</t>
  </si>
  <si>
    <t>Attività svolta da psicologi</t>
  </si>
  <si>
    <t>86.90.41</t>
  </si>
  <si>
    <t>Attività degli ambulatori tricologici</t>
  </si>
  <si>
    <t>86.90.42</t>
  </si>
  <si>
    <t>Servizi di ambulanza, delle banche del sangue e altri servizi sanitari nca</t>
  </si>
  <si>
    <t>87.10.00</t>
  </si>
  <si>
    <t>Strutture di assistenza infermieristica residenziale per anziani</t>
  </si>
  <si>
    <t>87.20.00</t>
  </si>
  <si>
    <t>Strutture di assistenza residenziale per persone affette da ritardi mentali, disturbi
mentali o che abusano di sostanze stupefacenti</t>
  </si>
  <si>
    <t>87.30.00</t>
  </si>
  <si>
    <t>Strutture di assistenza residenziale per anziani e disabili</t>
  </si>
  <si>
    <t>87.90.00</t>
  </si>
  <si>
    <t>Altre strutture di assistenza sociale residenziale</t>
  </si>
  <si>
    <t>88.10.00</t>
  </si>
  <si>
    <t>Assistenza sociale non residenziale per anziani e disabili</t>
  </si>
  <si>
    <t>88.91.00</t>
  </si>
  <si>
    <t>Servizi di asili nido; assistenza diurna per minori disabili</t>
  </si>
  <si>
    <t>88.99.00</t>
  </si>
  <si>
    <t>Altre attività di assistenza sociale non residenziale nca</t>
  </si>
  <si>
    <t>90.01.01</t>
  </si>
  <si>
    <t>Attività nel campo della recitazione</t>
  </si>
  <si>
    <t>90.01.09</t>
  </si>
  <si>
    <t>Altre rappresentazioni artistiche</t>
  </si>
  <si>
    <t>90.02.01</t>
  </si>
  <si>
    <t>Noleggio con operatore di strutture ed attrezzature per manifestazioni e spettacoli</t>
  </si>
  <si>
    <t>90.02.02</t>
  </si>
  <si>
    <t>Attività nel campo della regia</t>
  </si>
  <si>
    <t>90.02.09</t>
  </si>
  <si>
    <t>Altre attività di supporto alle rappresentazioni artistiche</t>
  </si>
  <si>
    <t>90.03.01</t>
  </si>
  <si>
    <t>Attività dei giornalisti indipendenti</t>
  </si>
  <si>
    <t>90.03.02</t>
  </si>
  <si>
    <t>Attività di conservazione e restauro di opere d'arte</t>
  </si>
  <si>
    <t>90.03.09</t>
  </si>
  <si>
    <t>Altre creazioni artistiche e letterarie</t>
  </si>
  <si>
    <t>90.04.00</t>
  </si>
  <si>
    <t>Gestione di teatri, sale da concerto e altre strutture artistiche</t>
  </si>
  <si>
    <t>91.01.00</t>
  </si>
  <si>
    <t>Attività di biblioteche ed archivi</t>
  </si>
  <si>
    <t>91.02.00</t>
  </si>
  <si>
    <t>Attività di musei</t>
  </si>
  <si>
    <t>91.03.00</t>
  </si>
  <si>
    <t>Gestione di luoghi e monumenti storici e attrazioni simili</t>
  </si>
  <si>
    <t>91.04.00</t>
  </si>
  <si>
    <t>Attività degli orti botanici, dei giardini zoologici e delle riserve naturali</t>
  </si>
  <si>
    <t>92.00.01</t>
  </si>
  <si>
    <t>Ricevitorie del Lotto, SuperEnalotto, Totocalcio eccetera</t>
  </si>
  <si>
    <t>92.00.02</t>
  </si>
  <si>
    <t>Gestione di apparecchi che consentono vincite in denaro funzionanti a moneta o
a gettone</t>
  </si>
  <si>
    <t>92.00.09</t>
  </si>
  <si>
    <t>Altre attività connesse con le lotterie e le scommesse</t>
  </si>
  <si>
    <t>93.11.10</t>
  </si>
  <si>
    <t>Gestione di stadi</t>
  </si>
  <si>
    <t>93.11.20</t>
  </si>
  <si>
    <t>Gestione di piscine</t>
  </si>
  <si>
    <t>93.11.30</t>
  </si>
  <si>
    <t>Gestione di impianti sportivi polivalenti</t>
  </si>
  <si>
    <t>93.11.90</t>
  </si>
  <si>
    <t>Gestione di altri impianti sportivi nca</t>
  </si>
  <si>
    <t>93.12.00</t>
  </si>
  <si>
    <t>Attività di club sportivi</t>
  </si>
  <si>
    <t>93.13.00</t>
  </si>
  <si>
    <t>Gestione di palestre</t>
  </si>
  <si>
    <t>93.19.10</t>
  </si>
  <si>
    <t>Enti e organizzazioni sportive, promozione di eventi sportivi</t>
  </si>
  <si>
    <t>93.19.91</t>
  </si>
  <si>
    <t>Ricarica di bombole per attività subacquee</t>
  </si>
  <si>
    <t>93.19.92</t>
  </si>
  <si>
    <t>Attività delle guide alpine</t>
  </si>
  <si>
    <t>93.19.99</t>
  </si>
  <si>
    <t>Altre attività sportive nca</t>
  </si>
  <si>
    <t>93.21.00</t>
  </si>
  <si>
    <t>Parchi di divertimento e parchi tematici</t>
  </si>
  <si>
    <t>93.29.10</t>
  </si>
  <si>
    <t>Discoteche, sale da ballo night-club e simili</t>
  </si>
  <si>
    <t>93.29.20</t>
  </si>
  <si>
    <t>Gestione di stabilimenti balneari: marittimi, lacuali e fluviali</t>
  </si>
  <si>
    <t>93.29.30</t>
  </si>
  <si>
    <t>Sale giochi e biliardi</t>
  </si>
  <si>
    <t>93.29.90</t>
  </si>
  <si>
    <t>Altre attività di intrattenimento e di divertimento nca</t>
  </si>
  <si>
    <t>94.91.00</t>
  </si>
  <si>
    <t>Attività delle organizzazioni religiose nell'esercizio del culto</t>
  </si>
  <si>
    <t>94.92.00</t>
  </si>
  <si>
    <t>Attività dei partiti e delle associazioni politiche</t>
  </si>
  <si>
    <t>94.99.10</t>
  </si>
  <si>
    <t>Attività di organizzazioni per la tutela degli interessi e dei diritti dei cittadini</t>
  </si>
  <si>
    <t>94.99.20</t>
  </si>
  <si>
    <t>Attività di organizzazioni che perseguono fini culturali, ricreativi e la coltivazione di
hobby</t>
  </si>
  <si>
    <t>94.99.30</t>
  </si>
  <si>
    <t>Attività di organizzazioni patriottiche e associazioni combattentistiche</t>
  </si>
  <si>
    <t>94.99.40</t>
  </si>
  <si>
    <t>Attività di organizzazioni per la cooperazione e la solidarietà internazionale</t>
  </si>
  <si>
    <t>94.99.50</t>
  </si>
  <si>
    <t>Attività di organizzazioni per la filantropia</t>
  </si>
  <si>
    <t>94.99.60</t>
  </si>
  <si>
    <t>Attività di organizzazioni per la promozione e la difesa degli animali e
dell'ambiente</t>
  </si>
  <si>
    <t>94.99.90</t>
  </si>
  <si>
    <t>Attività di altre organizzazioni associative nca</t>
  </si>
  <si>
    <t>95.11.00</t>
  </si>
  <si>
    <t>Riparazione e manutenzione di computer e periferiche</t>
  </si>
  <si>
    <t>95.12.01</t>
  </si>
  <si>
    <t>Riparazione e manutenzione di telefoni fissi, cordless e cellulari</t>
  </si>
  <si>
    <t>95.12.09</t>
  </si>
  <si>
    <t>Riparazione e manutenzione di altre apparecchiature per le comunicazioni</t>
  </si>
  <si>
    <t>95.21.00</t>
  </si>
  <si>
    <t>Riparazione di prodotti elettronici di consumo audio e video</t>
  </si>
  <si>
    <t>95.22.01</t>
  </si>
  <si>
    <t>Riparazione di elettrodomestici e di articoli per la casa</t>
  </si>
  <si>
    <t>95.22.02</t>
  </si>
  <si>
    <t>Riparazione di articoli per il giardinaggio</t>
  </si>
  <si>
    <t>95.23.00</t>
  </si>
  <si>
    <t>Riparazione di calzature e articoli da viaggio in pelle, cuoio o in altri materiali
simili</t>
  </si>
  <si>
    <t>95.24.01</t>
  </si>
  <si>
    <t>Riparazione di mobili e di oggetti di arredamento</t>
  </si>
  <si>
    <t>95.24.02</t>
  </si>
  <si>
    <t>Laboratori di tappezzeria</t>
  </si>
  <si>
    <t>95.25.00</t>
  </si>
  <si>
    <t>Riparazione di orologi e di gioielli</t>
  </si>
  <si>
    <t>95.29.01</t>
  </si>
  <si>
    <t>Riparazione di strumenti musicali</t>
  </si>
  <si>
    <t>95.29.02</t>
  </si>
  <si>
    <t>Riparazione di articoli sportivi (escluse le armi sportive) e attrezzature da
campeggio (incluse le biciclette)</t>
  </si>
  <si>
    <t>95.29.03</t>
  </si>
  <si>
    <t>Modifica e riparazione di articoli di vestiario non effettuate dalle sartorie</t>
  </si>
  <si>
    <t>95.29.04</t>
  </si>
  <si>
    <t>Servizi di riparazioni rapide, duplicazione chiavi, affilatura coltelli, stampa
immediata su articoli tessili, incisioni rapide su metallo non prezioso</t>
  </si>
  <si>
    <t>95.29.09</t>
  </si>
  <si>
    <t>Riparazione di altri beni di consumo per uso personale e per la casa nca</t>
  </si>
  <si>
    <t>96.01.10</t>
  </si>
  <si>
    <t>Attività delle lavanderie industriali</t>
  </si>
  <si>
    <t>96.01.20</t>
  </si>
  <si>
    <t>Altre lavanderie, tintorie</t>
  </si>
  <si>
    <t>96.02.01</t>
  </si>
  <si>
    <t>Servizi dei saloni di barbiere e parrucchiere</t>
  </si>
  <si>
    <t>96.02.02</t>
  </si>
  <si>
    <t>Servizi degli istituti di bellezza</t>
  </si>
  <si>
    <t>96.02.03</t>
  </si>
  <si>
    <t>Servizi di manicure e pedicure</t>
  </si>
  <si>
    <t>96.03.00</t>
  </si>
  <si>
    <t>Servizi di pompe funebri e attività connesse</t>
  </si>
  <si>
    <t>96.04.10</t>
  </si>
  <si>
    <t>Servizi di centri per il benessere fisico (esclusi gli stabilimenti termali)</t>
  </si>
  <si>
    <t>96.04.20</t>
  </si>
  <si>
    <t>Stabilimenti termali</t>
  </si>
  <si>
    <t>96.09.01</t>
  </si>
  <si>
    <t>Attività di sgombero di cantine, solai e garage</t>
  </si>
  <si>
    <t>96.09.02</t>
  </si>
  <si>
    <t>Attività di tatuaggio e piercing</t>
  </si>
  <si>
    <t>96.09.03</t>
  </si>
  <si>
    <t>Agenzie matrimoniali e d'incontro</t>
  </si>
  <si>
    <t>96.09.04</t>
  </si>
  <si>
    <t>Servizi di cura degli animali da compagnia (esclusi i servizi veterinari)</t>
  </si>
  <si>
    <t>96.09.05</t>
  </si>
  <si>
    <t>Organizzazione di feste e cerimonie</t>
  </si>
  <si>
    <t>96.09.09</t>
  </si>
  <si>
    <t>Altre attività di servizi per la persona nca</t>
  </si>
  <si>
    <t>97.00.00</t>
  </si>
  <si>
    <t>Attività di famiglie e convivenze come datori di lavoro per personale domestico</t>
  </si>
  <si>
    <t>98.10.00</t>
  </si>
  <si>
    <t>Produzione di beni indifferenziati per uso proprio da parte di famiglie e
convivenze</t>
  </si>
  <si>
    <t>98.20.00</t>
  </si>
  <si>
    <t>Produzione di servizi indifferenziati per uso proprio da parte di famiglie e
convivenze</t>
  </si>
  <si>
    <t>99.00.00</t>
  </si>
  <si>
    <t>Organizzazioni ed organismi extraterritoriali</t>
  </si>
  <si>
    <t>Ateco:</t>
  </si>
  <si>
    <t>Coefficiente:</t>
  </si>
  <si>
    <t>Reddito di impresa\professionale da dichiarazione anno precedente</t>
  </si>
  <si>
    <t>Valore della produzione anno precedente</t>
  </si>
  <si>
    <t>Ipotesi di valore della produzione</t>
  </si>
  <si>
    <t>Adesione al concordato</t>
  </si>
  <si>
    <t>Applicazione imposta sostitutiva anche per i soggetti ISA</t>
  </si>
  <si>
    <t>Imposta Sostitutiva:</t>
  </si>
  <si>
    <t>Start-up</t>
  </si>
  <si>
    <t>Il contribuente dichiare di aver presentato, se tenuto a farlo. la dichiarazione dei redditi per tre periodi d’imposta precedenti a quelli di applicazione del concordato e di non aver riportato condanne per per uno dei reati previsti dal decreto legislativo 10 marzo 2000, n. 74, dall’articolo 2621 del codice civile, nonché dagli articoli 648-bis, 648-ter e 648-ter 1 del codice penale, commessi negli ultimi tre periodi d’imposta antecedenti a quelli di applicazione del concordato.
Alla pronuncia di condanna è equiparata la sentenza di applicazione della pena su richiesta delle parti;</t>
  </si>
  <si>
    <t>Ipotesi Reddito</t>
  </si>
  <si>
    <t>Ipotesi VdP</t>
  </si>
  <si>
    <t>Soggetto IRES</t>
  </si>
  <si>
    <t>69.10.10</t>
  </si>
  <si>
    <t>Attività degli studi legali</t>
  </si>
  <si>
    <t>69.10.20</t>
  </si>
  <si>
    <t>Attività degli studi notarili</t>
  </si>
  <si>
    <t>69.20.11</t>
  </si>
  <si>
    <t>Servizi forniti da dottori commercialisti</t>
  </si>
  <si>
    <t>69.20.12</t>
  </si>
  <si>
    <t>Servizi forniti da ragionieri e periti commerciali</t>
  </si>
  <si>
    <t>69.20.13</t>
  </si>
  <si>
    <t>Servizi forniti da revisori contabili, periti, consulenti ed altri soggetti che svolgono
attività in materia di amministrazione, contabilità e tributi</t>
  </si>
  <si>
    <t>69.20.14</t>
  </si>
  <si>
    <t>Attività svolta dai Centri di assistenza fiscale (Caf)</t>
  </si>
  <si>
    <t>69.20.15</t>
  </si>
  <si>
    <t>Gestione ed amministrazione del personale per conto terzi</t>
  </si>
  <si>
    <t>69.20.20</t>
  </si>
  <si>
    <t>Attività delle società di revisione e certificazione di bilanci</t>
  </si>
  <si>
    <t>94.11.00</t>
  </si>
  <si>
    <t>Attività di organizzazione di datori di lavoro, federazioni di industria, commercio,
artigianato e servizi, associazioni, unioni, federazioni fra istituzioni</t>
  </si>
  <si>
    <t>94.12.10</t>
  </si>
  <si>
    <t>Attività di federazioni e consigli di ordini e collegi professionali</t>
  </si>
  <si>
    <t>94.12.20</t>
  </si>
  <si>
    <t>Attività di associazioni professionali</t>
  </si>
  <si>
    <t>94.20.00</t>
  </si>
  <si>
    <t>Attività dei sindacati di lavoratori dipendenti</t>
  </si>
  <si>
    <t>Presentazione della dichiarazione dei redditi relativa al periodo 2023 entro il 31/10/2024</t>
  </si>
  <si>
    <r>
      <rPr>
        <b/>
        <sz val="11"/>
        <color theme="1"/>
        <rFont val="Aptos Narrow"/>
        <family val="2"/>
        <scheme val="minor"/>
      </rPr>
      <t>Ambito  soggettivo:</t>
    </r>
    <r>
      <rPr>
        <sz val="11"/>
        <color theme="1"/>
        <rFont val="Aptos Narrow"/>
        <family val="2"/>
        <scheme val="minor"/>
      </rPr>
      <t xml:space="preserve"> l’articolo 1 del DL 167/2024 proroga il termine per l’adesione al concordato preventivo biennale ma solo per i soggetti che applicano gli ISA </t>
    </r>
  </si>
  <si>
    <t>Minor IRAP</t>
  </si>
  <si>
    <t>Confronto con reddito anno precedente</t>
  </si>
  <si>
    <t>Confronto con redditi futuri (proposta &gt; reddito ipotizzato)</t>
  </si>
  <si>
    <t>Confronto con reddito anno precedente (proposta &lt; reddito ipotizzato)</t>
  </si>
  <si>
    <t>Maggiori imposte (ipotesi con imposta sostitutiva)</t>
  </si>
  <si>
    <t>Maggiori imposte dirette (ipotesi senza imposta sostitutiva)</t>
  </si>
  <si>
    <t>Minori imposte (ipotesi con imposta sostitutiva)</t>
  </si>
  <si>
    <t>Minori imposte dirette (ipotesi senza imposta sostitutiva)</t>
  </si>
  <si>
    <t>(solo per soggetti IRES)</t>
  </si>
  <si>
    <t>Probabilità 2026</t>
  </si>
  <si>
    <t>Voto ISA 2024: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</si>
</sst>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.00\ _€_-;\-* #,##0.00\ _€_-;_-* &quot;-&quot;??\ _€_-;_-@_-"/>
  </numFmts>
  <fonts count="1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9"/>
      <name val="Aptos Narrow"/>
      <family val="2"/>
      <scheme val="minor"/>
    </font>
    <font>
      <sz val="8"/>
      <color rgb="FF000000"/>
      <name val="Segoe UI"/>
      <family val="2"/>
    </font>
    <font>
      <sz val="11"/>
      <color rgb="FFFF0000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4"/>
      <color theme="0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0"/>
      <name val="Arial"/>
      <family val="2"/>
    </font>
    <font>
      <b/>
      <sz val="11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theme="9"/>
        <bgColor theme="9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/>
      <right/>
      <top style="thin">
        <color theme="9" tint="0.3999755851924192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52">
    <xf numFmtId="0" fontId="0" fillId="0" borderId="0" xfId="0"/>
    <xf numFmtId="0" fontId="3" fillId="0" borderId="0" xfId="3"/>
    <xf numFmtId="0" fontId="0" fillId="0" borderId="0" xfId="0" applyAlignment="1">
      <alignment vertical="center" wrapText="1"/>
    </xf>
    <xf numFmtId="0" fontId="2" fillId="0" borderId="0" xfId="0" applyFont="1"/>
    <xf numFmtId="43" fontId="0" fillId="0" borderId="0" xfId="1" applyFont="1"/>
    <xf numFmtId="9" fontId="0" fillId="0" borderId="0" xfId="2" applyFont="1"/>
    <xf numFmtId="4" fontId="0" fillId="0" borderId="0" xfId="0" applyNumberFormat="1"/>
    <xf numFmtId="0" fontId="7" fillId="0" borderId="0" xfId="0" applyFont="1"/>
    <xf numFmtId="0" fontId="8" fillId="0" borderId="1" xfId="0" applyFont="1" applyBorder="1"/>
    <xf numFmtId="0" fontId="8" fillId="0" borderId="3" xfId="0" applyFont="1" applyBorder="1"/>
    <xf numFmtId="0" fontId="9" fillId="3" borderId="2" xfId="0" applyFont="1" applyFill="1" applyBorder="1"/>
    <xf numFmtId="0" fontId="8" fillId="0" borderId="0" xfId="0" applyFont="1"/>
    <xf numFmtId="0" fontId="0" fillId="4" borderId="0" xfId="0" applyFill="1"/>
    <xf numFmtId="3" fontId="0" fillId="0" borderId="0" xfId="0" applyNumberFormat="1"/>
    <xf numFmtId="164" fontId="0" fillId="0" borderId="0" xfId="0" applyNumberFormat="1"/>
    <xf numFmtId="0" fontId="11" fillId="0" borderId="0" xfId="0" applyFont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/>
    </xf>
    <xf numFmtId="4" fontId="0" fillId="0" borderId="4" xfId="1" applyNumberFormat="1" applyFont="1" applyBorder="1"/>
    <xf numFmtId="4" fontId="0" fillId="0" borderId="4" xfId="0" applyNumberFormat="1" applyBorder="1"/>
    <xf numFmtId="164" fontId="0" fillId="0" borderId="4" xfId="0" applyNumberFormat="1" applyBorder="1"/>
    <xf numFmtId="0" fontId="0" fillId="0" borderId="0" xfId="0" applyAlignment="1">
      <alignment vertical="center"/>
    </xf>
    <xf numFmtId="0" fontId="10" fillId="0" borderId="0" xfId="0" applyFont="1" applyProtection="1">
      <protection locked="0"/>
    </xf>
    <xf numFmtId="0" fontId="0" fillId="2" borderId="0" xfId="0" applyFill="1" applyProtection="1">
      <protection locked="0"/>
    </xf>
    <xf numFmtId="43" fontId="0" fillId="2" borderId="0" xfId="1" applyFont="1" applyFill="1" applyProtection="1">
      <protection locked="0"/>
    </xf>
    <xf numFmtId="3" fontId="0" fillId="2" borderId="0" xfId="0" applyNumberFormat="1" applyFill="1" applyProtection="1">
      <protection locked="0"/>
    </xf>
    <xf numFmtId="43" fontId="0" fillId="2" borderId="6" xfId="1" applyFont="1" applyFill="1" applyBorder="1" applyProtection="1">
      <protection locked="0"/>
    </xf>
    <xf numFmtId="9" fontId="0" fillId="2" borderId="6" xfId="2" applyFont="1" applyFill="1" applyBorder="1" applyProtection="1">
      <protection locked="0"/>
    </xf>
    <xf numFmtId="0" fontId="12" fillId="0" borderId="0" xfId="0" applyFont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0" borderId="0" xfId="0" applyAlignment="1">
      <alignment vertical="top" wrapText="1"/>
    </xf>
    <xf numFmtId="9" fontId="2" fillId="0" borderId="0" xfId="2" applyFont="1" applyAlignment="1">
      <alignment horizontal="left"/>
    </xf>
    <xf numFmtId="0" fontId="13" fillId="0" borderId="0" xfId="0" applyFont="1"/>
    <xf numFmtId="0" fontId="0" fillId="2" borderId="0" xfId="0" applyFill="1" applyAlignment="1" applyProtection="1">
      <alignment horizontal="right"/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2" borderId="0" xfId="0" applyFill="1" applyProtection="1">
      <protection locked="0"/>
      <extLst>
        <ext xmlns:xfpb="http://schemas.microsoft.com/office/spreadsheetml/2022/featurepropertybag" uri="{C7286773-470A-42A8-94C5-96B5CB345126}">
          <xfpb:xfComplement i="0"/>
        </ext>
      </extLst>
    </xf>
    <xf numFmtId="9" fontId="11" fillId="0" borderId="0" xfId="2" applyFont="1"/>
    <xf numFmtId="0" fontId="0" fillId="0" borderId="0" xfId="0" applyAlignment="1">
      <alignment horizontal="left" vertical="top" wrapText="1"/>
    </xf>
    <xf numFmtId="0" fontId="3" fillId="0" borderId="0" xfId="3" applyFill="1" applyAlignment="1">
      <alignment vertical="top" wrapText="1"/>
    </xf>
    <xf numFmtId="9" fontId="5" fillId="0" borderId="0" xfId="0" applyNumberFormat="1" applyFont="1"/>
    <xf numFmtId="164" fontId="2" fillId="0" borderId="0" xfId="0" applyNumberFormat="1" applyFont="1"/>
    <xf numFmtId="9" fontId="14" fillId="0" borderId="0" xfId="2" applyFont="1" applyAlignment="1">
      <alignment horizontal="left"/>
    </xf>
    <xf numFmtId="0" fontId="14" fillId="5" borderId="0" xfId="0" applyFont="1" applyFill="1" applyAlignment="1">
      <alignment horizontal="right"/>
    </xf>
    <xf numFmtId="0" fontId="10" fillId="5" borderId="0" xfId="0" applyFont="1" applyFill="1" applyProtection="1">
      <protection locked="0"/>
    </xf>
    <xf numFmtId="0" fontId="10" fillId="5" borderId="0" xfId="0" applyFont="1" applyFill="1"/>
    <xf numFmtId="9" fontId="0" fillId="0" borderId="0" xfId="0" applyNumberFormat="1"/>
    <xf numFmtId="0" fontId="13" fillId="0" borderId="0" xfId="0" applyFont="1" applyAlignment="1">
      <alignment horizontal="center" vertical="center" wrapText="1"/>
    </xf>
    <xf numFmtId="0" fontId="2" fillId="0" borderId="0" xfId="0" applyFont="1" applyAlignment="1">
      <alignment horizontal="left" vertical="center" wrapText="1"/>
    </xf>
    <xf numFmtId="0" fontId="0" fillId="2" borderId="0" xfId="0" applyFill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0" fontId="2" fillId="0" borderId="5" xfId="0" applyFont="1" applyBorder="1" applyAlignment="1">
      <alignment horizontal="left"/>
    </xf>
    <xf numFmtId="0" fontId="0" fillId="0" borderId="0" xfId="0" applyAlignment="1">
      <alignment horizontal="left" vertical="top" wrapText="1"/>
    </xf>
  </cellXfs>
  <cellStyles count="4">
    <cellStyle name="Collegamento ipertestuale" xfId="3" builtinId="8"/>
    <cellStyle name="Migliaia" xfId="1" builtinId="3"/>
    <cellStyle name="Normale" xfId="0" builtinId="0"/>
    <cellStyle name="Percentuale" xfId="2" builtinId="5"/>
  </cellStyles>
  <dxfs count="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 outline="0">
        <left/>
        <right/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border diagonalUp="0" diagonalDown="0">
        <left/>
        <right/>
        <top style="thin">
          <color theme="9" tint="0.39997558519241921"/>
        </top>
        <bottom style="thin">
          <color theme="9" tint="0.39997558519241921"/>
        </bottom>
        <vertical/>
        <horizontal/>
      </border>
    </dxf>
    <dxf>
      <border outline="0">
        <top style="thin">
          <color theme="9" tint="0.39997558519241921"/>
        </top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0"/>
        <name val="Aptos Narrow"/>
        <family val="2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/>
        <right style="thin">
          <color theme="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/>
        <top/>
        <bottom/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/>
        <name val="Aptos Narrow"/>
        <family val="2"/>
        <scheme val="minor"/>
      </font>
      <numFmt numFmtId="13" formatCode="0%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border diagonalUp="0" diagonalDown="0" outline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  <protection locked="0" hidden="0"/>
    </dxf>
    <dxf>
      <fill>
        <patternFill patternType="solid">
          <fgColor indexed="64"/>
          <bgColor theme="3" tint="0.89999084444715716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alcChain" Target="calcChai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22/11/relationships/FeaturePropertyBag" Target="featurePropertyBag/featurePropertyBag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CheckBox" checked="Checked" fmlaLink="$B$8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Allegato1!A1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#ConcordatoBiennale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1028700</xdr:colOff>
          <xdr:row>6</xdr:row>
          <xdr:rowOff>0</xdr:rowOff>
        </xdr:from>
        <xdr:to>
          <xdr:col>4</xdr:col>
          <xdr:colOff>1181100</xdr:colOff>
          <xdr:row>6</xdr:row>
          <xdr:rowOff>171450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it-IT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Soggetto ISA &lt;5.164.569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436033</xdr:colOff>
      <xdr:row>0</xdr:row>
      <xdr:rowOff>0</xdr:rowOff>
    </xdr:from>
    <xdr:to>
      <xdr:col>9</xdr:col>
      <xdr:colOff>579249</xdr:colOff>
      <xdr:row>1</xdr:row>
      <xdr:rowOff>68429</xdr:rowOff>
    </xdr:to>
    <xdr:grpSp>
      <xdr:nvGrpSpPr>
        <xdr:cNvPr id="4" name="Grupp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1045633" y="0"/>
          <a:ext cx="8344241" cy="839954"/>
          <a:chOff x="1780687" y="0"/>
          <a:chExt cx="9041471" cy="836595"/>
        </a:xfrm>
      </xdr:grpSpPr>
      <xdr:sp macro="" textlink="">
        <xdr:nvSpPr>
          <xdr:cNvPr id="5" name="Rettangolo con angoli arrotondati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SpPr/>
        </xdr:nvSpPr>
        <xdr:spPr>
          <a:xfrm>
            <a:off x="1780687" y="0"/>
            <a:ext cx="9041471" cy="836595"/>
          </a:xfrm>
          <a:prstGeom prst="round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l"/>
            <a:r>
              <a:rPr lang="it-IT" sz="2000" b="1" i="1" cap="none" spc="0">
                <a:ln w="9525">
                  <a:solidFill>
                    <a:schemeClr val="bg1"/>
                  </a:solidFill>
                  <a:prstDash val="solid"/>
                </a:ln>
                <a:solidFill>
                  <a:schemeClr val="tx1">
                    <a:lumMod val="75000"/>
                    <a:lumOff val="25000"/>
                  </a:schemeClr>
                </a:solidFill>
                <a:effectLst>
                  <a:outerShdw blurRad="12700" dist="38100" dir="2700000" algn="tl" rotWithShape="0">
                    <a:schemeClr val="bg1">
                      <a:lumMod val="50000"/>
                    </a:schemeClr>
                  </a:outerShdw>
                </a:effectLst>
                <a:latin typeface="Verdana" panose="020B0604030504040204" pitchFamily="34" charset="0"/>
                <a:ea typeface="Verdana" panose="020B0604030504040204" pitchFamily="34" charset="0"/>
              </a:rPr>
              <a:t>Concordato Biennale</a:t>
            </a:r>
            <a:endParaRPr lang="it-IT" sz="600" b="1" i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tx1">
                  <a:lumMod val="75000"/>
                  <a:lumOff val="25000"/>
                </a:schemeClr>
              </a:solidFill>
              <a:effectLst>
                <a:outerShdw blurRad="12700" dist="38100" dir="2700000" algn="tl" rotWithShape="0">
                  <a:schemeClr val="bg1">
                    <a:lumMod val="5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</a:endParaRPr>
          </a:p>
        </xdr:txBody>
      </xdr:sp>
      <xdr:pic>
        <xdr:nvPicPr>
          <xdr:cNvPr id="6" name="Immagine 5" descr="Immagine che contiene Elementi grafici, logo, grafica, Carattere&#10;&#10;Descrizione generata automaticamente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8133224" y="116389"/>
            <a:ext cx="2230967" cy="626533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342900</xdr:colOff>
          <xdr:row>79</xdr:row>
          <xdr:rowOff>180975</xdr:rowOff>
        </xdr:from>
        <xdr:to>
          <xdr:col>1</xdr:col>
          <xdr:colOff>561975</xdr:colOff>
          <xdr:row>81</xdr:row>
          <xdr:rowOff>47625</xdr:rowOff>
        </xdr:to>
        <xdr:sp macro="" textlink="">
          <xdr:nvSpPr>
            <xdr:cNvPr id="2058" name="Check Box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464818</xdr:colOff>
      <xdr:row>3</xdr:row>
      <xdr:rowOff>57971</xdr:rowOff>
    </xdr:from>
    <xdr:to>
      <xdr:col>28</xdr:col>
      <xdr:colOff>544491</xdr:colOff>
      <xdr:row>26</xdr:row>
      <xdr:rowOff>10931</xdr:rowOff>
    </xdr:to>
    <xdr:grpSp>
      <xdr:nvGrpSpPr>
        <xdr:cNvPr id="23" name="Gruppo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GrpSpPr/>
      </xdr:nvGrpSpPr>
      <xdr:grpSpPr>
        <a:xfrm>
          <a:off x="12618718" y="1210496"/>
          <a:ext cx="9833273" cy="4820235"/>
          <a:chOff x="11741522" y="983316"/>
          <a:chExt cx="9759454" cy="4188783"/>
        </a:xfrm>
      </xdr:grpSpPr>
      <xdr:pic>
        <xdr:nvPicPr>
          <xdr:cNvPr id="2" name="Immagin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41522" y="983316"/>
            <a:ext cx="9759454" cy="4188783"/>
          </a:xfrm>
          <a:prstGeom prst="rect">
            <a:avLst/>
          </a:prstGeom>
        </xdr:spPr>
      </xdr:pic>
      <xdr:sp macro="" textlink="I$23">
        <xdr:nvSpPr>
          <xdr:cNvPr id="7" name="CasellaDiTesto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SpPr txBox="1"/>
        </xdr:nvSpPr>
        <xdr:spPr>
          <a:xfrm>
            <a:off x="19155334" y="25263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2BF53063-4768-4AE3-81BF-6E8A35E557D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34.412,00 </a:t>
            </a:fld>
            <a:endParaRPr lang="it-IT" sz="1100" b="0"/>
          </a:p>
        </xdr:txBody>
      </xdr:sp>
      <xdr:sp macro="" textlink="$I$25">
        <xdr:nvSpPr>
          <xdr:cNvPr id="9" name="CasellaDiTesto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SpPr txBox="1"/>
        </xdr:nvSpPr>
        <xdr:spPr>
          <a:xfrm>
            <a:off x="19136284" y="27549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B5A081FB-E9FE-4921-A6E2-CE69C9C42286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 21.099,00 </a:t>
            </a:fld>
            <a:endParaRPr lang="it-IT" sz="1100" b="0"/>
          </a:p>
        </xdr:txBody>
      </xdr:sp>
      <xdr:sp macro="" textlink="$AD$5">
        <xdr:nvSpPr>
          <xdr:cNvPr id="10" name="CasellaDiTesto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SpPr txBox="1"/>
        </xdr:nvSpPr>
        <xdr:spPr>
          <a:xfrm>
            <a:off x="20317944" y="1450041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A04173E1-0636-4BCC-88C0-AF3BC372E84D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AD$7">
        <xdr:nvSpPr>
          <xdr:cNvPr id="11" name="CasellaDiTesto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SpPr txBox="1"/>
        </xdr:nvSpPr>
        <xdr:spPr>
          <a:xfrm>
            <a:off x="20317944" y="1669116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42B42079-1DC2-470B-8678-5FE2A351224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  <xdr:sp macro="" textlink="$H$28">
        <xdr:nvSpPr>
          <xdr:cNvPr id="12" name="CasellaDiTesto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SpPr txBox="1"/>
        </xdr:nvSpPr>
        <xdr:spPr>
          <a:xfrm>
            <a:off x="19145809" y="34026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950F1B79-14D2-4C0D-8225-BB6FE854189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I$28">
        <xdr:nvSpPr>
          <xdr:cNvPr id="13" name="CasellaDiTesto 12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SpPr txBox="1"/>
        </xdr:nvSpPr>
        <xdr:spPr>
          <a:xfrm>
            <a:off x="19145809" y="363126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69AC6A2-7FDD-452C-A91C-57E21EC989AB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H$29">
        <xdr:nvSpPr>
          <xdr:cNvPr id="14" name="CasellaDiTesto 13">
            <a:extLst>
              <a:ext uri="{FF2B5EF4-FFF2-40B4-BE49-F238E27FC236}">
                <a16:creationId xmlns:a16="http://schemas.microsoft.com/office/drawing/2014/main" id="{00000000-0008-0000-0100-00000E000000}"/>
              </a:ext>
            </a:extLst>
          </xdr:cNvPr>
          <xdr:cNvSpPr txBox="1"/>
        </xdr:nvSpPr>
        <xdr:spPr>
          <a:xfrm>
            <a:off x="19145809" y="3850341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F2D3D406-5C7C-4EE7-8D05-4C8F18E9B2BE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I$29">
        <xdr:nvSpPr>
          <xdr:cNvPr id="15" name="CasellaDiTesto 1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SpPr txBox="1"/>
        </xdr:nvSpPr>
        <xdr:spPr>
          <a:xfrm>
            <a:off x="19145809" y="4069416"/>
            <a:ext cx="1219760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fld id="{5FE9F1B5-4629-4682-B2B9-8EC77EBD4307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 algn="r"/>
              <a:t>1.000.000</a:t>
            </a:fld>
            <a:endParaRPr lang="it-IT" sz="1100" b="0"/>
          </a:p>
        </xdr:txBody>
      </xdr:sp>
      <xdr:sp macro="" textlink="$AD$26">
        <xdr:nvSpPr>
          <xdr:cNvPr id="20" name="CasellaDiTesto 19">
            <a:extLst>
              <a:ext uri="{FF2B5EF4-FFF2-40B4-BE49-F238E27FC236}">
                <a16:creationId xmlns:a16="http://schemas.microsoft.com/office/drawing/2014/main" id="{00000000-0008-0000-0100-000014000000}"/>
              </a:ext>
            </a:extLst>
          </xdr:cNvPr>
          <xdr:cNvSpPr txBox="1"/>
        </xdr:nvSpPr>
        <xdr:spPr>
          <a:xfrm>
            <a:off x="20316264" y="4908176"/>
            <a:ext cx="243168" cy="20002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fld id="{F5D20BB9-96DF-448E-BF0F-31E792932E62}" type="TxLink">
              <a:rPr lang="en-US" sz="1100" b="0" i="0" u="none" strike="noStrike">
                <a:solidFill>
                  <a:srgbClr val="000000"/>
                </a:solidFill>
                <a:latin typeface="Aptos Narrow"/>
              </a:rPr>
              <a:pPr/>
              <a:t>X</a:t>
            </a:fld>
            <a:endParaRPr lang="it-IT" sz="1100"/>
          </a:p>
        </xdr:txBody>
      </xdr:sp>
    </xdr:grpSp>
    <xdr:clientData/>
  </xdr:twoCellAnchor>
  <xdr:twoCellAnchor>
    <xdr:from>
      <xdr:col>13</xdr:col>
      <xdr:colOff>254373</xdr:colOff>
      <xdr:row>0</xdr:row>
      <xdr:rowOff>276225</xdr:rowOff>
    </xdr:from>
    <xdr:to>
      <xdr:col>15</xdr:col>
      <xdr:colOff>412936</xdr:colOff>
      <xdr:row>1</xdr:row>
      <xdr:rowOff>179294</xdr:rowOff>
    </xdr:to>
    <xdr:sp macro="" textlink="">
      <xdr:nvSpPr>
        <xdr:cNvPr id="8" name="Rettangolo con angoli arrotondati 7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1919697" y="276225"/>
          <a:ext cx="1368798" cy="676275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Allegato</a:t>
          </a:r>
          <a:r>
            <a:rPr lang="it-IT" sz="1200" b="1" baseline="0">
              <a:solidFill>
                <a:schemeClr val="bg1"/>
              </a:solidFill>
            </a:rPr>
            <a:t> 1 D.Lgs 12/02/2024 n.13</a:t>
          </a:r>
          <a:endParaRPr lang="it-IT" sz="12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233892</xdr:colOff>
      <xdr:row>0</xdr:row>
      <xdr:rowOff>102658</xdr:rowOff>
    </xdr:from>
    <xdr:to>
      <xdr:col>0</xdr:col>
      <xdr:colOff>1800225</xdr:colOff>
      <xdr:row>0</xdr:row>
      <xdr:rowOff>782108</xdr:rowOff>
    </xdr:to>
    <xdr:sp macro="" textlink="">
      <xdr:nvSpPr>
        <xdr:cNvPr id="2" name="Rettangolo con angoli arrotondati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33892" y="102658"/>
          <a:ext cx="1566333" cy="679450"/>
        </a:xfrm>
        <a:prstGeom prst="roundRect">
          <a:avLst/>
        </a:prstGeom>
        <a:solidFill>
          <a:schemeClr val="bg2">
            <a:lumMod val="7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 b="1">
              <a:solidFill>
                <a:schemeClr val="bg1"/>
              </a:solidFill>
            </a:rPr>
            <a:t>Torna a Concordato Biennale</a:t>
          </a:r>
        </a:p>
      </xdr:txBody>
    </xdr:sp>
    <xdr:clientData/>
  </xdr:twoCellAnchor>
  <xdr:twoCellAnchor editAs="absolute">
    <xdr:from>
      <xdr:col>2</xdr:col>
      <xdr:colOff>509140</xdr:colOff>
      <xdr:row>0</xdr:row>
      <xdr:rowOff>134130</xdr:rowOff>
    </xdr:from>
    <xdr:to>
      <xdr:col>4</xdr:col>
      <xdr:colOff>817951</xdr:colOff>
      <xdr:row>0</xdr:row>
      <xdr:rowOff>763710</xdr:rowOff>
    </xdr:to>
    <xdr:pic>
      <xdr:nvPicPr>
        <xdr:cNvPr id="5" name="Immagine 4" descr="Immagine che contiene Elementi grafici, logo, grafica, Carattere&#10;&#10;Descrizione generata automaticamente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735180" y="134130"/>
          <a:ext cx="2297631" cy="6295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1" xr16:uid="{D0022962-6EAF-4A4A-9C47-2531A45FBA97}" autoFormatId="16" applyNumberFormats="0" applyBorderFormats="0" applyFontFormats="0" applyPatternFormats="0" applyAlignmentFormats="0" applyWidthHeightFormats="0">
  <queryTableRefresh nextId="9" unboundColumnsRight="1">
    <queryTableFields count="8">
      <queryTableField id="1" name="Studi.Data.Column2" tableColumnId="1"/>
      <queryTableField id="2" name="Tipologia reddito" tableColumnId="2"/>
      <queryTableField id="3" name="b_bench" tableColumnId="3"/>
      <queryTableField id="4" name="limite_sett" tableColumnId="4"/>
      <queryTableField id="5" name="rif_redd" tableColumnId="5"/>
      <queryTableField id="6" name="Indice" tableColumnId="6"/>
      <queryTableField id="7" name="Studi.Personalizzato" tableColumnId="7"/>
      <queryTableField id="8" dataBound="0" tableColumnId="8"/>
    </queryTableFields>
  </queryTableRefresh>
</queryTable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187080-3C41-4CBE-89DC-F27EDBA9B821}" name="Tabella1" displayName="Tabella1" ref="C45:E50" totalsRowCount="1" headerRowDxfId="25" dataDxfId="24">
  <autoFilter ref="C45:E49" xr:uid="{DC187080-3C41-4CBE-89DC-F27EDBA9B821}"/>
  <tableColumns count="3">
    <tableColumn id="1" xr3:uid="{7D2D94B5-7A6A-48EE-BE68-07C4C5789DD7}" name="Ipotesi Reddito" totalsRowLabel="Totale" dataDxfId="23" dataCellStyle="Migliaia"/>
    <tableColumn id="2" xr3:uid="{553915F1-84A3-4B13-B786-9CF3AB20F1B8}" name="Probabilità 2025" totalsRowFunction="sum" dataDxfId="22" totalsRowDxfId="21" dataCellStyle="Percentuale"/>
    <tableColumn id="3" xr3:uid="{484265D4-8A4E-42C7-9F73-4FAAB765057F}" name="Probabilità 2026" totalsRowFunction="sum" dataDxfId="20" totalsRowDxfId="19" dataCellStyle="Percentuale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B98A2D9-BC71-4363-9FFE-0A12B3E23E53}" name="Tabella13" displayName="Tabella13" ref="H45:J50" totalsRowCount="1" headerRowDxfId="18" dataDxfId="17">
  <autoFilter ref="H45:J49" xr:uid="{2B98A2D9-BC71-4363-9FFE-0A12B3E23E53}"/>
  <tableColumns count="3">
    <tableColumn id="1" xr3:uid="{2041F90C-6D54-46A3-94A5-3534F9F111C8}" name="Ipotesi VdP" totalsRowLabel="Totale" dataDxfId="16" dataCellStyle="Migliaia"/>
    <tableColumn id="2" xr3:uid="{AE6C70B6-24DB-4135-AA6D-7FBA4C04B719}" name="Probabilità 2025" totalsRowFunction="sum" dataDxfId="15" totalsRowDxfId="14" dataCellStyle="Percentuale"/>
    <tableColumn id="3" xr3:uid="{5DA7940C-9E77-4C11-A486-88F63D0ED603}" name="Probabilità 2026" totalsRowFunction="sum" dataDxfId="13" totalsRowDxfId="12" dataCellStyle="Percentuale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ABB0D2F-78D7-4A99-86D7-F95354609D7F}" name="CoAteco" displayName="CoAteco" ref="A1:E1225" totalsRowShown="0">
  <autoFilter ref="A1:E1225" xr:uid="{AABB0D2F-78D7-4A99-86D7-F95354609D7F}"/>
  <tableColumns count="5">
    <tableColumn id="1" xr3:uid="{691611FE-DEFB-4C76-A8F5-BE9BE65BCC6A}" name="Ateco"/>
    <tableColumn id="2" xr3:uid="{4D27851A-79C9-4DF9-8F15-4CF6924C0984}" name="Descrizione"/>
    <tableColumn id="3" xr3:uid="{234FBF77-F628-4C70-B233-C9F4D94C73F3}" name="Limite 1" dataCellStyle="Migliaia"/>
    <tableColumn id="5" xr3:uid="{F6A4B7AA-D29B-475A-9191-AAA5D9DD0AAF}" name="Limite 2" dataDxfId="11" dataCellStyle="Migliaia"/>
    <tableColumn id="4" xr3:uid="{E48260AF-7B77-4FAC-8515-927E5E767853}" name="Coefficiente" dataDxfId="10" dataCellStyle="Percentuale"/>
  </tableColumns>
  <tableStyleInfo name="TableStyleLight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5D36DA9-0B66-430C-A3B1-3A4802AB3203}" name="Limiti" displayName="Limiti" ref="A3:H205" tableType="queryTable" totalsRowShown="0">
  <autoFilter ref="A3:H205" xr:uid="{D5D36DA9-0B66-430C-A3B1-3A4802AB3203}"/>
  <tableColumns count="8">
    <tableColumn id="1" xr3:uid="{56084724-8858-4064-8C43-F38A71FD9707}" uniqueName="1" name="Studi.Data.Column2" queryTableFieldId="1"/>
    <tableColumn id="2" xr3:uid="{BA3FED00-90F3-463F-BEEC-54DB3AF40463}" uniqueName="2" name="Tipologia reddito" queryTableFieldId="2"/>
    <tableColumn id="3" xr3:uid="{5E2788EB-9A8B-48B0-B46E-94D9D7BB4D61}" uniqueName="3" name="b_bench" queryTableFieldId="3"/>
    <tableColumn id="4" xr3:uid="{CE121F11-282F-4643-B147-6C01DA921933}" uniqueName="4" name="limite_sett" queryTableFieldId="4"/>
    <tableColumn id="5" xr3:uid="{C15A0A8C-F280-4A37-96C0-51237F6972AB}" uniqueName="5" name="rif_redd" queryTableFieldId="5"/>
    <tableColumn id="6" xr3:uid="{07726992-2ED3-4EE8-B3A5-5B7882C7DDBD}" uniqueName="6" name="Indice" queryTableFieldId="6"/>
    <tableColumn id="7" xr3:uid="{421849D2-BCC6-4860-891D-9EA6EB4266FD}" uniqueName="7" name="Studi.Personalizzato" queryTableFieldId="7"/>
    <tableColumn id="8" xr3:uid="{14F5BA74-0FFC-4A25-9C07-4536EE6532CF}" uniqueName="8" name="Colonna1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11E006D-7957-4865-99BD-622C2437440B}" name="Tabella4" displayName="Tabella4" ref="A2:E204" totalsRowShown="0" headerRowDxfId="9" dataDxfId="7" headerRowBorderDxfId="8" tableBorderDxfId="6" totalsRowBorderDxfId="5">
  <autoFilter ref="A2:E204" xr:uid="{111E006D-7957-4865-99BD-622C2437440B}"/>
  <tableColumns count="5">
    <tableColumn id="7" xr3:uid="{CB0DCD35-77ED-4E2E-9BEC-0987D7D781E7}" name="Studi.Personalizzato" dataDxfId="4"/>
    <tableColumn id="2" xr3:uid="{C8A6B9E3-8EEC-4D1D-9991-40B922CC4CB6}" name="Tipologia reddito" dataDxfId="3"/>
    <tableColumn id="3" xr3:uid="{474D46C5-FAF7-48BB-8BF9-824973D564F6}" name="b_bench" dataDxfId="2"/>
    <tableColumn id="4" xr3:uid="{667644BE-6A23-4270-88C7-3074FCC2C3AB}" name="limite_sett" dataDxfId="1"/>
    <tableColumn id="5" xr3:uid="{CBA9589A-DDAA-4A4B-A76F-B6287DD875EF}" name="rif_redd" dataDxfId="0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907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103836F5-107E-4B09-8978-F79D02FA30B7}">
  <we:reference id="wa200003696" version="1.3.0.0" store="it-IT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115A89-FC5F-4AED-8FB8-5109345D967F}">
  <sheetPr codeName="Foglio1"/>
  <dimension ref="D5:D42"/>
  <sheetViews>
    <sheetView topLeftCell="A4" workbookViewId="0">
      <selection activeCell="D32" sqref="D32"/>
    </sheetView>
  </sheetViews>
  <sheetFormatPr defaultRowHeight="15" x14ac:dyDescent="0.25"/>
  <sheetData>
    <row r="5" spans="4:4" x14ac:dyDescent="0.25">
      <c r="D5" t="s">
        <v>0</v>
      </c>
    </row>
    <row r="6" spans="4:4" x14ac:dyDescent="0.25">
      <c r="D6" t="s">
        <v>1</v>
      </c>
    </row>
    <row r="8" spans="4:4" x14ac:dyDescent="0.25">
      <c r="D8" t="s">
        <v>2</v>
      </c>
    </row>
    <row r="10" spans="4:4" x14ac:dyDescent="0.25">
      <c r="D10" t="s">
        <v>3</v>
      </c>
    </row>
    <row r="12" spans="4:4" x14ac:dyDescent="0.25">
      <c r="D12" t="s">
        <v>4</v>
      </c>
    </row>
    <row r="14" spans="4:4" x14ac:dyDescent="0.25">
      <c r="D14" t="s">
        <v>5</v>
      </c>
    </row>
    <row r="16" spans="4:4" x14ac:dyDescent="0.25">
      <c r="D16" t="s">
        <v>6</v>
      </c>
    </row>
    <row r="18" spans="4:4" x14ac:dyDescent="0.25">
      <c r="D18" t="s">
        <v>7</v>
      </c>
    </row>
    <row r="20" spans="4:4" x14ac:dyDescent="0.25">
      <c r="D20" t="s">
        <v>8</v>
      </c>
    </row>
    <row r="23" spans="4:4" x14ac:dyDescent="0.25">
      <c r="D23" t="s">
        <v>9</v>
      </c>
    </row>
    <row r="24" spans="4:4" x14ac:dyDescent="0.25">
      <c r="D24" t="s">
        <v>10</v>
      </c>
    </row>
    <row r="28" spans="4:4" x14ac:dyDescent="0.25">
      <c r="D28" t="s">
        <v>11</v>
      </c>
    </row>
    <row r="32" spans="4:4" x14ac:dyDescent="0.25">
      <c r="D32" t="s">
        <v>12</v>
      </c>
    </row>
    <row r="37" spans="4:4" x14ac:dyDescent="0.25">
      <c r="D37" t="s">
        <v>13</v>
      </c>
    </row>
    <row r="38" spans="4:4" x14ac:dyDescent="0.25">
      <c r="D38" t="s">
        <v>14</v>
      </c>
    </row>
    <row r="39" spans="4:4" x14ac:dyDescent="0.25">
      <c r="D39" t="s">
        <v>15</v>
      </c>
    </row>
    <row r="40" spans="4:4" x14ac:dyDescent="0.25">
      <c r="D40" t="s">
        <v>16</v>
      </c>
    </row>
    <row r="41" spans="4:4" x14ac:dyDescent="0.25">
      <c r="D41" t="s">
        <v>17</v>
      </c>
    </row>
    <row r="42" spans="4:4" x14ac:dyDescent="0.25">
      <c r="D42" t="s">
        <v>18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2717B-4AA1-41D3-9890-B83E231256B9}">
  <sheetPr codeName="Foglio2"/>
  <dimension ref="B1:AD102"/>
  <sheetViews>
    <sheetView showGridLines="0" showZeros="0" tabSelected="1" topLeftCell="B1" zoomScaleNormal="100" workbookViewId="0">
      <selection activeCell="K21" sqref="K21"/>
    </sheetView>
  </sheetViews>
  <sheetFormatPr defaultColWidth="0" defaultRowHeight="15" zeroHeight="1" x14ac:dyDescent="0.25"/>
  <cols>
    <col min="1" max="1" width="9.140625" hidden="1" customWidth="1"/>
    <col min="2" max="2" width="9.140625" customWidth="1"/>
    <col min="3" max="5" width="18" customWidth="1"/>
    <col min="6" max="6" width="9.140625" customWidth="1"/>
    <col min="7" max="7" width="24.140625" customWidth="1"/>
    <col min="8" max="9" width="17.85546875" customWidth="1"/>
    <col min="10" max="10" width="16.5703125" customWidth="1"/>
    <col min="11" max="11" width="24.140625" customWidth="1"/>
    <col min="12" max="12" width="9.42578125" customWidth="1"/>
    <col min="13" max="29" width="9.140625" customWidth="1"/>
    <col min="30" max="30" width="9.140625" style="12" hidden="1" customWidth="1"/>
    <col min="31" max="16384" width="9.140625" hidden="1"/>
  </cols>
  <sheetData>
    <row r="1" spans="2:30" ht="60.75" customHeight="1" x14ac:dyDescent="0.25"/>
    <row r="2" spans="2:30" x14ac:dyDescent="0.25"/>
    <row r="3" spans="2:30" x14ac:dyDescent="0.25"/>
    <row r="4" spans="2:30" x14ac:dyDescent="0.25">
      <c r="C4" s="3" t="s">
        <v>22</v>
      </c>
      <c r="E4" s="48"/>
      <c r="F4" s="48"/>
      <c r="G4" s="48"/>
      <c r="H4" s="48"/>
      <c r="I4" s="42" t="s">
        <v>2666</v>
      </c>
      <c r="J4" s="43" t="s">
        <v>2646</v>
      </c>
      <c r="K4" s="42" t="s">
        <v>2667</v>
      </c>
      <c r="L4" s="41">
        <f>+IFERROR(VLOOKUP(J4,CoAteco[],5,FALSE),"Inserire Ateco!")</f>
        <v>0.67</v>
      </c>
    </row>
    <row r="5" spans="2:30" x14ac:dyDescent="0.25">
      <c r="I5" s="44" t="str">
        <f>+IF(J4="","",VLOOKUP(J4,CoAteco[],2,0))</f>
        <v>Attività di sgombero di cantine, solai e garage</v>
      </c>
      <c r="J5" s="44"/>
      <c r="K5" s="44"/>
      <c r="AD5" s="12" t="str">
        <f>+IF($B$16=TRUE,"X","")</f>
        <v>X</v>
      </c>
    </row>
    <row r="6" spans="2:30" x14ac:dyDescent="0.25"/>
    <row r="7" spans="2:30" x14ac:dyDescent="0.25">
      <c r="C7" s="3" t="s">
        <v>23</v>
      </c>
      <c r="E7" s="23">
        <v>2</v>
      </c>
      <c r="F7" s="35" t="b">
        <v>1</v>
      </c>
      <c r="G7" s="33" t="s">
        <v>2678</v>
      </c>
      <c r="I7" s="16" t="s">
        <v>2715</v>
      </c>
      <c r="J7" s="24">
        <v>2</v>
      </c>
      <c r="K7" s="16" t="s">
        <v>2673</v>
      </c>
      <c r="L7" s="32">
        <f>+IF(J7&lt;6,0.15,IF(AND(J7&gt;=6,J7&lt;8),0.12,IF(AND(J7&gt;=8,J7&lt;=10),0.1,0)))</f>
        <v>0.15</v>
      </c>
      <c r="AD7" s="12" t="str">
        <f>+IF($B$19=TRUE,"X","")</f>
        <v>X</v>
      </c>
    </row>
    <row r="8" spans="2:30" x14ac:dyDescent="0.25">
      <c r="C8" s="3"/>
      <c r="E8" s="23">
        <v>1</v>
      </c>
      <c r="I8" s="16"/>
      <c r="K8" s="16"/>
      <c r="L8" s="32"/>
    </row>
    <row r="9" spans="2:30" x14ac:dyDescent="0.25">
      <c r="C9" s="3"/>
      <c r="E9" s="23"/>
      <c r="G9" s="33"/>
      <c r="I9" s="16"/>
      <c r="K9" s="16"/>
      <c r="L9" s="32"/>
    </row>
    <row r="10" spans="2:30" x14ac:dyDescent="0.25">
      <c r="B10" s="34" t="b">
        <v>1</v>
      </c>
      <c r="C10" s="51" t="s">
        <v>2704</v>
      </c>
      <c r="D10" s="51"/>
      <c r="E10" s="51"/>
      <c r="F10" s="51"/>
      <c r="G10" s="51"/>
      <c r="H10" s="51"/>
      <c r="I10" s="51"/>
      <c r="J10" s="29" t="str">
        <f>+IF(B10,"","Occorre dichiarare la presenza dei requisiti!")</f>
        <v/>
      </c>
    </row>
    <row r="11" spans="2:30" x14ac:dyDescent="0.25">
      <c r="C11" s="51"/>
      <c r="D11" s="51"/>
      <c r="E11" s="51"/>
      <c r="F11" s="51"/>
      <c r="G11" s="51"/>
      <c r="H11" s="51"/>
      <c r="I11" s="51"/>
    </row>
    <row r="12" spans="2:30" ht="11.25" customHeight="1" x14ac:dyDescent="0.25">
      <c r="B12" s="37"/>
      <c r="C12" s="37"/>
      <c r="D12" s="37"/>
      <c r="E12" s="37"/>
      <c r="F12" s="37"/>
      <c r="G12" s="37"/>
      <c r="H12" s="37"/>
      <c r="I12" s="37"/>
    </row>
    <row r="13" spans="2:30" ht="11.25" hidden="1" customHeight="1" x14ac:dyDescent="0.25">
      <c r="B13" s="34" t="b">
        <v>0</v>
      </c>
      <c r="C13" s="3" t="s">
        <v>2674</v>
      </c>
    </row>
    <row r="14" spans="2:30" x14ac:dyDescent="0.25">
      <c r="B14" s="34" t="b">
        <v>1</v>
      </c>
      <c r="C14" s="3" t="s">
        <v>2703</v>
      </c>
      <c r="J14" s="29" t="str">
        <f>+IF(B14,"","Occorre dichiarare la presenza dei requisiti!")</f>
        <v/>
      </c>
    </row>
    <row r="15" spans="2:30" ht="8.25" customHeight="1" x14ac:dyDescent="0.25">
      <c r="B15" s="3"/>
      <c r="C15" s="3"/>
      <c r="J15" s="29"/>
    </row>
    <row r="16" spans="2:30" x14ac:dyDescent="0.25">
      <c r="B16" s="34" t="b">
        <v>1</v>
      </c>
      <c r="C16" s="3" t="s">
        <v>20</v>
      </c>
    </row>
    <row r="17" spans="2:30" ht="15" customHeight="1" x14ac:dyDescent="0.25">
      <c r="C17" s="51" t="s">
        <v>19</v>
      </c>
      <c r="D17" s="51"/>
      <c r="E17" s="51"/>
      <c r="F17" s="51"/>
      <c r="G17" s="51"/>
      <c r="H17" s="51"/>
      <c r="I17" s="51"/>
      <c r="J17" s="29" t="str">
        <f>+IF(B16,"","Occorre dichiarare la presenza dei requisiti!")</f>
        <v/>
      </c>
    </row>
    <row r="18" spans="2:30" x14ac:dyDescent="0.25">
      <c r="C18" s="31"/>
      <c r="D18" s="31"/>
      <c r="E18" s="31"/>
      <c r="F18" s="31"/>
      <c r="G18" s="31"/>
      <c r="H18" s="31"/>
      <c r="I18" s="31"/>
    </row>
    <row r="19" spans="2:30" x14ac:dyDescent="0.25">
      <c r="B19" s="34" t="b">
        <v>1</v>
      </c>
      <c r="C19" s="47" t="s">
        <v>21</v>
      </c>
      <c r="D19" s="47"/>
      <c r="E19" s="2"/>
      <c r="F19" s="2"/>
      <c r="G19" s="2"/>
      <c r="H19" s="2"/>
    </row>
    <row r="20" spans="2:30" ht="15" customHeight="1" x14ac:dyDescent="0.25">
      <c r="C20" s="51" t="s">
        <v>2675</v>
      </c>
      <c r="D20" s="51"/>
      <c r="E20" s="51"/>
      <c r="F20" s="51"/>
      <c r="G20" s="51"/>
      <c r="H20" s="51"/>
      <c r="I20" s="51"/>
      <c r="J20" s="29" t="str">
        <f>+IF(B19,"","Occorre dichiarare la presenza dei requisiti!")</f>
        <v/>
      </c>
    </row>
    <row r="21" spans="2:30" ht="78.75" customHeight="1" x14ac:dyDescent="0.25">
      <c r="C21" s="51"/>
      <c r="D21" s="51"/>
      <c r="E21" s="51"/>
      <c r="F21" s="51"/>
      <c r="G21" s="51"/>
      <c r="H21" s="51"/>
      <c r="I21" s="51"/>
      <c r="J21" s="38"/>
      <c r="K21">
        <f>9%*85000*2</f>
        <v>15300</v>
      </c>
    </row>
    <row r="22" spans="2:30" x14ac:dyDescent="0.25">
      <c r="C22" s="2"/>
      <c r="D22" s="2"/>
      <c r="E22" s="2"/>
      <c r="F22" s="2"/>
      <c r="G22" s="2"/>
      <c r="H22" s="2"/>
    </row>
    <row r="23" spans="2:30" x14ac:dyDescent="0.25">
      <c r="C23" s="22" t="s">
        <v>2668</v>
      </c>
      <c r="D23" s="2"/>
      <c r="E23" s="2"/>
      <c r="F23" s="2"/>
      <c r="G23" s="2"/>
      <c r="H23" s="2"/>
      <c r="I23" s="25">
        <v>34412</v>
      </c>
    </row>
    <row r="24" spans="2:30" x14ac:dyDescent="0.25">
      <c r="C24" s="2"/>
      <c r="D24" s="2"/>
      <c r="E24" s="2"/>
      <c r="F24" s="2"/>
      <c r="G24" s="2"/>
      <c r="H24" s="2"/>
      <c r="K24" s="14"/>
    </row>
    <row r="25" spans="2:30" x14ac:dyDescent="0.25">
      <c r="C25" s="22" t="s">
        <v>2669</v>
      </c>
      <c r="I25" s="25">
        <v>21099</v>
      </c>
    </row>
    <row r="26" spans="2:30" x14ac:dyDescent="0.25">
      <c r="K26" s="14"/>
      <c r="AD26" s="12" t="str">
        <f>+IF(B81=TRUE,"X","")</f>
        <v>X</v>
      </c>
    </row>
    <row r="27" spans="2:30" x14ac:dyDescent="0.25">
      <c r="H27" s="17">
        <v>2025</v>
      </c>
      <c r="I27" s="17">
        <v>2026</v>
      </c>
      <c r="O27" s="1"/>
    </row>
    <row r="28" spans="2:30" x14ac:dyDescent="0.25">
      <c r="C28" t="s">
        <v>24</v>
      </c>
      <c r="H28" s="26">
        <v>1000000</v>
      </c>
      <c r="I28" s="26">
        <v>1000000</v>
      </c>
      <c r="J28" s="13"/>
    </row>
    <row r="29" spans="2:30" x14ac:dyDescent="0.25">
      <c r="C29" t="s">
        <v>25</v>
      </c>
      <c r="H29" s="26">
        <v>1000000</v>
      </c>
      <c r="I29" s="26">
        <v>1000000</v>
      </c>
      <c r="J29" s="13"/>
      <c r="K29" s="14"/>
    </row>
    <row r="30" spans="2:30" x14ac:dyDescent="0.25">
      <c r="C30" s="3" t="str">
        <f>+IF(F7,"Incremento di reddito e VDP oltre il quale conviene il CPB","")</f>
        <v>Incremento di reddito e VDP oltre il quale conviene il CPB</v>
      </c>
      <c r="H30" s="13">
        <f>+$F$7*($F$32*(H28-$I$23)+0.039*(H29-$I$25))/0.279</f>
        <v>655968.95698924712</v>
      </c>
      <c r="I30" s="13">
        <f>+$F$7*($F$32*(I28-$I$23)+0.039*(I29-$I$25))/0.279</f>
        <v>655968.95698924712</v>
      </c>
      <c r="J30" s="13"/>
      <c r="K30" s="14"/>
    </row>
    <row r="31" spans="2:30" x14ac:dyDescent="0.25">
      <c r="G31" s="16" t="str">
        <f>+IF(F7,"∆%","")</f>
        <v>∆%</v>
      </c>
      <c r="H31" s="5">
        <f>+H30/I23</f>
        <v>19.062215418727394</v>
      </c>
      <c r="I31" s="5">
        <f>+I30/I23</f>
        <v>19.062215418727394</v>
      </c>
      <c r="AD31" s="12" t="str">
        <f>+IF($E$7=1,IF($B$16=TRUE,"X",""),"")</f>
        <v/>
      </c>
    </row>
    <row r="32" spans="2:30" x14ac:dyDescent="0.25">
      <c r="B32" s="34" t="b">
        <v>1</v>
      </c>
      <c r="C32" s="30" t="s">
        <v>2672</v>
      </c>
      <c r="F32" s="45">
        <f>+L7*B32</f>
        <v>0.15</v>
      </c>
      <c r="J32" s="14"/>
    </row>
    <row r="33" spans="3:30" x14ac:dyDescent="0.25">
      <c r="H33" t="s">
        <v>2713</v>
      </c>
    </row>
    <row r="34" spans="3:30" hidden="1" x14ac:dyDescent="0.25">
      <c r="AD34" s="12" t="str">
        <f>+IF(E7=1,IF($B$19=TRUE,"X",""),"")</f>
        <v/>
      </c>
    </row>
    <row r="39" spans="3:30" hidden="1" x14ac:dyDescent="0.25">
      <c r="AD39" s="12" t="str">
        <f>IF($E$7=1,$H$28,"")</f>
        <v/>
      </c>
    </row>
    <row r="44" spans="3:30" x14ac:dyDescent="0.25"/>
    <row r="45" spans="3:30" x14ac:dyDescent="0.25">
      <c r="C45" t="s">
        <v>2676</v>
      </c>
      <c r="D45" t="s">
        <v>236</v>
      </c>
      <c r="E45" t="s">
        <v>2714</v>
      </c>
      <c r="H45" t="s">
        <v>2677</v>
      </c>
      <c r="I45" t="s">
        <v>236</v>
      </c>
      <c r="J45" t="s">
        <v>2714</v>
      </c>
    </row>
    <row r="46" spans="3:30" x14ac:dyDescent="0.25">
      <c r="C46" s="25">
        <v>50000</v>
      </c>
      <c r="D46" s="28">
        <v>1</v>
      </c>
      <c r="E46" s="28"/>
      <c r="H46" s="25">
        <v>50000</v>
      </c>
      <c r="I46" s="28">
        <v>1</v>
      </c>
      <c r="J46" s="28"/>
    </row>
    <row r="47" spans="3:30" x14ac:dyDescent="0.25">
      <c r="C47" s="27">
        <v>80000</v>
      </c>
      <c r="D47" s="28"/>
      <c r="E47" s="28">
        <v>1</v>
      </c>
      <c r="H47" s="27">
        <v>80000</v>
      </c>
      <c r="I47" s="28"/>
      <c r="J47" s="28">
        <v>1</v>
      </c>
    </row>
    <row r="48" spans="3:30" x14ac:dyDescent="0.25">
      <c r="C48" s="27"/>
      <c r="D48" s="28"/>
      <c r="E48" s="28"/>
      <c r="H48" s="27"/>
      <c r="I48" s="28"/>
      <c r="J48" s="28"/>
    </row>
    <row r="49" spans="3:10" x14ac:dyDescent="0.25">
      <c r="C49" s="27"/>
      <c r="D49" s="28"/>
      <c r="E49" s="28"/>
      <c r="H49" s="27"/>
      <c r="I49" s="28"/>
      <c r="J49" s="28"/>
    </row>
    <row r="50" spans="3:10" x14ac:dyDescent="0.25">
      <c r="C50" t="s">
        <v>29</v>
      </c>
      <c r="D50" s="39">
        <f>SUBTOTAL(109,Tabella1[Probabilità 2025])</f>
        <v>1</v>
      </c>
      <c r="E50" s="39">
        <f>SUBTOTAL(109,Tabella1[Probabilità 2026])</f>
        <v>1</v>
      </c>
      <c r="H50" t="s">
        <v>29</v>
      </c>
      <c r="I50" s="39">
        <f>SUBTOTAL(109,Tabella13[Probabilità 2025])</f>
        <v>1</v>
      </c>
      <c r="J50" s="39">
        <f>SUBTOTAL(109,Tabella13[Probabilità 2026])</f>
        <v>1</v>
      </c>
    </row>
    <row r="51" spans="3:10" x14ac:dyDescent="0.25"/>
    <row r="52" spans="3:10" x14ac:dyDescent="0.25">
      <c r="D52" s="18">
        <v>2025</v>
      </c>
      <c r="E52" s="18">
        <v>2026</v>
      </c>
      <c r="I52" s="18">
        <v>2025</v>
      </c>
      <c r="J52" s="18">
        <v>2026</v>
      </c>
    </row>
    <row r="53" spans="3:10" x14ac:dyDescent="0.25">
      <c r="C53" s="3" t="s">
        <v>30</v>
      </c>
      <c r="D53" s="19">
        <f>+SUMPRODUCT(Tabella1[Ipotesi Reddito],Tabella1[Probabilità 2025])</f>
        <v>50000</v>
      </c>
      <c r="E53" s="19">
        <f>+SUMPRODUCT(Tabella1[Ipotesi Reddito],Tabella1[Probabilità 2026])</f>
        <v>80000</v>
      </c>
      <c r="G53" s="49" t="s">
        <v>2670</v>
      </c>
      <c r="H53" s="50"/>
      <c r="I53" s="20">
        <f>+SUMPRODUCT(Tabella13[Ipotesi VdP],Tabella13[Probabilità 2025])</f>
        <v>50000</v>
      </c>
      <c r="J53" s="20">
        <f>+SUMPRODUCT(Tabella13[Ipotesi VdP],Tabella13[Probabilità 2026])</f>
        <v>80000</v>
      </c>
    </row>
    <row r="54" spans="3:10" x14ac:dyDescent="0.25">
      <c r="D54" s="6"/>
      <c r="E54" s="6"/>
    </row>
    <row r="55" spans="3:10" x14ac:dyDescent="0.25">
      <c r="C55" s="3" t="s">
        <v>31</v>
      </c>
      <c r="D55" s="20">
        <f>+IF($F$7,0.24*D53,Irpef(D53))</f>
        <v>12000</v>
      </c>
      <c r="E55" s="20">
        <f>+IF($F$7,0.24*E53,Irpef(E53))</f>
        <v>19200</v>
      </c>
      <c r="G55" s="49" t="s">
        <v>32</v>
      </c>
      <c r="H55" s="50"/>
      <c r="I55" s="20">
        <f>+I53*3.9%</f>
        <v>1950</v>
      </c>
      <c r="J55" s="20">
        <f>+J53*3.9%</f>
        <v>3120</v>
      </c>
    </row>
    <row r="56" spans="3:10" x14ac:dyDescent="0.25">
      <c r="C56" s="3"/>
    </row>
    <row r="57" spans="3:10" x14ac:dyDescent="0.25">
      <c r="C57" s="3" t="s">
        <v>2706</v>
      </c>
      <c r="H57" s="17">
        <v>2025</v>
      </c>
      <c r="I57" s="17">
        <v>2026</v>
      </c>
      <c r="J57" s="17" t="s">
        <v>29</v>
      </c>
    </row>
    <row r="58" spans="3:10" x14ac:dyDescent="0.25">
      <c r="C58" t="s">
        <v>26</v>
      </c>
      <c r="H58" s="21">
        <f>+IFERROR(
IF(
(IF($E$7=2,
IF($B$32,(H$28-$I$23)*$L$7,0),(H$28-$I$23)*IF($B$13,3%,10%)))
&lt;0,0,(IF($E$7=2,
IF($B$32,(H$28-$I$23)*$L$7,0),(H$28-$I$23)*IF($B$13,3%,10%)))),0)</f>
        <v>144838.19999999998</v>
      </c>
      <c r="I58" s="21">
        <f>+IFERROR(
IF(
(IF($E$7=2,
IF($B$32,(I$28-$I$23)*$L$7,0),(I$28-$I$23)*IF($B$13,3%,10%)))
&lt;0,0,(IF($E$7=2,
IF($B$32,(I$28-$I$23)*$L$7,0),(I$28-$I$23)*IF($B$13,3%,10%)))),0)</f>
        <v>144838.19999999998</v>
      </c>
      <c r="J58" s="21">
        <f>+SUM(H58:I58)</f>
        <v>289676.39999999997</v>
      </c>
    </row>
    <row r="59" spans="3:10" x14ac:dyDescent="0.25">
      <c r="C59" t="s">
        <v>27</v>
      </c>
      <c r="H59" s="21">
        <f>IF(
(IF($E$7=1,0,IF($B$32,0,
IF($F$7,0.24*(H$28-$I$23),Irpef(H$28)-Irpef($I$23)))))&lt;0,0,
IF($E$7=1,0,IF($B$32,0,
IF($F$7,0.24*(H$28-$I$23),Irpef(H$28)-Irpef($I$23)))))</f>
        <v>0</v>
      </c>
      <c r="I59" s="21">
        <f>IF(
(IF($E$7=1,0,IF($B$32,0,
IF($F$7,0.24*(I$28-$I$23),Irpef(I$28)-Irpef($I$23)))))&lt;0,0,
IF($E$7=1,0,IF($B$32,0,
IF($F$7,0.24*(I$28-$I$23),Irpef(I$28)-Irpef($I$23)))))</f>
        <v>0</v>
      </c>
      <c r="J59" s="21">
        <f t="shared" ref="J59" si="0">+SUM(H59:I59)</f>
        <v>0</v>
      </c>
    </row>
    <row r="60" spans="3:10" x14ac:dyDescent="0.25">
      <c r="C60" t="s">
        <v>28</v>
      </c>
      <c r="H60" s="21">
        <f>IF((IF($E$7=1,0,(H$29-$I$25)*3.9%))&lt;0,0,(IF($E$7=1,0,(H$29-$I$25)*3.9%)))</f>
        <v>38177.139000000003</v>
      </c>
      <c r="I60" s="21">
        <f>IF((IF($E$7=1,0,(I$29-$I$25)*3.9%))&lt;0,0,(IF($E$7=1,0,(I$29-$I$25)*3.9%)))</f>
        <v>38177.139000000003</v>
      </c>
      <c r="J60" s="21">
        <f>+SUM(H60:I60)</f>
        <v>76354.278000000006</v>
      </c>
    </row>
    <row r="61" spans="3:10" x14ac:dyDescent="0.25">
      <c r="H61" s="14"/>
      <c r="I61" s="14"/>
      <c r="J61" s="40">
        <f>+SUM(J58:J60)</f>
        <v>366030.67799999996</v>
      </c>
    </row>
    <row r="62" spans="3:10" ht="8.25" customHeight="1" x14ac:dyDescent="0.25">
      <c r="H62" s="14"/>
      <c r="I62" s="14"/>
      <c r="J62" s="14"/>
    </row>
    <row r="63" spans="3:10" x14ac:dyDescent="0.25">
      <c r="H63" s="14"/>
      <c r="I63" s="14"/>
      <c r="J63" s="14"/>
    </row>
    <row r="64" spans="3:10" x14ac:dyDescent="0.25">
      <c r="C64" s="3" t="s">
        <v>2707</v>
      </c>
      <c r="H64" s="17">
        <v>2025</v>
      </c>
      <c r="I64" s="17">
        <v>2026</v>
      </c>
      <c r="J64" s="17" t="s">
        <v>29</v>
      </c>
    </row>
    <row r="65" spans="3:10" x14ac:dyDescent="0.25">
      <c r="C65" t="s">
        <v>2709</v>
      </c>
      <c r="H65" s="21" cm="1">
        <f t="array" ref="H65">+IFERROR(
IF(
(IF($E$7=2,
IF($B$32,(IF(H$28-$I$23&gt;0,H$28-$I$23,0)*$L$7+IF($F$7,0.24*IF($I$23&gt;H$28,H$28,$I$23),Irpef(IF($I$23&gt;H$28,H$28,$I$23))))-IF($F$7,0.24*D$53,Irpef(D$53)),0),""))
&lt;0,0,
(IF($E$7=2,
IF($B$32,(IF(H$28-$I$23&gt;0,H$28-$I$23,0)*$L$7+IF($F$7,0.24*IF($I$23&gt;H$28,H$28,$I$23),Irpef(IF($I$23&gt;H$28,H$28,$I$23))))-IF($F$7,0.24*D$53,Irpef(D$53)),0),""))
),0)</f>
        <v>141097.07999999999</v>
      </c>
      <c r="I65" s="21" cm="1">
        <f t="array" ref="I65">+IFERROR(
IF(
(IF($E$7=2,
IF($B$32,(IF(I$28-$I$23&gt;0,I$28-$I$23,0)*$L$7+IF($F$7,0.24*IF($I$23&gt;I$28,I$28,$I$23),Irpef(IF($I$23&gt;I$28,I$28,$I$23))))-IF($F$7,0.24*E$53,Irpef(E$53)),0),""))
&lt;0,0,
(IF($E$7=2,
IF($B$32,(IF(I$28-$I$23&gt;0,I$28-$I$23,0)*$L$7+IF($F$7,0.24*IF($I$23&gt;I$28,I$28,$I$23),Irpef(IF($I$23&gt;I$28,I$28,$I$23))))-IF($F$7,0.24*E$53,Irpef(E$53)),0),""))
),0)</f>
        <v>133897.07999999999</v>
      </c>
      <c r="J65" s="21">
        <f>+SUM(H65:I65)</f>
        <v>274994.15999999997</v>
      </c>
    </row>
    <row r="66" spans="3:10" x14ac:dyDescent="0.25">
      <c r="C66" t="s">
        <v>2710</v>
      </c>
      <c r="H66" s="21">
        <f>IF($B$32,0,IF(
IF($F$7,0.24*(H$28-D$53),Irpef(H$28)-Irpef(D$53))&lt;0,0,
IF($F$7,0.24*(H$28-D$53),Irpef(H$28)-Irpef(D$53))))</f>
        <v>0</v>
      </c>
      <c r="I66" s="21">
        <f>IF($B$32,0,IF(
IF($F$7,0.24*(I$28-E$53),Irpef(I$28)-Irpef(E$53))&lt;0,0,
IF($F$7,0.24*(I$28-E$53),Irpef(I$28)-Irpef(E$53))))</f>
        <v>0</v>
      </c>
      <c r="J66" s="21">
        <f t="shared" ref="J66:J67" si="1">+SUM(H66:I66)</f>
        <v>0</v>
      </c>
    </row>
    <row r="67" spans="3:10" x14ac:dyDescent="0.25">
      <c r="C67" t="s">
        <v>28</v>
      </c>
      <c r="H67" s="21">
        <f>+IF((IF($E$7=1,0,(H29*3.9%)-I55))&lt;0,0,(IF($E$7=1,0,(H29*3.9%)-I55)))</f>
        <v>37050</v>
      </c>
      <c r="I67" s="21">
        <f>+IF((IF($E$7=1,0,(I29*3.9%)-J55))&lt;0,0,(IF($E$7=1,0,(I29*3.9%)-J55)))</f>
        <v>35880</v>
      </c>
      <c r="J67" s="21">
        <f t="shared" si="1"/>
        <v>72930</v>
      </c>
    </row>
    <row r="68" spans="3:10" x14ac:dyDescent="0.25">
      <c r="J68" s="14">
        <f>+SUM(J65:J67)</f>
        <v>347924.16</v>
      </c>
    </row>
    <row r="69" spans="3:10" ht="5.25" customHeight="1" x14ac:dyDescent="0.25">
      <c r="J69" s="14"/>
    </row>
    <row r="70" spans="3:10" x14ac:dyDescent="0.25">
      <c r="C70" s="3" t="s">
        <v>2708</v>
      </c>
      <c r="H70" s="17">
        <v>2025</v>
      </c>
      <c r="I70" s="17">
        <v>2026</v>
      </c>
      <c r="J70" s="17" t="s">
        <v>29</v>
      </c>
    </row>
    <row r="71" spans="3:10" x14ac:dyDescent="0.25">
      <c r="C71" t="s">
        <v>2711</v>
      </c>
      <c r="H71" s="21" cm="1">
        <f t="array" ref="H71">+IFERROR(
IF(
(IF($E$7=2,
IF($B$32,IF($F$7,0.24*D$53,Irpef(D$53))-(IF(H$28-$I$23&gt;0,H$28-$I$23,0)*$L$7+IF($F$7,0.24*IF($I$23&gt;H$28,H$28,$I$23),Irpef(IF($I$23&gt;H$28,H$28,$I$23)))),0),""))
&lt;0,0,
(IF($E$7=2,
IF($B$32,IF($F$7,0.24*D$53,Irpef(D$53))-(IF(H$28-$I$23&gt;0,H$28-$I$23,0)*$L$7+IF($F$7,0.24*IF($I$23&gt;H$28,H$28,$I$23),Irpef(IF($I$23&gt;H$28,H$28,$I$23)))),0),""))
),0)</f>
        <v>0</v>
      </c>
      <c r="I71" s="21" cm="1">
        <f t="array" ref="I71">+IFERROR(
IF(
(IF($E$7=2,
IF($B$32,IF($F$7,0.24*E$53,Irpef(E$53))-(IF(I$28-$I$23&gt;0,I$28-$I$23,0)*$L$7+IF($F$7,0.24*IF($I$23&gt;I$28,I$28,$I$23),Irpef(IF($I$23&gt;I$28,I$28,$I$23)))),0),""))
&lt;0,0,
(IF($E$7=2,
IF($B$32,IF($F$7,0.24*E$53,Irpef(E$53))-(IF(I$28-$I$23&gt;0,I$28-$I$23,0)*$L$7+IF($F$7,0.24*IF($I$23&gt;I$28,I$28,$I$23),Irpef(IF($I$23&gt;I$28,I$28,$I$23)))),0),""))
),0)</f>
        <v>0</v>
      </c>
      <c r="J71" s="21"/>
    </row>
    <row r="72" spans="3:10" x14ac:dyDescent="0.25">
      <c r="C72" t="s">
        <v>2712</v>
      </c>
      <c r="H72" s="21">
        <f>IF($B$32,0,IF(
IF($F$7,0.24*(D$53-H$28),Irpef(D$53)-Irpef(H$28))&lt;0,0,
IF($F$7,0.24*(D$53-H$28),Irpef(D$53)-Irpef(H$28))))</f>
        <v>0</v>
      </c>
      <c r="I72" s="21">
        <f>IF($B$32,0,IF(
IF($F$7,0.24*(E$53-I$28),Irpef(E$53)-Irpef(I$28))&lt;0,0,
IF($F$7,0.24*(E$53-I$28),Irpef(E$53)-Irpef(I$28))))</f>
        <v>0</v>
      </c>
      <c r="J72" s="21">
        <f t="shared" ref="J72" si="2">+SUM(H72:I72)</f>
        <v>0</v>
      </c>
    </row>
    <row r="73" spans="3:10" x14ac:dyDescent="0.25">
      <c r="C73" t="s">
        <v>2705</v>
      </c>
      <c r="H73" s="21">
        <f>IF(((I$53-H$29)*3.9%)&lt;0,0,((I$53-H$29)*3.9%))</f>
        <v>0</v>
      </c>
      <c r="I73" s="21">
        <f>IF(((J$53-I$29)*3.9%)&lt;0,0,((J$53-I$29)*3.9%))</f>
        <v>0</v>
      </c>
      <c r="J73" s="21">
        <f>+SUM(H73:I73)</f>
        <v>0</v>
      </c>
    </row>
    <row r="74" spans="3:10" x14ac:dyDescent="0.25">
      <c r="J74" s="14">
        <f>+SUM(J71:J73)</f>
        <v>0</v>
      </c>
    </row>
    <row r="75" spans="3:10" x14ac:dyDescent="0.25"/>
    <row r="76" spans="3:10" ht="15" customHeight="1" x14ac:dyDescent="0.25">
      <c r="C76" s="46" t="str">
        <f>IFERROR("L'adesione al concordato preventivo biennale comporta un "
&amp;"maggior "
&amp;" costo di "
&amp;TEXT(SUM(J61),"#.##0,00;#.##0,00")
&amp;" rispetto a quanto dichiarato nel primo periodo di imposta antecedente."&amp;CHAR(10)&amp;" Se si considerano le ipotesi ponderate, il concordato ha un "
&amp;IF(J68&gt;J74,"maggior ","minor ")
&amp;"costo rispetto alla previsione di "
&amp;IF(J68&gt;J74,TEXT(J68,"#.##0,00;#.##0,00"),TEXT(J74,"#.##0,00;#.##0,00"))&amp;".","")</f>
        <v>L'adesione al concordato preventivo biennale comporta un maggior  costo di 366.030,68 rispetto a quanto dichiarato nel primo periodo di imposta antecedente.
 Se si considerano le ipotesi ponderate, il concordato ha un maggior costo rispetto alla previsione di 347.924,16.</v>
      </c>
      <c r="D76" s="46"/>
      <c r="E76" s="46"/>
      <c r="F76" s="46"/>
      <c r="G76" s="46"/>
      <c r="H76" s="46"/>
      <c r="I76" s="46"/>
      <c r="J76" s="46"/>
    </row>
    <row r="77" spans="3:10" x14ac:dyDescent="0.25">
      <c r="C77" s="46"/>
      <c r="D77" s="46"/>
      <c r="E77" s="46"/>
      <c r="F77" s="46"/>
      <c r="G77" s="46"/>
      <c r="H77" s="46"/>
      <c r="I77" s="46"/>
      <c r="J77" s="46"/>
    </row>
    <row r="78" spans="3:10" x14ac:dyDescent="0.25">
      <c r="C78" s="46"/>
      <c r="D78" s="46"/>
      <c r="E78" s="46"/>
      <c r="F78" s="46"/>
      <c r="G78" s="46"/>
      <c r="H78" s="46"/>
      <c r="I78" s="46"/>
      <c r="J78" s="46"/>
    </row>
    <row r="79" spans="3:10" x14ac:dyDescent="0.25">
      <c r="C79" s="46"/>
      <c r="D79" s="46"/>
      <c r="E79" s="46"/>
      <c r="F79" s="46"/>
      <c r="G79" s="46"/>
      <c r="H79" s="46"/>
      <c r="I79" s="46"/>
      <c r="J79" s="46"/>
    </row>
    <row r="80" spans="3:10" x14ac:dyDescent="0.25"/>
    <row r="81" spans="2:4" x14ac:dyDescent="0.25">
      <c r="B81" s="23" t="b">
        <v>1</v>
      </c>
      <c r="C81" s="3" t="s">
        <v>2671</v>
      </c>
    </row>
    <row r="82" spans="2:4" x14ac:dyDescent="0.25"/>
    <row r="83" spans="2:4" x14ac:dyDescent="0.25"/>
    <row r="84" spans="2:4" x14ac:dyDescent="0.25"/>
    <row r="85" spans="2:4" hidden="1" x14ac:dyDescent="0.25">
      <c r="B85" t="s">
        <v>33</v>
      </c>
      <c r="D85" t="s">
        <v>43</v>
      </c>
    </row>
    <row r="86" spans="2:4" hidden="1" x14ac:dyDescent="0.25">
      <c r="B86" t="s">
        <v>34</v>
      </c>
      <c r="D86" t="s">
        <v>44</v>
      </c>
    </row>
    <row r="87" spans="2:4" hidden="1" x14ac:dyDescent="0.25">
      <c r="B87" t="s">
        <v>35</v>
      </c>
      <c r="D87" t="s">
        <v>45</v>
      </c>
    </row>
    <row r="88" spans="2:4" hidden="1" x14ac:dyDescent="0.25">
      <c r="B88" t="s">
        <v>36</v>
      </c>
      <c r="D88" t="s">
        <v>46</v>
      </c>
    </row>
    <row r="89" spans="2:4" hidden="1" x14ac:dyDescent="0.25">
      <c r="B89" t="s">
        <v>37</v>
      </c>
      <c r="D89" t="s">
        <v>47</v>
      </c>
    </row>
    <row r="90" spans="2:4" hidden="1" x14ac:dyDescent="0.25">
      <c r="B90" t="s">
        <v>38</v>
      </c>
    </row>
    <row r="91" spans="2:4" hidden="1" x14ac:dyDescent="0.25">
      <c r="B91" t="s">
        <v>39</v>
      </c>
    </row>
    <row r="92" spans="2:4" hidden="1" x14ac:dyDescent="0.25">
      <c r="B92" t="s">
        <v>40</v>
      </c>
    </row>
    <row r="93" spans="2:4" hidden="1" x14ac:dyDescent="0.25">
      <c r="B93" t="s">
        <v>41</v>
      </c>
    </row>
    <row r="94" spans="2:4" hidden="1" x14ac:dyDescent="0.25">
      <c r="B94" t="s">
        <v>42</v>
      </c>
    </row>
    <row r="95" spans="2:4" x14ac:dyDescent="0.25"/>
    <row r="96" spans="2:4" x14ac:dyDescent="0.25"/>
    <row r="97" x14ac:dyDescent="0.25"/>
    <row r="98" x14ac:dyDescent="0.25"/>
    <row r="99" x14ac:dyDescent="0.25"/>
    <row r="100" x14ac:dyDescent="0.25"/>
    <row r="101" x14ac:dyDescent="0.25"/>
    <row r="102" x14ac:dyDescent="0.25"/>
  </sheetData>
  <sheetProtection formatCells="0" formatColumns="0" formatRows="0" selectLockedCells="1"/>
  <mergeCells count="8">
    <mergeCell ref="C76:J79"/>
    <mergeCell ref="C19:D19"/>
    <mergeCell ref="E4:H4"/>
    <mergeCell ref="G55:H55"/>
    <mergeCell ref="G53:H53"/>
    <mergeCell ref="C20:I21"/>
    <mergeCell ref="C17:I17"/>
    <mergeCell ref="C10:I11"/>
  </mergeCells>
  <phoneticPr fontId="4" type="noConversion"/>
  <conditionalFormatting sqref="D50:E50">
    <cfRule type="cellIs" dxfId="29" priority="5" operator="notEqual">
      <formula>1</formula>
    </cfRule>
  </conditionalFormatting>
  <conditionalFormatting sqref="I50:J50">
    <cfRule type="cellIs" dxfId="28" priority="4" operator="notEqual">
      <formula>1</formula>
    </cfRule>
  </conditionalFormatting>
  <conditionalFormatting sqref="C76">
    <cfRule type="expression" dxfId="27" priority="1">
      <formula>IF($J$68&gt;$J$74,TRUE,FALSE)</formula>
    </cfRule>
    <cfRule type="expression" dxfId="26" priority="6">
      <formula>IF($J$74&gt;$J$68,TRUE,FALSE)</formula>
    </cfRule>
  </conditionalFormatting>
  <dataValidations disablePrompts="1" count="1">
    <dataValidation type="list" allowBlank="1" showInputMessage="1" showErrorMessage="1" sqref="B19 B32 F7 B13" xr:uid="{AAB3D1C4-7189-4E4B-9548-AAD3D9DDFE3C}">
      <formula1>"VERO,FALSO"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Option Button 3">
              <controlPr defaultSize="0" autoFill="0" autoLine="0" autoPict="0">
                <anchor moveWithCells="1">
                  <from>
                    <xdr:col>3</xdr:col>
                    <xdr:colOff>1028700</xdr:colOff>
                    <xdr:row>6</xdr:row>
                    <xdr:rowOff>0</xdr:rowOff>
                  </from>
                  <to>
                    <xdr:col>4</xdr:col>
                    <xdr:colOff>1181100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Check Box 10">
              <controlPr defaultSize="0" autoFill="0" autoLine="0" autoPict="0">
                <anchor moveWithCells="1">
                  <from>
                    <xdr:col>1</xdr:col>
                    <xdr:colOff>342900</xdr:colOff>
                    <xdr:row>79</xdr:row>
                    <xdr:rowOff>180975</xdr:rowOff>
                  </from>
                  <to>
                    <xdr:col>1</xdr:col>
                    <xdr:colOff>561975</xdr:colOff>
                    <xdr:row>81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2">
    <tablePart r:id="rId6"/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FFAB4787-40D6-49FB-B039-BF75FE446F38}">
          <x14:formula1>
            <xm:f>Ateco!$A$2:$A$10000</xm:f>
          </x14:formula1>
          <xm:sqref>J4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23F691-E37A-4262-805B-081DEA048FB9}">
  <sheetPr codeName="Foglio5"/>
  <dimension ref="A1:E1225"/>
  <sheetViews>
    <sheetView workbookViewId="0">
      <selection activeCell="D1" sqref="D1"/>
    </sheetView>
  </sheetViews>
  <sheetFormatPr defaultRowHeight="15" x14ac:dyDescent="0.25"/>
  <cols>
    <col min="1" max="1" width="8.42578125" bestFit="1" customWidth="1"/>
    <col min="2" max="2" width="60.28515625" customWidth="1"/>
    <col min="3" max="3" width="10.5703125" bestFit="1" customWidth="1"/>
    <col min="4" max="4" width="11.5703125" bestFit="1" customWidth="1"/>
    <col min="5" max="5" width="14.7109375" bestFit="1" customWidth="1"/>
  </cols>
  <sheetData>
    <row r="1" spans="1:5" x14ac:dyDescent="0.25">
      <c r="A1" t="s">
        <v>237</v>
      </c>
      <c r="B1" t="s">
        <v>238</v>
      </c>
      <c r="C1" s="15" t="s">
        <v>239</v>
      </c>
      <c r="D1" s="15" t="s">
        <v>240</v>
      </c>
      <c r="E1" t="s">
        <v>241</v>
      </c>
    </row>
    <row r="2" spans="1:5" x14ac:dyDescent="0.25">
      <c r="A2" t="s">
        <v>242</v>
      </c>
      <c r="B2" t="s">
        <v>243</v>
      </c>
      <c r="C2" s="4">
        <v>85000</v>
      </c>
      <c r="D2" s="4">
        <v>100000</v>
      </c>
      <c r="E2" s="5">
        <v>0.67</v>
      </c>
    </row>
    <row r="3" spans="1:5" x14ac:dyDescent="0.25">
      <c r="A3" t="s">
        <v>244</v>
      </c>
      <c r="B3" t="s">
        <v>245</v>
      </c>
      <c r="C3" s="4">
        <v>85000</v>
      </c>
      <c r="D3" s="4">
        <v>100000</v>
      </c>
      <c r="E3" s="5">
        <v>0.67</v>
      </c>
    </row>
    <row r="4" spans="1:5" x14ac:dyDescent="0.25">
      <c r="A4" t="s">
        <v>246</v>
      </c>
      <c r="B4" t="s">
        <v>247</v>
      </c>
      <c r="C4" s="4">
        <v>85000</v>
      </c>
      <c r="D4" s="4">
        <v>100000</v>
      </c>
      <c r="E4" s="5">
        <v>0.67</v>
      </c>
    </row>
    <row r="5" spans="1:5" x14ac:dyDescent="0.25">
      <c r="A5" t="s">
        <v>248</v>
      </c>
      <c r="B5" t="s">
        <v>249</v>
      </c>
      <c r="C5" s="4">
        <v>85000</v>
      </c>
      <c r="D5" s="4">
        <v>100000</v>
      </c>
      <c r="E5" s="5">
        <v>0.67</v>
      </c>
    </row>
    <row r="6" spans="1:5" x14ac:dyDescent="0.25">
      <c r="A6" t="s">
        <v>250</v>
      </c>
      <c r="B6" t="s">
        <v>251</v>
      </c>
      <c r="C6" s="4">
        <v>85000</v>
      </c>
      <c r="D6" s="4">
        <v>100000</v>
      </c>
      <c r="E6" s="5">
        <v>0.67</v>
      </c>
    </row>
    <row r="7" spans="1:5" x14ac:dyDescent="0.25">
      <c r="A7" t="s">
        <v>252</v>
      </c>
      <c r="B7" t="s">
        <v>253</v>
      </c>
      <c r="C7" s="4">
        <v>85000</v>
      </c>
      <c r="D7" s="4">
        <v>100000</v>
      </c>
      <c r="E7" s="5">
        <v>0.67</v>
      </c>
    </row>
    <row r="8" spans="1:5" x14ac:dyDescent="0.25">
      <c r="A8" t="s">
        <v>254</v>
      </c>
      <c r="B8" t="s">
        <v>255</v>
      </c>
      <c r="C8" s="4">
        <v>85000</v>
      </c>
      <c r="D8" s="4">
        <v>100000</v>
      </c>
      <c r="E8" s="5">
        <v>0.67</v>
      </c>
    </row>
    <row r="9" spans="1:5" x14ac:dyDescent="0.25">
      <c r="A9" t="s">
        <v>256</v>
      </c>
      <c r="B9" t="s">
        <v>257</v>
      </c>
      <c r="C9" s="4">
        <v>85000</v>
      </c>
      <c r="D9" s="4">
        <v>100000</v>
      </c>
      <c r="E9" s="5">
        <v>0.67</v>
      </c>
    </row>
    <row r="10" spans="1:5" x14ac:dyDescent="0.25">
      <c r="A10" t="s">
        <v>258</v>
      </c>
      <c r="B10" t="s">
        <v>259</v>
      </c>
      <c r="C10" s="4">
        <v>85000</v>
      </c>
      <c r="D10" s="4">
        <v>100000</v>
      </c>
      <c r="E10" s="5">
        <v>0.67</v>
      </c>
    </row>
    <row r="11" spans="1:5" x14ac:dyDescent="0.25">
      <c r="A11" t="s">
        <v>260</v>
      </c>
      <c r="B11" t="s">
        <v>261</v>
      </c>
      <c r="C11" s="4">
        <v>85000</v>
      </c>
      <c r="D11" s="4">
        <v>100000</v>
      </c>
      <c r="E11" s="5">
        <v>0.67</v>
      </c>
    </row>
    <row r="12" spans="1:5" x14ac:dyDescent="0.25">
      <c r="A12" t="s">
        <v>262</v>
      </c>
      <c r="B12" t="s">
        <v>263</v>
      </c>
      <c r="C12" s="4">
        <v>85000</v>
      </c>
      <c r="D12" s="4">
        <v>100000</v>
      </c>
      <c r="E12" s="5">
        <v>0.67</v>
      </c>
    </row>
    <row r="13" spans="1:5" x14ac:dyDescent="0.25">
      <c r="A13" t="s">
        <v>264</v>
      </c>
      <c r="B13" t="s">
        <v>265</v>
      </c>
      <c r="C13" s="4">
        <v>85000</v>
      </c>
      <c r="D13" s="4">
        <v>100000</v>
      </c>
      <c r="E13" s="5">
        <v>0.67</v>
      </c>
    </row>
    <row r="14" spans="1:5" x14ac:dyDescent="0.25">
      <c r="A14" t="s">
        <v>266</v>
      </c>
      <c r="B14" t="s">
        <v>267</v>
      </c>
      <c r="C14" s="4">
        <v>85000</v>
      </c>
      <c r="D14" s="4">
        <v>100000</v>
      </c>
      <c r="E14" s="5">
        <v>0.67</v>
      </c>
    </row>
    <row r="15" spans="1:5" x14ac:dyDescent="0.25">
      <c r="A15" t="s">
        <v>268</v>
      </c>
      <c r="B15" t="s">
        <v>269</v>
      </c>
      <c r="C15" s="4">
        <v>85000</v>
      </c>
      <c r="D15" s="4">
        <v>100000</v>
      </c>
      <c r="E15" s="5">
        <v>0.67</v>
      </c>
    </row>
    <row r="16" spans="1:5" x14ac:dyDescent="0.25">
      <c r="A16" t="s">
        <v>270</v>
      </c>
      <c r="B16" t="s">
        <v>271</v>
      </c>
      <c r="C16" s="4">
        <v>85000</v>
      </c>
      <c r="D16" s="4">
        <v>100000</v>
      </c>
      <c r="E16" s="5">
        <v>0.67</v>
      </c>
    </row>
    <row r="17" spans="1:5" x14ac:dyDescent="0.25">
      <c r="A17" t="s">
        <v>272</v>
      </c>
      <c r="B17" t="s">
        <v>273</v>
      </c>
      <c r="C17" s="4">
        <v>85000</v>
      </c>
      <c r="D17" s="4">
        <v>100000</v>
      </c>
      <c r="E17" s="5">
        <v>0.67</v>
      </c>
    </row>
    <row r="18" spans="1:5" x14ac:dyDescent="0.25">
      <c r="A18" t="s">
        <v>274</v>
      </c>
      <c r="B18" t="s">
        <v>275</v>
      </c>
      <c r="C18" s="4">
        <v>85000</v>
      </c>
      <c r="D18" s="4">
        <v>100000</v>
      </c>
      <c r="E18" s="5">
        <v>0.67</v>
      </c>
    </row>
    <row r="19" spans="1:5" x14ac:dyDescent="0.25">
      <c r="A19" t="s">
        <v>276</v>
      </c>
      <c r="B19" t="s">
        <v>277</v>
      </c>
      <c r="C19" s="4">
        <v>85000</v>
      </c>
      <c r="D19" s="4">
        <v>100000</v>
      </c>
      <c r="E19" s="5">
        <v>0.67</v>
      </c>
    </row>
    <row r="20" spans="1:5" x14ac:dyDescent="0.25">
      <c r="A20" t="s">
        <v>278</v>
      </c>
      <c r="B20" t="s">
        <v>279</v>
      </c>
      <c r="C20" s="4">
        <v>85000</v>
      </c>
      <c r="D20" s="4">
        <v>100000</v>
      </c>
      <c r="E20" s="5">
        <v>0.67</v>
      </c>
    </row>
    <row r="21" spans="1:5" x14ac:dyDescent="0.25">
      <c r="A21" t="s">
        <v>280</v>
      </c>
      <c r="B21" t="s">
        <v>281</v>
      </c>
      <c r="C21" s="4">
        <v>85000</v>
      </c>
      <c r="D21" s="4">
        <v>100000</v>
      </c>
      <c r="E21" s="5">
        <v>0.67</v>
      </c>
    </row>
    <row r="22" spans="1:5" x14ac:dyDescent="0.25">
      <c r="A22" t="s">
        <v>282</v>
      </c>
      <c r="B22" t="s">
        <v>283</v>
      </c>
      <c r="C22" s="4">
        <v>85000</v>
      </c>
      <c r="D22" s="4">
        <v>100000</v>
      </c>
      <c r="E22" s="5">
        <v>0.67</v>
      </c>
    </row>
    <row r="23" spans="1:5" x14ac:dyDescent="0.25">
      <c r="A23" t="s">
        <v>284</v>
      </c>
      <c r="B23" t="s">
        <v>285</v>
      </c>
      <c r="C23" s="4">
        <v>85000</v>
      </c>
      <c r="D23" s="4">
        <v>100000</v>
      </c>
      <c r="E23" s="5">
        <v>0.67</v>
      </c>
    </row>
    <row r="24" spans="1:5" x14ac:dyDescent="0.25">
      <c r="A24" t="s">
        <v>286</v>
      </c>
      <c r="B24" t="s">
        <v>287</v>
      </c>
      <c r="C24" s="4">
        <v>85000</v>
      </c>
      <c r="D24" s="4">
        <v>100000</v>
      </c>
      <c r="E24" s="5">
        <v>0.67</v>
      </c>
    </row>
    <row r="25" spans="1:5" x14ac:dyDescent="0.25">
      <c r="A25" t="s">
        <v>288</v>
      </c>
      <c r="B25" t="s">
        <v>289</v>
      </c>
      <c r="C25" s="4">
        <v>85000</v>
      </c>
      <c r="D25" s="4">
        <v>100000</v>
      </c>
      <c r="E25" s="5">
        <v>0.67</v>
      </c>
    </row>
    <row r="26" spans="1:5" x14ac:dyDescent="0.25">
      <c r="A26" t="s">
        <v>290</v>
      </c>
      <c r="B26" t="s">
        <v>291</v>
      </c>
      <c r="C26" s="4">
        <v>85000</v>
      </c>
      <c r="D26" s="4">
        <v>100000</v>
      </c>
      <c r="E26" s="5">
        <v>0.67</v>
      </c>
    </row>
    <row r="27" spans="1:5" x14ac:dyDescent="0.25">
      <c r="A27" t="s">
        <v>292</v>
      </c>
      <c r="B27" t="s">
        <v>293</v>
      </c>
      <c r="C27" s="4">
        <v>85000</v>
      </c>
      <c r="D27" s="4">
        <v>100000</v>
      </c>
      <c r="E27" s="5">
        <v>0.67</v>
      </c>
    </row>
    <row r="28" spans="1:5" x14ac:dyDescent="0.25">
      <c r="A28" t="s">
        <v>294</v>
      </c>
      <c r="B28" t="s">
        <v>295</v>
      </c>
      <c r="C28" s="4">
        <v>85000</v>
      </c>
      <c r="D28" s="4">
        <v>100000</v>
      </c>
      <c r="E28" s="5">
        <v>0.67</v>
      </c>
    </row>
    <row r="29" spans="1:5" x14ac:dyDescent="0.25">
      <c r="A29" t="s">
        <v>296</v>
      </c>
      <c r="B29" t="s">
        <v>297</v>
      </c>
      <c r="C29" s="4">
        <v>85000</v>
      </c>
      <c r="D29" s="4">
        <v>100000</v>
      </c>
      <c r="E29" s="5">
        <v>0.67</v>
      </c>
    </row>
    <row r="30" spans="1:5" x14ac:dyDescent="0.25">
      <c r="A30" t="s">
        <v>298</v>
      </c>
      <c r="B30" t="s">
        <v>299</v>
      </c>
      <c r="C30" s="4">
        <v>85000</v>
      </c>
      <c r="D30" s="4">
        <v>100000</v>
      </c>
      <c r="E30" s="5">
        <v>0.67</v>
      </c>
    </row>
    <row r="31" spans="1:5" x14ac:dyDescent="0.25">
      <c r="A31" t="s">
        <v>300</v>
      </c>
      <c r="B31" t="s">
        <v>301</v>
      </c>
      <c r="C31" s="4">
        <v>85000</v>
      </c>
      <c r="D31" s="4">
        <v>100000</v>
      </c>
      <c r="E31" s="5">
        <v>0.67</v>
      </c>
    </row>
    <row r="32" spans="1:5" x14ac:dyDescent="0.25">
      <c r="A32" t="s">
        <v>302</v>
      </c>
      <c r="B32" t="s">
        <v>303</v>
      </c>
      <c r="C32" s="4">
        <v>85000</v>
      </c>
      <c r="D32" s="4">
        <v>100000</v>
      </c>
      <c r="E32" s="5">
        <v>0.67</v>
      </c>
    </row>
    <row r="33" spans="1:5" x14ac:dyDescent="0.25">
      <c r="A33" t="s">
        <v>304</v>
      </c>
      <c r="B33" t="s">
        <v>305</v>
      </c>
      <c r="C33" s="4">
        <v>85000</v>
      </c>
      <c r="D33" s="4">
        <v>100000</v>
      </c>
      <c r="E33" s="5">
        <v>0.67</v>
      </c>
    </row>
    <row r="34" spans="1:5" x14ac:dyDescent="0.25">
      <c r="A34" t="s">
        <v>306</v>
      </c>
      <c r="B34" t="s">
        <v>307</v>
      </c>
      <c r="C34" s="4">
        <v>85000</v>
      </c>
      <c r="D34" s="4">
        <v>100000</v>
      </c>
      <c r="E34" s="5">
        <v>0.67</v>
      </c>
    </row>
    <row r="35" spans="1:5" x14ac:dyDescent="0.25">
      <c r="A35" t="s">
        <v>308</v>
      </c>
      <c r="B35" t="s">
        <v>309</v>
      </c>
      <c r="C35" s="4">
        <v>85000</v>
      </c>
      <c r="D35" s="4">
        <v>100000</v>
      </c>
      <c r="E35" s="5">
        <v>0.67</v>
      </c>
    </row>
    <row r="36" spans="1:5" x14ac:dyDescent="0.25">
      <c r="A36" t="s">
        <v>310</v>
      </c>
      <c r="B36" t="s">
        <v>311</v>
      </c>
      <c r="C36" s="4">
        <v>85000</v>
      </c>
      <c r="D36" s="4">
        <v>100000</v>
      </c>
      <c r="E36" s="5">
        <v>0.67</v>
      </c>
    </row>
    <row r="37" spans="1:5" x14ac:dyDescent="0.25">
      <c r="A37" t="s">
        <v>312</v>
      </c>
      <c r="B37" t="s">
        <v>313</v>
      </c>
      <c r="C37" s="4">
        <v>85000</v>
      </c>
      <c r="D37" s="4">
        <v>100000</v>
      </c>
      <c r="E37" s="5">
        <v>0.67</v>
      </c>
    </row>
    <row r="38" spans="1:5" x14ac:dyDescent="0.25">
      <c r="A38" t="s">
        <v>314</v>
      </c>
      <c r="B38" t="s">
        <v>315</v>
      </c>
      <c r="C38" s="4">
        <v>85000</v>
      </c>
      <c r="D38" s="4">
        <v>100000</v>
      </c>
      <c r="E38" s="5">
        <v>0.67</v>
      </c>
    </row>
    <row r="39" spans="1:5" x14ac:dyDescent="0.25">
      <c r="A39" t="s">
        <v>316</v>
      </c>
      <c r="B39" t="s">
        <v>317</v>
      </c>
      <c r="C39" s="4">
        <v>85000</v>
      </c>
      <c r="D39" s="4">
        <v>100000</v>
      </c>
      <c r="E39" s="5">
        <v>0.67</v>
      </c>
    </row>
    <row r="40" spans="1:5" x14ac:dyDescent="0.25">
      <c r="A40" t="s">
        <v>318</v>
      </c>
      <c r="B40" t="s">
        <v>319</v>
      </c>
      <c r="C40" s="4">
        <v>85000</v>
      </c>
      <c r="D40" s="4">
        <v>100000</v>
      </c>
      <c r="E40" s="5">
        <v>0.67</v>
      </c>
    </row>
    <row r="41" spans="1:5" x14ac:dyDescent="0.25">
      <c r="A41" t="s">
        <v>320</v>
      </c>
      <c r="B41" t="s">
        <v>321</v>
      </c>
      <c r="C41" s="4">
        <v>85000</v>
      </c>
      <c r="D41" s="4">
        <v>100000</v>
      </c>
      <c r="E41" s="5">
        <v>0.67</v>
      </c>
    </row>
    <row r="42" spans="1:5" x14ac:dyDescent="0.25">
      <c r="A42" t="s">
        <v>322</v>
      </c>
      <c r="B42" t="s">
        <v>323</v>
      </c>
      <c r="C42" s="4">
        <v>85000</v>
      </c>
      <c r="D42" s="4">
        <v>100000</v>
      </c>
      <c r="E42" s="5">
        <v>0.67</v>
      </c>
    </row>
    <row r="43" spans="1:5" x14ac:dyDescent="0.25">
      <c r="A43" t="s">
        <v>324</v>
      </c>
      <c r="B43" t="s">
        <v>325</v>
      </c>
      <c r="C43" s="4">
        <v>85000</v>
      </c>
      <c r="D43" s="4">
        <v>100000</v>
      </c>
      <c r="E43" s="5">
        <v>0.67</v>
      </c>
    </row>
    <row r="44" spans="1:5" x14ac:dyDescent="0.25">
      <c r="A44" t="s">
        <v>326</v>
      </c>
      <c r="B44" t="s">
        <v>327</v>
      </c>
      <c r="C44" s="4">
        <v>85000</v>
      </c>
      <c r="D44" s="4">
        <v>100000</v>
      </c>
      <c r="E44" s="5">
        <v>0.67</v>
      </c>
    </row>
    <row r="45" spans="1:5" x14ac:dyDescent="0.25">
      <c r="A45" t="s">
        <v>328</v>
      </c>
      <c r="B45" t="s">
        <v>329</v>
      </c>
      <c r="C45" s="4">
        <v>85000</v>
      </c>
      <c r="D45" s="4">
        <v>100000</v>
      </c>
      <c r="E45" s="5">
        <v>0.67</v>
      </c>
    </row>
    <row r="46" spans="1:5" x14ac:dyDescent="0.25">
      <c r="A46" t="s">
        <v>330</v>
      </c>
      <c r="B46" t="s">
        <v>331</v>
      </c>
      <c r="C46" s="4">
        <v>85000</v>
      </c>
      <c r="D46" s="4">
        <v>100000</v>
      </c>
      <c r="E46" s="5">
        <v>0.67</v>
      </c>
    </row>
    <row r="47" spans="1:5" x14ac:dyDescent="0.25">
      <c r="A47" t="s">
        <v>332</v>
      </c>
      <c r="B47" t="s">
        <v>333</v>
      </c>
      <c r="C47" s="4">
        <v>85000</v>
      </c>
      <c r="D47" s="4">
        <v>100000</v>
      </c>
      <c r="E47" s="5">
        <v>0.67</v>
      </c>
    </row>
    <row r="48" spans="1:5" x14ac:dyDescent="0.25">
      <c r="A48" t="s">
        <v>334</v>
      </c>
      <c r="B48" t="s">
        <v>335</v>
      </c>
      <c r="C48" s="4">
        <v>85000</v>
      </c>
      <c r="D48" s="4">
        <v>100000</v>
      </c>
      <c r="E48" s="5">
        <v>0.67</v>
      </c>
    </row>
    <row r="49" spans="1:5" x14ac:dyDescent="0.25">
      <c r="A49" t="s">
        <v>336</v>
      </c>
      <c r="B49" t="s">
        <v>337</v>
      </c>
      <c r="C49" s="4">
        <v>85000</v>
      </c>
      <c r="D49" s="4">
        <v>100000</v>
      </c>
      <c r="E49" s="5">
        <v>0.67</v>
      </c>
    </row>
    <row r="50" spans="1:5" x14ac:dyDescent="0.25">
      <c r="A50" t="s">
        <v>338</v>
      </c>
      <c r="B50" t="s">
        <v>339</v>
      </c>
      <c r="C50" s="4">
        <v>85000</v>
      </c>
      <c r="D50" s="4">
        <v>100000</v>
      </c>
      <c r="E50" s="5">
        <v>0.67</v>
      </c>
    </row>
    <row r="51" spans="1:5" x14ac:dyDescent="0.25">
      <c r="A51" t="s">
        <v>340</v>
      </c>
      <c r="B51" t="s">
        <v>341</v>
      </c>
      <c r="C51" s="4">
        <v>85000</v>
      </c>
      <c r="D51" s="4">
        <v>100000</v>
      </c>
      <c r="E51" s="5">
        <v>0.67</v>
      </c>
    </row>
    <row r="52" spans="1:5" x14ac:dyDescent="0.25">
      <c r="A52" t="s">
        <v>342</v>
      </c>
      <c r="B52" t="s">
        <v>343</v>
      </c>
      <c r="C52" s="4">
        <v>85000</v>
      </c>
      <c r="D52" s="4">
        <v>100000</v>
      </c>
      <c r="E52" s="5">
        <v>0.67</v>
      </c>
    </row>
    <row r="53" spans="1:5" x14ac:dyDescent="0.25">
      <c r="A53" t="s">
        <v>344</v>
      </c>
      <c r="B53" t="s">
        <v>345</v>
      </c>
      <c r="C53" s="4">
        <v>85000</v>
      </c>
      <c r="D53" s="4">
        <v>100000</v>
      </c>
      <c r="E53" s="5">
        <v>0.67</v>
      </c>
    </row>
    <row r="54" spans="1:5" x14ac:dyDescent="0.25">
      <c r="A54" t="s">
        <v>346</v>
      </c>
      <c r="B54" t="s">
        <v>347</v>
      </c>
      <c r="C54" s="4">
        <v>85000</v>
      </c>
      <c r="D54" s="4">
        <v>100000</v>
      </c>
      <c r="E54" s="5">
        <v>0.67</v>
      </c>
    </row>
    <row r="55" spans="1:5" x14ac:dyDescent="0.25">
      <c r="A55" t="s">
        <v>348</v>
      </c>
      <c r="B55" t="s">
        <v>349</v>
      </c>
      <c r="C55" s="4">
        <v>85000</v>
      </c>
      <c r="D55" s="4">
        <v>100000</v>
      </c>
      <c r="E55" s="5">
        <v>0.67</v>
      </c>
    </row>
    <row r="56" spans="1:5" x14ac:dyDescent="0.25">
      <c r="A56" t="s">
        <v>350</v>
      </c>
      <c r="B56" t="s">
        <v>351</v>
      </c>
      <c r="C56" s="4">
        <v>85000</v>
      </c>
      <c r="D56" s="4">
        <v>100000</v>
      </c>
      <c r="E56" s="5">
        <v>0.67</v>
      </c>
    </row>
    <row r="57" spans="1:5" x14ac:dyDescent="0.25">
      <c r="A57" t="s">
        <v>352</v>
      </c>
      <c r="B57" t="s">
        <v>353</v>
      </c>
      <c r="C57" s="4">
        <v>85000</v>
      </c>
      <c r="D57" s="4">
        <v>100000</v>
      </c>
      <c r="E57" s="5">
        <v>0.67</v>
      </c>
    </row>
    <row r="58" spans="1:5" x14ac:dyDescent="0.25">
      <c r="A58" t="s">
        <v>354</v>
      </c>
      <c r="B58" t="s">
        <v>355</v>
      </c>
      <c r="C58" s="4">
        <v>85000</v>
      </c>
      <c r="D58" s="4">
        <v>100000</v>
      </c>
      <c r="E58" s="5">
        <v>0.67</v>
      </c>
    </row>
    <row r="59" spans="1:5" x14ac:dyDescent="0.25">
      <c r="A59" t="s">
        <v>356</v>
      </c>
      <c r="B59" t="s">
        <v>357</v>
      </c>
      <c r="C59" s="4">
        <v>85000</v>
      </c>
      <c r="D59" s="4">
        <v>100000</v>
      </c>
      <c r="E59" s="5">
        <v>0.67</v>
      </c>
    </row>
    <row r="60" spans="1:5" x14ac:dyDescent="0.25">
      <c r="A60" t="s">
        <v>358</v>
      </c>
      <c r="B60" t="s">
        <v>359</v>
      </c>
      <c r="C60" s="4">
        <v>85000</v>
      </c>
      <c r="D60" s="4">
        <v>100000</v>
      </c>
      <c r="E60" s="5">
        <v>0.67</v>
      </c>
    </row>
    <row r="61" spans="1:5" x14ac:dyDescent="0.25">
      <c r="A61" t="s">
        <v>360</v>
      </c>
      <c r="B61" t="s">
        <v>361</v>
      </c>
      <c r="C61" s="4">
        <v>85000</v>
      </c>
      <c r="D61" s="4">
        <v>100000</v>
      </c>
      <c r="E61" s="5">
        <v>0.67</v>
      </c>
    </row>
    <row r="62" spans="1:5" x14ac:dyDescent="0.25">
      <c r="A62" t="s">
        <v>362</v>
      </c>
      <c r="B62" t="s">
        <v>363</v>
      </c>
      <c r="C62" s="4">
        <v>85000</v>
      </c>
      <c r="D62" s="4">
        <v>100000</v>
      </c>
      <c r="E62" s="5">
        <v>0.67</v>
      </c>
    </row>
    <row r="63" spans="1:5" x14ac:dyDescent="0.25">
      <c r="A63" t="s">
        <v>364</v>
      </c>
      <c r="B63" t="s">
        <v>365</v>
      </c>
      <c r="C63" s="4">
        <v>85000</v>
      </c>
      <c r="D63" s="4">
        <v>100000</v>
      </c>
      <c r="E63" s="5">
        <v>0.67</v>
      </c>
    </row>
    <row r="64" spans="1:5" x14ac:dyDescent="0.25">
      <c r="A64" t="s">
        <v>366</v>
      </c>
      <c r="B64" t="s">
        <v>367</v>
      </c>
      <c r="C64" s="4">
        <v>85000</v>
      </c>
      <c r="D64" s="4">
        <v>100000</v>
      </c>
      <c r="E64" s="5">
        <v>0.67</v>
      </c>
    </row>
    <row r="65" spans="1:5" x14ac:dyDescent="0.25">
      <c r="A65" t="s">
        <v>368</v>
      </c>
      <c r="B65" t="s">
        <v>369</v>
      </c>
      <c r="C65" s="4">
        <v>85000</v>
      </c>
      <c r="D65" s="4">
        <v>100000</v>
      </c>
      <c r="E65" s="5">
        <v>0.67</v>
      </c>
    </row>
    <row r="66" spans="1:5" x14ac:dyDescent="0.25">
      <c r="A66" t="s">
        <v>370</v>
      </c>
      <c r="B66" t="s">
        <v>371</v>
      </c>
      <c r="C66" s="4">
        <v>85000</v>
      </c>
      <c r="D66" s="4">
        <v>100000</v>
      </c>
      <c r="E66" s="5">
        <v>0.67</v>
      </c>
    </row>
    <row r="67" spans="1:5" x14ac:dyDescent="0.25">
      <c r="A67" t="s">
        <v>372</v>
      </c>
      <c r="B67" t="s">
        <v>373</v>
      </c>
      <c r="C67" s="4">
        <v>85000</v>
      </c>
      <c r="D67" s="4">
        <v>100000</v>
      </c>
      <c r="E67" s="5">
        <v>0.67</v>
      </c>
    </row>
    <row r="68" spans="1:5" x14ac:dyDescent="0.25">
      <c r="A68" t="s">
        <v>374</v>
      </c>
      <c r="B68" t="s">
        <v>375</v>
      </c>
      <c r="C68" s="4">
        <v>85000</v>
      </c>
      <c r="D68" s="4">
        <v>100000</v>
      </c>
      <c r="E68" s="5">
        <v>0.67</v>
      </c>
    </row>
    <row r="69" spans="1:5" x14ac:dyDescent="0.25">
      <c r="A69" t="s">
        <v>376</v>
      </c>
      <c r="B69" t="s">
        <v>377</v>
      </c>
      <c r="C69" s="4">
        <v>85000</v>
      </c>
      <c r="D69" s="4">
        <v>100000</v>
      </c>
      <c r="E69" s="5">
        <v>0.67</v>
      </c>
    </row>
    <row r="70" spans="1:5" x14ac:dyDescent="0.25">
      <c r="A70" t="s">
        <v>378</v>
      </c>
      <c r="B70" t="s">
        <v>379</v>
      </c>
      <c r="C70" s="4">
        <v>85000</v>
      </c>
      <c r="D70" s="4">
        <v>100000</v>
      </c>
      <c r="E70" s="5">
        <v>0.67</v>
      </c>
    </row>
    <row r="71" spans="1:5" x14ac:dyDescent="0.25">
      <c r="A71" t="s">
        <v>380</v>
      </c>
      <c r="B71" t="s">
        <v>381</v>
      </c>
      <c r="C71" s="4">
        <v>85000</v>
      </c>
      <c r="D71" s="4">
        <v>100000</v>
      </c>
      <c r="E71" s="5">
        <v>0.67</v>
      </c>
    </row>
    <row r="72" spans="1:5" x14ac:dyDescent="0.25">
      <c r="A72" t="s">
        <v>382</v>
      </c>
      <c r="B72" t="s">
        <v>383</v>
      </c>
      <c r="C72" s="4">
        <v>85000</v>
      </c>
      <c r="D72" s="4">
        <v>100000</v>
      </c>
      <c r="E72" s="5">
        <v>0.4</v>
      </c>
    </row>
    <row r="73" spans="1:5" x14ac:dyDescent="0.25">
      <c r="A73" t="s">
        <v>384</v>
      </c>
      <c r="B73" t="s">
        <v>385</v>
      </c>
      <c r="C73" s="4">
        <v>85000</v>
      </c>
      <c r="D73" s="4">
        <v>100000</v>
      </c>
      <c r="E73" s="5">
        <v>0.4</v>
      </c>
    </row>
    <row r="74" spans="1:5" x14ac:dyDescent="0.25">
      <c r="A74" t="s">
        <v>386</v>
      </c>
      <c r="B74" t="s">
        <v>387</v>
      </c>
      <c r="C74" s="4">
        <v>85000</v>
      </c>
      <c r="D74" s="4">
        <v>100000</v>
      </c>
      <c r="E74" s="5">
        <v>0.4</v>
      </c>
    </row>
    <row r="75" spans="1:5" x14ac:dyDescent="0.25">
      <c r="A75" t="s">
        <v>388</v>
      </c>
      <c r="B75" t="s">
        <v>389</v>
      </c>
      <c r="C75" s="4">
        <v>85000</v>
      </c>
      <c r="D75" s="4">
        <v>100000</v>
      </c>
      <c r="E75" s="5">
        <v>0.4</v>
      </c>
    </row>
    <row r="76" spans="1:5" x14ac:dyDescent="0.25">
      <c r="A76" t="s">
        <v>390</v>
      </c>
      <c r="B76" t="s">
        <v>391</v>
      </c>
      <c r="C76" s="4">
        <v>85000</v>
      </c>
      <c r="D76" s="4">
        <v>100000</v>
      </c>
      <c r="E76" s="5">
        <v>0.4</v>
      </c>
    </row>
    <row r="77" spans="1:5" x14ac:dyDescent="0.25">
      <c r="A77" t="s">
        <v>392</v>
      </c>
      <c r="B77" t="s">
        <v>393</v>
      </c>
      <c r="C77" s="4">
        <v>85000</v>
      </c>
      <c r="D77" s="4">
        <v>100000</v>
      </c>
      <c r="E77" s="5">
        <v>0.4</v>
      </c>
    </row>
    <row r="78" spans="1:5" x14ac:dyDescent="0.25">
      <c r="A78" t="s">
        <v>394</v>
      </c>
      <c r="B78" t="s">
        <v>395</v>
      </c>
      <c r="C78" s="4">
        <v>85000</v>
      </c>
      <c r="D78" s="4">
        <v>100000</v>
      </c>
      <c r="E78" s="5">
        <v>0.4</v>
      </c>
    </row>
    <row r="79" spans="1:5" x14ac:dyDescent="0.25">
      <c r="A79" t="s">
        <v>396</v>
      </c>
      <c r="B79" t="s">
        <v>397</v>
      </c>
      <c r="C79" s="4">
        <v>85000</v>
      </c>
      <c r="D79" s="4">
        <v>100000</v>
      </c>
      <c r="E79" s="5">
        <v>0.4</v>
      </c>
    </row>
    <row r="80" spans="1:5" x14ac:dyDescent="0.25">
      <c r="A80" t="s">
        <v>398</v>
      </c>
      <c r="B80" t="s">
        <v>399</v>
      </c>
      <c r="C80" s="4">
        <v>85000</v>
      </c>
      <c r="D80" s="4">
        <v>100000</v>
      </c>
      <c r="E80" s="5">
        <v>0.4</v>
      </c>
    </row>
    <row r="81" spans="1:5" x14ac:dyDescent="0.25">
      <c r="A81" t="s">
        <v>400</v>
      </c>
      <c r="B81" t="s">
        <v>401</v>
      </c>
      <c r="C81" s="4">
        <v>85000</v>
      </c>
      <c r="D81" s="4">
        <v>100000</v>
      </c>
      <c r="E81" s="5">
        <v>0.4</v>
      </c>
    </row>
    <row r="82" spans="1:5" x14ac:dyDescent="0.25">
      <c r="A82" t="s">
        <v>402</v>
      </c>
      <c r="B82" t="s">
        <v>403</v>
      </c>
      <c r="C82" s="4">
        <v>85000</v>
      </c>
      <c r="D82" s="4">
        <v>100000</v>
      </c>
      <c r="E82" s="5">
        <v>0.4</v>
      </c>
    </row>
    <row r="83" spans="1:5" x14ac:dyDescent="0.25">
      <c r="A83" t="s">
        <v>404</v>
      </c>
      <c r="B83" t="s">
        <v>405</v>
      </c>
      <c r="C83" s="4">
        <v>85000</v>
      </c>
      <c r="D83" s="4">
        <v>100000</v>
      </c>
      <c r="E83" s="5">
        <v>0.4</v>
      </c>
    </row>
    <row r="84" spans="1:5" x14ac:dyDescent="0.25">
      <c r="A84" t="s">
        <v>406</v>
      </c>
      <c r="B84" t="s">
        <v>407</v>
      </c>
      <c r="C84" s="4">
        <v>85000</v>
      </c>
      <c r="D84" s="4">
        <v>100000</v>
      </c>
      <c r="E84" s="5">
        <v>0.4</v>
      </c>
    </row>
    <row r="85" spans="1:5" x14ac:dyDescent="0.25">
      <c r="A85" t="s">
        <v>408</v>
      </c>
      <c r="B85" t="s">
        <v>409</v>
      </c>
      <c r="C85" s="4">
        <v>85000</v>
      </c>
      <c r="D85" s="4">
        <v>100000</v>
      </c>
      <c r="E85" s="5">
        <v>0.4</v>
      </c>
    </row>
    <row r="86" spans="1:5" x14ac:dyDescent="0.25">
      <c r="A86" t="s">
        <v>410</v>
      </c>
      <c r="B86" t="s">
        <v>411</v>
      </c>
      <c r="C86" s="4">
        <v>85000</v>
      </c>
      <c r="D86" s="4">
        <v>100000</v>
      </c>
      <c r="E86" s="5">
        <v>0.4</v>
      </c>
    </row>
    <row r="87" spans="1:5" x14ac:dyDescent="0.25">
      <c r="A87" t="s">
        <v>412</v>
      </c>
      <c r="B87" t="s">
        <v>413</v>
      </c>
      <c r="C87" s="4">
        <v>85000</v>
      </c>
      <c r="D87" s="4">
        <v>100000</v>
      </c>
      <c r="E87" s="5">
        <v>0.4</v>
      </c>
    </row>
    <row r="88" spans="1:5" x14ac:dyDescent="0.25">
      <c r="A88" t="s">
        <v>414</v>
      </c>
      <c r="B88" t="s">
        <v>415</v>
      </c>
      <c r="C88" s="4">
        <v>85000</v>
      </c>
      <c r="D88" s="4">
        <v>100000</v>
      </c>
      <c r="E88" s="5">
        <v>0.4</v>
      </c>
    </row>
    <row r="89" spans="1:5" x14ac:dyDescent="0.25">
      <c r="A89" t="s">
        <v>416</v>
      </c>
      <c r="B89" t="s">
        <v>417</v>
      </c>
      <c r="C89" s="4">
        <v>85000</v>
      </c>
      <c r="D89" s="4">
        <v>100000</v>
      </c>
      <c r="E89" s="5">
        <v>0.4</v>
      </c>
    </row>
    <row r="90" spans="1:5" x14ac:dyDescent="0.25">
      <c r="A90" t="s">
        <v>418</v>
      </c>
      <c r="B90" t="s">
        <v>419</v>
      </c>
      <c r="C90" s="4">
        <v>85000</v>
      </c>
      <c r="D90" s="4">
        <v>100000</v>
      </c>
      <c r="E90" s="5">
        <v>0.4</v>
      </c>
    </row>
    <row r="91" spans="1:5" x14ac:dyDescent="0.25">
      <c r="A91" t="s">
        <v>420</v>
      </c>
      <c r="B91" t="s">
        <v>421</v>
      </c>
      <c r="C91" s="4">
        <v>85000</v>
      </c>
      <c r="D91" s="4">
        <v>100000</v>
      </c>
      <c r="E91" s="5">
        <v>0.4</v>
      </c>
    </row>
    <row r="92" spans="1:5" x14ac:dyDescent="0.25">
      <c r="A92" t="s">
        <v>422</v>
      </c>
      <c r="B92" t="s">
        <v>423</v>
      </c>
      <c r="C92" s="4">
        <v>85000</v>
      </c>
      <c r="D92" s="4">
        <v>100000</v>
      </c>
      <c r="E92" s="5">
        <v>0.4</v>
      </c>
    </row>
    <row r="93" spans="1:5" x14ac:dyDescent="0.25">
      <c r="A93" t="s">
        <v>424</v>
      </c>
      <c r="B93" t="s">
        <v>425</v>
      </c>
      <c r="C93" s="4">
        <v>85000</v>
      </c>
      <c r="D93" s="4">
        <v>100000</v>
      </c>
      <c r="E93" s="5">
        <v>0.4</v>
      </c>
    </row>
    <row r="94" spans="1:5" x14ac:dyDescent="0.25">
      <c r="A94" t="s">
        <v>426</v>
      </c>
      <c r="B94" t="s">
        <v>427</v>
      </c>
      <c r="C94" s="4">
        <v>85000</v>
      </c>
      <c r="D94" s="4">
        <v>100000</v>
      </c>
      <c r="E94" s="5">
        <v>0.4</v>
      </c>
    </row>
    <row r="95" spans="1:5" x14ac:dyDescent="0.25">
      <c r="A95" t="s">
        <v>428</v>
      </c>
      <c r="B95" t="s">
        <v>429</v>
      </c>
      <c r="C95" s="4">
        <v>85000</v>
      </c>
      <c r="D95" s="4">
        <v>100000</v>
      </c>
      <c r="E95" s="5">
        <v>0.4</v>
      </c>
    </row>
    <row r="96" spans="1:5" x14ac:dyDescent="0.25">
      <c r="A96" t="s">
        <v>430</v>
      </c>
      <c r="B96" t="s">
        <v>431</v>
      </c>
      <c r="C96" s="4">
        <v>85000</v>
      </c>
      <c r="D96" s="4">
        <v>100000</v>
      </c>
      <c r="E96" s="5">
        <v>0.4</v>
      </c>
    </row>
    <row r="97" spans="1:5" x14ac:dyDescent="0.25">
      <c r="A97" t="s">
        <v>432</v>
      </c>
      <c r="B97" t="s">
        <v>433</v>
      </c>
      <c r="C97" s="4">
        <v>85000</v>
      </c>
      <c r="D97" s="4">
        <v>100000</v>
      </c>
      <c r="E97" s="5">
        <v>0.4</v>
      </c>
    </row>
    <row r="98" spans="1:5" x14ac:dyDescent="0.25">
      <c r="A98" t="s">
        <v>434</v>
      </c>
      <c r="B98" t="s">
        <v>435</v>
      </c>
      <c r="C98" s="4">
        <v>85000</v>
      </c>
      <c r="D98" s="4">
        <v>100000</v>
      </c>
      <c r="E98" s="5">
        <v>0.4</v>
      </c>
    </row>
    <row r="99" spans="1:5" x14ac:dyDescent="0.25">
      <c r="A99" t="s">
        <v>436</v>
      </c>
      <c r="B99" t="s">
        <v>437</v>
      </c>
      <c r="C99" s="4">
        <v>85000</v>
      </c>
      <c r="D99" s="4">
        <v>100000</v>
      </c>
      <c r="E99" s="5">
        <v>0.4</v>
      </c>
    </row>
    <row r="100" spans="1:5" x14ac:dyDescent="0.25">
      <c r="A100" t="s">
        <v>438</v>
      </c>
      <c r="B100" t="s">
        <v>439</v>
      </c>
      <c r="C100" s="4">
        <v>85000</v>
      </c>
      <c r="D100" s="4">
        <v>100000</v>
      </c>
      <c r="E100" s="5">
        <v>0.4</v>
      </c>
    </row>
    <row r="101" spans="1:5" x14ac:dyDescent="0.25">
      <c r="A101" t="s">
        <v>440</v>
      </c>
      <c r="B101" t="s">
        <v>441</v>
      </c>
      <c r="C101" s="4">
        <v>85000</v>
      </c>
      <c r="D101" s="4">
        <v>100000</v>
      </c>
      <c r="E101" s="5">
        <v>0.4</v>
      </c>
    </row>
    <row r="102" spans="1:5" x14ac:dyDescent="0.25">
      <c r="A102" t="s">
        <v>442</v>
      </c>
      <c r="B102" t="s">
        <v>443</v>
      </c>
      <c r="C102" s="4">
        <v>85000</v>
      </c>
      <c r="D102" s="4">
        <v>100000</v>
      </c>
      <c r="E102" s="5">
        <v>0.4</v>
      </c>
    </row>
    <row r="103" spans="1:5" x14ac:dyDescent="0.25">
      <c r="A103" t="s">
        <v>444</v>
      </c>
      <c r="B103" t="s">
        <v>445</v>
      </c>
      <c r="C103" s="4">
        <v>85000</v>
      </c>
      <c r="D103" s="4">
        <v>100000</v>
      </c>
      <c r="E103" s="5">
        <v>0.4</v>
      </c>
    </row>
    <row r="104" spans="1:5" x14ac:dyDescent="0.25">
      <c r="A104" t="s">
        <v>446</v>
      </c>
      <c r="B104" t="s">
        <v>447</v>
      </c>
      <c r="C104" s="4">
        <v>85000</v>
      </c>
      <c r="D104" s="4">
        <v>100000</v>
      </c>
      <c r="E104" s="5">
        <v>0.4</v>
      </c>
    </row>
    <row r="105" spans="1:5" x14ac:dyDescent="0.25">
      <c r="A105" t="s">
        <v>448</v>
      </c>
      <c r="B105" t="s">
        <v>449</v>
      </c>
      <c r="C105" s="4">
        <v>85000</v>
      </c>
      <c r="D105" s="4">
        <v>100000</v>
      </c>
      <c r="E105" s="5">
        <v>0.4</v>
      </c>
    </row>
    <row r="106" spans="1:5" x14ac:dyDescent="0.25">
      <c r="A106" t="s">
        <v>450</v>
      </c>
      <c r="B106" t="s">
        <v>451</v>
      </c>
      <c r="C106" s="4">
        <v>85000</v>
      </c>
      <c r="D106" s="4">
        <v>100000</v>
      </c>
      <c r="E106" s="5">
        <v>0.4</v>
      </c>
    </row>
    <row r="107" spans="1:5" x14ac:dyDescent="0.25">
      <c r="A107" t="s">
        <v>452</v>
      </c>
      <c r="B107" t="s">
        <v>453</v>
      </c>
      <c r="C107" s="4">
        <v>85000</v>
      </c>
      <c r="D107" s="4">
        <v>100000</v>
      </c>
      <c r="E107" s="5">
        <v>0.4</v>
      </c>
    </row>
    <row r="108" spans="1:5" x14ac:dyDescent="0.25">
      <c r="A108" t="s">
        <v>454</v>
      </c>
      <c r="B108" t="s">
        <v>455</v>
      </c>
      <c r="C108" s="4">
        <v>85000</v>
      </c>
      <c r="D108" s="4">
        <v>100000</v>
      </c>
      <c r="E108" s="5">
        <v>0.4</v>
      </c>
    </row>
    <row r="109" spans="1:5" x14ac:dyDescent="0.25">
      <c r="A109" t="s">
        <v>456</v>
      </c>
      <c r="B109" t="s">
        <v>457</v>
      </c>
      <c r="C109" s="4">
        <v>85000</v>
      </c>
      <c r="D109" s="4">
        <v>100000</v>
      </c>
      <c r="E109" s="5">
        <v>0.4</v>
      </c>
    </row>
    <row r="110" spans="1:5" x14ac:dyDescent="0.25">
      <c r="A110" t="s">
        <v>458</v>
      </c>
      <c r="B110" t="s">
        <v>459</v>
      </c>
      <c r="C110" s="4">
        <v>85000</v>
      </c>
      <c r="D110" s="4">
        <v>100000</v>
      </c>
      <c r="E110" s="5">
        <v>0.4</v>
      </c>
    </row>
    <row r="111" spans="1:5" x14ac:dyDescent="0.25">
      <c r="A111" t="s">
        <v>460</v>
      </c>
      <c r="B111" t="s">
        <v>461</v>
      </c>
      <c r="C111" s="4">
        <v>85000</v>
      </c>
      <c r="D111" s="4">
        <v>100000</v>
      </c>
      <c r="E111" s="5">
        <v>0.4</v>
      </c>
    </row>
    <row r="112" spans="1:5" x14ac:dyDescent="0.25">
      <c r="A112" t="s">
        <v>462</v>
      </c>
      <c r="B112" t="s">
        <v>463</v>
      </c>
      <c r="C112" s="4">
        <v>85000</v>
      </c>
      <c r="D112" s="4">
        <v>100000</v>
      </c>
      <c r="E112" s="5">
        <v>0.4</v>
      </c>
    </row>
    <row r="113" spans="1:5" x14ac:dyDescent="0.25">
      <c r="A113" t="s">
        <v>464</v>
      </c>
      <c r="B113" t="s">
        <v>465</v>
      </c>
      <c r="C113" s="4">
        <v>85000</v>
      </c>
      <c r="D113" s="4">
        <v>100000</v>
      </c>
      <c r="E113" s="5">
        <v>0.4</v>
      </c>
    </row>
    <row r="114" spans="1:5" x14ac:dyDescent="0.25">
      <c r="A114" t="s">
        <v>466</v>
      </c>
      <c r="B114" t="s">
        <v>467</v>
      </c>
      <c r="C114" s="4">
        <v>85000</v>
      </c>
      <c r="D114" s="4">
        <v>100000</v>
      </c>
      <c r="E114" s="5">
        <v>0.4</v>
      </c>
    </row>
    <row r="115" spans="1:5" x14ac:dyDescent="0.25">
      <c r="A115" t="s">
        <v>468</v>
      </c>
      <c r="B115" t="s">
        <v>469</v>
      </c>
      <c r="C115" s="4">
        <v>85000</v>
      </c>
      <c r="D115" s="4">
        <v>100000</v>
      </c>
      <c r="E115" s="5">
        <v>0.4</v>
      </c>
    </row>
    <row r="116" spans="1:5" x14ac:dyDescent="0.25">
      <c r="A116" t="s">
        <v>470</v>
      </c>
      <c r="B116" t="s">
        <v>471</v>
      </c>
      <c r="C116" s="4">
        <v>85000</v>
      </c>
      <c r="D116" s="4">
        <v>100000</v>
      </c>
      <c r="E116" s="5">
        <v>0.4</v>
      </c>
    </row>
    <row r="117" spans="1:5" x14ac:dyDescent="0.25">
      <c r="A117" t="s">
        <v>472</v>
      </c>
      <c r="B117" t="s">
        <v>473</v>
      </c>
      <c r="C117" s="4">
        <v>85000</v>
      </c>
      <c r="D117" s="4">
        <v>100000</v>
      </c>
      <c r="E117" s="5">
        <v>0.4</v>
      </c>
    </row>
    <row r="118" spans="1:5" x14ac:dyDescent="0.25">
      <c r="A118" t="s">
        <v>474</v>
      </c>
      <c r="B118" t="s">
        <v>475</v>
      </c>
      <c r="C118" s="4">
        <v>85000</v>
      </c>
      <c r="D118" s="4">
        <v>100000</v>
      </c>
      <c r="E118" s="5">
        <v>0.4</v>
      </c>
    </row>
    <row r="119" spans="1:5" x14ac:dyDescent="0.25">
      <c r="A119" t="s">
        <v>476</v>
      </c>
      <c r="B119" t="s">
        <v>477</v>
      </c>
      <c r="C119" s="4">
        <v>85000</v>
      </c>
      <c r="D119" s="4">
        <v>100000</v>
      </c>
      <c r="E119" s="5">
        <v>0.67</v>
      </c>
    </row>
    <row r="120" spans="1:5" x14ac:dyDescent="0.25">
      <c r="A120" t="s">
        <v>478</v>
      </c>
      <c r="B120" t="s">
        <v>479</v>
      </c>
      <c r="C120" s="4">
        <v>85000</v>
      </c>
      <c r="D120" s="4">
        <v>100000</v>
      </c>
      <c r="E120" s="5">
        <v>0.67</v>
      </c>
    </row>
    <row r="121" spans="1:5" x14ac:dyDescent="0.25">
      <c r="A121" t="s">
        <v>480</v>
      </c>
      <c r="B121" t="s">
        <v>481</v>
      </c>
      <c r="C121" s="4">
        <v>85000</v>
      </c>
      <c r="D121" s="4">
        <v>100000</v>
      </c>
      <c r="E121" s="5">
        <v>0.67</v>
      </c>
    </row>
    <row r="122" spans="1:5" x14ac:dyDescent="0.25">
      <c r="A122" t="s">
        <v>482</v>
      </c>
      <c r="B122" t="s">
        <v>483</v>
      </c>
      <c r="C122" s="4">
        <v>85000</v>
      </c>
      <c r="D122" s="4">
        <v>100000</v>
      </c>
      <c r="E122" s="5">
        <v>0.67</v>
      </c>
    </row>
    <row r="123" spans="1:5" x14ac:dyDescent="0.25">
      <c r="A123" t="s">
        <v>484</v>
      </c>
      <c r="B123" t="s">
        <v>485</v>
      </c>
      <c r="C123" s="4">
        <v>85000</v>
      </c>
      <c r="D123" s="4">
        <v>100000</v>
      </c>
      <c r="E123" s="5">
        <v>0.67</v>
      </c>
    </row>
    <row r="124" spans="1:5" x14ac:dyDescent="0.25">
      <c r="A124" t="s">
        <v>486</v>
      </c>
      <c r="B124" t="s">
        <v>487</v>
      </c>
      <c r="C124" s="4">
        <v>85000</v>
      </c>
      <c r="D124" s="4">
        <v>100000</v>
      </c>
      <c r="E124" s="5">
        <v>0.67</v>
      </c>
    </row>
    <row r="125" spans="1:5" x14ac:dyDescent="0.25">
      <c r="A125" t="s">
        <v>488</v>
      </c>
      <c r="B125" t="s">
        <v>489</v>
      </c>
      <c r="C125" s="4">
        <v>85000</v>
      </c>
      <c r="D125" s="4">
        <v>100000</v>
      </c>
      <c r="E125" s="5">
        <v>0.67</v>
      </c>
    </row>
    <row r="126" spans="1:5" x14ac:dyDescent="0.25">
      <c r="A126" t="s">
        <v>490</v>
      </c>
      <c r="B126" t="s">
        <v>491</v>
      </c>
      <c r="C126" s="4">
        <v>85000</v>
      </c>
      <c r="D126" s="4">
        <v>100000</v>
      </c>
      <c r="E126" s="5">
        <v>0.67</v>
      </c>
    </row>
    <row r="127" spans="1:5" x14ac:dyDescent="0.25">
      <c r="A127" t="s">
        <v>492</v>
      </c>
      <c r="B127" t="s">
        <v>493</v>
      </c>
      <c r="C127" s="4">
        <v>85000</v>
      </c>
      <c r="D127" s="4">
        <v>100000</v>
      </c>
      <c r="E127" s="5">
        <v>0.67</v>
      </c>
    </row>
    <row r="128" spans="1:5" x14ac:dyDescent="0.25">
      <c r="A128" t="s">
        <v>494</v>
      </c>
      <c r="B128" t="s">
        <v>495</v>
      </c>
      <c r="C128" s="4">
        <v>85000</v>
      </c>
      <c r="D128" s="4">
        <v>100000</v>
      </c>
      <c r="E128" s="5">
        <v>0.67</v>
      </c>
    </row>
    <row r="129" spans="1:5" x14ac:dyDescent="0.25">
      <c r="A129" t="s">
        <v>496</v>
      </c>
      <c r="B129" t="s">
        <v>497</v>
      </c>
      <c r="C129" s="4">
        <v>85000</v>
      </c>
      <c r="D129" s="4">
        <v>100000</v>
      </c>
      <c r="E129" s="5">
        <v>0.67</v>
      </c>
    </row>
    <row r="130" spans="1:5" x14ac:dyDescent="0.25">
      <c r="A130" t="s">
        <v>498</v>
      </c>
      <c r="B130" t="s">
        <v>499</v>
      </c>
      <c r="C130" s="4">
        <v>85000</v>
      </c>
      <c r="D130" s="4">
        <v>100000</v>
      </c>
      <c r="E130" s="5">
        <v>0.67</v>
      </c>
    </row>
    <row r="131" spans="1:5" x14ac:dyDescent="0.25">
      <c r="A131" t="s">
        <v>500</v>
      </c>
      <c r="B131" t="s">
        <v>501</v>
      </c>
      <c r="C131" s="4">
        <v>85000</v>
      </c>
      <c r="D131" s="4">
        <v>100000</v>
      </c>
      <c r="E131" s="5">
        <v>0.67</v>
      </c>
    </row>
    <row r="132" spans="1:5" x14ac:dyDescent="0.25">
      <c r="A132" t="s">
        <v>502</v>
      </c>
      <c r="B132" t="s">
        <v>503</v>
      </c>
      <c r="C132" s="4">
        <v>85000</v>
      </c>
      <c r="D132" s="4">
        <v>100000</v>
      </c>
      <c r="E132" s="5">
        <v>0.67</v>
      </c>
    </row>
    <row r="133" spans="1:5" x14ac:dyDescent="0.25">
      <c r="A133" t="s">
        <v>504</v>
      </c>
      <c r="B133" t="s">
        <v>505</v>
      </c>
      <c r="C133" s="4">
        <v>85000</v>
      </c>
      <c r="D133" s="4">
        <v>100000</v>
      </c>
      <c r="E133" s="5">
        <v>0.67</v>
      </c>
    </row>
    <row r="134" spans="1:5" x14ac:dyDescent="0.25">
      <c r="A134" t="s">
        <v>506</v>
      </c>
      <c r="B134" t="s">
        <v>507</v>
      </c>
      <c r="C134" s="4">
        <v>85000</v>
      </c>
      <c r="D134" s="4">
        <v>100000</v>
      </c>
      <c r="E134" s="5">
        <v>0.67</v>
      </c>
    </row>
    <row r="135" spans="1:5" x14ac:dyDescent="0.25">
      <c r="A135" t="s">
        <v>508</v>
      </c>
      <c r="B135" t="s">
        <v>509</v>
      </c>
      <c r="C135" s="4">
        <v>85000</v>
      </c>
      <c r="D135" s="4">
        <v>100000</v>
      </c>
      <c r="E135" s="5">
        <v>0.67</v>
      </c>
    </row>
    <row r="136" spans="1:5" x14ac:dyDescent="0.25">
      <c r="A136" t="s">
        <v>510</v>
      </c>
      <c r="B136" t="s">
        <v>511</v>
      </c>
      <c r="C136" s="4">
        <v>85000</v>
      </c>
      <c r="D136" s="4">
        <v>100000</v>
      </c>
      <c r="E136" s="5">
        <v>0.67</v>
      </c>
    </row>
    <row r="137" spans="1:5" x14ac:dyDescent="0.25">
      <c r="A137" t="s">
        <v>512</v>
      </c>
      <c r="B137" t="s">
        <v>513</v>
      </c>
      <c r="C137" s="4">
        <v>85000</v>
      </c>
      <c r="D137" s="4">
        <v>100000</v>
      </c>
      <c r="E137" s="5">
        <v>0.67</v>
      </c>
    </row>
    <row r="138" spans="1:5" x14ac:dyDescent="0.25">
      <c r="A138" t="s">
        <v>514</v>
      </c>
      <c r="B138" t="s">
        <v>515</v>
      </c>
      <c r="C138" s="4">
        <v>85000</v>
      </c>
      <c r="D138" s="4">
        <v>100000</v>
      </c>
      <c r="E138" s="5">
        <v>0.67</v>
      </c>
    </row>
    <row r="139" spans="1:5" x14ac:dyDescent="0.25">
      <c r="A139" t="s">
        <v>516</v>
      </c>
      <c r="B139" t="s">
        <v>517</v>
      </c>
      <c r="C139" s="4">
        <v>85000</v>
      </c>
      <c r="D139" s="4">
        <v>100000</v>
      </c>
      <c r="E139" s="5">
        <v>0.67</v>
      </c>
    </row>
    <row r="140" spans="1:5" x14ac:dyDescent="0.25">
      <c r="A140" t="s">
        <v>518</v>
      </c>
      <c r="B140" t="s">
        <v>519</v>
      </c>
      <c r="C140" s="4">
        <v>85000</v>
      </c>
      <c r="D140" s="4">
        <v>100000</v>
      </c>
      <c r="E140" s="5">
        <v>0.67</v>
      </c>
    </row>
    <row r="141" spans="1:5" x14ac:dyDescent="0.25">
      <c r="A141" t="s">
        <v>520</v>
      </c>
      <c r="B141" t="s">
        <v>521</v>
      </c>
      <c r="C141" s="4">
        <v>85000</v>
      </c>
      <c r="D141" s="4">
        <v>100000</v>
      </c>
      <c r="E141" s="5">
        <v>0.67</v>
      </c>
    </row>
    <row r="142" spans="1:5" x14ac:dyDescent="0.25">
      <c r="A142" t="s">
        <v>522</v>
      </c>
      <c r="B142" t="s">
        <v>523</v>
      </c>
      <c r="C142" s="4">
        <v>85000</v>
      </c>
      <c r="D142" s="4">
        <v>100000</v>
      </c>
      <c r="E142" s="5">
        <v>0.67</v>
      </c>
    </row>
    <row r="143" spans="1:5" x14ac:dyDescent="0.25">
      <c r="A143" t="s">
        <v>524</v>
      </c>
      <c r="B143" t="s">
        <v>525</v>
      </c>
      <c r="C143" s="4">
        <v>85000</v>
      </c>
      <c r="D143" s="4">
        <v>100000</v>
      </c>
      <c r="E143" s="5">
        <v>0.67</v>
      </c>
    </row>
    <row r="144" spans="1:5" x14ac:dyDescent="0.25">
      <c r="A144" t="s">
        <v>526</v>
      </c>
      <c r="B144" t="s">
        <v>527</v>
      </c>
      <c r="C144" s="4">
        <v>85000</v>
      </c>
      <c r="D144" s="4">
        <v>100000</v>
      </c>
      <c r="E144" s="5">
        <v>0.67</v>
      </c>
    </row>
    <row r="145" spans="1:5" x14ac:dyDescent="0.25">
      <c r="A145" t="s">
        <v>528</v>
      </c>
      <c r="B145" t="s">
        <v>529</v>
      </c>
      <c r="C145" s="4">
        <v>85000</v>
      </c>
      <c r="D145" s="4">
        <v>100000</v>
      </c>
      <c r="E145" s="5">
        <v>0.67</v>
      </c>
    </row>
    <row r="146" spans="1:5" x14ac:dyDescent="0.25">
      <c r="A146" t="s">
        <v>530</v>
      </c>
      <c r="B146" t="s">
        <v>531</v>
      </c>
      <c r="C146" s="4">
        <v>85000</v>
      </c>
      <c r="D146" s="4">
        <v>100000</v>
      </c>
      <c r="E146" s="5">
        <v>0.67</v>
      </c>
    </row>
    <row r="147" spans="1:5" x14ac:dyDescent="0.25">
      <c r="A147" t="s">
        <v>532</v>
      </c>
      <c r="B147" t="s">
        <v>533</v>
      </c>
      <c r="C147" s="4">
        <v>85000</v>
      </c>
      <c r="D147" s="4">
        <v>100000</v>
      </c>
      <c r="E147" s="5">
        <v>0.67</v>
      </c>
    </row>
    <row r="148" spans="1:5" x14ac:dyDescent="0.25">
      <c r="A148" t="s">
        <v>534</v>
      </c>
      <c r="B148" t="s">
        <v>535</v>
      </c>
      <c r="C148" s="4">
        <v>85000</v>
      </c>
      <c r="D148" s="4">
        <v>100000</v>
      </c>
      <c r="E148" s="5">
        <v>0.67</v>
      </c>
    </row>
    <row r="149" spans="1:5" x14ac:dyDescent="0.25">
      <c r="A149" t="s">
        <v>536</v>
      </c>
      <c r="B149" t="s">
        <v>537</v>
      </c>
      <c r="C149" s="4">
        <v>85000</v>
      </c>
      <c r="D149" s="4">
        <v>100000</v>
      </c>
      <c r="E149" s="5">
        <v>0.67</v>
      </c>
    </row>
    <row r="150" spans="1:5" x14ac:dyDescent="0.25">
      <c r="A150" t="s">
        <v>538</v>
      </c>
      <c r="B150" t="s">
        <v>539</v>
      </c>
      <c r="C150" s="4">
        <v>85000</v>
      </c>
      <c r="D150" s="4">
        <v>100000</v>
      </c>
      <c r="E150" s="5">
        <v>0.67</v>
      </c>
    </row>
    <row r="151" spans="1:5" x14ac:dyDescent="0.25">
      <c r="A151" t="s">
        <v>540</v>
      </c>
      <c r="B151" t="s">
        <v>541</v>
      </c>
      <c r="C151" s="4">
        <v>85000</v>
      </c>
      <c r="D151" s="4">
        <v>100000</v>
      </c>
      <c r="E151" s="5">
        <v>0.67</v>
      </c>
    </row>
    <row r="152" spans="1:5" x14ac:dyDescent="0.25">
      <c r="A152" t="s">
        <v>542</v>
      </c>
      <c r="B152" t="s">
        <v>543</v>
      </c>
      <c r="C152" s="4">
        <v>85000</v>
      </c>
      <c r="D152" s="4">
        <v>100000</v>
      </c>
      <c r="E152" s="5">
        <v>0.67</v>
      </c>
    </row>
    <row r="153" spans="1:5" x14ac:dyDescent="0.25">
      <c r="A153" t="s">
        <v>544</v>
      </c>
      <c r="B153" t="s">
        <v>545</v>
      </c>
      <c r="C153" s="4">
        <v>85000</v>
      </c>
      <c r="D153" s="4">
        <v>100000</v>
      </c>
      <c r="E153" s="5">
        <v>0.67</v>
      </c>
    </row>
    <row r="154" spans="1:5" x14ac:dyDescent="0.25">
      <c r="A154" t="s">
        <v>546</v>
      </c>
      <c r="B154" t="s">
        <v>547</v>
      </c>
      <c r="C154" s="4">
        <v>85000</v>
      </c>
      <c r="D154" s="4">
        <v>100000</v>
      </c>
      <c r="E154" s="5">
        <v>0.67</v>
      </c>
    </row>
    <row r="155" spans="1:5" x14ac:dyDescent="0.25">
      <c r="A155" t="s">
        <v>548</v>
      </c>
      <c r="B155" t="s">
        <v>549</v>
      </c>
      <c r="C155" s="4">
        <v>85000</v>
      </c>
      <c r="D155" s="4">
        <v>100000</v>
      </c>
      <c r="E155" s="5">
        <v>0.67</v>
      </c>
    </row>
    <row r="156" spans="1:5" x14ac:dyDescent="0.25">
      <c r="A156" t="s">
        <v>550</v>
      </c>
      <c r="B156" t="s">
        <v>551</v>
      </c>
      <c r="C156" s="4">
        <v>85000</v>
      </c>
      <c r="D156" s="4">
        <v>100000</v>
      </c>
      <c r="E156" s="5">
        <v>0.67</v>
      </c>
    </row>
    <row r="157" spans="1:5" x14ac:dyDescent="0.25">
      <c r="A157" t="s">
        <v>552</v>
      </c>
      <c r="B157" t="s">
        <v>553</v>
      </c>
      <c r="C157" s="4">
        <v>85000</v>
      </c>
      <c r="D157" s="4">
        <v>100000</v>
      </c>
      <c r="E157" s="5">
        <v>0.67</v>
      </c>
    </row>
    <row r="158" spans="1:5" x14ac:dyDescent="0.25">
      <c r="A158" t="s">
        <v>554</v>
      </c>
      <c r="B158" t="s">
        <v>555</v>
      </c>
      <c r="C158" s="4">
        <v>85000</v>
      </c>
      <c r="D158" s="4">
        <v>100000</v>
      </c>
      <c r="E158" s="5">
        <v>0.67</v>
      </c>
    </row>
    <row r="159" spans="1:5" x14ac:dyDescent="0.25">
      <c r="A159" t="s">
        <v>556</v>
      </c>
      <c r="B159" t="s">
        <v>557</v>
      </c>
      <c r="C159" s="4">
        <v>85000</v>
      </c>
      <c r="D159" s="4">
        <v>100000</v>
      </c>
      <c r="E159" s="5">
        <v>0.67</v>
      </c>
    </row>
    <row r="160" spans="1:5" x14ac:dyDescent="0.25">
      <c r="A160" t="s">
        <v>558</v>
      </c>
      <c r="B160" t="s">
        <v>559</v>
      </c>
      <c r="C160" s="4">
        <v>85000</v>
      </c>
      <c r="D160" s="4">
        <v>100000</v>
      </c>
      <c r="E160" s="5">
        <v>0.67</v>
      </c>
    </row>
    <row r="161" spans="1:5" x14ac:dyDescent="0.25">
      <c r="A161" t="s">
        <v>560</v>
      </c>
      <c r="B161" t="s">
        <v>561</v>
      </c>
      <c r="C161" s="4">
        <v>85000</v>
      </c>
      <c r="D161" s="4">
        <v>100000</v>
      </c>
      <c r="E161" s="5">
        <v>0.67</v>
      </c>
    </row>
    <row r="162" spans="1:5" x14ac:dyDescent="0.25">
      <c r="A162" t="s">
        <v>562</v>
      </c>
      <c r="B162" t="s">
        <v>563</v>
      </c>
      <c r="C162" s="4">
        <v>85000</v>
      </c>
      <c r="D162" s="4">
        <v>100000</v>
      </c>
      <c r="E162" s="5">
        <v>0.67</v>
      </c>
    </row>
    <row r="163" spans="1:5" x14ac:dyDescent="0.25">
      <c r="A163" t="s">
        <v>564</v>
      </c>
      <c r="B163" t="s">
        <v>565</v>
      </c>
      <c r="C163" s="4">
        <v>85000</v>
      </c>
      <c r="D163" s="4">
        <v>100000</v>
      </c>
      <c r="E163" s="5">
        <v>0.67</v>
      </c>
    </row>
    <row r="164" spans="1:5" x14ac:dyDescent="0.25">
      <c r="A164" t="s">
        <v>566</v>
      </c>
      <c r="B164" t="s">
        <v>567</v>
      </c>
      <c r="C164" s="4">
        <v>85000</v>
      </c>
      <c r="D164" s="4">
        <v>100000</v>
      </c>
      <c r="E164" s="5">
        <v>0.67</v>
      </c>
    </row>
    <row r="165" spans="1:5" x14ac:dyDescent="0.25">
      <c r="A165" t="s">
        <v>568</v>
      </c>
      <c r="B165" t="s">
        <v>569</v>
      </c>
      <c r="C165" s="4">
        <v>85000</v>
      </c>
      <c r="D165" s="4">
        <v>100000</v>
      </c>
      <c r="E165" s="5">
        <v>0.67</v>
      </c>
    </row>
    <row r="166" spans="1:5" x14ac:dyDescent="0.25">
      <c r="A166" t="s">
        <v>570</v>
      </c>
      <c r="B166" t="s">
        <v>571</v>
      </c>
      <c r="C166" s="4">
        <v>85000</v>
      </c>
      <c r="D166" s="4">
        <v>100000</v>
      </c>
      <c r="E166" s="5">
        <v>0.67</v>
      </c>
    </row>
    <row r="167" spans="1:5" x14ac:dyDescent="0.25">
      <c r="A167" t="s">
        <v>572</v>
      </c>
      <c r="B167" t="s">
        <v>573</v>
      </c>
      <c r="C167" s="4">
        <v>85000</v>
      </c>
      <c r="D167" s="4">
        <v>100000</v>
      </c>
      <c r="E167" s="5">
        <v>0.67</v>
      </c>
    </row>
    <row r="168" spans="1:5" x14ac:dyDescent="0.25">
      <c r="A168" t="s">
        <v>574</v>
      </c>
      <c r="B168" t="s">
        <v>575</v>
      </c>
      <c r="C168" s="4">
        <v>85000</v>
      </c>
      <c r="D168" s="4">
        <v>100000</v>
      </c>
      <c r="E168" s="5">
        <v>0.67</v>
      </c>
    </row>
    <row r="169" spans="1:5" x14ac:dyDescent="0.25">
      <c r="A169" t="s">
        <v>576</v>
      </c>
      <c r="B169" t="s">
        <v>577</v>
      </c>
      <c r="C169" s="4">
        <v>85000</v>
      </c>
      <c r="D169" s="4">
        <v>100000</v>
      </c>
      <c r="E169" s="5">
        <v>0.67</v>
      </c>
    </row>
    <row r="170" spans="1:5" x14ac:dyDescent="0.25">
      <c r="A170" t="s">
        <v>578</v>
      </c>
      <c r="B170" t="s">
        <v>579</v>
      </c>
      <c r="C170" s="4">
        <v>85000</v>
      </c>
      <c r="D170" s="4">
        <v>100000</v>
      </c>
      <c r="E170" s="5">
        <v>0.67</v>
      </c>
    </row>
    <row r="171" spans="1:5" x14ac:dyDescent="0.25">
      <c r="A171" t="s">
        <v>580</v>
      </c>
      <c r="B171" t="s">
        <v>581</v>
      </c>
      <c r="C171" s="4">
        <v>85000</v>
      </c>
      <c r="D171" s="4">
        <v>100000</v>
      </c>
      <c r="E171" s="5">
        <v>0.67</v>
      </c>
    </row>
    <row r="172" spans="1:5" x14ac:dyDescent="0.25">
      <c r="A172" t="s">
        <v>582</v>
      </c>
      <c r="B172" t="s">
        <v>583</v>
      </c>
      <c r="C172" s="4">
        <v>85000</v>
      </c>
      <c r="D172" s="4">
        <v>100000</v>
      </c>
      <c r="E172" s="5">
        <v>0.67</v>
      </c>
    </row>
    <row r="173" spans="1:5" x14ac:dyDescent="0.25">
      <c r="A173" t="s">
        <v>584</v>
      </c>
      <c r="B173" t="s">
        <v>585</v>
      </c>
      <c r="C173" s="4">
        <v>85000</v>
      </c>
      <c r="D173" s="4">
        <v>100000</v>
      </c>
      <c r="E173" s="5">
        <v>0.67</v>
      </c>
    </row>
    <row r="174" spans="1:5" x14ac:dyDescent="0.25">
      <c r="A174" t="s">
        <v>586</v>
      </c>
      <c r="B174" t="s">
        <v>587</v>
      </c>
      <c r="C174" s="4">
        <v>85000</v>
      </c>
      <c r="D174" s="4">
        <v>100000</v>
      </c>
      <c r="E174" s="5">
        <v>0.67</v>
      </c>
    </row>
    <row r="175" spans="1:5" x14ac:dyDescent="0.25">
      <c r="A175" t="s">
        <v>588</v>
      </c>
      <c r="B175" t="s">
        <v>589</v>
      </c>
      <c r="C175" s="4">
        <v>85000</v>
      </c>
      <c r="D175" s="4">
        <v>100000</v>
      </c>
      <c r="E175" s="5">
        <v>0.67</v>
      </c>
    </row>
    <row r="176" spans="1:5" x14ac:dyDescent="0.25">
      <c r="A176" t="s">
        <v>590</v>
      </c>
      <c r="B176" t="s">
        <v>591</v>
      </c>
      <c r="C176" s="4">
        <v>85000</v>
      </c>
      <c r="D176" s="4">
        <v>100000</v>
      </c>
      <c r="E176" s="5">
        <v>0.67</v>
      </c>
    </row>
    <row r="177" spans="1:5" x14ac:dyDescent="0.25">
      <c r="A177" t="s">
        <v>592</v>
      </c>
      <c r="B177" t="s">
        <v>593</v>
      </c>
      <c r="C177" s="4">
        <v>85000</v>
      </c>
      <c r="D177" s="4">
        <v>100000</v>
      </c>
      <c r="E177" s="5">
        <v>0.67</v>
      </c>
    </row>
    <row r="178" spans="1:5" x14ac:dyDescent="0.25">
      <c r="A178" t="s">
        <v>594</v>
      </c>
      <c r="B178" t="s">
        <v>595</v>
      </c>
      <c r="C178" s="4">
        <v>85000</v>
      </c>
      <c r="D178" s="4">
        <v>100000</v>
      </c>
      <c r="E178" s="5">
        <v>0.67</v>
      </c>
    </row>
    <row r="179" spans="1:5" x14ac:dyDescent="0.25">
      <c r="A179" t="s">
        <v>596</v>
      </c>
      <c r="B179" t="s">
        <v>597</v>
      </c>
      <c r="C179" s="4">
        <v>85000</v>
      </c>
      <c r="D179" s="4">
        <v>100000</v>
      </c>
      <c r="E179" s="5">
        <v>0.67</v>
      </c>
    </row>
    <row r="180" spans="1:5" x14ac:dyDescent="0.25">
      <c r="A180" t="s">
        <v>598</v>
      </c>
      <c r="B180" t="s">
        <v>599</v>
      </c>
      <c r="C180" s="4">
        <v>85000</v>
      </c>
      <c r="D180" s="4">
        <v>100000</v>
      </c>
      <c r="E180" s="5">
        <v>0.67</v>
      </c>
    </row>
    <row r="181" spans="1:5" x14ac:dyDescent="0.25">
      <c r="A181" t="s">
        <v>600</v>
      </c>
      <c r="B181" t="s">
        <v>601</v>
      </c>
      <c r="C181" s="4">
        <v>85000</v>
      </c>
      <c r="D181" s="4">
        <v>100000</v>
      </c>
      <c r="E181" s="5">
        <v>0.67</v>
      </c>
    </row>
    <row r="182" spans="1:5" x14ac:dyDescent="0.25">
      <c r="A182" t="s">
        <v>602</v>
      </c>
      <c r="B182" t="s">
        <v>603</v>
      </c>
      <c r="C182" s="4">
        <v>85000</v>
      </c>
      <c r="D182" s="4">
        <v>100000</v>
      </c>
      <c r="E182" s="5">
        <v>0.67</v>
      </c>
    </row>
    <row r="183" spans="1:5" x14ac:dyDescent="0.25">
      <c r="A183" t="s">
        <v>604</v>
      </c>
      <c r="B183" t="s">
        <v>605</v>
      </c>
      <c r="C183" s="4">
        <v>85000</v>
      </c>
      <c r="D183" s="4">
        <v>100000</v>
      </c>
      <c r="E183" s="5">
        <v>0.67</v>
      </c>
    </row>
    <row r="184" spans="1:5" x14ac:dyDescent="0.25">
      <c r="A184" t="s">
        <v>606</v>
      </c>
      <c r="B184" t="s">
        <v>607</v>
      </c>
      <c r="C184" s="4">
        <v>85000</v>
      </c>
      <c r="D184" s="4">
        <v>100000</v>
      </c>
      <c r="E184" s="5">
        <v>0.67</v>
      </c>
    </row>
    <row r="185" spans="1:5" x14ac:dyDescent="0.25">
      <c r="A185" t="s">
        <v>608</v>
      </c>
      <c r="B185" t="s">
        <v>609</v>
      </c>
      <c r="C185" s="4">
        <v>85000</v>
      </c>
      <c r="D185" s="4">
        <v>100000</v>
      </c>
      <c r="E185" s="5">
        <v>0.67</v>
      </c>
    </row>
    <row r="186" spans="1:5" x14ac:dyDescent="0.25">
      <c r="A186" t="s">
        <v>610</v>
      </c>
      <c r="B186" t="s">
        <v>611</v>
      </c>
      <c r="C186" s="4">
        <v>85000</v>
      </c>
      <c r="D186" s="4">
        <v>100000</v>
      </c>
      <c r="E186" s="5">
        <v>0.67</v>
      </c>
    </row>
    <row r="187" spans="1:5" x14ac:dyDescent="0.25">
      <c r="A187" t="s">
        <v>612</v>
      </c>
      <c r="B187" t="s">
        <v>613</v>
      </c>
      <c r="C187" s="4">
        <v>85000</v>
      </c>
      <c r="D187" s="4">
        <v>100000</v>
      </c>
      <c r="E187" s="5">
        <v>0.67</v>
      </c>
    </row>
    <row r="188" spans="1:5" x14ac:dyDescent="0.25">
      <c r="A188" t="s">
        <v>614</v>
      </c>
      <c r="B188" t="s">
        <v>615</v>
      </c>
      <c r="C188" s="4">
        <v>85000</v>
      </c>
      <c r="D188" s="4">
        <v>100000</v>
      </c>
      <c r="E188" s="5">
        <v>0.67</v>
      </c>
    </row>
    <row r="189" spans="1:5" x14ac:dyDescent="0.25">
      <c r="A189" t="s">
        <v>616</v>
      </c>
      <c r="B189" t="s">
        <v>617</v>
      </c>
      <c r="C189" s="4">
        <v>85000</v>
      </c>
      <c r="D189" s="4">
        <v>100000</v>
      </c>
      <c r="E189" s="5">
        <v>0.67</v>
      </c>
    </row>
    <row r="190" spans="1:5" x14ac:dyDescent="0.25">
      <c r="A190" t="s">
        <v>618</v>
      </c>
      <c r="B190" t="s">
        <v>619</v>
      </c>
      <c r="C190" s="4">
        <v>85000</v>
      </c>
      <c r="D190" s="4">
        <v>100000</v>
      </c>
      <c r="E190" s="5">
        <v>0.67</v>
      </c>
    </row>
    <row r="191" spans="1:5" x14ac:dyDescent="0.25">
      <c r="A191" t="s">
        <v>620</v>
      </c>
      <c r="B191" t="s">
        <v>621</v>
      </c>
      <c r="C191" s="4">
        <v>85000</v>
      </c>
      <c r="D191" s="4">
        <v>100000</v>
      </c>
      <c r="E191" s="5">
        <v>0.67</v>
      </c>
    </row>
    <row r="192" spans="1:5" x14ac:dyDescent="0.25">
      <c r="A192" t="s">
        <v>622</v>
      </c>
      <c r="B192" t="s">
        <v>623</v>
      </c>
      <c r="C192" s="4">
        <v>85000</v>
      </c>
      <c r="D192" s="4">
        <v>100000</v>
      </c>
      <c r="E192" s="5">
        <v>0.67</v>
      </c>
    </row>
    <row r="193" spans="1:5" x14ac:dyDescent="0.25">
      <c r="A193" t="s">
        <v>624</v>
      </c>
      <c r="B193" t="s">
        <v>625</v>
      </c>
      <c r="C193" s="4">
        <v>85000</v>
      </c>
      <c r="D193" s="4">
        <v>100000</v>
      </c>
      <c r="E193" s="5">
        <v>0.67</v>
      </c>
    </row>
    <row r="194" spans="1:5" x14ac:dyDescent="0.25">
      <c r="A194" t="s">
        <v>626</v>
      </c>
      <c r="B194" t="s">
        <v>627</v>
      </c>
      <c r="C194" s="4">
        <v>85000</v>
      </c>
      <c r="D194" s="4">
        <v>100000</v>
      </c>
      <c r="E194" s="5">
        <v>0.67</v>
      </c>
    </row>
    <row r="195" spans="1:5" x14ac:dyDescent="0.25">
      <c r="A195" t="s">
        <v>628</v>
      </c>
      <c r="B195" t="s">
        <v>629</v>
      </c>
      <c r="C195" s="4">
        <v>85000</v>
      </c>
      <c r="D195" s="4">
        <v>100000</v>
      </c>
      <c r="E195" s="5">
        <v>0.67</v>
      </c>
    </row>
    <row r="196" spans="1:5" x14ac:dyDescent="0.25">
      <c r="A196" t="s">
        <v>630</v>
      </c>
      <c r="B196" t="s">
        <v>631</v>
      </c>
      <c r="C196" s="4">
        <v>85000</v>
      </c>
      <c r="D196" s="4">
        <v>100000</v>
      </c>
      <c r="E196" s="5">
        <v>0.67</v>
      </c>
    </row>
    <row r="197" spans="1:5" x14ac:dyDescent="0.25">
      <c r="A197" t="s">
        <v>632</v>
      </c>
      <c r="B197" t="s">
        <v>633</v>
      </c>
      <c r="C197" s="4">
        <v>85000</v>
      </c>
      <c r="D197" s="4">
        <v>100000</v>
      </c>
      <c r="E197" s="5">
        <v>0.67</v>
      </c>
    </row>
    <row r="198" spans="1:5" x14ac:dyDescent="0.25">
      <c r="A198" t="s">
        <v>634</v>
      </c>
      <c r="B198" t="s">
        <v>635</v>
      </c>
      <c r="C198" s="4">
        <v>85000</v>
      </c>
      <c r="D198" s="4">
        <v>100000</v>
      </c>
      <c r="E198" s="5">
        <v>0.67</v>
      </c>
    </row>
    <row r="199" spans="1:5" x14ac:dyDescent="0.25">
      <c r="A199" t="s">
        <v>636</v>
      </c>
      <c r="B199" t="s">
        <v>637</v>
      </c>
      <c r="C199" s="4">
        <v>85000</v>
      </c>
      <c r="D199" s="4">
        <v>100000</v>
      </c>
      <c r="E199" s="5">
        <v>0.67</v>
      </c>
    </row>
    <row r="200" spans="1:5" x14ac:dyDescent="0.25">
      <c r="A200" t="s">
        <v>638</v>
      </c>
      <c r="B200" t="s">
        <v>639</v>
      </c>
      <c r="C200" s="4">
        <v>85000</v>
      </c>
      <c r="D200" s="4">
        <v>100000</v>
      </c>
      <c r="E200" s="5">
        <v>0.67</v>
      </c>
    </row>
    <row r="201" spans="1:5" x14ac:dyDescent="0.25">
      <c r="A201" t="s">
        <v>640</v>
      </c>
      <c r="B201" t="s">
        <v>641</v>
      </c>
      <c r="C201" s="4">
        <v>85000</v>
      </c>
      <c r="D201" s="4">
        <v>100000</v>
      </c>
      <c r="E201" s="5">
        <v>0.67</v>
      </c>
    </row>
    <row r="202" spans="1:5" x14ac:dyDescent="0.25">
      <c r="A202" t="s">
        <v>642</v>
      </c>
      <c r="B202" t="s">
        <v>643</v>
      </c>
      <c r="C202" s="4">
        <v>85000</v>
      </c>
      <c r="D202" s="4">
        <v>100000</v>
      </c>
      <c r="E202" s="5">
        <v>0.67</v>
      </c>
    </row>
    <row r="203" spans="1:5" x14ac:dyDescent="0.25">
      <c r="A203" t="s">
        <v>644</v>
      </c>
      <c r="B203" t="s">
        <v>645</v>
      </c>
      <c r="C203" s="4">
        <v>85000</v>
      </c>
      <c r="D203" s="4">
        <v>100000</v>
      </c>
      <c r="E203" s="5">
        <v>0.67</v>
      </c>
    </row>
    <row r="204" spans="1:5" x14ac:dyDescent="0.25">
      <c r="A204" t="s">
        <v>646</v>
      </c>
      <c r="B204" t="s">
        <v>647</v>
      </c>
      <c r="C204" s="4">
        <v>85000</v>
      </c>
      <c r="D204" s="4">
        <v>100000</v>
      </c>
      <c r="E204" s="5">
        <v>0.67</v>
      </c>
    </row>
    <row r="205" spans="1:5" x14ac:dyDescent="0.25">
      <c r="A205" t="s">
        <v>648</v>
      </c>
      <c r="B205" t="s">
        <v>649</v>
      </c>
      <c r="C205" s="4">
        <v>85000</v>
      </c>
      <c r="D205" s="4">
        <v>100000</v>
      </c>
      <c r="E205" s="5">
        <v>0.67</v>
      </c>
    </row>
    <row r="206" spans="1:5" x14ac:dyDescent="0.25">
      <c r="A206" t="s">
        <v>650</v>
      </c>
      <c r="B206" t="s">
        <v>651</v>
      </c>
      <c r="C206" s="4">
        <v>85000</v>
      </c>
      <c r="D206" s="4">
        <v>100000</v>
      </c>
      <c r="E206" s="5">
        <v>0.67</v>
      </c>
    </row>
    <row r="207" spans="1:5" x14ac:dyDescent="0.25">
      <c r="A207" t="s">
        <v>652</v>
      </c>
      <c r="B207" t="s">
        <v>653</v>
      </c>
      <c r="C207" s="4">
        <v>85000</v>
      </c>
      <c r="D207" s="4">
        <v>100000</v>
      </c>
      <c r="E207" s="5">
        <v>0.67</v>
      </c>
    </row>
    <row r="208" spans="1:5" x14ac:dyDescent="0.25">
      <c r="A208" t="s">
        <v>654</v>
      </c>
      <c r="B208" t="s">
        <v>655</v>
      </c>
      <c r="C208" s="4">
        <v>85000</v>
      </c>
      <c r="D208" s="4">
        <v>100000</v>
      </c>
      <c r="E208" s="5">
        <v>0.67</v>
      </c>
    </row>
    <row r="209" spans="1:5" x14ac:dyDescent="0.25">
      <c r="A209" t="s">
        <v>656</v>
      </c>
      <c r="B209" t="s">
        <v>657</v>
      </c>
      <c r="C209" s="4">
        <v>85000</v>
      </c>
      <c r="D209" s="4">
        <v>100000</v>
      </c>
      <c r="E209" s="5">
        <v>0.67</v>
      </c>
    </row>
    <row r="210" spans="1:5" x14ac:dyDescent="0.25">
      <c r="A210" t="s">
        <v>658</v>
      </c>
      <c r="B210" t="s">
        <v>659</v>
      </c>
      <c r="C210" s="4">
        <v>85000</v>
      </c>
      <c r="D210" s="4">
        <v>100000</v>
      </c>
      <c r="E210" s="5">
        <v>0.67</v>
      </c>
    </row>
    <row r="211" spans="1:5" x14ac:dyDescent="0.25">
      <c r="A211" t="s">
        <v>660</v>
      </c>
      <c r="B211" t="s">
        <v>661</v>
      </c>
      <c r="C211" s="4">
        <v>85000</v>
      </c>
      <c r="D211" s="4">
        <v>100000</v>
      </c>
      <c r="E211" s="5">
        <v>0.67</v>
      </c>
    </row>
    <row r="212" spans="1:5" x14ac:dyDescent="0.25">
      <c r="A212" t="s">
        <v>662</v>
      </c>
      <c r="B212" t="s">
        <v>663</v>
      </c>
      <c r="C212" s="4">
        <v>85000</v>
      </c>
      <c r="D212" s="4">
        <v>100000</v>
      </c>
      <c r="E212" s="5">
        <v>0.67</v>
      </c>
    </row>
    <row r="213" spans="1:5" x14ac:dyDescent="0.25">
      <c r="A213" t="s">
        <v>664</v>
      </c>
      <c r="B213" t="s">
        <v>665</v>
      </c>
      <c r="C213" s="4">
        <v>85000</v>
      </c>
      <c r="D213" s="4">
        <v>100000</v>
      </c>
      <c r="E213" s="5">
        <v>0.67</v>
      </c>
    </row>
    <row r="214" spans="1:5" x14ac:dyDescent="0.25">
      <c r="A214" t="s">
        <v>666</v>
      </c>
      <c r="B214" t="s">
        <v>667</v>
      </c>
      <c r="C214" s="4">
        <v>85000</v>
      </c>
      <c r="D214" s="4">
        <v>100000</v>
      </c>
      <c r="E214" s="5">
        <v>0.67</v>
      </c>
    </row>
    <row r="215" spans="1:5" x14ac:dyDescent="0.25">
      <c r="A215" t="s">
        <v>668</v>
      </c>
      <c r="B215" t="s">
        <v>669</v>
      </c>
      <c r="C215" s="4">
        <v>85000</v>
      </c>
      <c r="D215" s="4">
        <v>100000</v>
      </c>
      <c r="E215" s="5">
        <v>0.67</v>
      </c>
    </row>
    <row r="216" spans="1:5" x14ac:dyDescent="0.25">
      <c r="A216" t="s">
        <v>670</v>
      </c>
      <c r="B216" t="s">
        <v>671</v>
      </c>
      <c r="C216" s="4">
        <v>85000</v>
      </c>
      <c r="D216" s="4">
        <v>100000</v>
      </c>
      <c r="E216" s="5">
        <v>0.67</v>
      </c>
    </row>
    <row r="217" spans="1:5" x14ac:dyDescent="0.25">
      <c r="A217" t="s">
        <v>672</v>
      </c>
      <c r="B217" t="s">
        <v>673</v>
      </c>
      <c r="C217" s="4">
        <v>85000</v>
      </c>
      <c r="D217" s="4">
        <v>100000</v>
      </c>
      <c r="E217" s="5">
        <v>0.67</v>
      </c>
    </row>
    <row r="218" spans="1:5" x14ac:dyDescent="0.25">
      <c r="A218" t="s">
        <v>674</v>
      </c>
      <c r="B218" t="s">
        <v>675</v>
      </c>
      <c r="C218" s="4">
        <v>85000</v>
      </c>
      <c r="D218" s="4">
        <v>100000</v>
      </c>
      <c r="E218" s="5">
        <v>0.67</v>
      </c>
    </row>
    <row r="219" spans="1:5" x14ac:dyDescent="0.25">
      <c r="A219" t="s">
        <v>676</v>
      </c>
      <c r="B219" t="s">
        <v>677</v>
      </c>
      <c r="C219" s="4">
        <v>85000</v>
      </c>
      <c r="D219" s="4">
        <v>100000</v>
      </c>
      <c r="E219" s="5">
        <v>0.67</v>
      </c>
    </row>
    <row r="220" spans="1:5" x14ac:dyDescent="0.25">
      <c r="A220" t="s">
        <v>678</v>
      </c>
      <c r="B220" t="s">
        <v>679</v>
      </c>
      <c r="C220" s="4">
        <v>85000</v>
      </c>
      <c r="D220" s="4">
        <v>100000</v>
      </c>
      <c r="E220" s="5">
        <v>0.67</v>
      </c>
    </row>
    <row r="221" spans="1:5" x14ac:dyDescent="0.25">
      <c r="A221" t="s">
        <v>680</v>
      </c>
      <c r="B221" t="s">
        <v>681</v>
      </c>
      <c r="C221" s="4">
        <v>85000</v>
      </c>
      <c r="D221" s="4">
        <v>100000</v>
      </c>
      <c r="E221" s="5">
        <v>0.67</v>
      </c>
    </row>
    <row r="222" spans="1:5" x14ac:dyDescent="0.25">
      <c r="A222" t="s">
        <v>682</v>
      </c>
      <c r="B222" t="s">
        <v>683</v>
      </c>
      <c r="C222" s="4">
        <v>85000</v>
      </c>
      <c r="D222" s="4">
        <v>100000</v>
      </c>
      <c r="E222" s="5">
        <v>0.67</v>
      </c>
    </row>
    <row r="223" spans="1:5" x14ac:dyDescent="0.25">
      <c r="A223" t="s">
        <v>684</v>
      </c>
      <c r="B223" t="s">
        <v>685</v>
      </c>
      <c r="C223" s="4">
        <v>85000</v>
      </c>
      <c r="D223" s="4">
        <v>100000</v>
      </c>
      <c r="E223" s="5">
        <v>0.67</v>
      </c>
    </row>
    <row r="224" spans="1:5" x14ac:dyDescent="0.25">
      <c r="A224" t="s">
        <v>686</v>
      </c>
      <c r="B224" t="s">
        <v>687</v>
      </c>
      <c r="C224" s="4">
        <v>85000</v>
      </c>
      <c r="D224" s="4">
        <v>100000</v>
      </c>
      <c r="E224" s="5">
        <v>0.67</v>
      </c>
    </row>
    <row r="225" spans="1:5" x14ac:dyDescent="0.25">
      <c r="A225" t="s">
        <v>688</v>
      </c>
      <c r="B225" t="s">
        <v>689</v>
      </c>
      <c r="C225" s="4">
        <v>85000</v>
      </c>
      <c r="D225" s="4">
        <v>100000</v>
      </c>
      <c r="E225" s="5">
        <v>0.67</v>
      </c>
    </row>
    <row r="226" spans="1:5" x14ac:dyDescent="0.25">
      <c r="A226" t="s">
        <v>690</v>
      </c>
      <c r="B226" t="s">
        <v>691</v>
      </c>
      <c r="C226" s="4">
        <v>85000</v>
      </c>
      <c r="D226" s="4">
        <v>100000</v>
      </c>
      <c r="E226" s="5">
        <v>0.67</v>
      </c>
    </row>
    <row r="227" spans="1:5" x14ac:dyDescent="0.25">
      <c r="A227" t="s">
        <v>692</v>
      </c>
      <c r="B227" t="s">
        <v>693</v>
      </c>
      <c r="C227" s="4">
        <v>85000</v>
      </c>
      <c r="D227" s="4">
        <v>100000</v>
      </c>
      <c r="E227" s="5">
        <v>0.67</v>
      </c>
    </row>
    <row r="228" spans="1:5" x14ac:dyDescent="0.25">
      <c r="A228" t="s">
        <v>694</v>
      </c>
      <c r="B228" t="s">
        <v>695</v>
      </c>
      <c r="C228" s="4">
        <v>85000</v>
      </c>
      <c r="D228" s="4">
        <v>100000</v>
      </c>
      <c r="E228" s="5">
        <v>0.67</v>
      </c>
    </row>
    <row r="229" spans="1:5" x14ac:dyDescent="0.25">
      <c r="A229" t="s">
        <v>696</v>
      </c>
      <c r="B229" t="s">
        <v>697</v>
      </c>
      <c r="C229" s="4">
        <v>85000</v>
      </c>
      <c r="D229" s="4">
        <v>100000</v>
      </c>
      <c r="E229" s="5">
        <v>0.67</v>
      </c>
    </row>
    <row r="230" spans="1:5" x14ac:dyDescent="0.25">
      <c r="A230" t="s">
        <v>698</v>
      </c>
      <c r="B230" t="s">
        <v>699</v>
      </c>
      <c r="C230" s="4">
        <v>85000</v>
      </c>
      <c r="D230" s="4">
        <v>100000</v>
      </c>
      <c r="E230" s="5">
        <v>0.67</v>
      </c>
    </row>
    <row r="231" spans="1:5" x14ac:dyDescent="0.25">
      <c r="A231" t="s">
        <v>700</v>
      </c>
      <c r="B231" t="s">
        <v>701</v>
      </c>
      <c r="C231" s="4">
        <v>85000</v>
      </c>
      <c r="D231" s="4">
        <v>100000</v>
      </c>
      <c r="E231" s="5">
        <v>0.67</v>
      </c>
    </row>
    <row r="232" spans="1:5" x14ac:dyDescent="0.25">
      <c r="A232" t="s">
        <v>702</v>
      </c>
      <c r="B232" t="s">
        <v>703</v>
      </c>
      <c r="C232" s="4">
        <v>85000</v>
      </c>
      <c r="D232" s="4">
        <v>100000</v>
      </c>
      <c r="E232" s="5">
        <v>0.67</v>
      </c>
    </row>
    <row r="233" spans="1:5" x14ac:dyDescent="0.25">
      <c r="A233" t="s">
        <v>704</v>
      </c>
      <c r="B233" t="s">
        <v>705</v>
      </c>
      <c r="C233" s="4">
        <v>85000</v>
      </c>
      <c r="D233" s="4">
        <v>100000</v>
      </c>
      <c r="E233" s="5">
        <v>0.67</v>
      </c>
    </row>
    <row r="234" spans="1:5" x14ac:dyDescent="0.25">
      <c r="A234" t="s">
        <v>706</v>
      </c>
      <c r="B234" t="s">
        <v>707</v>
      </c>
      <c r="C234" s="4">
        <v>85000</v>
      </c>
      <c r="D234" s="4">
        <v>100000</v>
      </c>
      <c r="E234" s="5">
        <v>0.67</v>
      </c>
    </row>
    <row r="235" spans="1:5" x14ac:dyDescent="0.25">
      <c r="A235" t="s">
        <v>708</v>
      </c>
      <c r="B235" t="s">
        <v>709</v>
      </c>
      <c r="C235" s="4">
        <v>85000</v>
      </c>
      <c r="D235" s="4">
        <v>100000</v>
      </c>
      <c r="E235" s="5">
        <v>0.67</v>
      </c>
    </row>
    <row r="236" spans="1:5" x14ac:dyDescent="0.25">
      <c r="A236" t="s">
        <v>710</v>
      </c>
      <c r="B236" t="s">
        <v>711</v>
      </c>
      <c r="C236" s="4">
        <v>85000</v>
      </c>
      <c r="D236" s="4">
        <v>100000</v>
      </c>
      <c r="E236" s="5">
        <v>0.67</v>
      </c>
    </row>
    <row r="237" spans="1:5" x14ac:dyDescent="0.25">
      <c r="A237" t="s">
        <v>712</v>
      </c>
      <c r="B237" t="s">
        <v>713</v>
      </c>
      <c r="C237" s="4">
        <v>85000</v>
      </c>
      <c r="D237" s="4">
        <v>100000</v>
      </c>
      <c r="E237" s="5">
        <v>0.67</v>
      </c>
    </row>
    <row r="238" spans="1:5" x14ac:dyDescent="0.25">
      <c r="A238" t="s">
        <v>714</v>
      </c>
      <c r="B238" t="s">
        <v>715</v>
      </c>
      <c r="C238" s="4">
        <v>85000</v>
      </c>
      <c r="D238" s="4">
        <v>100000</v>
      </c>
      <c r="E238" s="5">
        <v>0.67</v>
      </c>
    </row>
    <row r="239" spans="1:5" x14ac:dyDescent="0.25">
      <c r="A239" t="s">
        <v>716</v>
      </c>
      <c r="B239" t="s">
        <v>717</v>
      </c>
      <c r="C239" s="4">
        <v>85000</v>
      </c>
      <c r="D239" s="4">
        <v>100000</v>
      </c>
      <c r="E239" s="5">
        <v>0.67</v>
      </c>
    </row>
    <row r="240" spans="1:5" x14ac:dyDescent="0.25">
      <c r="A240" t="s">
        <v>718</v>
      </c>
      <c r="B240" t="s">
        <v>719</v>
      </c>
      <c r="C240" s="4">
        <v>85000</v>
      </c>
      <c r="D240" s="4">
        <v>100000</v>
      </c>
      <c r="E240" s="5">
        <v>0.67</v>
      </c>
    </row>
    <row r="241" spans="1:5" x14ac:dyDescent="0.25">
      <c r="A241" t="s">
        <v>720</v>
      </c>
      <c r="B241" t="s">
        <v>721</v>
      </c>
      <c r="C241" s="4">
        <v>85000</v>
      </c>
      <c r="D241" s="4">
        <v>100000</v>
      </c>
      <c r="E241" s="5">
        <v>0.67</v>
      </c>
    </row>
    <row r="242" spans="1:5" x14ac:dyDescent="0.25">
      <c r="A242" t="s">
        <v>722</v>
      </c>
      <c r="B242" t="s">
        <v>723</v>
      </c>
      <c r="C242" s="4">
        <v>85000</v>
      </c>
      <c r="D242" s="4">
        <v>100000</v>
      </c>
      <c r="E242" s="5">
        <v>0.67</v>
      </c>
    </row>
    <row r="243" spans="1:5" x14ac:dyDescent="0.25">
      <c r="A243" t="s">
        <v>724</v>
      </c>
      <c r="B243" t="s">
        <v>725</v>
      </c>
      <c r="C243" s="4">
        <v>85000</v>
      </c>
      <c r="D243" s="4">
        <v>100000</v>
      </c>
      <c r="E243" s="5">
        <v>0.67</v>
      </c>
    </row>
    <row r="244" spans="1:5" x14ac:dyDescent="0.25">
      <c r="A244" t="s">
        <v>726</v>
      </c>
      <c r="B244" t="s">
        <v>727</v>
      </c>
      <c r="C244" s="4">
        <v>85000</v>
      </c>
      <c r="D244" s="4">
        <v>100000</v>
      </c>
      <c r="E244" s="5">
        <v>0.67</v>
      </c>
    </row>
    <row r="245" spans="1:5" x14ac:dyDescent="0.25">
      <c r="A245" t="s">
        <v>728</v>
      </c>
      <c r="B245" t="s">
        <v>729</v>
      </c>
      <c r="C245" s="4">
        <v>85000</v>
      </c>
      <c r="D245" s="4">
        <v>100000</v>
      </c>
      <c r="E245" s="5">
        <v>0.67</v>
      </c>
    </row>
    <row r="246" spans="1:5" x14ac:dyDescent="0.25">
      <c r="A246" t="s">
        <v>730</v>
      </c>
      <c r="B246" t="s">
        <v>731</v>
      </c>
      <c r="C246" s="4">
        <v>85000</v>
      </c>
      <c r="D246" s="4">
        <v>100000</v>
      </c>
      <c r="E246" s="5">
        <v>0.67</v>
      </c>
    </row>
    <row r="247" spans="1:5" x14ac:dyDescent="0.25">
      <c r="A247" t="s">
        <v>732</v>
      </c>
      <c r="B247" t="s">
        <v>733</v>
      </c>
      <c r="C247" s="4">
        <v>85000</v>
      </c>
      <c r="D247" s="4">
        <v>100000</v>
      </c>
      <c r="E247" s="5">
        <v>0.67</v>
      </c>
    </row>
    <row r="248" spans="1:5" x14ac:dyDescent="0.25">
      <c r="A248" t="s">
        <v>734</v>
      </c>
      <c r="B248" t="s">
        <v>735</v>
      </c>
      <c r="C248" s="4">
        <v>85000</v>
      </c>
      <c r="D248" s="4">
        <v>100000</v>
      </c>
      <c r="E248" s="5">
        <v>0.67</v>
      </c>
    </row>
    <row r="249" spans="1:5" x14ac:dyDescent="0.25">
      <c r="A249" t="s">
        <v>736</v>
      </c>
      <c r="B249" t="s">
        <v>737</v>
      </c>
      <c r="C249" s="4">
        <v>85000</v>
      </c>
      <c r="D249" s="4">
        <v>100000</v>
      </c>
      <c r="E249" s="5">
        <v>0.67</v>
      </c>
    </row>
    <row r="250" spans="1:5" x14ac:dyDescent="0.25">
      <c r="A250" t="s">
        <v>738</v>
      </c>
      <c r="B250" t="s">
        <v>739</v>
      </c>
      <c r="C250" s="4">
        <v>85000</v>
      </c>
      <c r="D250" s="4">
        <v>100000</v>
      </c>
      <c r="E250" s="5">
        <v>0.67</v>
      </c>
    </row>
    <row r="251" spans="1:5" x14ac:dyDescent="0.25">
      <c r="A251" t="s">
        <v>740</v>
      </c>
      <c r="B251" t="s">
        <v>741</v>
      </c>
      <c r="C251" s="4">
        <v>85000</v>
      </c>
      <c r="D251" s="4">
        <v>100000</v>
      </c>
      <c r="E251" s="5">
        <v>0.67</v>
      </c>
    </row>
    <row r="252" spans="1:5" x14ac:dyDescent="0.25">
      <c r="A252" t="s">
        <v>742</v>
      </c>
      <c r="B252" t="s">
        <v>743</v>
      </c>
      <c r="C252" s="4">
        <v>85000</v>
      </c>
      <c r="D252" s="4">
        <v>100000</v>
      </c>
      <c r="E252" s="5">
        <v>0.67</v>
      </c>
    </row>
    <row r="253" spans="1:5" x14ac:dyDescent="0.25">
      <c r="A253" t="s">
        <v>744</v>
      </c>
      <c r="B253" t="s">
        <v>745</v>
      </c>
      <c r="C253" s="4">
        <v>85000</v>
      </c>
      <c r="D253" s="4">
        <v>100000</v>
      </c>
      <c r="E253" s="5">
        <v>0.67</v>
      </c>
    </row>
    <row r="254" spans="1:5" x14ac:dyDescent="0.25">
      <c r="A254" t="s">
        <v>746</v>
      </c>
      <c r="B254" t="s">
        <v>747</v>
      </c>
      <c r="C254" s="4">
        <v>85000</v>
      </c>
      <c r="D254" s="4">
        <v>100000</v>
      </c>
      <c r="E254" s="5">
        <v>0.67</v>
      </c>
    </row>
    <row r="255" spans="1:5" x14ac:dyDescent="0.25">
      <c r="A255" t="s">
        <v>748</v>
      </c>
      <c r="B255" t="s">
        <v>749</v>
      </c>
      <c r="C255" s="4">
        <v>85000</v>
      </c>
      <c r="D255" s="4">
        <v>100000</v>
      </c>
      <c r="E255" s="5">
        <v>0.67</v>
      </c>
    </row>
    <row r="256" spans="1:5" x14ac:dyDescent="0.25">
      <c r="A256" t="s">
        <v>750</v>
      </c>
      <c r="B256" t="s">
        <v>751</v>
      </c>
      <c r="C256" s="4">
        <v>85000</v>
      </c>
      <c r="D256" s="4">
        <v>100000</v>
      </c>
      <c r="E256" s="5">
        <v>0.67</v>
      </c>
    </row>
    <row r="257" spans="1:5" x14ac:dyDescent="0.25">
      <c r="A257" t="s">
        <v>752</v>
      </c>
      <c r="B257" t="s">
        <v>753</v>
      </c>
      <c r="C257" s="4">
        <v>85000</v>
      </c>
      <c r="D257" s="4">
        <v>100000</v>
      </c>
      <c r="E257" s="5">
        <v>0.67</v>
      </c>
    </row>
    <row r="258" spans="1:5" x14ac:dyDescent="0.25">
      <c r="A258" t="s">
        <v>754</v>
      </c>
      <c r="B258" t="s">
        <v>755</v>
      </c>
      <c r="C258" s="4">
        <v>85000</v>
      </c>
      <c r="D258" s="4">
        <v>100000</v>
      </c>
      <c r="E258" s="5">
        <v>0.67</v>
      </c>
    </row>
    <row r="259" spans="1:5" x14ac:dyDescent="0.25">
      <c r="A259" t="s">
        <v>756</v>
      </c>
      <c r="B259" t="s">
        <v>757</v>
      </c>
      <c r="C259" s="4">
        <v>85000</v>
      </c>
      <c r="D259" s="4">
        <v>100000</v>
      </c>
      <c r="E259" s="5">
        <v>0.67</v>
      </c>
    </row>
    <row r="260" spans="1:5" x14ac:dyDescent="0.25">
      <c r="A260" t="s">
        <v>758</v>
      </c>
      <c r="B260" t="s">
        <v>759</v>
      </c>
      <c r="C260" s="4">
        <v>85000</v>
      </c>
      <c r="D260" s="4">
        <v>100000</v>
      </c>
      <c r="E260" s="5">
        <v>0.67</v>
      </c>
    </row>
    <row r="261" spans="1:5" x14ac:dyDescent="0.25">
      <c r="A261" t="s">
        <v>760</v>
      </c>
      <c r="B261" t="s">
        <v>761</v>
      </c>
      <c r="C261" s="4">
        <v>85000</v>
      </c>
      <c r="D261" s="4">
        <v>100000</v>
      </c>
      <c r="E261" s="5">
        <v>0.67</v>
      </c>
    </row>
    <row r="262" spans="1:5" x14ac:dyDescent="0.25">
      <c r="A262" t="s">
        <v>762</v>
      </c>
      <c r="B262" t="s">
        <v>763</v>
      </c>
      <c r="C262" s="4">
        <v>85000</v>
      </c>
      <c r="D262" s="4">
        <v>100000</v>
      </c>
      <c r="E262" s="5">
        <v>0.67</v>
      </c>
    </row>
    <row r="263" spans="1:5" x14ac:dyDescent="0.25">
      <c r="A263" t="s">
        <v>764</v>
      </c>
      <c r="B263" t="s">
        <v>765</v>
      </c>
      <c r="C263" s="4">
        <v>85000</v>
      </c>
      <c r="D263" s="4">
        <v>100000</v>
      </c>
      <c r="E263" s="5">
        <v>0.67</v>
      </c>
    </row>
    <row r="264" spans="1:5" x14ac:dyDescent="0.25">
      <c r="A264" t="s">
        <v>766</v>
      </c>
      <c r="B264" t="s">
        <v>767</v>
      </c>
      <c r="C264" s="4">
        <v>85000</v>
      </c>
      <c r="D264" s="4">
        <v>100000</v>
      </c>
      <c r="E264" s="5">
        <v>0.67</v>
      </c>
    </row>
    <row r="265" spans="1:5" x14ac:dyDescent="0.25">
      <c r="A265" t="s">
        <v>768</v>
      </c>
      <c r="B265" t="s">
        <v>769</v>
      </c>
      <c r="C265" s="4">
        <v>85000</v>
      </c>
      <c r="D265" s="4">
        <v>100000</v>
      </c>
      <c r="E265" s="5">
        <v>0.67</v>
      </c>
    </row>
    <row r="266" spans="1:5" x14ac:dyDescent="0.25">
      <c r="A266" t="s">
        <v>770</v>
      </c>
      <c r="B266" t="s">
        <v>771</v>
      </c>
      <c r="C266" s="4">
        <v>85000</v>
      </c>
      <c r="D266" s="4">
        <v>100000</v>
      </c>
      <c r="E266" s="5">
        <v>0.67</v>
      </c>
    </row>
    <row r="267" spans="1:5" x14ac:dyDescent="0.25">
      <c r="A267" t="s">
        <v>772</v>
      </c>
      <c r="B267" t="s">
        <v>773</v>
      </c>
      <c r="C267" s="4">
        <v>85000</v>
      </c>
      <c r="D267" s="4">
        <v>100000</v>
      </c>
      <c r="E267" s="5">
        <v>0.67</v>
      </c>
    </row>
    <row r="268" spans="1:5" x14ac:dyDescent="0.25">
      <c r="A268" t="s">
        <v>774</v>
      </c>
      <c r="B268" t="s">
        <v>775</v>
      </c>
      <c r="C268" s="4">
        <v>85000</v>
      </c>
      <c r="D268" s="4">
        <v>100000</v>
      </c>
      <c r="E268" s="5">
        <v>0.67</v>
      </c>
    </row>
    <row r="269" spans="1:5" x14ac:dyDescent="0.25">
      <c r="A269" t="s">
        <v>776</v>
      </c>
      <c r="B269" t="s">
        <v>777</v>
      </c>
      <c r="C269" s="4">
        <v>85000</v>
      </c>
      <c r="D269" s="4">
        <v>100000</v>
      </c>
      <c r="E269" s="5">
        <v>0.67</v>
      </c>
    </row>
    <row r="270" spans="1:5" x14ac:dyDescent="0.25">
      <c r="A270" t="s">
        <v>778</v>
      </c>
      <c r="B270" t="s">
        <v>779</v>
      </c>
      <c r="C270" s="4">
        <v>85000</v>
      </c>
      <c r="D270" s="4">
        <v>100000</v>
      </c>
      <c r="E270" s="5">
        <v>0.67</v>
      </c>
    </row>
    <row r="271" spans="1:5" x14ac:dyDescent="0.25">
      <c r="A271" t="s">
        <v>780</v>
      </c>
      <c r="B271" t="s">
        <v>781</v>
      </c>
      <c r="C271" s="4">
        <v>85000</v>
      </c>
      <c r="D271" s="4">
        <v>100000</v>
      </c>
      <c r="E271" s="5">
        <v>0.67</v>
      </c>
    </row>
    <row r="272" spans="1:5" x14ac:dyDescent="0.25">
      <c r="A272" t="s">
        <v>782</v>
      </c>
      <c r="B272" t="s">
        <v>783</v>
      </c>
      <c r="C272" s="4">
        <v>85000</v>
      </c>
      <c r="D272" s="4">
        <v>100000</v>
      </c>
      <c r="E272" s="5">
        <v>0.67</v>
      </c>
    </row>
    <row r="273" spans="1:5" x14ac:dyDescent="0.25">
      <c r="A273" t="s">
        <v>784</v>
      </c>
      <c r="B273" t="s">
        <v>785</v>
      </c>
      <c r="C273" s="4">
        <v>85000</v>
      </c>
      <c r="D273" s="4">
        <v>100000</v>
      </c>
      <c r="E273" s="5">
        <v>0.67</v>
      </c>
    </row>
    <row r="274" spans="1:5" x14ac:dyDescent="0.25">
      <c r="A274" t="s">
        <v>786</v>
      </c>
      <c r="B274" t="s">
        <v>787</v>
      </c>
      <c r="C274" s="4">
        <v>85000</v>
      </c>
      <c r="D274" s="4">
        <v>100000</v>
      </c>
      <c r="E274" s="5">
        <v>0.67</v>
      </c>
    </row>
    <row r="275" spans="1:5" x14ac:dyDescent="0.25">
      <c r="A275" t="s">
        <v>788</v>
      </c>
      <c r="B275" t="s">
        <v>789</v>
      </c>
      <c r="C275" s="4">
        <v>85000</v>
      </c>
      <c r="D275" s="4">
        <v>100000</v>
      </c>
      <c r="E275" s="5">
        <v>0.67</v>
      </c>
    </row>
    <row r="276" spans="1:5" x14ac:dyDescent="0.25">
      <c r="A276" t="s">
        <v>790</v>
      </c>
      <c r="B276" t="s">
        <v>791</v>
      </c>
      <c r="C276" s="4">
        <v>85000</v>
      </c>
      <c r="D276" s="4">
        <v>100000</v>
      </c>
      <c r="E276" s="5">
        <v>0.67</v>
      </c>
    </row>
    <row r="277" spans="1:5" x14ac:dyDescent="0.25">
      <c r="A277" t="s">
        <v>792</v>
      </c>
      <c r="B277" t="s">
        <v>793</v>
      </c>
      <c r="C277" s="4">
        <v>85000</v>
      </c>
      <c r="D277" s="4">
        <v>100000</v>
      </c>
      <c r="E277" s="5">
        <v>0.67</v>
      </c>
    </row>
    <row r="278" spans="1:5" x14ac:dyDescent="0.25">
      <c r="A278" t="s">
        <v>794</v>
      </c>
      <c r="B278" t="s">
        <v>795</v>
      </c>
      <c r="C278" s="4">
        <v>85000</v>
      </c>
      <c r="D278" s="4">
        <v>100000</v>
      </c>
      <c r="E278" s="5">
        <v>0.67</v>
      </c>
    </row>
    <row r="279" spans="1:5" x14ac:dyDescent="0.25">
      <c r="A279" t="s">
        <v>796</v>
      </c>
      <c r="B279" t="s">
        <v>797</v>
      </c>
      <c r="C279" s="4">
        <v>85000</v>
      </c>
      <c r="D279" s="4">
        <v>100000</v>
      </c>
      <c r="E279" s="5">
        <v>0.67</v>
      </c>
    </row>
    <row r="280" spans="1:5" x14ac:dyDescent="0.25">
      <c r="A280" t="s">
        <v>798</v>
      </c>
      <c r="B280" t="s">
        <v>799</v>
      </c>
      <c r="C280" s="4">
        <v>85000</v>
      </c>
      <c r="D280" s="4">
        <v>100000</v>
      </c>
      <c r="E280" s="5">
        <v>0.67</v>
      </c>
    </row>
    <row r="281" spans="1:5" x14ac:dyDescent="0.25">
      <c r="A281" t="s">
        <v>800</v>
      </c>
      <c r="B281" t="s">
        <v>801</v>
      </c>
      <c r="C281" s="4">
        <v>85000</v>
      </c>
      <c r="D281" s="4">
        <v>100000</v>
      </c>
      <c r="E281" s="5">
        <v>0.67</v>
      </c>
    </row>
    <row r="282" spans="1:5" x14ac:dyDescent="0.25">
      <c r="A282" t="s">
        <v>802</v>
      </c>
      <c r="B282" t="s">
        <v>803</v>
      </c>
      <c r="C282" s="4">
        <v>85000</v>
      </c>
      <c r="D282" s="4">
        <v>100000</v>
      </c>
      <c r="E282" s="5">
        <v>0.67</v>
      </c>
    </row>
    <row r="283" spans="1:5" x14ac:dyDescent="0.25">
      <c r="A283" t="s">
        <v>804</v>
      </c>
      <c r="B283" t="s">
        <v>805</v>
      </c>
      <c r="C283" s="4">
        <v>85000</v>
      </c>
      <c r="D283" s="4">
        <v>100000</v>
      </c>
      <c r="E283" s="5">
        <v>0.67</v>
      </c>
    </row>
    <row r="284" spans="1:5" x14ac:dyDescent="0.25">
      <c r="A284" t="s">
        <v>806</v>
      </c>
      <c r="B284" t="s">
        <v>807</v>
      </c>
      <c r="C284" s="4">
        <v>85000</v>
      </c>
      <c r="D284" s="4">
        <v>100000</v>
      </c>
      <c r="E284" s="5">
        <v>0.67</v>
      </c>
    </row>
    <row r="285" spans="1:5" x14ac:dyDescent="0.25">
      <c r="A285" t="s">
        <v>808</v>
      </c>
      <c r="B285" t="s">
        <v>809</v>
      </c>
      <c r="C285" s="4">
        <v>85000</v>
      </c>
      <c r="D285" s="4">
        <v>100000</v>
      </c>
      <c r="E285" s="5">
        <v>0.67</v>
      </c>
    </row>
    <row r="286" spans="1:5" x14ac:dyDescent="0.25">
      <c r="A286" t="s">
        <v>810</v>
      </c>
      <c r="B286" t="s">
        <v>811</v>
      </c>
      <c r="C286" s="4">
        <v>85000</v>
      </c>
      <c r="D286" s="4">
        <v>100000</v>
      </c>
      <c r="E286" s="5">
        <v>0.67</v>
      </c>
    </row>
    <row r="287" spans="1:5" x14ac:dyDescent="0.25">
      <c r="A287" t="s">
        <v>812</v>
      </c>
      <c r="B287" t="s">
        <v>813</v>
      </c>
      <c r="C287" s="4">
        <v>85000</v>
      </c>
      <c r="D287" s="4">
        <v>100000</v>
      </c>
      <c r="E287" s="5">
        <v>0.67</v>
      </c>
    </row>
    <row r="288" spans="1:5" x14ac:dyDescent="0.25">
      <c r="A288" t="s">
        <v>814</v>
      </c>
      <c r="B288" t="s">
        <v>815</v>
      </c>
      <c r="C288" s="4">
        <v>85000</v>
      </c>
      <c r="D288" s="4">
        <v>100000</v>
      </c>
      <c r="E288" s="5">
        <v>0.67</v>
      </c>
    </row>
    <row r="289" spans="1:5" x14ac:dyDescent="0.25">
      <c r="A289" t="s">
        <v>816</v>
      </c>
      <c r="B289" t="s">
        <v>817</v>
      </c>
      <c r="C289" s="4">
        <v>85000</v>
      </c>
      <c r="D289" s="4">
        <v>100000</v>
      </c>
      <c r="E289" s="5">
        <v>0.67</v>
      </c>
    </row>
    <row r="290" spans="1:5" x14ac:dyDescent="0.25">
      <c r="A290" t="s">
        <v>818</v>
      </c>
      <c r="B290" t="s">
        <v>819</v>
      </c>
      <c r="C290" s="4">
        <v>85000</v>
      </c>
      <c r="D290" s="4">
        <v>100000</v>
      </c>
      <c r="E290" s="5">
        <v>0.67</v>
      </c>
    </row>
    <row r="291" spans="1:5" x14ac:dyDescent="0.25">
      <c r="A291" t="s">
        <v>820</v>
      </c>
      <c r="B291" t="s">
        <v>821</v>
      </c>
      <c r="C291" s="4">
        <v>85000</v>
      </c>
      <c r="D291" s="4">
        <v>100000</v>
      </c>
      <c r="E291" s="5">
        <v>0.67</v>
      </c>
    </row>
    <row r="292" spans="1:5" x14ac:dyDescent="0.25">
      <c r="A292" t="s">
        <v>822</v>
      </c>
      <c r="B292" t="s">
        <v>823</v>
      </c>
      <c r="C292" s="4">
        <v>85000</v>
      </c>
      <c r="D292" s="4">
        <v>100000</v>
      </c>
      <c r="E292" s="5">
        <v>0.67</v>
      </c>
    </row>
    <row r="293" spans="1:5" x14ac:dyDescent="0.25">
      <c r="A293" t="s">
        <v>824</v>
      </c>
      <c r="B293" t="s">
        <v>825</v>
      </c>
      <c r="C293" s="4">
        <v>85000</v>
      </c>
      <c r="D293" s="4">
        <v>100000</v>
      </c>
      <c r="E293" s="5">
        <v>0.67</v>
      </c>
    </row>
    <row r="294" spans="1:5" x14ac:dyDescent="0.25">
      <c r="A294" t="s">
        <v>826</v>
      </c>
      <c r="B294" t="s">
        <v>827</v>
      </c>
      <c r="C294" s="4">
        <v>85000</v>
      </c>
      <c r="D294" s="4">
        <v>100000</v>
      </c>
      <c r="E294" s="5">
        <v>0.67</v>
      </c>
    </row>
    <row r="295" spans="1:5" x14ac:dyDescent="0.25">
      <c r="A295" t="s">
        <v>828</v>
      </c>
      <c r="B295" t="s">
        <v>829</v>
      </c>
      <c r="C295" s="4">
        <v>85000</v>
      </c>
      <c r="D295" s="4">
        <v>100000</v>
      </c>
      <c r="E295" s="5">
        <v>0.67</v>
      </c>
    </row>
    <row r="296" spans="1:5" x14ac:dyDescent="0.25">
      <c r="A296" t="s">
        <v>830</v>
      </c>
      <c r="B296" t="s">
        <v>831</v>
      </c>
      <c r="C296" s="4">
        <v>85000</v>
      </c>
      <c r="D296" s="4">
        <v>100000</v>
      </c>
      <c r="E296" s="5">
        <v>0.67</v>
      </c>
    </row>
    <row r="297" spans="1:5" x14ac:dyDescent="0.25">
      <c r="A297" t="s">
        <v>832</v>
      </c>
      <c r="B297" t="s">
        <v>833</v>
      </c>
      <c r="C297" s="4">
        <v>85000</v>
      </c>
      <c r="D297" s="4">
        <v>100000</v>
      </c>
      <c r="E297" s="5">
        <v>0.67</v>
      </c>
    </row>
    <row r="298" spans="1:5" x14ac:dyDescent="0.25">
      <c r="A298" t="s">
        <v>834</v>
      </c>
      <c r="B298" t="s">
        <v>835</v>
      </c>
      <c r="C298" s="4">
        <v>85000</v>
      </c>
      <c r="D298" s="4">
        <v>100000</v>
      </c>
      <c r="E298" s="5">
        <v>0.67</v>
      </c>
    </row>
    <row r="299" spans="1:5" x14ac:dyDescent="0.25">
      <c r="A299" t="s">
        <v>836</v>
      </c>
      <c r="B299" t="s">
        <v>837</v>
      </c>
      <c r="C299" s="4">
        <v>85000</v>
      </c>
      <c r="D299" s="4">
        <v>100000</v>
      </c>
      <c r="E299" s="5">
        <v>0.67</v>
      </c>
    </row>
    <row r="300" spans="1:5" x14ac:dyDescent="0.25">
      <c r="A300" t="s">
        <v>838</v>
      </c>
      <c r="B300" t="s">
        <v>839</v>
      </c>
      <c r="C300" s="4">
        <v>85000</v>
      </c>
      <c r="D300" s="4">
        <v>100000</v>
      </c>
      <c r="E300" s="5">
        <v>0.67</v>
      </c>
    </row>
    <row r="301" spans="1:5" x14ac:dyDescent="0.25">
      <c r="A301" t="s">
        <v>840</v>
      </c>
      <c r="B301" t="s">
        <v>841</v>
      </c>
      <c r="C301" s="4">
        <v>85000</v>
      </c>
      <c r="D301" s="4">
        <v>100000</v>
      </c>
      <c r="E301" s="5">
        <v>0.67</v>
      </c>
    </row>
    <row r="302" spans="1:5" x14ac:dyDescent="0.25">
      <c r="A302" t="s">
        <v>842</v>
      </c>
      <c r="B302" t="s">
        <v>843</v>
      </c>
      <c r="C302" s="4">
        <v>85000</v>
      </c>
      <c r="D302" s="4">
        <v>100000</v>
      </c>
      <c r="E302" s="5">
        <v>0.67</v>
      </c>
    </row>
    <row r="303" spans="1:5" x14ac:dyDescent="0.25">
      <c r="A303" t="s">
        <v>844</v>
      </c>
      <c r="B303" t="s">
        <v>845</v>
      </c>
      <c r="C303" s="4">
        <v>85000</v>
      </c>
      <c r="D303" s="4">
        <v>100000</v>
      </c>
      <c r="E303" s="5">
        <v>0.67</v>
      </c>
    </row>
    <row r="304" spans="1:5" x14ac:dyDescent="0.25">
      <c r="A304" t="s">
        <v>846</v>
      </c>
      <c r="B304" t="s">
        <v>847</v>
      </c>
      <c r="C304" s="4">
        <v>85000</v>
      </c>
      <c r="D304" s="4">
        <v>100000</v>
      </c>
      <c r="E304" s="5">
        <v>0.67</v>
      </c>
    </row>
    <row r="305" spans="1:5" x14ac:dyDescent="0.25">
      <c r="A305" t="s">
        <v>848</v>
      </c>
      <c r="B305" t="s">
        <v>849</v>
      </c>
      <c r="C305" s="4">
        <v>85000</v>
      </c>
      <c r="D305" s="4">
        <v>100000</v>
      </c>
      <c r="E305" s="5">
        <v>0.67</v>
      </c>
    </row>
    <row r="306" spans="1:5" x14ac:dyDescent="0.25">
      <c r="A306" t="s">
        <v>850</v>
      </c>
      <c r="B306" t="s">
        <v>851</v>
      </c>
      <c r="C306" s="4">
        <v>85000</v>
      </c>
      <c r="D306" s="4">
        <v>100000</v>
      </c>
      <c r="E306" s="5">
        <v>0.67</v>
      </c>
    </row>
    <row r="307" spans="1:5" x14ac:dyDescent="0.25">
      <c r="A307" t="s">
        <v>852</v>
      </c>
      <c r="B307" t="s">
        <v>853</v>
      </c>
      <c r="C307" s="4">
        <v>85000</v>
      </c>
      <c r="D307" s="4">
        <v>100000</v>
      </c>
      <c r="E307" s="5">
        <v>0.67</v>
      </c>
    </row>
    <row r="308" spans="1:5" x14ac:dyDescent="0.25">
      <c r="A308" t="s">
        <v>854</v>
      </c>
      <c r="B308" t="s">
        <v>855</v>
      </c>
      <c r="C308" s="4">
        <v>85000</v>
      </c>
      <c r="D308" s="4">
        <v>100000</v>
      </c>
      <c r="E308" s="5">
        <v>0.67</v>
      </c>
    </row>
    <row r="309" spans="1:5" x14ac:dyDescent="0.25">
      <c r="A309" t="s">
        <v>856</v>
      </c>
      <c r="B309" t="s">
        <v>857</v>
      </c>
      <c r="C309" s="4">
        <v>85000</v>
      </c>
      <c r="D309" s="4">
        <v>100000</v>
      </c>
      <c r="E309" s="5">
        <v>0.67</v>
      </c>
    </row>
    <row r="310" spans="1:5" x14ac:dyDescent="0.25">
      <c r="A310" t="s">
        <v>858</v>
      </c>
      <c r="B310" t="s">
        <v>859</v>
      </c>
      <c r="C310" s="4">
        <v>85000</v>
      </c>
      <c r="D310" s="4">
        <v>100000</v>
      </c>
      <c r="E310" s="5">
        <v>0.67</v>
      </c>
    </row>
    <row r="311" spans="1:5" x14ac:dyDescent="0.25">
      <c r="A311" t="s">
        <v>860</v>
      </c>
      <c r="B311" t="s">
        <v>861</v>
      </c>
      <c r="C311" s="4">
        <v>85000</v>
      </c>
      <c r="D311" s="4">
        <v>100000</v>
      </c>
      <c r="E311" s="5">
        <v>0.67</v>
      </c>
    </row>
    <row r="312" spans="1:5" x14ac:dyDescent="0.25">
      <c r="A312" t="s">
        <v>862</v>
      </c>
      <c r="B312" t="s">
        <v>863</v>
      </c>
      <c r="C312" s="4">
        <v>85000</v>
      </c>
      <c r="D312" s="4">
        <v>100000</v>
      </c>
      <c r="E312" s="5">
        <v>0.67</v>
      </c>
    </row>
    <row r="313" spans="1:5" x14ac:dyDescent="0.25">
      <c r="A313" t="s">
        <v>864</v>
      </c>
      <c r="B313" t="s">
        <v>865</v>
      </c>
      <c r="C313" s="4">
        <v>85000</v>
      </c>
      <c r="D313" s="4">
        <v>100000</v>
      </c>
      <c r="E313" s="5">
        <v>0.67</v>
      </c>
    </row>
    <row r="314" spans="1:5" x14ac:dyDescent="0.25">
      <c r="A314" t="s">
        <v>866</v>
      </c>
      <c r="B314" t="s">
        <v>867</v>
      </c>
      <c r="C314" s="4">
        <v>85000</v>
      </c>
      <c r="D314" s="4">
        <v>100000</v>
      </c>
      <c r="E314" s="5">
        <v>0.67</v>
      </c>
    </row>
    <row r="315" spans="1:5" x14ac:dyDescent="0.25">
      <c r="A315" t="s">
        <v>868</v>
      </c>
      <c r="B315" t="s">
        <v>869</v>
      </c>
      <c r="C315" s="4">
        <v>85000</v>
      </c>
      <c r="D315" s="4">
        <v>100000</v>
      </c>
      <c r="E315" s="5">
        <v>0.67</v>
      </c>
    </row>
    <row r="316" spans="1:5" x14ac:dyDescent="0.25">
      <c r="A316" t="s">
        <v>870</v>
      </c>
      <c r="B316" t="s">
        <v>871</v>
      </c>
      <c r="C316" s="4">
        <v>85000</v>
      </c>
      <c r="D316" s="4">
        <v>100000</v>
      </c>
      <c r="E316" s="5">
        <v>0.67</v>
      </c>
    </row>
    <row r="317" spans="1:5" x14ac:dyDescent="0.25">
      <c r="A317" t="s">
        <v>872</v>
      </c>
      <c r="B317" t="s">
        <v>873</v>
      </c>
      <c r="C317" s="4">
        <v>85000</v>
      </c>
      <c r="D317" s="4">
        <v>100000</v>
      </c>
      <c r="E317" s="5">
        <v>0.67</v>
      </c>
    </row>
    <row r="318" spans="1:5" x14ac:dyDescent="0.25">
      <c r="A318" t="s">
        <v>874</v>
      </c>
      <c r="B318" t="s">
        <v>875</v>
      </c>
      <c r="C318" s="4">
        <v>85000</v>
      </c>
      <c r="D318" s="4">
        <v>100000</v>
      </c>
      <c r="E318" s="5">
        <v>0.67</v>
      </c>
    </row>
    <row r="319" spans="1:5" x14ac:dyDescent="0.25">
      <c r="A319" t="s">
        <v>876</v>
      </c>
      <c r="B319" t="s">
        <v>877</v>
      </c>
      <c r="C319" s="4">
        <v>85000</v>
      </c>
      <c r="D319" s="4">
        <v>100000</v>
      </c>
      <c r="E319" s="5">
        <v>0.67</v>
      </c>
    </row>
    <row r="320" spans="1:5" x14ac:dyDescent="0.25">
      <c r="A320" t="s">
        <v>878</v>
      </c>
      <c r="B320" t="s">
        <v>879</v>
      </c>
      <c r="C320" s="4">
        <v>85000</v>
      </c>
      <c r="D320" s="4">
        <v>100000</v>
      </c>
      <c r="E320" s="5">
        <v>0.67</v>
      </c>
    </row>
    <row r="321" spans="1:5" x14ac:dyDescent="0.25">
      <c r="A321" t="s">
        <v>880</v>
      </c>
      <c r="B321" t="s">
        <v>881</v>
      </c>
      <c r="C321" s="4">
        <v>85000</v>
      </c>
      <c r="D321" s="4">
        <v>100000</v>
      </c>
      <c r="E321" s="5">
        <v>0.67</v>
      </c>
    </row>
    <row r="322" spans="1:5" x14ac:dyDescent="0.25">
      <c r="A322" t="s">
        <v>882</v>
      </c>
      <c r="B322" t="s">
        <v>883</v>
      </c>
      <c r="C322" s="4">
        <v>85000</v>
      </c>
      <c r="D322" s="4">
        <v>100000</v>
      </c>
      <c r="E322" s="5">
        <v>0.67</v>
      </c>
    </row>
    <row r="323" spans="1:5" x14ac:dyDescent="0.25">
      <c r="A323" t="s">
        <v>884</v>
      </c>
      <c r="B323" t="s">
        <v>885</v>
      </c>
      <c r="C323" s="4">
        <v>85000</v>
      </c>
      <c r="D323" s="4">
        <v>100000</v>
      </c>
      <c r="E323" s="5">
        <v>0.67</v>
      </c>
    </row>
    <row r="324" spans="1:5" x14ac:dyDescent="0.25">
      <c r="A324" t="s">
        <v>886</v>
      </c>
      <c r="B324" t="s">
        <v>887</v>
      </c>
      <c r="C324" s="4">
        <v>85000</v>
      </c>
      <c r="D324" s="4">
        <v>100000</v>
      </c>
      <c r="E324" s="5">
        <v>0.67</v>
      </c>
    </row>
    <row r="325" spans="1:5" x14ac:dyDescent="0.25">
      <c r="A325" t="s">
        <v>888</v>
      </c>
      <c r="B325" t="s">
        <v>889</v>
      </c>
      <c r="C325" s="4">
        <v>85000</v>
      </c>
      <c r="D325" s="4">
        <v>100000</v>
      </c>
      <c r="E325" s="5">
        <v>0.67</v>
      </c>
    </row>
    <row r="326" spans="1:5" x14ac:dyDescent="0.25">
      <c r="A326" t="s">
        <v>890</v>
      </c>
      <c r="B326" t="s">
        <v>891</v>
      </c>
      <c r="C326" s="4">
        <v>85000</v>
      </c>
      <c r="D326" s="4">
        <v>100000</v>
      </c>
      <c r="E326" s="5">
        <v>0.67</v>
      </c>
    </row>
    <row r="327" spans="1:5" x14ac:dyDescent="0.25">
      <c r="A327" s="15" t="s">
        <v>892</v>
      </c>
      <c r="B327" t="s">
        <v>893</v>
      </c>
      <c r="C327" s="4">
        <v>85000</v>
      </c>
      <c r="D327" s="4">
        <v>100000</v>
      </c>
      <c r="E327" s="5">
        <v>0.67</v>
      </c>
    </row>
    <row r="328" spans="1:5" x14ac:dyDescent="0.25">
      <c r="A328" t="s">
        <v>894</v>
      </c>
      <c r="B328" t="s">
        <v>895</v>
      </c>
      <c r="C328" s="4">
        <v>85000</v>
      </c>
      <c r="D328" s="4">
        <v>100000</v>
      </c>
      <c r="E328" s="5">
        <v>0.67</v>
      </c>
    </row>
    <row r="329" spans="1:5" x14ac:dyDescent="0.25">
      <c r="A329" t="s">
        <v>896</v>
      </c>
      <c r="B329" t="s">
        <v>897</v>
      </c>
      <c r="C329" s="4">
        <v>85000</v>
      </c>
      <c r="D329" s="4">
        <v>100000</v>
      </c>
      <c r="E329" s="5">
        <v>0.67</v>
      </c>
    </row>
    <row r="330" spans="1:5" x14ac:dyDescent="0.25">
      <c r="A330" t="s">
        <v>898</v>
      </c>
      <c r="B330" t="s">
        <v>899</v>
      </c>
      <c r="C330" s="4">
        <v>85000</v>
      </c>
      <c r="D330" s="4">
        <v>100000</v>
      </c>
      <c r="E330" s="5">
        <v>0.67</v>
      </c>
    </row>
    <row r="331" spans="1:5" x14ac:dyDescent="0.25">
      <c r="A331" t="s">
        <v>900</v>
      </c>
      <c r="B331" t="s">
        <v>901</v>
      </c>
      <c r="C331" s="4">
        <v>85000</v>
      </c>
      <c r="D331" s="4">
        <v>100000</v>
      </c>
      <c r="E331" s="5">
        <v>0.67</v>
      </c>
    </row>
    <row r="332" spans="1:5" x14ac:dyDescent="0.25">
      <c r="A332" t="s">
        <v>902</v>
      </c>
      <c r="B332" t="s">
        <v>903</v>
      </c>
      <c r="C332" s="4">
        <v>85000</v>
      </c>
      <c r="D332" s="4">
        <v>100000</v>
      </c>
      <c r="E332" s="5">
        <v>0.67</v>
      </c>
    </row>
    <row r="333" spans="1:5" x14ac:dyDescent="0.25">
      <c r="A333" t="s">
        <v>904</v>
      </c>
      <c r="B333" t="s">
        <v>905</v>
      </c>
      <c r="C333" s="4">
        <v>85000</v>
      </c>
      <c r="D333" s="4">
        <v>100000</v>
      </c>
      <c r="E333" s="5">
        <v>0.67</v>
      </c>
    </row>
    <row r="334" spans="1:5" x14ac:dyDescent="0.25">
      <c r="A334" t="s">
        <v>906</v>
      </c>
      <c r="B334" t="s">
        <v>907</v>
      </c>
      <c r="C334" s="4">
        <v>85000</v>
      </c>
      <c r="D334" s="4">
        <v>100000</v>
      </c>
      <c r="E334" s="5">
        <v>0.67</v>
      </c>
    </row>
    <row r="335" spans="1:5" x14ac:dyDescent="0.25">
      <c r="A335" t="s">
        <v>908</v>
      </c>
      <c r="B335" t="s">
        <v>909</v>
      </c>
      <c r="C335" s="4">
        <v>85000</v>
      </c>
      <c r="D335" s="4">
        <v>100000</v>
      </c>
      <c r="E335" s="5">
        <v>0.67</v>
      </c>
    </row>
    <row r="336" spans="1:5" x14ac:dyDescent="0.25">
      <c r="A336" t="s">
        <v>910</v>
      </c>
      <c r="B336" t="s">
        <v>911</v>
      </c>
      <c r="C336" s="4">
        <v>85000</v>
      </c>
      <c r="D336" s="4">
        <v>100000</v>
      </c>
      <c r="E336" s="5">
        <v>0.67</v>
      </c>
    </row>
    <row r="337" spans="1:5" x14ac:dyDescent="0.25">
      <c r="A337" t="s">
        <v>912</v>
      </c>
      <c r="B337" t="s">
        <v>913</v>
      </c>
      <c r="C337" s="4">
        <v>85000</v>
      </c>
      <c r="D337" s="4">
        <v>100000</v>
      </c>
      <c r="E337" s="5">
        <v>0.67</v>
      </c>
    </row>
    <row r="338" spans="1:5" x14ac:dyDescent="0.25">
      <c r="A338" t="s">
        <v>914</v>
      </c>
      <c r="B338" t="s">
        <v>915</v>
      </c>
      <c r="C338" s="4">
        <v>85000</v>
      </c>
      <c r="D338" s="4">
        <v>100000</v>
      </c>
      <c r="E338" s="5">
        <v>0.67</v>
      </c>
    </row>
    <row r="339" spans="1:5" x14ac:dyDescent="0.25">
      <c r="A339" t="s">
        <v>916</v>
      </c>
      <c r="B339" t="s">
        <v>917</v>
      </c>
      <c r="C339" s="4">
        <v>85000</v>
      </c>
      <c r="D339" s="4">
        <v>100000</v>
      </c>
      <c r="E339" s="5">
        <v>0.67</v>
      </c>
    </row>
    <row r="340" spans="1:5" x14ac:dyDescent="0.25">
      <c r="A340" t="s">
        <v>918</v>
      </c>
      <c r="B340" t="s">
        <v>919</v>
      </c>
      <c r="C340" s="4">
        <v>85000</v>
      </c>
      <c r="D340" s="4">
        <v>100000</v>
      </c>
      <c r="E340" s="5">
        <v>0.67</v>
      </c>
    </row>
    <row r="341" spans="1:5" x14ac:dyDescent="0.25">
      <c r="A341" t="s">
        <v>920</v>
      </c>
      <c r="B341" t="s">
        <v>921</v>
      </c>
      <c r="C341" s="4">
        <v>85000</v>
      </c>
      <c r="D341" s="4">
        <v>100000</v>
      </c>
      <c r="E341" s="5">
        <v>0.67</v>
      </c>
    </row>
    <row r="342" spans="1:5" x14ac:dyDescent="0.25">
      <c r="A342" t="s">
        <v>922</v>
      </c>
      <c r="B342" t="s">
        <v>923</v>
      </c>
      <c r="C342" s="4">
        <v>85000</v>
      </c>
      <c r="D342" s="4">
        <v>100000</v>
      </c>
      <c r="E342" s="5">
        <v>0.67</v>
      </c>
    </row>
    <row r="343" spans="1:5" x14ac:dyDescent="0.25">
      <c r="A343" t="s">
        <v>924</v>
      </c>
      <c r="B343" t="s">
        <v>925</v>
      </c>
      <c r="C343" s="4">
        <v>85000</v>
      </c>
      <c r="D343" s="4">
        <v>100000</v>
      </c>
      <c r="E343" s="5">
        <v>0.67</v>
      </c>
    </row>
    <row r="344" spans="1:5" x14ac:dyDescent="0.25">
      <c r="A344" t="s">
        <v>926</v>
      </c>
      <c r="B344" t="s">
        <v>927</v>
      </c>
      <c r="C344" s="4">
        <v>85000</v>
      </c>
      <c r="D344" s="4">
        <v>100000</v>
      </c>
      <c r="E344" s="5">
        <v>0.67</v>
      </c>
    </row>
    <row r="345" spans="1:5" x14ac:dyDescent="0.25">
      <c r="A345" t="s">
        <v>928</v>
      </c>
      <c r="B345" t="s">
        <v>929</v>
      </c>
      <c r="C345" s="4">
        <v>85000</v>
      </c>
      <c r="D345" s="4">
        <v>100000</v>
      </c>
      <c r="E345" s="5">
        <v>0.67</v>
      </c>
    </row>
    <row r="346" spans="1:5" x14ac:dyDescent="0.25">
      <c r="A346" t="s">
        <v>930</v>
      </c>
      <c r="B346" t="s">
        <v>931</v>
      </c>
      <c r="C346" s="4">
        <v>85000</v>
      </c>
      <c r="D346" s="4">
        <v>100000</v>
      </c>
      <c r="E346" s="5">
        <v>0.67</v>
      </c>
    </row>
    <row r="347" spans="1:5" x14ac:dyDescent="0.25">
      <c r="A347" t="s">
        <v>932</v>
      </c>
      <c r="B347" t="s">
        <v>933</v>
      </c>
      <c r="C347" s="4">
        <v>85000</v>
      </c>
      <c r="D347" s="4">
        <v>100000</v>
      </c>
      <c r="E347" s="5">
        <v>0.67</v>
      </c>
    </row>
    <row r="348" spans="1:5" x14ac:dyDescent="0.25">
      <c r="A348" t="s">
        <v>934</v>
      </c>
      <c r="B348" t="s">
        <v>935</v>
      </c>
      <c r="C348" s="4">
        <v>85000</v>
      </c>
      <c r="D348" s="4">
        <v>100000</v>
      </c>
      <c r="E348" s="5">
        <v>0.67</v>
      </c>
    </row>
    <row r="349" spans="1:5" x14ac:dyDescent="0.25">
      <c r="A349" t="s">
        <v>936</v>
      </c>
      <c r="B349" t="s">
        <v>937</v>
      </c>
      <c r="C349" s="4">
        <v>85000</v>
      </c>
      <c r="D349" s="4">
        <v>100000</v>
      </c>
      <c r="E349" s="5">
        <v>0.67</v>
      </c>
    </row>
    <row r="350" spans="1:5" x14ac:dyDescent="0.25">
      <c r="A350" t="s">
        <v>938</v>
      </c>
      <c r="B350" t="s">
        <v>939</v>
      </c>
      <c r="C350" s="4">
        <v>85000</v>
      </c>
      <c r="D350" s="4">
        <v>100000</v>
      </c>
      <c r="E350" s="5">
        <v>0.67</v>
      </c>
    </row>
    <row r="351" spans="1:5" x14ac:dyDescent="0.25">
      <c r="A351" t="s">
        <v>940</v>
      </c>
      <c r="B351" t="s">
        <v>941</v>
      </c>
      <c r="C351" s="4">
        <v>85000</v>
      </c>
      <c r="D351" s="4">
        <v>100000</v>
      </c>
      <c r="E351" s="5">
        <v>0.67</v>
      </c>
    </row>
    <row r="352" spans="1:5" x14ac:dyDescent="0.25">
      <c r="A352" t="s">
        <v>942</v>
      </c>
      <c r="B352" t="s">
        <v>943</v>
      </c>
      <c r="C352" s="4">
        <v>85000</v>
      </c>
      <c r="D352" s="4">
        <v>100000</v>
      </c>
      <c r="E352" s="5">
        <v>0.67</v>
      </c>
    </row>
    <row r="353" spans="1:5" x14ac:dyDescent="0.25">
      <c r="A353" t="s">
        <v>944</v>
      </c>
      <c r="B353" t="s">
        <v>945</v>
      </c>
      <c r="C353" s="4">
        <v>85000</v>
      </c>
      <c r="D353" s="4">
        <v>100000</v>
      </c>
      <c r="E353" s="5">
        <v>0.67</v>
      </c>
    </row>
    <row r="354" spans="1:5" x14ac:dyDescent="0.25">
      <c r="A354" t="s">
        <v>946</v>
      </c>
      <c r="B354" t="s">
        <v>947</v>
      </c>
      <c r="C354" s="4">
        <v>85000</v>
      </c>
      <c r="D354" s="4">
        <v>100000</v>
      </c>
      <c r="E354" s="5">
        <v>0.67</v>
      </c>
    </row>
    <row r="355" spans="1:5" x14ac:dyDescent="0.25">
      <c r="A355" t="s">
        <v>948</v>
      </c>
      <c r="B355" t="s">
        <v>949</v>
      </c>
      <c r="C355" s="4">
        <v>85000</v>
      </c>
      <c r="D355" s="4">
        <v>100000</v>
      </c>
      <c r="E355" s="5">
        <v>0.67</v>
      </c>
    </row>
    <row r="356" spans="1:5" x14ac:dyDescent="0.25">
      <c r="A356" t="s">
        <v>950</v>
      </c>
      <c r="B356" t="s">
        <v>951</v>
      </c>
      <c r="C356" s="4">
        <v>85000</v>
      </c>
      <c r="D356" s="4">
        <v>100000</v>
      </c>
      <c r="E356" s="5">
        <v>0.67</v>
      </c>
    </row>
    <row r="357" spans="1:5" x14ac:dyDescent="0.25">
      <c r="A357" t="s">
        <v>952</v>
      </c>
      <c r="B357" t="s">
        <v>953</v>
      </c>
      <c r="C357" s="4">
        <v>85000</v>
      </c>
      <c r="D357" s="4">
        <v>100000</v>
      </c>
      <c r="E357" s="5">
        <v>0.67</v>
      </c>
    </row>
    <row r="358" spans="1:5" x14ac:dyDescent="0.25">
      <c r="A358" t="s">
        <v>954</v>
      </c>
      <c r="B358" t="s">
        <v>955</v>
      </c>
      <c r="C358" s="4">
        <v>85000</v>
      </c>
      <c r="D358" s="4">
        <v>100000</v>
      </c>
      <c r="E358" s="5">
        <v>0.67</v>
      </c>
    </row>
    <row r="359" spans="1:5" x14ac:dyDescent="0.25">
      <c r="A359" t="s">
        <v>956</v>
      </c>
      <c r="B359" t="s">
        <v>957</v>
      </c>
      <c r="C359" s="4">
        <v>85000</v>
      </c>
      <c r="D359" s="4">
        <v>100000</v>
      </c>
      <c r="E359" s="5">
        <v>0.67</v>
      </c>
    </row>
    <row r="360" spans="1:5" x14ac:dyDescent="0.25">
      <c r="A360" t="s">
        <v>958</v>
      </c>
      <c r="B360" t="s">
        <v>959</v>
      </c>
      <c r="C360" s="4">
        <v>85000</v>
      </c>
      <c r="D360" s="4">
        <v>100000</v>
      </c>
      <c r="E360" s="5">
        <v>0.67</v>
      </c>
    </row>
    <row r="361" spans="1:5" x14ac:dyDescent="0.25">
      <c r="A361" t="s">
        <v>960</v>
      </c>
      <c r="B361" t="s">
        <v>961</v>
      </c>
      <c r="C361" s="4">
        <v>85000</v>
      </c>
      <c r="D361" s="4">
        <v>100000</v>
      </c>
      <c r="E361" s="5">
        <v>0.67</v>
      </c>
    </row>
    <row r="362" spans="1:5" x14ac:dyDescent="0.25">
      <c r="A362" t="s">
        <v>962</v>
      </c>
      <c r="B362" t="s">
        <v>963</v>
      </c>
      <c r="C362" s="4">
        <v>85000</v>
      </c>
      <c r="D362" s="4">
        <v>100000</v>
      </c>
      <c r="E362" s="5">
        <v>0.67</v>
      </c>
    </row>
    <row r="363" spans="1:5" x14ac:dyDescent="0.25">
      <c r="A363" t="s">
        <v>964</v>
      </c>
      <c r="B363" t="s">
        <v>965</v>
      </c>
      <c r="C363" s="4">
        <v>85000</v>
      </c>
      <c r="D363" s="4">
        <v>100000</v>
      </c>
      <c r="E363" s="5">
        <v>0.67</v>
      </c>
    </row>
    <row r="364" spans="1:5" x14ac:dyDescent="0.25">
      <c r="A364" t="s">
        <v>966</v>
      </c>
      <c r="B364" t="s">
        <v>967</v>
      </c>
      <c r="C364" s="4">
        <v>85000</v>
      </c>
      <c r="D364" s="4">
        <v>100000</v>
      </c>
      <c r="E364" s="5">
        <v>0.67</v>
      </c>
    </row>
    <row r="365" spans="1:5" x14ac:dyDescent="0.25">
      <c r="A365" t="s">
        <v>968</v>
      </c>
      <c r="B365" t="s">
        <v>969</v>
      </c>
      <c r="C365" s="4">
        <v>85000</v>
      </c>
      <c r="D365" s="4">
        <v>100000</v>
      </c>
      <c r="E365" s="5">
        <v>0.67</v>
      </c>
    </row>
    <row r="366" spans="1:5" x14ac:dyDescent="0.25">
      <c r="A366" t="s">
        <v>970</v>
      </c>
      <c r="B366" t="s">
        <v>971</v>
      </c>
      <c r="C366" s="4">
        <v>85000</v>
      </c>
      <c r="D366" s="4">
        <v>100000</v>
      </c>
      <c r="E366" s="5">
        <v>0.67</v>
      </c>
    </row>
    <row r="367" spans="1:5" x14ac:dyDescent="0.25">
      <c r="A367" t="s">
        <v>972</v>
      </c>
      <c r="B367" t="s">
        <v>973</v>
      </c>
      <c r="C367" s="4">
        <v>85000</v>
      </c>
      <c r="D367" s="4">
        <v>100000</v>
      </c>
      <c r="E367" s="5">
        <v>0.67</v>
      </c>
    </row>
    <row r="368" spans="1:5" x14ac:dyDescent="0.25">
      <c r="A368" t="s">
        <v>974</v>
      </c>
      <c r="B368" t="s">
        <v>975</v>
      </c>
      <c r="C368" s="4">
        <v>85000</v>
      </c>
      <c r="D368" s="4">
        <v>100000</v>
      </c>
      <c r="E368" s="5">
        <v>0.67</v>
      </c>
    </row>
    <row r="369" spans="1:5" x14ac:dyDescent="0.25">
      <c r="A369" t="s">
        <v>976</v>
      </c>
      <c r="B369" t="s">
        <v>977</v>
      </c>
      <c r="C369" s="4">
        <v>85000</v>
      </c>
      <c r="D369" s="4">
        <v>100000</v>
      </c>
      <c r="E369" s="5">
        <v>0.67</v>
      </c>
    </row>
    <row r="370" spans="1:5" x14ac:dyDescent="0.25">
      <c r="A370" t="s">
        <v>978</v>
      </c>
      <c r="B370" t="s">
        <v>979</v>
      </c>
      <c r="C370" s="4">
        <v>85000</v>
      </c>
      <c r="D370" s="4">
        <v>100000</v>
      </c>
      <c r="E370" s="5">
        <v>0.67</v>
      </c>
    </row>
    <row r="371" spans="1:5" x14ac:dyDescent="0.25">
      <c r="A371" t="s">
        <v>980</v>
      </c>
      <c r="B371" t="s">
        <v>981</v>
      </c>
      <c r="C371" s="4">
        <v>85000</v>
      </c>
      <c r="D371" s="4">
        <v>100000</v>
      </c>
      <c r="E371" s="5">
        <v>0.67</v>
      </c>
    </row>
    <row r="372" spans="1:5" x14ac:dyDescent="0.25">
      <c r="A372" t="s">
        <v>982</v>
      </c>
      <c r="B372" t="s">
        <v>983</v>
      </c>
      <c r="C372" s="4">
        <v>85000</v>
      </c>
      <c r="D372" s="4">
        <v>100000</v>
      </c>
      <c r="E372" s="5">
        <v>0.67</v>
      </c>
    </row>
    <row r="373" spans="1:5" x14ac:dyDescent="0.25">
      <c r="A373" t="s">
        <v>984</v>
      </c>
      <c r="B373" t="s">
        <v>985</v>
      </c>
      <c r="C373" s="4">
        <v>85000</v>
      </c>
      <c r="D373" s="4">
        <v>100000</v>
      </c>
      <c r="E373" s="5">
        <v>0.67</v>
      </c>
    </row>
    <row r="374" spans="1:5" x14ac:dyDescent="0.25">
      <c r="A374" t="s">
        <v>986</v>
      </c>
      <c r="B374" t="s">
        <v>987</v>
      </c>
      <c r="C374" s="4">
        <v>85000</v>
      </c>
      <c r="D374" s="4">
        <v>100000</v>
      </c>
      <c r="E374" s="5">
        <v>0.67</v>
      </c>
    </row>
    <row r="375" spans="1:5" x14ac:dyDescent="0.25">
      <c r="A375" t="s">
        <v>988</v>
      </c>
      <c r="B375" t="s">
        <v>989</v>
      </c>
      <c r="C375" s="4">
        <v>85000</v>
      </c>
      <c r="D375" s="4">
        <v>100000</v>
      </c>
      <c r="E375" s="5">
        <v>0.67</v>
      </c>
    </row>
    <row r="376" spans="1:5" x14ac:dyDescent="0.25">
      <c r="A376" t="s">
        <v>990</v>
      </c>
      <c r="B376" t="s">
        <v>991</v>
      </c>
      <c r="C376" s="4">
        <v>85000</v>
      </c>
      <c r="D376" s="4">
        <v>100000</v>
      </c>
      <c r="E376" s="5">
        <v>0.67</v>
      </c>
    </row>
    <row r="377" spans="1:5" x14ac:dyDescent="0.25">
      <c r="A377" t="s">
        <v>992</v>
      </c>
      <c r="B377" t="s">
        <v>993</v>
      </c>
      <c r="C377" s="4">
        <v>85000</v>
      </c>
      <c r="D377" s="4">
        <v>100000</v>
      </c>
      <c r="E377" s="5">
        <v>0.67</v>
      </c>
    </row>
    <row r="378" spans="1:5" x14ac:dyDescent="0.25">
      <c r="A378" t="s">
        <v>994</v>
      </c>
      <c r="B378" t="s">
        <v>995</v>
      </c>
      <c r="C378" s="4">
        <v>85000</v>
      </c>
      <c r="D378" s="4">
        <v>100000</v>
      </c>
      <c r="E378" s="5">
        <v>0.67</v>
      </c>
    </row>
    <row r="379" spans="1:5" x14ac:dyDescent="0.25">
      <c r="A379" t="s">
        <v>996</v>
      </c>
      <c r="B379" t="s">
        <v>997</v>
      </c>
      <c r="C379" s="4">
        <v>85000</v>
      </c>
      <c r="D379" s="4">
        <v>100000</v>
      </c>
      <c r="E379" s="5">
        <v>0.67</v>
      </c>
    </row>
    <row r="380" spans="1:5" x14ac:dyDescent="0.25">
      <c r="A380" t="s">
        <v>998</v>
      </c>
      <c r="B380" t="s">
        <v>999</v>
      </c>
      <c r="C380" s="4">
        <v>85000</v>
      </c>
      <c r="D380" s="4">
        <v>100000</v>
      </c>
      <c r="E380" s="5">
        <v>0.67</v>
      </c>
    </row>
    <row r="381" spans="1:5" x14ac:dyDescent="0.25">
      <c r="A381" t="s">
        <v>1000</v>
      </c>
      <c r="B381" t="s">
        <v>1001</v>
      </c>
      <c r="C381" s="4">
        <v>85000</v>
      </c>
      <c r="D381" s="4">
        <v>100000</v>
      </c>
      <c r="E381" s="5">
        <v>0.67</v>
      </c>
    </row>
    <row r="382" spans="1:5" x14ac:dyDescent="0.25">
      <c r="A382" t="s">
        <v>1002</v>
      </c>
      <c r="B382" t="s">
        <v>1003</v>
      </c>
      <c r="C382" s="4">
        <v>85000</v>
      </c>
      <c r="D382" s="4">
        <v>100000</v>
      </c>
      <c r="E382" s="5">
        <v>0.67</v>
      </c>
    </row>
    <row r="383" spans="1:5" x14ac:dyDescent="0.25">
      <c r="A383" t="s">
        <v>1004</v>
      </c>
      <c r="B383" t="s">
        <v>1005</v>
      </c>
      <c r="C383" s="4">
        <v>85000</v>
      </c>
      <c r="D383" s="4">
        <v>100000</v>
      </c>
      <c r="E383" s="5">
        <v>0.67</v>
      </c>
    </row>
    <row r="384" spans="1:5" x14ac:dyDescent="0.25">
      <c r="A384" t="s">
        <v>1006</v>
      </c>
      <c r="B384" t="s">
        <v>1007</v>
      </c>
      <c r="C384" s="4">
        <v>85000</v>
      </c>
      <c r="D384" s="4">
        <v>100000</v>
      </c>
      <c r="E384" s="5">
        <v>0.67</v>
      </c>
    </row>
    <row r="385" spans="1:5" x14ac:dyDescent="0.25">
      <c r="A385" t="s">
        <v>1008</v>
      </c>
      <c r="B385" t="s">
        <v>1009</v>
      </c>
      <c r="C385" s="4">
        <v>85000</v>
      </c>
      <c r="D385" s="4">
        <v>100000</v>
      </c>
      <c r="E385" s="5">
        <v>0.67</v>
      </c>
    </row>
    <row r="386" spans="1:5" x14ac:dyDescent="0.25">
      <c r="A386" t="s">
        <v>1010</v>
      </c>
      <c r="B386" t="s">
        <v>1011</v>
      </c>
      <c r="C386" s="4">
        <v>85000</v>
      </c>
      <c r="D386" s="4">
        <v>100000</v>
      </c>
      <c r="E386" s="5">
        <v>0.67</v>
      </c>
    </row>
    <row r="387" spans="1:5" x14ac:dyDescent="0.25">
      <c r="A387" t="s">
        <v>1012</v>
      </c>
      <c r="B387" t="s">
        <v>1013</v>
      </c>
      <c r="C387" s="4">
        <v>85000</v>
      </c>
      <c r="D387" s="4">
        <v>100000</v>
      </c>
      <c r="E387" s="5">
        <v>0.67</v>
      </c>
    </row>
    <row r="388" spans="1:5" x14ac:dyDescent="0.25">
      <c r="A388" t="s">
        <v>1014</v>
      </c>
      <c r="B388" t="s">
        <v>1015</v>
      </c>
      <c r="C388" s="4">
        <v>85000</v>
      </c>
      <c r="D388" s="4">
        <v>100000</v>
      </c>
      <c r="E388" s="5">
        <v>0.67</v>
      </c>
    </row>
    <row r="389" spans="1:5" x14ac:dyDescent="0.25">
      <c r="A389" t="s">
        <v>1016</v>
      </c>
      <c r="B389" t="s">
        <v>1017</v>
      </c>
      <c r="C389" s="4">
        <v>85000</v>
      </c>
      <c r="D389" s="4">
        <v>100000</v>
      </c>
      <c r="E389" s="5">
        <v>0.67</v>
      </c>
    </row>
    <row r="390" spans="1:5" x14ac:dyDescent="0.25">
      <c r="A390" t="s">
        <v>1018</v>
      </c>
      <c r="B390" t="s">
        <v>1019</v>
      </c>
      <c r="C390" s="4">
        <v>85000</v>
      </c>
      <c r="D390" s="4">
        <v>100000</v>
      </c>
      <c r="E390" s="5">
        <v>0.67</v>
      </c>
    </row>
    <row r="391" spans="1:5" x14ac:dyDescent="0.25">
      <c r="A391" t="s">
        <v>1020</v>
      </c>
      <c r="B391" t="s">
        <v>1021</v>
      </c>
      <c r="C391" s="4">
        <v>85000</v>
      </c>
      <c r="D391" s="4">
        <v>100000</v>
      </c>
      <c r="E391" s="5">
        <v>0.67</v>
      </c>
    </row>
    <row r="392" spans="1:5" x14ac:dyDescent="0.25">
      <c r="A392" t="s">
        <v>1022</v>
      </c>
      <c r="B392" t="s">
        <v>1023</v>
      </c>
      <c r="C392" s="4">
        <v>85000</v>
      </c>
      <c r="D392" s="4">
        <v>100000</v>
      </c>
      <c r="E392" s="5">
        <v>0.67</v>
      </c>
    </row>
    <row r="393" spans="1:5" x14ac:dyDescent="0.25">
      <c r="A393" t="s">
        <v>1024</v>
      </c>
      <c r="B393" t="s">
        <v>1025</v>
      </c>
      <c r="C393" s="4">
        <v>85000</v>
      </c>
      <c r="D393" s="4">
        <v>100000</v>
      </c>
      <c r="E393" s="5">
        <v>0.67</v>
      </c>
    </row>
    <row r="394" spans="1:5" x14ac:dyDescent="0.25">
      <c r="A394" t="s">
        <v>1026</v>
      </c>
      <c r="B394" t="s">
        <v>1027</v>
      </c>
      <c r="C394" s="4">
        <v>85000</v>
      </c>
      <c r="D394" s="4">
        <v>100000</v>
      </c>
      <c r="E394" s="5">
        <v>0.67</v>
      </c>
    </row>
    <row r="395" spans="1:5" x14ac:dyDescent="0.25">
      <c r="A395" t="s">
        <v>1028</v>
      </c>
      <c r="B395" t="s">
        <v>1029</v>
      </c>
      <c r="C395" s="4">
        <v>85000</v>
      </c>
      <c r="D395" s="4">
        <v>100000</v>
      </c>
      <c r="E395" s="5">
        <v>0.67</v>
      </c>
    </row>
    <row r="396" spans="1:5" x14ac:dyDescent="0.25">
      <c r="A396" t="s">
        <v>1030</v>
      </c>
      <c r="B396" t="s">
        <v>1031</v>
      </c>
      <c r="C396" s="4">
        <v>85000</v>
      </c>
      <c r="D396" s="4">
        <v>100000</v>
      </c>
      <c r="E396" s="5">
        <v>0.67</v>
      </c>
    </row>
    <row r="397" spans="1:5" x14ac:dyDescent="0.25">
      <c r="A397" t="s">
        <v>1032</v>
      </c>
      <c r="B397" t="s">
        <v>1033</v>
      </c>
      <c r="C397" s="4">
        <v>85000</v>
      </c>
      <c r="D397" s="4">
        <v>100000</v>
      </c>
      <c r="E397" s="5">
        <v>0.67</v>
      </c>
    </row>
    <row r="398" spans="1:5" x14ac:dyDescent="0.25">
      <c r="A398" t="s">
        <v>1034</v>
      </c>
      <c r="B398" t="s">
        <v>1035</v>
      </c>
      <c r="C398" s="4">
        <v>85000</v>
      </c>
      <c r="D398" s="4">
        <v>100000</v>
      </c>
      <c r="E398" s="5">
        <v>0.67</v>
      </c>
    </row>
    <row r="399" spans="1:5" x14ac:dyDescent="0.25">
      <c r="A399" t="s">
        <v>1036</v>
      </c>
      <c r="B399" t="s">
        <v>1037</v>
      </c>
      <c r="C399" s="4">
        <v>85000</v>
      </c>
      <c r="D399" s="4">
        <v>100000</v>
      </c>
      <c r="E399" s="5">
        <v>0.67</v>
      </c>
    </row>
    <row r="400" spans="1:5" x14ac:dyDescent="0.25">
      <c r="A400" t="s">
        <v>1038</v>
      </c>
      <c r="B400" t="s">
        <v>1039</v>
      </c>
      <c r="C400" s="4">
        <v>85000</v>
      </c>
      <c r="D400" s="4">
        <v>100000</v>
      </c>
      <c r="E400" s="5">
        <v>0.67</v>
      </c>
    </row>
    <row r="401" spans="1:5" x14ac:dyDescent="0.25">
      <c r="A401" t="s">
        <v>1040</v>
      </c>
      <c r="B401" t="s">
        <v>1041</v>
      </c>
      <c r="C401" s="4">
        <v>85000</v>
      </c>
      <c r="D401" s="4">
        <v>100000</v>
      </c>
      <c r="E401" s="5">
        <v>0.67</v>
      </c>
    </row>
    <row r="402" spans="1:5" x14ac:dyDescent="0.25">
      <c r="A402" t="s">
        <v>1042</v>
      </c>
      <c r="B402" t="s">
        <v>1043</v>
      </c>
      <c r="C402" s="4">
        <v>85000</v>
      </c>
      <c r="D402" s="4">
        <v>100000</v>
      </c>
      <c r="E402" s="5">
        <v>0.67</v>
      </c>
    </row>
    <row r="403" spans="1:5" x14ac:dyDescent="0.25">
      <c r="A403" t="s">
        <v>1044</v>
      </c>
      <c r="B403" t="s">
        <v>1045</v>
      </c>
      <c r="C403" s="4">
        <v>85000</v>
      </c>
      <c r="D403" s="4">
        <v>100000</v>
      </c>
      <c r="E403" s="5">
        <v>0.67</v>
      </c>
    </row>
    <row r="404" spans="1:5" x14ac:dyDescent="0.25">
      <c r="A404" t="s">
        <v>1046</v>
      </c>
      <c r="B404" t="s">
        <v>1047</v>
      </c>
      <c r="C404" s="4">
        <v>85000</v>
      </c>
      <c r="D404" s="4">
        <v>100000</v>
      </c>
      <c r="E404" s="5">
        <v>0.67</v>
      </c>
    </row>
    <row r="405" spans="1:5" x14ac:dyDescent="0.25">
      <c r="A405" t="s">
        <v>1048</v>
      </c>
      <c r="B405" t="s">
        <v>1049</v>
      </c>
      <c r="C405" s="4">
        <v>85000</v>
      </c>
      <c r="D405" s="4">
        <v>100000</v>
      </c>
      <c r="E405" s="5">
        <v>0.67</v>
      </c>
    </row>
    <row r="406" spans="1:5" x14ac:dyDescent="0.25">
      <c r="A406" t="s">
        <v>1050</v>
      </c>
      <c r="B406" t="s">
        <v>1051</v>
      </c>
      <c r="C406" s="4">
        <v>85000</v>
      </c>
      <c r="D406" s="4">
        <v>100000</v>
      </c>
      <c r="E406" s="5">
        <v>0.67</v>
      </c>
    </row>
    <row r="407" spans="1:5" x14ac:dyDescent="0.25">
      <c r="A407" t="s">
        <v>1052</v>
      </c>
      <c r="B407" t="s">
        <v>1053</v>
      </c>
      <c r="C407" s="4">
        <v>85000</v>
      </c>
      <c r="D407" s="4">
        <v>100000</v>
      </c>
      <c r="E407" s="5">
        <v>0.67</v>
      </c>
    </row>
    <row r="408" spans="1:5" x14ac:dyDescent="0.25">
      <c r="A408" t="s">
        <v>1054</v>
      </c>
      <c r="B408" t="s">
        <v>1055</v>
      </c>
      <c r="C408" s="4">
        <v>85000</v>
      </c>
      <c r="D408" s="4">
        <v>100000</v>
      </c>
      <c r="E408" s="5">
        <v>0.67</v>
      </c>
    </row>
    <row r="409" spans="1:5" x14ac:dyDescent="0.25">
      <c r="A409" t="s">
        <v>1056</v>
      </c>
      <c r="B409" t="s">
        <v>1057</v>
      </c>
      <c r="C409" s="4">
        <v>85000</v>
      </c>
      <c r="D409" s="4">
        <v>100000</v>
      </c>
      <c r="E409" s="5">
        <v>0.67</v>
      </c>
    </row>
    <row r="410" spans="1:5" x14ac:dyDescent="0.25">
      <c r="A410" t="s">
        <v>1058</v>
      </c>
      <c r="B410" t="s">
        <v>1059</v>
      </c>
      <c r="C410" s="4">
        <v>85000</v>
      </c>
      <c r="D410" s="4">
        <v>100000</v>
      </c>
      <c r="E410" s="5">
        <v>0.67</v>
      </c>
    </row>
    <row r="411" spans="1:5" x14ac:dyDescent="0.25">
      <c r="A411" t="s">
        <v>1060</v>
      </c>
      <c r="B411" t="s">
        <v>1061</v>
      </c>
      <c r="C411" s="4">
        <v>85000</v>
      </c>
      <c r="D411" s="4">
        <v>100000</v>
      </c>
      <c r="E411" s="5">
        <v>0.67</v>
      </c>
    </row>
    <row r="412" spans="1:5" x14ac:dyDescent="0.25">
      <c r="A412" t="s">
        <v>1062</v>
      </c>
      <c r="B412" t="s">
        <v>1063</v>
      </c>
      <c r="C412" s="4">
        <v>85000</v>
      </c>
      <c r="D412" s="4">
        <v>100000</v>
      </c>
      <c r="E412" s="5">
        <v>0.67</v>
      </c>
    </row>
    <row r="413" spans="1:5" x14ac:dyDescent="0.25">
      <c r="A413" t="s">
        <v>1064</v>
      </c>
      <c r="B413" t="s">
        <v>1065</v>
      </c>
      <c r="C413" s="4">
        <v>85000</v>
      </c>
      <c r="D413" s="4">
        <v>100000</v>
      </c>
      <c r="E413" s="5">
        <v>0.67</v>
      </c>
    </row>
    <row r="414" spans="1:5" x14ac:dyDescent="0.25">
      <c r="A414" t="s">
        <v>1066</v>
      </c>
      <c r="B414" t="s">
        <v>1067</v>
      </c>
      <c r="C414" s="4">
        <v>85000</v>
      </c>
      <c r="D414" s="4">
        <v>100000</v>
      </c>
      <c r="E414" s="5">
        <v>0.67</v>
      </c>
    </row>
    <row r="415" spans="1:5" x14ac:dyDescent="0.25">
      <c r="A415" t="s">
        <v>1068</v>
      </c>
      <c r="B415" t="s">
        <v>1069</v>
      </c>
      <c r="C415" s="4">
        <v>85000</v>
      </c>
      <c r="D415" s="4">
        <v>100000</v>
      </c>
      <c r="E415" s="5">
        <v>0.67</v>
      </c>
    </row>
    <row r="416" spans="1:5" x14ac:dyDescent="0.25">
      <c r="A416" t="s">
        <v>1070</v>
      </c>
      <c r="B416" t="s">
        <v>1071</v>
      </c>
      <c r="C416" s="4">
        <v>85000</v>
      </c>
      <c r="D416" s="4">
        <v>100000</v>
      </c>
      <c r="E416" s="5">
        <v>0.67</v>
      </c>
    </row>
    <row r="417" spans="1:5" x14ac:dyDescent="0.25">
      <c r="A417" t="s">
        <v>1072</v>
      </c>
      <c r="B417" t="s">
        <v>1073</v>
      </c>
      <c r="C417" s="4">
        <v>85000</v>
      </c>
      <c r="D417" s="4">
        <v>100000</v>
      </c>
      <c r="E417" s="5">
        <v>0.67</v>
      </c>
    </row>
    <row r="418" spans="1:5" x14ac:dyDescent="0.25">
      <c r="A418" t="s">
        <v>1074</v>
      </c>
      <c r="B418" t="s">
        <v>1075</v>
      </c>
      <c r="C418" s="4">
        <v>85000</v>
      </c>
      <c r="D418" s="4">
        <v>100000</v>
      </c>
      <c r="E418" s="5">
        <v>0.67</v>
      </c>
    </row>
    <row r="419" spans="1:5" x14ac:dyDescent="0.25">
      <c r="A419" t="s">
        <v>1076</v>
      </c>
      <c r="B419" t="s">
        <v>1077</v>
      </c>
      <c r="C419" s="4">
        <v>85000</v>
      </c>
      <c r="D419" s="4">
        <v>100000</v>
      </c>
      <c r="E419" s="5">
        <v>0.67</v>
      </c>
    </row>
    <row r="420" spans="1:5" x14ac:dyDescent="0.25">
      <c r="A420" t="s">
        <v>1078</v>
      </c>
      <c r="B420" t="s">
        <v>1079</v>
      </c>
      <c r="C420" s="4">
        <v>85000</v>
      </c>
      <c r="D420" s="4">
        <v>100000</v>
      </c>
      <c r="E420" s="5">
        <v>0.67</v>
      </c>
    </row>
    <row r="421" spans="1:5" x14ac:dyDescent="0.25">
      <c r="A421" t="s">
        <v>1080</v>
      </c>
      <c r="B421" t="s">
        <v>1081</v>
      </c>
      <c r="C421" s="4">
        <v>85000</v>
      </c>
      <c r="D421" s="4">
        <v>100000</v>
      </c>
      <c r="E421" s="5">
        <v>0.67</v>
      </c>
    </row>
    <row r="422" spans="1:5" x14ac:dyDescent="0.25">
      <c r="A422" t="s">
        <v>1082</v>
      </c>
      <c r="B422" t="s">
        <v>1083</v>
      </c>
      <c r="C422" s="4">
        <v>85000</v>
      </c>
      <c r="D422" s="4">
        <v>100000</v>
      </c>
      <c r="E422" s="5">
        <v>0.67</v>
      </c>
    </row>
    <row r="423" spans="1:5" x14ac:dyDescent="0.25">
      <c r="A423" t="s">
        <v>1084</v>
      </c>
      <c r="B423" t="s">
        <v>1085</v>
      </c>
      <c r="C423" s="4">
        <v>85000</v>
      </c>
      <c r="D423" s="4">
        <v>100000</v>
      </c>
      <c r="E423" s="5">
        <v>0.67</v>
      </c>
    </row>
    <row r="424" spans="1:5" x14ac:dyDescent="0.25">
      <c r="A424" t="s">
        <v>1086</v>
      </c>
      <c r="B424" t="s">
        <v>1087</v>
      </c>
      <c r="C424" s="4">
        <v>85000</v>
      </c>
      <c r="D424" s="4">
        <v>100000</v>
      </c>
      <c r="E424" s="5">
        <v>0.67</v>
      </c>
    </row>
    <row r="425" spans="1:5" x14ac:dyDescent="0.25">
      <c r="A425" t="s">
        <v>1088</v>
      </c>
      <c r="B425" t="s">
        <v>1089</v>
      </c>
      <c r="C425" s="4">
        <v>85000</v>
      </c>
      <c r="D425" s="4">
        <v>100000</v>
      </c>
      <c r="E425" s="5">
        <v>0.67</v>
      </c>
    </row>
    <row r="426" spans="1:5" x14ac:dyDescent="0.25">
      <c r="A426" t="s">
        <v>1090</v>
      </c>
      <c r="B426" t="s">
        <v>1091</v>
      </c>
      <c r="C426" s="4">
        <v>85000</v>
      </c>
      <c r="D426" s="4">
        <v>100000</v>
      </c>
      <c r="E426" s="5">
        <v>0.67</v>
      </c>
    </row>
    <row r="427" spans="1:5" x14ac:dyDescent="0.25">
      <c r="A427" t="s">
        <v>1092</v>
      </c>
      <c r="B427" t="s">
        <v>1093</v>
      </c>
      <c r="C427" s="4">
        <v>85000</v>
      </c>
      <c r="D427" s="4">
        <v>100000</v>
      </c>
      <c r="E427" s="5">
        <v>0.67</v>
      </c>
    </row>
    <row r="428" spans="1:5" x14ac:dyDescent="0.25">
      <c r="A428" t="s">
        <v>1094</v>
      </c>
      <c r="B428" t="s">
        <v>1095</v>
      </c>
      <c r="C428" s="4">
        <v>85000</v>
      </c>
      <c r="D428" s="4">
        <v>100000</v>
      </c>
      <c r="E428" s="5">
        <v>0.67</v>
      </c>
    </row>
    <row r="429" spans="1:5" x14ac:dyDescent="0.25">
      <c r="A429" t="s">
        <v>1096</v>
      </c>
      <c r="B429" t="s">
        <v>1097</v>
      </c>
      <c r="C429" s="4">
        <v>85000</v>
      </c>
      <c r="D429" s="4">
        <v>100000</v>
      </c>
      <c r="E429" s="5">
        <v>0.67</v>
      </c>
    </row>
    <row r="430" spans="1:5" x14ac:dyDescent="0.25">
      <c r="A430" t="s">
        <v>1098</v>
      </c>
      <c r="B430" t="s">
        <v>1099</v>
      </c>
      <c r="C430" s="4">
        <v>85000</v>
      </c>
      <c r="D430" s="4">
        <v>100000</v>
      </c>
      <c r="E430" s="5">
        <v>0.67</v>
      </c>
    </row>
    <row r="431" spans="1:5" x14ac:dyDescent="0.25">
      <c r="A431" t="s">
        <v>1100</v>
      </c>
      <c r="B431" t="s">
        <v>1101</v>
      </c>
      <c r="C431" s="4">
        <v>85000</v>
      </c>
      <c r="D431" s="4">
        <v>100000</v>
      </c>
      <c r="E431" s="5">
        <v>0.67</v>
      </c>
    </row>
    <row r="432" spans="1:5" x14ac:dyDescent="0.25">
      <c r="A432" t="s">
        <v>1102</v>
      </c>
      <c r="B432" t="s">
        <v>1103</v>
      </c>
      <c r="C432" s="4">
        <v>85000</v>
      </c>
      <c r="D432" s="4">
        <v>100000</v>
      </c>
      <c r="E432" s="5">
        <v>0.67</v>
      </c>
    </row>
    <row r="433" spans="1:5" x14ac:dyDescent="0.25">
      <c r="A433" t="s">
        <v>1104</v>
      </c>
      <c r="B433" t="s">
        <v>1105</v>
      </c>
      <c r="C433" s="4">
        <v>85000</v>
      </c>
      <c r="D433" s="4">
        <v>100000</v>
      </c>
      <c r="E433" s="5">
        <v>0.67</v>
      </c>
    </row>
    <row r="434" spans="1:5" x14ac:dyDescent="0.25">
      <c r="A434" t="s">
        <v>1106</v>
      </c>
      <c r="B434" t="s">
        <v>1107</v>
      </c>
      <c r="C434" s="4">
        <v>85000</v>
      </c>
      <c r="D434" s="4">
        <v>100000</v>
      </c>
      <c r="E434" s="5">
        <v>0.67</v>
      </c>
    </row>
    <row r="435" spans="1:5" x14ac:dyDescent="0.25">
      <c r="A435" t="s">
        <v>1108</v>
      </c>
      <c r="B435" t="s">
        <v>1109</v>
      </c>
      <c r="C435" s="4">
        <v>85000</v>
      </c>
      <c r="D435" s="4">
        <v>100000</v>
      </c>
      <c r="E435" s="5">
        <v>0.67</v>
      </c>
    </row>
    <row r="436" spans="1:5" x14ac:dyDescent="0.25">
      <c r="A436" t="s">
        <v>1110</v>
      </c>
      <c r="B436" t="s">
        <v>1111</v>
      </c>
      <c r="C436" s="4">
        <v>85000</v>
      </c>
      <c r="D436" s="4">
        <v>100000</v>
      </c>
      <c r="E436" s="5">
        <v>0.67</v>
      </c>
    </row>
    <row r="437" spans="1:5" x14ac:dyDescent="0.25">
      <c r="A437" t="s">
        <v>1112</v>
      </c>
      <c r="B437" t="s">
        <v>1113</v>
      </c>
      <c r="C437" s="4">
        <v>85000</v>
      </c>
      <c r="D437" s="4">
        <v>100000</v>
      </c>
      <c r="E437" s="5">
        <v>0.67</v>
      </c>
    </row>
    <row r="438" spans="1:5" x14ac:dyDescent="0.25">
      <c r="A438" t="s">
        <v>1114</v>
      </c>
      <c r="B438" t="s">
        <v>1115</v>
      </c>
      <c r="C438" s="4">
        <v>85000</v>
      </c>
      <c r="D438" s="4">
        <v>100000</v>
      </c>
      <c r="E438" s="5">
        <v>0.67</v>
      </c>
    </row>
    <row r="439" spans="1:5" x14ac:dyDescent="0.25">
      <c r="A439" t="s">
        <v>1116</v>
      </c>
      <c r="B439" t="s">
        <v>1117</v>
      </c>
      <c r="C439" s="4">
        <v>85000</v>
      </c>
      <c r="D439" s="4">
        <v>100000</v>
      </c>
      <c r="E439" s="5">
        <v>0.67</v>
      </c>
    </row>
    <row r="440" spans="1:5" x14ac:dyDescent="0.25">
      <c r="A440" t="s">
        <v>1118</v>
      </c>
      <c r="B440" t="s">
        <v>1119</v>
      </c>
      <c r="C440" s="4">
        <v>85000</v>
      </c>
      <c r="D440" s="4">
        <v>100000</v>
      </c>
      <c r="E440" s="5">
        <v>0.67</v>
      </c>
    </row>
    <row r="441" spans="1:5" x14ac:dyDescent="0.25">
      <c r="A441" t="s">
        <v>1120</v>
      </c>
      <c r="B441" t="s">
        <v>1121</v>
      </c>
      <c r="C441" s="4">
        <v>85000</v>
      </c>
      <c r="D441" s="4">
        <v>100000</v>
      </c>
      <c r="E441" s="5">
        <v>0.67</v>
      </c>
    </row>
    <row r="442" spans="1:5" x14ac:dyDescent="0.25">
      <c r="A442" t="s">
        <v>1122</v>
      </c>
      <c r="B442" t="s">
        <v>1123</v>
      </c>
      <c r="C442" s="4">
        <v>85000</v>
      </c>
      <c r="D442" s="4">
        <v>100000</v>
      </c>
      <c r="E442" s="5">
        <v>0.67</v>
      </c>
    </row>
    <row r="443" spans="1:5" x14ac:dyDescent="0.25">
      <c r="A443" t="s">
        <v>1124</v>
      </c>
      <c r="B443" t="s">
        <v>1125</v>
      </c>
      <c r="C443" s="4">
        <v>85000</v>
      </c>
      <c r="D443" s="4">
        <v>100000</v>
      </c>
      <c r="E443" s="5">
        <v>0.67</v>
      </c>
    </row>
    <row r="444" spans="1:5" x14ac:dyDescent="0.25">
      <c r="A444" t="s">
        <v>1126</v>
      </c>
      <c r="B444" t="s">
        <v>1127</v>
      </c>
      <c r="C444" s="4">
        <v>85000</v>
      </c>
      <c r="D444" s="4">
        <v>100000</v>
      </c>
      <c r="E444" s="5">
        <v>0.67</v>
      </c>
    </row>
    <row r="445" spans="1:5" x14ac:dyDescent="0.25">
      <c r="A445" t="s">
        <v>1128</v>
      </c>
      <c r="B445" t="s">
        <v>1129</v>
      </c>
      <c r="C445" s="4">
        <v>85000</v>
      </c>
      <c r="D445" s="4">
        <v>100000</v>
      </c>
      <c r="E445" s="5">
        <v>0.67</v>
      </c>
    </row>
    <row r="446" spans="1:5" x14ac:dyDescent="0.25">
      <c r="A446" t="s">
        <v>1130</v>
      </c>
      <c r="B446" t="s">
        <v>1131</v>
      </c>
      <c r="C446" s="4">
        <v>85000</v>
      </c>
      <c r="D446" s="4">
        <v>100000</v>
      </c>
      <c r="E446" s="5">
        <v>0.67</v>
      </c>
    </row>
    <row r="447" spans="1:5" x14ac:dyDescent="0.25">
      <c r="A447" t="s">
        <v>1132</v>
      </c>
      <c r="B447" t="s">
        <v>1133</v>
      </c>
      <c r="C447" s="4">
        <v>85000</v>
      </c>
      <c r="D447" s="4">
        <v>100000</v>
      </c>
      <c r="E447" s="5">
        <v>0.67</v>
      </c>
    </row>
    <row r="448" spans="1:5" x14ac:dyDescent="0.25">
      <c r="A448" t="s">
        <v>1134</v>
      </c>
      <c r="B448" t="s">
        <v>1135</v>
      </c>
      <c r="C448" s="4">
        <v>85000</v>
      </c>
      <c r="D448" s="4">
        <v>100000</v>
      </c>
      <c r="E448" s="5">
        <v>0.67</v>
      </c>
    </row>
    <row r="449" spans="1:5" x14ac:dyDescent="0.25">
      <c r="A449" t="s">
        <v>1136</v>
      </c>
      <c r="B449" t="s">
        <v>1137</v>
      </c>
      <c r="C449" s="4">
        <v>85000</v>
      </c>
      <c r="D449" s="4">
        <v>100000</v>
      </c>
      <c r="E449" s="5">
        <v>0.67</v>
      </c>
    </row>
    <row r="450" spans="1:5" x14ac:dyDescent="0.25">
      <c r="A450" t="s">
        <v>1138</v>
      </c>
      <c r="B450" t="s">
        <v>1139</v>
      </c>
      <c r="C450" s="4">
        <v>85000</v>
      </c>
      <c r="D450" s="4">
        <v>100000</v>
      </c>
      <c r="E450" s="5">
        <v>0.67</v>
      </c>
    </row>
    <row r="451" spans="1:5" x14ac:dyDescent="0.25">
      <c r="A451" t="s">
        <v>1140</v>
      </c>
      <c r="B451" t="s">
        <v>1141</v>
      </c>
      <c r="C451" s="4">
        <v>85000</v>
      </c>
      <c r="D451" s="4">
        <v>100000</v>
      </c>
      <c r="E451" s="5">
        <v>0.67</v>
      </c>
    </row>
    <row r="452" spans="1:5" x14ac:dyDescent="0.25">
      <c r="A452" t="s">
        <v>1142</v>
      </c>
      <c r="B452" t="s">
        <v>1143</v>
      </c>
      <c r="C452" s="4">
        <v>85000</v>
      </c>
      <c r="D452" s="4">
        <v>100000</v>
      </c>
      <c r="E452" s="5">
        <v>0.67</v>
      </c>
    </row>
    <row r="453" spans="1:5" x14ac:dyDescent="0.25">
      <c r="A453" t="s">
        <v>1144</v>
      </c>
      <c r="B453" t="s">
        <v>1145</v>
      </c>
      <c r="C453" s="4">
        <v>85000</v>
      </c>
      <c r="D453" s="4">
        <v>100000</v>
      </c>
      <c r="E453" s="5">
        <v>0.67</v>
      </c>
    </row>
    <row r="454" spans="1:5" x14ac:dyDescent="0.25">
      <c r="A454" t="s">
        <v>1146</v>
      </c>
      <c r="B454" t="s">
        <v>1147</v>
      </c>
      <c r="C454" s="4">
        <v>85000</v>
      </c>
      <c r="D454" s="4">
        <v>100000</v>
      </c>
      <c r="E454" s="5">
        <v>0.67</v>
      </c>
    </row>
    <row r="455" spans="1:5" x14ac:dyDescent="0.25">
      <c r="A455" t="s">
        <v>1148</v>
      </c>
      <c r="B455" t="s">
        <v>1149</v>
      </c>
      <c r="C455" s="4">
        <v>85000</v>
      </c>
      <c r="D455" s="4">
        <v>100000</v>
      </c>
      <c r="E455" s="5">
        <v>0.67</v>
      </c>
    </row>
    <row r="456" spans="1:5" x14ac:dyDescent="0.25">
      <c r="A456" t="s">
        <v>1150</v>
      </c>
      <c r="B456" t="s">
        <v>1151</v>
      </c>
      <c r="C456" s="4">
        <v>85000</v>
      </c>
      <c r="D456" s="4">
        <v>100000</v>
      </c>
      <c r="E456" s="5">
        <v>0.67</v>
      </c>
    </row>
    <row r="457" spans="1:5" x14ac:dyDescent="0.25">
      <c r="A457" t="s">
        <v>1152</v>
      </c>
      <c r="B457" t="s">
        <v>1153</v>
      </c>
      <c r="C457" s="4">
        <v>85000</v>
      </c>
      <c r="D457" s="4">
        <v>100000</v>
      </c>
      <c r="E457" s="5">
        <v>0.67</v>
      </c>
    </row>
    <row r="458" spans="1:5" x14ac:dyDescent="0.25">
      <c r="A458" t="s">
        <v>1154</v>
      </c>
      <c r="B458" t="s">
        <v>1155</v>
      </c>
      <c r="C458" s="4">
        <v>85000</v>
      </c>
      <c r="D458" s="4">
        <v>100000</v>
      </c>
      <c r="E458" s="5">
        <v>0.67</v>
      </c>
    </row>
    <row r="459" spans="1:5" x14ac:dyDescent="0.25">
      <c r="A459" t="s">
        <v>1156</v>
      </c>
      <c r="B459" t="s">
        <v>1157</v>
      </c>
      <c r="C459" s="4">
        <v>85000</v>
      </c>
      <c r="D459" s="4">
        <v>100000</v>
      </c>
      <c r="E459" s="5">
        <v>0.67</v>
      </c>
    </row>
    <row r="460" spans="1:5" x14ac:dyDescent="0.25">
      <c r="A460" t="s">
        <v>1158</v>
      </c>
      <c r="B460" t="s">
        <v>1159</v>
      </c>
      <c r="C460" s="4">
        <v>85000</v>
      </c>
      <c r="D460" s="4">
        <v>100000</v>
      </c>
      <c r="E460" s="5">
        <v>0.67</v>
      </c>
    </row>
    <row r="461" spans="1:5" x14ac:dyDescent="0.25">
      <c r="A461" t="s">
        <v>1160</v>
      </c>
      <c r="B461" t="s">
        <v>1161</v>
      </c>
      <c r="C461" s="4">
        <v>85000</v>
      </c>
      <c r="D461" s="4">
        <v>100000</v>
      </c>
      <c r="E461" s="5">
        <v>0.67</v>
      </c>
    </row>
    <row r="462" spans="1:5" x14ac:dyDescent="0.25">
      <c r="A462" t="s">
        <v>1162</v>
      </c>
      <c r="B462" t="s">
        <v>1163</v>
      </c>
      <c r="C462" s="4">
        <v>85000</v>
      </c>
      <c r="D462" s="4">
        <v>100000</v>
      </c>
      <c r="E462" s="5">
        <v>0.67</v>
      </c>
    </row>
    <row r="463" spans="1:5" x14ac:dyDescent="0.25">
      <c r="A463" t="s">
        <v>1164</v>
      </c>
      <c r="B463" t="s">
        <v>1165</v>
      </c>
      <c r="C463" s="4">
        <v>85000</v>
      </c>
      <c r="D463" s="4">
        <v>100000</v>
      </c>
      <c r="E463" s="5">
        <v>0.67</v>
      </c>
    </row>
    <row r="464" spans="1:5" x14ac:dyDescent="0.25">
      <c r="A464" t="s">
        <v>1166</v>
      </c>
      <c r="B464" t="s">
        <v>1167</v>
      </c>
      <c r="C464" s="4">
        <v>85000</v>
      </c>
      <c r="D464" s="4">
        <v>100000</v>
      </c>
      <c r="E464" s="5">
        <v>0.67</v>
      </c>
    </row>
    <row r="465" spans="1:5" x14ac:dyDescent="0.25">
      <c r="A465" t="s">
        <v>1168</v>
      </c>
      <c r="B465" t="s">
        <v>1169</v>
      </c>
      <c r="C465" s="4">
        <v>85000</v>
      </c>
      <c r="D465" s="4">
        <v>100000</v>
      </c>
      <c r="E465" s="5">
        <v>0.67</v>
      </c>
    </row>
    <row r="466" spans="1:5" x14ac:dyDescent="0.25">
      <c r="A466" t="s">
        <v>1170</v>
      </c>
      <c r="B466" t="s">
        <v>1171</v>
      </c>
      <c r="C466" s="4">
        <v>85000</v>
      </c>
      <c r="D466" s="4">
        <v>100000</v>
      </c>
      <c r="E466" s="5">
        <v>0.67</v>
      </c>
    </row>
    <row r="467" spans="1:5" x14ac:dyDescent="0.25">
      <c r="A467" t="s">
        <v>1172</v>
      </c>
      <c r="B467" t="s">
        <v>1173</v>
      </c>
      <c r="C467" s="4">
        <v>85000</v>
      </c>
      <c r="D467" s="4">
        <v>100000</v>
      </c>
      <c r="E467" s="5">
        <v>0.67</v>
      </c>
    </row>
    <row r="468" spans="1:5" x14ac:dyDescent="0.25">
      <c r="A468" t="s">
        <v>1174</v>
      </c>
      <c r="B468" t="s">
        <v>1175</v>
      </c>
      <c r="C468" s="4">
        <v>85000</v>
      </c>
      <c r="D468" s="4">
        <v>100000</v>
      </c>
      <c r="E468" s="5">
        <v>0.67</v>
      </c>
    </row>
    <row r="469" spans="1:5" x14ac:dyDescent="0.25">
      <c r="A469" t="s">
        <v>1176</v>
      </c>
      <c r="B469" t="s">
        <v>1177</v>
      </c>
      <c r="C469" s="4">
        <v>85000</v>
      </c>
      <c r="D469" s="4">
        <v>100000</v>
      </c>
      <c r="E469" s="5">
        <v>0.67</v>
      </c>
    </row>
    <row r="470" spans="1:5" x14ac:dyDescent="0.25">
      <c r="A470" t="s">
        <v>1178</v>
      </c>
      <c r="B470" t="s">
        <v>1179</v>
      </c>
      <c r="C470" s="4">
        <v>85000</v>
      </c>
      <c r="D470" s="4">
        <v>100000</v>
      </c>
      <c r="E470" s="5">
        <v>0.67</v>
      </c>
    </row>
    <row r="471" spans="1:5" x14ac:dyDescent="0.25">
      <c r="A471" t="s">
        <v>1180</v>
      </c>
      <c r="B471" t="s">
        <v>1181</v>
      </c>
      <c r="C471" s="4">
        <v>85000</v>
      </c>
      <c r="D471" s="4">
        <v>100000</v>
      </c>
      <c r="E471" s="5">
        <v>0.67</v>
      </c>
    </row>
    <row r="472" spans="1:5" x14ac:dyDescent="0.25">
      <c r="A472" t="s">
        <v>1182</v>
      </c>
      <c r="B472" t="s">
        <v>1183</v>
      </c>
      <c r="C472" s="4">
        <v>85000</v>
      </c>
      <c r="D472" s="4">
        <v>100000</v>
      </c>
      <c r="E472" s="5">
        <v>0.67</v>
      </c>
    </row>
    <row r="473" spans="1:5" x14ac:dyDescent="0.25">
      <c r="A473" t="s">
        <v>1184</v>
      </c>
      <c r="B473" t="s">
        <v>1185</v>
      </c>
      <c r="C473" s="4">
        <v>85000</v>
      </c>
      <c r="D473" s="4">
        <v>100000</v>
      </c>
      <c r="E473" s="5">
        <v>0.67</v>
      </c>
    </row>
    <row r="474" spans="1:5" x14ac:dyDescent="0.25">
      <c r="A474" t="s">
        <v>1186</v>
      </c>
      <c r="B474" t="s">
        <v>1187</v>
      </c>
      <c r="C474" s="4">
        <v>85000</v>
      </c>
      <c r="D474" s="4">
        <v>100000</v>
      </c>
      <c r="E474" s="5">
        <v>0.67</v>
      </c>
    </row>
    <row r="475" spans="1:5" x14ac:dyDescent="0.25">
      <c r="A475" t="s">
        <v>1188</v>
      </c>
      <c r="B475" t="s">
        <v>1189</v>
      </c>
      <c r="C475" s="4">
        <v>85000</v>
      </c>
      <c r="D475" s="4">
        <v>100000</v>
      </c>
      <c r="E475" s="5">
        <v>0.67</v>
      </c>
    </row>
    <row r="476" spans="1:5" x14ac:dyDescent="0.25">
      <c r="A476" t="s">
        <v>1190</v>
      </c>
      <c r="B476" t="s">
        <v>1191</v>
      </c>
      <c r="C476" s="4">
        <v>85000</v>
      </c>
      <c r="D476" s="4">
        <v>100000</v>
      </c>
      <c r="E476" s="5">
        <v>0.67</v>
      </c>
    </row>
    <row r="477" spans="1:5" x14ac:dyDescent="0.25">
      <c r="A477" t="s">
        <v>1192</v>
      </c>
      <c r="B477" t="s">
        <v>1193</v>
      </c>
      <c r="C477" s="4">
        <v>85000</v>
      </c>
      <c r="D477" s="4">
        <v>100000</v>
      </c>
      <c r="E477" s="5">
        <v>0.67</v>
      </c>
    </row>
    <row r="478" spans="1:5" x14ac:dyDescent="0.25">
      <c r="A478" t="s">
        <v>1194</v>
      </c>
      <c r="B478" t="s">
        <v>1195</v>
      </c>
      <c r="C478" s="4">
        <v>85000</v>
      </c>
      <c r="D478" s="4">
        <v>100000</v>
      </c>
      <c r="E478" s="5">
        <v>0.67</v>
      </c>
    </row>
    <row r="479" spans="1:5" x14ac:dyDescent="0.25">
      <c r="A479" t="s">
        <v>1196</v>
      </c>
      <c r="B479" t="s">
        <v>1197</v>
      </c>
      <c r="C479" s="4">
        <v>85000</v>
      </c>
      <c r="D479" s="4">
        <v>100000</v>
      </c>
      <c r="E479" s="5">
        <v>0.67</v>
      </c>
    </row>
    <row r="480" spans="1:5" x14ac:dyDescent="0.25">
      <c r="A480" t="s">
        <v>1198</v>
      </c>
      <c r="B480" t="s">
        <v>1199</v>
      </c>
      <c r="C480" s="4">
        <v>85000</v>
      </c>
      <c r="D480" s="4">
        <v>100000</v>
      </c>
      <c r="E480" s="5">
        <v>0.67</v>
      </c>
    </row>
    <row r="481" spans="1:5" x14ac:dyDescent="0.25">
      <c r="A481" t="s">
        <v>1200</v>
      </c>
      <c r="B481" t="s">
        <v>1201</v>
      </c>
      <c r="C481" s="4">
        <v>85000</v>
      </c>
      <c r="D481" s="4">
        <v>100000</v>
      </c>
      <c r="E481" s="5">
        <v>0.67</v>
      </c>
    </row>
    <row r="482" spans="1:5" x14ac:dyDescent="0.25">
      <c r="A482" t="s">
        <v>1202</v>
      </c>
      <c r="B482" t="s">
        <v>1203</v>
      </c>
      <c r="C482" s="4">
        <v>85000</v>
      </c>
      <c r="D482" s="4">
        <v>100000</v>
      </c>
      <c r="E482" s="5">
        <v>0.67</v>
      </c>
    </row>
    <row r="483" spans="1:5" x14ac:dyDescent="0.25">
      <c r="A483" t="s">
        <v>1204</v>
      </c>
      <c r="B483" t="s">
        <v>1205</v>
      </c>
      <c r="C483" s="4">
        <v>85000</v>
      </c>
      <c r="D483" s="4">
        <v>100000</v>
      </c>
      <c r="E483" s="5">
        <v>0.67</v>
      </c>
    </row>
    <row r="484" spans="1:5" x14ac:dyDescent="0.25">
      <c r="A484" t="s">
        <v>1206</v>
      </c>
      <c r="B484" t="s">
        <v>1207</v>
      </c>
      <c r="C484" s="4">
        <v>85000</v>
      </c>
      <c r="D484" s="4">
        <v>100000</v>
      </c>
      <c r="E484" s="5">
        <v>0.67</v>
      </c>
    </row>
    <row r="485" spans="1:5" x14ac:dyDescent="0.25">
      <c r="A485" t="s">
        <v>1208</v>
      </c>
      <c r="B485" t="s">
        <v>1209</v>
      </c>
      <c r="C485" s="4">
        <v>85000</v>
      </c>
      <c r="D485" s="4">
        <v>100000</v>
      </c>
      <c r="E485" s="5">
        <v>0.67</v>
      </c>
    </row>
    <row r="486" spans="1:5" x14ac:dyDescent="0.25">
      <c r="A486" t="s">
        <v>1210</v>
      </c>
      <c r="B486" t="s">
        <v>1211</v>
      </c>
      <c r="C486" s="4">
        <v>85000</v>
      </c>
      <c r="D486" s="4">
        <v>100000</v>
      </c>
      <c r="E486" s="5">
        <v>0.67</v>
      </c>
    </row>
    <row r="487" spans="1:5" x14ac:dyDescent="0.25">
      <c r="A487" t="s">
        <v>1212</v>
      </c>
      <c r="B487" t="s">
        <v>1213</v>
      </c>
      <c r="C487" s="4">
        <v>85000</v>
      </c>
      <c r="D487" s="4">
        <v>100000</v>
      </c>
      <c r="E487" s="5">
        <v>0.67</v>
      </c>
    </row>
    <row r="488" spans="1:5" x14ac:dyDescent="0.25">
      <c r="A488" t="s">
        <v>1214</v>
      </c>
      <c r="B488" t="s">
        <v>1215</v>
      </c>
      <c r="C488" s="4">
        <v>85000</v>
      </c>
      <c r="D488" s="4">
        <v>100000</v>
      </c>
      <c r="E488" s="5">
        <v>0.67</v>
      </c>
    </row>
    <row r="489" spans="1:5" x14ac:dyDescent="0.25">
      <c r="A489" t="s">
        <v>1216</v>
      </c>
      <c r="B489" t="s">
        <v>1217</v>
      </c>
      <c r="C489" s="4">
        <v>85000</v>
      </c>
      <c r="D489" s="4">
        <v>100000</v>
      </c>
      <c r="E489" s="5">
        <v>0.67</v>
      </c>
    </row>
    <row r="490" spans="1:5" x14ac:dyDescent="0.25">
      <c r="A490" t="s">
        <v>1218</v>
      </c>
      <c r="B490" t="s">
        <v>1219</v>
      </c>
      <c r="C490" s="4">
        <v>85000</v>
      </c>
      <c r="D490" s="4">
        <v>100000</v>
      </c>
      <c r="E490" s="5">
        <v>0.67</v>
      </c>
    </row>
    <row r="491" spans="1:5" x14ac:dyDescent="0.25">
      <c r="A491" t="s">
        <v>1220</v>
      </c>
      <c r="B491" t="s">
        <v>1221</v>
      </c>
      <c r="C491" s="4">
        <v>85000</v>
      </c>
      <c r="D491" s="4">
        <v>100000</v>
      </c>
      <c r="E491" s="5">
        <v>0.67</v>
      </c>
    </row>
    <row r="492" spans="1:5" x14ac:dyDescent="0.25">
      <c r="A492" t="s">
        <v>1222</v>
      </c>
      <c r="B492" t="s">
        <v>1223</v>
      </c>
      <c r="C492" s="4">
        <v>85000</v>
      </c>
      <c r="D492" s="4">
        <v>100000</v>
      </c>
      <c r="E492" s="5">
        <v>0.67</v>
      </c>
    </row>
    <row r="493" spans="1:5" x14ac:dyDescent="0.25">
      <c r="A493" t="s">
        <v>1224</v>
      </c>
      <c r="B493" t="s">
        <v>1225</v>
      </c>
      <c r="C493" s="4">
        <v>85000</v>
      </c>
      <c r="D493" s="4">
        <v>100000</v>
      </c>
      <c r="E493" s="5">
        <v>0.67</v>
      </c>
    </row>
    <row r="494" spans="1:5" x14ac:dyDescent="0.25">
      <c r="A494" t="s">
        <v>1226</v>
      </c>
      <c r="B494" t="s">
        <v>1227</v>
      </c>
      <c r="C494" s="4">
        <v>85000</v>
      </c>
      <c r="D494" s="4">
        <v>100000</v>
      </c>
      <c r="E494" s="5">
        <v>0.67</v>
      </c>
    </row>
    <row r="495" spans="1:5" x14ac:dyDescent="0.25">
      <c r="A495" t="s">
        <v>1228</v>
      </c>
      <c r="B495" t="s">
        <v>1229</v>
      </c>
      <c r="C495" s="4">
        <v>85000</v>
      </c>
      <c r="D495" s="4">
        <v>100000</v>
      </c>
      <c r="E495" s="5">
        <v>0.67</v>
      </c>
    </row>
    <row r="496" spans="1:5" x14ac:dyDescent="0.25">
      <c r="A496" t="s">
        <v>1230</v>
      </c>
      <c r="B496" t="s">
        <v>1231</v>
      </c>
      <c r="C496" s="4">
        <v>85000</v>
      </c>
      <c r="D496" s="4">
        <v>100000</v>
      </c>
      <c r="E496" s="5">
        <v>0.67</v>
      </c>
    </row>
    <row r="497" spans="1:5" x14ac:dyDescent="0.25">
      <c r="A497" t="s">
        <v>1232</v>
      </c>
      <c r="B497" t="s">
        <v>1233</v>
      </c>
      <c r="C497" s="4">
        <v>85000</v>
      </c>
      <c r="D497" s="4">
        <v>100000</v>
      </c>
      <c r="E497" s="5">
        <v>0.67</v>
      </c>
    </row>
    <row r="498" spans="1:5" x14ac:dyDescent="0.25">
      <c r="A498" t="s">
        <v>1234</v>
      </c>
      <c r="B498" t="s">
        <v>1235</v>
      </c>
      <c r="C498" s="4">
        <v>85000</v>
      </c>
      <c r="D498" s="4">
        <v>100000</v>
      </c>
      <c r="E498" s="5">
        <v>0.67</v>
      </c>
    </row>
    <row r="499" spans="1:5" x14ac:dyDescent="0.25">
      <c r="A499" t="s">
        <v>1236</v>
      </c>
      <c r="B499" t="s">
        <v>1237</v>
      </c>
      <c r="C499" s="4">
        <v>85000</v>
      </c>
      <c r="D499" s="4">
        <v>100000</v>
      </c>
      <c r="E499" s="5">
        <v>0.67</v>
      </c>
    </row>
    <row r="500" spans="1:5" x14ac:dyDescent="0.25">
      <c r="A500" t="s">
        <v>1238</v>
      </c>
      <c r="B500" t="s">
        <v>1239</v>
      </c>
      <c r="C500" s="4">
        <v>85000</v>
      </c>
      <c r="D500" s="4">
        <v>100000</v>
      </c>
      <c r="E500" s="5">
        <v>0.67</v>
      </c>
    </row>
    <row r="501" spans="1:5" x14ac:dyDescent="0.25">
      <c r="A501" t="s">
        <v>1240</v>
      </c>
      <c r="B501" t="s">
        <v>1241</v>
      </c>
      <c r="C501" s="4">
        <v>85000</v>
      </c>
      <c r="D501" s="4">
        <v>100000</v>
      </c>
      <c r="E501" s="5">
        <v>0.67</v>
      </c>
    </row>
    <row r="502" spans="1:5" x14ac:dyDescent="0.25">
      <c r="A502" t="s">
        <v>1242</v>
      </c>
      <c r="B502" t="s">
        <v>1243</v>
      </c>
      <c r="C502" s="4">
        <v>85000</v>
      </c>
      <c r="D502" s="4">
        <v>100000</v>
      </c>
      <c r="E502" s="5">
        <v>0.67</v>
      </c>
    </row>
    <row r="503" spans="1:5" x14ac:dyDescent="0.25">
      <c r="A503" t="s">
        <v>1244</v>
      </c>
      <c r="B503" t="s">
        <v>1245</v>
      </c>
      <c r="C503" s="4">
        <v>85000</v>
      </c>
      <c r="D503" s="4">
        <v>100000</v>
      </c>
      <c r="E503" s="5">
        <v>0.67</v>
      </c>
    </row>
    <row r="504" spans="1:5" x14ac:dyDescent="0.25">
      <c r="A504" t="s">
        <v>1246</v>
      </c>
      <c r="B504" t="s">
        <v>1247</v>
      </c>
      <c r="C504" s="4">
        <v>85000</v>
      </c>
      <c r="D504" s="4">
        <v>100000</v>
      </c>
      <c r="E504" s="5">
        <v>0.67</v>
      </c>
    </row>
    <row r="505" spans="1:5" x14ac:dyDescent="0.25">
      <c r="A505" t="s">
        <v>1248</v>
      </c>
      <c r="B505" t="s">
        <v>1249</v>
      </c>
      <c r="C505" s="4">
        <v>85000</v>
      </c>
      <c r="D505" s="4">
        <v>100000</v>
      </c>
      <c r="E505" s="5">
        <v>0.67</v>
      </c>
    </row>
    <row r="506" spans="1:5" x14ac:dyDescent="0.25">
      <c r="A506" t="s">
        <v>1250</v>
      </c>
      <c r="B506" t="s">
        <v>1251</v>
      </c>
      <c r="C506" s="4">
        <v>85000</v>
      </c>
      <c r="D506" s="4">
        <v>100000</v>
      </c>
      <c r="E506" s="5">
        <v>0.67</v>
      </c>
    </row>
    <row r="507" spans="1:5" x14ac:dyDescent="0.25">
      <c r="A507" t="s">
        <v>1252</v>
      </c>
      <c r="B507" t="s">
        <v>1253</v>
      </c>
      <c r="C507" s="4">
        <v>85000</v>
      </c>
      <c r="D507" s="4">
        <v>100000</v>
      </c>
      <c r="E507" s="5">
        <v>0.67</v>
      </c>
    </row>
    <row r="508" spans="1:5" x14ac:dyDescent="0.25">
      <c r="A508" t="s">
        <v>1254</v>
      </c>
      <c r="B508" t="s">
        <v>1255</v>
      </c>
      <c r="C508" s="4">
        <v>85000</v>
      </c>
      <c r="D508" s="4">
        <v>100000</v>
      </c>
      <c r="E508" s="5">
        <v>0.86</v>
      </c>
    </row>
    <row r="509" spans="1:5" x14ac:dyDescent="0.25">
      <c r="A509" t="s">
        <v>1256</v>
      </c>
      <c r="B509" t="s">
        <v>1257</v>
      </c>
      <c r="C509" s="4">
        <v>85000</v>
      </c>
      <c r="D509" s="4">
        <v>100000</v>
      </c>
      <c r="E509" s="5">
        <v>0.86</v>
      </c>
    </row>
    <row r="510" spans="1:5" x14ac:dyDescent="0.25">
      <c r="A510" t="s">
        <v>1258</v>
      </c>
      <c r="B510" t="s">
        <v>1259</v>
      </c>
      <c r="C510" s="4">
        <v>85000</v>
      </c>
      <c r="D510" s="4">
        <v>100000</v>
      </c>
      <c r="E510" s="5">
        <v>0.86</v>
      </c>
    </row>
    <row r="511" spans="1:5" x14ac:dyDescent="0.25">
      <c r="A511" t="s">
        <v>1260</v>
      </c>
      <c r="B511" t="s">
        <v>1261</v>
      </c>
      <c r="C511" s="4">
        <v>85000</v>
      </c>
      <c r="D511" s="4">
        <v>100000</v>
      </c>
      <c r="E511" s="5">
        <v>0.86</v>
      </c>
    </row>
    <row r="512" spans="1:5" x14ac:dyDescent="0.25">
      <c r="A512" t="s">
        <v>1262</v>
      </c>
      <c r="B512" t="s">
        <v>1263</v>
      </c>
      <c r="C512" s="4">
        <v>85000</v>
      </c>
      <c r="D512" s="4">
        <v>100000</v>
      </c>
      <c r="E512" s="5">
        <v>0.86</v>
      </c>
    </row>
    <row r="513" spans="1:5" x14ac:dyDescent="0.25">
      <c r="A513" t="s">
        <v>1264</v>
      </c>
      <c r="B513" t="s">
        <v>1265</v>
      </c>
      <c r="C513" s="4">
        <v>85000</v>
      </c>
      <c r="D513" s="4">
        <v>100000</v>
      </c>
      <c r="E513" s="5">
        <v>0.86</v>
      </c>
    </row>
    <row r="514" spans="1:5" x14ac:dyDescent="0.25">
      <c r="A514" t="s">
        <v>1266</v>
      </c>
      <c r="B514" t="s">
        <v>1267</v>
      </c>
      <c r="C514" s="4">
        <v>85000</v>
      </c>
      <c r="D514" s="4">
        <v>100000</v>
      </c>
      <c r="E514" s="5">
        <v>0.86</v>
      </c>
    </row>
    <row r="515" spans="1:5" x14ac:dyDescent="0.25">
      <c r="A515" t="s">
        <v>1268</v>
      </c>
      <c r="B515" t="s">
        <v>1269</v>
      </c>
      <c r="C515" s="4">
        <v>85000</v>
      </c>
      <c r="D515" s="4">
        <v>100000</v>
      </c>
      <c r="E515" s="5">
        <v>0.86</v>
      </c>
    </row>
    <row r="516" spans="1:5" x14ac:dyDescent="0.25">
      <c r="A516" t="s">
        <v>1270</v>
      </c>
      <c r="B516" t="s">
        <v>1271</v>
      </c>
      <c r="C516" s="4">
        <v>85000</v>
      </c>
      <c r="D516" s="4">
        <v>100000</v>
      </c>
      <c r="E516" s="5">
        <v>0.86</v>
      </c>
    </row>
    <row r="517" spans="1:5" x14ac:dyDescent="0.25">
      <c r="A517" t="s">
        <v>1272</v>
      </c>
      <c r="B517" t="s">
        <v>1273</v>
      </c>
      <c r="C517" s="4">
        <v>85000</v>
      </c>
      <c r="D517" s="4">
        <v>100000</v>
      </c>
      <c r="E517" s="5">
        <v>0.86</v>
      </c>
    </row>
    <row r="518" spans="1:5" x14ac:dyDescent="0.25">
      <c r="A518" t="s">
        <v>1274</v>
      </c>
      <c r="B518" t="s">
        <v>1275</v>
      </c>
      <c r="C518" s="4">
        <v>85000</v>
      </c>
      <c r="D518" s="4">
        <v>100000</v>
      </c>
      <c r="E518" s="5">
        <v>0.86</v>
      </c>
    </row>
    <row r="519" spans="1:5" x14ac:dyDescent="0.25">
      <c r="A519" t="s">
        <v>1276</v>
      </c>
      <c r="B519" t="s">
        <v>1277</v>
      </c>
      <c r="C519" s="4">
        <v>85000</v>
      </c>
      <c r="D519" s="4">
        <v>100000</v>
      </c>
      <c r="E519" s="5">
        <v>0.86</v>
      </c>
    </row>
    <row r="520" spans="1:5" x14ac:dyDescent="0.25">
      <c r="A520" t="s">
        <v>1278</v>
      </c>
      <c r="B520" t="s">
        <v>1279</v>
      </c>
      <c r="C520" s="4">
        <v>85000</v>
      </c>
      <c r="D520" s="4">
        <v>100000</v>
      </c>
      <c r="E520" s="5">
        <v>0.86</v>
      </c>
    </row>
    <row r="521" spans="1:5" x14ac:dyDescent="0.25">
      <c r="A521" t="s">
        <v>1280</v>
      </c>
      <c r="B521" t="s">
        <v>1281</v>
      </c>
      <c r="C521" s="4">
        <v>85000</v>
      </c>
      <c r="D521" s="4">
        <v>100000</v>
      </c>
      <c r="E521" s="5">
        <v>0.86</v>
      </c>
    </row>
    <row r="522" spans="1:5" x14ac:dyDescent="0.25">
      <c r="A522" t="s">
        <v>1282</v>
      </c>
      <c r="B522" t="s">
        <v>1283</v>
      </c>
      <c r="C522" s="4">
        <v>85000</v>
      </c>
      <c r="D522" s="4">
        <v>100000</v>
      </c>
      <c r="E522" s="5">
        <v>0.86</v>
      </c>
    </row>
    <row r="523" spans="1:5" x14ac:dyDescent="0.25">
      <c r="A523" t="s">
        <v>1284</v>
      </c>
      <c r="B523" t="s">
        <v>1285</v>
      </c>
      <c r="C523" s="4">
        <v>85000</v>
      </c>
      <c r="D523" s="4">
        <v>100000</v>
      </c>
      <c r="E523" s="5">
        <v>0.86</v>
      </c>
    </row>
    <row r="524" spans="1:5" x14ac:dyDescent="0.25">
      <c r="A524" t="s">
        <v>1286</v>
      </c>
      <c r="B524" t="s">
        <v>1287</v>
      </c>
      <c r="C524" s="4">
        <v>85000</v>
      </c>
      <c r="D524" s="4">
        <v>100000</v>
      </c>
      <c r="E524" s="5">
        <v>0.86</v>
      </c>
    </row>
    <row r="525" spans="1:5" x14ac:dyDescent="0.25">
      <c r="A525" t="s">
        <v>1288</v>
      </c>
      <c r="B525" t="s">
        <v>1289</v>
      </c>
      <c r="C525" s="4">
        <v>85000</v>
      </c>
      <c r="D525" s="4">
        <v>100000</v>
      </c>
      <c r="E525" s="5">
        <v>0.86</v>
      </c>
    </row>
    <row r="526" spans="1:5" x14ac:dyDescent="0.25">
      <c r="A526" t="s">
        <v>1290</v>
      </c>
      <c r="B526" t="s">
        <v>1291</v>
      </c>
      <c r="C526" s="4">
        <v>85000</v>
      </c>
      <c r="D526" s="4">
        <v>100000</v>
      </c>
      <c r="E526" s="5">
        <v>0.86</v>
      </c>
    </row>
    <row r="527" spans="1:5" x14ac:dyDescent="0.25">
      <c r="A527" t="s">
        <v>1292</v>
      </c>
      <c r="B527" t="s">
        <v>1293</v>
      </c>
      <c r="C527" s="4">
        <v>85000</v>
      </c>
      <c r="D527" s="4">
        <v>100000</v>
      </c>
      <c r="E527" s="5">
        <v>0.86</v>
      </c>
    </row>
    <row r="528" spans="1:5" x14ac:dyDescent="0.25">
      <c r="A528" t="s">
        <v>1294</v>
      </c>
      <c r="B528" t="s">
        <v>1295</v>
      </c>
      <c r="C528" s="4">
        <v>85000</v>
      </c>
      <c r="D528" s="4">
        <v>100000</v>
      </c>
      <c r="E528" s="5">
        <v>0.86</v>
      </c>
    </row>
    <row r="529" spans="1:5" x14ac:dyDescent="0.25">
      <c r="A529" t="s">
        <v>1296</v>
      </c>
      <c r="B529" t="s">
        <v>1297</v>
      </c>
      <c r="C529" s="4">
        <v>85000</v>
      </c>
      <c r="D529" s="4">
        <v>100000</v>
      </c>
      <c r="E529" s="5">
        <v>0.86</v>
      </c>
    </row>
    <row r="530" spans="1:5" x14ac:dyDescent="0.25">
      <c r="A530" t="s">
        <v>1298</v>
      </c>
      <c r="B530" t="s">
        <v>1299</v>
      </c>
      <c r="C530" s="4">
        <v>85000</v>
      </c>
      <c r="D530" s="4">
        <v>100000</v>
      </c>
      <c r="E530" s="5">
        <v>0.86</v>
      </c>
    </row>
    <row r="531" spans="1:5" x14ac:dyDescent="0.25">
      <c r="A531" t="s">
        <v>1300</v>
      </c>
      <c r="B531" t="s">
        <v>1301</v>
      </c>
      <c r="C531" s="4">
        <v>85000</v>
      </c>
      <c r="D531" s="4">
        <v>100000</v>
      </c>
      <c r="E531" s="5">
        <v>0.86</v>
      </c>
    </row>
    <row r="532" spans="1:5" x14ac:dyDescent="0.25">
      <c r="A532" t="s">
        <v>1302</v>
      </c>
      <c r="B532" t="s">
        <v>1303</v>
      </c>
      <c r="C532" s="4">
        <v>85000</v>
      </c>
      <c r="D532" s="4">
        <v>100000</v>
      </c>
      <c r="E532" s="5">
        <v>0.86</v>
      </c>
    </row>
    <row r="533" spans="1:5" x14ac:dyDescent="0.25">
      <c r="A533" t="s">
        <v>1304</v>
      </c>
      <c r="B533" t="s">
        <v>1305</v>
      </c>
      <c r="C533" s="4">
        <v>85000</v>
      </c>
      <c r="D533" s="4">
        <v>100000</v>
      </c>
      <c r="E533" s="5">
        <v>0.86</v>
      </c>
    </row>
    <row r="534" spans="1:5" x14ac:dyDescent="0.25">
      <c r="A534" t="s">
        <v>1306</v>
      </c>
      <c r="B534" t="s">
        <v>1307</v>
      </c>
      <c r="C534" s="4">
        <v>85000</v>
      </c>
      <c r="D534" s="4">
        <v>100000</v>
      </c>
      <c r="E534" s="5">
        <v>0.86</v>
      </c>
    </row>
    <row r="535" spans="1:5" x14ac:dyDescent="0.25">
      <c r="A535" t="s">
        <v>1308</v>
      </c>
      <c r="B535" t="s">
        <v>1309</v>
      </c>
      <c r="C535" s="4">
        <v>85000</v>
      </c>
      <c r="D535" s="4">
        <v>100000</v>
      </c>
      <c r="E535" s="5">
        <v>0.86</v>
      </c>
    </row>
    <row r="536" spans="1:5" x14ac:dyDescent="0.25">
      <c r="A536" t="s">
        <v>1310</v>
      </c>
      <c r="B536" t="s">
        <v>1311</v>
      </c>
      <c r="C536" s="4">
        <v>85000</v>
      </c>
      <c r="D536" s="4">
        <v>100000</v>
      </c>
      <c r="E536" s="5">
        <v>0.86</v>
      </c>
    </row>
    <row r="537" spans="1:5" x14ac:dyDescent="0.25">
      <c r="A537" t="s">
        <v>1312</v>
      </c>
      <c r="B537" t="s">
        <v>1313</v>
      </c>
      <c r="C537" s="4">
        <v>85000</v>
      </c>
      <c r="D537" s="4">
        <v>100000</v>
      </c>
      <c r="E537" s="5">
        <v>0.86</v>
      </c>
    </row>
    <row r="538" spans="1:5" x14ac:dyDescent="0.25">
      <c r="A538" t="s">
        <v>1314</v>
      </c>
      <c r="B538" t="s">
        <v>1315</v>
      </c>
      <c r="C538" s="4">
        <v>85000</v>
      </c>
      <c r="D538" s="4">
        <v>100000</v>
      </c>
      <c r="E538" s="5">
        <v>0.86</v>
      </c>
    </row>
    <row r="539" spans="1:5" x14ac:dyDescent="0.25">
      <c r="A539" t="s">
        <v>1316</v>
      </c>
      <c r="B539" t="s">
        <v>1317</v>
      </c>
      <c r="C539" s="4">
        <v>85000</v>
      </c>
      <c r="D539" s="4">
        <v>100000</v>
      </c>
      <c r="E539" s="5">
        <v>0.86</v>
      </c>
    </row>
    <row r="540" spans="1:5" x14ac:dyDescent="0.25">
      <c r="A540" t="s">
        <v>1318</v>
      </c>
      <c r="B540" t="s">
        <v>1319</v>
      </c>
      <c r="C540" s="4">
        <v>85000</v>
      </c>
      <c r="D540" s="4">
        <v>100000</v>
      </c>
      <c r="E540" s="5">
        <v>0.86</v>
      </c>
    </row>
    <row r="541" spans="1:5" x14ac:dyDescent="0.25">
      <c r="A541" t="s">
        <v>1320</v>
      </c>
      <c r="B541" t="s">
        <v>1321</v>
      </c>
      <c r="C541" s="4">
        <v>85000</v>
      </c>
      <c r="D541" s="4">
        <v>100000</v>
      </c>
      <c r="E541" s="5">
        <v>0.86</v>
      </c>
    </row>
    <row r="542" spans="1:5" x14ac:dyDescent="0.25">
      <c r="A542" t="s">
        <v>1322</v>
      </c>
      <c r="B542" t="s">
        <v>1323</v>
      </c>
      <c r="C542" s="4">
        <v>85000</v>
      </c>
      <c r="D542" s="4">
        <v>100000</v>
      </c>
      <c r="E542" s="5">
        <v>0.86</v>
      </c>
    </row>
    <row r="543" spans="1:5" x14ac:dyDescent="0.25">
      <c r="A543" t="s">
        <v>1324</v>
      </c>
      <c r="B543" t="s">
        <v>1325</v>
      </c>
      <c r="C543" s="4">
        <v>85000</v>
      </c>
      <c r="D543" s="4">
        <v>100000</v>
      </c>
      <c r="E543" s="5">
        <v>0.4</v>
      </c>
    </row>
    <row r="544" spans="1:5" x14ac:dyDescent="0.25">
      <c r="A544" t="s">
        <v>1326</v>
      </c>
      <c r="B544" t="s">
        <v>1327</v>
      </c>
      <c r="C544" s="4">
        <v>85000</v>
      </c>
      <c r="D544" s="4">
        <v>100000</v>
      </c>
      <c r="E544" s="5">
        <v>0.4</v>
      </c>
    </row>
    <row r="545" spans="1:5" x14ac:dyDescent="0.25">
      <c r="A545" t="s">
        <v>1328</v>
      </c>
      <c r="B545" t="s">
        <v>1329</v>
      </c>
      <c r="C545" s="4">
        <v>85000</v>
      </c>
      <c r="D545" s="4">
        <v>100000</v>
      </c>
      <c r="E545" s="5">
        <v>0.4</v>
      </c>
    </row>
    <row r="546" spans="1:5" x14ac:dyDescent="0.25">
      <c r="A546" t="s">
        <v>1330</v>
      </c>
      <c r="B546" t="s">
        <v>1331</v>
      </c>
      <c r="C546" s="4">
        <v>85000</v>
      </c>
      <c r="D546" s="4">
        <v>100000</v>
      </c>
      <c r="E546" s="5">
        <v>0.4</v>
      </c>
    </row>
    <row r="547" spans="1:5" x14ac:dyDescent="0.25">
      <c r="A547" t="s">
        <v>1332</v>
      </c>
      <c r="B547" t="s">
        <v>1333</v>
      </c>
      <c r="C547" s="4">
        <v>85000</v>
      </c>
      <c r="D547" s="4">
        <v>100000</v>
      </c>
      <c r="E547" s="5">
        <v>0.4</v>
      </c>
    </row>
    <row r="548" spans="1:5" x14ac:dyDescent="0.25">
      <c r="A548" t="s">
        <v>1334</v>
      </c>
      <c r="B548" t="s">
        <v>1335</v>
      </c>
      <c r="C548" s="4">
        <v>85000</v>
      </c>
      <c r="D548" s="4">
        <v>100000</v>
      </c>
      <c r="E548" s="5">
        <v>0.4</v>
      </c>
    </row>
    <row r="549" spans="1:5" x14ac:dyDescent="0.25">
      <c r="A549" t="s">
        <v>1336</v>
      </c>
      <c r="B549" t="s">
        <v>1337</v>
      </c>
      <c r="C549" s="4">
        <v>85000</v>
      </c>
      <c r="D549" s="4">
        <v>100000</v>
      </c>
      <c r="E549" s="5">
        <v>0.4</v>
      </c>
    </row>
    <row r="550" spans="1:5" x14ac:dyDescent="0.25">
      <c r="A550" t="s">
        <v>1338</v>
      </c>
      <c r="B550" t="s">
        <v>1339</v>
      </c>
      <c r="C550" s="4">
        <v>85000</v>
      </c>
      <c r="D550" s="4">
        <v>100000</v>
      </c>
      <c r="E550" s="5">
        <v>0.4</v>
      </c>
    </row>
    <row r="551" spans="1:5" x14ac:dyDescent="0.25">
      <c r="A551" t="s">
        <v>1340</v>
      </c>
      <c r="B551" t="s">
        <v>1341</v>
      </c>
      <c r="C551" s="4">
        <v>85000</v>
      </c>
      <c r="D551" s="4">
        <v>100000</v>
      </c>
      <c r="E551" s="5">
        <v>0.4</v>
      </c>
    </row>
    <row r="552" spans="1:5" x14ac:dyDescent="0.25">
      <c r="A552" t="s">
        <v>1342</v>
      </c>
      <c r="B552" t="s">
        <v>1343</v>
      </c>
      <c r="C552" s="4">
        <v>85000</v>
      </c>
      <c r="D552" s="4">
        <v>100000</v>
      </c>
      <c r="E552" s="5">
        <v>0.4</v>
      </c>
    </row>
    <row r="553" spans="1:5" x14ac:dyDescent="0.25">
      <c r="A553" t="s">
        <v>1344</v>
      </c>
      <c r="B553" t="s">
        <v>1345</v>
      </c>
      <c r="C553" s="4">
        <v>85000</v>
      </c>
      <c r="D553" s="4">
        <v>100000</v>
      </c>
      <c r="E553" s="5">
        <v>0.4</v>
      </c>
    </row>
    <row r="554" spans="1:5" x14ac:dyDescent="0.25">
      <c r="A554" t="s">
        <v>1346</v>
      </c>
      <c r="B554" t="s">
        <v>1347</v>
      </c>
      <c r="C554" s="4">
        <v>85000</v>
      </c>
      <c r="D554" s="4">
        <v>100000</v>
      </c>
      <c r="E554" s="5">
        <v>0.4</v>
      </c>
    </row>
    <row r="555" spans="1:5" x14ac:dyDescent="0.25">
      <c r="A555" t="s">
        <v>1348</v>
      </c>
      <c r="B555" t="s">
        <v>1349</v>
      </c>
      <c r="C555" s="4">
        <v>85000</v>
      </c>
      <c r="D555" s="4">
        <v>100000</v>
      </c>
      <c r="E555" s="5">
        <v>0.4</v>
      </c>
    </row>
    <row r="556" spans="1:5" x14ac:dyDescent="0.25">
      <c r="A556" t="s">
        <v>1350</v>
      </c>
      <c r="B556" t="s">
        <v>1351</v>
      </c>
      <c r="C556" s="4">
        <v>85000</v>
      </c>
      <c r="D556" s="4">
        <v>100000</v>
      </c>
      <c r="E556" s="5">
        <v>0.4</v>
      </c>
    </row>
    <row r="557" spans="1:5" x14ac:dyDescent="0.25">
      <c r="A557" t="s">
        <v>1352</v>
      </c>
      <c r="B557" t="s">
        <v>1353</v>
      </c>
      <c r="C557" s="4">
        <v>85000</v>
      </c>
      <c r="D557" s="4">
        <v>100000</v>
      </c>
      <c r="E557" s="5">
        <v>0.4</v>
      </c>
    </row>
    <row r="558" spans="1:5" x14ac:dyDescent="0.25">
      <c r="A558" t="s">
        <v>1354</v>
      </c>
      <c r="B558" t="s">
        <v>1355</v>
      </c>
      <c r="C558" s="4">
        <v>85000</v>
      </c>
      <c r="D558" s="4">
        <v>100000</v>
      </c>
      <c r="E558" s="5">
        <v>0.4</v>
      </c>
    </row>
    <row r="559" spans="1:5" x14ac:dyDescent="0.25">
      <c r="A559" t="s">
        <v>1356</v>
      </c>
      <c r="B559" t="s">
        <v>1357</v>
      </c>
      <c r="C559" s="4">
        <v>85000</v>
      </c>
      <c r="D559" s="4">
        <v>100000</v>
      </c>
      <c r="E559" s="5">
        <v>0.4</v>
      </c>
    </row>
    <row r="560" spans="1:5" x14ac:dyDescent="0.25">
      <c r="A560" t="s">
        <v>1358</v>
      </c>
      <c r="B560" t="s">
        <v>1359</v>
      </c>
      <c r="C560" s="4">
        <v>85000</v>
      </c>
      <c r="D560" s="4">
        <v>100000</v>
      </c>
      <c r="E560" s="5">
        <v>0.4</v>
      </c>
    </row>
    <row r="561" spans="1:5" x14ac:dyDescent="0.25">
      <c r="A561" t="s">
        <v>1360</v>
      </c>
      <c r="B561" t="s">
        <v>1361</v>
      </c>
      <c r="C561" s="4">
        <v>85000</v>
      </c>
      <c r="D561" s="4">
        <v>100000</v>
      </c>
      <c r="E561" s="5">
        <v>0.62</v>
      </c>
    </row>
    <row r="562" spans="1:5" x14ac:dyDescent="0.25">
      <c r="A562" t="s">
        <v>1362</v>
      </c>
      <c r="B562" t="s">
        <v>1363</v>
      </c>
      <c r="C562" s="4">
        <v>85000</v>
      </c>
      <c r="D562" s="4">
        <v>100000</v>
      </c>
      <c r="E562" s="5">
        <v>0.62</v>
      </c>
    </row>
    <row r="563" spans="1:5" x14ac:dyDescent="0.25">
      <c r="A563" t="s">
        <v>1364</v>
      </c>
      <c r="B563" t="s">
        <v>1365</v>
      </c>
      <c r="C563" s="4">
        <v>85000</v>
      </c>
      <c r="D563" s="4">
        <v>100000</v>
      </c>
      <c r="E563" s="5">
        <v>0.62</v>
      </c>
    </row>
    <row r="564" spans="1:5" x14ac:dyDescent="0.25">
      <c r="A564" t="s">
        <v>1366</v>
      </c>
      <c r="B564" t="s">
        <v>1367</v>
      </c>
      <c r="C564" s="4">
        <v>85000</v>
      </c>
      <c r="D564" s="4">
        <v>100000</v>
      </c>
      <c r="E564" s="5">
        <v>0.62</v>
      </c>
    </row>
    <row r="565" spans="1:5" x14ac:dyDescent="0.25">
      <c r="A565" t="s">
        <v>1368</v>
      </c>
      <c r="B565" t="s">
        <v>1369</v>
      </c>
      <c r="C565" s="4">
        <v>85000</v>
      </c>
      <c r="D565" s="4">
        <v>100000</v>
      </c>
      <c r="E565" s="5">
        <v>0.62</v>
      </c>
    </row>
    <row r="566" spans="1:5" x14ac:dyDescent="0.25">
      <c r="A566" t="s">
        <v>1370</v>
      </c>
      <c r="B566" t="s">
        <v>1371</v>
      </c>
      <c r="C566" s="4">
        <v>85000</v>
      </c>
      <c r="D566" s="4">
        <v>100000</v>
      </c>
      <c r="E566" s="5">
        <v>0.62</v>
      </c>
    </row>
    <row r="567" spans="1:5" x14ac:dyDescent="0.25">
      <c r="A567" t="s">
        <v>1372</v>
      </c>
      <c r="B567" t="s">
        <v>1373</v>
      </c>
      <c r="C567" s="4">
        <v>85000</v>
      </c>
      <c r="D567" s="4">
        <v>100000</v>
      </c>
      <c r="E567" s="5">
        <v>0.62</v>
      </c>
    </row>
    <row r="568" spans="1:5" x14ac:dyDescent="0.25">
      <c r="A568" t="s">
        <v>1374</v>
      </c>
      <c r="B568" t="s">
        <v>1375</v>
      </c>
      <c r="C568" s="4">
        <v>85000</v>
      </c>
      <c r="D568" s="4">
        <v>100000</v>
      </c>
      <c r="E568" s="5">
        <v>0.62</v>
      </c>
    </row>
    <row r="569" spans="1:5" x14ac:dyDescent="0.25">
      <c r="A569" t="s">
        <v>1376</v>
      </c>
      <c r="B569" t="s">
        <v>1377</v>
      </c>
      <c r="C569" s="4">
        <v>85000</v>
      </c>
      <c r="D569" s="4">
        <v>100000</v>
      </c>
      <c r="E569" s="5">
        <v>0.62</v>
      </c>
    </row>
    <row r="570" spans="1:5" x14ac:dyDescent="0.25">
      <c r="A570" t="s">
        <v>1378</v>
      </c>
      <c r="B570" t="s">
        <v>1379</v>
      </c>
      <c r="C570" s="4">
        <v>85000</v>
      </c>
      <c r="D570" s="4">
        <v>100000</v>
      </c>
      <c r="E570" s="5">
        <v>0.62</v>
      </c>
    </row>
    <row r="571" spans="1:5" x14ac:dyDescent="0.25">
      <c r="A571" t="s">
        <v>1380</v>
      </c>
      <c r="B571" t="s">
        <v>1381</v>
      </c>
      <c r="C571" s="4">
        <v>85000</v>
      </c>
      <c r="D571" s="4">
        <v>100000</v>
      </c>
      <c r="E571" s="5">
        <v>0.62</v>
      </c>
    </row>
    <row r="572" spans="1:5" x14ac:dyDescent="0.25">
      <c r="A572" t="s">
        <v>1382</v>
      </c>
      <c r="B572" t="s">
        <v>1383</v>
      </c>
      <c r="C572" s="4">
        <v>85000</v>
      </c>
      <c r="D572" s="4">
        <v>100000</v>
      </c>
      <c r="E572" s="5">
        <v>0.62</v>
      </c>
    </row>
    <row r="573" spans="1:5" x14ac:dyDescent="0.25">
      <c r="A573" t="s">
        <v>1384</v>
      </c>
      <c r="B573" t="s">
        <v>1385</v>
      </c>
      <c r="C573" s="4">
        <v>85000</v>
      </c>
      <c r="D573" s="4">
        <v>100000</v>
      </c>
      <c r="E573" s="5">
        <v>0.62</v>
      </c>
    </row>
    <row r="574" spans="1:5" x14ac:dyDescent="0.25">
      <c r="A574" t="s">
        <v>1386</v>
      </c>
      <c r="B574" t="s">
        <v>1387</v>
      </c>
      <c r="C574" s="4">
        <v>85000</v>
      </c>
      <c r="D574" s="4">
        <v>100000</v>
      </c>
      <c r="E574" s="5">
        <v>0.62</v>
      </c>
    </row>
    <row r="575" spans="1:5" x14ac:dyDescent="0.25">
      <c r="A575" t="s">
        <v>1388</v>
      </c>
      <c r="B575" t="s">
        <v>1389</v>
      </c>
      <c r="C575" s="4">
        <v>85000</v>
      </c>
      <c r="D575" s="4">
        <v>100000</v>
      </c>
      <c r="E575" s="5">
        <v>0.62</v>
      </c>
    </row>
    <row r="576" spans="1:5" x14ac:dyDescent="0.25">
      <c r="A576" t="s">
        <v>1390</v>
      </c>
      <c r="B576" t="s">
        <v>1391</v>
      </c>
      <c r="C576" s="4">
        <v>85000</v>
      </c>
      <c r="D576" s="4">
        <v>100000</v>
      </c>
      <c r="E576" s="5">
        <v>0.62</v>
      </c>
    </row>
    <row r="577" spans="1:5" x14ac:dyDescent="0.25">
      <c r="A577" t="s">
        <v>1392</v>
      </c>
      <c r="B577" t="s">
        <v>1393</v>
      </c>
      <c r="C577" s="4">
        <v>85000</v>
      </c>
      <c r="D577" s="4">
        <v>100000</v>
      </c>
      <c r="E577" s="5">
        <v>0.62</v>
      </c>
    </row>
    <row r="578" spans="1:5" x14ac:dyDescent="0.25">
      <c r="A578" t="s">
        <v>1394</v>
      </c>
      <c r="B578" t="s">
        <v>1395</v>
      </c>
      <c r="C578" s="4">
        <v>85000</v>
      </c>
      <c r="D578" s="4">
        <v>100000</v>
      </c>
      <c r="E578" s="5">
        <v>0.62</v>
      </c>
    </row>
    <row r="579" spans="1:5" x14ac:dyDescent="0.25">
      <c r="A579" t="s">
        <v>1396</v>
      </c>
      <c r="B579" t="s">
        <v>1397</v>
      </c>
      <c r="C579" s="4">
        <v>85000</v>
      </c>
      <c r="D579" s="4">
        <v>100000</v>
      </c>
      <c r="E579" s="5">
        <v>0.62</v>
      </c>
    </row>
    <row r="580" spans="1:5" x14ac:dyDescent="0.25">
      <c r="A580" t="s">
        <v>1398</v>
      </c>
      <c r="B580" t="s">
        <v>1399</v>
      </c>
      <c r="C580" s="4">
        <v>85000</v>
      </c>
      <c r="D580" s="4">
        <v>100000</v>
      </c>
      <c r="E580" s="5">
        <v>0.62</v>
      </c>
    </row>
    <row r="581" spans="1:5" x14ac:dyDescent="0.25">
      <c r="A581" t="s">
        <v>1400</v>
      </c>
      <c r="B581" t="s">
        <v>1401</v>
      </c>
      <c r="C581" s="4">
        <v>85000</v>
      </c>
      <c r="D581" s="4">
        <v>100000</v>
      </c>
      <c r="E581" s="5">
        <v>0.62</v>
      </c>
    </row>
    <row r="582" spans="1:5" x14ac:dyDescent="0.25">
      <c r="A582" t="s">
        <v>1402</v>
      </c>
      <c r="B582" t="s">
        <v>1403</v>
      </c>
      <c r="C582" s="4">
        <v>85000</v>
      </c>
      <c r="D582" s="4">
        <v>100000</v>
      </c>
      <c r="E582" s="5">
        <v>0.62</v>
      </c>
    </row>
    <row r="583" spans="1:5" x14ac:dyDescent="0.25">
      <c r="A583" t="s">
        <v>1404</v>
      </c>
      <c r="B583" t="s">
        <v>1405</v>
      </c>
      <c r="C583" s="4">
        <v>85000</v>
      </c>
      <c r="D583" s="4">
        <v>100000</v>
      </c>
      <c r="E583" s="5">
        <v>0.62</v>
      </c>
    </row>
    <row r="584" spans="1:5" x14ac:dyDescent="0.25">
      <c r="A584" t="s">
        <v>1406</v>
      </c>
      <c r="B584" t="s">
        <v>1407</v>
      </c>
      <c r="C584" s="4">
        <v>85000</v>
      </c>
      <c r="D584" s="4">
        <v>100000</v>
      </c>
      <c r="E584" s="5">
        <v>0.62</v>
      </c>
    </row>
    <row r="585" spans="1:5" x14ac:dyDescent="0.25">
      <c r="A585" t="s">
        <v>1408</v>
      </c>
      <c r="B585" t="s">
        <v>1409</v>
      </c>
      <c r="C585" s="4">
        <v>85000</v>
      </c>
      <c r="D585" s="4">
        <v>100000</v>
      </c>
      <c r="E585" s="5">
        <v>0.62</v>
      </c>
    </row>
    <row r="586" spans="1:5" x14ac:dyDescent="0.25">
      <c r="A586" t="s">
        <v>1410</v>
      </c>
      <c r="B586" t="s">
        <v>1411</v>
      </c>
      <c r="C586" s="4">
        <v>85000</v>
      </c>
      <c r="D586" s="4">
        <v>100000</v>
      </c>
      <c r="E586" s="5">
        <v>0.62</v>
      </c>
    </row>
    <row r="587" spans="1:5" x14ac:dyDescent="0.25">
      <c r="A587" t="s">
        <v>1412</v>
      </c>
      <c r="B587" t="s">
        <v>1413</v>
      </c>
      <c r="C587" s="4">
        <v>85000</v>
      </c>
      <c r="D587" s="4">
        <v>100000</v>
      </c>
      <c r="E587" s="5">
        <v>0.62</v>
      </c>
    </row>
    <row r="588" spans="1:5" x14ac:dyDescent="0.25">
      <c r="A588" t="s">
        <v>1414</v>
      </c>
      <c r="B588" t="s">
        <v>1415</v>
      </c>
      <c r="C588" s="4">
        <v>85000</v>
      </c>
      <c r="D588" s="4">
        <v>100000</v>
      </c>
      <c r="E588" s="5">
        <v>0.62</v>
      </c>
    </row>
    <row r="589" spans="1:5" x14ac:dyDescent="0.25">
      <c r="A589" t="s">
        <v>1416</v>
      </c>
      <c r="B589" t="s">
        <v>1417</v>
      </c>
      <c r="C589" s="4">
        <v>85000</v>
      </c>
      <c r="D589" s="4">
        <v>100000</v>
      </c>
      <c r="E589" s="5">
        <v>0.62</v>
      </c>
    </row>
    <row r="590" spans="1:5" x14ac:dyDescent="0.25">
      <c r="A590" t="s">
        <v>1418</v>
      </c>
      <c r="B590" t="s">
        <v>1419</v>
      </c>
      <c r="C590" s="4">
        <v>85000</v>
      </c>
      <c r="D590" s="4">
        <v>100000</v>
      </c>
      <c r="E590" s="5">
        <v>0.62</v>
      </c>
    </row>
    <row r="591" spans="1:5" x14ac:dyDescent="0.25">
      <c r="A591" t="s">
        <v>1420</v>
      </c>
      <c r="B591" t="s">
        <v>1421</v>
      </c>
      <c r="C591" s="4">
        <v>85000</v>
      </c>
      <c r="D591" s="4">
        <v>100000</v>
      </c>
      <c r="E591" s="5">
        <v>0.62</v>
      </c>
    </row>
    <row r="592" spans="1:5" x14ac:dyDescent="0.25">
      <c r="A592" t="s">
        <v>1422</v>
      </c>
      <c r="B592" t="s">
        <v>1423</v>
      </c>
      <c r="C592" s="4">
        <v>85000</v>
      </c>
      <c r="D592" s="4">
        <v>100000</v>
      </c>
      <c r="E592" s="5">
        <v>0.62</v>
      </c>
    </row>
    <row r="593" spans="1:5" x14ac:dyDescent="0.25">
      <c r="A593" t="s">
        <v>1424</v>
      </c>
      <c r="B593" t="s">
        <v>1425</v>
      </c>
      <c r="C593" s="4">
        <v>85000</v>
      </c>
      <c r="D593" s="4">
        <v>100000</v>
      </c>
      <c r="E593" s="5">
        <v>0.62</v>
      </c>
    </row>
    <row r="594" spans="1:5" x14ac:dyDescent="0.25">
      <c r="A594" t="s">
        <v>1426</v>
      </c>
      <c r="B594" t="s">
        <v>1427</v>
      </c>
      <c r="C594" s="4">
        <v>85000</v>
      </c>
      <c r="D594" s="4">
        <v>100000</v>
      </c>
      <c r="E594" s="5">
        <v>0.62</v>
      </c>
    </row>
    <row r="595" spans="1:5" x14ac:dyDescent="0.25">
      <c r="A595" t="s">
        <v>1428</v>
      </c>
      <c r="B595" t="s">
        <v>1429</v>
      </c>
      <c r="C595" s="4">
        <v>85000</v>
      </c>
      <c r="D595" s="4">
        <v>100000</v>
      </c>
      <c r="E595" s="5">
        <v>0.62</v>
      </c>
    </row>
    <row r="596" spans="1:5" x14ac:dyDescent="0.25">
      <c r="A596" t="s">
        <v>1430</v>
      </c>
      <c r="B596" t="s">
        <v>1431</v>
      </c>
      <c r="C596" s="4">
        <v>85000</v>
      </c>
      <c r="D596" s="4">
        <v>100000</v>
      </c>
      <c r="E596" s="5">
        <v>0.62</v>
      </c>
    </row>
    <row r="597" spans="1:5" x14ac:dyDescent="0.25">
      <c r="A597" t="s">
        <v>1432</v>
      </c>
      <c r="B597" t="s">
        <v>1433</v>
      </c>
      <c r="C597" s="4">
        <v>85000</v>
      </c>
      <c r="D597" s="4">
        <v>100000</v>
      </c>
      <c r="E597" s="5">
        <v>0.62</v>
      </c>
    </row>
    <row r="598" spans="1:5" x14ac:dyDescent="0.25">
      <c r="A598" t="s">
        <v>1434</v>
      </c>
      <c r="B598" t="s">
        <v>1435</v>
      </c>
      <c r="C598" s="4">
        <v>85000</v>
      </c>
      <c r="D598" s="4">
        <v>100000</v>
      </c>
      <c r="E598" s="5">
        <v>0.62</v>
      </c>
    </row>
    <row r="599" spans="1:5" x14ac:dyDescent="0.25">
      <c r="A599" t="s">
        <v>1436</v>
      </c>
      <c r="B599" t="s">
        <v>1437</v>
      </c>
      <c r="C599" s="4">
        <v>85000</v>
      </c>
      <c r="D599" s="4">
        <v>100000</v>
      </c>
      <c r="E599" s="5">
        <v>0.62</v>
      </c>
    </row>
    <row r="600" spans="1:5" x14ac:dyDescent="0.25">
      <c r="A600" t="s">
        <v>1438</v>
      </c>
      <c r="B600" t="s">
        <v>1439</v>
      </c>
      <c r="C600" s="4">
        <v>85000</v>
      </c>
      <c r="D600" s="4">
        <v>100000</v>
      </c>
      <c r="E600" s="5">
        <v>0.62</v>
      </c>
    </row>
    <row r="601" spans="1:5" x14ac:dyDescent="0.25">
      <c r="A601" t="s">
        <v>1440</v>
      </c>
      <c r="B601" t="s">
        <v>1441</v>
      </c>
      <c r="C601" s="4">
        <v>85000</v>
      </c>
      <c r="D601" s="4">
        <v>100000</v>
      </c>
      <c r="E601" s="5">
        <v>0.62</v>
      </c>
    </row>
    <row r="602" spans="1:5" x14ac:dyDescent="0.25">
      <c r="A602" t="s">
        <v>1442</v>
      </c>
      <c r="B602" t="s">
        <v>1443</v>
      </c>
      <c r="C602" s="4">
        <v>85000</v>
      </c>
      <c r="D602" s="4">
        <v>100000</v>
      </c>
      <c r="E602" s="5">
        <v>0.62</v>
      </c>
    </row>
    <row r="603" spans="1:5" x14ac:dyDescent="0.25">
      <c r="A603" t="s">
        <v>1444</v>
      </c>
      <c r="B603" t="s">
        <v>1445</v>
      </c>
      <c r="C603" s="4">
        <v>85000</v>
      </c>
      <c r="D603" s="4">
        <v>100000</v>
      </c>
      <c r="E603" s="5">
        <v>0.62</v>
      </c>
    </row>
    <row r="604" spans="1:5" x14ac:dyDescent="0.25">
      <c r="A604" t="s">
        <v>1446</v>
      </c>
      <c r="B604" t="s">
        <v>1447</v>
      </c>
      <c r="C604" s="4">
        <v>85000</v>
      </c>
      <c r="D604" s="4">
        <v>100000</v>
      </c>
      <c r="E604" s="5">
        <v>0.62</v>
      </c>
    </row>
    <row r="605" spans="1:5" x14ac:dyDescent="0.25">
      <c r="A605" t="s">
        <v>1448</v>
      </c>
      <c r="B605" t="s">
        <v>1449</v>
      </c>
      <c r="C605" s="4">
        <v>85000</v>
      </c>
      <c r="D605" s="4">
        <v>100000</v>
      </c>
      <c r="E605" s="5">
        <v>0.62</v>
      </c>
    </row>
    <row r="606" spans="1:5" x14ac:dyDescent="0.25">
      <c r="A606" t="s">
        <v>1450</v>
      </c>
      <c r="B606" t="s">
        <v>1451</v>
      </c>
      <c r="C606" s="4">
        <v>85000</v>
      </c>
      <c r="D606" s="4">
        <v>100000</v>
      </c>
      <c r="E606" s="5">
        <v>0.62</v>
      </c>
    </row>
    <row r="607" spans="1:5" x14ac:dyDescent="0.25">
      <c r="A607" t="s">
        <v>1452</v>
      </c>
      <c r="B607" t="s">
        <v>1453</v>
      </c>
      <c r="C607" s="4">
        <v>85000</v>
      </c>
      <c r="D607" s="4">
        <v>100000</v>
      </c>
      <c r="E607" s="5">
        <v>0.62</v>
      </c>
    </row>
    <row r="608" spans="1:5" x14ac:dyDescent="0.25">
      <c r="A608" t="s">
        <v>1454</v>
      </c>
      <c r="B608" t="s">
        <v>1455</v>
      </c>
      <c r="C608" s="4">
        <v>85000</v>
      </c>
      <c r="D608" s="4">
        <v>100000</v>
      </c>
      <c r="E608" s="5">
        <v>0.62</v>
      </c>
    </row>
    <row r="609" spans="1:5" x14ac:dyDescent="0.25">
      <c r="A609" t="s">
        <v>1456</v>
      </c>
      <c r="B609" t="s">
        <v>1457</v>
      </c>
      <c r="C609" s="4">
        <v>85000</v>
      </c>
      <c r="D609" s="4">
        <v>100000</v>
      </c>
      <c r="E609" s="5">
        <v>0.62</v>
      </c>
    </row>
    <row r="610" spans="1:5" x14ac:dyDescent="0.25">
      <c r="A610" t="s">
        <v>1458</v>
      </c>
      <c r="B610" t="s">
        <v>1459</v>
      </c>
      <c r="C610" s="4">
        <v>85000</v>
      </c>
      <c r="D610" s="4">
        <v>100000</v>
      </c>
      <c r="E610" s="5">
        <v>0.62</v>
      </c>
    </row>
    <row r="611" spans="1:5" x14ac:dyDescent="0.25">
      <c r="A611" t="s">
        <v>1460</v>
      </c>
      <c r="B611" t="s">
        <v>1461</v>
      </c>
      <c r="C611" s="4">
        <v>85000</v>
      </c>
      <c r="D611" s="4">
        <v>100000</v>
      </c>
      <c r="E611" s="5">
        <v>0.62</v>
      </c>
    </row>
    <row r="612" spans="1:5" x14ac:dyDescent="0.25">
      <c r="A612" t="s">
        <v>1462</v>
      </c>
      <c r="B612" t="s">
        <v>1463</v>
      </c>
      <c r="C612" s="4">
        <v>85000</v>
      </c>
      <c r="D612" s="4">
        <v>100000</v>
      </c>
      <c r="E612" s="5">
        <v>0.62</v>
      </c>
    </row>
    <row r="613" spans="1:5" x14ac:dyDescent="0.25">
      <c r="A613" t="s">
        <v>1464</v>
      </c>
      <c r="B613" t="s">
        <v>1465</v>
      </c>
      <c r="C613" s="4">
        <v>85000</v>
      </c>
      <c r="D613" s="4">
        <v>100000</v>
      </c>
      <c r="E613" s="5">
        <v>0.62</v>
      </c>
    </row>
    <row r="614" spans="1:5" x14ac:dyDescent="0.25">
      <c r="A614" t="s">
        <v>1466</v>
      </c>
      <c r="B614" t="s">
        <v>1467</v>
      </c>
      <c r="C614" s="4">
        <v>85000</v>
      </c>
      <c r="D614" s="4">
        <v>100000</v>
      </c>
      <c r="E614" s="5">
        <v>0.62</v>
      </c>
    </row>
    <row r="615" spans="1:5" x14ac:dyDescent="0.25">
      <c r="A615" t="s">
        <v>1468</v>
      </c>
      <c r="B615" t="s">
        <v>1469</v>
      </c>
      <c r="C615" s="4">
        <v>85000</v>
      </c>
      <c r="D615" s="4">
        <v>100000</v>
      </c>
      <c r="E615" s="5">
        <v>0.62</v>
      </c>
    </row>
    <row r="616" spans="1:5" x14ac:dyDescent="0.25">
      <c r="A616" t="s">
        <v>1470</v>
      </c>
      <c r="B616" t="s">
        <v>1471</v>
      </c>
      <c r="C616" s="4">
        <v>85000</v>
      </c>
      <c r="D616" s="4">
        <v>100000</v>
      </c>
      <c r="E616" s="5">
        <v>0.62</v>
      </c>
    </row>
    <row r="617" spans="1:5" x14ac:dyDescent="0.25">
      <c r="A617" t="s">
        <v>1472</v>
      </c>
      <c r="B617" t="s">
        <v>1473</v>
      </c>
      <c r="C617" s="4">
        <v>85000</v>
      </c>
      <c r="D617" s="4">
        <v>100000</v>
      </c>
      <c r="E617" s="5">
        <v>0.62</v>
      </c>
    </row>
    <row r="618" spans="1:5" x14ac:dyDescent="0.25">
      <c r="A618" t="s">
        <v>1474</v>
      </c>
      <c r="B618" t="s">
        <v>1475</v>
      </c>
      <c r="C618" s="4">
        <v>85000</v>
      </c>
      <c r="D618" s="4">
        <v>100000</v>
      </c>
      <c r="E618" s="5">
        <v>0.62</v>
      </c>
    </row>
    <row r="619" spans="1:5" x14ac:dyDescent="0.25">
      <c r="A619" t="s">
        <v>1476</v>
      </c>
      <c r="B619" t="s">
        <v>1477</v>
      </c>
      <c r="C619" s="4">
        <v>85000</v>
      </c>
      <c r="D619" s="4">
        <v>100000</v>
      </c>
      <c r="E619" s="5">
        <v>0.62</v>
      </c>
    </row>
    <row r="620" spans="1:5" x14ac:dyDescent="0.25">
      <c r="A620" t="s">
        <v>1478</v>
      </c>
      <c r="B620" t="s">
        <v>1479</v>
      </c>
      <c r="C620" s="4">
        <v>85000</v>
      </c>
      <c r="D620" s="4">
        <v>100000</v>
      </c>
      <c r="E620" s="5">
        <v>0.62</v>
      </c>
    </row>
    <row r="621" spans="1:5" x14ac:dyDescent="0.25">
      <c r="A621" t="s">
        <v>1480</v>
      </c>
      <c r="B621" t="s">
        <v>1481</v>
      </c>
      <c r="C621" s="4">
        <v>85000</v>
      </c>
      <c r="D621" s="4">
        <v>100000</v>
      </c>
      <c r="E621" s="5">
        <v>0.62</v>
      </c>
    </row>
    <row r="622" spans="1:5" x14ac:dyDescent="0.25">
      <c r="A622" t="s">
        <v>1482</v>
      </c>
      <c r="B622" t="s">
        <v>1483</v>
      </c>
      <c r="C622" s="4">
        <v>85000</v>
      </c>
      <c r="D622" s="4">
        <v>100000</v>
      </c>
      <c r="E622" s="5">
        <v>0.62</v>
      </c>
    </row>
    <row r="623" spans="1:5" x14ac:dyDescent="0.25">
      <c r="A623" t="s">
        <v>1484</v>
      </c>
      <c r="B623" t="s">
        <v>1485</v>
      </c>
      <c r="C623" s="4">
        <v>85000</v>
      </c>
      <c r="D623" s="4">
        <v>100000</v>
      </c>
      <c r="E623" s="5">
        <v>0.62</v>
      </c>
    </row>
    <row r="624" spans="1:5" x14ac:dyDescent="0.25">
      <c r="A624" t="s">
        <v>1486</v>
      </c>
      <c r="B624" t="s">
        <v>1487</v>
      </c>
      <c r="C624" s="4">
        <v>85000</v>
      </c>
      <c r="D624" s="4">
        <v>100000</v>
      </c>
      <c r="E624" s="5">
        <v>0.62</v>
      </c>
    </row>
    <row r="625" spans="1:5" x14ac:dyDescent="0.25">
      <c r="A625" t="s">
        <v>1488</v>
      </c>
      <c r="B625" t="s">
        <v>1489</v>
      </c>
      <c r="C625" s="4">
        <v>85000</v>
      </c>
      <c r="D625" s="4">
        <v>100000</v>
      </c>
      <c r="E625" s="5">
        <v>0.62</v>
      </c>
    </row>
    <row r="626" spans="1:5" x14ac:dyDescent="0.25">
      <c r="A626" t="s">
        <v>1490</v>
      </c>
      <c r="B626" t="s">
        <v>1491</v>
      </c>
      <c r="C626" s="4">
        <v>85000</v>
      </c>
      <c r="D626" s="4">
        <v>100000</v>
      </c>
      <c r="E626" s="5">
        <v>0.62</v>
      </c>
    </row>
    <row r="627" spans="1:5" x14ac:dyDescent="0.25">
      <c r="A627" t="s">
        <v>1492</v>
      </c>
      <c r="B627" t="s">
        <v>1493</v>
      </c>
      <c r="C627" s="4">
        <v>85000</v>
      </c>
      <c r="D627" s="4">
        <v>100000</v>
      </c>
      <c r="E627" s="5">
        <v>0.62</v>
      </c>
    </row>
    <row r="628" spans="1:5" x14ac:dyDescent="0.25">
      <c r="A628" t="s">
        <v>1494</v>
      </c>
      <c r="B628" t="s">
        <v>1495</v>
      </c>
      <c r="C628" s="4">
        <v>85000</v>
      </c>
      <c r="D628" s="4">
        <v>100000</v>
      </c>
      <c r="E628" s="5">
        <v>0.62</v>
      </c>
    </row>
    <row r="629" spans="1:5" x14ac:dyDescent="0.25">
      <c r="A629" t="s">
        <v>1496</v>
      </c>
      <c r="B629" t="s">
        <v>1497</v>
      </c>
      <c r="C629" s="4">
        <v>85000</v>
      </c>
      <c r="D629" s="4">
        <v>100000</v>
      </c>
      <c r="E629" s="5">
        <v>0.62</v>
      </c>
    </row>
    <row r="630" spans="1:5" x14ac:dyDescent="0.25">
      <c r="A630" t="s">
        <v>1498</v>
      </c>
      <c r="B630" t="s">
        <v>1499</v>
      </c>
      <c r="C630" s="4">
        <v>85000</v>
      </c>
      <c r="D630" s="4">
        <v>100000</v>
      </c>
      <c r="E630" s="5">
        <v>0.62</v>
      </c>
    </row>
    <row r="631" spans="1:5" x14ac:dyDescent="0.25">
      <c r="A631" t="s">
        <v>1500</v>
      </c>
      <c r="B631" t="s">
        <v>1501</v>
      </c>
      <c r="C631" s="4">
        <v>85000</v>
      </c>
      <c r="D631" s="4">
        <v>100000</v>
      </c>
      <c r="E631" s="5">
        <v>0.62</v>
      </c>
    </row>
    <row r="632" spans="1:5" x14ac:dyDescent="0.25">
      <c r="A632" t="s">
        <v>1502</v>
      </c>
      <c r="B632" t="s">
        <v>1503</v>
      </c>
      <c r="C632" s="4">
        <v>85000</v>
      </c>
      <c r="D632" s="4">
        <v>100000</v>
      </c>
      <c r="E632" s="5">
        <v>0.62</v>
      </c>
    </row>
    <row r="633" spans="1:5" x14ac:dyDescent="0.25">
      <c r="A633" t="s">
        <v>1504</v>
      </c>
      <c r="B633" t="s">
        <v>1505</v>
      </c>
      <c r="C633" s="4">
        <v>85000</v>
      </c>
      <c r="D633" s="4">
        <v>100000</v>
      </c>
      <c r="E633" s="5">
        <v>0.62</v>
      </c>
    </row>
    <row r="634" spans="1:5" x14ac:dyDescent="0.25">
      <c r="A634" t="s">
        <v>1506</v>
      </c>
      <c r="B634" t="s">
        <v>1507</v>
      </c>
      <c r="C634" s="4">
        <v>85000</v>
      </c>
      <c r="D634" s="4">
        <v>100000</v>
      </c>
      <c r="E634" s="5">
        <v>0.62</v>
      </c>
    </row>
    <row r="635" spans="1:5" x14ac:dyDescent="0.25">
      <c r="A635" t="s">
        <v>1508</v>
      </c>
      <c r="B635" t="s">
        <v>1509</v>
      </c>
      <c r="C635" s="4">
        <v>85000</v>
      </c>
      <c r="D635" s="4">
        <v>100000</v>
      </c>
      <c r="E635" s="5">
        <v>0.62</v>
      </c>
    </row>
    <row r="636" spans="1:5" x14ac:dyDescent="0.25">
      <c r="A636" t="s">
        <v>1510</v>
      </c>
      <c r="B636" t="s">
        <v>1511</v>
      </c>
      <c r="C636" s="4">
        <v>85000</v>
      </c>
      <c r="D636" s="4">
        <v>100000</v>
      </c>
      <c r="E636" s="5">
        <v>0.62</v>
      </c>
    </row>
    <row r="637" spans="1:5" x14ac:dyDescent="0.25">
      <c r="A637" t="s">
        <v>1512</v>
      </c>
      <c r="B637" t="s">
        <v>1513</v>
      </c>
      <c r="C637" s="4">
        <v>85000</v>
      </c>
      <c r="D637" s="4">
        <v>100000</v>
      </c>
      <c r="E637" s="5">
        <v>0.62</v>
      </c>
    </row>
    <row r="638" spans="1:5" x14ac:dyDescent="0.25">
      <c r="A638" t="s">
        <v>1514</v>
      </c>
      <c r="B638" t="s">
        <v>1515</v>
      </c>
      <c r="C638" s="4">
        <v>85000</v>
      </c>
      <c r="D638" s="4">
        <v>100000</v>
      </c>
      <c r="E638" s="5">
        <v>0.4</v>
      </c>
    </row>
    <row r="639" spans="1:5" x14ac:dyDescent="0.25">
      <c r="A639" t="s">
        <v>1516</v>
      </c>
      <c r="B639" t="s">
        <v>1517</v>
      </c>
      <c r="C639" s="4">
        <v>85000</v>
      </c>
      <c r="D639" s="4">
        <v>100000</v>
      </c>
      <c r="E639" s="5">
        <v>0.4</v>
      </c>
    </row>
    <row r="640" spans="1:5" x14ac:dyDescent="0.25">
      <c r="A640" t="s">
        <v>1518</v>
      </c>
      <c r="B640" t="s">
        <v>1519</v>
      </c>
      <c r="C640" s="4">
        <v>85000</v>
      </c>
      <c r="D640" s="4">
        <v>100000</v>
      </c>
      <c r="E640" s="5">
        <v>0.4</v>
      </c>
    </row>
    <row r="641" spans="1:5" x14ac:dyDescent="0.25">
      <c r="A641" t="s">
        <v>1520</v>
      </c>
      <c r="B641" t="s">
        <v>1521</v>
      </c>
      <c r="C641" s="4">
        <v>85000</v>
      </c>
      <c r="D641" s="4">
        <v>100000</v>
      </c>
      <c r="E641" s="5">
        <v>0.4</v>
      </c>
    </row>
    <row r="642" spans="1:5" x14ac:dyDescent="0.25">
      <c r="A642" t="s">
        <v>1522</v>
      </c>
      <c r="B642" t="s">
        <v>1523</v>
      </c>
      <c r="C642" s="4">
        <v>85000</v>
      </c>
      <c r="D642" s="4">
        <v>100000</v>
      </c>
      <c r="E642" s="5">
        <v>0.4</v>
      </c>
    </row>
    <row r="643" spans="1:5" x14ac:dyDescent="0.25">
      <c r="A643" t="s">
        <v>1524</v>
      </c>
      <c r="B643" t="s">
        <v>1525</v>
      </c>
      <c r="C643" s="4">
        <v>85000</v>
      </c>
      <c r="D643" s="4">
        <v>100000</v>
      </c>
      <c r="E643" s="5">
        <v>0.4</v>
      </c>
    </row>
    <row r="644" spans="1:5" x14ac:dyDescent="0.25">
      <c r="A644" t="s">
        <v>1526</v>
      </c>
      <c r="B644" t="s">
        <v>1527</v>
      </c>
      <c r="C644" s="4">
        <v>85000</v>
      </c>
      <c r="D644" s="4">
        <v>100000</v>
      </c>
      <c r="E644" s="5">
        <v>0.4</v>
      </c>
    </row>
    <row r="645" spans="1:5" x14ac:dyDescent="0.25">
      <c r="A645" t="s">
        <v>1528</v>
      </c>
      <c r="B645" t="s">
        <v>1529</v>
      </c>
      <c r="C645" s="4">
        <v>85000</v>
      </c>
      <c r="D645" s="4">
        <v>100000</v>
      </c>
      <c r="E645" s="5">
        <v>0.4</v>
      </c>
    </row>
    <row r="646" spans="1:5" x14ac:dyDescent="0.25">
      <c r="A646" t="s">
        <v>1530</v>
      </c>
      <c r="B646" t="s">
        <v>1531</v>
      </c>
      <c r="C646" s="4">
        <v>85000</v>
      </c>
      <c r="D646" s="4">
        <v>100000</v>
      </c>
      <c r="E646" s="5">
        <v>0.4</v>
      </c>
    </row>
    <row r="647" spans="1:5" x14ac:dyDescent="0.25">
      <c r="A647" t="s">
        <v>1532</v>
      </c>
      <c r="B647" t="s">
        <v>1533</v>
      </c>
      <c r="C647" s="4">
        <v>85000</v>
      </c>
      <c r="D647" s="4">
        <v>100000</v>
      </c>
      <c r="E647" s="5">
        <v>0.4</v>
      </c>
    </row>
    <row r="648" spans="1:5" x14ac:dyDescent="0.25">
      <c r="A648" t="s">
        <v>1534</v>
      </c>
      <c r="B648" t="s">
        <v>1535</v>
      </c>
      <c r="C648" s="4">
        <v>85000</v>
      </c>
      <c r="D648" s="4">
        <v>100000</v>
      </c>
      <c r="E648" s="5">
        <v>0.4</v>
      </c>
    </row>
    <row r="649" spans="1:5" x14ac:dyDescent="0.25">
      <c r="A649" t="s">
        <v>1536</v>
      </c>
      <c r="B649" t="s">
        <v>1537</v>
      </c>
      <c r="C649" s="4">
        <v>85000</v>
      </c>
      <c r="D649" s="4">
        <v>100000</v>
      </c>
      <c r="E649" s="5">
        <v>0.4</v>
      </c>
    </row>
    <row r="650" spans="1:5" x14ac:dyDescent="0.25">
      <c r="A650" t="s">
        <v>1538</v>
      </c>
      <c r="B650" t="s">
        <v>1539</v>
      </c>
      <c r="C650" s="4">
        <v>85000</v>
      </c>
      <c r="D650" s="4">
        <v>100000</v>
      </c>
      <c r="E650" s="5">
        <v>0.4</v>
      </c>
    </row>
    <row r="651" spans="1:5" x14ac:dyDescent="0.25">
      <c r="A651" t="s">
        <v>1540</v>
      </c>
      <c r="B651" t="s">
        <v>1541</v>
      </c>
      <c r="C651" s="4">
        <v>85000</v>
      </c>
      <c r="D651" s="4">
        <v>100000</v>
      </c>
      <c r="E651" s="5">
        <v>0.4</v>
      </c>
    </row>
    <row r="652" spans="1:5" x14ac:dyDescent="0.25">
      <c r="A652" t="s">
        <v>1542</v>
      </c>
      <c r="B652" t="s">
        <v>1543</v>
      </c>
      <c r="C652" s="4">
        <v>85000</v>
      </c>
      <c r="D652" s="4">
        <v>100000</v>
      </c>
      <c r="E652" s="5">
        <v>0.4</v>
      </c>
    </row>
    <row r="653" spans="1:5" x14ac:dyDescent="0.25">
      <c r="A653" t="s">
        <v>1544</v>
      </c>
      <c r="B653" t="s">
        <v>1545</v>
      </c>
      <c r="C653" s="4">
        <v>85000</v>
      </c>
      <c r="D653" s="4">
        <v>100000</v>
      </c>
      <c r="E653" s="5">
        <v>0.4</v>
      </c>
    </row>
    <row r="654" spans="1:5" x14ac:dyDescent="0.25">
      <c r="A654" t="s">
        <v>1546</v>
      </c>
      <c r="B654" t="s">
        <v>1547</v>
      </c>
      <c r="C654" s="4">
        <v>85000</v>
      </c>
      <c r="D654" s="4">
        <v>100000</v>
      </c>
      <c r="E654" s="5">
        <v>0.4</v>
      </c>
    </row>
    <row r="655" spans="1:5" x14ac:dyDescent="0.25">
      <c r="A655" t="s">
        <v>1548</v>
      </c>
      <c r="B655" t="s">
        <v>1549</v>
      </c>
      <c r="C655" s="4">
        <v>85000</v>
      </c>
      <c r="D655" s="4">
        <v>100000</v>
      </c>
      <c r="E655" s="5">
        <v>0.4</v>
      </c>
    </row>
    <row r="656" spans="1:5" x14ac:dyDescent="0.25">
      <c r="A656" t="s">
        <v>1550</v>
      </c>
      <c r="B656" t="s">
        <v>1551</v>
      </c>
      <c r="C656" s="4">
        <v>85000</v>
      </c>
      <c r="D656" s="4">
        <v>100000</v>
      </c>
      <c r="E656" s="5">
        <v>0.4</v>
      </c>
    </row>
    <row r="657" spans="1:5" x14ac:dyDescent="0.25">
      <c r="A657" t="s">
        <v>1552</v>
      </c>
      <c r="B657" t="s">
        <v>1553</v>
      </c>
      <c r="C657" s="4">
        <v>85000</v>
      </c>
      <c r="D657" s="4">
        <v>100000</v>
      </c>
      <c r="E657" s="5">
        <v>0.4</v>
      </c>
    </row>
    <row r="658" spans="1:5" x14ac:dyDescent="0.25">
      <c r="A658" t="s">
        <v>1554</v>
      </c>
      <c r="B658" t="s">
        <v>1555</v>
      </c>
      <c r="C658" s="4">
        <v>85000</v>
      </c>
      <c r="D658" s="4">
        <v>100000</v>
      </c>
      <c r="E658" s="5">
        <v>0.4</v>
      </c>
    </row>
    <row r="659" spans="1:5" x14ac:dyDescent="0.25">
      <c r="A659" t="s">
        <v>1556</v>
      </c>
      <c r="B659" t="s">
        <v>1557</v>
      </c>
      <c r="C659" s="4">
        <v>85000</v>
      </c>
      <c r="D659" s="4">
        <v>100000</v>
      </c>
      <c r="E659" s="5">
        <v>0.4</v>
      </c>
    </row>
    <row r="660" spans="1:5" x14ac:dyDescent="0.25">
      <c r="A660" t="s">
        <v>1558</v>
      </c>
      <c r="B660" t="s">
        <v>1559</v>
      </c>
      <c r="C660" s="4">
        <v>85000</v>
      </c>
      <c r="D660" s="4">
        <v>100000</v>
      </c>
      <c r="E660" s="5">
        <v>0.4</v>
      </c>
    </row>
    <row r="661" spans="1:5" x14ac:dyDescent="0.25">
      <c r="A661" t="s">
        <v>1560</v>
      </c>
      <c r="B661" t="s">
        <v>1561</v>
      </c>
      <c r="C661" s="4">
        <v>85000</v>
      </c>
      <c r="D661" s="4">
        <v>100000</v>
      </c>
      <c r="E661" s="5">
        <v>0.4</v>
      </c>
    </row>
    <row r="662" spans="1:5" x14ac:dyDescent="0.25">
      <c r="A662" t="s">
        <v>1562</v>
      </c>
      <c r="B662" t="s">
        <v>1563</v>
      </c>
      <c r="C662" s="4">
        <v>85000</v>
      </c>
      <c r="D662" s="4">
        <v>100000</v>
      </c>
      <c r="E662" s="5">
        <v>0.4</v>
      </c>
    </row>
    <row r="663" spans="1:5" x14ac:dyDescent="0.25">
      <c r="A663" t="s">
        <v>1564</v>
      </c>
      <c r="B663" t="s">
        <v>1565</v>
      </c>
      <c r="C663" s="4">
        <v>85000</v>
      </c>
      <c r="D663" s="4">
        <v>100000</v>
      </c>
      <c r="E663" s="5">
        <v>0.4</v>
      </c>
    </row>
    <row r="664" spans="1:5" x14ac:dyDescent="0.25">
      <c r="A664" t="s">
        <v>1566</v>
      </c>
      <c r="B664" t="s">
        <v>1567</v>
      </c>
      <c r="C664" s="4">
        <v>85000</v>
      </c>
      <c r="D664" s="4">
        <v>100000</v>
      </c>
      <c r="E664" s="5">
        <v>0.4</v>
      </c>
    </row>
    <row r="665" spans="1:5" x14ac:dyDescent="0.25">
      <c r="A665" t="s">
        <v>1568</v>
      </c>
      <c r="B665" t="s">
        <v>1569</v>
      </c>
      <c r="C665" s="4">
        <v>85000</v>
      </c>
      <c r="D665" s="4">
        <v>100000</v>
      </c>
      <c r="E665" s="5">
        <v>0.4</v>
      </c>
    </row>
    <row r="666" spans="1:5" x14ac:dyDescent="0.25">
      <c r="A666" t="s">
        <v>1570</v>
      </c>
      <c r="B666" t="s">
        <v>1571</v>
      </c>
      <c r="C666" s="4">
        <v>85000</v>
      </c>
      <c r="D666" s="4">
        <v>100000</v>
      </c>
      <c r="E666" s="5">
        <v>0.4</v>
      </c>
    </row>
    <row r="667" spans="1:5" x14ac:dyDescent="0.25">
      <c r="A667" t="s">
        <v>1572</v>
      </c>
      <c r="B667" t="s">
        <v>1573</v>
      </c>
      <c r="C667" s="4">
        <v>85000</v>
      </c>
      <c r="D667" s="4">
        <v>100000</v>
      </c>
      <c r="E667" s="5">
        <v>0.4</v>
      </c>
    </row>
    <row r="668" spans="1:5" x14ac:dyDescent="0.25">
      <c r="A668" t="s">
        <v>1574</v>
      </c>
      <c r="B668" t="s">
        <v>1575</v>
      </c>
      <c r="C668" s="4">
        <v>85000</v>
      </c>
      <c r="D668" s="4">
        <v>100000</v>
      </c>
      <c r="E668" s="5">
        <v>0.4</v>
      </c>
    </row>
    <row r="669" spans="1:5" x14ac:dyDescent="0.25">
      <c r="A669" t="s">
        <v>1576</v>
      </c>
      <c r="B669" t="s">
        <v>1577</v>
      </c>
      <c r="C669" s="4">
        <v>85000</v>
      </c>
      <c r="D669" s="4">
        <v>100000</v>
      </c>
      <c r="E669" s="5">
        <v>0.4</v>
      </c>
    </row>
    <row r="670" spans="1:5" x14ac:dyDescent="0.25">
      <c r="A670" t="s">
        <v>1578</v>
      </c>
      <c r="B670" t="s">
        <v>1579</v>
      </c>
      <c r="C670" s="4">
        <v>85000</v>
      </c>
      <c r="D670" s="4">
        <v>100000</v>
      </c>
      <c r="E670" s="5">
        <v>0.4</v>
      </c>
    </row>
    <row r="671" spans="1:5" x14ac:dyDescent="0.25">
      <c r="A671" t="s">
        <v>1580</v>
      </c>
      <c r="B671" t="s">
        <v>1581</v>
      </c>
      <c r="C671" s="4">
        <v>85000</v>
      </c>
      <c r="D671" s="4">
        <v>100000</v>
      </c>
      <c r="E671" s="5">
        <v>0.4</v>
      </c>
    </row>
    <row r="672" spans="1:5" x14ac:dyDescent="0.25">
      <c r="A672" t="s">
        <v>1582</v>
      </c>
      <c r="B672" t="s">
        <v>1583</v>
      </c>
      <c r="C672" s="4">
        <v>85000</v>
      </c>
      <c r="D672" s="4">
        <v>100000</v>
      </c>
      <c r="E672" s="5">
        <v>0.4</v>
      </c>
    </row>
    <row r="673" spans="1:5" x14ac:dyDescent="0.25">
      <c r="A673" t="s">
        <v>1584</v>
      </c>
      <c r="B673" t="s">
        <v>1585</v>
      </c>
      <c r="C673" s="4">
        <v>85000</v>
      </c>
      <c r="D673" s="4">
        <v>100000</v>
      </c>
      <c r="E673" s="5">
        <v>0.4</v>
      </c>
    </row>
    <row r="674" spans="1:5" x14ac:dyDescent="0.25">
      <c r="A674" t="s">
        <v>1586</v>
      </c>
      <c r="B674" t="s">
        <v>1587</v>
      </c>
      <c r="C674" s="4">
        <v>85000</v>
      </c>
      <c r="D674" s="4">
        <v>100000</v>
      </c>
      <c r="E674" s="5">
        <v>0.4</v>
      </c>
    </row>
    <row r="675" spans="1:5" x14ac:dyDescent="0.25">
      <c r="A675" t="s">
        <v>1588</v>
      </c>
      <c r="B675" t="s">
        <v>1589</v>
      </c>
      <c r="C675" s="4">
        <v>85000</v>
      </c>
      <c r="D675" s="4">
        <v>100000</v>
      </c>
      <c r="E675" s="5">
        <v>0.4</v>
      </c>
    </row>
    <row r="676" spans="1:5" x14ac:dyDescent="0.25">
      <c r="A676" t="s">
        <v>1590</v>
      </c>
      <c r="B676" t="s">
        <v>1591</v>
      </c>
      <c r="C676" s="4">
        <v>85000</v>
      </c>
      <c r="D676" s="4">
        <v>100000</v>
      </c>
      <c r="E676" s="5">
        <v>0.4</v>
      </c>
    </row>
    <row r="677" spans="1:5" x14ac:dyDescent="0.25">
      <c r="A677" t="s">
        <v>1592</v>
      </c>
      <c r="B677" t="s">
        <v>1593</v>
      </c>
      <c r="C677" s="4">
        <v>85000</v>
      </c>
      <c r="D677" s="4">
        <v>100000</v>
      </c>
      <c r="E677" s="5">
        <v>0.4</v>
      </c>
    </row>
    <row r="678" spans="1:5" x14ac:dyDescent="0.25">
      <c r="A678" t="s">
        <v>1594</v>
      </c>
      <c r="B678" t="s">
        <v>1595</v>
      </c>
      <c r="C678" s="4">
        <v>85000</v>
      </c>
      <c r="D678" s="4">
        <v>100000</v>
      </c>
      <c r="E678" s="5">
        <v>0.4</v>
      </c>
    </row>
    <row r="679" spans="1:5" x14ac:dyDescent="0.25">
      <c r="A679" t="s">
        <v>1596</v>
      </c>
      <c r="B679" t="s">
        <v>1597</v>
      </c>
      <c r="C679" s="4">
        <v>85000</v>
      </c>
      <c r="D679" s="4">
        <v>100000</v>
      </c>
      <c r="E679" s="5">
        <v>0.4</v>
      </c>
    </row>
    <row r="680" spans="1:5" x14ac:dyDescent="0.25">
      <c r="A680" t="s">
        <v>1598</v>
      </c>
      <c r="B680" t="s">
        <v>1599</v>
      </c>
      <c r="C680" s="4">
        <v>85000</v>
      </c>
      <c r="D680" s="4">
        <v>100000</v>
      </c>
      <c r="E680" s="5">
        <v>0.4</v>
      </c>
    </row>
    <row r="681" spans="1:5" x14ac:dyDescent="0.25">
      <c r="A681" t="s">
        <v>1600</v>
      </c>
      <c r="B681" t="s">
        <v>1601</v>
      </c>
      <c r="C681" s="4">
        <v>85000</v>
      </c>
      <c r="D681" s="4">
        <v>100000</v>
      </c>
      <c r="E681" s="5">
        <v>0.4</v>
      </c>
    </row>
    <row r="682" spans="1:5" x14ac:dyDescent="0.25">
      <c r="A682" t="s">
        <v>1602</v>
      </c>
      <c r="B682" t="s">
        <v>1603</v>
      </c>
      <c r="C682" s="4">
        <v>85000</v>
      </c>
      <c r="D682" s="4">
        <v>100000</v>
      </c>
      <c r="E682" s="5">
        <v>0.4</v>
      </c>
    </row>
    <row r="683" spans="1:5" x14ac:dyDescent="0.25">
      <c r="A683" t="s">
        <v>1604</v>
      </c>
      <c r="B683" t="s">
        <v>1605</v>
      </c>
      <c r="C683" s="4">
        <v>85000</v>
      </c>
      <c r="D683" s="4">
        <v>100000</v>
      </c>
      <c r="E683" s="5">
        <v>0.4</v>
      </c>
    </row>
    <row r="684" spans="1:5" x14ac:dyDescent="0.25">
      <c r="A684" t="s">
        <v>1606</v>
      </c>
      <c r="B684" t="s">
        <v>1607</v>
      </c>
      <c r="C684" s="4">
        <v>85000</v>
      </c>
      <c r="D684" s="4">
        <v>100000</v>
      </c>
      <c r="E684" s="5">
        <v>0.4</v>
      </c>
    </row>
    <row r="685" spans="1:5" x14ac:dyDescent="0.25">
      <c r="A685" t="s">
        <v>1608</v>
      </c>
      <c r="B685" t="s">
        <v>1609</v>
      </c>
      <c r="C685" s="4">
        <v>85000</v>
      </c>
      <c r="D685" s="4">
        <v>100000</v>
      </c>
      <c r="E685" s="5">
        <v>0.4</v>
      </c>
    </row>
    <row r="686" spans="1:5" x14ac:dyDescent="0.25">
      <c r="A686" t="s">
        <v>1610</v>
      </c>
      <c r="B686" t="s">
        <v>1611</v>
      </c>
      <c r="C686" s="4">
        <v>85000</v>
      </c>
      <c r="D686" s="4">
        <v>100000</v>
      </c>
      <c r="E686" s="5">
        <v>0.4</v>
      </c>
    </row>
    <row r="687" spans="1:5" x14ac:dyDescent="0.25">
      <c r="A687" t="s">
        <v>1612</v>
      </c>
      <c r="B687" t="s">
        <v>1613</v>
      </c>
      <c r="C687" s="4">
        <v>85000</v>
      </c>
      <c r="D687" s="4">
        <v>100000</v>
      </c>
      <c r="E687" s="5">
        <v>0.4</v>
      </c>
    </row>
    <row r="688" spans="1:5" x14ac:dyDescent="0.25">
      <c r="A688" t="s">
        <v>1614</v>
      </c>
      <c r="B688" t="s">
        <v>1615</v>
      </c>
      <c r="C688" s="4">
        <v>85000</v>
      </c>
      <c r="D688" s="4">
        <v>100000</v>
      </c>
      <c r="E688" s="5">
        <v>0.4</v>
      </c>
    </row>
    <row r="689" spans="1:5" x14ac:dyDescent="0.25">
      <c r="A689" t="s">
        <v>1616</v>
      </c>
      <c r="B689" t="s">
        <v>1617</v>
      </c>
      <c r="C689" s="4">
        <v>85000</v>
      </c>
      <c r="D689" s="4">
        <v>100000</v>
      </c>
      <c r="E689" s="5">
        <v>0.4</v>
      </c>
    </row>
    <row r="690" spans="1:5" x14ac:dyDescent="0.25">
      <c r="A690" t="s">
        <v>1618</v>
      </c>
      <c r="B690" t="s">
        <v>1619</v>
      </c>
      <c r="C690" s="4">
        <v>85000</v>
      </c>
      <c r="D690" s="4">
        <v>100000</v>
      </c>
      <c r="E690" s="5">
        <v>0.4</v>
      </c>
    </row>
    <row r="691" spans="1:5" x14ac:dyDescent="0.25">
      <c r="A691" t="s">
        <v>1620</v>
      </c>
      <c r="B691" t="s">
        <v>1621</v>
      </c>
      <c r="C691" s="4">
        <v>85000</v>
      </c>
      <c r="D691" s="4">
        <v>100000</v>
      </c>
      <c r="E691" s="5">
        <v>0.4</v>
      </c>
    </row>
    <row r="692" spans="1:5" x14ac:dyDescent="0.25">
      <c r="A692" t="s">
        <v>1622</v>
      </c>
      <c r="B692" t="s">
        <v>1623</v>
      </c>
      <c r="C692" s="4">
        <v>85000</v>
      </c>
      <c r="D692" s="4">
        <v>100000</v>
      </c>
      <c r="E692" s="5">
        <v>0.4</v>
      </c>
    </row>
    <row r="693" spans="1:5" x14ac:dyDescent="0.25">
      <c r="A693" t="s">
        <v>1624</v>
      </c>
      <c r="B693" t="s">
        <v>1625</v>
      </c>
      <c r="C693" s="4">
        <v>85000</v>
      </c>
      <c r="D693" s="4">
        <v>100000</v>
      </c>
      <c r="E693" s="5">
        <v>0.4</v>
      </c>
    </row>
    <row r="694" spans="1:5" x14ac:dyDescent="0.25">
      <c r="A694" t="s">
        <v>1626</v>
      </c>
      <c r="B694" t="s">
        <v>1627</v>
      </c>
      <c r="C694" s="4">
        <v>85000</v>
      </c>
      <c r="D694" s="4">
        <v>100000</v>
      </c>
      <c r="E694" s="5">
        <v>0.4</v>
      </c>
    </row>
    <row r="695" spans="1:5" x14ac:dyDescent="0.25">
      <c r="A695" t="s">
        <v>1628</v>
      </c>
      <c r="B695" t="s">
        <v>1629</v>
      </c>
      <c r="C695" s="4">
        <v>85000</v>
      </c>
      <c r="D695" s="4">
        <v>100000</v>
      </c>
      <c r="E695" s="5">
        <v>0.4</v>
      </c>
    </row>
    <row r="696" spans="1:5" x14ac:dyDescent="0.25">
      <c r="A696" t="s">
        <v>1630</v>
      </c>
      <c r="B696" t="s">
        <v>1631</v>
      </c>
      <c r="C696" s="4">
        <v>85000</v>
      </c>
      <c r="D696" s="4">
        <v>100000</v>
      </c>
      <c r="E696" s="5">
        <v>0.4</v>
      </c>
    </row>
    <row r="697" spans="1:5" x14ac:dyDescent="0.25">
      <c r="A697" t="s">
        <v>1632</v>
      </c>
      <c r="B697" t="s">
        <v>1633</v>
      </c>
      <c r="C697" s="4">
        <v>85000</v>
      </c>
      <c r="D697" s="4">
        <v>100000</v>
      </c>
      <c r="E697" s="5">
        <v>0.4</v>
      </c>
    </row>
    <row r="698" spans="1:5" x14ac:dyDescent="0.25">
      <c r="A698" t="s">
        <v>1634</v>
      </c>
      <c r="B698" t="s">
        <v>1635</v>
      </c>
      <c r="C698" s="4">
        <v>85000</v>
      </c>
      <c r="D698" s="4">
        <v>100000</v>
      </c>
      <c r="E698" s="5">
        <v>0.4</v>
      </c>
    </row>
    <row r="699" spans="1:5" x14ac:dyDescent="0.25">
      <c r="A699" t="s">
        <v>1636</v>
      </c>
      <c r="B699" t="s">
        <v>1637</v>
      </c>
      <c r="C699" s="4">
        <v>85000</v>
      </c>
      <c r="D699" s="4">
        <v>100000</v>
      </c>
      <c r="E699" s="5">
        <v>0.4</v>
      </c>
    </row>
    <row r="700" spans="1:5" x14ac:dyDescent="0.25">
      <c r="A700" t="s">
        <v>1638</v>
      </c>
      <c r="B700" t="s">
        <v>1639</v>
      </c>
      <c r="C700" s="4">
        <v>85000</v>
      </c>
      <c r="D700" s="4">
        <v>100000</v>
      </c>
      <c r="E700" s="5">
        <v>0.4</v>
      </c>
    </row>
    <row r="701" spans="1:5" x14ac:dyDescent="0.25">
      <c r="A701" t="s">
        <v>1640</v>
      </c>
      <c r="B701" t="s">
        <v>1641</v>
      </c>
      <c r="C701" s="4">
        <v>85000</v>
      </c>
      <c r="D701" s="4">
        <v>100000</v>
      </c>
      <c r="E701" s="5">
        <v>0.4</v>
      </c>
    </row>
    <row r="702" spans="1:5" x14ac:dyDescent="0.25">
      <c r="A702" t="s">
        <v>1642</v>
      </c>
      <c r="B702" t="s">
        <v>1643</v>
      </c>
      <c r="C702" s="4">
        <v>85000</v>
      </c>
      <c r="D702" s="4">
        <v>100000</v>
      </c>
      <c r="E702" s="5">
        <v>0.4</v>
      </c>
    </row>
    <row r="703" spans="1:5" x14ac:dyDescent="0.25">
      <c r="A703" t="s">
        <v>1644</v>
      </c>
      <c r="B703" t="s">
        <v>1645</v>
      </c>
      <c r="C703" s="4">
        <v>85000</v>
      </c>
      <c r="D703" s="4">
        <v>100000</v>
      </c>
      <c r="E703" s="5">
        <v>0.4</v>
      </c>
    </row>
    <row r="704" spans="1:5" x14ac:dyDescent="0.25">
      <c r="A704" t="s">
        <v>1646</v>
      </c>
      <c r="B704" t="s">
        <v>1647</v>
      </c>
      <c r="C704" s="4">
        <v>85000</v>
      </c>
      <c r="D704" s="4">
        <v>100000</v>
      </c>
      <c r="E704" s="5">
        <v>0.4</v>
      </c>
    </row>
    <row r="705" spans="1:5" x14ac:dyDescent="0.25">
      <c r="A705" t="s">
        <v>1648</v>
      </c>
      <c r="B705" t="s">
        <v>1649</v>
      </c>
      <c r="C705" s="4">
        <v>85000</v>
      </c>
      <c r="D705" s="4">
        <v>100000</v>
      </c>
      <c r="E705" s="5">
        <v>0.4</v>
      </c>
    </row>
    <row r="706" spans="1:5" x14ac:dyDescent="0.25">
      <c r="A706" t="s">
        <v>1650</v>
      </c>
      <c r="B706" t="s">
        <v>1651</v>
      </c>
      <c r="C706" s="4">
        <v>85000</v>
      </c>
      <c r="D706" s="4">
        <v>100000</v>
      </c>
      <c r="E706" s="5">
        <v>0.4</v>
      </c>
    </row>
    <row r="707" spans="1:5" x14ac:dyDescent="0.25">
      <c r="A707" t="s">
        <v>1652</v>
      </c>
      <c r="B707" t="s">
        <v>1653</v>
      </c>
      <c r="C707" s="4">
        <v>85000</v>
      </c>
      <c r="D707" s="4">
        <v>100000</v>
      </c>
      <c r="E707" s="5">
        <v>0.4</v>
      </c>
    </row>
    <row r="708" spans="1:5" x14ac:dyDescent="0.25">
      <c r="A708" t="s">
        <v>1654</v>
      </c>
      <c r="B708" t="s">
        <v>1655</v>
      </c>
      <c r="C708" s="4">
        <v>85000</v>
      </c>
      <c r="D708" s="4">
        <v>100000</v>
      </c>
      <c r="E708" s="5">
        <v>0.4</v>
      </c>
    </row>
    <row r="709" spans="1:5" x14ac:dyDescent="0.25">
      <c r="A709" t="s">
        <v>1656</v>
      </c>
      <c r="B709" t="s">
        <v>1657</v>
      </c>
      <c r="C709" s="4">
        <v>85000</v>
      </c>
      <c r="D709" s="4">
        <v>100000</v>
      </c>
      <c r="E709" s="5">
        <v>0.4</v>
      </c>
    </row>
    <row r="710" spans="1:5" x14ac:dyDescent="0.25">
      <c r="A710" t="s">
        <v>1658</v>
      </c>
      <c r="B710" t="s">
        <v>1659</v>
      </c>
      <c r="C710" s="4">
        <v>85000</v>
      </c>
      <c r="D710" s="4">
        <v>100000</v>
      </c>
      <c r="E710" s="5">
        <v>0.4</v>
      </c>
    </row>
    <row r="711" spans="1:5" x14ac:dyDescent="0.25">
      <c r="A711" t="s">
        <v>1660</v>
      </c>
      <c r="B711" t="s">
        <v>1661</v>
      </c>
      <c r="C711" s="4">
        <v>85000</v>
      </c>
      <c r="D711" s="4">
        <v>100000</v>
      </c>
      <c r="E711" s="5">
        <v>0.4</v>
      </c>
    </row>
    <row r="712" spans="1:5" x14ac:dyDescent="0.25">
      <c r="A712" t="s">
        <v>1662</v>
      </c>
      <c r="B712" t="s">
        <v>1663</v>
      </c>
      <c r="C712" s="4">
        <v>85000</v>
      </c>
      <c r="D712" s="4">
        <v>100000</v>
      </c>
      <c r="E712" s="5">
        <v>0.4</v>
      </c>
    </row>
    <row r="713" spans="1:5" x14ac:dyDescent="0.25">
      <c r="A713" t="s">
        <v>1664</v>
      </c>
      <c r="B713" t="s">
        <v>1665</v>
      </c>
      <c r="C713" s="4">
        <v>85000</v>
      </c>
      <c r="D713" s="4">
        <v>100000</v>
      </c>
      <c r="E713" s="5">
        <v>0.4</v>
      </c>
    </row>
    <row r="714" spans="1:5" x14ac:dyDescent="0.25">
      <c r="A714" t="s">
        <v>1666</v>
      </c>
      <c r="B714" t="s">
        <v>1667</v>
      </c>
      <c r="C714" s="4">
        <v>85000</v>
      </c>
      <c r="D714" s="4">
        <v>100000</v>
      </c>
      <c r="E714" s="5">
        <v>0.4</v>
      </c>
    </row>
    <row r="715" spans="1:5" x14ac:dyDescent="0.25">
      <c r="A715" t="s">
        <v>1668</v>
      </c>
      <c r="B715" t="s">
        <v>1669</v>
      </c>
      <c r="C715" s="4">
        <v>85000</v>
      </c>
      <c r="D715" s="4">
        <v>100000</v>
      </c>
      <c r="E715" s="5">
        <v>0.4</v>
      </c>
    </row>
    <row r="716" spans="1:5" x14ac:dyDescent="0.25">
      <c r="A716" t="s">
        <v>1670</v>
      </c>
      <c r="B716" t="s">
        <v>1671</v>
      </c>
      <c r="C716" s="4">
        <v>85000</v>
      </c>
      <c r="D716" s="4">
        <v>100000</v>
      </c>
      <c r="E716" s="5">
        <v>0.4</v>
      </c>
    </row>
    <row r="717" spans="1:5" x14ac:dyDescent="0.25">
      <c r="A717" t="s">
        <v>1672</v>
      </c>
      <c r="B717" t="s">
        <v>1673</v>
      </c>
      <c r="C717" s="4">
        <v>85000</v>
      </c>
      <c r="D717" s="4">
        <v>100000</v>
      </c>
      <c r="E717" s="5">
        <v>0.4</v>
      </c>
    </row>
    <row r="718" spans="1:5" x14ac:dyDescent="0.25">
      <c r="A718" t="s">
        <v>1674</v>
      </c>
      <c r="B718" t="s">
        <v>1675</v>
      </c>
      <c r="C718" s="4">
        <v>85000</v>
      </c>
      <c r="D718" s="4">
        <v>100000</v>
      </c>
      <c r="E718" s="5">
        <v>0.4</v>
      </c>
    </row>
    <row r="719" spans="1:5" x14ac:dyDescent="0.25">
      <c r="A719" t="s">
        <v>1676</v>
      </c>
      <c r="B719" t="s">
        <v>1677</v>
      </c>
      <c r="C719" s="4">
        <v>85000</v>
      </c>
      <c r="D719" s="4">
        <v>100000</v>
      </c>
      <c r="E719" s="5">
        <v>0.4</v>
      </c>
    </row>
    <row r="720" spans="1:5" x14ac:dyDescent="0.25">
      <c r="A720" t="s">
        <v>1678</v>
      </c>
      <c r="B720" t="s">
        <v>1679</v>
      </c>
      <c r="C720" s="4">
        <v>85000</v>
      </c>
      <c r="D720" s="4">
        <v>100000</v>
      </c>
      <c r="E720" s="5">
        <v>0.4</v>
      </c>
    </row>
    <row r="721" spans="1:5" x14ac:dyDescent="0.25">
      <c r="A721" t="s">
        <v>1680</v>
      </c>
      <c r="B721" t="s">
        <v>1681</v>
      </c>
      <c r="C721" s="4">
        <v>85000</v>
      </c>
      <c r="D721" s="4">
        <v>100000</v>
      </c>
      <c r="E721" s="5">
        <v>0.4</v>
      </c>
    </row>
    <row r="722" spans="1:5" x14ac:dyDescent="0.25">
      <c r="A722" t="s">
        <v>1682</v>
      </c>
      <c r="B722" t="s">
        <v>1683</v>
      </c>
      <c r="C722" s="4">
        <v>85000</v>
      </c>
      <c r="D722" s="4">
        <v>100000</v>
      </c>
      <c r="E722" s="5">
        <v>0.4</v>
      </c>
    </row>
    <row r="723" spans="1:5" x14ac:dyDescent="0.25">
      <c r="A723" t="s">
        <v>1684</v>
      </c>
      <c r="B723" t="s">
        <v>1685</v>
      </c>
      <c r="C723" s="4">
        <v>85000</v>
      </c>
      <c r="D723" s="4">
        <v>100000</v>
      </c>
      <c r="E723" s="5">
        <v>0.4</v>
      </c>
    </row>
    <row r="724" spans="1:5" x14ac:dyDescent="0.25">
      <c r="A724" t="s">
        <v>1686</v>
      </c>
      <c r="B724" t="s">
        <v>1687</v>
      </c>
      <c r="C724" s="4">
        <v>85000</v>
      </c>
      <c r="D724" s="4">
        <v>100000</v>
      </c>
      <c r="E724" s="5">
        <v>0.4</v>
      </c>
    </row>
    <row r="725" spans="1:5" x14ac:dyDescent="0.25">
      <c r="A725" t="s">
        <v>1688</v>
      </c>
      <c r="B725" t="s">
        <v>1689</v>
      </c>
      <c r="C725" s="4">
        <v>85000</v>
      </c>
      <c r="D725" s="4">
        <v>100000</v>
      </c>
      <c r="E725" s="5">
        <v>0.4</v>
      </c>
    </row>
    <row r="726" spans="1:5" x14ac:dyDescent="0.25">
      <c r="A726" t="s">
        <v>1690</v>
      </c>
      <c r="B726" t="s">
        <v>1691</v>
      </c>
      <c r="C726" s="4">
        <v>85000</v>
      </c>
      <c r="D726" s="4">
        <v>100000</v>
      </c>
      <c r="E726" s="5">
        <v>0.4</v>
      </c>
    </row>
    <row r="727" spans="1:5" x14ac:dyDescent="0.25">
      <c r="A727" t="s">
        <v>1692</v>
      </c>
      <c r="B727" t="s">
        <v>1693</v>
      </c>
      <c r="C727" s="4">
        <v>85000</v>
      </c>
      <c r="D727" s="4">
        <v>100000</v>
      </c>
      <c r="E727" s="5">
        <v>0.4</v>
      </c>
    </row>
    <row r="728" spans="1:5" x14ac:dyDescent="0.25">
      <c r="A728" t="s">
        <v>1694</v>
      </c>
      <c r="B728" t="s">
        <v>1695</v>
      </c>
      <c r="C728" s="4">
        <v>85000</v>
      </c>
      <c r="D728" s="4">
        <v>100000</v>
      </c>
      <c r="E728" s="5">
        <v>0.4</v>
      </c>
    </row>
    <row r="729" spans="1:5" x14ac:dyDescent="0.25">
      <c r="A729" t="s">
        <v>1696</v>
      </c>
      <c r="B729" t="s">
        <v>1697</v>
      </c>
      <c r="C729" s="4">
        <v>85000</v>
      </c>
      <c r="D729" s="4">
        <v>100000</v>
      </c>
      <c r="E729" s="5">
        <v>0.4</v>
      </c>
    </row>
    <row r="730" spans="1:5" x14ac:dyDescent="0.25">
      <c r="A730" t="s">
        <v>1698</v>
      </c>
      <c r="B730" t="s">
        <v>1699</v>
      </c>
      <c r="C730" s="4">
        <v>85000</v>
      </c>
      <c r="D730" s="4">
        <v>100000</v>
      </c>
      <c r="E730" s="5">
        <v>0.4</v>
      </c>
    </row>
    <row r="731" spans="1:5" x14ac:dyDescent="0.25">
      <c r="A731" t="s">
        <v>1700</v>
      </c>
      <c r="B731" t="s">
        <v>1701</v>
      </c>
      <c r="C731" s="4">
        <v>85000</v>
      </c>
      <c r="D731" s="4">
        <v>100000</v>
      </c>
      <c r="E731" s="5">
        <v>0.4</v>
      </c>
    </row>
    <row r="732" spans="1:5" x14ac:dyDescent="0.25">
      <c r="A732" t="s">
        <v>1702</v>
      </c>
      <c r="B732" t="s">
        <v>1703</v>
      </c>
      <c r="C732" s="4">
        <v>85000</v>
      </c>
      <c r="D732" s="4">
        <v>100000</v>
      </c>
      <c r="E732" s="5">
        <v>0.4</v>
      </c>
    </row>
    <row r="733" spans="1:5" x14ac:dyDescent="0.25">
      <c r="A733" t="s">
        <v>1704</v>
      </c>
      <c r="B733" t="s">
        <v>1705</v>
      </c>
      <c r="C733" s="4">
        <v>85000</v>
      </c>
      <c r="D733" s="4">
        <v>100000</v>
      </c>
      <c r="E733" s="5">
        <v>0.4</v>
      </c>
    </row>
    <row r="734" spans="1:5" x14ac:dyDescent="0.25">
      <c r="A734" t="s">
        <v>1706</v>
      </c>
      <c r="B734" t="s">
        <v>1707</v>
      </c>
      <c r="C734" s="4">
        <v>85000</v>
      </c>
      <c r="D734" s="4">
        <v>100000</v>
      </c>
      <c r="E734" s="5">
        <v>0.4</v>
      </c>
    </row>
    <row r="735" spans="1:5" x14ac:dyDescent="0.25">
      <c r="A735" t="s">
        <v>1708</v>
      </c>
      <c r="B735" t="s">
        <v>1709</v>
      </c>
      <c r="C735" s="4">
        <v>85000</v>
      </c>
      <c r="D735" s="4">
        <v>100000</v>
      </c>
      <c r="E735" s="5">
        <v>0.4</v>
      </c>
    </row>
    <row r="736" spans="1:5" x14ac:dyDescent="0.25">
      <c r="A736" t="s">
        <v>1710</v>
      </c>
      <c r="B736" t="s">
        <v>1711</v>
      </c>
      <c r="C736" s="4">
        <v>85000</v>
      </c>
      <c r="D736" s="4">
        <v>100000</v>
      </c>
      <c r="E736" s="5">
        <v>0.4</v>
      </c>
    </row>
    <row r="737" spans="1:5" x14ac:dyDescent="0.25">
      <c r="A737" t="s">
        <v>1712</v>
      </c>
      <c r="B737" t="s">
        <v>1713</v>
      </c>
      <c r="C737" s="4">
        <v>85000</v>
      </c>
      <c r="D737" s="4">
        <v>100000</v>
      </c>
      <c r="E737" s="5">
        <v>0.4</v>
      </c>
    </row>
    <row r="738" spans="1:5" x14ac:dyDescent="0.25">
      <c r="A738" t="s">
        <v>1714</v>
      </c>
      <c r="B738" t="s">
        <v>1715</v>
      </c>
      <c r="C738" s="4">
        <v>85000</v>
      </c>
      <c r="D738" s="4">
        <v>100000</v>
      </c>
      <c r="E738" s="5">
        <v>0.4</v>
      </c>
    </row>
    <row r="739" spans="1:5" x14ac:dyDescent="0.25">
      <c r="A739" t="s">
        <v>1716</v>
      </c>
      <c r="B739" t="s">
        <v>1717</v>
      </c>
      <c r="C739" s="4">
        <v>85000</v>
      </c>
      <c r="D739" s="4">
        <v>100000</v>
      </c>
      <c r="E739" s="5">
        <v>0.4</v>
      </c>
    </row>
    <row r="740" spans="1:5" x14ac:dyDescent="0.25">
      <c r="A740" t="s">
        <v>1718</v>
      </c>
      <c r="B740" t="s">
        <v>1719</v>
      </c>
      <c r="C740" s="4">
        <v>85000</v>
      </c>
      <c r="D740" s="4">
        <v>100000</v>
      </c>
      <c r="E740" s="5">
        <v>0.4</v>
      </c>
    </row>
    <row r="741" spans="1:5" x14ac:dyDescent="0.25">
      <c r="A741" t="s">
        <v>1720</v>
      </c>
      <c r="B741" t="s">
        <v>1721</v>
      </c>
      <c r="C741" s="4">
        <v>85000</v>
      </c>
      <c r="D741" s="4">
        <v>100000</v>
      </c>
      <c r="E741" s="5">
        <v>0.4</v>
      </c>
    </row>
    <row r="742" spans="1:5" x14ac:dyDescent="0.25">
      <c r="A742" t="s">
        <v>1722</v>
      </c>
      <c r="B742" t="s">
        <v>1723</v>
      </c>
      <c r="C742" s="4">
        <v>85000</v>
      </c>
      <c r="D742" s="4">
        <v>100000</v>
      </c>
      <c r="E742" s="5">
        <v>0.4</v>
      </c>
    </row>
    <row r="743" spans="1:5" x14ac:dyDescent="0.25">
      <c r="A743" t="s">
        <v>1724</v>
      </c>
      <c r="B743" t="s">
        <v>1725</v>
      </c>
      <c r="C743" s="4">
        <v>85000</v>
      </c>
      <c r="D743" s="4">
        <v>100000</v>
      </c>
      <c r="E743" s="5">
        <v>0.4</v>
      </c>
    </row>
    <row r="744" spans="1:5" x14ac:dyDescent="0.25">
      <c r="A744" t="s">
        <v>1726</v>
      </c>
      <c r="B744" t="s">
        <v>1727</v>
      </c>
      <c r="C744" s="4">
        <v>85000</v>
      </c>
      <c r="D744" s="4">
        <v>100000</v>
      </c>
      <c r="E744" s="5">
        <v>0.4</v>
      </c>
    </row>
    <row r="745" spans="1:5" x14ac:dyDescent="0.25">
      <c r="A745" t="s">
        <v>1728</v>
      </c>
      <c r="B745" t="s">
        <v>1729</v>
      </c>
      <c r="C745" s="4">
        <v>85000</v>
      </c>
      <c r="D745" s="4">
        <v>100000</v>
      </c>
      <c r="E745" s="5">
        <v>0.4</v>
      </c>
    </row>
    <row r="746" spans="1:5" x14ac:dyDescent="0.25">
      <c r="A746" t="s">
        <v>1730</v>
      </c>
      <c r="B746" t="s">
        <v>1731</v>
      </c>
      <c r="C746" s="4">
        <v>85000</v>
      </c>
      <c r="D746" s="4">
        <v>100000</v>
      </c>
      <c r="E746" s="5">
        <v>0.4</v>
      </c>
    </row>
    <row r="747" spans="1:5" x14ac:dyDescent="0.25">
      <c r="A747" t="s">
        <v>1732</v>
      </c>
      <c r="B747" t="s">
        <v>1733</v>
      </c>
      <c r="C747" s="4">
        <v>85000</v>
      </c>
      <c r="D747" s="4">
        <v>100000</v>
      </c>
      <c r="E747" s="5">
        <v>0.4</v>
      </c>
    </row>
    <row r="748" spans="1:5" x14ac:dyDescent="0.25">
      <c r="A748" t="s">
        <v>1734</v>
      </c>
      <c r="B748" t="s">
        <v>1735</v>
      </c>
      <c r="C748" s="4">
        <v>85000</v>
      </c>
      <c r="D748" s="4">
        <v>100000</v>
      </c>
      <c r="E748" s="5">
        <v>0.4</v>
      </c>
    </row>
    <row r="749" spans="1:5" x14ac:dyDescent="0.25">
      <c r="A749" t="s">
        <v>1736</v>
      </c>
      <c r="B749" t="s">
        <v>1737</v>
      </c>
      <c r="C749" s="4">
        <v>85000</v>
      </c>
      <c r="D749" s="4">
        <v>100000</v>
      </c>
      <c r="E749" s="5">
        <v>0.4</v>
      </c>
    </row>
    <row r="750" spans="1:5" x14ac:dyDescent="0.25">
      <c r="A750" t="s">
        <v>1738</v>
      </c>
      <c r="B750" t="s">
        <v>1739</v>
      </c>
      <c r="C750" s="4">
        <v>85000</v>
      </c>
      <c r="D750" s="4">
        <v>100000</v>
      </c>
      <c r="E750" s="5">
        <v>0.4</v>
      </c>
    </row>
    <row r="751" spans="1:5" x14ac:dyDescent="0.25">
      <c r="A751" t="s">
        <v>1740</v>
      </c>
      <c r="B751" t="s">
        <v>1741</v>
      </c>
      <c r="C751" s="4">
        <v>85000</v>
      </c>
      <c r="D751" s="4">
        <v>100000</v>
      </c>
      <c r="E751" s="5">
        <v>0.4</v>
      </c>
    </row>
    <row r="752" spans="1:5" x14ac:dyDescent="0.25">
      <c r="A752" t="s">
        <v>1742</v>
      </c>
      <c r="B752" t="s">
        <v>1743</v>
      </c>
      <c r="C752" s="4">
        <v>85000</v>
      </c>
      <c r="D752" s="4">
        <v>100000</v>
      </c>
      <c r="E752" s="5">
        <v>0.4</v>
      </c>
    </row>
    <row r="753" spans="1:5" x14ac:dyDescent="0.25">
      <c r="A753" t="s">
        <v>1744</v>
      </c>
      <c r="B753" t="s">
        <v>1745</v>
      </c>
      <c r="C753" s="4">
        <v>85000</v>
      </c>
      <c r="D753" s="4">
        <v>100000</v>
      </c>
      <c r="E753" s="5">
        <v>0.4</v>
      </c>
    </row>
    <row r="754" spans="1:5" x14ac:dyDescent="0.25">
      <c r="A754" t="s">
        <v>1746</v>
      </c>
      <c r="B754" t="s">
        <v>1747</v>
      </c>
      <c r="C754" s="4">
        <v>85000</v>
      </c>
      <c r="D754" s="4">
        <v>100000</v>
      </c>
      <c r="E754" s="5">
        <v>0.4</v>
      </c>
    </row>
    <row r="755" spans="1:5" x14ac:dyDescent="0.25">
      <c r="A755" t="s">
        <v>1748</v>
      </c>
      <c r="B755" t="s">
        <v>1749</v>
      </c>
      <c r="C755" s="4">
        <v>85000</v>
      </c>
      <c r="D755" s="4">
        <v>100000</v>
      </c>
      <c r="E755" s="5">
        <v>0.4</v>
      </c>
    </row>
    <row r="756" spans="1:5" x14ac:dyDescent="0.25">
      <c r="A756" t="s">
        <v>1750</v>
      </c>
      <c r="B756" t="s">
        <v>1751</v>
      </c>
      <c r="C756" s="4">
        <v>85000</v>
      </c>
      <c r="D756" s="4">
        <v>100000</v>
      </c>
      <c r="E756" s="5">
        <v>0.4</v>
      </c>
    </row>
    <row r="757" spans="1:5" x14ac:dyDescent="0.25">
      <c r="A757" t="s">
        <v>1752</v>
      </c>
      <c r="B757" t="s">
        <v>1753</v>
      </c>
      <c r="C757" s="4">
        <v>85000</v>
      </c>
      <c r="D757" s="4">
        <v>100000</v>
      </c>
      <c r="E757" s="5">
        <v>0.4</v>
      </c>
    </row>
    <row r="758" spans="1:5" x14ac:dyDescent="0.25">
      <c r="A758" t="s">
        <v>1754</v>
      </c>
      <c r="B758" t="s">
        <v>1755</v>
      </c>
      <c r="C758" s="4">
        <v>85000</v>
      </c>
      <c r="D758" s="4">
        <v>100000</v>
      </c>
      <c r="E758" s="5">
        <v>0.4</v>
      </c>
    </row>
    <row r="759" spans="1:5" x14ac:dyDescent="0.25">
      <c r="A759" t="s">
        <v>1756</v>
      </c>
      <c r="B759" t="s">
        <v>1757</v>
      </c>
      <c r="C759" s="4">
        <v>85000</v>
      </c>
      <c r="D759" s="4">
        <v>100000</v>
      </c>
      <c r="E759" s="5">
        <v>0.4</v>
      </c>
    </row>
    <row r="760" spans="1:5" x14ac:dyDescent="0.25">
      <c r="A760" t="s">
        <v>1758</v>
      </c>
      <c r="B760" t="s">
        <v>1759</v>
      </c>
      <c r="C760" s="4">
        <v>85000</v>
      </c>
      <c r="D760" s="4">
        <v>100000</v>
      </c>
      <c r="E760" s="5">
        <v>0.4</v>
      </c>
    </row>
    <row r="761" spans="1:5" x14ac:dyDescent="0.25">
      <c r="A761" t="s">
        <v>1760</v>
      </c>
      <c r="B761" t="s">
        <v>1761</v>
      </c>
      <c r="C761" s="4">
        <v>85000</v>
      </c>
      <c r="D761" s="4">
        <v>100000</v>
      </c>
      <c r="E761" s="5">
        <v>0.4</v>
      </c>
    </row>
    <row r="762" spans="1:5" x14ac:dyDescent="0.25">
      <c r="A762" t="s">
        <v>1762</v>
      </c>
      <c r="B762" t="s">
        <v>1763</v>
      </c>
      <c r="C762" s="4">
        <v>85000</v>
      </c>
      <c r="D762" s="4">
        <v>100000</v>
      </c>
      <c r="E762" s="5">
        <v>0.4</v>
      </c>
    </row>
    <row r="763" spans="1:5" x14ac:dyDescent="0.25">
      <c r="A763" t="s">
        <v>1764</v>
      </c>
      <c r="B763" t="s">
        <v>1765</v>
      </c>
      <c r="C763" s="4">
        <v>85000</v>
      </c>
      <c r="D763" s="4">
        <v>100000</v>
      </c>
      <c r="E763" s="5">
        <v>0.4</v>
      </c>
    </row>
    <row r="764" spans="1:5" x14ac:dyDescent="0.25">
      <c r="A764" t="s">
        <v>1766</v>
      </c>
      <c r="B764" t="s">
        <v>1767</v>
      </c>
      <c r="C764" s="4">
        <v>85000</v>
      </c>
      <c r="D764" s="4">
        <v>100000</v>
      </c>
      <c r="E764" s="5">
        <v>0.4</v>
      </c>
    </row>
    <row r="765" spans="1:5" x14ac:dyDescent="0.25">
      <c r="A765" t="s">
        <v>1768</v>
      </c>
      <c r="B765" t="s">
        <v>1769</v>
      </c>
      <c r="C765" s="4">
        <v>85000</v>
      </c>
      <c r="D765" s="4">
        <v>100000</v>
      </c>
      <c r="E765" s="5">
        <v>0.4</v>
      </c>
    </row>
    <row r="766" spans="1:5" x14ac:dyDescent="0.25">
      <c r="A766" t="s">
        <v>1770</v>
      </c>
      <c r="B766" t="s">
        <v>1771</v>
      </c>
      <c r="C766" s="4">
        <v>85000</v>
      </c>
      <c r="D766" s="4">
        <v>100000</v>
      </c>
      <c r="E766" s="5">
        <v>0.4</v>
      </c>
    </row>
    <row r="767" spans="1:5" x14ac:dyDescent="0.25">
      <c r="A767" t="s">
        <v>1772</v>
      </c>
      <c r="B767" t="s">
        <v>1773</v>
      </c>
      <c r="C767" s="4">
        <v>85000</v>
      </c>
      <c r="D767" s="4">
        <v>100000</v>
      </c>
      <c r="E767" s="5">
        <v>0.4</v>
      </c>
    </row>
    <row r="768" spans="1:5" x14ac:dyDescent="0.25">
      <c r="A768" t="s">
        <v>1774</v>
      </c>
      <c r="B768" t="s">
        <v>1775</v>
      </c>
      <c r="C768" s="4">
        <v>85000</v>
      </c>
      <c r="D768" s="4">
        <v>100000</v>
      </c>
      <c r="E768" s="5">
        <v>0.4</v>
      </c>
    </row>
    <row r="769" spans="1:5" x14ac:dyDescent="0.25">
      <c r="A769" t="s">
        <v>1776</v>
      </c>
      <c r="B769" t="s">
        <v>1777</v>
      </c>
      <c r="C769" s="4">
        <v>85000</v>
      </c>
      <c r="D769" s="4">
        <v>100000</v>
      </c>
      <c r="E769" s="5">
        <v>0.4</v>
      </c>
    </row>
    <row r="770" spans="1:5" x14ac:dyDescent="0.25">
      <c r="A770" t="s">
        <v>1778</v>
      </c>
      <c r="B770" t="s">
        <v>1779</v>
      </c>
      <c r="C770" s="4">
        <v>85000</v>
      </c>
      <c r="D770" s="4">
        <v>100000</v>
      </c>
      <c r="E770" s="5">
        <v>0.4</v>
      </c>
    </row>
    <row r="771" spans="1:5" x14ac:dyDescent="0.25">
      <c r="A771" t="s">
        <v>1780</v>
      </c>
      <c r="B771" t="s">
        <v>1781</v>
      </c>
      <c r="C771" s="4">
        <v>85000</v>
      </c>
      <c r="D771" s="4">
        <v>100000</v>
      </c>
      <c r="E771" s="5">
        <v>0.4</v>
      </c>
    </row>
    <row r="772" spans="1:5" x14ac:dyDescent="0.25">
      <c r="A772" t="s">
        <v>1782</v>
      </c>
      <c r="B772" t="s">
        <v>1783</v>
      </c>
      <c r="C772" s="4">
        <v>85000</v>
      </c>
      <c r="D772" s="4">
        <v>100000</v>
      </c>
      <c r="E772" s="5">
        <v>0.4</v>
      </c>
    </row>
    <row r="773" spans="1:5" x14ac:dyDescent="0.25">
      <c r="A773" t="s">
        <v>1784</v>
      </c>
      <c r="B773" t="s">
        <v>1785</v>
      </c>
      <c r="C773" s="4">
        <v>85000</v>
      </c>
      <c r="D773" s="4">
        <v>100000</v>
      </c>
      <c r="E773" s="5">
        <v>0.4</v>
      </c>
    </row>
    <row r="774" spans="1:5" x14ac:dyDescent="0.25">
      <c r="A774" t="s">
        <v>1786</v>
      </c>
      <c r="B774" t="s">
        <v>1787</v>
      </c>
      <c r="C774" s="4">
        <v>85000</v>
      </c>
      <c r="D774" s="4">
        <v>100000</v>
      </c>
      <c r="E774" s="5">
        <v>0.4</v>
      </c>
    </row>
    <row r="775" spans="1:5" x14ac:dyDescent="0.25">
      <c r="A775" t="s">
        <v>1788</v>
      </c>
      <c r="B775" t="s">
        <v>1789</v>
      </c>
      <c r="C775" s="4">
        <v>85000</v>
      </c>
      <c r="D775" s="4">
        <v>100000</v>
      </c>
      <c r="E775" s="5">
        <v>0.4</v>
      </c>
    </row>
    <row r="776" spans="1:5" x14ac:dyDescent="0.25">
      <c r="A776" t="s">
        <v>1790</v>
      </c>
      <c r="B776" t="s">
        <v>1791</v>
      </c>
      <c r="C776" s="4">
        <v>85000</v>
      </c>
      <c r="D776" s="4">
        <v>100000</v>
      </c>
      <c r="E776" s="5">
        <v>0.4</v>
      </c>
    </row>
    <row r="777" spans="1:5" x14ac:dyDescent="0.25">
      <c r="A777" t="s">
        <v>1792</v>
      </c>
      <c r="B777" t="s">
        <v>1793</v>
      </c>
      <c r="C777" s="4">
        <v>85000</v>
      </c>
      <c r="D777" s="4">
        <v>100000</v>
      </c>
      <c r="E777" s="5">
        <v>0.4</v>
      </c>
    </row>
    <row r="778" spans="1:5" x14ac:dyDescent="0.25">
      <c r="A778" t="s">
        <v>1794</v>
      </c>
      <c r="B778" t="s">
        <v>1795</v>
      </c>
      <c r="C778" s="4">
        <v>85000</v>
      </c>
      <c r="D778" s="4">
        <v>100000</v>
      </c>
      <c r="E778" s="5">
        <v>0.4</v>
      </c>
    </row>
    <row r="779" spans="1:5" x14ac:dyDescent="0.25">
      <c r="A779" t="s">
        <v>1796</v>
      </c>
      <c r="B779" t="s">
        <v>1797</v>
      </c>
      <c r="C779" s="4">
        <v>85000</v>
      </c>
      <c r="D779" s="4">
        <v>100000</v>
      </c>
      <c r="E779" s="5">
        <v>0.4</v>
      </c>
    </row>
    <row r="780" spans="1:5" x14ac:dyDescent="0.25">
      <c r="A780" t="s">
        <v>1798</v>
      </c>
      <c r="B780" t="s">
        <v>1799</v>
      </c>
      <c r="C780" s="4">
        <v>85000</v>
      </c>
      <c r="D780" s="4">
        <v>100000</v>
      </c>
      <c r="E780" s="5">
        <v>0.4</v>
      </c>
    </row>
    <row r="781" spans="1:5" x14ac:dyDescent="0.25">
      <c r="A781" t="s">
        <v>1800</v>
      </c>
      <c r="B781" t="s">
        <v>1801</v>
      </c>
      <c r="C781" s="4">
        <v>85000</v>
      </c>
      <c r="D781" s="4">
        <v>100000</v>
      </c>
      <c r="E781" s="5">
        <v>0.4</v>
      </c>
    </row>
    <row r="782" spans="1:5" x14ac:dyDescent="0.25">
      <c r="A782" t="s">
        <v>1802</v>
      </c>
      <c r="B782" t="s">
        <v>1803</v>
      </c>
      <c r="C782" s="4">
        <v>85000</v>
      </c>
      <c r="D782" s="4">
        <v>100000</v>
      </c>
      <c r="E782" s="5">
        <v>0.4</v>
      </c>
    </row>
    <row r="783" spans="1:5" x14ac:dyDescent="0.25">
      <c r="A783" t="s">
        <v>1804</v>
      </c>
      <c r="B783" t="s">
        <v>1805</v>
      </c>
      <c r="C783" s="4">
        <v>85000</v>
      </c>
      <c r="D783" s="4">
        <v>100000</v>
      </c>
      <c r="E783" s="5">
        <v>0.4</v>
      </c>
    </row>
    <row r="784" spans="1:5" x14ac:dyDescent="0.25">
      <c r="A784" t="s">
        <v>1806</v>
      </c>
      <c r="B784" t="s">
        <v>1807</v>
      </c>
      <c r="C784" s="4">
        <v>85000</v>
      </c>
      <c r="D784" s="4">
        <v>100000</v>
      </c>
      <c r="E784" s="5">
        <v>0.4</v>
      </c>
    </row>
    <row r="785" spans="1:5" x14ac:dyDescent="0.25">
      <c r="A785" t="s">
        <v>1808</v>
      </c>
      <c r="B785" t="s">
        <v>1809</v>
      </c>
      <c r="C785" s="4">
        <v>85000</v>
      </c>
      <c r="D785" s="4">
        <v>100000</v>
      </c>
      <c r="E785" s="5">
        <v>0.4</v>
      </c>
    </row>
    <row r="786" spans="1:5" x14ac:dyDescent="0.25">
      <c r="A786" t="s">
        <v>1810</v>
      </c>
      <c r="B786" t="s">
        <v>1811</v>
      </c>
      <c r="C786" s="4">
        <v>85000</v>
      </c>
      <c r="D786" s="4">
        <v>100000</v>
      </c>
      <c r="E786" s="5">
        <v>0.4</v>
      </c>
    </row>
    <row r="787" spans="1:5" x14ac:dyDescent="0.25">
      <c r="A787" t="s">
        <v>1812</v>
      </c>
      <c r="B787" t="s">
        <v>1813</v>
      </c>
      <c r="C787" s="4">
        <v>85000</v>
      </c>
      <c r="D787" s="4">
        <v>100000</v>
      </c>
      <c r="E787" s="5">
        <v>0.4</v>
      </c>
    </row>
    <row r="788" spans="1:5" x14ac:dyDescent="0.25">
      <c r="A788" t="s">
        <v>1814</v>
      </c>
      <c r="B788" t="s">
        <v>1815</v>
      </c>
      <c r="C788" s="4">
        <v>85000</v>
      </c>
      <c r="D788" s="4">
        <v>100000</v>
      </c>
      <c r="E788" s="5">
        <v>0.4</v>
      </c>
    </row>
    <row r="789" spans="1:5" x14ac:dyDescent="0.25">
      <c r="A789" t="s">
        <v>1816</v>
      </c>
      <c r="B789" t="s">
        <v>1817</v>
      </c>
      <c r="C789" s="4">
        <v>85000</v>
      </c>
      <c r="D789" s="4">
        <v>100000</v>
      </c>
      <c r="E789" s="5">
        <v>0.4</v>
      </c>
    </row>
    <row r="790" spans="1:5" x14ac:dyDescent="0.25">
      <c r="A790" t="s">
        <v>1818</v>
      </c>
      <c r="B790" t="s">
        <v>1819</v>
      </c>
      <c r="C790" s="4">
        <v>85000</v>
      </c>
      <c r="D790" s="4">
        <v>100000</v>
      </c>
      <c r="E790" s="5">
        <v>0.4</v>
      </c>
    </row>
    <row r="791" spans="1:5" x14ac:dyDescent="0.25">
      <c r="A791" t="s">
        <v>1820</v>
      </c>
      <c r="B791" t="s">
        <v>1821</v>
      </c>
      <c r="C791" s="4">
        <v>85000</v>
      </c>
      <c r="D791" s="4">
        <v>100000</v>
      </c>
      <c r="E791" s="5">
        <v>0.4</v>
      </c>
    </row>
    <row r="792" spans="1:5" x14ac:dyDescent="0.25">
      <c r="A792" t="s">
        <v>1822</v>
      </c>
      <c r="B792" t="s">
        <v>1823</v>
      </c>
      <c r="C792" s="4">
        <v>85000</v>
      </c>
      <c r="D792" s="4">
        <v>100000</v>
      </c>
      <c r="E792" s="5">
        <v>0.4</v>
      </c>
    </row>
    <row r="793" spans="1:5" x14ac:dyDescent="0.25">
      <c r="A793" t="s">
        <v>1824</v>
      </c>
      <c r="B793" t="s">
        <v>1825</v>
      </c>
      <c r="C793" s="4">
        <v>85000</v>
      </c>
      <c r="D793" s="4">
        <v>100000</v>
      </c>
      <c r="E793" s="5">
        <v>0.4</v>
      </c>
    </row>
    <row r="794" spans="1:5" x14ac:dyDescent="0.25">
      <c r="A794" t="s">
        <v>1826</v>
      </c>
      <c r="B794" t="s">
        <v>1827</v>
      </c>
      <c r="C794" s="4">
        <v>85000</v>
      </c>
      <c r="D794" s="4">
        <v>100000</v>
      </c>
      <c r="E794" s="5">
        <v>0.4</v>
      </c>
    </row>
    <row r="795" spans="1:5" x14ac:dyDescent="0.25">
      <c r="A795" t="s">
        <v>1828</v>
      </c>
      <c r="B795" t="s">
        <v>1829</v>
      </c>
      <c r="C795" s="4">
        <v>85000</v>
      </c>
      <c r="D795" s="4">
        <v>100000</v>
      </c>
      <c r="E795" s="5">
        <v>0.4</v>
      </c>
    </row>
    <row r="796" spans="1:5" x14ac:dyDescent="0.25">
      <c r="A796" t="s">
        <v>1830</v>
      </c>
      <c r="B796" t="s">
        <v>1831</v>
      </c>
      <c r="C796" s="4">
        <v>85000</v>
      </c>
      <c r="D796" s="4">
        <v>100000</v>
      </c>
      <c r="E796" s="5">
        <v>0.4</v>
      </c>
    </row>
    <row r="797" spans="1:5" x14ac:dyDescent="0.25">
      <c r="A797" t="s">
        <v>1832</v>
      </c>
      <c r="B797" t="s">
        <v>1833</v>
      </c>
      <c r="C797" s="4">
        <v>85000</v>
      </c>
      <c r="D797" s="4">
        <v>100000</v>
      </c>
      <c r="E797" s="5">
        <v>0.4</v>
      </c>
    </row>
    <row r="798" spans="1:5" x14ac:dyDescent="0.25">
      <c r="A798" t="s">
        <v>1834</v>
      </c>
      <c r="B798" t="s">
        <v>1835</v>
      </c>
      <c r="C798" s="4">
        <v>85000</v>
      </c>
      <c r="D798" s="4">
        <v>100000</v>
      </c>
      <c r="E798" s="5">
        <v>0.4</v>
      </c>
    </row>
    <row r="799" spans="1:5" x14ac:dyDescent="0.25">
      <c r="A799" t="s">
        <v>1836</v>
      </c>
      <c r="B799" t="s">
        <v>1837</v>
      </c>
      <c r="C799" s="4">
        <v>85000</v>
      </c>
      <c r="D799" s="4">
        <v>100000</v>
      </c>
      <c r="E799" s="5">
        <v>0.4</v>
      </c>
    </row>
    <row r="800" spans="1:5" x14ac:dyDescent="0.25">
      <c r="A800" t="s">
        <v>1838</v>
      </c>
      <c r="B800" t="s">
        <v>1839</v>
      </c>
      <c r="C800" s="4">
        <v>85000</v>
      </c>
      <c r="D800" s="4">
        <v>100000</v>
      </c>
      <c r="E800" s="5">
        <v>0.4</v>
      </c>
    </row>
    <row r="801" spans="1:5" x14ac:dyDescent="0.25">
      <c r="A801" t="s">
        <v>1840</v>
      </c>
      <c r="B801" t="s">
        <v>1841</v>
      </c>
      <c r="C801" s="4">
        <v>85000</v>
      </c>
      <c r="D801" s="4">
        <v>100000</v>
      </c>
      <c r="E801" s="5">
        <v>0.4</v>
      </c>
    </row>
    <row r="802" spans="1:5" x14ac:dyDescent="0.25">
      <c r="A802" t="s">
        <v>1842</v>
      </c>
      <c r="B802" t="s">
        <v>1843</v>
      </c>
      <c r="C802" s="4">
        <v>85000</v>
      </c>
      <c r="D802" s="4">
        <v>100000</v>
      </c>
      <c r="E802" s="5">
        <v>0.4</v>
      </c>
    </row>
    <row r="803" spans="1:5" x14ac:dyDescent="0.25">
      <c r="A803" t="s">
        <v>1844</v>
      </c>
      <c r="B803" t="s">
        <v>1845</v>
      </c>
      <c r="C803" s="4">
        <v>85000</v>
      </c>
      <c r="D803" s="4">
        <v>100000</v>
      </c>
      <c r="E803" s="5">
        <v>0.4</v>
      </c>
    </row>
    <row r="804" spans="1:5" x14ac:dyDescent="0.25">
      <c r="A804" t="s">
        <v>1846</v>
      </c>
      <c r="B804" t="s">
        <v>1847</v>
      </c>
      <c r="C804" s="4">
        <v>85000</v>
      </c>
      <c r="D804" s="4">
        <v>100000</v>
      </c>
      <c r="E804" s="5">
        <v>0.4</v>
      </c>
    </row>
    <row r="805" spans="1:5" x14ac:dyDescent="0.25">
      <c r="A805" t="s">
        <v>1848</v>
      </c>
      <c r="B805" t="s">
        <v>1849</v>
      </c>
      <c r="C805" s="4">
        <v>85000</v>
      </c>
      <c r="D805" s="4">
        <v>100000</v>
      </c>
      <c r="E805" s="5">
        <v>0.4</v>
      </c>
    </row>
    <row r="806" spans="1:5" x14ac:dyDescent="0.25">
      <c r="A806" t="s">
        <v>1850</v>
      </c>
      <c r="B806" t="s">
        <v>1851</v>
      </c>
      <c r="C806" s="4">
        <v>85000</v>
      </c>
      <c r="D806" s="4">
        <v>100000</v>
      </c>
      <c r="E806" s="5">
        <v>0.4</v>
      </c>
    </row>
    <row r="807" spans="1:5" x14ac:dyDescent="0.25">
      <c r="A807" t="s">
        <v>1852</v>
      </c>
      <c r="B807" t="s">
        <v>1853</v>
      </c>
      <c r="C807" s="4">
        <v>85000</v>
      </c>
      <c r="D807" s="4">
        <v>100000</v>
      </c>
      <c r="E807" s="5">
        <v>0.4</v>
      </c>
    </row>
    <row r="808" spans="1:5" x14ac:dyDescent="0.25">
      <c r="A808" t="s">
        <v>1854</v>
      </c>
      <c r="B808" t="s">
        <v>1855</v>
      </c>
      <c r="C808" s="4">
        <v>85000</v>
      </c>
      <c r="D808" s="4">
        <v>100000</v>
      </c>
      <c r="E808" s="5">
        <v>0.4</v>
      </c>
    </row>
    <row r="809" spans="1:5" x14ac:dyDescent="0.25">
      <c r="A809" t="s">
        <v>1856</v>
      </c>
      <c r="B809" t="s">
        <v>1857</v>
      </c>
      <c r="C809" s="4">
        <v>85000</v>
      </c>
      <c r="D809" s="4">
        <v>100000</v>
      </c>
      <c r="E809" s="5">
        <v>0.4</v>
      </c>
    </row>
    <row r="810" spans="1:5" x14ac:dyDescent="0.25">
      <c r="A810" t="s">
        <v>1858</v>
      </c>
      <c r="B810" t="s">
        <v>1859</v>
      </c>
      <c r="C810" s="4">
        <v>85000</v>
      </c>
      <c r="D810" s="4">
        <v>100000</v>
      </c>
      <c r="E810" s="5">
        <v>0.4</v>
      </c>
    </row>
    <row r="811" spans="1:5" x14ac:dyDescent="0.25">
      <c r="A811" t="s">
        <v>1860</v>
      </c>
      <c r="B811" t="s">
        <v>1861</v>
      </c>
      <c r="C811" s="4">
        <v>85000</v>
      </c>
      <c r="D811" s="4">
        <v>100000</v>
      </c>
      <c r="E811" s="5">
        <v>0.4</v>
      </c>
    </row>
    <row r="812" spans="1:5" x14ac:dyDescent="0.25">
      <c r="A812" t="s">
        <v>1862</v>
      </c>
      <c r="B812" t="s">
        <v>1863</v>
      </c>
      <c r="C812" s="4">
        <v>85000</v>
      </c>
      <c r="D812" s="4">
        <v>100000</v>
      </c>
      <c r="E812" s="5">
        <v>0.4</v>
      </c>
    </row>
    <row r="813" spans="1:5" x14ac:dyDescent="0.25">
      <c r="A813" t="s">
        <v>1864</v>
      </c>
      <c r="B813" t="s">
        <v>1865</v>
      </c>
      <c r="C813" s="4">
        <v>85000</v>
      </c>
      <c r="D813" s="4">
        <v>100000</v>
      </c>
      <c r="E813" s="5">
        <v>0.4</v>
      </c>
    </row>
    <row r="814" spans="1:5" x14ac:dyDescent="0.25">
      <c r="A814" t="s">
        <v>1866</v>
      </c>
      <c r="B814" t="s">
        <v>1867</v>
      </c>
      <c r="C814" s="4">
        <v>85000</v>
      </c>
      <c r="D814" s="4">
        <v>100000</v>
      </c>
      <c r="E814" s="5">
        <v>0.4</v>
      </c>
    </row>
    <row r="815" spans="1:5" x14ac:dyDescent="0.25">
      <c r="A815" t="s">
        <v>1868</v>
      </c>
      <c r="B815" t="s">
        <v>1869</v>
      </c>
      <c r="C815" s="4">
        <v>85000</v>
      </c>
      <c r="D815" s="4">
        <v>100000</v>
      </c>
      <c r="E815" s="5">
        <v>0.4</v>
      </c>
    </row>
    <row r="816" spans="1:5" x14ac:dyDescent="0.25">
      <c r="A816" t="s">
        <v>1870</v>
      </c>
      <c r="B816" t="s">
        <v>1871</v>
      </c>
      <c r="C816" s="4">
        <v>85000</v>
      </c>
      <c r="D816" s="4">
        <v>100000</v>
      </c>
      <c r="E816" s="5">
        <v>0.54</v>
      </c>
    </row>
    <row r="817" spans="1:5" x14ac:dyDescent="0.25">
      <c r="A817" t="s">
        <v>1872</v>
      </c>
      <c r="B817" t="s">
        <v>1873</v>
      </c>
      <c r="C817" s="4">
        <v>85000</v>
      </c>
      <c r="D817" s="4">
        <v>100000</v>
      </c>
      <c r="E817" s="5">
        <v>0.54</v>
      </c>
    </row>
    <row r="818" spans="1:5" x14ac:dyDescent="0.25">
      <c r="A818" t="s">
        <v>1874</v>
      </c>
      <c r="B818" t="s">
        <v>1875</v>
      </c>
      <c r="C818" s="4">
        <v>85000</v>
      </c>
      <c r="D818" s="4">
        <v>100000</v>
      </c>
      <c r="E818" s="5">
        <v>0.54</v>
      </c>
    </row>
    <row r="819" spans="1:5" x14ac:dyDescent="0.25">
      <c r="A819" t="s">
        <v>1876</v>
      </c>
      <c r="B819" t="s">
        <v>1877</v>
      </c>
      <c r="C819" s="4">
        <v>85000</v>
      </c>
      <c r="D819" s="4">
        <v>100000</v>
      </c>
      <c r="E819" s="5">
        <v>0.54</v>
      </c>
    </row>
    <row r="820" spans="1:5" x14ac:dyDescent="0.25">
      <c r="A820" t="s">
        <v>1878</v>
      </c>
      <c r="B820" t="s">
        <v>1879</v>
      </c>
      <c r="C820" s="4">
        <v>85000</v>
      </c>
      <c r="D820" s="4">
        <v>100000</v>
      </c>
      <c r="E820" s="5">
        <v>0.54</v>
      </c>
    </row>
    <row r="821" spans="1:5" x14ac:dyDescent="0.25">
      <c r="A821" t="s">
        <v>1880</v>
      </c>
      <c r="B821" t="s">
        <v>1881</v>
      </c>
      <c r="C821" s="4">
        <v>85000</v>
      </c>
      <c r="D821" s="4">
        <v>100000</v>
      </c>
      <c r="E821" s="5">
        <v>0.54</v>
      </c>
    </row>
    <row r="822" spans="1:5" x14ac:dyDescent="0.25">
      <c r="A822" t="s">
        <v>1882</v>
      </c>
      <c r="B822" t="s">
        <v>1883</v>
      </c>
      <c r="C822" s="4">
        <v>85000</v>
      </c>
      <c r="D822" s="4">
        <v>100000</v>
      </c>
      <c r="E822" s="5">
        <v>0.54</v>
      </c>
    </row>
    <row r="823" spans="1:5" x14ac:dyDescent="0.25">
      <c r="A823" t="s">
        <v>1884</v>
      </c>
      <c r="B823" t="s">
        <v>1885</v>
      </c>
      <c r="C823" s="4">
        <v>85000</v>
      </c>
      <c r="D823" s="4">
        <v>100000</v>
      </c>
      <c r="E823" s="5">
        <v>0.54</v>
      </c>
    </row>
    <row r="824" spans="1:5" x14ac:dyDescent="0.25">
      <c r="A824" t="s">
        <v>1886</v>
      </c>
      <c r="B824" t="s">
        <v>1887</v>
      </c>
      <c r="C824" s="4">
        <v>85000</v>
      </c>
      <c r="D824" s="4">
        <v>100000</v>
      </c>
      <c r="E824" s="5">
        <v>0.54</v>
      </c>
    </row>
    <row r="825" spans="1:5" x14ac:dyDescent="0.25">
      <c r="A825" t="s">
        <v>1888</v>
      </c>
      <c r="B825" t="s">
        <v>1889</v>
      </c>
      <c r="C825" s="4">
        <v>85000</v>
      </c>
      <c r="D825" s="4">
        <v>100000</v>
      </c>
      <c r="E825" s="5">
        <v>0.54</v>
      </c>
    </row>
    <row r="826" spans="1:5" x14ac:dyDescent="0.25">
      <c r="A826" t="s">
        <v>1890</v>
      </c>
      <c r="B826" t="s">
        <v>1891</v>
      </c>
      <c r="C826" s="4">
        <v>85000</v>
      </c>
      <c r="D826" s="4">
        <v>100000</v>
      </c>
      <c r="E826" s="5">
        <v>0.54</v>
      </c>
    </row>
    <row r="827" spans="1:5" x14ac:dyDescent="0.25">
      <c r="A827" t="s">
        <v>1892</v>
      </c>
      <c r="B827" t="s">
        <v>1893</v>
      </c>
      <c r="C827" s="4">
        <v>85000</v>
      </c>
      <c r="D827" s="4">
        <v>100000</v>
      </c>
      <c r="E827" s="5">
        <v>0.54</v>
      </c>
    </row>
    <row r="828" spans="1:5" x14ac:dyDescent="0.25">
      <c r="A828" t="s">
        <v>1894</v>
      </c>
      <c r="B828" t="s">
        <v>1895</v>
      </c>
      <c r="C828" s="4">
        <v>85000</v>
      </c>
      <c r="D828" s="4">
        <v>100000</v>
      </c>
      <c r="E828" s="5">
        <v>0.4</v>
      </c>
    </row>
    <row r="829" spans="1:5" x14ac:dyDescent="0.25">
      <c r="A829" t="s">
        <v>1896</v>
      </c>
      <c r="B829" t="s">
        <v>1897</v>
      </c>
      <c r="C829" s="4">
        <v>85000</v>
      </c>
      <c r="D829" s="4">
        <v>100000</v>
      </c>
      <c r="E829" s="5">
        <v>0.4</v>
      </c>
    </row>
    <row r="830" spans="1:5" x14ac:dyDescent="0.25">
      <c r="A830" t="s">
        <v>1898</v>
      </c>
      <c r="B830" t="s">
        <v>1899</v>
      </c>
      <c r="C830" s="4">
        <v>85000</v>
      </c>
      <c r="D830" s="4">
        <v>100000</v>
      </c>
      <c r="E830" s="5">
        <v>0.4</v>
      </c>
    </row>
    <row r="831" spans="1:5" x14ac:dyDescent="0.25">
      <c r="A831" t="s">
        <v>1900</v>
      </c>
      <c r="B831" t="s">
        <v>1901</v>
      </c>
      <c r="C831" s="4">
        <v>85000</v>
      </c>
      <c r="D831" s="4">
        <v>100000</v>
      </c>
      <c r="E831" s="5">
        <v>0.4</v>
      </c>
    </row>
    <row r="832" spans="1:5" x14ac:dyDescent="0.25">
      <c r="A832" t="s">
        <v>1902</v>
      </c>
      <c r="B832" t="s">
        <v>1903</v>
      </c>
      <c r="C832" s="4">
        <v>85000</v>
      </c>
      <c r="D832" s="4">
        <v>100000</v>
      </c>
      <c r="E832" s="5">
        <v>0.4</v>
      </c>
    </row>
    <row r="833" spans="1:5" x14ac:dyDescent="0.25">
      <c r="A833" t="s">
        <v>1904</v>
      </c>
      <c r="B833" t="s">
        <v>1905</v>
      </c>
      <c r="C833" s="4">
        <v>85000</v>
      </c>
      <c r="D833" s="4">
        <v>100000</v>
      </c>
      <c r="E833" s="5">
        <v>0.67</v>
      </c>
    </row>
    <row r="834" spans="1:5" x14ac:dyDescent="0.25">
      <c r="A834" t="s">
        <v>1906</v>
      </c>
      <c r="B834" t="s">
        <v>1907</v>
      </c>
      <c r="C834" s="4">
        <v>85000</v>
      </c>
      <c r="D834" s="4">
        <v>100000</v>
      </c>
      <c r="E834" s="5">
        <v>0.67</v>
      </c>
    </row>
    <row r="835" spans="1:5" x14ac:dyDescent="0.25">
      <c r="A835" t="s">
        <v>1908</v>
      </c>
      <c r="B835" t="s">
        <v>1909</v>
      </c>
      <c r="C835" s="4">
        <v>85000</v>
      </c>
      <c r="D835" s="4">
        <v>100000</v>
      </c>
      <c r="E835" s="5">
        <v>0.67</v>
      </c>
    </row>
    <row r="836" spans="1:5" x14ac:dyDescent="0.25">
      <c r="A836" t="s">
        <v>1910</v>
      </c>
      <c r="B836" t="s">
        <v>1911</v>
      </c>
      <c r="C836" s="4">
        <v>85000</v>
      </c>
      <c r="D836" s="4">
        <v>100000</v>
      </c>
      <c r="E836" s="5">
        <v>0.67</v>
      </c>
    </row>
    <row r="837" spans="1:5" x14ac:dyDescent="0.25">
      <c r="A837" t="s">
        <v>1912</v>
      </c>
      <c r="B837" t="s">
        <v>1913</v>
      </c>
      <c r="C837" s="4">
        <v>85000</v>
      </c>
      <c r="D837" s="4">
        <v>100000</v>
      </c>
      <c r="E837" s="5">
        <v>0.67</v>
      </c>
    </row>
    <row r="838" spans="1:5" x14ac:dyDescent="0.25">
      <c r="A838" t="s">
        <v>1914</v>
      </c>
      <c r="B838" t="s">
        <v>1915</v>
      </c>
      <c r="C838" s="4">
        <v>85000</v>
      </c>
      <c r="D838" s="4">
        <v>100000</v>
      </c>
      <c r="E838" s="5">
        <v>0.67</v>
      </c>
    </row>
    <row r="839" spans="1:5" x14ac:dyDescent="0.25">
      <c r="A839" t="s">
        <v>1916</v>
      </c>
      <c r="B839" t="s">
        <v>1917</v>
      </c>
      <c r="C839" s="4">
        <v>85000</v>
      </c>
      <c r="D839" s="4">
        <v>100000</v>
      </c>
      <c r="E839" s="5">
        <v>0.67</v>
      </c>
    </row>
    <row r="840" spans="1:5" x14ac:dyDescent="0.25">
      <c r="A840" t="s">
        <v>1918</v>
      </c>
      <c r="B840" t="s">
        <v>1919</v>
      </c>
      <c r="C840" s="4">
        <v>85000</v>
      </c>
      <c r="D840" s="4">
        <v>100000</v>
      </c>
      <c r="E840" s="5">
        <v>0.67</v>
      </c>
    </row>
    <row r="841" spans="1:5" x14ac:dyDescent="0.25">
      <c r="A841" t="s">
        <v>1920</v>
      </c>
      <c r="B841" t="s">
        <v>1921</v>
      </c>
      <c r="C841" s="4">
        <v>85000</v>
      </c>
      <c r="D841" s="4">
        <v>100000</v>
      </c>
      <c r="E841" s="5">
        <v>0.67</v>
      </c>
    </row>
    <row r="842" spans="1:5" x14ac:dyDescent="0.25">
      <c r="A842" t="s">
        <v>1922</v>
      </c>
      <c r="B842" t="s">
        <v>1923</v>
      </c>
      <c r="C842" s="4">
        <v>85000</v>
      </c>
      <c r="D842" s="4">
        <v>100000</v>
      </c>
      <c r="E842" s="5">
        <v>0.67</v>
      </c>
    </row>
    <row r="843" spans="1:5" x14ac:dyDescent="0.25">
      <c r="A843" t="s">
        <v>1924</v>
      </c>
      <c r="B843" t="s">
        <v>1925</v>
      </c>
      <c r="C843" s="4">
        <v>85000</v>
      </c>
      <c r="D843" s="4">
        <v>100000</v>
      </c>
      <c r="E843" s="5">
        <v>0.67</v>
      </c>
    </row>
    <row r="844" spans="1:5" x14ac:dyDescent="0.25">
      <c r="A844" t="s">
        <v>1926</v>
      </c>
      <c r="B844" t="s">
        <v>1927</v>
      </c>
      <c r="C844" s="4">
        <v>85000</v>
      </c>
      <c r="D844" s="4">
        <v>100000</v>
      </c>
      <c r="E844" s="5">
        <v>0.67</v>
      </c>
    </row>
    <row r="845" spans="1:5" x14ac:dyDescent="0.25">
      <c r="A845" t="s">
        <v>1928</v>
      </c>
      <c r="B845" t="s">
        <v>1929</v>
      </c>
      <c r="C845" s="4">
        <v>85000</v>
      </c>
      <c r="D845" s="4">
        <v>100000</v>
      </c>
      <c r="E845" s="5">
        <v>0.67</v>
      </c>
    </row>
    <row r="846" spans="1:5" x14ac:dyDescent="0.25">
      <c r="A846" t="s">
        <v>1930</v>
      </c>
      <c r="B846" t="s">
        <v>1931</v>
      </c>
      <c r="C846" s="4">
        <v>85000</v>
      </c>
      <c r="D846" s="4">
        <v>100000</v>
      </c>
      <c r="E846" s="5">
        <v>0.67</v>
      </c>
    </row>
    <row r="847" spans="1:5" x14ac:dyDescent="0.25">
      <c r="A847" t="s">
        <v>1932</v>
      </c>
      <c r="B847" t="s">
        <v>1933</v>
      </c>
      <c r="C847" s="4">
        <v>85000</v>
      </c>
      <c r="D847" s="4">
        <v>100000</v>
      </c>
      <c r="E847" s="5">
        <v>0.67</v>
      </c>
    </row>
    <row r="848" spans="1:5" x14ac:dyDescent="0.25">
      <c r="A848" t="s">
        <v>1934</v>
      </c>
      <c r="B848" t="s">
        <v>1935</v>
      </c>
      <c r="C848" s="4">
        <v>85000</v>
      </c>
      <c r="D848" s="4">
        <v>100000</v>
      </c>
      <c r="E848" s="5">
        <v>0.67</v>
      </c>
    </row>
    <row r="849" spans="1:5" x14ac:dyDescent="0.25">
      <c r="A849" t="s">
        <v>1936</v>
      </c>
      <c r="B849" t="s">
        <v>1937</v>
      </c>
      <c r="C849" s="4">
        <v>85000</v>
      </c>
      <c r="D849" s="4">
        <v>100000</v>
      </c>
      <c r="E849" s="5">
        <v>0.67</v>
      </c>
    </row>
    <row r="850" spans="1:5" x14ac:dyDescent="0.25">
      <c r="A850" t="s">
        <v>1938</v>
      </c>
      <c r="B850" t="s">
        <v>1939</v>
      </c>
      <c r="C850" s="4">
        <v>85000</v>
      </c>
      <c r="D850" s="4">
        <v>100000</v>
      </c>
      <c r="E850" s="5">
        <v>0.67</v>
      </c>
    </row>
    <row r="851" spans="1:5" x14ac:dyDescent="0.25">
      <c r="A851" t="s">
        <v>1940</v>
      </c>
      <c r="B851" t="s">
        <v>1941</v>
      </c>
      <c r="C851" s="4">
        <v>85000</v>
      </c>
      <c r="D851" s="4">
        <v>100000</v>
      </c>
      <c r="E851" s="5">
        <v>0.67</v>
      </c>
    </row>
    <row r="852" spans="1:5" x14ac:dyDescent="0.25">
      <c r="A852" t="s">
        <v>1942</v>
      </c>
      <c r="B852" t="s">
        <v>1943</v>
      </c>
      <c r="C852" s="4">
        <v>85000</v>
      </c>
      <c r="D852" s="4">
        <v>100000</v>
      </c>
      <c r="E852" s="5">
        <v>0.67</v>
      </c>
    </row>
    <row r="853" spans="1:5" x14ac:dyDescent="0.25">
      <c r="A853" t="s">
        <v>1944</v>
      </c>
      <c r="B853" t="s">
        <v>1945</v>
      </c>
      <c r="C853" s="4">
        <v>85000</v>
      </c>
      <c r="D853" s="4">
        <v>100000</v>
      </c>
      <c r="E853" s="5">
        <v>0.67</v>
      </c>
    </row>
    <row r="854" spans="1:5" x14ac:dyDescent="0.25">
      <c r="A854" t="s">
        <v>1946</v>
      </c>
      <c r="B854" t="s">
        <v>1947</v>
      </c>
      <c r="C854" s="4">
        <v>85000</v>
      </c>
      <c r="D854" s="4">
        <v>100000</v>
      </c>
      <c r="E854" s="5">
        <v>0.67</v>
      </c>
    </row>
    <row r="855" spans="1:5" x14ac:dyDescent="0.25">
      <c r="A855" t="s">
        <v>1948</v>
      </c>
      <c r="B855" t="s">
        <v>1949</v>
      </c>
      <c r="C855" s="4">
        <v>85000</v>
      </c>
      <c r="D855" s="4">
        <v>100000</v>
      </c>
      <c r="E855" s="5">
        <v>0.67</v>
      </c>
    </row>
    <row r="856" spans="1:5" x14ac:dyDescent="0.25">
      <c r="A856" t="s">
        <v>1950</v>
      </c>
      <c r="B856" t="s">
        <v>1951</v>
      </c>
      <c r="C856" s="4">
        <v>85000</v>
      </c>
      <c r="D856" s="4">
        <v>100000</v>
      </c>
      <c r="E856" s="5">
        <v>0.67</v>
      </c>
    </row>
    <row r="857" spans="1:5" x14ac:dyDescent="0.25">
      <c r="A857" t="s">
        <v>1952</v>
      </c>
      <c r="B857" t="s">
        <v>1953</v>
      </c>
      <c r="C857" s="4">
        <v>85000</v>
      </c>
      <c r="D857" s="4">
        <v>100000</v>
      </c>
      <c r="E857" s="5">
        <v>0.67</v>
      </c>
    </row>
    <row r="858" spans="1:5" x14ac:dyDescent="0.25">
      <c r="A858" t="s">
        <v>1954</v>
      </c>
      <c r="B858" t="s">
        <v>1955</v>
      </c>
      <c r="C858" s="4">
        <v>85000</v>
      </c>
      <c r="D858" s="4">
        <v>100000</v>
      </c>
      <c r="E858" s="5">
        <v>0.67</v>
      </c>
    </row>
    <row r="859" spans="1:5" x14ac:dyDescent="0.25">
      <c r="A859" t="s">
        <v>1956</v>
      </c>
      <c r="B859" t="s">
        <v>1957</v>
      </c>
      <c r="C859" s="4">
        <v>85000</v>
      </c>
      <c r="D859" s="4">
        <v>100000</v>
      </c>
      <c r="E859" s="5">
        <v>0.67</v>
      </c>
    </row>
    <row r="860" spans="1:5" x14ac:dyDescent="0.25">
      <c r="A860" t="s">
        <v>1958</v>
      </c>
      <c r="B860" t="s">
        <v>1959</v>
      </c>
      <c r="C860" s="4">
        <v>85000</v>
      </c>
      <c r="D860" s="4">
        <v>100000</v>
      </c>
      <c r="E860" s="5">
        <v>0.67</v>
      </c>
    </row>
    <row r="861" spans="1:5" x14ac:dyDescent="0.25">
      <c r="A861" t="s">
        <v>1960</v>
      </c>
      <c r="B861" t="s">
        <v>1961</v>
      </c>
      <c r="C861" s="4">
        <v>85000</v>
      </c>
      <c r="D861" s="4">
        <v>100000</v>
      </c>
      <c r="E861" s="5">
        <v>0.67</v>
      </c>
    </row>
    <row r="862" spans="1:5" x14ac:dyDescent="0.25">
      <c r="A862" t="s">
        <v>1962</v>
      </c>
      <c r="B862" t="s">
        <v>1963</v>
      </c>
      <c r="C862" s="4">
        <v>85000</v>
      </c>
      <c r="D862" s="4">
        <v>100000</v>
      </c>
      <c r="E862" s="5">
        <v>0.67</v>
      </c>
    </row>
    <row r="863" spans="1:5" x14ac:dyDescent="0.25">
      <c r="A863" t="s">
        <v>1964</v>
      </c>
      <c r="B863" t="s">
        <v>1965</v>
      </c>
      <c r="C863" s="4">
        <v>85000</v>
      </c>
      <c r="D863" s="4">
        <v>100000</v>
      </c>
      <c r="E863" s="5">
        <v>0.67</v>
      </c>
    </row>
    <row r="864" spans="1:5" x14ac:dyDescent="0.25">
      <c r="A864" t="s">
        <v>1966</v>
      </c>
      <c r="B864" t="s">
        <v>1967</v>
      </c>
      <c r="C864" s="4">
        <v>85000</v>
      </c>
      <c r="D864" s="4">
        <v>100000</v>
      </c>
      <c r="E864" s="5">
        <v>0.67</v>
      </c>
    </row>
    <row r="865" spans="1:5" x14ac:dyDescent="0.25">
      <c r="A865" t="s">
        <v>1968</v>
      </c>
      <c r="B865" t="s">
        <v>1969</v>
      </c>
      <c r="C865" s="4">
        <v>85000</v>
      </c>
      <c r="D865" s="4">
        <v>100000</v>
      </c>
      <c r="E865" s="5">
        <v>0.67</v>
      </c>
    </row>
    <row r="866" spans="1:5" x14ac:dyDescent="0.25">
      <c r="A866" t="s">
        <v>1970</v>
      </c>
      <c r="B866" t="s">
        <v>1971</v>
      </c>
      <c r="C866" s="4">
        <v>85000</v>
      </c>
      <c r="D866" s="4">
        <v>100000</v>
      </c>
      <c r="E866" s="5">
        <v>0.67</v>
      </c>
    </row>
    <row r="867" spans="1:5" x14ac:dyDescent="0.25">
      <c r="A867" t="s">
        <v>1972</v>
      </c>
      <c r="B867" t="s">
        <v>1973</v>
      </c>
      <c r="C867" s="4">
        <v>85000</v>
      </c>
      <c r="D867" s="4">
        <v>100000</v>
      </c>
      <c r="E867" s="5">
        <v>0.67</v>
      </c>
    </row>
    <row r="868" spans="1:5" x14ac:dyDescent="0.25">
      <c r="A868" t="s">
        <v>1974</v>
      </c>
      <c r="B868" t="s">
        <v>1975</v>
      </c>
      <c r="C868" s="4">
        <v>85000</v>
      </c>
      <c r="D868" s="4">
        <v>100000</v>
      </c>
      <c r="E868" s="5">
        <v>0.67</v>
      </c>
    </row>
    <row r="869" spans="1:5" x14ac:dyDescent="0.25">
      <c r="A869" t="s">
        <v>1976</v>
      </c>
      <c r="B869" t="s">
        <v>1977</v>
      </c>
      <c r="C869" s="4">
        <v>85000</v>
      </c>
      <c r="D869" s="4">
        <v>100000</v>
      </c>
      <c r="E869" s="5">
        <v>0.67</v>
      </c>
    </row>
    <row r="870" spans="1:5" x14ac:dyDescent="0.25">
      <c r="A870" t="s">
        <v>1978</v>
      </c>
      <c r="B870" t="s">
        <v>1979</v>
      </c>
      <c r="C870" s="4">
        <v>85000</v>
      </c>
      <c r="D870" s="4">
        <v>100000</v>
      </c>
      <c r="E870" s="5">
        <v>0.67</v>
      </c>
    </row>
    <row r="871" spans="1:5" x14ac:dyDescent="0.25">
      <c r="A871" t="s">
        <v>1980</v>
      </c>
      <c r="B871" t="s">
        <v>1981</v>
      </c>
      <c r="C871" s="4">
        <v>85000</v>
      </c>
      <c r="D871" s="4">
        <v>100000</v>
      </c>
      <c r="E871" s="5">
        <v>0.67</v>
      </c>
    </row>
    <row r="872" spans="1:5" x14ac:dyDescent="0.25">
      <c r="A872" t="s">
        <v>1982</v>
      </c>
      <c r="B872" t="s">
        <v>1983</v>
      </c>
      <c r="C872" s="4">
        <v>85000</v>
      </c>
      <c r="D872" s="4">
        <v>100000</v>
      </c>
      <c r="E872" s="5">
        <v>0.67</v>
      </c>
    </row>
    <row r="873" spans="1:5" x14ac:dyDescent="0.25">
      <c r="A873" t="s">
        <v>1984</v>
      </c>
      <c r="B873" t="s">
        <v>1985</v>
      </c>
      <c r="C873" s="4">
        <v>85000</v>
      </c>
      <c r="D873" s="4">
        <v>100000</v>
      </c>
      <c r="E873" s="5">
        <v>0.4</v>
      </c>
    </row>
    <row r="874" spans="1:5" x14ac:dyDescent="0.25">
      <c r="A874" t="s">
        <v>1986</v>
      </c>
      <c r="B874" t="s">
        <v>1987</v>
      </c>
      <c r="C874" s="4">
        <v>85000</v>
      </c>
      <c r="D874" s="4">
        <v>100000</v>
      </c>
      <c r="E874" s="5">
        <v>0.4</v>
      </c>
    </row>
    <row r="875" spans="1:5" x14ac:dyDescent="0.25">
      <c r="A875" t="s">
        <v>1988</v>
      </c>
      <c r="B875" t="s">
        <v>1989</v>
      </c>
      <c r="C875" s="4">
        <v>85000</v>
      </c>
      <c r="D875" s="4">
        <v>100000</v>
      </c>
      <c r="E875" s="5">
        <v>0.4</v>
      </c>
    </row>
    <row r="876" spans="1:5" x14ac:dyDescent="0.25">
      <c r="A876" t="s">
        <v>1990</v>
      </c>
      <c r="B876" t="s">
        <v>1991</v>
      </c>
      <c r="C876" s="4">
        <v>85000</v>
      </c>
      <c r="D876" s="4">
        <v>100000</v>
      </c>
      <c r="E876" s="5">
        <v>0.4</v>
      </c>
    </row>
    <row r="877" spans="1:5" x14ac:dyDescent="0.25">
      <c r="A877" t="s">
        <v>1992</v>
      </c>
      <c r="B877" t="s">
        <v>1993</v>
      </c>
      <c r="C877" s="4">
        <v>85000</v>
      </c>
      <c r="D877" s="4">
        <v>100000</v>
      </c>
      <c r="E877" s="5">
        <v>0.4</v>
      </c>
    </row>
    <row r="878" spans="1:5" x14ac:dyDescent="0.25">
      <c r="A878" t="s">
        <v>1994</v>
      </c>
      <c r="B878" t="s">
        <v>1995</v>
      </c>
      <c r="C878" s="4">
        <v>85000</v>
      </c>
      <c r="D878" s="4">
        <v>100000</v>
      </c>
      <c r="E878" s="5">
        <v>0.4</v>
      </c>
    </row>
    <row r="879" spans="1:5" x14ac:dyDescent="0.25">
      <c r="A879" t="s">
        <v>1996</v>
      </c>
      <c r="B879" t="s">
        <v>1997</v>
      </c>
      <c r="C879" s="4">
        <v>85000</v>
      </c>
      <c r="D879" s="4">
        <v>100000</v>
      </c>
      <c r="E879" s="5">
        <v>0.4</v>
      </c>
    </row>
    <row r="880" spans="1:5" x14ac:dyDescent="0.25">
      <c r="A880" t="s">
        <v>1998</v>
      </c>
      <c r="B880" t="s">
        <v>1999</v>
      </c>
      <c r="C880" s="4">
        <v>85000</v>
      </c>
      <c r="D880" s="4">
        <v>100000</v>
      </c>
      <c r="E880" s="5">
        <v>0.4</v>
      </c>
    </row>
    <row r="881" spans="1:5" x14ac:dyDescent="0.25">
      <c r="A881" t="s">
        <v>2000</v>
      </c>
      <c r="B881" t="s">
        <v>2001</v>
      </c>
      <c r="C881" s="4">
        <v>85000</v>
      </c>
      <c r="D881" s="4">
        <v>100000</v>
      </c>
      <c r="E881" s="5">
        <v>0.4</v>
      </c>
    </row>
    <row r="882" spans="1:5" x14ac:dyDescent="0.25">
      <c r="A882" t="s">
        <v>2002</v>
      </c>
      <c r="B882" t="s">
        <v>2003</v>
      </c>
      <c r="C882" s="4">
        <v>85000</v>
      </c>
      <c r="D882" s="4">
        <v>100000</v>
      </c>
      <c r="E882" s="5">
        <v>0.4</v>
      </c>
    </row>
    <row r="883" spans="1:5" x14ac:dyDescent="0.25">
      <c r="A883" t="s">
        <v>2004</v>
      </c>
      <c r="B883" t="s">
        <v>2005</v>
      </c>
      <c r="C883" s="4">
        <v>85000</v>
      </c>
      <c r="D883" s="4">
        <v>100000</v>
      </c>
      <c r="E883" s="5">
        <v>0.4</v>
      </c>
    </row>
    <row r="884" spans="1:5" x14ac:dyDescent="0.25">
      <c r="A884" t="s">
        <v>2006</v>
      </c>
      <c r="B884" t="s">
        <v>2007</v>
      </c>
      <c r="C884" s="4">
        <v>85000</v>
      </c>
      <c r="D884" s="4">
        <v>100000</v>
      </c>
      <c r="E884" s="5">
        <v>0.4</v>
      </c>
    </row>
    <row r="885" spans="1:5" x14ac:dyDescent="0.25">
      <c r="A885" t="s">
        <v>2008</v>
      </c>
      <c r="B885" t="s">
        <v>2009</v>
      </c>
      <c r="C885" s="4">
        <v>85000</v>
      </c>
      <c r="D885" s="4">
        <v>100000</v>
      </c>
      <c r="E885" s="5">
        <v>0.4</v>
      </c>
    </row>
    <row r="886" spans="1:5" x14ac:dyDescent="0.25">
      <c r="A886" t="s">
        <v>2010</v>
      </c>
      <c r="B886" t="s">
        <v>2011</v>
      </c>
      <c r="C886" s="4">
        <v>85000</v>
      </c>
      <c r="D886" s="4">
        <v>100000</v>
      </c>
      <c r="E886" s="5">
        <v>0.4</v>
      </c>
    </row>
    <row r="887" spans="1:5" x14ac:dyDescent="0.25">
      <c r="A887" t="s">
        <v>2012</v>
      </c>
      <c r="B887" t="s">
        <v>2013</v>
      </c>
      <c r="C887" s="4">
        <v>85000</v>
      </c>
      <c r="D887" s="4">
        <v>100000</v>
      </c>
      <c r="E887" s="5">
        <v>0.4</v>
      </c>
    </row>
    <row r="888" spans="1:5" x14ac:dyDescent="0.25">
      <c r="A888" t="s">
        <v>2014</v>
      </c>
      <c r="B888" t="s">
        <v>2015</v>
      </c>
      <c r="C888" s="4">
        <v>85000</v>
      </c>
      <c r="D888" s="4">
        <v>100000</v>
      </c>
      <c r="E888" s="5">
        <v>0.4</v>
      </c>
    </row>
    <row r="889" spans="1:5" x14ac:dyDescent="0.25">
      <c r="A889" t="s">
        <v>2016</v>
      </c>
      <c r="B889" t="s">
        <v>2017</v>
      </c>
      <c r="C889" s="4">
        <v>85000</v>
      </c>
      <c r="D889" s="4">
        <v>100000</v>
      </c>
      <c r="E889" s="5">
        <v>0.4</v>
      </c>
    </row>
    <row r="890" spans="1:5" x14ac:dyDescent="0.25">
      <c r="A890" t="s">
        <v>2018</v>
      </c>
      <c r="B890" t="s">
        <v>2019</v>
      </c>
      <c r="C890" s="4">
        <v>85000</v>
      </c>
      <c r="D890" s="4">
        <v>100000</v>
      </c>
      <c r="E890" s="5">
        <v>0.4</v>
      </c>
    </row>
    <row r="891" spans="1:5" x14ac:dyDescent="0.25">
      <c r="A891" t="s">
        <v>2020</v>
      </c>
      <c r="B891" t="s">
        <v>2021</v>
      </c>
      <c r="C891" s="4">
        <v>85000</v>
      </c>
      <c r="D891" s="4">
        <v>100000</v>
      </c>
      <c r="E891" s="5">
        <v>0.4</v>
      </c>
    </row>
    <row r="892" spans="1:5" x14ac:dyDescent="0.25">
      <c r="A892" t="s">
        <v>2022</v>
      </c>
      <c r="B892" t="s">
        <v>2023</v>
      </c>
      <c r="C892" s="4">
        <v>85000</v>
      </c>
      <c r="D892" s="4">
        <v>100000</v>
      </c>
      <c r="E892" s="5">
        <v>0.4</v>
      </c>
    </row>
    <row r="893" spans="1:5" x14ac:dyDescent="0.25">
      <c r="A893" t="s">
        <v>2024</v>
      </c>
      <c r="B893" t="s">
        <v>2025</v>
      </c>
      <c r="C893" s="4">
        <v>85000</v>
      </c>
      <c r="D893" s="4">
        <v>100000</v>
      </c>
      <c r="E893" s="5">
        <v>0.4</v>
      </c>
    </row>
    <row r="894" spans="1:5" x14ac:dyDescent="0.25">
      <c r="A894" t="s">
        <v>2026</v>
      </c>
      <c r="B894" t="s">
        <v>2027</v>
      </c>
      <c r="C894" s="4">
        <v>85000</v>
      </c>
      <c r="D894" s="4">
        <v>100000</v>
      </c>
      <c r="E894" s="5">
        <v>0.67</v>
      </c>
    </row>
    <row r="895" spans="1:5" x14ac:dyDescent="0.25">
      <c r="A895" t="s">
        <v>2028</v>
      </c>
      <c r="B895" t="s">
        <v>2029</v>
      </c>
      <c r="C895" s="4">
        <v>85000</v>
      </c>
      <c r="D895" s="4">
        <v>100000</v>
      </c>
      <c r="E895" s="5">
        <v>0.67</v>
      </c>
    </row>
    <row r="896" spans="1:5" x14ac:dyDescent="0.25">
      <c r="A896" t="s">
        <v>2030</v>
      </c>
      <c r="B896" t="s">
        <v>2031</v>
      </c>
      <c r="C896" s="4">
        <v>85000</v>
      </c>
      <c r="D896" s="4">
        <v>100000</v>
      </c>
      <c r="E896" s="5">
        <v>0.67</v>
      </c>
    </row>
    <row r="897" spans="1:5" x14ac:dyDescent="0.25">
      <c r="A897" t="s">
        <v>2032</v>
      </c>
      <c r="B897" t="s">
        <v>2033</v>
      </c>
      <c r="C897" s="4">
        <v>85000</v>
      </c>
      <c r="D897" s="4">
        <v>100000</v>
      </c>
      <c r="E897" s="5">
        <v>0.67</v>
      </c>
    </row>
    <row r="898" spans="1:5" x14ac:dyDescent="0.25">
      <c r="A898" t="s">
        <v>2034</v>
      </c>
      <c r="B898" t="s">
        <v>2035</v>
      </c>
      <c r="C898" s="4">
        <v>85000</v>
      </c>
      <c r="D898" s="4">
        <v>100000</v>
      </c>
      <c r="E898" s="5">
        <v>0.67</v>
      </c>
    </row>
    <row r="899" spans="1:5" x14ac:dyDescent="0.25">
      <c r="A899" t="s">
        <v>2036</v>
      </c>
      <c r="B899" t="s">
        <v>2037</v>
      </c>
      <c r="C899" s="4">
        <v>85000</v>
      </c>
      <c r="D899" s="4">
        <v>100000</v>
      </c>
      <c r="E899" s="5">
        <v>0.67</v>
      </c>
    </row>
    <row r="900" spans="1:5" x14ac:dyDescent="0.25">
      <c r="A900" t="s">
        <v>2038</v>
      </c>
      <c r="B900" t="s">
        <v>2039</v>
      </c>
      <c r="C900" s="4">
        <v>85000</v>
      </c>
      <c r="D900" s="4">
        <v>100000</v>
      </c>
      <c r="E900" s="5">
        <v>0.67</v>
      </c>
    </row>
    <row r="901" spans="1:5" x14ac:dyDescent="0.25">
      <c r="A901" t="s">
        <v>2040</v>
      </c>
      <c r="B901" t="s">
        <v>2041</v>
      </c>
      <c r="C901" s="4">
        <v>85000</v>
      </c>
      <c r="D901" s="4">
        <v>100000</v>
      </c>
      <c r="E901" s="5">
        <v>0.67</v>
      </c>
    </row>
    <row r="902" spans="1:5" x14ac:dyDescent="0.25">
      <c r="A902" t="s">
        <v>2042</v>
      </c>
      <c r="B902" t="s">
        <v>2043</v>
      </c>
      <c r="C902" s="4">
        <v>85000</v>
      </c>
      <c r="D902" s="4">
        <v>100000</v>
      </c>
      <c r="E902" s="5">
        <v>0.67</v>
      </c>
    </row>
    <row r="903" spans="1:5" x14ac:dyDescent="0.25">
      <c r="A903" t="s">
        <v>2044</v>
      </c>
      <c r="B903" t="s">
        <v>2045</v>
      </c>
      <c r="C903" s="4">
        <v>85000</v>
      </c>
      <c r="D903" s="4">
        <v>100000</v>
      </c>
      <c r="E903" s="5">
        <v>0.67</v>
      </c>
    </row>
    <row r="904" spans="1:5" x14ac:dyDescent="0.25">
      <c r="A904" t="s">
        <v>2046</v>
      </c>
      <c r="B904" t="s">
        <v>2047</v>
      </c>
      <c r="C904" s="4">
        <v>85000</v>
      </c>
      <c r="D904" s="4">
        <v>100000</v>
      </c>
      <c r="E904" s="5">
        <v>0.67</v>
      </c>
    </row>
    <row r="905" spans="1:5" x14ac:dyDescent="0.25">
      <c r="A905" t="s">
        <v>2048</v>
      </c>
      <c r="B905" t="s">
        <v>2049</v>
      </c>
      <c r="C905" s="4">
        <v>85000</v>
      </c>
      <c r="D905" s="4">
        <v>100000</v>
      </c>
      <c r="E905" s="5">
        <v>0.67</v>
      </c>
    </row>
    <row r="906" spans="1:5" x14ac:dyDescent="0.25">
      <c r="A906" t="s">
        <v>2050</v>
      </c>
      <c r="B906" t="s">
        <v>2051</v>
      </c>
      <c r="C906" s="4">
        <v>85000</v>
      </c>
      <c r="D906" s="4">
        <v>100000</v>
      </c>
      <c r="E906" s="5">
        <v>0.67</v>
      </c>
    </row>
    <row r="907" spans="1:5" x14ac:dyDescent="0.25">
      <c r="A907" t="s">
        <v>2052</v>
      </c>
      <c r="B907" t="s">
        <v>2053</v>
      </c>
      <c r="C907" s="4">
        <v>85000</v>
      </c>
      <c r="D907" s="4">
        <v>100000</v>
      </c>
      <c r="E907" s="5">
        <v>0.67</v>
      </c>
    </row>
    <row r="908" spans="1:5" x14ac:dyDescent="0.25">
      <c r="A908" t="s">
        <v>2054</v>
      </c>
      <c r="B908" t="s">
        <v>2055</v>
      </c>
      <c r="C908" s="4">
        <v>85000</v>
      </c>
      <c r="D908" s="4">
        <v>100000</v>
      </c>
      <c r="E908" s="5">
        <v>0.67</v>
      </c>
    </row>
    <row r="909" spans="1:5" x14ac:dyDescent="0.25">
      <c r="A909" t="s">
        <v>2056</v>
      </c>
      <c r="B909" t="s">
        <v>2057</v>
      </c>
      <c r="C909" s="4">
        <v>85000</v>
      </c>
      <c r="D909" s="4">
        <v>100000</v>
      </c>
      <c r="E909" s="5">
        <v>0.67</v>
      </c>
    </row>
    <row r="910" spans="1:5" x14ac:dyDescent="0.25">
      <c r="A910" t="s">
        <v>2058</v>
      </c>
      <c r="B910" t="s">
        <v>2059</v>
      </c>
      <c r="C910" s="4">
        <v>85000</v>
      </c>
      <c r="D910" s="4">
        <v>100000</v>
      </c>
      <c r="E910" s="5">
        <v>0.67</v>
      </c>
    </row>
    <row r="911" spans="1:5" x14ac:dyDescent="0.25">
      <c r="A911" t="s">
        <v>2060</v>
      </c>
      <c r="B911" t="s">
        <v>2061</v>
      </c>
      <c r="C911" s="4">
        <v>85000</v>
      </c>
      <c r="D911" s="4">
        <v>100000</v>
      </c>
      <c r="E911" s="5">
        <v>0.67</v>
      </c>
    </row>
    <row r="912" spans="1:5" x14ac:dyDescent="0.25">
      <c r="A912" t="s">
        <v>2062</v>
      </c>
      <c r="B912" t="s">
        <v>2063</v>
      </c>
      <c r="C912" s="4">
        <v>85000</v>
      </c>
      <c r="D912" s="4">
        <v>100000</v>
      </c>
      <c r="E912" s="5">
        <v>0.67</v>
      </c>
    </row>
    <row r="913" spans="1:5" x14ac:dyDescent="0.25">
      <c r="A913" t="s">
        <v>2064</v>
      </c>
      <c r="B913" t="s">
        <v>2065</v>
      </c>
      <c r="C913" s="4">
        <v>85000</v>
      </c>
      <c r="D913" s="4">
        <v>100000</v>
      </c>
      <c r="E913" s="5">
        <v>0.67</v>
      </c>
    </row>
    <row r="914" spans="1:5" x14ac:dyDescent="0.25">
      <c r="A914" t="s">
        <v>2066</v>
      </c>
      <c r="B914" t="s">
        <v>2067</v>
      </c>
      <c r="C914" s="4">
        <v>85000</v>
      </c>
      <c r="D914" s="4">
        <v>100000</v>
      </c>
      <c r="E914" s="5">
        <v>0.67</v>
      </c>
    </row>
    <row r="915" spans="1:5" x14ac:dyDescent="0.25">
      <c r="A915" t="s">
        <v>2068</v>
      </c>
      <c r="B915" t="s">
        <v>2069</v>
      </c>
      <c r="C915" s="4">
        <v>85000</v>
      </c>
      <c r="D915" s="4">
        <v>100000</v>
      </c>
      <c r="E915" s="5">
        <v>0.67</v>
      </c>
    </row>
    <row r="916" spans="1:5" x14ac:dyDescent="0.25">
      <c r="A916" t="s">
        <v>2070</v>
      </c>
      <c r="B916" t="s">
        <v>2071</v>
      </c>
      <c r="C916" s="4">
        <v>85000</v>
      </c>
      <c r="D916" s="4">
        <v>100000</v>
      </c>
      <c r="E916" s="5">
        <v>0.67</v>
      </c>
    </row>
    <row r="917" spans="1:5" x14ac:dyDescent="0.25">
      <c r="A917" t="s">
        <v>2072</v>
      </c>
      <c r="B917" t="s">
        <v>2073</v>
      </c>
      <c r="C917" s="4">
        <v>85000</v>
      </c>
      <c r="D917" s="4">
        <v>100000</v>
      </c>
      <c r="E917" s="5">
        <v>0.67</v>
      </c>
    </row>
    <row r="918" spans="1:5" x14ac:dyDescent="0.25">
      <c r="A918" t="s">
        <v>2074</v>
      </c>
      <c r="B918" t="s">
        <v>2075</v>
      </c>
      <c r="C918" s="4">
        <v>85000</v>
      </c>
      <c r="D918" s="4">
        <v>100000</v>
      </c>
      <c r="E918" s="5">
        <v>0.67</v>
      </c>
    </row>
    <row r="919" spans="1:5" x14ac:dyDescent="0.25">
      <c r="A919" t="s">
        <v>2076</v>
      </c>
      <c r="B919" t="s">
        <v>2077</v>
      </c>
      <c r="C919" s="4">
        <v>85000</v>
      </c>
      <c r="D919" s="4">
        <v>100000</v>
      </c>
      <c r="E919" s="5">
        <v>0.67</v>
      </c>
    </row>
    <row r="920" spans="1:5" x14ac:dyDescent="0.25">
      <c r="A920" t="s">
        <v>2078</v>
      </c>
      <c r="B920" t="s">
        <v>2079</v>
      </c>
      <c r="C920" s="4">
        <v>85000</v>
      </c>
      <c r="D920" s="4">
        <v>100000</v>
      </c>
      <c r="E920" s="5">
        <v>0.67</v>
      </c>
    </row>
    <row r="921" spans="1:5" x14ac:dyDescent="0.25">
      <c r="A921" t="s">
        <v>2080</v>
      </c>
      <c r="B921" t="s">
        <v>2081</v>
      </c>
      <c r="C921" s="4">
        <v>85000</v>
      </c>
      <c r="D921" s="4">
        <v>100000</v>
      </c>
      <c r="E921" s="5">
        <v>0.67</v>
      </c>
    </row>
    <row r="922" spans="1:5" x14ac:dyDescent="0.25">
      <c r="A922" t="s">
        <v>2082</v>
      </c>
      <c r="B922" t="s">
        <v>2083</v>
      </c>
      <c r="C922" s="4">
        <v>85000</v>
      </c>
      <c r="D922" s="4">
        <v>100000</v>
      </c>
      <c r="E922" s="5">
        <v>0.67</v>
      </c>
    </row>
    <row r="923" spans="1:5" x14ac:dyDescent="0.25">
      <c r="A923" t="s">
        <v>2084</v>
      </c>
      <c r="B923" t="s">
        <v>2085</v>
      </c>
      <c r="C923" s="4">
        <v>85000</v>
      </c>
      <c r="D923" s="4">
        <v>100000</v>
      </c>
      <c r="E923" s="5">
        <v>0.67</v>
      </c>
    </row>
    <row r="924" spans="1:5" x14ac:dyDescent="0.25">
      <c r="A924" t="s">
        <v>2086</v>
      </c>
      <c r="B924" t="s">
        <v>2087</v>
      </c>
      <c r="C924" s="4">
        <v>85000</v>
      </c>
      <c r="D924" s="4">
        <v>100000</v>
      </c>
      <c r="E924" s="5">
        <v>0.67</v>
      </c>
    </row>
    <row r="925" spans="1:5" x14ac:dyDescent="0.25">
      <c r="A925" t="s">
        <v>2088</v>
      </c>
      <c r="B925" t="s">
        <v>2089</v>
      </c>
      <c r="C925" s="4">
        <v>85000</v>
      </c>
      <c r="D925" s="4">
        <v>100000</v>
      </c>
      <c r="E925" s="5">
        <v>0.67</v>
      </c>
    </row>
    <row r="926" spans="1:5" x14ac:dyDescent="0.25">
      <c r="A926" t="s">
        <v>2090</v>
      </c>
      <c r="B926" t="s">
        <v>2091</v>
      </c>
      <c r="C926" s="4">
        <v>85000</v>
      </c>
      <c r="D926" s="4">
        <v>100000</v>
      </c>
      <c r="E926" s="5">
        <v>0.67</v>
      </c>
    </row>
    <row r="927" spans="1:5" x14ac:dyDescent="0.25">
      <c r="A927" t="s">
        <v>2092</v>
      </c>
      <c r="B927" t="s">
        <v>2093</v>
      </c>
      <c r="C927" s="4">
        <v>85000</v>
      </c>
      <c r="D927" s="4">
        <v>100000</v>
      </c>
      <c r="E927" s="5">
        <v>0.67</v>
      </c>
    </row>
    <row r="928" spans="1:5" x14ac:dyDescent="0.25">
      <c r="A928" t="s">
        <v>2094</v>
      </c>
      <c r="B928" t="s">
        <v>2095</v>
      </c>
      <c r="C928" s="4">
        <v>85000</v>
      </c>
      <c r="D928" s="4">
        <v>100000</v>
      </c>
      <c r="E928" s="5">
        <v>0.67</v>
      </c>
    </row>
    <row r="929" spans="1:5" x14ac:dyDescent="0.25">
      <c r="A929" t="s">
        <v>2096</v>
      </c>
      <c r="B929" t="s">
        <v>2097</v>
      </c>
      <c r="C929" s="4">
        <v>85000</v>
      </c>
      <c r="D929" s="4">
        <v>100000</v>
      </c>
      <c r="E929" s="5">
        <v>0.67</v>
      </c>
    </row>
    <row r="930" spans="1:5" x14ac:dyDescent="0.25">
      <c r="A930" t="s">
        <v>2098</v>
      </c>
      <c r="B930" t="s">
        <v>2099</v>
      </c>
      <c r="C930" s="4">
        <v>85000</v>
      </c>
      <c r="D930" s="4">
        <v>100000</v>
      </c>
      <c r="E930" s="5">
        <v>0.78</v>
      </c>
    </row>
    <row r="931" spans="1:5" x14ac:dyDescent="0.25">
      <c r="A931" t="s">
        <v>2100</v>
      </c>
      <c r="B931" t="s">
        <v>2101</v>
      </c>
      <c r="C931" s="4">
        <v>85000</v>
      </c>
      <c r="D931" s="4">
        <v>100000</v>
      </c>
      <c r="E931" s="5">
        <v>0.78</v>
      </c>
    </row>
    <row r="932" spans="1:5" x14ac:dyDescent="0.25">
      <c r="A932" t="s">
        <v>2102</v>
      </c>
      <c r="B932" t="s">
        <v>2103</v>
      </c>
      <c r="C932" s="4">
        <v>85000</v>
      </c>
      <c r="D932" s="4">
        <v>100000</v>
      </c>
      <c r="E932" s="5">
        <v>0.78</v>
      </c>
    </row>
    <row r="933" spans="1:5" x14ac:dyDescent="0.25">
      <c r="A933" t="s">
        <v>2104</v>
      </c>
      <c r="B933" t="s">
        <v>2105</v>
      </c>
      <c r="C933" s="4">
        <v>85000</v>
      </c>
      <c r="D933" s="4">
        <v>100000</v>
      </c>
      <c r="E933" s="5">
        <v>0.78</v>
      </c>
    </row>
    <row r="934" spans="1:5" x14ac:dyDescent="0.25">
      <c r="A934" t="s">
        <v>2106</v>
      </c>
      <c r="B934" t="s">
        <v>2107</v>
      </c>
      <c r="C934" s="4">
        <v>85000</v>
      </c>
      <c r="D934" s="4">
        <v>100000</v>
      </c>
      <c r="E934" s="5">
        <v>0.78</v>
      </c>
    </row>
    <row r="935" spans="1:5" x14ac:dyDescent="0.25">
      <c r="A935" t="s">
        <v>2108</v>
      </c>
      <c r="B935" t="s">
        <v>2109</v>
      </c>
      <c r="C935" s="4">
        <v>85000</v>
      </c>
      <c r="D935" s="4">
        <v>100000</v>
      </c>
      <c r="E935" s="5">
        <v>0.78</v>
      </c>
    </row>
    <row r="936" spans="1:5" x14ac:dyDescent="0.25">
      <c r="A936" t="s">
        <v>2110</v>
      </c>
      <c r="B936" t="s">
        <v>2111</v>
      </c>
      <c r="C936" s="4">
        <v>85000</v>
      </c>
      <c r="D936" s="4">
        <v>100000</v>
      </c>
      <c r="E936" s="5">
        <v>0.78</v>
      </c>
    </row>
    <row r="937" spans="1:5" x14ac:dyDescent="0.25">
      <c r="A937" t="s">
        <v>2112</v>
      </c>
      <c r="B937" t="s">
        <v>2113</v>
      </c>
      <c r="C937" s="4">
        <v>85000</v>
      </c>
      <c r="D937" s="4">
        <v>100000</v>
      </c>
      <c r="E937" s="5">
        <v>0.78</v>
      </c>
    </row>
    <row r="938" spans="1:5" x14ac:dyDescent="0.25">
      <c r="A938" t="s">
        <v>2114</v>
      </c>
      <c r="B938" t="s">
        <v>2115</v>
      </c>
      <c r="C938" s="4">
        <v>85000</v>
      </c>
      <c r="D938" s="4">
        <v>100000</v>
      </c>
      <c r="E938" s="5">
        <v>0.78</v>
      </c>
    </row>
    <row r="939" spans="1:5" x14ac:dyDescent="0.25">
      <c r="A939" t="s">
        <v>2116</v>
      </c>
      <c r="B939" t="s">
        <v>2117</v>
      </c>
      <c r="C939" s="4">
        <v>85000</v>
      </c>
      <c r="D939" s="4">
        <v>100000</v>
      </c>
      <c r="E939" s="5">
        <v>0.78</v>
      </c>
    </row>
    <row r="940" spans="1:5" x14ac:dyDescent="0.25">
      <c r="A940" t="s">
        <v>2118</v>
      </c>
      <c r="B940" t="s">
        <v>2119</v>
      </c>
      <c r="C940" s="4">
        <v>85000</v>
      </c>
      <c r="D940" s="4">
        <v>100000</v>
      </c>
      <c r="E940" s="5">
        <v>0.78</v>
      </c>
    </row>
    <row r="941" spans="1:5" x14ac:dyDescent="0.25">
      <c r="A941" t="s">
        <v>2120</v>
      </c>
      <c r="B941" t="s">
        <v>2121</v>
      </c>
      <c r="C941" s="4">
        <v>85000</v>
      </c>
      <c r="D941" s="4">
        <v>100000</v>
      </c>
      <c r="E941" s="5">
        <v>0.78</v>
      </c>
    </row>
    <row r="942" spans="1:5" x14ac:dyDescent="0.25">
      <c r="A942" t="s">
        <v>2122</v>
      </c>
      <c r="B942" t="s">
        <v>2123</v>
      </c>
      <c r="C942" s="4">
        <v>85000</v>
      </c>
      <c r="D942" s="4">
        <v>100000</v>
      </c>
      <c r="E942" s="5">
        <v>0.78</v>
      </c>
    </row>
    <row r="943" spans="1:5" x14ac:dyDescent="0.25">
      <c r="A943" t="s">
        <v>2124</v>
      </c>
      <c r="B943" t="s">
        <v>2125</v>
      </c>
      <c r="C943" s="4">
        <v>85000</v>
      </c>
      <c r="D943" s="4">
        <v>100000</v>
      </c>
      <c r="E943" s="5">
        <v>0.78</v>
      </c>
    </row>
    <row r="944" spans="1:5" x14ac:dyDescent="0.25">
      <c r="A944" t="s">
        <v>2126</v>
      </c>
      <c r="B944" t="s">
        <v>2127</v>
      </c>
      <c r="C944" s="4">
        <v>85000</v>
      </c>
      <c r="D944" s="4">
        <v>100000</v>
      </c>
      <c r="E944" s="5">
        <v>0.78</v>
      </c>
    </row>
    <row r="945" spans="1:5" x14ac:dyDescent="0.25">
      <c r="A945" t="s">
        <v>2128</v>
      </c>
      <c r="B945" t="s">
        <v>2129</v>
      </c>
      <c r="C945" s="4">
        <v>85000</v>
      </c>
      <c r="D945" s="4">
        <v>100000</v>
      </c>
      <c r="E945" s="5">
        <v>0.78</v>
      </c>
    </row>
    <row r="946" spans="1:5" x14ac:dyDescent="0.25">
      <c r="A946" t="s">
        <v>2130</v>
      </c>
      <c r="B946" t="s">
        <v>2131</v>
      </c>
      <c r="C946" s="4">
        <v>85000</v>
      </c>
      <c r="D946" s="4">
        <v>100000</v>
      </c>
      <c r="E946" s="5">
        <v>0.78</v>
      </c>
    </row>
    <row r="947" spans="1:5" x14ac:dyDescent="0.25">
      <c r="A947" t="s">
        <v>2132</v>
      </c>
      <c r="B947" t="s">
        <v>2133</v>
      </c>
      <c r="C947" s="4">
        <v>85000</v>
      </c>
      <c r="D947" s="4">
        <v>100000</v>
      </c>
      <c r="E947" s="5">
        <v>0.78</v>
      </c>
    </row>
    <row r="948" spans="1:5" x14ac:dyDescent="0.25">
      <c r="A948" t="s">
        <v>2134</v>
      </c>
      <c r="B948" t="s">
        <v>2135</v>
      </c>
      <c r="C948" s="4">
        <v>85000</v>
      </c>
      <c r="D948" s="4">
        <v>100000</v>
      </c>
      <c r="E948" s="5">
        <v>0.78</v>
      </c>
    </row>
    <row r="949" spans="1:5" x14ac:dyDescent="0.25">
      <c r="A949" t="s">
        <v>2136</v>
      </c>
      <c r="B949" t="s">
        <v>2137</v>
      </c>
      <c r="C949" s="4">
        <v>85000</v>
      </c>
      <c r="D949" s="4">
        <v>100000</v>
      </c>
      <c r="E949" s="5">
        <v>0.78</v>
      </c>
    </row>
    <row r="950" spans="1:5" x14ac:dyDescent="0.25">
      <c r="A950" t="s">
        <v>2138</v>
      </c>
      <c r="B950" t="s">
        <v>2139</v>
      </c>
      <c r="C950" s="4">
        <v>85000</v>
      </c>
      <c r="D950" s="4">
        <v>100000</v>
      </c>
      <c r="E950" s="5">
        <v>0.78</v>
      </c>
    </row>
    <row r="951" spans="1:5" x14ac:dyDescent="0.25">
      <c r="A951" t="s">
        <v>2140</v>
      </c>
      <c r="B951" t="s">
        <v>2141</v>
      </c>
      <c r="C951" s="4">
        <v>85000</v>
      </c>
      <c r="D951" s="4">
        <v>100000</v>
      </c>
      <c r="E951" s="5">
        <v>0.78</v>
      </c>
    </row>
    <row r="952" spans="1:5" x14ac:dyDescent="0.25">
      <c r="A952" t="s">
        <v>2142</v>
      </c>
      <c r="B952" t="s">
        <v>2143</v>
      </c>
      <c r="C952" s="4">
        <v>85000</v>
      </c>
      <c r="D952" s="4">
        <v>100000</v>
      </c>
      <c r="E952" s="5">
        <v>0.78</v>
      </c>
    </row>
    <row r="953" spans="1:5" x14ac:dyDescent="0.25">
      <c r="A953" t="s">
        <v>2144</v>
      </c>
      <c r="B953" t="s">
        <v>2145</v>
      </c>
      <c r="C953" s="4">
        <v>85000</v>
      </c>
      <c r="D953" s="4">
        <v>100000</v>
      </c>
      <c r="E953" s="5">
        <v>0.78</v>
      </c>
    </row>
    <row r="954" spans="1:5" x14ac:dyDescent="0.25">
      <c r="A954" t="s">
        <v>2146</v>
      </c>
      <c r="B954" t="s">
        <v>2147</v>
      </c>
      <c r="C954" s="4">
        <v>85000</v>
      </c>
      <c r="D954" s="4">
        <v>100000</v>
      </c>
      <c r="E954" s="5">
        <v>0.78</v>
      </c>
    </row>
    <row r="955" spans="1:5" x14ac:dyDescent="0.25">
      <c r="A955" t="s">
        <v>2148</v>
      </c>
      <c r="B955" t="s">
        <v>2149</v>
      </c>
      <c r="C955" s="4">
        <v>85000</v>
      </c>
      <c r="D955" s="4">
        <v>100000</v>
      </c>
      <c r="E955" s="5">
        <v>0.78</v>
      </c>
    </row>
    <row r="956" spans="1:5" x14ac:dyDescent="0.25">
      <c r="A956" t="s">
        <v>2150</v>
      </c>
      <c r="B956" t="s">
        <v>2151</v>
      </c>
      <c r="C956" s="4">
        <v>85000</v>
      </c>
      <c r="D956" s="4">
        <v>100000</v>
      </c>
      <c r="E956" s="5">
        <v>0.78</v>
      </c>
    </row>
    <row r="957" spans="1:5" x14ac:dyDescent="0.25">
      <c r="A957" t="s">
        <v>2152</v>
      </c>
      <c r="B957" t="s">
        <v>2153</v>
      </c>
      <c r="C957" s="4">
        <v>85000</v>
      </c>
      <c r="D957" s="4">
        <v>100000</v>
      </c>
      <c r="E957" s="5">
        <v>0.78</v>
      </c>
    </row>
    <row r="958" spans="1:5" x14ac:dyDescent="0.25">
      <c r="A958" t="s">
        <v>2154</v>
      </c>
      <c r="B958" t="s">
        <v>2155</v>
      </c>
      <c r="C958" s="4">
        <v>85000</v>
      </c>
      <c r="D958" s="4">
        <v>100000</v>
      </c>
      <c r="E958" s="5">
        <v>0.78</v>
      </c>
    </row>
    <row r="959" spans="1:5" x14ac:dyDescent="0.25">
      <c r="A959" t="s">
        <v>2156</v>
      </c>
      <c r="B959" t="s">
        <v>2157</v>
      </c>
      <c r="C959" s="4">
        <v>85000</v>
      </c>
      <c r="D959" s="4">
        <v>100000</v>
      </c>
      <c r="E959" s="5">
        <v>0.78</v>
      </c>
    </row>
    <row r="960" spans="1:5" x14ac:dyDescent="0.25">
      <c r="A960" t="s">
        <v>2158</v>
      </c>
      <c r="B960" t="s">
        <v>2159</v>
      </c>
      <c r="C960" s="4">
        <v>85000</v>
      </c>
      <c r="D960" s="4">
        <v>100000</v>
      </c>
      <c r="E960" s="5">
        <v>0.78</v>
      </c>
    </row>
    <row r="961" spans="1:5" x14ac:dyDescent="0.25">
      <c r="A961" t="s">
        <v>2160</v>
      </c>
      <c r="B961" t="s">
        <v>2161</v>
      </c>
      <c r="C961" s="4">
        <v>85000</v>
      </c>
      <c r="D961" s="4">
        <v>100000</v>
      </c>
      <c r="E961" s="5">
        <v>0.78</v>
      </c>
    </row>
    <row r="962" spans="1:5" x14ac:dyDescent="0.25">
      <c r="A962" t="s">
        <v>2162</v>
      </c>
      <c r="B962" t="s">
        <v>2163</v>
      </c>
      <c r="C962" s="4">
        <v>85000</v>
      </c>
      <c r="D962" s="4">
        <v>100000</v>
      </c>
      <c r="E962" s="5">
        <v>0.78</v>
      </c>
    </row>
    <row r="963" spans="1:5" x14ac:dyDescent="0.25">
      <c r="A963" t="s">
        <v>2164</v>
      </c>
      <c r="B963" t="s">
        <v>2165</v>
      </c>
      <c r="C963" s="4">
        <v>85000</v>
      </c>
      <c r="D963" s="4">
        <v>100000</v>
      </c>
      <c r="E963" s="5">
        <v>0.78</v>
      </c>
    </row>
    <row r="964" spans="1:5" x14ac:dyDescent="0.25">
      <c r="A964" t="s">
        <v>2166</v>
      </c>
      <c r="B964" t="s">
        <v>2167</v>
      </c>
      <c r="C964" s="4">
        <v>85000</v>
      </c>
      <c r="D964" s="4">
        <v>100000</v>
      </c>
      <c r="E964" s="5">
        <v>0.78</v>
      </c>
    </row>
    <row r="965" spans="1:5" x14ac:dyDescent="0.25">
      <c r="A965" t="s">
        <v>2168</v>
      </c>
      <c r="B965" t="s">
        <v>2169</v>
      </c>
      <c r="C965" s="4">
        <v>85000</v>
      </c>
      <c r="D965" s="4">
        <v>100000</v>
      </c>
      <c r="E965" s="5">
        <v>0.78</v>
      </c>
    </row>
    <row r="966" spans="1:5" x14ac:dyDescent="0.25">
      <c r="A966" t="s">
        <v>2170</v>
      </c>
      <c r="B966" t="s">
        <v>2171</v>
      </c>
      <c r="C966" s="4">
        <v>85000</v>
      </c>
      <c r="D966" s="4">
        <v>100000</v>
      </c>
      <c r="E966" s="5">
        <v>0.78</v>
      </c>
    </row>
    <row r="967" spans="1:5" x14ac:dyDescent="0.25">
      <c r="A967" t="s">
        <v>2172</v>
      </c>
      <c r="B967" t="s">
        <v>2173</v>
      </c>
      <c r="C967" s="4">
        <v>85000</v>
      </c>
      <c r="D967" s="4">
        <v>100000</v>
      </c>
      <c r="E967" s="5">
        <v>0.78</v>
      </c>
    </row>
    <row r="968" spans="1:5" x14ac:dyDescent="0.25">
      <c r="A968" t="s">
        <v>2174</v>
      </c>
      <c r="B968" t="s">
        <v>2175</v>
      </c>
      <c r="C968" s="4">
        <v>85000</v>
      </c>
      <c r="D968" s="4">
        <v>100000</v>
      </c>
      <c r="E968" s="5">
        <v>0.78</v>
      </c>
    </row>
    <row r="969" spans="1:5" x14ac:dyDescent="0.25">
      <c r="A969" t="s">
        <v>2176</v>
      </c>
      <c r="B969" t="s">
        <v>2177</v>
      </c>
      <c r="C969" s="4">
        <v>85000</v>
      </c>
      <c r="D969" s="4">
        <v>100000</v>
      </c>
      <c r="E969" s="5">
        <v>0.86</v>
      </c>
    </row>
    <row r="970" spans="1:5" x14ac:dyDescent="0.25">
      <c r="A970" t="s">
        <v>2178</v>
      </c>
      <c r="B970" t="s">
        <v>2179</v>
      </c>
      <c r="C970" s="4">
        <v>85000</v>
      </c>
      <c r="D970" s="4">
        <v>100000</v>
      </c>
      <c r="E970" s="5">
        <v>0.86</v>
      </c>
    </row>
    <row r="971" spans="1:5" x14ac:dyDescent="0.25">
      <c r="A971" t="s">
        <v>2180</v>
      </c>
      <c r="B971" t="s">
        <v>2181</v>
      </c>
      <c r="C971" s="4">
        <v>85000</v>
      </c>
      <c r="D971" s="4">
        <v>100000</v>
      </c>
      <c r="E971" s="5">
        <v>0.86</v>
      </c>
    </row>
    <row r="972" spans="1:5" x14ac:dyDescent="0.25">
      <c r="A972" t="s">
        <v>2182</v>
      </c>
      <c r="B972" t="s">
        <v>2183</v>
      </c>
      <c r="C972" s="4">
        <v>85000</v>
      </c>
      <c r="D972" s="4">
        <v>100000</v>
      </c>
      <c r="E972" s="5">
        <v>0.86</v>
      </c>
    </row>
    <row r="973" spans="1:5" x14ac:dyDescent="0.25">
      <c r="A973" t="s">
        <v>2184</v>
      </c>
      <c r="B973" t="s">
        <v>2185</v>
      </c>
      <c r="C973" s="4">
        <v>85000</v>
      </c>
      <c r="D973" s="4">
        <v>100000</v>
      </c>
      <c r="E973" s="5">
        <v>0.86</v>
      </c>
    </row>
    <row r="974" spans="1:5" x14ac:dyDescent="0.25">
      <c r="A974" t="s">
        <v>2679</v>
      </c>
      <c r="B974" t="s">
        <v>2680</v>
      </c>
      <c r="C974" s="4">
        <v>85000</v>
      </c>
      <c r="D974" s="4">
        <v>100000</v>
      </c>
      <c r="E974" s="5">
        <v>0.78</v>
      </c>
    </row>
    <row r="975" spans="1:5" x14ac:dyDescent="0.25">
      <c r="A975" t="s">
        <v>2681</v>
      </c>
      <c r="B975" t="s">
        <v>2682</v>
      </c>
      <c r="C975" s="4">
        <v>85000</v>
      </c>
      <c r="D975" s="4">
        <v>100000</v>
      </c>
      <c r="E975" s="5">
        <v>0.78</v>
      </c>
    </row>
    <row r="976" spans="1:5" x14ac:dyDescent="0.25">
      <c r="A976" t="s">
        <v>2683</v>
      </c>
      <c r="B976" t="s">
        <v>2684</v>
      </c>
      <c r="C976" s="4">
        <v>85000</v>
      </c>
      <c r="D976" s="4">
        <v>100000</v>
      </c>
      <c r="E976" s="5">
        <v>0.78</v>
      </c>
    </row>
    <row r="977" spans="1:5" x14ac:dyDescent="0.25">
      <c r="A977" t="s">
        <v>2685</v>
      </c>
      <c r="B977" t="s">
        <v>2686</v>
      </c>
      <c r="C977" s="4">
        <v>85000</v>
      </c>
      <c r="D977" s="4">
        <v>100000</v>
      </c>
      <c r="E977" s="5">
        <v>0.78</v>
      </c>
    </row>
    <row r="978" spans="1:5" x14ac:dyDescent="0.25">
      <c r="A978" t="s">
        <v>2687</v>
      </c>
      <c r="B978" t="s">
        <v>2688</v>
      </c>
      <c r="C978" s="4">
        <v>85000</v>
      </c>
      <c r="D978" s="4">
        <v>100000</v>
      </c>
      <c r="E978" s="5">
        <v>0.78</v>
      </c>
    </row>
    <row r="979" spans="1:5" x14ac:dyDescent="0.25">
      <c r="A979" t="s">
        <v>2689</v>
      </c>
      <c r="B979" t="s">
        <v>2690</v>
      </c>
      <c r="C979" s="4">
        <v>85000</v>
      </c>
      <c r="D979" s="4">
        <v>100000</v>
      </c>
      <c r="E979" s="5">
        <v>0.78</v>
      </c>
    </row>
    <row r="980" spans="1:5" x14ac:dyDescent="0.25">
      <c r="A980" t="s">
        <v>2691</v>
      </c>
      <c r="B980" t="s">
        <v>2692</v>
      </c>
      <c r="C980" s="4">
        <v>85000</v>
      </c>
      <c r="D980" s="4">
        <v>100000</v>
      </c>
      <c r="E980" s="5">
        <v>0.78</v>
      </c>
    </row>
    <row r="981" spans="1:5" x14ac:dyDescent="0.25">
      <c r="A981" t="s">
        <v>2693</v>
      </c>
      <c r="B981" t="s">
        <v>2694</v>
      </c>
      <c r="C981" s="4">
        <v>85000</v>
      </c>
      <c r="D981" s="4">
        <v>100000</v>
      </c>
      <c r="E981" s="5">
        <v>0.78</v>
      </c>
    </row>
    <row r="982" spans="1:5" x14ac:dyDescent="0.25">
      <c r="A982" t="s">
        <v>2186</v>
      </c>
      <c r="B982" t="s">
        <v>2187</v>
      </c>
      <c r="C982" s="4">
        <v>85000</v>
      </c>
      <c r="D982" s="4">
        <v>100000</v>
      </c>
      <c r="E982" s="5">
        <v>0.78</v>
      </c>
    </row>
    <row r="983" spans="1:5" x14ac:dyDescent="0.25">
      <c r="A983" t="s">
        <v>2188</v>
      </c>
      <c r="B983" t="s">
        <v>2189</v>
      </c>
      <c r="C983" s="4">
        <v>85000</v>
      </c>
      <c r="D983" s="4">
        <v>100000</v>
      </c>
      <c r="E983" s="5">
        <v>0.78</v>
      </c>
    </row>
    <row r="984" spans="1:5" x14ac:dyDescent="0.25">
      <c r="A984" t="s">
        <v>2190</v>
      </c>
      <c r="B984" t="s">
        <v>2191</v>
      </c>
      <c r="C984" s="4">
        <v>85000</v>
      </c>
      <c r="D984" s="4">
        <v>100000</v>
      </c>
      <c r="E984" s="5">
        <v>0.78</v>
      </c>
    </row>
    <row r="985" spans="1:5" x14ac:dyDescent="0.25">
      <c r="A985" t="s">
        <v>2192</v>
      </c>
      <c r="B985" t="s">
        <v>2193</v>
      </c>
      <c r="C985" s="4">
        <v>85000</v>
      </c>
      <c r="D985" s="4">
        <v>100000</v>
      </c>
      <c r="E985" s="5">
        <v>0.78</v>
      </c>
    </row>
    <row r="986" spans="1:5" x14ac:dyDescent="0.25">
      <c r="A986" t="s">
        <v>2194</v>
      </c>
      <c r="B986" t="s">
        <v>2195</v>
      </c>
      <c r="C986" s="4">
        <v>85000</v>
      </c>
      <c r="D986" s="4">
        <v>100000</v>
      </c>
      <c r="E986" s="5">
        <v>0.78</v>
      </c>
    </row>
    <row r="987" spans="1:5" x14ac:dyDescent="0.25">
      <c r="A987" t="s">
        <v>2196</v>
      </c>
      <c r="B987" t="s">
        <v>2197</v>
      </c>
      <c r="C987" s="4">
        <v>85000</v>
      </c>
      <c r="D987" s="4">
        <v>100000</v>
      </c>
      <c r="E987" s="5">
        <v>0.78</v>
      </c>
    </row>
    <row r="988" spans="1:5" x14ac:dyDescent="0.25">
      <c r="A988" t="s">
        <v>2198</v>
      </c>
      <c r="B988" t="s">
        <v>2199</v>
      </c>
      <c r="C988" s="4">
        <v>85000</v>
      </c>
      <c r="D988" s="4">
        <v>100000</v>
      </c>
      <c r="E988" s="5">
        <v>0.78</v>
      </c>
    </row>
    <row r="989" spans="1:5" x14ac:dyDescent="0.25">
      <c r="A989" t="s">
        <v>2200</v>
      </c>
      <c r="B989" t="s">
        <v>2201</v>
      </c>
      <c r="C989" s="4">
        <v>85000</v>
      </c>
      <c r="D989" s="4">
        <v>100000</v>
      </c>
      <c r="E989" s="5">
        <v>0.78</v>
      </c>
    </row>
    <row r="990" spans="1:5" x14ac:dyDescent="0.25">
      <c r="A990" t="s">
        <v>2202</v>
      </c>
      <c r="B990" t="s">
        <v>2203</v>
      </c>
      <c r="C990" s="4">
        <v>85000</v>
      </c>
      <c r="D990" s="4">
        <v>100000</v>
      </c>
      <c r="E990" s="5">
        <v>0.78</v>
      </c>
    </row>
    <row r="991" spans="1:5" x14ac:dyDescent="0.25">
      <c r="A991" t="s">
        <v>2204</v>
      </c>
      <c r="B991" t="s">
        <v>2205</v>
      </c>
      <c r="C991" s="4">
        <v>85000</v>
      </c>
      <c r="D991" s="4">
        <v>100000</v>
      </c>
      <c r="E991" s="5">
        <v>0.78</v>
      </c>
    </row>
    <row r="992" spans="1:5" x14ac:dyDescent="0.25">
      <c r="A992" t="s">
        <v>2206</v>
      </c>
      <c r="B992" t="s">
        <v>2207</v>
      </c>
      <c r="C992" s="4">
        <v>85000</v>
      </c>
      <c r="D992" s="4">
        <v>100000</v>
      </c>
      <c r="E992" s="5">
        <v>0.78</v>
      </c>
    </row>
    <row r="993" spans="1:5" x14ac:dyDescent="0.25">
      <c r="A993" t="s">
        <v>2208</v>
      </c>
      <c r="B993" t="s">
        <v>2209</v>
      </c>
      <c r="C993" s="4">
        <v>85000</v>
      </c>
      <c r="D993" s="4">
        <v>100000</v>
      </c>
      <c r="E993" s="5">
        <v>0.78</v>
      </c>
    </row>
    <row r="994" spans="1:5" x14ac:dyDescent="0.25">
      <c r="A994" t="s">
        <v>2210</v>
      </c>
      <c r="B994" t="s">
        <v>2211</v>
      </c>
      <c r="C994" s="4">
        <v>85000</v>
      </c>
      <c r="D994" s="4">
        <v>100000</v>
      </c>
      <c r="E994" s="5">
        <v>0.78</v>
      </c>
    </row>
    <row r="995" spans="1:5" x14ac:dyDescent="0.25">
      <c r="A995" t="s">
        <v>2212</v>
      </c>
      <c r="B995" t="s">
        <v>2213</v>
      </c>
      <c r="C995" s="4">
        <v>85000</v>
      </c>
      <c r="D995" s="4">
        <v>100000</v>
      </c>
      <c r="E995" s="5">
        <v>0.78</v>
      </c>
    </row>
    <row r="996" spans="1:5" x14ac:dyDescent="0.25">
      <c r="A996" t="s">
        <v>2214</v>
      </c>
      <c r="B996" t="s">
        <v>2215</v>
      </c>
      <c r="C996" s="4">
        <v>85000</v>
      </c>
      <c r="D996" s="4">
        <v>100000</v>
      </c>
      <c r="E996" s="5">
        <v>0.78</v>
      </c>
    </row>
    <row r="997" spans="1:5" x14ac:dyDescent="0.25">
      <c r="A997" t="s">
        <v>2216</v>
      </c>
      <c r="B997" t="s">
        <v>2217</v>
      </c>
      <c r="C997" s="4">
        <v>85000</v>
      </c>
      <c r="D997" s="4">
        <v>100000</v>
      </c>
      <c r="E997" s="5">
        <v>0.78</v>
      </c>
    </row>
    <row r="998" spans="1:5" x14ac:dyDescent="0.25">
      <c r="A998" t="s">
        <v>2218</v>
      </c>
      <c r="B998" t="s">
        <v>2219</v>
      </c>
      <c r="C998" s="4">
        <v>85000</v>
      </c>
      <c r="D998" s="4">
        <v>100000</v>
      </c>
      <c r="E998" s="5">
        <v>0.78</v>
      </c>
    </row>
    <row r="999" spans="1:5" x14ac:dyDescent="0.25">
      <c r="A999" t="s">
        <v>2220</v>
      </c>
      <c r="B999" t="s">
        <v>2221</v>
      </c>
      <c r="C999" s="4">
        <v>85000</v>
      </c>
      <c r="D999" s="4">
        <v>100000</v>
      </c>
      <c r="E999" s="5">
        <v>0.78</v>
      </c>
    </row>
    <row r="1000" spans="1:5" x14ac:dyDescent="0.25">
      <c r="A1000" t="s">
        <v>2222</v>
      </c>
      <c r="B1000" t="s">
        <v>2223</v>
      </c>
      <c r="C1000" s="4">
        <v>85000</v>
      </c>
      <c r="D1000" s="4">
        <v>100000</v>
      </c>
      <c r="E1000" s="5">
        <v>0.78</v>
      </c>
    </row>
    <row r="1001" spans="1:5" x14ac:dyDescent="0.25">
      <c r="A1001" t="s">
        <v>2224</v>
      </c>
      <c r="B1001" t="s">
        <v>2225</v>
      </c>
      <c r="C1001" s="4">
        <v>85000</v>
      </c>
      <c r="D1001" s="4">
        <v>100000</v>
      </c>
      <c r="E1001" s="5">
        <v>0.78</v>
      </c>
    </row>
    <row r="1002" spans="1:5" x14ac:dyDescent="0.25">
      <c r="A1002" t="s">
        <v>2226</v>
      </c>
      <c r="B1002" t="s">
        <v>2227</v>
      </c>
      <c r="C1002" s="4">
        <v>85000</v>
      </c>
      <c r="D1002" s="4">
        <v>100000</v>
      </c>
      <c r="E1002" s="5">
        <v>0.78</v>
      </c>
    </row>
    <row r="1003" spans="1:5" x14ac:dyDescent="0.25">
      <c r="A1003" t="s">
        <v>2228</v>
      </c>
      <c r="B1003" t="s">
        <v>2229</v>
      </c>
      <c r="C1003" s="4">
        <v>85000</v>
      </c>
      <c r="D1003" s="4">
        <v>100000</v>
      </c>
      <c r="E1003" s="5">
        <v>0.78</v>
      </c>
    </row>
    <row r="1004" spans="1:5" x14ac:dyDescent="0.25">
      <c r="A1004" t="s">
        <v>2230</v>
      </c>
      <c r="B1004" t="s">
        <v>2231</v>
      </c>
      <c r="C1004" s="4">
        <v>85000</v>
      </c>
      <c r="D1004" s="4">
        <v>100000</v>
      </c>
      <c r="E1004" s="5">
        <v>0.78</v>
      </c>
    </row>
    <row r="1005" spans="1:5" x14ac:dyDescent="0.25">
      <c r="A1005" t="s">
        <v>2232</v>
      </c>
      <c r="B1005" t="s">
        <v>2233</v>
      </c>
      <c r="C1005" s="4">
        <v>85000</v>
      </c>
      <c r="D1005" s="4">
        <v>100000</v>
      </c>
      <c r="E1005" s="5">
        <v>0.78</v>
      </c>
    </row>
    <row r="1006" spans="1:5" x14ac:dyDescent="0.25">
      <c r="A1006" t="s">
        <v>2234</v>
      </c>
      <c r="B1006" t="s">
        <v>2235</v>
      </c>
      <c r="C1006" s="4">
        <v>85000</v>
      </c>
      <c r="D1006" s="4">
        <v>100000</v>
      </c>
      <c r="E1006" s="5">
        <v>0.78</v>
      </c>
    </row>
    <row r="1007" spans="1:5" x14ac:dyDescent="0.25">
      <c r="A1007" t="s">
        <v>2236</v>
      </c>
      <c r="B1007" t="s">
        <v>2237</v>
      </c>
      <c r="C1007" s="4">
        <v>85000</v>
      </c>
      <c r="D1007" s="4">
        <v>100000</v>
      </c>
      <c r="E1007" s="5">
        <v>0.78</v>
      </c>
    </row>
    <row r="1008" spans="1:5" x14ac:dyDescent="0.25">
      <c r="A1008" t="s">
        <v>2238</v>
      </c>
      <c r="B1008" t="s">
        <v>2239</v>
      </c>
      <c r="C1008" s="4">
        <v>85000</v>
      </c>
      <c r="D1008" s="4">
        <v>100000</v>
      </c>
      <c r="E1008" s="5">
        <v>0.78</v>
      </c>
    </row>
    <row r="1009" spans="1:5" x14ac:dyDescent="0.25">
      <c r="A1009" t="s">
        <v>2240</v>
      </c>
      <c r="B1009" t="s">
        <v>2241</v>
      </c>
      <c r="C1009" s="4">
        <v>85000</v>
      </c>
      <c r="D1009" s="4">
        <v>100000</v>
      </c>
      <c r="E1009" s="5">
        <v>0.78</v>
      </c>
    </row>
    <row r="1010" spans="1:5" x14ac:dyDescent="0.25">
      <c r="A1010" t="s">
        <v>2242</v>
      </c>
      <c r="B1010" t="s">
        <v>2243</v>
      </c>
      <c r="C1010" s="4">
        <v>85000</v>
      </c>
      <c r="D1010" s="4">
        <v>100000</v>
      </c>
      <c r="E1010" s="5">
        <v>0.78</v>
      </c>
    </row>
    <row r="1011" spans="1:5" x14ac:dyDescent="0.25">
      <c r="A1011" t="s">
        <v>2244</v>
      </c>
      <c r="B1011" t="s">
        <v>2245</v>
      </c>
      <c r="C1011" s="4">
        <v>85000</v>
      </c>
      <c r="D1011" s="4">
        <v>100000</v>
      </c>
      <c r="E1011" s="5">
        <v>0.78</v>
      </c>
    </row>
    <row r="1012" spans="1:5" x14ac:dyDescent="0.25">
      <c r="A1012" t="s">
        <v>2246</v>
      </c>
      <c r="B1012" t="s">
        <v>2247</v>
      </c>
      <c r="C1012" s="4">
        <v>85000</v>
      </c>
      <c r="D1012" s="4">
        <v>100000</v>
      </c>
      <c r="E1012" s="5">
        <v>0.78</v>
      </c>
    </row>
    <row r="1013" spans="1:5" x14ac:dyDescent="0.25">
      <c r="A1013" t="s">
        <v>2248</v>
      </c>
      <c r="B1013" t="s">
        <v>2249</v>
      </c>
      <c r="C1013" s="4">
        <v>85000</v>
      </c>
      <c r="D1013" s="4">
        <v>100000</v>
      </c>
      <c r="E1013" s="5">
        <v>0.78</v>
      </c>
    </row>
    <row r="1014" spans="1:5" x14ac:dyDescent="0.25">
      <c r="A1014" t="s">
        <v>2250</v>
      </c>
      <c r="B1014" t="s">
        <v>2251</v>
      </c>
      <c r="C1014" s="4">
        <v>85000</v>
      </c>
      <c r="D1014" s="4">
        <v>100000</v>
      </c>
      <c r="E1014" s="5">
        <v>0.78</v>
      </c>
    </row>
    <row r="1015" spans="1:5" x14ac:dyDescent="0.25">
      <c r="A1015" t="s">
        <v>2252</v>
      </c>
      <c r="B1015" t="s">
        <v>2253</v>
      </c>
      <c r="C1015" s="4">
        <v>85000</v>
      </c>
      <c r="D1015" s="4">
        <v>100000</v>
      </c>
      <c r="E1015" s="5">
        <v>0.78</v>
      </c>
    </row>
    <row r="1016" spans="1:5" x14ac:dyDescent="0.25">
      <c r="A1016" t="s">
        <v>2254</v>
      </c>
      <c r="B1016" t="s">
        <v>2255</v>
      </c>
      <c r="C1016" s="4">
        <v>85000</v>
      </c>
      <c r="D1016" s="4">
        <v>100000</v>
      </c>
      <c r="E1016" s="5">
        <v>0.78</v>
      </c>
    </row>
    <row r="1017" spans="1:5" x14ac:dyDescent="0.25">
      <c r="A1017" t="s">
        <v>2256</v>
      </c>
      <c r="B1017" t="s">
        <v>2257</v>
      </c>
      <c r="C1017" s="4">
        <v>85000</v>
      </c>
      <c r="D1017" s="4">
        <v>100000</v>
      </c>
      <c r="E1017" s="5">
        <v>0.78</v>
      </c>
    </row>
    <row r="1018" spans="1:5" x14ac:dyDescent="0.25">
      <c r="A1018" t="s">
        <v>2258</v>
      </c>
      <c r="B1018" t="s">
        <v>2259</v>
      </c>
      <c r="C1018" s="4">
        <v>85000</v>
      </c>
      <c r="D1018" s="4">
        <v>100000</v>
      </c>
      <c r="E1018" s="5">
        <v>0.78</v>
      </c>
    </row>
    <row r="1019" spans="1:5" x14ac:dyDescent="0.25">
      <c r="A1019" t="s">
        <v>2260</v>
      </c>
      <c r="B1019" t="s">
        <v>2261</v>
      </c>
      <c r="C1019" s="4">
        <v>85000</v>
      </c>
      <c r="D1019" s="4">
        <v>100000</v>
      </c>
      <c r="E1019" s="5">
        <v>0.78</v>
      </c>
    </row>
    <row r="1020" spans="1:5" x14ac:dyDescent="0.25">
      <c r="A1020" t="s">
        <v>2262</v>
      </c>
      <c r="B1020" t="s">
        <v>2263</v>
      </c>
      <c r="C1020" s="4">
        <v>85000</v>
      </c>
      <c r="D1020" s="4">
        <v>100000</v>
      </c>
      <c r="E1020" s="5">
        <v>0.78</v>
      </c>
    </row>
    <row r="1021" spans="1:5" x14ac:dyDescent="0.25">
      <c r="A1021" t="s">
        <v>2264</v>
      </c>
      <c r="B1021" t="s">
        <v>2265</v>
      </c>
      <c r="C1021" s="4">
        <v>85000</v>
      </c>
      <c r="D1021" s="4">
        <v>100000</v>
      </c>
      <c r="E1021" s="5">
        <v>0.78</v>
      </c>
    </row>
    <row r="1022" spans="1:5" x14ac:dyDescent="0.25">
      <c r="A1022" t="s">
        <v>2266</v>
      </c>
      <c r="B1022" t="s">
        <v>2267</v>
      </c>
      <c r="C1022" s="4">
        <v>85000</v>
      </c>
      <c r="D1022" s="4">
        <v>100000</v>
      </c>
      <c r="E1022" s="5">
        <v>0.78</v>
      </c>
    </row>
    <row r="1023" spans="1:5" x14ac:dyDescent="0.25">
      <c r="A1023" t="s">
        <v>2268</v>
      </c>
      <c r="B1023" t="s">
        <v>2269</v>
      </c>
      <c r="C1023" s="4">
        <v>85000</v>
      </c>
      <c r="D1023" s="4">
        <v>100000</v>
      </c>
      <c r="E1023" s="5">
        <v>0.78</v>
      </c>
    </row>
    <row r="1024" spans="1:5" x14ac:dyDescent="0.25">
      <c r="A1024" t="s">
        <v>2270</v>
      </c>
      <c r="B1024" t="s">
        <v>2271</v>
      </c>
      <c r="C1024" s="4">
        <v>85000</v>
      </c>
      <c r="D1024" s="4">
        <v>100000</v>
      </c>
      <c r="E1024" s="5">
        <v>0.67</v>
      </c>
    </row>
    <row r="1025" spans="1:5" x14ac:dyDescent="0.25">
      <c r="A1025" t="s">
        <v>2272</v>
      </c>
      <c r="B1025" t="s">
        <v>2273</v>
      </c>
      <c r="C1025" s="4">
        <v>85000</v>
      </c>
      <c r="D1025" s="4">
        <v>100000</v>
      </c>
      <c r="E1025" s="5">
        <v>0.67</v>
      </c>
    </row>
    <row r="1026" spans="1:5" x14ac:dyDescent="0.25">
      <c r="A1026" t="s">
        <v>2274</v>
      </c>
      <c r="B1026" t="s">
        <v>2275</v>
      </c>
      <c r="C1026" s="4">
        <v>85000</v>
      </c>
      <c r="D1026" s="4">
        <v>100000</v>
      </c>
      <c r="E1026" s="5">
        <v>0.67</v>
      </c>
    </row>
    <row r="1027" spans="1:5" x14ac:dyDescent="0.25">
      <c r="A1027" t="s">
        <v>2276</v>
      </c>
      <c r="B1027" t="s">
        <v>2277</v>
      </c>
      <c r="C1027" s="4">
        <v>85000</v>
      </c>
      <c r="D1027" s="4">
        <v>100000</v>
      </c>
      <c r="E1027" s="5">
        <v>0.67</v>
      </c>
    </row>
    <row r="1028" spans="1:5" x14ac:dyDescent="0.25">
      <c r="A1028" t="s">
        <v>2278</v>
      </c>
      <c r="B1028" t="s">
        <v>2279</v>
      </c>
      <c r="C1028" s="4">
        <v>85000</v>
      </c>
      <c r="D1028" s="4">
        <v>100000</v>
      </c>
      <c r="E1028" s="5">
        <v>0.67</v>
      </c>
    </row>
    <row r="1029" spans="1:5" x14ac:dyDescent="0.25">
      <c r="A1029" t="s">
        <v>2280</v>
      </c>
      <c r="B1029" t="s">
        <v>2281</v>
      </c>
      <c r="C1029" s="4">
        <v>85000</v>
      </c>
      <c r="D1029" s="4">
        <v>100000</v>
      </c>
      <c r="E1029" s="5">
        <v>0.67</v>
      </c>
    </row>
    <row r="1030" spans="1:5" x14ac:dyDescent="0.25">
      <c r="A1030" t="s">
        <v>2282</v>
      </c>
      <c r="B1030" t="s">
        <v>2283</v>
      </c>
      <c r="C1030" s="4">
        <v>85000</v>
      </c>
      <c r="D1030" s="4">
        <v>100000</v>
      </c>
      <c r="E1030" s="5">
        <v>0.67</v>
      </c>
    </row>
    <row r="1031" spans="1:5" x14ac:dyDescent="0.25">
      <c r="A1031" t="s">
        <v>2284</v>
      </c>
      <c r="B1031" t="s">
        <v>2285</v>
      </c>
      <c r="C1031" s="4">
        <v>85000</v>
      </c>
      <c r="D1031" s="4">
        <v>100000</v>
      </c>
      <c r="E1031" s="5">
        <v>0.67</v>
      </c>
    </row>
    <row r="1032" spans="1:5" x14ac:dyDescent="0.25">
      <c r="A1032" t="s">
        <v>2286</v>
      </c>
      <c r="B1032" t="s">
        <v>2287</v>
      </c>
      <c r="C1032" s="4">
        <v>85000</v>
      </c>
      <c r="D1032" s="4">
        <v>100000</v>
      </c>
      <c r="E1032" s="5">
        <v>0.67</v>
      </c>
    </row>
    <row r="1033" spans="1:5" x14ac:dyDescent="0.25">
      <c r="A1033" t="s">
        <v>2288</v>
      </c>
      <c r="B1033" t="s">
        <v>2289</v>
      </c>
      <c r="C1033" s="4">
        <v>85000</v>
      </c>
      <c r="D1033" s="4">
        <v>100000</v>
      </c>
      <c r="E1033" s="5">
        <v>0.67</v>
      </c>
    </row>
    <row r="1034" spans="1:5" x14ac:dyDescent="0.25">
      <c r="A1034" t="s">
        <v>2290</v>
      </c>
      <c r="B1034" t="s">
        <v>2291</v>
      </c>
      <c r="C1034" s="4">
        <v>85000</v>
      </c>
      <c r="D1034" s="4">
        <v>100000</v>
      </c>
      <c r="E1034" s="5">
        <v>0.67</v>
      </c>
    </row>
    <row r="1035" spans="1:5" x14ac:dyDescent="0.25">
      <c r="A1035" t="s">
        <v>2292</v>
      </c>
      <c r="B1035" t="s">
        <v>2293</v>
      </c>
      <c r="C1035" s="4">
        <v>85000</v>
      </c>
      <c r="D1035" s="4">
        <v>100000</v>
      </c>
      <c r="E1035" s="5">
        <v>0.67</v>
      </c>
    </row>
    <row r="1036" spans="1:5" x14ac:dyDescent="0.25">
      <c r="A1036" t="s">
        <v>2294</v>
      </c>
      <c r="B1036" t="s">
        <v>2295</v>
      </c>
      <c r="C1036" s="4">
        <v>85000</v>
      </c>
      <c r="D1036" s="4">
        <v>100000</v>
      </c>
      <c r="E1036" s="5">
        <v>0.67</v>
      </c>
    </row>
    <row r="1037" spans="1:5" x14ac:dyDescent="0.25">
      <c r="A1037" t="s">
        <v>2296</v>
      </c>
      <c r="B1037" t="s">
        <v>2297</v>
      </c>
      <c r="C1037" s="4">
        <v>85000</v>
      </c>
      <c r="D1037" s="4">
        <v>100000</v>
      </c>
      <c r="E1037" s="5">
        <v>0.67</v>
      </c>
    </row>
    <row r="1038" spans="1:5" x14ac:dyDescent="0.25">
      <c r="A1038" t="s">
        <v>2298</v>
      </c>
      <c r="B1038" t="s">
        <v>2299</v>
      </c>
      <c r="C1038" s="4">
        <v>85000</v>
      </c>
      <c r="D1038" s="4">
        <v>100000</v>
      </c>
      <c r="E1038" s="5">
        <v>0.67</v>
      </c>
    </row>
    <row r="1039" spans="1:5" x14ac:dyDescent="0.25">
      <c r="A1039" t="s">
        <v>2300</v>
      </c>
      <c r="B1039" t="s">
        <v>2301</v>
      </c>
      <c r="C1039" s="4">
        <v>85000</v>
      </c>
      <c r="D1039" s="4">
        <v>100000</v>
      </c>
      <c r="E1039" s="5">
        <v>0.67</v>
      </c>
    </row>
    <row r="1040" spans="1:5" x14ac:dyDescent="0.25">
      <c r="A1040" t="s">
        <v>2302</v>
      </c>
      <c r="B1040" t="s">
        <v>2303</v>
      </c>
      <c r="C1040" s="4">
        <v>85000</v>
      </c>
      <c r="D1040" s="4">
        <v>100000</v>
      </c>
      <c r="E1040" s="5">
        <v>0.67</v>
      </c>
    </row>
    <row r="1041" spans="1:5" x14ac:dyDescent="0.25">
      <c r="A1041" t="s">
        <v>2304</v>
      </c>
      <c r="B1041" t="s">
        <v>2305</v>
      </c>
      <c r="C1041" s="4">
        <v>85000</v>
      </c>
      <c r="D1041" s="4">
        <v>100000</v>
      </c>
      <c r="E1041" s="5">
        <v>0.67</v>
      </c>
    </row>
    <row r="1042" spans="1:5" x14ac:dyDescent="0.25">
      <c r="A1042" t="s">
        <v>2306</v>
      </c>
      <c r="B1042" t="s">
        <v>2307</v>
      </c>
      <c r="C1042" s="4">
        <v>85000</v>
      </c>
      <c r="D1042" s="4">
        <v>100000</v>
      </c>
      <c r="E1042" s="5">
        <v>0.67</v>
      </c>
    </row>
    <row r="1043" spans="1:5" x14ac:dyDescent="0.25">
      <c r="A1043" t="s">
        <v>2308</v>
      </c>
      <c r="B1043" t="s">
        <v>2309</v>
      </c>
      <c r="C1043" s="4">
        <v>85000</v>
      </c>
      <c r="D1043" s="4">
        <v>100000</v>
      </c>
      <c r="E1043" s="5">
        <v>0.67</v>
      </c>
    </row>
    <row r="1044" spans="1:5" x14ac:dyDescent="0.25">
      <c r="A1044" t="s">
        <v>2310</v>
      </c>
      <c r="B1044" t="s">
        <v>2311</v>
      </c>
      <c r="C1044" s="4">
        <v>85000</v>
      </c>
      <c r="D1044" s="4">
        <v>100000</v>
      </c>
      <c r="E1044" s="5">
        <v>0.67</v>
      </c>
    </row>
    <row r="1045" spans="1:5" x14ac:dyDescent="0.25">
      <c r="A1045" t="s">
        <v>2312</v>
      </c>
      <c r="B1045" t="s">
        <v>2313</v>
      </c>
      <c r="C1045" s="4">
        <v>85000</v>
      </c>
      <c r="D1045" s="4">
        <v>100000</v>
      </c>
      <c r="E1045" s="5">
        <v>0.67</v>
      </c>
    </row>
    <row r="1046" spans="1:5" x14ac:dyDescent="0.25">
      <c r="A1046" t="s">
        <v>2314</v>
      </c>
      <c r="B1046" t="s">
        <v>2315</v>
      </c>
      <c r="C1046" s="4">
        <v>85000</v>
      </c>
      <c r="D1046" s="4">
        <v>100000</v>
      </c>
      <c r="E1046" s="5">
        <v>0.67</v>
      </c>
    </row>
    <row r="1047" spans="1:5" x14ac:dyDescent="0.25">
      <c r="A1047" t="s">
        <v>2316</v>
      </c>
      <c r="B1047" t="s">
        <v>2317</v>
      </c>
      <c r="C1047" s="4">
        <v>85000</v>
      </c>
      <c r="D1047" s="4">
        <v>100000</v>
      </c>
      <c r="E1047" s="5">
        <v>0.67</v>
      </c>
    </row>
    <row r="1048" spans="1:5" x14ac:dyDescent="0.25">
      <c r="A1048" t="s">
        <v>2318</v>
      </c>
      <c r="B1048" t="s">
        <v>2319</v>
      </c>
      <c r="C1048" s="4">
        <v>85000</v>
      </c>
      <c r="D1048" s="4">
        <v>100000</v>
      </c>
      <c r="E1048" s="5">
        <v>0.67</v>
      </c>
    </row>
    <row r="1049" spans="1:5" x14ac:dyDescent="0.25">
      <c r="A1049" t="s">
        <v>2320</v>
      </c>
      <c r="B1049" t="s">
        <v>2321</v>
      </c>
      <c r="C1049" s="4">
        <v>85000</v>
      </c>
      <c r="D1049" s="4">
        <v>100000</v>
      </c>
      <c r="E1049" s="5">
        <v>0.67</v>
      </c>
    </row>
    <row r="1050" spans="1:5" x14ac:dyDescent="0.25">
      <c r="A1050" t="s">
        <v>2322</v>
      </c>
      <c r="B1050" t="s">
        <v>2323</v>
      </c>
      <c r="C1050" s="4">
        <v>85000</v>
      </c>
      <c r="D1050" s="4">
        <v>100000</v>
      </c>
      <c r="E1050" s="5">
        <v>0.67</v>
      </c>
    </row>
    <row r="1051" spans="1:5" x14ac:dyDescent="0.25">
      <c r="A1051" t="s">
        <v>2324</v>
      </c>
      <c r="B1051" t="s">
        <v>2325</v>
      </c>
      <c r="C1051" s="4">
        <v>85000</v>
      </c>
      <c r="D1051" s="4">
        <v>100000</v>
      </c>
      <c r="E1051" s="5">
        <v>0.67</v>
      </c>
    </row>
    <row r="1052" spans="1:5" x14ac:dyDescent="0.25">
      <c r="A1052" t="s">
        <v>2326</v>
      </c>
      <c r="B1052" t="s">
        <v>2327</v>
      </c>
      <c r="C1052" s="4">
        <v>85000</v>
      </c>
      <c r="D1052" s="4">
        <v>100000</v>
      </c>
      <c r="E1052" s="5">
        <v>0.67</v>
      </c>
    </row>
    <row r="1053" spans="1:5" x14ac:dyDescent="0.25">
      <c r="A1053" t="s">
        <v>2328</v>
      </c>
      <c r="B1053" t="s">
        <v>2329</v>
      </c>
      <c r="C1053" s="4">
        <v>85000</v>
      </c>
      <c r="D1053" s="4">
        <v>100000</v>
      </c>
      <c r="E1053" s="5">
        <v>0.67</v>
      </c>
    </row>
    <row r="1054" spans="1:5" x14ac:dyDescent="0.25">
      <c r="A1054" t="s">
        <v>2330</v>
      </c>
      <c r="B1054" t="s">
        <v>2331</v>
      </c>
      <c r="C1054" s="4">
        <v>85000</v>
      </c>
      <c r="D1054" s="4">
        <v>100000</v>
      </c>
      <c r="E1054" s="5">
        <v>0.67</v>
      </c>
    </row>
    <row r="1055" spans="1:5" x14ac:dyDescent="0.25">
      <c r="A1055" t="s">
        <v>2332</v>
      </c>
      <c r="B1055" t="s">
        <v>2333</v>
      </c>
      <c r="C1055" s="4">
        <v>85000</v>
      </c>
      <c r="D1055" s="4">
        <v>100000</v>
      </c>
      <c r="E1055" s="5">
        <v>0.67</v>
      </c>
    </row>
    <row r="1056" spans="1:5" x14ac:dyDescent="0.25">
      <c r="A1056" t="s">
        <v>2334</v>
      </c>
      <c r="B1056" t="s">
        <v>2335</v>
      </c>
      <c r="C1056" s="4">
        <v>85000</v>
      </c>
      <c r="D1056" s="4">
        <v>100000</v>
      </c>
      <c r="E1056" s="5">
        <v>0.67</v>
      </c>
    </row>
    <row r="1057" spans="1:5" x14ac:dyDescent="0.25">
      <c r="A1057" t="s">
        <v>2336</v>
      </c>
      <c r="B1057" t="s">
        <v>2337</v>
      </c>
      <c r="C1057" s="4">
        <v>85000</v>
      </c>
      <c r="D1057" s="4">
        <v>100000</v>
      </c>
      <c r="E1057" s="5">
        <v>0.67</v>
      </c>
    </row>
    <row r="1058" spans="1:5" x14ac:dyDescent="0.25">
      <c r="A1058" t="s">
        <v>2338</v>
      </c>
      <c r="B1058" t="s">
        <v>2339</v>
      </c>
      <c r="C1058" s="4">
        <v>85000</v>
      </c>
      <c r="D1058" s="4">
        <v>100000</v>
      </c>
      <c r="E1058" s="5">
        <v>0.67</v>
      </c>
    </row>
    <row r="1059" spans="1:5" x14ac:dyDescent="0.25">
      <c r="A1059" t="s">
        <v>2340</v>
      </c>
      <c r="B1059" t="s">
        <v>2341</v>
      </c>
      <c r="C1059" s="4">
        <v>85000</v>
      </c>
      <c r="D1059" s="4">
        <v>100000</v>
      </c>
      <c r="E1059" s="5">
        <v>0.67</v>
      </c>
    </row>
    <row r="1060" spans="1:5" x14ac:dyDescent="0.25">
      <c r="A1060" t="s">
        <v>2342</v>
      </c>
      <c r="B1060" t="s">
        <v>2343</v>
      </c>
      <c r="C1060" s="4">
        <v>85000</v>
      </c>
      <c r="D1060" s="4">
        <v>100000</v>
      </c>
      <c r="E1060" s="5">
        <v>0.67</v>
      </c>
    </row>
    <row r="1061" spans="1:5" x14ac:dyDescent="0.25">
      <c r="A1061" t="s">
        <v>2344</v>
      </c>
      <c r="B1061" t="s">
        <v>2345</v>
      </c>
      <c r="C1061" s="4">
        <v>85000</v>
      </c>
      <c r="D1061" s="4">
        <v>100000</v>
      </c>
      <c r="E1061" s="5">
        <v>0.67</v>
      </c>
    </row>
    <row r="1062" spans="1:5" x14ac:dyDescent="0.25">
      <c r="A1062" t="s">
        <v>2346</v>
      </c>
      <c r="B1062" t="s">
        <v>2347</v>
      </c>
      <c r="C1062" s="4">
        <v>85000</v>
      </c>
      <c r="D1062" s="4">
        <v>100000</v>
      </c>
      <c r="E1062" s="5">
        <v>0.67</v>
      </c>
    </row>
    <row r="1063" spans="1:5" x14ac:dyDescent="0.25">
      <c r="A1063" t="s">
        <v>2348</v>
      </c>
      <c r="B1063" t="s">
        <v>2349</v>
      </c>
      <c r="C1063" s="4">
        <v>85000</v>
      </c>
      <c r="D1063" s="4">
        <v>100000</v>
      </c>
      <c r="E1063" s="5">
        <v>0.67</v>
      </c>
    </row>
    <row r="1064" spans="1:5" x14ac:dyDescent="0.25">
      <c r="A1064" t="s">
        <v>2350</v>
      </c>
      <c r="B1064" t="s">
        <v>2351</v>
      </c>
      <c r="C1064" s="4">
        <v>85000</v>
      </c>
      <c r="D1064" s="4">
        <v>100000</v>
      </c>
      <c r="E1064" s="5">
        <v>0.67</v>
      </c>
    </row>
    <row r="1065" spans="1:5" x14ac:dyDescent="0.25">
      <c r="A1065" t="s">
        <v>2352</v>
      </c>
      <c r="B1065" t="s">
        <v>2353</v>
      </c>
      <c r="C1065" s="4">
        <v>85000</v>
      </c>
      <c r="D1065" s="4">
        <v>100000</v>
      </c>
      <c r="E1065" s="5">
        <v>0.67</v>
      </c>
    </row>
    <row r="1066" spans="1:5" x14ac:dyDescent="0.25">
      <c r="A1066" t="s">
        <v>2354</v>
      </c>
      <c r="B1066" t="s">
        <v>2355</v>
      </c>
      <c r="C1066" s="4">
        <v>85000</v>
      </c>
      <c r="D1066" s="4">
        <v>100000</v>
      </c>
      <c r="E1066" s="5">
        <v>0.67</v>
      </c>
    </row>
    <row r="1067" spans="1:5" x14ac:dyDescent="0.25">
      <c r="A1067" t="s">
        <v>2356</v>
      </c>
      <c r="B1067" t="s">
        <v>2357</v>
      </c>
      <c r="C1067" s="4">
        <v>85000</v>
      </c>
      <c r="D1067" s="4">
        <v>100000</v>
      </c>
      <c r="E1067" s="5">
        <v>0.67</v>
      </c>
    </row>
    <row r="1068" spans="1:5" x14ac:dyDescent="0.25">
      <c r="A1068" t="s">
        <v>2358</v>
      </c>
      <c r="B1068" t="s">
        <v>2359</v>
      </c>
      <c r="C1068" s="4">
        <v>85000</v>
      </c>
      <c r="D1068" s="4">
        <v>100000</v>
      </c>
      <c r="E1068" s="5">
        <v>0.67</v>
      </c>
    </row>
    <row r="1069" spans="1:5" x14ac:dyDescent="0.25">
      <c r="A1069" t="s">
        <v>2360</v>
      </c>
      <c r="B1069" t="s">
        <v>2361</v>
      </c>
      <c r="C1069" s="4">
        <v>85000</v>
      </c>
      <c r="D1069" s="4">
        <v>100000</v>
      </c>
      <c r="E1069" s="5">
        <v>0.67</v>
      </c>
    </row>
    <row r="1070" spans="1:5" x14ac:dyDescent="0.25">
      <c r="A1070" t="s">
        <v>2362</v>
      </c>
      <c r="B1070" t="s">
        <v>2363</v>
      </c>
      <c r="C1070" s="4">
        <v>85000</v>
      </c>
      <c r="D1070" s="4">
        <v>100000</v>
      </c>
      <c r="E1070" s="5">
        <v>0.67</v>
      </c>
    </row>
    <row r="1071" spans="1:5" x14ac:dyDescent="0.25">
      <c r="A1071" t="s">
        <v>2364</v>
      </c>
      <c r="B1071" t="s">
        <v>2365</v>
      </c>
      <c r="C1071" s="4">
        <v>85000</v>
      </c>
      <c r="D1071" s="4">
        <v>100000</v>
      </c>
      <c r="E1071" s="5">
        <v>0.67</v>
      </c>
    </row>
    <row r="1072" spans="1:5" x14ac:dyDescent="0.25">
      <c r="A1072" t="s">
        <v>2366</v>
      </c>
      <c r="B1072" t="s">
        <v>2367</v>
      </c>
      <c r="C1072" s="4">
        <v>85000</v>
      </c>
      <c r="D1072" s="4">
        <v>100000</v>
      </c>
      <c r="E1072" s="5">
        <v>0.67</v>
      </c>
    </row>
    <row r="1073" spans="1:5" x14ac:dyDescent="0.25">
      <c r="A1073" t="s">
        <v>2368</v>
      </c>
      <c r="B1073" t="s">
        <v>2369</v>
      </c>
      <c r="C1073" s="4">
        <v>85000</v>
      </c>
      <c r="D1073" s="4">
        <v>100000</v>
      </c>
      <c r="E1073" s="5">
        <v>0.67</v>
      </c>
    </row>
    <row r="1074" spans="1:5" x14ac:dyDescent="0.25">
      <c r="A1074" t="s">
        <v>2370</v>
      </c>
      <c r="B1074" t="s">
        <v>2371</v>
      </c>
      <c r="C1074" s="4">
        <v>85000</v>
      </c>
      <c r="D1074" s="4">
        <v>100000</v>
      </c>
      <c r="E1074" s="5">
        <v>0.67</v>
      </c>
    </row>
    <row r="1075" spans="1:5" x14ac:dyDescent="0.25">
      <c r="A1075" t="s">
        <v>2372</v>
      </c>
      <c r="B1075" t="s">
        <v>2373</v>
      </c>
      <c r="C1075" s="4">
        <v>85000</v>
      </c>
      <c r="D1075" s="4">
        <v>100000</v>
      </c>
      <c r="E1075" s="5">
        <v>0.67</v>
      </c>
    </row>
    <row r="1076" spans="1:5" x14ac:dyDescent="0.25">
      <c r="A1076" t="s">
        <v>2374</v>
      </c>
      <c r="B1076" t="s">
        <v>2375</v>
      </c>
      <c r="C1076" s="4">
        <v>85000</v>
      </c>
      <c r="D1076" s="4">
        <v>100000</v>
      </c>
      <c r="E1076" s="5">
        <v>0.67</v>
      </c>
    </row>
    <row r="1077" spans="1:5" x14ac:dyDescent="0.25">
      <c r="A1077" t="s">
        <v>2376</v>
      </c>
      <c r="B1077" t="s">
        <v>2377</v>
      </c>
      <c r="C1077" s="4">
        <v>85000</v>
      </c>
      <c r="D1077" s="4">
        <v>100000</v>
      </c>
      <c r="E1077" s="5">
        <v>0.67</v>
      </c>
    </row>
    <row r="1078" spans="1:5" x14ac:dyDescent="0.25">
      <c r="A1078" t="s">
        <v>2378</v>
      </c>
      <c r="B1078" t="s">
        <v>2379</v>
      </c>
      <c r="C1078" s="4">
        <v>85000</v>
      </c>
      <c r="D1078" s="4">
        <v>100000</v>
      </c>
      <c r="E1078" s="5">
        <v>0.67</v>
      </c>
    </row>
    <row r="1079" spans="1:5" x14ac:dyDescent="0.25">
      <c r="A1079" t="s">
        <v>2380</v>
      </c>
      <c r="B1079" t="s">
        <v>2381</v>
      </c>
      <c r="C1079" s="4">
        <v>85000</v>
      </c>
      <c r="D1079" s="4">
        <v>100000</v>
      </c>
      <c r="E1079" s="5">
        <v>0.67</v>
      </c>
    </row>
    <row r="1080" spans="1:5" x14ac:dyDescent="0.25">
      <c r="A1080" t="s">
        <v>2382</v>
      </c>
      <c r="B1080" t="s">
        <v>2383</v>
      </c>
      <c r="C1080" s="4">
        <v>85000</v>
      </c>
      <c r="D1080" s="4">
        <v>100000</v>
      </c>
      <c r="E1080" s="5">
        <v>0.67</v>
      </c>
    </row>
    <row r="1081" spans="1:5" x14ac:dyDescent="0.25">
      <c r="A1081" t="s">
        <v>2384</v>
      </c>
      <c r="B1081" t="s">
        <v>2385</v>
      </c>
      <c r="C1081" s="4">
        <v>85000</v>
      </c>
      <c r="D1081" s="4">
        <v>100000</v>
      </c>
      <c r="E1081" s="5">
        <v>0.67</v>
      </c>
    </row>
    <row r="1082" spans="1:5" x14ac:dyDescent="0.25">
      <c r="A1082" t="s">
        <v>2386</v>
      </c>
      <c r="B1082" t="s">
        <v>2387</v>
      </c>
      <c r="C1082" s="4">
        <v>85000</v>
      </c>
      <c r="D1082" s="4">
        <v>100000</v>
      </c>
      <c r="E1082" s="5">
        <v>0.67</v>
      </c>
    </row>
    <row r="1083" spans="1:5" x14ac:dyDescent="0.25">
      <c r="A1083" t="s">
        <v>2388</v>
      </c>
      <c r="B1083" t="s">
        <v>2389</v>
      </c>
      <c r="C1083" s="4">
        <v>85000</v>
      </c>
      <c r="D1083" s="4">
        <v>100000</v>
      </c>
      <c r="E1083" s="5">
        <v>0.67</v>
      </c>
    </row>
    <row r="1084" spans="1:5" x14ac:dyDescent="0.25">
      <c r="A1084" t="s">
        <v>2390</v>
      </c>
      <c r="B1084" t="s">
        <v>2391</v>
      </c>
      <c r="C1084" s="4">
        <v>85000</v>
      </c>
      <c r="D1084" s="4">
        <v>100000</v>
      </c>
      <c r="E1084" s="5">
        <v>0.67</v>
      </c>
    </row>
    <row r="1085" spans="1:5" x14ac:dyDescent="0.25">
      <c r="A1085" t="s">
        <v>2392</v>
      </c>
      <c r="B1085" t="s">
        <v>2393</v>
      </c>
      <c r="C1085" s="4">
        <v>85000</v>
      </c>
      <c r="D1085" s="4">
        <v>100000</v>
      </c>
      <c r="E1085" s="5">
        <v>0.67</v>
      </c>
    </row>
    <row r="1086" spans="1:5" x14ac:dyDescent="0.25">
      <c r="A1086" t="s">
        <v>2394</v>
      </c>
      <c r="B1086" t="s">
        <v>2395</v>
      </c>
      <c r="C1086" s="4">
        <v>85000</v>
      </c>
      <c r="D1086" s="4">
        <v>100000</v>
      </c>
      <c r="E1086" s="5">
        <v>0.67</v>
      </c>
    </row>
    <row r="1087" spans="1:5" x14ac:dyDescent="0.25">
      <c r="A1087" t="s">
        <v>2396</v>
      </c>
      <c r="B1087" t="s">
        <v>2397</v>
      </c>
      <c r="C1087" s="4">
        <v>85000</v>
      </c>
      <c r="D1087" s="4">
        <v>100000</v>
      </c>
      <c r="E1087" s="5">
        <v>0.67</v>
      </c>
    </row>
    <row r="1088" spans="1:5" x14ac:dyDescent="0.25">
      <c r="A1088" t="s">
        <v>2398</v>
      </c>
      <c r="B1088" t="s">
        <v>2399</v>
      </c>
      <c r="C1088" s="4">
        <v>85000</v>
      </c>
      <c r="D1088" s="4">
        <v>100000</v>
      </c>
      <c r="E1088" s="5">
        <v>0.67</v>
      </c>
    </row>
    <row r="1089" spans="1:5" x14ac:dyDescent="0.25">
      <c r="A1089" t="s">
        <v>2400</v>
      </c>
      <c r="B1089" t="s">
        <v>2401</v>
      </c>
      <c r="C1089" s="4">
        <v>85000</v>
      </c>
      <c r="D1089" s="4">
        <v>100000</v>
      </c>
      <c r="E1089" s="5">
        <v>0.67</v>
      </c>
    </row>
    <row r="1090" spans="1:5" x14ac:dyDescent="0.25">
      <c r="A1090" t="s">
        <v>2402</v>
      </c>
      <c r="B1090" t="s">
        <v>2403</v>
      </c>
      <c r="C1090" s="4">
        <v>85000</v>
      </c>
      <c r="D1090" s="4">
        <v>100000</v>
      </c>
      <c r="E1090" s="5">
        <v>0.67</v>
      </c>
    </row>
    <row r="1091" spans="1:5" x14ac:dyDescent="0.25">
      <c r="A1091" t="s">
        <v>2404</v>
      </c>
      <c r="B1091" t="s">
        <v>2405</v>
      </c>
      <c r="C1091" s="4">
        <v>85000</v>
      </c>
      <c r="D1091" s="4">
        <v>100000</v>
      </c>
      <c r="E1091" s="5">
        <v>0.67</v>
      </c>
    </row>
    <row r="1092" spans="1:5" x14ac:dyDescent="0.25">
      <c r="A1092" t="s">
        <v>2406</v>
      </c>
      <c r="B1092" t="s">
        <v>2407</v>
      </c>
      <c r="C1092" s="4">
        <v>85000</v>
      </c>
      <c r="D1092" s="4">
        <v>100000</v>
      </c>
      <c r="E1092" s="5">
        <v>0.67</v>
      </c>
    </row>
    <row r="1093" spans="1:5" x14ac:dyDescent="0.25">
      <c r="A1093" t="s">
        <v>2408</v>
      </c>
      <c r="B1093" t="s">
        <v>2409</v>
      </c>
      <c r="C1093" s="4">
        <v>85000</v>
      </c>
      <c r="D1093" s="4">
        <v>100000</v>
      </c>
      <c r="E1093" s="5">
        <v>0.67</v>
      </c>
    </row>
    <row r="1094" spans="1:5" x14ac:dyDescent="0.25">
      <c r="A1094" t="s">
        <v>2410</v>
      </c>
      <c r="B1094" t="s">
        <v>2411</v>
      </c>
      <c r="C1094" s="4">
        <v>85000</v>
      </c>
      <c r="D1094" s="4">
        <v>100000</v>
      </c>
      <c r="E1094" s="5">
        <v>0.67</v>
      </c>
    </row>
    <row r="1095" spans="1:5" x14ac:dyDescent="0.25">
      <c r="A1095" t="s">
        <v>2412</v>
      </c>
      <c r="B1095" t="s">
        <v>2413</v>
      </c>
      <c r="C1095" s="4">
        <v>85000</v>
      </c>
      <c r="D1095" s="4">
        <v>100000</v>
      </c>
      <c r="E1095" s="5">
        <v>0.67</v>
      </c>
    </row>
    <row r="1096" spans="1:5" x14ac:dyDescent="0.25">
      <c r="A1096" t="s">
        <v>2414</v>
      </c>
      <c r="B1096" t="s">
        <v>2415</v>
      </c>
      <c r="C1096" s="4">
        <v>85000</v>
      </c>
      <c r="D1096" s="4">
        <v>100000</v>
      </c>
      <c r="E1096" s="5">
        <v>0.67</v>
      </c>
    </row>
    <row r="1097" spans="1:5" x14ac:dyDescent="0.25">
      <c r="A1097" t="s">
        <v>2416</v>
      </c>
      <c r="B1097" t="s">
        <v>2417</v>
      </c>
      <c r="C1097" s="4">
        <v>85000</v>
      </c>
      <c r="D1097" s="4">
        <v>100000</v>
      </c>
      <c r="E1097" s="5">
        <v>0.67</v>
      </c>
    </row>
    <row r="1098" spans="1:5" x14ac:dyDescent="0.25">
      <c r="A1098" t="s">
        <v>2418</v>
      </c>
      <c r="B1098" t="s">
        <v>2419</v>
      </c>
      <c r="C1098" s="4">
        <v>85000</v>
      </c>
      <c r="D1098" s="4">
        <v>100000</v>
      </c>
      <c r="E1098" s="5">
        <v>0.67</v>
      </c>
    </row>
    <row r="1099" spans="1:5" x14ac:dyDescent="0.25">
      <c r="A1099" t="s">
        <v>2420</v>
      </c>
      <c r="B1099" t="s">
        <v>2421</v>
      </c>
      <c r="C1099" s="4">
        <v>85000</v>
      </c>
      <c r="D1099" s="4">
        <v>100000</v>
      </c>
      <c r="E1099" s="5">
        <v>0.67</v>
      </c>
    </row>
    <row r="1100" spans="1:5" x14ac:dyDescent="0.25">
      <c r="A1100" t="s">
        <v>2422</v>
      </c>
      <c r="B1100" t="s">
        <v>2423</v>
      </c>
      <c r="C1100" s="4">
        <v>85000</v>
      </c>
      <c r="D1100" s="4">
        <v>100000</v>
      </c>
      <c r="E1100" s="5">
        <v>0.67</v>
      </c>
    </row>
    <row r="1101" spans="1:5" x14ac:dyDescent="0.25">
      <c r="A1101" t="s">
        <v>2424</v>
      </c>
      <c r="B1101" t="s">
        <v>2425</v>
      </c>
      <c r="C1101" s="4">
        <v>85000</v>
      </c>
      <c r="D1101" s="4">
        <v>100000</v>
      </c>
      <c r="E1101" s="5">
        <v>0.78</v>
      </c>
    </row>
    <row r="1102" spans="1:5" x14ac:dyDescent="0.25">
      <c r="A1102" t="s">
        <v>2426</v>
      </c>
      <c r="B1102" t="s">
        <v>2427</v>
      </c>
      <c r="C1102" s="4">
        <v>85000</v>
      </c>
      <c r="D1102" s="4">
        <v>100000</v>
      </c>
      <c r="E1102" s="5">
        <v>0.78</v>
      </c>
    </row>
    <row r="1103" spans="1:5" x14ac:dyDescent="0.25">
      <c r="A1103" t="s">
        <v>2428</v>
      </c>
      <c r="B1103" t="s">
        <v>2429</v>
      </c>
      <c r="C1103" s="4">
        <v>85000</v>
      </c>
      <c r="D1103" s="4">
        <v>100000</v>
      </c>
      <c r="E1103" s="5">
        <v>0.78</v>
      </c>
    </row>
    <row r="1104" spans="1:5" x14ac:dyDescent="0.25">
      <c r="A1104" t="s">
        <v>2430</v>
      </c>
      <c r="B1104" t="s">
        <v>2431</v>
      </c>
      <c r="C1104" s="4">
        <v>85000</v>
      </c>
      <c r="D1104" s="4">
        <v>100000</v>
      </c>
      <c r="E1104" s="5">
        <v>0.78</v>
      </c>
    </row>
    <row r="1105" spans="1:5" x14ac:dyDescent="0.25">
      <c r="A1105" t="s">
        <v>2432</v>
      </c>
      <c r="B1105" t="s">
        <v>2433</v>
      </c>
      <c r="C1105" s="4">
        <v>85000</v>
      </c>
      <c r="D1105" s="4">
        <v>100000</v>
      </c>
      <c r="E1105" s="5">
        <v>0.78</v>
      </c>
    </row>
    <row r="1106" spans="1:5" x14ac:dyDescent="0.25">
      <c r="A1106" t="s">
        <v>2434</v>
      </c>
      <c r="B1106" t="s">
        <v>2435</v>
      </c>
      <c r="C1106" s="4">
        <v>85000</v>
      </c>
      <c r="D1106" s="4">
        <v>100000</v>
      </c>
      <c r="E1106" s="5">
        <v>0.78</v>
      </c>
    </row>
    <row r="1107" spans="1:5" x14ac:dyDescent="0.25">
      <c r="A1107" t="s">
        <v>2436</v>
      </c>
      <c r="B1107" t="s">
        <v>2437</v>
      </c>
      <c r="C1107" s="4">
        <v>85000</v>
      </c>
      <c r="D1107" s="4">
        <v>100000</v>
      </c>
      <c r="E1107" s="5">
        <v>0.78</v>
      </c>
    </row>
    <row r="1108" spans="1:5" x14ac:dyDescent="0.25">
      <c r="A1108" t="s">
        <v>2438</v>
      </c>
      <c r="B1108" t="s">
        <v>2439</v>
      </c>
      <c r="C1108" s="4">
        <v>85000</v>
      </c>
      <c r="D1108" s="4">
        <v>100000</v>
      </c>
      <c r="E1108" s="5">
        <v>0.78</v>
      </c>
    </row>
    <row r="1109" spans="1:5" x14ac:dyDescent="0.25">
      <c r="A1109" t="s">
        <v>2440</v>
      </c>
      <c r="B1109" t="s">
        <v>2441</v>
      </c>
      <c r="C1109" s="4">
        <v>85000</v>
      </c>
      <c r="D1109" s="4">
        <v>100000</v>
      </c>
      <c r="E1109" s="5">
        <v>0.78</v>
      </c>
    </row>
    <row r="1110" spans="1:5" x14ac:dyDescent="0.25">
      <c r="A1110" t="s">
        <v>2442</v>
      </c>
      <c r="B1110" t="s">
        <v>2443</v>
      </c>
      <c r="C1110" s="4">
        <v>85000</v>
      </c>
      <c r="D1110" s="4">
        <v>100000</v>
      </c>
      <c r="E1110" s="5">
        <v>0.78</v>
      </c>
    </row>
    <row r="1111" spans="1:5" x14ac:dyDescent="0.25">
      <c r="A1111" t="s">
        <v>2444</v>
      </c>
      <c r="B1111" t="s">
        <v>2445</v>
      </c>
      <c r="C1111" s="4">
        <v>85000</v>
      </c>
      <c r="D1111" s="4">
        <v>100000</v>
      </c>
      <c r="E1111" s="5">
        <v>0.78</v>
      </c>
    </row>
    <row r="1112" spans="1:5" x14ac:dyDescent="0.25">
      <c r="A1112" t="s">
        <v>2446</v>
      </c>
      <c r="B1112" t="s">
        <v>2447</v>
      </c>
      <c r="C1112" s="4">
        <v>85000</v>
      </c>
      <c r="D1112" s="4">
        <v>100000</v>
      </c>
      <c r="E1112" s="5">
        <v>0.78</v>
      </c>
    </row>
    <row r="1113" spans="1:5" x14ac:dyDescent="0.25">
      <c r="A1113" t="s">
        <v>2448</v>
      </c>
      <c r="B1113" t="s">
        <v>2449</v>
      </c>
      <c r="C1113" s="4">
        <v>85000</v>
      </c>
      <c r="D1113" s="4">
        <v>100000</v>
      </c>
      <c r="E1113" s="5">
        <v>0.78</v>
      </c>
    </row>
    <row r="1114" spans="1:5" x14ac:dyDescent="0.25">
      <c r="A1114" t="s">
        <v>2450</v>
      </c>
      <c r="B1114" t="s">
        <v>2451</v>
      </c>
      <c r="C1114" s="4">
        <v>85000</v>
      </c>
      <c r="D1114" s="4">
        <v>100000</v>
      </c>
      <c r="E1114" s="5">
        <v>0.78</v>
      </c>
    </row>
    <row r="1115" spans="1:5" x14ac:dyDescent="0.25">
      <c r="A1115" t="s">
        <v>2452</v>
      </c>
      <c r="B1115" t="s">
        <v>2453</v>
      </c>
      <c r="C1115" s="4">
        <v>85000</v>
      </c>
      <c r="D1115" s="4">
        <v>100000</v>
      </c>
      <c r="E1115" s="5">
        <v>0.78</v>
      </c>
    </row>
    <row r="1116" spans="1:5" x14ac:dyDescent="0.25">
      <c r="A1116" t="s">
        <v>2454</v>
      </c>
      <c r="B1116" t="s">
        <v>2455</v>
      </c>
      <c r="C1116" s="4">
        <v>85000</v>
      </c>
      <c r="D1116" s="4">
        <v>100000</v>
      </c>
      <c r="E1116" s="5">
        <v>0.78</v>
      </c>
    </row>
    <row r="1117" spans="1:5" x14ac:dyDescent="0.25">
      <c r="A1117" t="s">
        <v>2456</v>
      </c>
      <c r="B1117" t="s">
        <v>2457</v>
      </c>
      <c r="C1117" s="4">
        <v>85000</v>
      </c>
      <c r="D1117" s="4">
        <v>100000</v>
      </c>
      <c r="E1117" s="5">
        <v>0.78</v>
      </c>
    </row>
    <row r="1118" spans="1:5" x14ac:dyDescent="0.25">
      <c r="A1118" t="s">
        <v>2458</v>
      </c>
      <c r="B1118" t="s">
        <v>2459</v>
      </c>
      <c r="C1118" s="4">
        <v>85000</v>
      </c>
      <c r="D1118" s="4">
        <v>100000</v>
      </c>
      <c r="E1118" s="5">
        <v>0.78</v>
      </c>
    </row>
    <row r="1119" spans="1:5" x14ac:dyDescent="0.25">
      <c r="A1119" t="s">
        <v>2460</v>
      </c>
      <c r="B1119" t="s">
        <v>2461</v>
      </c>
      <c r="C1119" s="4">
        <v>85000</v>
      </c>
      <c r="D1119" s="4">
        <v>100000</v>
      </c>
      <c r="E1119" s="5">
        <v>0.78</v>
      </c>
    </row>
    <row r="1120" spans="1:5" x14ac:dyDescent="0.25">
      <c r="A1120" t="s">
        <v>2462</v>
      </c>
      <c r="B1120" t="s">
        <v>2463</v>
      </c>
      <c r="C1120" s="4">
        <v>85000</v>
      </c>
      <c r="D1120" s="4">
        <v>100000</v>
      </c>
      <c r="E1120" s="5">
        <v>0.78</v>
      </c>
    </row>
    <row r="1121" spans="1:5" x14ac:dyDescent="0.25">
      <c r="A1121" t="s">
        <v>2464</v>
      </c>
      <c r="B1121" t="s">
        <v>2465</v>
      </c>
      <c r="C1121" s="4">
        <v>85000</v>
      </c>
      <c r="D1121" s="4">
        <v>100000</v>
      </c>
      <c r="E1121" s="5">
        <v>0.78</v>
      </c>
    </row>
    <row r="1122" spans="1:5" x14ac:dyDescent="0.25">
      <c r="A1122" t="s">
        <v>2466</v>
      </c>
      <c r="B1122" t="s">
        <v>2467</v>
      </c>
      <c r="C1122" s="4">
        <v>85000</v>
      </c>
      <c r="D1122" s="4">
        <v>100000</v>
      </c>
      <c r="E1122" s="5">
        <v>0.78</v>
      </c>
    </row>
    <row r="1123" spans="1:5" x14ac:dyDescent="0.25">
      <c r="A1123" t="s">
        <v>2468</v>
      </c>
      <c r="B1123" t="s">
        <v>2469</v>
      </c>
      <c r="C1123" s="4">
        <v>85000</v>
      </c>
      <c r="D1123" s="4">
        <v>100000</v>
      </c>
      <c r="E1123" s="5">
        <v>0.78</v>
      </c>
    </row>
    <row r="1124" spans="1:5" x14ac:dyDescent="0.25">
      <c r="A1124" t="s">
        <v>2470</v>
      </c>
      <c r="B1124" t="s">
        <v>2471</v>
      </c>
      <c r="C1124" s="4">
        <v>85000</v>
      </c>
      <c r="D1124" s="4">
        <v>100000</v>
      </c>
      <c r="E1124" s="5">
        <v>0.78</v>
      </c>
    </row>
    <row r="1125" spans="1:5" x14ac:dyDescent="0.25">
      <c r="A1125" t="s">
        <v>2472</v>
      </c>
      <c r="B1125" t="s">
        <v>2473</v>
      </c>
      <c r="C1125" s="4">
        <v>85000</v>
      </c>
      <c r="D1125" s="4">
        <v>100000</v>
      </c>
      <c r="E1125" s="5">
        <v>0.78</v>
      </c>
    </row>
    <row r="1126" spans="1:5" x14ac:dyDescent="0.25">
      <c r="A1126" t="s">
        <v>2474</v>
      </c>
      <c r="B1126" t="s">
        <v>2475</v>
      </c>
      <c r="C1126" s="4">
        <v>85000</v>
      </c>
      <c r="D1126" s="4">
        <v>100000</v>
      </c>
      <c r="E1126" s="5">
        <v>0.78</v>
      </c>
    </row>
    <row r="1127" spans="1:5" x14ac:dyDescent="0.25">
      <c r="A1127" t="s">
        <v>2476</v>
      </c>
      <c r="B1127" t="s">
        <v>2477</v>
      </c>
      <c r="C1127" s="4">
        <v>85000</v>
      </c>
      <c r="D1127" s="4">
        <v>100000</v>
      </c>
      <c r="E1127" s="5">
        <v>0.78</v>
      </c>
    </row>
    <row r="1128" spans="1:5" x14ac:dyDescent="0.25">
      <c r="A1128" t="s">
        <v>2478</v>
      </c>
      <c r="B1128" t="s">
        <v>2479</v>
      </c>
      <c r="C1128" s="4">
        <v>85000</v>
      </c>
      <c r="D1128" s="4">
        <v>100000</v>
      </c>
      <c r="E1128" s="5">
        <v>0.78</v>
      </c>
    </row>
    <row r="1129" spans="1:5" x14ac:dyDescent="0.25">
      <c r="A1129" t="s">
        <v>2480</v>
      </c>
      <c r="B1129" t="s">
        <v>2481</v>
      </c>
      <c r="C1129" s="4">
        <v>85000</v>
      </c>
      <c r="D1129" s="4">
        <v>100000</v>
      </c>
      <c r="E1129" s="5">
        <v>0.78</v>
      </c>
    </row>
    <row r="1130" spans="1:5" x14ac:dyDescent="0.25">
      <c r="A1130" t="s">
        <v>2482</v>
      </c>
      <c r="B1130" t="s">
        <v>2483</v>
      </c>
      <c r="C1130" s="4">
        <v>85000</v>
      </c>
      <c r="D1130" s="4">
        <v>100000</v>
      </c>
      <c r="E1130" s="5">
        <v>0.78</v>
      </c>
    </row>
    <row r="1131" spans="1:5" x14ac:dyDescent="0.25">
      <c r="A1131" t="s">
        <v>2484</v>
      </c>
      <c r="B1131" t="s">
        <v>2485</v>
      </c>
      <c r="C1131" s="4">
        <v>85000</v>
      </c>
      <c r="D1131" s="4">
        <v>100000</v>
      </c>
      <c r="E1131" s="5">
        <v>0.78</v>
      </c>
    </row>
    <row r="1132" spans="1:5" x14ac:dyDescent="0.25">
      <c r="A1132" t="s">
        <v>2486</v>
      </c>
      <c r="B1132" t="s">
        <v>2487</v>
      </c>
      <c r="C1132" s="4">
        <v>85000</v>
      </c>
      <c r="D1132" s="4">
        <v>100000</v>
      </c>
      <c r="E1132" s="5">
        <v>0.78</v>
      </c>
    </row>
    <row r="1133" spans="1:5" x14ac:dyDescent="0.25">
      <c r="A1133" t="s">
        <v>2488</v>
      </c>
      <c r="B1133" t="s">
        <v>2489</v>
      </c>
      <c r="C1133" s="4">
        <v>85000</v>
      </c>
      <c r="D1133" s="4">
        <v>100000</v>
      </c>
      <c r="E1133" s="5">
        <v>0.78</v>
      </c>
    </row>
    <row r="1134" spans="1:5" x14ac:dyDescent="0.25">
      <c r="A1134" t="s">
        <v>2490</v>
      </c>
      <c r="B1134" t="s">
        <v>2491</v>
      </c>
      <c r="C1134" s="4">
        <v>85000</v>
      </c>
      <c r="D1134" s="4">
        <v>100000</v>
      </c>
      <c r="E1134" s="5">
        <v>0.78</v>
      </c>
    </row>
    <row r="1135" spans="1:5" x14ac:dyDescent="0.25">
      <c r="A1135" t="s">
        <v>2492</v>
      </c>
      <c r="B1135" t="s">
        <v>2493</v>
      </c>
      <c r="C1135" s="4">
        <v>85000</v>
      </c>
      <c r="D1135" s="4">
        <v>100000</v>
      </c>
      <c r="E1135" s="5">
        <v>0.78</v>
      </c>
    </row>
    <row r="1136" spans="1:5" x14ac:dyDescent="0.25">
      <c r="A1136" t="s">
        <v>2494</v>
      </c>
      <c r="B1136" t="s">
        <v>2495</v>
      </c>
      <c r="C1136" s="4">
        <v>85000</v>
      </c>
      <c r="D1136" s="4">
        <v>100000</v>
      </c>
      <c r="E1136" s="5">
        <v>0.78</v>
      </c>
    </row>
    <row r="1137" spans="1:5" x14ac:dyDescent="0.25">
      <c r="A1137" t="s">
        <v>2496</v>
      </c>
      <c r="B1137" t="s">
        <v>2497</v>
      </c>
      <c r="C1137" s="4">
        <v>85000</v>
      </c>
      <c r="D1137" s="4">
        <v>100000</v>
      </c>
      <c r="E1137" s="5">
        <v>0.78</v>
      </c>
    </row>
    <row r="1138" spans="1:5" x14ac:dyDescent="0.25">
      <c r="A1138" t="s">
        <v>2498</v>
      </c>
      <c r="B1138" t="s">
        <v>2499</v>
      </c>
      <c r="C1138" s="4">
        <v>85000</v>
      </c>
      <c r="D1138" s="4">
        <v>100000</v>
      </c>
      <c r="E1138" s="5">
        <v>0.78</v>
      </c>
    </row>
    <row r="1139" spans="1:5" x14ac:dyDescent="0.25">
      <c r="A1139" t="s">
        <v>2500</v>
      </c>
      <c r="B1139" t="s">
        <v>2501</v>
      </c>
      <c r="C1139" s="4">
        <v>85000</v>
      </c>
      <c r="D1139" s="4">
        <v>100000</v>
      </c>
      <c r="E1139" s="5">
        <v>0.78</v>
      </c>
    </row>
    <row r="1140" spans="1:5" x14ac:dyDescent="0.25">
      <c r="A1140" t="s">
        <v>2502</v>
      </c>
      <c r="B1140" t="s">
        <v>2503</v>
      </c>
      <c r="C1140" s="4">
        <v>85000</v>
      </c>
      <c r="D1140" s="4">
        <v>100000</v>
      </c>
      <c r="E1140" s="5">
        <v>0.78</v>
      </c>
    </row>
    <row r="1141" spans="1:5" x14ac:dyDescent="0.25">
      <c r="A1141" t="s">
        <v>2504</v>
      </c>
      <c r="B1141" t="s">
        <v>2505</v>
      </c>
      <c r="C1141" s="4">
        <v>85000</v>
      </c>
      <c r="D1141" s="4">
        <v>100000</v>
      </c>
      <c r="E1141" s="5">
        <v>0.78</v>
      </c>
    </row>
    <row r="1142" spans="1:5" x14ac:dyDescent="0.25">
      <c r="A1142" t="s">
        <v>2506</v>
      </c>
      <c r="B1142" t="s">
        <v>2507</v>
      </c>
      <c r="C1142" s="4">
        <v>85000</v>
      </c>
      <c r="D1142" s="4">
        <v>100000</v>
      </c>
      <c r="E1142" s="5">
        <v>0.78</v>
      </c>
    </row>
    <row r="1143" spans="1:5" x14ac:dyDescent="0.25">
      <c r="A1143" t="s">
        <v>2508</v>
      </c>
      <c r="B1143" t="s">
        <v>2509</v>
      </c>
      <c r="C1143" s="4">
        <v>85000</v>
      </c>
      <c r="D1143" s="4">
        <v>100000</v>
      </c>
      <c r="E1143" s="5">
        <v>0.78</v>
      </c>
    </row>
    <row r="1144" spans="1:5" x14ac:dyDescent="0.25">
      <c r="A1144" t="s">
        <v>2510</v>
      </c>
      <c r="B1144" t="s">
        <v>2511</v>
      </c>
      <c r="C1144" s="4">
        <v>85000</v>
      </c>
      <c r="D1144" s="4">
        <v>100000</v>
      </c>
      <c r="E1144" s="5">
        <v>0.78</v>
      </c>
    </row>
    <row r="1145" spans="1:5" x14ac:dyDescent="0.25">
      <c r="A1145" t="s">
        <v>2512</v>
      </c>
      <c r="B1145" t="s">
        <v>2513</v>
      </c>
      <c r="C1145" s="4">
        <v>85000</v>
      </c>
      <c r="D1145" s="4">
        <v>100000</v>
      </c>
      <c r="E1145" s="5">
        <v>0.78</v>
      </c>
    </row>
    <row r="1146" spans="1:5" x14ac:dyDescent="0.25">
      <c r="A1146" t="s">
        <v>2514</v>
      </c>
      <c r="B1146" t="s">
        <v>2515</v>
      </c>
      <c r="C1146" s="4">
        <v>85000</v>
      </c>
      <c r="D1146" s="4">
        <v>100000</v>
      </c>
      <c r="E1146" s="5">
        <v>0.78</v>
      </c>
    </row>
    <row r="1147" spans="1:5" x14ac:dyDescent="0.25">
      <c r="A1147" t="s">
        <v>2516</v>
      </c>
      <c r="B1147" t="s">
        <v>2517</v>
      </c>
      <c r="C1147" s="4">
        <v>85000</v>
      </c>
      <c r="D1147" s="4">
        <v>100000</v>
      </c>
      <c r="E1147" s="5">
        <v>0.78</v>
      </c>
    </row>
    <row r="1148" spans="1:5" x14ac:dyDescent="0.25">
      <c r="A1148" t="s">
        <v>2518</v>
      </c>
      <c r="B1148" t="s">
        <v>2519</v>
      </c>
      <c r="C1148" s="4">
        <v>85000</v>
      </c>
      <c r="D1148" s="4">
        <v>100000</v>
      </c>
      <c r="E1148" s="5">
        <v>0.78</v>
      </c>
    </row>
    <row r="1149" spans="1:5" x14ac:dyDescent="0.25">
      <c r="A1149" t="s">
        <v>2520</v>
      </c>
      <c r="B1149" t="s">
        <v>2521</v>
      </c>
      <c r="C1149" s="4">
        <v>85000</v>
      </c>
      <c r="D1149" s="4">
        <v>100000</v>
      </c>
      <c r="E1149" s="5">
        <v>0.67</v>
      </c>
    </row>
    <row r="1150" spans="1:5" x14ac:dyDescent="0.25">
      <c r="A1150" t="s">
        <v>2522</v>
      </c>
      <c r="B1150" t="s">
        <v>2523</v>
      </c>
      <c r="C1150" s="4">
        <v>85000</v>
      </c>
      <c r="D1150" s="4">
        <v>100000</v>
      </c>
      <c r="E1150" s="5">
        <v>0.67</v>
      </c>
    </row>
    <row r="1151" spans="1:5" x14ac:dyDescent="0.25">
      <c r="A1151" t="s">
        <v>2524</v>
      </c>
      <c r="B1151" t="s">
        <v>2525</v>
      </c>
      <c r="C1151" s="4">
        <v>85000</v>
      </c>
      <c r="D1151" s="4">
        <v>100000</v>
      </c>
      <c r="E1151" s="5">
        <v>0.67</v>
      </c>
    </row>
    <row r="1152" spans="1:5" x14ac:dyDescent="0.25">
      <c r="A1152" t="s">
        <v>2526</v>
      </c>
      <c r="B1152" t="s">
        <v>2527</v>
      </c>
      <c r="C1152" s="4">
        <v>85000</v>
      </c>
      <c r="D1152" s="4">
        <v>100000</v>
      </c>
      <c r="E1152" s="5">
        <v>0.67</v>
      </c>
    </row>
    <row r="1153" spans="1:5" x14ac:dyDescent="0.25">
      <c r="A1153" t="s">
        <v>2528</v>
      </c>
      <c r="B1153" t="s">
        <v>2529</v>
      </c>
      <c r="C1153" s="4">
        <v>85000</v>
      </c>
      <c r="D1153" s="4">
        <v>100000</v>
      </c>
      <c r="E1153" s="5">
        <v>0.67</v>
      </c>
    </row>
    <row r="1154" spans="1:5" x14ac:dyDescent="0.25">
      <c r="A1154" t="s">
        <v>2530</v>
      </c>
      <c r="B1154" t="s">
        <v>2531</v>
      </c>
      <c r="C1154" s="4">
        <v>85000</v>
      </c>
      <c r="D1154" s="4">
        <v>100000</v>
      </c>
      <c r="E1154" s="5">
        <v>0.67</v>
      </c>
    </row>
    <row r="1155" spans="1:5" x14ac:dyDescent="0.25">
      <c r="A1155" t="s">
        <v>2532</v>
      </c>
      <c r="B1155" t="s">
        <v>2533</v>
      </c>
      <c r="C1155" s="4">
        <v>85000</v>
      </c>
      <c r="D1155" s="4">
        <v>100000</v>
      </c>
      <c r="E1155" s="5">
        <v>0.67</v>
      </c>
    </row>
    <row r="1156" spans="1:5" x14ac:dyDescent="0.25">
      <c r="A1156" t="s">
        <v>2534</v>
      </c>
      <c r="B1156" t="s">
        <v>2535</v>
      </c>
      <c r="C1156" s="4">
        <v>85000</v>
      </c>
      <c r="D1156" s="4">
        <v>100000</v>
      </c>
      <c r="E1156" s="5">
        <v>0.67</v>
      </c>
    </row>
    <row r="1157" spans="1:5" x14ac:dyDescent="0.25">
      <c r="A1157" t="s">
        <v>2536</v>
      </c>
      <c r="B1157" t="s">
        <v>2537</v>
      </c>
      <c r="C1157" s="4">
        <v>85000</v>
      </c>
      <c r="D1157" s="4">
        <v>100000</v>
      </c>
      <c r="E1157" s="5">
        <v>0.67</v>
      </c>
    </row>
    <row r="1158" spans="1:5" x14ac:dyDescent="0.25">
      <c r="A1158" t="s">
        <v>2538</v>
      </c>
      <c r="B1158" t="s">
        <v>2539</v>
      </c>
      <c r="C1158" s="4">
        <v>85000</v>
      </c>
      <c r="D1158" s="4">
        <v>100000</v>
      </c>
      <c r="E1158" s="5">
        <v>0.67</v>
      </c>
    </row>
    <row r="1159" spans="1:5" x14ac:dyDescent="0.25">
      <c r="A1159" t="s">
        <v>2540</v>
      </c>
      <c r="B1159" t="s">
        <v>2541</v>
      </c>
      <c r="C1159" s="4">
        <v>85000</v>
      </c>
      <c r="D1159" s="4">
        <v>100000</v>
      </c>
      <c r="E1159" s="5">
        <v>0.67</v>
      </c>
    </row>
    <row r="1160" spans="1:5" x14ac:dyDescent="0.25">
      <c r="A1160" t="s">
        <v>2542</v>
      </c>
      <c r="B1160" t="s">
        <v>2543</v>
      </c>
      <c r="C1160" s="4">
        <v>85000</v>
      </c>
      <c r="D1160" s="4">
        <v>100000</v>
      </c>
      <c r="E1160" s="5">
        <v>0.67</v>
      </c>
    </row>
    <row r="1161" spans="1:5" x14ac:dyDescent="0.25">
      <c r="A1161" t="s">
        <v>2544</v>
      </c>
      <c r="B1161" t="s">
        <v>2545</v>
      </c>
      <c r="C1161" s="4">
        <v>85000</v>
      </c>
      <c r="D1161" s="4">
        <v>100000</v>
      </c>
      <c r="E1161" s="5">
        <v>0.67</v>
      </c>
    </row>
    <row r="1162" spans="1:5" x14ac:dyDescent="0.25">
      <c r="A1162" t="s">
        <v>2546</v>
      </c>
      <c r="B1162" t="s">
        <v>2547</v>
      </c>
      <c r="C1162" s="4">
        <v>85000</v>
      </c>
      <c r="D1162" s="4">
        <v>100000</v>
      </c>
      <c r="E1162" s="5">
        <v>0.67</v>
      </c>
    </row>
    <row r="1163" spans="1:5" x14ac:dyDescent="0.25">
      <c r="A1163" t="s">
        <v>2548</v>
      </c>
      <c r="B1163" t="s">
        <v>2549</v>
      </c>
      <c r="C1163" s="4">
        <v>85000</v>
      </c>
      <c r="D1163" s="4">
        <v>100000</v>
      </c>
      <c r="E1163" s="5">
        <v>0.67</v>
      </c>
    </row>
    <row r="1164" spans="1:5" x14ac:dyDescent="0.25">
      <c r="A1164" t="s">
        <v>2550</v>
      </c>
      <c r="B1164" t="s">
        <v>2551</v>
      </c>
      <c r="C1164" s="4">
        <v>85000</v>
      </c>
      <c r="D1164" s="4">
        <v>100000</v>
      </c>
      <c r="E1164" s="5">
        <v>0.67</v>
      </c>
    </row>
    <row r="1165" spans="1:5" x14ac:dyDescent="0.25">
      <c r="A1165" t="s">
        <v>2552</v>
      </c>
      <c r="B1165" t="s">
        <v>2553</v>
      </c>
      <c r="C1165" s="4">
        <v>85000</v>
      </c>
      <c r="D1165" s="4">
        <v>100000</v>
      </c>
      <c r="E1165" s="5">
        <v>0.67</v>
      </c>
    </row>
    <row r="1166" spans="1:5" x14ac:dyDescent="0.25">
      <c r="A1166" t="s">
        <v>2554</v>
      </c>
      <c r="B1166" t="s">
        <v>2555</v>
      </c>
      <c r="C1166" s="4">
        <v>85000</v>
      </c>
      <c r="D1166" s="4">
        <v>100000</v>
      </c>
      <c r="E1166" s="5">
        <v>0.67</v>
      </c>
    </row>
    <row r="1167" spans="1:5" x14ac:dyDescent="0.25">
      <c r="A1167" t="s">
        <v>2556</v>
      </c>
      <c r="B1167" t="s">
        <v>2557</v>
      </c>
      <c r="C1167" s="4">
        <v>85000</v>
      </c>
      <c r="D1167" s="4">
        <v>100000</v>
      </c>
      <c r="E1167" s="5">
        <v>0.67</v>
      </c>
    </row>
    <row r="1168" spans="1:5" x14ac:dyDescent="0.25">
      <c r="A1168" t="s">
        <v>2558</v>
      </c>
      <c r="B1168" t="s">
        <v>2559</v>
      </c>
      <c r="C1168" s="4">
        <v>85000</v>
      </c>
      <c r="D1168" s="4">
        <v>100000</v>
      </c>
      <c r="E1168" s="5">
        <v>0.67</v>
      </c>
    </row>
    <row r="1169" spans="1:5" x14ac:dyDescent="0.25">
      <c r="A1169" t="s">
        <v>2560</v>
      </c>
      <c r="B1169" t="s">
        <v>2561</v>
      </c>
      <c r="C1169" s="4">
        <v>85000</v>
      </c>
      <c r="D1169" s="4">
        <v>100000</v>
      </c>
      <c r="E1169" s="5">
        <v>0.67</v>
      </c>
    </row>
    <row r="1170" spans="1:5" x14ac:dyDescent="0.25">
      <c r="A1170" t="s">
        <v>2562</v>
      </c>
      <c r="B1170" t="s">
        <v>2563</v>
      </c>
      <c r="C1170" s="4">
        <v>85000</v>
      </c>
      <c r="D1170" s="4">
        <v>100000</v>
      </c>
      <c r="E1170" s="5">
        <v>0.67</v>
      </c>
    </row>
    <row r="1171" spans="1:5" x14ac:dyDescent="0.25">
      <c r="A1171" t="s">
        <v>2564</v>
      </c>
      <c r="B1171" t="s">
        <v>2565</v>
      </c>
      <c r="C1171" s="4">
        <v>85000</v>
      </c>
      <c r="D1171" s="4">
        <v>100000</v>
      </c>
      <c r="E1171" s="5">
        <v>0.67</v>
      </c>
    </row>
    <row r="1172" spans="1:5" x14ac:dyDescent="0.25">
      <c r="A1172" t="s">
        <v>2566</v>
      </c>
      <c r="B1172" t="s">
        <v>2567</v>
      </c>
      <c r="C1172" s="4">
        <v>85000</v>
      </c>
      <c r="D1172" s="4">
        <v>100000</v>
      </c>
      <c r="E1172" s="5">
        <v>0.67</v>
      </c>
    </row>
    <row r="1173" spans="1:5" x14ac:dyDescent="0.25">
      <c r="A1173" t="s">
        <v>2568</v>
      </c>
      <c r="B1173" t="s">
        <v>2569</v>
      </c>
      <c r="C1173" s="4">
        <v>85000</v>
      </c>
      <c r="D1173" s="4">
        <v>100000</v>
      </c>
      <c r="E1173" s="5">
        <v>0.67</v>
      </c>
    </row>
    <row r="1174" spans="1:5" x14ac:dyDescent="0.25">
      <c r="A1174" t="s">
        <v>2570</v>
      </c>
      <c r="B1174" t="s">
        <v>2571</v>
      </c>
      <c r="C1174" s="4">
        <v>85000</v>
      </c>
      <c r="D1174" s="4">
        <v>100000</v>
      </c>
      <c r="E1174" s="5">
        <v>0.67</v>
      </c>
    </row>
    <row r="1175" spans="1:5" x14ac:dyDescent="0.25">
      <c r="A1175" t="s">
        <v>2572</v>
      </c>
      <c r="B1175" t="s">
        <v>2573</v>
      </c>
      <c r="C1175" s="4">
        <v>85000</v>
      </c>
      <c r="D1175" s="4">
        <v>100000</v>
      </c>
      <c r="E1175" s="5">
        <v>0.67</v>
      </c>
    </row>
    <row r="1176" spans="1:5" x14ac:dyDescent="0.25">
      <c r="A1176" t="s">
        <v>2574</v>
      </c>
      <c r="B1176" t="s">
        <v>2575</v>
      </c>
      <c r="C1176" s="4">
        <v>85000</v>
      </c>
      <c r="D1176" s="4">
        <v>100000</v>
      </c>
      <c r="E1176" s="5">
        <v>0.67</v>
      </c>
    </row>
    <row r="1177" spans="1:5" x14ac:dyDescent="0.25">
      <c r="A1177" t="s">
        <v>2576</v>
      </c>
      <c r="B1177" t="s">
        <v>2577</v>
      </c>
      <c r="C1177" s="4">
        <v>85000</v>
      </c>
      <c r="D1177" s="4">
        <v>100000</v>
      </c>
      <c r="E1177" s="5">
        <v>0.67</v>
      </c>
    </row>
    <row r="1178" spans="1:5" x14ac:dyDescent="0.25">
      <c r="A1178" t="s">
        <v>2578</v>
      </c>
      <c r="B1178" t="s">
        <v>2579</v>
      </c>
      <c r="C1178" s="4">
        <v>85000</v>
      </c>
      <c r="D1178" s="4">
        <v>100000</v>
      </c>
      <c r="E1178" s="5">
        <v>0.67</v>
      </c>
    </row>
    <row r="1179" spans="1:5" x14ac:dyDescent="0.25">
      <c r="A1179" t="s">
        <v>2580</v>
      </c>
      <c r="B1179" t="s">
        <v>2581</v>
      </c>
      <c r="C1179" s="4">
        <v>85000</v>
      </c>
      <c r="D1179" s="4">
        <v>100000</v>
      </c>
      <c r="E1179" s="5">
        <v>0.67</v>
      </c>
    </row>
    <row r="1180" spans="1:5" x14ac:dyDescent="0.25">
      <c r="A1180" t="s">
        <v>2695</v>
      </c>
      <c r="B1180" t="s">
        <v>2696</v>
      </c>
      <c r="C1180" s="4">
        <v>85000</v>
      </c>
      <c r="D1180" s="4">
        <v>100000</v>
      </c>
      <c r="E1180" s="5">
        <v>0.67</v>
      </c>
    </row>
    <row r="1181" spans="1:5" x14ac:dyDescent="0.25">
      <c r="A1181" t="s">
        <v>2697</v>
      </c>
      <c r="B1181" t="s">
        <v>2698</v>
      </c>
      <c r="C1181" s="4">
        <v>85000</v>
      </c>
      <c r="D1181" s="4">
        <v>100000</v>
      </c>
      <c r="E1181" s="5">
        <v>0.67</v>
      </c>
    </row>
    <row r="1182" spans="1:5" x14ac:dyDescent="0.25">
      <c r="A1182" t="s">
        <v>2699</v>
      </c>
      <c r="B1182" t="s">
        <v>2700</v>
      </c>
      <c r="C1182" s="4">
        <v>85000</v>
      </c>
      <c r="D1182" s="4">
        <v>100000</v>
      </c>
      <c r="E1182" s="5">
        <v>0.67</v>
      </c>
    </row>
    <row r="1183" spans="1:5" x14ac:dyDescent="0.25">
      <c r="A1183" t="s">
        <v>2701</v>
      </c>
      <c r="B1183" t="s">
        <v>2702</v>
      </c>
      <c r="C1183" s="4">
        <v>85000</v>
      </c>
      <c r="D1183" s="4">
        <v>100000</v>
      </c>
      <c r="E1183" s="5">
        <v>0.67</v>
      </c>
    </row>
    <row r="1184" spans="1:5" x14ac:dyDescent="0.25">
      <c r="A1184" t="s">
        <v>2582</v>
      </c>
      <c r="B1184" t="s">
        <v>2583</v>
      </c>
      <c r="C1184" s="4">
        <v>85000</v>
      </c>
      <c r="D1184" s="4">
        <v>100000</v>
      </c>
      <c r="E1184" s="5">
        <v>0.67</v>
      </c>
    </row>
    <row r="1185" spans="1:5" x14ac:dyDescent="0.25">
      <c r="A1185" t="s">
        <v>2584</v>
      </c>
      <c r="B1185" t="s">
        <v>2585</v>
      </c>
      <c r="C1185" s="4">
        <v>85000</v>
      </c>
      <c r="D1185" s="4">
        <v>100000</v>
      </c>
      <c r="E1185" s="5">
        <v>0.67</v>
      </c>
    </row>
    <row r="1186" spans="1:5" x14ac:dyDescent="0.25">
      <c r="A1186" t="s">
        <v>2586</v>
      </c>
      <c r="B1186" t="s">
        <v>2587</v>
      </c>
      <c r="C1186" s="4">
        <v>85000</v>
      </c>
      <c r="D1186" s="4">
        <v>100000</v>
      </c>
      <c r="E1186" s="5">
        <v>0.67</v>
      </c>
    </row>
    <row r="1187" spans="1:5" x14ac:dyDescent="0.25">
      <c r="A1187" t="s">
        <v>2588</v>
      </c>
      <c r="B1187" t="s">
        <v>2589</v>
      </c>
      <c r="C1187" s="4">
        <v>85000</v>
      </c>
      <c r="D1187" s="4">
        <v>100000</v>
      </c>
      <c r="E1187" s="5">
        <v>0.67</v>
      </c>
    </row>
    <row r="1188" spans="1:5" x14ac:dyDescent="0.25">
      <c r="A1188" t="s">
        <v>2590</v>
      </c>
      <c r="B1188" t="s">
        <v>2591</v>
      </c>
      <c r="C1188" s="4">
        <v>85000</v>
      </c>
      <c r="D1188" s="4">
        <v>100000</v>
      </c>
      <c r="E1188" s="5">
        <v>0.67</v>
      </c>
    </row>
    <row r="1189" spans="1:5" x14ac:dyDescent="0.25">
      <c r="A1189" t="s">
        <v>2592</v>
      </c>
      <c r="B1189" t="s">
        <v>2593</v>
      </c>
      <c r="C1189" s="4">
        <v>85000</v>
      </c>
      <c r="D1189" s="4">
        <v>100000</v>
      </c>
      <c r="E1189" s="5">
        <v>0.67</v>
      </c>
    </row>
    <row r="1190" spans="1:5" x14ac:dyDescent="0.25">
      <c r="A1190" t="s">
        <v>2594</v>
      </c>
      <c r="B1190" t="s">
        <v>2595</v>
      </c>
      <c r="C1190" s="4">
        <v>85000</v>
      </c>
      <c r="D1190" s="4">
        <v>100000</v>
      </c>
      <c r="E1190" s="5">
        <v>0.67</v>
      </c>
    </row>
    <row r="1191" spans="1:5" x14ac:dyDescent="0.25">
      <c r="A1191" t="s">
        <v>2596</v>
      </c>
      <c r="B1191" t="s">
        <v>2597</v>
      </c>
      <c r="C1191" s="4">
        <v>85000</v>
      </c>
      <c r="D1191" s="4">
        <v>100000</v>
      </c>
      <c r="E1191" s="5">
        <v>0.67</v>
      </c>
    </row>
    <row r="1192" spans="1:5" x14ac:dyDescent="0.25">
      <c r="A1192" t="s">
        <v>2598</v>
      </c>
      <c r="B1192" t="s">
        <v>2599</v>
      </c>
      <c r="C1192" s="4">
        <v>85000</v>
      </c>
      <c r="D1192" s="4">
        <v>100000</v>
      </c>
      <c r="E1192" s="5">
        <v>0.67</v>
      </c>
    </row>
    <row r="1193" spans="1:5" x14ac:dyDescent="0.25">
      <c r="A1193" t="s">
        <v>2600</v>
      </c>
      <c r="B1193" t="s">
        <v>2601</v>
      </c>
      <c r="C1193" s="4">
        <v>85000</v>
      </c>
      <c r="D1193" s="4">
        <v>100000</v>
      </c>
      <c r="E1193" s="5">
        <v>0.67</v>
      </c>
    </row>
    <row r="1194" spans="1:5" x14ac:dyDescent="0.25">
      <c r="A1194" t="s">
        <v>2602</v>
      </c>
      <c r="B1194" t="s">
        <v>2603</v>
      </c>
      <c r="C1194" s="4">
        <v>85000</v>
      </c>
      <c r="D1194" s="4">
        <v>100000</v>
      </c>
      <c r="E1194" s="5">
        <v>0.67</v>
      </c>
    </row>
    <row r="1195" spans="1:5" x14ac:dyDescent="0.25">
      <c r="A1195" t="s">
        <v>2604</v>
      </c>
      <c r="B1195" t="s">
        <v>2605</v>
      </c>
      <c r="C1195" s="4">
        <v>85000</v>
      </c>
      <c r="D1195" s="4">
        <v>100000</v>
      </c>
      <c r="E1195" s="5">
        <v>0.67</v>
      </c>
    </row>
    <row r="1196" spans="1:5" x14ac:dyDescent="0.25">
      <c r="A1196" t="s">
        <v>2606</v>
      </c>
      <c r="B1196" t="s">
        <v>2607</v>
      </c>
      <c r="C1196" s="4">
        <v>85000</v>
      </c>
      <c r="D1196" s="4">
        <v>100000</v>
      </c>
      <c r="E1196" s="5">
        <v>0.67</v>
      </c>
    </row>
    <row r="1197" spans="1:5" x14ac:dyDescent="0.25">
      <c r="A1197" t="s">
        <v>2608</v>
      </c>
      <c r="B1197" t="s">
        <v>2609</v>
      </c>
      <c r="C1197" s="4">
        <v>85000</v>
      </c>
      <c r="D1197" s="4">
        <v>100000</v>
      </c>
      <c r="E1197" s="5">
        <v>0.67</v>
      </c>
    </row>
    <row r="1198" spans="1:5" x14ac:dyDescent="0.25">
      <c r="A1198" t="s">
        <v>2610</v>
      </c>
      <c r="B1198" t="s">
        <v>2611</v>
      </c>
      <c r="C1198" s="4">
        <v>85000</v>
      </c>
      <c r="D1198" s="4">
        <v>100000</v>
      </c>
      <c r="E1198" s="5">
        <v>0.67</v>
      </c>
    </row>
    <row r="1199" spans="1:5" x14ac:dyDescent="0.25">
      <c r="A1199" t="s">
        <v>2612</v>
      </c>
      <c r="B1199" t="s">
        <v>2613</v>
      </c>
      <c r="C1199" s="4">
        <v>85000</v>
      </c>
      <c r="D1199" s="4">
        <v>100000</v>
      </c>
      <c r="E1199" s="5">
        <v>0.67</v>
      </c>
    </row>
    <row r="1200" spans="1:5" x14ac:dyDescent="0.25">
      <c r="A1200" t="s">
        <v>2614</v>
      </c>
      <c r="B1200" t="s">
        <v>2615</v>
      </c>
      <c r="C1200" s="4">
        <v>85000</v>
      </c>
      <c r="D1200" s="4">
        <v>100000</v>
      </c>
      <c r="E1200" s="5">
        <v>0.67</v>
      </c>
    </row>
    <row r="1201" spans="1:5" x14ac:dyDescent="0.25">
      <c r="A1201" t="s">
        <v>2616</v>
      </c>
      <c r="B1201" t="s">
        <v>2617</v>
      </c>
      <c r="C1201" s="4">
        <v>85000</v>
      </c>
      <c r="D1201" s="4">
        <v>100000</v>
      </c>
      <c r="E1201" s="5">
        <v>0.67</v>
      </c>
    </row>
    <row r="1202" spans="1:5" x14ac:dyDescent="0.25">
      <c r="A1202" t="s">
        <v>2618</v>
      </c>
      <c r="B1202" t="s">
        <v>2619</v>
      </c>
      <c r="C1202" s="4">
        <v>85000</v>
      </c>
      <c r="D1202" s="4">
        <v>100000</v>
      </c>
      <c r="E1202" s="5">
        <v>0.67</v>
      </c>
    </row>
    <row r="1203" spans="1:5" x14ac:dyDescent="0.25">
      <c r="A1203" t="s">
        <v>2620</v>
      </c>
      <c r="B1203" t="s">
        <v>2621</v>
      </c>
      <c r="C1203" s="4">
        <v>85000</v>
      </c>
      <c r="D1203" s="4">
        <v>100000</v>
      </c>
      <c r="E1203" s="5">
        <v>0.67</v>
      </c>
    </row>
    <row r="1204" spans="1:5" x14ac:dyDescent="0.25">
      <c r="A1204" t="s">
        <v>2622</v>
      </c>
      <c r="B1204" t="s">
        <v>2623</v>
      </c>
      <c r="C1204" s="4">
        <v>85000</v>
      </c>
      <c r="D1204" s="4">
        <v>100000</v>
      </c>
      <c r="E1204" s="5">
        <v>0.67</v>
      </c>
    </row>
    <row r="1205" spans="1:5" x14ac:dyDescent="0.25">
      <c r="A1205" t="s">
        <v>2624</v>
      </c>
      <c r="B1205" t="s">
        <v>2625</v>
      </c>
      <c r="C1205" s="4">
        <v>85000</v>
      </c>
      <c r="D1205" s="4">
        <v>100000</v>
      </c>
      <c r="E1205" s="5">
        <v>0.67</v>
      </c>
    </row>
    <row r="1206" spans="1:5" x14ac:dyDescent="0.25">
      <c r="A1206" t="s">
        <v>2626</v>
      </c>
      <c r="B1206" t="s">
        <v>2627</v>
      </c>
      <c r="C1206" s="4">
        <v>85000</v>
      </c>
      <c r="D1206" s="4">
        <v>100000</v>
      </c>
      <c r="E1206" s="5">
        <v>0.67</v>
      </c>
    </row>
    <row r="1207" spans="1:5" x14ac:dyDescent="0.25">
      <c r="A1207" t="s">
        <v>2628</v>
      </c>
      <c r="B1207" t="s">
        <v>2629</v>
      </c>
      <c r="C1207" s="4">
        <v>85000</v>
      </c>
      <c r="D1207" s="4">
        <v>100000</v>
      </c>
      <c r="E1207" s="5">
        <v>0.67</v>
      </c>
    </row>
    <row r="1208" spans="1:5" x14ac:dyDescent="0.25">
      <c r="A1208" t="s">
        <v>2630</v>
      </c>
      <c r="B1208" t="s">
        <v>2631</v>
      </c>
      <c r="C1208" s="4">
        <v>85000</v>
      </c>
      <c r="D1208" s="4">
        <v>100000</v>
      </c>
      <c r="E1208" s="5">
        <v>0.67</v>
      </c>
    </row>
    <row r="1209" spans="1:5" x14ac:dyDescent="0.25">
      <c r="A1209" t="s">
        <v>2632</v>
      </c>
      <c r="B1209" t="s">
        <v>2633</v>
      </c>
      <c r="C1209" s="4">
        <v>85000</v>
      </c>
      <c r="D1209" s="4">
        <v>100000</v>
      </c>
      <c r="E1209" s="5">
        <v>0.67</v>
      </c>
    </row>
    <row r="1210" spans="1:5" x14ac:dyDescent="0.25">
      <c r="A1210" t="s">
        <v>2634</v>
      </c>
      <c r="B1210" t="s">
        <v>2635</v>
      </c>
      <c r="C1210" s="4">
        <v>85000</v>
      </c>
      <c r="D1210" s="4">
        <v>100000</v>
      </c>
      <c r="E1210" s="5">
        <v>0.67</v>
      </c>
    </row>
    <row r="1211" spans="1:5" x14ac:dyDescent="0.25">
      <c r="A1211" t="s">
        <v>2636</v>
      </c>
      <c r="B1211" t="s">
        <v>2637</v>
      </c>
      <c r="C1211" s="4">
        <v>85000</v>
      </c>
      <c r="D1211" s="4">
        <v>100000</v>
      </c>
      <c r="E1211" s="5">
        <v>0.67</v>
      </c>
    </row>
    <row r="1212" spans="1:5" x14ac:dyDescent="0.25">
      <c r="A1212" t="s">
        <v>2638</v>
      </c>
      <c r="B1212" t="s">
        <v>2639</v>
      </c>
      <c r="C1212" s="4">
        <v>85000</v>
      </c>
      <c r="D1212" s="4">
        <v>100000</v>
      </c>
      <c r="E1212" s="5">
        <v>0.67</v>
      </c>
    </row>
    <row r="1213" spans="1:5" x14ac:dyDescent="0.25">
      <c r="A1213" t="s">
        <v>2640</v>
      </c>
      <c r="B1213" t="s">
        <v>2641</v>
      </c>
      <c r="C1213" s="4">
        <v>85000</v>
      </c>
      <c r="D1213" s="4">
        <v>100000</v>
      </c>
      <c r="E1213" s="5">
        <v>0.67</v>
      </c>
    </row>
    <row r="1214" spans="1:5" x14ac:dyDescent="0.25">
      <c r="A1214" t="s">
        <v>2642</v>
      </c>
      <c r="B1214" t="s">
        <v>2643</v>
      </c>
      <c r="C1214" s="4">
        <v>85000</v>
      </c>
      <c r="D1214" s="4">
        <v>100000</v>
      </c>
      <c r="E1214" s="36">
        <v>0.67</v>
      </c>
    </row>
    <row r="1215" spans="1:5" x14ac:dyDescent="0.25">
      <c r="A1215" t="s">
        <v>2644</v>
      </c>
      <c r="B1215" t="s">
        <v>2645</v>
      </c>
      <c r="C1215" s="4">
        <v>85000</v>
      </c>
      <c r="D1215" s="4">
        <v>100000</v>
      </c>
      <c r="E1215" s="36">
        <v>0.67</v>
      </c>
    </row>
    <row r="1216" spans="1:5" x14ac:dyDescent="0.25">
      <c r="A1216" t="s">
        <v>2646</v>
      </c>
      <c r="B1216" t="s">
        <v>2647</v>
      </c>
      <c r="C1216" s="4">
        <v>85000</v>
      </c>
      <c r="D1216" s="4">
        <v>100000</v>
      </c>
      <c r="E1216" s="36">
        <v>0.67</v>
      </c>
    </row>
    <row r="1217" spans="1:5" x14ac:dyDescent="0.25">
      <c r="A1217" t="s">
        <v>2648</v>
      </c>
      <c r="B1217" t="s">
        <v>2649</v>
      </c>
      <c r="C1217" s="4">
        <v>85000</v>
      </c>
      <c r="D1217" s="4">
        <v>100000</v>
      </c>
      <c r="E1217" s="36">
        <v>0.67</v>
      </c>
    </row>
    <row r="1218" spans="1:5" x14ac:dyDescent="0.25">
      <c r="A1218" t="s">
        <v>2650</v>
      </c>
      <c r="B1218" t="s">
        <v>2651</v>
      </c>
      <c r="C1218" s="4">
        <v>85000</v>
      </c>
      <c r="D1218" s="4">
        <v>100000</v>
      </c>
      <c r="E1218" s="36">
        <v>0.67</v>
      </c>
    </row>
    <row r="1219" spans="1:5" x14ac:dyDescent="0.25">
      <c r="A1219" t="s">
        <v>2652</v>
      </c>
      <c r="B1219" t="s">
        <v>2653</v>
      </c>
      <c r="C1219" s="4">
        <v>85000</v>
      </c>
      <c r="D1219" s="4">
        <v>100000</v>
      </c>
      <c r="E1219" s="36">
        <v>0.67</v>
      </c>
    </row>
    <row r="1220" spans="1:5" x14ac:dyDescent="0.25">
      <c r="A1220" t="s">
        <v>2654</v>
      </c>
      <c r="B1220" t="s">
        <v>2655</v>
      </c>
      <c r="C1220" s="4">
        <v>85000</v>
      </c>
      <c r="D1220" s="4">
        <v>100000</v>
      </c>
      <c r="E1220" s="36">
        <v>0.67</v>
      </c>
    </row>
    <row r="1221" spans="1:5" x14ac:dyDescent="0.25">
      <c r="A1221" t="s">
        <v>2656</v>
      </c>
      <c r="B1221" t="s">
        <v>2657</v>
      </c>
      <c r="C1221" s="4">
        <v>85000</v>
      </c>
      <c r="D1221" s="4">
        <v>100000</v>
      </c>
      <c r="E1221" s="36">
        <v>0.67</v>
      </c>
    </row>
    <row r="1222" spans="1:5" x14ac:dyDescent="0.25">
      <c r="A1222" t="s">
        <v>2658</v>
      </c>
      <c r="B1222" t="s">
        <v>2659</v>
      </c>
      <c r="C1222" s="4">
        <v>85000</v>
      </c>
      <c r="D1222" s="4">
        <v>100000</v>
      </c>
      <c r="E1222" s="36">
        <v>0.67</v>
      </c>
    </row>
    <row r="1223" spans="1:5" x14ac:dyDescent="0.25">
      <c r="A1223" t="s">
        <v>2660</v>
      </c>
      <c r="B1223" t="s">
        <v>2661</v>
      </c>
      <c r="C1223" s="4">
        <v>85000</v>
      </c>
      <c r="D1223" s="4">
        <v>100000</v>
      </c>
      <c r="E1223" s="36">
        <v>0.67</v>
      </c>
    </row>
    <row r="1224" spans="1:5" x14ac:dyDescent="0.25">
      <c r="A1224" t="s">
        <v>2662</v>
      </c>
      <c r="B1224" t="s">
        <v>2663</v>
      </c>
      <c r="C1224" s="4">
        <v>85000</v>
      </c>
      <c r="D1224" s="4">
        <v>100000</v>
      </c>
      <c r="E1224" s="36">
        <v>0.67</v>
      </c>
    </row>
    <row r="1225" spans="1:5" x14ac:dyDescent="0.25">
      <c r="A1225" t="s">
        <v>2664</v>
      </c>
      <c r="B1225" t="s">
        <v>2665</v>
      </c>
      <c r="C1225" s="4">
        <v>85000</v>
      </c>
      <c r="D1225" s="4">
        <v>100000</v>
      </c>
      <c r="E1225" s="36">
        <v>0.67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561DC8-3265-4FD2-9E6A-98FC7CA5E6B5}">
  <sheetPr codeName="Foglio3"/>
  <dimension ref="A3:H205"/>
  <sheetViews>
    <sheetView zoomScale="130" zoomScaleNormal="130" workbookViewId="0">
      <selection activeCell="G172" sqref="G172:G195"/>
    </sheetView>
  </sheetViews>
  <sheetFormatPr defaultRowHeight="15" x14ac:dyDescent="0.25"/>
  <cols>
    <col min="1" max="1" width="21.7109375" bestFit="1" customWidth="1"/>
    <col min="2" max="2" width="18.5703125" bestFit="1" customWidth="1"/>
    <col min="3" max="3" width="10.85546875" bestFit="1" customWidth="1"/>
    <col min="4" max="4" width="13" bestFit="1" customWidth="1"/>
    <col min="5" max="5" width="10.28515625" bestFit="1" customWidth="1"/>
    <col min="6" max="6" width="8.85546875" bestFit="1" customWidth="1"/>
    <col min="7" max="7" width="81.140625" bestFit="1" customWidth="1"/>
  </cols>
  <sheetData>
    <row r="3" spans="1:8" x14ac:dyDescent="0.25">
      <c r="A3" t="s">
        <v>48</v>
      </c>
      <c r="B3" t="s">
        <v>49</v>
      </c>
      <c r="C3" t="s">
        <v>50</v>
      </c>
      <c r="D3" t="s">
        <v>51</v>
      </c>
      <c r="E3" t="s">
        <v>52</v>
      </c>
      <c r="F3" t="s">
        <v>53</v>
      </c>
      <c r="G3" t="s">
        <v>221</v>
      </c>
      <c r="H3" t="s">
        <v>222</v>
      </c>
    </row>
    <row r="4" spans="1:8" x14ac:dyDescent="0.25">
      <c r="A4" t="s">
        <v>55</v>
      </c>
      <c r="B4" t="s">
        <v>55</v>
      </c>
      <c r="C4">
        <v>1.23214</v>
      </c>
      <c r="D4">
        <v>16295</v>
      </c>
      <c r="E4">
        <v>0.21884999999999999</v>
      </c>
      <c r="F4">
        <v>0</v>
      </c>
      <c r="G4" t="s">
        <v>54</v>
      </c>
    </row>
    <row r="5" spans="1:8" x14ac:dyDescent="0.25">
      <c r="A5" t="s">
        <v>55</v>
      </c>
      <c r="B5" t="s">
        <v>55</v>
      </c>
      <c r="C5">
        <v>1.3658699999999999</v>
      </c>
      <c r="D5">
        <v>16786</v>
      </c>
      <c r="E5">
        <v>0.15703</v>
      </c>
      <c r="F5">
        <v>1</v>
      </c>
      <c r="G5" t="s">
        <v>56</v>
      </c>
    </row>
    <row r="6" spans="1:8" x14ac:dyDescent="0.25">
      <c r="A6" t="s">
        <v>55</v>
      </c>
      <c r="B6" t="s">
        <v>55</v>
      </c>
      <c r="C6">
        <v>1.23193</v>
      </c>
      <c r="D6">
        <v>20385</v>
      </c>
      <c r="E6">
        <v>7.0000000000000007E-2</v>
      </c>
      <c r="F6">
        <v>2</v>
      </c>
      <c r="G6" t="s">
        <v>57</v>
      </c>
    </row>
    <row r="7" spans="1:8" x14ac:dyDescent="0.25">
      <c r="A7" t="s">
        <v>55</v>
      </c>
      <c r="B7" t="s">
        <v>55</v>
      </c>
      <c r="C7">
        <v>1.11666</v>
      </c>
      <c r="D7">
        <v>21692</v>
      </c>
      <c r="E7">
        <v>0.15848999999999999</v>
      </c>
      <c r="F7">
        <v>3</v>
      </c>
      <c r="G7" t="s">
        <v>58</v>
      </c>
    </row>
    <row r="8" spans="1:8" x14ac:dyDescent="0.25">
      <c r="A8" t="s">
        <v>55</v>
      </c>
      <c r="B8" t="s">
        <v>55</v>
      </c>
      <c r="C8">
        <v>1.0934299999999999</v>
      </c>
      <c r="D8">
        <v>17131</v>
      </c>
      <c r="E8">
        <v>0.17521</v>
      </c>
      <c r="F8">
        <v>4</v>
      </c>
      <c r="G8" t="s">
        <v>59</v>
      </c>
    </row>
    <row r="9" spans="1:8" x14ac:dyDescent="0.25">
      <c r="A9" t="s">
        <v>55</v>
      </c>
      <c r="B9" t="s">
        <v>55</v>
      </c>
      <c r="C9">
        <v>1.1341000000000001</v>
      </c>
      <c r="D9">
        <v>19912</v>
      </c>
      <c r="E9">
        <v>0.20154</v>
      </c>
      <c r="F9">
        <v>5</v>
      </c>
      <c r="G9" t="s">
        <v>60</v>
      </c>
    </row>
    <row r="10" spans="1:8" x14ac:dyDescent="0.25">
      <c r="A10" t="s">
        <v>55</v>
      </c>
      <c r="B10" t="s">
        <v>55</v>
      </c>
      <c r="C10">
        <v>1.1747000000000001</v>
      </c>
      <c r="D10">
        <v>18791</v>
      </c>
      <c r="E10">
        <v>0.24471000000000001</v>
      </c>
      <c r="F10">
        <v>6</v>
      </c>
      <c r="G10" t="s">
        <v>61</v>
      </c>
    </row>
    <row r="11" spans="1:8" x14ac:dyDescent="0.25">
      <c r="A11" t="s">
        <v>55</v>
      </c>
      <c r="B11" t="s">
        <v>55</v>
      </c>
      <c r="C11">
        <v>1.1022700000000001</v>
      </c>
      <c r="D11">
        <v>20523</v>
      </c>
      <c r="E11">
        <v>0.17363000000000001</v>
      </c>
      <c r="F11">
        <v>7</v>
      </c>
      <c r="G11" t="s">
        <v>62</v>
      </c>
    </row>
    <row r="12" spans="1:8" x14ac:dyDescent="0.25">
      <c r="A12" t="s">
        <v>55</v>
      </c>
      <c r="B12" t="s">
        <v>55</v>
      </c>
      <c r="C12">
        <v>1.1246100000000001</v>
      </c>
      <c r="D12">
        <v>19126</v>
      </c>
      <c r="E12">
        <v>0.24390999999999999</v>
      </c>
      <c r="F12">
        <v>8</v>
      </c>
      <c r="G12" t="s">
        <v>63</v>
      </c>
    </row>
    <row r="13" spans="1:8" x14ac:dyDescent="0.25">
      <c r="A13" t="s">
        <v>55</v>
      </c>
      <c r="B13" t="s">
        <v>55</v>
      </c>
      <c r="C13">
        <v>1.2117</v>
      </c>
      <c r="D13">
        <v>18230</v>
      </c>
      <c r="E13">
        <v>0.24660000000000001</v>
      </c>
      <c r="F13">
        <v>9</v>
      </c>
      <c r="G13" t="s">
        <v>64</v>
      </c>
    </row>
    <row r="14" spans="1:8" x14ac:dyDescent="0.25">
      <c r="A14" t="s">
        <v>55</v>
      </c>
      <c r="B14" t="s">
        <v>55</v>
      </c>
      <c r="C14">
        <v>1.1455200000000001</v>
      </c>
      <c r="D14">
        <v>22698</v>
      </c>
      <c r="E14">
        <v>9.962E-2</v>
      </c>
      <c r="F14">
        <v>10</v>
      </c>
      <c r="G14" t="s">
        <v>65</v>
      </c>
    </row>
    <row r="15" spans="1:8" x14ac:dyDescent="0.25">
      <c r="A15" t="s">
        <v>55</v>
      </c>
      <c r="B15" t="s">
        <v>55</v>
      </c>
      <c r="C15">
        <v>1.4114199999999999</v>
      </c>
      <c r="D15">
        <v>22537</v>
      </c>
      <c r="E15">
        <v>8.6830000000000004E-2</v>
      </c>
      <c r="F15">
        <v>11</v>
      </c>
      <c r="G15" t="s">
        <v>66</v>
      </c>
    </row>
    <row r="16" spans="1:8" x14ac:dyDescent="0.25">
      <c r="A16" t="s">
        <v>55</v>
      </c>
      <c r="B16" t="s">
        <v>55</v>
      </c>
      <c r="C16">
        <v>1.2079</v>
      </c>
      <c r="D16">
        <v>20818</v>
      </c>
      <c r="E16">
        <v>0.16794999999999999</v>
      </c>
      <c r="F16">
        <v>12</v>
      </c>
      <c r="G16" t="s">
        <v>67</v>
      </c>
    </row>
    <row r="17" spans="1:7" x14ac:dyDescent="0.25">
      <c r="A17" t="s">
        <v>55</v>
      </c>
      <c r="B17" t="s">
        <v>55</v>
      </c>
      <c r="C17">
        <v>1.15821</v>
      </c>
      <c r="D17">
        <v>23251</v>
      </c>
      <c r="E17">
        <v>0.17818000000000001</v>
      </c>
      <c r="F17">
        <v>13</v>
      </c>
      <c r="G17" t="s">
        <v>68</v>
      </c>
    </row>
    <row r="18" spans="1:7" x14ac:dyDescent="0.25">
      <c r="A18" t="s">
        <v>55</v>
      </c>
      <c r="B18" t="s">
        <v>55</v>
      </c>
      <c r="C18">
        <v>1.1238699999999999</v>
      </c>
      <c r="D18">
        <v>20418</v>
      </c>
      <c r="E18">
        <v>0.18828</v>
      </c>
      <c r="F18">
        <v>14</v>
      </c>
      <c r="G18" t="s">
        <v>69</v>
      </c>
    </row>
    <row r="19" spans="1:7" x14ac:dyDescent="0.25">
      <c r="A19" t="s">
        <v>55</v>
      </c>
      <c r="B19" t="s">
        <v>55</v>
      </c>
      <c r="C19">
        <v>1.167</v>
      </c>
      <c r="D19">
        <v>21991</v>
      </c>
      <c r="E19">
        <v>0.19921</v>
      </c>
      <c r="F19">
        <v>15</v>
      </c>
      <c r="G19" t="s">
        <v>70</v>
      </c>
    </row>
    <row r="20" spans="1:7" x14ac:dyDescent="0.25">
      <c r="A20" t="s">
        <v>55</v>
      </c>
      <c r="B20" t="s">
        <v>55</v>
      </c>
      <c r="C20">
        <v>1.14212</v>
      </c>
      <c r="D20">
        <v>21110</v>
      </c>
      <c r="E20">
        <v>0.10743</v>
      </c>
      <c r="F20">
        <v>16</v>
      </c>
      <c r="G20" t="s">
        <v>71</v>
      </c>
    </row>
    <row r="21" spans="1:7" x14ac:dyDescent="0.25">
      <c r="A21" t="s">
        <v>55</v>
      </c>
      <c r="B21" t="s">
        <v>55</v>
      </c>
      <c r="C21">
        <v>1.20377</v>
      </c>
      <c r="D21">
        <v>22238</v>
      </c>
      <c r="E21">
        <v>0.11387</v>
      </c>
      <c r="F21">
        <v>17</v>
      </c>
      <c r="G21" t="s">
        <v>72</v>
      </c>
    </row>
    <row r="22" spans="1:7" x14ac:dyDescent="0.25">
      <c r="A22" t="s">
        <v>55</v>
      </c>
      <c r="B22" t="s">
        <v>55</v>
      </c>
      <c r="C22">
        <v>1.1961200000000001</v>
      </c>
      <c r="D22">
        <v>20709</v>
      </c>
      <c r="E22">
        <v>0.10595</v>
      </c>
      <c r="F22">
        <v>18</v>
      </c>
      <c r="G22" t="s">
        <v>73</v>
      </c>
    </row>
    <row r="23" spans="1:7" x14ac:dyDescent="0.25">
      <c r="A23" t="s">
        <v>55</v>
      </c>
      <c r="B23" t="s">
        <v>55</v>
      </c>
      <c r="C23">
        <v>1.1328400000000001</v>
      </c>
      <c r="D23">
        <v>19305</v>
      </c>
      <c r="E23">
        <v>8.8050000000000003E-2</v>
      </c>
      <c r="F23">
        <v>19</v>
      </c>
      <c r="G23" t="s">
        <v>74</v>
      </c>
    </row>
    <row r="24" spans="1:7" x14ac:dyDescent="0.25">
      <c r="A24" t="s">
        <v>55</v>
      </c>
      <c r="B24" t="s">
        <v>55</v>
      </c>
      <c r="C24">
        <v>1.21496</v>
      </c>
      <c r="D24">
        <v>21325</v>
      </c>
      <c r="E24">
        <v>0.11176999999999999</v>
      </c>
      <c r="F24">
        <v>20</v>
      </c>
      <c r="G24" t="s">
        <v>75</v>
      </c>
    </row>
    <row r="25" spans="1:7" x14ac:dyDescent="0.25">
      <c r="A25" t="s">
        <v>55</v>
      </c>
      <c r="B25" t="s">
        <v>55</v>
      </c>
      <c r="C25">
        <v>1.1286</v>
      </c>
      <c r="D25">
        <v>18935</v>
      </c>
      <c r="E25">
        <v>0.14230999999999999</v>
      </c>
      <c r="F25">
        <v>21</v>
      </c>
      <c r="G25" t="s">
        <v>76</v>
      </c>
    </row>
    <row r="26" spans="1:7" x14ac:dyDescent="0.25">
      <c r="A26" t="s">
        <v>55</v>
      </c>
      <c r="B26" t="s">
        <v>55</v>
      </c>
      <c r="C26">
        <v>1.13985</v>
      </c>
      <c r="D26">
        <v>20318</v>
      </c>
      <c r="E26">
        <v>0.18024999999999999</v>
      </c>
      <c r="F26">
        <v>22</v>
      </c>
      <c r="G26" t="s">
        <v>77</v>
      </c>
    </row>
    <row r="27" spans="1:7" x14ac:dyDescent="0.25">
      <c r="A27" t="s">
        <v>55</v>
      </c>
      <c r="B27" t="s">
        <v>55</v>
      </c>
      <c r="C27">
        <v>1.23221</v>
      </c>
      <c r="D27">
        <v>23478</v>
      </c>
      <c r="E27">
        <v>0.25834000000000001</v>
      </c>
      <c r="F27">
        <v>23</v>
      </c>
      <c r="G27" t="s">
        <v>78</v>
      </c>
    </row>
    <row r="28" spans="1:7" x14ac:dyDescent="0.25">
      <c r="A28" t="s">
        <v>55</v>
      </c>
      <c r="B28" t="s">
        <v>55</v>
      </c>
      <c r="C28">
        <v>1.1254999999999999</v>
      </c>
      <c r="D28">
        <v>21813</v>
      </c>
      <c r="E28">
        <v>0.11781</v>
      </c>
      <c r="F28">
        <v>24</v>
      </c>
      <c r="G28" t="s">
        <v>79</v>
      </c>
    </row>
    <row r="29" spans="1:7" x14ac:dyDescent="0.25">
      <c r="A29" t="s">
        <v>55</v>
      </c>
      <c r="B29" t="s">
        <v>55</v>
      </c>
      <c r="C29">
        <v>1.2710600000000001</v>
      </c>
      <c r="D29">
        <v>15397</v>
      </c>
      <c r="E29">
        <v>0.21404999999999999</v>
      </c>
      <c r="F29">
        <v>25</v>
      </c>
      <c r="G29" t="s">
        <v>80</v>
      </c>
    </row>
    <row r="30" spans="1:7" x14ac:dyDescent="0.25">
      <c r="A30" t="s">
        <v>55</v>
      </c>
      <c r="B30" t="s">
        <v>55</v>
      </c>
      <c r="C30">
        <v>1.3516300000000001</v>
      </c>
      <c r="D30">
        <v>25139</v>
      </c>
      <c r="E30">
        <v>0.72706999999999999</v>
      </c>
      <c r="F30">
        <v>26</v>
      </c>
      <c r="G30" t="s">
        <v>81</v>
      </c>
    </row>
    <row r="31" spans="1:7" x14ac:dyDescent="0.25">
      <c r="A31" t="s">
        <v>83</v>
      </c>
      <c r="B31" t="s">
        <v>83</v>
      </c>
      <c r="C31">
        <v>1.1265499999999999</v>
      </c>
      <c r="D31">
        <v>25139</v>
      </c>
      <c r="E31">
        <v>0.72706999999999999</v>
      </c>
      <c r="F31">
        <v>27</v>
      </c>
      <c r="G31" t="s">
        <v>81</v>
      </c>
    </row>
    <row r="32" spans="1:7" x14ac:dyDescent="0.25">
      <c r="A32" t="s">
        <v>55</v>
      </c>
      <c r="B32" t="s">
        <v>55</v>
      </c>
      <c r="C32">
        <v>1.2550300000000001</v>
      </c>
      <c r="D32">
        <v>18217</v>
      </c>
      <c r="E32">
        <v>0.24909999999999999</v>
      </c>
      <c r="F32">
        <v>28</v>
      </c>
      <c r="G32" t="s">
        <v>82</v>
      </c>
    </row>
    <row r="33" spans="1:7" x14ac:dyDescent="0.25">
      <c r="A33" t="s">
        <v>83</v>
      </c>
      <c r="B33" t="s">
        <v>83</v>
      </c>
      <c r="C33">
        <v>1.3264</v>
      </c>
      <c r="D33">
        <v>18217</v>
      </c>
      <c r="E33">
        <v>0.24909999999999999</v>
      </c>
      <c r="F33">
        <v>29</v>
      </c>
      <c r="G33" t="s">
        <v>82</v>
      </c>
    </row>
    <row r="34" spans="1:7" x14ac:dyDescent="0.25">
      <c r="A34" t="s">
        <v>55</v>
      </c>
      <c r="B34" t="s">
        <v>55</v>
      </c>
      <c r="C34">
        <v>1.13269</v>
      </c>
      <c r="D34">
        <v>21919</v>
      </c>
      <c r="E34">
        <v>0.21947</v>
      </c>
      <c r="F34">
        <v>30</v>
      </c>
      <c r="G34" t="s">
        <v>84</v>
      </c>
    </row>
    <row r="35" spans="1:7" x14ac:dyDescent="0.25">
      <c r="A35" t="s">
        <v>55</v>
      </c>
      <c r="B35" t="s">
        <v>55</v>
      </c>
      <c r="C35">
        <v>2.8187899999999999</v>
      </c>
      <c r="D35">
        <v>25912</v>
      </c>
      <c r="E35">
        <v>0.41055000000000003</v>
      </c>
      <c r="F35">
        <v>31</v>
      </c>
      <c r="G35" t="s">
        <v>85</v>
      </c>
    </row>
    <row r="36" spans="1:7" x14ac:dyDescent="0.25">
      <c r="A36" t="s">
        <v>55</v>
      </c>
      <c r="B36" t="s">
        <v>55</v>
      </c>
      <c r="C36">
        <v>1.30969</v>
      </c>
      <c r="D36">
        <v>17909</v>
      </c>
      <c r="E36">
        <v>0.13594999999999999</v>
      </c>
      <c r="F36">
        <v>32</v>
      </c>
      <c r="G36" t="s">
        <v>86</v>
      </c>
    </row>
    <row r="37" spans="1:7" x14ac:dyDescent="0.25">
      <c r="A37" t="s">
        <v>55</v>
      </c>
      <c r="B37" t="s">
        <v>55</v>
      </c>
      <c r="C37">
        <v>1.2162500000000001</v>
      </c>
      <c r="D37">
        <v>23766</v>
      </c>
      <c r="E37">
        <v>0.54076999999999997</v>
      </c>
      <c r="F37">
        <v>33</v>
      </c>
      <c r="G37" t="s">
        <v>87</v>
      </c>
    </row>
    <row r="38" spans="1:7" x14ac:dyDescent="0.25">
      <c r="A38" t="s">
        <v>83</v>
      </c>
      <c r="B38" t="s">
        <v>83</v>
      </c>
      <c r="C38">
        <v>1.1499299999999999</v>
      </c>
      <c r="D38">
        <v>23766</v>
      </c>
      <c r="E38">
        <v>0.54076999999999997</v>
      </c>
      <c r="F38">
        <v>34</v>
      </c>
      <c r="G38" t="s">
        <v>87</v>
      </c>
    </row>
    <row r="39" spans="1:7" x14ac:dyDescent="0.25">
      <c r="A39" t="s">
        <v>55</v>
      </c>
      <c r="B39" t="s">
        <v>55</v>
      </c>
      <c r="C39">
        <v>1.1955899999999999</v>
      </c>
      <c r="D39">
        <v>21929</v>
      </c>
      <c r="E39">
        <v>0.24054</v>
      </c>
      <c r="F39">
        <v>35</v>
      </c>
      <c r="G39" t="s">
        <v>88</v>
      </c>
    </row>
    <row r="40" spans="1:7" x14ac:dyDescent="0.25">
      <c r="A40" t="s">
        <v>55</v>
      </c>
      <c r="B40" t="s">
        <v>55</v>
      </c>
      <c r="C40">
        <v>1.16367</v>
      </c>
      <c r="D40">
        <v>18633</v>
      </c>
      <c r="E40">
        <v>0.22355</v>
      </c>
      <c r="F40">
        <v>36</v>
      </c>
      <c r="G40" t="s">
        <v>89</v>
      </c>
    </row>
    <row r="41" spans="1:7" x14ac:dyDescent="0.25">
      <c r="A41" t="s">
        <v>83</v>
      </c>
      <c r="B41" t="s">
        <v>83</v>
      </c>
      <c r="C41">
        <v>1.15733</v>
      </c>
      <c r="D41">
        <v>18633</v>
      </c>
      <c r="E41">
        <v>0.22355</v>
      </c>
      <c r="F41">
        <v>37</v>
      </c>
      <c r="G41" t="s">
        <v>89</v>
      </c>
    </row>
    <row r="42" spans="1:7" x14ac:dyDescent="0.25">
      <c r="A42" t="s">
        <v>55</v>
      </c>
      <c r="B42" t="s">
        <v>55</v>
      </c>
      <c r="C42">
        <v>1.1698900000000001</v>
      </c>
      <c r="D42">
        <v>19843</v>
      </c>
      <c r="E42">
        <v>0.73072000000000004</v>
      </c>
      <c r="F42">
        <v>38</v>
      </c>
      <c r="G42" t="s">
        <v>90</v>
      </c>
    </row>
    <row r="43" spans="1:7" x14ac:dyDescent="0.25">
      <c r="A43" t="s">
        <v>83</v>
      </c>
      <c r="B43" t="s">
        <v>83</v>
      </c>
      <c r="C43">
        <v>1.1037600000000001</v>
      </c>
      <c r="D43">
        <v>19843</v>
      </c>
      <c r="E43">
        <v>0.73072000000000004</v>
      </c>
      <c r="F43">
        <v>39</v>
      </c>
      <c r="G43" t="s">
        <v>90</v>
      </c>
    </row>
    <row r="44" spans="1:7" x14ac:dyDescent="0.25">
      <c r="A44" t="s">
        <v>55</v>
      </c>
      <c r="B44" t="s">
        <v>55</v>
      </c>
      <c r="C44">
        <v>1.0679000000000001</v>
      </c>
      <c r="D44">
        <v>17786</v>
      </c>
      <c r="E44">
        <v>7.1239999999999998E-2</v>
      </c>
      <c r="F44">
        <v>40</v>
      </c>
      <c r="G44" t="s">
        <v>91</v>
      </c>
    </row>
    <row r="45" spans="1:7" x14ac:dyDescent="0.25">
      <c r="A45" t="s">
        <v>55</v>
      </c>
      <c r="B45" t="s">
        <v>55</v>
      </c>
      <c r="C45">
        <v>1.23482</v>
      </c>
      <c r="D45">
        <v>16265</v>
      </c>
      <c r="E45">
        <v>0.12285</v>
      </c>
      <c r="F45">
        <v>41</v>
      </c>
      <c r="G45" t="s">
        <v>92</v>
      </c>
    </row>
    <row r="46" spans="1:7" x14ac:dyDescent="0.25">
      <c r="A46" t="s">
        <v>83</v>
      </c>
      <c r="B46" t="s">
        <v>83</v>
      </c>
      <c r="C46">
        <v>1.1444099999999999</v>
      </c>
      <c r="D46">
        <v>16265</v>
      </c>
      <c r="E46">
        <v>0.12285</v>
      </c>
      <c r="F46">
        <v>42</v>
      </c>
      <c r="G46" t="s">
        <v>92</v>
      </c>
    </row>
    <row r="47" spans="1:7" x14ac:dyDescent="0.25">
      <c r="A47" t="s">
        <v>55</v>
      </c>
      <c r="B47" t="s">
        <v>55</v>
      </c>
      <c r="C47">
        <v>1.21688</v>
      </c>
      <c r="D47">
        <v>20081</v>
      </c>
      <c r="E47">
        <v>0.34465000000000001</v>
      </c>
      <c r="F47">
        <v>43</v>
      </c>
      <c r="G47" t="s">
        <v>93</v>
      </c>
    </row>
    <row r="48" spans="1:7" x14ac:dyDescent="0.25">
      <c r="A48" t="s">
        <v>83</v>
      </c>
      <c r="B48" t="s">
        <v>83</v>
      </c>
      <c r="C48">
        <v>1.2326699999999999</v>
      </c>
      <c r="D48">
        <v>20081</v>
      </c>
      <c r="E48">
        <v>0.34465000000000001</v>
      </c>
      <c r="F48">
        <v>44</v>
      </c>
      <c r="G48" t="s">
        <v>93</v>
      </c>
    </row>
    <row r="49" spans="1:7" x14ac:dyDescent="0.25">
      <c r="A49" t="s">
        <v>55</v>
      </c>
      <c r="B49" t="s">
        <v>55</v>
      </c>
      <c r="C49">
        <v>1.16872</v>
      </c>
      <c r="D49">
        <v>13373</v>
      </c>
      <c r="E49">
        <v>0.25052000000000002</v>
      </c>
      <c r="F49">
        <v>45</v>
      </c>
      <c r="G49" t="s">
        <v>94</v>
      </c>
    </row>
    <row r="50" spans="1:7" x14ac:dyDescent="0.25">
      <c r="A50" t="s">
        <v>55</v>
      </c>
      <c r="B50" t="s">
        <v>55</v>
      </c>
      <c r="C50">
        <v>1.15415</v>
      </c>
      <c r="D50">
        <v>24724</v>
      </c>
      <c r="E50">
        <v>0.58655999999999997</v>
      </c>
      <c r="F50">
        <v>46</v>
      </c>
      <c r="G50" t="s">
        <v>95</v>
      </c>
    </row>
    <row r="51" spans="1:7" x14ac:dyDescent="0.25">
      <c r="A51" t="s">
        <v>83</v>
      </c>
      <c r="B51" t="s">
        <v>83</v>
      </c>
      <c r="C51">
        <v>1.1863900000000001</v>
      </c>
      <c r="D51">
        <v>24724</v>
      </c>
      <c r="E51">
        <v>0.58655999999999997</v>
      </c>
      <c r="F51">
        <v>47</v>
      </c>
      <c r="G51" t="s">
        <v>95</v>
      </c>
    </row>
    <row r="52" spans="1:7" x14ac:dyDescent="0.25">
      <c r="A52" t="s">
        <v>55</v>
      </c>
      <c r="B52" t="s">
        <v>55</v>
      </c>
      <c r="C52">
        <v>1.11727</v>
      </c>
      <c r="D52">
        <v>17664</v>
      </c>
      <c r="E52">
        <v>0.25568000000000002</v>
      </c>
      <c r="F52">
        <v>48</v>
      </c>
      <c r="G52" t="s">
        <v>96</v>
      </c>
    </row>
    <row r="53" spans="1:7" x14ac:dyDescent="0.25">
      <c r="A53" t="s">
        <v>55</v>
      </c>
      <c r="B53" t="s">
        <v>55</v>
      </c>
      <c r="C53">
        <v>1.20933</v>
      </c>
      <c r="D53">
        <v>21670</v>
      </c>
      <c r="E53">
        <v>0.43534</v>
      </c>
      <c r="F53">
        <v>49</v>
      </c>
      <c r="G53" t="s">
        <v>97</v>
      </c>
    </row>
    <row r="54" spans="1:7" x14ac:dyDescent="0.25">
      <c r="A54" t="s">
        <v>55</v>
      </c>
      <c r="B54" t="s">
        <v>55</v>
      </c>
      <c r="C54">
        <v>1.2485200000000001</v>
      </c>
      <c r="D54">
        <v>23566</v>
      </c>
      <c r="E54">
        <v>0.32288</v>
      </c>
      <c r="F54">
        <v>50</v>
      </c>
      <c r="G54" t="s">
        <v>98</v>
      </c>
    </row>
    <row r="55" spans="1:7" x14ac:dyDescent="0.25">
      <c r="A55" t="s">
        <v>83</v>
      </c>
      <c r="B55" t="s">
        <v>83</v>
      </c>
      <c r="C55">
        <v>1.13758</v>
      </c>
      <c r="D55">
        <v>23566</v>
      </c>
      <c r="E55">
        <v>0.32288</v>
      </c>
      <c r="F55">
        <v>51</v>
      </c>
      <c r="G55" t="s">
        <v>98</v>
      </c>
    </row>
    <row r="56" spans="1:7" x14ac:dyDescent="0.25">
      <c r="A56" t="s">
        <v>55</v>
      </c>
      <c r="B56" t="s">
        <v>55</v>
      </c>
      <c r="C56">
        <v>1.1263399999999999</v>
      </c>
      <c r="D56">
        <v>20529</v>
      </c>
      <c r="E56">
        <v>0.14321999999999999</v>
      </c>
      <c r="F56">
        <v>52</v>
      </c>
      <c r="G56" t="s">
        <v>99</v>
      </c>
    </row>
    <row r="57" spans="1:7" x14ac:dyDescent="0.25">
      <c r="A57" t="s">
        <v>55</v>
      </c>
      <c r="B57" t="s">
        <v>55</v>
      </c>
      <c r="C57">
        <v>1.23203</v>
      </c>
      <c r="D57">
        <v>22638</v>
      </c>
      <c r="E57">
        <v>0.26140000000000002</v>
      </c>
      <c r="F57">
        <v>53</v>
      </c>
      <c r="G57" t="s">
        <v>100</v>
      </c>
    </row>
    <row r="58" spans="1:7" x14ac:dyDescent="0.25">
      <c r="A58" t="s">
        <v>55</v>
      </c>
      <c r="B58" t="s">
        <v>55</v>
      </c>
      <c r="C58">
        <v>1.1710199999999999</v>
      </c>
      <c r="D58">
        <v>16871</v>
      </c>
      <c r="E58">
        <v>0.24843999999999999</v>
      </c>
      <c r="F58">
        <v>54</v>
      </c>
      <c r="G58" t="s">
        <v>101</v>
      </c>
    </row>
    <row r="59" spans="1:7" x14ac:dyDescent="0.25">
      <c r="A59" t="s">
        <v>55</v>
      </c>
      <c r="B59" t="s">
        <v>55</v>
      </c>
      <c r="C59">
        <v>1.0585899999999999</v>
      </c>
      <c r="D59">
        <v>16927</v>
      </c>
      <c r="E59">
        <v>0.29535</v>
      </c>
      <c r="F59">
        <v>55</v>
      </c>
      <c r="G59" t="s">
        <v>102</v>
      </c>
    </row>
    <row r="60" spans="1:7" x14ac:dyDescent="0.25">
      <c r="A60" t="s">
        <v>55</v>
      </c>
      <c r="B60" t="s">
        <v>55</v>
      </c>
      <c r="C60">
        <v>1.0988100000000001</v>
      </c>
      <c r="D60">
        <v>22910</v>
      </c>
      <c r="E60">
        <v>0.47428999999999999</v>
      </c>
      <c r="F60">
        <v>56</v>
      </c>
      <c r="G60" t="s">
        <v>103</v>
      </c>
    </row>
    <row r="61" spans="1:7" x14ac:dyDescent="0.25">
      <c r="A61" t="s">
        <v>55</v>
      </c>
      <c r="B61" t="s">
        <v>55</v>
      </c>
      <c r="C61">
        <v>1.11134</v>
      </c>
      <c r="D61">
        <v>21987</v>
      </c>
      <c r="E61">
        <v>0.14504</v>
      </c>
      <c r="F61">
        <v>57</v>
      </c>
      <c r="G61" t="s">
        <v>104</v>
      </c>
    </row>
    <row r="62" spans="1:7" x14ac:dyDescent="0.25">
      <c r="A62" t="s">
        <v>83</v>
      </c>
      <c r="B62" t="s">
        <v>83</v>
      </c>
      <c r="C62">
        <v>1.19489</v>
      </c>
      <c r="D62">
        <v>21987</v>
      </c>
      <c r="E62">
        <v>0.14504</v>
      </c>
      <c r="F62">
        <v>58</v>
      </c>
      <c r="G62" t="s">
        <v>104</v>
      </c>
    </row>
    <row r="63" spans="1:7" x14ac:dyDescent="0.25">
      <c r="A63" t="s">
        <v>55</v>
      </c>
      <c r="B63" t="s">
        <v>55</v>
      </c>
      <c r="C63">
        <v>1.17319</v>
      </c>
      <c r="D63">
        <v>19721</v>
      </c>
      <c r="E63">
        <v>0.11908000000000001</v>
      </c>
      <c r="F63">
        <v>59</v>
      </c>
      <c r="G63" t="s">
        <v>105</v>
      </c>
    </row>
    <row r="64" spans="1:7" x14ac:dyDescent="0.25">
      <c r="A64" t="s">
        <v>55</v>
      </c>
      <c r="B64" t="s">
        <v>55</v>
      </c>
      <c r="C64">
        <v>1.17167</v>
      </c>
      <c r="D64">
        <v>24143</v>
      </c>
      <c r="E64">
        <v>0.25505</v>
      </c>
      <c r="F64">
        <v>60</v>
      </c>
      <c r="G64" t="s">
        <v>106</v>
      </c>
    </row>
    <row r="65" spans="1:7" x14ac:dyDescent="0.25">
      <c r="A65" t="s">
        <v>55</v>
      </c>
      <c r="B65" t="s">
        <v>55</v>
      </c>
      <c r="C65">
        <v>1.17909</v>
      </c>
      <c r="D65">
        <v>21792</v>
      </c>
      <c r="E65">
        <v>0.33831</v>
      </c>
      <c r="F65">
        <v>61</v>
      </c>
      <c r="G65" t="s">
        <v>107</v>
      </c>
    </row>
    <row r="66" spans="1:7" x14ac:dyDescent="0.25">
      <c r="A66" t="s">
        <v>83</v>
      </c>
      <c r="B66" t="s">
        <v>83</v>
      </c>
      <c r="C66">
        <v>1.16225</v>
      </c>
      <c r="D66">
        <v>21792</v>
      </c>
      <c r="E66">
        <v>0.33831</v>
      </c>
      <c r="F66">
        <v>62</v>
      </c>
      <c r="G66" t="s">
        <v>107</v>
      </c>
    </row>
    <row r="67" spans="1:7" x14ac:dyDescent="0.25">
      <c r="A67" t="s">
        <v>55</v>
      </c>
      <c r="B67" t="s">
        <v>55</v>
      </c>
      <c r="C67">
        <v>1.09789</v>
      </c>
      <c r="D67">
        <v>22571</v>
      </c>
      <c r="E67">
        <v>0.62587000000000004</v>
      </c>
      <c r="F67">
        <v>63</v>
      </c>
      <c r="G67" t="s">
        <v>108</v>
      </c>
    </row>
    <row r="68" spans="1:7" x14ac:dyDescent="0.25">
      <c r="A68" t="s">
        <v>83</v>
      </c>
      <c r="B68" t="s">
        <v>83</v>
      </c>
      <c r="C68">
        <v>1.07595</v>
      </c>
      <c r="D68">
        <v>22571</v>
      </c>
      <c r="E68">
        <v>0.62587000000000004</v>
      </c>
      <c r="F68">
        <v>64</v>
      </c>
      <c r="G68" t="s">
        <v>108</v>
      </c>
    </row>
    <row r="69" spans="1:7" x14ac:dyDescent="0.25">
      <c r="A69" t="s">
        <v>55</v>
      </c>
      <c r="B69" t="s">
        <v>55</v>
      </c>
      <c r="C69">
        <v>1.15757</v>
      </c>
      <c r="D69">
        <v>11050</v>
      </c>
      <c r="E69">
        <v>0.29322999999999999</v>
      </c>
      <c r="F69">
        <v>65</v>
      </c>
      <c r="G69" t="s">
        <v>109</v>
      </c>
    </row>
    <row r="70" spans="1:7" x14ac:dyDescent="0.25">
      <c r="A70" t="s">
        <v>55</v>
      </c>
      <c r="B70" t="s">
        <v>55</v>
      </c>
      <c r="C70">
        <v>1.13121</v>
      </c>
      <c r="D70">
        <v>20194</v>
      </c>
      <c r="E70">
        <v>0.67140999999999995</v>
      </c>
      <c r="F70">
        <v>66</v>
      </c>
      <c r="G70" t="s">
        <v>110</v>
      </c>
    </row>
    <row r="71" spans="1:7" x14ac:dyDescent="0.25">
      <c r="A71" t="s">
        <v>83</v>
      </c>
      <c r="B71" t="s">
        <v>83</v>
      </c>
      <c r="C71">
        <v>1.1397200000000001</v>
      </c>
      <c r="D71">
        <v>20194</v>
      </c>
      <c r="E71">
        <v>0.67140999999999995</v>
      </c>
      <c r="F71">
        <v>67</v>
      </c>
      <c r="G71" t="s">
        <v>110</v>
      </c>
    </row>
    <row r="72" spans="1:7" x14ac:dyDescent="0.25">
      <c r="A72" t="s">
        <v>55</v>
      </c>
      <c r="B72" t="s">
        <v>55</v>
      </c>
      <c r="C72">
        <v>1.0801700000000001</v>
      </c>
      <c r="D72">
        <v>23117</v>
      </c>
      <c r="E72">
        <v>0.1953</v>
      </c>
      <c r="F72">
        <v>68</v>
      </c>
      <c r="G72" t="s">
        <v>111</v>
      </c>
    </row>
    <row r="73" spans="1:7" x14ac:dyDescent="0.25">
      <c r="A73" t="s">
        <v>55</v>
      </c>
      <c r="B73" t="s">
        <v>55</v>
      </c>
      <c r="C73">
        <v>1.1740699999999999</v>
      </c>
      <c r="D73">
        <v>21776</v>
      </c>
      <c r="E73">
        <v>0.53869</v>
      </c>
      <c r="F73">
        <v>69</v>
      </c>
      <c r="G73" t="s">
        <v>112</v>
      </c>
    </row>
    <row r="74" spans="1:7" x14ac:dyDescent="0.25">
      <c r="A74" t="s">
        <v>83</v>
      </c>
      <c r="B74" t="s">
        <v>83</v>
      </c>
      <c r="C74">
        <v>1.16611</v>
      </c>
      <c r="D74">
        <v>21776</v>
      </c>
      <c r="E74">
        <v>0.53869</v>
      </c>
      <c r="F74">
        <v>70</v>
      </c>
      <c r="G74" t="s">
        <v>112</v>
      </c>
    </row>
    <row r="75" spans="1:7" x14ac:dyDescent="0.25">
      <c r="A75" t="s">
        <v>55</v>
      </c>
      <c r="B75" t="s">
        <v>55</v>
      </c>
      <c r="C75">
        <v>1.23214</v>
      </c>
      <c r="D75">
        <v>21481</v>
      </c>
      <c r="E75">
        <v>0.26939000000000002</v>
      </c>
      <c r="F75">
        <v>71</v>
      </c>
      <c r="G75" t="s">
        <v>113</v>
      </c>
    </row>
    <row r="76" spans="1:7" x14ac:dyDescent="0.25">
      <c r="A76" t="s">
        <v>83</v>
      </c>
      <c r="B76" t="s">
        <v>83</v>
      </c>
      <c r="C76">
        <v>1.1937599999999999</v>
      </c>
      <c r="D76">
        <v>21481</v>
      </c>
      <c r="E76">
        <v>0.26939000000000002</v>
      </c>
      <c r="F76">
        <v>72</v>
      </c>
      <c r="G76" t="s">
        <v>113</v>
      </c>
    </row>
    <row r="77" spans="1:7" x14ac:dyDescent="0.25">
      <c r="A77" t="s">
        <v>55</v>
      </c>
      <c r="B77" t="s">
        <v>55</v>
      </c>
      <c r="C77">
        <v>1.2070099999999999</v>
      </c>
      <c r="D77">
        <v>16853</v>
      </c>
      <c r="E77">
        <v>0.30751000000000001</v>
      </c>
      <c r="F77">
        <v>73</v>
      </c>
      <c r="G77" t="s">
        <v>114</v>
      </c>
    </row>
    <row r="78" spans="1:7" x14ac:dyDescent="0.25">
      <c r="A78" t="s">
        <v>55</v>
      </c>
      <c r="B78" t="s">
        <v>55</v>
      </c>
      <c r="C78">
        <v>1.23204</v>
      </c>
      <c r="D78">
        <v>20020</v>
      </c>
      <c r="E78">
        <v>0.45496999999999999</v>
      </c>
      <c r="F78">
        <v>74</v>
      </c>
      <c r="G78" t="s">
        <v>115</v>
      </c>
    </row>
    <row r="79" spans="1:7" x14ac:dyDescent="0.25">
      <c r="A79" t="s">
        <v>83</v>
      </c>
      <c r="B79" t="s">
        <v>83</v>
      </c>
      <c r="C79">
        <v>1.12662</v>
      </c>
      <c r="D79">
        <v>20020</v>
      </c>
      <c r="E79">
        <v>0.45496999999999999</v>
      </c>
      <c r="F79">
        <v>75</v>
      </c>
      <c r="G79" t="s">
        <v>115</v>
      </c>
    </row>
    <row r="80" spans="1:7" x14ac:dyDescent="0.25">
      <c r="A80" t="s">
        <v>83</v>
      </c>
      <c r="B80" t="s">
        <v>83</v>
      </c>
      <c r="C80">
        <v>1.03779</v>
      </c>
      <c r="D80">
        <v>14450</v>
      </c>
      <c r="E80">
        <v>0.84406999999999999</v>
      </c>
      <c r="F80">
        <v>76</v>
      </c>
      <c r="G80" t="s">
        <v>116</v>
      </c>
    </row>
    <row r="81" spans="1:7" x14ac:dyDescent="0.25">
      <c r="A81" t="s">
        <v>55</v>
      </c>
      <c r="B81" t="s">
        <v>55</v>
      </c>
      <c r="C81">
        <v>1.27207</v>
      </c>
      <c r="D81">
        <v>20893</v>
      </c>
      <c r="E81">
        <v>0.77632999999999996</v>
      </c>
      <c r="F81">
        <v>77</v>
      </c>
      <c r="G81" t="s">
        <v>117</v>
      </c>
    </row>
    <row r="82" spans="1:7" x14ac:dyDescent="0.25">
      <c r="A82" t="s">
        <v>83</v>
      </c>
      <c r="B82" t="s">
        <v>83</v>
      </c>
      <c r="C82">
        <v>1.2906200000000001</v>
      </c>
      <c r="D82">
        <v>20893</v>
      </c>
      <c r="E82">
        <v>0.77632999999999996</v>
      </c>
      <c r="F82">
        <v>78</v>
      </c>
      <c r="G82" t="s">
        <v>117</v>
      </c>
    </row>
    <row r="83" spans="1:7" x14ac:dyDescent="0.25">
      <c r="A83" t="s">
        <v>83</v>
      </c>
      <c r="B83" t="s">
        <v>83</v>
      </c>
      <c r="C83">
        <v>1.10547</v>
      </c>
      <c r="D83">
        <v>16107</v>
      </c>
      <c r="E83">
        <v>0.88534000000000002</v>
      </c>
      <c r="F83">
        <v>79</v>
      </c>
      <c r="G83" t="s">
        <v>118</v>
      </c>
    </row>
    <row r="84" spans="1:7" x14ac:dyDescent="0.25">
      <c r="A84" t="s">
        <v>55</v>
      </c>
      <c r="B84" t="s">
        <v>55</v>
      </c>
      <c r="C84">
        <v>1.3062800000000001</v>
      </c>
      <c r="D84">
        <v>21975</v>
      </c>
      <c r="E84">
        <v>0.79635</v>
      </c>
      <c r="F84">
        <v>80</v>
      </c>
      <c r="G84" t="s">
        <v>119</v>
      </c>
    </row>
    <row r="85" spans="1:7" x14ac:dyDescent="0.25">
      <c r="A85" t="s">
        <v>83</v>
      </c>
      <c r="B85" t="s">
        <v>83</v>
      </c>
      <c r="C85">
        <v>1.15178</v>
      </c>
      <c r="D85">
        <v>21975</v>
      </c>
      <c r="E85">
        <v>0.79635</v>
      </c>
      <c r="F85">
        <v>81</v>
      </c>
      <c r="G85" t="s">
        <v>119</v>
      </c>
    </row>
    <row r="86" spans="1:7" x14ac:dyDescent="0.25">
      <c r="A86" t="s">
        <v>55</v>
      </c>
      <c r="B86" t="s">
        <v>55</v>
      </c>
      <c r="C86">
        <v>1.16462</v>
      </c>
      <c r="D86">
        <v>22779</v>
      </c>
      <c r="E86">
        <v>0.55769999999999997</v>
      </c>
      <c r="F86">
        <v>82</v>
      </c>
      <c r="G86" t="s">
        <v>120</v>
      </c>
    </row>
    <row r="87" spans="1:7" x14ac:dyDescent="0.25">
      <c r="A87" t="s">
        <v>83</v>
      </c>
      <c r="B87" t="s">
        <v>83</v>
      </c>
      <c r="C87">
        <v>1.2320800000000001</v>
      </c>
      <c r="D87">
        <v>22779</v>
      </c>
      <c r="E87">
        <v>0.55769999999999997</v>
      </c>
      <c r="F87">
        <v>83</v>
      </c>
      <c r="G87" t="s">
        <v>120</v>
      </c>
    </row>
    <row r="88" spans="1:7" x14ac:dyDescent="0.25">
      <c r="A88" t="s">
        <v>55</v>
      </c>
      <c r="B88" t="s">
        <v>55</v>
      </c>
      <c r="C88">
        <v>1.23203</v>
      </c>
      <c r="D88">
        <v>18984</v>
      </c>
      <c r="E88">
        <v>0.10852000000000001</v>
      </c>
      <c r="F88">
        <v>84</v>
      </c>
      <c r="G88" t="s">
        <v>121</v>
      </c>
    </row>
    <row r="89" spans="1:7" x14ac:dyDescent="0.25">
      <c r="A89" t="s">
        <v>55</v>
      </c>
      <c r="B89" t="s">
        <v>55</v>
      </c>
      <c r="C89">
        <v>1.27715</v>
      </c>
      <c r="D89">
        <v>18382</v>
      </c>
      <c r="E89">
        <v>0.19398000000000001</v>
      </c>
      <c r="F89">
        <v>85</v>
      </c>
      <c r="G89" t="s">
        <v>122</v>
      </c>
    </row>
    <row r="90" spans="1:7" x14ac:dyDescent="0.25">
      <c r="A90" t="s">
        <v>55</v>
      </c>
      <c r="B90" t="s">
        <v>55</v>
      </c>
      <c r="C90">
        <v>1.0928</v>
      </c>
      <c r="D90">
        <v>25912</v>
      </c>
      <c r="E90">
        <v>0.14807999999999999</v>
      </c>
      <c r="F90">
        <v>86</v>
      </c>
      <c r="G90" t="s">
        <v>123</v>
      </c>
    </row>
    <row r="91" spans="1:7" x14ac:dyDescent="0.25">
      <c r="A91" t="s">
        <v>55</v>
      </c>
      <c r="B91" t="s">
        <v>55</v>
      </c>
      <c r="C91">
        <v>1.17272</v>
      </c>
      <c r="D91">
        <v>19950</v>
      </c>
      <c r="E91">
        <v>8.0110000000000001E-2</v>
      </c>
      <c r="F91">
        <v>87</v>
      </c>
      <c r="G91" t="s">
        <v>124</v>
      </c>
    </row>
    <row r="92" spans="1:7" x14ac:dyDescent="0.25">
      <c r="A92" t="s">
        <v>55</v>
      </c>
      <c r="B92" t="s">
        <v>55</v>
      </c>
      <c r="C92">
        <v>1.09903</v>
      </c>
      <c r="D92">
        <v>20208</v>
      </c>
      <c r="E92">
        <v>9.9640000000000006E-2</v>
      </c>
      <c r="F92">
        <v>88</v>
      </c>
      <c r="G92" t="s">
        <v>125</v>
      </c>
    </row>
    <row r="93" spans="1:7" x14ac:dyDescent="0.25">
      <c r="A93" t="s">
        <v>55</v>
      </c>
      <c r="B93" t="s">
        <v>55</v>
      </c>
      <c r="C93">
        <v>1.2298899999999999</v>
      </c>
      <c r="D93">
        <v>20761</v>
      </c>
      <c r="E93">
        <v>7.9159999999999994E-2</v>
      </c>
      <c r="F93">
        <v>89</v>
      </c>
      <c r="G93" t="s">
        <v>126</v>
      </c>
    </row>
    <row r="94" spans="1:7" x14ac:dyDescent="0.25">
      <c r="A94" t="s">
        <v>55</v>
      </c>
      <c r="B94" t="s">
        <v>55</v>
      </c>
      <c r="C94">
        <v>1.21661</v>
      </c>
      <c r="D94">
        <v>20549</v>
      </c>
      <c r="E94">
        <v>9.1170000000000001E-2</v>
      </c>
      <c r="F94">
        <v>90</v>
      </c>
      <c r="G94" t="s">
        <v>127</v>
      </c>
    </row>
    <row r="95" spans="1:7" x14ac:dyDescent="0.25">
      <c r="A95" t="s">
        <v>55</v>
      </c>
      <c r="B95" t="s">
        <v>55</v>
      </c>
      <c r="C95">
        <v>1.2322900000000001</v>
      </c>
      <c r="D95">
        <v>19779</v>
      </c>
      <c r="E95">
        <v>6.191E-2</v>
      </c>
      <c r="F95">
        <v>91</v>
      </c>
      <c r="G95" t="s">
        <v>128</v>
      </c>
    </row>
    <row r="96" spans="1:7" x14ac:dyDescent="0.25">
      <c r="A96" t="s">
        <v>55</v>
      </c>
      <c r="B96" t="s">
        <v>55</v>
      </c>
      <c r="C96">
        <v>1.21427</v>
      </c>
      <c r="D96">
        <v>21662</v>
      </c>
      <c r="E96">
        <v>9.443E-2</v>
      </c>
      <c r="F96">
        <v>92</v>
      </c>
      <c r="G96" t="s">
        <v>129</v>
      </c>
    </row>
    <row r="97" spans="1:8" x14ac:dyDescent="0.25">
      <c r="A97" t="s">
        <v>55</v>
      </c>
      <c r="B97" t="s">
        <v>55</v>
      </c>
      <c r="C97">
        <v>1.3049500000000001</v>
      </c>
      <c r="D97">
        <v>21309</v>
      </c>
      <c r="E97">
        <v>9.6280000000000004E-2</v>
      </c>
      <c r="F97">
        <v>93</v>
      </c>
      <c r="G97" t="s">
        <v>130</v>
      </c>
      <c r="H97" t="s">
        <v>223</v>
      </c>
    </row>
    <row r="98" spans="1:8" x14ac:dyDescent="0.25">
      <c r="A98" t="s">
        <v>55</v>
      </c>
      <c r="B98" t="s">
        <v>55</v>
      </c>
      <c r="C98">
        <v>1.19794</v>
      </c>
      <c r="D98">
        <v>20103</v>
      </c>
      <c r="E98">
        <v>0.19028999999999999</v>
      </c>
      <c r="F98">
        <v>94</v>
      </c>
      <c r="G98" s="7" t="s">
        <v>131</v>
      </c>
      <c r="H98" s="7"/>
    </row>
    <row r="99" spans="1:8" x14ac:dyDescent="0.25">
      <c r="A99" t="s">
        <v>55</v>
      </c>
      <c r="B99" t="s">
        <v>55</v>
      </c>
      <c r="C99">
        <v>1.1874899999999999</v>
      </c>
      <c r="D99">
        <v>20625</v>
      </c>
      <c r="E99">
        <v>0.11183</v>
      </c>
      <c r="F99">
        <v>95</v>
      </c>
      <c r="G99" t="s">
        <v>132</v>
      </c>
    </row>
    <row r="100" spans="1:8" x14ac:dyDescent="0.25">
      <c r="A100" t="s">
        <v>55</v>
      </c>
      <c r="B100" t="s">
        <v>55</v>
      </c>
      <c r="C100">
        <v>1.26345</v>
      </c>
      <c r="D100">
        <v>19571</v>
      </c>
      <c r="E100">
        <v>0.19661999999999999</v>
      </c>
      <c r="F100">
        <v>96</v>
      </c>
      <c r="G100" t="s">
        <v>133</v>
      </c>
    </row>
    <row r="101" spans="1:8" x14ac:dyDescent="0.25">
      <c r="A101" t="s">
        <v>55</v>
      </c>
      <c r="B101" t="s">
        <v>55</v>
      </c>
      <c r="C101">
        <v>1.30644</v>
      </c>
      <c r="D101">
        <v>20913</v>
      </c>
      <c r="E101">
        <v>9.6829999999999999E-2</v>
      </c>
      <c r="F101">
        <v>97</v>
      </c>
      <c r="G101" t="s">
        <v>134</v>
      </c>
    </row>
    <row r="102" spans="1:8" x14ac:dyDescent="0.25">
      <c r="A102" t="s">
        <v>55</v>
      </c>
      <c r="B102" t="s">
        <v>55</v>
      </c>
      <c r="C102">
        <v>1.1656200000000001</v>
      </c>
      <c r="D102">
        <v>22635</v>
      </c>
      <c r="E102">
        <v>0.16033</v>
      </c>
      <c r="F102">
        <v>98</v>
      </c>
      <c r="G102" t="s">
        <v>135</v>
      </c>
    </row>
    <row r="103" spans="1:8" x14ac:dyDescent="0.25">
      <c r="A103" t="s">
        <v>55</v>
      </c>
      <c r="B103" t="s">
        <v>55</v>
      </c>
      <c r="C103">
        <v>1.1215599999999999</v>
      </c>
      <c r="D103">
        <v>23428</v>
      </c>
      <c r="E103">
        <v>0.1211</v>
      </c>
      <c r="F103">
        <v>99</v>
      </c>
      <c r="G103" t="s">
        <v>136</v>
      </c>
    </row>
    <row r="104" spans="1:8" x14ac:dyDescent="0.25">
      <c r="A104" t="s">
        <v>55</v>
      </c>
      <c r="B104" t="s">
        <v>55</v>
      </c>
      <c r="C104">
        <v>1.18414</v>
      </c>
      <c r="D104">
        <v>19555</v>
      </c>
      <c r="E104">
        <v>8.5129999999999997E-2</v>
      </c>
      <c r="F104">
        <v>100</v>
      </c>
      <c r="G104" t="s">
        <v>137</v>
      </c>
    </row>
    <row r="105" spans="1:8" x14ac:dyDescent="0.25">
      <c r="A105" t="s">
        <v>55</v>
      </c>
      <c r="B105" t="s">
        <v>55</v>
      </c>
      <c r="C105">
        <v>1.1121799999999999</v>
      </c>
      <c r="D105">
        <v>18289</v>
      </c>
      <c r="E105">
        <v>0.25939000000000001</v>
      </c>
      <c r="F105">
        <v>101</v>
      </c>
      <c r="G105" t="s">
        <v>138</v>
      </c>
    </row>
    <row r="106" spans="1:8" x14ac:dyDescent="0.25">
      <c r="A106" t="s">
        <v>55</v>
      </c>
      <c r="B106" t="s">
        <v>55</v>
      </c>
      <c r="C106">
        <v>1.31105</v>
      </c>
      <c r="D106">
        <v>22414</v>
      </c>
      <c r="E106">
        <v>7.8530000000000003E-2</v>
      </c>
      <c r="F106">
        <v>102</v>
      </c>
      <c r="G106" t="s">
        <v>139</v>
      </c>
    </row>
    <row r="107" spans="1:8" x14ac:dyDescent="0.25">
      <c r="A107" t="s">
        <v>55</v>
      </c>
      <c r="B107" t="s">
        <v>55</v>
      </c>
      <c r="C107">
        <v>1.1974100000000001</v>
      </c>
      <c r="D107">
        <v>22874</v>
      </c>
      <c r="E107">
        <v>0.10576000000000001</v>
      </c>
      <c r="F107">
        <v>103</v>
      </c>
      <c r="G107" t="s">
        <v>140</v>
      </c>
    </row>
    <row r="108" spans="1:8" x14ac:dyDescent="0.25">
      <c r="A108" t="s">
        <v>55</v>
      </c>
      <c r="B108" t="s">
        <v>55</v>
      </c>
      <c r="C108">
        <v>1.26786</v>
      </c>
      <c r="D108">
        <v>19305</v>
      </c>
      <c r="E108">
        <v>0.14202000000000001</v>
      </c>
      <c r="F108">
        <v>104</v>
      </c>
      <c r="G108" t="s">
        <v>141</v>
      </c>
    </row>
    <row r="109" spans="1:8" x14ac:dyDescent="0.25">
      <c r="A109" t="s">
        <v>55</v>
      </c>
      <c r="B109" t="s">
        <v>55</v>
      </c>
      <c r="C109">
        <v>1.1113299999999999</v>
      </c>
      <c r="D109">
        <v>18356</v>
      </c>
      <c r="E109">
        <v>0.19489000000000001</v>
      </c>
      <c r="F109">
        <v>105</v>
      </c>
      <c r="G109" t="s">
        <v>142</v>
      </c>
    </row>
    <row r="110" spans="1:8" x14ac:dyDescent="0.25">
      <c r="A110" t="s">
        <v>55</v>
      </c>
      <c r="B110" t="s">
        <v>55</v>
      </c>
      <c r="C110">
        <v>1.1105400000000001</v>
      </c>
      <c r="D110">
        <v>20935</v>
      </c>
      <c r="E110">
        <v>6.6769999999999996E-2</v>
      </c>
      <c r="F110">
        <v>106</v>
      </c>
      <c r="G110" t="s">
        <v>143</v>
      </c>
    </row>
    <row r="111" spans="1:8" x14ac:dyDescent="0.25">
      <c r="A111" t="s">
        <v>55</v>
      </c>
      <c r="B111" t="s">
        <v>55</v>
      </c>
      <c r="C111">
        <v>1.1824399999999999</v>
      </c>
      <c r="D111">
        <v>18497</v>
      </c>
      <c r="E111">
        <v>0.16753000000000001</v>
      </c>
      <c r="F111">
        <v>107</v>
      </c>
      <c r="G111" t="s">
        <v>144</v>
      </c>
    </row>
    <row r="112" spans="1:8" x14ac:dyDescent="0.25">
      <c r="A112" t="s">
        <v>55</v>
      </c>
      <c r="B112" t="s">
        <v>55</v>
      </c>
      <c r="C112">
        <v>1.47275</v>
      </c>
      <c r="D112">
        <v>18556</v>
      </c>
      <c r="E112">
        <v>0.21203</v>
      </c>
      <c r="F112">
        <v>108</v>
      </c>
      <c r="G112" t="s">
        <v>145</v>
      </c>
    </row>
    <row r="113" spans="1:7" x14ac:dyDescent="0.25">
      <c r="A113" t="s">
        <v>55</v>
      </c>
      <c r="B113" t="s">
        <v>55</v>
      </c>
      <c r="C113">
        <v>1.1062399999999999</v>
      </c>
      <c r="D113">
        <v>18186</v>
      </c>
      <c r="E113">
        <v>0.14856</v>
      </c>
      <c r="F113">
        <v>109</v>
      </c>
      <c r="G113" t="s">
        <v>146</v>
      </c>
    </row>
    <row r="114" spans="1:7" x14ac:dyDescent="0.25">
      <c r="A114" t="s">
        <v>55</v>
      </c>
      <c r="B114" t="s">
        <v>55</v>
      </c>
      <c r="C114">
        <v>1.23295</v>
      </c>
      <c r="D114">
        <v>19959</v>
      </c>
      <c r="E114">
        <v>0.18145</v>
      </c>
      <c r="F114">
        <v>110</v>
      </c>
      <c r="G114" t="s">
        <v>147</v>
      </c>
    </row>
    <row r="115" spans="1:7" x14ac:dyDescent="0.25">
      <c r="A115" t="s">
        <v>55</v>
      </c>
      <c r="B115" t="s">
        <v>55</v>
      </c>
      <c r="C115">
        <v>1.1412800000000001</v>
      </c>
      <c r="D115">
        <v>18481</v>
      </c>
      <c r="E115">
        <v>6.5159999999999996E-2</v>
      </c>
      <c r="F115">
        <v>111</v>
      </c>
      <c r="G115" t="s">
        <v>148</v>
      </c>
    </row>
    <row r="116" spans="1:7" x14ac:dyDescent="0.25">
      <c r="A116" t="s">
        <v>55</v>
      </c>
      <c r="B116" t="s">
        <v>55</v>
      </c>
      <c r="C116">
        <v>1.10547</v>
      </c>
      <c r="D116">
        <v>21518</v>
      </c>
      <c r="E116">
        <v>0.12956000000000001</v>
      </c>
      <c r="F116">
        <v>112</v>
      </c>
      <c r="G116" t="s">
        <v>149</v>
      </c>
    </row>
    <row r="117" spans="1:7" x14ac:dyDescent="0.25">
      <c r="A117" t="s">
        <v>55</v>
      </c>
      <c r="B117" t="s">
        <v>55</v>
      </c>
      <c r="C117">
        <v>1.2045300000000001</v>
      </c>
      <c r="D117">
        <v>18850</v>
      </c>
      <c r="E117">
        <v>0.28188000000000002</v>
      </c>
      <c r="F117">
        <v>113</v>
      </c>
      <c r="G117" t="s">
        <v>150</v>
      </c>
    </row>
    <row r="118" spans="1:7" x14ac:dyDescent="0.25">
      <c r="A118" t="s">
        <v>55</v>
      </c>
      <c r="B118" t="s">
        <v>55</v>
      </c>
      <c r="C118">
        <v>1.26962</v>
      </c>
      <c r="D118">
        <v>17366</v>
      </c>
      <c r="E118">
        <v>0.19814000000000001</v>
      </c>
      <c r="F118">
        <v>114</v>
      </c>
      <c r="G118" t="s">
        <v>151</v>
      </c>
    </row>
    <row r="119" spans="1:7" x14ac:dyDescent="0.25">
      <c r="A119" t="s">
        <v>55</v>
      </c>
      <c r="B119" t="s">
        <v>55</v>
      </c>
      <c r="C119">
        <v>1.1676800000000001</v>
      </c>
      <c r="D119">
        <v>20334</v>
      </c>
      <c r="E119">
        <v>0.16661000000000001</v>
      </c>
      <c r="F119">
        <v>115</v>
      </c>
      <c r="G119" t="s">
        <v>152</v>
      </c>
    </row>
    <row r="120" spans="1:7" x14ac:dyDescent="0.25">
      <c r="A120" t="s">
        <v>83</v>
      </c>
      <c r="B120" t="s">
        <v>55</v>
      </c>
      <c r="C120">
        <v>1.16734</v>
      </c>
      <c r="D120">
        <v>18591</v>
      </c>
      <c r="E120">
        <v>0.26607999999999998</v>
      </c>
      <c r="F120">
        <v>116</v>
      </c>
      <c r="G120" t="s">
        <v>152</v>
      </c>
    </row>
    <row r="121" spans="1:7" x14ac:dyDescent="0.25">
      <c r="A121" t="s">
        <v>55</v>
      </c>
      <c r="B121" t="s">
        <v>55</v>
      </c>
      <c r="C121">
        <v>1.0801400000000001</v>
      </c>
      <c r="D121">
        <v>17281</v>
      </c>
      <c r="E121">
        <v>0.45665</v>
      </c>
      <c r="F121">
        <v>117</v>
      </c>
      <c r="G121" t="s">
        <v>153</v>
      </c>
    </row>
    <row r="122" spans="1:7" x14ac:dyDescent="0.25">
      <c r="A122" t="s">
        <v>55</v>
      </c>
      <c r="B122" t="s">
        <v>55</v>
      </c>
      <c r="C122">
        <v>1.14846</v>
      </c>
      <c r="D122">
        <v>22847</v>
      </c>
      <c r="E122">
        <v>0.1201</v>
      </c>
      <c r="F122">
        <v>118</v>
      </c>
      <c r="G122" t="s">
        <v>154</v>
      </c>
    </row>
    <row r="123" spans="1:7" x14ac:dyDescent="0.25">
      <c r="A123" t="s">
        <v>55</v>
      </c>
      <c r="B123" t="s">
        <v>55</v>
      </c>
      <c r="C123">
        <v>1.12754</v>
      </c>
      <c r="D123">
        <v>20875</v>
      </c>
      <c r="E123">
        <v>0.15698000000000001</v>
      </c>
      <c r="F123">
        <v>119</v>
      </c>
      <c r="G123" t="s">
        <v>155</v>
      </c>
    </row>
    <row r="124" spans="1:7" x14ac:dyDescent="0.25">
      <c r="A124" t="s">
        <v>55</v>
      </c>
      <c r="B124" t="s">
        <v>55</v>
      </c>
      <c r="C124">
        <v>1.19398</v>
      </c>
      <c r="D124">
        <v>18459</v>
      </c>
      <c r="E124">
        <v>0.32993</v>
      </c>
      <c r="F124">
        <v>120</v>
      </c>
      <c r="G124" t="s">
        <v>155</v>
      </c>
    </row>
    <row r="125" spans="1:7" x14ac:dyDescent="0.25">
      <c r="A125" t="s">
        <v>55</v>
      </c>
      <c r="B125" t="s">
        <v>83</v>
      </c>
      <c r="C125">
        <v>1.22512</v>
      </c>
      <c r="D125">
        <v>18459</v>
      </c>
      <c r="E125">
        <v>0.32993</v>
      </c>
      <c r="F125">
        <v>121</v>
      </c>
      <c r="G125" t="s">
        <v>156</v>
      </c>
    </row>
    <row r="126" spans="1:7" x14ac:dyDescent="0.25">
      <c r="A126" t="s">
        <v>55</v>
      </c>
      <c r="B126" t="s">
        <v>55</v>
      </c>
      <c r="C126">
        <v>1.11137</v>
      </c>
      <c r="D126">
        <v>18208</v>
      </c>
      <c r="E126">
        <v>0.18309</v>
      </c>
      <c r="F126">
        <v>122</v>
      </c>
      <c r="G126" t="s">
        <v>157</v>
      </c>
    </row>
    <row r="127" spans="1:7" x14ac:dyDescent="0.25">
      <c r="A127" t="s">
        <v>55</v>
      </c>
      <c r="B127" t="s">
        <v>55</v>
      </c>
      <c r="C127">
        <v>1.1332800000000001</v>
      </c>
      <c r="D127">
        <v>13435</v>
      </c>
      <c r="E127">
        <v>0.29721999999999998</v>
      </c>
      <c r="F127">
        <v>123</v>
      </c>
      <c r="G127" t="s">
        <v>158</v>
      </c>
    </row>
    <row r="128" spans="1:7" x14ac:dyDescent="0.25">
      <c r="A128" t="s">
        <v>55</v>
      </c>
      <c r="B128" t="s">
        <v>55</v>
      </c>
      <c r="C128">
        <v>1.06854</v>
      </c>
      <c r="D128">
        <v>18237</v>
      </c>
      <c r="E128">
        <v>0.12669</v>
      </c>
      <c r="F128">
        <v>124</v>
      </c>
      <c r="G128" t="s">
        <v>159</v>
      </c>
    </row>
    <row r="129" spans="1:7" x14ac:dyDescent="0.25">
      <c r="A129" t="s">
        <v>55</v>
      </c>
      <c r="B129" t="s">
        <v>55</v>
      </c>
      <c r="C129">
        <v>7.9240000000000005E-2</v>
      </c>
      <c r="F129">
        <v>125</v>
      </c>
      <c r="G129" t="s">
        <v>160</v>
      </c>
    </row>
    <row r="130" spans="1:7" x14ac:dyDescent="0.25">
      <c r="A130" t="s">
        <v>55</v>
      </c>
      <c r="B130" t="s">
        <v>55</v>
      </c>
      <c r="C130">
        <v>1.24088</v>
      </c>
      <c r="D130">
        <v>17608</v>
      </c>
      <c r="E130">
        <v>0.16650000000000001</v>
      </c>
      <c r="F130">
        <v>126</v>
      </c>
      <c r="G130" t="s">
        <v>161</v>
      </c>
    </row>
    <row r="131" spans="1:7" x14ac:dyDescent="0.25">
      <c r="A131" t="s">
        <v>55</v>
      </c>
      <c r="B131" t="s">
        <v>55</v>
      </c>
      <c r="C131">
        <v>1.12547</v>
      </c>
      <c r="D131">
        <v>19611</v>
      </c>
      <c r="E131">
        <v>0.46823999999999999</v>
      </c>
      <c r="F131">
        <v>127</v>
      </c>
      <c r="G131" t="s">
        <v>162</v>
      </c>
    </row>
    <row r="132" spans="1:7" x14ac:dyDescent="0.25">
      <c r="A132" t="s">
        <v>55</v>
      </c>
      <c r="B132" t="s">
        <v>55</v>
      </c>
      <c r="C132">
        <v>1.23203</v>
      </c>
      <c r="D132">
        <v>21523</v>
      </c>
      <c r="E132">
        <v>0.39512000000000003</v>
      </c>
      <c r="F132">
        <v>128</v>
      </c>
      <c r="G132" t="s">
        <v>163</v>
      </c>
    </row>
    <row r="133" spans="1:7" x14ac:dyDescent="0.25">
      <c r="A133" t="s">
        <v>55</v>
      </c>
      <c r="B133" t="s">
        <v>55</v>
      </c>
      <c r="C133">
        <v>1.11052</v>
      </c>
      <c r="D133">
        <v>19695</v>
      </c>
      <c r="E133">
        <v>0.16675999999999999</v>
      </c>
      <c r="F133">
        <v>129</v>
      </c>
      <c r="G133" t="s">
        <v>164</v>
      </c>
    </row>
    <row r="134" spans="1:7" x14ac:dyDescent="0.25">
      <c r="A134" t="s">
        <v>55</v>
      </c>
      <c r="B134" t="s">
        <v>55</v>
      </c>
      <c r="C134">
        <v>1.09819</v>
      </c>
      <c r="D134">
        <v>23989</v>
      </c>
      <c r="E134">
        <v>0.39129999999999998</v>
      </c>
      <c r="F134">
        <v>130</v>
      </c>
      <c r="G134" t="s">
        <v>165</v>
      </c>
    </row>
    <row r="135" spans="1:7" x14ac:dyDescent="0.25">
      <c r="A135" t="s">
        <v>55</v>
      </c>
      <c r="B135" t="s">
        <v>55</v>
      </c>
      <c r="C135">
        <v>1.1927000000000001</v>
      </c>
      <c r="D135">
        <v>19575</v>
      </c>
      <c r="E135">
        <v>0.32113999999999998</v>
      </c>
      <c r="F135">
        <v>131</v>
      </c>
      <c r="G135" t="s">
        <v>166</v>
      </c>
    </row>
    <row r="136" spans="1:7" x14ac:dyDescent="0.25">
      <c r="A136" t="s">
        <v>55</v>
      </c>
      <c r="B136" t="s">
        <v>55</v>
      </c>
      <c r="C136">
        <v>1.0988599999999999</v>
      </c>
      <c r="D136">
        <v>21021</v>
      </c>
      <c r="E136">
        <v>0.23307</v>
      </c>
      <c r="F136">
        <v>132</v>
      </c>
      <c r="G136" t="s">
        <v>167</v>
      </c>
    </row>
    <row r="137" spans="1:7" x14ac:dyDescent="0.25">
      <c r="A137" t="s">
        <v>55</v>
      </c>
      <c r="B137" t="s">
        <v>55</v>
      </c>
      <c r="C137">
        <v>1.0981000000000001</v>
      </c>
      <c r="D137">
        <v>19419</v>
      </c>
      <c r="E137">
        <v>0.17748</v>
      </c>
      <c r="F137">
        <v>133</v>
      </c>
      <c r="G137" t="s">
        <v>168</v>
      </c>
    </row>
    <row r="138" spans="1:7" x14ac:dyDescent="0.25">
      <c r="A138" t="s">
        <v>83</v>
      </c>
      <c r="B138" t="s">
        <v>55</v>
      </c>
      <c r="C138">
        <v>1.09216</v>
      </c>
      <c r="D138">
        <v>18158</v>
      </c>
      <c r="E138">
        <v>0.18312</v>
      </c>
      <c r="F138">
        <v>134</v>
      </c>
      <c r="G138" t="s">
        <v>168</v>
      </c>
    </row>
    <row r="139" spans="1:7" x14ac:dyDescent="0.25">
      <c r="A139" t="s">
        <v>55</v>
      </c>
      <c r="B139" t="s">
        <v>55</v>
      </c>
      <c r="C139">
        <v>1.23203</v>
      </c>
      <c r="D139">
        <v>21474</v>
      </c>
      <c r="E139">
        <v>0.71711999999999998</v>
      </c>
      <c r="F139">
        <v>135</v>
      </c>
      <c r="G139" t="s">
        <v>169</v>
      </c>
    </row>
    <row r="140" spans="1:7" x14ac:dyDescent="0.25">
      <c r="A140" t="s">
        <v>55</v>
      </c>
      <c r="B140" t="s">
        <v>55</v>
      </c>
      <c r="C140">
        <v>1.1224700000000001</v>
      </c>
      <c r="D140">
        <v>25891</v>
      </c>
      <c r="E140">
        <v>0.23216000000000001</v>
      </c>
      <c r="F140">
        <v>136</v>
      </c>
      <c r="G140" t="s">
        <v>170</v>
      </c>
    </row>
    <row r="141" spans="1:7" x14ac:dyDescent="0.25">
      <c r="A141" t="s">
        <v>55</v>
      </c>
      <c r="B141" t="s">
        <v>55</v>
      </c>
      <c r="C141">
        <v>1.23204</v>
      </c>
      <c r="D141">
        <v>25134</v>
      </c>
      <c r="E141">
        <v>0.19134000000000001</v>
      </c>
      <c r="F141">
        <v>137</v>
      </c>
      <c r="G141" t="s">
        <v>171</v>
      </c>
    </row>
    <row r="142" spans="1:7" x14ac:dyDescent="0.25">
      <c r="A142" t="s">
        <v>83</v>
      </c>
      <c r="B142" t="s">
        <v>55</v>
      </c>
      <c r="C142">
        <v>1.1805600000000001</v>
      </c>
      <c r="D142">
        <v>16753</v>
      </c>
      <c r="E142">
        <v>0.40458</v>
      </c>
      <c r="F142">
        <v>138</v>
      </c>
      <c r="G142" t="s">
        <v>172</v>
      </c>
    </row>
    <row r="143" spans="1:7" x14ac:dyDescent="0.25">
      <c r="A143" t="s">
        <v>83</v>
      </c>
      <c r="B143" t="s">
        <v>83</v>
      </c>
      <c r="C143">
        <v>1.1937800000000001</v>
      </c>
      <c r="D143">
        <v>16753</v>
      </c>
      <c r="E143">
        <v>0.40458</v>
      </c>
      <c r="F143">
        <v>139</v>
      </c>
      <c r="G143" t="s">
        <v>173</v>
      </c>
    </row>
    <row r="144" spans="1:7" x14ac:dyDescent="0.25">
      <c r="A144" t="s">
        <v>83</v>
      </c>
      <c r="B144" t="s">
        <v>55</v>
      </c>
      <c r="C144">
        <v>1.0483199999999999</v>
      </c>
      <c r="D144">
        <v>19786</v>
      </c>
      <c r="E144">
        <v>0.27833000000000002</v>
      </c>
      <c r="F144">
        <v>140</v>
      </c>
      <c r="G144" t="s">
        <v>174</v>
      </c>
    </row>
    <row r="145" spans="1:7" x14ac:dyDescent="0.25">
      <c r="A145" t="s">
        <v>83</v>
      </c>
      <c r="B145" t="s">
        <v>55</v>
      </c>
      <c r="C145">
        <v>1.17567</v>
      </c>
      <c r="D145">
        <v>20942</v>
      </c>
      <c r="E145">
        <v>0.23014999999999999</v>
      </c>
      <c r="F145">
        <v>141</v>
      </c>
      <c r="G145" t="s">
        <v>175</v>
      </c>
    </row>
    <row r="146" spans="1:7" x14ac:dyDescent="0.25">
      <c r="A146" t="s">
        <v>83</v>
      </c>
      <c r="B146" t="s">
        <v>55</v>
      </c>
      <c r="C146">
        <v>1.2557799999999999</v>
      </c>
      <c r="D146">
        <v>20009</v>
      </c>
      <c r="E146">
        <v>9.6070000000000003E-2</v>
      </c>
      <c r="F146">
        <v>142</v>
      </c>
      <c r="G146" t="s">
        <v>176</v>
      </c>
    </row>
    <row r="147" spans="1:7" x14ac:dyDescent="0.25">
      <c r="A147" t="s">
        <v>83</v>
      </c>
      <c r="B147" t="s">
        <v>55</v>
      </c>
      <c r="C147">
        <v>1.2383500000000001</v>
      </c>
      <c r="D147">
        <v>20952</v>
      </c>
      <c r="E147">
        <v>0.19248000000000001</v>
      </c>
      <c r="F147">
        <v>143</v>
      </c>
      <c r="G147" t="s">
        <v>177</v>
      </c>
    </row>
    <row r="148" spans="1:7" x14ac:dyDescent="0.25">
      <c r="A148" t="s">
        <v>55</v>
      </c>
      <c r="B148" t="s">
        <v>55</v>
      </c>
      <c r="C148">
        <v>1.3602700000000001</v>
      </c>
      <c r="D148">
        <v>16948</v>
      </c>
      <c r="E148">
        <v>0.16908000000000001</v>
      </c>
      <c r="F148">
        <v>144</v>
      </c>
      <c r="G148" t="s">
        <v>178</v>
      </c>
    </row>
    <row r="149" spans="1:7" x14ac:dyDescent="0.25">
      <c r="A149" t="s">
        <v>83</v>
      </c>
      <c r="B149" t="s">
        <v>55</v>
      </c>
      <c r="C149">
        <v>1.42509</v>
      </c>
      <c r="D149">
        <v>19561</v>
      </c>
      <c r="E149">
        <v>0.12869</v>
      </c>
      <c r="F149">
        <v>145</v>
      </c>
      <c r="G149" t="s">
        <v>178</v>
      </c>
    </row>
    <row r="150" spans="1:7" x14ac:dyDescent="0.25">
      <c r="A150" t="s">
        <v>55</v>
      </c>
      <c r="B150" t="s">
        <v>55</v>
      </c>
      <c r="C150">
        <v>1.10877</v>
      </c>
      <c r="D150">
        <v>18800</v>
      </c>
      <c r="E150">
        <v>0.34417999999999999</v>
      </c>
      <c r="F150">
        <v>146</v>
      </c>
      <c r="G150" t="s">
        <v>179</v>
      </c>
    </row>
    <row r="151" spans="1:7" x14ac:dyDescent="0.25">
      <c r="A151" t="s">
        <v>83</v>
      </c>
      <c r="B151" t="s">
        <v>55</v>
      </c>
      <c r="C151">
        <v>1.2083200000000001</v>
      </c>
      <c r="D151">
        <v>18120</v>
      </c>
      <c r="E151">
        <v>0.22356000000000001</v>
      </c>
      <c r="F151">
        <v>147</v>
      </c>
      <c r="G151" t="s">
        <v>179</v>
      </c>
    </row>
    <row r="152" spans="1:7" x14ac:dyDescent="0.25">
      <c r="A152" t="s">
        <v>83</v>
      </c>
      <c r="B152" t="s">
        <v>83</v>
      </c>
      <c r="C152">
        <v>1.0829</v>
      </c>
      <c r="D152">
        <v>21766</v>
      </c>
      <c r="E152">
        <v>0.48137999999999997</v>
      </c>
      <c r="F152">
        <v>148</v>
      </c>
      <c r="G152" t="s">
        <v>180</v>
      </c>
    </row>
    <row r="153" spans="1:7" x14ac:dyDescent="0.25">
      <c r="A153" t="s">
        <v>83</v>
      </c>
      <c r="B153" t="s">
        <v>83</v>
      </c>
      <c r="C153">
        <v>1.2240599999999999</v>
      </c>
      <c r="D153">
        <v>19100</v>
      </c>
      <c r="E153">
        <v>0.81864000000000003</v>
      </c>
      <c r="F153">
        <v>149</v>
      </c>
      <c r="G153" t="s">
        <v>181</v>
      </c>
    </row>
    <row r="154" spans="1:7" x14ac:dyDescent="0.25">
      <c r="A154" t="s">
        <v>55</v>
      </c>
      <c r="B154" t="s">
        <v>83</v>
      </c>
      <c r="C154">
        <v>1.11541</v>
      </c>
      <c r="D154">
        <v>18471</v>
      </c>
      <c r="E154">
        <v>0.76241999999999999</v>
      </c>
      <c r="F154">
        <v>150</v>
      </c>
      <c r="G154" t="s">
        <v>182</v>
      </c>
    </row>
    <row r="155" spans="1:7" x14ac:dyDescent="0.25">
      <c r="A155" t="s">
        <v>83</v>
      </c>
      <c r="B155" t="s">
        <v>83</v>
      </c>
      <c r="C155">
        <v>1.21662</v>
      </c>
      <c r="D155">
        <v>19370</v>
      </c>
      <c r="E155">
        <v>0.74609000000000003</v>
      </c>
      <c r="F155">
        <v>151</v>
      </c>
      <c r="G155" t="s">
        <v>182</v>
      </c>
    </row>
    <row r="156" spans="1:7" x14ac:dyDescent="0.25">
      <c r="A156" t="s">
        <v>83</v>
      </c>
      <c r="B156" t="s">
        <v>83</v>
      </c>
      <c r="C156">
        <v>1.1039699999999999</v>
      </c>
      <c r="D156">
        <v>19807</v>
      </c>
      <c r="E156">
        <v>0.63358000000000003</v>
      </c>
      <c r="F156">
        <v>152</v>
      </c>
      <c r="G156" t="s">
        <v>183</v>
      </c>
    </row>
    <row r="157" spans="1:7" x14ac:dyDescent="0.25">
      <c r="A157" t="s">
        <v>55</v>
      </c>
      <c r="B157" t="s">
        <v>83</v>
      </c>
      <c r="C157">
        <v>1.1402699999999999</v>
      </c>
      <c r="D157">
        <v>19126</v>
      </c>
      <c r="E157">
        <v>0.68989999999999996</v>
      </c>
      <c r="F157">
        <v>153</v>
      </c>
      <c r="G157" t="s">
        <v>184</v>
      </c>
    </row>
    <row r="158" spans="1:7" x14ac:dyDescent="0.25">
      <c r="A158" t="s">
        <v>83</v>
      </c>
      <c r="B158" t="s">
        <v>55</v>
      </c>
      <c r="C158">
        <v>1.0788500000000001</v>
      </c>
      <c r="D158">
        <v>20807</v>
      </c>
      <c r="E158">
        <v>0.56381999999999999</v>
      </c>
      <c r="F158">
        <v>154</v>
      </c>
      <c r="G158" t="s">
        <v>184</v>
      </c>
    </row>
    <row r="159" spans="1:7" x14ac:dyDescent="0.25">
      <c r="A159" t="s">
        <v>83</v>
      </c>
      <c r="B159" t="s">
        <v>83</v>
      </c>
      <c r="C159">
        <v>1.1732499999999999</v>
      </c>
      <c r="D159">
        <v>20807</v>
      </c>
      <c r="E159">
        <v>0.56381999999999999</v>
      </c>
      <c r="F159">
        <v>155</v>
      </c>
      <c r="G159" t="s">
        <v>185</v>
      </c>
    </row>
    <row r="160" spans="1:7" x14ac:dyDescent="0.25">
      <c r="A160" t="s">
        <v>55</v>
      </c>
      <c r="B160" t="s">
        <v>55</v>
      </c>
      <c r="C160">
        <v>1.1011500000000001</v>
      </c>
      <c r="D160">
        <v>18849</v>
      </c>
      <c r="E160">
        <v>0.53003999999999996</v>
      </c>
      <c r="F160">
        <v>156</v>
      </c>
      <c r="G160" t="s">
        <v>186</v>
      </c>
    </row>
    <row r="161" spans="1:7" x14ac:dyDescent="0.25">
      <c r="A161" t="s">
        <v>83</v>
      </c>
      <c r="B161" t="s">
        <v>83</v>
      </c>
      <c r="C161">
        <v>1.23376</v>
      </c>
      <c r="D161">
        <v>18849</v>
      </c>
      <c r="E161">
        <v>0.53003999999999996</v>
      </c>
      <c r="F161">
        <v>157</v>
      </c>
      <c r="G161" t="s">
        <v>186</v>
      </c>
    </row>
    <row r="162" spans="1:7" x14ac:dyDescent="0.25">
      <c r="A162" t="s">
        <v>83</v>
      </c>
      <c r="B162" t="s">
        <v>83</v>
      </c>
      <c r="C162">
        <v>1.1484799999999999</v>
      </c>
      <c r="D162">
        <v>18769</v>
      </c>
      <c r="E162">
        <v>0.81845999999999997</v>
      </c>
      <c r="F162">
        <v>158</v>
      </c>
      <c r="G162" t="s">
        <v>187</v>
      </c>
    </row>
    <row r="163" spans="1:7" x14ac:dyDescent="0.25">
      <c r="A163" t="s">
        <v>83</v>
      </c>
      <c r="B163" t="s">
        <v>83</v>
      </c>
      <c r="C163">
        <v>1.20225</v>
      </c>
      <c r="D163">
        <v>17998</v>
      </c>
      <c r="E163">
        <v>0.76239000000000001</v>
      </c>
      <c r="F163">
        <v>159</v>
      </c>
      <c r="G163" t="s">
        <v>188</v>
      </c>
    </row>
    <row r="164" spans="1:7" x14ac:dyDescent="0.25">
      <c r="A164" t="s">
        <v>83</v>
      </c>
      <c r="B164" t="s">
        <v>55</v>
      </c>
      <c r="C164">
        <v>1.1047100000000001</v>
      </c>
      <c r="D164">
        <v>19877</v>
      </c>
      <c r="E164">
        <v>0.70352999999999999</v>
      </c>
      <c r="F164">
        <v>160</v>
      </c>
      <c r="G164" t="s">
        <v>189</v>
      </c>
    </row>
    <row r="165" spans="1:7" x14ac:dyDescent="0.25">
      <c r="A165" t="s">
        <v>55</v>
      </c>
      <c r="B165" t="s">
        <v>83</v>
      </c>
      <c r="C165">
        <v>1.09253</v>
      </c>
      <c r="D165">
        <v>19877</v>
      </c>
      <c r="E165">
        <v>0.70352999999999999</v>
      </c>
      <c r="F165">
        <v>161</v>
      </c>
      <c r="G165" t="s">
        <v>190</v>
      </c>
    </row>
    <row r="166" spans="1:7" x14ac:dyDescent="0.25">
      <c r="A166" t="s">
        <v>55</v>
      </c>
      <c r="B166" t="s">
        <v>83</v>
      </c>
      <c r="C166">
        <v>1.11402</v>
      </c>
      <c r="D166">
        <v>16599</v>
      </c>
      <c r="E166">
        <v>0.81540000000000001</v>
      </c>
      <c r="F166">
        <v>162</v>
      </c>
      <c r="G166" t="s">
        <v>191</v>
      </c>
    </row>
    <row r="167" spans="1:7" x14ac:dyDescent="0.25">
      <c r="A167" t="s">
        <v>55</v>
      </c>
      <c r="B167" t="s">
        <v>55</v>
      </c>
      <c r="C167">
        <v>1.13117</v>
      </c>
      <c r="D167">
        <v>19039</v>
      </c>
      <c r="E167">
        <v>0.38012000000000001</v>
      </c>
      <c r="F167">
        <v>163</v>
      </c>
      <c r="G167" t="s">
        <v>192</v>
      </c>
    </row>
    <row r="168" spans="1:7" x14ac:dyDescent="0.25">
      <c r="A168" t="s">
        <v>55</v>
      </c>
      <c r="B168" t="s">
        <v>83</v>
      </c>
      <c r="C168">
        <v>1.11965</v>
      </c>
      <c r="D168">
        <v>19039</v>
      </c>
      <c r="E168">
        <v>0.38012000000000001</v>
      </c>
      <c r="F168">
        <v>164</v>
      </c>
      <c r="G168" t="s">
        <v>193</v>
      </c>
    </row>
    <row r="169" spans="1:7" x14ac:dyDescent="0.25">
      <c r="A169" t="s">
        <v>55</v>
      </c>
      <c r="B169" t="s">
        <v>83</v>
      </c>
      <c r="C169">
        <v>1.13184</v>
      </c>
      <c r="D169">
        <v>15158</v>
      </c>
      <c r="E169">
        <v>0.48738999999999999</v>
      </c>
      <c r="F169">
        <v>165</v>
      </c>
      <c r="G169" t="s">
        <v>194</v>
      </c>
    </row>
    <row r="170" spans="1:7" x14ac:dyDescent="0.25">
      <c r="A170" t="s">
        <v>55</v>
      </c>
      <c r="B170" t="s">
        <v>55</v>
      </c>
      <c r="C170">
        <v>1.3204899999999999</v>
      </c>
      <c r="D170">
        <v>22503</v>
      </c>
      <c r="E170">
        <v>0.35488999999999998</v>
      </c>
      <c r="F170">
        <v>166</v>
      </c>
      <c r="G170" t="s">
        <v>195</v>
      </c>
    </row>
    <row r="171" spans="1:7" x14ac:dyDescent="0.25">
      <c r="A171" t="s">
        <v>55</v>
      </c>
      <c r="B171" t="s">
        <v>83</v>
      </c>
      <c r="C171">
        <v>1.1588799999999999</v>
      </c>
      <c r="D171">
        <v>22503</v>
      </c>
      <c r="E171">
        <v>0.35488999999999998</v>
      </c>
      <c r="F171">
        <v>167</v>
      </c>
      <c r="G171" t="s">
        <v>196</v>
      </c>
    </row>
    <row r="172" spans="1:7" x14ac:dyDescent="0.25">
      <c r="A172" t="s">
        <v>55</v>
      </c>
      <c r="B172" t="s">
        <v>83</v>
      </c>
      <c r="C172">
        <v>1.1485300000000001</v>
      </c>
      <c r="D172">
        <v>16622</v>
      </c>
      <c r="E172">
        <v>0.86529</v>
      </c>
      <c r="F172">
        <v>168</v>
      </c>
      <c r="G172" t="s">
        <v>197</v>
      </c>
    </row>
    <row r="173" spans="1:7" x14ac:dyDescent="0.25">
      <c r="A173" t="s">
        <v>55</v>
      </c>
      <c r="B173" t="s">
        <v>83</v>
      </c>
      <c r="C173">
        <v>1.2273000000000001</v>
      </c>
      <c r="D173">
        <v>17562</v>
      </c>
      <c r="E173">
        <v>0.83314999999999995</v>
      </c>
      <c r="F173">
        <v>169</v>
      </c>
      <c r="G173" t="s">
        <v>198</v>
      </c>
    </row>
    <row r="174" spans="1:7" x14ac:dyDescent="0.25">
      <c r="A174" t="s">
        <v>55</v>
      </c>
      <c r="B174" t="s">
        <v>83</v>
      </c>
      <c r="C174">
        <v>1.14219</v>
      </c>
      <c r="D174">
        <v>20840</v>
      </c>
      <c r="E174">
        <v>0.78066000000000002</v>
      </c>
      <c r="F174">
        <v>170</v>
      </c>
      <c r="G174" t="s">
        <v>199</v>
      </c>
    </row>
    <row r="175" spans="1:7" x14ac:dyDescent="0.25">
      <c r="A175" t="s">
        <v>55</v>
      </c>
      <c r="B175" t="s">
        <v>55</v>
      </c>
      <c r="C175">
        <v>1.0693900000000001</v>
      </c>
      <c r="D175">
        <v>18639</v>
      </c>
      <c r="E175">
        <v>0.10317999999999999</v>
      </c>
      <c r="F175">
        <v>171</v>
      </c>
      <c r="G175" t="s">
        <v>200</v>
      </c>
    </row>
    <row r="176" spans="1:7" x14ac:dyDescent="0.25">
      <c r="A176" t="s">
        <v>55</v>
      </c>
      <c r="B176" t="s">
        <v>55</v>
      </c>
      <c r="C176">
        <v>1.1847300000000001</v>
      </c>
      <c r="D176">
        <v>19872</v>
      </c>
      <c r="E176">
        <v>0.13122</v>
      </c>
      <c r="F176">
        <v>172</v>
      </c>
      <c r="G176" t="s">
        <v>201</v>
      </c>
    </row>
    <row r="177" spans="1:7" x14ac:dyDescent="0.25">
      <c r="A177" t="s">
        <v>55</v>
      </c>
      <c r="B177" t="s">
        <v>55</v>
      </c>
      <c r="C177">
        <v>1.12378</v>
      </c>
      <c r="D177">
        <v>19304</v>
      </c>
      <c r="E177">
        <v>0.13267999999999999</v>
      </c>
      <c r="F177">
        <v>173</v>
      </c>
      <c r="G177" t="s">
        <v>202</v>
      </c>
    </row>
    <row r="178" spans="1:7" x14ac:dyDescent="0.25">
      <c r="A178" t="s">
        <v>55</v>
      </c>
      <c r="B178" t="s">
        <v>55</v>
      </c>
      <c r="C178">
        <v>1.2714399999999999</v>
      </c>
      <c r="D178">
        <v>19770</v>
      </c>
      <c r="E178">
        <v>0.11531</v>
      </c>
      <c r="F178">
        <v>174</v>
      </c>
      <c r="G178" t="s">
        <v>203</v>
      </c>
    </row>
    <row r="179" spans="1:7" x14ac:dyDescent="0.25">
      <c r="A179" t="s">
        <v>55</v>
      </c>
      <c r="B179" t="s">
        <v>55</v>
      </c>
      <c r="C179">
        <v>1.1560299999999999</v>
      </c>
      <c r="D179">
        <v>21114</v>
      </c>
      <c r="E179">
        <v>0.11076</v>
      </c>
      <c r="F179">
        <v>175</v>
      </c>
      <c r="G179" t="s">
        <v>204</v>
      </c>
    </row>
    <row r="180" spans="1:7" x14ac:dyDescent="0.25">
      <c r="A180" t="s">
        <v>55</v>
      </c>
      <c r="B180" t="s">
        <v>55</v>
      </c>
      <c r="C180">
        <v>1.20848</v>
      </c>
      <c r="D180">
        <v>19921</v>
      </c>
      <c r="E180">
        <v>0.12259</v>
      </c>
      <c r="F180">
        <v>176</v>
      </c>
      <c r="G180" t="s">
        <v>205</v>
      </c>
    </row>
    <row r="181" spans="1:7" x14ac:dyDescent="0.25">
      <c r="A181" t="s">
        <v>55</v>
      </c>
      <c r="B181" t="s">
        <v>55</v>
      </c>
      <c r="C181">
        <v>1.09337</v>
      </c>
      <c r="D181">
        <v>18472</v>
      </c>
      <c r="E181">
        <v>0.50851999999999997</v>
      </c>
      <c r="F181">
        <v>177</v>
      </c>
      <c r="G181" t="s">
        <v>206</v>
      </c>
    </row>
    <row r="182" spans="1:7" x14ac:dyDescent="0.25">
      <c r="A182" t="s">
        <v>55</v>
      </c>
      <c r="B182" t="s">
        <v>55</v>
      </c>
      <c r="C182">
        <v>1.17544</v>
      </c>
      <c r="D182">
        <v>20129</v>
      </c>
      <c r="E182">
        <v>0.18235000000000001</v>
      </c>
      <c r="F182">
        <v>178</v>
      </c>
      <c r="G182" t="s">
        <v>207</v>
      </c>
    </row>
    <row r="183" spans="1:7" x14ac:dyDescent="0.25">
      <c r="A183" t="s">
        <v>55</v>
      </c>
      <c r="B183" t="s">
        <v>55</v>
      </c>
      <c r="C183">
        <v>1.07969</v>
      </c>
      <c r="D183">
        <v>20540</v>
      </c>
      <c r="E183">
        <v>0.25383</v>
      </c>
      <c r="F183">
        <v>179</v>
      </c>
      <c r="G183" t="s">
        <v>208</v>
      </c>
    </row>
    <row r="184" spans="1:7" x14ac:dyDescent="0.25">
      <c r="A184" t="s">
        <v>55</v>
      </c>
      <c r="B184" t="s">
        <v>55</v>
      </c>
      <c r="C184">
        <v>1.1634599999999999</v>
      </c>
      <c r="D184">
        <v>18523</v>
      </c>
      <c r="E184">
        <v>0.11704000000000001</v>
      </c>
      <c r="F184">
        <v>180</v>
      </c>
      <c r="G184" t="s">
        <v>209</v>
      </c>
    </row>
    <row r="185" spans="1:7" x14ac:dyDescent="0.25">
      <c r="A185" t="s">
        <v>55</v>
      </c>
      <c r="B185" t="s">
        <v>55</v>
      </c>
      <c r="C185">
        <v>1.17299</v>
      </c>
      <c r="D185">
        <v>20735</v>
      </c>
      <c r="E185">
        <v>6.6669999999999993E-2</v>
      </c>
      <c r="F185">
        <v>181</v>
      </c>
      <c r="G185" t="s">
        <v>210</v>
      </c>
    </row>
    <row r="186" spans="1:7" x14ac:dyDescent="0.25">
      <c r="A186" t="s">
        <v>55</v>
      </c>
      <c r="B186" t="s">
        <v>55</v>
      </c>
      <c r="C186">
        <v>1.1813100000000001</v>
      </c>
      <c r="D186">
        <v>20193</v>
      </c>
      <c r="E186">
        <v>8.4459999999999993E-2</v>
      </c>
      <c r="F186">
        <v>182</v>
      </c>
      <c r="G186" t="s">
        <v>211</v>
      </c>
    </row>
    <row r="187" spans="1:7" x14ac:dyDescent="0.25">
      <c r="A187" t="s">
        <v>55</v>
      </c>
      <c r="B187" t="s">
        <v>55</v>
      </c>
      <c r="C187">
        <v>1.1463399999999999</v>
      </c>
      <c r="D187">
        <v>19370</v>
      </c>
      <c r="E187">
        <v>0.15755</v>
      </c>
      <c r="F187">
        <v>183</v>
      </c>
      <c r="G187" t="s">
        <v>212</v>
      </c>
    </row>
    <row r="188" spans="1:7" x14ac:dyDescent="0.25">
      <c r="A188" t="s">
        <v>55</v>
      </c>
      <c r="B188" t="s">
        <v>55</v>
      </c>
      <c r="C188">
        <v>1.25471</v>
      </c>
      <c r="D188">
        <v>21937</v>
      </c>
      <c r="E188">
        <v>0.11985999999999999</v>
      </c>
      <c r="F188">
        <v>184</v>
      </c>
      <c r="G188" t="s">
        <v>213</v>
      </c>
    </row>
    <row r="189" spans="1:7" x14ac:dyDescent="0.25">
      <c r="A189" t="s">
        <v>55</v>
      </c>
      <c r="B189" t="s">
        <v>55</v>
      </c>
      <c r="C189">
        <v>1.17822</v>
      </c>
      <c r="D189">
        <v>23710</v>
      </c>
      <c r="E189">
        <v>0.13861000000000001</v>
      </c>
      <c r="F189">
        <v>185</v>
      </c>
      <c r="G189" t="s">
        <v>214</v>
      </c>
    </row>
    <row r="190" spans="1:7" x14ac:dyDescent="0.25">
      <c r="A190" t="s">
        <v>55</v>
      </c>
      <c r="B190" t="s">
        <v>55</v>
      </c>
      <c r="C190">
        <v>1.16496</v>
      </c>
      <c r="D190">
        <v>21118</v>
      </c>
      <c r="E190">
        <v>0.10728</v>
      </c>
      <c r="F190">
        <v>186</v>
      </c>
      <c r="G190" t="s">
        <v>215</v>
      </c>
    </row>
    <row r="191" spans="1:7" x14ac:dyDescent="0.25">
      <c r="A191" t="s">
        <v>55</v>
      </c>
      <c r="B191" t="s">
        <v>55</v>
      </c>
      <c r="C191">
        <v>1.1910000000000001</v>
      </c>
      <c r="D191">
        <v>21108</v>
      </c>
      <c r="E191">
        <v>0.10783</v>
      </c>
      <c r="F191">
        <v>187</v>
      </c>
      <c r="G191" t="s">
        <v>216</v>
      </c>
    </row>
    <row r="192" spans="1:7" x14ac:dyDescent="0.25">
      <c r="A192" t="s">
        <v>55</v>
      </c>
      <c r="B192" t="s">
        <v>55</v>
      </c>
      <c r="C192">
        <v>1.13493</v>
      </c>
      <c r="D192">
        <v>20743</v>
      </c>
      <c r="E192">
        <v>0.18410000000000001</v>
      </c>
      <c r="F192">
        <v>188</v>
      </c>
      <c r="G192" t="s">
        <v>217</v>
      </c>
    </row>
    <row r="193" spans="1:7" x14ac:dyDescent="0.25">
      <c r="A193" t="s">
        <v>55</v>
      </c>
      <c r="B193" t="s">
        <v>55</v>
      </c>
      <c r="C193">
        <v>1.15245</v>
      </c>
      <c r="D193">
        <v>20737</v>
      </c>
      <c r="E193">
        <v>0.12476</v>
      </c>
      <c r="F193">
        <v>189</v>
      </c>
      <c r="G193" t="s">
        <v>218</v>
      </c>
    </row>
    <row r="194" spans="1:7" x14ac:dyDescent="0.25">
      <c r="A194" t="s">
        <v>55</v>
      </c>
      <c r="B194" t="s">
        <v>55</v>
      </c>
      <c r="C194">
        <v>1.24821</v>
      </c>
      <c r="D194">
        <v>18855</v>
      </c>
      <c r="E194">
        <v>0.11711000000000001</v>
      </c>
      <c r="F194">
        <v>190</v>
      </c>
      <c r="G194" t="s">
        <v>219</v>
      </c>
    </row>
    <row r="195" spans="1:7" x14ac:dyDescent="0.25">
      <c r="A195" t="s">
        <v>55</v>
      </c>
      <c r="B195" t="s">
        <v>55</v>
      </c>
      <c r="C195">
        <v>1.1910400000000001</v>
      </c>
      <c r="D195">
        <v>18367</v>
      </c>
      <c r="E195">
        <v>0.20504</v>
      </c>
      <c r="F195">
        <v>191</v>
      </c>
      <c r="G195" t="s">
        <v>220</v>
      </c>
    </row>
    <row r="196" spans="1:7" x14ac:dyDescent="0.25">
      <c r="B196" t="s">
        <v>55</v>
      </c>
      <c r="C196">
        <v>1.10744</v>
      </c>
      <c r="D196">
        <v>21505</v>
      </c>
      <c r="E196">
        <v>0.18376999999999999</v>
      </c>
      <c r="F196">
        <v>192</v>
      </c>
    </row>
    <row r="197" spans="1:7" x14ac:dyDescent="0.25">
      <c r="B197" t="s">
        <v>55</v>
      </c>
      <c r="C197">
        <v>1.11541</v>
      </c>
      <c r="D197">
        <v>19630</v>
      </c>
      <c r="E197">
        <v>9.7019999999999995E-2</v>
      </c>
      <c r="F197">
        <v>193</v>
      </c>
    </row>
    <row r="198" spans="1:7" x14ac:dyDescent="0.25">
      <c r="B198" t="s">
        <v>55</v>
      </c>
      <c r="C198">
        <v>1.14612</v>
      </c>
      <c r="D198">
        <v>20203</v>
      </c>
      <c r="E198">
        <v>0.16014999999999999</v>
      </c>
      <c r="F198">
        <v>194</v>
      </c>
    </row>
    <row r="199" spans="1:7" x14ac:dyDescent="0.25">
      <c r="B199" t="s">
        <v>55</v>
      </c>
      <c r="C199">
        <v>1.24349</v>
      </c>
      <c r="D199">
        <v>18229</v>
      </c>
      <c r="E199">
        <v>0.12259</v>
      </c>
      <c r="F199">
        <v>195</v>
      </c>
    </row>
    <row r="200" spans="1:7" x14ac:dyDescent="0.25">
      <c r="B200" t="s">
        <v>55</v>
      </c>
      <c r="C200">
        <v>1.2621899999999999</v>
      </c>
      <c r="D200">
        <v>21126</v>
      </c>
      <c r="E200">
        <v>6.2239999999999997E-2</v>
      </c>
      <c r="F200">
        <v>196</v>
      </c>
    </row>
    <row r="201" spans="1:7" x14ac:dyDescent="0.25">
      <c r="B201" t="s">
        <v>55</v>
      </c>
      <c r="C201">
        <v>1.1426499999999999</v>
      </c>
      <c r="D201">
        <v>23463</v>
      </c>
      <c r="E201">
        <v>0.12669</v>
      </c>
      <c r="F201">
        <v>197</v>
      </c>
    </row>
    <row r="202" spans="1:7" x14ac:dyDescent="0.25">
      <c r="B202" t="s">
        <v>55</v>
      </c>
      <c r="C202">
        <v>1.0452600000000001</v>
      </c>
      <c r="D202">
        <v>18316</v>
      </c>
      <c r="E202">
        <v>0.44684000000000001</v>
      </c>
      <c r="F202">
        <v>198</v>
      </c>
    </row>
    <row r="203" spans="1:7" x14ac:dyDescent="0.25">
      <c r="B203" t="s">
        <v>55</v>
      </c>
      <c r="C203">
        <v>1.20014</v>
      </c>
      <c r="D203">
        <v>20059</v>
      </c>
      <c r="E203">
        <v>0.17499999999999999</v>
      </c>
      <c r="F203">
        <v>199</v>
      </c>
    </row>
    <row r="204" spans="1:7" x14ac:dyDescent="0.25">
      <c r="B204" t="s">
        <v>55</v>
      </c>
      <c r="C204">
        <v>1.18591</v>
      </c>
      <c r="D204">
        <v>19254</v>
      </c>
      <c r="E204">
        <v>0.13793</v>
      </c>
      <c r="F204">
        <v>200</v>
      </c>
    </row>
    <row r="205" spans="1:7" x14ac:dyDescent="0.25">
      <c r="B205" t="s">
        <v>55</v>
      </c>
      <c r="C205">
        <v>1.17896</v>
      </c>
      <c r="D205">
        <v>21712</v>
      </c>
      <c r="E205">
        <v>0.12271</v>
      </c>
      <c r="F205">
        <v>201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B93FD-6CD2-4122-97F9-E1271D5AC527}">
  <sheetPr codeName="Foglio4"/>
  <dimension ref="A1:E204"/>
  <sheetViews>
    <sheetView showGridLines="0" zoomScaleNormal="100" workbookViewId="0">
      <pane ySplit="2" topLeftCell="A3" activePane="bottomLeft" state="frozen"/>
      <selection pane="bottomLeft"/>
    </sheetView>
  </sheetViews>
  <sheetFormatPr defaultRowHeight="15" outlineLevelCol="1" x14ac:dyDescent="0.25"/>
  <cols>
    <col min="1" max="1" width="126.42578125" customWidth="1" outlineLevel="1"/>
    <col min="2" max="2" width="22.7109375" bestFit="1" customWidth="1" outlineLevel="1"/>
    <col min="3" max="3" width="13.140625" bestFit="1" customWidth="1" outlineLevel="1"/>
    <col min="4" max="4" width="15.85546875" bestFit="1" customWidth="1" outlineLevel="1"/>
    <col min="5" max="5" width="12.28515625" bestFit="1" customWidth="1"/>
    <col min="6" max="6" width="11.85546875" bestFit="1" customWidth="1"/>
  </cols>
  <sheetData>
    <row r="1" spans="1:5" ht="69" customHeight="1" x14ac:dyDescent="0.25"/>
    <row r="2" spans="1:5" ht="18.75" x14ac:dyDescent="0.3">
      <c r="A2" s="10" t="s">
        <v>221</v>
      </c>
      <c r="B2" s="10" t="s">
        <v>49</v>
      </c>
      <c r="C2" s="10" t="s">
        <v>50</v>
      </c>
      <c r="D2" s="10" t="s">
        <v>51</v>
      </c>
      <c r="E2" s="10" t="s">
        <v>52</v>
      </c>
    </row>
    <row r="3" spans="1:5" ht="18.75" x14ac:dyDescent="0.3">
      <c r="A3" s="8" t="s">
        <v>54</v>
      </c>
      <c r="B3" s="8" t="s">
        <v>55</v>
      </c>
      <c r="C3" s="8">
        <v>1.23214</v>
      </c>
      <c r="D3" s="8">
        <v>16295</v>
      </c>
      <c r="E3" s="8">
        <v>0.21884999999999999</v>
      </c>
    </row>
    <row r="4" spans="1:5" ht="18.75" x14ac:dyDescent="0.3">
      <c r="A4" s="8" t="s">
        <v>56</v>
      </c>
      <c r="B4" s="8" t="s">
        <v>55</v>
      </c>
      <c r="C4" s="8">
        <v>1.3658699999999999</v>
      </c>
      <c r="D4" s="8">
        <v>16786</v>
      </c>
      <c r="E4" s="8">
        <v>0.15703</v>
      </c>
    </row>
    <row r="5" spans="1:5" ht="18.75" x14ac:dyDescent="0.3">
      <c r="A5" s="8" t="s">
        <v>57</v>
      </c>
      <c r="B5" s="8" t="s">
        <v>55</v>
      </c>
      <c r="C5" s="8">
        <v>1.23193</v>
      </c>
      <c r="D5" s="8">
        <v>20385</v>
      </c>
      <c r="E5" s="8">
        <v>7.0000000000000007E-2</v>
      </c>
    </row>
    <row r="6" spans="1:5" ht="18.75" x14ac:dyDescent="0.3">
      <c r="A6" s="8" t="s">
        <v>58</v>
      </c>
      <c r="B6" s="8" t="s">
        <v>55</v>
      </c>
      <c r="C6" s="8">
        <v>1.11666</v>
      </c>
      <c r="D6" s="8">
        <v>21692</v>
      </c>
      <c r="E6" s="8">
        <v>0.15848999999999999</v>
      </c>
    </row>
    <row r="7" spans="1:5" ht="18.75" x14ac:dyDescent="0.3">
      <c r="A7" s="8" t="s">
        <v>59</v>
      </c>
      <c r="B7" s="8" t="s">
        <v>55</v>
      </c>
      <c r="C7" s="8">
        <v>1.0934299999999999</v>
      </c>
      <c r="D7" s="8">
        <v>17131</v>
      </c>
      <c r="E7" s="8">
        <v>0.17521</v>
      </c>
    </row>
    <row r="8" spans="1:5" ht="18.75" x14ac:dyDescent="0.3">
      <c r="A8" s="8" t="s">
        <v>60</v>
      </c>
      <c r="B8" s="8" t="s">
        <v>55</v>
      </c>
      <c r="C8" s="8">
        <v>1.1341000000000001</v>
      </c>
      <c r="D8" s="8">
        <v>19912</v>
      </c>
      <c r="E8" s="8">
        <v>0.20154</v>
      </c>
    </row>
    <row r="9" spans="1:5" ht="18.75" x14ac:dyDescent="0.3">
      <c r="A9" s="8" t="s">
        <v>61</v>
      </c>
      <c r="B9" s="8" t="s">
        <v>55</v>
      </c>
      <c r="C9" s="8">
        <v>1.1747000000000001</v>
      </c>
      <c r="D9" s="8">
        <v>18791</v>
      </c>
      <c r="E9" s="8">
        <v>0.24471000000000001</v>
      </c>
    </row>
    <row r="10" spans="1:5" ht="18.75" x14ac:dyDescent="0.3">
      <c r="A10" s="8" t="s">
        <v>62</v>
      </c>
      <c r="B10" s="8" t="s">
        <v>55</v>
      </c>
      <c r="C10" s="8">
        <v>1.1022700000000001</v>
      </c>
      <c r="D10" s="8">
        <v>20523</v>
      </c>
      <c r="E10" s="8">
        <v>0.17363000000000001</v>
      </c>
    </row>
    <row r="11" spans="1:5" ht="18.75" x14ac:dyDescent="0.3">
      <c r="A11" s="8" t="s">
        <v>63</v>
      </c>
      <c r="B11" s="8" t="s">
        <v>55</v>
      </c>
      <c r="C11" s="8">
        <v>1.1246100000000001</v>
      </c>
      <c r="D11" s="8">
        <v>19126</v>
      </c>
      <c r="E11" s="8">
        <v>0.24390999999999999</v>
      </c>
    </row>
    <row r="12" spans="1:5" ht="18.75" x14ac:dyDescent="0.3">
      <c r="A12" s="8" t="s">
        <v>64</v>
      </c>
      <c r="B12" s="8" t="s">
        <v>55</v>
      </c>
      <c r="C12" s="8">
        <v>1.2117</v>
      </c>
      <c r="D12" s="8">
        <v>18230</v>
      </c>
      <c r="E12" s="8">
        <v>0.24660000000000001</v>
      </c>
    </row>
    <row r="13" spans="1:5" ht="18.75" x14ac:dyDescent="0.3">
      <c r="A13" s="8" t="s">
        <v>65</v>
      </c>
      <c r="B13" s="8" t="s">
        <v>55</v>
      </c>
      <c r="C13" s="8">
        <v>1.1455200000000001</v>
      </c>
      <c r="D13" s="8">
        <v>22698</v>
      </c>
      <c r="E13" s="8">
        <v>9.962E-2</v>
      </c>
    </row>
    <row r="14" spans="1:5" ht="18.75" x14ac:dyDescent="0.3">
      <c r="A14" s="8" t="s">
        <v>66</v>
      </c>
      <c r="B14" s="8" t="s">
        <v>55</v>
      </c>
      <c r="C14" s="8">
        <v>1.4114199999999999</v>
      </c>
      <c r="D14" s="8">
        <v>22537</v>
      </c>
      <c r="E14" s="8">
        <v>8.6830000000000004E-2</v>
      </c>
    </row>
    <row r="15" spans="1:5" ht="18.75" x14ac:dyDescent="0.3">
      <c r="A15" s="8" t="s">
        <v>67</v>
      </c>
      <c r="B15" s="8" t="s">
        <v>55</v>
      </c>
      <c r="C15" s="8">
        <v>1.2079</v>
      </c>
      <c r="D15" s="8">
        <v>20818</v>
      </c>
      <c r="E15" s="8">
        <v>0.16794999999999999</v>
      </c>
    </row>
    <row r="16" spans="1:5" ht="18.75" x14ac:dyDescent="0.3">
      <c r="A16" s="8" t="s">
        <v>68</v>
      </c>
      <c r="B16" s="8" t="s">
        <v>55</v>
      </c>
      <c r="C16" s="8">
        <v>1.15821</v>
      </c>
      <c r="D16" s="8">
        <v>23251</v>
      </c>
      <c r="E16" s="8">
        <v>0.17818000000000001</v>
      </c>
    </row>
    <row r="17" spans="1:5" ht="18.75" x14ac:dyDescent="0.3">
      <c r="A17" s="8" t="s">
        <v>69</v>
      </c>
      <c r="B17" s="8" t="s">
        <v>55</v>
      </c>
      <c r="C17" s="8">
        <v>1.1238699999999999</v>
      </c>
      <c r="D17" s="8">
        <v>20418</v>
      </c>
      <c r="E17" s="8">
        <v>0.18828</v>
      </c>
    </row>
    <row r="18" spans="1:5" ht="18.75" x14ac:dyDescent="0.3">
      <c r="A18" s="8" t="s">
        <v>70</v>
      </c>
      <c r="B18" s="8" t="s">
        <v>55</v>
      </c>
      <c r="C18" s="8">
        <v>1.167</v>
      </c>
      <c r="D18" s="8">
        <v>21991</v>
      </c>
      <c r="E18" s="8">
        <v>0.19921</v>
      </c>
    </row>
    <row r="19" spans="1:5" ht="18.75" x14ac:dyDescent="0.3">
      <c r="A19" s="8" t="s">
        <v>71</v>
      </c>
      <c r="B19" s="8" t="s">
        <v>55</v>
      </c>
      <c r="C19" s="8">
        <v>1.14212</v>
      </c>
      <c r="D19" s="8">
        <v>21110</v>
      </c>
      <c r="E19" s="8">
        <v>0.10743</v>
      </c>
    </row>
    <row r="20" spans="1:5" ht="18.75" x14ac:dyDescent="0.3">
      <c r="A20" s="8" t="s">
        <v>72</v>
      </c>
      <c r="B20" s="8" t="s">
        <v>55</v>
      </c>
      <c r="C20" s="8">
        <v>1.20377</v>
      </c>
      <c r="D20" s="8">
        <v>22238</v>
      </c>
      <c r="E20" s="8">
        <v>0.11387</v>
      </c>
    </row>
    <row r="21" spans="1:5" ht="18.75" x14ac:dyDescent="0.3">
      <c r="A21" s="8" t="s">
        <v>73</v>
      </c>
      <c r="B21" s="8" t="s">
        <v>55</v>
      </c>
      <c r="C21" s="8">
        <v>1.1961200000000001</v>
      </c>
      <c r="D21" s="8">
        <v>20709</v>
      </c>
      <c r="E21" s="8">
        <v>0.10595</v>
      </c>
    </row>
    <row r="22" spans="1:5" ht="18.75" x14ac:dyDescent="0.3">
      <c r="A22" s="8" t="s">
        <v>74</v>
      </c>
      <c r="B22" s="8" t="s">
        <v>55</v>
      </c>
      <c r="C22" s="8">
        <v>1.1328400000000001</v>
      </c>
      <c r="D22" s="8">
        <v>19305</v>
      </c>
      <c r="E22" s="8">
        <v>8.8050000000000003E-2</v>
      </c>
    </row>
    <row r="23" spans="1:5" ht="18.75" x14ac:dyDescent="0.3">
      <c r="A23" s="8" t="s">
        <v>75</v>
      </c>
      <c r="B23" s="8" t="s">
        <v>55</v>
      </c>
      <c r="C23" s="8">
        <v>1.21496</v>
      </c>
      <c r="D23" s="8">
        <v>21325</v>
      </c>
      <c r="E23" s="8">
        <v>0.11176999999999999</v>
      </c>
    </row>
    <row r="24" spans="1:5" ht="18.75" x14ac:dyDescent="0.3">
      <c r="A24" s="8" t="s">
        <v>76</v>
      </c>
      <c r="B24" s="8" t="s">
        <v>55</v>
      </c>
      <c r="C24" s="8">
        <v>1.1286</v>
      </c>
      <c r="D24" s="8">
        <v>18935</v>
      </c>
      <c r="E24" s="8">
        <v>0.14230999999999999</v>
      </c>
    </row>
    <row r="25" spans="1:5" ht="18.75" x14ac:dyDescent="0.3">
      <c r="A25" s="8" t="s">
        <v>77</v>
      </c>
      <c r="B25" s="8" t="s">
        <v>55</v>
      </c>
      <c r="C25" s="8">
        <v>1.13985</v>
      </c>
      <c r="D25" s="8">
        <v>20318</v>
      </c>
      <c r="E25" s="8">
        <v>0.18024999999999999</v>
      </c>
    </row>
    <row r="26" spans="1:5" ht="18.75" x14ac:dyDescent="0.3">
      <c r="A26" s="8" t="s">
        <v>78</v>
      </c>
      <c r="B26" s="8" t="s">
        <v>55</v>
      </c>
      <c r="C26" s="8">
        <v>1.23221</v>
      </c>
      <c r="D26" s="8">
        <v>23478</v>
      </c>
      <c r="E26" s="8">
        <v>0.25834000000000001</v>
      </c>
    </row>
    <row r="27" spans="1:5" ht="18.75" x14ac:dyDescent="0.3">
      <c r="A27" s="8" t="s">
        <v>79</v>
      </c>
      <c r="B27" s="8" t="s">
        <v>55</v>
      </c>
      <c r="C27" s="8">
        <v>1.1254999999999999</v>
      </c>
      <c r="D27" s="8">
        <v>21813</v>
      </c>
      <c r="E27" s="8">
        <v>0.11781</v>
      </c>
    </row>
    <row r="28" spans="1:5" ht="18.75" x14ac:dyDescent="0.3">
      <c r="A28" s="8" t="s">
        <v>80</v>
      </c>
      <c r="B28" s="8" t="s">
        <v>55</v>
      </c>
      <c r="C28" s="8">
        <v>1.2710600000000001</v>
      </c>
      <c r="D28" s="8">
        <v>15397</v>
      </c>
      <c r="E28" s="8">
        <v>0.21404999999999999</v>
      </c>
    </row>
    <row r="29" spans="1:5" ht="18.75" x14ac:dyDescent="0.3">
      <c r="A29" s="8" t="s">
        <v>81</v>
      </c>
      <c r="B29" s="8" t="s">
        <v>55</v>
      </c>
      <c r="C29" s="8">
        <v>1.3516300000000001</v>
      </c>
      <c r="D29" s="8">
        <v>25139</v>
      </c>
      <c r="E29" s="8">
        <v>0.72706999999999999</v>
      </c>
    </row>
    <row r="30" spans="1:5" ht="18.75" x14ac:dyDescent="0.3">
      <c r="A30" s="8" t="s">
        <v>81</v>
      </c>
      <c r="B30" s="8" t="s">
        <v>83</v>
      </c>
      <c r="C30" s="8">
        <v>1.1265499999999999</v>
      </c>
      <c r="D30" s="8">
        <v>25139</v>
      </c>
      <c r="E30" s="8">
        <v>0.72706999999999999</v>
      </c>
    </row>
    <row r="31" spans="1:5" ht="18.75" x14ac:dyDescent="0.3">
      <c r="A31" s="8" t="s">
        <v>82</v>
      </c>
      <c r="B31" s="8" t="s">
        <v>55</v>
      </c>
      <c r="C31" s="8">
        <v>1.2550300000000001</v>
      </c>
      <c r="D31" s="8">
        <v>18217</v>
      </c>
      <c r="E31" s="8">
        <v>0.24909999999999999</v>
      </c>
    </row>
    <row r="32" spans="1:5" ht="18.75" x14ac:dyDescent="0.3">
      <c r="A32" s="8" t="s">
        <v>82</v>
      </c>
      <c r="B32" s="8" t="s">
        <v>83</v>
      </c>
      <c r="C32" s="8">
        <v>1.3264</v>
      </c>
      <c r="D32" s="8">
        <v>18217</v>
      </c>
      <c r="E32" s="8">
        <v>0.24909999999999999</v>
      </c>
    </row>
    <row r="33" spans="1:5" ht="18.75" x14ac:dyDescent="0.3">
      <c r="A33" s="8" t="s">
        <v>84</v>
      </c>
      <c r="B33" s="8" t="s">
        <v>55</v>
      </c>
      <c r="C33" s="8">
        <v>1.13269</v>
      </c>
      <c r="D33" s="8">
        <v>21919</v>
      </c>
      <c r="E33" s="8">
        <v>0.21947</v>
      </c>
    </row>
    <row r="34" spans="1:5" ht="18.75" x14ac:dyDescent="0.3">
      <c r="A34" s="8" t="s">
        <v>85</v>
      </c>
      <c r="B34" s="8" t="s">
        <v>55</v>
      </c>
      <c r="C34" s="8">
        <v>2.8187899999999999</v>
      </c>
      <c r="D34" s="8">
        <v>25912</v>
      </c>
      <c r="E34" s="8">
        <v>0.41055000000000003</v>
      </c>
    </row>
    <row r="35" spans="1:5" ht="18.75" x14ac:dyDescent="0.3">
      <c r="A35" s="8" t="s">
        <v>86</v>
      </c>
      <c r="B35" s="8" t="s">
        <v>55</v>
      </c>
      <c r="C35" s="8">
        <v>1.30969</v>
      </c>
      <c r="D35" s="8">
        <v>17909</v>
      </c>
      <c r="E35" s="8">
        <v>0.13594999999999999</v>
      </c>
    </row>
    <row r="36" spans="1:5" ht="18.75" x14ac:dyDescent="0.3">
      <c r="A36" s="8" t="s">
        <v>87</v>
      </c>
      <c r="B36" s="8" t="s">
        <v>55</v>
      </c>
      <c r="C36" s="8">
        <v>1.2162500000000001</v>
      </c>
      <c r="D36" s="8">
        <v>23766</v>
      </c>
      <c r="E36" s="8">
        <v>0.54076999999999997</v>
      </c>
    </row>
    <row r="37" spans="1:5" ht="18.75" x14ac:dyDescent="0.3">
      <c r="A37" s="8" t="s">
        <v>87</v>
      </c>
      <c r="B37" s="8" t="s">
        <v>83</v>
      </c>
      <c r="C37" s="8">
        <v>1.1499299999999999</v>
      </c>
      <c r="D37" s="8">
        <v>23766</v>
      </c>
      <c r="E37" s="8">
        <v>0.54076999999999997</v>
      </c>
    </row>
    <row r="38" spans="1:5" ht="18.75" x14ac:dyDescent="0.3">
      <c r="A38" s="8" t="s">
        <v>88</v>
      </c>
      <c r="B38" s="8" t="s">
        <v>55</v>
      </c>
      <c r="C38" s="8">
        <v>1.1955899999999999</v>
      </c>
      <c r="D38" s="8">
        <v>21929</v>
      </c>
      <c r="E38" s="8">
        <v>0.24054</v>
      </c>
    </row>
    <row r="39" spans="1:5" ht="18.75" x14ac:dyDescent="0.3">
      <c r="A39" s="8" t="s">
        <v>89</v>
      </c>
      <c r="B39" s="8" t="s">
        <v>55</v>
      </c>
      <c r="C39" s="8">
        <v>1.16367</v>
      </c>
      <c r="D39" s="8">
        <v>18633</v>
      </c>
      <c r="E39" s="8">
        <v>0.22355</v>
      </c>
    </row>
    <row r="40" spans="1:5" ht="18.75" x14ac:dyDescent="0.3">
      <c r="A40" s="8" t="s">
        <v>89</v>
      </c>
      <c r="B40" s="8" t="s">
        <v>83</v>
      </c>
      <c r="C40" s="8">
        <v>1.15733</v>
      </c>
      <c r="D40" s="8">
        <v>18633</v>
      </c>
      <c r="E40" s="8">
        <v>0.22355</v>
      </c>
    </row>
    <row r="41" spans="1:5" ht="18.75" x14ac:dyDescent="0.3">
      <c r="A41" s="8" t="s">
        <v>90</v>
      </c>
      <c r="B41" s="8" t="s">
        <v>55</v>
      </c>
      <c r="C41" s="8">
        <v>1.1698900000000001</v>
      </c>
      <c r="D41" s="8">
        <v>19843</v>
      </c>
      <c r="E41" s="8">
        <v>0.73072000000000004</v>
      </c>
    </row>
    <row r="42" spans="1:5" ht="18.75" x14ac:dyDescent="0.3">
      <c r="A42" s="8" t="s">
        <v>90</v>
      </c>
      <c r="B42" s="8" t="s">
        <v>83</v>
      </c>
      <c r="C42" s="8">
        <v>1.1037600000000001</v>
      </c>
      <c r="D42" s="8">
        <v>19843</v>
      </c>
      <c r="E42" s="8">
        <v>0.73072000000000004</v>
      </c>
    </row>
    <row r="43" spans="1:5" ht="18.75" x14ac:dyDescent="0.3">
      <c r="A43" s="8" t="s">
        <v>91</v>
      </c>
      <c r="B43" s="8" t="s">
        <v>55</v>
      </c>
      <c r="C43" s="8">
        <v>1.0679000000000001</v>
      </c>
      <c r="D43" s="8">
        <v>17786</v>
      </c>
      <c r="E43" s="8">
        <v>7.1239999999999998E-2</v>
      </c>
    </row>
    <row r="44" spans="1:5" ht="18.75" x14ac:dyDescent="0.3">
      <c r="A44" s="8" t="s">
        <v>92</v>
      </c>
      <c r="B44" s="8" t="s">
        <v>55</v>
      </c>
      <c r="C44" s="8">
        <v>1.23482</v>
      </c>
      <c r="D44" s="8">
        <v>16265</v>
      </c>
      <c r="E44" s="8">
        <v>0.12285</v>
      </c>
    </row>
    <row r="45" spans="1:5" ht="18.75" x14ac:dyDescent="0.3">
      <c r="A45" s="8" t="s">
        <v>92</v>
      </c>
      <c r="B45" s="8" t="s">
        <v>83</v>
      </c>
      <c r="C45" s="8">
        <v>1.1444099999999999</v>
      </c>
      <c r="D45" s="8">
        <v>16265</v>
      </c>
      <c r="E45" s="8">
        <v>0.12285</v>
      </c>
    </row>
    <row r="46" spans="1:5" ht="18.75" x14ac:dyDescent="0.3">
      <c r="A46" s="8" t="s">
        <v>93</v>
      </c>
      <c r="B46" s="8" t="s">
        <v>55</v>
      </c>
      <c r="C46" s="8">
        <v>1.21688</v>
      </c>
      <c r="D46" s="8">
        <v>20081</v>
      </c>
      <c r="E46" s="8">
        <v>0.34465000000000001</v>
      </c>
    </row>
    <row r="47" spans="1:5" ht="18.75" x14ac:dyDescent="0.3">
      <c r="A47" s="8" t="s">
        <v>93</v>
      </c>
      <c r="B47" s="8" t="s">
        <v>83</v>
      </c>
      <c r="C47" s="8">
        <v>1.2326699999999999</v>
      </c>
      <c r="D47" s="8">
        <v>20081</v>
      </c>
      <c r="E47" s="8">
        <v>0.34465000000000001</v>
      </c>
    </row>
    <row r="48" spans="1:5" ht="18.75" x14ac:dyDescent="0.3">
      <c r="A48" s="8" t="s">
        <v>94</v>
      </c>
      <c r="B48" s="8" t="s">
        <v>55</v>
      </c>
      <c r="C48" s="8">
        <v>1.16872</v>
      </c>
      <c r="D48" s="8">
        <v>13373</v>
      </c>
      <c r="E48" s="8">
        <v>0.25052000000000002</v>
      </c>
    </row>
    <row r="49" spans="1:5" ht="18.75" x14ac:dyDescent="0.3">
      <c r="A49" s="8" t="s">
        <v>95</v>
      </c>
      <c r="B49" s="8" t="s">
        <v>55</v>
      </c>
      <c r="C49" s="8">
        <v>1.15415</v>
      </c>
      <c r="D49" s="8">
        <v>24724</v>
      </c>
      <c r="E49" s="8">
        <v>0.58655999999999997</v>
      </c>
    </row>
    <row r="50" spans="1:5" ht="18.75" x14ac:dyDescent="0.3">
      <c r="A50" s="8" t="s">
        <v>95</v>
      </c>
      <c r="B50" s="8" t="s">
        <v>83</v>
      </c>
      <c r="C50" s="8">
        <v>1.1863900000000001</v>
      </c>
      <c r="D50" s="8">
        <v>24724</v>
      </c>
      <c r="E50" s="8">
        <v>0.58655999999999997</v>
      </c>
    </row>
    <row r="51" spans="1:5" ht="18.75" x14ac:dyDescent="0.3">
      <c r="A51" s="8" t="s">
        <v>96</v>
      </c>
      <c r="B51" s="8" t="s">
        <v>55</v>
      </c>
      <c r="C51" s="8">
        <v>1.11727</v>
      </c>
      <c r="D51" s="8">
        <v>17664</v>
      </c>
      <c r="E51" s="8">
        <v>0.25568000000000002</v>
      </c>
    </row>
    <row r="52" spans="1:5" ht="18.75" x14ac:dyDescent="0.3">
      <c r="A52" s="8" t="s">
        <v>97</v>
      </c>
      <c r="B52" s="8" t="s">
        <v>55</v>
      </c>
      <c r="C52" s="8">
        <v>1.20933</v>
      </c>
      <c r="D52" s="8">
        <v>21670</v>
      </c>
      <c r="E52" s="8">
        <v>0.43534</v>
      </c>
    </row>
    <row r="53" spans="1:5" ht="18.75" x14ac:dyDescent="0.3">
      <c r="A53" s="8" t="s">
        <v>98</v>
      </c>
      <c r="B53" s="8" t="s">
        <v>55</v>
      </c>
      <c r="C53" s="8">
        <v>1.2485200000000001</v>
      </c>
      <c r="D53" s="8">
        <v>23566</v>
      </c>
      <c r="E53" s="8">
        <v>0.32288</v>
      </c>
    </row>
    <row r="54" spans="1:5" ht="18.75" x14ac:dyDescent="0.3">
      <c r="A54" s="8" t="s">
        <v>98</v>
      </c>
      <c r="B54" s="8" t="s">
        <v>83</v>
      </c>
      <c r="C54" s="8">
        <v>1.13758</v>
      </c>
      <c r="D54" s="8">
        <v>23566</v>
      </c>
      <c r="E54" s="8">
        <v>0.32288</v>
      </c>
    </row>
    <row r="55" spans="1:5" ht="18.75" x14ac:dyDescent="0.3">
      <c r="A55" s="8" t="s">
        <v>99</v>
      </c>
      <c r="B55" s="8" t="s">
        <v>55</v>
      </c>
      <c r="C55" s="8">
        <v>1.1263399999999999</v>
      </c>
      <c r="D55" s="8">
        <v>20529</v>
      </c>
      <c r="E55" s="8">
        <v>0.14321999999999999</v>
      </c>
    </row>
    <row r="56" spans="1:5" ht="18.75" x14ac:dyDescent="0.3">
      <c r="A56" s="8" t="s">
        <v>100</v>
      </c>
      <c r="B56" s="8" t="s">
        <v>55</v>
      </c>
      <c r="C56" s="8">
        <v>1.23203</v>
      </c>
      <c r="D56" s="8">
        <v>22638</v>
      </c>
      <c r="E56" s="8">
        <v>0.26140000000000002</v>
      </c>
    </row>
    <row r="57" spans="1:5" ht="18.75" x14ac:dyDescent="0.3">
      <c r="A57" s="8" t="s">
        <v>101</v>
      </c>
      <c r="B57" s="8" t="s">
        <v>55</v>
      </c>
      <c r="C57" s="8">
        <v>1.1710199999999999</v>
      </c>
      <c r="D57" s="8">
        <v>16871</v>
      </c>
      <c r="E57" s="8">
        <v>0.24843999999999999</v>
      </c>
    </row>
    <row r="58" spans="1:5" ht="18.75" x14ac:dyDescent="0.3">
      <c r="A58" s="8" t="s">
        <v>102</v>
      </c>
      <c r="B58" s="8" t="s">
        <v>55</v>
      </c>
      <c r="C58" s="8">
        <v>1.0585899999999999</v>
      </c>
      <c r="D58" s="8">
        <v>16927</v>
      </c>
      <c r="E58" s="8">
        <v>0.29535</v>
      </c>
    </row>
    <row r="59" spans="1:5" ht="18.75" x14ac:dyDescent="0.3">
      <c r="A59" s="8" t="s">
        <v>103</v>
      </c>
      <c r="B59" s="8" t="s">
        <v>55</v>
      </c>
      <c r="C59" s="8">
        <v>1.0988100000000001</v>
      </c>
      <c r="D59" s="8">
        <v>22910</v>
      </c>
      <c r="E59" s="8">
        <v>0.47428999999999999</v>
      </c>
    </row>
    <row r="60" spans="1:5" ht="18.75" x14ac:dyDescent="0.3">
      <c r="A60" s="8" t="s">
        <v>104</v>
      </c>
      <c r="B60" s="8" t="s">
        <v>55</v>
      </c>
      <c r="C60" s="8">
        <v>1.11134</v>
      </c>
      <c r="D60" s="8">
        <v>21987</v>
      </c>
      <c r="E60" s="8">
        <v>0.14504</v>
      </c>
    </row>
    <row r="61" spans="1:5" ht="18.75" x14ac:dyDescent="0.3">
      <c r="A61" s="8" t="s">
        <v>104</v>
      </c>
      <c r="B61" s="8" t="s">
        <v>83</v>
      </c>
      <c r="C61" s="8">
        <v>1.19489</v>
      </c>
      <c r="D61" s="8">
        <v>21987</v>
      </c>
      <c r="E61" s="8">
        <v>0.14504</v>
      </c>
    </row>
    <row r="62" spans="1:5" ht="18.75" x14ac:dyDescent="0.3">
      <c r="A62" s="8" t="s">
        <v>105</v>
      </c>
      <c r="B62" s="8" t="s">
        <v>55</v>
      </c>
      <c r="C62" s="8">
        <v>1.17319</v>
      </c>
      <c r="D62" s="8">
        <v>19721</v>
      </c>
      <c r="E62" s="8">
        <v>0.11908000000000001</v>
      </c>
    </row>
    <row r="63" spans="1:5" ht="18.75" x14ac:dyDescent="0.3">
      <c r="A63" s="8" t="s">
        <v>106</v>
      </c>
      <c r="B63" s="8" t="s">
        <v>55</v>
      </c>
      <c r="C63" s="8">
        <v>1.17167</v>
      </c>
      <c r="D63" s="8">
        <v>24143</v>
      </c>
      <c r="E63" s="8">
        <v>0.25505</v>
      </c>
    </row>
    <row r="64" spans="1:5" ht="18.75" x14ac:dyDescent="0.3">
      <c r="A64" s="8" t="s">
        <v>107</v>
      </c>
      <c r="B64" s="8" t="s">
        <v>55</v>
      </c>
      <c r="C64" s="8">
        <v>1.17909</v>
      </c>
      <c r="D64" s="8">
        <v>21792</v>
      </c>
      <c r="E64" s="8">
        <v>0.33831</v>
      </c>
    </row>
    <row r="65" spans="1:5" ht="18.75" x14ac:dyDescent="0.3">
      <c r="A65" s="8" t="s">
        <v>107</v>
      </c>
      <c r="B65" s="8" t="s">
        <v>83</v>
      </c>
      <c r="C65" s="8">
        <v>1.16225</v>
      </c>
      <c r="D65" s="8">
        <v>21792</v>
      </c>
      <c r="E65" s="8">
        <v>0.33831</v>
      </c>
    </row>
    <row r="66" spans="1:5" ht="18.75" x14ac:dyDescent="0.3">
      <c r="A66" s="8" t="s">
        <v>108</v>
      </c>
      <c r="B66" s="8" t="s">
        <v>55</v>
      </c>
      <c r="C66" s="8">
        <v>1.09789</v>
      </c>
      <c r="D66" s="8">
        <v>22571</v>
      </c>
      <c r="E66" s="8">
        <v>0.62587000000000004</v>
      </c>
    </row>
    <row r="67" spans="1:5" ht="18.75" x14ac:dyDescent="0.3">
      <c r="A67" s="8" t="s">
        <v>108</v>
      </c>
      <c r="B67" s="8" t="s">
        <v>83</v>
      </c>
      <c r="C67" s="8">
        <v>1.07595</v>
      </c>
      <c r="D67" s="8">
        <v>22571</v>
      </c>
      <c r="E67" s="8">
        <v>0.62587000000000004</v>
      </c>
    </row>
    <row r="68" spans="1:5" ht="18.75" x14ac:dyDescent="0.3">
      <c r="A68" s="8" t="s">
        <v>109</v>
      </c>
      <c r="B68" s="8" t="s">
        <v>55</v>
      </c>
      <c r="C68" s="8">
        <v>1.15757</v>
      </c>
      <c r="D68" s="8">
        <v>11050</v>
      </c>
      <c r="E68" s="8">
        <v>0.29322999999999999</v>
      </c>
    </row>
    <row r="69" spans="1:5" ht="18.75" x14ac:dyDescent="0.3">
      <c r="A69" s="8" t="s">
        <v>110</v>
      </c>
      <c r="B69" s="8" t="s">
        <v>55</v>
      </c>
      <c r="C69" s="8">
        <v>1.13121</v>
      </c>
      <c r="D69" s="8">
        <v>20194</v>
      </c>
      <c r="E69" s="8">
        <v>0.67140999999999995</v>
      </c>
    </row>
    <row r="70" spans="1:5" ht="18.75" x14ac:dyDescent="0.3">
      <c r="A70" s="8" t="s">
        <v>110</v>
      </c>
      <c r="B70" s="8" t="s">
        <v>83</v>
      </c>
      <c r="C70" s="8">
        <v>1.1397200000000001</v>
      </c>
      <c r="D70" s="8">
        <v>20194</v>
      </c>
      <c r="E70" s="8">
        <v>0.67140999999999995</v>
      </c>
    </row>
    <row r="71" spans="1:5" ht="18.75" x14ac:dyDescent="0.3">
      <c r="A71" s="8" t="s">
        <v>111</v>
      </c>
      <c r="B71" s="8" t="s">
        <v>55</v>
      </c>
      <c r="C71" s="8">
        <v>1.0801700000000001</v>
      </c>
      <c r="D71" s="8">
        <v>23117</v>
      </c>
      <c r="E71" s="8">
        <v>0.1953</v>
      </c>
    </row>
    <row r="72" spans="1:5" ht="18.75" x14ac:dyDescent="0.3">
      <c r="A72" s="8" t="s">
        <v>112</v>
      </c>
      <c r="B72" s="8" t="s">
        <v>55</v>
      </c>
      <c r="C72" s="8">
        <v>1.1740699999999999</v>
      </c>
      <c r="D72" s="8">
        <v>21776</v>
      </c>
      <c r="E72" s="8">
        <v>0.53869</v>
      </c>
    </row>
    <row r="73" spans="1:5" ht="18.75" x14ac:dyDescent="0.3">
      <c r="A73" s="8" t="s">
        <v>112</v>
      </c>
      <c r="B73" s="8" t="s">
        <v>83</v>
      </c>
      <c r="C73" s="8">
        <v>1.16611</v>
      </c>
      <c r="D73" s="8">
        <v>21776</v>
      </c>
      <c r="E73" s="8">
        <v>0.53869</v>
      </c>
    </row>
    <row r="74" spans="1:5" ht="18.75" x14ac:dyDescent="0.3">
      <c r="A74" s="8" t="s">
        <v>113</v>
      </c>
      <c r="B74" s="8" t="s">
        <v>55</v>
      </c>
      <c r="C74" s="8">
        <v>1.23214</v>
      </c>
      <c r="D74" s="8">
        <v>21481</v>
      </c>
      <c r="E74" s="8">
        <v>0.26939000000000002</v>
      </c>
    </row>
    <row r="75" spans="1:5" ht="18.75" x14ac:dyDescent="0.3">
      <c r="A75" s="8" t="s">
        <v>113</v>
      </c>
      <c r="B75" s="8" t="s">
        <v>83</v>
      </c>
      <c r="C75" s="8">
        <v>1.1937599999999999</v>
      </c>
      <c r="D75" s="8">
        <v>21481</v>
      </c>
      <c r="E75" s="8">
        <v>0.26939000000000002</v>
      </c>
    </row>
    <row r="76" spans="1:5" ht="18.75" x14ac:dyDescent="0.3">
      <c r="A76" s="8" t="s">
        <v>114</v>
      </c>
      <c r="B76" s="8" t="s">
        <v>55</v>
      </c>
      <c r="C76" s="8">
        <v>1.2070099999999999</v>
      </c>
      <c r="D76" s="8">
        <v>16853</v>
      </c>
      <c r="E76" s="8">
        <v>0.30751000000000001</v>
      </c>
    </row>
    <row r="77" spans="1:5" ht="18.75" x14ac:dyDescent="0.3">
      <c r="A77" s="8" t="s">
        <v>115</v>
      </c>
      <c r="B77" s="8" t="s">
        <v>55</v>
      </c>
      <c r="C77" s="8">
        <v>1.23204</v>
      </c>
      <c r="D77" s="8">
        <v>20020</v>
      </c>
      <c r="E77" s="8">
        <v>0.45496999999999999</v>
      </c>
    </row>
    <row r="78" spans="1:5" ht="18.75" x14ac:dyDescent="0.3">
      <c r="A78" s="8" t="s">
        <v>115</v>
      </c>
      <c r="B78" s="8" t="s">
        <v>83</v>
      </c>
      <c r="C78" s="8">
        <v>1.12662</v>
      </c>
      <c r="D78" s="8">
        <v>20020</v>
      </c>
      <c r="E78" s="8">
        <v>0.45496999999999999</v>
      </c>
    </row>
    <row r="79" spans="1:5" ht="18.75" x14ac:dyDescent="0.3">
      <c r="A79" s="8" t="s">
        <v>116</v>
      </c>
      <c r="B79" s="8" t="s">
        <v>83</v>
      </c>
      <c r="C79" s="8">
        <v>1.03779</v>
      </c>
      <c r="D79" s="8">
        <v>14450</v>
      </c>
      <c r="E79" s="8">
        <v>0.84406999999999999</v>
      </c>
    </row>
    <row r="80" spans="1:5" ht="18.75" x14ac:dyDescent="0.3">
      <c r="A80" s="8" t="s">
        <v>117</v>
      </c>
      <c r="B80" s="8" t="s">
        <v>55</v>
      </c>
      <c r="C80" s="8">
        <v>1.27207</v>
      </c>
      <c r="D80" s="8">
        <v>20893</v>
      </c>
      <c r="E80" s="8">
        <v>0.77632999999999996</v>
      </c>
    </row>
    <row r="81" spans="1:5" ht="18.75" x14ac:dyDescent="0.3">
      <c r="A81" s="8" t="s">
        <v>117</v>
      </c>
      <c r="B81" s="8" t="s">
        <v>83</v>
      </c>
      <c r="C81" s="8">
        <v>1.2906200000000001</v>
      </c>
      <c r="D81" s="8">
        <v>20893</v>
      </c>
      <c r="E81" s="8">
        <v>0.77632999999999996</v>
      </c>
    </row>
    <row r="82" spans="1:5" ht="18.75" x14ac:dyDescent="0.3">
      <c r="A82" s="8" t="s">
        <v>118</v>
      </c>
      <c r="B82" s="8" t="s">
        <v>83</v>
      </c>
      <c r="C82" s="8">
        <v>1.10547</v>
      </c>
      <c r="D82" s="8">
        <v>16107</v>
      </c>
      <c r="E82" s="8">
        <v>0.88534000000000002</v>
      </c>
    </row>
    <row r="83" spans="1:5" ht="18.75" x14ac:dyDescent="0.3">
      <c r="A83" s="8" t="s">
        <v>119</v>
      </c>
      <c r="B83" s="8" t="s">
        <v>55</v>
      </c>
      <c r="C83" s="8">
        <v>1.3062800000000001</v>
      </c>
      <c r="D83" s="8">
        <v>21975</v>
      </c>
      <c r="E83" s="8">
        <v>0.79635</v>
      </c>
    </row>
    <row r="84" spans="1:5" ht="18.75" x14ac:dyDescent="0.3">
      <c r="A84" s="8" t="s">
        <v>119</v>
      </c>
      <c r="B84" s="8" t="s">
        <v>83</v>
      </c>
      <c r="C84" s="8">
        <v>1.15178</v>
      </c>
      <c r="D84" s="8">
        <v>21975</v>
      </c>
      <c r="E84" s="8">
        <v>0.79635</v>
      </c>
    </row>
    <row r="85" spans="1:5" ht="18.75" x14ac:dyDescent="0.3">
      <c r="A85" s="8" t="s">
        <v>120</v>
      </c>
      <c r="B85" s="8" t="s">
        <v>55</v>
      </c>
      <c r="C85" s="8">
        <v>1.16462</v>
      </c>
      <c r="D85" s="8">
        <v>22779</v>
      </c>
      <c r="E85" s="8">
        <v>0.55769999999999997</v>
      </c>
    </row>
    <row r="86" spans="1:5" ht="18.75" x14ac:dyDescent="0.3">
      <c r="A86" s="8" t="s">
        <v>120</v>
      </c>
      <c r="B86" s="8" t="s">
        <v>83</v>
      </c>
      <c r="C86" s="8">
        <v>1.2320800000000001</v>
      </c>
      <c r="D86" s="8">
        <v>22779</v>
      </c>
      <c r="E86" s="8">
        <v>0.55769999999999997</v>
      </c>
    </row>
    <row r="87" spans="1:5" ht="18.75" x14ac:dyDescent="0.3">
      <c r="A87" s="8" t="s">
        <v>121</v>
      </c>
      <c r="B87" s="8" t="s">
        <v>55</v>
      </c>
      <c r="C87" s="8">
        <v>1.23203</v>
      </c>
      <c r="D87" s="8">
        <v>18984</v>
      </c>
      <c r="E87" s="8">
        <v>0.10852000000000001</v>
      </c>
    </row>
    <row r="88" spans="1:5" ht="18.75" x14ac:dyDescent="0.3">
      <c r="A88" s="8" t="s">
        <v>122</v>
      </c>
      <c r="B88" s="8" t="s">
        <v>55</v>
      </c>
      <c r="C88" s="8">
        <v>1.27715</v>
      </c>
      <c r="D88" s="8">
        <v>18382</v>
      </c>
      <c r="E88" s="8">
        <v>0.19398000000000001</v>
      </c>
    </row>
    <row r="89" spans="1:5" ht="18.75" x14ac:dyDescent="0.3">
      <c r="A89" s="8" t="s">
        <v>123</v>
      </c>
      <c r="B89" s="8" t="s">
        <v>55</v>
      </c>
      <c r="C89" s="8">
        <v>1.0928</v>
      </c>
      <c r="D89" s="8">
        <v>25912</v>
      </c>
      <c r="E89" s="8">
        <v>0.14807999999999999</v>
      </c>
    </row>
    <row r="90" spans="1:5" ht="18.75" x14ac:dyDescent="0.3">
      <c r="A90" s="8" t="s">
        <v>124</v>
      </c>
      <c r="B90" s="8" t="s">
        <v>55</v>
      </c>
      <c r="C90" s="8">
        <v>1.17272</v>
      </c>
      <c r="D90" s="8">
        <v>19950</v>
      </c>
      <c r="E90" s="8">
        <v>8.0110000000000001E-2</v>
      </c>
    </row>
    <row r="91" spans="1:5" ht="18.75" x14ac:dyDescent="0.3">
      <c r="A91" s="8" t="s">
        <v>125</v>
      </c>
      <c r="B91" s="8" t="s">
        <v>55</v>
      </c>
      <c r="C91" s="8">
        <v>1.09903</v>
      </c>
      <c r="D91" s="8">
        <v>20208</v>
      </c>
      <c r="E91" s="8">
        <v>9.9640000000000006E-2</v>
      </c>
    </row>
    <row r="92" spans="1:5" ht="18.75" x14ac:dyDescent="0.3">
      <c r="A92" s="8" t="s">
        <v>126</v>
      </c>
      <c r="B92" s="8" t="s">
        <v>55</v>
      </c>
      <c r="C92" s="8">
        <v>1.2298899999999999</v>
      </c>
      <c r="D92" s="8">
        <v>20761</v>
      </c>
      <c r="E92" s="8">
        <v>7.9159999999999994E-2</v>
      </c>
    </row>
    <row r="93" spans="1:5" ht="18.75" x14ac:dyDescent="0.3">
      <c r="A93" s="8" t="s">
        <v>127</v>
      </c>
      <c r="B93" s="8" t="s">
        <v>55</v>
      </c>
      <c r="C93" s="8">
        <v>1.21661</v>
      </c>
      <c r="D93" s="8">
        <v>20549</v>
      </c>
      <c r="E93" s="8">
        <v>9.1170000000000001E-2</v>
      </c>
    </row>
    <row r="94" spans="1:5" ht="18.75" x14ac:dyDescent="0.3">
      <c r="A94" s="8" t="s">
        <v>128</v>
      </c>
      <c r="B94" s="8" t="s">
        <v>55</v>
      </c>
      <c r="C94" s="8">
        <v>1.2322900000000001</v>
      </c>
      <c r="D94" s="8">
        <v>19779</v>
      </c>
      <c r="E94" s="8">
        <v>6.191E-2</v>
      </c>
    </row>
    <row r="95" spans="1:5" ht="18.75" x14ac:dyDescent="0.3">
      <c r="A95" s="8" t="s">
        <v>129</v>
      </c>
      <c r="B95" s="8" t="s">
        <v>55</v>
      </c>
      <c r="C95" s="8">
        <v>1.21427</v>
      </c>
      <c r="D95" s="8">
        <v>21662</v>
      </c>
      <c r="E95" s="8">
        <v>9.443E-2</v>
      </c>
    </row>
    <row r="96" spans="1:5" ht="18.75" x14ac:dyDescent="0.3">
      <c r="A96" s="8" t="s">
        <v>130</v>
      </c>
      <c r="B96" s="8" t="s">
        <v>55</v>
      </c>
      <c r="C96" s="8">
        <v>1.3049500000000001</v>
      </c>
      <c r="D96" s="8">
        <v>21309</v>
      </c>
      <c r="E96" s="8">
        <v>9.6280000000000004E-2</v>
      </c>
    </row>
    <row r="97" spans="1:5" ht="18.75" x14ac:dyDescent="0.3">
      <c r="A97" s="8" t="s">
        <v>224</v>
      </c>
      <c r="B97" s="8" t="s">
        <v>55</v>
      </c>
      <c r="C97" s="8">
        <v>1.19794</v>
      </c>
      <c r="D97" s="8">
        <v>20103</v>
      </c>
      <c r="E97" s="8">
        <v>0.19028999999999999</v>
      </c>
    </row>
    <row r="98" spans="1:5" ht="18.75" x14ac:dyDescent="0.3">
      <c r="A98" s="11" t="s">
        <v>225</v>
      </c>
      <c r="B98" s="8" t="s">
        <v>55</v>
      </c>
      <c r="C98" s="8">
        <v>1.1874899999999999</v>
      </c>
      <c r="D98" s="8">
        <v>20625</v>
      </c>
      <c r="E98" s="8">
        <v>0.11183</v>
      </c>
    </row>
    <row r="99" spans="1:5" ht="18.75" x14ac:dyDescent="0.3">
      <c r="A99" s="11" t="s">
        <v>226</v>
      </c>
      <c r="B99" s="8" t="s">
        <v>55</v>
      </c>
      <c r="C99" s="8">
        <v>1.26345</v>
      </c>
      <c r="D99" s="8">
        <v>19571</v>
      </c>
      <c r="E99" s="8">
        <v>0.19661999999999999</v>
      </c>
    </row>
    <row r="100" spans="1:5" ht="18.75" x14ac:dyDescent="0.3">
      <c r="A100" s="11" t="s">
        <v>227</v>
      </c>
      <c r="B100" s="8" t="s">
        <v>55</v>
      </c>
      <c r="C100" s="8">
        <v>1.30644</v>
      </c>
      <c r="D100" s="8">
        <v>20913</v>
      </c>
      <c r="E100" s="8">
        <v>9.6829999999999999E-2</v>
      </c>
    </row>
    <row r="101" spans="1:5" ht="18.75" x14ac:dyDescent="0.3">
      <c r="A101" s="11" t="s">
        <v>228</v>
      </c>
      <c r="B101" s="8" t="s">
        <v>55</v>
      </c>
      <c r="C101" s="8">
        <v>1.1656200000000001</v>
      </c>
      <c r="D101" s="8">
        <v>22635</v>
      </c>
      <c r="E101" s="8">
        <v>0.16033</v>
      </c>
    </row>
    <row r="102" spans="1:5" ht="18.75" x14ac:dyDescent="0.3">
      <c r="A102" s="8" t="s">
        <v>131</v>
      </c>
      <c r="B102" s="8" t="s">
        <v>55</v>
      </c>
      <c r="C102" s="8">
        <v>1.1215599999999999</v>
      </c>
      <c r="D102" s="8">
        <v>23428</v>
      </c>
      <c r="E102" s="8">
        <v>0.1211</v>
      </c>
    </row>
    <row r="103" spans="1:5" ht="18.75" x14ac:dyDescent="0.3">
      <c r="A103" s="8" t="s">
        <v>132</v>
      </c>
      <c r="B103" s="8" t="s">
        <v>55</v>
      </c>
      <c r="C103" s="8">
        <v>1.18414</v>
      </c>
      <c r="D103" s="8">
        <v>19555</v>
      </c>
      <c r="E103" s="8">
        <v>8.5129999999999997E-2</v>
      </c>
    </row>
    <row r="104" spans="1:5" ht="18.75" x14ac:dyDescent="0.3">
      <c r="A104" s="8" t="s">
        <v>133</v>
      </c>
      <c r="B104" s="8" t="s">
        <v>55</v>
      </c>
      <c r="C104" s="8">
        <v>1.1121799999999999</v>
      </c>
      <c r="D104" s="8">
        <v>18289</v>
      </c>
      <c r="E104" s="8">
        <v>0.25939000000000001</v>
      </c>
    </row>
    <row r="105" spans="1:5" ht="18.75" x14ac:dyDescent="0.3">
      <c r="A105" s="8" t="s">
        <v>134</v>
      </c>
      <c r="B105" s="8" t="s">
        <v>55</v>
      </c>
      <c r="C105" s="8">
        <v>1.31105</v>
      </c>
      <c r="D105" s="8">
        <v>22414</v>
      </c>
      <c r="E105" s="8">
        <v>7.8530000000000003E-2</v>
      </c>
    </row>
    <row r="106" spans="1:5" ht="18.75" x14ac:dyDescent="0.3">
      <c r="A106" s="8" t="s">
        <v>135</v>
      </c>
      <c r="B106" s="8" t="s">
        <v>55</v>
      </c>
      <c r="C106" s="8">
        <v>1.1974100000000001</v>
      </c>
      <c r="D106" s="8">
        <v>22874</v>
      </c>
      <c r="E106" s="8">
        <v>0.10576000000000001</v>
      </c>
    </row>
    <row r="107" spans="1:5" ht="18.75" x14ac:dyDescent="0.3">
      <c r="A107" s="8" t="s">
        <v>136</v>
      </c>
      <c r="B107" s="8" t="s">
        <v>55</v>
      </c>
      <c r="C107" s="8">
        <v>1.26786</v>
      </c>
      <c r="D107" s="8">
        <v>19305</v>
      </c>
      <c r="E107" s="8">
        <v>0.14202000000000001</v>
      </c>
    </row>
    <row r="108" spans="1:5" ht="18.75" x14ac:dyDescent="0.3">
      <c r="A108" s="8" t="s">
        <v>137</v>
      </c>
      <c r="B108" s="8" t="s">
        <v>55</v>
      </c>
      <c r="C108" s="8">
        <v>1.1113299999999999</v>
      </c>
      <c r="D108" s="8">
        <v>18356</v>
      </c>
      <c r="E108" s="8">
        <v>0.19489000000000001</v>
      </c>
    </row>
    <row r="109" spans="1:5" ht="18.75" x14ac:dyDescent="0.3">
      <c r="A109" s="8" t="s">
        <v>138</v>
      </c>
      <c r="B109" s="8" t="s">
        <v>55</v>
      </c>
      <c r="C109" s="8">
        <v>1.1105400000000001</v>
      </c>
      <c r="D109" s="8">
        <v>20935</v>
      </c>
      <c r="E109" s="8">
        <v>6.6769999999999996E-2</v>
      </c>
    </row>
    <row r="110" spans="1:5" ht="18.75" x14ac:dyDescent="0.3">
      <c r="A110" s="8" t="s">
        <v>139</v>
      </c>
      <c r="B110" s="8" t="s">
        <v>55</v>
      </c>
      <c r="C110" s="8">
        <v>1.1824399999999999</v>
      </c>
      <c r="D110" s="8">
        <v>18497</v>
      </c>
      <c r="E110" s="8">
        <v>0.16753000000000001</v>
      </c>
    </row>
    <row r="111" spans="1:5" ht="18.75" x14ac:dyDescent="0.3">
      <c r="A111" s="8" t="s">
        <v>140</v>
      </c>
      <c r="B111" s="8" t="s">
        <v>55</v>
      </c>
      <c r="C111" s="8">
        <v>1.47275</v>
      </c>
      <c r="D111" s="8">
        <v>18556</v>
      </c>
      <c r="E111" s="8">
        <v>0.21203</v>
      </c>
    </row>
    <row r="112" spans="1:5" ht="18.75" x14ac:dyDescent="0.3">
      <c r="A112" s="8" t="s">
        <v>141</v>
      </c>
      <c r="B112" s="8" t="s">
        <v>55</v>
      </c>
      <c r="C112" s="8">
        <v>1.1062399999999999</v>
      </c>
      <c r="D112" s="8">
        <v>18186</v>
      </c>
      <c r="E112" s="8">
        <v>0.14856</v>
      </c>
    </row>
    <row r="113" spans="1:5" ht="18.75" x14ac:dyDescent="0.3">
      <c r="A113" s="8" t="s">
        <v>142</v>
      </c>
      <c r="B113" s="8" t="s">
        <v>55</v>
      </c>
      <c r="C113" s="8">
        <v>1.23295</v>
      </c>
      <c r="D113" s="8">
        <v>19959</v>
      </c>
      <c r="E113" s="8">
        <v>0.18145</v>
      </c>
    </row>
    <row r="114" spans="1:5" ht="18.75" x14ac:dyDescent="0.3">
      <c r="A114" s="8" t="s">
        <v>143</v>
      </c>
      <c r="B114" s="8" t="s">
        <v>55</v>
      </c>
      <c r="C114" s="8">
        <v>1.1412800000000001</v>
      </c>
      <c r="D114" s="8">
        <v>18481</v>
      </c>
      <c r="E114" s="8">
        <v>6.5159999999999996E-2</v>
      </c>
    </row>
    <row r="115" spans="1:5" ht="18.75" x14ac:dyDescent="0.3">
      <c r="A115" s="8" t="s">
        <v>144</v>
      </c>
      <c r="B115" s="8" t="s">
        <v>55</v>
      </c>
      <c r="C115" s="8">
        <v>1.10547</v>
      </c>
      <c r="D115" s="8">
        <v>21518</v>
      </c>
      <c r="E115" s="8">
        <v>0.12956000000000001</v>
      </c>
    </row>
    <row r="116" spans="1:5" ht="18.75" x14ac:dyDescent="0.3">
      <c r="A116" s="8" t="s">
        <v>145</v>
      </c>
      <c r="B116" s="8" t="s">
        <v>55</v>
      </c>
      <c r="C116" s="8">
        <v>1.2045300000000001</v>
      </c>
      <c r="D116" s="8">
        <v>18850</v>
      </c>
      <c r="E116" s="8">
        <v>0.28188000000000002</v>
      </c>
    </row>
    <row r="117" spans="1:5" ht="18.75" x14ac:dyDescent="0.3">
      <c r="A117" s="8" t="s">
        <v>146</v>
      </c>
      <c r="B117" s="8" t="s">
        <v>55</v>
      </c>
      <c r="C117" s="8">
        <v>1.26962</v>
      </c>
      <c r="D117" s="8">
        <v>17366</v>
      </c>
      <c r="E117" s="8">
        <v>0.19814000000000001</v>
      </c>
    </row>
    <row r="118" spans="1:5" ht="18.75" x14ac:dyDescent="0.3">
      <c r="A118" s="8" t="s">
        <v>147</v>
      </c>
      <c r="B118" s="8" t="s">
        <v>55</v>
      </c>
      <c r="C118" s="8">
        <v>1.1676800000000001</v>
      </c>
      <c r="D118" s="8">
        <v>20334</v>
      </c>
      <c r="E118" s="8">
        <v>0.16661000000000001</v>
      </c>
    </row>
    <row r="119" spans="1:5" ht="18.75" x14ac:dyDescent="0.3">
      <c r="A119" s="8" t="s">
        <v>148</v>
      </c>
      <c r="B119" s="8" t="s">
        <v>55</v>
      </c>
      <c r="C119" s="8">
        <v>1.16734</v>
      </c>
      <c r="D119" s="8">
        <v>18591</v>
      </c>
      <c r="E119" s="8">
        <v>0.26607999999999998</v>
      </c>
    </row>
    <row r="120" spans="1:5" ht="18.75" x14ac:dyDescent="0.3">
      <c r="A120" s="8" t="s">
        <v>149</v>
      </c>
      <c r="B120" s="8" t="s">
        <v>55</v>
      </c>
      <c r="C120" s="8">
        <v>1.0801400000000001</v>
      </c>
      <c r="D120" s="8">
        <v>17281</v>
      </c>
      <c r="E120" s="8">
        <v>0.45665</v>
      </c>
    </row>
    <row r="121" spans="1:5" ht="18.75" x14ac:dyDescent="0.3">
      <c r="A121" s="8" t="s">
        <v>150</v>
      </c>
      <c r="B121" s="8" t="s">
        <v>55</v>
      </c>
      <c r="C121" s="8">
        <v>1.14846</v>
      </c>
      <c r="D121" s="8">
        <v>22847</v>
      </c>
      <c r="E121" s="8">
        <v>0.1201</v>
      </c>
    </row>
    <row r="122" spans="1:5" ht="18.75" x14ac:dyDescent="0.3">
      <c r="A122" s="8" t="s">
        <v>151</v>
      </c>
      <c r="B122" s="8" t="s">
        <v>55</v>
      </c>
      <c r="C122" s="8">
        <v>1.12754</v>
      </c>
      <c r="D122" s="8">
        <v>20875</v>
      </c>
      <c r="E122" s="8">
        <v>0.15698000000000001</v>
      </c>
    </row>
    <row r="123" spans="1:5" ht="18.75" x14ac:dyDescent="0.3">
      <c r="A123" s="8" t="s">
        <v>152</v>
      </c>
      <c r="B123" s="8" t="s">
        <v>55</v>
      </c>
      <c r="C123" s="8">
        <v>1.19398</v>
      </c>
      <c r="D123" s="8">
        <v>18459</v>
      </c>
      <c r="E123" s="8">
        <v>0.32993</v>
      </c>
    </row>
    <row r="124" spans="1:5" ht="18.75" x14ac:dyDescent="0.3">
      <c r="A124" s="8" t="s">
        <v>152</v>
      </c>
      <c r="B124" s="8" t="s">
        <v>83</v>
      </c>
      <c r="C124" s="8">
        <v>1.22512</v>
      </c>
      <c r="D124" s="8">
        <v>18459</v>
      </c>
      <c r="E124" s="8">
        <v>0.32993</v>
      </c>
    </row>
    <row r="125" spans="1:5" ht="18.75" x14ac:dyDescent="0.3">
      <c r="A125" s="8" t="s">
        <v>153</v>
      </c>
      <c r="B125" s="8" t="s">
        <v>55</v>
      </c>
      <c r="C125" s="8">
        <v>1.11137</v>
      </c>
      <c r="D125" s="8">
        <v>18208</v>
      </c>
      <c r="E125" s="8">
        <v>0.18309</v>
      </c>
    </row>
    <row r="126" spans="1:5" ht="18.75" x14ac:dyDescent="0.3">
      <c r="A126" s="8" t="s">
        <v>154</v>
      </c>
      <c r="B126" s="8" t="s">
        <v>55</v>
      </c>
      <c r="C126" s="8">
        <v>1.1332800000000001</v>
      </c>
      <c r="D126" s="8">
        <v>13435</v>
      </c>
      <c r="E126" s="8">
        <v>0.29721999999999998</v>
      </c>
    </row>
    <row r="127" spans="1:5" ht="18.75" x14ac:dyDescent="0.3">
      <c r="A127" s="8" t="s">
        <v>155</v>
      </c>
      <c r="B127" s="8" t="s">
        <v>55</v>
      </c>
      <c r="C127" s="8">
        <v>1.06854</v>
      </c>
      <c r="D127" s="8">
        <v>18237</v>
      </c>
      <c r="E127" s="8">
        <v>0.12669</v>
      </c>
    </row>
    <row r="128" spans="1:5" ht="18.75" x14ac:dyDescent="0.3">
      <c r="A128" s="8" t="s">
        <v>155</v>
      </c>
      <c r="B128" s="8" t="s">
        <v>55</v>
      </c>
      <c r="C128" s="8">
        <v>7.9240000000000005E-2</v>
      </c>
      <c r="D128" s="8"/>
      <c r="E128" s="8"/>
    </row>
    <row r="129" spans="1:5" ht="18.75" x14ac:dyDescent="0.3">
      <c r="A129" s="8" t="s">
        <v>156</v>
      </c>
      <c r="B129" s="8" t="s">
        <v>55</v>
      </c>
      <c r="C129" s="8">
        <v>1.24088</v>
      </c>
      <c r="D129" s="8">
        <v>17608</v>
      </c>
      <c r="E129" s="8">
        <v>0.16650000000000001</v>
      </c>
    </row>
    <row r="130" spans="1:5" ht="18.75" x14ac:dyDescent="0.3">
      <c r="A130" s="8" t="s">
        <v>157</v>
      </c>
      <c r="B130" s="8" t="s">
        <v>55</v>
      </c>
      <c r="C130" s="8">
        <v>1.12547</v>
      </c>
      <c r="D130" s="8">
        <v>19611</v>
      </c>
      <c r="E130" s="8">
        <v>0.46823999999999999</v>
      </c>
    </row>
    <row r="131" spans="1:5" ht="18.75" x14ac:dyDescent="0.3">
      <c r="A131" s="8" t="s">
        <v>158</v>
      </c>
      <c r="B131" s="8" t="s">
        <v>55</v>
      </c>
      <c r="C131" s="8">
        <v>1.23203</v>
      </c>
      <c r="D131" s="8">
        <v>21523</v>
      </c>
      <c r="E131" s="8">
        <v>0.39512000000000003</v>
      </c>
    </row>
    <row r="132" spans="1:5" ht="18.75" x14ac:dyDescent="0.3">
      <c r="A132" s="8" t="s">
        <v>159</v>
      </c>
      <c r="B132" s="8" t="s">
        <v>55</v>
      </c>
      <c r="C132" s="8">
        <v>1.11052</v>
      </c>
      <c r="D132" s="8">
        <v>19695</v>
      </c>
      <c r="E132" s="8">
        <v>0.16675999999999999</v>
      </c>
    </row>
    <row r="133" spans="1:5" ht="18.75" x14ac:dyDescent="0.3">
      <c r="A133" s="8" t="s">
        <v>160</v>
      </c>
      <c r="B133" s="8" t="s">
        <v>55</v>
      </c>
      <c r="C133" s="8">
        <v>1.09819</v>
      </c>
      <c r="D133" s="8">
        <v>23989</v>
      </c>
      <c r="E133" s="8">
        <v>0.39129999999999998</v>
      </c>
    </row>
    <row r="134" spans="1:5" ht="18.75" x14ac:dyDescent="0.3">
      <c r="A134" s="8" t="s">
        <v>161</v>
      </c>
      <c r="B134" s="8" t="s">
        <v>55</v>
      </c>
      <c r="C134" s="8">
        <v>1.1927000000000001</v>
      </c>
      <c r="D134" s="8">
        <v>19575</v>
      </c>
      <c r="E134" s="8">
        <v>0.32113999999999998</v>
      </c>
    </row>
    <row r="135" spans="1:5" ht="18.75" x14ac:dyDescent="0.3">
      <c r="A135" s="8" t="s">
        <v>162</v>
      </c>
      <c r="B135" s="8" t="s">
        <v>55</v>
      </c>
      <c r="C135" s="8">
        <v>1.0988599999999999</v>
      </c>
      <c r="D135" s="8">
        <v>21021</v>
      </c>
      <c r="E135" s="8">
        <v>0.23307</v>
      </c>
    </row>
    <row r="136" spans="1:5" ht="18.75" x14ac:dyDescent="0.3">
      <c r="A136" s="8" t="s">
        <v>163</v>
      </c>
      <c r="B136" s="8" t="s">
        <v>55</v>
      </c>
      <c r="C136" s="8">
        <v>1.0981000000000001</v>
      </c>
      <c r="D136" s="8">
        <v>19419</v>
      </c>
      <c r="E136" s="8">
        <v>0.17748</v>
      </c>
    </row>
    <row r="137" spans="1:5" ht="18.75" x14ac:dyDescent="0.3">
      <c r="A137" s="8" t="s">
        <v>164</v>
      </c>
      <c r="B137" s="8" t="s">
        <v>55</v>
      </c>
      <c r="C137" s="8">
        <v>1.09216</v>
      </c>
      <c r="D137" s="8">
        <v>18158</v>
      </c>
      <c r="E137" s="8">
        <v>0.18312</v>
      </c>
    </row>
    <row r="138" spans="1:5" ht="18.75" x14ac:dyDescent="0.3">
      <c r="A138" s="8" t="s">
        <v>165</v>
      </c>
      <c r="B138" s="8" t="s">
        <v>55</v>
      </c>
      <c r="C138" s="8">
        <v>1.23203</v>
      </c>
      <c r="D138" s="8">
        <v>21474</v>
      </c>
      <c r="E138" s="8">
        <v>0.71711999999999998</v>
      </c>
    </row>
    <row r="139" spans="1:5" ht="18.75" x14ac:dyDescent="0.3">
      <c r="A139" s="8" t="s">
        <v>166</v>
      </c>
      <c r="B139" s="8" t="s">
        <v>55</v>
      </c>
      <c r="C139" s="8">
        <v>1.1224700000000001</v>
      </c>
      <c r="D139" s="8">
        <v>25891</v>
      </c>
      <c r="E139" s="8">
        <v>0.23216000000000001</v>
      </c>
    </row>
    <row r="140" spans="1:5" ht="18.75" x14ac:dyDescent="0.3">
      <c r="A140" s="8" t="s">
        <v>167</v>
      </c>
      <c r="B140" s="8" t="s">
        <v>55</v>
      </c>
      <c r="C140" s="8">
        <v>1.23204</v>
      </c>
      <c r="D140" s="8">
        <v>25134</v>
      </c>
      <c r="E140" s="8">
        <v>0.19134000000000001</v>
      </c>
    </row>
    <row r="141" spans="1:5" ht="18.75" x14ac:dyDescent="0.3">
      <c r="A141" s="8" t="s">
        <v>168</v>
      </c>
      <c r="B141" s="8" t="s">
        <v>55</v>
      </c>
      <c r="C141" s="8">
        <v>1.1805600000000001</v>
      </c>
      <c r="D141" s="8">
        <v>16753</v>
      </c>
      <c r="E141" s="8">
        <v>0.40458</v>
      </c>
    </row>
    <row r="142" spans="1:5" ht="18.75" x14ac:dyDescent="0.3">
      <c r="A142" s="8" t="s">
        <v>168</v>
      </c>
      <c r="B142" s="8" t="s">
        <v>83</v>
      </c>
      <c r="C142" s="8">
        <v>1.1937800000000001</v>
      </c>
      <c r="D142" s="8">
        <v>16753</v>
      </c>
      <c r="E142" s="8">
        <v>0.40458</v>
      </c>
    </row>
    <row r="143" spans="1:5" ht="18.75" x14ac:dyDescent="0.3">
      <c r="A143" s="8" t="s">
        <v>169</v>
      </c>
      <c r="B143" s="8" t="s">
        <v>55</v>
      </c>
      <c r="C143" s="8">
        <v>1.0483199999999999</v>
      </c>
      <c r="D143" s="8">
        <v>19786</v>
      </c>
      <c r="E143" s="8">
        <v>0.27833000000000002</v>
      </c>
    </row>
    <row r="144" spans="1:5" ht="18.75" x14ac:dyDescent="0.3">
      <c r="A144" s="8" t="s">
        <v>170</v>
      </c>
      <c r="B144" s="8" t="s">
        <v>55</v>
      </c>
      <c r="C144" s="8">
        <v>1.17567</v>
      </c>
      <c r="D144" s="8">
        <v>20942</v>
      </c>
      <c r="E144" s="8">
        <v>0.23014999999999999</v>
      </c>
    </row>
    <row r="145" spans="1:5" ht="18.75" x14ac:dyDescent="0.3">
      <c r="A145" s="8" t="s">
        <v>229</v>
      </c>
      <c r="B145" s="8" t="s">
        <v>55</v>
      </c>
      <c r="C145" s="8">
        <v>1.2557799999999999</v>
      </c>
      <c r="D145" s="8">
        <v>20009</v>
      </c>
      <c r="E145" s="8">
        <v>9.6070000000000003E-2</v>
      </c>
    </row>
    <row r="146" spans="1:5" ht="18.75" x14ac:dyDescent="0.3">
      <c r="A146" s="8" t="s">
        <v>230</v>
      </c>
      <c r="B146" s="8" t="s">
        <v>55</v>
      </c>
      <c r="C146" s="8">
        <v>1.2383500000000001</v>
      </c>
      <c r="D146" s="8">
        <v>20952</v>
      </c>
      <c r="E146" s="8">
        <v>0.19248000000000001</v>
      </c>
    </row>
    <row r="147" spans="1:5" ht="18.75" x14ac:dyDescent="0.3">
      <c r="A147" s="8" t="s">
        <v>231</v>
      </c>
      <c r="B147" s="8" t="s">
        <v>55</v>
      </c>
      <c r="C147" s="8">
        <v>1.3602700000000001</v>
      </c>
      <c r="D147" s="8">
        <v>16948</v>
      </c>
      <c r="E147" s="8">
        <v>0.16908000000000001</v>
      </c>
    </row>
    <row r="148" spans="1:5" ht="18.75" x14ac:dyDescent="0.3">
      <c r="A148" s="8" t="s">
        <v>232</v>
      </c>
      <c r="B148" s="8" t="s">
        <v>55</v>
      </c>
      <c r="C148" s="8">
        <v>1.42509</v>
      </c>
      <c r="D148" s="8">
        <v>19561</v>
      </c>
      <c r="E148" s="8">
        <v>0.12869</v>
      </c>
    </row>
    <row r="149" spans="1:5" ht="18.75" x14ac:dyDescent="0.3">
      <c r="A149" s="8" t="s">
        <v>233</v>
      </c>
      <c r="B149" s="8" t="s">
        <v>55</v>
      </c>
      <c r="C149" s="8">
        <v>1.10877</v>
      </c>
      <c r="D149" s="8">
        <v>18800</v>
      </c>
      <c r="E149" s="8">
        <v>0.34417999999999999</v>
      </c>
    </row>
    <row r="150" spans="1:5" ht="18.75" x14ac:dyDescent="0.3">
      <c r="A150" s="8" t="s">
        <v>171</v>
      </c>
      <c r="B150" s="8" t="s">
        <v>55</v>
      </c>
      <c r="C150" s="8">
        <v>1.2083200000000001</v>
      </c>
      <c r="D150" s="8">
        <v>18120</v>
      </c>
      <c r="E150" s="8">
        <v>0.22356000000000001</v>
      </c>
    </row>
    <row r="151" spans="1:5" ht="18.75" x14ac:dyDescent="0.3">
      <c r="A151" s="8" t="s">
        <v>172</v>
      </c>
      <c r="B151" s="8" t="s">
        <v>83</v>
      </c>
      <c r="C151" s="8">
        <v>1.0829</v>
      </c>
      <c r="D151" s="8">
        <v>21766</v>
      </c>
      <c r="E151" s="8">
        <v>0.48137999999999997</v>
      </c>
    </row>
    <row r="152" spans="1:5" ht="18.75" x14ac:dyDescent="0.3">
      <c r="A152" s="8" t="s">
        <v>173</v>
      </c>
      <c r="B152" s="8" t="s">
        <v>83</v>
      </c>
      <c r="C152" s="8">
        <v>1.2240599999999999</v>
      </c>
      <c r="D152" s="8">
        <v>19100</v>
      </c>
      <c r="E152" s="8">
        <v>0.81864000000000003</v>
      </c>
    </row>
    <row r="153" spans="1:5" ht="18.75" x14ac:dyDescent="0.3">
      <c r="A153" s="8" t="s">
        <v>174</v>
      </c>
      <c r="B153" s="8" t="s">
        <v>83</v>
      </c>
      <c r="C153" s="8">
        <v>1.11541</v>
      </c>
      <c r="D153" s="8">
        <v>18471</v>
      </c>
      <c r="E153" s="8">
        <v>0.76241999999999999</v>
      </c>
    </row>
    <row r="154" spans="1:5" ht="18.75" x14ac:dyDescent="0.3">
      <c r="A154" s="8" t="s">
        <v>175</v>
      </c>
      <c r="B154" s="8" t="s">
        <v>83</v>
      </c>
      <c r="C154" s="8">
        <v>1.21662</v>
      </c>
      <c r="D154" s="8">
        <v>19370</v>
      </c>
      <c r="E154" s="8">
        <v>0.74609000000000003</v>
      </c>
    </row>
    <row r="155" spans="1:5" ht="18.75" x14ac:dyDescent="0.3">
      <c r="A155" s="8" t="s">
        <v>176</v>
      </c>
      <c r="B155" s="8" t="s">
        <v>83</v>
      </c>
      <c r="C155" s="8">
        <v>1.1039699999999999</v>
      </c>
      <c r="D155" s="8">
        <v>19807</v>
      </c>
      <c r="E155" s="8">
        <v>0.63358000000000003</v>
      </c>
    </row>
    <row r="156" spans="1:5" ht="18.75" x14ac:dyDescent="0.3">
      <c r="A156" s="8" t="s">
        <v>234</v>
      </c>
      <c r="B156" s="8" t="s">
        <v>83</v>
      </c>
      <c r="C156" s="8">
        <v>1.1402699999999999</v>
      </c>
      <c r="D156" s="8">
        <v>19126</v>
      </c>
      <c r="E156" s="8">
        <v>0.68989999999999996</v>
      </c>
    </row>
    <row r="157" spans="1:5" ht="18.75" x14ac:dyDescent="0.3">
      <c r="A157" s="8" t="s">
        <v>178</v>
      </c>
      <c r="B157" s="8" t="s">
        <v>55</v>
      </c>
      <c r="C157" s="8">
        <v>1.0788500000000001</v>
      </c>
      <c r="D157" s="8">
        <v>20807</v>
      </c>
      <c r="E157" s="8">
        <v>0.56381999999999999</v>
      </c>
    </row>
    <row r="158" spans="1:5" ht="18.75" x14ac:dyDescent="0.3">
      <c r="A158" s="8" t="s">
        <v>178</v>
      </c>
      <c r="B158" s="8" t="s">
        <v>83</v>
      </c>
      <c r="C158" s="8">
        <v>1.1732499999999999</v>
      </c>
      <c r="D158" s="8">
        <v>20807</v>
      </c>
      <c r="E158" s="8">
        <v>0.56381999999999999</v>
      </c>
    </row>
    <row r="159" spans="1:5" ht="18.75" x14ac:dyDescent="0.3">
      <c r="A159" s="8" t="s">
        <v>179</v>
      </c>
      <c r="B159" s="8" t="s">
        <v>55</v>
      </c>
      <c r="C159" s="8">
        <v>1.1011500000000001</v>
      </c>
      <c r="D159" s="8">
        <v>18849</v>
      </c>
      <c r="E159" s="8">
        <v>0.53003999999999996</v>
      </c>
    </row>
    <row r="160" spans="1:5" ht="18.75" x14ac:dyDescent="0.3">
      <c r="A160" s="8" t="s">
        <v>179</v>
      </c>
      <c r="B160" s="8" t="s">
        <v>83</v>
      </c>
      <c r="C160" s="8">
        <v>1.23376</v>
      </c>
      <c r="D160" s="8">
        <v>18849</v>
      </c>
      <c r="E160" s="8">
        <v>0.53003999999999996</v>
      </c>
    </row>
    <row r="161" spans="1:5" ht="18.75" x14ac:dyDescent="0.3">
      <c r="A161" s="8" t="s">
        <v>180</v>
      </c>
      <c r="B161" s="8" t="s">
        <v>83</v>
      </c>
      <c r="C161" s="8">
        <v>1.1484799999999999</v>
      </c>
      <c r="D161" s="8">
        <v>18769</v>
      </c>
      <c r="E161" s="8">
        <v>0.81845999999999997</v>
      </c>
    </row>
    <row r="162" spans="1:5" ht="18.75" x14ac:dyDescent="0.3">
      <c r="A162" s="8" t="s">
        <v>181</v>
      </c>
      <c r="B162" s="8" t="s">
        <v>83</v>
      </c>
      <c r="C162" s="8">
        <v>1.20225</v>
      </c>
      <c r="D162" s="8">
        <v>17998</v>
      </c>
      <c r="E162" s="8">
        <v>0.76239000000000001</v>
      </c>
    </row>
    <row r="163" spans="1:5" ht="18.75" x14ac:dyDescent="0.3">
      <c r="A163" s="8" t="s">
        <v>182</v>
      </c>
      <c r="B163" s="8" t="s">
        <v>55</v>
      </c>
      <c r="C163" s="8">
        <v>1.1047100000000001</v>
      </c>
      <c r="D163" s="8">
        <v>19877</v>
      </c>
      <c r="E163" s="8">
        <v>0.70352999999999999</v>
      </c>
    </row>
    <row r="164" spans="1:5" ht="18.75" x14ac:dyDescent="0.3">
      <c r="A164" s="8" t="s">
        <v>182</v>
      </c>
      <c r="B164" s="8" t="s">
        <v>83</v>
      </c>
      <c r="C164" s="8">
        <v>1.09253</v>
      </c>
      <c r="D164" s="8">
        <v>19877</v>
      </c>
      <c r="E164" s="8">
        <v>0.70352999999999999</v>
      </c>
    </row>
    <row r="165" spans="1:5" ht="18.75" x14ac:dyDescent="0.3">
      <c r="A165" s="8" t="s">
        <v>235</v>
      </c>
      <c r="B165" s="8" t="s">
        <v>83</v>
      </c>
      <c r="C165" s="8">
        <v>1.11402</v>
      </c>
      <c r="D165" s="8">
        <v>16599</v>
      </c>
      <c r="E165" s="8">
        <v>0.81540000000000001</v>
      </c>
    </row>
    <row r="166" spans="1:5" ht="18.75" x14ac:dyDescent="0.3">
      <c r="A166" s="8" t="s">
        <v>184</v>
      </c>
      <c r="B166" s="8" t="s">
        <v>55</v>
      </c>
      <c r="C166" s="8">
        <v>1.13117</v>
      </c>
      <c r="D166" s="8">
        <v>19039</v>
      </c>
      <c r="E166" s="8">
        <v>0.38012000000000001</v>
      </c>
    </row>
    <row r="167" spans="1:5" ht="18.75" x14ac:dyDescent="0.3">
      <c r="A167" s="8" t="s">
        <v>184</v>
      </c>
      <c r="B167" s="8" t="s">
        <v>83</v>
      </c>
      <c r="C167" s="8">
        <v>1.11965</v>
      </c>
      <c r="D167" s="8">
        <v>19039</v>
      </c>
      <c r="E167" s="8">
        <v>0.38012000000000001</v>
      </c>
    </row>
    <row r="168" spans="1:5" ht="18.75" x14ac:dyDescent="0.3">
      <c r="A168" s="8" t="s">
        <v>185</v>
      </c>
      <c r="B168" s="8" t="s">
        <v>83</v>
      </c>
      <c r="C168" s="8">
        <v>1.13184</v>
      </c>
      <c r="D168" s="8">
        <v>15158</v>
      </c>
      <c r="E168" s="8">
        <v>0.48738999999999999</v>
      </c>
    </row>
    <row r="169" spans="1:5" ht="18.75" x14ac:dyDescent="0.3">
      <c r="A169" s="8" t="s">
        <v>186</v>
      </c>
      <c r="B169" s="8" t="s">
        <v>55</v>
      </c>
      <c r="C169" s="8">
        <v>1.3204899999999999</v>
      </c>
      <c r="D169" s="8">
        <v>22503</v>
      </c>
      <c r="E169" s="8">
        <v>0.35488999999999998</v>
      </c>
    </row>
    <row r="170" spans="1:5" ht="18.75" x14ac:dyDescent="0.3">
      <c r="A170" s="8" t="s">
        <v>186</v>
      </c>
      <c r="B170" s="8" t="s">
        <v>83</v>
      </c>
      <c r="C170" s="8">
        <v>1.1588799999999999</v>
      </c>
      <c r="D170" s="8">
        <v>22503</v>
      </c>
      <c r="E170" s="8">
        <v>0.35488999999999998</v>
      </c>
    </row>
    <row r="171" spans="1:5" ht="18.75" x14ac:dyDescent="0.3">
      <c r="A171" s="8" t="s">
        <v>187</v>
      </c>
      <c r="B171" s="8" t="s">
        <v>83</v>
      </c>
      <c r="C171" s="8">
        <v>1.1485300000000001</v>
      </c>
      <c r="D171" s="8">
        <v>16622</v>
      </c>
      <c r="E171" s="8">
        <v>0.86529</v>
      </c>
    </row>
    <row r="172" spans="1:5" ht="18.75" x14ac:dyDescent="0.3">
      <c r="A172" s="8" t="s">
        <v>188</v>
      </c>
      <c r="B172" s="8" t="s">
        <v>83</v>
      </c>
      <c r="C172" s="8">
        <v>1.2273000000000001</v>
      </c>
      <c r="D172" s="8">
        <v>17562</v>
      </c>
      <c r="E172" s="8">
        <v>0.83314999999999995</v>
      </c>
    </row>
    <row r="173" spans="1:5" ht="18.75" x14ac:dyDescent="0.3">
      <c r="A173" s="8" t="s">
        <v>189</v>
      </c>
      <c r="B173" s="8" t="s">
        <v>83</v>
      </c>
      <c r="C173" s="8">
        <v>1.14219</v>
      </c>
      <c r="D173" s="8">
        <v>20840</v>
      </c>
      <c r="E173" s="8">
        <v>0.78066000000000002</v>
      </c>
    </row>
    <row r="174" spans="1:5" ht="18.75" x14ac:dyDescent="0.3">
      <c r="A174" s="8" t="s">
        <v>190</v>
      </c>
      <c r="B174" s="8" t="s">
        <v>55</v>
      </c>
      <c r="C174" s="8">
        <v>1.0693900000000001</v>
      </c>
      <c r="D174" s="8">
        <v>18639</v>
      </c>
      <c r="E174" s="8">
        <v>0.10317999999999999</v>
      </c>
    </row>
    <row r="175" spans="1:5" ht="18.75" x14ac:dyDescent="0.3">
      <c r="A175" s="8" t="s">
        <v>191</v>
      </c>
      <c r="B175" s="8" t="s">
        <v>55</v>
      </c>
      <c r="C175" s="8">
        <v>1.1847300000000001</v>
      </c>
      <c r="D175" s="8">
        <v>19872</v>
      </c>
      <c r="E175" s="8">
        <v>0.13122</v>
      </c>
    </row>
    <row r="176" spans="1:5" ht="18.75" x14ac:dyDescent="0.3">
      <c r="A176" s="8" t="s">
        <v>192</v>
      </c>
      <c r="B176" s="8" t="s">
        <v>55</v>
      </c>
      <c r="C176" s="8">
        <v>1.12378</v>
      </c>
      <c r="D176" s="8">
        <v>19304</v>
      </c>
      <c r="E176" s="8">
        <v>0.13267999999999999</v>
      </c>
    </row>
    <row r="177" spans="1:5" ht="18.75" x14ac:dyDescent="0.3">
      <c r="A177" s="8" t="s">
        <v>193</v>
      </c>
      <c r="B177" s="8" t="s">
        <v>55</v>
      </c>
      <c r="C177" s="8">
        <v>1.2714399999999999</v>
      </c>
      <c r="D177" s="8">
        <v>19770</v>
      </c>
      <c r="E177" s="8">
        <v>0.11531</v>
      </c>
    </row>
    <row r="178" spans="1:5" ht="18.75" x14ac:dyDescent="0.3">
      <c r="A178" s="8" t="s">
        <v>194</v>
      </c>
      <c r="B178" s="8" t="s">
        <v>55</v>
      </c>
      <c r="C178" s="8">
        <v>1.1560299999999999</v>
      </c>
      <c r="D178" s="8">
        <v>21114</v>
      </c>
      <c r="E178" s="8">
        <v>0.11076</v>
      </c>
    </row>
    <row r="179" spans="1:5" ht="18.75" x14ac:dyDescent="0.3">
      <c r="A179" s="8" t="s">
        <v>195</v>
      </c>
      <c r="B179" s="8" t="s">
        <v>55</v>
      </c>
      <c r="C179" s="8">
        <v>1.20848</v>
      </c>
      <c r="D179" s="8">
        <v>19921</v>
      </c>
      <c r="E179" s="8">
        <v>0.12259</v>
      </c>
    </row>
    <row r="180" spans="1:5" ht="18.75" x14ac:dyDescent="0.3">
      <c r="A180" s="8" t="s">
        <v>196</v>
      </c>
      <c r="B180" s="8" t="s">
        <v>55</v>
      </c>
      <c r="C180" s="8">
        <v>1.09337</v>
      </c>
      <c r="D180" s="8">
        <v>18472</v>
      </c>
      <c r="E180" s="8">
        <v>0.50851999999999997</v>
      </c>
    </row>
    <row r="181" spans="1:5" ht="18.75" x14ac:dyDescent="0.3">
      <c r="A181" s="8" t="s">
        <v>197</v>
      </c>
      <c r="B181" s="8" t="s">
        <v>55</v>
      </c>
      <c r="C181" s="8">
        <v>1.17544</v>
      </c>
      <c r="D181" s="8">
        <v>20129</v>
      </c>
      <c r="E181" s="8">
        <v>0.18235000000000001</v>
      </c>
    </row>
    <row r="182" spans="1:5" ht="18.75" x14ac:dyDescent="0.3">
      <c r="A182" s="8" t="s">
        <v>198</v>
      </c>
      <c r="B182" s="8" t="s">
        <v>55</v>
      </c>
      <c r="C182" s="8">
        <v>1.07969</v>
      </c>
      <c r="D182" s="8">
        <v>20540</v>
      </c>
      <c r="E182" s="8">
        <v>0.25383</v>
      </c>
    </row>
    <row r="183" spans="1:5" ht="18.75" x14ac:dyDescent="0.3">
      <c r="A183" s="8" t="s">
        <v>199</v>
      </c>
      <c r="B183" s="8" t="s">
        <v>55</v>
      </c>
      <c r="C183" s="8">
        <v>1.1634599999999999</v>
      </c>
      <c r="D183" s="8">
        <v>18523</v>
      </c>
      <c r="E183" s="8">
        <v>0.11704000000000001</v>
      </c>
    </row>
    <row r="184" spans="1:5" ht="18.75" x14ac:dyDescent="0.3">
      <c r="A184" s="8" t="s">
        <v>200</v>
      </c>
      <c r="B184" s="8" t="s">
        <v>55</v>
      </c>
      <c r="C184" s="8">
        <v>1.17299</v>
      </c>
      <c r="D184" s="8">
        <v>20735</v>
      </c>
      <c r="E184" s="8">
        <v>6.6669999999999993E-2</v>
      </c>
    </row>
    <row r="185" spans="1:5" ht="18.75" x14ac:dyDescent="0.3">
      <c r="A185" s="8" t="s">
        <v>201</v>
      </c>
      <c r="B185" s="8" t="s">
        <v>55</v>
      </c>
      <c r="C185" s="8">
        <v>1.1813100000000001</v>
      </c>
      <c r="D185" s="8">
        <v>20193</v>
      </c>
      <c r="E185" s="8">
        <v>8.4459999999999993E-2</v>
      </c>
    </row>
    <row r="186" spans="1:5" ht="18.75" x14ac:dyDescent="0.3">
      <c r="A186" s="8" t="s">
        <v>202</v>
      </c>
      <c r="B186" s="8" t="s">
        <v>55</v>
      </c>
      <c r="C186" s="8">
        <v>1.1463399999999999</v>
      </c>
      <c r="D186" s="8">
        <v>19370</v>
      </c>
      <c r="E186" s="8">
        <v>0.15755</v>
      </c>
    </row>
    <row r="187" spans="1:5" ht="18.75" x14ac:dyDescent="0.3">
      <c r="A187" s="8" t="s">
        <v>203</v>
      </c>
      <c r="B187" s="8" t="s">
        <v>55</v>
      </c>
      <c r="C187" s="8">
        <v>1.25471</v>
      </c>
      <c r="D187" s="8">
        <v>21937</v>
      </c>
      <c r="E187" s="8">
        <v>0.11985999999999999</v>
      </c>
    </row>
    <row r="188" spans="1:5" ht="18.75" x14ac:dyDescent="0.3">
      <c r="A188" s="8" t="s">
        <v>204</v>
      </c>
      <c r="B188" s="8" t="s">
        <v>55</v>
      </c>
      <c r="C188" s="8">
        <v>1.17822</v>
      </c>
      <c r="D188" s="8">
        <v>23710</v>
      </c>
      <c r="E188" s="8">
        <v>0.13861000000000001</v>
      </c>
    </row>
    <row r="189" spans="1:5" ht="18.75" x14ac:dyDescent="0.3">
      <c r="A189" s="8" t="s">
        <v>205</v>
      </c>
      <c r="B189" s="8" t="s">
        <v>55</v>
      </c>
      <c r="C189" s="8">
        <v>1.16496</v>
      </c>
      <c r="D189" s="8">
        <v>21118</v>
      </c>
      <c r="E189" s="8">
        <v>0.10728</v>
      </c>
    </row>
    <row r="190" spans="1:5" ht="18.75" x14ac:dyDescent="0.3">
      <c r="A190" s="8" t="s">
        <v>206</v>
      </c>
      <c r="B190" s="8" t="s">
        <v>55</v>
      </c>
      <c r="C190" s="8">
        <v>1.1910000000000001</v>
      </c>
      <c r="D190" s="8">
        <v>21108</v>
      </c>
      <c r="E190" s="8">
        <v>0.10783</v>
      </c>
    </row>
    <row r="191" spans="1:5" ht="18.75" x14ac:dyDescent="0.3">
      <c r="A191" s="8" t="s">
        <v>207</v>
      </c>
      <c r="B191" s="8" t="s">
        <v>55</v>
      </c>
      <c r="C191" s="8">
        <v>1.13493</v>
      </c>
      <c r="D191" s="8">
        <v>20743</v>
      </c>
      <c r="E191" s="8">
        <v>0.18410000000000001</v>
      </c>
    </row>
    <row r="192" spans="1:5" ht="18.75" x14ac:dyDescent="0.3">
      <c r="A192" s="8" t="s">
        <v>208</v>
      </c>
      <c r="B192" s="8" t="s">
        <v>55</v>
      </c>
      <c r="C192" s="8">
        <v>1.15245</v>
      </c>
      <c r="D192" s="8">
        <v>20737</v>
      </c>
      <c r="E192" s="8">
        <v>0.12476</v>
      </c>
    </row>
    <row r="193" spans="1:5" ht="18.75" x14ac:dyDescent="0.3">
      <c r="A193" s="8" t="s">
        <v>209</v>
      </c>
      <c r="B193" s="8" t="s">
        <v>55</v>
      </c>
      <c r="C193" s="8">
        <v>1.24821</v>
      </c>
      <c r="D193" s="8">
        <v>18855</v>
      </c>
      <c r="E193" s="8">
        <v>0.11711000000000001</v>
      </c>
    </row>
    <row r="194" spans="1:5" ht="18.75" x14ac:dyDescent="0.3">
      <c r="A194" s="8" t="s">
        <v>210</v>
      </c>
      <c r="B194" s="8" t="s">
        <v>55</v>
      </c>
      <c r="C194" s="8">
        <v>1.1910400000000001</v>
      </c>
      <c r="D194" s="8">
        <v>18367</v>
      </c>
      <c r="E194" s="8">
        <v>0.20504</v>
      </c>
    </row>
    <row r="195" spans="1:5" ht="18.75" x14ac:dyDescent="0.3">
      <c r="A195" s="8" t="s">
        <v>211</v>
      </c>
      <c r="B195" s="8" t="s">
        <v>55</v>
      </c>
      <c r="C195" s="8">
        <v>1.10744</v>
      </c>
      <c r="D195" s="8">
        <v>21505</v>
      </c>
      <c r="E195" s="8">
        <v>0.18376999999999999</v>
      </c>
    </row>
    <row r="196" spans="1:5" ht="18.75" x14ac:dyDescent="0.3">
      <c r="A196" s="8" t="s">
        <v>212</v>
      </c>
      <c r="B196" s="8" t="s">
        <v>55</v>
      </c>
      <c r="C196" s="8">
        <v>1.11541</v>
      </c>
      <c r="D196" s="8">
        <v>19630</v>
      </c>
      <c r="E196" s="8">
        <v>9.7019999999999995E-2</v>
      </c>
    </row>
    <row r="197" spans="1:5" ht="18.75" x14ac:dyDescent="0.3">
      <c r="A197" s="8" t="s">
        <v>213</v>
      </c>
      <c r="B197" s="8" t="s">
        <v>55</v>
      </c>
      <c r="C197" s="8">
        <v>1.14612</v>
      </c>
      <c r="D197" s="8">
        <v>20203</v>
      </c>
      <c r="E197" s="8">
        <v>0.16014999999999999</v>
      </c>
    </row>
    <row r="198" spans="1:5" ht="18.75" x14ac:dyDescent="0.3">
      <c r="A198" s="8" t="s">
        <v>214</v>
      </c>
      <c r="B198" s="8" t="s">
        <v>55</v>
      </c>
      <c r="C198" s="8">
        <v>1.24349</v>
      </c>
      <c r="D198" s="8">
        <v>18229</v>
      </c>
      <c r="E198" s="8">
        <v>0.12259</v>
      </c>
    </row>
    <row r="199" spans="1:5" ht="18.75" x14ac:dyDescent="0.3">
      <c r="A199" s="8" t="s">
        <v>215</v>
      </c>
      <c r="B199" s="8" t="s">
        <v>55</v>
      </c>
      <c r="C199" s="8">
        <v>1.2621899999999999</v>
      </c>
      <c r="D199" s="8">
        <v>21126</v>
      </c>
      <c r="E199" s="8">
        <v>6.2239999999999997E-2</v>
      </c>
    </row>
    <row r="200" spans="1:5" ht="18.75" x14ac:dyDescent="0.3">
      <c r="A200" s="8" t="s">
        <v>216</v>
      </c>
      <c r="B200" s="8" t="s">
        <v>55</v>
      </c>
      <c r="C200" s="8">
        <v>1.1426499999999999</v>
      </c>
      <c r="D200" s="8">
        <v>23463</v>
      </c>
      <c r="E200" s="8">
        <v>0.12669</v>
      </c>
    </row>
    <row r="201" spans="1:5" ht="18.75" x14ac:dyDescent="0.3">
      <c r="A201" s="8" t="s">
        <v>217</v>
      </c>
      <c r="B201" s="8" t="s">
        <v>55</v>
      </c>
      <c r="C201" s="8">
        <v>1.0452600000000001</v>
      </c>
      <c r="D201" s="8">
        <v>18316</v>
      </c>
      <c r="E201" s="8">
        <v>0.44684000000000001</v>
      </c>
    </row>
    <row r="202" spans="1:5" ht="18.75" x14ac:dyDescent="0.3">
      <c r="A202" s="8" t="s">
        <v>218</v>
      </c>
      <c r="B202" s="8" t="s">
        <v>55</v>
      </c>
      <c r="C202" s="8">
        <v>1.20014</v>
      </c>
      <c r="D202" s="8">
        <v>20059</v>
      </c>
      <c r="E202" s="8">
        <v>0.17499999999999999</v>
      </c>
    </row>
    <row r="203" spans="1:5" ht="18.75" x14ac:dyDescent="0.3">
      <c r="A203" s="8" t="s">
        <v>219</v>
      </c>
      <c r="B203" s="8" t="s">
        <v>55</v>
      </c>
      <c r="C203" s="8">
        <v>1.18591</v>
      </c>
      <c r="D203" s="8">
        <v>19254</v>
      </c>
      <c r="E203" s="8">
        <v>0.13793</v>
      </c>
    </row>
    <row r="204" spans="1:5" ht="18.75" x14ac:dyDescent="0.3">
      <c r="A204" s="9" t="s">
        <v>220</v>
      </c>
      <c r="B204" s="9" t="s">
        <v>55</v>
      </c>
      <c r="C204" s="9">
        <v>1.17896</v>
      </c>
      <c r="D204" s="9">
        <v>21712</v>
      </c>
      <c r="E204" s="9">
        <v>0.12271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49B2E99503D3AD4DA2231F0D240043DD" ma:contentTypeVersion="18" ma:contentTypeDescription="Creare un nuovo documento." ma:contentTypeScope="" ma:versionID="57b8045e8abefa85dedc7991371a38b2">
  <xsd:schema xmlns:xsd="http://www.w3.org/2001/XMLSchema" xmlns:xs="http://www.w3.org/2001/XMLSchema" xmlns:p="http://schemas.microsoft.com/office/2006/metadata/properties" xmlns:ns2="77a3f60d-3740-4b8f-aea2-18b203205ead" xmlns:ns3="6c014026-a0ef-45dc-9ca9-ac355db24e99" targetNamespace="http://schemas.microsoft.com/office/2006/metadata/properties" ma:root="true" ma:fieldsID="f5ecd2ee382a35af39c71524ba84a011" ns2:_="" ns3:_="">
    <xsd:import namespace="77a3f60d-3740-4b8f-aea2-18b203205ead"/>
    <xsd:import namespace="6c014026-a0ef-45dc-9ca9-ac355db24e9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DateTaken" minOccurs="0"/>
                <xsd:element ref="ns2:MediaServiceLocation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7a3f60d-3740-4b8f-aea2-18b203205ea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MediaService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Tag immagine" ma:readOnly="false" ma:fieldId="{5cf76f15-5ced-4ddc-b409-7134ff3c332f}" ma:taxonomyMulti="true" ma:sspId="bbff36a2-fd21-4e1e-a182-03a870c089d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4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5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014026-a0ef-45dc-9ca9-ac355db24e99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Condivis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Condiviso con dettagli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c17ed12-4c7d-4ce0-86b8-91d9357e9166}" ma:internalName="TaxCatchAll" ma:showField="CatchAllData" ma:web="6c014026-a0ef-45dc-9ca9-ac355db24e9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6c014026-a0ef-45dc-9ca9-ac355db24e99" xsi:nil="true"/>
    <lcf76f155ced4ddcb4097134ff3c332f xmlns="77a3f60d-3740-4b8f-aea2-18b203205ead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45DCED13-91E9-4307-8290-285B78E290B6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FB589FAD-2380-4098-BDD9-275CCC7F16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A5ACC29-5E7A-4767-A165-EB2C946955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7a3f60d-3740-4b8f-aea2-18b203205ead"/>
    <ds:schemaRef ds:uri="6c014026-a0ef-45dc-9ca9-ac355db24e9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48EFD57D-EEC6-4A67-9350-548B05C68292}">
  <ds:schemaRefs>
    <ds:schemaRef ds:uri="http://schemas.microsoft.com/office/2006/metadata/properties"/>
    <ds:schemaRef ds:uri="http://schemas.microsoft.com/office/infopath/2007/PartnerControls"/>
    <ds:schemaRef ds:uri="6c014026-a0ef-45dc-9ca9-ac355db24e99"/>
    <ds:schemaRef ds:uri="77a3f60d-3740-4b8f-aea2-18b203205ea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4</vt:i4>
      </vt:variant>
    </vt:vector>
  </HeadingPairs>
  <TitlesOfParts>
    <vt:vector size="4" baseType="lpstr">
      <vt:lpstr>Foglio1</vt:lpstr>
      <vt:lpstr>ConcordatoBiennale</vt:lpstr>
      <vt:lpstr>Foglio3</vt:lpstr>
      <vt:lpstr>Allegato1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Mattavelli</dc:creator>
  <cp:lastModifiedBy>Alessandro Mattavelli</cp:lastModifiedBy>
  <dcterms:created xsi:type="dcterms:W3CDTF">2024-06-03T12:37:50Z</dcterms:created>
  <dcterms:modified xsi:type="dcterms:W3CDTF">2025-09-15T12:16:39Z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0x01010049B2E99503D3AD4DA2231F0D240043DD</vt:lpwstr>
  </property>
  <property fmtid="{D5CDD505-2E9C-101B-9397-08002B2CF9AE}" pid="3" name="MediaServiceImageTags">
    <vt:lpwstr/>
  </property>
</Properties>
</file>